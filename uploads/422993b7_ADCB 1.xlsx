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9434060F-2FDE-4D1F-BCE4-013772EF7401}" xr6:coauthVersionLast="47" xr6:coauthVersionMax="47" xr10:uidLastSave="{00000000-0000-0000-0000-000000000000}"/>
  <bookViews>
    <workbookView xWindow="-108" yWindow="-108" windowWidth="23256" windowHeight="12456" xr2:uid="{21388133-84DF-4EF8-9E24-971DC8138850}"/>
  </bookViews>
  <sheets>
    <sheet name="ADCB SOA AUG 2025" sheetId="3" r:id="rId1"/>
    <sheet name="ADCB GL AUG 2025 " sheetId="1" r:id="rId2"/>
    <sheet name="ADCB RECO SUMMARY JULY 202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2" i="2" l="1"/>
  <c r="H467" i="2" s="1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K225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O81" i="2"/>
  <c r="I67" i="2"/>
  <c r="I59" i="2"/>
  <c r="I462" i="2" s="1"/>
  <c r="I467" i="2" s="1"/>
  <c r="I46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Harikumar Ramachandran</author>
    <author>HASHIM PANIKKARAKAYIL</author>
  </authors>
  <commentList>
    <comment ref="I67" authorId="0" shapeId="0" xr:uid="{5DE22F73-67E8-4B7B-A005-414BB661EA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501703-5610340497793-07/05/23 difference</t>
        </r>
      </text>
    </comment>
    <comment ref="I72" authorId="0" shapeId="0" xr:uid="{82B82D51-D6CB-41E8-AC22-220F1DA44B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5610610499501 excess credit aed 3.18 (44694.93+70-44761.75)</t>
        </r>
      </text>
    </comment>
    <comment ref="I76" authorId="0" shapeId="0" xr:uid="{12B58936-9ABD-4C08-A2D1-A194CCC4B2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5610230487583 chq 259050 payment &amp; receipt voucher</t>
        </r>
      </text>
    </comment>
    <comment ref="I78" authorId="0" shapeId="0" xr:uid="{77671EC9-251F-4BFB-A634-EEDC7A3E47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excess amount ctr 000191 chq no</t>
        </r>
      </text>
    </comment>
    <comment ref="G84" authorId="0" shapeId="0" xr:uid="{50CDCB63-B2BF-411B-9A63-EB6481F4B30F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5620980000244/AIR POWER</t>
        </r>
      </text>
    </comment>
    <comment ref="G91" authorId="0" shapeId="0" xr:uid="{CF42776E-CC12-444D-9CCC-5463E1F6BF46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5620340001246/1247PHUB285173131D12122023</t>
        </r>
      </text>
    </comment>
    <comment ref="G92" authorId="0" shapeId="0" xr:uid="{C73E605C-BC7E-4186-89DB-9DA45E6FA902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ALI-5610720629896-22/12/23</t>
        </r>
      </text>
    </comment>
    <comment ref="G135" authorId="0" shapeId="0" xr:uid="{B02337E8-2CD6-404E-AAFE-FB0299C6D2A9}">
      <text>
        <r>
          <rPr>
            <sz val="11"/>
            <color indexed="8"/>
            <rFont val="Calibri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500336-5610270444993-13/03/24</t>
        </r>
      </text>
    </comment>
    <comment ref="I193" authorId="1" shapeId="0" xr:uid="{7E111701-D61F-40EF-92E6-EE9162C2672D}">
      <text>
        <r>
          <rPr>
            <b/>
            <sz val="9"/>
            <color indexed="81"/>
            <rFont val="Tahoma"/>
            <family val="2"/>
          </rPr>
          <t>Harikumar Ramachandran:</t>
        </r>
        <r>
          <rPr>
            <sz val="9"/>
            <color indexed="81"/>
            <rFont val="Tahoma"/>
            <family val="2"/>
          </rPr>
          <t xml:space="preserve">
Tot bran amount 14399.25- 14451.92(cr in adcb)=52.67</t>
        </r>
      </text>
    </comment>
    <comment ref="H329" authorId="2" shapeId="0" xr:uid="{23C39CE6-1A49-4FAA-B6D3-2DEFE564133D}">
      <text>
        <r>
          <rPr>
            <b/>
            <sz val="9"/>
            <color indexed="81"/>
            <rFont val="Tahoma"/>
            <family val="2"/>
          </rPr>
          <t>HASHIM PANIKKARAKAYIL:</t>
        </r>
        <r>
          <rPr>
            <sz val="9"/>
            <color indexed="81"/>
            <rFont val="Tahoma"/>
            <family val="2"/>
          </rPr>
          <t xml:space="preserve">
CHQ RETRN:Signature Missing 203514036 CHQ NO ::785220</t>
        </r>
      </text>
    </comment>
  </commentList>
</comments>
</file>

<file path=xl/sharedStrings.xml><?xml version="1.0" encoding="utf-8"?>
<sst xmlns="http://schemas.openxmlformats.org/spreadsheetml/2006/main" count="70053" uniqueCount="33992">
  <si>
    <t>Description</t>
  </si>
  <si>
    <t>840-WPS Cheque</t>
  </si>
  <si>
    <t>201615-985213</t>
  </si>
  <si>
    <t>500098-996430</t>
  </si>
  <si>
    <t>500028-940121</t>
  </si>
  <si>
    <t>500017-945882</t>
  </si>
  <si>
    <t>000-996577</t>
  </si>
  <si>
    <t>000-982418</t>
  </si>
  <si>
    <t>004013-993995</t>
  </si>
  <si>
    <t>0000-987224</t>
  </si>
  <si>
    <t>000-944481</t>
  </si>
  <si>
    <t>000-943452</t>
  </si>
  <si>
    <t>000-993320</t>
  </si>
  <si>
    <t>015082-981615</t>
  </si>
  <si>
    <t>000000-948084</t>
  </si>
  <si>
    <t>00000-978869</t>
  </si>
  <si>
    <t>0000-992685</t>
  </si>
  <si>
    <t>000000-992685</t>
  </si>
  <si>
    <t>00000-988321</t>
  </si>
  <si>
    <t xml:space="preserve">   0000000   0-988321</t>
  </si>
  <si>
    <t>0000-989694</t>
  </si>
  <si>
    <t>000049-999681</t>
  </si>
  <si>
    <t>001138-985140</t>
  </si>
  <si>
    <t>000040-945394</t>
  </si>
  <si>
    <t>000-940671</t>
  </si>
  <si>
    <t>00000-988977</t>
  </si>
  <si>
    <t>00000-995718</t>
  </si>
  <si>
    <t>00-988420</t>
  </si>
  <si>
    <t>000000-940461</t>
  </si>
  <si>
    <t xml:space="preserve"> 000000-940461</t>
  </si>
  <si>
    <t>00000-994613</t>
  </si>
  <si>
    <t>000-998390</t>
  </si>
  <si>
    <t>00-996987</t>
  </si>
  <si>
    <t>000-944967</t>
  </si>
  <si>
    <t>00-944271</t>
  </si>
  <si>
    <t>00-985498</t>
  </si>
  <si>
    <t>000-941921</t>
  </si>
  <si>
    <t>000-996114</t>
  </si>
  <si>
    <t>000-945082</t>
  </si>
  <si>
    <t>000-943921</t>
  </si>
  <si>
    <t>000-947459</t>
  </si>
  <si>
    <t>000-994444</t>
  </si>
  <si>
    <t>00000-941954</t>
  </si>
  <si>
    <t>0000-994264</t>
  </si>
  <si>
    <t>0000-996781</t>
  </si>
  <si>
    <t>0000-996783</t>
  </si>
  <si>
    <t>00-986183</t>
  </si>
  <si>
    <t>000065-942379</t>
  </si>
  <si>
    <t>00-982681</t>
  </si>
  <si>
    <t>000-977133</t>
  </si>
  <si>
    <t>000-945069</t>
  </si>
  <si>
    <t>0321-945069</t>
  </si>
  <si>
    <t>00-997542</t>
  </si>
  <si>
    <t>00-944349</t>
  </si>
  <si>
    <t>00-944869</t>
  </si>
  <si>
    <t>00-943220</t>
  </si>
  <si>
    <t>0000-999592</t>
  </si>
  <si>
    <t>00-982337</t>
  </si>
  <si>
    <t>00000-994693</t>
  </si>
  <si>
    <t>00-944461</t>
  </si>
  <si>
    <t>00-992308</t>
  </si>
  <si>
    <t>00000-999976</t>
  </si>
  <si>
    <t>00-985775</t>
  </si>
  <si>
    <t>000-976411</t>
  </si>
  <si>
    <t>005962-977553</t>
  </si>
  <si>
    <t>00-995715</t>
  </si>
  <si>
    <t>00000-941394</t>
  </si>
  <si>
    <t>000-940251</t>
  </si>
  <si>
    <t>006097-984863</t>
  </si>
  <si>
    <t>0000000 0-972741</t>
  </si>
  <si>
    <t>000000-987866</t>
  </si>
  <si>
    <t>534-JOURNAL VOUCHER</t>
  </si>
  <si>
    <t xml:space="preserve">TRF ADCB USD </t>
  </si>
  <si>
    <t>TRF ADCB USD  | Reversed - 8001-0534-2025-013459</t>
  </si>
  <si>
    <t>TRF ADCB USD</t>
  </si>
  <si>
    <t>53-Cheque Deposit</t>
  </si>
  <si>
    <t>MOHAMMAD-5610110937580-01/08/25</t>
  </si>
  <si>
    <t>SUSAI-5610110937576-01/08/25</t>
  </si>
  <si>
    <t>SELLADURAI-5610110937579-01/08/25</t>
  </si>
  <si>
    <t>000349-5610580509104-30/07/25</t>
  </si>
  <si>
    <t>049299825-5610170454621-31/07/25</t>
  </si>
  <si>
    <t>13A28M-5610670444110-01/08/25</t>
  </si>
  <si>
    <t>FT25213PLQ2M-5613610142400-01/08/25</t>
  </si>
  <si>
    <t>SHAKEEL-5610230556378-31/07/25</t>
  </si>
  <si>
    <t>000082-5610230556367-31/07/25</t>
  </si>
  <si>
    <t>3BC-5610630326200-01/08/25</t>
  </si>
  <si>
    <t>534470-5610160696022-30/07/25</t>
  </si>
  <si>
    <t>13AI20-5610160696215-01/08/25</t>
  </si>
  <si>
    <t>FT25213350HT-5610580509226-01/08/25</t>
  </si>
  <si>
    <t>MANOJ-5610230556362-31/07/25</t>
  </si>
  <si>
    <t>MUHAMMADm-5610140794577-01/08/25</t>
  </si>
  <si>
    <t>000005-CHQ 000005/ZENIA/01-08-2025-31/07/25</t>
  </si>
  <si>
    <t>TIT-50687426255/TIT/01-Aug-2025-01/08/25</t>
  </si>
  <si>
    <t>ONLINE-MD YOUSEF PROUD START 5610720691051 50687083885-01/08</t>
  </si>
  <si>
    <t>25213ATQI-5610240827405-01/08/25</t>
  </si>
  <si>
    <t>ANILKUMAR-5610140794585-01/08/25</t>
  </si>
  <si>
    <t>31CC43--01/08/25</t>
  </si>
  <si>
    <t>MATHEW-5610720691054-01/08/25</t>
  </si>
  <si>
    <t>432319-5610140794591-01/08/25</t>
  </si>
  <si>
    <t>0101082-5610770624602-01/08/25</t>
  </si>
  <si>
    <t>010108-5610770624604-01/08/25</t>
  </si>
  <si>
    <t>0101082-5610770624606-01/08/25</t>
  </si>
  <si>
    <t>049299825-5610770624617-01/08/25</t>
  </si>
  <si>
    <t>VISWANADHAMV-5610140794597-01/08/25</t>
  </si>
  <si>
    <t>SANGYA-5610110937619-01/08/25</t>
  </si>
  <si>
    <t>01010825-5610770624619-01/08/25</t>
  </si>
  <si>
    <t>782266-5610140794602-01/08/25</t>
  </si>
  <si>
    <t>010108254-5610770624620-01/08/25</t>
  </si>
  <si>
    <t>782267-5610140794603-01/08/25</t>
  </si>
  <si>
    <t>665412-5610110937538-31/07/25</t>
  </si>
  <si>
    <t>PRIYARANJANP-5610140794606-01/08/25</t>
  </si>
  <si>
    <t>MILINDA-5610140794611-30/07/25</t>
  </si>
  <si>
    <t>MOHAMMAD-5610720691070-01/08/25</t>
  </si>
  <si>
    <t>EISA-5610720691091-01/08/25</t>
  </si>
  <si>
    <t>EC3B6FC-5610770624672-01/08/25</t>
  </si>
  <si>
    <t>13B58G-5610160696283-01/08/25</t>
  </si>
  <si>
    <t>13ALB6-5610670444143-01/08/25</t>
  </si>
  <si>
    <t>000031-5610140794556-01/08/25</t>
  </si>
  <si>
    <t>105002-5610130711336-31/07/25</t>
  </si>
  <si>
    <t>000085-5610110937531-31/07/25</t>
  </si>
  <si>
    <t>URUGUAY-5610110937535-31/07/25</t>
  </si>
  <si>
    <t>000007-5610670444080-31/07/25</t>
  </si>
  <si>
    <t>002026-5610150432306/INTERNATIONAL SUPER-01/08/25</t>
  </si>
  <si>
    <t>002025-5610150432307/INTERNATIONAL SUPER-01/08/25</t>
  </si>
  <si>
    <t>209-CENTRAL BANK TRF</t>
  </si>
  <si>
    <t>From: 110102  / To: 110128</t>
  </si>
  <si>
    <t>From: 110102  / To: 112301</t>
  </si>
  <si>
    <t>From: 110128  / To: 110102</t>
  </si>
  <si>
    <t>From: 112375  / To: 110102</t>
  </si>
  <si>
    <t>From: 110102  / To: 111505</t>
  </si>
  <si>
    <t>31-Cash Receipt</t>
  </si>
  <si>
    <t>CHEQUE 000149 5610540443438</t>
  </si>
  <si>
    <t>31 07 25 543344 5620270008482</t>
  </si>
  <si>
    <t>32-Cash Payment</t>
  </si>
  <si>
    <t>31JULY2025 PHUB517811159 5620450001871</t>
  </si>
  <si>
    <t>PHUB517647099 UN FIRE FIGHTING SYSTEM HID 1933842</t>
  </si>
  <si>
    <t>PHUB517732233 mariot kitchen</t>
  </si>
  <si>
    <t>50670970358 BIDYUT BIKASH</t>
  </si>
  <si>
    <t>176622 31-07-25 SANTHOSH</t>
  </si>
  <si>
    <t>AE0051970</t>
  </si>
  <si>
    <t>001076 Jaswant</t>
  </si>
  <si>
    <t>PHUB517719325</t>
  </si>
  <si>
    <t>CHQ NO ::002024</t>
  </si>
  <si>
    <t>PHUB517938989  WONDERBAY DECOR LLC</t>
  </si>
  <si>
    <t>515542 SKY HEALTH</t>
  </si>
  <si>
    <t>50666170866 ASTANA AUTO REPAIRING LLC</t>
  </si>
  <si>
    <t>50679830305 DT 01-Aug-2025</t>
  </si>
  <si>
    <t>25737218451 MBTRF B/O KHURRAM JAVAID 31-7-2025</t>
  </si>
  <si>
    <t>50679918242 DT 01-Aug-2025</t>
  </si>
  <si>
    <t>31-07-2025 804030124 CHQ NO000325</t>
  </si>
  <si>
    <t>01AUG2025 PHUB518093180 5620450001879</t>
  </si>
  <si>
    <t>TG DEPOSIT @12:10 PM</t>
  </si>
  <si>
    <t>TG CASH DPST ALHAYER @12:11</t>
  </si>
  <si>
    <t>TG CASH DEPOSIT@12:14</t>
  </si>
  <si>
    <t>PHUB518108455 5620140000963</t>
  </si>
  <si>
    <t>PHUB517798263 KENT 5900962</t>
  </si>
  <si>
    <t>PHUB518016501 NMC OPCO</t>
  </si>
  <si>
    <t>25750548061 MBTRF B/O MATHINA SYED</t>
  </si>
  <si>
    <t>50677019219 / MOHAMED TAREK KAMAL</t>
  </si>
  <si>
    <t>5620430017671 50683791570 MOHAMED GOMAA</t>
  </si>
  <si>
    <t>RVRSL OF 27 31 3821234</t>
  </si>
  <si>
    <t>31 07 25 CHQ 543344 5620270008482</t>
  </si>
  <si>
    <t>BELAL MOHAMED 50684720574</t>
  </si>
  <si>
    <t>50683868260 5620430017670 MOHAMED GOMAA</t>
  </si>
  <si>
    <t>5620430017669 50683921031 MOHAMED GOMAA</t>
  </si>
  <si>
    <t>TG CASH DEPOIST GAYATHI SANAYA 01082025</t>
  </si>
  <si>
    <t>cash deposit thru tg</t>
  </si>
  <si>
    <t>TG CASH DEP 14:43 01082025</t>
  </si>
  <si>
    <t>CHQ000348/5610580508986</t>
  </si>
  <si>
    <t>TG CASH DEPOSIT GHAYATHI MALL @ 14.57</t>
  </si>
  <si>
    <t>PHUB518138463 VIKAS BANS</t>
  </si>
  <si>
    <t>31072025 cheq000034 5620270008480</t>
  </si>
  <si>
    <t>5620310200838 SJS GLOBAL 7536072</t>
  </si>
  <si>
    <t>TG CASH DEPOSIT 01 08 2025 15:08 SWEIHAN</t>
  </si>
  <si>
    <t>TG CASH DEPOSIT RUWAIS</t>
  </si>
  <si>
    <t>31072025 chq000051 5620270008438</t>
  </si>
  <si>
    <t>CASH DEP THRU TG</t>
  </si>
  <si>
    <t>PHUB518263017</t>
  </si>
  <si>
    <t>PHUB518088951</t>
  </si>
  <si>
    <t>PHUB518095444</t>
  </si>
  <si>
    <t>PHUB518372419 BELL TECH TRADING LLC</t>
  </si>
  <si>
    <t>TG CASH DEPOSIT</t>
  </si>
  <si>
    <t>TG CASH DEPOSIT 101021684424</t>
  </si>
  <si>
    <t>CASH DEP THRU TG 101021784972</t>
  </si>
  <si>
    <t>AKASH K HSBC 518098889 AEV0108</t>
  </si>
  <si>
    <t>PHUB518340216 - 5610720691071</t>
  </si>
  <si>
    <t>50689926673 MATHEW ROY</t>
  </si>
  <si>
    <t>PHUB518351707/FIRST INTL</t>
  </si>
  <si>
    <t>CASH DEPOSITED THRU TRANSGUARD</t>
  </si>
  <si>
    <t>TG CASH DEPOSIT @17:05</t>
  </si>
  <si>
    <t>tg deposit @ 17:33</t>
  </si>
  <si>
    <t>PHUB517212877</t>
  </si>
  <si>
    <t>PHUB518414607</t>
  </si>
  <si>
    <t>TG CASH DEPOSITED@5.32</t>
  </si>
  <si>
    <t>PHUB518353178 HID  1934965</t>
  </si>
  <si>
    <t>TG CASH DEPOSIT MARFA 06:14PM</t>
  </si>
  <si>
    <t>TG CASH DEPOSIT 01-08-2025</t>
  </si>
  <si>
    <t>PHUB518169933 DTD 01.08.2025</t>
  </si>
  <si>
    <t>TG CASH DEP 15:12</t>
  </si>
  <si>
    <t>cash dep thru tg bag ref 101021942908</t>
  </si>
  <si>
    <t>TG CASH DEPOSIT@ 18.05</t>
  </si>
  <si>
    <t>TG CASH DTD 01.08.2025</t>
  </si>
  <si>
    <t>AED 290K DEPOSIT TO ADCB THROUGH TG</t>
  </si>
  <si>
    <t>25749760931 MBTRF B/O ZAHEER KUNHIMARAKKAR</t>
  </si>
  <si>
    <t>PHUB518423769 AYMAN YOUSEF</t>
  </si>
  <si>
    <t>TG DEPOSIT 20:22</t>
  </si>
  <si>
    <t>500375 5620270008462</t>
  </si>
  <si>
    <t>000036 5620270008443</t>
  </si>
  <si>
    <t>CASH DEPOSIT THROUGH TG</t>
  </si>
  <si>
    <t>CHQ NO ::000198</t>
  </si>
  <si>
    <t>CHQ NO ::001544</t>
  </si>
  <si>
    <t>CASH DEPOSIT THRU TG</t>
  </si>
  <si>
    <t>PHUB517754638 AL FARDAN JEWE</t>
  </si>
  <si>
    <t>002316 01AUG2025 DUBAI SKY</t>
  </si>
  <si>
    <t>TG CASH DEPT 20;42 PM</t>
  </si>
  <si>
    <t>PHUB517754637/AL FARDAN/31-07-2025</t>
  </si>
  <si>
    <t>CASH DEP TO ADCB THRU TG</t>
  </si>
  <si>
    <t>aed trfr trg tg</t>
  </si>
  <si>
    <t>TG CASH DEPOSIT MBZ @ 06:17</t>
  </si>
  <si>
    <t>tg 101021992569</t>
  </si>
  <si>
    <t>CSH DPST TO ADCB THRU TG 103003708289</t>
  </si>
  <si>
    <t>CASH DEPOSITED THROUGH TRANSGUARD</t>
  </si>
  <si>
    <t>TG CASH DEPOSIT TIIME 9.16</t>
  </si>
  <si>
    <t>50627587055 ABU FAISAL AUTO MOTIVE HID 1934840</t>
  </si>
  <si>
    <t>TG- CASH DEP- 21.10 P M</t>
  </si>
  <si>
    <t>TG CASH DEPOSIT 8:11 PM</t>
  </si>
  <si>
    <t>PHUB518428419  A BAIT ALSAREEA</t>
  </si>
  <si>
    <t>50685555344  ABU FAISAL AUTO MOTIVE HID 1934835</t>
  </si>
  <si>
    <t>TAAMIYAH FOODSTUFF TRADING 000036</t>
  </si>
  <si>
    <t>CASH ADCB THUR TG101021674449</t>
  </si>
  <si>
    <t>CASH SENT THRU TG 101021721762</t>
  </si>
  <si>
    <t>TG 101022131369</t>
  </si>
  <si>
    <t>thrg tg</t>
  </si>
  <si>
    <t>PHUB518308898 01AUG2025 5620450001878</t>
  </si>
  <si>
    <t>TG CASH DEP 20:28</t>
  </si>
  <si>
    <t>TG CSH DPST DTD 01-08-2025 AT 21:49 PM</t>
  </si>
  <si>
    <t>CD TO ADCB THRG TG</t>
  </si>
  <si>
    <t>ref no 1 date 01/08/2025 salary</t>
  </si>
  <si>
    <t>AED DPST TO ADCB THR TG102012516173</t>
  </si>
  <si>
    <t>TG CASH DEPOSIT 21:25 PM</t>
  </si>
  <si>
    <t>2 M THRU TG</t>
  </si>
  <si>
    <t>TG CSH DEP 21.54 PM</t>
  </si>
  <si>
    <t>50696828436 ranjit kedia</t>
  </si>
  <si>
    <t>TG DEPOSIT EX2542 DTD 01 AUG 2025</t>
  </si>
  <si>
    <t>MAHENDRA GUPTA 01.08.25</t>
  </si>
  <si>
    <t>CARD: ABU FAISAL 5620160000805,  804 HID1934817</t>
  </si>
  <si>
    <t>PHUB518176570 DORSCH</t>
  </si>
  <si>
    <t>PHUB518176080 DORSCH</t>
  </si>
  <si>
    <t>ADCB DEPOSIT TG 102014166864</t>
  </si>
  <si>
    <t>004523 5620140000955</t>
  </si>
  <si>
    <t>01-08-25 000375 smart auto WPS</t>
  </si>
  <si>
    <t>01-08-25 000376 SMART AUTO WPS</t>
  </si>
  <si>
    <t>CHQ 100349-5620720000490-491-492</t>
  </si>
  <si>
    <t>tg cash deposit 101021684591</t>
  </si>
  <si>
    <t>PHUB517866481</t>
  </si>
  <si>
    <t>CD TO ADCB THRU TG</t>
  </si>
  <si>
    <t>000054  AL IKHTIYAR</t>
  </si>
  <si>
    <t>002293 SAM M</t>
  </si>
  <si>
    <t>PHUB518368302/STAR MARKET</t>
  </si>
  <si>
    <t>TGCASHDEP</t>
  </si>
  <si>
    <t>0000-979386</t>
  </si>
  <si>
    <t>0000000-973141</t>
  </si>
  <si>
    <t>000000-995305</t>
  </si>
  <si>
    <t>00000-984531</t>
  </si>
  <si>
    <t>000000-988210</t>
  </si>
  <si>
    <t>00000-940747</t>
  </si>
  <si>
    <t>000000001-988321</t>
  </si>
  <si>
    <t>000-988966</t>
  </si>
  <si>
    <t>000000-945476</t>
  </si>
  <si>
    <t>00000-975423</t>
  </si>
  <si>
    <t>0000000000 0-970701</t>
  </si>
  <si>
    <t>00000-989462</t>
  </si>
  <si>
    <t>00000-995470</t>
  </si>
  <si>
    <t>0000-998407</t>
  </si>
  <si>
    <t>000000-998565</t>
  </si>
  <si>
    <t>0000-993669</t>
  </si>
  <si>
    <t>000000-940669</t>
  </si>
  <si>
    <t>001148-977617</t>
  </si>
  <si>
    <t>000001-997098</t>
  </si>
  <si>
    <t>595291-989989</t>
  </si>
  <si>
    <t>202589-991497</t>
  </si>
  <si>
    <t>001181-997874</t>
  </si>
  <si>
    <t>002027-994606</t>
  </si>
  <si>
    <t>000055-994606</t>
  </si>
  <si>
    <t>00000-988599</t>
  </si>
  <si>
    <t>603582-985704</t>
  </si>
  <si>
    <t>000723-987688</t>
  </si>
  <si>
    <t>001010-987688</t>
  </si>
  <si>
    <t>0000-988993</t>
  </si>
  <si>
    <t>00-942371</t>
  </si>
  <si>
    <t>000-942371</t>
  </si>
  <si>
    <t>000-997301</t>
  </si>
  <si>
    <t>00321-946214</t>
  </si>
  <si>
    <t>00-944381</t>
  </si>
  <si>
    <t>00-998302</t>
  </si>
  <si>
    <t>000-997911</t>
  </si>
  <si>
    <t>00000-971402</t>
  </si>
  <si>
    <t>00000-981552</t>
  </si>
  <si>
    <t>000-992137</t>
  </si>
  <si>
    <t>00-947107</t>
  </si>
  <si>
    <t>0000-987664</t>
  </si>
  <si>
    <t>00-945939</t>
  </si>
  <si>
    <t>00000-987222</t>
  </si>
  <si>
    <t>00000-941950</t>
  </si>
  <si>
    <t>0000-987528</t>
  </si>
  <si>
    <t>00000-986968</t>
  </si>
  <si>
    <t>013649-998878</t>
  </si>
  <si>
    <t>0000-992161</t>
  </si>
  <si>
    <t>00-994965</t>
  </si>
  <si>
    <t>00000-991398</t>
  </si>
  <si>
    <t>00000-992918</t>
  </si>
  <si>
    <t>0000-993753</t>
  </si>
  <si>
    <t>000000-993753</t>
  </si>
  <si>
    <t>000000-987363</t>
  </si>
  <si>
    <t>00000-987363</t>
  </si>
  <si>
    <t>00-991729</t>
  </si>
  <si>
    <t>00000000-970889</t>
  </si>
  <si>
    <t>000-947282</t>
  </si>
  <si>
    <t>00-987143</t>
  </si>
  <si>
    <t>00-995583</t>
  </si>
  <si>
    <t>00000-944541</t>
  </si>
  <si>
    <t>00-946905</t>
  </si>
  <si>
    <t>00-948004</t>
  </si>
  <si>
    <t>00000-940665</t>
  </si>
  <si>
    <t>0000-987363</t>
  </si>
  <si>
    <t>0000-984937</t>
  </si>
  <si>
    <t>00000-984714</t>
  </si>
  <si>
    <t>00-979633</t>
  </si>
  <si>
    <t>0000-947638</t>
  </si>
  <si>
    <t>00-944283</t>
  </si>
  <si>
    <t>0000-945500</t>
  </si>
  <si>
    <t>00000-989495</t>
  </si>
  <si>
    <t>00-943357</t>
  </si>
  <si>
    <t>0000-999755</t>
  </si>
  <si>
    <t>281376-977453</t>
  </si>
  <si>
    <t>00000-984855</t>
  </si>
  <si>
    <t>000322-5610770624563-31/07/25</t>
  </si>
  <si>
    <t>000326-5610770624566-31/07/25</t>
  </si>
  <si>
    <t>000030-5610610597878-30/07/25</t>
  </si>
  <si>
    <t>AHMED-5610580509282-01/08/25</t>
  </si>
  <si>
    <t>009960-5610700620537-31/07/25</t>
  </si>
  <si>
    <t>205644-CHQ 205644/MUHAMMAD/02-08-2025-01/08/25</t>
  </si>
  <si>
    <t>000097-5610440658904-31/07/25</t>
  </si>
  <si>
    <t>OSAMAH-5610140794645-01/08/25</t>
  </si>
  <si>
    <t>FT25214D2243-5610160696300-02/08/25</t>
  </si>
  <si>
    <t>c2353g-5610770624701-01/08/25</t>
  </si>
  <si>
    <t>25237602-5610770624716-02/08/25</t>
  </si>
  <si>
    <t>FATMA-5610720691155-02/08/25</t>
  </si>
  <si>
    <t>049298525214-5610170454690-02/08/25</t>
  </si>
  <si>
    <t>FT25214J3H3C-5610170454693-02/08/25</t>
  </si>
  <si>
    <t>000145-5610340566862-31/07/25</t>
  </si>
  <si>
    <t>NASSER-5610140794663-02/08/25</t>
  </si>
  <si>
    <t>001045-5610270500004-01/08/25</t>
  </si>
  <si>
    <t>JOPPU-5610140794675-02/08/25</t>
  </si>
  <si>
    <t>000337-5610440658943-01/08/25</t>
  </si>
  <si>
    <t>02/08/0225</t>
  </si>
  <si>
    <t>RAO-5610140794683, 5610140794684-02/08/25</t>
  </si>
  <si>
    <t>EXCELLENCE-PHUB518706183/EXCELLENCE/02-Aug-2025-01/08/25</t>
  </si>
  <si>
    <t>DA59-5610630326278-02/08/25</t>
  </si>
  <si>
    <t>070603-5610340566848-31/07/25</t>
  </si>
  <si>
    <t>FATMA-5610720691156-02/08/25</t>
  </si>
  <si>
    <t>000192-5610330819282-01/08/25</t>
  </si>
  <si>
    <t>100321--01/08/25</t>
  </si>
  <si>
    <t>From: 112350  / To: 110102</t>
  </si>
  <si>
    <t>aed from adcb</t>
  </si>
  <si>
    <t>AGAINST PHUB518558206</t>
  </si>
  <si>
    <t>50672948510 AL SALAM BLDG</t>
  </si>
  <si>
    <t>50705557334 5620440005742</t>
  </si>
  <si>
    <t>204011011  5622230002965-2966</t>
  </si>
  <si>
    <t>50706196855 RIZWAN</t>
  </si>
  <si>
    <t>50696122983/NIRMAL</t>
  </si>
  <si>
    <t>TG DEPOSIT 12.15PM</t>
  </si>
  <si>
    <t>PHUB518703205</t>
  </si>
  <si>
    <t>5620440005743 50699900629</t>
  </si>
  <si>
    <t>TG CASH DEPOSIT@12:55</t>
  </si>
  <si>
    <t>PHUB518216006</t>
  </si>
  <si>
    <t>PHUB518178183</t>
  </si>
  <si>
    <t>TG CASH DEPOSIT TIME 13:30</t>
  </si>
  <si>
    <t>PHUB518760755 MOHAMMAD HUSSEIN</t>
  </si>
  <si>
    <t>TG CASH DEP 13:37</t>
  </si>
  <si>
    <t>PHUB517539668 siam</t>
  </si>
  <si>
    <t>PHUB518403102</t>
  </si>
  <si>
    <t>PHUB518801717 02-08-25 NAJIMAT AL IBDAA</t>
  </si>
  <si>
    <t>PHUB517048794 30-07-25 BLUE OCEAN</t>
  </si>
  <si>
    <t>000202 01-08-2025 AL HADI</t>
  </si>
  <si>
    <t>100756 01-08-2025 SEVEN STARS</t>
  </si>
  <si>
    <t>PHUB518792311 5620890004866 02-08-2025</t>
  </si>
  <si>
    <t>PHUB518789207 HAMZA AHMED</t>
  </si>
  <si>
    <t>PHUB517430620 31-07-25 NAJIMAT AL IBDAA</t>
  </si>
  <si>
    <t>PHUB518336378 01-08-25 FISCHER PANDA</t>
  </si>
  <si>
    <t>BADAZAYED TG DEP 14 49 PM</t>
  </si>
  <si>
    <t>CHQ NO 000792 DT 01.08.26 AL BURAIMI 603530182</t>
  </si>
  <si>
    <t>TG CASH DEPOSIT @ 03:02 PM</t>
  </si>
  <si>
    <t>TG CASH DEPOSIT 03:27 PM</t>
  </si>
  <si>
    <t>TG CASH DEPOSITED@3.23PM</t>
  </si>
  <si>
    <t>CASH DEPOSIT TO ADCB TG 101021646443</t>
  </si>
  <si>
    <t>TG CASH DEPOSIT @ 03:15 PM</t>
  </si>
  <si>
    <t>CASH DEPST THRU TG</t>
  </si>
  <si>
    <t>TG CASH DEPOSIT GHAYATHI MALL @ 15.52</t>
  </si>
  <si>
    <t>TG cash dep @15.31</t>
  </si>
  <si>
    <t>TG CASH DEPOSIT AT 15:00</t>
  </si>
  <si>
    <t>PHUB518476179 01-Aug-2025</t>
  </si>
  <si>
    <t>TG CASH DEPOSIT @ 17:23</t>
  </si>
  <si>
    <t>TG FUNDING</t>
  </si>
  <si>
    <t>adcb cash deposit thru TG</t>
  </si>
  <si>
    <t>THROUGH TG 102013847889</t>
  </si>
  <si>
    <t>PHUB518634535</t>
  </si>
  <si>
    <t>TG CASH DEPOSIT - 02AUG2025 - 17:43</t>
  </si>
  <si>
    <t>TG CASH DEPOSIT 02-08-2025</t>
  </si>
  <si>
    <t>5620590008305 020825 50716774540</t>
  </si>
  <si>
    <t>TG CASH DEPOSIT SLIP MARFA BR-02-08-2025</t>
  </si>
  <si>
    <t xml:space="preserve"> RVSL  530PA3D5EDE9634D</t>
  </si>
  <si>
    <t>AED TOADCB THRG TG</t>
  </si>
  <si>
    <t>PHUB518933445 PROBE INTERIORS WPS</t>
  </si>
  <si>
    <t>PHUB518936085 PROBE ELECTRICAL WPS</t>
  </si>
  <si>
    <t>5620530000222/PHUB518924312</t>
  </si>
  <si>
    <t>TG DEPOSIT 102014043116</t>
  </si>
  <si>
    <t>TG CASH DEPT AT 19:45</t>
  </si>
  <si>
    <t>TG CASH DEP 101021684592</t>
  </si>
  <si>
    <t>02082025 PHUB518777817 5620270008484</t>
  </si>
  <si>
    <t>TG CASH DEPOSIT MBZ @ 20:06</t>
  </si>
  <si>
    <t>TG CASH DEPOSIT 7:50 PM</t>
  </si>
  <si>
    <t>ADCB DEP THRU TG</t>
  </si>
  <si>
    <t>TG CASH DEP 14:18</t>
  </si>
  <si>
    <t>CASH DEPOSIT ADCB THRU TG</t>
  </si>
  <si>
    <t>TG DEPOSIT 20:28</t>
  </si>
  <si>
    <t>tg cash deposit 20:11pm</t>
  </si>
  <si>
    <t>101021702915 CASH DP TO ADCB THRU TG</t>
  </si>
  <si>
    <t>002319 02AUG2025 DUBAI SKY</t>
  </si>
  <si>
    <t>TG CASH DPT DTD 02-08-2025 TM 8.37 PM</t>
  </si>
  <si>
    <t>TG DEPOSIT BAGO NO101021992571</t>
  </si>
  <si>
    <t>PHUB518955524 DTD 02 - 08 - 2025</t>
  </si>
  <si>
    <t>TG CASH DEP 20.56</t>
  </si>
  <si>
    <t>CASH DEPOSIT TO ADCB THRU TG</t>
  </si>
  <si>
    <t>02 08 2025 CHQ NO 202945 AJMAL TR</t>
  </si>
  <si>
    <t>TG CASH DEP 20:45</t>
  </si>
  <si>
    <t>TG 101022131371</t>
  </si>
  <si>
    <t>AED TFR THRG TG101022111404</t>
  </si>
  <si>
    <t>TF DPST 102013890356</t>
  </si>
  <si>
    <t>TG CASH DEPOSIT TIME 9.22</t>
  </si>
  <si>
    <t>02AUG2025 PHUB518848113 5620450001881/1882</t>
  </si>
  <si>
    <t>02AUG2025 501547 5620450001883</t>
  </si>
  <si>
    <t>TG CASH DEP KARAMA BR 20:46</t>
  </si>
  <si>
    <t>TG 102013727554</t>
  </si>
  <si>
    <t>TG CASH DEPOSIT @ 21.39PM</t>
  </si>
  <si>
    <t>TG CASH DEP 02-08-2025 AT 09-35</t>
  </si>
  <si>
    <t>000266 Rashmikantha</t>
  </si>
  <si>
    <t>TG CASH DEPO @ 09: 54 PM</t>
  </si>
  <si>
    <t>CASH DEPOSITED TO ADCB THRU TG</t>
  </si>
  <si>
    <t>68k DEPOSITED TRG TG</t>
  </si>
  <si>
    <t>002205 KIWI MEDICAL SUPPLIES 2780122</t>
  </si>
  <si>
    <t>TG CASH DEPOSITE ALWAHDAMALL</t>
  </si>
  <si>
    <t>005760 AL SAFA 7399831</t>
  </si>
  <si>
    <t>5620980001101 CHQ 000901 9724822</t>
  </si>
  <si>
    <t>0000000003-988321</t>
  </si>
  <si>
    <t>00000000004-988321</t>
  </si>
  <si>
    <t>000003-5610150432334-01/08/25</t>
  </si>
  <si>
    <t>SHANMUGAVEL-5610140794701-03/08/25</t>
  </si>
  <si>
    <t>547386-5610340566894-31/07/25</t>
  </si>
  <si>
    <t>547385-5610340566892-31/07/25</t>
  </si>
  <si>
    <t>000005-CHQ 000005 FTRN 5610110937630-01/08/25</t>
  </si>
  <si>
    <t>000037-CHQ000037 FTRN 5610110937641-01/08/25</t>
  </si>
  <si>
    <t>AA7Y-5610630326298-03/08/25</t>
  </si>
  <si>
    <t>ONLINE-5610620346159-03/08/25</t>
  </si>
  <si>
    <t>REBA DHAR-5610140794718-03/08/25</t>
  </si>
  <si>
    <t>000022-5610150432445-03/08/25</t>
  </si>
  <si>
    <t>000087-5610150432435-03/08/25</t>
  </si>
  <si>
    <t>GAOS-5610110937743-02/08/25</t>
  </si>
  <si>
    <t>E3DE536A003E-5610920179315-03/08/25</t>
  </si>
  <si>
    <t>FT25215-5610770624842-03/08/25</t>
  </si>
  <si>
    <t>049298525-5610770624852-02/08/25</t>
  </si>
  <si>
    <t>15ASDP-5610160696482-03/08/25</t>
  </si>
  <si>
    <t>530PC-5610770623990-26/07/25</t>
  </si>
  <si>
    <t>FT25210-5610770624286-29/07/25</t>
  </si>
  <si>
    <t>FT25212-5610770624483-31/07/25</t>
  </si>
  <si>
    <t>0492998-5610770624423-30/07/25</t>
  </si>
  <si>
    <t>1576943--03/08/25</t>
  </si>
  <si>
    <t>AGAINST REF 518625818</t>
  </si>
  <si>
    <t>STEPWELL MEDICAL WPS SALARY</t>
  </si>
  <si>
    <t>50723256432- PREMJIT DAMODAR</t>
  </si>
  <si>
    <t>CHQ NO 006841</t>
  </si>
  <si>
    <t>PHUB518454565 WINSTRA</t>
  </si>
  <si>
    <t>PHUB518492148  AIN ALFAKHAMA</t>
  </si>
  <si>
    <t>CHQ NO 006838 RIGHT WAY</t>
  </si>
  <si>
    <t>000752 KABS</t>
  </si>
  <si>
    <t>000089 31-07-2025 ARAK TRUCKS</t>
  </si>
  <si>
    <t>PHUB518262164 SANI</t>
  </si>
  <si>
    <t>PHUB518279713 JISMON</t>
  </si>
  <si>
    <t>50686161780 FATIMA ZAHRA</t>
  </si>
  <si>
    <t>50636589496 SAMIH SLIBI</t>
  </si>
  <si>
    <t>50637766333 Samih slibi</t>
  </si>
  <si>
    <t>PHUB517529433 SAFE LOOP TECH</t>
  </si>
  <si>
    <t>50720300461/AUTO/02-Aug-2025</t>
  </si>
  <si>
    <t>50721312692/AUTO/02-Aug-2025</t>
  </si>
  <si>
    <t>50724390042 02-08-2025 RANATHEERAN</t>
  </si>
  <si>
    <t>50724410070 02-08-2025 RANATHEERAN</t>
  </si>
  <si>
    <t>PHUB519136682</t>
  </si>
  <si>
    <t>REF NO 50724090172 50723899131 SANJEEV KUMAR DAS</t>
  </si>
  <si>
    <t>CHQ 000034  MEJO JOGI ABRAHAM 4185964 HID 1935129</t>
  </si>
  <si>
    <t>PHUB518633521 NAHLA DRUG AND MEDICAL  HID 1935697</t>
  </si>
  <si>
    <t>5620980001100 PHUB517990132 5368460</t>
  </si>
  <si>
    <t>PHUB519015828/  VICTORIOUS GLASS SOLE PROP</t>
  </si>
  <si>
    <t>50732660271 5620340002084 MANAL ALI ALSAYEGH</t>
  </si>
  <si>
    <t>50710516037 020825 5620590008304 </t>
  </si>
  <si>
    <t>PHUB518715267</t>
  </si>
  <si>
    <t>PHUB516457872</t>
  </si>
  <si>
    <t>049299825215A6EP</t>
  </si>
  <si>
    <t>AGAINST PHUB519168879</t>
  </si>
  <si>
    <t>PHUB519157150 -5610720691296-1298</t>
  </si>
  <si>
    <t>PHUB518991945 -5610720691302-1303-1304</t>
  </si>
  <si>
    <t>50736899501 dtd 03.08.25</t>
  </si>
  <si>
    <t>50735496708 - 5610720691307</t>
  </si>
  <si>
    <t>50740439447 - 5610720691319</t>
  </si>
  <si>
    <t>50735538059 5620230000521 03-08-2025</t>
  </si>
  <si>
    <t>50735510945 5620230000521 03-08-2025</t>
  </si>
  <si>
    <t>50740859597 987820 03-08-2025</t>
  </si>
  <si>
    <t>537802 5620230000518 01-08-2025</t>
  </si>
  <si>
    <t>000044-940177</t>
  </si>
  <si>
    <t>100230-947372</t>
  </si>
  <si>
    <t>000119-995444</t>
  </si>
  <si>
    <t>00-948005</t>
  </si>
  <si>
    <t>00-997590</t>
  </si>
  <si>
    <t>00-997927</t>
  </si>
  <si>
    <t>000-941234</t>
  </si>
  <si>
    <t>000-999667</t>
  </si>
  <si>
    <t>03214-940671</t>
  </si>
  <si>
    <t>00322-940671</t>
  </si>
  <si>
    <t>00-940671</t>
  </si>
  <si>
    <t>000671-987442</t>
  </si>
  <si>
    <t>00-994052</t>
  </si>
  <si>
    <t>00-984189</t>
  </si>
  <si>
    <t>000-984189</t>
  </si>
  <si>
    <t>000071-984747</t>
  </si>
  <si>
    <t>0003-973778</t>
  </si>
  <si>
    <t>000-943736</t>
  </si>
  <si>
    <t>000411-971148</t>
  </si>
  <si>
    <t>000000-999229</t>
  </si>
  <si>
    <t>000-940669</t>
  </si>
  <si>
    <t>000-993346</t>
  </si>
  <si>
    <t>000-994077</t>
  </si>
  <si>
    <t>000-945889</t>
  </si>
  <si>
    <t>00-982823</t>
  </si>
  <si>
    <t>0003-942315</t>
  </si>
  <si>
    <t>00012-940421</t>
  </si>
  <si>
    <t>000-995957</t>
  </si>
  <si>
    <t>000-994765</t>
  </si>
  <si>
    <t>00-942790</t>
  </si>
  <si>
    <t>000-973576</t>
  </si>
  <si>
    <t>000-993638</t>
  </si>
  <si>
    <t>00000-989696</t>
  </si>
  <si>
    <t>00000-974388</t>
  </si>
  <si>
    <t>0000-940522</t>
  </si>
  <si>
    <t>000-999130</t>
  </si>
  <si>
    <t>000-991869</t>
  </si>
  <si>
    <t>000005-945929</t>
  </si>
  <si>
    <t>0000-996926</t>
  </si>
  <si>
    <t>0000-943299</t>
  </si>
  <si>
    <t>000043-CHQ 000043/MARIAMMA/04-08-2025-02/08/25</t>
  </si>
  <si>
    <t>004023-CHQ 004023/URUGUAY/04-08-2025-02/08/25</t>
  </si>
  <si>
    <t>MAHMOUD-5610720691351-04/08/25</t>
  </si>
  <si>
    <t>528940-5610760110091-03/08/25</t>
  </si>
  <si>
    <t>ABDUL-5610720691272- RE-1936299-03/08/25</t>
  </si>
  <si>
    <t>7X187403--03/08/25</t>
  </si>
  <si>
    <t>RANGANATHA-5610720691335 - RE-1936500-03/08/25</t>
  </si>
  <si>
    <t>049299825215-5610790145764-03/08/25</t>
  </si>
  <si>
    <t>049299825213-5610790145774-01/08/25</t>
  </si>
  <si>
    <t>FT252162-5610770624893-04/08/25</t>
  </si>
  <si>
    <t>ALI MOHAMED-5610720691358 - RE-1936699-04/08/25</t>
  </si>
  <si>
    <t>000023-5610120502203-03/08/25</t>
  </si>
  <si>
    <t>16A58Y-5610160696606-04/08/25</t>
  </si>
  <si>
    <t>MOHD GOLAM-5610140794757-04/08/25</t>
  </si>
  <si>
    <t>RAVI-5610110937839-04/08/25</t>
  </si>
  <si>
    <t>621275-5612520095553-02/08/25</t>
  </si>
  <si>
    <t>PHUB519569-5610630326355-04/08/25</t>
  </si>
  <si>
    <t>wonder-5610630326358-04/08/25</t>
  </si>
  <si>
    <t>FT252158-5610630326325-03/08/25</t>
  </si>
  <si>
    <t>000157-5610120502226-03/08/25</t>
  </si>
  <si>
    <t>049298525216-5610580509383-04/08/25</t>
  </si>
  <si>
    <t>99825216AQBH-5610920179396-04/08/25</t>
  </si>
  <si>
    <t>MADHU-50757037528/MADHU/04-Aug-2025-04/08/25</t>
  </si>
  <si>
    <t>ONLINE-5610620346234-04/08/25</t>
  </si>
  <si>
    <t>947005-5610110937802-03/08/25</t>
  </si>
  <si>
    <t>000022-5610110937798-03/08/25</t>
  </si>
  <si>
    <t>ONLINE-5610890092016-04/08/25</t>
  </si>
  <si>
    <t>000479-5610340566951-01/08/25</t>
  </si>
  <si>
    <t>PHUB5-5610630326372-04/08/25</t>
  </si>
  <si>
    <t>ONLINE-5610230556668    50762975301-04/08/25</t>
  </si>
  <si>
    <t>000341-5610230556365    000341-31/07/25</t>
  </si>
  <si>
    <t>001138-5610670444329-02/08/25</t>
  </si>
  <si>
    <t>001137-5610670444327-02/08/25</t>
  </si>
  <si>
    <t>50764079493--04/08/25</t>
  </si>
  <si>
    <t>FALAH-5610110937871-04/08/25</t>
  </si>
  <si>
    <t>AHMAD-5610580509400-04/08/25</t>
  </si>
  <si>
    <t>LINNETT-5610580509366-04/08/25</t>
  </si>
  <si>
    <t>000031--30/07/25</t>
  </si>
  <si>
    <t>04929852-5610170454840-04/08/25</t>
  </si>
  <si>
    <t>000184-5610330819616-04/08/25</t>
  </si>
  <si>
    <t>6bbka-5610160696694-04/08/25</t>
  </si>
  <si>
    <t>ZAID-5610140794792-04/08/25</t>
  </si>
  <si>
    <t>ONLINE--03/08/25</t>
  </si>
  <si>
    <t>519887648-5610160696718-04/08/25</t>
  </si>
  <si>
    <t>359814-5610770624647-01/08/25</t>
  </si>
  <si>
    <t>271483-5610140794794-04/08/25</t>
  </si>
  <si>
    <t>000279-5610820606531-03/08/25</t>
  </si>
  <si>
    <t>ONLINE-5610630326400-04/08/25</t>
  </si>
  <si>
    <t>MASIOR-5610720691430 - RE-1937472-04/08/25</t>
  </si>
  <si>
    <t>RVSL OF 84032911502</t>
  </si>
  <si>
    <t>TG CASH DEPOSIT@22:05</t>
  </si>
  <si>
    <t>PHUB518469577 MEDITERRAN shipping</t>
  </si>
  <si>
    <t>50736587708 MURALIKRISHNAN</t>
  </si>
  <si>
    <t>PHUB519357971</t>
  </si>
  <si>
    <t>PHUB519448209</t>
  </si>
  <si>
    <t>AGAINST PHUB519409737</t>
  </si>
  <si>
    <t>AGAINST PHUB519366740</t>
  </si>
  <si>
    <t>AGAINST PHUB519400214</t>
  </si>
  <si>
    <t>PHUB519387397 5800092  AL FALAH</t>
  </si>
  <si>
    <t>PHUB519396750 HID 1936184</t>
  </si>
  <si>
    <t>PHUB519494788 RAVI PRAKA</t>
  </si>
  <si>
    <t>PHUB519394704</t>
  </si>
  <si>
    <t>PHUB519464409 AHMED ELSAYED ABDELSALAM</t>
  </si>
  <si>
    <t>PHUB519394247</t>
  </si>
  <si>
    <t>TG DEPOSIT 12.20PM</t>
  </si>
  <si>
    <t>TG CASH DEPOSIT@12:34</t>
  </si>
  <si>
    <t>CHQ NO ::000839</t>
  </si>
  <si>
    <t>50752591875 zayed eid bakheet</t>
  </si>
  <si>
    <t>TG CASH DPST ALHAYER 13:40</t>
  </si>
  <si>
    <t>50754634068/AHMAD/04-Aug-2025</t>
  </si>
  <si>
    <t>PHUB519570548 DT 04.08.25 AHMED SARF_SCBL_51957054</t>
  </si>
  <si>
    <t>50751995211 DT 04.08.25 25832121681 MBTRF B/O MIAN</t>
  </si>
  <si>
    <t>TREKKUP FZE 519533950 PHUB519533950</t>
  </si>
  <si>
    <t>5620820003532 - 25829939116</t>
  </si>
  <si>
    <t>PHUB519624856 DTD 04/08/2025</t>
  </si>
  <si>
    <t>25833035398 MBTRF BO ROSMA RASAILY</t>
  </si>
  <si>
    <t>CSH DEP TO ADCB THRU TG 101022063256</t>
  </si>
  <si>
    <t>TG CASH DEPOSIT GAYATHI SANAYA 04082025</t>
  </si>
  <si>
    <t>TG CASH DEPOSIT @ 04-08-2025</t>
  </si>
  <si>
    <t>5620630000776 / 562063000077</t>
  </si>
  <si>
    <t>50739024574- SEBASTIAN</t>
  </si>
  <si>
    <t>TG 15.07</t>
  </si>
  <si>
    <t>TG CASH DEPOSITED@3.30PM</t>
  </si>
  <si>
    <t>TG CASH DEPOSIT 102014029433</t>
  </si>
  <si>
    <t>NEOTECHNIQ MECHANICAL 5450308259558529</t>
  </si>
  <si>
    <t>CASH DEP THR TG 101021784971</t>
  </si>
  <si>
    <t>TG CASH DEPOSIT @ 15:56</t>
  </si>
  <si>
    <t>TG AED 350000 RUWAIS 04.13 PM 04082025</t>
  </si>
  <si>
    <t>PHUB519696119</t>
  </si>
  <si>
    <t>PHUB519687797/INDO POINT</t>
  </si>
  <si>
    <t>PHUB519639480  FAHAD AHMED</t>
  </si>
  <si>
    <t>PHUB519664851 HAIDER MOHAMMED 5620340002085</t>
  </si>
  <si>
    <t>GL 942248 PHUB519534458</t>
  </si>
  <si>
    <t>TG DEPOSIT@15.48</t>
  </si>
  <si>
    <t>04-08-25 PHUB519396704 BU SHAMES FZE</t>
  </si>
  <si>
    <t>PHUB519645064 AHMED ELSAYED ABD</t>
  </si>
  <si>
    <t>50756102345 04AUG2025 MAKANI BULDING</t>
  </si>
  <si>
    <t>TG Cash Deposit @ 05:00 PM</t>
  </si>
  <si>
    <t>PHUB518347539</t>
  </si>
  <si>
    <t>CHQ NO 029389 DT  01.08.2025 DAZZLING GRAPH</t>
  </si>
  <si>
    <t>25839928454 MBTRF B/O SAFARATH SHAFI KALLUVALAPPU</t>
  </si>
  <si>
    <t>5620820003572 PHUB518177401</t>
  </si>
  <si>
    <t>PHUB519490535/ROUBA RIAD MAHMOUD HAMMAD</t>
  </si>
  <si>
    <t>ABEER PHUB519654537</t>
  </si>
  <si>
    <t>ABEER PHUB519654554</t>
  </si>
  <si>
    <t>TG CASH DEPOSITED@6.15 PM</t>
  </si>
  <si>
    <t>TG CASH DEPOSIT @ 06:06 PM</t>
  </si>
  <si>
    <t>5620630000779,780 PHUB519663536</t>
  </si>
  <si>
    <t>PHUB519770163 BILRS PAYMENT 040825</t>
  </si>
  <si>
    <t>TG DEP BADAZAYED 17 56</t>
  </si>
  <si>
    <t>550K AED DEPO TO ADCB VIA TG</t>
  </si>
  <si>
    <t>TG CASH DEPOSIT 04-08-2026</t>
  </si>
  <si>
    <t>AED DEPOSIT THRU TG</t>
  </si>
  <si>
    <t>Thrg TG</t>
  </si>
  <si>
    <t>CASH DEPOSIT THR TG</t>
  </si>
  <si>
    <t>TG CASH DEP 04 08 2025 18:49</t>
  </si>
  <si>
    <t>TG CASH DEP AT 19:26</t>
  </si>
  <si>
    <t>TG CASH DTD 04.08.2025</t>
  </si>
  <si>
    <t>CASH DEP THRU TG BAG REF 102014220038</t>
  </si>
  <si>
    <t>VELMURUGAN SELVAN  50627951643</t>
  </si>
  <si>
    <t>tg cash deposit</t>
  </si>
  <si>
    <t>CASH DEPOSIT THRU TRANSGUARD</t>
  </si>
  <si>
    <t>tg cash dept</t>
  </si>
  <si>
    <t>TG CASH DEPOSIT 7:46 PM</t>
  </si>
  <si>
    <t>PHUB519212282 MOHD H I H ALFARDAN</t>
  </si>
  <si>
    <t>aed to adcb thrg tg</t>
  </si>
  <si>
    <t>TG CASH DEPT 20;25 PM</t>
  </si>
  <si>
    <t>TG DEPOSIT 20:25</t>
  </si>
  <si>
    <t>THRU TG</t>
  </si>
  <si>
    <t>000097 Seema</t>
  </si>
  <si>
    <t>AED DEP TO ADCB THRU TG</t>
  </si>
  <si>
    <t>CASH DEPOSIT TO ADCB TRU TG</t>
  </si>
  <si>
    <t>04aug2025 PHUB519819132 5620450001884</t>
  </si>
  <si>
    <t>CASH THRU TG</t>
  </si>
  <si>
    <t>TG DEPOSIT BAG NO 102013676218</t>
  </si>
  <si>
    <t>CGT ADCB THRU TRANSGUARD</t>
  </si>
  <si>
    <t>THRU TG 102013858443</t>
  </si>
  <si>
    <t>04082025 50761169040 5620270008515</t>
  </si>
  <si>
    <t>TG CASH DEPOSIT AL WAHDA</t>
  </si>
  <si>
    <t>UAQ CASH DEPOSIT THROUGH CMC TG</t>
  </si>
  <si>
    <t>TRANSGUARD DEPOSITED</t>
  </si>
  <si>
    <t>PHUB519721438</t>
  </si>
  <si>
    <t>CASH ADCB THUR TG 100009474268</t>
  </si>
  <si>
    <t>ADCB CASH DEPOSIT THRU TG</t>
  </si>
  <si>
    <t>CASH DPST THRU TG 102013697407</t>
  </si>
  <si>
    <t>tg cash deposit @ 13:52</t>
  </si>
  <si>
    <t>CHQ NO: 000136</t>
  </si>
  <si>
    <t>AED DEPOSITED THRG TG</t>
  </si>
  <si>
    <t>TG CASH DEP 20:52 PM</t>
  </si>
  <si>
    <t>TG CASH DEPOSIT 20:34 PM</t>
  </si>
  <si>
    <t>PHUB519735867</t>
  </si>
  <si>
    <t>PHUB519841246 NELLS RESTAURANT WPS</t>
  </si>
  <si>
    <t>TG CASH DEPOSIT D-4-8-2025 T-9:45PM</t>
  </si>
  <si>
    <t>50767653753-5610720691434-435-436</t>
  </si>
  <si>
    <t>TG CASH DEPOSIT @21.39PM</t>
  </si>
  <si>
    <t>TG DEPOSIT 102013704973</t>
  </si>
  <si>
    <t>PHUB519723258</t>
  </si>
  <si>
    <t>PHUB519725466</t>
  </si>
  <si>
    <t>REV 3825178</t>
  </si>
  <si>
    <t>CHQ 685426 ABU FAISAL</t>
  </si>
  <si>
    <t>AED TRF ADCB THRU TG</t>
  </si>
  <si>
    <t>TG CASH DEPOSIT MBZ @20:31</t>
  </si>
  <si>
    <t>CASH DEPOSIT THRU TG 101021721764</t>
  </si>
  <si>
    <t>CHEQUE# 000143, HID# 1935676</t>
  </si>
  <si>
    <t>50765322660/MILDRED</t>
  </si>
  <si>
    <t>50765454353/MILDRED</t>
  </si>
  <si>
    <t>50766108631/MILDRED</t>
  </si>
  <si>
    <t>5620890004863 PHUB519792749 04-8-2025</t>
  </si>
  <si>
    <t>5620430017668 PHUB517643432</t>
  </si>
  <si>
    <t>00000-975081</t>
  </si>
  <si>
    <t>000010-945286</t>
  </si>
  <si>
    <t>000571-987253</t>
  </si>
  <si>
    <t>100415-971148</t>
  </si>
  <si>
    <t>00-988752</t>
  </si>
  <si>
    <t>0000-945922</t>
  </si>
  <si>
    <t>0000-997594</t>
  </si>
  <si>
    <t>000-998826</t>
  </si>
  <si>
    <t>00321-942502</t>
  </si>
  <si>
    <t>00000-987495</t>
  </si>
  <si>
    <t>000-981779</t>
  </si>
  <si>
    <t>00000-979877</t>
  </si>
  <si>
    <t>00000-993296</t>
  </si>
  <si>
    <t>0000-975763</t>
  </si>
  <si>
    <t>0000-992058</t>
  </si>
  <si>
    <t>006117-992625</t>
  </si>
  <si>
    <t>0033-946138</t>
  </si>
  <si>
    <t>0032-943903</t>
  </si>
  <si>
    <t>000653-976000</t>
  </si>
  <si>
    <t>33212-983379</t>
  </si>
  <si>
    <t>0023-995470</t>
  </si>
  <si>
    <t>00000-988266</t>
  </si>
  <si>
    <t>0000-985220</t>
  </si>
  <si>
    <t>000-992818</t>
  </si>
  <si>
    <t>00000-940461</t>
  </si>
  <si>
    <t>003213-994662</t>
  </si>
  <si>
    <t>000-947528</t>
  </si>
  <si>
    <t>000-994309</t>
  </si>
  <si>
    <t>000-940835</t>
  </si>
  <si>
    <t>00-988393</t>
  </si>
  <si>
    <t>00312-946992</t>
  </si>
  <si>
    <t>000118-993906</t>
  </si>
  <si>
    <t>00-945421</t>
  </si>
  <si>
    <t>000142-993906</t>
  </si>
  <si>
    <t>0000-984532</t>
  </si>
  <si>
    <t>00-998414</t>
  </si>
  <si>
    <t>000051-993906</t>
  </si>
  <si>
    <t>0031-997020</t>
  </si>
  <si>
    <t>0032-940512</t>
  </si>
  <si>
    <t>3213-942979</t>
  </si>
  <si>
    <t>000-993687</t>
  </si>
  <si>
    <t>321-998407</t>
  </si>
  <si>
    <t>000-941111</t>
  </si>
  <si>
    <t>32132-942347</t>
  </si>
  <si>
    <t>000-976848</t>
  </si>
  <si>
    <t>00-992920</t>
  </si>
  <si>
    <t>00000-994264</t>
  </si>
  <si>
    <t>0321-976848</t>
  </si>
  <si>
    <t>000-947621</t>
  </si>
  <si>
    <t>00-944162</t>
  </si>
  <si>
    <t>00-998138</t>
  </si>
  <si>
    <t>00-979292</t>
  </si>
  <si>
    <t>00321-989792</t>
  </si>
  <si>
    <t>00-996793</t>
  </si>
  <si>
    <t>000-981467</t>
  </si>
  <si>
    <t>000-996793</t>
  </si>
  <si>
    <t>000-979837</t>
  </si>
  <si>
    <t>000-946449</t>
  </si>
  <si>
    <t>000-948153</t>
  </si>
  <si>
    <t>00000-948187</t>
  </si>
  <si>
    <t>00000-989043</t>
  </si>
  <si>
    <t>00321-986830</t>
  </si>
  <si>
    <t>000-993565</t>
  </si>
  <si>
    <t>0000-988966</t>
  </si>
  <si>
    <t>00000-941262</t>
  </si>
  <si>
    <t>0000-984714</t>
  </si>
  <si>
    <t>00000-997521</t>
  </si>
  <si>
    <t>00000-976851</t>
  </si>
  <si>
    <t>515543-998628</t>
  </si>
  <si>
    <t>000-945324</t>
  </si>
  <si>
    <t>00000-998897</t>
  </si>
  <si>
    <t>000854-977751</t>
  </si>
  <si>
    <t>00000-987866</t>
  </si>
  <si>
    <t>0000-999661</t>
  </si>
  <si>
    <t>000-994693</t>
  </si>
  <si>
    <t>0000-998816</t>
  </si>
  <si>
    <t>00000-985174</t>
  </si>
  <si>
    <t>TRF USD/AED</t>
  </si>
  <si>
    <t>TRF ADCB USD 3M</t>
  </si>
  <si>
    <t>PHUB518757261</t>
  </si>
  <si>
    <t>TRF ADCB USD 9.7M</t>
  </si>
  <si>
    <t>PHUB518313620 LARI</t>
  </si>
  <si>
    <t>PHUB518298228 TRAVELZ</t>
  </si>
  <si>
    <t>000196-5610440659040-01/08/25</t>
  </si>
  <si>
    <t>000142-5610440658992-01/08/25</t>
  </si>
  <si>
    <t>000088-5610440659060-02/08/25</t>
  </si>
  <si>
    <t>ONLINE-PREM MOHAN 5610720691375 50759588942-04/08/25</t>
  </si>
  <si>
    <t>ONLINE-EMIL EIGHTY SIX MEDIA 5610720691394 50763015975-04/08</t>
  </si>
  <si>
    <t>013984-DAR AL FAJR PRESS 5610720691161 013984-02/08/25</t>
  </si>
  <si>
    <t>989391-5610670444583-05/08/25</t>
  </si>
  <si>
    <t>025000-CHQ 025000/ABUDHABI/05-08-2025-04/08/25</t>
  </si>
  <si>
    <t>000010-CHQ 000010/LAROSA/05-08-2025-04/08/25</t>
  </si>
  <si>
    <t>TOMSON-5610140794800-04/08/25</t>
  </si>
  <si>
    <t>NAMBIRAJAN-5610140794803-05/08/25</t>
  </si>
  <si>
    <t>054490-5610140794783-04/08/25</t>
  </si>
  <si>
    <t>ANIL-PHUB520118042/O_ANIL /05-08-2025-05/08/25</t>
  </si>
  <si>
    <t>CLIMA-PHUB519981389/CLIMA/05-08-2025-05/08/25</t>
  </si>
  <si>
    <t>000189-5612520095793-05/08/25</t>
  </si>
  <si>
    <t>000011-5610690690808-03/08/25</t>
  </si>
  <si>
    <t>049299825217-5610580509419-05/08/25</t>
  </si>
  <si>
    <t>ONLINE-MD YOUSEF PROUD START 5610720691448 50775467792-05/08</t>
  </si>
  <si>
    <t>MOHAMMED-5610580509408-04/08/25</t>
  </si>
  <si>
    <t>000321--04/08/25</t>
  </si>
  <si>
    <t>002029-5610150432502-04/08/25</t>
  </si>
  <si>
    <t>001157-5610670444461-04/08/25</t>
  </si>
  <si>
    <t>DEWAN-5610110937957-05/08/25</t>
  </si>
  <si>
    <t>LUX-5610110937958-05/08/25</t>
  </si>
  <si>
    <t>TOP-5610110937959-05/08/25</t>
  </si>
  <si>
    <t>17AN1H-5610670444612-05/08/25</t>
  </si>
  <si>
    <t>502432-5610340567064-31/07/25</t>
  </si>
  <si>
    <t>502433-5610340567063-31/07/25</t>
  </si>
  <si>
    <t>ONLINE-5610890092072-05/08/25</t>
  </si>
  <si>
    <t>0492998252-5614120078396-05/08/25</t>
  </si>
  <si>
    <t>ONLINE-5610230556742  50786025111-05/08/25</t>
  </si>
  <si>
    <t>000065-5610140794816-05/08/25</t>
  </si>
  <si>
    <t>163878-5610140794820-05/08/25</t>
  </si>
  <si>
    <t>MANORANJAN-5610140794828-05/08/25</t>
  </si>
  <si>
    <t>4034-5610630326438-05/08/25</t>
  </si>
  <si>
    <t>DALPAT-5610140794823-05/08/25</t>
  </si>
  <si>
    <t>ONLINE-5610230556763-05/08/25</t>
  </si>
  <si>
    <t>FT25217B5T5B-5610580509452-05/08/25</t>
  </si>
  <si>
    <t>000043-5610140794850-05/08/25</t>
  </si>
  <si>
    <t>502321-5610230556460-01/08/25</t>
  </si>
  <si>
    <t>049299825217-5610790145988-05/08/25</t>
  </si>
  <si>
    <t>0492282521-5610770625041-05/08/25</t>
  </si>
  <si>
    <t>JAYDIP-5610620346343-05/08/25</t>
  </si>
  <si>
    <t>023914--04/08/25</t>
  </si>
  <si>
    <t>000002-5613510103757  RAJESH KUMAR BHASKARAN NAIR-04/08/25</t>
  </si>
  <si>
    <t>004133-5610340567217-05/08/25</t>
  </si>
  <si>
    <t>WD</t>
  </si>
  <si>
    <t>AGAINST PHUB519874196</t>
  </si>
  <si>
    <t>AGAINST CHQ NO 000052</t>
  </si>
  <si>
    <t>000336/AL MANZIL AL BARID</t>
  </si>
  <si>
    <t>PHUB519570253/ASF TRADING</t>
  </si>
  <si>
    <t>50763588232/ SUNEESH SURESH</t>
  </si>
  <si>
    <t>24720435518 SAHIB MOHAMMED SAJJAD</t>
  </si>
  <si>
    <t>25825380370  SAHIB MOHAMMED SAJJAD</t>
  </si>
  <si>
    <t>CHQ NO ::001657</t>
  </si>
  <si>
    <t>25834440643  SAHIB MOHAMMED SAJJAD</t>
  </si>
  <si>
    <t xml:space="preserve"> CHQ NO ::001656</t>
  </si>
  <si>
    <t>CHQ NO ::003127</t>
  </si>
  <si>
    <t>HQ NO ::003128</t>
  </si>
  <si>
    <t>25834521500  SAHIB MOHAMMED SAJJAD</t>
  </si>
  <si>
    <t>KENT SURGICAL 5900962 PHUB5199937542</t>
  </si>
  <si>
    <t>01-AUG-2025 1 SALARY - 8586445 ECHO CARGO</t>
  </si>
  <si>
    <t>PHUB519993755 KENT SURGICAL 5900962</t>
  </si>
  <si>
    <t>PHUB519883242 SUNBEAM INTERNATIONAL</t>
  </si>
  <si>
    <t>PHUB519882381 SUNBEAM INTERNATIONAL</t>
  </si>
  <si>
    <t>PHUB520067164 ASHWANI KUMAR</t>
  </si>
  <si>
    <t>50778524783 RAJAVELU RETHINAM</t>
  </si>
  <si>
    <t>50778144078 RAJAVELU RETHINAM</t>
  </si>
  <si>
    <t>_MEBL_520104019_</t>
  </si>
  <si>
    <t>PHUB520007929/HUSAM/05-08-2025</t>
  </si>
  <si>
    <t>TG CASH AL HAYER BR DEP TIME 12:16PM</t>
  </si>
  <si>
    <t>PHUB520080041 faizan fayaz</t>
  </si>
  <si>
    <t>PHUB520105535</t>
  </si>
  <si>
    <t>PHUB520082188 DT 05.08.2025 AHMED SARF SCBL5200821</t>
  </si>
  <si>
    <t>PHUB519692692</t>
  </si>
  <si>
    <t>PHUB520120028</t>
  </si>
  <si>
    <t>TG CASH DEPOSIT@13:03</t>
  </si>
  <si>
    <t>25861294951 MOHAMED GOMAA IBRAHEM</t>
  </si>
  <si>
    <t>PHUB520101435/VALERIAN/05-Aug-2025</t>
  </si>
  <si>
    <t>101022063258 CASH DEP TRG TG</t>
  </si>
  <si>
    <t>PHUB519961347 SHAKEELA</t>
  </si>
  <si>
    <t>790843 04-08-2025 GLOBAL PIPELINES</t>
  </si>
  <si>
    <t>PHUB519458826 04-08-2025 AL KHALDIA</t>
  </si>
  <si>
    <t>PHUB519296107 03-08-2025 NAJIMAT</t>
  </si>
  <si>
    <t>TG DEPOSIT @2:50 PM</t>
  </si>
  <si>
    <t>PHUB520141966 05-08-2025 NAJIMAT AL IBDAA</t>
  </si>
  <si>
    <t>PHUB518232497</t>
  </si>
  <si>
    <t>5620230000519 PHUB517445126 31072025</t>
  </si>
  <si>
    <t>PHUB520027222</t>
  </si>
  <si>
    <t>PHUB520035125</t>
  </si>
  <si>
    <t>002100 02-08-25 BRANDMARK</t>
  </si>
  <si>
    <t>5620690018944 med tech 04-Aug-2025</t>
  </si>
  <si>
    <t>PHUB519993473</t>
  </si>
  <si>
    <t>PHUB520033491</t>
  </si>
  <si>
    <t>PHUB515143209 26-Jul-2025 WPS 947209</t>
  </si>
  <si>
    <t>PHUB520131258 AIJAZ MOHAMMAD MOHAMMAD ASHRAF</t>
  </si>
  <si>
    <t>PHUB520032676</t>
  </si>
  <si>
    <t>TG CASH DEPOSITEED 050825 1605</t>
  </si>
  <si>
    <t>TG CASH DEPOSIT GAYAHTI SANAYA 05082025</t>
  </si>
  <si>
    <t>TG AED 250000 RUWAIS 05082025 04.23 PM</t>
  </si>
  <si>
    <t>CHQ NO 000233 DT 04.07.25 AL KHAT AL WARDI 7034301</t>
  </si>
  <si>
    <t>25868530480 MBTRF B/O MATHINA SYED</t>
  </si>
  <si>
    <t>PHUB520237027</t>
  </si>
  <si>
    <t>CASH DEP THR TG 101021784970</t>
  </si>
  <si>
    <t>TG CASH DEPOSIT 101022035914</t>
  </si>
  <si>
    <t>deposit to adcb thr TG</t>
  </si>
  <si>
    <t>25870734157 MBTRF B/O SAFARATH SHAFI KALLUVALAPPU</t>
  </si>
  <si>
    <t>PHUB520261218 05-Aug-2025 5620450001887</t>
  </si>
  <si>
    <t>5620630000778 credit con 1936579</t>
  </si>
  <si>
    <t>TG CASH DEPOSIT @ 17:27</t>
  </si>
  <si>
    <t>tg cash deposit @16:58 pm</t>
  </si>
  <si>
    <t>TG CASH DEPOSIT @17.00</t>
  </si>
  <si>
    <t>KLYOVA PHUB518633627 02.08.2025</t>
  </si>
  <si>
    <t>cash deposit tg</t>
  </si>
  <si>
    <t>TG CASH DEP DTD 05/08/2025</t>
  </si>
  <si>
    <t>PHUB520219509/ RIVIERE MINERAL W.DE.&amp;FI. FAC.LLC</t>
  </si>
  <si>
    <t>TG CASH DEPOSIT 101021684593</t>
  </si>
  <si>
    <t>5620590008317 050825 Trekkup Fze</t>
  </si>
  <si>
    <t>TG CASH DEP ADCB TIME 5:59PM</t>
  </si>
  <si>
    <t>TG CASH DEPOSIT @ 06:08 PM</t>
  </si>
  <si>
    <t>TG CASH DEPT AT 19:00</t>
  </si>
  <si>
    <t>PHUB520289654 05-08-2025 AL KHALDIA</t>
  </si>
  <si>
    <t>CASH DEP THRU TG 101022121182</t>
  </si>
  <si>
    <t>TG CASH DEPOSIT 7:43 PM</t>
  </si>
  <si>
    <t>TG CASH DEPOSIT 05-08-2025</t>
  </si>
  <si>
    <t>TG CASH DEP @ 5:30 PM</t>
  </si>
  <si>
    <t>TG CASH DEP TIME 20:29 PM</t>
  </si>
  <si>
    <t>TRANSGUAR CASH DEPOSIT</t>
  </si>
  <si>
    <t>420K AED THRU TG</t>
  </si>
  <si>
    <t>TG CASH DEPT 20;20 PM</t>
  </si>
  <si>
    <t>TG CASH DEP 20:32 PM</t>
  </si>
  <si>
    <t>TG CASH DEPOSIT @16:16</t>
  </si>
  <si>
    <t>CASH DEPOSITED THRU TG</t>
  </si>
  <si>
    <t>CASH DEP TO ADCB THRU TG 101021762275</t>
  </si>
  <si>
    <t>000197 SALARY GL 985936</t>
  </si>
  <si>
    <t>TG CASH DEPOSIT MBZ @ 20:10</t>
  </si>
  <si>
    <t>THRG TG</t>
  </si>
  <si>
    <t>AED TFR TG101022111405</t>
  </si>
  <si>
    <t>TG CASH DEPOSIT 102013835829</t>
  </si>
  <si>
    <t>04 08 25 CHQ NO 000074 5620270008491</t>
  </si>
  <si>
    <t>THRU TG 102014216021</t>
  </si>
  <si>
    <t>UAQ CASH THROUGH CMC TG</t>
  </si>
  <si>
    <t>05 08 25 CHQ 000015 5620270008502</t>
  </si>
  <si>
    <t>TG CASH DEPOSITE ALWAHDMALL 05-08-2025</t>
  </si>
  <si>
    <t>CHQ:000254 CR05-08-2025 FTRN:5620440005732</t>
  </si>
  <si>
    <t>TG CASH DEP 05-08-2025 21:03</t>
  </si>
  <si>
    <t>CASH DPST THRU TG 102013697406</t>
  </si>
  <si>
    <t>101729/  AL GENOME</t>
  </si>
  <si>
    <t>TG CASH DEPOSIT @ 21:31</t>
  </si>
  <si>
    <t>AED TRANSFER TO ADCB THRU BRINKS</t>
  </si>
  <si>
    <t>TG CASH DEPOSIT 101021702856</t>
  </si>
  <si>
    <t>05 08 2025 402620152</t>
  </si>
  <si>
    <t>101021721765 CASH DEP ADCB THRU TG</t>
  </si>
  <si>
    <t>1 SALARY</t>
  </si>
  <si>
    <t>PHUB520233172</t>
  </si>
  <si>
    <t>CHQ:000253 CR 05-08-2025 FTRN:5620440005731</t>
  </si>
  <si>
    <t>TG CASH DEPOSIT 101021754757 05-08-2025</t>
  </si>
  <si>
    <t>TG DEPOSIT</t>
  </si>
  <si>
    <t>PHUB520405756 DTD 05.08.25</t>
  </si>
  <si>
    <t>TG CASH DEP AT 21 31 PM</t>
  </si>
  <si>
    <t>PHUB520365513</t>
  </si>
  <si>
    <t>PHUB520370125  05-Aug-2025</t>
  </si>
  <si>
    <t>000000-997464</t>
  </si>
  <si>
    <t>100631-971674</t>
  </si>
  <si>
    <t>000172-985321</t>
  </si>
  <si>
    <t>000674-995870</t>
  </si>
  <si>
    <t>000220-995868</t>
  </si>
  <si>
    <t>001479-984631</t>
  </si>
  <si>
    <t>001480-984630</t>
  </si>
  <si>
    <t>000815-987780</t>
  </si>
  <si>
    <t>00-982992</t>
  </si>
  <si>
    <t>000255-997049</t>
  </si>
  <si>
    <t>000032-997935</t>
  </si>
  <si>
    <t>000-946275</t>
  </si>
  <si>
    <t>500372-979232</t>
  </si>
  <si>
    <t>000-944407</t>
  </si>
  <si>
    <t>0032-944869</t>
  </si>
  <si>
    <t>000014-999928</t>
  </si>
  <si>
    <t>0312-983164</t>
  </si>
  <si>
    <t>000321-941381</t>
  </si>
  <si>
    <t>0000-947985</t>
  </si>
  <si>
    <t>0323-946138</t>
  </si>
  <si>
    <t>03232-994097</t>
  </si>
  <si>
    <t>000-947991</t>
  </si>
  <si>
    <t>0000-996453</t>
  </si>
  <si>
    <t>00000-999812</t>
  </si>
  <si>
    <t>03223-945217</t>
  </si>
  <si>
    <t>0323-995855</t>
  </si>
  <si>
    <t>0323-948177</t>
  </si>
  <si>
    <t>00000-948177</t>
  </si>
  <si>
    <t>0000-948187</t>
  </si>
  <si>
    <t>000440-981171</t>
  </si>
  <si>
    <t>000037-943665</t>
  </si>
  <si>
    <t>000515-981171</t>
  </si>
  <si>
    <t>000004-947257</t>
  </si>
  <si>
    <t>000-940500</t>
  </si>
  <si>
    <t>000-984578</t>
  </si>
  <si>
    <t>000-988071</t>
  </si>
  <si>
    <t>0000-994078</t>
  </si>
  <si>
    <t>0032-942470</t>
  </si>
  <si>
    <t>0000-999085</t>
  </si>
  <si>
    <t>000-997783</t>
  </si>
  <si>
    <t>000251-981170</t>
  </si>
  <si>
    <t>0000000-994078</t>
  </si>
  <si>
    <t>000000-981552</t>
  </si>
  <si>
    <t>00315-995011</t>
  </si>
  <si>
    <t>TRF ADCB USD 10.3M</t>
  </si>
  <si>
    <t>CHC-5610160696849-05/08/25</t>
  </si>
  <si>
    <t>530P08-5610770625047-05/08/25</t>
  </si>
  <si>
    <t>530PE4-5610770625046-05/08/25</t>
  </si>
  <si>
    <t>FT252183V6H0-5610240828343-06/08/25</t>
  </si>
  <si>
    <t>530P99239-5610770625070-06/08/25</t>
  </si>
  <si>
    <t>000069-5610440659381-05/08/25</t>
  </si>
  <si>
    <t>004049-5610110937841-03/08/25</t>
  </si>
  <si>
    <t>25218A32H-5610610598796-06/08/25</t>
  </si>
  <si>
    <t>ONLINE-5610890092084-05/08/25</t>
  </si>
  <si>
    <t>80220-5610160696849-06/08/25</t>
  </si>
  <si>
    <t>TOP-5610110938020-06/08/25</t>
  </si>
  <si>
    <t>024638-5610230556725-05/08/25</t>
  </si>
  <si>
    <t>123717362990-5613610143315-06/08/25</t>
  </si>
  <si>
    <t>000008-561067044641-05/08/25</t>
  </si>
  <si>
    <t>ALI-5610720691561-06/08/25</t>
  </si>
  <si>
    <t>534471-5610160696805-05/08/25</t>
  </si>
  <si>
    <t>000115-5610760110246-05/08/25</t>
  </si>
  <si>
    <t>000114-5610760110248-05/08/25</t>
  </si>
  <si>
    <t>000290-5613510103551-02/08/25</t>
  </si>
  <si>
    <t>530PE3E1007C-5610550582074-05/08/25</t>
  </si>
  <si>
    <t>000088--04/08/25</t>
  </si>
  <si>
    <t>000027--05/08/25</t>
  </si>
  <si>
    <t>MEHERZAD-5610610598667-05/08/25</t>
  </si>
  <si>
    <t>AMBILI-5610610598736-05/08/25</t>
  </si>
  <si>
    <t>PRADEEP-5610610598669-05/08/25</t>
  </si>
  <si>
    <t>ONLINE-5610630326494-06/08/25</t>
  </si>
  <si>
    <t>9ab2a8f0--05/08/25</t>
  </si>
  <si>
    <t>FDBA90A93--06/08/25</t>
  </si>
  <si>
    <t>000014-5610770625071-06/08/25</t>
  </si>
  <si>
    <t>203118-5610280639020-05/08/25</t>
  </si>
  <si>
    <t>ONLINE-5610620346419-06/08/25</t>
  </si>
  <si>
    <t>ONLINE-5610620346416-06/08/25</t>
  </si>
  <si>
    <t>ONLINE-5610620346413-06/08/25</t>
  </si>
  <si>
    <t>ONLINE-5610620346412-06/08/25</t>
  </si>
  <si>
    <t>ONLINE-5610620346409-06/08/25</t>
  </si>
  <si>
    <t>530PDD5CE722-5610580509480-06/08/25</t>
  </si>
  <si>
    <t>000494-5613010116901-02/08/25</t>
  </si>
  <si>
    <t>049299825212-5613010116738-01/08/25</t>
  </si>
  <si>
    <t>04929982521-5614120078618-06/08/25</t>
  </si>
  <si>
    <t>04929982521-5614120078619-06/08/25</t>
  </si>
  <si>
    <t>963716-5610670444675-04/08/25</t>
  </si>
  <si>
    <t>000097-5610780529184-05/08/25</t>
  </si>
  <si>
    <t>REVRSL 59032912251 CARD 9442563 5620590008313</t>
  </si>
  <si>
    <t>Agnst-CHQ000348/5610580508986</t>
  </si>
  <si>
    <t>38 32 910252 RV</t>
  </si>
  <si>
    <t>PHUB519637643 MEDITERRAN</t>
  </si>
  <si>
    <t>PHUB519637565 MEDITERRAN</t>
  </si>
  <si>
    <t>PHUB519703339 MEDITERRAN</t>
  </si>
  <si>
    <t>50793052251 05082025 BIJOOR ABDUL</t>
  </si>
  <si>
    <t>50796458242 05082025 BIJOOR ABDUL</t>
  </si>
  <si>
    <t>5610590172773 050825 PIOTR ARKADIUSZ</t>
  </si>
  <si>
    <t>PHUB517803989 / SURAJ INTL</t>
  </si>
  <si>
    <t>PHUB517789676 / NOOR AL BURHAN</t>
  </si>
  <si>
    <t>PHUB518903403 / MAESTRO EVENTS</t>
  </si>
  <si>
    <t>PHUB519608687 / AIX CARGO LLC</t>
  </si>
  <si>
    <t>50756385010 / AMOGH PROJECT</t>
  </si>
  <si>
    <t>PHUB520122362 / BEST TRUST</t>
  </si>
  <si>
    <t>PHUB520154400 / MAESTRO EVENTS</t>
  </si>
  <si>
    <t>PHUB519973821 AL HAIL</t>
  </si>
  <si>
    <t>PHUB520281696 DT 05.08.25 SIND P_ADIB_520281696_re</t>
  </si>
  <si>
    <t>PHUB520168457</t>
  </si>
  <si>
    <t>CHQ NO 000223 DT 05.08.2025  RUKN AL QAMAR 6034301</t>
  </si>
  <si>
    <t>CHQ NO 000007 DT 05.08.25 L ADEEL GENERAL 80402010</t>
  </si>
  <si>
    <t>50803354385 5620890004868 06-08-2025</t>
  </si>
  <si>
    <t xml:space="preserve"> CHQ NO 000010 DT 05.08.25 MOHAMMAD REZA 703320106</t>
  </si>
  <si>
    <t>50803311633 5620890004868 06-08-2025</t>
  </si>
  <si>
    <t>CHQ NO 000352 DT 05.08.25 ABDULHADY 603830105</t>
  </si>
  <si>
    <t>5620590008313 050825 Css Kingston Logistics</t>
  </si>
  <si>
    <t>TG CASH DEPOSITED @ 11:36 AM</t>
  </si>
  <si>
    <t>PHUB520532716</t>
  </si>
  <si>
    <t>TG DEPOSIT 12.32pM</t>
  </si>
  <si>
    <t>PHUB520524566 RAMESH RAMDURAI</t>
  </si>
  <si>
    <t>TG CASH DEPOSIT@12:54</t>
  </si>
  <si>
    <t>PHUB520526521 5620860006133</t>
  </si>
  <si>
    <t>05aug2025 2534349088 5620270008526</t>
  </si>
  <si>
    <t>50793764371 KALYANA SUNDARAM</t>
  </si>
  <si>
    <t>50807111391 KALYANA SUNDARAM T</t>
  </si>
  <si>
    <t>TG CASH DEP 06.08.2025 TIME 2.35PM</t>
  </si>
  <si>
    <t>CHQ NO ::000002</t>
  </si>
  <si>
    <t>PHUB520648520 RUKN AL TALEEM SCHOOL FURNITURES</t>
  </si>
  <si>
    <t>TG CASH DEPOSIT@GAYATHI SANAYA 06082025</t>
  </si>
  <si>
    <t>TG DEP BADAZAYED 15 06 PM</t>
  </si>
  <si>
    <t>TG CASH DEPOSIT TIME 03:23 PM</t>
  </si>
  <si>
    <t>TG CASH DEPOSIT 06 08 2025 15:21 SWEIHAN</t>
  </si>
  <si>
    <t>PHUB520441119 AFSAL EDAMARATH PARAMBIL</t>
  </si>
  <si>
    <t>PHUB520686113 - 5610720691580</t>
  </si>
  <si>
    <t>410K TRF TO ADCB VIA TG</t>
  </si>
  <si>
    <t>PHUB520716517</t>
  </si>
  <si>
    <t>PHUB520734834  AFSAL EDAMARATH PARAMBIL</t>
  </si>
  <si>
    <t>PHUB520710651</t>
  </si>
  <si>
    <t>TG CASH DEPOSIT @16.34</t>
  </si>
  <si>
    <t>PHUB520758590</t>
  </si>
  <si>
    <t>TG CASH DEPOSIT @16:39</t>
  </si>
  <si>
    <t>PHUB520737331</t>
  </si>
  <si>
    <t>TG CASH DEPOSITED@4.50PM</t>
  </si>
  <si>
    <t>TG CASH DEPOSIT @ 16:55</t>
  </si>
  <si>
    <t>RE-1939209 50812222265</t>
  </si>
  <si>
    <t>TG CASH DEPOS 16:44</t>
  </si>
  <si>
    <t>TG CASH DEPSOIT 06-08-2025</t>
  </si>
  <si>
    <t>tg cash deposit 101021684594</t>
  </si>
  <si>
    <t>CHQ 006262 CR 060825 FTRN 5620440005524</t>
  </si>
  <si>
    <t>PHUB520666477 / ZIFFY MARKETING</t>
  </si>
  <si>
    <t>TB CASH DEPOSIT MARFA 06:03PM</t>
  </si>
  <si>
    <t>TG CASH DEPOSIT ADCB TIME 6:04PM</t>
  </si>
  <si>
    <t>CASH DEPOSIT</t>
  </si>
  <si>
    <t>8346393 sreekumar 5620310201299</t>
  </si>
  <si>
    <t>PHUB520376770</t>
  </si>
  <si>
    <t>PHUB520743688</t>
  </si>
  <si>
    <t>TG CASH DEP @ 6:42 PM</t>
  </si>
  <si>
    <t>TG DEPOSIT @18:50</t>
  </si>
  <si>
    <t>TG CASH DEP DTD 06/08/2025</t>
  </si>
  <si>
    <t>PHUB520811469 5620940003057</t>
  </si>
  <si>
    <t>tg cash deposit @ 13:54</t>
  </si>
  <si>
    <t>5620560007812 and 5620560007837  chq no 000084</t>
  </si>
  <si>
    <t>TG CASH DEPOSIT MBZ@20:14</t>
  </si>
  <si>
    <t>837154/AL QETAH</t>
  </si>
  <si>
    <t>TG DEPOSIT 20:23</t>
  </si>
  <si>
    <t>TG CASH DEPT 20;21 PM</t>
  </si>
  <si>
    <t>000433/RUKN AL JENAN</t>
  </si>
  <si>
    <t>CASH DEPOSITTO ADCB TG 102014161877</t>
  </si>
  <si>
    <t>CASH DEP THRU TG 102014199113</t>
  </si>
  <si>
    <t>MOHAMMAD MUSHTAQ 000913</t>
  </si>
  <si>
    <t>06 08 2025  CHQ NO 000309 AIR POWER</t>
  </si>
  <si>
    <t>AGAINST PHUB520637784</t>
  </si>
  <si>
    <t>CHEQUE # 001082, HID # 1938738</t>
  </si>
  <si>
    <t>TG DEPOSIT 101021599770</t>
  </si>
  <si>
    <t>460397/CHANDARANI LAXM</t>
  </si>
  <si>
    <t>PHUB520379253 STEPWELL</t>
  </si>
  <si>
    <t>TG CASH DEP 20:56</t>
  </si>
  <si>
    <t>ADCB CASH DEP BY TG</t>
  </si>
  <si>
    <t>000898 / ANWAR AL RIFAI</t>
  </si>
  <si>
    <t>AED DEPOSITED ADCB THRU TG</t>
  </si>
  <si>
    <t>TG CASH DEP 20:37PM</t>
  </si>
  <si>
    <t>CASH DEPOSITED TO ADCB THROUGH TG</t>
  </si>
  <si>
    <t>TG CASH DEP KARAMA BRANCH 20:50</t>
  </si>
  <si>
    <t>TG CASH DEPOSIT@21:16</t>
  </si>
  <si>
    <t>UAQ CASH DEPOSIT THROUGH TG</t>
  </si>
  <si>
    <t>PHUB520191545</t>
  </si>
  <si>
    <t>TG DEPOSIT 102013857407</t>
  </si>
  <si>
    <t>CASH DEPST TO ADCB THRGH TG 101021777607</t>
  </si>
  <si>
    <t>CASH SENT THRU TG 101021721767</t>
  </si>
  <si>
    <t>AED DPST TO ADCB THR TG101021806279</t>
  </si>
  <si>
    <t>tg dep time09:19pm</t>
  </si>
  <si>
    <t>50819716392 SANGRAM 5620590008323</t>
  </si>
  <si>
    <t>T G CASH DEPOSIT</t>
  </si>
  <si>
    <t>AED TO ADCB THRG TG</t>
  </si>
  <si>
    <t>CHQ NO ::001658</t>
  </si>
  <si>
    <t>REF 50812534047 ABU FAISAL</t>
  </si>
  <si>
    <t>REF 50812492738 ABU FAISAL</t>
  </si>
  <si>
    <t>REF 50812457949 ABU FAISAL</t>
  </si>
  <si>
    <t>049299825218B7XZ-50820739177</t>
  </si>
  <si>
    <t>390K AED THRU TG</t>
  </si>
  <si>
    <t>PHUB520806949</t>
  </si>
  <si>
    <t>PHUB520901357 63-031-3827591</t>
  </si>
  <si>
    <t>TG CASH DEPOSIT @ 21.39</t>
  </si>
  <si>
    <t>BANKNET TRANSFERMOBILE BANKING TRANSFER FROM RAJAN</t>
  </si>
  <si>
    <t>PAWPATHS PETS 10.06.25</t>
  </si>
  <si>
    <t>PAWPATHS PETS 06.08.25</t>
  </si>
  <si>
    <t>5613510103910 PHUB520879209 DT 06.08.25</t>
  </si>
  <si>
    <t>500K AED DEPOSIT THRU TG</t>
  </si>
  <si>
    <t>PHUB520785521- CHERIYAN SAM</t>
  </si>
  <si>
    <t>006600-997855</t>
  </si>
  <si>
    <t>001546-985101</t>
  </si>
  <si>
    <t>104907-997453</t>
  </si>
  <si>
    <t>0000-984753</t>
  </si>
  <si>
    <t>00000-984753</t>
  </si>
  <si>
    <t>000114-981170</t>
  </si>
  <si>
    <t>000000-984753</t>
  </si>
  <si>
    <t>000047-983489</t>
  </si>
  <si>
    <t>00000000-984753</t>
  </si>
  <si>
    <t>03323-945101</t>
  </si>
  <si>
    <t>00321-942347</t>
  </si>
  <si>
    <t>00000-941261</t>
  </si>
  <si>
    <t>000000-942589</t>
  </si>
  <si>
    <t>00000-942589</t>
  </si>
  <si>
    <t>00000-942549</t>
  </si>
  <si>
    <t>000-995428</t>
  </si>
  <si>
    <t>000-946809</t>
  </si>
  <si>
    <t>000-945686</t>
  </si>
  <si>
    <t>00000-994078</t>
  </si>
  <si>
    <t>500509-942839</t>
  </si>
  <si>
    <t>001277-944506</t>
  </si>
  <si>
    <t>00000-988174</t>
  </si>
  <si>
    <t>00000-988175</t>
  </si>
  <si>
    <t>000-996783</t>
  </si>
  <si>
    <t>000000-981939</t>
  </si>
  <si>
    <t>00000-994961</t>
  </si>
  <si>
    <t>000-998498</t>
  </si>
  <si>
    <t>00000-989947</t>
  </si>
  <si>
    <t>2125-998606</t>
  </si>
  <si>
    <t>00000-942387</t>
  </si>
  <si>
    <t>0000-994613</t>
  </si>
  <si>
    <t>00215-998606</t>
  </si>
  <si>
    <t>00-944513</t>
  </si>
  <si>
    <t>003213-988769</t>
  </si>
  <si>
    <t>02452-978671</t>
  </si>
  <si>
    <t>00321-948202</t>
  </si>
  <si>
    <t>000-947587</t>
  </si>
  <si>
    <t>000-972062</t>
  </si>
  <si>
    <t>000-972943</t>
  </si>
  <si>
    <t>001186-947766</t>
  </si>
  <si>
    <t>00-988090</t>
  </si>
  <si>
    <t>000-993176</t>
  </si>
  <si>
    <t>0000-999229</t>
  </si>
  <si>
    <t>00000-984532</t>
  </si>
  <si>
    <t>CHQ NO 078258</t>
  </si>
  <si>
    <t>PHUB520600891</t>
  </si>
  <si>
    <t>PHUB520484621</t>
  </si>
  <si>
    <t>TRF FR KEC INTERNATIONAL LTD.</t>
  </si>
  <si>
    <t>TRF FR GULF MARINE SERVICES COMPANY WLL</t>
  </si>
  <si>
    <t>TRF ADCB AUH</t>
  </si>
  <si>
    <t>691231-5610620346365-05/08/25</t>
  </si>
  <si>
    <t>000013-5610150432404-02/08/25</t>
  </si>
  <si>
    <t>ABDUL REHMAN-5610140794905-07/08/25</t>
  </si>
  <si>
    <t>009822-5610700622706-05/08/25</t>
  </si>
  <si>
    <t>000325-5610700622180-04/08/25</t>
  </si>
  <si>
    <t>000031-5610140794912-07/08/25</t>
  </si>
  <si>
    <t>000191-5610890092162-06/08/25</t>
  </si>
  <si>
    <t>MUKUL-5610580509499-06/08/25</t>
  </si>
  <si>
    <t>RAKKIMUTHU-5610580509448-05/08/25</t>
  </si>
  <si>
    <t>IMRAN AHMED-5610580509594-07/08/25</t>
  </si>
  <si>
    <t>JIBY-5610580509423-05/08/25</t>
  </si>
  <si>
    <t>0492985-5610770624634-01/08/25</t>
  </si>
  <si>
    <t>FT25216-5610770624955-04/08/25</t>
  </si>
  <si>
    <t>010608-5610770625121-06/08/25</t>
  </si>
  <si>
    <t>010608-5610770625128-06/08/25</t>
  </si>
  <si>
    <t>003437-chq 003437/MANBAA/06-Aug-2025-21/07/25</t>
  </si>
  <si>
    <t>IPP252194694-5610580509598-07/08/25</t>
  </si>
  <si>
    <t>000020-CHQ 000020 FTRN 5610110938015 CRD 07/08/2025-06/08/25</t>
  </si>
  <si>
    <t>000001-5610690691171-07/08/25</t>
  </si>
  <si>
    <t>000303-5610940546739-05/08/25</t>
  </si>
  <si>
    <t>A75DCA64E84-5610240828590-07/08/25</t>
  </si>
  <si>
    <t>ONLINE-5610230556881-07/08/25</t>
  </si>
  <si>
    <t>AL QABAS-PHUB521111001/ AL QABAS/07-Aug-2025-07/08/25</t>
  </si>
  <si>
    <t>SATHISH-50836842518/SATHISH/07-Aug-2025-07/08/25</t>
  </si>
  <si>
    <t>ONLINE-5610230556889  50838743781-07/08/25</t>
  </si>
  <si>
    <t>001267-5610270500507-06/08/25</t>
  </si>
  <si>
    <t>000194-5610330819903-07/08/25</t>
  </si>
  <si>
    <t>ONLINE-5610230556894    50841254228-07/08/25</t>
  </si>
  <si>
    <t>000086-5610670444591-05/08/25</t>
  </si>
  <si>
    <t>CLIMA-PHUB521201316/clima/07-Aug-2025-07/08/25</t>
  </si>
  <si>
    <t>000011-5610140794937-07/08/25</t>
  </si>
  <si>
    <t>100554-5610770625044-05/08/25</t>
  </si>
  <si>
    <t>612199-5610110937921-05/08/25</t>
  </si>
  <si>
    <t>001161-5610670444720-06/08/25</t>
  </si>
  <si>
    <t>MOHAMMED-5610720691689-07/08/25</t>
  </si>
  <si>
    <t>MOHAMMAD-5610720691575-06/08/25</t>
  </si>
  <si>
    <t>7082563902-5613610143478-07/08/25</t>
  </si>
  <si>
    <t>825216B9U1-5613610143105-04/08/25</t>
  </si>
  <si>
    <t>REV 912584</t>
  </si>
  <si>
    <t>CASH PAID FOR CHEQUE 000303 5610940546739</t>
  </si>
  <si>
    <t>CHQ NO ::003130</t>
  </si>
  <si>
    <t>CHQ NO ::003129</t>
  </si>
  <si>
    <t>PHUB519685552 HH SHK HAMDAN</t>
  </si>
  <si>
    <t>AGAINST PHUB520526754</t>
  </si>
  <si>
    <t>SAIF SHIPS PHUB520967995</t>
  </si>
  <si>
    <t xml:space="preserve"> T N R FLOWERS TRADING 50827587742</t>
  </si>
  <si>
    <t>PHUB520770612 DT 06.08.25 ALLIANZ MI_NBFU_52077061</t>
  </si>
  <si>
    <t>PHUB520950958 SHOVEL</t>
  </si>
  <si>
    <t>PHUB520774654 DT 06.08.24 ALLIANZ MI_NBFU_52077465</t>
  </si>
  <si>
    <t>PHUB520770954 DT 06.08.25 ALLIANZ MI_NBFU_52077095</t>
  </si>
  <si>
    <t>PHUB520774653 DT 06.08.25 ALLIANZ MI_NBFU_52077465</t>
  </si>
  <si>
    <t>PHUB521018342 RAMESH RAMDURAI</t>
  </si>
  <si>
    <t>1 SALARY AUGSU SHIPPING</t>
  </si>
  <si>
    <t>CASH HANDOVER TO TG FOR ADCB AC DEPOSIT</t>
  </si>
  <si>
    <t>WPS PROFESSIONAL LAB</t>
  </si>
  <si>
    <t>PHUB521060125</t>
  </si>
  <si>
    <t>PHUB520992594</t>
  </si>
  <si>
    <t>PHUB520992534</t>
  </si>
  <si>
    <t>ref 50730157213 rise star</t>
  </si>
  <si>
    <t>REF 50831284879  ABU FAISAL</t>
  </si>
  <si>
    <t>PHUB520312092 05-Aug-2025 Euro Coffee Llc</t>
  </si>
  <si>
    <t>TG CASH DEP AL HAYER BR TIME 13:05PM</t>
  </si>
  <si>
    <t>PHUB521115380</t>
  </si>
  <si>
    <t>100031 BELAL SHARF 5624220000040</t>
  </si>
  <si>
    <t>PHUB520915270</t>
  </si>
  <si>
    <t>PHUB521140463</t>
  </si>
  <si>
    <t>8 CHQ NO ::500029</t>
  </si>
  <si>
    <t>PHUB516561518</t>
  </si>
  <si>
    <t>PHUB516690076</t>
  </si>
  <si>
    <t>TG CASH DEPOSIT14:19</t>
  </si>
  <si>
    <t>402320117 000069</t>
  </si>
  <si>
    <t>402320117 000082</t>
  </si>
  <si>
    <t>PHUB521154204 TECHNIVISION</t>
  </si>
  <si>
    <t>000163 / VAN FACTORY LLC</t>
  </si>
  <si>
    <t>000270 / VAN TRADING LLC</t>
  </si>
  <si>
    <t>TG CASH DEPOSITE</t>
  </si>
  <si>
    <t>PHUB519687797 / INDO POINT GENERAL</t>
  </si>
  <si>
    <t>000060 / SMART INFOCOM COMPUTER</t>
  </si>
  <si>
    <t>000889 / ANWAR AL RIFAI</t>
  </si>
  <si>
    <t>000886 / ANWAR AL RIFAI</t>
  </si>
  <si>
    <t>000890 / ANWAR AL RIFAI</t>
  </si>
  <si>
    <t>PHUB521142354/  RUKN AL TALEEM</t>
  </si>
  <si>
    <t>TG AED 160000 RUWAIS 07/08/2025 03.34PM</t>
  </si>
  <si>
    <t>PHUB520732708</t>
  </si>
  <si>
    <t>TG CASH DEPOSITED@3.49PM</t>
  </si>
  <si>
    <t>TG CASH DEPOSIT GAYATHI SANAYA 07082025</t>
  </si>
  <si>
    <t>221,135 K AED DEPO TO ADCB VIA TG</t>
  </si>
  <si>
    <t>5620450001890 07-08-2025 PHUB521198271</t>
  </si>
  <si>
    <t>2535714498 07082025</t>
  </si>
  <si>
    <t>PHUB521206563 1940206 APPLUS RTD</t>
  </si>
  <si>
    <t>5620450001889 07-08-2025 PHUB521196960</t>
  </si>
  <si>
    <t>04082025 000073 5620270008492</t>
  </si>
  <si>
    <t>PHUB521220956</t>
  </si>
  <si>
    <t>05082025 CHEQ820543 5620270008519</t>
  </si>
  <si>
    <t>05082025 CHEQ500458 5620270008518</t>
  </si>
  <si>
    <t>04082025 PHUB519664767 5620270008512</t>
  </si>
  <si>
    <t>PHUB521216169 AAA FREIGHT SERVICES</t>
  </si>
  <si>
    <t>TG CASH DEPOSIT GHAYATHI MALL @ 16.09</t>
  </si>
  <si>
    <t>PHUB521201832  WONDERBAY DECOR LLC</t>
  </si>
  <si>
    <t>PHUB521241114/SHAN HASSAN BABA</t>
  </si>
  <si>
    <t>CASH DEO THR TG 101021784969</t>
  </si>
  <si>
    <t>5620690018964 m bhatti  05-Aug-2025</t>
  </si>
  <si>
    <t>5620980001137 PHUB521251251 8010771</t>
  </si>
  <si>
    <t>PHUB520518399 06-08-2025 NAJIMAT</t>
  </si>
  <si>
    <t>000253 05-08-25 AL ISTIQLAL</t>
  </si>
  <si>
    <t>000225 06-08-25 SEVEN STARS OIL</t>
  </si>
  <si>
    <t>50837617015 07-08-2025 SOUMYA SARIN</t>
  </si>
  <si>
    <t>TG CASH DEPOSIT @ 17:35</t>
  </si>
  <si>
    <t>TG CASH DEPOSIT@16.54</t>
  </si>
  <si>
    <t>TG CASH DEP TIME 17:37</t>
  </si>
  <si>
    <t>PHUB521114633</t>
  </si>
  <si>
    <t>PHUB518310876 - 5620310201147 - AEROSTYLE</t>
  </si>
  <si>
    <t>TG CASH DEP @ 6:02 PM</t>
  </si>
  <si>
    <t>PHUB518333987 - 5620310201159 - ENLITE</t>
  </si>
  <si>
    <t>06aug2025 PHUB520849794 5620270008546</t>
  </si>
  <si>
    <t>TG CASH DEPOSIT 101021684427</t>
  </si>
  <si>
    <t>PHUB518846732 - 5620310201232 - SHROOQ</t>
  </si>
  <si>
    <t>PHUB518809030 - 5620310201234 - SHOROOQ</t>
  </si>
  <si>
    <t>06aug2025 25903367059 5620270008548</t>
  </si>
  <si>
    <t>PHUB518808994 - 5620310201233 - SHOROOQ</t>
  </si>
  <si>
    <t>PHUB518913135 - 5620310201235 - AMRO</t>
  </si>
  <si>
    <t>PHUB521248625 vishnu kumar</t>
  </si>
  <si>
    <t>06aug2025 000077 5620270008529</t>
  </si>
  <si>
    <t>TG CASH DEPOSITED @6.02</t>
  </si>
  <si>
    <t>06aug2025 000224 5620270008530</t>
  </si>
  <si>
    <t>TG CASH DEPOSIT 07-08-2025</t>
  </si>
  <si>
    <t>PHUB520770948 DT 06.08.25 ALLIANZ MI_NBFU_52077094</t>
  </si>
  <si>
    <t>PHUB520877908 06-08-25 frontier</t>
  </si>
  <si>
    <t>50837946556 5620940003051</t>
  </si>
  <si>
    <t>TG CASH DEPOSIT MARFA 06:26PM</t>
  </si>
  <si>
    <t>CASH DEP THRU TG 1001022121180</t>
  </si>
  <si>
    <t>TG DEPOSIT @18:43</t>
  </si>
  <si>
    <t>PHUB520681451</t>
  </si>
  <si>
    <t>TG CASH DEPOSIT @ 14:15</t>
  </si>
  <si>
    <t>TG CASH DEP 19.51</t>
  </si>
  <si>
    <t>PHUB521299561 SANJAY</t>
  </si>
  <si>
    <t>AGAINST PHUB521245033</t>
  </si>
  <si>
    <t>PHUB517836509</t>
  </si>
  <si>
    <t>50841085072 DTD 07.08.2025</t>
  </si>
  <si>
    <t>TG CASH DEP ELECTRA 101021668949</t>
  </si>
  <si>
    <t>50842315644  MUHAMMAD JUNAID KHAN</t>
  </si>
  <si>
    <t>TG CASH DEPOSITEED 070825 1857</t>
  </si>
  <si>
    <t>TG CASH DEPOSIT TIME 20:09 PM</t>
  </si>
  <si>
    <t>TG CASH DEPT 20;22 PM</t>
  </si>
  <si>
    <t>TG CASH DEP 101021684595</t>
  </si>
  <si>
    <t>CASH DEPOSIT TRANSGUARD</t>
  </si>
  <si>
    <t>002322 07AUG2025 DUBAI SKY INDUSTRIAL</t>
  </si>
  <si>
    <t>cash dep to adcb thru TG102014195273</t>
  </si>
  <si>
    <t>TG CASH DEPOSIT 101022070112</t>
  </si>
  <si>
    <t>000006 5620140001038</t>
  </si>
  <si>
    <t>04082025 PHUB519888420 5620270008516</t>
  </si>
  <si>
    <t xml:space="preserve"> 000062 PERFECT SOLUTION 5624220000042 / 43</t>
  </si>
  <si>
    <t>05082025 CHEQ000035  5620270008513</t>
  </si>
  <si>
    <t>salary 01</t>
  </si>
  <si>
    <t>TG 102014181360</t>
  </si>
  <si>
    <t>CASH DEP THRU TG 100008692861</t>
  </si>
  <si>
    <t>AED DEPOSIT THRU TRANSGURD</t>
  </si>
  <si>
    <t>TG CASH DEPO @ 09:19 PM</t>
  </si>
  <si>
    <t>101021881070 CASH DEP ADCB THRU TG</t>
  </si>
  <si>
    <t>TG DEPOSIT AT MOE</t>
  </si>
  <si>
    <t>TG DEPOSIT BAG NO 101021745643</t>
  </si>
  <si>
    <t>TG CASH DEP 21:40</t>
  </si>
  <si>
    <t>TG CASH DEP 07-08-2025 AT 09-20</t>
  </si>
  <si>
    <t>049299825218AHRY</t>
  </si>
  <si>
    <t>TG CSH DPST DTD 07-08-2025 AT 22:00</t>
  </si>
  <si>
    <t>001837 07-08-25 TRUCARE FZC</t>
  </si>
  <si>
    <t>000102 07-08-25 MUHAMMAD ASIF</t>
  </si>
  <si>
    <t>PHUB521332452 paul stanley</t>
  </si>
  <si>
    <t>PHUB521326407/THARMALINGAM</t>
  </si>
  <si>
    <t>50804759894/SALEM</t>
  </si>
  <si>
    <t>OMAR SAAB 07.08.25</t>
  </si>
  <si>
    <t>001123/AL NAJAH</t>
  </si>
  <si>
    <t>CHQ NO 000039</t>
  </si>
  <si>
    <t>PHUB519702558 ARTACHES 07082025</t>
  </si>
  <si>
    <t>001129/AL NAJAH</t>
  </si>
  <si>
    <t>PHUB521290861 AL BARSHAA GENERAL TRADING CO LL</t>
  </si>
  <si>
    <t>000024/ARUNAGIRI</t>
  </si>
  <si>
    <t>PHUB521337619</t>
  </si>
  <si>
    <t>102710-997616</t>
  </si>
  <si>
    <t>000054-941063</t>
  </si>
  <si>
    <t>506138-997362</t>
  </si>
  <si>
    <t>00-947528</t>
  </si>
  <si>
    <t>000-942347</t>
  </si>
  <si>
    <t>0325-993154</t>
  </si>
  <si>
    <t>0000-971697</t>
  </si>
  <si>
    <t>0000-991137</t>
  </si>
  <si>
    <t>01252-983317</t>
  </si>
  <si>
    <t>00000-991137</t>
  </si>
  <si>
    <t>000-987170</t>
  </si>
  <si>
    <t>000-942335</t>
  </si>
  <si>
    <t>009588-984863</t>
  </si>
  <si>
    <t>000-983661</t>
  </si>
  <si>
    <t>000-999778</t>
  </si>
  <si>
    <t>006092-984863</t>
  </si>
  <si>
    <t>000011-992852</t>
  </si>
  <si>
    <t>00-942310</t>
  </si>
  <si>
    <t>00000-984562</t>
  </si>
  <si>
    <t>00125-948178</t>
  </si>
  <si>
    <t>00000-985708</t>
  </si>
  <si>
    <t>000-992211</t>
  </si>
  <si>
    <t>000-986730</t>
  </si>
  <si>
    <t>001046-997741</t>
  </si>
  <si>
    <t>000-998030</t>
  </si>
  <si>
    <t>00-998389</t>
  </si>
  <si>
    <t>0312-999419</t>
  </si>
  <si>
    <t>032125-995564</t>
  </si>
  <si>
    <t>1125-941312</t>
  </si>
  <si>
    <t>12521-941171</t>
  </si>
  <si>
    <t>00012-947334</t>
  </si>
  <si>
    <t>PHUB520700134</t>
  </si>
  <si>
    <t>TRF ADCB USD 2M</t>
  </si>
  <si>
    <t>TRF ADCB USD 9M</t>
  </si>
  <si>
    <t>BHAVIN-5610140794951-08/08/25</t>
  </si>
  <si>
    <t>SURESH-5610140794950-08/08/25</t>
  </si>
  <si>
    <t>971373-5610140794939-07/08/25</t>
  </si>
  <si>
    <t>000326-5610700622889-07/08/25</t>
  </si>
  <si>
    <t>011949-5610860150547-07/08/25</t>
  </si>
  <si>
    <t>000504-5610840573954-07/08/25</t>
  </si>
  <si>
    <t>201618-5610410588389-06/08/25</t>
  </si>
  <si>
    <t>ONLINE-5610890092205-07/08/25</t>
  </si>
  <si>
    <t>ONLINE-5610890092201-07/08/25</t>
  </si>
  <si>
    <t>001809-5610620346480 AL RAKHA CONTRACTING AND GENERAL-07/08/</t>
  </si>
  <si>
    <t>002044-5610150432744-08/08/25</t>
  </si>
  <si>
    <t>JASON LEE-5610140794972-08/08/25</t>
  </si>
  <si>
    <t>000032-5610330819906-07/08/25</t>
  </si>
  <si>
    <t>693X508831-5610190677065-08/08/25</t>
  </si>
  <si>
    <t>93X651084-5610190677066-08/08/25</t>
  </si>
  <si>
    <t>104x173598-5610190677068-08/08/25</t>
  </si>
  <si>
    <t>000043-5610670444692-06/08/25</t>
  </si>
  <si>
    <t>530P656-5610170455034-08/08/25</t>
  </si>
  <si>
    <t>530PB807-5610170455038-08/08/25</t>
  </si>
  <si>
    <t>ONLINE-5610890092260-08/08/25</t>
  </si>
  <si>
    <t>ONLINE-5610890092259-08/08/25</t>
  </si>
  <si>
    <t>000004-5610110938114-07/08/25</t>
  </si>
  <si>
    <t>KHALED-5610110938035-06/08/25</t>
  </si>
  <si>
    <t>049-5610630326579-08/08/25</t>
  </si>
  <si>
    <t>50812001591-5612240153282-06/08/25</t>
  </si>
  <si>
    <t>500002--07/08/25</t>
  </si>
  <si>
    <t>ABDUL LATEEF-5610140794990-08/08/25</t>
  </si>
  <si>
    <t>000032-5610140794983-08/08/25</t>
  </si>
  <si>
    <t>000002-5610140794981-08/08/25</t>
  </si>
  <si>
    <t>04929982522-5610790146150-08/08/25</t>
  </si>
  <si>
    <t>FT25220T183F-5610240828801-08/08/25</t>
  </si>
  <si>
    <t>049299825218-5610790146040-06/08/25</t>
  </si>
  <si>
    <t>CHAMPIONS--07/08/25</t>
  </si>
  <si>
    <t>MAHMOD--02/08/25</t>
  </si>
  <si>
    <t>MOHAMMED--08/08/25</t>
  </si>
  <si>
    <t>FURQAN--06/08/25</t>
  </si>
  <si>
    <t>ROMEO-50867169472/ROMEO/08-Aug-2025-08/08/25</t>
  </si>
  <si>
    <t>D481F-5610160697239-06/08/25</t>
  </si>
  <si>
    <t>025040-1102-06/08/25</t>
  </si>
  <si>
    <t>SUBHASIS-5610110938062-06/08/25</t>
  </si>
  <si>
    <t>REV 1632913702</t>
  </si>
  <si>
    <t>PHUB521257942 mediterranian shipping 1330780022864</t>
  </si>
  <si>
    <t xml:space="preserve"> CHQ NO ::025035</t>
  </si>
  <si>
    <t>PHUB521343294/VICTORIO</t>
  </si>
  <si>
    <t>CHQ. NO: 002007</t>
  </si>
  <si>
    <t>REF PHUB521332858 FEKRY MOHAMED</t>
  </si>
  <si>
    <t>CHQ 000576 SPECIAL BELT</t>
  </si>
  <si>
    <t>AGAINST PHUB521374053</t>
  </si>
  <si>
    <t>AGAINST PHUB521245018</t>
  </si>
  <si>
    <t>CHQ NO ::000037</t>
  </si>
  <si>
    <t>PHUB519718193</t>
  </si>
  <si>
    <t>PHUB521449858</t>
  </si>
  <si>
    <t>PHUB521164032 AVA MIDDLE EAST</t>
  </si>
  <si>
    <t>PHUB521262790 credo communications</t>
  </si>
  <si>
    <t>CHQ NO ::000024</t>
  </si>
  <si>
    <t>PHUB521456293 VISHNU KUMAR</t>
  </si>
  <si>
    <t>5610820607231 PHUB521496872</t>
  </si>
  <si>
    <t>PHUB521202991</t>
  </si>
  <si>
    <t>PHUB521574797</t>
  </si>
  <si>
    <t>TG CASH DEP AL HAYER BR TIME 12:21PM</t>
  </si>
  <si>
    <t>TG DEPOSIT 12.28PM</t>
  </si>
  <si>
    <t>PHUB521163501/LUX/07-08-2025</t>
  </si>
  <si>
    <t>PHUB521496031 5620140001039</t>
  </si>
  <si>
    <t>PHUB521501572 1940806</t>
  </si>
  <si>
    <t>TG CASH DEPOSIT 08 08 2025 15:11</t>
  </si>
  <si>
    <t>TG CASH DEPOSIT GAYATHI SANAYA 08/08/2025</t>
  </si>
  <si>
    <t>08-08-25 25947503347 muhammd zahid</t>
  </si>
  <si>
    <t>TG CASH DEP 03:58 PM</t>
  </si>
  <si>
    <t>TG CASH DEPOSIT GHAYATHI MALL @ 16.18</t>
  </si>
  <si>
    <t>PHUB521698686 BELL TECH TRADING</t>
  </si>
  <si>
    <t>PHUB520865415</t>
  </si>
  <si>
    <t>PHUB521564642</t>
  </si>
  <si>
    <t>TG CASH DEPOSITE AT 17:25</t>
  </si>
  <si>
    <t>5620310201021 AL SAHEL CHQ 941172</t>
  </si>
  <si>
    <t>5620310201389 AEROSTYLE PHUB521232743</t>
  </si>
  <si>
    <t>CASH DEPOSITED TO ADCB THROUGH TG 080825 1639</t>
  </si>
  <si>
    <t>PHUB519663293 CSS 5620590008298</t>
  </si>
  <si>
    <t>TG CASH DEPOSIT 08-08-2025</t>
  </si>
  <si>
    <t>TG CASH DEPOSIT 101021684596</t>
  </si>
  <si>
    <t>PHUB519659477 CSS 5620590008300</t>
  </si>
  <si>
    <t>PHUB519659469 CSS 5620590008302</t>
  </si>
  <si>
    <t>PHUB519663300 CSS 5620590008303</t>
  </si>
  <si>
    <t>PHUB519785708 CSS 5620590008310</t>
  </si>
  <si>
    <t>PHUB520313630 CSS KINGSTON 5620590008313</t>
  </si>
  <si>
    <t>CASH DEPOSITED THRU TG 101022086515</t>
  </si>
  <si>
    <t>TG CASH DTD 08.08.2025</t>
  </si>
  <si>
    <t>TG CASH DEPOSIT MARFA 06:58PM</t>
  </si>
  <si>
    <t>AED 350K DEPOSIT TO ADCB THR TG</t>
  </si>
  <si>
    <t>50865754883- RAJESH</t>
  </si>
  <si>
    <t>PHUB517935936</t>
  </si>
  <si>
    <t>AGAINST PHUB521756093</t>
  </si>
  <si>
    <t>AGAINST PHUB521756571</t>
  </si>
  <si>
    <t>TG CASH DEPT 20;28 PM</t>
  </si>
  <si>
    <t>TG CASH DEPOSIT 7:54 PM</t>
  </si>
  <si>
    <t>CASG DEP THRU TG</t>
  </si>
  <si>
    <t>CSH DPST TO ADCB THRU TG 102014227792</t>
  </si>
  <si>
    <t>AED DEPSOITED THRG TG</t>
  </si>
  <si>
    <t>TG CASH DEP 20:38</t>
  </si>
  <si>
    <t>TG CASH DEPOSIT 20:42 PM</t>
  </si>
  <si>
    <t>5620690018977 hemant 08-Aug-2025</t>
  </si>
  <si>
    <t>TG deposit</t>
  </si>
  <si>
    <t>AED DPST TO ADCB THR TG101021806278</t>
  </si>
  <si>
    <t>AED DEPOSIT THRU TG 102013890355</t>
  </si>
  <si>
    <t>AGAINST PHUB521613712</t>
  </si>
  <si>
    <t>CASH SENT THRU TG 101021881071</t>
  </si>
  <si>
    <t>CHQ NO 000111 DTD 08/08/25</t>
  </si>
  <si>
    <t>004531 5620140001037 5620140001036</t>
  </si>
  <si>
    <t>CASH DEPOSIT THR CMC TG</t>
  </si>
  <si>
    <t>CHQ NO 000112 DTD 08/08/25</t>
  </si>
  <si>
    <t>002323 08AUG2025 DUBAI SKY INDUSTRIAL</t>
  </si>
  <si>
    <t>000001 STEPWELL</t>
  </si>
  <si>
    <t>TG CSH DEP 22.06 PM</t>
  </si>
  <si>
    <t>080628/ JASAR AL SAHRA</t>
  </si>
  <si>
    <t>000002/QEMAT AL WAHAT</t>
  </si>
  <si>
    <t>000845 AL ERJOUWAN</t>
  </si>
  <si>
    <t>8749339-STANFORD MARINE ##RE-1941135##</t>
  </si>
  <si>
    <t>8749339-STANFORD MARINE ##RE-1941138##</t>
  </si>
  <si>
    <t>CHQ 001663 5620860006141 6140</t>
  </si>
  <si>
    <t>CHQ 000200 5620860006132</t>
  </si>
  <si>
    <t>TG DEPOSIT 102013727556</t>
  </si>
  <si>
    <t>000002-987412</t>
  </si>
  <si>
    <t>000048-947627</t>
  </si>
  <si>
    <t>002445-941485</t>
  </si>
  <si>
    <t>000000-940665</t>
  </si>
  <si>
    <t>000-987424</t>
  </si>
  <si>
    <t>000850-991657</t>
  </si>
  <si>
    <t>000-988599</t>
  </si>
  <si>
    <t>0000000-970889</t>
  </si>
  <si>
    <t>00-997339</t>
  </si>
  <si>
    <t>trf fr yes bank</t>
  </si>
  <si>
    <t>PHUB519716366</t>
  </si>
  <si>
    <t>PHUB520201596</t>
  </si>
  <si>
    <t>PHUB520133261</t>
  </si>
  <si>
    <t>PHUB520625441</t>
  </si>
  <si>
    <t>PHUB520141974</t>
  </si>
  <si>
    <t>PHUB519716366 | Reversed - 8001-0534-2025-014140</t>
  </si>
  <si>
    <t>PHUB520625441 | Reversed - 8001-0534-2025-014140</t>
  </si>
  <si>
    <t>PHUB520141974 | Reversed - 8001-0534-2025-014140</t>
  </si>
  <si>
    <t>PHUB520201596 | Reversed - 8001-0534-2025-014140</t>
  </si>
  <si>
    <t>PHUB520133261 | Reversed - 8001-0534-2025-014140</t>
  </si>
  <si>
    <t>530PE3158-5610770625283-08/08/25</t>
  </si>
  <si>
    <t>530PB34-5610770625283-08/08/25</t>
  </si>
  <si>
    <t>000008-5610970450189-06/08/25</t>
  </si>
  <si>
    <t>001528-5610910417192-07/08/25</t>
  </si>
  <si>
    <t>ALI-5610720691776-08/08/25</t>
  </si>
  <si>
    <t xml:space="preserve"> | Reversed - 8001-0534-2025-014088</t>
  </si>
  <si>
    <t>001164-5610670444921-08/08/25</t>
  </si>
  <si>
    <t>AHMED-5610720691779-09/08/25</t>
  </si>
  <si>
    <t>GOVINDARAJU-5610140795001-09/08/25</t>
  </si>
  <si>
    <t>ASHWIN-5610140795007-09/08/25</t>
  </si>
  <si>
    <t>195274-5610110938250-08/08/25</t>
  </si>
  <si>
    <t>ONLINE-ALI MOHAMED 5610720691790  PHUB522000065-09/08/25</t>
  </si>
  <si>
    <t>afra-5610610598917-07/08/25</t>
  </si>
  <si>
    <t>012682-5610860150543-05/08/25</t>
  </si>
  <si>
    <t>011945-5610860150539-06/08/25</t>
  </si>
  <si>
    <t>sushil-5610610598638-05/08/25</t>
  </si>
  <si>
    <t xml:space="preserve"> chq no 60843</t>
  </si>
  <si>
    <t>chq no 60938</t>
  </si>
  <si>
    <t>PHUB521657916</t>
  </si>
  <si>
    <t>chq no 340475</t>
  </si>
  <si>
    <t>PHUB521497845</t>
  </si>
  <si>
    <t>PHUB521152182</t>
  </si>
  <si>
    <t>chq no 340473</t>
  </si>
  <si>
    <t>chq no 226390</t>
  </si>
  <si>
    <t>SPEED-5610610598908-07/08/25</t>
  </si>
  <si>
    <t>ONLINE-5610230556999   50880468664-09/08/25</t>
  </si>
  <si>
    <t>000178-5610340567284-07/08/25</t>
  </si>
  <si>
    <t>SHALMA-5610110938282-09/08/25</t>
  </si>
  <si>
    <t>21ANKH-5610780529578-09/08/25</t>
  </si>
  <si>
    <t>RAMGOPAL-5610140795035-09/08/25</t>
  </si>
  <si>
    <t>029391-5610270501113-08/08/25</t>
  </si>
  <si>
    <t>252077-5610140795045-09/08/25</t>
  </si>
  <si>
    <t>003773-5613310103850 MIDDLE EAST FURNITURE CO LLC-05/08/25</t>
  </si>
  <si>
    <t>883366--07/08/25</t>
  </si>
  <si>
    <t>518760-5613010116877-02/08/25</t>
  </si>
  <si>
    <t>0492998-5613010117389-06/08/25</t>
  </si>
  <si>
    <t>500675-5610670445032-09/08/25</t>
  </si>
  <si>
    <t>500674-5610670445033-09/08/25</t>
  </si>
  <si>
    <t>000048-5610140795048, 5610140795049-09/08/25</t>
  </si>
  <si>
    <t>0000049-5610140795048, 5610140795049-09/08/25</t>
  </si>
  <si>
    <t>000037-5610140795000-09/08/25</t>
  </si>
  <si>
    <t>000049-5610610599003-08/08/25</t>
  </si>
  <si>
    <t>722C81EFD0-5610240828927-09/08/25</t>
  </si>
  <si>
    <t>5C91562C1B-5610240828924-09/08/25</t>
  </si>
  <si>
    <t>28DD4B0FE3E-5610240828925-09/08/25</t>
  </si>
  <si>
    <t>ONLINE-5610620346604-09/08/25</t>
  </si>
  <si>
    <t>ONLINE-5610620346603-09/08/25</t>
  </si>
  <si>
    <t>PHUB519599993 - 5620310201243 - SAAS</t>
  </si>
  <si>
    <t>1 AFDHAL PHARMACY SALARY</t>
  </si>
  <si>
    <t>OSWA FOODSTUFF PHUB521827350</t>
  </si>
  <si>
    <t>PHUB521828465 A S D INTERNTNL</t>
  </si>
  <si>
    <t>PHUB521708451 NEW AGE INTL</t>
  </si>
  <si>
    <t>CHQ NO ::037104</t>
  </si>
  <si>
    <t>PHUB520860493 06-Aug-2025</t>
  </si>
  <si>
    <t>000036 06-Aug-2025</t>
  </si>
  <si>
    <t>000055 07-Aug-2025</t>
  </si>
  <si>
    <t>TG DEPOSIT @11:50 AM</t>
  </si>
  <si>
    <t>CHQ NO ::037118</t>
  </si>
  <si>
    <t>000035 08-Aug-2025</t>
  </si>
  <si>
    <t>PHUB521892367/ASAAD</t>
  </si>
  <si>
    <t>5620820003550/5620820003549</t>
  </si>
  <si>
    <t>TG CASH DEPOSIT @ 12:38</t>
  </si>
  <si>
    <t>TG CASH DEPOSIT TIME 12:43 PM</t>
  </si>
  <si>
    <t>001242 06-Aug-2025</t>
  </si>
  <si>
    <t>001244 06-Aug-2025</t>
  </si>
  <si>
    <t>PHUB521722192</t>
  </si>
  <si>
    <t>001241 05-Aug-2025</t>
  </si>
  <si>
    <t>PHUB519599791 - 5620310201242 - SAAS</t>
  </si>
  <si>
    <t>PHUB519596279 - 5620310201244 - SAAS</t>
  </si>
  <si>
    <t>TG CASH DEPOSITED DTD 09082025</t>
  </si>
  <si>
    <t>000033 04-Aug-2025</t>
  </si>
  <si>
    <t>PHUB521984734 BILRS PAYMENT 090825</t>
  </si>
  <si>
    <t>PHUB518270337 - 5620310201271 - HEARTBEAT</t>
  </si>
  <si>
    <t>REVERSAL - 3830560</t>
  </si>
  <si>
    <t>PHUB521997726 BILRS PAYMT 09 0825</t>
  </si>
  <si>
    <t>PHUB520535133 - 5620310201279 - I G S</t>
  </si>
  <si>
    <t>PHUB520654015 - 5620310201288 - ENLITE</t>
  </si>
  <si>
    <t>PHUB520655373 - 5620310201286 - ENLITE</t>
  </si>
  <si>
    <t>PHUB520654397 - 7691595 - SHAMSAN TRADING</t>
  </si>
  <si>
    <t>PHUB521095216 - 5620310201260 - A M S MARITIME LLC</t>
  </si>
  <si>
    <t>50877416221 SAKET WAHI RAHUL WAHI</t>
  </si>
  <si>
    <t>50877431042 SAKET WAHI RAHUL WAHI</t>
  </si>
  <si>
    <t>50877445528 SAKET WAHI RAHUL WAHI</t>
  </si>
  <si>
    <t>TG 9/8/25 2.22</t>
  </si>
  <si>
    <t>PHUB521611532</t>
  </si>
  <si>
    <t>TG CASH DEPOSIT GAYATHI SANAYA 09082025</t>
  </si>
  <si>
    <t>000101 02-Aug-2025</t>
  </si>
  <si>
    <t>TG CASH DEP 3.25 PM</t>
  </si>
  <si>
    <t>001236 01-Aug-2025</t>
  </si>
  <si>
    <t>012650 08-Aug-2025</t>
  </si>
  <si>
    <t>012619 08-Aug-2025</t>
  </si>
  <si>
    <t>PHUB522028285</t>
  </si>
  <si>
    <t>PHUB520343906</t>
  </si>
  <si>
    <t>CHQ NO ::749428</t>
  </si>
  <si>
    <t>CHQ NO ::643774</t>
  </si>
  <si>
    <t>50633137182 30-Jul-2025</t>
  </si>
  <si>
    <t>50705922002 02-Aug-2025</t>
  </si>
  <si>
    <t>50669582504 31-Jul-2025</t>
  </si>
  <si>
    <t>50679262721 01-Aug-2025</t>
  </si>
  <si>
    <t>50731228469 GAURAV JUNEJA</t>
  </si>
  <si>
    <t>TG CASH DEP 03:50 PM</t>
  </si>
  <si>
    <t>TG CASH DEPOSIT @ 1700 HRS</t>
  </si>
  <si>
    <t>TG CASH DEPOSIT @3:15 PM</t>
  </si>
  <si>
    <t>438278 08-08-25 BRIGHTWELL</t>
  </si>
  <si>
    <t>5996606 praveen kumar 5620310201444 25974136987</t>
  </si>
  <si>
    <t>tg cash deposit 101021684597</t>
  </si>
  <si>
    <t>000203 08-08-25 AL HADI USED HEAVY EQUIP</t>
  </si>
  <si>
    <t>PHUB522091297 MOHAMMED HASHIM KARIMBIL</t>
  </si>
  <si>
    <t>000048 08-08-25 RABAHCO BLDG</t>
  </si>
  <si>
    <t>TG FUNDING ALFOAH</t>
  </si>
  <si>
    <t>TG CASH DEPOSIT 09-08-2025</t>
  </si>
  <si>
    <t>tg csh dpst 17.59</t>
  </si>
  <si>
    <t>PHUB521924395 09-08-25 NAJIMAT AL IBDAA</t>
  </si>
  <si>
    <t>PHUB522029671 09-08-25 al khaldia</t>
  </si>
  <si>
    <t>TG CASH DEPOSIT 101021684429</t>
  </si>
  <si>
    <t>CASH DEP THRU TG 101021784968</t>
  </si>
  <si>
    <t>ADCB DEPOSIT TG 101022121261</t>
  </si>
  <si>
    <t>07082025 PHUB521325000 5620270008700</t>
  </si>
  <si>
    <t>09082025  cheq000150   AL FAJR AL SATEE</t>
  </si>
  <si>
    <t>08082025 CHEQ000216 5620270008707</t>
  </si>
  <si>
    <t>TG 101022087012</t>
  </si>
  <si>
    <t>PHUB521857443 al hail marine</t>
  </si>
  <si>
    <t>CASH DEP TO ADCB THRU TG 101022075638</t>
  </si>
  <si>
    <t>TG CASH DEP @14:18-14:22</t>
  </si>
  <si>
    <t>TG CASH DEP  20:08</t>
  </si>
  <si>
    <t>PHUB522022922</t>
  </si>
  <si>
    <t>TG DEPOSIT 20:21</t>
  </si>
  <si>
    <t>TG CASH DPT DTD 09-08-2025 TM 20.14 PM</t>
  </si>
  <si>
    <t>TG DPST 102013568355</t>
  </si>
  <si>
    <t>130k AED THRU TG</t>
  </si>
  <si>
    <t>TG DEPOSIT BAG NO 101021782655</t>
  </si>
  <si>
    <t>PHUB521991778 5620140001042</t>
  </si>
  <si>
    <t>PHUB521586246 SIAM MIDDL DTD 8/8/25</t>
  </si>
  <si>
    <t>transguard aed cash deposit</t>
  </si>
  <si>
    <t>50885343371/SUGUMAR DEIVASIGAMANI</t>
  </si>
  <si>
    <t>50885097808/SUGUMAR DEIVASIGAMANI</t>
  </si>
  <si>
    <t>TG CASH DEP 20:32</t>
  </si>
  <si>
    <t>50885012111/SUGUMAR D</t>
  </si>
  <si>
    <t>000692 MIDMAC GENERAL TRADING</t>
  </si>
  <si>
    <t>TG CASH DEPOSIT 101022058168</t>
  </si>
  <si>
    <t>50878182944/SUGUMAR D</t>
  </si>
  <si>
    <t>50885299379/ SUGUMAR DEIVASIGAMANI</t>
  </si>
  <si>
    <t>TG CASH DEPOSIT MBZ @ 20:11</t>
  </si>
  <si>
    <t>AGAINST  CHQ NO 503396</t>
  </si>
  <si>
    <t>CASH DEPOSIT THRU TG 11021881072</t>
  </si>
  <si>
    <t>TG CASH DEP DATE9-8-2025 T-9:25PM</t>
  </si>
  <si>
    <t>000177 SULTAN MAHMOUD 6673017</t>
  </si>
  <si>
    <t>CASH DEPOSIT TO ADCB THROUGH TG</t>
  </si>
  <si>
    <t>08AUG2025 000011 5620270008705</t>
  </si>
  <si>
    <t>50886897683 KHALED AYED DEYAB ALSERHAN</t>
  </si>
  <si>
    <t>07AUG2025 000045 5620270008549</t>
  </si>
  <si>
    <t>07AUG2025 000046 5620270008550</t>
  </si>
  <si>
    <t>101730/AL GENOME</t>
  </si>
  <si>
    <t>002273/ AL ADEL AUTOMATIC</t>
  </si>
  <si>
    <t>07AUG2025 029390 5620270008541</t>
  </si>
  <si>
    <t>000003/QEMAT AL WAHAT</t>
  </si>
  <si>
    <t>THROUGH TG 103004056698</t>
  </si>
  <si>
    <t>TG CASH DEPOSIT @21.22</t>
  </si>
  <si>
    <t>CASH DEPST TO ADCB THRGH TG 101021675523</t>
  </si>
  <si>
    <t>002470 09-08-25 SEVEN STARS OIL</t>
  </si>
  <si>
    <t>000377 09-08-25 SMART AUTO ACCESSORIES</t>
  </si>
  <si>
    <t>998252223200-5610670445050-10/08/25</t>
  </si>
  <si>
    <t>946948X84-5610190677145-10/08/25</t>
  </si>
  <si>
    <t>ONLINE-5610630326645-10/08/25</t>
  </si>
  <si>
    <t>ONLINE-5610620346635-10/08/25</t>
  </si>
  <si>
    <t>FT2522-5610770625380-10/08/25</t>
  </si>
  <si>
    <t>049299-5610770625212-07/08/25</t>
  </si>
  <si>
    <t>000023-5610140795077-10/08/25</t>
  </si>
  <si>
    <t>000001-5610140795089-10/08/25</t>
  </si>
  <si>
    <t>SUBHASISH-5610140795105-10/08/25</t>
  </si>
  <si>
    <t>000014-5610140795074-10/08/25</t>
  </si>
  <si>
    <t>000086-5610140795071-10/08/25</t>
  </si>
  <si>
    <t>26D0VH-5610670445119-10/08/25</t>
  </si>
  <si>
    <t>ONLINE-5610890092359-10/08/25</t>
  </si>
  <si>
    <t>010556/AL AQSAR</t>
  </si>
  <si>
    <t>010555/ AL AQSAR</t>
  </si>
  <si>
    <t>PHUB519399389</t>
  </si>
  <si>
    <t>PHUB519997548 AL WAFA</t>
  </si>
  <si>
    <t>CHQ 000055</t>
  </si>
  <si>
    <t>CHQ NO 000001 CARD 7560713</t>
  </si>
  <si>
    <t>PHUB521865135</t>
  </si>
  <si>
    <t>CHQ NO 000766 CARD 8484061</t>
  </si>
  <si>
    <t>PHUB521595557</t>
  </si>
  <si>
    <t>PHUB521539632</t>
  </si>
  <si>
    <t>CHQ NO 006849 RIGHT WAY FOODSTUFF</t>
  </si>
  <si>
    <t>PHUB520709964</t>
  </si>
  <si>
    <t>A BAIT ALSAREEA PHUB521739995</t>
  </si>
  <si>
    <t>PHUB519765367</t>
  </si>
  <si>
    <t>PHUB520085505</t>
  </si>
  <si>
    <t>5610590172940 10-08-2025 25989545186</t>
  </si>
  <si>
    <t>5610610599163 PHUB522324066</t>
  </si>
  <si>
    <t>000668 AL SAHIL MARINE EQUIPMENT</t>
  </si>
  <si>
    <t>50905589144 DT 10-Aug-2025</t>
  </si>
  <si>
    <t>500040-991329</t>
  </si>
  <si>
    <t>000114-991334</t>
  </si>
  <si>
    <t>125214-997635</t>
  </si>
  <si>
    <t>00000-983671</t>
  </si>
  <si>
    <t>00000-972636</t>
  </si>
  <si>
    <t>00000-981065</t>
  </si>
  <si>
    <t>00000-992684</t>
  </si>
  <si>
    <t>00000-985430</t>
  </si>
  <si>
    <t>000000-983667</t>
  </si>
  <si>
    <t>000-988669</t>
  </si>
  <si>
    <t>000002-945539</t>
  </si>
  <si>
    <t>00-995428</t>
  </si>
  <si>
    <t>000000-981065</t>
  </si>
  <si>
    <t>0000-981065</t>
  </si>
  <si>
    <t>000000-999523</t>
  </si>
  <si>
    <t>12335-940548</t>
  </si>
  <si>
    <t>0000-988820</t>
  </si>
  <si>
    <t>00-994080</t>
  </si>
  <si>
    <t>000-946665</t>
  </si>
  <si>
    <t>000-942515</t>
  </si>
  <si>
    <t>00-944864</t>
  </si>
  <si>
    <t>000-944307</t>
  </si>
  <si>
    <t>000-992918</t>
  </si>
  <si>
    <t>000-994672</t>
  </si>
  <si>
    <t>01152-940237</t>
  </si>
  <si>
    <t>0000-999976</t>
  </si>
  <si>
    <t>00-946910</t>
  </si>
  <si>
    <t>00000-997464</t>
  </si>
  <si>
    <t>0000-997464</t>
  </si>
  <si>
    <t>000105-944790</t>
  </si>
  <si>
    <t>002036-985866</t>
  </si>
  <si>
    <t>000-992755</t>
  </si>
  <si>
    <t>0000-943341</t>
  </si>
  <si>
    <t>0000-995270</t>
  </si>
  <si>
    <t>000-941309</t>
  </si>
  <si>
    <t>000-942699</t>
  </si>
  <si>
    <t>0331-942700</t>
  </si>
  <si>
    <t>02215-947181</t>
  </si>
  <si>
    <t>02312-983608</t>
  </si>
  <si>
    <t>000-982992</t>
  </si>
  <si>
    <t>00000-984944</t>
  </si>
  <si>
    <t>00000-997360</t>
  </si>
  <si>
    <t>PHUB521949430</t>
  </si>
  <si>
    <t>029392-5610270501468-09/08/25</t>
  </si>
  <si>
    <t>000250-5610270501540-10/08/25</t>
  </si>
  <si>
    <t>ONLINE-5610890092366-10/08/25</t>
  </si>
  <si>
    <t>KHALED-5610110938348-10/08/25</t>
  </si>
  <si>
    <t>223a0d-5610160697573-11/08/25</t>
  </si>
  <si>
    <t>2220164-5610160697572-10/08/25</t>
  </si>
  <si>
    <t>530PA913A9E6-5610790146296-11/08/25</t>
  </si>
  <si>
    <t>500176-5610120502902-11/08/25</t>
  </si>
  <si>
    <t>000320-CHQ 000320 FTRN 5610110938345 CRD 11/08/2025-10/08/25</t>
  </si>
  <si>
    <t>835217-CHQ 835217 FTRN 5610110938334 CRD 11/08/2025-10/08/25</t>
  </si>
  <si>
    <t>SACHIN-50918194042/SACHIN /11-08-2025-11/08/25</t>
  </si>
  <si>
    <t>530PFF-5610770625424-10/08/25</t>
  </si>
  <si>
    <t>ALI-5610720691925-11/08/25</t>
  </si>
  <si>
    <t>571365-5610140795106-10/08/25</t>
  </si>
  <si>
    <t>QABAS-5610110938395-11/08/25</t>
  </si>
  <si>
    <t>ONLINE-5610890092395-11/08/25</t>
  </si>
  <si>
    <t>c36c61e-5610610599208-11/08/25</t>
  </si>
  <si>
    <t>MLC11082513-5610580509729-11/08/25</t>
  </si>
  <si>
    <t>618060--09/08/25</t>
  </si>
  <si>
    <t>000041--09/08/25</t>
  </si>
  <si>
    <t>502434-5610340567367-04/08/25</t>
  </si>
  <si>
    <t>502435-5610340567368-04/08/25</t>
  </si>
  <si>
    <t>222080825374-5613010117608-08/08/25</t>
  </si>
  <si>
    <t>VARUN-5610140795130-11/08/25</t>
  </si>
  <si>
    <t>049298525218-5613010117452-06/08/25</t>
  </si>
  <si>
    <t>530P148AED0A-5613010117567-08/08/25</t>
  </si>
  <si>
    <t>ANKUSH-5610140795132-11/08/25</t>
  </si>
  <si>
    <t>MOHAMMED-5610720691941-11/08/25</t>
  </si>
  <si>
    <t>100003-5613820044049-09/08/25</t>
  </si>
  <si>
    <t>FT25223CT312-5610230557157    PHUB522809825-11/08/25</t>
  </si>
  <si>
    <t>000038-5610230556987    000038-09/08/25</t>
  </si>
  <si>
    <t>000885-5610820606856-05/08/25</t>
  </si>
  <si>
    <t>SREE KUMAR-5610140795141-11/08/25</t>
  </si>
  <si>
    <t>000001-5610330820110-10/08/25</t>
  </si>
  <si>
    <t>000123-5610330820041-09/08/25</t>
  </si>
  <si>
    <t>971374-5610140795147-11/08/25</t>
  </si>
  <si>
    <t>460398-5610800545476-11/08/25</t>
  </si>
  <si>
    <t>012154-5610860150649-07/08/25</t>
  </si>
  <si>
    <t>GOVINDARAJU-5610140795158-11/08/25</t>
  </si>
  <si>
    <t>002056-5610150432858/INTERNATIONAL SUPER-11/08/25</t>
  </si>
  <si>
    <t>000278-5610820607248-08/08/25</t>
  </si>
  <si>
    <t>903196-5610330820253-11/08/25</t>
  </si>
  <si>
    <t>RAED-5610110938483-11/08/25</t>
  </si>
  <si>
    <t>ONLINE-5610630326733-11/08/25</t>
  </si>
  <si>
    <t>REF 71 032 914189 DTD 9/8/2025</t>
  </si>
  <si>
    <t>ADCB WD</t>
  </si>
  <si>
    <t>THROUGH TG 103004056699</t>
  </si>
  <si>
    <t>TG CASH DEP 21:57</t>
  </si>
  <si>
    <t>AGAINST 50909390882</t>
  </si>
  <si>
    <t>PHUB52222374 MOHD H I H ALFARDAN</t>
  </si>
  <si>
    <t>PHUB521856374 MEDITERRANEAN</t>
  </si>
  <si>
    <t>AGAINST  50913647317</t>
  </si>
  <si>
    <t>PHUB522629712 NOVEC CARE MEDICAL</t>
  </si>
  <si>
    <t>08 11 2025 26011426997 samshair</t>
  </si>
  <si>
    <t>PHUB522552294</t>
  </si>
  <si>
    <t>TG CASH DEP TIME 12:14 PM</t>
  </si>
  <si>
    <t>50914823846/ JIAH LUKMAN</t>
  </si>
  <si>
    <t>50916880532 - DTD - 11AUG2025</t>
  </si>
  <si>
    <t>50916898706 - DTD - 11AUG 2025</t>
  </si>
  <si>
    <t>50916932418 DTD - 11 AUG 2025</t>
  </si>
  <si>
    <t>50788624770 05-Aug-2025</t>
  </si>
  <si>
    <t>TG CASH DEPOSIT @ 13: 08</t>
  </si>
  <si>
    <t>PAYMENT AGAINST 50919124179</t>
  </si>
  <si>
    <t>50913912228 PRASAD</t>
  </si>
  <si>
    <t>11AUG2025 PHUB522603998  5620450001891</t>
  </si>
  <si>
    <t>REF 71 032 914189</t>
  </si>
  <si>
    <t>50911058532 RAKESH</t>
  </si>
  <si>
    <t>5610530596008/50916947281</t>
  </si>
  <si>
    <t>PHUB522640051</t>
  </si>
  <si>
    <t>PHUB522676592</t>
  </si>
  <si>
    <t>PHUB521896050 89-593-994364 09-8-25</t>
  </si>
  <si>
    <t>PHUB522537465</t>
  </si>
  <si>
    <t>26013824496 LAMYA ALI MOHAMMAD</t>
  </si>
  <si>
    <t>TG CASH DEPOSIT 11 08 2025 14:20</t>
  </si>
  <si>
    <t>CASH DEPOSIT THRU TG 101022063259</t>
  </si>
  <si>
    <t>50922299281 DTD 11.08.2025</t>
  </si>
  <si>
    <t>TG CASH DEP TIME 03:31 PM</t>
  </si>
  <si>
    <t>TG CASH DEPOSIT @3:17 PM</t>
  </si>
  <si>
    <t>1 mariot kitcen</t>
  </si>
  <si>
    <t>TG CASH DEPOSIT GHAYATHI MALL @ 15.50</t>
  </si>
  <si>
    <t>310K AED DEBO TO ADCB VIA TG</t>
  </si>
  <si>
    <t>TG CASG DEPOSITE 16:00</t>
  </si>
  <si>
    <t>PHUB522765013 hamza</t>
  </si>
  <si>
    <t>PHUB522711963 SATISH KANAUJIA</t>
  </si>
  <si>
    <t>50874374705/JABIR /09-Aug-2025</t>
  </si>
  <si>
    <t>REF PHUB522158916 5623010000281 5623010000282</t>
  </si>
  <si>
    <t>TG CASH DEP @ 17:01</t>
  </si>
  <si>
    <t>PHUB522774118  11-Aug-2025</t>
  </si>
  <si>
    <t>TG CASH DEPOSIT @ 17:05</t>
  </si>
  <si>
    <t>CASH DEPOSITED TO TG 110825 1654</t>
  </si>
  <si>
    <t>25970853993 DTD 09.08.2025</t>
  </si>
  <si>
    <t>PHUB522471243 DT 11.08.2025 AHMED SARFSCBL52247124</t>
  </si>
  <si>
    <t>50925839468 SAFARATH SHAFI KALLUVALAPPU</t>
  </si>
  <si>
    <t>PHUB522638608</t>
  </si>
  <si>
    <t>PHUB522665157</t>
  </si>
  <si>
    <t>TG CASH DEPOSIT @ 17:38</t>
  </si>
  <si>
    <t>50917818665 HABIB BACHA</t>
  </si>
  <si>
    <t>CHQ NO ::000031 DT 07.08.2025 SAQR ALSHARQ 7033201</t>
  </si>
  <si>
    <t>ADCB deposit through TG 102013858444</t>
  </si>
  <si>
    <t>PHUB522790323 11-Aug-2025 5620450001892</t>
  </si>
  <si>
    <t>TG CASH DEPOSIT 11-08-2025</t>
  </si>
  <si>
    <t>TG CASH DEPOSIT .</t>
  </si>
  <si>
    <t>HQ NO 000006 DT 08.11.25 JABAL ARMAN</t>
  </si>
  <si>
    <t>50925438327-26020410341/MUHAMMAD FAROOQ</t>
  </si>
  <si>
    <t>PHUB522624115 MEDITRATE 5620750000331</t>
  </si>
  <si>
    <t>50805690827 dt 06.08.25 2534721235 IBTRF B/O POWER</t>
  </si>
  <si>
    <t>CHQ NO 000354 DT 09.08.25 ABDUL HADY 603830105</t>
  </si>
  <si>
    <t>TG CASH DEPOSIT @16.54</t>
  </si>
  <si>
    <t>CHQ NO 000135 DT AL NAJMAH AL SIHRYA</t>
  </si>
  <si>
    <t>TG CASH DTD 11.08.2025</t>
  </si>
  <si>
    <t>TG CASH DEPOSIT MARFA 07:10PM</t>
  </si>
  <si>
    <t>TG CASH DEPT</t>
  </si>
  <si>
    <t>50928739206  MATHEW CHAINDITHAIPIL</t>
  </si>
  <si>
    <t>50928693594 MATHEW CHAINDITHAIPIL</t>
  </si>
  <si>
    <t>TG CASH DEP TIME 20:01 PM</t>
  </si>
  <si>
    <t>TG CASH DEPOSIT MBZ @20:12</t>
  </si>
  <si>
    <t>TG CASH DEP ELECTRA 101021668943</t>
  </si>
  <si>
    <t>tg cash deposit @ 15:02</t>
  </si>
  <si>
    <t>AED DEPOSIT THRU TRANSGUARD</t>
  </si>
  <si>
    <t>TG CASH DEP 102014022295</t>
  </si>
  <si>
    <t>TG DEPOSIT 20:34</t>
  </si>
  <si>
    <t>PHUB522777697 5620530000226</t>
  </si>
  <si>
    <t>002324 11AUG2025 DUBAI SKY INDUSTRIAL EQUIPMENT</t>
  </si>
  <si>
    <t>TG CASH DEPOIST</t>
  </si>
  <si>
    <t>TG CASH DEPT 20;46 PM</t>
  </si>
  <si>
    <t>5620440005752  000007</t>
  </si>
  <si>
    <t>Cash Deposit To ADCB Through TG</t>
  </si>
  <si>
    <t>tg cash deposit 101021684430</t>
  </si>
  <si>
    <t>TG DPST 102013704974</t>
  </si>
  <si>
    <t>000900/ANWAR AL RIFAI</t>
  </si>
  <si>
    <t>PHUB386563964</t>
  </si>
  <si>
    <t>PHUB386533182</t>
  </si>
  <si>
    <t>AED TFR THRG TG101022111406</t>
  </si>
  <si>
    <t>ADCB CASH DEP BY TG CT BR</t>
  </si>
  <si>
    <t>TG DEPOSIT BAG NO 101021722746</t>
  </si>
  <si>
    <t>TG CASH DEP AT 21 24 PM</t>
  </si>
  <si>
    <t>005759- AlSAFA</t>
  </si>
  <si>
    <t>CASH DEPOSIT THRU TG 101021610107</t>
  </si>
  <si>
    <t>09082025 CHEQ000190 KHALEEL JAMEEL</t>
  </si>
  <si>
    <t>AED deposited thrg TG</t>
  </si>
  <si>
    <t>11082025 CHEQ000049 5620270008560</t>
  </si>
  <si>
    <t>11082025 CHEQ000023 5620270008731</t>
  </si>
  <si>
    <t>11082025 CHQ741993 5620270008730</t>
  </si>
  <si>
    <t>11082025 CHEQ000234  5620270008703</t>
  </si>
  <si>
    <t>AGAINST PHUB522886933</t>
  </si>
  <si>
    <t>50930163237/DI XIAO/5620750000333</t>
  </si>
  <si>
    <t>11082025 CHEQ100061 5620270008701</t>
  </si>
  <si>
    <t>CHEQ NO 001342 KAMAL AHMED</t>
  </si>
  <si>
    <t>TG-CASH DEP-07:48PM</t>
  </si>
  <si>
    <t>REVERSAL 80-031-3833328</t>
  </si>
  <si>
    <t>TG DEP TIME 09:46PM</t>
  </si>
  <si>
    <t>PHUB522742225</t>
  </si>
  <si>
    <t>CASH DPST THRU TG 102013697403</t>
  </si>
  <si>
    <t>REV 640313833312</t>
  </si>
  <si>
    <t>THROUG TG 103004056699</t>
  </si>
  <si>
    <t>PHUB522750424 - 5610720691983</t>
  </si>
  <si>
    <t>PHUB522801895 - 5610720691986</t>
  </si>
  <si>
    <t>506139-997362</t>
  </si>
  <si>
    <t>0000000-972636</t>
  </si>
  <si>
    <t>004612-988066</t>
  </si>
  <si>
    <t>00124-995717</t>
  </si>
  <si>
    <t>00000-987170</t>
  </si>
  <si>
    <t>0000-987170</t>
  </si>
  <si>
    <t>00125-988976</t>
  </si>
  <si>
    <t>281382-977453</t>
  </si>
  <si>
    <t>685721-971674</t>
  </si>
  <si>
    <t>22142-945817</t>
  </si>
  <si>
    <t>000000-984714</t>
  </si>
  <si>
    <t>00321-941882</t>
  </si>
  <si>
    <t>123214-992666</t>
  </si>
  <si>
    <t>500160-999835</t>
  </si>
  <si>
    <t>125214-994005</t>
  </si>
  <si>
    <t>0000000 0-940461</t>
  </si>
  <si>
    <t>0000000 00-940461</t>
  </si>
  <si>
    <t>000000-984934</t>
  </si>
  <si>
    <t>0000-984934</t>
  </si>
  <si>
    <t>0000-946249</t>
  </si>
  <si>
    <t>000000-944077</t>
  </si>
  <si>
    <t>00000-987805</t>
  </si>
  <si>
    <t>000-991053</t>
  </si>
  <si>
    <t>000000-940371</t>
  </si>
  <si>
    <t>00000-986647</t>
  </si>
  <si>
    <t>000-999929</t>
  </si>
  <si>
    <t>000000-989935</t>
  </si>
  <si>
    <t>00000-998408</t>
  </si>
  <si>
    <t>0000-944070</t>
  </si>
  <si>
    <t>00000-988676</t>
  </si>
  <si>
    <t>03112-944284</t>
  </si>
  <si>
    <t>0000-987169</t>
  </si>
  <si>
    <t>00321-943049</t>
  </si>
  <si>
    <t>00000-947985</t>
  </si>
  <si>
    <t>0031-943460</t>
  </si>
  <si>
    <t>00321-940200</t>
  </si>
  <si>
    <t>000-985469</t>
  </si>
  <si>
    <t>00321-994003</t>
  </si>
  <si>
    <t>00321-942918</t>
  </si>
  <si>
    <t>000000-970714</t>
  </si>
  <si>
    <t>00000-970714</t>
  </si>
  <si>
    <t>00000-994500</t>
  </si>
  <si>
    <t>000-999292</t>
  </si>
  <si>
    <t>00000-999292</t>
  </si>
  <si>
    <t>000000-999292</t>
  </si>
  <si>
    <t>0000-999292</t>
  </si>
  <si>
    <t>000-942589</t>
  </si>
  <si>
    <t>0012-973483</t>
  </si>
  <si>
    <t>0000-945127</t>
  </si>
  <si>
    <t>0003-942983</t>
  </si>
  <si>
    <t>0032-997783</t>
  </si>
  <si>
    <t>ONLINE-5610620346692-11/08/25</t>
  </si>
  <si>
    <t>865634-5610110938490-11/08/25</t>
  </si>
  <si>
    <t>025038-5610110938382-08/08/25</t>
  </si>
  <si>
    <t>525840-chq 525840/brook/12-08-2025-11/08/25</t>
  </si>
  <si>
    <t>618059-CHQ 618059/SURESH/12-08-2025-11/08/25</t>
  </si>
  <si>
    <t>FT25224C61G4-5610240829215-12/08/25</t>
  </si>
  <si>
    <t>000172-5610380453788-12/08/25</t>
  </si>
  <si>
    <t>000328-5610700623799-11/08/25</t>
  </si>
  <si>
    <t>000327-5610700623590-09/08/25</t>
  </si>
  <si>
    <t>RAJESH-50938644336/RAJESH /12-08-2025-12/08/25</t>
  </si>
  <si>
    <t>FT25224BB8J5-5610670445215-12/08/25</t>
  </si>
  <si>
    <t>000031-5610330820281-12/08/25</t>
  </si>
  <si>
    <t>846942-5610110938291-09/08/25</t>
  </si>
  <si>
    <t>000551-5610270501162-09/08/25</t>
  </si>
  <si>
    <t>531-1-EWPS-19953-202508-11/08/25</t>
  </si>
  <si>
    <t>531-EWPS-19953-202508-11/08/25</t>
  </si>
  <si>
    <t>0492998-5610770625396-10/08/25</t>
  </si>
  <si>
    <t>0108082-5610770625512-08/08/25</t>
  </si>
  <si>
    <t>010808-5610770625510-08/08/25</t>
  </si>
  <si>
    <t>FT25223-5610770625503-11/08/25</t>
  </si>
  <si>
    <t>EPHC0P-5610770625495-09/08/25</t>
  </si>
  <si>
    <t>000275--12/08/25</t>
  </si>
  <si>
    <t>000092-5610770625367-10/08/25</t>
  </si>
  <si>
    <t>ONLINE-5610230557217-12/08/25</t>
  </si>
  <si>
    <t>99825224ANU8-5610920180249-12/08/25</t>
  </si>
  <si>
    <t>000494-5610150432911/GANESH BABU-12/08/25</t>
  </si>
  <si>
    <t>000449-5610270501649-11/08/25</t>
  </si>
  <si>
    <t>ONLINE-5610230557232   50952767062-12/08/25</t>
  </si>
  <si>
    <t>RAMESHK-5610140795180-12/08/25</t>
  </si>
  <si>
    <t>BINDUMOL-5610140795184-12/08/25</t>
  </si>
  <si>
    <t>24AI42--12/08/25</t>
  </si>
  <si>
    <t>IMANE--11/08/25</t>
  </si>
  <si>
    <t>SIVADASAN--12/08/25</t>
  </si>
  <si>
    <t>WANDERINGG--12/08/25</t>
  </si>
  <si>
    <t>573103-5610670445301-12/08/25</t>
  </si>
  <si>
    <t>000077-5610440659744-11/08/25</t>
  </si>
  <si>
    <t>001169-5610230557015 &amp; 5610230557011-07/08/25</t>
  </si>
  <si>
    <t>ONLINE-5610340567318-07/08/25</t>
  </si>
  <si>
    <t>ONLINE-5610340567334-08/08/25</t>
  </si>
  <si>
    <t>502437-5610340567464-11/08/25</t>
  </si>
  <si>
    <t>ONLINE-5610230557256-12/08/25</t>
  </si>
  <si>
    <t>11aug2025 50927794604 power tech</t>
  </si>
  <si>
    <t>11aug2025 50927737797 power tech</t>
  </si>
  <si>
    <t>09aug2025 50889424703 power tech</t>
  </si>
  <si>
    <t>9aug2025 50889454962 power tech</t>
  </si>
  <si>
    <t>PHUB522997159 RAVISHANKAR</t>
  </si>
  <si>
    <t>50937853268 DT 12-Aug-2025</t>
  </si>
  <si>
    <t>50937917529 DT 12-Aug-2025</t>
  </si>
  <si>
    <t>50937788365 DT 12-Aug-2025</t>
  </si>
  <si>
    <t>PHUB523018663 BILRS PAYMNT 120825</t>
  </si>
  <si>
    <t>1- SALARY- AUGUS</t>
  </si>
  <si>
    <t>12-Aug-2025 DT PHUB523036184</t>
  </si>
  <si>
    <t>PHUB523074422</t>
  </si>
  <si>
    <t>50940393320 - 5610720692007-2008</t>
  </si>
  <si>
    <t>PHUB522974554</t>
  </si>
  <si>
    <t>PHUB522689629</t>
  </si>
  <si>
    <t>CHQ NO ::846943</t>
  </si>
  <si>
    <t xml:space="preserve"> CHQ NO ::002407</t>
  </si>
  <si>
    <t>CHQ NO ::201313</t>
  </si>
  <si>
    <t>REF 50940830201 ABU FAISAL</t>
  </si>
  <si>
    <t>REF 50940793965 ABU FAISAL AUTO</t>
  </si>
  <si>
    <t>TG CASH DEP TIME 12:36 PM</t>
  </si>
  <si>
    <t>11 08 25 CHQ NO 000151 5620270008729</t>
  </si>
  <si>
    <t>PHUB523097829</t>
  </si>
  <si>
    <t>06 08 25 CHQ 000743 AL SALIK TYRES</t>
  </si>
  <si>
    <t>PHUB523097749</t>
  </si>
  <si>
    <t>25081209103688820 PHUB523104911 12-08-25</t>
  </si>
  <si>
    <t>07 08 25 CHQ NO 000018 5620270008552</t>
  </si>
  <si>
    <t>PHUB523144281</t>
  </si>
  <si>
    <t>PHUB523139595</t>
  </si>
  <si>
    <t>PHUB521583409 KIWI MEDI</t>
  </si>
  <si>
    <t>50937712432 sky health</t>
  </si>
  <si>
    <t>PHUB523008064 MARIOT KITCHEN</t>
  </si>
  <si>
    <t>TG CASH DEP 12 08 2025 14:28</t>
  </si>
  <si>
    <t>PHUB523010083</t>
  </si>
  <si>
    <t>TG CASH DEPOIST @ 3 : 07 PM</t>
  </si>
  <si>
    <t>5620330001980+81+82+83+84</t>
  </si>
  <si>
    <t>PHUB522976683 ALHAILMARINESERV</t>
  </si>
  <si>
    <t>PHUB522704431 MTECH MARINE</t>
  </si>
  <si>
    <t>438277 11-08-25 BRIGHTWELL PRODUCTS</t>
  </si>
  <si>
    <t>PHUB522858119 11-08-25 AL KHALDIA</t>
  </si>
  <si>
    <t>TG CASH DEPOSIT 12 08 2025 15:11</t>
  </si>
  <si>
    <t>50947348594 5610720692036 PREM MOHAN</t>
  </si>
  <si>
    <t>BU SHAMES PHUB522958644</t>
  </si>
  <si>
    <t>50934077743 5620940003068</t>
  </si>
  <si>
    <t>tg cash deposit @16:30pm</t>
  </si>
  <si>
    <t>PHUB523097435</t>
  </si>
  <si>
    <t>TG CASH DEP DTD 12/08/2025</t>
  </si>
  <si>
    <t>TG CASH DEPOSIT 101021684598</t>
  </si>
  <si>
    <t>TG CASH DEPOSIT @ 17:26</t>
  </si>
  <si>
    <t>TG CASH DEP @17:26</t>
  </si>
  <si>
    <t>CHQ NO 000020 DT 06.08.25 AL BARAKAH 104030136</t>
  </si>
  <si>
    <t>CHQ NO 100060 DT 11.08.25 ANWAR AL TAREQ 802420101</t>
  </si>
  <si>
    <t>PHUB521038040 DT 07.08.25 ANWAR AL_DUIB_521038040</t>
  </si>
  <si>
    <t>TG CASH DEPOSIT 12-08-2025</t>
  </si>
  <si>
    <t>CHQ NO ::000225 DT07.08.2025 RUKN AL QAMAR 6034301</t>
  </si>
  <si>
    <t>PHUB523121041 DT 12.08.25 ALLIANZ MI_NBFU_52312104</t>
  </si>
  <si>
    <t>TG CASH DEPOSIT 101021684431</t>
  </si>
  <si>
    <t>CASH DEP THRU TG 102014199114</t>
  </si>
  <si>
    <t>11082025 PHUB522765276 5620270008750</t>
  </si>
  <si>
    <t>11082025 PHUB522879197 562027008744</t>
  </si>
  <si>
    <t>09082025 CHEQ000446  MOHAMMED ALI ARIF</t>
  </si>
  <si>
    <t>TG CASH DEPOSIT 7:38 PM</t>
  </si>
  <si>
    <t>RVSL 58-031-3834290 DTD 12-08-2025</t>
  </si>
  <si>
    <t>TG DEPOSIT 20:26</t>
  </si>
  <si>
    <t>26048947616  DTD 12-08-2025</t>
  </si>
  <si>
    <t>tg deposit</t>
  </si>
  <si>
    <t>26048974842  DTD 12-08-2025</t>
  </si>
  <si>
    <t>TG DPST 102013890357</t>
  </si>
  <si>
    <t>TG CASH DEP 20:38 PM</t>
  </si>
  <si>
    <t>TG CASH DEP 20:35</t>
  </si>
  <si>
    <t>CASH DEPSOIT TO ADCB THRU TG</t>
  </si>
  <si>
    <t>CASH TO ADCB THRU TG</t>
  </si>
  <si>
    <t>TG CASH DEPOSIT 101021722750 12-08-2025</t>
  </si>
  <si>
    <t>50952434207 SURESH SIVARAM</t>
  </si>
  <si>
    <t>CASH TG101022059762</t>
  </si>
  <si>
    <t>TG CASH DEPOSIT TIME 9.10</t>
  </si>
  <si>
    <t>865539 MOHAMMED IMAD ALI</t>
  </si>
  <si>
    <t>PAYMNT AGNST CHQ 364022</t>
  </si>
  <si>
    <t>CHEQ NO 000042 MAZEN AL FARDAN</t>
  </si>
  <si>
    <t>CASH ADCB THUR TG101021944061</t>
  </si>
  <si>
    <t>TG CASH DEPO @ 09:31 PM</t>
  </si>
  <si>
    <t>000002 STEPWELL MEDICAL</t>
  </si>
  <si>
    <t>209718  PROPHARMA MEDICAL</t>
  </si>
  <si>
    <t>TG CASH DEPOSITE 12-08-2025</t>
  </si>
  <si>
    <t>101021610108 CASH DEP ADCB THRU TG</t>
  </si>
  <si>
    <t>TG DEP TIME09:12PM</t>
  </si>
  <si>
    <t>PHUB523095226</t>
  </si>
  <si>
    <t>TG CASH DEPOSIT @ 21:33</t>
  </si>
  <si>
    <t>TG CASH DEPOSIT MBZ @ 20:09</t>
  </si>
  <si>
    <t>PHUB523287230 5620890004885 12-08-2025</t>
  </si>
  <si>
    <t>cash dpst thru tg 102013697404</t>
  </si>
  <si>
    <t>PHUB523076111  TARJAMA FZ LLC 12/08/2025</t>
  </si>
  <si>
    <t>PHUB523319239</t>
  </si>
  <si>
    <t>PHUB523290645</t>
  </si>
  <si>
    <t>50944864128-KHALED KHAMIS MOHD BUHAROON ALSHAMSI</t>
  </si>
  <si>
    <t>50945330769-KHALED KHAMIS MOHD BUHAROON ALSHAMSI</t>
  </si>
  <si>
    <t>5620410003702-5620410003701</t>
  </si>
  <si>
    <t>PHUB523006345</t>
  </si>
  <si>
    <t>50928120320-MOHAMAD YOUSEF MOHAMAD MOHAMAD</t>
  </si>
  <si>
    <t>0001-994052</t>
  </si>
  <si>
    <t>00321-948177</t>
  </si>
  <si>
    <t>00000-988670</t>
  </si>
  <si>
    <t>1252-994009</t>
  </si>
  <si>
    <t>23142-997459</t>
  </si>
  <si>
    <t>03231-994010</t>
  </si>
  <si>
    <t>00321-974815</t>
  </si>
  <si>
    <t>000051-992048</t>
  </si>
  <si>
    <t>565070-940894</t>
  </si>
  <si>
    <t>002058-976491</t>
  </si>
  <si>
    <t>000-947242</t>
  </si>
  <si>
    <t>000-991965</t>
  </si>
  <si>
    <t>0000-996532</t>
  </si>
  <si>
    <t>00321-940754</t>
  </si>
  <si>
    <t>0032-944992</t>
  </si>
  <si>
    <t>000-999106</t>
  </si>
  <si>
    <t>000034-993906</t>
  </si>
  <si>
    <t>000030-993906</t>
  </si>
  <si>
    <t>000143-993906</t>
  </si>
  <si>
    <t>000041-993906</t>
  </si>
  <si>
    <t>000084-993906</t>
  </si>
  <si>
    <t>000452-989473</t>
  </si>
  <si>
    <t>0000-970784</t>
  </si>
  <si>
    <t>00000-976852</t>
  </si>
  <si>
    <t>0000-992234</t>
  </si>
  <si>
    <t>00000-940371</t>
  </si>
  <si>
    <t>0000-941453</t>
  </si>
  <si>
    <t>00000-983282</t>
  </si>
  <si>
    <t>00000-994479</t>
  </si>
  <si>
    <t>00-993981</t>
  </si>
  <si>
    <t>000-985905</t>
  </si>
  <si>
    <t>000-994188</t>
  </si>
  <si>
    <t>000-942957</t>
  </si>
  <si>
    <t>000-948254</t>
  </si>
  <si>
    <t>00000-982841</t>
  </si>
  <si>
    <t>00321-948153</t>
  </si>
  <si>
    <t>000-999822</t>
  </si>
  <si>
    <t>009612-984863</t>
  </si>
  <si>
    <t>00000-982859</t>
  </si>
  <si>
    <t>140536-973385</t>
  </si>
  <si>
    <t>000283-997897</t>
  </si>
  <si>
    <t>001478-997896</t>
  </si>
  <si>
    <t>00000-999677</t>
  </si>
  <si>
    <t>000000-999677</t>
  </si>
  <si>
    <t>00000-985259</t>
  </si>
  <si>
    <t>00000-994786</t>
  </si>
  <si>
    <t>0000-993751</t>
  </si>
  <si>
    <t>000000-982841</t>
  </si>
  <si>
    <t>019566-970790</t>
  </si>
  <si>
    <t>00321-983408</t>
  </si>
  <si>
    <t>000000-974195</t>
  </si>
  <si>
    <t>TRF TO ALAWANEG</t>
  </si>
  <si>
    <t>PHUB522038595</t>
  </si>
  <si>
    <t>TRF FR EVOCA BANK-2022508050001729</t>
  </si>
  <si>
    <t>566711-5610580509731-11/08/25</t>
  </si>
  <si>
    <t>530PC49120A-5610580509787-12/08/25</t>
  </si>
  <si>
    <t>530PB2625A-5610580509788-12/08/25</t>
  </si>
  <si>
    <t>50960377625-5612240154616-13/08/25</t>
  </si>
  <si>
    <t>006926-5610160697700-12/08/25</t>
  </si>
  <si>
    <t>530P5009AEA1-5610790146379-12/08/25</t>
  </si>
  <si>
    <t>000676-5610120502993-12/08/25</t>
  </si>
  <si>
    <t>530P11F51238-5610790146387-13/08/25</t>
  </si>
  <si>
    <t>601788-5610140795197-13/08/25</t>
  </si>
  <si>
    <t>530PDE-5610720692111 ALI MOHAMED IBRAHEEM SALEM ALTENEJIJ-13</t>
  </si>
  <si>
    <t>000090-5610160697793-13/08/25</t>
  </si>
  <si>
    <t>000033-5610150432925/SUNIL BHASKAR-12/08/25</t>
  </si>
  <si>
    <t>FT25225J0228-5610140795199-13/08/25</t>
  </si>
  <si>
    <t>CURTIS-5610580509795-13/08/25</t>
  </si>
  <si>
    <t>500148-5610120503127-13/08/25</t>
  </si>
  <si>
    <t>101630-5610840574414-11/08/25</t>
  </si>
  <si>
    <t>000063-5614220045567-11/08/25</t>
  </si>
  <si>
    <t>000513-5610410588671-11/08/25</t>
  </si>
  <si>
    <t>203120-5610280639472-11/08/25</t>
  </si>
  <si>
    <t>ONLINE-5610230557215-12/08/25</t>
  </si>
  <si>
    <t>000026-5610270501701-12/08/25</t>
  </si>
  <si>
    <t>122B06--11/08/25</t>
  </si>
  <si>
    <t>ONLINE-5610340567505-12/08/25</t>
  </si>
  <si>
    <t>000031-5610840574662-12/08/25</t>
  </si>
  <si>
    <t>0492998252-5610190677415-13/08/25</t>
  </si>
  <si>
    <t>000355-5610580509504-05/08/25</t>
  </si>
  <si>
    <t>049299825225-5610240829423-13/08/25</t>
  </si>
  <si>
    <t>ONLINE-5610620346824-13/08/25</t>
  </si>
  <si>
    <t>ONLINE-5610620346825-13/08/25</t>
  </si>
  <si>
    <t>ONLINE-5610620346826-13/08/25</t>
  </si>
  <si>
    <t>255AUYN--13/08/25</t>
  </si>
  <si>
    <t>000151-5610340567449-11/08/25</t>
  </si>
  <si>
    <t>000015-5610760111104-12/08/25</t>
  </si>
  <si>
    <t>AHMED-5610720692174-13/08/25</t>
  </si>
  <si>
    <t>E32032--13/08/25</t>
  </si>
  <si>
    <t>withdrawal received</t>
  </si>
  <si>
    <t>TG CASH DEPT 20;40PM</t>
  </si>
  <si>
    <t>50790777400 / OSPREY MARINE</t>
  </si>
  <si>
    <t>PHUB520805068 / BESTTRUST</t>
  </si>
  <si>
    <t>000626 - AL KOUSER GEN</t>
  </si>
  <si>
    <t>PHUB523322455 HAMED SOLIMAN 2888321</t>
  </si>
  <si>
    <t>SALARY</t>
  </si>
  <si>
    <t>CHQ NO ::001665</t>
  </si>
  <si>
    <t xml:space="preserve"> CHQ NO ::001666</t>
  </si>
  <si>
    <t>CHQ NO ::001664</t>
  </si>
  <si>
    <t>PHUB520763327 6 aug 2025</t>
  </si>
  <si>
    <t>000182/NAJMAT AL SAHRAA</t>
  </si>
  <si>
    <t>000034/AL ADEL</t>
  </si>
  <si>
    <t>50960554745/SHYAM SUNDER</t>
  </si>
  <si>
    <t>PHUB523435693</t>
  </si>
  <si>
    <t>AGAINST PHUB523463056</t>
  </si>
  <si>
    <t>50962578980 GEORGY THOMAS</t>
  </si>
  <si>
    <t>PHUB523495362 RAMESH OR</t>
  </si>
  <si>
    <t>PHUB523442000 RAMESH OR</t>
  </si>
  <si>
    <t>TG CASH DEPOSIT @ 11:46</t>
  </si>
  <si>
    <t>50962602282/SANTHANAM</t>
  </si>
  <si>
    <t>50962630174/SANTHANAM</t>
  </si>
  <si>
    <t>PHUB523418109/RASHID</t>
  </si>
  <si>
    <t>PHUB523475733 13-08-25 NAJIMAT AL IBDAA</t>
  </si>
  <si>
    <t>TG CASH DPST 13.08.2025 TIME 12.12PM</t>
  </si>
  <si>
    <t>50955028710/MAHDI</t>
  </si>
  <si>
    <t xml:space="preserve"> INITIATIVE PHUB523368703 13/08/2025</t>
  </si>
  <si>
    <t>000356 12AUG2025 ALAMEEMI BERRY WOOD</t>
  </si>
  <si>
    <t>50959004251 FATIMA ZAHRA</t>
  </si>
  <si>
    <t>PHUB523568677 13AUG2025 MAKANI BUILDING</t>
  </si>
  <si>
    <t>PHUB523558087 13-08-25 BLUE OCEAN</t>
  </si>
  <si>
    <t>PHUB523565847/ASF TRADING</t>
  </si>
  <si>
    <t>cash depsoit thrgh tg</t>
  </si>
  <si>
    <t>TG CASH DEPOSIT AT 14:25</t>
  </si>
  <si>
    <t>PHUB523588178</t>
  </si>
  <si>
    <t>PHUB523593435 TARJAMA FZ LLC 130825</t>
  </si>
  <si>
    <t>13AUG2025 PHUB523543515 5610450422826</t>
  </si>
  <si>
    <t>PHUB523613837</t>
  </si>
  <si>
    <t>PHUB523617447</t>
  </si>
  <si>
    <t>50967870700 FTRN 5610890092504 2505 2507 13 08 25</t>
  </si>
  <si>
    <t>004136 TOP SPEED PERFORMANCE PARTS</t>
  </si>
  <si>
    <t>PHUB523222684</t>
  </si>
  <si>
    <t>PHUB523612017 WU 1241422137</t>
  </si>
  <si>
    <t>13AUG2025 PHUB523602873 5620450001901</t>
  </si>
  <si>
    <t>8749339 - STANFORD MARINE ##RE-1944797##</t>
  </si>
  <si>
    <t>PHUB523624611 13-08-25 FRONTIER AUTOMOTIVE</t>
  </si>
  <si>
    <t>TG CASH DEP@15:21-15:24</t>
  </si>
  <si>
    <t>TG CASH DEPOSITED@3.57PM</t>
  </si>
  <si>
    <t>12082025 cheq000167 5620270008748</t>
  </si>
  <si>
    <t>12082025 chq002400 5620270008752</t>
  </si>
  <si>
    <t>12082025 cheq000283 5620270008746</t>
  </si>
  <si>
    <t>TG CASH DEPOSIT @ 16:18</t>
  </si>
  <si>
    <t>13AUG2025 PHUB523543515 5620450001896</t>
  </si>
  <si>
    <t>PHUB523345034 TXN 1330140007944 FCY USD</t>
  </si>
  <si>
    <t>12082025 chq002401 5620270008751</t>
  </si>
  <si>
    <t>1308205 PHUB523613029 5620270008759</t>
  </si>
  <si>
    <t>CHEQUE DEPOSIT 010582 DT 12.08.2025</t>
  </si>
  <si>
    <t>TG CASH DEPO 16:32</t>
  </si>
  <si>
    <t>TG CASH DEPOSIT 17:09PM</t>
  </si>
  <si>
    <t>PHUB523505239</t>
  </si>
  <si>
    <t>CASH DEP TO ADCB THRU TG 102013983361</t>
  </si>
  <si>
    <t>TG CASH DEPOSIT @ 17:20</t>
  </si>
  <si>
    <t>5620890004882 PHUB523435577 13-8-25</t>
  </si>
  <si>
    <t>THROUGH TG 102013847895  102013847891</t>
  </si>
  <si>
    <t>TG CASH DEPT AT 18:18</t>
  </si>
  <si>
    <t>TG DEPOSIT - 13AUG2025 - 18:19</t>
  </si>
  <si>
    <t>AED 430K DEPOSIT TO ADCB THROUGH TG</t>
  </si>
  <si>
    <t>310K AED DEPO TO ADCB VIA TG</t>
  </si>
  <si>
    <t>PHUB523594499</t>
  </si>
  <si>
    <t>aed trgr trg tg</t>
  </si>
  <si>
    <t>CASH DEPOSIT THROUGH LOOMIS</t>
  </si>
  <si>
    <t>CASH DPST TO ADCB THRU TG</t>
  </si>
  <si>
    <t>50975486181/JEBA PRAKASH</t>
  </si>
  <si>
    <t>260K AED THRU TG</t>
  </si>
  <si>
    <t>TG DEPOSIT 100009731471</t>
  </si>
  <si>
    <t>5620920011947 22801 ##RE-1945026##</t>
  </si>
  <si>
    <t>TG CASH DEP 20:55</t>
  </si>
  <si>
    <t>TG ADCB DEPOSIT 102013510315</t>
  </si>
  <si>
    <t>002326 13AUG2025 DUBAI SKY INDUSTRIAL</t>
  </si>
  <si>
    <t>CHEQ NO 00034 MAZEN H ALFARDAN</t>
  </si>
  <si>
    <t>CHEQ NO 000035 MAZEN H ALFARDAN</t>
  </si>
  <si>
    <t>TG CASH DEPOSIT UAQ</t>
  </si>
  <si>
    <t>TG CASH DEP KARAMA BR 20:43</t>
  </si>
  <si>
    <t>CASH DEPST TO ADCB THGH TG 101021944063</t>
  </si>
  <si>
    <t>tg cash depoist</t>
  </si>
  <si>
    <t>000463 AL KARAWAN 7417054</t>
  </si>
  <si>
    <t>RVSL TXN 3835537</t>
  </si>
  <si>
    <t>tg cah deposit @ 9.30</t>
  </si>
  <si>
    <t>TG DEPOSIT 20:21 PM</t>
  </si>
  <si>
    <t>ANIS MOULEHI 13082025</t>
  </si>
  <si>
    <t>TG CASH DEPO @ 09:54PM</t>
  </si>
  <si>
    <t>REF NO 000001 959687 ABDUL KHADAR</t>
  </si>
  <si>
    <t>CASH DEP THRO TG 101021610109</t>
  </si>
  <si>
    <t>TG CASH DEPOSIT MBZ @ 20:05</t>
  </si>
  <si>
    <t>PHUB523761908 5620630000795</t>
  </si>
  <si>
    <t>5620630000796 PHUB523762551</t>
  </si>
  <si>
    <t>CHQ NO:008276 TWO TXN AL KHUMAS</t>
  </si>
  <si>
    <t>00000-945922</t>
  </si>
  <si>
    <t>002261-984841</t>
  </si>
  <si>
    <t>007759-984703</t>
  </si>
  <si>
    <t>000-986791</t>
  </si>
  <si>
    <t>007760-984703</t>
  </si>
  <si>
    <t>000-993685</t>
  </si>
  <si>
    <t>000587-974868</t>
  </si>
  <si>
    <t>00321-984438</t>
  </si>
  <si>
    <t>007761-984703</t>
  </si>
  <si>
    <t>000391-984826</t>
  </si>
  <si>
    <t>00000-977185</t>
  </si>
  <si>
    <t>00321-981025</t>
  </si>
  <si>
    <t>0000-942493</t>
  </si>
  <si>
    <t>005153-996238</t>
  </si>
  <si>
    <t>00-995976</t>
  </si>
  <si>
    <t>00-997392</t>
  </si>
  <si>
    <t>000-940796</t>
  </si>
  <si>
    <t>0000-940796</t>
  </si>
  <si>
    <t>1252-995911</t>
  </si>
  <si>
    <t>00000-993747</t>
  </si>
  <si>
    <t>0000-987610</t>
  </si>
  <si>
    <t>00000-984637</t>
  </si>
  <si>
    <t>000040-984637</t>
  </si>
  <si>
    <t>000-941381</t>
  </si>
  <si>
    <t>0000000-999757</t>
  </si>
  <si>
    <t>0032-943893</t>
  </si>
  <si>
    <t>000-972365</t>
  </si>
  <si>
    <t>000000-989033</t>
  </si>
  <si>
    <t>00000-985644</t>
  </si>
  <si>
    <t>0000-981552</t>
  </si>
  <si>
    <t>000-982930</t>
  </si>
  <si>
    <t>000-942667</t>
  </si>
  <si>
    <t>0003-973483</t>
  </si>
  <si>
    <t>ABDUL-5610140795233-14/08/25</t>
  </si>
  <si>
    <t>FT25225-5610770625649-13/08/25</t>
  </si>
  <si>
    <t>PHUB52-5610770625583-13/08/25</t>
  </si>
  <si>
    <t>FT2522-5610770625563-12/08/25</t>
  </si>
  <si>
    <t>00038-5610770625548-12/08/25</t>
  </si>
  <si>
    <t>FT2522-5610770625624-13/08/25</t>
  </si>
  <si>
    <t>PHUB52-5610770625478-11/08/25</t>
  </si>
  <si>
    <t>049299-5610770625180-07/08/25</t>
  </si>
  <si>
    <t>001529-5610910417513-11/08/25</t>
  </si>
  <si>
    <t>001529-5610910417514-11/08/25</t>
  </si>
  <si>
    <t>THAER-5610140795241-14/08/25</t>
  </si>
  <si>
    <t>500513-5610910417528-11/08/25</t>
  </si>
  <si>
    <t>527833-EWPS-1057881-202507-12/08/25</t>
  </si>
  <si>
    <t>MANORANJAN-5610720692215-14/08/25</t>
  </si>
  <si>
    <t>000091-5610160697809-13/08/25</t>
  </si>
  <si>
    <t>ONLINE-5610340567599-14/08/25</t>
  </si>
  <si>
    <t>REUBEN-PHUB523209624/reuben/12-Aug-2025-12/08/25</t>
  </si>
  <si>
    <t>FT25226DCG3G-5610920180351-14/08/25</t>
  </si>
  <si>
    <t>000706--13/08/25</t>
  </si>
  <si>
    <t>000917-5610980259456-13/08/25</t>
  </si>
  <si>
    <t>ONLINE-5610620346870-14/08/25</t>
  </si>
  <si>
    <t>012159-5610860150755-09/08/25</t>
  </si>
  <si>
    <t>533-EWPS-19955-202508-13/08/25</t>
  </si>
  <si>
    <t>533-1-EWPS-19955-202508-13/08/25</t>
  </si>
  <si>
    <t>BFG-5610630326868-14/08/25</t>
  </si>
  <si>
    <t>391485-5610110938524-12/08/25</t>
  </si>
  <si>
    <t>000208-5610110938608-13/08/25</t>
  </si>
  <si>
    <t>002484-5610110938548-12/08/25</t>
  </si>
  <si>
    <t>26AR55-5610160698042-14/08/25</t>
  </si>
  <si>
    <t>SARTAJ-5610230557272-13/08/25</t>
  </si>
  <si>
    <t>363650-5610230557313-14/08/25</t>
  </si>
  <si>
    <t>SAKHLESPUR-5610230557265-13/08/25</t>
  </si>
  <si>
    <t>MBETRADING-5610230557316-14/08/25</t>
  </si>
  <si>
    <t>FT25226NTTR-5613610144198-14/08/25</t>
  </si>
  <si>
    <t>D3AD50-5610670445449-14/08/25</t>
  </si>
  <si>
    <t>000505-5610840574967-14/08/25</t>
  </si>
  <si>
    <t>PHUB523598669 / GLOBAL LOGISTIC SERVICES CO LLC</t>
  </si>
  <si>
    <t>PHUB523676147 zahi</t>
  </si>
  <si>
    <t>PHUB5236336807 RAMZI ASSA</t>
  </si>
  <si>
    <t>50984100819 - 5610720692181</t>
  </si>
  <si>
    <t>PHUB523814430 DT 14-Aug-2025</t>
  </si>
  <si>
    <t>WLC1308251455322 RE-1945266</t>
  </si>
  <si>
    <t>AGAINST PHUB523115563</t>
  </si>
  <si>
    <t>AGAINST PHUB522231356</t>
  </si>
  <si>
    <t>PHUB521503203/ AAA FREIGHT (AIZAZ)</t>
  </si>
  <si>
    <t>PHUB523672578</t>
  </si>
  <si>
    <t>PHUB523824948 SUNIL KUMA_</t>
  </si>
  <si>
    <t>PHUB523883211-5610720692214</t>
  </si>
  <si>
    <t>PHUB523893655-5610720692214</t>
  </si>
  <si>
    <t>PHUB523849390 5620850000650</t>
  </si>
  <si>
    <t>PHUB523846184 5620850000649</t>
  </si>
  <si>
    <t>TG CASH DEPOSITED @11:53</t>
  </si>
  <si>
    <t>50965214850 5610530596283</t>
  </si>
  <si>
    <t>50948909064 5610530596283</t>
  </si>
  <si>
    <t>50948942222 5610530596283</t>
  </si>
  <si>
    <t>50948979130 5610530596283</t>
  </si>
  <si>
    <t>TH CASH DEPOSITED DTD 14082025</t>
  </si>
  <si>
    <t>REF PHUB523987346 GOLDEN SEAL 14-08-25</t>
  </si>
  <si>
    <t>ADCB deposit through TG 101021670853</t>
  </si>
  <si>
    <t>PHUB523920768 GOLDEN TULIPS HOTEL</t>
  </si>
  <si>
    <t>PHUB523934910</t>
  </si>
  <si>
    <t>2536841525 IBTRF B/O ZAHRAT AMMAN TRADING</t>
  </si>
  <si>
    <t>2536842518 IBTRF B/O ZAHRAT AMMAN TRADING</t>
  </si>
  <si>
    <t>2536843791 IBTRF B/O ZAHRAT AMMAN TRADING</t>
  </si>
  <si>
    <t>2537364977 IBTRF B/O ZAHRAT AMMAN TRADING</t>
  </si>
  <si>
    <t>2537365352 IBTRF B/O ZAHRAT AMMAN TRADING</t>
  </si>
  <si>
    <t>2539500269 IBTRF B/O ZAHRAT AMMAN TRADING</t>
  </si>
  <si>
    <t>2539501068 IBTRF B/O ZAHRAT AMMAN TRADING</t>
  </si>
  <si>
    <t>2539502419 IBTRF B/O ZAHRAT AMMAN TRADING</t>
  </si>
  <si>
    <t>2535488553 IBTRF B/O ZAHRAT AMMAN TRADING</t>
  </si>
  <si>
    <t>2535492018 IBTRF B/O ZAHRAT AMMAN TRADING</t>
  </si>
  <si>
    <t>2535490382 IBTRF B/O ZAHRAT AMMAN TRADING</t>
  </si>
  <si>
    <t>PHUB522545906/CHAMPIONS/11-08-2025</t>
  </si>
  <si>
    <t>CSH DEP TO ADCB THRU TG 101022063275</t>
  </si>
  <si>
    <t>5620820003581 PHUB524026768</t>
  </si>
  <si>
    <t>PHUB524038752</t>
  </si>
  <si>
    <t>000036 / AL ADEL AUTOMATIC</t>
  </si>
  <si>
    <t>000034 / AL RABBONI LABLE TRADING</t>
  </si>
  <si>
    <t>220K AED DEPO TO ADCB VIA TG</t>
  </si>
  <si>
    <t>5620690018990 tout and kiwi 13-Aug-2025</t>
  </si>
  <si>
    <t>TG CASH DEPOSIT @ 04 :40 PM</t>
  </si>
  <si>
    <t>5620690018996 MED TECH 14-Aug-2025</t>
  </si>
  <si>
    <t>26092413760 BARKHA RAHUL MALLY</t>
  </si>
  <si>
    <t>PHUB523850538</t>
  </si>
  <si>
    <t>TG CASH DEP @ 5.:12PM</t>
  </si>
  <si>
    <t>TG CASH DEPOSI T@ 17:02</t>
  </si>
  <si>
    <t>TG CASH DEP TIME 17:30</t>
  </si>
  <si>
    <t>PHUB524022413 bilrs 14-08-2025</t>
  </si>
  <si>
    <t>PHUB524006665 APT GLOBAL MARINE</t>
  </si>
  <si>
    <t>PHUB523589994</t>
  </si>
  <si>
    <t>PHUB523397888</t>
  </si>
  <si>
    <t>TG CASH DEPOSIT 101021684433</t>
  </si>
  <si>
    <t>TG CASH DEPOSIT 14-08-2025</t>
  </si>
  <si>
    <t>PHUB524003536</t>
  </si>
  <si>
    <t>PHUB524121858</t>
  </si>
  <si>
    <t>TG CASH DEP AT 18:54</t>
  </si>
  <si>
    <t>CASH DEPOSIT THRU TG 102014161878</t>
  </si>
  <si>
    <t>TG CASH DEPOSIT 101021684599</t>
  </si>
  <si>
    <t>PHUB523635832</t>
  </si>
  <si>
    <t>ONLINE REF# 50994496799, HID # 1945896</t>
  </si>
  <si>
    <t>SHAMS AL NOOR PHUB524106601</t>
  </si>
  <si>
    <t>AED DEPOSIT THRU TRANS GUARD</t>
  </si>
  <si>
    <t>50998955476 140825 5620590008342</t>
  </si>
  <si>
    <t>PHUB523986880 5620890004888 14-08-2025</t>
  </si>
  <si>
    <t>PHUB524048577 MARIOT KITCHEN</t>
  </si>
  <si>
    <t>TG CASH DEP MBZ 20:21 PM</t>
  </si>
  <si>
    <t>PAYMTN AGNST CHQ 215098</t>
  </si>
  <si>
    <t>50980273113 RANJIT KEDIA NARAYAN</t>
  </si>
  <si>
    <t>TG CASH DEPOSIT TIME 20:14</t>
  </si>
  <si>
    <t>cash dep to adcb thru tg101021756068</t>
  </si>
  <si>
    <t>160k aed thru tg</t>
  </si>
  <si>
    <t>000004 STEPWELL</t>
  </si>
  <si>
    <t>CASH DEPOSIT TRU TG</t>
  </si>
  <si>
    <t>TG CASH DEPOSIT SLIP MARFA BR-14-08-2025</t>
  </si>
  <si>
    <t>TG CASH DEP 14-08-2025 AT 09-03</t>
  </si>
  <si>
    <t>TG DEPOST BAG NO 102013857409</t>
  </si>
  <si>
    <t>TG CASH AED 300,000 21:00</t>
  </si>
  <si>
    <t>TG CASH DEPOSIT TIME 9.15PM</t>
  </si>
  <si>
    <t>TG CASH DEPO @ 09: 19PM</t>
  </si>
  <si>
    <t>PHUB524141346 HYDRA MARINE EQIP</t>
  </si>
  <si>
    <t>000170 / AL AQSAR INDUSTRIES</t>
  </si>
  <si>
    <t>TG 102014181358</t>
  </si>
  <si>
    <t>TG CSH DPST DTD 14-08-2025 AT 21:34 PM</t>
  </si>
  <si>
    <t>CD TO ADCB TRHU TG</t>
  </si>
  <si>
    <t>102010144487 CASH DEP ADCB THRU TG</t>
  </si>
  <si>
    <t>TG CASH DEP 21:31</t>
  </si>
  <si>
    <t>000906 / ANWAR AL RIFAI</t>
  </si>
  <si>
    <t>000907 /  ANWAR AL RIFAI</t>
  </si>
  <si>
    <t>TG DEPOSIT 102013890358</t>
  </si>
  <si>
    <t>005762- aLSAFA</t>
  </si>
  <si>
    <t>005761 AL SAFA CORNER</t>
  </si>
  <si>
    <t>000000-940739</t>
  </si>
  <si>
    <t>0000-993755</t>
  </si>
  <si>
    <t>000-999720</t>
  </si>
  <si>
    <t>00000-942204</t>
  </si>
  <si>
    <t>00000-974195</t>
  </si>
  <si>
    <t>000-987362</t>
  </si>
  <si>
    <t>00-987362</t>
  </si>
  <si>
    <t>0000-994004</t>
  </si>
  <si>
    <t>0000-987222</t>
  </si>
  <si>
    <t>00321-945855</t>
  </si>
  <si>
    <t>0014-940566</t>
  </si>
  <si>
    <t>00-989843</t>
  </si>
  <si>
    <t>000163-988068</t>
  </si>
  <si>
    <t>0012-992211</t>
  </si>
  <si>
    <t>00000-970889</t>
  </si>
  <si>
    <t>00000-992549</t>
  </si>
  <si>
    <t>0000000-992549</t>
  </si>
  <si>
    <t>00000-993973</t>
  </si>
  <si>
    <t>00000-988210</t>
  </si>
  <si>
    <t>0000-984531</t>
  </si>
  <si>
    <t>000-944163</t>
  </si>
  <si>
    <t>00000000-942183</t>
  </si>
  <si>
    <t>000000-987169</t>
  </si>
  <si>
    <t>00000000-945085</t>
  </si>
  <si>
    <t>00000000-984539</t>
  </si>
  <si>
    <t>00000000-988607</t>
  </si>
  <si>
    <t>00000000-991693</t>
  </si>
  <si>
    <t>00000000-991694</t>
  </si>
  <si>
    <t>00000000 00-991695</t>
  </si>
  <si>
    <t>0000-944530</t>
  </si>
  <si>
    <t>0000-984608</t>
  </si>
  <si>
    <t>000461-5610690691666-13/08/25</t>
  </si>
  <si>
    <t>000332-5610690691720-14/08/25</t>
  </si>
  <si>
    <t>000333-5610690691721-14/08/25</t>
  </si>
  <si>
    <t>000008-5613510104337-14/08/25</t>
  </si>
  <si>
    <t>FAIZ-5610610599485-15/08/25</t>
  </si>
  <si>
    <t>AFRA-5610610598808-06/08/25</t>
  </si>
  <si>
    <t>001269-5610270501785-13/08/25</t>
  </si>
  <si>
    <t>NASSER-5610140795283-15/08/25</t>
  </si>
  <si>
    <t>227A331-5610160698221-15/08/25</t>
  </si>
  <si>
    <t>PRADEEP-5610140795286-15/08/25</t>
  </si>
  <si>
    <t>113082524148-5613010118039-13/08/25</t>
  </si>
  <si>
    <t>000063-5610140795293-15/08/25</t>
  </si>
  <si>
    <t>500032-5610450423582-15/08/25</t>
  </si>
  <si>
    <t>FATIHA-5610580509864-15/08/25</t>
  </si>
  <si>
    <t>000135-5610690690500-31/07/25</t>
  </si>
  <si>
    <t>000002-5610330820558-14/08/25</t>
  </si>
  <si>
    <t>508065-5610110938600-13/08/25</t>
  </si>
  <si>
    <t>004632-5610910417726-14/08/25</t>
  </si>
  <si>
    <t>CD1CG-5610160698280-15/08/25</t>
  </si>
  <si>
    <t>534481-5610160698290-15/08/25</t>
  </si>
  <si>
    <t>337693X143-5610190677546-15/08/25</t>
  </si>
  <si>
    <t>AMIT-5610580509872-15/08/25</t>
  </si>
  <si>
    <t>SUSAI-5610110938734-15/08/25</t>
  </si>
  <si>
    <t>201621-5610410588921-15/08/25</t>
  </si>
  <si>
    <t>825227B1PH-5610240829661-15/08/25</t>
  </si>
  <si>
    <t>ONLINE-5610620346919 KUNHI KRISHNAN SAMI KUTTY-15/08/25</t>
  </si>
  <si>
    <t>ONLINE-5610620346915 NIDAL KHALIL ISSA ABUZIR-15/08/25</t>
  </si>
  <si>
    <t>RASHMI--15/08/25</t>
  </si>
  <si>
    <t>TRF ADCB USD | Reversed - 8001-0534-2025-014440</t>
  </si>
  <si>
    <t>CHQ NO 78282</t>
  </si>
  <si>
    <t>PHUB523533935</t>
  </si>
  <si>
    <t>CHQ NO 078266</t>
  </si>
  <si>
    <t>PHUB523584007</t>
  </si>
  <si>
    <t>PHUB521876554</t>
  </si>
  <si>
    <t>PHUB522630414</t>
  </si>
  <si>
    <t>535-SUBLEDGER UPLOAD</t>
  </si>
  <si>
    <t>00001-5610690691171</t>
  </si>
  <si>
    <t>51002119167 - 5610720692276</t>
  </si>
  <si>
    <t>HAMIDA BUILDING 51003693805</t>
  </si>
  <si>
    <t>PHUB524130967 al hail marine services</t>
  </si>
  <si>
    <t>50985325767 5620940003116</t>
  </si>
  <si>
    <t>PHUB524252708</t>
  </si>
  <si>
    <t>PHUB524310441-5610720692289-2290</t>
  </si>
  <si>
    <t>CHQ NO 000016 DT 13.08.25 JAMSHAID MUNEER</t>
  </si>
  <si>
    <t>PHIUB523920764</t>
  </si>
  <si>
    <t>PHUB524378253 15082025</t>
  </si>
  <si>
    <t>PHUB524251613</t>
  </si>
  <si>
    <t>PHUB524275052 HAMZA 5610780530168</t>
  </si>
  <si>
    <t>CHQ NO 000047 DT  13.08.25 AL NAJM AL BURAQ</t>
  </si>
  <si>
    <t>CHQ NO ::000148 DT12.08.25 AL FAJR AL SATEE</t>
  </si>
  <si>
    <t>CHQ NO ::000004 DT 12.08.25 MOHAMMAD REZA</t>
  </si>
  <si>
    <t>CHQ NO ::000057 DT 12.08.25 NAJMAT AL MADINA</t>
  </si>
  <si>
    <t>CHQ NO 000033 DT 12.08.25 SAQR AL SHARQ 703320106</t>
  </si>
  <si>
    <t>CHQ NO ::000007 DT 12.08.25 MALIK KHALIQ</t>
  </si>
  <si>
    <t>PHUB522658556 DT 11.08.25 ALFATHIR U_BOML</t>
  </si>
  <si>
    <t>PHUB524423562 - 5610720692300</t>
  </si>
  <si>
    <t>CHQ NO ::000226 DT 13.08.25 RUKN AL QAMAR USED</t>
  </si>
  <si>
    <t>CHQ NO ::000025 DT 12.08.25 AL BARAKH</t>
  </si>
  <si>
    <t>PHUB523699371 CSS KINGSTON 5620590008334</t>
  </si>
  <si>
    <t>PHUB524000413 SHAIKH MOHAMMED SULTAN</t>
  </si>
  <si>
    <t>101022063274 cash dep to adcb thg tg</t>
  </si>
  <si>
    <t>14082025 cheq000025 5620270008745</t>
  </si>
  <si>
    <t>PHUB524427230 DT 15-Aug-2025</t>
  </si>
  <si>
    <t>51008815477/RITA /15-08-2025</t>
  </si>
  <si>
    <t>TG CASH DEP AL HAYER BR TIME:14:07PM</t>
  </si>
  <si>
    <t>PHUB524444493</t>
  </si>
  <si>
    <t>PHUB524452160/ FIRST INTERNATIONAL</t>
  </si>
  <si>
    <t>PHUB524453311/FIRST INTERNATIONAL</t>
  </si>
  <si>
    <t>PHUB524410943/RUKN AL TALEEM</t>
  </si>
  <si>
    <t>000648 13-08-25 TRU CARE</t>
  </si>
  <si>
    <t>000294 14-08-25 SOUGAN ELECTRICAL</t>
  </si>
  <si>
    <t>PHUB524385509</t>
  </si>
  <si>
    <t>TG CASH DEPOSIT 15 08 2025 15:17 SWEIHAN</t>
  </si>
  <si>
    <t>PHUB524418983 1330540016402</t>
  </si>
  <si>
    <t>PHUB524435530- PURANMAL RESTAURANT</t>
  </si>
  <si>
    <t>PHUB523588557 13-08-25 AL KHALDIA HAJ</t>
  </si>
  <si>
    <t>1330230021316 FCY</t>
  </si>
  <si>
    <t>000026 14-08-25 KAMAL JAN SHINWARI</t>
  </si>
  <si>
    <t>000183 13-08-25 BAIT AL NUJOOM</t>
  </si>
  <si>
    <t>438282 14-08-25 BRIGHTWELL</t>
  </si>
  <si>
    <t>PHUB524040496 14-08-25 PNEUMA SHIPPING</t>
  </si>
  <si>
    <t>PHUB524423125 siam</t>
  </si>
  <si>
    <t>PHUB524505585</t>
  </si>
  <si>
    <t>TG CASH DEPOSITED 5.13</t>
  </si>
  <si>
    <t>deposit</t>
  </si>
  <si>
    <t>CASH DEP THRU TG 101022077611</t>
  </si>
  <si>
    <t>PHUB524478742 5620560007880</t>
  </si>
  <si>
    <t>TG CASH DEPOSIT 101021684601</t>
  </si>
  <si>
    <t>PHUB524384015</t>
  </si>
  <si>
    <t>ONLINE REF# PHUB524241529, HID# 1946104</t>
  </si>
  <si>
    <t>51017428377 dtd 15.08.25</t>
  </si>
  <si>
    <t>PHUB524315038 15-08-25 BLUE OCEAN</t>
  </si>
  <si>
    <t>TG CASH DEP @15:28-15:31</t>
  </si>
  <si>
    <t>CASH DEPOSITED TO TG 150825 1557</t>
  </si>
  <si>
    <t>TG CASH DEPOSIT 7:48</t>
  </si>
  <si>
    <t>TG CASH DEP 20:10</t>
  </si>
  <si>
    <t>cash deposit to tg</t>
  </si>
  <si>
    <t>51019727069 SAFARATH SHAFI KALLUVALAPPU</t>
  </si>
  <si>
    <t>PHUB523920763 HASSAN I AL FARDAN R E</t>
  </si>
  <si>
    <t>TG CASH DEP 20:22 PM</t>
  </si>
  <si>
    <t>TG CASH DEPT 20;34 PM</t>
  </si>
  <si>
    <t>54730812254486 REFUNDED TO SHOFIQUL ISLAM</t>
  </si>
  <si>
    <t>TG 101021992572</t>
  </si>
  <si>
    <t>TG DEPOSIT 101022059761</t>
  </si>
  <si>
    <t>AED deposited trhgh TG</t>
  </si>
  <si>
    <t>PHUB524430342 / BURJ AL RAYHAN</t>
  </si>
  <si>
    <t>6247590 AJMAL TR LLC</t>
  </si>
  <si>
    <t>cash dep thru tg</t>
  </si>
  <si>
    <t>TG 101022131373</t>
  </si>
  <si>
    <t>PHUB524432102</t>
  </si>
  <si>
    <t>000325- JAYDEEP</t>
  </si>
  <si>
    <t>TG CASH DEPOSIT @ 21:18</t>
  </si>
  <si>
    <t>CASH SENT THRU TG 101021654630</t>
  </si>
  <si>
    <t>AED DPST TO ADCB THR TG101021381946</t>
  </si>
  <si>
    <t>000106 R T S GENERAL</t>
  </si>
  <si>
    <t>CHQ NO ::001669</t>
  </si>
  <si>
    <t>RE-1945729</t>
  </si>
  <si>
    <t>T G CASH DEP 21:39 PM</t>
  </si>
  <si>
    <t>CASH DEP THRU TG 101021741565</t>
  </si>
  <si>
    <t>100761 15-08-25 SEVEN STARS OIL FIELDS</t>
  </si>
  <si>
    <t>438288 15-08-25 BRIGHTWELL</t>
  </si>
  <si>
    <t>tg csh dep 21.14 pm</t>
  </si>
  <si>
    <t>000090 15-08-25 ARAK TRUCK</t>
  </si>
  <si>
    <t>TG CSH DPST DTD 15-08-2025 AT 21:49 PM</t>
  </si>
  <si>
    <t>000358 15AUG2025 ALAMEEMI BERRY WOOD</t>
  </si>
  <si>
    <t>CHQ NO ::008256</t>
  </si>
  <si>
    <t>001670 ASHTAR AC DEVICES TR LLC</t>
  </si>
  <si>
    <t>003133 DOLPHIN</t>
  </si>
  <si>
    <t>003134 DOLPHIN HIGH PRESSURE</t>
  </si>
  <si>
    <t>CHEQ NO 000098 RABAB JAFFAR</t>
  </si>
  <si>
    <t>PHUB524470869</t>
  </si>
  <si>
    <t>00321-945647</t>
  </si>
  <si>
    <t>0031-945488</t>
  </si>
  <si>
    <t>00000-988431</t>
  </si>
  <si>
    <t>00000-984042</t>
  </si>
  <si>
    <t>000000-947985</t>
  </si>
  <si>
    <t>000000-986647</t>
  </si>
  <si>
    <t>000-985415</t>
  </si>
  <si>
    <t>000000-994355</t>
  </si>
  <si>
    <t>0000000-978494</t>
  </si>
  <si>
    <t>000-986947</t>
  </si>
  <si>
    <t>00000-978494</t>
  </si>
  <si>
    <t>000000-978494</t>
  </si>
  <si>
    <t>0000-992291</t>
  </si>
  <si>
    <t>0000-999677</t>
  </si>
  <si>
    <t>136830-5612230162142-15/08/25</t>
  </si>
  <si>
    <t>625826-CHQ 625826/RAJAN/16-08-2025-15/08/25</t>
  </si>
  <si>
    <t>LAMCO-PHUB523998469/LAMCO/14-Aug-2025-15/08/25</t>
  </si>
  <si>
    <t>CLIMA-PHUB523984972/CLIMA/16-08-2025-14/08/25</t>
  </si>
  <si>
    <t>633234-5610140795328-16/08/25</t>
  </si>
  <si>
    <t>001137-5610160698418-16/08/25</t>
  </si>
  <si>
    <t>PHUB52-5610630326954-16/08/25</t>
  </si>
  <si>
    <t>530P125D-5614120079633-15/08/25</t>
  </si>
  <si>
    <t>EPHCOP-5610770625673-14/08/25</t>
  </si>
  <si>
    <t>MLC1408-5610770625740-14/08/25</t>
  </si>
  <si>
    <t>EPHCOP-5610770625757-15/08/25</t>
  </si>
  <si>
    <t>011608-5610770625822-16/08/25</t>
  </si>
  <si>
    <t>FT25228-5610770625829-16/08/25</t>
  </si>
  <si>
    <t>002784-5610110938631-14/08/25</t>
  </si>
  <si>
    <t>JACOB-5610140795403-16/08/25</t>
  </si>
  <si>
    <t>INDERRAJ--16/08/25</t>
  </si>
  <si>
    <t>001140-5610670445553-16/08/25</t>
  </si>
  <si>
    <t>911dfb37-5610610599566-16/08/25</t>
  </si>
  <si>
    <t>04929852522-5610170455214-13/08/25</t>
  </si>
  <si>
    <t>000040--15/08/25</t>
  </si>
  <si>
    <t>500976-5613010117813-10/08/25</t>
  </si>
  <si>
    <t>000019-5610690691809-15/08/25</t>
  </si>
  <si>
    <t>04929852522-5610170455355-16/08/25</t>
  </si>
  <si>
    <t>100021-5610170455280-15/08/25</t>
  </si>
  <si>
    <t>000070--15/08/25</t>
  </si>
  <si>
    <t>03ABAC-5610230555554-22/07/25</t>
  </si>
  <si>
    <t>000179-5610230556347-31/07/25</t>
  </si>
  <si>
    <t>19AMCL-5610230556901-07/08/25</t>
  </si>
  <si>
    <t>001040-5610230551701-30/05/25</t>
  </si>
  <si>
    <t>500602-5610230556323-31/07/25</t>
  </si>
  <si>
    <t>7GH8F2-5610230557402-16/08/25</t>
  </si>
  <si>
    <t>000107-5610230557416-16/08/25</t>
  </si>
  <si>
    <t>001170-5610230557413-07/08/25</t>
  </si>
  <si>
    <t>001176-5610230557414-15/08/25</t>
  </si>
  <si>
    <t>PHUB523505386-AL FALAH MOTOR</t>
  </si>
  <si>
    <t>PHUB523505385-RED SPACE</t>
  </si>
  <si>
    <t>PHUB523493962</t>
  </si>
  <si>
    <t>PHUB520783399-GOLDEN FURNITURE</t>
  </si>
  <si>
    <t>PHUB523997653</t>
  </si>
  <si>
    <t>PHUB523997652</t>
  </si>
  <si>
    <t>PHUB523502678-JOHN PAUL</t>
  </si>
  <si>
    <t>PHUB523166269</t>
  </si>
  <si>
    <t>5DF32971C4C8 RAJAN DINESHBHAI</t>
  </si>
  <si>
    <t xml:space="preserve"> CHQ. NO: 00200</t>
  </si>
  <si>
    <t>PHUB524596819</t>
  </si>
  <si>
    <t>PHUB524555530</t>
  </si>
  <si>
    <t>PHUB524700380</t>
  </si>
  <si>
    <t>PHUB524748177</t>
  </si>
  <si>
    <t>TG CASH DPST 16.08.2025 TIME 11.55AM</t>
  </si>
  <si>
    <t>PHUB524627773 PAWPATHS</t>
  </si>
  <si>
    <t>TG DEPOSIT @12.55PM</t>
  </si>
  <si>
    <t>PHUB524803382</t>
  </si>
  <si>
    <t>TG 16/8/25 2 PM</t>
  </si>
  <si>
    <t>51033468363 AMOGH PROJECT MANAGEMENT LLC</t>
  </si>
  <si>
    <t>csh dep to adcb thru tg 101022063271</t>
  </si>
  <si>
    <t>PHUB524747381 DTD 16-08-2025</t>
  </si>
  <si>
    <t>15082025 chq000750 5620270008770</t>
  </si>
  <si>
    <t>15082025 CHQ000749 AL SALIK TYRES 3TT</t>
  </si>
  <si>
    <t>001137/AL NAJAH</t>
  </si>
  <si>
    <t>TG CASH DEPOSIT @ 16;43</t>
  </si>
  <si>
    <t>TG CASH DEPOSIT 17:01 PM</t>
  </si>
  <si>
    <t>51030654826 RAHUL BHARGAVA</t>
  </si>
  <si>
    <t>51030885715 RAHUL BHARGAVA</t>
  </si>
  <si>
    <t>PHUB524862376</t>
  </si>
  <si>
    <t>DEPOSIT TO ADCB THR TG</t>
  </si>
  <si>
    <t>GL 977029   ZONE PARKING SOLUTIONS LLC</t>
  </si>
  <si>
    <t>TG CASH DTD 16.08.2025</t>
  </si>
  <si>
    <t>PHUB524717585</t>
  </si>
  <si>
    <t>PHUB524250732</t>
  </si>
  <si>
    <t>PHUB524522762</t>
  </si>
  <si>
    <t>320K AED TRF TO ADCB VIA TG</t>
  </si>
  <si>
    <t>TG CASH DEPOSIT 16-08-2025</t>
  </si>
  <si>
    <t>TG CASH DEPOSITE 16082025</t>
  </si>
  <si>
    <t>5620980001154  51023945052  9667332</t>
  </si>
  <si>
    <t>PHUB524808325 MOHAMMAD HUSSEIN</t>
  </si>
  <si>
    <t>TG CASH DEPOSIT DT 16-08-2025</t>
  </si>
  <si>
    <t>PHUB524858352</t>
  </si>
  <si>
    <t>TG CASH DEPT AT 19:07</t>
  </si>
  <si>
    <t>TG CASH DEPOSIT 101021684435</t>
  </si>
  <si>
    <t>TG DEPOSIT 19:46</t>
  </si>
  <si>
    <t>8970370/9270445 TRAVERSE/OMAR ZARGAR PHUB524446535</t>
  </si>
  <si>
    <t>tg cash deposit time 19:48</t>
  </si>
  <si>
    <t>TG CASH DEP 15:49</t>
  </si>
  <si>
    <t>TG CASH DEPOSIT MARFA 20:02PM</t>
  </si>
  <si>
    <t>TG CASH DEP 20:08</t>
  </si>
  <si>
    <t>CHQ NO ::019138</t>
  </si>
  <si>
    <t>TG CASH DEPOIST 16 AUG</t>
  </si>
  <si>
    <t>TG CASH DEPOSIT 101021768081</t>
  </si>
  <si>
    <t>TG DEPOSIT BAG NO 100009773990</t>
  </si>
  <si>
    <t>Thrg tg</t>
  </si>
  <si>
    <t>PHUB523111525 5623010000283, 5623010000284</t>
  </si>
  <si>
    <t>TG CASH DEPSOIT MBZ @ 20:05</t>
  </si>
  <si>
    <t>TG- CASH DEP-21.08</t>
  </si>
  <si>
    <t>TG CASH DEP 07:20 PM</t>
  </si>
  <si>
    <t>CASH ADCB THRU TG101021674445</t>
  </si>
  <si>
    <t>TG CASH DEPOSIT TIME 9.25</t>
  </si>
  <si>
    <t>TG DEPOSIT 102013890359</t>
  </si>
  <si>
    <t>CASH DEPOSIT THRU TG 101021674003</t>
  </si>
  <si>
    <t>TG CASH DEP 16-08-2025 21:33</t>
  </si>
  <si>
    <t>TG CASH DEP AT 21 36 PM</t>
  </si>
  <si>
    <t>THROUGHJ TG</t>
  </si>
  <si>
    <t>HAZEL-5610720692396-17/08/25</t>
  </si>
  <si>
    <t>E86361-5610160698629-17/08/25</t>
  </si>
  <si>
    <t>000020-5610160697952-14/08/25</t>
  </si>
  <si>
    <t>ONLINE-5610230557497-17/08/25</t>
  </si>
  <si>
    <t>THAER-5610140795741-17/08/25</t>
  </si>
  <si>
    <t>ONLINE-5610890092691-17/08/25</t>
  </si>
  <si>
    <t>856971-5610140795777-17/08/25</t>
  </si>
  <si>
    <t>000006-5614220045781-13/08/25</t>
  </si>
  <si>
    <t>TRF-GULF MARINE SERVICES COMPANY WLL</t>
  </si>
  <si>
    <t>001237 13-Aug-2025</t>
  </si>
  <si>
    <t>PHUB518388142 01-Aug-2025</t>
  </si>
  <si>
    <t>000774 KABS SHIPPING AND LOGISTICS</t>
  </si>
  <si>
    <t>006864 RIGHT WAY FOODSTUFF</t>
  </si>
  <si>
    <t>PHUB523136602 SAFE LOOP TECHNICAL</t>
  </si>
  <si>
    <t>PHUB523573852 PRECIZ SCIENTIFIC</t>
  </si>
  <si>
    <t>50964414518 AMER YOUSEF</t>
  </si>
  <si>
    <t>012620 01-Aug-2025</t>
  </si>
  <si>
    <t>PHUB523582417 AL BARSHAA GENERAL TRD</t>
  </si>
  <si>
    <t>PHUB523549811 PRECIZ SCIENTIFIC</t>
  </si>
  <si>
    <t>PHUB523550468 PRECIZ SCIENTIFIC</t>
  </si>
  <si>
    <t>PHUB523490953 AIN ALFAKHAMA TECH</t>
  </si>
  <si>
    <t>PHUB519603894 NOOR ALAFAQ</t>
  </si>
  <si>
    <t>PHUB519750902 TECHSTORE TRD</t>
  </si>
  <si>
    <t>PHUB522364274 NEXT PHASE ELECTRO</t>
  </si>
  <si>
    <t>001247 14-Aug-2025</t>
  </si>
  <si>
    <t>002243 14-Aug-2025</t>
  </si>
  <si>
    <t>000770 KABS SHIPPING</t>
  </si>
  <si>
    <t>50931415071 SANJAY SHANTILAL</t>
  </si>
  <si>
    <t>PHUB519577232 JACQUIN WOOD</t>
  </si>
  <si>
    <t>PHUB523001454 NOOR AL AFAQ</t>
  </si>
  <si>
    <t>PHUB523005063 JACQUIN WOODS</t>
  </si>
  <si>
    <t>PHUB523198730 SARUN ELAMBILAKAT</t>
  </si>
  <si>
    <t>PHUB522726546 PRECIZ SCIENTIFIC</t>
  </si>
  <si>
    <t>50915204630 VIKAR MAHAJAN</t>
  </si>
  <si>
    <t>50914071103 VIKAS MAHAJAN</t>
  </si>
  <si>
    <t>PHUB523849019 14-Aug-2025</t>
  </si>
  <si>
    <t>PHUB523213221 12-Aug-2025</t>
  </si>
  <si>
    <t>012621 12-Aug-2025</t>
  </si>
  <si>
    <t>50946725497 12-Aug-2025</t>
  </si>
  <si>
    <t>50945350056 12-Aug-2025</t>
  </si>
  <si>
    <t>001276 12-Aug-2025</t>
  </si>
  <si>
    <t>PHUB522562641 11-Aug-2025</t>
  </si>
  <si>
    <t>000261 09-Aug-2025</t>
  </si>
  <si>
    <t>000370 09-Aug-2025</t>
  </si>
  <si>
    <t>PHUB524992100</t>
  </si>
  <si>
    <t>000349 09-Aug-2025</t>
  </si>
  <si>
    <t>A M S MARITIME 8603827 PHUB523624060</t>
  </si>
  <si>
    <t>5620310201432 ENLITE TECH PHUB521656373</t>
  </si>
  <si>
    <t>5610310201433 ENLITE TECH PHUB521687954</t>
  </si>
  <si>
    <t>5620310201394 SHAMSAN TRAD PHUB522023073</t>
  </si>
  <si>
    <t>5620310201390 AEROSTYLE PHUB522635614</t>
  </si>
  <si>
    <t>5620310201459 TECHMA FZCO PHUB522854584</t>
  </si>
  <si>
    <t>7418079 AL SAHEL MEDICAL CHQ 941178</t>
  </si>
  <si>
    <t>5620310201498 S A AS ADVISORY PHUB523434694</t>
  </si>
  <si>
    <t>5620310201498 S A AS ADVISORY PHUB523434673</t>
  </si>
  <si>
    <t>5620310201501 S A AS ADVISORY PHUB523443646</t>
  </si>
  <si>
    <t>5620310201500 S A AS ADVISORY PHUB523443674</t>
  </si>
  <si>
    <t>5620310201555 AEROSTYLE PHUB524124429</t>
  </si>
  <si>
    <t>209729 propharma medical</t>
  </si>
  <si>
    <t>001088 5620230000523 11/08/2025</t>
  </si>
  <si>
    <t>PHUB523974471 5620230000527 14/08/2025</t>
  </si>
  <si>
    <t>51051027610 5610720692433 5610720692434</t>
  </si>
  <si>
    <t>PHUB388450944  SALARY</t>
  </si>
  <si>
    <t>17 08 25 26152558646  5610270502028</t>
  </si>
  <si>
    <t>5620890004895 PHUB525112740 17-8-2025</t>
  </si>
  <si>
    <t>17/08/2025 51058168068  MOHAMED</t>
  </si>
  <si>
    <t>51043064138- RAHUL KUMAR RAI</t>
  </si>
  <si>
    <t>03221-940579</t>
  </si>
  <si>
    <t>000000-971396</t>
  </si>
  <si>
    <t>281436-977453</t>
  </si>
  <si>
    <t>000-991338</t>
  </si>
  <si>
    <t>000-983608</t>
  </si>
  <si>
    <t>203012-985780</t>
  </si>
  <si>
    <t>00000-940522</t>
  </si>
  <si>
    <t>0001-993981</t>
  </si>
  <si>
    <t>002634-970883</t>
  </si>
  <si>
    <t>000-993231</t>
  </si>
  <si>
    <t>0000-981795</t>
  </si>
  <si>
    <t>000-988420</t>
  </si>
  <si>
    <t>00000-991269</t>
  </si>
  <si>
    <t>002639-970883</t>
  </si>
  <si>
    <t>0012-999755</t>
  </si>
  <si>
    <t>000-998721</t>
  </si>
  <si>
    <t>00000-943220</t>
  </si>
  <si>
    <t>000133-975185</t>
  </si>
  <si>
    <t>000-995628</t>
  </si>
  <si>
    <t>00000000-998408</t>
  </si>
  <si>
    <t>0000000-994468</t>
  </si>
  <si>
    <t>0001-992396</t>
  </si>
  <si>
    <t>1111-992396</t>
  </si>
  <si>
    <t>0012-947638</t>
  </si>
  <si>
    <t>304464-5610670445670-18/08/25</t>
  </si>
  <si>
    <t>000003-5610330821023-17/08/25</t>
  </si>
  <si>
    <t>025081-5610110938768-15/08/25</t>
  </si>
  <si>
    <t>000001-5610140795798-18/08/25</t>
  </si>
  <si>
    <t>25260698-5610610599659-18/08/25</t>
  </si>
  <si>
    <t>F1HRRJF9-5610170455404-27/07/25</t>
  </si>
  <si>
    <t>23081F3-5610160698768-18/08/25</t>
  </si>
  <si>
    <t>EB51611DF687-5610670445688-18/08/25</t>
  </si>
  <si>
    <t>012181-5610860150872-13/08/25</t>
  </si>
  <si>
    <t>LATESH RAMAN-FTRN 5610110937653-01/08/25</t>
  </si>
  <si>
    <t>947004-5610110937518-30/07/25</t>
  </si>
  <si>
    <t>PRAKASH-FTRN 5610110937876-04/08/25</t>
  </si>
  <si>
    <t>GRAHAM-5610720692469-18/08/25</t>
  </si>
  <si>
    <t>WANDERINGG-FTRN 5610110938861-18/08/25</t>
  </si>
  <si>
    <t>006706-5610910417368-09/08/25</t>
  </si>
  <si>
    <t>000481-5610340567786-15/08/25</t>
  </si>
  <si>
    <t>ONLINE-5610630326706-11/08/25</t>
  </si>
  <si>
    <t>573198-FTRN 5610110938802-17/08/25</t>
  </si>
  <si>
    <t>502436-5610340567171-04/08/25</t>
  </si>
  <si>
    <t>ONLINE-5610630326652-10/08/25</t>
  </si>
  <si>
    <t>ONLINE-5610630326520-07/08/25</t>
  </si>
  <si>
    <t>online-5610340567546-13/08/25</t>
  </si>
  <si>
    <t>001139-5610160698778-18/08/25</t>
  </si>
  <si>
    <t>ONLINE-5610340567167-05/08/25</t>
  </si>
  <si>
    <t>online-5610340567915-18/08/25</t>
  </si>
  <si>
    <t>YOUSAF-PHUB525439204/yousaf/18-08-2025-18/08/25</t>
  </si>
  <si>
    <t>000085-5610690690601-01/08/25</t>
  </si>
  <si>
    <t>YASMIN-5610580509959-18/08/25</t>
  </si>
  <si>
    <t>HARI-51072753349/HARI /18-Aug-2025-18/08/25</t>
  </si>
  <si>
    <t>ONLINE-5610230557540    PHUB525495410-18/08/25</t>
  </si>
  <si>
    <t>ONLINE-5610230557401   PHUB524694515-15/08/25</t>
  </si>
  <si>
    <t>000079-5610760111165-12/08/25</t>
  </si>
  <si>
    <t>502438-5610340567558-12/08/25</t>
  </si>
  <si>
    <t>522854-5610160698793-18/08/25</t>
  </si>
  <si>
    <t>057469-5610970450755-13/08/25</t>
  </si>
  <si>
    <t>935254-5610690690378-29/07/25</t>
  </si>
  <si>
    <t>000045-5610690690429-30/07/25</t>
  </si>
  <si>
    <t>000060-5610690690379-29/07/25</t>
  </si>
  <si>
    <t>ONLINE-5610630327048-18/08/25</t>
  </si>
  <si>
    <t>JOPPU-5610140795891-18/08/25</t>
  </si>
  <si>
    <t>ONLINE-5610230557543-18/08/25</t>
  </si>
  <si>
    <t>ONLINE-5610230557535-18/08/25</t>
  </si>
  <si>
    <t>000092-5610160698815-18/08/25</t>
  </si>
  <si>
    <t>ONLINE-5610620347062-18/08/25</t>
  </si>
  <si>
    <t>IBRAHIM-5610580509850-14/08/25</t>
  </si>
  <si>
    <t>NEZHA-5610580509947-18/08/25</t>
  </si>
  <si>
    <t>SHELBY-5610580509835-14/08/25</t>
  </si>
  <si>
    <t>000009-5610440659449-06/08/25</t>
  </si>
  <si>
    <t>621279-5612520096843-18/08/25</t>
  </si>
  <si>
    <t>530P18E67EA9-5610790146625-18/08/25</t>
  </si>
  <si>
    <t>530P28B4CDA-5614120079915-18/08/25</t>
  </si>
  <si>
    <t>500195-5610280639179-07/08/25</t>
  </si>
  <si>
    <t>FT2523142DJJ-5610920181458-18/08/25</t>
  </si>
  <si>
    <t>6C7B7127EA7-5613610144497-18/08/25</t>
  </si>
  <si>
    <t>PHUB524713712</t>
  </si>
  <si>
    <t>PHUB524258711</t>
  </si>
  <si>
    <t>PHUB524549843</t>
  </si>
  <si>
    <t>REVERSAL 17-032-918063</t>
  </si>
  <si>
    <t>CHQ NO 500976 FTRN 5613010117813</t>
  </si>
  <si>
    <t>PHUB523191681</t>
  </si>
  <si>
    <t>PHUB525158334 / trekkup 18-08-2025</t>
  </si>
  <si>
    <t>PHUB525219654 - 5610720692452</t>
  </si>
  <si>
    <t>000108 R T S GENERAL TRANSPORT</t>
  </si>
  <si>
    <t>PHUB525256914 mariot kitchen</t>
  </si>
  <si>
    <t>PHUB524802758</t>
  </si>
  <si>
    <t>51065944136 RIZWAN</t>
  </si>
  <si>
    <t>REF 51056570405 ABU FAISAL</t>
  </si>
  <si>
    <t>REF 51056619609 ABU FAISAL</t>
  </si>
  <si>
    <t>TG DEPOSIT @12.20</t>
  </si>
  <si>
    <t>TG CASH DEPO TIME 11:55 AM</t>
  </si>
  <si>
    <t>PHUB525343877-5610720692471</t>
  </si>
  <si>
    <t>PHUB525354908  PHUB525354908</t>
  </si>
  <si>
    <t>PHUB525391324  KAIZEN TECHNICAL SOLUTION</t>
  </si>
  <si>
    <t>TG CASH DEPOSIT 13:34</t>
  </si>
  <si>
    <t>PHUB525403855 / 18-08-2025</t>
  </si>
  <si>
    <t>cash depsoit thrugh tg</t>
  </si>
  <si>
    <t>51071399547- 5610720692478-92480</t>
  </si>
  <si>
    <t>TG CASH DEPOSIT 18 08 2025 14:41 SWEIHAN</t>
  </si>
  <si>
    <t>PHUB525431019 AHMED ABDE</t>
  </si>
  <si>
    <t>PHUB525425660</t>
  </si>
  <si>
    <t>PHUB525377368 UNITED ENGR</t>
  </si>
  <si>
    <t>PHUB525448201 ALI MUHAMMAD</t>
  </si>
  <si>
    <t>PHUB525428063 PARAGON 5620750000335</t>
  </si>
  <si>
    <t>PHUB525428406 PARAGON 5620750000337</t>
  </si>
  <si>
    <t>CASH DEP THR TG 101021784966</t>
  </si>
  <si>
    <t>PHUB525428402 PARAGON 5620750000336</t>
  </si>
  <si>
    <t>TG CASH DEPOSIT @ 15:59</t>
  </si>
  <si>
    <t>PHUB525208747</t>
  </si>
  <si>
    <t>102013858445 THRU TG</t>
  </si>
  <si>
    <t>TG CASH DEPOSIT @4:09 PM</t>
  </si>
  <si>
    <t>PHUB525239571 RAMESH RAMDURAI</t>
  </si>
  <si>
    <t>PHUB525217803 RAMESH RAMDURAI</t>
  </si>
  <si>
    <t>PHUB525472526</t>
  </si>
  <si>
    <t>PHUB525393153 1330540016419</t>
  </si>
  <si>
    <t>TG CASH DEPOSIT @ 16:56</t>
  </si>
  <si>
    <t>PHUB525466101 KENT SURGICAL 5900962</t>
  </si>
  <si>
    <t>PHUB525256927</t>
  </si>
  <si>
    <t>PHUB525010735</t>
  </si>
  <si>
    <t>PHUB525237915</t>
  </si>
  <si>
    <t>16082025 c hq239087 5620270008777</t>
  </si>
  <si>
    <t>TG CASH DEPOSITED@ 5.14</t>
  </si>
  <si>
    <t>16082025 CHEQ000074 5620270008775</t>
  </si>
  <si>
    <t>CASH DEPOSITED TO TG 180825 1720</t>
  </si>
  <si>
    <t>PHUB525465440</t>
  </si>
  <si>
    <t>TG CASH DEPOSIT @17.17</t>
  </si>
  <si>
    <t>16082025 CHEQ 002318 5620270008760</t>
  </si>
  <si>
    <t>TG CASH DEPT @17:24</t>
  </si>
  <si>
    <t>TG CASH DTD 18.08.2025</t>
  </si>
  <si>
    <t>18082025 PHUB525491719 5620270008794</t>
  </si>
  <si>
    <t>PHUB525430645 18AUG2025 MAKANI BUILDING</t>
  </si>
  <si>
    <t>CASH DEP THRU TG 101022077613</t>
  </si>
  <si>
    <t>PHUB525504332 5620940003129</t>
  </si>
  <si>
    <t>101022087015 CASH TO ADCB THRU TG</t>
  </si>
  <si>
    <t>PHUB525415483 5620940003133</t>
  </si>
  <si>
    <t>PHUB525543851</t>
  </si>
  <si>
    <t>PHUB525464110 / RUKN AL TALEEM SCHOOL</t>
  </si>
  <si>
    <t>650 K DEPOSITED TO ADCB THRU TG</t>
  </si>
  <si>
    <t>51077035422- KARAN</t>
  </si>
  <si>
    <t>TG CASH DEPOSITE 101021684436</t>
  </si>
  <si>
    <t xml:space="preserve"> CASH DEPOSIT TO ADCB THRU TG</t>
  </si>
  <si>
    <t>TG CASH DEPOSIT MBZ@ 20:14</t>
  </si>
  <si>
    <t>PRIYA KUDUKKEN 000026</t>
  </si>
  <si>
    <t>TG CASH DEP 20:40</t>
  </si>
  <si>
    <t>000697  MIDMAC GENERAL</t>
  </si>
  <si>
    <t>TG DEPOSIT 20:43</t>
  </si>
  <si>
    <t>TG CASH DEPT 20;55 PM</t>
  </si>
  <si>
    <t>CHEQUE # 000663, HID # 1947571</t>
  </si>
  <si>
    <t>RAJESH KANNOTH 000081</t>
  </si>
  <si>
    <t>TG DEPOSIT @ 21:09</t>
  </si>
  <si>
    <t>AED TFR THRG TG101021741566</t>
  </si>
  <si>
    <t>TG CSH DPST</t>
  </si>
  <si>
    <t>450k AED DEP TO ADCB VIA TG</t>
  </si>
  <si>
    <t>TG CASH DEP 101021684602</t>
  </si>
  <si>
    <t>TG CASH DEP TIME 20:39 PM</t>
  </si>
  <si>
    <t xml:space="preserve"> CHENNAI GRAINS 001962</t>
  </si>
  <si>
    <t xml:space="preserve"> DAR AL JAWDA 000271</t>
  </si>
  <si>
    <t>PHUB525488180</t>
  </si>
  <si>
    <t>TG CASH DP TIME: 07:53</t>
  </si>
  <si>
    <t>PAYMENT AGAINST 51079839768</t>
  </si>
  <si>
    <t>TG CASH DEPOSIT @ 9.30</t>
  </si>
  <si>
    <t>CHQ100348-5620720000497,498,499,500,503,504</t>
  </si>
  <si>
    <t>CASH DEPOSIT THRU TG 101021721467</t>
  </si>
  <si>
    <t>TG CASH DEPOSIT THRU TG</t>
  </si>
  <si>
    <t>010570 / AL AQSAR TRADING LLC</t>
  </si>
  <si>
    <t>TG CASH DEP AT 21 26 PM</t>
  </si>
  <si>
    <t>000169 / VAN FACTORY LLC</t>
  </si>
  <si>
    <t>TG CASH DEPOSIT @ 13:55</t>
  </si>
  <si>
    <t>000129/BALASUBRAMANIAN</t>
  </si>
  <si>
    <t>000970-993567</t>
  </si>
  <si>
    <t>00000-978245</t>
  </si>
  <si>
    <t>00000-993755</t>
  </si>
  <si>
    <t>0032-988532</t>
  </si>
  <si>
    <t>00000-942184</t>
  </si>
  <si>
    <t>000000-988820</t>
  </si>
  <si>
    <t>00000000-988599</t>
  </si>
  <si>
    <t>000059-941677</t>
  </si>
  <si>
    <t>000-945817</t>
  </si>
  <si>
    <t>000189-5610320434589 COMPUTER COLLECTION-18/08/25</t>
  </si>
  <si>
    <t>025056-5610110938855-14/08/25</t>
  </si>
  <si>
    <t>000079-5610110938840-18/08/25</t>
  </si>
  <si>
    <t>001168-5610670445682-18/08/25</t>
  </si>
  <si>
    <t>502430-5610340566773-29/07/25</t>
  </si>
  <si>
    <t>312678-5610160698854-19/08/25</t>
  </si>
  <si>
    <t>000133-5610330819843-06/08/25</t>
  </si>
  <si>
    <t>SPEED-5610610599506-15/08/25</t>
  </si>
  <si>
    <t>deyab-5610610599506-15/08/25</t>
  </si>
  <si>
    <t>MOHAMMED-5610610599547-16/08/25</t>
  </si>
  <si>
    <t>000583-5610160698878-19/08/25</t>
  </si>
  <si>
    <t>MUHAMMAD-5610720692527-18/08/25</t>
  </si>
  <si>
    <t>REEMA--18/08/25</t>
  </si>
  <si>
    <t>WIDI--18/08/25</t>
  </si>
  <si>
    <t>35523-5610630327068-19/08/25</t>
  </si>
  <si>
    <t>001750-5610110938841-17/08/25</t>
  </si>
  <si>
    <t>QABAS-FTRN 5610110938930-19/08/25</t>
  </si>
  <si>
    <t>502441-5610340567920-18/08/25</t>
  </si>
  <si>
    <t>SHAVETA-PHUB525713952/SHAVETA/19-08-2025-19/08/25</t>
  </si>
  <si>
    <t>MAHMO-5610110938830-17/08/25</t>
  </si>
  <si>
    <t>805082-5610670445755-19/08/25</t>
  </si>
  <si>
    <t>000108-5612230162311-18/08/25</t>
  </si>
  <si>
    <t>681026-5610140795877-18/08/25</t>
  </si>
  <si>
    <t>000002-5610140796007-19/08/25</t>
  </si>
  <si>
    <t>ONLINE-5610620347100 RABHA AMAHZOUNE-19/08/25</t>
  </si>
  <si>
    <t>349407-5610340567859-17/08/25</t>
  </si>
  <si>
    <t>416181-5610340567861-17/08/25</t>
  </si>
  <si>
    <t>ONLINE-5610620347038 RABHA AMAHZOUNE-18/08/25</t>
  </si>
  <si>
    <t>000215-5610340567778-12/08/25</t>
  </si>
  <si>
    <t>000216-5610340567779-14/08/25</t>
  </si>
  <si>
    <t>502439-5610340567778-12/08/25</t>
  </si>
  <si>
    <t>RAMY-5610110938944-19/08/25</t>
  </si>
  <si>
    <t>161C891-5610670445764-19/08/25</t>
  </si>
  <si>
    <t>191567-CHQ 191567 FTRN 5610110938890 CRD 19-08-2025-18/08/25</t>
  </si>
  <si>
    <t>8822-5610630327080-19/08/25</t>
  </si>
  <si>
    <t>000086-5612520096877-18/08/25</t>
  </si>
  <si>
    <t>000015-5613510103814-05/08/25</t>
  </si>
  <si>
    <t>000085-5612520096876-18/08/25</t>
  </si>
  <si>
    <t>008284-5610440660177-18/08/25</t>
  </si>
  <si>
    <t>LINNET-5610580509990-19/08/25</t>
  </si>
  <si>
    <t>000326-5610920181507-19/08/25</t>
  </si>
  <si>
    <t>946948X13414-5610790146481-15/08/25</t>
  </si>
  <si>
    <t>TUSHAR-5610140796031-19/08/25</t>
  </si>
  <si>
    <t>WONDER-5610630327096-19/08/25</t>
  </si>
  <si>
    <t>231039C0-5610661597189-19/08/25</t>
  </si>
  <si>
    <t>GRAHAM-5610720692564-19/08/25</t>
  </si>
  <si>
    <t>288940-5610230557365-15/08/25</t>
  </si>
  <si>
    <t>REMAK-5610230557356-14/08/25</t>
  </si>
  <si>
    <t>ABDERRAHIM-5610230557530-18/08/25</t>
  </si>
  <si>
    <t>SHAMEER-5610230557524-18/08/25</t>
  </si>
  <si>
    <t>PHUB524026418 FINESSE</t>
  </si>
  <si>
    <t>PHUB525601721</t>
  </si>
  <si>
    <t>PHUB525666265-RAMESH</t>
  </si>
  <si>
    <t>PHUB525695491 DT 19-Aug-2025</t>
  </si>
  <si>
    <t>PHUB525686579 HE TILE EXPERT</t>
  </si>
  <si>
    <t>PHUB525725973 DT 19-Aug-2025</t>
  </si>
  <si>
    <t>PHUB525648999</t>
  </si>
  <si>
    <t>PHUB525648968</t>
  </si>
  <si>
    <t>TG CASH DEPO TIME 11:42 AM</t>
  </si>
  <si>
    <t>5620630000801,802 PHUB525716072</t>
  </si>
  <si>
    <t xml:space="preserve">18AUG2025 PHUB525237221 5620450001907 </t>
  </si>
  <si>
    <t>ONLINE REF# PHUB525724665, HID# 1948556</t>
  </si>
  <si>
    <t>ONLINE REF# PHUB525475499, HID# 1948207</t>
  </si>
  <si>
    <t>PHUB525504374 5620850000667</t>
  </si>
  <si>
    <t>TG CASH DEPOSIT @ 12:26 PM</t>
  </si>
  <si>
    <t>rev 85-031-3841497</t>
  </si>
  <si>
    <t>PHUB525728671 5620850000668</t>
  </si>
  <si>
    <t>TG CASH DEPOSIT 12:42</t>
  </si>
  <si>
    <t>CHQ 000289 BANK OF BARODA</t>
  </si>
  <si>
    <t>PHUB525784632 - 5610720692547</t>
  </si>
  <si>
    <t>51091774104 - 5610720692549</t>
  </si>
  <si>
    <t>PHUB525774618/FLORA BLOOMS</t>
  </si>
  <si>
    <t>PHUB524688520 dtd 17-08-2025</t>
  </si>
  <si>
    <t>PHUB525197362 DTD 18-08--2025</t>
  </si>
  <si>
    <t>26101130690 FAHAD ABDULLA</t>
  </si>
  <si>
    <t>51092390529 JAIN VIKAS KAINENDRA 4405250</t>
  </si>
  <si>
    <t>18 aug 2025 PHUB525205424 5620270008783</t>
  </si>
  <si>
    <t>13AUG2025 PHUB523656415 5620450001893 /1897</t>
  </si>
  <si>
    <t>CSH DEP TO ADCB THRU TG 101022063272</t>
  </si>
  <si>
    <t>TG CASH DEPOSIT GAYATHI SANAYA 19082025</t>
  </si>
  <si>
    <t>004549 5620140001047</t>
  </si>
  <si>
    <t>PHUB525833347</t>
  </si>
  <si>
    <t>TG CASH DEPOSIT @ GAYATHI MALL 15:13</t>
  </si>
  <si>
    <t>TG CASH DEPOSIT 19 08 2025 14:58 SWEIHAN</t>
  </si>
  <si>
    <t>000004 / QEMAT AL WAHAT BUILDING</t>
  </si>
  <si>
    <t>000203 5620860006235</t>
  </si>
  <si>
    <t>PHUB525243344 18-08-25 NAJIMAT AL IBDAA</t>
  </si>
  <si>
    <t>PHUB525542212</t>
  </si>
  <si>
    <t>PHUB525444942 18-08-25 PNEUMA</t>
  </si>
  <si>
    <t>1947686 18-08-25 BRIGHTWELL</t>
  </si>
  <si>
    <t>000027 18-08-25 KAMAL JAN</t>
  </si>
  <si>
    <t>TG CASH DEPOSIT @3:33 PM</t>
  </si>
  <si>
    <t>51090451424 19-08-25 AKMAL NAZIR</t>
  </si>
  <si>
    <t>51074793163 18-08-25 AKMAL NAZIR</t>
  </si>
  <si>
    <t>PHUB525509084 / ASF TRADING LLC</t>
  </si>
  <si>
    <t>tg ruwais</t>
  </si>
  <si>
    <t>PHUB525863748 19-Aug-2025</t>
  </si>
  <si>
    <t>PHUB524802758  16-Aug-2025</t>
  </si>
  <si>
    <t>TG DEPOSIT @16:55</t>
  </si>
  <si>
    <t>PHUB525579973</t>
  </si>
  <si>
    <t>PHUB525549234</t>
  </si>
  <si>
    <t>CASH DEPOSITED TO TG 180825 1706</t>
  </si>
  <si>
    <t>PHUB525789842 TREKKUP FZE 525789842</t>
  </si>
  <si>
    <t>PHUB525860323</t>
  </si>
  <si>
    <t>TG CASH DEPOSIT 19-08-2025</t>
  </si>
  <si>
    <t>5620310202012 SAAS ADVISORY PHUB525843917</t>
  </si>
  <si>
    <t>5620310202014 SAAS ADVISORY PHUB525837195</t>
  </si>
  <si>
    <t>5620450001911 19-08-2025 PHUB525900073</t>
  </si>
  <si>
    <t>CHQ-000108-CRDTD-16-08-2025</t>
  </si>
  <si>
    <t>TG CASH DEPOSIT @17:08</t>
  </si>
  <si>
    <t>51098297043 19AUG2025 OBAID ALI KHAMIS</t>
  </si>
  <si>
    <t>PHUB525912311 19-08-25 AL KHALDIA</t>
  </si>
  <si>
    <t>PHUB525795315 5620590008363 190825 TREKKUP</t>
  </si>
  <si>
    <t>1330230021357    51091712731</t>
  </si>
  <si>
    <t>PHUB525905919 5620890004904 19-08-2025</t>
  </si>
  <si>
    <t>PHUB525582833/IMRAN AHMED</t>
  </si>
  <si>
    <t>PHUB525895442</t>
  </si>
  <si>
    <t>TG CASH DEPOSIT 7:42 PM</t>
  </si>
  <si>
    <t>PHUB525824826 DAGHAYA GENERAL TRADING LLC</t>
  </si>
  <si>
    <t>PHUB525776576</t>
  </si>
  <si>
    <t>PHUB525876760</t>
  </si>
  <si>
    <t>51093568354 INEZ D</t>
  </si>
  <si>
    <t>THROUGH TG 103004056702</t>
  </si>
  <si>
    <t>Cash Deposit thru trans guard</t>
  </si>
  <si>
    <t>TG CASH DEPT 20;47 PM</t>
  </si>
  <si>
    <t>PHUB525902958</t>
  </si>
  <si>
    <t>CASH DEP THRU TG 101021742389</t>
  </si>
  <si>
    <t>TG CASH DEP TIME 20:40 PM</t>
  </si>
  <si>
    <t>TG CASH DEP 20:51</t>
  </si>
  <si>
    <t>19082025 PHUB525870068 5620270008808</t>
  </si>
  <si>
    <t>CASH ADCB THUR TG101021777610</t>
  </si>
  <si>
    <t>TG CASH DEPOSIT 101021705447 19-08-2025</t>
  </si>
  <si>
    <t>19 08 2025 CHQ NO 000028 TAAMIYAH</t>
  </si>
  <si>
    <t>101021721468 CASH DEP ADCB THRU TG</t>
  </si>
  <si>
    <t>TG CASH DEPOSITE ALWAHDA MALL19-08-2025 21:35</t>
  </si>
  <si>
    <t>uaq cash through cmc tg</t>
  </si>
  <si>
    <t>000257 19-08-25 AL ISTIQLAL AUTO USED</t>
  </si>
  <si>
    <t>PHUB525908706 19AUG2025 GLAZE EASY</t>
  </si>
  <si>
    <t>MARS PACKAGING 000070</t>
  </si>
  <si>
    <t>35597 tongda middel east 530313842212</t>
  </si>
  <si>
    <t>TG DPST 101022150880</t>
  </si>
  <si>
    <t>000884 19-08-25 CRANES INT USED TRUCKS</t>
  </si>
  <si>
    <t>PHUB525786701</t>
  </si>
  <si>
    <t>PHUB525911996 19AUG2025 MAKANI BUILDING</t>
  </si>
  <si>
    <t>PHUB525904962 19AUG2025 MAKANI BUILDING</t>
  </si>
  <si>
    <t>51101110320 190825 5620590008364 RAJESH</t>
  </si>
  <si>
    <t>747037 5620440005858</t>
  </si>
  <si>
    <t>024645 5620230000528 19-08-2025</t>
  </si>
  <si>
    <t>006104-984863</t>
  </si>
  <si>
    <t>001325-991657</t>
  </si>
  <si>
    <t>365001-994470</t>
  </si>
  <si>
    <t>000-941563</t>
  </si>
  <si>
    <t>000-945106</t>
  </si>
  <si>
    <t>0000-948419</t>
  </si>
  <si>
    <t>000000-948419</t>
  </si>
  <si>
    <t>000-944206</t>
  </si>
  <si>
    <t>000000-999812</t>
  </si>
  <si>
    <t>0032-995585</t>
  </si>
  <si>
    <t>00-998721</t>
  </si>
  <si>
    <t>00000-993753</t>
  </si>
  <si>
    <t>000000-993749</t>
  </si>
  <si>
    <t>0000000-998847</t>
  </si>
  <si>
    <t>0000000-993751</t>
  </si>
  <si>
    <t>00-995747</t>
  </si>
  <si>
    <t>0032-947955</t>
  </si>
  <si>
    <t>000000-996926</t>
  </si>
  <si>
    <t>530P1B82A184-5610790146484-15/08/25</t>
  </si>
  <si>
    <t>82530543-5610610599778-20/08/25</t>
  </si>
  <si>
    <t>000330-5610700625340-19/08/25</t>
  </si>
  <si>
    <t>000002-5610440660226-19/08/25</t>
  </si>
  <si>
    <t>685734-5610700625305-19/08/25</t>
  </si>
  <si>
    <t>000329-5610700625338-19/08/25</t>
  </si>
  <si>
    <t>000002-5610140796055-20/08/25</t>
  </si>
  <si>
    <t>04929982-5610170455479-20/08/25</t>
  </si>
  <si>
    <t>FT252324JV1T-5610140796068-20/08/25</t>
  </si>
  <si>
    <t>000025-5610140796070-20/08/25</t>
  </si>
  <si>
    <t>000080-5610760111774-18/08/25</t>
  </si>
  <si>
    <t>000012-5610140796036-19/08/25</t>
  </si>
  <si>
    <t>EXCELLENCE-5610110939008-20/08/25</t>
  </si>
  <si>
    <t>001030-CHQ 001030 FTRN 5610110938939 CRD 20-08-2025.-19/08/2</t>
  </si>
  <si>
    <t>25232AF1Q-5610240830116-20/08/25</t>
  </si>
  <si>
    <t>ONLINE-5610230557594   PHUB526092388-19/08/25</t>
  </si>
  <si>
    <t>D15-5610630327113-20/08/25</t>
  </si>
  <si>
    <t>34D93E548--18/08/25</t>
  </si>
  <si>
    <t>F230D70--14/07/25</t>
  </si>
  <si>
    <t>011608-5610770625956-16/08/25</t>
  </si>
  <si>
    <t>033IPP-5610770626001-19/08/25</t>
  </si>
  <si>
    <t>033DBL-5610770626088-20/08/25</t>
  </si>
  <si>
    <t>011908-5610770626091-20/08/25</t>
  </si>
  <si>
    <t>049298-5610770626093-20/08/25</t>
  </si>
  <si>
    <t>049299825232-5610790146717-20/08/25</t>
  </si>
  <si>
    <t>MOB-5610630327120-20/08/25</t>
  </si>
  <si>
    <t>LEGEND BUIL-5610110939032-20/08/25</t>
  </si>
  <si>
    <t>000505-5613010118605-20/08/25</t>
  </si>
  <si>
    <t>000503-5613010118604-20/08/25</t>
  </si>
  <si>
    <t>000504-5613010118607-20/08/25</t>
  </si>
  <si>
    <t>274095-5610790146706-18/08/25</t>
  </si>
  <si>
    <t>5AE6A3C8EF-5610610599818-20/08/25</t>
  </si>
  <si>
    <t>825232B34C-5613610144646-20/08/25</t>
  </si>
  <si>
    <t>PHUB524849376</t>
  </si>
  <si>
    <t>PHUB524849375</t>
  </si>
  <si>
    <t>PHUB525808292</t>
  </si>
  <si>
    <t>PHUB525761465</t>
  </si>
  <si>
    <t>PHUB525725186</t>
  </si>
  <si>
    <t>PHUB525814234</t>
  </si>
  <si>
    <t>PHUB525814244</t>
  </si>
  <si>
    <t>PHUB525814194</t>
  </si>
  <si>
    <t>PHUB525814223</t>
  </si>
  <si>
    <t>PHUB525814189</t>
  </si>
  <si>
    <t>PHUB525814181</t>
  </si>
  <si>
    <t>From: 112301  / To: 110102</t>
  </si>
  <si>
    <t>TG CASH DEP DT 19 08 2025</t>
  </si>
  <si>
    <t>REVERSE WRONG ENTRY 75-032-921935</t>
  </si>
  <si>
    <t>REV 922251</t>
  </si>
  <si>
    <t>CHQ NO ::003135</t>
  </si>
  <si>
    <t>CHQ NO ::003136</t>
  </si>
  <si>
    <t>51101351823  ABIN THOMAS DANIEL 9783827</t>
  </si>
  <si>
    <t>51097289392 LEYTON SHIPPING LLC</t>
  </si>
  <si>
    <t>PHUB525457082 MEDITERRAN</t>
  </si>
  <si>
    <t>51108125700 DTD 20.08.2025</t>
  </si>
  <si>
    <t>19 aug 2025 26199493769  5620270008810</t>
  </si>
  <si>
    <t>51108092317 AHMAD KHALIL</t>
  </si>
  <si>
    <t>19aug2025 000037 5620270008785 8784</t>
  </si>
  <si>
    <t>HAMIDA BLDG 51103449081</t>
  </si>
  <si>
    <t>HAMIDA BLDG 51103479270</t>
  </si>
  <si>
    <t>TG CASH DEPO TIME 12:11 PM</t>
  </si>
  <si>
    <t>PHUB525256955</t>
  </si>
  <si>
    <t>PHUB526162004</t>
  </si>
  <si>
    <t>51106865272 5620850000682</t>
  </si>
  <si>
    <t>51106813996 5620850000680</t>
  </si>
  <si>
    <t>TG DEPOSIT@12.56 PM</t>
  </si>
  <si>
    <t>PHUB526159389 ANITA BIZNETA</t>
  </si>
  <si>
    <t>51111464121 5620890004902 20-08-2025</t>
  </si>
  <si>
    <t>51111496596 5620890004902 20-08-2025</t>
  </si>
  <si>
    <t>51111534721 5620890004902 20-08-2025</t>
  </si>
  <si>
    <t>TG CASH DEPOSIT 13:27</t>
  </si>
  <si>
    <t>SHOROOQ PARTNERS PHUB526177904</t>
  </si>
  <si>
    <t>AGAINST PHUB526184213</t>
  </si>
  <si>
    <t>SJS GLOBAL 7536072 CHQ 001826</t>
  </si>
  <si>
    <t>000360 5620760000201</t>
  </si>
  <si>
    <t>TG 20/8/25  2.20 PM</t>
  </si>
  <si>
    <t>TG DEPOSIT 02.23PM</t>
  </si>
  <si>
    <t>5620590008361 PHUB525920595 190825 CSS</t>
  </si>
  <si>
    <t>REF # PHUB525891350, HID# 1949770</t>
  </si>
  <si>
    <t>cash deposit thru TG 101022088407</t>
  </si>
  <si>
    <t>PHUB526158410 RIVIERE MINERAL WATER</t>
  </si>
  <si>
    <t>51107323262 20-08-25 SOUMYA</t>
  </si>
  <si>
    <t>PHUB526042245 20-08-25 AL ROWAD FOODSTUFF</t>
  </si>
  <si>
    <t>PHUB526156654 FEWA BILL PAYMENT</t>
  </si>
  <si>
    <t>TG CASH DEPOSIT @ 02:35 PM</t>
  </si>
  <si>
    <t>TG 20/8/25</t>
  </si>
  <si>
    <t>PHUB526222427</t>
  </si>
  <si>
    <t>51115208886 NATIONAL FLOWERS 7378289</t>
  </si>
  <si>
    <t>000186 NAJMAT AL SAHRAAUSED AUTO SPARE PARTS</t>
  </si>
  <si>
    <t>CASH DEP TO ADCB THRU TG 100009439670</t>
  </si>
  <si>
    <t>PHUB526188080 ASF TRADING LLC</t>
  </si>
  <si>
    <t>PHUB526069200 AAA FREIGHT SEVICES</t>
  </si>
  <si>
    <t>PHUB526231529 PROBE INTERIORS WPS 999642</t>
  </si>
  <si>
    <t>PHUB526231022</t>
  </si>
  <si>
    <t>7629425 AHMED HELAL FTRN 5620170000146</t>
  </si>
  <si>
    <t>TG CASH DEPOSIT @ 15:29 P.M.</t>
  </si>
  <si>
    <t>TG AED 500000 RUWAIS 20/08/2025 .04.08PM</t>
  </si>
  <si>
    <t>TG CASH DEPOSIT @16.03</t>
  </si>
  <si>
    <t>51116429524 20.08.2025</t>
  </si>
  <si>
    <t>51116204466 DTD 20.08.2025</t>
  </si>
  <si>
    <t>19082025 PHUB525982804 5620270008811</t>
  </si>
  <si>
    <t>19082025 cheq000235 5620270008766</t>
  </si>
  <si>
    <t>19082025 cheq741994 5620270008778</t>
  </si>
  <si>
    <t>19082025 cheq001271 5620270008782</t>
  </si>
  <si>
    <t>PHUB526252515 5610890092790 20-08-2025</t>
  </si>
  <si>
    <t>19082025 CHEQ000123 5620270008799</t>
  </si>
  <si>
    <t>19082025 51100142528 5620270008816</t>
  </si>
  <si>
    <t>5620450001910 20-08-2025 PHUB526093373</t>
  </si>
  <si>
    <t>19082025 CHQ000220 5620270008797</t>
  </si>
  <si>
    <t>19082025 CHEQ029393 5620270008801</t>
  </si>
  <si>
    <t>TG CASH DEPOSITE 20082025</t>
  </si>
  <si>
    <t>SALARY  20-Aug-2025 CLARO 999685</t>
  </si>
  <si>
    <t>TG CASH DEPOSIT 17:06 PM</t>
  </si>
  <si>
    <t>TG CASH DEPOSIT GAYATHI SANAYA 20082025</t>
  </si>
  <si>
    <t>TG CASH DEPOSIT GHAYATHI MALL @ 17.37</t>
  </si>
  <si>
    <t>TG CASH DTD 20.08.2025</t>
  </si>
  <si>
    <t>TG CASH DEP 17:46</t>
  </si>
  <si>
    <t>PHUB526275389</t>
  </si>
  <si>
    <t>TG CASH DEPOSIT 101021684438</t>
  </si>
  <si>
    <t>TG CASH DEPOSIT MARFA 07:03PM</t>
  </si>
  <si>
    <t>230K AED DEP TO ADCB VIA TG</t>
  </si>
  <si>
    <t>PHUB525737455</t>
  </si>
  <si>
    <t>TG CASH DEPOSIT 7:40</t>
  </si>
  <si>
    <t>20AUG2025 PHUB526195065 5620270008820</t>
  </si>
  <si>
    <t>TG CASH DEPOSIT MBZ @ 20:04</t>
  </si>
  <si>
    <t>TG CASH DEPT 20;16 PM</t>
  </si>
  <si>
    <t>TG CASH DEPOIST20 08 2025</t>
  </si>
  <si>
    <t>TG DEPOSIT 20:20</t>
  </si>
  <si>
    <t>16 08 25 CHQ NO 798693 5620270008772</t>
  </si>
  <si>
    <t>TG CASH DEP 20:37</t>
  </si>
  <si>
    <t>19 08 25 CHQ NO 000219 5620270008786</t>
  </si>
  <si>
    <t>PHUB526238728</t>
  </si>
  <si>
    <t>AED TRF ADCB</t>
  </si>
  <si>
    <t>5620820003651  204130077</t>
  </si>
  <si>
    <t>000005  STEPWELL</t>
  </si>
  <si>
    <t>TG CASH DEPOSIT 101021702854</t>
  </si>
  <si>
    <t>TG DEPOSIT 102013857408</t>
  </si>
  <si>
    <t>TG CASH DEPOSIT 101022151266</t>
  </si>
  <si>
    <t>TG CASH DEP KARAMA BRANCH 20:34</t>
  </si>
  <si>
    <t>T G CASH DEP 20:50 PM</t>
  </si>
  <si>
    <t>CASH DPST TO ADCB THRU TG 100009893558</t>
  </si>
  <si>
    <t>PHUB526221124  MOHAMMAD HUSSEI N</t>
  </si>
  <si>
    <t>TG CASH DEPO @ 09:14 PM</t>
  </si>
  <si>
    <t>uaq cash deposit through cmc tg</t>
  </si>
  <si>
    <t>tg cash deposit @ 21:01</t>
  </si>
  <si>
    <t>PHUB526283709</t>
  </si>
  <si>
    <t>010581 / AL AQSAR TRADING LLC</t>
  </si>
  <si>
    <t>REF PHUB526195216 TASHJEER</t>
  </si>
  <si>
    <t>REF PHUB526192005 TASHJEER</t>
  </si>
  <si>
    <t>THROUGH TG</t>
  </si>
  <si>
    <t>8073729 - CHEMIE TECH DMCC #1949633#</t>
  </si>
  <si>
    <t>CASH DEP THRO TG 101021610110</t>
  </si>
  <si>
    <t>TG CASH DEP 20-08-2024 AT 09-34</t>
  </si>
  <si>
    <t>TG CASH DEP 101021684603</t>
  </si>
  <si>
    <t xml:space="preserve"> CHQ NO ::002408</t>
  </si>
  <si>
    <t>51120656376 - 5610720692634</t>
  </si>
  <si>
    <t>PHUB526301527</t>
  </si>
  <si>
    <t>PHUB526300148 5620850000683</t>
  </si>
  <si>
    <t>CASH DPST THRU TG</t>
  </si>
  <si>
    <t>PHUB526301527 5620850000681</t>
  </si>
  <si>
    <t>REF NO PHUB526379146</t>
  </si>
  <si>
    <t>PHUB526307242</t>
  </si>
  <si>
    <t>5620430018575 51124077185 MOHAMED GOMAA</t>
  </si>
  <si>
    <t>100032 5624220000044 BELAL SHARF</t>
  </si>
  <si>
    <t>PHUB526303152 5620850000679</t>
  </si>
  <si>
    <t>ONLINE REF# PHUB526299236, HID# 1949999</t>
  </si>
  <si>
    <t>51113335365 5620940003150</t>
  </si>
  <si>
    <t>000000-948308</t>
  </si>
  <si>
    <t>000000-948307</t>
  </si>
  <si>
    <t>000010-947641</t>
  </si>
  <si>
    <t>000000-984531</t>
  </si>
  <si>
    <t>019624-991512</t>
  </si>
  <si>
    <t>019622-991535</t>
  </si>
  <si>
    <t>000182-991518</t>
  </si>
  <si>
    <t>019625-998824</t>
  </si>
  <si>
    <t>019623-991540</t>
  </si>
  <si>
    <t>0000000-976778</t>
  </si>
  <si>
    <t>0000000-987783</t>
  </si>
  <si>
    <t>0000000-988210</t>
  </si>
  <si>
    <t>000000-981795</t>
  </si>
  <si>
    <t>000 0-972371</t>
  </si>
  <si>
    <t>0000-995628</t>
  </si>
  <si>
    <t>000 00-972371</t>
  </si>
  <si>
    <t>000000-942387</t>
  </si>
  <si>
    <t>000-997337</t>
  </si>
  <si>
    <t>0000000-989043</t>
  </si>
  <si>
    <t>00000-988820</t>
  </si>
  <si>
    <t>000012-5610770626098-20/08/25</t>
  </si>
  <si>
    <t>MOHAMMAD-5610140796118-21/08/25</t>
  </si>
  <si>
    <t>52330050-5610160699042-21/08/25</t>
  </si>
  <si>
    <t>364025-5610120503751-20/08/25</t>
  </si>
  <si>
    <t>ONLINE-5610340568025-21/08/25</t>
  </si>
  <si>
    <t>MOHAMAD-5610580510026-21/08/25</t>
  </si>
  <si>
    <t>252337358-5610610599832-21/08/25</t>
  </si>
  <si>
    <t>FT2523360DBF-5610240830190-21/08/25</t>
  </si>
  <si>
    <t>3383996-5610160699059-21/08/25</t>
  </si>
  <si>
    <t>000339-5610150433227-21/08/25</t>
  </si>
  <si>
    <t>049-5610630327142-21/08/25</t>
  </si>
  <si>
    <t>000006-5610410589200-21/08/25</t>
  </si>
  <si>
    <t>001142-5610670445859-21/08/25</t>
  </si>
  <si>
    <t>555815-5610670445855-21/08/25</t>
  </si>
  <si>
    <t>200991-5610330821537-21/08/25</t>
  </si>
  <si>
    <t>000124-5610330821536-21/08/25</t>
  </si>
  <si>
    <t>NIVINE--19/08/25</t>
  </si>
  <si>
    <t>STEPHENOLO--19/08/25</t>
  </si>
  <si>
    <t>573199-CHQ 573199 FTRN 5610110939019 CRD 21/08/2025-20/08/25</t>
  </si>
  <si>
    <t>ONLINE-5610230557693    PHUB526618446-21/08/25</t>
  </si>
  <si>
    <t>825233ABVK-5610160699079-21/08/25</t>
  </si>
  <si>
    <t>120370-5610110939016-20/08/25</t>
  </si>
  <si>
    <t>009897-5610170455541-21/08/25</t>
  </si>
  <si>
    <t>CLIMA GULF-5610110939060-21/08/25</t>
  </si>
  <si>
    <t>500276-5610150433229-21/08/25</t>
  </si>
  <si>
    <t>ABDUL-5610760112043 PHUB526608226-21/08/25</t>
  </si>
  <si>
    <t>ONLINE- 5610340568014 1 OF 2 TXN-20/08/25</t>
  </si>
  <si>
    <t>ONLINE-5610340568015 2 OF 2 TXN-20/08/25</t>
  </si>
  <si>
    <t>000171-5610860151143-18/08/25</t>
  </si>
  <si>
    <t>034896-5610860150956-14/08/25</t>
  </si>
  <si>
    <t>ABDULLAH-FTRN 5610110939071 REF PHUB526713007-21/08/25</t>
  </si>
  <si>
    <t>ONLINE-5610230557706    PHUB526687858-21/08/25</t>
  </si>
  <si>
    <t>6BA0C-5610740409746-11/08/25</t>
  </si>
  <si>
    <t>418547-5610740409885-12/08/25</t>
  </si>
  <si>
    <t>528942-5610760111760-17/08/25</t>
  </si>
  <si>
    <t>963717-5610670445858-21/08/25</t>
  </si>
  <si>
    <t>160825-5610700624634-16/08/25</t>
  </si>
  <si>
    <t>000421-5610700623131-07/08/25</t>
  </si>
  <si>
    <t>250806-5610700622476-06/08/25</t>
  </si>
  <si>
    <t>BNK25214-5610700620967-02/08/25</t>
  </si>
  <si>
    <t>001639-5610540445575-21/08/25</t>
  </si>
  <si>
    <t>001640-5610540445576-21/08/25</t>
  </si>
  <si>
    <t>FT25233D0C6J-5610240830266-21/08/25</t>
  </si>
  <si>
    <t>SEERE-5610140796166-21/08/25</t>
  </si>
  <si>
    <t>SEERE1-5610140796167-21/08/25</t>
  </si>
  <si>
    <t>000624-5610820608798-20/08/25</t>
  </si>
  <si>
    <t>AMANY-5610720692668-21/08/25</t>
  </si>
  <si>
    <t>000001-5610440660176-18/08/25</t>
  </si>
  <si>
    <t>D535722E4-5610550585586-21/08/25</t>
  </si>
  <si>
    <t>FROM: 112340 / TO: 110102</t>
  </si>
  <si>
    <t>PHUB526462010</t>
  </si>
  <si>
    <t>FROM: 110451 / TO: 110102</t>
  </si>
  <si>
    <t>RVSL 921354</t>
  </si>
  <si>
    <t>PHUB526310089-MAS MEDICAL SURGICAL ARTICLES</t>
  </si>
  <si>
    <t>PHUB526290843 UNITED ENGR</t>
  </si>
  <si>
    <t>PHUB526457207 - 5610720692643</t>
  </si>
  <si>
    <t>PHUB526461254 THE TILE EXPERTS</t>
  </si>
  <si>
    <t>PHUB526520460</t>
  </si>
  <si>
    <t>51131308638 RITA CHAFIC</t>
  </si>
  <si>
    <t>PHUB526523332 - 5610720692647</t>
  </si>
  <si>
    <t>5620630000805 PHUB526379834</t>
  </si>
  <si>
    <t>5620630000806 PHUB526380362</t>
  </si>
  <si>
    <t>TG DEPOSIT @12:30PM</t>
  </si>
  <si>
    <t>PHUB526372557/AHMED</t>
  </si>
  <si>
    <t>PHUB26290386 AFJ</t>
  </si>
  <si>
    <t>CASH DEPOSIT THRU TG 101022079773</t>
  </si>
  <si>
    <t>PHUB526521288 210825 CARD 8169069 TREKKUP</t>
  </si>
  <si>
    <t>PHUB526594607 HAMZA AHMED 5610780530614</t>
  </si>
  <si>
    <t>26240496286  DT 21.08.25 MIAN MAHMOOD AHMAD</t>
  </si>
  <si>
    <t>51110315667 sky  health 5620780000707</t>
  </si>
  <si>
    <t>CHQ NO 000076 DT  20.08.25 BEST CRANE</t>
  </si>
  <si>
    <t>PHUB526589645 SARAVANAN THANKAPPAN THANKAPPAN</t>
  </si>
  <si>
    <t>TG CASH DEPOSIT 21 08 2025 14:47 SWEIHAN</t>
  </si>
  <si>
    <t>TG CASH DEPOSIT @ 15:07</t>
  </si>
  <si>
    <t>TG DEPOSITED@3.12</t>
  </si>
  <si>
    <t>PHUB526581604</t>
  </si>
  <si>
    <t>PHUB526579002 DT 21-Aug-2025</t>
  </si>
  <si>
    <t>PHUB526612258 THE UNIVERSAL TOBACCO 5620780000721</t>
  </si>
  <si>
    <t>CHQ NO 000034 DT 19.08.2025 SAQR ALSHARQAUTO</t>
  </si>
  <si>
    <t>CHQ NO 000048 DT 19.08.25 AL NAJM AL BURAQ</t>
  </si>
  <si>
    <t>RE-1950250</t>
  </si>
  <si>
    <t>CHQ NO 000448 DT 15.08.25 JABAL ARMAN</t>
  </si>
  <si>
    <t>CASH DEPOSIT TG</t>
  </si>
  <si>
    <t>CHQ NO ::000783 DT 19.08.25 AL KHAIL TYRES AND RIN</t>
  </si>
  <si>
    <t>CHQ NO ::000152 DT 20.08.25 AL FAJR AL SATEE</t>
  </si>
  <si>
    <t>5662810 tonichan 5620310202059</t>
  </si>
  <si>
    <t>CASH DEP THRU TG 101021784965</t>
  </si>
  <si>
    <t>TG CASH DEPOSITE 21082025</t>
  </si>
  <si>
    <t>PHUB526630250 SATHISH 5620780000722</t>
  </si>
  <si>
    <t>1 SALARY 21-08-25 FHK TECHNOLOGIES</t>
  </si>
  <si>
    <t>PHUB526279126 20-08-25 FRONTIER AUTO</t>
  </si>
  <si>
    <t>PHUB526114361 20-08-25 BLUE OCEAN</t>
  </si>
  <si>
    <t>PHUB526466502 21-08-25 BLUE OCEAN</t>
  </si>
  <si>
    <t>PHUB526114355 20-08-25 BLUE OCEAN</t>
  </si>
  <si>
    <t>TG CASH DEPOSIT 101021684439</t>
  </si>
  <si>
    <t>TG CASH DEPOSIT @ 04:40 PM</t>
  </si>
  <si>
    <t>TG CASH DEPOSITED@5.01PM</t>
  </si>
  <si>
    <t>ID NO. 5928816 / 5610190677683</t>
  </si>
  <si>
    <t>TG CASH DEPOSIT 21-08-2025</t>
  </si>
  <si>
    <t>ADCB DEP 101022077614</t>
  </si>
  <si>
    <t>PHUB526509356 21-08-25 NAJIMAT AL IBDAA</t>
  </si>
  <si>
    <t>20-08-2025 CHEQ820553 5620270008813</t>
  </si>
  <si>
    <t>REVERSAL 3844328</t>
  </si>
  <si>
    <t>19082025 CHEQ000227 5620270008795</t>
  </si>
  <si>
    <t>PHUB526304940</t>
  </si>
  <si>
    <t>TG CASH DEP MBZ 20:06</t>
  </si>
  <si>
    <t>RE-1950905</t>
  </si>
  <si>
    <t>370K AED THRU TG</t>
  </si>
  <si>
    <t>20-08-2025 CHEQ099269 5620270008796</t>
  </si>
  <si>
    <t>CASH DEPOSITED ADCB THRU TG</t>
  </si>
  <si>
    <t>PHUB526605618 APT GLOBAL MARINE</t>
  </si>
  <si>
    <t>TG 102014154021</t>
  </si>
  <si>
    <t>CHQ-500032-CRDTD-14-08-2025</t>
  </si>
  <si>
    <t>TG CASH DEPT 20;30PM</t>
  </si>
  <si>
    <t>06 08 25 CHQ 000744 5620270008531</t>
  </si>
  <si>
    <t>5620440005854 5620440005854</t>
  </si>
  <si>
    <t>504020188 5620440005869</t>
  </si>
  <si>
    <t>5620440005865 602920102</t>
  </si>
  <si>
    <t>TG CASH DEPO @ 09:18 PM</t>
  </si>
  <si>
    <t>19 08 25 PHUB525774299 5620270008790</t>
  </si>
  <si>
    <t>TG CASH DEPOSIT D-21-8-2025 T-9:22PM</t>
  </si>
  <si>
    <t>chq-019278-crdtd-21/08/2025</t>
  </si>
  <si>
    <t>20082025 CHQ000020 5620270008798</t>
  </si>
  <si>
    <t>101021610111 CASH DEP ADCB THRU TG</t>
  </si>
  <si>
    <t>PHUB526534767 / KOCHUPAILY JOSE</t>
  </si>
  <si>
    <t>PHUB526533034 / AAA FREIGHT SERVICES</t>
  </si>
  <si>
    <t>PHUB526613854 / AAA FREIGHT SERVICES</t>
  </si>
  <si>
    <t>PHUB526755059</t>
  </si>
  <si>
    <t>003664 CLASSIC AUTO</t>
  </si>
  <si>
    <t>PHUB526730531 / 21-08/2025</t>
  </si>
  <si>
    <t>PHUB526521284</t>
  </si>
  <si>
    <t>CHQ NO ::002328</t>
  </si>
  <si>
    <t>000-995747</t>
  </si>
  <si>
    <t>001591-991352</t>
  </si>
  <si>
    <t>0011-942983</t>
  </si>
  <si>
    <t>00011-942924</t>
  </si>
  <si>
    <t>019281-970790</t>
  </si>
  <si>
    <t>000-977888</t>
  </si>
  <si>
    <t>000 000-972371</t>
  </si>
  <si>
    <t>000000-985496</t>
  </si>
  <si>
    <t>000000-941954</t>
  </si>
  <si>
    <t>00-983608</t>
  </si>
  <si>
    <t>00-983750</t>
  </si>
  <si>
    <t>0011-994309</t>
  </si>
  <si>
    <t>00000-976491</t>
  </si>
  <si>
    <t>019280-970790</t>
  </si>
  <si>
    <t>00-944840</t>
  </si>
  <si>
    <t>000-942983</t>
  </si>
  <si>
    <t>00-944841</t>
  </si>
  <si>
    <t>00111-996987</t>
  </si>
  <si>
    <t>019279-970790</t>
  </si>
  <si>
    <t>00000-985168</t>
  </si>
  <si>
    <t>00000-985220</t>
  </si>
  <si>
    <t>779825-5610110939046-21/08/25</t>
  </si>
  <si>
    <t>000274-5610330821550-21/08/25</t>
  </si>
  <si>
    <t>000276-5610330821552-21/08/25</t>
  </si>
  <si>
    <t>000275-5610330821551-21/08/25</t>
  </si>
  <si>
    <t>500978-5613010118648-20/08/25</t>
  </si>
  <si>
    <t>000012-5613510104578-20/08/25</t>
  </si>
  <si>
    <t>000044-5613510104536-19/08/25</t>
  </si>
  <si>
    <t>ABDUL-5610140796172-22/08/25</t>
  </si>
  <si>
    <t>010416-5610700625584-21/08/25</t>
  </si>
  <si>
    <t>001189--12/08/25</t>
  </si>
  <si>
    <t>001522--20/08/25</t>
  </si>
  <si>
    <t>349949-5610670445901-22/08/25</t>
  </si>
  <si>
    <t>342498-5610670445898-22/08/25</t>
  </si>
  <si>
    <t>118082555984-5613010118505-18/08/25</t>
  </si>
  <si>
    <t>MUHAMMAD-5610140796181-22/08/25</t>
  </si>
  <si>
    <t>372591-5610140796155-21/08/25</t>
  </si>
  <si>
    <t>000025-5610140796150-21/08/25</t>
  </si>
  <si>
    <t>000085-5610140796151-21/08/25</t>
  </si>
  <si>
    <t>MUNEER-PHUB525764474/MUNEER/19-Aug-2025-19/08/25</t>
  </si>
  <si>
    <t>MOUNA-5610720692700-22/08/25</t>
  </si>
  <si>
    <t>MINTRA-5610720692698-22/08/25</t>
  </si>
  <si>
    <t>GRAHAM-5610720692701-22/08/25</t>
  </si>
  <si>
    <t>337693X42-5610190677790-22/08/25</t>
  </si>
  <si>
    <t>530PF73C0805-5610790146802-22/08/25</t>
  </si>
  <si>
    <t>MOHD-PHUB527081386/MOHD/22-08-2025-22/08/25</t>
  </si>
  <si>
    <t>003864-5610170455524-20/08/25</t>
  </si>
  <si>
    <t>003864-5610170455525-20/08/25</t>
  </si>
  <si>
    <t>000151-5610340567847-16/08/25</t>
  </si>
  <si>
    <t>51163950297-5612240155850-22/08/25</t>
  </si>
  <si>
    <t>RASHMI-PHUB527113234/RASHMI /22-Aug-2025-22/08/25</t>
  </si>
  <si>
    <t>AMALI-5610140796215-22/08/25</t>
  </si>
  <si>
    <t>000239-5613510104590-20/08/25</t>
  </si>
  <si>
    <t>MOHAMMAD-5610720692712-22/08/25</t>
  </si>
  <si>
    <t>014725-5610670445902-21/08/25</t>
  </si>
  <si>
    <t>BNK2523-5610770626233-22/08/25</t>
  </si>
  <si>
    <t>530PD8-5610770626185-21/08/25</t>
  </si>
  <si>
    <t>FT2523-5610770626199-22/08/25</t>
  </si>
  <si>
    <t>salem-5610610599829 -21/08/25</t>
  </si>
  <si>
    <t>SHAJI-5610610599914-22/08/25</t>
  </si>
  <si>
    <t>ONLINE-5610620347217 NOON MOHAMED ELTAYEB MOHAMED-22/08/25</t>
  </si>
  <si>
    <t>PHUB526515686</t>
  </si>
  <si>
    <t>PHUB525814177</t>
  </si>
  <si>
    <t>531-1-EWPS-19953-202508</t>
  </si>
  <si>
    <t>533-1-EWPS-19955-202508</t>
  </si>
  <si>
    <t>EWPS-10335359-202507</t>
  </si>
  <si>
    <t>5612520095793 000189</t>
  </si>
  <si>
    <t>5610580509976 REV</t>
  </si>
  <si>
    <t>000990 21-08-25 KABANI SPECIALIST</t>
  </si>
  <si>
    <t>005768- ALsafa</t>
  </si>
  <si>
    <t>PHUB526300049 5610851261148</t>
  </si>
  <si>
    <t>51145016557 21-08-25 AKMAL NAZIR</t>
  </si>
  <si>
    <t>PHUB526576383 21-08-25 BAWABAT AL SHARQ</t>
  </si>
  <si>
    <t>056248 21-08-25 TAREEQ AL RAMTHA</t>
  </si>
  <si>
    <t>000296 21-08-25 SOUGAN ELECTRICAL</t>
  </si>
  <si>
    <t>21aug2025 PHUB526702463 5620270008830</t>
  </si>
  <si>
    <t>PHUB526776103</t>
  </si>
  <si>
    <t>PHUB526879969 DT 22-Aug-2025</t>
  </si>
  <si>
    <t>000905/  ANWAR AL RIFAI</t>
  </si>
  <si>
    <t>CHQ 000303 CR180825 5620440005861</t>
  </si>
  <si>
    <t>PHUB526925520</t>
  </si>
  <si>
    <t>51154122233 / 22-08-2025</t>
  </si>
  <si>
    <t>TG CASH DEPOSIT 11:57</t>
  </si>
  <si>
    <t>PHUB526290718 AFJ</t>
  </si>
  <si>
    <t>PHUB526290805 AFJ</t>
  </si>
  <si>
    <t>PHUB526232456 MEDITERRANEAN SHIPPING</t>
  </si>
  <si>
    <t>51155218210- 5610720692690-689</t>
  </si>
  <si>
    <t>PHUB526586925</t>
  </si>
  <si>
    <t>PHUB526984816 credo communications</t>
  </si>
  <si>
    <t>PHUB525925039/ARMADIO/19-Aug-2025</t>
  </si>
  <si>
    <t>26239814983 AASHISH</t>
  </si>
  <si>
    <t>tg cash dpst alhayer @ 14:22</t>
  </si>
  <si>
    <t>##RE-1951316##</t>
  </si>
  <si>
    <t>TG CASH DEP 14:38</t>
  </si>
  <si>
    <t>101022079774 DEP TO ADCB THRG TG</t>
  </si>
  <si>
    <t>51158197703 RAKHI RADHAKRISHNAN RENJITH</t>
  </si>
  <si>
    <t>TG CASH DEPOSIT 22 08 2025 14:56 SWEIHAN</t>
  </si>
  <si>
    <t>PHUB526694748/CRDTD/21/08/2025</t>
  </si>
  <si>
    <t>PAYMENT AGAINST PHUB527037436</t>
  </si>
  <si>
    <t>A M S MARINTINE 8603827 PHUB526510609</t>
  </si>
  <si>
    <t>21082025 CHEQ100064 5620270008809</t>
  </si>
  <si>
    <t>21082025 51143912785 POWER TECH</t>
  </si>
  <si>
    <t>21082025 CHQ001161 5620270008823</t>
  </si>
  <si>
    <t>CSH DEP TO ADCB THRU TG 100009439671</t>
  </si>
  <si>
    <t>22082025 PHUB527044146 5620270008850</t>
  </si>
  <si>
    <t>PHUB526839261 / INDO POINT GENERAL TRADING</t>
  </si>
  <si>
    <t>TG RUWAIS</t>
  </si>
  <si>
    <t>5620310202035 sanjoe poriyath 2123067</t>
  </si>
  <si>
    <t>5620310201554 A M S MARITIME PHUB526247782</t>
  </si>
  <si>
    <t>PHUB526822563 SEACOR OFFSHORE DUBAI</t>
  </si>
  <si>
    <t>TG CASH DEPOSIT 101021684604</t>
  </si>
  <si>
    <t>PHUB526960392 DTD 22-08-2025</t>
  </si>
  <si>
    <t>PHUB526942299</t>
  </si>
  <si>
    <t>PHUB526960940 ABDALLA SAMIR</t>
  </si>
  <si>
    <t>PHUB527036538</t>
  </si>
  <si>
    <t>TG CASH DEPOSITED@2.12</t>
  </si>
  <si>
    <t>5620630000809 5610630327189 PHUB527076674</t>
  </si>
  <si>
    <t>TG CASH DEPOSIT 7:22 PM</t>
  </si>
  <si>
    <t>51155847315/SURENDRA/22-Aug-2025</t>
  </si>
  <si>
    <t>51155891162/SURENDRA/22-Aug-2025</t>
  </si>
  <si>
    <t>tg csh dpst  19.48</t>
  </si>
  <si>
    <t>51162406323 HARIKRISHNAN POURNAMI 2201783</t>
  </si>
  <si>
    <t>TG CASH DEP 20:20 PM</t>
  </si>
  <si>
    <t>TG CASH DEPT 20;35 PM</t>
  </si>
  <si>
    <t>001671 ASHTAR</t>
  </si>
  <si>
    <t>CASH DEPOSIT TRANSAGUARD</t>
  </si>
  <si>
    <t>CHQ NO ::003137</t>
  </si>
  <si>
    <t>CHQ NO ::003138</t>
  </si>
  <si>
    <t>TG C ASH DEPOSIT 101022147609</t>
  </si>
  <si>
    <t>000914 / ANWAR AL RIFAI AUTO</t>
  </si>
  <si>
    <t>000915 / ANWAR AL RIFAI AUTO</t>
  </si>
  <si>
    <t>51159831429/KAYYUM SHAKIR</t>
  </si>
  <si>
    <t>CHQ NO ::002329</t>
  </si>
  <si>
    <t>TG CASH DEP 21:06</t>
  </si>
  <si>
    <t>PAYMENT AGAINST CHQ NO 500464</t>
  </si>
  <si>
    <t>010584 / AL AQSAR TRADING LLC</t>
  </si>
  <si>
    <t>101021654629 CASH DEPOSIT THRU TG</t>
  </si>
  <si>
    <t>TG CASH DEPOSIT @ 21:28</t>
  </si>
  <si>
    <t>CHQ: 000088 TAJ ALHAYAT</t>
  </si>
  <si>
    <t>CHQ-000137-CRDTD-22/08/2025</t>
  </si>
  <si>
    <t>PHUB526266077</t>
  </si>
  <si>
    <t>PHUB527045184</t>
  </si>
  <si>
    <t>SALARY LN60203679522097 MERAKI</t>
  </si>
  <si>
    <t>PHUB526580622 HH SH HAMDAN</t>
  </si>
  <si>
    <t>TG CASH DEPOSIT 101022059753</t>
  </si>
  <si>
    <t>51161945141/SEBASTIAN</t>
  </si>
  <si>
    <t>5620820003652  100089</t>
  </si>
  <si>
    <t>000 0000-972371</t>
  </si>
  <si>
    <t>000 00000-972371</t>
  </si>
  <si>
    <t>509080-984730</t>
  </si>
  <si>
    <t>00-994097</t>
  </si>
  <si>
    <t>056740-971624</t>
  </si>
  <si>
    <t>000021-991519</t>
  </si>
  <si>
    <t>000000-943341</t>
  </si>
  <si>
    <t>000 000000000-972371</t>
  </si>
  <si>
    <t>000-943027</t>
  </si>
  <si>
    <t>000025-CHQ 000025/SURESH/22-08-2025-22/08/25</t>
  </si>
  <si>
    <t>000059-5610120503879-22/08/25</t>
  </si>
  <si>
    <t>000045-5610270502192-21/08/25</t>
  </si>
  <si>
    <t>52350754-5610160699237-23/08/25</t>
  </si>
  <si>
    <t>33AZ66-5610230557721-21/08/25</t>
  </si>
  <si>
    <t>000011-5610230557694-21/08/25</t>
  </si>
  <si>
    <t>34AOS5-5610230557753-22/08/25</t>
  </si>
  <si>
    <t>000026-5610230557577-19/08/25</t>
  </si>
  <si>
    <t>ONLINE-5610890092894-23/08/25</t>
  </si>
  <si>
    <t>PHUB52-5610630327202-23/08/25</t>
  </si>
  <si>
    <t>000297-5613510104666-22/08/25</t>
  </si>
  <si>
    <t>003816-5613510104672-22/08/25</t>
  </si>
  <si>
    <t>000252-5610670445899-22/08/25</t>
  </si>
  <si>
    <t>35AQNF-5610670445991-23/08/25</t>
  </si>
  <si>
    <t>HAMZA-5610580510079-23/08/25</t>
  </si>
  <si>
    <t>000150-5610230557751-22/08/25</t>
  </si>
  <si>
    <t>000042-5610110939047-21/08/25</t>
  </si>
  <si>
    <t>AHMED-5610110939148-23/08/25</t>
  </si>
  <si>
    <t>KHALED-5610110939177-23/08/25</t>
  </si>
  <si>
    <t>081803-5610180430437-19/08/25</t>
  </si>
  <si>
    <t>ONLINE-5610620347270-23/08/25</t>
  </si>
  <si>
    <t>ONLINE-5610890092920-23/08/25</t>
  </si>
  <si>
    <t>PHUB256585501</t>
  </si>
  <si>
    <t>PHUB526206807</t>
  </si>
  <si>
    <t>WRONG NTRY  5610740409885</t>
  </si>
  <si>
    <t>PHUB527070327  KAIZEN TECHNICAL</t>
  </si>
  <si>
    <t>PHUB526153779 / BEST TRUST</t>
  </si>
  <si>
    <t>PHUB526677460 / GOLDEN POINT TRADING</t>
  </si>
  <si>
    <t>PHUB526889428 / SURAJ INTERNATIONAL</t>
  </si>
  <si>
    <t>001150/AL NAJAH</t>
  </si>
  <si>
    <t>CHQ 001983/HAKIM/19-Aug-2025</t>
  </si>
  <si>
    <t>PHUB527240488 DTD 23.08.25</t>
  </si>
  <si>
    <t>PHUB527079888</t>
  </si>
  <si>
    <t>PHUB527225486 BILRS PAYMT 230825</t>
  </si>
  <si>
    <t>PHUB527086149</t>
  </si>
  <si>
    <t>PHUB527083067 SEACOR OFF</t>
  </si>
  <si>
    <t>PHUB527301636</t>
  </si>
  <si>
    <t>TG DEPOSIT 12.25PM</t>
  </si>
  <si>
    <t>CHQ NO 000038 DT  21.08.2025 AL BARAKH 104030136</t>
  </si>
  <si>
    <t>TG CASH DEPOSIT AT12:21</t>
  </si>
  <si>
    <t>CHQ NO 000077 DT 21.08.25 BEST CRANE</t>
  </si>
  <si>
    <t>004142 TOP SPEED PERFORMANCE PARTS</t>
  </si>
  <si>
    <t>004141 TOP SPEED PERFORMANCE PARTS</t>
  </si>
  <si>
    <t>CHQ NO 100063 DT 21.08.25 ANWAR AL TAREQ</t>
  </si>
  <si>
    <t>CHQ NO 000018 DT 21.08.25 AMSHAID MUNEER</t>
  </si>
  <si>
    <t>51174674226 5620430018583 MOHAMED GOMAA</t>
  </si>
  <si>
    <t>51174709015 5620430018584</t>
  </si>
  <si>
    <t>TG23/8/2025 2.19PM</t>
  </si>
  <si>
    <t>TG CASH DEPOSIT 14:23</t>
  </si>
  <si>
    <t>REJANEESH RAMACHANDRAN</t>
  </si>
  <si>
    <t>22082025 cheq000446 5620270008814</t>
  </si>
  <si>
    <t>22082025 cheq000012 5620270008841</t>
  </si>
  <si>
    <t>22082025 cheq000236 5620270008842</t>
  </si>
  <si>
    <t>22082025 cheq820555 5620270008838</t>
  </si>
  <si>
    <t>cash deposit thru TG</t>
  </si>
  <si>
    <t>T N R FLOWERS  51177549140</t>
  </si>
  <si>
    <t>51177270202 RE1952066</t>
  </si>
  <si>
    <t>TG CASH DEP 3.10 PM</t>
  </si>
  <si>
    <t>TG CASH DEPST 23.08.2025 TIME 3.28PM</t>
  </si>
  <si>
    <t>PHUB527050241 22-08-25 FRONTIER</t>
  </si>
  <si>
    <t>000011 22-08-25 ENERTIA WORLDWIDE</t>
  </si>
  <si>
    <t>TG CASH DEP 23 08 2025 15:58</t>
  </si>
  <si>
    <t>TG AED 250000 RUWAIS 23082025 03.56PM</t>
  </si>
  <si>
    <t>TG CASH DEP 16:33</t>
  </si>
  <si>
    <t>5620450001917 PHUB527380209 23/08/2025</t>
  </si>
  <si>
    <t>TG CASH DEPOSITED@4.56PM</t>
  </si>
  <si>
    <t xml:space="preserve"> Ahmad 51179376179</t>
  </si>
  <si>
    <t>PHUB523597767/CHAMPIONS/DTD13082025</t>
  </si>
  <si>
    <t>PHUB526447413</t>
  </si>
  <si>
    <t>PHUB527407945</t>
  </si>
  <si>
    <t>TG CASH DEPOSIT 101021684441</t>
  </si>
  <si>
    <t>TG CASH DEPOSIT 101021684605</t>
  </si>
  <si>
    <t>TG CASH DEPOSIT 23-08-2025</t>
  </si>
  <si>
    <t>PHUB526103575/HUSAM ZAK</t>
  </si>
  <si>
    <t>PHUB526467829/HUSAM ZAKA</t>
  </si>
  <si>
    <t>TG CASH DEP AT 17:58</t>
  </si>
  <si>
    <t>PHUB526939340/HUSAM ZAKA</t>
  </si>
  <si>
    <t>cash deposit to ADCB TG 101022131125</t>
  </si>
  <si>
    <t>51173224928 DTD 23-08-2025</t>
  </si>
  <si>
    <t>51173310064 DTD 23-08-205</t>
  </si>
  <si>
    <t>51173346201 DTD 23-08-2025</t>
  </si>
  <si>
    <t>51173378551 DTD 23-08-2025</t>
  </si>
  <si>
    <t>51173503447 DTD 23-08-2025</t>
  </si>
  <si>
    <t>51173415429 DTD 23-08-2025</t>
  </si>
  <si>
    <t>51173530451 DTD 23-08-2025</t>
  </si>
  <si>
    <t>51173615798 DTD 23-08-2025</t>
  </si>
  <si>
    <t>51173269223 DTD 23-08-2025</t>
  </si>
  <si>
    <t>TG CASH DEPOSIT 7:33 PM</t>
  </si>
  <si>
    <t>TG CASH DEPOSITED@1.36</t>
  </si>
  <si>
    <t>5620980001173 51182663023 9667332</t>
  </si>
  <si>
    <t>PHUB527346868</t>
  </si>
  <si>
    <t>TG DPST DTD 23/08/2025</t>
  </si>
  <si>
    <t>TG CASH DEP 20:26</t>
  </si>
  <si>
    <t>TG DEPOSIT 20:29</t>
  </si>
  <si>
    <t>5620980001166  CHQ 000815 6247590</t>
  </si>
  <si>
    <t>cash dep to adcb thru tg 101021756070</t>
  </si>
  <si>
    <t>PHUB527311152 23AUG2025 MAKANI BUILDING</t>
  </si>
  <si>
    <t>PHUB527438677</t>
  </si>
  <si>
    <t>CASH DEP THRU TG 101021957206</t>
  </si>
  <si>
    <t>TG DEPOSIT 23/08/2025</t>
  </si>
  <si>
    <t>804030124 /CHQ NO ::000336</t>
  </si>
  <si>
    <t>TG 102014219297</t>
  </si>
  <si>
    <t>5620980001171 PHUB527320250 8731988</t>
  </si>
  <si>
    <t>51181525129-26287968315 /MUHAMMED ASLAM</t>
  </si>
  <si>
    <t>23-Aug-2025 CHQ 000819 AJMAL TR</t>
  </si>
  <si>
    <t>TG DEPOSIT BAG NO 101021705448</t>
  </si>
  <si>
    <t>010585/ AL AQSAR</t>
  </si>
  <si>
    <t>010588/ AL AQSAR</t>
  </si>
  <si>
    <t>010586/ AL AQSAR</t>
  </si>
  <si>
    <t>PHUB527439359 23-Aug-2025</t>
  </si>
  <si>
    <t>PHUB527325051 23-Aug-2025</t>
  </si>
  <si>
    <t>PHUB527028874</t>
  </si>
  <si>
    <t>tg dep TIME 09:02PM</t>
  </si>
  <si>
    <t>101021610112 CASH DEP ADCB THRU TG</t>
  </si>
  <si>
    <t>PHUB527485112</t>
  </si>
  <si>
    <t>CHQ NO ::000583</t>
  </si>
  <si>
    <t>4486160 RASHID AL KINDI TRADING 5620170000147</t>
  </si>
  <si>
    <t>TG CASH DEP 20:59</t>
  </si>
  <si>
    <t>100765 23-08-25 SEVEN STARS OIL FIELDS EQUIP</t>
  </si>
  <si>
    <t>tg cash deposit at 21;30 pm</t>
  </si>
  <si>
    <t>TG CASH DEPOSIT @9.25PM</t>
  </si>
  <si>
    <t>TG CSH DPST DTD  - 23-08-2025 AT 21:54</t>
  </si>
  <si>
    <t>CASH DEPOSIT TG 101021381945</t>
  </si>
  <si>
    <t>`-FTRN 5610110939063-21/08/25</t>
  </si>
  <si>
    <t>985252350492-5610710651079-23/08/25</t>
  </si>
  <si>
    <t>SHELBY-5610580510030-21/08/25</t>
  </si>
  <si>
    <t>000144-5610580509938-17/08/25</t>
  </si>
  <si>
    <t>277FA824D7E8-5613010118726-22/08/25</t>
  </si>
  <si>
    <t>014101-5610720692681-21/08/25</t>
  </si>
  <si>
    <t>000014-5610140796252-23/08/25</t>
  </si>
  <si>
    <t>001180-5610230557683-20/08/25</t>
  </si>
  <si>
    <t>ONLINE-5610630327234-24/08/25</t>
  </si>
  <si>
    <t>ONLINE-5610630327232-24/08/25</t>
  </si>
  <si>
    <t>ONLINE-5610630327233-24/08/25</t>
  </si>
  <si>
    <t>000020-5610860151254-21/08/25</t>
  </si>
  <si>
    <t>AL QABAS-5610110939186-24/08/25</t>
  </si>
  <si>
    <t>36A1SG-5610160699327-24/08/25</t>
  </si>
  <si>
    <t>AKBER-5610720692778-24/08/25</t>
  </si>
  <si>
    <t>SREENIVAS-5610140796324-24/08/25</t>
  </si>
  <si>
    <t>002330 23AUG2025 DUBAI SKY INDUSTRIAL</t>
  </si>
  <si>
    <t>000364 23AUG2025 ALAMEEMI BERRY</t>
  </si>
  <si>
    <t>000789  KABS SHIPPING</t>
  </si>
  <si>
    <t>PHUB527049655 PRECIZ SCIENTIFIC AND LAB</t>
  </si>
  <si>
    <t>PHUB525026065 SAFE LOOP TECH</t>
  </si>
  <si>
    <t>PHUB525436865 TECHSTORE TRADING</t>
  </si>
  <si>
    <t>CHQ NO ::004146</t>
  </si>
  <si>
    <t>PHUB526062829 PRECIZ SCIENTIFIC AMD LAB</t>
  </si>
  <si>
    <t>PHUB526096586 AL WAFA TECHNICAL</t>
  </si>
  <si>
    <t>PHUB526182489 TECHSTORE TRD</t>
  </si>
  <si>
    <t>PHUB526099425  JACQUIN WOOD</t>
  </si>
  <si>
    <t>PHUB526427136  MATHEWS VARGHESE</t>
  </si>
  <si>
    <t>PHUB526536191  GEORGE AND RUBAIH</t>
  </si>
  <si>
    <t>PHUB526692014  PRECIZ SCIENTIFIC</t>
  </si>
  <si>
    <t>AE1413847 15-08-2025</t>
  </si>
  <si>
    <t>012691 16-Aug-2025</t>
  </si>
  <si>
    <t>012690 15-Aug-2025</t>
  </si>
  <si>
    <t>8272791 AL FAYHA ALUMINUM CC 1949773</t>
  </si>
  <si>
    <t>CHQ NO ::000042</t>
  </si>
  <si>
    <t>012727 21-Aug-2025</t>
  </si>
  <si>
    <t>000258 20-08-25 AL ISTIQLAL AUTO USED</t>
  </si>
  <si>
    <t>PHUB526347261 20-Aug-2025</t>
  </si>
  <si>
    <t>PHUB525938008 19-Aug-2025</t>
  </si>
  <si>
    <t>PHUB525480849 18-Aug-2025</t>
  </si>
  <si>
    <t>012725 18-Aug-2025</t>
  </si>
  <si>
    <t>PHUB518242309</t>
  </si>
  <si>
    <t>012728 18-Aug-2025</t>
  </si>
  <si>
    <t>012719 18-Aug-2025</t>
  </si>
  <si>
    <t>001250 19-Aug-2025</t>
  </si>
  <si>
    <t>PHUB526513450</t>
  </si>
  <si>
    <t>PHUB526522075-5620230000531</t>
  </si>
  <si>
    <t>REF 51191978920 / 26300190573</t>
  </si>
  <si>
    <t>Ref 51190927516 / 26298977690</t>
  </si>
  <si>
    <t>MOHAMMED EMTIAJ UDDIN SIKDER26300570688</t>
  </si>
  <si>
    <t>5624220000045 100033 BELAL SHARF</t>
  </si>
  <si>
    <t>CHQ NO 001122 AL NAJAH FUR</t>
  </si>
  <si>
    <t>2544822155 BO LAKSHMI MEGANATHAN 51157419909</t>
  </si>
  <si>
    <t>PHUB527590996 - 5610720692794</t>
  </si>
  <si>
    <t>CHQ NO 000673 AL SAHIL MARINE</t>
  </si>
  <si>
    <t>PHUB521693971 MRI SHIPPING AND LOG</t>
  </si>
  <si>
    <t>PHUB525945817 MRI SHIPPING AND LOG</t>
  </si>
  <si>
    <t>PHUB527605984 5610150433335</t>
  </si>
  <si>
    <t>PHUB527627861 - 5610720692800</t>
  </si>
  <si>
    <t>51169696983 MUTHURAMALINGAM BALASUBRAMANIAN</t>
  </si>
  <si>
    <t>51195595024 MUTHURAMALINGAM BALASUBRAMANIAN</t>
  </si>
  <si>
    <t>PHUB527683682 DTD 24082025</t>
  </si>
  <si>
    <t>5620890004909 51197785470 24-08-25</t>
  </si>
  <si>
    <t>PHUB518687843 5620230000520 02-08-2025</t>
  </si>
  <si>
    <t>PHUB526215218 5620230000529 20/08/2025</t>
  </si>
  <si>
    <t>001148-991657</t>
  </si>
  <si>
    <t>000-947430</t>
  </si>
  <si>
    <t>00-995739</t>
  </si>
  <si>
    <t>000-944062</t>
  </si>
  <si>
    <t>000-945053</t>
  </si>
  <si>
    <t>000-940031</t>
  </si>
  <si>
    <t>0000-987608</t>
  </si>
  <si>
    <t>007183-978855</t>
  </si>
  <si>
    <t>000-947387</t>
  </si>
  <si>
    <t>0000-946927</t>
  </si>
  <si>
    <t>00000-999618</t>
  </si>
  <si>
    <t>000000-996453</t>
  </si>
  <si>
    <t>00000-989033</t>
  </si>
  <si>
    <t>111-940366</t>
  </si>
  <si>
    <t>1111-997020</t>
  </si>
  <si>
    <t>0000-942589</t>
  </si>
  <si>
    <t>000-973778</t>
  </si>
  <si>
    <t>0000000-987170</t>
  </si>
  <si>
    <t>00000-987169</t>
  </si>
  <si>
    <t>111-989332</t>
  </si>
  <si>
    <t>1121-989332</t>
  </si>
  <si>
    <t>FATMA-5610720692779-24/08/25</t>
  </si>
  <si>
    <t>001170-5610670445950-23/08/25</t>
  </si>
  <si>
    <t>000158-5610120503961-24/08/25</t>
  </si>
  <si>
    <t>000135-5610130713853-25/08/25</t>
  </si>
  <si>
    <t>000584-5610160699243-23/08/25</t>
  </si>
  <si>
    <t>337693X12-5610190677839-24/08/25</t>
  </si>
  <si>
    <t>530PD23F5352-5610790146900-25/08/25</t>
  </si>
  <si>
    <t>355237X87-5610190677841-25/08/25</t>
  </si>
  <si>
    <t>AGRI-5610610600050-25/08/25</t>
  </si>
  <si>
    <t>ALEX-5610150433308-23/08/25</t>
  </si>
  <si>
    <t>500534-5610150433138-18/08/25</t>
  </si>
  <si>
    <t>000153-5610150433135-18/08/25</t>
  </si>
  <si>
    <t>000095-5610160699150-22/08/25</t>
  </si>
  <si>
    <t>237ASO-5610160699405-25/08/25</t>
  </si>
  <si>
    <t>000094-5610160699045-21/08/25</t>
  </si>
  <si>
    <t>000093-5610160699044-21/08/25</t>
  </si>
  <si>
    <t>ONLINE-5610330821894-25/08/25</t>
  </si>
  <si>
    <t>GRAHAM-5610720692819-25/08/25</t>
  </si>
  <si>
    <t>101638-5610840576141-25/08/25</t>
  </si>
  <si>
    <t>FT25237H24D1-5610240830615-25/08/25</t>
  </si>
  <si>
    <t>SPEED-5610610600057-25/08/25</t>
  </si>
  <si>
    <t>123367-5610140796290-24/08/25</t>
  </si>
  <si>
    <t>MD FARHAN--21/08/25</t>
  </si>
  <si>
    <t>000112-5610140796311-24/08/25</t>
  </si>
  <si>
    <t>ONLINE-5610620347308 ASAAD ALI ABDELSALAM ALI ELBOSHI-25/08/</t>
  </si>
  <si>
    <t>74AME0-5610670446074-25/08/25</t>
  </si>
  <si>
    <t>001537-5610910418193-19/08/25</t>
  </si>
  <si>
    <t>000217-5610340568054-20/08/25</t>
  </si>
  <si>
    <t>MANORANJANP-5610140796358-25/08/25</t>
  </si>
  <si>
    <t>500127-5613100029439-25/08/25</t>
  </si>
  <si>
    <t>DEREK--19/08/25</t>
  </si>
  <si>
    <t>CHAMPIONS--21/08/25</t>
  </si>
  <si>
    <t>RAVISHANKAR--20/08/25</t>
  </si>
  <si>
    <t>334891--25/08/25</t>
  </si>
  <si>
    <t>306468-5610160699467-25/08/25</t>
  </si>
  <si>
    <t>51223799059-5612240156103-25/08/25</t>
  </si>
  <si>
    <t>002061-5610150433349-25/08/25</t>
  </si>
  <si>
    <t>9825237AFA5-5613610144892-25/08/25</t>
  </si>
  <si>
    <t>991068-5610330821880-22/08/25</t>
  </si>
  <si>
    <t>FT25237BBVDF-5610790146911-25/08/25</t>
  </si>
  <si>
    <t>ONLINE-5610620347335-25/08/25</t>
  </si>
  <si>
    <t>359210-5610620347330-25/08/25</t>
  </si>
  <si>
    <t>ONLINE-5610620347334-25/08/25</t>
  </si>
  <si>
    <t>ONLINE-5610230557913    51225408627-25/08/25</t>
  </si>
  <si>
    <t>online-5610890092983-25/08/25</t>
  </si>
  <si>
    <t>PHUB527080211</t>
  </si>
  <si>
    <t>CHQ NO 340487</t>
  </si>
  <si>
    <t>PHUB527265413</t>
  </si>
  <si>
    <t>PHUB526941908</t>
  </si>
  <si>
    <t>CHQ NO 061047</t>
  </si>
  <si>
    <t>PHUB526948621</t>
  </si>
  <si>
    <t>CHQ NO 340486</t>
  </si>
  <si>
    <t>TRF FR YES BNAK</t>
  </si>
  <si>
    <t>AGRO/CEO/PHUB528017037</t>
  </si>
  <si>
    <t xml:space="preserve"> CASH RCVD AGNT CHQ# 500007/5610230557456</t>
  </si>
  <si>
    <t>AGAINST CHQ NO 500173</t>
  </si>
  <si>
    <t>AGAINST PHUB518167842</t>
  </si>
  <si>
    <t>AGAINST PHUB527772057</t>
  </si>
  <si>
    <t>PHUB524663479</t>
  </si>
  <si>
    <t>PHUB527850791</t>
  </si>
  <si>
    <t>5620450001912 PHUB527860354 25-08-2025</t>
  </si>
  <si>
    <t>PHUB519582379 FTRN 5620340002085  AHMAD MOUNIR</t>
  </si>
  <si>
    <t>PHUB527958016 5610610600056</t>
  </si>
  <si>
    <t>TG CASH DEPOSIT AT 11:55</t>
  </si>
  <si>
    <t>5620460016811 SUNIL SAMPATH SAMPATH RANGASAMI</t>
  </si>
  <si>
    <t>51209074297 RIZWAN</t>
  </si>
  <si>
    <t>PHUB527984388</t>
  </si>
  <si>
    <t>TG DEPOSIT @12 45 PM</t>
  </si>
  <si>
    <t>51209985664  ASIF AHAMED MOHAMED</t>
  </si>
  <si>
    <t>51209507036/ CRYSTAL TRADING</t>
  </si>
  <si>
    <t>209700 PROPHARMA  MEDICAL</t>
  </si>
  <si>
    <t>5620430018587 51209968807 MOHAMED GOMAA</t>
  </si>
  <si>
    <t>PHUB528081233</t>
  </si>
  <si>
    <t>PHUB528081236 INDO POINT GENERAL TR</t>
  </si>
  <si>
    <t>PHUB519654018/ FIRST INT</t>
  </si>
  <si>
    <t>TG CASH DEPOSIT 13:01</t>
  </si>
  <si>
    <t>CR CON 1952866 5620780000727</t>
  </si>
  <si>
    <t>TG CASH DEPOSIT 25 08 2025 14:25</t>
  </si>
  <si>
    <t>CASH DEPOSIT THRU 101022088408</t>
  </si>
  <si>
    <t>PHUB527994909</t>
  </si>
  <si>
    <t>PHUB526121946</t>
  </si>
  <si>
    <t>51209425096 PLATINUM MEDICAL SUPPLIES</t>
  </si>
  <si>
    <t>5620450001919 25-08-2025 PHUB528059745</t>
  </si>
  <si>
    <t>PHUB526316750</t>
  </si>
  <si>
    <t>AEL2508</t>
  </si>
  <si>
    <t>TG CASH DEPOSIT @ GAYATHI MALL 15:47</t>
  </si>
  <si>
    <t>TG CASH DEPOSIT GAYATHI SANAYA 25/08/2025</t>
  </si>
  <si>
    <t>PHUB523668672</t>
  </si>
  <si>
    <t>5620310202209 S A A S ADVISORY PHUB527252138</t>
  </si>
  <si>
    <t>5620310202208 S A A S ADVISORY PHUB527252158</t>
  </si>
  <si>
    <t>5620310202207 S A A S ADVISORY PHUB527245946</t>
  </si>
  <si>
    <t>PHUB528065307</t>
  </si>
  <si>
    <t>usd purchase 515 1330430072874</t>
  </si>
  <si>
    <t>PHUB527959345/CRDTD/25/08/2025</t>
  </si>
  <si>
    <t>PHUB528105274 BILRS PAYMENT 250825</t>
  </si>
  <si>
    <t>PHUB528151505</t>
  </si>
  <si>
    <t>PHUB528153683/AAA FREIGHT</t>
  </si>
  <si>
    <t>PHUB528170902</t>
  </si>
  <si>
    <t>TG CASH DEP 17:07</t>
  </si>
  <si>
    <t>TG CASH DEPOSIT@17:10</t>
  </si>
  <si>
    <t>PHUB528189036 AL DHAFR</t>
  </si>
  <si>
    <t>TG CASH DEPOSIT @ 05:40 PM</t>
  </si>
  <si>
    <t>THROUGH TG 102013806104/102013806105</t>
  </si>
  <si>
    <t>TG CASH DEPOSIT 101021684442</t>
  </si>
  <si>
    <t>CSH DEP TO ADCB THRU TG 100009439674</t>
  </si>
  <si>
    <t>TG CASH DEPOS 18:43</t>
  </si>
  <si>
    <t>26325995061 RAMA BAIJU 25082025</t>
  </si>
  <si>
    <t>26326118242 RAMA BAIJU 25082025</t>
  </si>
  <si>
    <t>PHUB528188373</t>
  </si>
  <si>
    <t>PHUB528162093</t>
  </si>
  <si>
    <t>PHUB527972878</t>
  </si>
  <si>
    <t>TG CASH DEPOSIT SLIP MARFA BR-25-08-2025</t>
  </si>
  <si>
    <t>AED 450 K DEPOSIT TO ADCB THROUGH TG</t>
  </si>
  <si>
    <t>TG CASH DEPOSIT - 25AUG2025 - 18:44</t>
  </si>
  <si>
    <t>51219714666 25aug25 THE BICYCLE SHP SP EQUIP TR LL</t>
  </si>
  <si>
    <t>CHEQ NO 001240 JASEM AL SAYEGH</t>
  </si>
  <si>
    <t>PHUB52707925 MOHD H I H AL FARDAN</t>
  </si>
  <si>
    <t>CASH DPT TO ADCB THRU TG 100009861975</t>
  </si>
  <si>
    <t>TG CASH DEPT 20,23 PM</t>
  </si>
  <si>
    <t>101021413452 CASH DEP TO ADCB THRU TG</t>
  </si>
  <si>
    <t>TG DPST 101021891670</t>
  </si>
  <si>
    <t>26330449967 MBTRF B/O SAINATH GADADE</t>
  </si>
  <si>
    <t>26330410175 MBTRF B/O SAINATH GADADE</t>
  </si>
  <si>
    <t>TG CSH DPST DTD 25-08-2025 AT 20:53 PM</t>
  </si>
  <si>
    <t>PHUB528195663</t>
  </si>
  <si>
    <t>TG CASH DEP KARAMA BRANCH 20:33</t>
  </si>
  <si>
    <t>TG DEPOSIT BAG NO 101021755887</t>
  </si>
  <si>
    <t>TG CASH DEP TIME 20:53 PM</t>
  </si>
  <si>
    <t>000001/BENCHMARK PEST</t>
  </si>
  <si>
    <t>51223383698/MILDRED/5610150433376</t>
  </si>
  <si>
    <t>TG CASH DEPOIST 25 AUG 2025</t>
  </si>
  <si>
    <t>TG CASH DEP D-25-08-2025 T-9:42PM</t>
  </si>
  <si>
    <t>CHEQ NO 001116</t>
  </si>
  <si>
    <t>CASH DEPOSIT TO ADCB THRU TG 101021762294</t>
  </si>
  <si>
    <t>CASH DEPOSIT THRU TG 101021654628</t>
  </si>
  <si>
    <t>TG CASH DEP 21:27</t>
  </si>
  <si>
    <t>CASH THRU TG 101021773643</t>
  </si>
  <si>
    <t>TG CASH DEPOSIT MBZ @ 20:03</t>
  </si>
  <si>
    <t>PHUB528210104 / GLOBAL LOGISTIC</t>
  </si>
  <si>
    <t>000496/KYPRATH GANESH BABU</t>
  </si>
  <si>
    <t>TG CASH DEP AT 21 49 PM</t>
  </si>
  <si>
    <t>51222769144 250825 5620590008371</t>
  </si>
  <si>
    <t>000495/KYPRATH GANESH BABU</t>
  </si>
  <si>
    <t>PHUB528172040 / BEST TRUST</t>
  </si>
  <si>
    <t>CASH DEPOSIT TO ADCB THROUGH</t>
  </si>
  <si>
    <t>TG CASH DEPOSIT @9.30PM</t>
  </si>
  <si>
    <t>TG CASH DEP 102014022303</t>
  </si>
  <si>
    <t>000850 AL ERJOUWAN 3060156</t>
  </si>
  <si>
    <t>CASH DPST THRU TG 102013697405</t>
  </si>
  <si>
    <t>WPS SALARY MARIOT KITCHEN</t>
  </si>
  <si>
    <t>747178-946932</t>
  </si>
  <si>
    <t>500005-948496</t>
  </si>
  <si>
    <t>000000-989034</t>
  </si>
  <si>
    <t>0000-988210</t>
  </si>
  <si>
    <t>001912-999264</t>
  </si>
  <si>
    <t>000-997038</t>
  </si>
  <si>
    <t>00-942480</t>
  </si>
  <si>
    <t>000000-940403</t>
  </si>
  <si>
    <t>000-940153</t>
  </si>
  <si>
    <t>00000-941844</t>
  </si>
  <si>
    <t>000000-987405</t>
  </si>
  <si>
    <t>00-944358</t>
  </si>
  <si>
    <t>000-946524</t>
  </si>
  <si>
    <t>000091-989518</t>
  </si>
  <si>
    <t>000-997590</t>
  </si>
  <si>
    <t>111-993981</t>
  </si>
  <si>
    <t>000-997988</t>
  </si>
  <si>
    <t>000-946217</t>
  </si>
  <si>
    <t>111-973548</t>
  </si>
  <si>
    <t>111-998321</t>
  </si>
  <si>
    <t>000-946178</t>
  </si>
  <si>
    <t>0000-970889</t>
  </si>
  <si>
    <t>00000-996453</t>
  </si>
  <si>
    <t>00000-995465</t>
  </si>
  <si>
    <t>000000-944070</t>
  </si>
  <si>
    <t>00000000-993747</t>
  </si>
  <si>
    <t>0000-973141</t>
  </si>
  <si>
    <t>000000-973141</t>
  </si>
  <si>
    <t>000-996556</t>
  </si>
  <si>
    <t>0000000-993749</t>
  </si>
  <si>
    <t>00000-999022</t>
  </si>
  <si>
    <t>000-988976</t>
  </si>
  <si>
    <t>000047-5610320434780-25/08/25</t>
  </si>
  <si>
    <t>FOUAD-5610230557727-22/08/25</t>
  </si>
  <si>
    <t>001447-5610230557916-25/08/25</t>
  </si>
  <si>
    <t>MEDINOVA-5610230557645-19/08/25</t>
  </si>
  <si>
    <t>025109-5610110939242-22/08/25</t>
  </si>
  <si>
    <t>025115-5610110939240-22/08/25</t>
  </si>
  <si>
    <t>ANNIE-5610580510120-25/08/25</t>
  </si>
  <si>
    <t>361155-5610120504027-25/08/25</t>
  </si>
  <si>
    <t>010431-5610700626101-25/08/25</t>
  </si>
  <si>
    <t>685738-5610700625742-23/08/25</t>
  </si>
  <si>
    <t>000422-5610700625685-22/08/25</t>
  </si>
  <si>
    <t>000103-5610770626193-22/08/25</t>
  </si>
  <si>
    <t>51234180388-5612240156130-26/08/25</t>
  </si>
  <si>
    <t>BIJU MAMMAN-5610140796383-26/08/25</t>
  </si>
  <si>
    <t>ALI MOHAMED-5610720692887-26/08/25</t>
  </si>
  <si>
    <t>004068-5610110939247-25/08/25</t>
  </si>
  <si>
    <t>530P10A2EB6-5614120080470-25/08/25</t>
  </si>
  <si>
    <t>000160-5610670445983 RANJIT KUMAR-23/08/25</t>
  </si>
  <si>
    <t>HASSAN-REF PHUB527771059 FTRN 5610110939179-24/08/25</t>
  </si>
  <si>
    <t>000181-5610230557548-18/08/25</t>
  </si>
  <si>
    <t>ONLINE-5610230557906-25/08/25</t>
  </si>
  <si>
    <t>000005-5610440660504-25/08/25</t>
  </si>
  <si>
    <t>PRADEEP-5610110939308-26/08/25</t>
  </si>
  <si>
    <t>238APJL-5610670446145-26/08/25</t>
  </si>
  <si>
    <t>535-1-EWPS-19957-202508-23/08/25</t>
  </si>
  <si>
    <t>535-EWPS-19957-202508-23/08/25</t>
  </si>
  <si>
    <t>000152-5610230557904-25/08/25</t>
  </si>
  <si>
    <t>IBRAHIM-5610580510177-26/08/25</t>
  </si>
  <si>
    <t>MOHD-5610140796420 5610140796421-26/08/25</t>
  </si>
  <si>
    <t>FT252380B6TJ-5610140796420 5610140796421-26/08/25</t>
  </si>
  <si>
    <t>000038-5610110939274-25/08/25</t>
  </si>
  <si>
    <t>ONLINE-5610890092993-26/08/25</t>
  </si>
  <si>
    <t>ONLINE-5610630327321-26/08/25</t>
  </si>
  <si>
    <t>ONLINE-5610230557936 51239527779-26/08/25</t>
  </si>
  <si>
    <t>ONLINE-5610230557937   51239527779-26/08/25</t>
  </si>
  <si>
    <t>ONLINE-5610230557938    51239527779-26/08/25</t>
  </si>
  <si>
    <t>337693X89-5610190677904-26/08/25</t>
  </si>
  <si>
    <t>ONLINE-5610230557950  51245066867-26/08/25</t>
  </si>
  <si>
    <t>99825238AR6I-5610790146991-26/08/25</t>
  </si>
  <si>
    <t>AHMED-5610110939307-26/08/25</t>
  </si>
  <si>
    <t>VICTOR-5610140796426-26/08/25</t>
  </si>
  <si>
    <t>04929982-5610170455699-26/08/25</t>
  </si>
  <si>
    <t>ELIZABETH-5610580510190-26/08/25</t>
  </si>
  <si>
    <t>KRISHNA-5610110939330-26/06/25</t>
  </si>
  <si>
    <t>50530a-5610160699551-26/08/25</t>
  </si>
  <si>
    <t>530P3C966A8-5614120080474-26/08/25</t>
  </si>
  <si>
    <t>ONLINE-5610340568215  5610340568216-25/08/25</t>
  </si>
  <si>
    <t>012715-5610860151500-19/08/25</t>
  </si>
  <si>
    <t>012727-5610860151501-24/08/25</t>
  </si>
  <si>
    <t>012720-5610860151502-20/08/25</t>
  </si>
  <si>
    <t>000002-5610140796424-26/08/25</t>
  </si>
  <si>
    <t>100006-5610860151495-25/08/25</t>
  </si>
  <si>
    <t>606428-5610620347414-26/08/25</t>
  </si>
  <si>
    <t>AHMED-FTRN 5610110939342 REF PHUB528865989-26/08/25</t>
  </si>
  <si>
    <t>PHUB528471759</t>
  </si>
  <si>
    <t>PHUB528479237</t>
  </si>
  <si>
    <t>PENSION-JULY'25</t>
  </si>
  <si>
    <t>TRF TO ALAWANEH</t>
  </si>
  <si>
    <t>Agnst CHQ#000513/5610410588671</t>
  </si>
  <si>
    <t>RVSL 1153143611</t>
  </si>
  <si>
    <t>reversal 924867</t>
  </si>
  <si>
    <t>RVSL-TXNO-11-31-3847100</t>
  </si>
  <si>
    <t>AGAINST 51224891740</t>
  </si>
  <si>
    <t>AGAINST 51224978438</t>
  </si>
  <si>
    <t>000887 18072025 SUPREME</t>
  </si>
  <si>
    <t>000003 GOUSE MOHIDDIN</t>
  </si>
  <si>
    <t>PHUB528067184 5620230000533 25-8-25</t>
  </si>
  <si>
    <t>AGAINST CHQ NO 001447</t>
  </si>
  <si>
    <t>PHUB528197421/ AL WATAN PERFUMES</t>
  </si>
  <si>
    <t>26082025 PHUB528202610  ALLIANZ MIDDLE</t>
  </si>
  <si>
    <t>DIFF EXS TG 26-07 64-032-907594 BAG 102013847893</t>
  </si>
  <si>
    <t>PHUB528055370 corvette shipping</t>
  </si>
  <si>
    <t>PHUB528217778 / 528217778</t>
  </si>
  <si>
    <t>PHUB528505761 SAFFRON CONGO INT FZC</t>
  </si>
  <si>
    <t>TG CASH DEPOSITED @11:24</t>
  </si>
  <si>
    <t>AGAINST 51232741027</t>
  </si>
  <si>
    <t>25082025 CHEQ000230 5620270008849</t>
  </si>
  <si>
    <t>PHUB528445742 - 5610720692889</t>
  </si>
  <si>
    <t>25082025 CHEQ001275 5620270008858</t>
  </si>
  <si>
    <t>26082025 ALLIANCE PHUB528537704</t>
  </si>
  <si>
    <t>TG CASH DEP AL HAYER BR TIME 12:05PM</t>
  </si>
  <si>
    <t>PHUB528425427</t>
  </si>
  <si>
    <t>PHUB528442155</t>
  </si>
  <si>
    <t>51233831930 PRASAD</t>
  </si>
  <si>
    <t>TG CASH DEP 12:30</t>
  </si>
  <si>
    <t>51234906695 - 5610720692894</t>
  </si>
  <si>
    <t>PHUB528568399</t>
  </si>
  <si>
    <t>26347224781 MUHAMMAD MURTAZA</t>
  </si>
  <si>
    <t>TG CASH DEPOSIT @ 12.52</t>
  </si>
  <si>
    <t>26347483658 MOHAMED GOMAA IBRAHEM</t>
  </si>
  <si>
    <t>PHUB528621811/DEREK/26-08-2025</t>
  </si>
  <si>
    <t>51237316780 PARTHO MULLICK</t>
  </si>
  <si>
    <t>51234029759 PARTHO MULLICK</t>
  </si>
  <si>
    <t>CHQ NO 000348 DTD 02 AUG 2025</t>
  </si>
  <si>
    <t>CHQ NO 000354 DTD - 07 AUG 2025</t>
  </si>
  <si>
    <t>5620890004911 51226306607 25-08-2025</t>
  </si>
  <si>
    <t>5620890004911 51226325344 25-08-2025</t>
  </si>
  <si>
    <t>5620890004911 51233097144 26-08-2025</t>
  </si>
  <si>
    <t>PHUB528167896/CRDTD/25/08/2025</t>
  </si>
  <si>
    <t>csh dep to adcb thru tg 101022088409</t>
  </si>
  <si>
    <t>CHQ NO 000076 DT 22.08.2025  AL FARJ AL SATEE</t>
  </si>
  <si>
    <t>PHUB528604652 DT 26.08.25 ALFATHIR</t>
  </si>
  <si>
    <t>PHUB528558733 1330610015727</t>
  </si>
  <si>
    <t>AE0164316 DT 23.08.2025 REF: 033DBLC252350085 MALI</t>
  </si>
  <si>
    <t>TG CASH DEPOSIT  @ 15:29</t>
  </si>
  <si>
    <t>cash deposit through TG 101021670857</t>
  </si>
  <si>
    <t>TG CASH DEPOSITE 15.46</t>
  </si>
  <si>
    <t>51231509030/MOHAMMAD/26-08-2025</t>
  </si>
  <si>
    <t>51231436003/MOHAMMAD/26-08-2025</t>
  </si>
  <si>
    <t>51223107729/MOHAMMAD/25-Aug-2025</t>
  </si>
  <si>
    <t>51223090602/MOHAMMAD/25-Aug-2025</t>
  </si>
  <si>
    <t>PHUB528644963</t>
  </si>
  <si>
    <t>26332864855 Ahmed Alzamly Dated 25-08-2025</t>
  </si>
  <si>
    <t>26AUG2025 PHUB528693835 5620450001920</t>
  </si>
  <si>
    <t>CHQ NO 000008 DT 21.08.25 ALIK KHALIQ</t>
  </si>
  <si>
    <t>26338289844 MBTRF B/O MIAMIX RESTAURANT</t>
  </si>
  <si>
    <t>PHUB528641939 - 5610720692913</t>
  </si>
  <si>
    <t>TG AED 500000 RUWAIS 26082025 04.09 PM</t>
  </si>
  <si>
    <t>PHUB528595413 5610530597078</t>
  </si>
  <si>
    <t>TG CASH DEPOSIT GHAYATHI MALL @ 16.39</t>
  </si>
  <si>
    <t>528646528  OMAR SAAB</t>
  </si>
  <si>
    <t>CASH DEPOSITED TO TG 260825 1606</t>
  </si>
  <si>
    <t>26AUG2025 PHUB528621840 5620450001918</t>
  </si>
  <si>
    <t>PHUB528690348</t>
  </si>
  <si>
    <t>PHUB528701040</t>
  </si>
  <si>
    <t>PHUB528708887</t>
  </si>
  <si>
    <t>TG CASH DEPOSIT@17:11</t>
  </si>
  <si>
    <t>PHUB528682528 TECHNIVISION</t>
  </si>
  <si>
    <t>TG CASH DEPOSIT @ 16:27 P.M.</t>
  </si>
  <si>
    <t>PHUB528711968</t>
  </si>
  <si>
    <t>TG CASH DEP @ 16:51</t>
  </si>
  <si>
    <t>CASH DEP THRU TG 101022077617</t>
  </si>
  <si>
    <t>26356339372 MBTRF B/O MUHAMMAD FAROOQ</t>
  </si>
  <si>
    <t>TG CASH DEPOSIT 26-08-2025</t>
  </si>
  <si>
    <t>MOHD GOMAA ABDELGHANY 26.08.25</t>
  </si>
  <si>
    <t>MOHAMED GOMAA ABDELGHANY 26.08.25</t>
  </si>
  <si>
    <t>220K AED TRF TO ADCB VIA TG</t>
  </si>
  <si>
    <t>BUTHAINA ALSABRI 26.08.25</t>
  </si>
  <si>
    <t>TG CASH DEP AT 18:09</t>
  </si>
  <si>
    <t>tg cash dep time 17:57</t>
  </si>
  <si>
    <t>51243499738 GL CODE 944832</t>
  </si>
  <si>
    <t>51222008672 manohar kolapudi</t>
  </si>
  <si>
    <t>51235308251 SUNIL SAMPATH</t>
  </si>
  <si>
    <t>51235281044 SUNIL SAMPATH</t>
  </si>
  <si>
    <t>PAYMENT AGAINST 51241049153</t>
  </si>
  <si>
    <t>PHUB528800159</t>
  </si>
  <si>
    <t>PHUB528173381  TECHSTORE TRD</t>
  </si>
  <si>
    <t>PHUB528061667  PRECIZ SCIENTIFIC</t>
  </si>
  <si>
    <t>TG CASH DEP @ 18:44 PM</t>
  </si>
  <si>
    <t>PHUB527763075  NOOR ALAFAQ</t>
  </si>
  <si>
    <t>AED 350 K DEPOSIT TO ADCB THROUGH TG</t>
  </si>
  <si>
    <t>TG DEPOSIT 19:33</t>
  </si>
  <si>
    <t>PHUB528797758</t>
  </si>
  <si>
    <t>cash to adcb thru tg</t>
  </si>
  <si>
    <t>AGAINST PHUB528741150</t>
  </si>
  <si>
    <t>PHUB528656762</t>
  </si>
  <si>
    <t>PHUB528842976</t>
  </si>
  <si>
    <t>AGAINST PHUB528742379</t>
  </si>
  <si>
    <t>Cash Deposit to ADCB thru TG</t>
  </si>
  <si>
    <t>PHUB528789208</t>
  </si>
  <si>
    <t>CASH DEPOSIT TRANS GUARD</t>
  </si>
  <si>
    <t>TG CASH DEPT 20;'34 PM</t>
  </si>
  <si>
    <t>TG CASH DEP 26-08-2025 AT 08-38</t>
  </si>
  <si>
    <t>1 salary</t>
  </si>
  <si>
    <t>5620910011258 CHQ NO 863410</t>
  </si>
  <si>
    <t>against 000014</t>
  </si>
  <si>
    <t>TG CASH DEPOSIT 7:20 PM</t>
  </si>
  <si>
    <t>002331 26AUG2025 DUBAI SKY INDUSTRIAL</t>
  </si>
  <si>
    <t>PHUB528763288</t>
  </si>
  <si>
    <t>22 08 25 CHQ 000020 5620270008848</t>
  </si>
  <si>
    <t>TG CASH DEPOSIT MBZ@ 20:05</t>
  </si>
  <si>
    <t>AED TFR THRG TG101021742383</t>
  </si>
  <si>
    <t>22 08 25 CHQ 000137 5620270008837</t>
  </si>
  <si>
    <t>TG CASH DEPOSIT@21:25</t>
  </si>
  <si>
    <t>UAQ CASH DEPO CMC TG</t>
  </si>
  <si>
    <t>TG CASH DEPOSIT 101021722313 56-08-2025</t>
  </si>
  <si>
    <t>25 08 25 CHQ 000038 5620270008828</t>
  </si>
  <si>
    <t>TG CASH DEPOSITE ALWAHDA MALL26-08-2025</t>
  </si>
  <si>
    <t>63-593-1002488</t>
  </si>
  <si>
    <t>21 08 25 CHQ 000229 5620270008821</t>
  </si>
  <si>
    <t>TG CASH DEPOSIT @ 21:35</t>
  </si>
  <si>
    <t>101731 / AL GENOME INTERNATIONAL</t>
  </si>
  <si>
    <t>CASH DPST THRU TG 101022173601</t>
  </si>
  <si>
    <t>5620630000813 RE-1953604</t>
  </si>
  <si>
    <t>TG</t>
  </si>
  <si>
    <t>101021610113 CASH DEP ADCB THRU TG</t>
  </si>
  <si>
    <t>26 08 2025 CHQ NO 000075 SUN SIGN</t>
  </si>
  <si>
    <t>26 08 25 CHQ NO 000447 AL LETEZAZ</t>
  </si>
  <si>
    <t>000109 5620440005873</t>
  </si>
  <si>
    <t>PHUB528793963</t>
  </si>
  <si>
    <t>51251594347 5610530597152</t>
  </si>
  <si>
    <t>703320117 CHQ000039 140825 5620810002269</t>
  </si>
  <si>
    <t>000118-997146</t>
  </si>
  <si>
    <t>000058-944207</t>
  </si>
  <si>
    <t>000007-997074</t>
  </si>
  <si>
    <t>000093-988467</t>
  </si>
  <si>
    <t>001641-987750</t>
  </si>
  <si>
    <t>000-987996</t>
  </si>
  <si>
    <t>000038-943515</t>
  </si>
  <si>
    <t>111-994014</t>
  </si>
  <si>
    <t>111-983750</t>
  </si>
  <si>
    <t>0000000-942557</t>
  </si>
  <si>
    <t>000000-942557</t>
  </si>
  <si>
    <t>000000-988431</t>
  </si>
  <si>
    <t>00-943605</t>
  </si>
  <si>
    <t>000000-975832</t>
  </si>
  <si>
    <t>00000-987224</t>
  </si>
  <si>
    <t>111-943253</t>
  </si>
  <si>
    <t>000-946498</t>
  </si>
  <si>
    <t>0000 00000-989463</t>
  </si>
  <si>
    <t>000-940606</t>
  </si>
  <si>
    <t>000000-970883</t>
  </si>
  <si>
    <t>000410-989426</t>
  </si>
  <si>
    <t>000-984746</t>
  </si>
  <si>
    <t>000000-976491</t>
  </si>
  <si>
    <t>000-995822</t>
  </si>
  <si>
    <t>111-942351</t>
  </si>
  <si>
    <t>000-947931</t>
  </si>
  <si>
    <t>111-998414</t>
  </si>
  <si>
    <t>000-946206</t>
  </si>
  <si>
    <t>IMAN-5610110939351-27/08/25</t>
  </si>
  <si>
    <t>THIANTHAWAT-5610140796447-27/08/25</t>
  </si>
  <si>
    <t>001171-5610670446134-26/08/25</t>
  </si>
  <si>
    <t>EC05CC-5610670446182-27/08/25</t>
  </si>
  <si>
    <t>000087-5612520097268-24/08/25</t>
  </si>
  <si>
    <t>000088-5612520097269-25/08/25</t>
  </si>
  <si>
    <t>928365-5610440660574-26/08/25</t>
  </si>
  <si>
    <t>JOGINDER-5610720692925-26/08/25</t>
  </si>
  <si>
    <t>MOHAMED-5610720692827-25/08/25</t>
  </si>
  <si>
    <t>JOPPU THOMAS-5610140796456-27/08/25</t>
  </si>
  <si>
    <t>6200-5610630327313-26/08/25</t>
  </si>
  <si>
    <t>0454-5610630327153-21/08/25</t>
  </si>
  <si>
    <t>1F0-5610630327166-22/08/25</t>
  </si>
  <si>
    <t>530P2B-5610720692957 ALI MOHAMED ALTENEJJI-27/08/25</t>
  </si>
  <si>
    <t>04929982-5610170455715-27/08/25</t>
  </si>
  <si>
    <t>502445-5610340568178-19/08/25</t>
  </si>
  <si>
    <t>502442-5610340568179-19/08/25</t>
  </si>
  <si>
    <t>502447-5610340568177-19/08/25</t>
  </si>
  <si>
    <t>547467-5610340568199-24/08/25</t>
  </si>
  <si>
    <t>000218-5610340568213-25/08/25</t>
  </si>
  <si>
    <t>502443-5610340568180-19/08/25</t>
  </si>
  <si>
    <t>FT25239BJLQ1-5613610145055-27/08/25</t>
  </si>
  <si>
    <t>FT252384J4B4-5610790147007-26/08/25</t>
  </si>
  <si>
    <t>SAMEH-5610580510216-27/08/25</t>
  </si>
  <si>
    <t>JAIMON-5610110939363-27/08/25</t>
  </si>
  <si>
    <t>HELAL-FTRN 5610110939374 REF 51263837245-27/08/25</t>
  </si>
  <si>
    <t>HELAL-FTRN 5610110939375 REF 51263882831-27/08/25</t>
  </si>
  <si>
    <t>000047-5610270502523-26/08/25</t>
  </si>
  <si>
    <t>798697-5610270502491-26/08/25</t>
  </si>
  <si>
    <t>99825238ADW9-5610710651295-26/08/25</t>
  </si>
  <si>
    <t>AL KATEF-5610140796470-26/08/25</t>
  </si>
  <si>
    <t>ONLINE-5610890093060-27/08/25</t>
  </si>
  <si>
    <t>MANORANJAN-5610720692992-27/08/25</t>
  </si>
  <si>
    <t>5F96BCBD8BBA-5610920182202-27/08/25</t>
  </si>
  <si>
    <t>AL QABAS-5610110939397-27/08/25</t>
  </si>
  <si>
    <t>CECILE--27/08/25</t>
  </si>
  <si>
    <t>4752-5610630327372-27/08/25</t>
  </si>
  <si>
    <t>MARIYA-5610580510234-27/08/25</t>
  </si>
  <si>
    <t>337693X163-5610190677924-27/08/25</t>
  </si>
  <si>
    <t>531-EWPS-589967-202508-27/08/25</t>
  </si>
  <si>
    <t>38btgfh--26/08/25</t>
  </si>
  <si>
    <t>000318--26/08/25</t>
  </si>
  <si>
    <t>AHMAD-5610580510241-27/08/25</t>
  </si>
  <si>
    <t>004069-5610110939311-26/08/25</t>
  </si>
  <si>
    <t>004070-5610110939312-26/08/25</t>
  </si>
  <si>
    <t>1F7539F5-5610630327376-27/08/25</t>
  </si>
  <si>
    <t>3F68D52-5610160699666-27/08/25</t>
  </si>
  <si>
    <t>SITARAMANR-5610140796514-27/08/25</t>
  </si>
  <si>
    <t>000095-5610140796517-27/08/25</t>
  </si>
  <si>
    <t>MUHAMMAD-5610140796535-27/08/25</t>
  </si>
  <si>
    <t>SAMI-5610580510129-25/08/25</t>
  </si>
  <si>
    <t>ABDELRAHMAN-5610580510082-23/08/25</t>
  </si>
  <si>
    <t>ABDELRAHMAN-5610580510083-23/08/25</t>
  </si>
  <si>
    <t>ANNIE-5610580510127-25/08/25</t>
  </si>
  <si>
    <t>YVES-5610580510233-27/08/25</t>
  </si>
  <si>
    <t>5239bjpn-5610160699680-27/08/25</t>
  </si>
  <si>
    <t>HALA NASR--27/08/25</t>
  </si>
  <si>
    <t>ABHILASH-5610720693034 - RE-1955425-27/08/25</t>
  </si>
  <si>
    <t>001192-5610230558019-26/08/25</t>
  </si>
  <si>
    <t>AHMET-5610150433470-27/08/25</t>
  </si>
  <si>
    <t>REV 923750</t>
  </si>
  <si>
    <t>CARD 6577321 HAZIM</t>
  </si>
  <si>
    <t>reversal of 45032924801</t>
  </si>
  <si>
    <t>RVSL 86-032-925478</t>
  </si>
  <si>
    <t>AGAINST PHUB528875125</t>
  </si>
  <si>
    <t>AGAINST PHUB528621864</t>
  </si>
  <si>
    <t>PHUB528878394</t>
  </si>
  <si>
    <t>PHUB528819038</t>
  </si>
  <si>
    <t>PHUB528190605 tarjama 25-08-2025</t>
  </si>
  <si>
    <t>PHUB528751242 MEDITERRANEAN SHIPPING</t>
  </si>
  <si>
    <t>PHUB528863774</t>
  </si>
  <si>
    <t>MOREEN BUYINZA 51255261695 5610940549059</t>
  </si>
  <si>
    <t>PHUB521705042</t>
  </si>
  <si>
    <t>51259681223 5620420004970 ANKIT SREEN</t>
  </si>
  <si>
    <t>SALARY A S D INTERBATIONAL</t>
  </si>
  <si>
    <t>PHUB528789038</t>
  </si>
  <si>
    <t>PHUB528743854 26AUG25 5620450001926</t>
  </si>
  <si>
    <t>51261826343 RIZWAN</t>
  </si>
  <si>
    <t>PHUB529126221 NATIONAL INDUSTRIAL COMPANY LLC</t>
  </si>
  <si>
    <t>PHUB529169775 NOOR ALAFAQ TURNKEY</t>
  </si>
  <si>
    <t>TG CASH DEP AL HAYER BR TIME 12:28PM</t>
  </si>
  <si>
    <t>FTRN 5620110189254 REF PHUB529168860</t>
  </si>
  <si>
    <t>FTRN 5620110189254 REF PHUB529166358</t>
  </si>
  <si>
    <t>002226/INDEPENDENT ENTERPRISES AND COMPANIES</t>
  </si>
  <si>
    <t>51260926811 GEORGY THOMAS</t>
  </si>
  <si>
    <t>TG CASH DEP AT 12.49</t>
  </si>
  <si>
    <t>PHUB529179051 SATISH KANAUJIA</t>
  </si>
  <si>
    <t>51261762474 89-593-1002809 27-08-2025</t>
  </si>
  <si>
    <t>010590 / AL AQSAR TR</t>
  </si>
  <si>
    <t>001024 ANWAR AL RIFAI</t>
  </si>
  <si>
    <t>51234408203 5610530597176</t>
  </si>
  <si>
    <t>51234576000 5610530597176</t>
  </si>
  <si>
    <t>002274 AL ADEL AUTOMATIC</t>
  </si>
  <si>
    <t>51234642792 5610530597176</t>
  </si>
  <si>
    <t>PHUB528702452/CRDTD/26/08/2025</t>
  </si>
  <si>
    <t>000039 AL ADEL AUTOMATIC</t>
  </si>
  <si>
    <t>PHUB528158420 - 5610310472901 - SYLVIA TR</t>
  </si>
  <si>
    <t>PHUB527894947 - 5610310472901 - SYLVIA TR</t>
  </si>
  <si>
    <t>salary A S D INTERNATIONAL AUH</t>
  </si>
  <si>
    <t>PHUB529254310</t>
  </si>
  <si>
    <t>27082025 PHUB529233872 5620270008880</t>
  </si>
  <si>
    <t>26082025 cheq029394 5620270008863</t>
  </si>
  <si>
    <t>26082025 cheq099270 5620270008860</t>
  </si>
  <si>
    <t>26082025 CHEQ000019 5620270008867</t>
  </si>
  <si>
    <t>TG CASH DEPOSIT 27 08 2025 14:36 SWEIHAN</t>
  </si>
  <si>
    <t>26082025 CHEQ000504 5620270008844</t>
  </si>
  <si>
    <t>CASH DEPOSIT THRU TG 101022088412</t>
  </si>
  <si>
    <t>22082025 CHQ000503 5620270008845</t>
  </si>
  <si>
    <t>PHUB529304505</t>
  </si>
  <si>
    <t>TG DEPOSIT @03.02PM</t>
  </si>
  <si>
    <t>6249089 sanjeev  PHUB528675646</t>
  </si>
  <si>
    <t>PHUB529264757 A S D</t>
  </si>
  <si>
    <t>51267979233 HARISH NUJUMUDEEN</t>
  </si>
  <si>
    <t>CHEQUE # 000329, HID # 1953631</t>
  </si>
  <si>
    <t>PHUB529338058 RUKN AL TALEEM SCHOOL FURNITURES</t>
  </si>
  <si>
    <t>PHUB529032013 - 5610720693001</t>
  </si>
  <si>
    <t>PHUB529312545 AAA FREIGHT SERVICES</t>
  </si>
  <si>
    <t>PHUB528843665 26-08-25 UMRAH LINKS</t>
  </si>
  <si>
    <t>TG CASH DEP 16:00</t>
  </si>
  <si>
    <t>PHUB529073206 -5610720693004</t>
  </si>
  <si>
    <t>TG CASH DEP @ 16:03</t>
  </si>
  <si>
    <t>PHUB529304672 SRIVIDHYA</t>
  </si>
  <si>
    <t>PHUB528758943 26-08-25 FISCHER PANDA</t>
  </si>
  <si>
    <t>TG CASH DEPOSIT @ 27-08-2025</t>
  </si>
  <si>
    <t>PHUB528343382 25-08-25 FRONTIER</t>
  </si>
  <si>
    <t>PHUB529310687</t>
  </si>
  <si>
    <t>TG CASH DEPOSIT GAYATHI SANAYA 27/08/2025</t>
  </si>
  <si>
    <t>51268454999 5620810002302 DTD 27-08</t>
  </si>
  <si>
    <t>tg cash depos 16:45</t>
  </si>
  <si>
    <t>TG CASH DEPOSIT@16:49</t>
  </si>
  <si>
    <t>51256317078-5610720693006-3007</t>
  </si>
  <si>
    <t>PHUB529236014 5610860151666</t>
  </si>
  <si>
    <t>27AUG2025 AE0970423 5610270502606</t>
  </si>
  <si>
    <t>TG CASH DEPOSIT @ 04:55 PM</t>
  </si>
  <si>
    <t>CASH DEP THR TG 101021784962</t>
  </si>
  <si>
    <t>PHUB528259959 250825 TREKKUP 5620590008379</t>
  </si>
  <si>
    <t>PHUB529203587</t>
  </si>
  <si>
    <t>PHUB528718802 26-08-25 AL KHALDIA</t>
  </si>
  <si>
    <t>PHUB529164789 - 5610310472929 - AEROSTYLE</t>
  </si>
  <si>
    <t>101022088409 dep to adcb tg on 26/08/2025</t>
  </si>
  <si>
    <t>TARJAMA FZ_BOML_529266105 27082025</t>
  </si>
  <si>
    <t>CASH DEP TO ADCB THRU TG101022140206</t>
  </si>
  <si>
    <t>TG CASH DEPT @16:57</t>
  </si>
  <si>
    <t>FAS ARABIA PHUB529395098</t>
  </si>
  <si>
    <t>TG CASH DEPOSIT - 27AUG2025 - 18:06</t>
  </si>
  <si>
    <t>TG CASH DEPOSIT @15.33</t>
  </si>
  <si>
    <t>TG CASH DEPOSIT 27-08-2025</t>
  </si>
  <si>
    <t>WPS FOR emirates podiatry clinic</t>
  </si>
  <si>
    <t>PHUB529404219 - 5610720693020</t>
  </si>
  <si>
    <t>PHUB529407640 270825 5620590008381</t>
  </si>
  <si>
    <t>TG CASH DEP</t>
  </si>
  <si>
    <t>TG CASH DEP 19: 28 PM</t>
  </si>
  <si>
    <t>tg cash deposit 19:53</t>
  </si>
  <si>
    <t>REF 51274372430 ABU FAISAL</t>
  </si>
  <si>
    <t>26380879610 27-08-2025 560890093079</t>
  </si>
  <si>
    <t>PHUB528828192</t>
  </si>
  <si>
    <t>TG CASH DEPOSIT MBZ@20:03</t>
  </si>
  <si>
    <t>aed trfe trg tg</t>
  </si>
  <si>
    <t>PHUB529466898 DT 27-Aug-2025</t>
  </si>
  <si>
    <t>CASH DEP THRU TG 101021957205</t>
  </si>
  <si>
    <t>2547349495  ZAHRAT AMMAN</t>
  </si>
  <si>
    <t>2545421391 ZAHRAT AMMAN</t>
  </si>
  <si>
    <t>TG CASH DEPOSIT 102013890360</t>
  </si>
  <si>
    <t>2545421907 ZAHRAT AMMAN TRADING</t>
  </si>
  <si>
    <t>2545845734  ZAHRAT AMMAN TRADING</t>
  </si>
  <si>
    <t>2545846521 ZAHRAT AMMAN</t>
  </si>
  <si>
    <t>2545846118  B/O ZAHRAT AMMAN</t>
  </si>
  <si>
    <t>2546563678  ZAHRAT AMMAN</t>
  </si>
  <si>
    <t>2546558613 ZAHRAT AMMAN</t>
  </si>
  <si>
    <t>dg deposite</t>
  </si>
  <si>
    <t>TG CASH DEPOSIT MARFA 07:59PM</t>
  </si>
  <si>
    <t>CASH DEPOSIT TO ADCB TG 101022131394</t>
  </si>
  <si>
    <t>TG CASH DEPOSIT @ 17:10</t>
  </si>
  <si>
    <t>THROUG TG 103004056704</t>
  </si>
  <si>
    <t>TG DEPOSIT 102013797410</t>
  </si>
  <si>
    <t>TG CASH DEP 27-08-2025 AT 09:00</t>
  </si>
  <si>
    <t>2546557378  ZAHRAT AMMAN</t>
  </si>
  <si>
    <t>TG CASH DEPOSIT @ 21:05</t>
  </si>
  <si>
    <t>TG CASH DEP KARAMA BR 20:39</t>
  </si>
  <si>
    <t>2545422521 ZAHRAT AMMAN</t>
  </si>
  <si>
    <t>PHUB529047804 MARIOT KITCHEN</t>
  </si>
  <si>
    <t>402411004 CHQ NO 313838 AL YAHAR REST</t>
  </si>
  <si>
    <t>TG CASH DEPOSIT 101021684444</t>
  </si>
  <si>
    <t>TG CASH DEPT 20;29 PM</t>
  </si>
  <si>
    <t>PHUB529328858 ASD INTERNATIONAL</t>
  </si>
  <si>
    <t>CASH DPST THRU TG 101022173610</t>
  </si>
  <si>
    <t>CHQ NO 000004 5620910011260</t>
  </si>
  <si>
    <t>TG CASH DEP 101021684607</t>
  </si>
  <si>
    <t>TG CASH DEPO @ 09:30 PM</t>
  </si>
  <si>
    <t>PHUB528975695 HASSAN IBRAHIM AF</t>
  </si>
  <si>
    <t>PHUB528745198 DTD 26-Aug-2025</t>
  </si>
  <si>
    <t>012694 STYLE HOME</t>
  </si>
  <si>
    <t>012697 STYLE HOME</t>
  </si>
  <si>
    <t>CHEQ NO 000046</t>
  </si>
  <si>
    <t>CASH DEP THRO TG 101021610115</t>
  </si>
  <si>
    <t>PHUB529239175 star market 5620780000728</t>
  </si>
  <si>
    <t>26391690568 MBTRF B/O SAFARATH SHAFI KALLUVALAPPU</t>
  </si>
  <si>
    <t>VELMURGAN SELVAN 51278052223</t>
  </si>
  <si>
    <t>PHUB529494127</t>
  </si>
  <si>
    <t>AGAINST PHUB529518603</t>
  </si>
  <si>
    <t>PHUB529312861 27AUG2025 MATCH COMMERCIAL BRO</t>
  </si>
  <si>
    <t>AGAINST PHUB529515919</t>
  </si>
  <si>
    <t>PHUB529485648 ASHISH 5620780000732</t>
  </si>
  <si>
    <t>51276785533 - 5610720693060</t>
  </si>
  <si>
    <t>TG CASH DEP 21:17</t>
  </si>
  <si>
    <t>CASH DPST TO ADCB THRU TG 102014227780</t>
  </si>
  <si>
    <t>PHUB529384029 DTD 27AUG2025</t>
  </si>
  <si>
    <t>PHUB529532412 FAIZAN 5620780000737</t>
  </si>
  <si>
    <t xml:space="preserve"> CHQ NO ::013566</t>
  </si>
  <si>
    <t xml:space="preserve"> CHQ NO ::011243</t>
  </si>
  <si>
    <t>cd to adcb thru tg</t>
  </si>
  <si>
    <t>001186-LOGIC FUSION LLC</t>
  </si>
  <si>
    <t>PHUB529238526 5620230000535 536 27-08-25</t>
  </si>
  <si>
    <t>000-947180</t>
  </si>
  <si>
    <t>000867-971947</t>
  </si>
  <si>
    <t>107423-976491</t>
  </si>
  <si>
    <t>500343-976491</t>
  </si>
  <si>
    <t>500636-995492</t>
  </si>
  <si>
    <t>500574-987069</t>
  </si>
  <si>
    <t>006560-976491</t>
  </si>
  <si>
    <t>000-981910</t>
  </si>
  <si>
    <t>564725-940894</t>
  </si>
  <si>
    <t>102358-976491</t>
  </si>
  <si>
    <t>004558-976491</t>
  </si>
  <si>
    <t>002062-976491</t>
  </si>
  <si>
    <t>000000-944698</t>
  </si>
  <si>
    <t>00000-992291</t>
  </si>
  <si>
    <t>000-945101</t>
  </si>
  <si>
    <t>0011-994623</t>
  </si>
  <si>
    <t>0011-996037</t>
  </si>
  <si>
    <t>000-946604</t>
  </si>
  <si>
    <t>111-973576</t>
  </si>
  <si>
    <t>058728-972093</t>
  </si>
  <si>
    <t>000000-995419</t>
  </si>
  <si>
    <t>000384-988263</t>
  </si>
  <si>
    <t>00000-943392</t>
  </si>
  <si>
    <t>0000-943392</t>
  </si>
  <si>
    <t>000000-999248</t>
  </si>
  <si>
    <t>000-999672</t>
  </si>
  <si>
    <t>000-993401</t>
  </si>
  <si>
    <t>0000000-941920</t>
  </si>
  <si>
    <t>111-942187</t>
  </si>
  <si>
    <t>111-988524</t>
  </si>
  <si>
    <t>00000-940700</t>
  </si>
  <si>
    <t>111-986941</t>
  </si>
  <si>
    <t>111-987527</t>
  </si>
  <si>
    <t>000-993628</t>
  </si>
  <si>
    <t>000-946905</t>
  </si>
  <si>
    <t>000-945036</t>
  </si>
  <si>
    <t>000-946115</t>
  </si>
  <si>
    <t>00-946114</t>
  </si>
  <si>
    <t>00000-994468</t>
  </si>
  <si>
    <t>000000-992161</t>
  </si>
  <si>
    <t>001794-989086</t>
  </si>
  <si>
    <t>000-941902</t>
  </si>
  <si>
    <t>00000-977547</t>
  </si>
  <si>
    <t>000-947469</t>
  </si>
  <si>
    <t>000000-986796</t>
  </si>
  <si>
    <t>00000-986795</t>
  </si>
  <si>
    <t>0000-977029</t>
  </si>
  <si>
    <t>000-940458</t>
  </si>
  <si>
    <t>000000-988676</t>
  </si>
  <si>
    <t>178944-5610620347445-27/08/25</t>
  </si>
  <si>
    <t>ONLINE-5610620347435-27/08/25</t>
  </si>
  <si>
    <t>001485-5610670446220-27/08/25</t>
  </si>
  <si>
    <t>000077--27/08/25</t>
  </si>
  <si>
    <t>000534-5610700626588-27/08/25</t>
  </si>
  <si>
    <t>002781-5610840576498-28/08/25</t>
  </si>
  <si>
    <t>ALI-5610720693092-28/08/25</t>
  </si>
  <si>
    <t>VISWANADHAM-5610140796556-28/08/25</t>
  </si>
  <si>
    <t>ONLINE-5610890093085-27/08/25</t>
  </si>
  <si>
    <t>LAMCO-5610110939478-28/08/25</t>
  </si>
  <si>
    <t>MOHAMMED-5610110939468-27/08/25</t>
  </si>
  <si>
    <t>000053-5610110939396-27/08/25</t>
  </si>
  <si>
    <t>MUTHUKUMAR-5610110939500-28/08/25</t>
  </si>
  <si>
    <t>INDERRAJ-5610110939491-28/08/25</t>
  </si>
  <si>
    <t>536-EWPS-19958-202508-27/08/25</t>
  </si>
  <si>
    <t>536-1-EWPS-19958-202508-27/08/25</t>
  </si>
  <si>
    <t>000103-5613510104960 5613510104961 5613510104962-28/08/25</t>
  </si>
  <si>
    <t>004083-5610110939401-27/08/25</t>
  </si>
  <si>
    <t>004522-chq 004522/EMIRATES/27-Aug-2025-26/08/25</t>
  </si>
  <si>
    <t>JAN-51213529247/JAN/25-Aug-2025-25/08/25</t>
  </si>
  <si>
    <t>002070-5610150433434-27/08/25</t>
  </si>
  <si>
    <t>ONLINE-5610230558114-28/08/25</t>
  </si>
  <si>
    <t>ABDULLA-5610720693003-27/08/25</t>
  </si>
  <si>
    <t>ALI-5610720692968-27/08/25</t>
  </si>
  <si>
    <t>ALI-5610720692967-27/08/25</t>
  </si>
  <si>
    <t>100857-5610630327296-25/08/25</t>
  </si>
  <si>
    <t>BHAVINKUMARP-5610140796576-28/08/25</t>
  </si>
  <si>
    <t>2131B8D-5610610600343-28/08/25</t>
  </si>
  <si>
    <t>000012-5610140796573-28/08/25</t>
  </si>
  <si>
    <t>000081-5610140796575-28/08/25</t>
  </si>
  <si>
    <t>530PE569613B-5610790147166-28/08/25</t>
  </si>
  <si>
    <t>982086-5610140796594-28/08/25</t>
  </si>
  <si>
    <t>006966-5610160699703-28/08/25</t>
  </si>
  <si>
    <t>ONLINE-5610890093137-28/08/25</t>
  </si>
  <si>
    <t>500010-5610410589578-26/08/25</t>
  </si>
  <si>
    <t>012811-5610580510072-22/08/25</t>
  </si>
  <si>
    <t>ABU DHABI-5610110939505-27/08/25</t>
  </si>
  <si>
    <t>000044-5610780531011-27/08/25</t>
  </si>
  <si>
    <t>ONLINE-5610230558129    51297256918-28/08/25</t>
  </si>
  <si>
    <t>000044-5610140796609-28/08/25</t>
  </si>
  <si>
    <t>000116-5610230558025-27/08/25</t>
  </si>
  <si>
    <t>978653-5610140796613-28/08/25</t>
  </si>
  <si>
    <t>ONLINE-5610230558171   530PE86BAF1EA971-28/08/25</t>
  </si>
  <si>
    <t>000276-5612330163189-28/08/25</t>
  </si>
  <si>
    <t>online-5610330822288-28/08/25</t>
  </si>
  <si>
    <t>000473-5612230163130-28/08/25</t>
  </si>
  <si>
    <t>108L055220390001-14TH INST</t>
  </si>
  <si>
    <t>PHUB529816178 FIRST FLIGHT</t>
  </si>
  <si>
    <t>PHUB527999036</t>
  </si>
  <si>
    <t>PHUB528605917</t>
  </si>
  <si>
    <t>PHUB528047522</t>
  </si>
  <si>
    <t>PHUB529221670</t>
  </si>
  <si>
    <t>PHUB529221669</t>
  </si>
  <si>
    <t>PHUB518135520-989043-SYLVIA TRADING CO</t>
  </si>
  <si>
    <t xml:space="preserve">PHUB519983235-987779-ATAIE TAILORING </t>
  </si>
  <si>
    <t>DIFF EXCESS TG 27.08.25 64-032-925504</t>
  </si>
  <si>
    <t>RVSL 11-032-925714</t>
  </si>
  <si>
    <t>Cash deposit</t>
  </si>
  <si>
    <t>PHUB529500292</t>
  </si>
  <si>
    <t>ZAKHEER MARINE SALARY</t>
  </si>
  <si>
    <t>26364456327 MBTRF B/O MIAMIX RESTAURANT</t>
  </si>
  <si>
    <t>TG CASH DEPO @10:55 AM</t>
  </si>
  <si>
    <t>TG CASH DEP AL HAYER BR TIME 11:03AM</t>
  </si>
  <si>
    <t>PHUB529610494 DT 28-Aug-2025</t>
  </si>
  <si>
    <t>5620440005876 PHUB529430528</t>
  </si>
  <si>
    <t>2547842106 IBTRF  VINOD5620440005874 75</t>
  </si>
  <si>
    <t>PHUB529592839</t>
  </si>
  <si>
    <t>SALARY ZAKHER MARINE AUG</t>
  </si>
  <si>
    <t>PHUB529529522</t>
  </si>
  <si>
    <t>PHUB529291000</t>
  </si>
  <si>
    <t>26 08 25 chq 747180 5620270008868</t>
  </si>
  <si>
    <t>26 08 25 CHQ NO 000231 5620270008864</t>
  </si>
  <si>
    <t>PHUB529673236</t>
  </si>
  <si>
    <t>PHUB529489616</t>
  </si>
  <si>
    <t>AGAINST PHUB529699808</t>
  </si>
  <si>
    <t>PHUB529488837</t>
  </si>
  <si>
    <t>AGAINST PHUB529417112</t>
  </si>
  <si>
    <t>PHUB529699396</t>
  </si>
  <si>
    <t>26 08 25 chq no  000021 5620270008869</t>
  </si>
  <si>
    <t>51288461637 gopal krishnan</t>
  </si>
  <si>
    <t>5620890004917 51288995480 28-08-2025</t>
  </si>
  <si>
    <t>PHUB529726089 5620940003190</t>
  </si>
  <si>
    <t>PHUB529724861 5620940003190</t>
  </si>
  <si>
    <t>PHUB529711428</t>
  </si>
  <si>
    <t>PHUB529715597</t>
  </si>
  <si>
    <t>PHUB529728263 28-Aug-2025 5620450001930</t>
  </si>
  <si>
    <t>PHUB529746266 / 5622200003148</t>
  </si>
  <si>
    <t>SALARY WPS A S D</t>
  </si>
  <si>
    <t>CASH DEPOSIT THRU TG 101022088410</t>
  </si>
  <si>
    <t>PHUB529388666 DTD 28AUG2025</t>
  </si>
  <si>
    <t>DIFF SHORT TG 06.08.25 64-032-912457</t>
  </si>
  <si>
    <t>PHUB529837656</t>
  </si>
  <si>
    <t>PHUB529636596 - 5610720693112</t>
  </si>
  <si>
    <t>through tg</t>
  </si>
  <si>
    <t>5610130714150 PHUB529811766</t>
  </si>
  <si>
    <t>51284906015 - 5610720693113</t>
  </si>
  <si>
    <t>7467866/INNOVO GENERAL TRADING/##RE-1955935##</t>
  </si>
  <si>
    <t>PHUB529725313- 5610720693116</t>
  </si>
  <si>
    <t>TG ADCB CASH DEPOSIT @ 14:33</t>
  </si>
  <si>
    <t>PHUB529811609</t>
  </si>
  <si>
    <t>51286437155 - 5610720693118</t>
  </si>
  <si>
    <t>PHUB522477202</t>
  </si>
  <si>
    <t>PHUB529705342 - 5610720693120</t>
  </si>
  <si>
    <t>26389755298 MBTRF B/O NARAYANAN NADUVILMADOM DORAS</t>
  </si>
  <si>
    <t>TG DEPOSIT @03.03PM</t>
  </si>
  <si>
    <t>TG CASH DEP 15:08</t>
  </si>
  <si>
    <t>PHUB529809035/SALAMA/28-Aug-2025</t>
  </si>
  <si>
    <t>51290459932/AHMAD/28-Aug-2025</t>
  </si>
  <si>
    <t>PHUB529662166 / INDO POINT</t>
  </si>
  <si>
    <t>100316 / AL GHUZI AUTO GLASS</t>
  </si>
  <si>
    <t>000040 / AL ADEL AUTOMATIC</t>
  </si>
  <si>
    <t>TG AED 300000 RUWAIS 03.31PM 28082025</t>
  </si>
  <si>
    <t>TG CASH DEPOSIT GAYATHI SANAYA 28/08/2025</t>
  </si>
  <si>
    <t>alok bhargava CHQ 000011 5620230000532</t>
  </si>
  <si>
    <t>TG CASH DEPOSIT 13:59</t>
  </si>
  <si>
    <t>alok bhargava CHQ000016 5620230000532</t>
  </si>
  <si>
    <t>PHUB529926408 kurian</t>
  </si>
  <si>
    <t>TG CASH DEPOSIT @ 28-08-2025</t>
  </si>
  <si>
    <t>51294135556 BELAL MOHAMED</t>
  </si>
  <si>
    <t>PHUB529484610 FOCUS MOB</t>
  </si>
  <si>
    <t>28082025 PHUB529842332 5610270502677</t>
  </si>
  <si>
    <t>1 SALARY 28-08-25 F H K TECHNOLOGIES</t>
  </si>
  <si>
    <t>ABEER AL SHARQ PERFUMS PHUB529877324</t>
  </si>
  <si>
    <t>PHUB529327809 Hayat Shitit</t>
  </si>
  <si>
    <t>51295820059 ANCY ALWYN</t>
  </si>
  <si>
    <t>PHUB529780036 / FIRST INTERNATIONAL</t>
  </si>
  <si>
    <t>PHUB529834693</t>
  </si>
  <si>
    <t>TG CASH DEPOSIT @ 16:51 P.M.</t>
  </si>
  <si>
    <t>PHUB529881025 / 28-08-2025</t>
  </si>
  <si>
    <t>PHUB529612839 al hail marine servioces</t>
  </si>
  <si>
    <t>crdi con PHUB530011412 5620630000820/ 0821</t>
  </si>
  <si>
    <t>REVERSAL 39 031 3851910</t>
  </si>
  <si>
    <t>TG CASH DEPOSIT@17:25</t>
  </si>
  <si>
    <t>PHUB529950772/CRDTD/28/08/2025</t>
  </si>
  <si>
    <t>TG CASH DEPT AT 18:00</t>
  </si>
  <si>
    <t>PHUB529674535 WPS  EMIRATES PODIATRY</t>
  </si>
  <si>
    <t>51270028235 Naujad Bayalumbagath</t>
  </si>
  <si>
    <t>TG CASH DEPOSIT 16:51 PM</t>
  </si>
  <si>
    <t>PHUB530002485 28-Aug-2025 5620450001927</t>
  </si>
  <si>
    <t>CASH DEPOSIT TO TG 28082025 1813</t>
  </si>
  <si>
    <t>PHUB529938239</t>
  </si>
  <si>
    <t>PHUB530014540 5610140796582</t>
  </si>
  <si>
    <t>PHUB530012486  5610140796582</t>
  </si>
  <si>
    <t>TG CASH DEPOSIT 28-08-2025</t>
  </si>
  <si>
    <t>CASH DEP THRU TG 102014217286</t>
  </si>
  <si>
    <t>TG CASH DEP DTD 28-08-2025 18:35</t>
  </si>
  <si>
    <t>TG CASH DEPOSIT 101021684445</t>
  </si>
  <si>
    <t>TG CASH DEPOSIT MARFA 06:54PM</t>
  </si>
  <si>
    <t>TG CASH DEPOSIT 101021684610</t>
  </si>
  <si>
    <t>PHUB530064613</t>
  </si>
  <si>
    <t>CASH DEPOSIT THRU TG 101022131123</t>
  </si>
  <si>
    <t>PHUB529831091 TERMINAL SUBSEA</t>
  </si>
  <si>
    <t>26393153553 MBTRF B/O MIAMIX RESTAURANT</t>
  </si>
  <si>
    <t>TG CASH DEP MBZ 20:04</t>
  </si>
  <si>
    <t>CHQ NO 000159 5620910011279</t>
  </si>
  <si>
    <t>280k aed thru tg</t>
  </si>
  <si>
    <t>101022151268/ CASH DEPOSIT TO TG</t>
  </si>
  <si>
    <t>TG CASH DEPOSIT 20:31</t>
  </si>
  <si>
    <t>CHQ NO ::500510</t>
  </si>
  <si>
    <t>aed DEPOSITED THRGH TG</t>
  </si>
  <si>
    <t xml:space="preserve"> CHQ NO ::001545</t>
  </si>
  <si>
    <t>tg cash deposit @ 15:26</t>
  </si>
  <si>
    <t>CHEQUE # 000149, HID# 1955705</t>
  </si>
  <si>
    <t>27082025 cheq741995 5620270008872</t>
  </si>
  <si>
    <t>27082025  CHEQ000284 NAVEED ANWAR</t>
  </si>
  <si>
    <t>5620920011953 / ##RE-1955838##</t>
  </si>
  <si>
    <t>CASH DEPOSIT TO ADCB THRU TG101021719702</t>
  </si>
  <si>
    <t>TG CASH DTD 28.08.2025</t>
  </si>
  <si>
    <t>TG CSH DPST DTD 28-08-2025 AT 21:32 PM</t>
  </si>
  <si>
    <t>002206/ ALWAZEN SCALES</t>
  </si>
  <si>
    <t>TG CASH DEPOSIT @ 21:30</t>
  </si>
  <si>
    <t>TG DEPOSIT BAG NO 102013797409</t>
  </si>
  <si>
    <t>002275/ AL ADEL</t>
  </si>
  <si>
    <t>AGAINST PHUB530160180</t>
  </si>
  <si>
    <t>TG TIME09:40PM</t>
  </si>
  <si>
    <t>101021610114 CASH DEP ADCB THRY TG</t>
  </si>
  <si>
    <t>CHEQUE # 002778, HID# 1955731</t>
  </si>
  <si>
    <t>TG CASH DEPOSIT AT 09;59 PM</t>
  </si>
  <si>
    <t>AGAINST CHQ NO 500126</t>
  </si>
  <si>
    <t>AGAINST 515544</t>
  </si>
  <si>
    <t>300K AED DEPO TO ADCB VIA TG</t>
  </si>
  <si>
    <t>CASH DPST THRU TG 101022173602</t>
  </si>
  <si>
    <t>000062 5620890004915 28-08-2025</t>
  </si>
  <si>
    <t>PHUB530053527/RUKN AL TALEEM</t>
  </si>
  <si>
    <t>000006 stepwell medical 5620780000730</t>
  </si>
  <si>
    <t>001674 5620860006278 6277</t>
  </si>
  <si>
    <t>001673  5620860006278 6277</t>
  </si>
  <si>
    <t>28-Aug-2025 CHQ NO 000952 AJMAL TR</t>
  </si>
  <si>
    <t>51292410473 RIZWAN</t>
  </si>
  <si>
    <t>CASH DEPOSIT TG 101021381944</t>
  </si>
  <si>
    <t>PHUB530079995</t>
  </si>
  <si>
    <t>001219-991657</t>
  </si>
  <si>
    <t>056733-971624</t>
  </si>
  <si>
    <t>355930-974816</t>
  </si>
  <si>
    <t>355931-974816</t>
  </si>
  <si>
    <t>085820-974816</t>
  </si>
  <si>
    <t>100069-945418</t>
  </si>
  <si>
    <t>000374-983079</t>
  </si>
  <si>
    <t>101397-986326</t>
  </si>
  <si>
    <t>00000-988300</t>
  </si>
  <si>
    <t>000-943354</t>
  </si>
  <si>
    <t>000-993669</t>
  </si>
  <si>
    <t>00000-998038</t>
  </si>
  <si>
    <t>000-979278</t>
  </si>
  <si>
    <t>000-942618</t>
  </si>
  <si>
    <t>000-946443</t>
  </si>
  <si>
    <t>000-948552</t>
  </si>
  <si>
    <t>111-947744</t>
  </si>
  <si>
    <t>00-988030</t>
  </si>
  <si>
    <t>111-942310</t>
  </si>
  <si>
    <t>00000-992234</t>
  </si>
  <si>
    <t>000-994973</t>
  </si>
  <si>
    <t>111-994410</t>
  </si>
  <si>
    <t>00000-944942</t>
  </si>
  <si>
    <t>00000-984662</t>
  </si>
  <si>
    <t>00000 0000000-984662</t>
  </si>
  <si>
    <t>00000-947669</t>
  </si>
  <si>
    <t>0000000-984662</t>
  </si>
  <si>
    <t>0000-984662</t>
  </si>
  <si>
    <t>000-984747</t>
  </si>
  <si>
    <t>0000-976491</t>
  </si>
  <si>
    <t>00000-997044</t>
  </si>
  <si>
    <t>000000-991158</t>
  </si>
  <si>
    <t>1111-995672</t>
  </si>
  <si>
    <t>000000-991098</t>
  </si>
  <si>
    <t>000-973190</t>
  </si>
  <si>
    <t>111-995677</t>
  </si>
  <si>
    <t>111-986621</t>
  </si>
  <si>
    <t>111-941892</t>
  </si>
  <si>
    <t>111-993232</t>
  </si>
  <si>
    <t>000-947027</t>
  </si>
  <si>
    <t>000-944271</t>
  </si>
  <si>
    <t>000-979609</t>
  </si>
  <si>
    <t>111-941271</t>
  </si>
  <si>
    <t>000-941198</t>
  </si>
  <si>
    <t>00000-996692</t>
  </si>
  <si>
    <t>005966-977553</t>
  </si>
  <si>
    <t>000-975562</t>
  </si>
  <si>
    <t>00000-998210</t>
  </si>
  <si>
    <t>000-998565</t>
  </si>
  <si>
    <t>0000-998210</t>
  </si>
  <si>
    <t>000000000-941954</t>
  </si>
  <si>
    <t>000-989085</t>
  </si>
  <si>
    <t>0001-989085</t>
  </si>
  <si>
    <t>000000-985644</t>
  </si>
  <si>
    <t>000-947444</t>
  </si>
  <si>
    <t>00-982220</t>
  </si>
  <si>
    <t>111-947419</t>
  </si>
  <si>
    <t>000-991995</t>
  </si>
  <si>
    <t>WARAWUTH-5610720693065, RE-1955575-27/08/25</t>
  </si>
  <si>
    <t>SREEJITH-5610580510299-28/08/25</t>
  </si>
  <si>
    <t>51314544566-5612240156370-29/08/25</t>
  </si>
  <si>
    <t>643125-5610670446374-29/08/25</t>
  </si>
  <si>
    <t>643094-5610670446373-29/08/25</t>
  </si>
  <si>
    <t>18JH6H--29/08/25</t>
  </si>
  <si>
    <t>418oj1j--29/08/25</t>
  </si>
  <si>
    <t>180J1J--29/08/25</t>
  </si>
  <si>
    <t>HARINARAYAN-5610140796650-29/08/25</t>
  </si>
  <si>
    <t>BUSHRA-5610580510375-28/08/25</t>
  </si>
  <si>
    <t>MOUHCINE-5610580510385-28/08/25</t>
  </si>
  <si>
    <t>EPHCOP-5610770626369-25/08/25</t>
  </si>
  <si>
    <t>PHUB5281-5610770626433-25/08/25</t>
  </si>
  <si>
    <t>012708-5610770626570-27/08/25</t>
  </si>
  <si>
    <t>PHUB52-5610770626598-27/08/25</t>
  </si>
  <si>
    <t>4AECD2-5610770626616-28/08/25</t>
  </si>
  <si>
    <t>ABDUL LATEEF-5610140796657-29/08/25</t>
  </si>
  <si>
    <t>EPHCOP-5610770626671-28/08/25</t>
  </si>
  <si>
    <t>ONLINE-5610620347510 KHALED MOHAMED EL SAWY-28/08/25</t>
  </si>
  <si>
    <t>4699572477-5610661599156-29/08/25</t>
  </si>
  <si>
    <t>ONLINE-5610620347523 AL KHALIDIYA HOLIDAYS AND TOURISM-28/08</t>
  </si>
  <si>
    <t>ONLINE-5610620347524 AL KHALIDIYA HOLIDAYS AND TOURISM-28/08</t>
  </si>
  <si>
    <t>ONLINE-5610620347525 AL KHALIDIYA HOLIDAYS AND TOURISM-28/08</t>
  </si>
  <si>
    <t>ONLINE-5610620347526 AL KHALIDIYA HOLIDAYS AND TOURISM-28/08</t>
  </si>
  <si>
    <t>RYOJI-5610110939591-29/08/25</t>
  </si>
  <si>
    <t>SUSAI AP-5610110939592-29/08/25</t>
  </si>
  <si>
    <t>JESS ESCANO-5610140796660-29/08/25</t>
  </si>
  <si>
    <t>000098-5610230557929-26/08/25</t>
  </si>
  <si>
    <t>ANDREI-5610230558191-29/08/25</t>
  </si>
  <si>
    <t>SHIJITH-5610140796669-29/08/25</t>
  </si>
  <si>
    <t>662561-5610140796614-28/08/25</t>
  </si>
  <si>
    <t>AHMED-5610720693160-28/08/25</t>
  </si>
  <si>
    <t>AHMED-5610720693159-28/08/25</t>
  </si>
  <si>
    <t>PRIYARANJAN-5610140796673-29/08/25</t>
  </si>
  <si>
    <t>ONLINE-5610890093200-29/08/25</t>
  </si>
  <si>
    <t>001143-5610670446218-27/08/25</t>
  </si>
  <si>
    <t>500001-5610670446197 JAYARAJ DAMODARAN-27/08/25</t>
  </si>
  <si>
    <t>632252-5610670446391-29/08/25</t>
  </si>
  <si>
    <t>000015-5610860151697-27/08/25</t>
  </si>
  <si>
    <t>AJAY-5610610600267-27/08/25</t>
  </si>
  <si>
    <t>ONLINE-5610340568335-27/08/25</t>
  </si>
  <si>
    <t>000097-5610160699712-28/08/25</t>
  </si>
  <si>
    <t>SARTAJ-5610610600169-26/08/25</t>
  </si>
  <si>
    <t>000361-5610580510232-27/08/25</t>
  </si>
  <si>
    <t>SHANMUGAM--28/08/25</t>
  </si>
  <si>
    <t>MANOJ--28/08/25</t>
  </si>
  <si>
    <t>000062-5610120504116-26/08/25</t>
  </si>
  <si>
    <t>1C36J2-5610670446432-29/08/25</t>
  </si>
  <si>
    <t>MUNTASSER--27/08/25</t>
  </si>
  <si>
    <t>000010-5610970451387-23/08/25</t>
  </si>
  <si>
    <t>E83-5610630327525-29/08/25</t>
  </si>
  <si>
    <t>000002-5610140796658-29/08/25</t>
  </si>
  <si>
    <t>000124-5610110939036-20/08/25</t>
  </si>
  <si>
    <t>001897-5610110939354-27/08/25</t>
  </si>
  <si>
    <t>ARIEF-5610110939413-27/08/25</t>
  </si>
  <si>
    <t>100038--25/08/25</t>
  </si>
  <si>
    <t>01155-5610130714128-28/08/25</t>
  </si>
  <si>
    <t>530P690432BC-5610550586695-28/08/25</t>
  </si>
  <si>
    <t>049299825241-5610790147347-29/08/25</t>
  </si>
  <si>
    <t>RAMESH-5610140796722-29/08/25</t>
  </si>
  <si>
    <t>000060-5610440660707-28/08/25</t>
  </si>
  <si>
    <t>000199-5610440660724-28/08/25</t>
  </si>
  <si>
    <t>000078-5610440660438-23/08/25</t>
  </si>
  <si>
    <t>002072-5610150433566-29/08/25</t>
  </si>
  <si>
    <t>000143-5610440660666-27/08/25</t>
  </si>
  <si>
    <t>008291-5610440660654-27/08/25</t>
  </si>
  <si>
    <t>000096-5610440660646-27/08/25</t>
  </si>
  <si>
    <t>108L055252330001-21/08/25-30/08/25</t>
  </si>
  <si>
    <t>PHUB529609234</t>
  </si>
  <si>
    <t>PHUB529908748</t>
  </si>
  <si>
    <t>TRF FR EVOCA BANK-BOML2508283213</t>
  </si>
  <si>
    <t>FROM: 112375 / TO: 110102-22325</t>
  </si>
  <si>
    <t xml:space="preserve">CHQ NO 001883 HEIRS </t>
  </si>
  <si>
    <t>CHQ NO 001957 BURJ ALMASAKIN</t>
  </si>
  <si>
    <t xml:space="preserve">CHQ NO 001926 HEIRS </t>
  </si>
  <si>
    <t xml:space="preserve">PHUB524479312-996581-AL YAMAMAH VALET </t>
  </si>
  <si>
    <t>PHUB530336595-972475-AL FARDAN JEWELLERY</t>
  </si>
  <si>
    <t>5956208 TOP SPEED PERFORMANCE PARTS</t>
  </si>
  <si>
    <t>CHQ 000126 UNITED BANK DTD 26 AUG 2025</t>
  </si>
  <si>
    <t>5620310202483 SHOROOQ MEDICAL PHUB529241172</t>
  </si>
  <si>
    <t>5620310202316 TEK SALAH PHUB529330384</t>
  </si>
  <si>
    <t>5620310202541 SHAMSAN TRDG PHUB529652482</t>
  </si>
  <si>
    <t>SHOROOQ PARTNERS 5509165 PHUB529743509</t>
  </si>
  <si>
    <t>PHUB530164620</t>
  </si>
  <si>
    <t>51287805760 - 5610720693196</t>
  </si>
  <si>
    <t>A S D RAMCHADRAN</t>
  </si>
  <si>
    <t>26422154387 MBTRF BO ROSMA RASAILY</t>
  </si>
  <si>
    <t>SJS GLOBAL 7536072 CHQ 001835</t>
  </si>
  <si>
    <t>AGAINST PHUB530027978</t>
  </si>
  <si>
    <t>51184672966 23-Aug-2025</t>
  </si>
  <si>
    <t>REF.000096</t>
  </si>
  <si>
    <t>1-SALARY-CRDTD/28/08/2025</t>
  </si>
  <si>
    <t>002246 23-Aug-2025</t>
  </si>
  <si>
    <t>002248 23-Aug-2025</t>
  </si>
  <si>
    <t>001238 23-Aug-2025</t>
  </si>
  <si>
    <t>PHUB529761605 28AUG2025 FOUGITO PORTAL</t>
  </si>
  <si>
    <t>AGAINST PHUB530453030</t>
  </si>
  <si>
    <t>AGAINST PHUB530432551</t>
  </si>
  <si>
    <t>002364 26-Aug-2025</t>
  </si>
  <si>
    <t>AGAINST PHUB530453047</t>
  </si>
  <si>
    <t>AGAINST PHUB530404225</t>
  </si>
  <si>
    <t>TG DEPOSIT @12:35 PM</t>
  </si>
  <si>
    <t>TG CASH BEPOSIT @ 12.33</t>
  </si>
  <si>
    <t>PHUB529259801  27-Aug-2025</t>
  </si>
  <si>
    <t>PHUB530148297 5620940003196</t>
  </si>
  <si>
    <t>PHUB530071325 5620940003196</t>
  </si>
  <si>
    <t>5620890004922 PHUB530413553 29-08-2025</t>
  </si>
  <si>
    <t>PHUB530121148 ZUBINA TEXTILES</t>
  </si>
  <si>
    <t>PHUB529779296  NOOR AL AFAQ</t>
  </si>
  <si>
    <t>001369 27-Aug-2025</t>
  </si>
  <si>
    <t>001370 27-Aug-2025</t>
  </si>
  <si>
    <t>001373 27-Aug-2025</t>
  </si>
  <si>
    <t>001252 27-Aug-2025</t>
  </si>
  <si>
    <t>PHUB529382067 IYAD ALSARAYJI FOODSTUFF</t>
  </si>
  <si>
    <t>PHUB529226946  JISMON MATHEW</t>
  </si>
  <si>
    <t>51272257487 27-Aug-2025</t>
  </si>
  <si>
    <t>51271879269 27-Aug-2025</t>
  </si>
  <si>
    <t>51271809700 27-Aug-2025</t>
  </si>
  <si>
    <t>PHUB529047840  SAMS GLOBAL</t>
  </si>
  <si>
    <t>012658 27-Aug-2025</t>
  </si>
  <si>
    <t>PHUB529024147 AL WAFA TECHINICAL</t>
  </si>
  <si>
    <t>000038 27-Aug-2025</t>
  </si>
  <si>
    <t>TG CASH DEP AL HAYER BR TIMR 14:05PM</t>
  </si>
  <si>
    <t>51250959508  SIVAJI NEMALIPURI</t>
  </si>
  <si>
    <t>000795  KABS SHIPPING</t>
  </si>
  <si>
    <t>PHUB528694227  SALIAN SANDISH</t>
  </si>
  <si>
    <t>001372 27-Aug-2025</t>
  </si>
  <si>
    <t>51239427048 26-Aug-2025</t>
  </si>
  <si>
    <t>51244364334 26-Aug-2025</t>
  </si>
  <si>
    <t>CHQ NO 000106 DT 26.08.25 NADEEM SHAHZAD</t>
  </si>
  <si>
    <t>5780530016760/530467016</t>
  </si>
  <si>
    <t>PHUB530417250</t>
  </si>
  <si>
    <t>000307 ATLAS TRAILERS AND EQUIPMENTS</t>
  </si>
  <si>
    <t>000316 ATLAS TRAILERS AND EQUIPMENTS</t>
  </si>
  <si>
    <t>MARIOT K</t>
  </si>
  <si>
    <t>101022156071 cash dep tg</t>
  </si>
  <si>
    <t>51318819195/amit kewlaramy 29-08-2025 travlez load</t>
  </si>
  <si>
    <t>PHUB530533328</t>
  </si>
  <si>
    <t>PHUB530012270</t>
  </si>
  <si>
    <t>8749339 - STANFORD MARINE LLC - #1956945#</t>
  </si>
  <si>
    <t>PHUB530449086</t>
  </si>
  <si>
    <t>5620310202243 AEROSTYLE PHUB528614429</t>
  </si>
  <si>
    <t>921346 26-Aug-2025</t>
  </si>
  <si>
    <t>5620310202262 AEROSTYLE PHUB528739730</t>
  </si>
  <si>
    <t>5620690019265 MED TECH 26-Aug-2025</t>
  </si>
  <si>
    <t>29-08-2025 PHUB530457751 allianze middle</t>
  </si>
  <si>
    <t>PHUB528225814 25-Aug-2025</t>
  </si>
  <si>
    <t>PHUB528224677 25-Aug-2025</t>
  </si>
  <si>
    <t>PHUB530459967 B/O CONNECTIONS (FZE)</t>
  </si>
  <si>
    <t>012695 26-Aug-2025</t>
  </si>
  <si>
    <t>012655 26-Aug-2025</t>
  </si>
  <si>
    <t>5620690019271 MED TECH 27-Aug-2025</t>
  </si>
  <si>
    <t>REF # PHUB530557567 , HID # 1956963</t>
  </si>
  <si>
    <t>PHUB530561330 SARAVANAN</t>
  </si>
  <si>
    <t>TG CASH DEPOSIT @14.59</t>
  </si>
  <si>
    <t>TG CASH DEPOSIT 29 08 2025 15:10</t>
  </si>
  <si>
    <t>CASH DEPOSIT TO TG 290825 1605</t>
  </si>
  <si>
    <t>CASH DEPOSIT TROUGH TG</t>
  </si>
  <si>
    <t>TG CASH DEPOSIT @ 29-08-2025</t>
  </si>
  <si>
    <t>TG CASH DEPOSIT@16:50</t>
  </si>
  <si>
    <t>51322927290/SAIF/29-Aug-2025</t>
  </si>
  <si>
    <t>TG CASH DEPOSIT @ 16:33 P.M.</t>
  </si>
  <si>
    <t>PHUB530589593</t>
  </si>
  <si>
    <t>PHUB530581289 DTD 29 AUG 2025</t>
  </si>
  <si>
    <t>TG CASH DEPT AT 17:29</t>
  </si>
  <si>
    <t>PHUB530611558/MAYADEEN</t>
  </si>
  <si>
    <t>TG CASH DEP TIME 17:52</t>
  </si>
  <si>
    <t>PHUB530592936 290825 5620590008384 85 86</t>
  </si>
  <si>
    <t>CSH DEP TO ADCB THRU TG 100009439672</t>
  </si>
  <si>
    <t>TG CASH DEPOSIT 18:55 PM</t>
  </si>
  <si>
    <t>tg cash deposit @ 14:40</t>
  </si>
  <si>
    <t>CHEQUE DEPOSIT 283327 AL SHAWKA</t>
  </si>
  <si>
    <t>TG CASH DEPOSIT 29-08-2025</t>
  </si>
  <si>
    <t>51328877531 victor paul</t>
  </si>
  <si>
    <t>PHUB530697124 ayman yousef</t>
  </si>
  <si>
    <t>PHUB529324167</t>
  </si>
  <si>
    <t>51329729088 29-08-2025 5610890093210  3211</t>
  </si>
  <si>
    <t>PHUB530426488</t>
  </si>
  <si>
    <t>TG CASH DEPOSIT 29/08/2025 MAMURA 7.50</t>
  </si>
  <si>
    <t>51330328183 290825 5620590008391</t>
  </si>
  <si>
    <t>TG 102014228050</t>
  </si>
  <si>
    <t>TG CASH DEPOSIT SLIP MARFA BR-28-08-2025</t>
  </si>
  <si>
    <t>290k aed thru tg</t>
  </si>
  <si>
    <t>29-08-2025 cheq000741 5620270008882</t>
  </si>
  <si>
    <t>TG CASH DEP 20:25 PM</t>
  </si>
  <si>
    <t>TG CASH DEPT 20'38 PM</t>
  </si>
  <si>
    <t>29082025 cheq000081 5620270008876</t>
  </si>
  <si>
    <t>ADCB TG CASH DEPOSIT 101021684611</t>
  </si>
  <si>
    <t>29082025 chq000355 5620270008883</t>
  </si>
  <si>
    <t>29082025 cheq 820562 5620270008878</t>
  </si>
  <si>
    <t>29082025 cheq000447 5620270008815</t>
  </si>
  <si>
    <t>25082025 cheq000448 5620270008815</t>
  </si>
  <si>
    <t>TG CASH DEP 20.40</t>
  </si>
  <si>
    <t>TG CASH DEP 20:44</t>
  </si>
  <si>
    <t>AED TRFR TRG TG</t>
  </si>
  <si>
    <t>CASH DEPOSIT THROUGH TRANS GUARD</t>
  </si>
  <si>
    <t>000008 stepwell</t>
  </si>
  <si>
    <t>000162 al qudrah</t>
  </si>
  <si>
    <t>TG CASH DEPOSIT 102013835826</t>
  </si>
  <si>
    <t>000480RAMACHANDRA BHAT</t>
  </si>
  <si>
    <t>CHQ NO: 500066 / 29-08-2025</t>
  </si>
  <si>
    <t>TG CASH DEP 29-08-2025 20:54</t>
  </si>
  <si>
    <t>TG CASH DEPSOIT MBZ @20:22</t>
  </si>
  <si>
    <t>TG 102013511966</t>
  </si>
  <si>
    <t>dg cash</t>
  </si>
  <si>
    <t>CASH DEP THRU TG 101021957204</t>
  </si>
  <si>
    <t>1.21 M DEPOSIT THRU TG</t>
  </si>
  <si>
    <t>TG CSH DEP 21.26 PM</t>
  </si>
  <si>
    <t>000168 29AUG2025 RABBANI TOOLING</t>
  </si>
  <si>
    <t>002278/AL ADEL AUTOMATIC</t>
  </si>
  <si>
    <t>TG CASH DEPOSIT 101022059767</t>
  </si>
  <si>
    <t>TG 101021722314</t>
  </si>
  <si>
    <t>TG CSH DPST DTD 29-08-2025 AT 21:36 PM</t>
  </si>
  <si>
    <t>000007 stepwell medical supplies</t>
  </si>
  <si>
    <t>TG CASH DEPOSIT @9.15</t>
  </si>
  <si>
    <t>PHUB530757553 29-08-25 AL KHALDIA HAJ</t>
  </si>
  <si>
    <t>Reverse of TXN 34-031-3853633</t>
  </si>
  <si>
    <t>661275 CHQ 2 TT CARD 2869006</t>
  </si>
  <si>
    <t>CASH SENT THRU TG 101021654323</t>
  </si>
  <si>
    <t>CHQ NO ::500274</t>
  </si>
  <si>
    <t>51327203869 MANZOOR ALI</t>
  </si>
  <si>
    <t>51332843579 5620440006117</t>
  </si>
  <si>
    <t>PHUB530763561 5620530000230</t>
  </si>
  <si>
    <t>51330534756/SELVIN JEBA</t>
  </si>
  <si>
    <t>CASH DEPOSIT TG 101021381943</t>
  </si>
  <si>
    <t>515637-992595</t>
  </si>
  <si>
    <t>001284-970744</t>
  </si>
  <si>
    <t>000088-970815</t>
  </si>
  <si>
    <t>007052-970745</t>
  </si>
  <si>
    <t>000386-970746</t>
  </si>
  <si>
    <t>027843-970744</t>
  </si>
  <si>
    <t>002122-970744</t>
  </si>
  <si>
    <t>000699-970744</t>
  </si>
  <si>
    <t>005731-970744</t>
  </si>
  <si>
    <t>000071-984711</t>
  </si>
  <si>
    <t>000219-971651</t>
  </si>
  <si>
    <t>001296-997874</t>
  </si>
  <si>
    <t>001297-997874</t>
  </si>
  <si>
    <t>001298-997874</t>
  </si>
  <si>
    <t>001299-997874</t>
  </si>
  <si>
    <t>001304-997874</t>
  </si>
  <si>
    <t>001272-997874</t>
  </si>
  <si>
    <t>000574-983950</t>
  </si>
  <si>
    <t>0000-979665</t>
  </si>
  <si>
    <t>00000-985046</t>
  </si>
  <si>
    <t>00000-987453</t>
  </si>
  <si>
    <t>111-989922</t>
  </si>
  <si>
    <t>000000 00000000-970715</t>
  </si>
  <si>
    <t>00000-970767</t>
  </si>
  <si>
    <t>000009-944442</t>
  </si>
  <si>
    <t>000000-948558</t>
  </si>
  <si>
    <t>000000-948559</t>
  </si>
  <si>
    <t>000000-987170</t>
  </si>
  <si>
    <t>000000-942109</t>
  </si>
  <si>
    <t>001169-992672</t>
  </si>
  <si>
    <t>000-986183</t>
  </si>
  <si>
    <t>00-997541</t>
  </si>
  <si>
    <t>00000-999519</t>
  </si>
  <si>
    <t>111-996577</t>
  </si>
  <si>
    <t>000-997531</t>
  </si>
  <si>
    <t>000000-994264</t>
  </si>
  <si>
    <t>000000-994693</t>
  </si>
  <si>
    <t>0000-994693</t>
  </si>
  <si>
    <t>00-941218</t>
  </si>
  <si>
    <t>1111-996852</t>
  </si>
  <si>
    <t>1111-996854</t>
  </si>
  <si>
    <t>111-996987</t>
  </si>
  <si>
    <t>000000-999521</t>
  </si>
  <si>
    <t>0000-986986</t>
  </si>
  <si>
    <t>000000-979665</t>
  </si>
  <si>
    <t>000-982337</t>
  </si>
  <si>
    <t>239411-971277</t>
  </si>
  <si>
    <t>00000-988081</t>
  </si>
  <si>
    <t>143770-998464</t>
  </si>
  <si>
    <t>00-983884</t>
  </si>
  <si>
    <t>000-991485</t>
  </si>
  <si>
    <t>00000-993749</t>
  </si>
  <si>
    <t>000404-947766</t>
  </si>
  <si>
    <t>000-998241</t>
  </si>
  <si>
    <t>000-985955</t>
  </si>
  <si>
    <t>000-995932</t>
  </si>
  <si>
    <t>000-942315</t>
  </si>
  <si>
    <t>000446-997532</t>
  </si>
  <si>
    <t>000-999282</t>
  </si>
  <si>
    <t>00-985147</t>
  </si>
  <si>
    <t>100035--27/08/25</t>
  </si>
  <si>
    <t>000004-5610330821823-24/08/25</t>
  </si>
  <si>
    <t>000039-5610330821824-24/08/25</t>
  </si>
  <si>
    <t>000014-5610970451443-24/08/25</t>
  </si>
  <si>
    <t>16A8E6C795-5610610600618-30/08/25</t>
  </si>
  <si>
    <t>000188-1112-29/08/25</t>
  </si>
  <si>
    <t>ABDUL-5610140796726-30/08/25</t>
  </si>
  <si>
    <t>103650-CHQ 103650/PRASHANT/30-082025-28/08/25</t>
  </si>
  <si>
    <t>ARUN-51296429041/ARUN/28-Aug-2025-28/08/25</t>
  </si>
  <si>
    <t>000136-5610840576678-29/08/25</t>
  </si>
  <si>
    <t>SOTERIS--29/08/25</t>
  </si>
  <si>
    <t>RAVINDRA--29/08/25</t>
  </si>
  <si>
    <t>MOHAMMED--28/08/25</t>
  </si>
  <si>
    <t>000067-5610860151902-29/08/25</t>
  </si>
  <si>
    <t>002254-5610860151851-29/08/25</t>
  </si>
  <si>
    <t>SUBHASIS-5610140796733-30/08/25</t>
  </si>
  <si>
    <t>42A7P2-5610670446489-30/08/25</t>
  </si>
  <si>
    <t>GBJH-5610630327566-30/08/25</t>
  </si>
  <si>
    <t>260343-5610670446484-30/08/25</t>
  </si>
  <si>
    <t>000109-5610670446371-29/08/25</t>
  </si>
  <si>
    <t>014780-5610670446300-28/08/25</t>
  </si>
  <si>
    <t>64CC-5610740408491-02/08/25</t>
  </si>
  <si>
    <t>0000482-5610340568459-29/08/25</t>
  </si>
  <si>
    <t>0000482-5610340568460-29/08/25</t>
  </si>
  <si>
    <t>000115-5610770626632-28/08/25</t>
  </si>
  <si>
    <t>100859-5610770626592-27/08/25</t>
  </si>
  <si>
    <t>049299-5610770626751-29/08/25</t>
  </si>
  <si>
    <t>04929982-5610770626752-29/08/25</t>
  </si>
  <si>
    <t>1439-5610630327576-30/08/25</t>
  </si>
  <si>
    <t>982087-5610140796720-29/08/25</t>
  </si>
  <si>
    <t>000009-5610150433616-29/08/25</t>
  </si>
  <si>
    <t>000003-5610140796717-29/08/25</t>
  </si>
  <si>
    <t>547476-5610340568342-27/08/25</t>
  </si>
  <si>
    <t>001286-5610340568126-23/08/25</t>
  </si>
  <si>
    <t>502450-5610340568448-25/08/25</t>
  </si>
  <si>
    <t>006783-5610910418907-27/08/25</t>
  </si>
  <si>
    <t>000020-5610340568352-27/08/25</t>
  </si>
  <si>
    <t>018336-5610340568362-26/08/25</t>
  </si>
  <si>
    <t>000005-5610330822348-29/08/25</t>
  </si>
  <si>
    <t>CHAMPIONS--30/08/25</t>
  </si>
  <si>
    <t>VALERIAN--30/08/25</t>
  </si>
  <si>
    <t>000048-5610840576642-29/08/25</t>
  </si>
  <si>
    <t>063310-5610840576507-28/08/25</t>
  </si>
  <si>
    <t>005774-5613820044696-27/08/25</t>
  </si>
  <si>
    <t>04929982-5610170455949-30/08/25</t>
  </si>
  <si>
    <t>ONLINE-5610230558376-30/08/25</t>
  </si>
  <si>
    <t>AFSAR-5610720693344-30/08/25</t>
  </si>
  <si>
    <t>000003-5610770625542-12/08/25</t>
  </si>
  <si>
    <t>655771-5610770625803-16/08/25</t>
  </si>
  <si>
    <t>049299-5610770625935-18/08/25</t>
  </si>
  <si>
    <t>000058-5614220041803-03/07/25</t>
  </si>
  <si>
    <t>049299825219-5610170455011-07/08/25</t>
  </si>
  <si>
    <t>500007-5610230557456-16/08/25</t>
  </si>
  <si>
    <t>000009-5610670446406 THIRUMARAN SUNDARA MOORTHY-29/08/25</t>
  </si>
  <si>
    <t>036369-5610670446409 RAJESH KUMAR SINGH-29/08/25</t>
  </si>
  <si>
    <t>439489-5610840576805-30/08/25</t>
  </si>
  <si>
    <t>000048-5610440660749-29/08/25</t>
  </si>
  <si>
    <t>000001--29/08/25</t>
  </si>
  <si>
    <t>000073--29/08/25</t>
  </si>
  <si>
    <t>PRADEEP-5610610600645-30/08/25</t>
  </si>
  <si>
    <t>003070-5610410589609-28/08/25</t>
  </si>
  <si>
    <t>530P62DCF210-5610790147496-30/08/25</t>
  </si>
  <si>
    <t>000014-5610110939494-27/08/25</t>
  </si>
  <si>
    <t>191491-5610240831442-30/08/25</t>
  </si>
  <si>
    <t>191492-5610240831439-30/08/25</t>
  </si>
  <si>
    <t>PHUB529851472</t>
  </si>
  <si>
    <t>PHUB529815915</t>
  </si>
  <si>
    <t>PHUB526850660</t>
  </si>
  <si>
    <t>PHUB530358148</t>
  </si>
  <si>
    <t>PHUB30508231 EVOCA</t>
  </si>
  <si>
    <t>535-1-EWPS-19957-202508</t>
  </si>
  <si>
    <t>536-1-EWPS-19958-202508</t>
  </si>
  <si>
    <t>19362 CHQ-970790-NATIONAL CATERING</t>
  </si>
  <si>
    <t>TRF-983895-SOLV CLEANING &amp; ENVIRON</t>
  </si>
  <si>
    <t>PHUB524147947-985305-NMC HEALTHCARE</t>
  </si>
  <si>
    <t>TRF-984529-MEA RSOURCE SOL</t>
  </si>
  <si>
    <t>3867 CHQ-973922-RASHID AL KINDI</t>
  </si>
  <si>
    <t>PHUB530878423-999241-DUBAI ACDEMIC HEALTH</t>
  </si>
  <si>
    <t>MAXENTY</t>
  </si>
  <si>
    <t>CHQ NO 002024</t>
  </si>
  <si>
    <t>PAWPATHS PETS</t>
  </si>
  <si>
    <t>PHUB530548379 5620230000541 29/08/25</t>
  </si>
  <si>
    <t>29aug2025 000508 5620270008899</t>
  </si>
  <si>
    <t>PHUB530243610 5620230000541 29/08/25</t>
  </si>
  <si>
    <t>29AUG2025 000077 AL FAJR AL SATEE</t>
  </si>
  <si>
    <t>51335363403/Ganesh</t>
  </si>
  <si>
    <t>PHUB530900969</t>
  </si>
  <si>
    <t>000163 28-08-25 AAHIL BASIT</t>
  </si>
  <si>
    <t>000028 25-08-25 KAMAL JAN SHINWARI</t>
  </si>
  <si>
    <t>002114 27-08-25 BRANDMARK</t>
  </si>
  <si>
    <t>51328803880 30-08-2025</t>
  </si>
  <si>
    <t>51342027628 DTD 30-08-25 5620810002305</t>
  </si>
  <si>
    <t>000185 28-08-2025 BAIT AL NUJOOM</t>
  </si>
  <si>
    <t>PHUB530936311</t>
  </si>
  <si>
    <t>51342574774 DTD 30.08.2025</t>
  </si>
  <si>
    <t>PHUB531010519 - A M S MARITIME LLC</t>
  </si>
  <si>
    <t>5620980001189  PHUB531012490 FAST CARE BLDG MAT TR</t>
  </si>
  <si>
    <t>29082025 cheq000237 5620270008900</t>
  </si>
  <si>
    <t>29-08-2025 chq000045 5620270008894</t>
  </si>
  <si>
    <t>29082025 cheq000053 5620270008884</t>
  </si>
  <si>
    <t>ONLINE REF # 51346421618 , HID#1957742</t>
  </si>
  <si>
    <t>ONLINE REF # 51346392222, HID #1957748</t>
  </si>
  <si>
    <t>PHUB530504733 - 5620310202573 - TRANS ARABIA</t>
  </si>
  <si>
    <t>TG CASH DEP AL HAYER BR TIME13:53PM</t>
  </si>
  <si>
    <t>5620820003749 26360597146</t>
  </si>
  <si>
    <t>012681 08-Aug-2025</t>
  </si>
  <si>
    <t>26469456747/ 5610720693330</t>
  </si>
  <si>
    <t>PHUB531102869 /5610720693329 28</t>
  </si>
  <si>
    <t>5620820003771 6468712269</t>
  </si>
  <si>
    <t>51346877657 30-08-2025 5610890093283</t>
  </si>
  <si>
    <t>PHUB530950369 APT FEWA BILLS</t>
  </si>
  <si>
    <t>51349694207  CARD 2934556 MURTAZA</t>
  </si>
  <si>
    <t>30-08-25 AL KAHDIA HAJ0129082554513</t>
  </si>
  <si>
    <t>CASH DEPOSIT TO ADCB TG 102014234690</t>
  </si>
  <si>
    <t>101022088414 CSH DEP TO ADCB THRU TG</t>
  </si>
  <si>
    <t>26469886743  dtd300825 5620810002306</t>
  </si>
  <si>
    <t>530734225  dtd300825 5620810002303</t>
  </si>
  <si>
    <t>26467385774 MBTRF B/O NARAYANAN NADUVILMADOM DORAS</t>
  </si>
  <si>
    <t>TG CASH DEPOSIT 30 08 2025 15:16 SWEIHAN</t>
  </si>
  <si>
    <t>PHUB528242457 5623010000285</t>
  </si>
  <si>
    <t>TG CASH DEP 14:56</t>
  </si>
  <si>
    <t>TG CASH DEPO 16:11</t>
  </si>
  <si>
    <t>TG AED 380000 RUWAIS 30082025 03.16PM</t>
  </si>
  <si>
    <t>TG CASH DEPOSIT 16:29</t>
  </si>
  <si>
    <t xml:space="preserve"> CHQ NO ::500033</t>
  </si>
  <si>
    <t>29AUG2025 PHUB530513564 5620450001933</t>
  </si>
  <si>
    <t>001152/AL NAJAH</t>
  </si>
  <si>
    <t>TG CSH DEPOST @15:09</t>
  </si>
  <si>
    <t>TG DEPOSIT @4: 55 PM</t>
  </si>
  <si>
    <t>TG CAS DEP @ 17:04 PM</t>
  </si>
  <si>
    <t>TG CASH DTD 30.08.2025</t>
  </si>
  <si>
    <t>TG CASH DEPT AT 17:50</t>
  </si>
  <si>
    <t>TG CASH DEPOSIT 30-08-2025</t>
  </si>
  <si>
    <t>PHUB530680318 faizan fayaz</t>
  </si>
  <si>
    <t>TG 101022131040</t>
  </si>
  <si>
    <t>DEVCON PLASTIC GL 945255 1005609</t>
  </si>
  <si>
    <t>PHUB530943665</t>
  </si>
  <si>
    <t>TG CASH DEPOSIT 7:28 PM</t>
  </si>
  <si>
    <t>tg cash deposit time 20:00</t>
  </si>
  <si>
    <t>TG DEPOSITED @3.01</t>
  </si>
  <si>
    <t>TG CASH DEP 101021684612</t>
  </si>
  <si>
    <t>ONLINE REF# 1, HID :#RE-1957828</t>
  </si>
  <si>
    <t>TG CASH DEPT 20;06 PM</t>
  </si>
  <si>
    <t>CHEQ NO 000036 MAZEN AL FARDAN</t>
  </si>
  <si>
    <t>TG DPST 101022151270</t>
  </si>
  <si>
    <t>AGAINST PHUB531170953</t>
  </si>
  <si>
    <t>AGAINST PHUB530747579</t>
  </si>
  <si>
    <t>TG CASH DEPOSIT SLIP MARFA BR-30-08-2025</t>
  </si>
  <si>
    <t>CASH DEPOSIT TG 102014216023</t>
  </si>
  <si>
    <t>TG CASH DEP 20:50</t>
  </si>
  <si>
    <t>TG CASH DEPOSIT @ 18:21 P.M.</t>
  </si>
  <si>
    <t>002334 30AUG2025 DUBAI SKY INDUSTRIAL</t>
  </si>
  <si>
    <t>TG DEPOSIT BAG NO 102013797411</t>
  </si>
  <si>
    <t>cash depo thru tg</t>
  </si>
  <si>
    <t>TG CASH DEPOSIT D-30-8-2025 T-8:47PM</t>
  </si>
  <si>
    <t>TG CASH DEP KARAMA BRANCH 20:42</t>
  </si>
  <si>
    <t>30082025 CHQ000054 5620270008903</t>
  </si>
  <si>
    <t>CASH DEPOSIT UAQ BRANCH</t>
  </si>
  <si>
    <t>30082025 CHQ000238 5620270008904</t>
  </si>
  <si>
    <t>30082025 CHQ000039 5620270008885</t>
  </si>
  <si>
    <t>TG CASH DEPOIST30 08 2025</t>
  </si>
  <si>
    <t>TG CASH DEPOSIT @ 21:13</t>
  </si>
  <si>
    <t>CASH DEPOSIT THRU TG 101021792409</t>
  </si>
  <si>
    <t>AED TFR THRG TG 101021957208</t>
  </si>
  <si>
    <t>CHEQUE NO 000121</t>
  </si>
  <si>
    <t>TG CASH DEPOSIT 101022059768</t>
  </si>
  <si>
    <t>PHUB531138047</t>
  </si>
  <si>
    <t>AGAINST CHQ NO 500290</t>
  </si>
  <si>
    <t>cash deposited to adcb through tg</t>
  </si>
  <si>
    <t>TG CASH DEPOSIT@21:52</t>
  </si>
  <si>
    <t>CARD : 5903847 ABU FAISAL</t>
  </si>
  <si>
    <t>CASH DEPOSIT THRU TG 100009209249</t>
  </si>
  <si>
    <t>AGAINST CHQ NO 000005</t>
  </si>
  <si>
    <t>PHUB530942080</t>
  </si>
  <si>
    <t>TG CSH DPST DTD  - 30-08-2025 AT 21:50</t>
  </si>
  <si>
    <t>PHUB531182224</t>
  </si>
  <si>
    <t>51359847318 ranjit</t>
  </si>
  <si>
    <t>ABDUL LATEEF-5610140796790-31/08/25</t>
  </si>
  <si>
    <t>04929982-5614120080975-30/08/25</t>
  </si>
  <si>
    <t>054509-5610820608553-18/08/25</t>
  </si>
  <si>
    <t>RAJESH KUMAR-5610140796795-31/08/25</t>
  </si>
  <si>
    <t>online-5610340568418-28/08/25</t>
  </si>
  <si>
    <t>000456-5610150433621-29/08/25</t>
  </si>
  <si>
    <t>000016-5610140796822-31/08/25</t>
  </si>
  <si>
    <t>313244-5610140796826, 5610140796825-31/08/25</t>
  </si>
  <si>
    <t>313245-5610140796826, 5610140796825-31/08/25</t>
  </si>
  <si>
    <t>049299825243-561067044624-31/08/25</t>
  </si>
  <si>
    <t>000009-5610110939582-29/08/25</t>
  </si>
  <si>
    <t>000001-5610140796835-31/08/25</t>
  </si>
  <si>
    <t>860229--29/08/25</t>
  </si>
  <si>
    <t>LINNETT-5610720693457-31/08/25</t>
  </si>
  <si>
    <t>000064-5610140796779-30/08/25</t>
  </si>
  <si>
    <t>000589-5610160699883-29/08/25</t>
  </si>
  <si>
    <t>SUBHASISH-5610140796843-31/08/25</t>
  </si>
  <si>
    <t>FATIHA-5610580510502-31/08/25</t>
  </si>
  <si>
    <t>SASIKUMAR-5610140796860-31/08/25</t>
  </si>
  <si>
    <t>890713-5610140796841-31/08/25</t>
  </si>
  <si>
    <t>500277-5610150433717-30/08/25</t>
  </si>
  <si>
    <t>AMIT-5610580510518-31/08/25</t>
  </si>
  <si>
    <t>726805DFC8A1-5610920182524-31/08/25</t>
  </si>
  <si>
    <t>MANAL ALI-5610340568573-31/08/25</t>
  </si>
  <si>
    <t>049299-5610770626902-31/08/25</t>
  </si>
  <si>
    <t>MATHEW-5610780531441-31/08/25</t>
  </si>
  <si>
    <t>049299825-5614120081062-31/08/25</t>
  </si>
  <si>
    <t>43AW36-5610670446675-31/08/25</t>
  </si>
  <si>
    <t>SREEJITH-5610580510537-31/08/25</t>
  </si>
  <si>
    <t>PHUB530412031</t>
  </si>
  <si>
    <t>PHUB531090224</t>
  </si>
  <si>
    <t>PHUB529677456 FINESSE</t>
  </si>
  <si>
    <t>PHUB518369785 / ALI &amp; SONS SERVICES</t>
  </si>
  <si>
    <t>PHUB528479224 RADIX MEDIA LLC</t>
  </si>
  <si>
    <t>003BM60252400107 YES BANK</t>
  </si>
  <si>
    <t>TRF TO ALAWANEH/14885</t>
  </si>
  <si>
    <t>TRF TO ALAWANEH/14316</t>
  </si>
  <si>
    <t>A S D RAMCHADRAN AE0221865</t>
  </si>
  <si>
    <t>CHQ NO 0340847</t>
  </si>
  <si>
    <t>CHQ NO 340542</t>
  </si>
  <si>
    <t>EX2975-YISOFUA TIWEBYSE-FIN SAL &amp; EOSB</t>
  </si>
  <si>
    <t>EX2097-IRSHAD ALI-FIN SAL &amp; EOSB</t>
  </si>
  <si>
    <t>EX0137-WALID SALAH-FIN SAL &amp; EOSB</t>
  </si>
  <si>
    <t>EX2732-CHANDANI JAIDEO-FIN AL &amp; EOSB</t>
  </si>
  <si>
    <t>EX2908-MOHAMED ALAA-FIN SAL &amp; EOSB</t>
  </si>
  <si>
    <t>EX2062-MUHAMMAD BILAL-FIN SAL &amp; EOSB</t>
  </si>
  <si>
    <t>EX1639-SHYAM KUNJUMON-FIN SAL &amp; EOSB</t>
  </si>
  <si>
    <t>EX1725-SANJAY SANTHOSH-FIN SAL &amp; EOSB</t>
  </si>
  <si>
    <t>EX2330-HALEEMA SALEH-FIN SAL</t>
  </si>
  <si>
    <t>EX2695-MRUDUSHA-FIN SAL &amp; EOSB</t>
  </si>
  <si>
    <t>EX3225-MOUDHI SALEM-TGH-FIN SAL</t>
  </si>
  <si>
    <t>EX2927-KAZI MOHAMMAD-FIN SAL &amp; EOSB</t>
  </si>
  <si>
    <t>EX3268-REETA PANIGRAHI-FIN SAL &amp; A/L SAL</t>
  </si>
  <si>
    <t>EX2695-MRUDUSHA VATTOLIPARAMBIL-FIN SAL &amp; EOSB</t>
  </si>
  <si>
    <t>EX2456-REJIN RAJA-FIN SAL &amp; EOSB</t>
  </si>
  <si>
    <t>FILS CHARGE BOOKED AUG 25</t>
  </si>
  <si>
    <t>FILS CHARGE BOOKED JULY 25</t>
  </si>
  <si>
    <t>51355509930 - 5620150004720</t>
  </si>
  <si>
    <t>108L055252400002-28/08/25-16/09/25</t>
  </si>
  <si>
    <t>108L055252330001-RECOVER</t>
  </si>
  <si>
    <t>CHQ NO 001948 SHAIK SAEED</t>
  </si>
  <si>
    <t>CHQ NO 001947 SHAIK SAEED</t>
  </si>
  <si>
    <t>PHUB530438452</t>
  </si>
  <si>
    <t>CHQ NO 001873 MARHABA MALL</t>
  </si>
  <si>
    <t xml:space="preserve">TG Cash Pick up Fee May 2025 </t>
  </si>
  <si>
    <t>TG Cash Pick up Fee June 2025</t>
  </si>
  <si>
    <t>ADCB TG VAT MAY 25</t>
  </si>
  <si>
    <t>CHG BOOKED FOR AUG 2025</t>
  </si>
  <si>
    <t>ADCB TG VAT JUNE 25</t>
  </si>
  <si>
    <t>EX2043-MUHAMMAD WAJAHAT-FIN SAL &amp; A/L SAL</t>
  </si>
  <si>
    <t>INT PAID AUG 25</t>
  </si>
  <si>
    <t>DD LIQUIDATION CHG::251775925 DTD 27 AUG 202</t>
  </si>
  <si>
    <t xml:space="preserve">PHUB505623329 </t>
  </si>
  <si>
    <t>299T405242970002 - COMMISSION/FEE</t>
  </si>
  <si>
    <t>CHQ NO 00348-5610580508986</t>
  </si>
  <si>
    <t>19363 CHQ-970790-NATIONAL CATERING</t>
  </si>
  <si>
    <t>PHUB529999323-985305-NMC HEALTHCARE</t>
  </si>
  <si>
    <t>511200 CHQ-970699-PRIVATE OFFICE</t>
  </si>
  <si>
    <t>511201 CHQ-ADCB-CHRGS</t>
  </si>
  <si>
    <t>000015-5610860151697</t>
  </si>
  <si>
    <t>19567 CHQ-970790-NATIONAL CATERING</t>
  </si>
  <si>
    <t>19564 CHQ-970790-NATIONAL CATERING</t>
  </si>
  <si>
    <t>365002 CHQ-981706-SAIF FARES GHANEM</t>
  </si>
  <si>
    <t>PHUB525855646-999241-DUBAI ACADEMIC HEALTH</t>
  </si>
  <si>
    <t>PHUB525855638-999241-DUBAI ACDEMIC HEALTH</t>
  </si>
  <si>
    <t>PHUB525855655-999241-DUBAI ACADEMIC HEALTH</t>
  </si>
  <si>
    <t>PHUB525855630-999241-DUBAI ACADEMIC HEALTH</t>
  </si>
  <si>
    <t>PHUB525855651-999241-DUBAI ACADEMIC HEALTH</t>
  </si>
  <si>
    <t>PHUB524444341-999241-DUBAI ACADEMIC HEALTH</t>
  </si>
  <si>
    <t>PHUB525855633-999241-DUBAI ACADEMIC HEALTH</t>
  </si>
  <si>
    <t>PHUB525855641</t>
  </si>
  <si>
    <t>TRF-986797-AMAYER REAL ESTATE</t>
  </si>
  <si>
    <t>9572 CHQ-995983-ABU DHABI POULTRY</t>
  </si>
  <si>
    <t>TRF-983895-SOLV CLEANING</t>
  </si>
  <si>
    <t>981 CHQ-983453-GWR CONSULTING</t>
  </si>
  <si>
    <t>19565 CHQ-970790-NATIONAL CATERING</t>
  </si>
  <si>
    <t xml:space="preserve">PHUB523589176-996581-ALYAMAMAH VALET </t>
  </si>
  <si>
    <t>TRF-970711-TRANS DESERT CONT</t>
  </si>
  <si>
    <t>6093 CHQ-995983-ABU DHABI POULTRY FARM</t>
  </si>
  <si>
    <t>9586 CHQ-995983-ABU DHABI POULTRY FARM</t>
  </si>
  <si>
    <t>PHUB521270361-985305-NMC HEALTHCARE</t>
  </si>
  <si>
    <t>PHUB520503619-999241-DUBAI ACADEMIC HEALTH</t>
  </si>
  <si>
    <t>PHUB520503608-DUBAI ACADEMIC HEALTH</t>
  </si>
  <si>
    <t>PHUB520503614-DUBAI ACADEMIC HEALTH</t>
  </si>
  <si>
    <t>PHUB520286787-985305-NMC HEALTHCARE</t>
  </si>
  <si>
    <t>TRF-998502-CLASS VALUED</t>
  </si>
  <si>
    <t>PHUB520503599-999241-DUBAI ACADEMIC HEALTH</t>
  </si>
  <si>
    <t>PHUB520503603-999241-DUBAI ACADEMIC HEALTH</t>
  </si>
  <si>
    <t>TRF-999241-DUBAI ACADEMIC HEALTH</t>
  </si>
  <si>
    <t>AE0350280-998502-CLASS CAR WASH</t>
  </si>
  <si>
    <t>PHUB518017947-985305-NMC HEALTH CARE</t>
  </si>
  <si>
    <t>TRF-997899-M T A BUILDING MAT</t>
  </si>
  <si>
    <t>50728257667-998502-CLASS CAR WASH</t>
  </si>
  <si>
    <t>50737292866-998502-CLASS CAR</t>
  </si>
  <si>
    <t>PHUB526280403-970889PIVOT ENGINEERING</t>
  </si>
  <si>
    <t>TRF-987610-TAL AL WATHBA</t>
  </si>
  <si>
    <t>TRF-997899-M T A BUILDING MAT | Reversed - 8001-0535-2025-</t>
  </si>
  <si>
    <t>400-Branch Transfer</t>
  </si>
  <si>
    <t>08/2025 Transfer:11-&gt;100</t>
  </si>
  <si>
    <t>08/2025 Transfer:110-&gt;100</t>
  </si>
  <si>
    <t>08/2025 Transfer:111-&gt;100</t>
  </si>
  <si>
    <t>08/2025 Transfer:112-&gt;100</t>
  </si>
  <si>
    <t>08/2025 Transfer:116-&gt;100</t>
  </si>
  <si>
    <t>08/2025 Transfer:117-&gt;100</t>
  </si>
  <si>
    <t>08/2025 Transfer:118-&gt;100</t>
  </si>
  <si>
    <t>08/2025 Transfer:119-&gt;100</t>
  </si>
  <si>
    <t>08/2025 Transfer:12-&gt;100</t>
  </si>
  <si>
    <t>08/2025 Transfer:120-&gt;100</t>
  </si>
  <si>
    <t>08/2025 Transfer:128-&gt;100</t>
  </si>
  <si>
    <t>08/2025 Transfer:13-&gt;100</t>
  </si>
  <si>
    <t>08/2025 Transfer:14-&gt;100</t>
  </si>
  <si>
    <t>08/2025 Transfer:15-&gt;100</t>
  </si>
  <si>
    <t>08/2025 Transfer:16-&gt;100</t>
  </si>
  <si>
    <t>08/2025 Transfer:17-&gt;100</t>
  </si>
  <si>
    <t>08/2025 Transfer:18-&gt;100</t>
  </si>
  <si>
    <t>08/2025 Transfer:19-&gt;100</t>
  </si>
  <si>
    <t>08/2025 Transfer:210-&gt;100</t>
  </si>
  <si>
    <t>08/2025 Transfer:220-&gt;100</t>
  </si>
  <si>
    <t>08/2025 Transfer:223-&gt;100</t>
  </si>
  <si>
    <t>08/2025 Transfer:224-&gt;100</t>
  </si>
  <si>
    <t>08/2025 Transfer:23-&gt;100</t>
  </si>
  <si>
    <t>08/2025 Transfer:24-&gt;100</t>
  </si>
  <si>
    <t>08/2025 Transfer:252-&gt;100</t>
  </si>
  <si>
    <t>08/2025 Transfer:26-&gt;100</t>
  </si>
  <si>
    <t>08/2025 Transfer:27-&gt;100</t>
  </si>
  <si>
    <t>08/2025 Transfer:28-&gt;100</t>
  </si>
  <si>
    <t>08/2025 Transfer:282-&gt;100</t>
  </si>
  <si>
    <t>08/2025 Transfer:301-&gt;100</t>
  </si>
  <si>
    <t>08/2025 Transfer:307-&gt;100</t>
  </si>
  <si>
    <t>08/2025 Transfer:31-&gt;100</t>
  </si>
  <si>
    <t>08/2025 Transfer:310-&gt;100</t>
  </si>
  <si>
    <t>08/2025 Transfer:32-&gt;100</t>
  </si>
  <si>
    <t>08/2025 Transfer:33-&gt;100</t>
  </si>
  <si>
    <t>08/2025 Transfer:34-&gt;100</t>
  </si>
  <si>
    <t>08/2025 Transfer:35-&gt;100</t>
  </si>
  <si>
    <t>08/2025 Transfer:351-&gt;100</t>
  </si>
  <si>
    <t>08/2025 Transfer:36-&gt;100</t>
  </si>
  <si>
    <t>08/2025 Transfer:361-&gt;100</t>
  </si>
  <si>
    <t>08/2025 Transfer:37-&gt;100</t>
  </si>
  <si>
    <t>08/2025 Transfer:372-&gt;100</t>
  </si>
  <si>
    <t>08/2025 Transfer:38-&gt;100</t>
  </si>
  <si>
    <t>08/2025 Transfer:382-&gt;100</t>
  </si>
  <si>
    <t>08/2025 Transfer:39-&gt;100</t>
  </si>
  <si>
    <t>08/2025 Transfer:41-&gt;100</t>
  </si>
  <si>
    <t>08/2025 Transfer:412-&gt;100</t>
  </si>
  <si>
    <t>08/2025 Transfer:42-&gt;100</t>
  </si>
  <si>
    <t>08/2025 Transfer:422-&gt;100</t>
  </si>
  <si>
    <t>08/2025 Transfer:43-&gt;100</t>
  </si>
  <si>
    <t>08/2025 Transfer:44-&gt;100</t>
  </si>
  <si>
    <t>08/2025 Transfer:45-&gt;100</t>
  </si>
  <si>
    <t>08/2025 Transfer:46-&gt;100</t>
  </si>
  <si>
    <t>08/2025 Transfer:48-&gt;100</t>
  </si>
  <si>
    <t>08/2025 Transfer:49-&gt;100</t>
  </si>
  <si>
    <t>08/2025 Transfer:50-&gt;100</t>
  </si>
  <si>
    <t>08/2025 Transfer:51-&gt;100</t>
  </si>
  <si>
    <t>08/2025 Transfer:52-&gt;100</t>
  </si>
  <si>
    <t>08/2025 Transfer:53-&gt;100</t>
  </si>
  <si>
    <t>08/2025 Transfer:532-&gt;100</t>
  </si>
  <si>
    <t>08/2025 Transfer:54-&gt;100</t>
  </si>
  <si>
    <t>08/2025 Transfer:542-&gt;100</t>
  </si>
  <si>
    <t>08/2025 Transfer:55-&gt;100</t>
  </si>
  <si>
    <t>08/2025 Transfer:56-&gt;100</t>
  </si>
  <si>
    <t>08/2025 Transfer:58-&gt;100</t>
  </si>
  <si>
    <t>08/2025 Transfer:59-&gt;100</t>
  </si>
  <si>
    <t>08/2025 Transfer:60-&gt;100</t>
  </si>
  <si>
    <t>08/2025 Transfer:61-&gt;100</t>
  </si>
  <si>
    <t>08/2025 Transfer:62-&gt;100</t>
  </si>
  <si>
    <t>08/2025 Transfer:63-&gt;100</t>
  </si>
  <si>
    <t>08/2025 Transfer:64-&gt;100</t>
  </si>
  <si>
    <t>08/2025 Transfer:65-&gt;100</t>
  </si>
  <si>
    <t>08/2025 Transfer:66-&gt;100</t>
  </si>
  <si>
    <t>08/2025 Transfer:67-&gt;100</t>
  </si>
  <si>
    <t>08/2025 Transfer:69-&gt;100</t>
  </si>
  <si>
    <t>08/2025 Transfer:70-&gt;100</t>
  </si>
  <si>
    <t>08/2025 Transfer:71-&gt;100</t>
  </si>
  <si>
    <t>08/2025 Transfer:72-&gt;100</t>
  </si>
  <si>
    <t>08/2025 Transfer:73-&gt;100</t>
  </si>
  <si>
    <t>08/2025 Transfer:74-&gt;100</t>
  </si>
  <si>
    <t>08/2025 Transfer:75-&gt;100</t>
  </si>
  <si>
    <t>08/2025 Transfer:76-&gt;100</t>
  </si>
  <si>
    <t>08/2025 Transfer:77-&gt;100</t>
  </si>
  <si>
    <t>08/2025 Transfer:78-&gt;100</t>
  </si>
  <si>
    <t>08/2025 Transfer:79-&gt;100</t>
  </si>
  <si>
    <t>08/2025 Transfer:80-&gt;100</t>
  </si>
  <si>
    <t>08/2025 Transfer:81-&gt;100</t>
  </si>
  <si>
    <t>08/2025 Transfer:82-&gt;100</t>
  </si>
  <si>
    <t>08/2025 Transfer:84-&gt;100</t>
  </si>
  <si>
    <t>08/2025 Transfer:85-&gt;100</t>
  </si>
  <si>
    <t>08/2025 Transfer:86-&gt;100</t>
  </si>
  <si>
    <t>08/2025 Transfer:88-&gt;100</t>
  </si>
  <si>
    <t>08/2025 Transfer:89-&gt;100</t>
  </si>
  <si>
    <t>08/2025 Transfer:91-&gt;100</t>
  </si>
  <si>
    <t>08/2025 Transfer:92-&gt;100</t>
  </si>
  <si>
    <t>08/2025 Transfer:94-&gt;100</t>
  </si>
  <si>
    <t>08/2025 Transfer:97-&gt;100</t>
  </si>
  <si>
    <t>08/2025 Transfer:98-&gt;100</t>
  </si>
  <si>
    <t>REV 926861</t>
  </si>
  <si>
    <t>REV 925840</t>
  </si>
  <si>
    <t>AGAINST PHUB531316626</t>
  </si>
  <si>
    <t>000013 30-08-25 ENERTIA WORLDWIDE</t>
  </si>
  <si>
    <t>51349695904 SUBAIR</t>
  </si>
  <si>
    <t>002478 29-08-25 SEVEN STARS OIL</t>
  </si>
  <si>
    <t>51238895224 / AMOGH PROJECT MANAGEMENT</t>
  </si>
  <si>
    <t>51269389359 / AMOGH PROJECT MANAGEMENT</t>
  </si>
  <si>
    <t>PHUB529350389 / BEST TRUST</t>
  </si>
  <si>
    <t>PHUB528503934 26-08-25 BAWABAT AL SHARQ</t>
  </si>
  <si>
    <t>PHUB528721797 26-08-25 NAJIMAT AL IBDAA</t>
  </si>
  <si>
    <t>51183427381 23-08-2025 AKMAL NAZIR</t>
  </si>
  <si>
    <t>000360 06-08-25 UDAYNARAYAN</t>
  </si>
  <si>
    <t>PHUB530534140  PRECIZ SCIENTIFIC</t>
  </si>
  <si>
    <t>000798 K A B S SHIPPING</t>
  </si>
  <si>
    <t>PHUB530635208  AL WAFA TECHNICAL</t>
  </si>
  <si>
    <t>PHUB530462110 KAREL FREIGHT</t>
  </si>
  <si>
    <t>51325187632 29-Aug-2025</t>
  </si>
  <si>
    <t>AHMED SAID LOTFY PHUB531324133</t>
  </si>
  <si>
    <t>B/O_PRAMOD MANGLA YA_531269478</t>
  </si>
  <si>
    <t>PHUB531367171 310825 5620590008389</t>
  </si>
  <si>
    <t>CHQ NO 000678 AL SAHIL MARINE EQUIP</t>
  </si>
  <si>
    <t>CHQ NO 000677 AL SAHIL MARINE EQUIP</t>
  </si>
  <si>
    <t>PHUB531498787 - 5610720693513</t>
  </si>
  <si>
    <t>PHUB531504282 - 5610720693514</t>
  </si>
  <si>
    <t>5791010067562 ALFAPAY TXN</t>
  </si>
  <si>
    <t>5620690019297 prasanna 31-Aug-2025</t>
  </si>
  <si>
    <t>5620690019298 sherin mary 31-Aug-2025</t>
  </si>
  <si>
    <t>AGAINST PHUB531475700</t>
  </si>
  <si>
    <t>51378469965 GAUTAM VIJAY</t>
  </si>
  <si>
    <t>PHUB529413999</t>
  </si>
  <si>
    <t>26498396669 MBTRF</t>
  </si>
  <si>
    <t>31-08-2025 51376915706 soumya sarin</t>
  </si>
  <si>
    <t>Al Fardan Exchange LLC</t>
  </si>
  <si>
    <t xml:space="preserve">Reconciliation ( ADCB 110102 ) </t>
  </si>
  <si>
    <t>As on 31/07/2025</t>
  </si>
  <si>
    <t>LED/SOA</t>
  </si>
  <si>
    <t>TXN TYPE</t>
  </si>
  <si>
    <t>VALUE DATE</t>
  </si>
  <si>
    <t>TXN DATE</t>
  </si>
  <si>
    <t>REF</t>
  </si>
  <si>
    <t>REF 1</t>
  </si>
  <si>
    <t>NARATION</t>
  </si>
  <si>
    <t>DEBIT</t>
  </si>
  <si>
    <t>CREDIT</t>
  </si>
  <si>
    <t>SOA</t>
  </si>
  <si>
    <t>TRF</t>
  </si>
  <si>
    <t>CDM CSH DEP</t>
  </si>
  <si>
    <t>PERIYARATHIL A</t>
  </si>
  <si>
    <t>MOHD NURUDIN KH</t>
  </si>
  <si>
    <t>MOHD H I H</t>
  </si>
  <si>
    <t>NAZEEB</t>
  </si>
  <si>
    <t>500537-DIFF</t>
  </si>
  <si>
    <t>SAL</t>
  </si>
  <si>
    <t>150760766-MOHD</t>
  </si>
  <si>
    <t>CHQ DEP 204386</t>
  </si>
  <si>
    <t>157307370-MARIAPPAN</t>
  </si>
  <si>
    <t>CHQ DEP 4002</t>
  </si>
  <si>
    <t>CHQ DEP 23</t>
  </si>
  <si>
    <t>164492206-MUSAMMIL</t>
  </si>
  <si>
    <t>165737612-SIDDHARTH</t>
  </si>
  <si>
    <t>CDM-GAYATHRI</t>
  </si>
  <si>
    <t>168494815-AAMER</t>
  </si>
  <si>
    <t>CHQ DEP 500957</t>
  </si>
  <si>
    <t>CDM-SALEH</t>
  </si>
  <si>
    <t>CHQ DEP 103563</t>
  </si>
  <si>
    <t>172496230- JYOTI AGARWA</t>
  </si>
  <si>
    <t>KHALID JUMA</t>
  </si>
  <si>
    <t>PHUB174927810</t>
  </si>
  <si>
    <t>174927810-AHMAD SALEH</t>
  </si>
  <si>
    <t>175000743-NMC</t>
  </si>
  <si>
    <t>CHQ DEP 250</t>
  </si>
  <si>
    <t>CDM-Cash Deposit-VALIYAVEEDU HAMZA KOYA</t>
  </si>
  <si>
    <t>PHUB183135204</t>
  </si>
  <si>
    <t>B/O_FATIMA SAIF H BI_183135204</t>
  </si>
  <si>
    <t>CHEQUE DEPOSIT 685075 SHAMSHEER KHAN AHAMED KHAN AHAMED  KHAN Chq No ::685075</t>
  </si>
  <si>
    <t>PHUB183277100</t>
  </si>
  <si>
    <t>B/O_MD LUTFUR RAHMAN_183277100</t>
  </si>
  <si>
    <t>CHEQUE DEPOSIT 038016 THIYAGARAJAN PANDI    THIYAGA RAJAN Chq No ::038016</t>
  </si>
  <si>
    <t>PHUB185645655</t>
  </si>
  <si>
    <t>.</t>
  </si>
  <si>
    <t>B/O_MONINA BERNARDO _185645655</t>
  </si>
  <si>
    <t>PHUB188045990</t>
  </si>
  <si>
    <t>B/O_CHIDAMBARA RAJAN_188045990</t>
  </si>
  <si>
    <t>6057330141 MBTRF_B/O MUHAMMAD AWAIS RAZA</t>
  </si>
  <si>
    <t>CHEQUE DEPOSIT 106638 SYED JABIR HUSSAIN SAYED   ABDUL HUSSAIN Chq No ::106638</t>
  </si>
  <si>
    <t>PHUB190427800</t>
  </si>
  <si>
    <t>B/O_MR DHARMESH NARE_190427800</t>
  </si>
  <si>
    <t>CDM-Cash Deposit-SALWA ALI GOMAA HASSAN ELBAHNSSAWI</t>
  </si>
  <si>
    <t>PHUB196007914</t>
  </si>
  <si>
    <t>B/O_ANANT SHANTIKUMA_196007914</t>
  </si>
  <si>
    <t>1</t>
  </si>
  <si>
    <t>PHUB201707387</t>
  </si>
  <si>
    <t>B/O_MEHJANA MUNIR_201707387</t>
  </si>
  <si>
    <t>PHUB204638421</t>
  </si>
  <si>
    <t>B/O_GLOBAL MID_ADIB_204638421_VAT 3RD</t>
  </si>
  <si>
    <t>PHUB206264324</t>
  </si>
  <si>
    <t>B/O_YOGESH VIJAY DES_206264324</t>
  </si>
  <si>
    <t>PHUB207263003</t>
  </si>
  <si>
    <t>B/O_SALIM JAVED_207263003</t>
  </si>
  <si>
    <t>LED</t>
  </si>
  <si>
    <t>293361</t>
  </si>
  <si>
    <t>CHEQUE DEPOSIT 293361 NASIR ALI BALOCH MUHAMMAD  USMAN Chq No ::293361</t>
  </si>
  <si>
    <t>15068369402</t>
  </si>
  <si>
    <t>7101811740 MBTRF B/O ABDUL KADER HAIDER RAMPURWALA</t>
  </si>
  <si>
    <t>15205728269</t>
  </si>
  <si>
    <t>7244706219 MBTRF B/O MAZAR ABDULLA KHAN</t>
  </si>
  <si>
    <t>15339937844</t>
  </si>
  <si>
    <t>7377699479 MBTRF B/O SHYAM SURESH JADHAV</t>
  </si>
  <si>
    <t>PHUB222308813</t>
  </si>
  <si>
    <t>B/O_VENKATA RAMA RAJ_222308813</t>
  </si>
  <si>
    <t>15717308145</t>
  </si>
  <si>
    <t>1889885283 IBTRF B/O DHARMENDRA SINGH</t>
  </si>
  <si>
    <t>PHUB226487477</t>
  </si>
  <si>
    <t>B/O_MR MUHAMMAD FAIS_226487477</t>
  </si>
  <si>
    <t>PHUB227504437</t>
  </si>
  <si>
    <t>B/O_JITENDRAKUMAR RU_227504437</t>
  </si>
  <si>
    <t>501703</t>
  </si>
  <si>
    <t>PV-8040</t>
  </si>
  <si>
    <t>CHEQUE DEPOSIT 501703 SHAMSHEER KHAN AHAMED KHAN AHAMED  KHAN Chq No ::501703</t>
  </si>
  <si>
    <t>PHUB232048085</t>
  </si>
  <si>
    <t>B/O_MR KUO YU CHOU_232048085</t>
  </si>
  <si>
    <t>PHUB232793531</t>
  </si>
  <si>
    <t>B/O_JINCY YESU_EBIL_232793531_Persona</t>
  </si>
  <si>
    <t>16559239078</t>
  </si>
  <si>
    <t>8644913139 MBTRF B/O MOHAMED SULTHAN MOHAMED ALI</t>
  </si>
  <si>
    <t>16621483965</t>
  </si>
  <si>
    <t>1957742535 IBTRF B/O OYBEK ABDUKHALIKOVICH DANIYAROV</t>
  </si>
  <si>
    <t>5610610499501, PHUB243914163,PHUB243904643</t>
  </si>
  <si>
    <t>PHUB243900629</t>
  </si>
  <si>
    <t>B/O_PUERTO 99 _NBAD_243900629_AF CHAR</t>
  </si>
  <si>
    <t>PHUB246976023</t>
  </si>
  <si>
    <t>B/O_AMIT KUMAR GENER_246976023</t>
  </si>
  <si>
    <t>5610230487583 259050</t>
  </si>
  <si>
    <t>PHUB249362716</t>
  </si>
  <si>
    <t>B/O_1/GOVERMEN_DUIB_249362716_1700002</t>
  </si>
  <si>
    <t>CHQ NO 000191 01012023 AZAD ALI</t>
  </si>
  <si>
    <t>PHUB252011037</t>
  </si>
  <si>
    <t>B/O_1/GOVERMEN_DUIB_252011037_1700002</t>
  </si>
  <si>
    <t>PHUB252011031</t>
  </si>
  <si>
    <t>B/O_1/GOVERMEN_DUIB_252011031_1700002</t>
  </si>
  <si>
    <t>PHUB252450355</t>
  </si>
  <si>
    <t>002</t>
  </si>
  <si>
    <t>B/O J B P COMMERCIAL BROKERS L.L.C</t>
  </si>
  <si>
    <t>49649473707</t>
  </si>
  <si>
    <t>51290817237714</t>
  </si>
  <si>
    <t>CDM-Cash Deposit-TAMER MAHMOUD ALI KESHK</t>
  </si>
  <si>
    <t>PHUB254430206</t>
  </si>
  <si>
    <t>B/O_1/GOVERMEN_DUIB_254430206_1700002</t>
  </si>
  <si>
    <t>000187</t>
  </si>
  <si>
    <t>CHEQUE DEPOSIT 000187 ADIL TASLEEM MUHAMMAD   TASLEEM CHQ NO ::000187</t>
  </si>
  <si>
    <t>PHUB259877629</t>
  </si>
  <si>
    <t>B/O_1/GOVERMEN_DUIB_259877629_1700002</t>
  </si>
  <si>
    <t>PHUB260301536</t>
  </si>
  <si>
    <t>B/O_MOHAMMED S_NBAD_260301536_</t>
  </si>
  <si>
    <t>PHUB261427810</t>
  </si>
  <si>
    <t>B/O_1/GOVERMEN_DUIB_261427810_1700002</t>
  </si>
  <si>
    <t>PHUB261427815</t>
  </si>
  <si>
    <t>B/O_1/GOVERMEN_DUIB_261427815_1700002</t>
  </si>
  <si>
    <t>PHUB261427808</t>
  </si>
  <si>
    <t>B/O_1/GOVERMEN_DUIB_261427808_1700002</t>
  </si>
  <si>
    <t>PHUB285173131</t>
  </si>
  <si>
    <t>B/O_LLC ROWAD _ADIB_285173131_price t</t>
  </si>
  <si>
    <t>PHUB287839283</t>
  </si>
  <si>
    <t>B/O_ALI SULTAN_ADIB_287839283_Goods b</t>
  </si>
  <si>
    <t>PHUB275352183</t>
  </si>
  <si>
    <t>06/11/2023</t>
  </si>
  <si>
    <t>B/O_MS KISHORI KAMAL_275352183</t>
  </si>
  <si>
    <t>PHUB274006684</t>
  </si>
  <si>
    <t>02/11/2023</t>
  </si>
  <si>
    <t>274006684 B/O Santosh Reddy Brahmandlapalli</t>
  </si>
  <si>
    <t>PHUB275432941</t>
  </si>
  <si>
    <t>07/11/2023</t>
  </si>
  <si>
    <t>B/O_MS KISHORI KAMAL_275432941</t>
  </si>
  <si>
    <t>PHUB270101743</t>
  </si>
  <si>
    <t>19/10/2023</t>
  </si>
  <si>
    <t>270101743 B/O AHMED HASSAN ALAZAZY AWAD</t>
  </si>
  <si>
    <t>PHUB273179302</t>
  </si>
  <si>
    <t>30/10/2023</t>
  </si>
  <si>
    <t>273179302 B/O SEKAR LOGANATHAN</t>
  </si>
  <si>
    <t>PHUB271627753</t>
  </si>
  <si>
    <t>26/10/2023</t>
  </si>
  <si>
    <t>B/O_MUHAMMAD TOSEEF_271627753</t>
  </si>
  <si>
    <t>PHUB262029917</t>
  </si>
  <si>
    <t>B/O_AL FARDAN _EBIL_262029917_AGAINST</t>
  </si>
  <si>
    <t>PHUB268782153</t>
  </si>
  <si>
    <t>B/O_1/GOVERMEN_DUIB_268782153_1700002</t>
  </si>
  <si>
    <t>PHUB274665514</t>
  </si>
  <si>
    <t>B/O_1/GOVERMEN_DUIB_274665514_1700002</t>
  </si>
  <si>
    <t>PHUB277815979</t>
  </si>
  <si>
    <t>277815979 B/O ASHIRI ABDALLAH BAKIRI</t>
  </si>
  <si>
    <t>PHUB278614707</t>
  </si>
  <si>
    <t>20/11/2023</t>
  </si>
  <si>
    <t>B/O_MS KISHORI KAMAL_278614707</t>
  </si>
  <si>
    <t>PHUB280964798</t>
  </si>
  <si>
    <t>280964798 B/O VENKATA VENUGOPAL AKUNDI</t>
  </si>
  <si>
    <t>PHUB286939043</t>
  </si>
  <si>
    <t>286939043 B/O ASHISH SHASHIKANT BADGERI</t>
  </si>
  <si>
    <t>PHUB287065027</t>
  </si>
  <si>
    <t>287065027 B/O ALI ASHAR  QURESHI</t>
  </si>
  <si>
    <t>PHUB288112667</t>
  </si>
  <si>
    <t>288112667 B/O NAVORANJAN GHOSH</t>
  </si>
  <si>
    <t>PHUB291514393</t>
  </si>
  <si>
    <t>291514393 B/O VIKRAM VARSHNEY</t>
  </si>
  <si>
    <t>PHUB295675447</t>
  </si>
  <si>
    <t>B/O_AL FARDAN _EBIL_295675447_against</t>
  </si>
  <si>
    <t>23231519365</t>
  </si>
  <si>
    <t>12164731995 MBTRF B/O HAITHAM GAMAL SAAD ORABY</t>
  </si>
  <si>
    <t>PHUB300742754</t>
  </si>
  <si>
    <t>B/O_1/LBK PROJ_DUIB_300742754_/REF/AL</t>
  </si>
  <si>
    <t>PHUB305244972</t>
  </si>
  <si>
    <t>B/O_1/GOVERMEN_DUIB_305244972_1700002</t>
  </si>
  <si>
    <t>PHUB305245139</t>
  </si>
  <si>
    <t>B/O_1/GOVERMEN_DUIB_305245139_1700002</t>
  </si>
  <si>
    <t>PHUB305245123</t>
  </si>
  <si>
    <t>B/O_1/GOVERMEN_DUIB_305245123_1700002</t>
  </si>
  <si>
    <t>PHUB305245613</t>
  </si>
  <si>
    <t>B/O_1/GOVERMEN_DUIB_305245613_1700002</t>
  </si>
  <si>
    <t>PHUB307436336</t>
  </si>
  <si>
    <t>B/O_ILHAM SANOBER_307436336</t>
  </si>
  <si>
    <t>PHUB307640968</t>
  </si>
  <si>
    <t>B/O_DANIEL PRASATH_307640968</t>
  </si>
  <si>
    <t>INHOUSE CHEQUE DEPOSIT 016647 MUHAMMED ASLAM KAKKICHI ABDULLA MADATHIL   MAMPALL AL FARDAN EXCHANGE LLC CHQ NO ::016647</t>
  </si>
  <si>
    <t>PHUB308999183</t>
  </si>
  <si>
    <t>B/O_1/GOVERMEN_DUIB_308999183_1700003</t>
  </si>
  <si>
    <t>PHUB308999186</t>
  </si>
  <si>
    <t>B/O_1/GOVERMEN_DUIB_308999186_1700003</t>
  </si>
  <si>
    <t>PHUB308999149</t>
  </si>
  <si>
    <t>B/O_1/GOVERMEN_DUIB_308999149_1700003</t>
  </si>
  <si>
    <t>PHUB308999174</t>
  </si>
  <si>
    <t>B/O_1/GOVERMEN_DUIB_308999174_1700003</t>
  </si>
  <si>
    <t>PHUB308999152</t>
  </si>
  <si>
    <t>B/O_1/GOVERMEN_DUIB_308999152_1700003</t>
  </si>
  <si>
    <t>PHUB308999147</t>
  </si>
  <si>
    <t>B/O_1/GOVERMEN_DUIB_308999147_1700003</t>
  </si>
  <si>
    <t>PHUB308999200</t>
  </si>
  <si>
    <t>B/O_1/GOVERMEN_DUIB_308999200_1700003</t>
  </si>
  <si>
    <t>PHUB310629167</t>
  </si>
  <si>
    <t>B/O_1/LBK PROJ_DUIB_310629167_/REF/AL</t>
  </si>
  <si>
    <t>PHUB311338594</t>
  </si>
  <si>
    <t>B/O_1/GOVERMEN_DUIB_311338594_1700003</t>
  </si>
  <si>
    <t>CHEQUE DEPOSIT 500336 MUHAMMAD HAMEED MUHAMMAD   FAREED 705020147 CHQ NO ::500336</t>
  </si>
  <si>
    <t>PHUB313888181</t>
  </si>
  <si>
    <t>B/O_RAJKUMAR MUSUWAT_313888181</t>
  </si>
  <si>
    <t>24595134637</t>
  </si>
  <si>
    <t>13626700602 MBTRF B/O ASHEERBAD BISWAL</t>
  </si>
  <si>
    <t>PHUB317954181</t>
  </si>
  <si>
    <t>B/O_1/GOVERMEN_DUIB_317954181_1700003</t>
  </si>
  <si>
    <t>BENEFITS</t>
  </si>
  <si>
    <t>PHUB338095010</t>
  </si>
  <si>
    <t>B/O_AL FARDAN _EBIL_338095010_AGAINST</t>
  </si>
  <si>
    <t>PHUB338328743</t>
  </si>
  <si>
    <t>WPSREGISTRATION</t>
  </si>
  <si>
    <t>B/O TENX DIGITAL FZCO</t>
  </si>
  <si>
    <t>PHUB340060321</t>
  </si>
  <si>
    <t>B/O_AL WAFA FACILITI_340060321</t>
  </si>
  <si>
    <t>PHUB341271410</t>
  </si>
  <si>
    <t>B/O_MR AMIT KUMAR BE_341271410</t>
  </si>
  <si>
    <t>PHUB341748973</t>
  </si>
  <si>
    <t>B/O_1/GOVERMEN_DUIB_341748973_1700003</t>
  </si>
  <si>
    <t>PHUB341749053</t>
  </si>
  <si>
    <t>B/O_1/GOVERMEN_DUIB_341749053_1700003</t>
  </si>
  <si>
    <t>PHUB342860591</t>
  </si>
  <si>
    <t>B/O_THARUSHIKA ANNE _342860591</t>
  </si>
  <si>
    <t>PHUB343607477</t>
  </si>
  <si>
    <t>B/O_URVASHI SAHU_343607477</t>
  </si>
  <si>
    <t>39-FCY Exchange Advice</t>
  </si>
  <si>
    <t>25/05/2024</t>
  </si>
  <si>
    <t>PHUB362697303</t>
  </si>
  <si>
    <t>05/08/2024</t>
  </si>
  <si>
    <t>362697303 B/O MOHAMMED ABDALHADI MOHAMMED ALSHAMI</t>
  </si>
  <si>
    <t>PHUB349307857</t>
  </si>
  <si>
    <t>349307857 B/O MOHAMMED ABDALHADI MOHAMMED ALSHAMI</t>
  </si>
  <si>
    <t>PHUB350078021</t>
  </si>
  <si>
    <t>B/O_Allan Anderson B_350078021</t>
  </si>
  <si>
    <t>PHUB350241513</t>
  </si>
  <si>
    <t>ETT 02062024</t>
  </si>
  <si>
    <t>B/O EMIRATES TRADING ENTERPRISES LLC</t>
  </si>
  <si>
    <t>PHUB351720617</t>
  </si>
  <si>
    <t>351720617 B/O SARTAJ AHMED JUNEJO ALI MURAD JUNEJ</t>
  </si>
  <si>
    <t>PHUB352159365</t>
  </si>
  <si>
    <t>B/O_1/LBK PROJ_DUIB_352159365_/REF/AL</t>
  </si>
  <si>
    <t>PHUB353239007</t>
  </si>
  <si>
    <t>B/O_AMAL LALJI_353239007</t>
  </si>
  <si>
    <t>PHUB353071868</t>
  </si>
  <si>
    <t>PV-9597</t>
  </si>
  <si>
    <t>B/O SPARK MAINTEN &amp; OIL-FIEL SE SOL PRO</t>
  </si>
  <si>
    <t>INHOUSE CHEQUE DEPOSIT 000354 ABID BIN AMAR AMAR   BIN MOHAMMED AL FARDAN EXCHANGE LLC CHQ NO ::000354</t>
  </si>
  <si>
    <t>PHUB355633338</t>
  </si>
  <si>
    <t>B/O_FOOD MUKBA_ADIB_355633338_ALFARDA</t>
  </si>
  <si>
    <t>PHUB511082070</t>
  </si>
  <si>
    <t>511082070 B/O MR MANOJ APPU</t>
  </si>
  <si>
    <t>PHUB514776495</t>
  </si>
  <si>
    <t>514776495 B/O AHMED HELAL SUHAIL ALMAZROUEI</t>
  </si>
  <si>
    <t>2</t>
  </si>
  <si>
    <t>cut note received 69-032-784333</t>
  </si>
  <si>
    <t>RETURNED NOTE</t>
  </si>
  <si>
    <t>PHUB498687543</t>
  </si>
  <si>
    <t>WPS CHARGES</t>
  </si>
  <si>
    <t>B/O FIRST INTL SPECLZD VEHICLES TDG LLC</t>
  </si>
  <si>
    <t>PHUB495266638</t>
  </si>
  <si>
    <t>MOB1006251817007245766</t>
  </si>
  <si>
    <t>B/O AL MARHABA DOCUMENTS CLR SER CO LLC</t>
  </si>
  <si>
    <t>PHUB411580986</t>
  </si>
  <si>
    <t>MOB0512240932594939262</t>
  </si>
  <si>
    <t>B/O ENGISOFT ENGRG ARC PROS DRAW SVS CO</t>
  </si>
  <si>
    <t>26990310256769</t>
  </si>
  <si>
    <t>CDM-Cash Deposit-BALWANT SINGH PARTAP SINGH PHARTIYAL</t>
  </si>
  <si>
    <t>PHUB456237220</t>
  </si>
  <si>
    <t>456237220 B/O KHALAF KHAMIS HAMAD ATEEQ ALMAZROUEI</t>
  </si>
  <si>
    <t>RVSL 875181 DTD 29-05-2025</t>
  </si>
  <si>
    <t>24009393937 MBTRF B/O BLOOM PLUS PHARMACY LLC</t>
  </si>
  <si>
    <t>49138288384</t>
  </si>
  <si>
    <t>2487100243 IBTRF B/O MERIT CONFORMITY CONSULTANCY LLC</t>
  </si>
  <si>
    <t>PHUB503523097</t>
  </si>
  <si>
    <t>SIF HANDLING FEE</t>
  </si>
  <si>
    <t>B/O BOMBAY CONTRACTING LLC</t>
  </si>
  <si>
    <t>PHUB516468764</t>
  </si>
  <si>
    <t>SIF HANDLING CHARGES</t>
  </si>
  <si>
    <t>PHUB409337333</t>
  </si>
  <si>
    <t>409337333 B/O ABDULLAH RAMADAN AHMAD OTHMAN</t>
  </si>
  <si>
    <t>50300547547</t>
  </si>
  <si>
    <t>25339699469 MBTRF B/O SAFA DREAM LADIES SALON LLC</t>
  </si>
  <si>
    <t>PHUB496217400</t>
  </si>
  <si>
    <t>INCORRECT MONTH LETT</t>
  </si>
  <si>
    <t>B/O AL YAMAMAH VALET PARK SE SO PRO LLC</t>
  </si>
  <si>
    <t>PHUB517675289</t>
  </si>
  <si>
    <t>517675289 B/O LBK PROJECT MANAGEMENT SERVICE</t>
  </si>
  <si>
    <t>PHUB371391156</t>
  </si>
  <si>
    <t>B/O_1/UNICON L_DUIB_371391156_/REF/FR AMOUNT  209855.75-209885.78</t>
  </si>
  <si>
    <t>PHUB511773619</t>
  </si>
  <si>
    <t>05</t>
  </si>
  <si>
    <t>B/O A T V A TECHNICAL CLEANING SVS LLC</t>
  </si>
  <si>
    <t>57561031246263</t>
  </si>
  <si>
    <t>CDM-Cash Deposit-NOUFAL ACHAMVEETTIL MOIDEEN THUDAKACHI</t>
  </si>
  <si>
    <t>PHUB496261379</t>
  </si>
  <si>
    <t>46992238022</t>
  </si>
  <si>
    <t>21624568472 MBTRF B/O ZOHAIB EJAZ BUTT</t>
  </si>
  <si>
    <t>PHUB377424434</t>
  </si>
  <si>
    <t>B/O GOLDEN TULIP EXPENSES AC</t>
  </si>
  <si>
    <t>PHUB514783692</t>
  </si>
  <si>
    <t>BP-MOS-00471</t>
  </si>
  <si>
    <t>50637766333</t>
  </si>
  <si>
    <t>25699705931 MBTRF B/O SAMIH  SLIBI &amp;/OR KEFAH  MIKHAEL</t>
  </si>
  <si>
    <t>PHUB517528376</t>
  </si>
  <si>
    <t>WPS SIF CHARGES</t>
  </si>
  <si>
    <t>B/O DRUCK CHEMIE TRADING LLC</t>
  </si>
  <si>
    <t>28406857167</t>
  </si>
  <si>
    <t>2317566387 IBTRF B/O VIKAS SHARMA</t>
  </si>
  <si>
    <t>48010834295</t>
  </si>
  <si>
    <t>22802179716 MBTRF_B/O ATTIA IBRAHIM ATTIA IBRAHIM SALAMA</t>
  </si>
  <si>
    <t>PHUB414287435</t>
  </si>
  <si>
    <t>B/O_M B E TRADING LL_414287435</t>
  </si>
  <si>
    <t>50481384990</t>
  </si>
  <si>
    <t>2525062740 IBTRF B/O KALAMS VISION TECHNICAL SERVICES</t>
  </si>
  <si>
    <t>PHUB452498261</t>
  </si>
  <si>
    <t>B/O_1/GOVERMEN_DUIB_452498261_MRN 751</t>
  </si>
  <si>
    <t>PHUB405539293</t>
  </si>
  <si>
    <t>B/O_MIDAS POWE_null_405539293_Annual</t>
  </si>
  <si>
    <t>REVERSAL 53-032-893383</t>
  </si>
  <si>
    <t>44749112621</t>
  </si>
  <si>
    <t>19078310321 MBTRF_B/O SRIKANTH REDDY MULAM</t>
  </si>
  <si>
    <t>PHUB435264786</t>
  </si>
  <si>
    <t>MOB3001251137385593961</t>
  </si>
  <si>
    <t>B/O ABDELKARIM MOHAMED GABER AHMED TYRE</t>
  </si>
  <si>
    <t>PHUB489547478</t>
  </si>
  <si>
    <t>B/O_SABA BRIDGES DEB_489547478</t>
  </si>
  <si>
    <t>PHUB491727807</t>
  </si>
  <si>
    <t>989</t>
  </si>
  <si>
    <t>B/O LAVITA GENTS SALON LLC</t>
  </si>
  <si>
    <t>PHUB491719198</t>
  </si>
  <si>
    <t>12300376</t>
  </si>
  <si>
    <t>B/O OFFICE PRIME ROYAL SERVS FOR BUSINM</t>
  </si>
  <si>
    <t>PHUB495069215</t>
  </si>
  <si>
    <t>495069215 B/O REKHA NAMBOORI KANDY</t>
  </si>
  <si>
    <t>PHUB501765151</t>
  </si>
  <si>
    <t>AL FARDAN EXCHANGE</t>
  </si>
  <si>
    <t>B/O SEA CONSOL CONFERENCES L L C</t>
  </si>
  <si>
    <t>PHUB507739470</t>
  </si>
  <si>
    <t>RENEWAL</t>
  </si>
  <si>
    <t>B/O NOOR ALAFAQ TURNKEY PRO CONT LLC</t>
  </si>
  <si>
    <t>PHUB509224319</t>
  </si>
  <si>
    <t>B/O_/006/004 P_NRAK_509224319_Profess</t>
  </si>
  <si>
    <t>PHUB510592958</t>
  </si>
  <si>
    <t>B/O_/006/004 P_NRAK_510592958_Profess</t>
  </si>
  <si>
    <t>PHUB514005384</t>
  </si>
  <si>
    <t>514005384 B/O EXPRESS TRACK SHIPPING LLC</t>
  </si>
  <si>
    <t>45953404847</t>
  </si>
  <si>
    <t>20456223488 MBTRF B/O JOHN MERVYN MAGTIPON</t>
  </si>
  <si>
    <t>44277989231</t>
  </si>
  <si>
    <t>18539939264 MBTRF B/O GHADA KHAYRI RADI JAARA</t>
  </si>
  <si>
    <t>2412121547440021</t>
  </si>
  <si>
    <t>411033000 IW2412058513 04-12-2024</t>
  </si>
  <si>
    <t>49633103924</t>
  </si>
  <si>
    <t>2500763599 IBTRF B/O BSLEEK GENTS SALON LLC</t>
  </si>
  <si>
    <t>438201</t>
  </si>
  <si>
    <t>CHEQUE DEPOSIT 438201 SHAMSHEER KHAN AHAMED KHAN AHAMED  KHAN 803520152 CHQ NO ::438201</t>
  </si>
  <si>
    <t>PHUB459223101</t>
  </si>
  <si>
    <t>B/O_PARQUET HOUSE FL_459223101</t>
  </si>
  <si>
    <t>49945330053</t>
  </si>
  <si>
    <t>24949081251 MBTRF B/O JAROT PRASTIO</t>
  </si>
  <si>
    <t>PHUB492570930</t>
  </si>
  <si>
    <t>SALARY TRANFER CHARG</t>
  </si>
  <si>
    <t>B/O KEC EPC LLC</t>
  </si>
  <si>
    <t>PHUB490676764</t>
  </si>
  <si>
    <t>SERVICE CHARGE</t>
  </si>
  <si>
    <t>B/O NOURTH MOUNTAIN TRADING LLC SP</t>
  </si>
  <si>
    <t>PHUB490643071</t>
  </si>
  <si>
    <t>B/O_ASK DARIN BUSINE_490643071</t>
  </si>
  <si>
    <t>PHUB503338783</t>
  </si>
  <si>
    <t>503338783 B/O IBRAHIM A I ABUEIDA</t>
  </si>
  <si>
    <t>PHUB505882980</t>
  </si>
  <si>
    <t>B/O_1/GOVERMEN_DUIB_505882980_Refund</t>
  </si>
  <si>
    <t>000239</t>
  </si>
  <si>
    <t>CHEQUE DEPOSIT 000239 SHAMSHEER KHAN AHAMED KHAN AHAMED  KHAN 602920102 CHQ NO ::000239</t>
  </si>
  <si>
    <t>PHUB509886668</t>
  </si>
  <si>
    <t>MOB1307252041327690627</t>
  </si>
  <si>
    <t>PHUB479302394</t>
  </si>
  <si>
    <t>15713100001357</t>
  </si>
  <si>
    <t>B/O OCEAN GROUPAGE AND AIR CONSOL. LLC</t>
  </si>
  <si>
    <t>PHUB516576289</t>
  </si>
  <si>
    <t>516576289 B/O SARHAN THANI SARHAN SALOUMA ALOTAIB</t>
  </si>
  <si>
    <t>PHUB432164111</t>
  </si>
  <si>
    <t>B/O_1/GOVERMEN_DUIB_432164111_Refund</t>
  </si>
  <si>
    <t>PHUB510931928</t>
  </si>
  <si>
    <t>PHUB517801778</t>
  </si>
  <si>
    <t>517801778 B/O IBRAHIM FALAH HAMOOD ALQAHTANI</t>
  </si>
  <si>
    <t>PHUB442064268</t>
  </si>
  <si>
    <t>MOB1302252241005784000</t>
  </si>
  <si>
    <t>B/O CALICUT FOODSPOT RESTAURANT</t>
  </si>
  <si>
    <t>PHUB515623579</t>
  </si>
  <si>
    <t>B/O_EITC FINAN_EBIL_515623579_ADCBAEA</t>
  </si>
  <si>
    <t>212BRKT-5610920179010\3084468-31/07/25</t>
  </si>
  <si>
    <t>PHUB492575498</t>
  </si>
  <si>
    <t>B/O K E C INTERNATIONAL LIMITED</t>
  </si>
  <si>
    <t>PHUB517089814</t>
  </si>
  <si>
    <t>MOB3007251451417912646</t>
  </si>
  <si>
    <t>B/O SEBO CLEANING SERVICES LLC</t>
  </si>
  <si>
    <t>PHUB478455227</t>
  </si>
  <si>
    <t>478455227 B/O S A A S ADVISORY INVESTMENTS AND TR</t>
  </si>
  <si>
    <t>000887</t>
  </si>
  <si>
    <t>SUPREME</t>
  </si>
  <si>
    <t>INHOUSE CHEQUE DEPOSIT SUPREME AL FARDAN EXCHANGE SP LLC CHQ NO ::000887</t>
  </si>
  <si>
    <t>B/O_LLC GOLDEN EAGLE_517719325</t>
  </si>
  <si>
    <t>PHUB517593645</t>
  </si>
  <si>
    <t>517593645 B/O SARHAN THANI SARHAN SALOUMA ALOTAIB</t>
  </si>
  <si>
    <t>49737431191</t>
  </si>
  <si>
    <t>24720435518 MBTRF B/O SAHIB MOHAMMED SAJJAD</t>
  </si>
  <si>
    <t>PHUB509090645</t>
  </si>
  <si>
    <t>B/O_1/GOVERMEN_DUIB_509090645_Refund</t>
  </si>
  <si>
    <t>PHUB517823097</t>
  </si>
  <si>
    <t>SALARY JULY 2025</t>
  </si>
  <si>
    <t>B/O PARAMOUNT TRANSLATION SERVICES LLC</t>
  </si>
  <si>
    <t>PHUB444721225</t>
  </si>
  <si>
    <t>AL FARDAN</t>
  </si>
  <si>
    <t>B/O GULF ASIA CONTRACTING CO LLC</t>
  </si>
  <si>
    <t>PHUB452498253</t>
  </si>
  <si>
    <t>B/O_1/GOVERMEN_DUIB_452498253_MRN 924</t>
  </si>
  <si>
    <t>50666371273</t>
  </si>
  <si>
    <t>2530446161 IBTRF B/O ELCHEF EL LUBNANY BUTCHERY LLC SPC</t>
  </si>
  <si>
    <t>PHUB393219631</t>
  </si>
  <si>
    <t>B/O_AEROSTYLE _NBSH_393219631_TOF - T</t>
  </si>
  <si>
    <t>PHUB517048794</t>
  </si>
  <si>
    <t>B/O_BLUE OCEAN_EBIL_517048794_CREW SA</t>
  </si>
  <si>
    <t>PHUB515143209</t>
  </si>
  <si>
    <t>515143209 B/O AL ZUMURUD AL ASEEL STEEL PR TR LLC</t>
  </si>
  <si>
    <t>PHUB517017101</t>
  </si>
  <si>
    <t>B/O_BEST TRUST_UNIL_517017101_2521142</t>
  </si>
  <si>
    <t>PHUB517634918</t>
  </si>
  <si>
    <t>B/O_HIGHBRIDGE_ABIN_517634918_SALARIE</t>
  </si>
  <si>
    <t>PHUB517632857</t>
  </si>
  <si>
    <t>517632857 B/O MASHAIL HAMAD SAEED ALRIYAMI</t>
  </si>
  <si>
    <t>50572741601</t>
  </si>
  <si>
    <t>2527517693 IBTRF B/O NEXT MOVE SHIPPING SERVICES LLC</t>
  </si>
  <si>
    <t>PHUB513263761</t>
  </si>
  <si>
    <t>IONIC SYSTEM LIMITED</t>
  </si>
  <si>
    <t>B/O THE FAB CREW TECHNICAL SR CNT L L C</t>
  </si>
  <si>
    <t>PHUB500245119</t>
  </si>
  <si>
    <t>500245119 B/O ISLAM AHMED MORSY ABDELAZIZ</t>
  </si>
  <si>
    <t>PHUB517659153</t>
  </si>
  <si>
    <t>517659153 B/O PERFECT TRADE FZE</t>
  </si>
  <si>
    <t>50669320637</t>
  </si>
  <si>
    <t>25734729522 MBTRF B/O AL HASNAN GROCERY</t>
  </si>
  <si>
    <t>CHQ NO 001952 NASSER ABDULLA</t>
  </si>
  <si>
    <t>PHUB516641764</t>
  </si>
  <si>
    <t>B/O_AL SHOUMOUKH MAN_516641764</t>
  </si>
  <si>
    <t>PHUB517718795</t>
  </si>
  <si>
    <t>WPS JULY 2025</t>
  </si>
  <si>
    <t>PHUB517430620</t>
  </si>
  <si>
    <t>B/O_LLC NAJIMAT AL I_517430620</t>
  </si>
  <si>
    <t>2507230421427844</t>
  </si>
  <si>
    <t>299T405242970002 - Commission/Fee</t>
  </si>
  <si>
    <t>006097</t>
  </si>
  <si>
    <t>INHOUSE CHEQUE DEPOSIT 006097 MUHAMMED IQBAL THIRUTHIL    FAIZAL THIRUTHIL AL FARDAN EXCHANGE SP LLC CHQ NO ::006097</t>
  </si>
  <si>
    <t>000089</t>
  </si>
  <si>
    <t>CHEQUE DEPOSIT 000089 MAMOUN MOHAMAD    BAKOUR 604130075 CHQ NO ::000089</t>
  </si>
  <si>
    <t>000854</t>
  </si>
  <si>
    <t>INHOUSE CHEQUE DEPOSIT 000854 SHAMSHEER KHAN AHAMED KHAN AHAMED  KHAN AL FARDAN EXCHANGE SP LLC CHQ NO ::000854</t>
  </si>
  <si>
    <t>50665047044</t>
  </si>
  <si>
    <t>2530406255 IBTRF B/O BEAUTY TOUCH LADIES SALON</t>
  </si>
  <si>
    <t>50666634456</t>
  </si>
  <si>
    <t>25731419351 MBTRF B/O MAHFIL HYDERABAD RESTAURANT BR</t>
  </si>
  <si>
    <t>006117</t>
  </si>
  <si>
    <t>CHEQUE DEPOSIT 006117 SHAMSHEER KHAN AHAMED KHAN AHAMED  KHAN 802630140 CHQ NO ::006117</t>
  </si>
  <si>
    <t>900-EWPS-10335359-202507-30/07/25</t>
  </si>
  <si>
    <t>PHUB517754637</t>
  </si>
  <si>
    <t>AFEX NT PETTY CASH</t>
  </si>
  <si>
    <t>B/O AL FARDAN JEWELLERY- SOL. PROP. LLC</t>
  </si>
  <si>
    <t>PHUB517855636</t>
  </si>
  <si>
    <t>SALRY0725</t>
  </si>
  <si>
    <t>B/O MAHFIL HYDERABAD RESTAURANT</t>
  </si>
  <si>
    <t>000082</t>
  </si>
  <si>
    <t>CHEQUE DEPOSIT 000082 JITHILLAL KELOTH AJI    KELOTH 402320117 CHQ NO ::000082</t>
  </si>
  <si>
    <t>PHUB517811159</t>
  </si>
  <si>
    <t>XXXALFAR</t>
  </si>
  <si>
    <t>B/O GREEN BRIDGE OIL FIELD SERVICES</t>
  </si>
  <si>
    <t>50665880474</t>
  </si>
  <si>
    <t>25730521179 MBTRF B/O KUNNATH MOHAMED SHAFI</t>
  </si>
  <si>
    <t>000348-5610580508986-28/07/25</t>
  </si>
  <si>
    <t>PHUB517078909</t>
  </si>
  <si>
    <t>B/O_ACE DYNAMI_BOML_517078909_ FINANC</t>
  </si>
  <si>
    <t>000060</t>
  </si>
  <si>
    <t>SEBIN GEORGE</t>
  </si>
  <si>
    <t>CHEQUE DEPOSIT SEBIN GEORGE 804020112 CHQ NO ::000060</t>
  </si>
  <si>
    <t>000889</t>
  </si>
  <si>
    <t>CHEQUE DEPOSIT 000889 MUHAMMAD HAMEED MUHAMMAD   FAREED 802630140 CHQ NO ::000889</t>
  </si>
  <si>
    <t>001799</t>
  </si>
  <si>
    <t>CHEQUE DEPOSIT 001799 MUHAMMAD HAMEED MUHAMMAD   FAREED 704020137 CHQ NO ::001799</t>
  </si>
  <si>
    <t>PHUB517529433</t>
  </si>
  <si>
    <t>MOB3107251133587924487</t>
  </si>
  <si>
    <t>B/O SAFE LOOP TECHNICAL SERVICES LLC</t>
  </si>
  <si>
    <t>PHUB517563850</t>
  </si>
  <si>
    <t>JULY SALARY</t>
  </si>
  <si>
    <t>B/O EVERYDAY TRENDS LADIES BEAUT CN LLC</t>
  </si>
  <si>
    <t>000069</t>
  </si>
  <si>
    <t>CHEQUE DEPOSIT 000069 JITHILLAL KELOTH AJI    KELOTH 402320117 CHQ NO ::000069</t>
  </si>
  <si>
    <t>50661352866</t>
  </si>
  <si>
    <t>25725559988 MBTRF B/O BLOOM PLUS POLY CLINIC L L C</t>
  </si>
  <si>
    <t>B/O_TRIPATHY P_BOML_517836509_ FAMILY</t>
  </si>
  <si>
    <t>500028</t>
  </si>
  <si>
    <t>CHEQUE DEPOSIT 500028 SHAMSHEER KHAN AHAMED KHAN AHAMED  KHAN 805030156 CHQ NO ::500028</t>
  </si>
  <si>
    <t>006690</t>
  </si>
  <si>
    <t>INHOUSE CHEQUE DEPOSIT 006690 MUHAMMAD HAMEED MUHAMMAD   FAREED AL FARDAN EXCHANGE SP LLC CHQ NO ::006690</t>
  </si>
  <si>
    <t>PHUB509232193</t>
  </si>
  <si>
    <t>B/O_ZONE PARKI_EBIL_509232193_Full an</t>
  </si>
  <si>
    <t>000325</t>
  </si>
  <si>
    <t>CHEQUE DEPOSIT 000325 IRFAN     ISMAIL 804030124 CHQ NO ::000325</t>
  </si>
  <si>
    <t>PHUB517764105</t>
  </si>
  <si>
    <t>B/O_EMMY WOMEN_NBSH_517764105_TOF - T</t>
  </si>
  <si>
    <t>000065</t>
  </si>
  <si>
    <t>CHEQUE DEPOSIT 000065 SHAMSHEER KHAN AHAMED KHAN AHAMED  KHAN 302020120 CHQ NO ::000065</t>
  </si>
  <si>
    <t>500017</t>
  </si>
  <si>
    <t>CHEQUE DEPOSIT 500017 SHAMSHEER KHAN AHAMED KHAN AHAMED  KHAN 805030156 CHQ NO ::500017</t>
  </si>
  <si>
    <t>PHUB517643432</t>
  </si>
  <si>
    <t>RELOC AGENTS ITALY</t>
  </si>
  <si>
    <t>B/O PAWPATHS PETS RELOCATION SERV LLC</t>
  </si>
  <si>
    <t>PHUB516546895</t>
  </si>
  <si>
    <t>14203163</t>
  </si>
  <si>
    <t>B/O EMICAB WIRE &amp; CABLE TECH LLC SPC</t>
  </si>
  <si>
    <t>001138</t>
  </si>
  <si>
    <t>INHOUSE CHEQUE DEPOSIT 001138 REENA VARKEY     THANKACHAN AL FARDAN EXCHANGE SP LLC CHQ NO ::001138</t>
  </si>
  <si>
    <t>000890</t>
  </si>
  <si>
    <t>CHEQUE DEPOSIT 000890 MUHAMMAD HAMEED MUHAMMAD   FAREED 802630140 CHQ NO ::000890</t>
  </si>
  <si>
    <t>000886</t>
  </si>
  <si>
    <t>CHEQUE DEPOSIT 000886 MUHAMMAD HAMEED MUHAMMAD   FAREED 802630140 CHQ NO ::000886</t>
  </si>
  <si>
    <t>PHUB517718206</t>
  </si>
  <si>
    <t>517718206 B/O AL NAHIYA GROUP</t>
  </si>
  <si>
    <t>084585-5610860149856-31/07/25</t>
  </si>
  <si>
    <t>PHUB517445126</t>
  </si>
  <si>
    <t>B/O_CONSLTANCY AND T_517445126</t>
  </si>
  <si>
    <t>000058</t>
  </si>
  <si>
    <t>CHEQUE DEPOSIT 000058 ADNAN ABBAS MUHAMMAD HASHIM   KHAN 704020137 CHQ NO ::000058</t>
  </si>
  <si>
    <t>201615</t>
  </si>
  <si>
    <t>CHEQUE DEPOSIT 201615 SHAMSHEER KHAN AHAMED KHAN AHAMED  KHAN 302430107 CHQ NO ::201615</t>
  </si>
  <si>
    <t>PHUB515110860</t>
  </si>
  <si>
    <t>B/O_JASEM MOHAMED RA_515110860</t>
  </si>
  <si>
    <t>PHUB517898232</t>
  </si>
  <si>
    <t>517898232 B/O MANOJ PARAMBATH</t>
  </si>
  <si>
    <t>FMSTRF2025274</t>
  </si>
  <si>
    <t>B/O FIRST MARINE SERVICES LLC</t>
  </si>
  <si>
    <t>000040</t>
  </si>
  <si>
    <t>INHOUSE CHEQUE DEPOSIT 000040 AKHIL MOHAN     VELUTHEDAN AL FARDAN EXCHANGE SP LLC CHQ NO ::000040</t>
  </si>
  <si>
    <t>785220-5610140794473-30/07/25</t>
  </si>
  <si>
    <t>B/O_TRIPATHY P_BOML_517212877_ FAMILY</t>
  </si>
  <si>
    <t>PHUB516624318</t>
  </si>
  <si>
    <t>MOB2907251743077900144</t>
  </si>
  <si>
    <t>B/O NUMBER EIGHT SPECIALTY COFFEE</t>
  </si>
  <si>
    <t>PHUB517877013</t>
  </si>
  <si>
    <t>B/O_PLUS UAE R_BARB_517877013_Payroll</t>
  </si>
  <si>
    <t>PHUB516489723</t>
  </si>
  <si>
    <t>B/O_AL FIRDOUS VEGET_516489723</t>
  </si>
  <si>
    <t>PHUB517213940</t>
  </si>
  <si>
    <t>MOB3007251833137916419</t>
  </si>
  <si>
    <t>B/O RIGHT WAY GARAGE</t>
  </si>
  <si>
    <t>50666170866</t>
  </si>
  <si>
    <t>2530440022 IBTRF B/O ASTANA AUTO REPAIRING LLC</t>
  </si>
  <si>
    <t>50670970358</t>
  </si>
  <si>
    <t>25736811813 MBTRF B/O BIDYUT BIKASH GOGOI</t>
  </si>
  <si>
    <t>PHUB517789676</t>
  </si>
  <si>
    <t>HPL IMPORT</t>
  </si>
  <si>
    <t>B/O NOOR AL BURHAN BLDG MAT TR LLC</t>
  </si>
  <si>
    <t>000072</t>
  </si>
  <si>
    <t>CHEQUE DEPOSIT 000072 MUHAMMAD HAMEED MUHAMMAD   FAREED 802630140 CHQ NO ::000072</t>
  </si>
  <si>
    <t>000149-5610540443438-29/07/25</t>
  </si>
  <si>
    <t>50633137182</t>
  </si>
  <si>
    <t>25694863169 MBTRF B/O ROOPESH KUMAR LALCHAND PUNJABI</t>
  </si>
  <si>
    <t>50627951643</t>
  </si>
  <si>
    <t>25689555001 MBTRF B/O VELMURUGAN SELVAN</t>
  </si>
  <si>
    <t>PHUB517865375</t>
  </si>
  <si>
    <t>517865375 B/O SIVAKUMAR SELVAPATHI SELLADURAI</t>
  </si>
  <si>
    <t>PHUB517647099</t>
  </si>
  <si>
    <t>935169</t>
  </si>
  <si>
    <t>B/O UN FIRE FIGHTING SYSTEM&amp;SVS. SP LLC</t>
  </si>
  <si>
    <t>PHUB517507716</t>
  </si>
  <si>
    <t>MOB3107251101127923816</t>
  </si>
  <si>
    <t>B/O ALTELAL CONT AND GEN MAIN LLC SPC</t>
  </si>
  <si>
    <t>CHQ NO 001953 NASSSER ABDULLA</t>
  </si>
  <si>
    <t>515542</t>
  </si>
  <si>
    <t>CHEQUE DEPOSIT 515542 MUHAMMED JABIR SULAIMAN    VALIYAPEEDIKAYIL 202210104 CHQ NO ::515542</t>
  </si>
  <si>
    <t>000057-5610140794500-31/07/25</t>
  </si>
  <si>
    <t>004013</t>
  </si>
  <si>
    <t>CHEQUE DEPOSIT 004013 BASHEER PULIKKAL    IBRAHIM 703310105 CHQ NO ::004013</t>
  </si>
  <si>
    <t>CHQ NO 001935 OBAID SAEED</t>
  </si>
  <si>
    <t>50636589496</t>
  </si>
  <si>
    <t>25698416827 MBTRF B/O SAMIH  SLIBI &amp;/OR KEFAH  MIKHAEL</t>
  </si>
  <si>
    <t>000476-5610340566785-30/07/25</t>
  </si>
  <si>
    <t>015082</t>
  </si>
  <si>
    <t>CHEQUE DEPOSIT 015082 JORLY JOSEPH JOSEPH ELAVUMMACKAL  JOHN 205010141 CHQ NO ::015082</t>
  </si>
  <si>
    <t>PHUB517798263</t>
  </si>
  <si>
    <t>B/O_KENT SURGI_BARB_517798263_Sobytek</t>
  </si>
  <si>
    <t>50640055065</t>
  </si>
  <si>
    <t>25702381138 MBTRF B/O KHALID JEFFREOUI</t>
  </si>
  <si>
    <t>PHUB517754638</t>
  </si>
  <si>
    <t>AFEX HOLDING</t>
  </si>
  <si>
    <t>PHUB517715716</t>
  </si>
  <si>
    <t>MOB3107251540567929363</t>
  </si>
  <si>
    <t>B/O MALMO GENERAL CONTRACTING</t>
  </si>
  <si>
    <t>000049</t>
  </si>
  <si>
    <t>CHEQUE DEPOSIT 000049 JITHILLAL KELOTH AJI    KELOTH 204020132 CHQ NO ::000049</t>
  </si>
  <si>
    <t>PHUB517671638</t>
  </si>
  <si>
    <t>B/O_LBK PROJEC_CBDU_517671638_Financi</t>
  </si>
  <si>
    <t>543344</t>
  </si>
  <si>
    <t>AL ZIZIAH USED AUTO</t>
  </si>
  <si>
    <t>CHEQUE DEPOSIT AL ZIZIAH USED AUTO 104030136 CHQ NO ::543344</t>
  </si>
  <si>
    <t>50636440884</t>
  </si>
  <si>
    <t>25698260097 MBTRF B/O MILIND ANANDA TAYADE</t>
  </si>
  <si>
    <t>50627587055</t>
  </si>
  <si>
    <t>25689181539 MBTRF B/O ABU FAISAL AUTO MOTIVE PARTS LLC</t>
  </si>
  <si>
    <t>500375</t>
  </si>
  <si>
    <t>THREE STAR</t>
  </si>
  <si>
    <t>CHEQUE DEPOSIT THREE STAR 705020147 CHQ NO ::500375</t>
  </si>
  <si>
    <t>50659070101</t>
  </si>
  <si>
    <t>2530205369 IBTRF B/O THREE X CAPITAL REAL ESTATE BRO LLC</t>
  </si>
  <si>
    <t>000036</t>
  </si>
  <si>
    <t>BAB OSAKA</t>
  </si>
  <si>
    <t>CHEQUE DEPOSIT BAB OSAKA 603420117 CHQ NO ::000036</t>
  </si>
  <si>
    <t>50659029303</t>
  </si>
  <si>
    <t>2530203913 IBTRF B/O THREE X CAPITAL REAL ESTATE BRO LLC</t>
  </si>
  <si>
    <t>001076</t>
  </si>
  <si>
    <t>INHOUSE CHEQUE DEPOSIT 001076 ABDUL SALAM RAYAMARAKKAR VEETTIL    MONU AL FARDAN EXCHANGE SP LLC CHQ NO ::001076</t>
  </si>
  <si>
    <t>000051</t>
  </si>
  <si>
    <t>WARDET</t>
  </si>
  <si>
    <t>CHEQUE DEPOSIT WARDET 003420289 CHQ NO ::000051</t>
  </si>
  <si>
    <t>50669582504</t>
  </si>
  <si>
    <t>25735057027 MBTRF B/O GAURAV JUNEJA</t>
  </si>
  <si>
    <t>000049-5610140794530-31/07/25</t>
  </si>
  <si>
    <t>500098</t>
  </si>
  <si>
    <t>CHEQUE DEPOSIT 500098 ABDULMALEK MWAFAK    HAMWI 805030156 CHQ NO ::500098</t>
  </si>
  <si>
    <t>50441502736</t>
  </si>
  <si>
    <t>25486031546 MBTRF B/O BIJI POULOSE</t>
  </si>
  <si>
    <t>000349</t>
  </si>
  <si>
    <t>CHEQUE DEPOSIT 000349 SHAHANAS SHIHABUDEEN    SHIHABUDEEN M 304012039 CHQ NO ::000349</t>
  </si>
  <si>
    <t>tg cash dep @ 5;19 pm</t>
  </si>
  <si>
    <t>TG CASH DEP ELECTRA 101021668932</t>
  </si>
  <si>
    <t>PHUB510436362</t>
  </si>
  <si>
    <t>B/O_AMJAD S K _ADIB_510436362_Financi</t>
  </si>
  <si>
    <t>002024</t>
  </si>
  <si>
    <t>CHEQUE DEPOSIT 002024 SYED TAQI ABBAS  SHAHABAL  HUSSAIN SHAH 004730105 CHQ NO ::002024</t>
  </si>
  <si>
    <t>000163</t>
  </si>
  <si>
    <t>CHEQUE DEPOSIT 000163 MUHAMMAD HAMEED MUHAMMAD   FAREED 604130075 CHQ NO ::000163</t>
  </si>
  <si>
    <t>TG DEPOSIT @11:40 AM</t>
  </si>
  <si>
    <t>798691-5610910416539-30/07/25</t>
  </si>
  <si>
    <t>TG CASH DEP @ 20.07 PM</t>
  </si>
  <si>
    <t>TG CASH DEPOSIT 31-07-2025</t>
  </si>
  <si>
    <t>B/O_A/C.193691_ADIB_516690076_Financi</t>
  </si>
  <si>
    <t>PHUB517732233</t>
  </si>
  <si>
    <t>B/O_MARIOT KIT_NBAD_517732233_5620780</t>
  </si>
  <si>
    <t>006838</t>
  </si>
  <si>
    <t>INHOUSE CHEQUE DEPOSIT 006838 AMALNADH PANAYULLA PARAMBATH   RAVEENDRAN AL FARDAN EXCHANGE SP LLC CHQ NO ::006838</t>
  </si>
  <si>
    <t>TG CASH DEPOSITED@3.31PM</t>
  </si>
  <si>
    <t>THROUGH TG 103004056695</t>
  </si>
  <si>
    <t>CASH DEPOSITED THRU TG@ 03.17 PM</t>
  </si>
  <si>
    <t>AED TRANSFER THRU TG</t>
  </si>
  <si>
    <t>AED TRANSFER TO ADCB THUR TRAN GUARD</t>
  </si>
  <si>
    <t>TG CASH DEP 21:08 PM</t>
  </si>
  <si>
    <t>PHUB517803989</t>
  </si>
  <si>
    <t>ALFARDAN</t>
  </si>
  <si>
    <t>B/O SURAJ INTERNATIONAL DMCC</t>
  </si>
  <si>
    <t>B/O PLUTO TRAVELS LLC</t>
  </si>
  <si>
    <t>TG CASH DEPOSIT @15.00</t>
  </si>
  <si>
    <t>TG CASH DEPOSIT GAYATHI MAL @03:14 PM</t>
  </si>
  <si>
    <t>TG DEP TIME09:27PM</t>
  </si>
  <si>
    <t>CSH DEP TO ADCB THRU TG 101022063277</t>
  </si>
  <si>
    <t>THROUGH TG 102013847893</t>
  </si>
  <si>
    <t>TG CASH DEPOSIT MARFA 05:54PM</t>
  </si>
  <si>
    <t>2507280849208911</t>
  </si>
  <si>
    <t>NAIF RD, 26TH JUL, EXCESS - Cash Collection TG</t>
  </si>
  <si>
    <t>TG DEPOSITE SWEIHAN BRANCH 31-07-2025</t>
  </si>
  <si>
    <t>B/O_A/C.193691_ADIB_516561518_Financi</t>
  </si>
  <si>
    <t>TG CASH DP ADCB TIME 5:27PM</t>
  </si>
  <si>
    <t>TG CASH DEPOSIT 101022070111</t>
  </si>
  <si>
    <t>CASH DEP THRO TG 101021881069</t>
  </si>
  <si>
    <t>000034</t>
  </si>
  <si>
    <t>SYED SHIRAZ</t>
  </si>
  <si>
    <t>CHEQUE DEPOSIT SYED SHIRAZ 003330175 CHQ NO ::000034</t>
  </si>
  <si>
    <t>TG CASH DEP AL HAYER BR TIME 13:30PM</t>
  </si>
  <si>
    <t>100042--30/07/25</t>
  </si>
  <si>
    <t>TG CASH DEPOSIT TIME 9.15</t>
  </si>
  <si>
    <t>101021702918 CASH DEP TO ADCB THRU TG</t>
  </si>
  <si>
    <t>TG CASH DEP 101021655813</t>
  </si>
  <si>
    <t>TG CASH DEPO @ 09:22 PM</t>
  </si>
  <si>
    <t>TG CASH DEPOSIT @ 1702 HRS</t>
  </si>
  <si>
    <t>TG CASH DEP TIME 17:48</t>
  </si>
  <si>
    <t>AED DEPOSIT TO ADCB TRU TG</t>
  </si>
  <si>
    <t>CASH DEPOSIT  THRU TG</t>
  </si>
  <si>
    <t>cash deposit thru transgurd</t>
  </si>
  <si>
    <t>CASH DEPOIST THROUGH TRANSGUARD</t>
  </si>
  <si>
    <t>TG CASH DEPOSIT @ 21:41</t>
  </si>
  <si>
    <t>TG CASH  DEPOSIT @13:25</t>
  </si>
  <si>
    <t>TG CASH DEP 20.09</t>
  </si>
  <si>
    <t>CASH DEPOSIT TRU TRANSGUARD</t>
  </si>
  <si>
    <t>PHUB517539668</t>
  </si>
  <si>
    <t>B/O_SIAM MIDDL_NBFU_517539668_PAYMENT</t>
  </si>
  <si>
    <t>CASH DEPOSIT TO ADCB VIA TG</t>
  </si>
  <si>
    <t>CASH DEP THRU TG 101022111403</t>
  </si>
  <si>
    <t>TG CASH DEPOSITE 31072025</t>
  </si>
  <si>
    <t>cash deposit trg tg</t>
  </si>
  <si>
    <t>TG CASH DEPOSIT MBZ@ 20:07</t>
  </si>
  <si>
    <t>TG CASH DEPOSIT @ 17:00</t>
  </si>
  <si>
    <t>cash deposit t.g</t>
  </si>
  <si>
    <t>TG CSH DPST DTD 31-07-2025 AT 21:35 PM</t>
  </si>
  <si>
    <t>TG DEPOSIT BAG NO 102013676224</t>
  </si>
  <si>
    <t>TG CASH DEP 12:48</t>
  </si>
  <si>
    <t>TG CASH DEPOSIT @ 18:01</t>
  </si>
  <si>
    <t>CASH DEPOSIT 102014118557/12516172</t>
  </si>
  <si>
    <t>cash deposit to transguard</t>
  </si>
  <si>
    <t>TG CASH DEPT 20;33 PM</t>
  </si>
  <si>
    <t>TOTAL OF DEBIT AND CREDIT</t>
  </si>
  <si>
    <t>BALANCE AS PER LEDGER AS ON 31.07.2025</t>
  </si>
  <si>
    <t>BALANCE AS PER STATEMENT AS ON 31.07.2025</t>
  </si>
  <si>
    <t>FILS DIFFERENCE JULY 2025</t>
  </si>
  <si>
    <t>DIFFERENCE  JULY 2025</t>
  </si>
  <si>
    <t>Customer Account Statement</t>
  </si>
  <si>
    <t/>
  </si>
  <si>
    <t>01-Aug-2025</t>
  </si>
  <si>
    <t>31-Aug-2025</t>
  </si>
  <si>
    <t>-4,810,646.64</t>
  </si>
  <si>
    <t>298</t>
  </si>
  <si>
    <t>5900</t>
  </si>
  <si>
    <t>Sr.No</t>
  </si>
  <si>
    <t>Date</t>
  </si>
  <si>
    <t>Value Date</t>
  </si>
  <si>
    <t>Bank Reference No</t>
  </si>
  <si>
    <t>Customer Reference No</t>
  </si>
  <si>
    <t>Debit Amount</t>
  </si>
  <si>
    <t>Credit Amount</t>
  </si>
  <si>
    <t>Running Balance</t>
  </si>
  <si>
    <t>31-Jul-2025</t>
  </si>
  <si>
    <t>50671204284</t>
  </si>
  <si>
    <t>2530565583 IBTRF B/O ROSE POUDRE BEAUTY LTD</t>
  </si>
  <si>
    <t>-</t>
  </si>
  <si>
    <t>29,200.00</t>
  </si>
  <si>
    <t>946,168.58</t>
  </si>
  <si>
    <t>50671290560</t>
  </si>
  <si>
    <t>25737218451 MBTRF B/O KHURRAM JAVAID</t>
  </si>
  <si>
    <t>48,492.50</t>
  </si>
  <si>
    <t>994,661.08</t>
  </si>
  <si>
    <t>3</t>
  </si>
  <si>
    <t>B/O CHAMPIONS FOOD &amp; BEVERAGES TRAD.LLC</t>
  </si>
  <si>
    <t>764,193.25</t>
  </si>
  <si>
    <t>1,758,854.33</t>
  </si>
  <si>
    <t>4</t>
  </si>
  <si>
    <t>50671996147</t>
  </si>
  <si>
    <t>25738099893 MBTRF B/O SAKEEL SAHU THENAGA PARAMBIL</t>
  </si>
  <si>
    <t>12,900.00</t>
  </si>
  <si>
    <t>1,771,754.33</t>
  </si>
  <si>
    <t>5</t>
  </si>
  <si>
    <t>PHUB517938989</t>
  </si>
  <si>
    <t>MOB3107252234027936441</t>
  </si>
  <si>
    <t>B/O WONDERBAY DECOR LLC</t>
  </si>
  <si>
    <t>17,159.73</t>
  </si>
  <si>
    <t>1,788,914.06</t>
  </si>
  <si>
    <t>6</t>
  </si>
  <si>
    <t>50672035072</t>
  </si>
  <si>
    <t>25738152598 MBTRF B/O MEHR UN NISA KOKAB</t>
  </si>
  <si>
    <t>1,500.00</t>
  </si>
  <si>
    <t>1,790,414.06</t>
  </si>
  <si>
    <t>7</t>
  </si>
  <si>
    <t>50672822745</t>
  </si>
  <si>
    <t>25739147521 MBTRF B/O ARIANE MANLAPAZ</t>
  </si>
  <si>
    <t>6,000.00</t>
  </si>
  <si>
    <t>1,796,414.06</t>
  </si>
  <si>
    <t>8</t>
  </si>
  <si>
    <t>50672948510</t>
  </si>
  <si>
    <t>25739307407 MBTRF B/O HESHAM E A ELSAYED ELSEKEILY</t>
  </si>
  <si>
    <t>60.50</t>
  </si>
  <si>
    <t>1,796,474.56</t>
  </si>
  <si>
    <t>9</t>
  </si>
  <si>
    <t>PHUB517966078</t>
  </si>
  <si>
    <t>LISALAY BR WPS JULY</t>
  </si>
  <si>
    <t>B/O GULF RIDER VET MEDICINE &amp;EQUIP TRDG</t>
  </si>
  <si>
    <t>9,929.00</t>
  </si>
  <si>
    <t>1,806,403.56</t>
  </si>
  <si>
    <t>10</t>
  </si>
  <si>
    <t>PHUB517966087</t>
  </si>
  <si>
    <t>SHAHEEN LAB</t>
  </si>
  <si>
    <t>16,448.00</t>
  </si>
  <si>
    <t>1,822,851.56</t>
  </si>
  <si>
    <t>11</t>
  </si>
  <si>
    <t>PHUB517966096</t>
  </si>
  <si>
    <t>FAREES AL KHALE</t>
  </si>
  <si>
    <t>13,326.25</t>
  </si>
  <si>
    <t>1,836,177.81</t>
  </si>
  <si>
    <t>12</t>
  </si>
  <si>
    <t>50673651695</t>
  </si>
  <si>
    <t>110707</t>
  </si>
  <si>
    <t>ProCash Monthly Maintenance Fee</t>
  </si>
  <si>
    <t>157.50</t>
  </si>
  <si>
    <t>1,836,020.31</t>
  </si>
  <si>
    <t>13</t>
  </si>
  <si>
    <t>PHUB517990132</t>
  </si>
  <si>
    <t>517990132 B/O ZEINAB ARABI ESMAEEL</t>
  </si>
  <si>
    <t>500.00</t>
  </si>
  <si>
    <t>1,836,520.31</t>
  </si>
  <si>
    <t>14</t>
  </si>
  <si>
    <t>PHUB517992618</t>
  </si>
  <si>
    <t>B/O_ASHRAF ABDELGHAN_517992618</t>
  </si>
  <si>
    <t>44,500.00</t>
  </si>
  <si>
    <t>1,881,020.31</t>
  </si>
  <si>
    <t>15</t>
  </si>
  <si>
    <t>2508010541116506</t>
  </si>
  <si>
    <t>CCSS + Courier Velocity Mthly Maint Fees Jul1-31 2</t>
  </si>
  <si>
    <t>630.00</t>
  </si>
  <si>
    <t>1,880,390.31</t>
  </si>
  <si>
    <t>16</t>
  </si>
  <si>
    <t>PHUB518016501</t>
  </si>
  <si>
    <t>33850</t>
  </si>
  <si>
    <t>B/O NMC OPCO LTD</t>
  </si>
  <si>
    <t>326,496.25</t>
  </si>
  <si>
    <t>2,206,886.56</t>
  </si>
  <si>
    <t>17</t>
  </si>
  <si>
    <t>PHUB518017947</t>
  </si>
  <si>
    <t>33848</t>
  </si>
  <si>
    <t>14,635.09</t>
  </si>
  <si>
    <t>2,221,521.65</t>
  </si>
  <si>
    <t>18</t>
  </si>
  <si>
    <t>003BM60252120070</t>
  </si>
  <si>
    <t>B/O YES BANK LTD 252128629114</t>
  </si>
  <si>
    <t>100,180.00</t>
  </si>
  <si>
    <t>2,321,701.65</t>
  </si>
  <si>
    <t>19</t>
  </si>
  <si>
    <t>50676254530</t>
  </si>
  <si>
    <t>25743239686 MBTRF B/O MOHAMMAD IZZAT A ABDELRAHMAN</t>
  </si>
  <si>
    <t>10,000.00</t>
  </si>
  <si>
    <t>2,331,701.65</t>
  </si>
  <si>
    <t>20</t>
  </si>
  <si>
    <t>50676541158</t>
  </si>
  <si>
    <t>25743569463 MBTRF B/O SUSAIAPPAN ROYAPPAN</t>
  </si>
  <si>
    <t>2,500.00</t>
  </si>
  <si>
    <t>2,334,201.65</t>
  </si>
  <si>
    <t>21</t>
  </si>
  <si>
    <t>PHUB518036888</t>
  </si>
  <si>
    <t>SALARY2025JULY</t>
  </si>
  <si>
    <t>B/O ASF TRADING LLC</t>
  </si>
  <si>
    <t>5,000.00</t>
  </si>
  <si>
    <t>2,339,201.65</t>
  </si>
  <si>
    <t>22</t>
  </si>
  <si>
    <t>50677019219</t>
  </si>
  <si>
    <t>25744095236 MBTRF B/O MOHAMED TAREK KAMAL ABOUELELA</t>
  </si>
  <si>
    <t>73,505.25</t>
  </si>
  <si>
    <t>2,412,706.90</t>
  </si>
  <si>
    <t>23</t>
  </si>
  <si>
    <t>50,003.67</t>
  </si>
  <si>
    <t>2,462,710.57</t>
  </si>
  <si>
    <t>24</t>
  </si>
  <si>
    <t>17,768.35</t>
  </si>
  <si>
    <t>2,480,478.92</t>
  </si>
  <si>
    <t>25</t>
  </si>
  <si>
    <t>PHUB518054460</t>
  </si>
  <si>
    <t>DXB 01082025</t>
  </si>
  <si>
    <t>TRF TO AL FARDAN EXCHANGE LLC-DUBAI BRAN</t>
  </si>
  <si>
    <t>2,000,000.00</t>
  </si>
  <si>
    <t>480,478.92</t>
  </si>
  <si>
    <t>26</t>
  </si>
  <si>
    <t>2508010908252593</t>
  </si>
  <si>
    <t>NESTO HYPRMRKT AJM, 31ST JUL - Cash Collection TG</t>
  </si>
  <si>
    <t>470,000.00</t>
  </si>
  <si>
    <t>950,478.92</t>
  </si>
  <si>
    <t>27</t>
  </si>
  <si>
    <t>2508010908252604</t>
  </si>
  <si>
    <t>GOLDLAND BRANCH DXB, 31ST JUL - Cash Collection TG</t>
  </si>
  <si>
    <t>2,315,000.00</t>
  </si>
  <si>
    <t>3,265,478.92</t>
  </si>
  <si>
    <t>28</t>
  </si>
  <si>
    <t>2508010908252611</t>
  </si>
  <si>
    <t>CITY CENTER AL ZAHIA SHJ, 31ST JUL - Cash Collection TG</t>
  </si>
  <si>
    <t>810,000.00</t>
  </si>
  <si>
    <t>4,075,478.92</t>
  </si>
  <si>
    <t>29</t>
  </si>
  <si>
    <t>2508010908252620</t>
  </si>
  <si>
    <t>DUBAI HILLS ESTATE DUBAI, 31ST JUL - Cash Collection TG</t>
  </si>
  <si>
    <t>1,100,000.00</t>
  </si>
  <si>
    <t>5,175,478.92</t>
  </si>
  <si>
    <t>30</t>
  </si>
  <si>
    <t>2508010908252648</t>
  </si>
  <si>
    <t>160,000.00</t>
  </si>
  <si>
    <t>5,335,478.92</t>
  </si>
  <si>
    <t>31</t>
  </si>
  <si>
    <t>2508010908252663</t>
  </si>
  <si>
    <t>MOE 1, 31ST JUL - Cash Collection TG</t>
  </si>
  <si>
    <t>300,000.00</t>
  </si>
  <si>
    <t>5,635,478.92</t>
  </si>
  <si>
    <t>32</t>
  </si>
  <si>
    <t>2508010908252682</t>
  </si>
  <si>
    <t>NAIF RD, 31ST JUL - Cash Collection TG</t>
  </si>
  <si>
    <t>270,000.00</t>
  </si>
  <si>
    <t>5,905,478.92</t>
  </si>
  <si>
    <t>33</t>
  </si>
  <si>
    <t>2508010908252686</t>
  </si>
  <si>
    <t>FUJAIRAH, 31ST JUL - Cash Collection TG</t>
  </si>
  <si>
    <t>430,000.00</t>
  </si>
  <si>
    <t>6,335,478.92</t>
  </si>
  <si>
    <t>34</t>
  </si>
  <si>
    <t>2508010908262707</t>
  </si>
  <si>
    <t>MUWEILAH SHJ, 31ST JUL - Cash Collection TG</t>
  </si>
  <si>
    <t>400,000.00</t>
  </si>
  <si>
    <t>6,735,478.92</t>
  </si>
  <si>
    <t>35</t>
  </si>
  <si>
    <t>2508010908262714</t>
  </si>
  <si>
    <t>MEGA MALL SHARJAH BR 1, 31ST JUL - Cash Collection TG</t>
  </si>
  <si>
    <t>600,000.00</t>
  </si>
  <si>
    <t>7,335,478.92</t>
  </si>
  <si>
    <t>36</t>
  </si>
  <si>
    <t>2508010908262722</t>
  </si>
  <si>
    <t>UAQ, 31ST JUL - Cash Collection TG</t>
  </si>
  <si>
    <t>462,000.00</t>
  </si>
  <si>
    <t>7,797,478.92</t>
  </si>
  <si>
    <t>37</t>
  </si>
  <si>
    <t>2508010908262728</t>
  </si>
  <si>
    <t>AL RIGGA METRO STION DXB, 31ST JUL - Cash Collection TG</t>
  </si>
  <si>
    <t>750,000.00</t>
  </si>
  <si>
    <t>8,547,478.92</t>
  </si>
  <si>
    <t>38</t>
  </si>
  <si>
    <t>2508010908262740</t>
  </si>
  <si>
    <t>ONYX TOWER 1, 31ST JUL - Cash Collection TG</t>
  </si>
  <si>
    <t>500,000.00</t>
  </si>
  <si>
    <t>9,047,478.92</t>
  </si>
  <si>
    <t>39</t>
  </si>
  <si>
    <t>2508010908262749</t>
  </si>
  <si>
    <t>CLOCK TOWER 1, 31ST JUL - Cash Collection TG</t>
  </si>
  <si>
    <t>660,000.00</t>
  </si>
  <si>
    <t>9,707,478.92</t>
  </si>
  <si>
    <t>40</t>
  </si>
  <si>
    <t>2508010908262759</t>
  </si>
  <si>
    <t>DUBAI MALL, 31ST JUL - Cash Collection TG</t>
  </si>
  <si>
    <t>10,207,478.92</t>
  </si>
  <si>
    <t>41</t>
  </si>
  <si>
    <t>2508010908262762</t>
  </si>
  <si>
    <t>DMALL LG CSK53 TAXI AREA, 31ST JUL - Cash Collection TG</t>
  </si>
  <si>
    <t>10,507,478.92</t>
  </si>
  <si>
    <t>42</t>
  </si>
  <si>
    <t>2508010908262769</t>
  </si>
  <si>
    <t>AL MINA NESTO BR DXB, 31ST JUL - Cash Collection TG</t>
  </si>
  <si>
    <t>350,205.00</t>
  </si>
  <si>
    <t>10,857,683.92</t>
  </si>
  <si>
    <t>43</t>
  </si>
  <si>
    <t>2508010908262780</t>
  </si>
  <si>
    <t>CO OP SOCIETY SHJ 1, 31ST JUL - Cash Collection TG</t>
  </si>
  <si>
    <t>11,257,683.92</t>
  </si>
  <si>
    <t>44</t>
  </si>
  <si>
    <t>2508010908262799</t>
  </si>
  <si>
    <t>AL AMEED MALL, 31ST JUL - Cash Collection TG</t>
  </si>
  <si>
    <t>320,000.00</t>
  </si>
  <si>
    <t>11,577,683.92</t>
  </si>
  <si>
    <t>45</t>
  </si>
  <si>
    <t>2508010908262806</t>
  </si>
  <si>
    <t>DEIRA 1, 31ST JUL - Cash Collection TG</t>
  </si>
  <si>
    <t>12,177,683.92</t>
  </si>
  <si>
    <t>46</t>
  </si>
  <si>
    <t>2508010908262815</t>
  </si>
  <si>
    <t>BUR DUBAI, 31ST JUL - Cash Collection TG</t>
  </si>
  <si>
    <t>997,000.00</t>
  </si>
  <si>
    <t>13,174,683.92</t>
  </si>
  <si>
    <t>47</t>
  </si>
  <si>
    <t>2508010908262824</t>
  </si>
  <si>
    <t>SATWA 1, 31ST JUL - Cash Collection TG</t>
  </si>
  <si>
    <t>210,000.00</t>
  </si>
  <si>
    <t>13,384,683.92</t>
  </si>
  <si>
    <t>48</t>
  </si>
  <si>
    <t>2508010908262827</t>
  </si>
  <si>
    <t>AL NHDA RES TWRS  SHJ, 31ST JUL - Cash Collection TG</t>
  </si>
  <si>
    <t>380,000.00</t>
  </si>
  <si>
    <t>13,764,683.92</t>
  </si>
  <si>
    <t>49</t>
  </si>
  <si>
    <t>2508010908262831</t>
  </si>
  <si>
    <t>AL MADAM SHJ, 31ST JUL - Cash Collection TG</t>
  </si>
  <si>
    <t>620,000.00</t>
  </si>
  <si>
    <t>14,384,683.92</t>
  </si>
  <si>
    <t>50</t>
  </si>
  <si>
    <t>2508010908272843</t>
  </si>
  <si>
    <t>SAJA INDUSTRIAL SHJ 2, 31ST JUL - Cash Collection TG</t>
  </si>
  <si>
    <t>330,000.00</t>
  </si>
  <si>
    <t>14,714,683.92</t>
  </si>
  <si>
    <t>51</t>
  </si>
  <si>
    <t>2508010908272849</t>
  </si>
  <si>
    <t>IND AREA 3 SHJ, 31ST JUL - Cash Collection TG</t>
  </si>
  <si>
    <t>130,000.00</t>
  </si>
  <si>
    <t>14,844,683.92</t>
  </si>
  <si>
    <t>52</t>
  </si>
  <si>
    <t>2508010908272860</t>
  </si>
  <si>
    <t>DUBAI MALL LG UNIT171, 31ST JUL - Cash Collection TG</t>
  </si>
  <si>
    <t>15,344,683.92</t>
  </si>
  <si>
    <t>53</t>
  </si>
  <si>
    <t>2508010908272863</t>
  </si>
  <si>
    <t>KARAMA DUBAI, 31ST JUL - Cash Collection TG</t>
  </si>
  <si>
    <t>15,844,683.92</t>
  </si>
  <si>
    <t>54</t>
  </si>
  <si>
    <t>2508010908272874</t>
  </si>
  <si>
    <t>DIBBA FUJAIRAH, 31ST JUL - Cash Collection TG</t>
  </si>
  <si>
    <t>220,000.00</t>
  </si>
  <si>
    <t>16,064,683.92</t>
  </si>
  <si>
    <t>55</t>
  </si>
  <si>
    <t>2508010908355123</t>
  </si>
  <si>
    <t>Musaffah Shabiya AUH, 31ST JUL - Cash Collection TG</t>
  </si>
  <si>
    <t>740,000.00</t>
  </si>
  <si>
    <t>16,804,683.92</t>
  </si>
  <si>
    <t>56</t>
  </si>
  <si>
    <t>2508010908365130</t>
  </si>
  <si>
    <t>Musaffah Saniya AUH, 31ST JUL - Cash Collection TG</t>
  </si>
  <si>
    <t>520,000.00</t>
  </si>
  <si>
    <t>17,324,683.92</t>
  </si>
  <si>
    <t>57</t>
  </si>
  <si>
    <t>2508010908365133</t>
  </si>
  <si>
    <t>Baniyas AUH, 31ST JUL - Cash Collection TG</t>
  </si>
  <si>
    <t>17,824,683.92</t>
  </si>
  <si>
    <t>58</t>
  </si>
  <si>
    <t>2508010908365136</t>
  </si>
  <si>
    <t>Old Shahama, 31ST JUL - Cash Collection TG</t>
  </si>
  <si>
    <t>305,000.00</t>
  </si>
  <si>
    <t>18,129,683.92</t>
  </si>
  <si>
    <t>59</t>
  </si>
  <si>
    <t>2508010908365139</t>
  </si>
  <si>
    <t>ICAD Musaffah AUH, 31ST JUL - Cash Collection TG</t>
  </si>
  <si>
    <t>18,449,683.92</t>
  </si>
  <si>
    <t>60</t>
  </si>
  <si>
    <t>2508010908365142</t>
  </si>
  <si>
    <t>Al Forshan Central Mall Khalifa City AUH, 31ST JUL - Cash Collection TG</t>
  </si>
  <si>
    <t>18,919,683.92</t>
  </si>
  <si>
    <t>61</t>
  </si>
  <si>
    <t>2508010908365161</t>
  </si>
  <si>
    <t>Shamkha Mall Abu dhabi, 31ST JUL - Cash Collection TG</t>
  </si>
  <si>
    <t>19,139,683.92</t>
  </si>
  <si>
    <t>62</t>
  </si>
  <si>
    <t>2508010908385914</t>
  </si>
  <si>
    <t>Sila Muroor Road AUH, 31ST JUL - Cash Collection TG</t>
  </si>
  <si>
    <t>510,000.00</t>
  </si>
  <si>
    <t>19,649,683.92</t>
  </si>
  <si>
    <t>63</t>
  </si>
  <si>
    <t>2508010908385917</t>
  </si>
  <si>
    <t>SANAYA ZAYED TOWN W/R, 31ST JUL - Cash Collection TG</t>
  </si>
  <si>
    <t>19,969,683.92</t>
  </si>
  <si>
    <t>64</t>
  </si>
  <si>
    <t>2508010908385936</t>
  </si>
  <si>
    <t>Beda Zayed auh, 31ST JUL - Cash Collection TG</t>
  </si>
  <si>
    <t>490,000.00</t>
  </si>
  <si>
    <t>20,459,683.92</t>
  </si>
  <si>
    <t>65</t>
  </si>
  <si>
    <t>2508010908385943</t>
  </si>
  <si>
    <t>Ruwais AUH, 31ST JUL - Cash Collection TG</t>
  </si>
  <si>
    <t>350,000.00</t>
  </si>
  <si>
    <t>20,809,683.92</t>
  </si>
  <si>
    <t>66</t>
  </si>
  <si>
    <t>2508010908385950</t>
  </si>
  <si>
    <t>Al Yahar Al Ain, 31ST JUL - Cash Collection TG</t>
  </si>
  <si>
    <t>21,239,683.92</t>
  </si>
  <si>
    <t>67</t>
  </si>
  <si>
    <t>2508010908385953</t>
  </si>
  <si>
    <t>Gayathi Mall AUH, 31ST JUL - Cash Collection TG</t>
  </si>
  <si>
    <t>21,559,683.92</t>
  </si>
  <si>
    <t>68</t>
  </si>
  <si>
    <t>2508010908385966</t>
  </si>
  <si>
    <t>AL MARFA MARKET WR, 31ST JUL - Cash Collection TG</t>
  </si>
  <si>
    <t>360,000.00</t>
  </si>
  <si>
    <t>21,919,683.92</t>
  </si>
  <si>
    <t>69</t>
  </si>
  <si>
    <t>2508010908385975</t>
  </si>
  <si>
    <t>Sanaiya Gift Markete Al Ain, 31ST JUL - Cash Collection TG</t>
  </si>
  <si>
    <t>280,000.00</t>
  </si>
  <si>
    <t>22,199,683.92</t>
  </si>
  <si>
    <t>70</t>
  </si>
  <si>
    <t>2508010908385978</t>
  </si>
  <si>
    <t>Lulu Hyper Markete Sanaiya Al Ain, 31ST JUL - Cash Collection TG</t>
  </si>
  <si>
    <t>22,469,683.92</t>
  </si>
  <si>
    <t>71</t>
  </si>
  <si>
    <t>2508010908385981</t>
  </si>
  <si>
    <t>AL FARDAN EXCH DEREI BLDNG AL QUAA AA, 31ST JUL - Cash Collection TG</t>
  </si>
  <si>
    <t>190,000.00</t>
  </si>
  <si>
    <t>22,659,683.92</t>
  </si>
  <si>
    <t>72</t>
  </si>
  <si>
    <t>2508010908385988</t>
  </si>
  <si>
    <t>Boutik Mall al Reem island AUH, 31ST JUL - Cash Collection TG</t>
  </si>
  <si>
    <t>23,149,683.92</t>
  </si>
  <si>
    <t>73</t>
  </si>
  <si>
    <t>2508010908385995</t>
  </si>
  <si>
    <t>TCA AUH, 31ST JUL - Cash Collection TG</t>
  </si>
  <si>
    <t>23,669,683.92</t>
  </si>
  <si>
    <t>74</t>
  </si>
  <si>
    <t>2508010908395998</t>
  </si>
  <si>
    <t>Al Nahyan Street AUH, 31ST JUL - Cash Collection TG</t>
  </si>
  <si>
    <t>23,879,683.92</t>
  </si>
  <si>
    <t>75</t>
  </si>
  <si>
    <t>2508010908396007</t>
  </si>
  <si>
    <t>Muroor AUH, 31ST JUL - Cash Collection TG</t>
  </si>
  <si>
    <t>550,000.00</t>
  </si>
  <si>
    <t>24,429,683.92</t>
  </si>
  <si>
    <t>76</t>
  </si>
  <si>
    <t>2508010908396012</t>
  </si>
  <si>
    <t>B2B AUH, 31ST JUL - Cash Collection TG</t>
  </si>
  <si>
    <t>480,000.00</t>
  </si>
  <si>
    <t>24,909,683.92</t>
  </si>
  <si>
    <t>77</t>
  </si>
  <si>
    <t>2508010908396035</t>
  </si>
  <si>
    <t>Al Falah St Auh, 31ST JUL - Cash Collection TG</t>
  </si>
  <si>
    <t>25,119,683.92</t>
  </si>
  <si>
    <t>78</t>
  </si>
  <si>
    <t>2508010908396054</t>
  </si>
  <si>
    <t>Al Wahda AUH, 31ST JUL - Cash Collection TG</t>
  </si>
  <si>
    <t>760,000.00</t>
  </si>
  <si>
    <t>25,879,683.92</t>
  </si>
  <si>
    <t>79</t>
  </si>
  <si>
    <t>2508010908396057</t>
  </si>
  <si>
    <t>Zayed 1st Street Electra AUH, 31ST JUL - Cash Collection TG</t>
  </si>
  <si>
    <t>140,000.00</t>
  </si>
  <si>
    <t>26,019,683.92</t>
  </si>
  <si>
    <t>80</t>
  </si>
  <si>
    <t>2508010908396068</t>
  </si>
  <si>
    <t>Hamdan Abu Dhabi, 31ST JUL - Cash Collection TG</t>
  </si>
  <si>
    <t>2,740,000.00</t>
  </si>
  <si>
    <t>28,759,683.92</t>
  </si>
  <si>
    <t>81</t>
  </si>
  <si>
    <t>2508010908396079</t>
  </si>
  <si>
    <t>Bin Dhgher Tower Khalidya AUH, 31ST JUL - Cash Collection TG</t>
  </si>
  <si>
    <t>29,259,683.92</t>
  </si>
  <si>
    <t>82</t>
  </si>
  <si>
    <t>2508010908396082</t>
  </si>
  <si>
    <t>SWEIHAN  ALAIN, 31ST JUL - Cash Collection TG</t>
  </si>
  <si>
    <t>370,000.00</t>
  </si>
  <si>
    <t>29,629,683.92</t>
  </si>
  <si>
    <t>83</t>
  </si>
  <si>
    <t>2508010908396097</t>
  </si>
  <si>
    <t>AL FOAH MALL AL-AIN, 31ST JUL - Cash Collection TG</t>
  </si>
  <si>
    <t>390,000.00</t>
  </si>
  <si>
    <t>30,019,683.92</t>
  </si>
  <si>
    <t>84</t>
  </si>
  <si>
    <t>2508010908396108</t>
  </si>
  <si>
    <t>860,000.00</t>
  </si>
  <si>
    <t>30,879,683.92</t>
  </si>
  <si>
    <t>85</t>
  </si>
  <si>
    <t>2508010908396111</t>
  </si>
  <si>
    <t>Souk Br Al-Ain, 31ST JUL - Cash Collection TG</t>
  </si>
  <si>
    <t>31,629,683.92</t>
  </si>
  <si>
    <t>86</t>
  </si>
  <si>
    <t>2508010908396130</t>
  </si>
  <si>
    <t>Al Ain (Clock Tower)1, 31ST JUL - Cash Collection TG</t>
  </si>
  <si>
    <t>1,030,000.00</t>
  </si>
  <si>
    <t>32,659,683.92</t>
  </si>
  <si>
    <t>87</t>
  </si>
  <si>
    <t>1,800.00</t>
  </si>
  <si>
    <t>32,661,483.92</t>
  </si>
  <si>
    <t>88</t>
  </si>
  <si>
    <t>PHUB518073812</t>
  </si>
  <si>
    <t>518073812 B/O FAYAD A M MORTAJA</t>
  </si>
  <si>
    <t>3,000.00</t>
  </si>
  <si>
    <t>32,664,483.92</t>
  </si>
  <si>
    <t>89</t>
  </si>
  <si>
    <t>404,739.00</t>
  </si>
  <si>
    <t>33,069,222.92</t>
  </si>
  <si>
    <t>90</t>
  </si>
  <si>
    <t>19,012.60</t>
  </si>
  <si>
    <t>33,088,235.52</t>
  </si>
  <si>
    <t>91</t>
  </si>
  <si>
    <t>518088951 B/O NEXT MOVE SHIPPING SERVICES (FZE)</t>
  </si>
  <si>
    <t>2,739.76</t>
  </si>
  <si>
    <t>33,090,975.28</t>
  </si>
  <si>
    <t>92</t>
  </si>
  <si>
    <t>518095444 B/O NEXT MOVE SHIPPING SERVICES (FZE)</t>
  </si>
  <si>
    <t>2,302.25</t>
  </si>
  <si>
    <t>33,093,277.53</t>
  </si>
  <si>
    <t>93</t>
  </si>
  <si>
    <t>PHUB518093180</t>
  </si>
  <si>
    <t>B/O_CUTTING ZA_ADIB_518093180_abo yas</t>
  </si>
  <si>
    <t>49,056.96</t>
  </si>
  <si>
    <t>33,142,334.49</t>
  </si>
  <si>
    <t>94</t>
  </si>
  <si>
    <t>PHUB518098889</t>
  </si>
  <si>
    <t>B/O_AKASH OR K_HSBC_518098889_AEV0108</t>
  </si>
  <si>
    <t>183,780.00</t>
  </si>
  <si>
    <t>33,326,114.49</t>
  </si>
  <si>
    <t>95</t>
  </si>
  <si>
    <t>50679262721</t>
  </si>
  <si>
    <t>25746443520 MBTRF B/O GAURAV JUNEJA</t>
  </si>
  <si>
    <t>100,000.00</t>
  </si>
  <si>
    <t>33,426,114.49</t>
  </si>
  <si>
    <t>96</t>
  </si>
  <si>
    <t>21,838.75</t>
  </si>
  <si>
    <t>33,447,953.24</t>
  </si>
  <si>
    <t>97</t>
  </si>
  <si>
    <t>001948</t>
  </si>
  <si>
    <t>I/W CLEARING CHEQUE</t>
  </si>
  <si>
    <t>8,750.00</t>
  </si>
  <si>
    <t>33,439,203.24</t>
  </si>
  <si>
    <t>98</t>
  </si>
  <si>
    <t>PHUB518108455</t>
  </si>
  <si>
    <t>1001</t>
  </si>
  <si>
    <t>B/O LIGHT SPEED TRANSPORT L.L.C</t>
  </si>
  <si>
    <t>1,262,652.76</t>
  </si>
  <si>
    <t>34,701,856.00</t>
  </si>
  <si>
    <t>99</t>
  </si>
  <si>
    <t>12,242.00</t>
  </si>
  <si>
    <t>34,714,098.00</t>
  </si>
  <si>
    <t>100</t>
  </si>
  <si>
    <t>50679666962</t>
  </si>
  <si>
    <t>25746859281 MBTRF B/O SMARTNESS CONT AND REAL EST LLC OPC</t>
  </si>
  <si>
    <t>31,000.00</t>
  </si>
  <si>
    <t>34,745,098.00</t>
  </si>
  <si>
    <t>101</t>
  </si>
  <si>
    <t>50679668922</t>
  </si>
  <si>
    <t>25746863684 MBTRF B/O ANTO ALEX</t>
  </si>
  <si>
    <t>60,000.00</t>
  </si>
  <si>
    <t>34,805,098.00</t>
  </si>
  <si>
    <t>102</t>
  </si>
  <si>
    <t>001947</t>
  </si>
  <si>
    <t>1,750.00</t>
  </si>
  <si>
    <t>34,803,348.00</t>
  </si>
  <si>
    <t>103</t>
  </si>
  <si>
    <t>50679830305</t>
  </si>
  <si>
    <t>2530814908 IBTRF B/O MUNICH WOOD IND LLC</t>
  </si>
  <si>
    <t>34,903,348.00</t>
  </si>
  <si>
    <t>104</t>
  </si>
  <si>
    <t>PHUB518119978</t>
  </si>
  <si>
    <t>2025 JULY 0053</t>
  </si>
  <si>
    <t>B/O RAPID BUILDING GEN.CONT.(MABANI)LLC</t>
  </si>
  <si>
    <t>34,357.90</t>
  </si>
  <si>
    <t>34,937,705.90</t>
  </si>
  <si>
    <t>105</t>
  </si>
  <si>
    <t>PHUB518129738</t>
  </si>
  <si>
    <t>2025 JULY 0052</t>
  </si>
  <si>
    <t>40,472.50</t>
  </si>
  <si>
    <t>34,978,178.40</t>
  </si>
  <si>
    <t>106</t>
  </si>
  <si>
    <t>134,500.80</t>
  </si>
  <si>
    <t>35,112,679.20</t>
  </si>
  <si>
    <t>107</t>
  </si>
  <si>
    <t>50679918242</t>
  </si>
  <si>
    <t>2530818878 IBTRF B/O MUNICH WOOD IND LLC</t>
  </si>
  <si>
    <t>54,385.75</t>
  </si>
  <si>
    <t>35,167,064.95</t>
  </si>
  <si>
    <t>108</t>
  </si>
  <si>
    <t>PHUB518121295</t>
  </si>
  <si>
    <t>2025 JULY 0051</t>
  </si>
  <si>
    <t>5,846.30</t>
  </si>
  <si>
    <t>35,172,911.25</t>
  </si>
  <si>
    <t>109</t>
  </si>
  <si>
    <t>PHUB518121482</t>
  </si>
  <si>
    <t>B/O_MOHAMMAD J_NBFU_518121482_FAMILY</t>
  </si>
  <si>
    <t>80,000.00</t>
  </si>
  <si>
    <t>35,252,911.25</t>
  </si>
  <si>
    <t>110</t>
  </si>
  <si>
    <t>PHUB518130317</t>
  </si>
  <si>
    <t>2025 JULY 0050</t>
  </si>
  <si>
    <t>24,237.40</t>
  </si>
  <si>
    <t>35,277,148.65</t>
  </si>
  <si>
    <t>111</t>
  </si>
  <si>
    <t>PHUB518123210</t>
  </si>
  <si>
    <t>B/O_ENLITE TEC_BOML_518123210_ PAYMEN</t>
  </si>
  <si>
    <t>79,052.50</t>
  </si>
  <si>
    <t>35,356,201.15</t>
  </si>
  <si>
    <t>112</t>
  </si>
  <si>
    <t>PHUB518132848</t>
  </si>
  <si>
    <t>5233</t>
  </si>
  <si>
    <t>B/O THE ROYAL INDUSTRIAL TOOLS SOLE PRO</t>
  </si>
  <si>
    <t>36,006.25</t>
  </si>
  <si>
    <t>35,392,207.40</t>
  </si>
  <si>
    <t>113</t>
  </si>
  <si>
    <t>PHUB518134479</t>
  </si>
  <si>
    <t>5232</t>
  </si>
  <si>
    <t>2,684.50</t>
  </si>
  <si>
    <t>35,394,891.90</t>
  </si>
  <si>
    <t>114</t>
  </si>
  <si>
    <t>PHUB518135520</t>
  </si>
  <si>
    <t>WPS JULY</t>
  </si>
  <si>
    <t>B/O SYLVIA TRADING CO. (L.L.C)</t>
  </si>
  <si>
    <t>228,825.25</t>
  </si>
  <si>
    <t>35,623,717.15</t>
  </si>
  <si>
    <t>115</t>
  </si>
  <si>
    <t>50680427089</t>
  </si>
  <si>
    <t>25747652152 MBTRF B/O TWO 11 CAFE SOLE PROPRIETORSHIP LLC</t>
  </si>
  <si>
    <t>19,452.50</t>
  </si>
  <si>
    <t>35,643,169.65</t>
  </si>
  <si>
    <t>116</t>
  </si>
  <si>
    <t>PHUB518136235</t>
  </si>
  <si>
    <t>5228</t>
  </si>
  <si>
    <t>958.00</t>
  </si>
  <si>
    <t>35,644,127.65</t>
  </si>
  <si>
    <t>117</t>
  </si>
  <si>
    <t>3,004.20</t>
  </si>
  <si>
    <t>35,647,131.85</t>
  </si>
  <si>
    <t>118</t>
  </si>
  <si>
    <t>30,004.20</t>
  </si>
  <si>
    <t>35,677,136.05</t>
  </si>
  <si>
    <t>119</t>
  </si>
  <si>
    <t>PHUB518137902</t>
  </si>
  <si>
    <t>5197</t>
  </si>
  <si>
    <t>30,015.25</t>
  </si>
  <si>
    <t>35,707,151.30</t>
  </si>
  <si>
    <t>120</t>
  </si>
  <si>
    <t>PHUB518138463</t>
  </si>
  <si>
    <t>B/O_VIKAS BANS_SCBL_518138463_.</t>
  </si>
  <si>
    <t>103,011.00</t>
  </si>
  <si>
    <t>35,810,162.30</t>
  </si>
  <si>
    <t>121</t>
  </si>
  <si>
    <t>PHUB518142035</t>
  </si>
  <si>
    <t>5231</t>
  </si>
  <si>
    <t>1,245.75</t>
  </si>
  <si>
    <t>35,811,408.05</t>
  </si>
  <si>
    <t>122</t>
  </si>
  <si>
    <t>2508011045467411</t>
  </si>
  <si>
    <t>BUY 200K USD RATE 3.677 FROM ALFARDAN EXCHANGE</t>
  </si>
  <si>
    <t>735,400.00</t>
  </si>
  <si>
    <t>36,546,808.05</t>
  </si>
  <si>
    <t>123</t>
  </si>
  <si>
    <t>12,700.00</t>
  </si>
  <si>
    <t>36,559,508.05</t>
  </si>
  <si>
    <t>124</t>
  </si>
  <si>
    <t>PHUB518167842</t>
  </si>
  <si>
    <t>B/O_HAMED S M _NBSH_518167842_TOF - T</t>
  </si>
  <si>
    <t>75,517.00</t>
  </si>
  <si>
    <t>36,635,025.05</t>
  </si>
  <si>
    <t>125</t>
  </si>
  <si>
    <t>22,251.65</t>
  </si>
  <si>
    <t>36,657,276.70</t>
  </si>
  <si>
    <t>126</t>
  </si>
  <si>
    <t>50681276625</t>
  </si>
  <si>
    <t>2530882777 IBTRF B/O SIMPLY YOU BEAUTY SALON</t>
  </si>
  <si>
    <t>9,526.25</t>
  </si>
  <si>
    <t>36,666,802.95</t>
  </si>
  <si>
    <t>127</t>
  </si>
  <si>
    <t>PHUB518169933</t>
  </si>
  <si>
    <t>EURO 32500</t>
  </si>
  <si>
    <t>B/O SAFFRON CONGO INTERNATIONAL FZC</t>
  </si>
  <si>
    <t>137,215.00</t>
  </si>
  <si>
    <t>36,804,017.95</t>
  </si>
  <si>
    <t>128</t>
  </si>
  <si>
    <t>50681466486</t>
  </si>
  <si>
    <t>2530891255 IBTRF B/O FARM 13 ENTERTAINMENT</t>
  </si>
  <si>
    <t>41,362.17</t>
  </si>
  <si>
    <t>36,845,380.12</t>
  </si>
  <si>
    <t>129</t>
  </si>
  <si>
    <t>PHUB518174420</t>
  </si>
  <si>
    <t>B/O FLORA BLOOMS TRADING L.L.C</t>
  </si>
  <si>
    <t>41,779.75</t>
  </si>
  <si>
    <t>36,887,159.87</t>
  </si>
  <si>
    <t>130</t>
  </si>
  <si>
    <t>PHUB518176080</t>
  </si>
  <si>
    <t>B/O_DORSCH HOL_NBAD_518176080_Transfe</t>
  </si>
  <si>
    <t>200,327.55</t>
  </si>
  <si>
    <t>37,087,487.42</t>
  </si>
  <si>
    <t>131</t>
  </si>
  <si>
    <t>PHUB518176570</t>
  </si>
  <si>
    <t>B/O_DORSCH HOL_NBAD_518176570_Fund tr</t>
  </si>
  <si>
    <t>481,662.52</t>
  </si>
  <si>
    <t>37,569,149.94</t>
  </si>
  <si>
    <t>132</t>
  </si>
  <si>
    <t>PHUB518177401</t>
  </si>
  <si>
    <t>MOB0108251109427941002</t>
  </si>
  <si>
    <t>B/O SAPPHIRE PLASTC PRODUCTS MANUF.LLC</t>
  </si>
  <si>
    <t>21,071.70</t>
  </si>
  <si>
    <t>37,590,221.64</t>
  </si>
  <si>
    <t>133</t>
  </si>
  <si>
    <t>B/O_RAMESH OR _HSBC_518178183_AEV0108</t>
  </si>
  <si>
    <t>84,015.00</t>
  </si>
  <si>
    <t>37,674,236.64</t>
  </si>
  <si>
    <t>134</t>
  </si>
  <si>
    <t>PHUB518182999</t>
  </si>
  <si>
    <t>B/O_AL FARDAN _EBIL_518182999_ADCBAUH</t>
  </si>
  <si>
    <t>4,800,000.00</t>
  </si>
  <si>
    <t>42,474,236.64</t>
  </si>
  <si>
    <t>135</t>
  </si>
  <si>
    <t>PHUB518183939</t>
  </si>
  <si>
    <t>IMD 010825</t>
  </si>
  <si>
    <t>TRF TO AL FARDAN EXCHANGE SP LLC</t>
  </si>
  <si>
    <t>56,920,881.68</t>
  </si>
  <si>
    <t>-14,446,645.04</t>
  </si>
  <si>
    <t>136</t>
  </si>
  <si>
    <t>50682440937</t>
  </si>
  <si>
    <t>50,000.00</t>
  </si>
  <si>
    <t>-14,396,645.04</t>
  </si>
  <si>
    <t>137</t>
  </si>
  <si>
    <t>PHUB518215542</t>
  </si>
  <si>
    <t>MOB0108251144597941755</t>
  </si>
  <si>
    <t>B/O GLOCAL MARINE EQUIPMENT TRADING LLC</t>
  </si>
  <si>
    <t>12,526.25</t>
  </si>
  <si>
    <t>-14,384,118.79</t>
  </si>
  <si>
    <t>138</t>
  </si>
  <si>
    <t>B/O_MR RAHUL B_HSBC_518216006_AEV0108</t>
  </si>
  <si>
    <t>61,421.00</t>
  </si>
  <si>
    <t>-14,322,697.79</t>
  </si>
  <si>
    <t>139</t>
  </si>
  <si>
    <t>50682966630</t>
  </si>
  <si>
    <t>25750308608 MBTRF B/O GAOS SUSILO</t>
  </si>
  <si>
    <t>19,000.00</t>
  </si>
  <si>
    <t>-14,303,697.79</t>
  </si>
  <si>
    <t>140</t>
  </si>
  <si>
    <t>50682980631</t>
  </si>
  <si>
    <t>2530962161 IBTRF B/O CLEAN MAN CLEANING SERVICES BLD</t>
  </si>
  <si>
    <t>17,274.50</t>
  </si>
  <si>
    <t>-14,286,423.29</t>
  </si>
  <si>
    <t>141</t>
  </si>
  <si>
    <t>50683194378</t>
  </si>
  <si>
    <t>12,700.77</t>
  </si>
  <si>
    <t>-14,273,722.52</t>
  </si>
  <si>
    <t>142</t>
  </si>
  <si>
    <t>26,936.75</t>
  </si>
  <si>
    <t>-14,246,785.77</t>
  </si>
  <si>
    <t>143</t>
  </si>
  <si>
    <t>000179</t>
  </si>
  <si>
    <t>VARUGHESE DANIEL KULATHUMKAL</t>
  </si>
  <si>
    <t>INHOUSE CHEQUE DEPOSIT VARUGHESE DANIEL KULATHUMKAL AL FARDAN EXCHANGE SP LLC CHQ NO ::000179</t>
  </si>
  <si>
    <t>105,112.75</t>
  </si>
  <si>
    <t>-14,141,673.02</t>
  </si>
  <si>
    <t>144</t>
  </si>
  <si>
    <t>50683726452</t>
  </si>
  <si>
    <t>25751121117 MBTRF B/O MAKANI BUILDING MATERIALS</t>
  </si>
  <si>
    <t>16,593.50</t>
  </si>
  <si>
    <t>-14,125,079.52</t>
  </si>
  <si>
    <t>145</t>
  </si>
  <si>
    <t>50683791570</t>
  </si>
  <si>
    <t>25751189529 MBTRF B/O MOHAMED GOMAA IBRAHEM ABDELGHANY</t>
  </si>
  <si>
    <t>10,576.02</t>
  </si>
  <si>
    <t>-14,114,503.50</t>
  </si>
  <si>
    <t>146</t>
  </si>
  <si>
    <t>B/O_LAZAR SHIP_BOML_518232497_ FINANC</t>
  </si>
  <si>
    <t>711,514.44</t>
  </si>
  <si>
    <t>-13,402,989.06</t>
  </si>
  <si>
    <t>147</t>
  </si>
  <si>
    <t>50683866318</t>
  </si>
  <si>
    <t>25751273061 MBTRF B/O ASHISH KISHENSINGH RAGHAV</t>
  </si>
  <si>
    <t>44,585.00</t>
  </si>
  <si>
    <t>-13,358,404.06</t>
  </si>
  <si>
    <t>148</t>
  </si>
  <si>
    <t>50683868260</t>
  </si>
  <si>
    <t>25751277665 MBTRF B/O MOHAMED GOMAA IBRAHEM ABDELGHANY</t>
  </si>
  <si>
    <t>7,177.80</t>
  </si>
  <si>
    <t>-13,351,226.26</t>
  </si>
  <si>
    <t>149</t>
  </si>
  <si>
    <t>50683921031</t>
  </si>
  <si>
    <t>25751329494 MBTRF B/O MOHAMED GOMAA IBRAHEM ABDELGHANY</t>
  </si>
  <si>
    <t>13,763.00</t>
  </si>
  <si>
    <t>-13,337,463.26</t>
  </si>
  <si>
    <t>150</t>
  </si>
  <si>
    <t>009960</t>
  </si>
  <si>
    <t>INHOUSE CHEQUE DEPOSIT 009960 RIYAS KUNIYIL    KUNHABDULLA AL FARDAN EXCHANGE SP LLC CHQ NO ::009960</t>
  </si>
  <si>
    <t>164,107.25</t>
  </si>
  <si>
    <t>-13,173,356.01</t>
  </si>
  <si>
    <t>151</t>
  </si>
  <si>
    <t>50684049134</t>
  </si>
  <si>
    <t>25751462225 MBTRF B/O ANIL CHANDRAKANT DABKE</t>
  </si>
  <si>
    <t>6,308.00</t>
  </si>
  <si>
    <t>-13,167,048.01</t>
  </si>
  <si>
    <t>152</t>
  </si>
  <si>
    <t>51230801251125</t>
  </si>
  <si>
    <t>CDM-Cash Deposit-SAIKUMAR MALYALA MURALI MALYALA</t>
  </si>
  <si>
    <t>6,130.00</t>
  </si>
  <si>
    <t>-13,160,918.01</t>
  </si>
  <si>
    <t>153</t>
  </si>
  <si>
    <t>B/O_CONSOLIDATED CON_518242309</t>
  </si>
  <si>
    <t>11,112.00</t>
  </si>
  <si>
    <t>-13,149,806.01</t>
  </si>
  <si>
    <t>154</t>
  </si>
  <si>
    <t>51230801251129</t>
  </si>
  <si>
    <t>400.00</t>
  </si>
  <si>
    <t>-13,149,406.01</t>
  </si>
  <si>
    <t>155</t>
  </si>
  <si>
    <t>PHUB518246051</t>
  </si>
  <si>
    <t>ALFARDAN SALARY07IV</t>
  </si>
  <si>
    <t>B/O SAHARA EMIRATES TRD.SP. LLC</t>
  </si>
  <si>
    <t>117,290.00</t>
  </si>
  <si>
    <t>-13,032,116.01</t>
  </si>
  <si>
    <t>156</t>
  </si>
  <si>
    <t>000057</t>
  </si>
  <si>
    <t>INHOUSE CHEQUE DEPOSIT 000057 ABHIJITH SUNIL SUNIL   CHAKRAPANI AL FARDAN EXCHANGE SP LLC CHQ NO ::000057</t>
  </si>
  <si>
    <t>-12,982,116.01</t>
  </si>
  <si>
    <t>157</t>
  </si>
  <si>
    <t>INHOUSE CHEQUE DEPOSIT 000049 ABHIJITH SUNIL SUNIL   CHAKRAPANI AL FARDAN EXCHANGE SP LLC CHQ NO ::000049</t>
  </si>
  <si>
    <t>-12,882,116.01</t>
  </si>
  <si>
    <t>158</t>
  </si>
  <si>
    <t>PHUB518251608</t>
  </si>
  <si>
    <t>PARTIAL SALARY</t>
  </si>
  <si>
    <t>B/O GREENOL FRUITS&amp;VEGETABLES LLC SPC</t>
  </si>
  <si>
    <t>14,500.00</t>
  </si>
  <si>
    <t>-12,867,616.01</t>
  </si>
  <si>
    <t>159</t>
  </si>
  <si>
    <t>50684720574</t>
  </si>
  <si>
    <t>25752215141 MBTRF B/O BELAL MOHAMED EBRAHIM AHMED</t>
  </si>
  <si>
    <t>515.75</t>
  </si>
  <si>
    <t>-12,867,100.26</t>
  </si>
  <si>
    <t>160</t>
  </si>
  <si>
    <t>PHUB518259100</t>
  </si>
  <si>
    <t>518259100 B/O KISHORE SITARAM GHOLAP GHOLAP SITAR</t>
  </si>
  <si>
    <t>7,842.50</t>
  </si>
  <si>
    <t>-12,859,257.76</t>
  </si>
  <si>
    <t>161</t>
  </si>
  <si>
    <t>PHUB518262164</t>
  </si>
  <si>
    <t>1000</t>
  </si>
  <si>
    <t>B/O SANI TRADING CO L L C</t>
  </si>
  <si>
    <t>47,723.00</t>
  </si>
  <si>
    <t>-12,811,534.76</t>
  </si>
  <si>
    <t>162</t>
  </si>
  <si>
    <t>PV2609</t>
  </si>
  <si>
    <t>B/O CORVETTE SHIPPING LLC</t>
  </si>
  <si>
    <t>6,032.38</t>
  </si>
  <si>
    <t>-12,805,502.38</t>
  </si>
  <si>
    <t>163</t>
  </si>
  <si>
    <t>50685421439</t>
  </si>
  <si>
    <t>25753003430 MBTRF B/O INAAYA VENTURES FACLTI MGMT SRV LLC</t>
  </si>
  <si>
    <t>9,452.50</t>
  </si>
  <si>
    <t>-12,796,049.88</t>
  </si>
  <si>
    <t>164</t>
  </si>
  <si>
    <t>PHUB518270337</t>
  </si>
  <si>
    <t>10591556</t>
  </si>
  <si>
    <t>B/O HEARTBEAT MEDICAL SUPPLIES LLC</t>
  </si>
  <si>
    <t>184,014.60</t>
  </si>
  <si>
    <t>-12,612,035.28</t>
  </si>
  <si>
    <t>165</t>
  </si>
  <si>
    <t>006841</t>
  </si>
  <si>
    <t>INHOUSE CHEQUE DEPOSIT 006841 VIPIN,MEERANTHODI,VIJAYAN,,,MEERANTHODI, AL FARDAN EXCHANGE SP LLC CHQ NO ::006841</t>
  </si>
  <si>
    <t>367,509.73</t>
  </si>
  <si>
    <t>-12,244,525.55</t>
  </si>
  <si>
    <t>166</t>
  </si>
  <si>
    <t>50685555344</t>
  </si>
  <si>
    <t>25753156369 MBTRF B/O ABU FAISAL AUTO MOTIVE PARTS LLC</t>
  </si>
  <si>
    <t>56,425.75</t>
  </si>
  <si>
    <t>-12,188,099.80</t>
  </si>
  <si>
    <t>167</t>
  </si>
  <si>
    <t>50685583124</t>
  </si>
  <si>
    <t>25753188058 MBTRF B/O ABU FAISAL AUTO MOTIVE PARTS LLC</t>
  </si>
  <si>
    <t>27,439.25</t>
  </si>
  <si>
    <t>-12,160,660.55</t>
  </si>
  <si>
    <t>168</t>
  </si>
  <si>
    <t>PHUB518276144</t>
  </si>
  <si>
    <t>CA 01082025</t>
  </si>
  <si>
    <t>B/O AL FARDAN EXCHANGE SP LLC</t>
  </si>
  <si>
    <t>42,300,000.00</t>
  </si>
  <si>
    <t>30,139,339.45</t>
  </si>
  <si>
    <t>169</t>
  </si>
  <si>
    <t>PHUB518276718</t>
  </si>
  <si>
    <t>USD BUY 010825</t>
  </si>
  <si>
    <t>TRF TO AL FARDAN EXCHANGE LLC</t>
  </si>
  <si>
    <t>46,834,575.00</t>
  </si>
  <si>
    <t>-16,695,235.55</t>
  </si>
  <si>
    <t>170</t>
  </si>
  <si>
    <t>PHUB518278378</t>
  </si>
  <si>
    <t>ALFARDHAN01082025</t>
  </si>
  <si>
    <t>B/O MARCELL EXPRESS SHIPPING LLC</t>
  </si>
  <si>
    <t>150,375.00</t>
  </si>
  <si>
    <t>-16,544,860.55</t>
  </si>
  <si>
    <t>171</t>
  </si>
  <si>
    <t>PHUB518279713</t>
  </si>
  <si>
    <t>B/O_JISMON MUNDACKAM_518279713</t>
  </si>
  <si>
    <t>7,513.50</t>
  </si>
  <si>
    <t>-16,537,347.05</t>
  </si>
  <si>
    <t>172</t>
  </si>
  <si>
    <t>50686161780</t>
  </si>
  <si>
    <t>25753846304 MBTRF B/O FATIMA ZAHRA BOUCHIKHI</t>
  </si>
  <si>
    <t>15,000.00</t>
  </si>
  <si>
    <t>-16,522,347.05</t>
  </si>
  <si>
    <t>173</t>
  </si>
  <si>
    <t>1,548.39</t>
  </si>
  <si>
    <t>-16,520,798.66</t>
  </si>
  <si>
    <t>174</t>
  </si>
  <si>
    <t>148,133.35</t>
  </si>
  <si>
    <t>-16,372,665.31</t>
  </si>
  <si>
    <t>175</t>
  </si>
  <si>
    <t>PHUB518296327</t>
  </si>
  <si>
    <t>518296327 B/O AHMED HELAL MOHAMED HELAL ALMHEIRI</t>
  </si>
  <si>
    <t>4,321.00</t>
  </si>
  <si>
    <t>-16,368,344.31</t>
  </si>
  <si>
    <t>176</t>
  </si>
  <si>
    <t>50686679492</t>
  </si>
  <si>
    <t>25754447746 MBTRF B/O GHASSAN MOHAMAD SAMI NUSAIR</t>
  </si>
  <si>
    <t>13,500.00</t>
  </si>
  <si>
    <t>-16,354,844.31</t>
  </si>
  <si>
    <t>177</t>
  </si>
  <si>
    <t>50686686586</t>
  </si>
  <si>
    <t>2531103750 IBTRF B/O FREIGHTER SHIPPING ND LOGISTICA LLC</t>
  </si>
  <si>
    <t>51,500.00</t>
  </si>
  <si>
    <t>-16,303,344.31</t>
  </si>
  <si>
    <t>178</t>
  </si>
  <si>
    <t>PHUB518298228</t>
  </si>
  <si>
    <t>AL FARDAN EXCHANGE S</t>
  </si>
  <si>
    <t>B/O TRAVELEX EMIRATES EXCHANGE LLC</t>
  </si>
  <si>
    <t>2,413,500.00</t>
  </si>
  <si>
    <t>-13,889,844.31</t>
  </si>
  <si>
    <t>179</t>
  </si>
  <si>
    <t>50686893292</t>
  </si>
  <si>
    <t>25754699852 MBTRF B/O MUHAMMAD MURTAZA</t>
  </si>
  <si>
    <t>1,000.00</t>
  </si>
  <si>
    <t>-13,888,844.31</t>
  </si>
  <si>
    <t>180</t>
  </si>
  <si>
    <t>PHUB518308898</t>
  </si>
  <si>
    <t>B/O_UNIVERSAL _BARB_518308898_HANGZHO</t>
  </si>
  <si>
    <t>2,452.27</t>
  </si>
  <si>
    <t>-13,886,392.04</t>
  </si>
  <si>
    <t>181</t>
  </si>
  <si>
    <t>50687083885</t>
  </si>
  <si>
    <t>25754923386 MBTRF B/O PROUD START GENERAL CONT LLC SPC</t>
  </si>
  <si>
    <t>15,600.25</t>
  </si>
  <si>
    <t>-13,870,791.79</t>
  </si>
  <si>
    <t>182</t>
  </si>
  <si>
    <t>55,733.50</t>
  </si>
  <si>
    <t>-13,815,058.29</t>
  </si>
  <si>
    <t>183</t>
  </si>
  <si>
    <t>PHUB518310876</t>
  </si>
  <si>
    <t>MOB0108251416017944453</t>
  </si>
  <si>
    <t>B/O AEROSTYLE SHOE TRADING CO.L.L.C</t>
  </si>
  <si>
    <t>211,352.24</t>
  </si>
  <si>
    <t>-13,603,706.05</t>
  </si>
  <si>
    <t>184</t>
  </si>
  <si>
    <t>50687426255</t>
  </si>
  <si>
    <t>25755309901 MBTRF B/O TIT ANDREJ ERKER</t>
  </si>
  <si>
    <t>84,272.50</t>
  </si>
  <si>
    <t>-13,519,433.55</t>
  </si>
  <si>
    <t>185</t>
  </si>
  <si>
    <t>PHUB518313620</t>
  </si>
  <si>
    <t>01082520</t>
  </si>
  <si>
    <t>B/O LARI EXCHANGE</t>
  </si>
  <si>
    <t>-11,519,433.55</t>
  </si>
  <si>
    <t>186</t>
  </si>
  <si>
    <t>PHUB518322312</t>
  </si>
  <si>
    <t>B/O_SANGYA BHU_NBAD_518322312_CAD trs</t>
  </si>
  <si>
    <t>75,000.00</t>
  </si>
  <si>
    <t>-11,444,433.55</t>
  </si>
  <si>
    <t>187</t>
  </si>
  <si>
    <t>127,200.75</t>
  </si>
  <si>
    <t>-11,317,232.80</t>
  </si>
  <si>
    <t>188</t>
  </si>
  <si>
    <t>PHUB518328750</t>
  </si>
  <si>
    <t>B/O_MATHEW NICHO_518328750</t>
  </si>
  <si>
    <t>29,000.00</t>
  </si>
  <si>
    <t>-11,288,232.80</t>
  </si>
  <si>
    <t>189</t>
  </si>
  <si>
    <t>50688284943</t>
  </si>
  <si>
    <t>25756266335 MBTRF B/O ALAZ CATERING</t>
  </si>
  <si>
    <t>1,112.89</t>
  </si>
  <si>
    <t>-11,287,119.91</t>
  </si>
  <si>
    <t>190</t>
  </si>
  <si>
    <t>50688363048</t>
  </si>
  <si>
    <t>25756357962 MBTRF B/O ALAZ CATERING</t>
  </si>
  <si>
    <t>9,000.00</t>
  </si>
  <si>
    <t>-11,278,119.91</t>
  </si>
  <si>
    <t>191</t>
  </si>
  <si>
    <t>PHUB518333682</t>
  </si>
  <si>
    <t>MOB0108251456287945175</t>
  </si>
  <si>
    <t>B/O GLIDIX TECHNOLOGIES LLC</t>
  </si>
  <si>
    <t>2,400.00</t>
  </si>
  <si>
    <t>-11,275,719.91</t>
  </si>
  <si>
    <t>192</t>
  </si>
  <si>
    <t>50688394850</t>
  </si>
  <si>
    <t>2531169945 IBTRF B/O MOHAMMAD G A K AQEEL</t>
  </si>
  <si>
    <t>15,750.00</t>
  </si>
  <si>
    <t>-11,259,969.91</t>
  </si>
  <si>
    <t>193</t>
  </si>
  <si>
    <t>PHUB518333987</t>
  </si>
  <si>
    <t>518333987 B/O ENLITE TECHNOLOGIES DMCC</t>
  </si>
  <si>
    <t>2,556.01</t>
  </si>
  <si>
    <t>-11,257,413.90</t>
  </si>
  <si>
    <t>194</t>
  </si>
  <si>
    <t>PHUB518336378</t>
  </si>
  <si>
    <t>FP</t>
  </si>
  <si>
    <t>B/O FISCHER PANDA MIDDLEEAST LLC</t>
  </si>
  <si>
    <t>547,834.88</t>
  </si>
  <si>
    <t>-10,709,579.02</t>
  </si>
  <si>
    <t>195</t>
  </si>
  <si>
    <t>PHUB518340216</t>
  </si>
  <si>
    <t>518340216 B/O WINANDA DARMA WIGUNA PUTRI</t>
  </si>
  <si>
    <t>11,359.00</t>
  </si>
  <si>
    <t>-10,698,220.02</t>
  </si>
  <si>
    <t>196</t>
  </si>
  <si>
    <t>449,646.00</t>
  </si>
  <si>
    <t>-10,248,574.02</t>
  </si>
  <si>
    <t>197</t>
  </si>
  <si>
    <t>PHUB518343851</t>
  </si>
  <si>
    <t>CW 01082025</t>
  </si>
  <si>
    <t>TRF TO CUSTOMER CASH DELIVERY TRANSIT AC</t>
  </si>
  <si>
    <t>-12,248,574.02</t>
  </si>
  <si>
    <t>198</t>
  </si>
  <si>
    <t>PHUB518345461</t>
  </si>
  <si>
    <t>DAEYOUNG202508001</t>
  </si>
  <si>
    <t>B/O DAEYOUNG EMC CO LTD - ABU DHABI</t>
  </si>
  <si>
    <t>17,838.85</t>
  </si>
  <si>
    <t>-12,230,735.17</t>
  </si>
  <si>
    <t>199</t>
  </si>
  <si>
    <t>10459170</t>
  </si>
  <si>
    <t>B/O GOLDEN SEAL HE.DU.EQ&amp;MA.S.PA.TR.LLC</t>
  </si>
  <si>
    <t>2,230.00</t>
  </si>
  <si>
    <t>-12,228,505.17</t>
  </si>
  <si>
    <t>200</t>
  </si>
  <si>
    <t>PHUB518351707</t>
  </si>
  <si>
    <t>UTILITY</t>
  </si>
  <si>
    <t>138,328.88</t>
  </si>
  <si>
    <t>-12,090,176.29</t>
  </si>
  <si>
    <t>201</t>
  </si>
  <si>
    <t>PHUB518353178</t>
  </si>
  <si>
    <t>262376</t>
  </si>
  <si>
    <t>B/O HYSSNA INTERNATIONAL LLC</t>
  </si>
  <si>
    <t>24,105.00</t>
  </si>
  <si>
    <t>-12,066,071.29</t>
  </si>
  <si>
    <t>202</t>
  </si>
  <si>
    <t>50689481023</t>
  </si>
  <si>
    <t>25757585754 MBTRF B/O AHMED ABDELHAMID MOHAMED ELASHMAWY</t>
  </si>
  <si>
    <t>36,794.25</t>
  </si>
  <si>
    <t>-12,029,277.04</t>
  </si>
  <si>
    <t>203</t>
  </si>
  <si>
    <t>PHUB518344586</t>
  </si>
  <si>
    <t>518344586 B/O MAHENDRA GUPTA &amp;OR MARY REYES AED588036.85</t>
  </si>
  <si>
    <t>588,036.85</t>
  </si>
  <si>
    <t>-11,441,240.19</t>
  </si>
  <si>
    <t>204</t>
  </si>
  <si>
    <t>48,197.25</t>
  </si>
  <si>
    <t>-11,393,042.94</t>
  </si>
  <si>
    <t>205</t>
  </si>
  <si>
    <t>50689769217</t>
  </si>
  <si>
    <t>25757899660 MBTRF B/O ANILKUMAR MADHUBHAI VASANI</t>
  </si>
  <si>
    <t>30,000.00</t>
  </si>
  <si>
    <t>-11,363,042.94</t>
  </si>
  <si>
    <t>206</t>
  </si>
  <si>
    <t>50689926673</t>
  </si>
  <si>
    <t>25758071831 MBTRF B/O MATHEW ROY</t>
  </si>
  <si>
    <t>46,245.00</t>
  </si>
  <si>
    <t>-11,316,797.94</t>
  </si>
  <si>
    <t>207</t>
  </si>
  <si>
    <t>PHUB518368302</t>
  </si>
  <si>
    <t>B/O_/006/004 S_NRAK_518368302_Allowan</t>
  </si>
  <si>
    <t>82,933.57</t>
  </si>
  <si>
    <t>-11,233,864.37</t>
  </si>
  <si>
    <t>208</t>
  </si>
  <si>
    <t>PHUB518368448</t>
  </si>
  <si>
    <t>FARDAN</t>
  </si>
  <si>
    <t>B/O AL THAWIYA RECRUITMENT SERVICES</t>
  </si>
  <si>
    <t>19,798.01</t>
  </si>
  <si>
    <t>-11,214,066.36</t>
  </si>
  <si>
    <t>209</t>
  </si>
  <si>
    <t>PHUB518369785</t>
  </si>
  <si>
    <t>AUDI 32411 CEO</t>
  </si>
  <si>
    <t>TRF TO ALI&amp;SONS CO.OWNED BY A&amp;S HOLDING</t>
  </si>
  <si>
    <t>10,738.83</t>
  </si>
  <si>
    <t>-11,224,805.19</t>
  </si>
  <si>
    <t>210</t>
  </si>
  <si>
    <t>PHUB518369746</t>
  </si>
  <si>
    <t>CB 01082025</t>
  </si>
  <si>
    <t>O/W TRF 518369746</t>
  </si>
  <si>
    <t>3,300,000.00</t>
  </si>
  <si>
    <t>-14,524,805.19</t>
  </si>
  <si>
    <t>211</t>
  </si>
  <si>
    <t>CHCB518369746</t>
  </si>
  <si>
    <t>O/W PROCESSING CHARGE 518369746</t>
  </si>
  <si>
    <t>15.75</t>
  </si>
  <si>
    <t>-14,524,820.94</t>
  </si>
  <si>
    <t>212</t>
  </si>
  <si>
    <t>50690093439</t>
  </si>
  <si>
    <t>2531236644 IBTRF B/O RASHA B SAMAD</t>
  </si>
  <si>
    <t>53,630.00</t>
  </si>
  <si>
    <t>-14,471,190.94</t>
  </si>
  <si>
    <t>213</t>
  </si>
  <si>
    <t>PHUB518372419</t>
  </si>
  <si>
    <t>B/O BELL TECH TRADING LLC</t>
  </si>
  <si>
    <t>384,919.00</t>
  </si>
  <si>
    <t>-14,086,271.94</t>
  </si>
  <si>
    <t>214</t>
  </si>
  <si>
    <t>004523</t>
  </si>
  <si>
    <t>INHOUSE CHEQUE DEPOSIT 004523 SAJEEV KARIKKAPPILLY BALAKRISHNAN CHITTEZHATH  KRI AL FARDAN EXCHANGE SP LLC CHQ NO ::004523</t>
  </si>
  <si>
    <t>383,439.79</t>
  </si>
  <si>
    <t>-13,702,832.15</t>
  </si>
  <si>
    <t>215</t>
  </si>
  <si>
    <t>PHUB518377408</t>
  </si>
  <si>
    <t>B/O_MOHAMMAD HASSAN _518377408</t>
  </si>
  <si>
    <t>12,000.00</t>
  </si>
  <si>
    <t>-13,690,832.15</t>
  </si>
  <si>
    <t>216</t>
  </si>
  <si>
    <t>50690442632</t>
  </si>
  <si>
    <t>25758633147 MBTRF B/O FAZRUL SAID MOHAMMED</t>
  </si>
  <si>
    <t>-13,640,832.15</t>
  </si>
  <si>
    <t>217</t>
  </si>
  <si>
    <t>PHUB518385874</t>
  </si>
  <si>
    <t>F. SETLMT-AL FARDAN</t>
  </si>
  <si>
    <t>B/O PIVOT ENGINEERING &amp; GEN.CONT.CO.WLL</t>
  </si>
  <si>
    <t>39,830.53</t>
  </si>
  <si>
    <t>-13,601,001.62</t>
  </si>
  <si>
    <t>218</t>
  </si>
  <si>
    <t>PHUB518386510</t>
  </si>
  <si>
    <t>B/O_LUXE HAVEN_BOML_518386510_ COMPEN</t>
  </si>
  <si>
    <t>279,933.75</t>
  </si>
  <si>
    <t>-13,321,067.87</t>
  </si>
  <si>
    <t>219</t>
  </si>
  <si>
    <t>PHUB518388142</t>
  </si>
  <si>
    <t>B/O_MR VIVEK S_HSBC_518388142_AEV0108</t>
  </si>
  <si>
    <t>-13,261,067.87</t>
  </si>
  <si>
    <t>220</t>
  </si>
  <si>
    <t>B/O_BITS PILAN_HSBC_518403102_AEL2508</t>
  </si>
  <si>
    <t>213,116.25</t>
  </si>
  <si>
    <t>-13,047,951.62</t>
  </si>
  <si>
    <t>221</t>
  </si>
  <si>
    <t>B/O_MUTAAB SAEED ALI_518414607</t>
  </si>
  <si>
    <t>25,271.15</t>
  </si>
  <si>
    <t>-13,022,680.47</t>
  </si>
  <si>
    <t>222</t>
  </si>
  <si>
    <t>002027</t>
  </si>
  <si>
    <t>INHOUSE CHEQUE DEPOSIT 002027 MUHAMMAD RASHID KOONARI   PEZHUMTHARA AL FARDAN EXCHANGE SP LLC CHQ NO ::002027</t>
  </si>
  <si>
    <t>56,269.40</t>
  </si>
  <si>
    <t>-12,966,411.07</t>
  </si>
  <si>
    <t>223</t>
  </si>
  <si>
    <t>000055</t>
  </si>
  <si>
    <t>INHOUSE CHEQUE DEPOSIT 000055 MUHAMMAD RASHID KOONARI   PEZHUMTHARA AL FARDAN EXCHANGE SP LLC CHQ NO ::000055</t>
  </si>
  <si>
    <t>9,330.20</t>
  </si>
  <si>
    <t>-12,957,080.87</t>
  </si>
  <si>
    <t>224</t>
  </si>
  <si>
    <t>002026</t>
  </si>
  <si>
    <t>INHOUSE CHEQUE DEPOSIT 002026 MUHAMMAD RASHID KOONARI   PEZHUMTHARA AL FARDAN EXCHANGE SP LLC CHQ NO ::002026</t>
  </si>
  <si>
    <t>81,764.50</t>
  </si>
  <si>
    <t>-12,875,316.37</t>
  </si>
  <si>
    <t>225</t>
  </si>
  <si>
    <t>50692198892</t>
  </si>
  <si>
    <t>2531320593 IBTRF B/O VISWANADHAM VEMULA</t>
  </si>
  <si>
    <t>40,000.00</t>
  </si>
  <si>
    <t>-12,835,316.37</t>
  </si>
  <si>
    <t>226</t>
  </si>
  <si>
    <t>002025</t>
  </si>
  <si>
    <t>INHOUSE CHEQUE DEPOSIT 002025 MUHAMMAD RASHID KOONARI   PEZHUMTHARA AL FARDAN EXCHANGE SP LLC CHQ NO ::002025</t>
  </si>
  <si>
    <t>7,300.25</t>
  </si>
  <si>
    <t>-12,828,016.12</t>
  </si>
  <si>
    <t>227</t>
  </si>
  <si>
    <t>50692210284</t>
  </si>
  <si>
    <t>25760594773 MBTRF B/O KIRAN KUMAR DAMODAR SHETIGAR</t>
  </si>
  <si>
    <t>-12,728,016.12</t>
  </si>
  <si>
    <t>228</t>
  </si>
  <si>
    <t>000031</t>
  </si>
  <si>
    <t>INHOUSE CHEQUE DEPOSIT 000031 ABHIJITH SUNIL SUNIL   CHAKRAPANI AL FARDAN EXCHANGE SP LLC CHQ NO ::000031</t>
  </si>
  <si>
    <t>-12,688,016.12</t>
  </si>
  <si>
    <t>229</t>
  </si>
  <si>
    <t>50692241848</t>
  </si>
  <si>
    <t>25760631426 MBTRF B/O KIRAN KUMAR DAMODAR SHETIGAR</t>
  </si>
  <si>
    <t>52,000.00</t>
  </si>
  <si>
    <t>-12,636,016.12</t>
  </si>
  <si>
    <t>230</t>
  </si>
  <si>
    <t>000723</t>
  </si>
  <si>
    <t>INHOUSE CHEQUE DEPOSIT 000723 ABID BIN AMAR AMAR   BIN MOHAMMED AL FARDAN EXCHANGE SP LLC CHQ NO ::000723</t>
  </si>
  <si>
    <t>41,606.12</t>
  </si>
  <si>
    <t>-12,594,410.00</t>
  </si>
  <si>
    <t>231</t>
  </si>
  <si>
    <t>005962</t>
  </si>
  <si>
    <t>INHOUSE CHEQUE DEPOSIT 005962 GOPAKUMAR     VELAYUDHAN AL FARDAN EXCHANGE SP LLC CHQ NO ::005962</t>
  </si>
  <si>
    <t>24,565.90</t>
  </si>
  <si>
    <t>-12,569,844.10</t>
  </si>
  <si>
    <t>232</t>
  </si>
  <si>
    <t>PHUB518423769</t>
  </si>
  <si>
    <t>B/O_AYMAN YOUSEF ABD_518423769</t>
  </si>
  <si>
    <t>13,522.00</t>
  </si>
  <si>
    <t>-12,556,322.10</t>
  </si>
  <si>
    <t>233</t>
  </si>
  <si>
    <t>PHUB518426330</t>
  </si>
  <si>
    <t>B/O_JAYA PRAVEEN_518426330</t>
  </si>
  <si>
    <t>12,658.25</t>
  </si>
  <si>
    <t>-12,543,663.85</t>
  </si>
  <si>
    <t>234</t>
  </si>
  <si>
    <t>PHUB518428419</t>
  </si>
  <si>
    <t>518428419 B/O A BAIT ALSAREEA PRE FABRICATED BUILDINGS CONTRACTING L.L.C</t>
  </si>
  <si>
    <t>4,285.60</t>
  </si>
  <si>
    <t>-12,539,378.25</t>
  </si>
  <si>
    <t>235</t>
  </si>
  <si>
    <t>PHUB518435709</t>
  </si>
  <si>
    <t>B/O_GULF TECHNICAL C_518435709</t>
  </si>
  <si>
    <t>14,733.50</t>
  </si>
  <si>
    <t>-12,524,644.75</t>
  </si>
  <si>
    <t>236</t>
  </si>
  <si>
    <t>PHUB518436452</t>
  </si>
  <si>
    <t>JULY 2025 SALARY</t>
  </si>
  <si>
    <t>B/O KBTS TECHNICAL SERVICES LLC</t>
  </si>
  <si>
    <t>180,385.37</t>
  </si>
  <si>
    <t>-12,344,259.38</t>
  </si>
  <si>
    <t>237</t>
  </si>
  <si>
    <t>001010</t>
  </si>
  <si>
    <t>INHOUSE CHEQUE DEPOSIT 001010 ABID BIN AMAR AMAR   BIN MOHAMMED AL FARDAN EXCHANGE SP LLC CHQ NO ::001010</t>
  </si>
  <si>
    <t>315,901.47</t>
  </si>
  <si>
    <t>-12,028,357.91</t>
  </si>
  <si>
    <t>238</t>
  </si>
  <si>
    <t>50693281289</t>
  </si>
  <si>
    <t>25761807291 MBTRF B/O PRIYARANJAN PRASAD</t>
  </si>
  <si>
    <t>-11,998,357.91</t>
  </si>
  <si>
    <t>239</t>
  </si>
  <si>
    <t>50693444889</t>
  </si>
  <si>
    <t>25761990205 MBTRF B/O RISE STAR USD EQP HVY MCH TR LLC SP</t>
  </si>
  <si>
    <t>50,578.00</t>
  </si>
  <si>
    <t>-11,947,779.91</t>
  </si>
  <si>
    <t>240</t>
  </si>
  <si>
    <t>PHUB518454565</t>
  </si>
  <si>
    <t>10000001</t>
  </si>
  <si>
    <t>B/O WINSTAR ELECTROMECHANICAL EQUP.INST</t>
  </si>
  <si>
    <t>37,000.00</t>
  </si>
  <si>
    <t>-11,910,779.91</t>
  </si>
  <si>
    <t>241</t>
  </si>
  <si>
    <t>PHUB518458144</t>
  </si>
  <si>
    <t>518458144 B/O EISA MOHAMED AHMED MOALLA ALHASHMI</t>
  </si>
  <si>
    <t>-11,904,779.91</t>
  </si>
  <si>
    <t>242</t>
  </si>
  <si>
    <t>500173</t>
  </si>
  <si>
    <t>CHEQUE DEPOSIT 500173 NISSAR MANGADAN MOIDEEN   MANGADAN 805011045 CHQ NO ::500173</t>
  </si>
  <si>
    <t>94,910.00</t>
  </si>
  <si>
    <t>-11,809,869.91</t>
  </si>
  <si>
    <t>243</t>
  </si>
  <si>
    <t>100349</t>
  </si>
  <si>
    <t>CHEQUE DEPOSIT 100349 MOUSTAFA IBRAHIM AHMED    RAMADAN ELBARBARY 702410103 CHQ NO ::100349</t>
  </si>
  <si>
    <t>8,200.00</t>
  </si>
  <si>
    <t>-11,801,669.91</t>
  </si>
  <si>
    <t>244</t>
  </si>
  <si>
    <t>281376</t>
  </si>
  <si>
    <t>CHEQUE DEPOSIT 281376 AMR GAMAL MOHAMED   AWAD 302430107 CHQ NO ::281376</t>
  </si>
  <si>
    <t>318,110.28</t>
  </si>
  <si>
    <t>-11,483,559.63</t>
  </si>
  <si>
    <t>245</t>
  </si>
  <si>
    <t>947004</t>
  </si>
  <si>
    <t>CHEQUE DEPOSIT 947004 BASHEER PULIKKAL    IBRAHIM 502010101 CHQ NO ::947004</t>
  </si>
  <si>
    <t>-11,453,559.63</t>
  </si>
  <si>
    <t>246</t>
  </si>
  <si>
    <t>PHUB518469577</t>
  </si>
  <si>
    <t>B/O_MEDITERRAN_NBAD_518469577_MOON 8</t>
  </si>
  <si>
    <t>184,505.25</t>
  </si>
  <si>
    <t>-11,269,054.38</t>
  </si>
  <si>
    <t>247</t>
  </si>
  <si>
    <t>PHUB518469609</t>
  </si>
  <si>
    <t>MOB0108251840227948862</t>
  </si>
  <si>
    <t>10,507.50</t>
  </si>
  <si>
    <t>-11,258,546.88</t>
  </si>
  <si>
    <t>248</t>
  </si>
  <si>
    <t>PHUB518470362</t>
  </si>
  <si>
    <t>MOB0108251842017948906</t>
  </si>
  <si>
    <t>2,181.00</t>
  </si>
  <si>
    <t>-11,256,365.88</t>
  </si>
  <si>
    <t>249</t>
  </si>
  <si>
    <t>000105</t>
  </si>
  <si>
    <t>CHEQUE DEPOSIT 000105 NISSAR MANGADAN MOIDEEN   MANGADAN 204011011 CHQ NO ::000105</t>
  </si>
  <si>
    <t>53,294.75</t>
  </si>
  <si>
    <t>-11,203,071.13</t>
  </si>
  <si>
    <t>250</t>
  </si>
  <si>
    <t>000085</t>
  </si>
  <si>
    <t>CHEQUE DEPOSIT 000085 YOGESH HARISCHANDRA     CANDOLKAR 302920101 CHQ NO ::000085</t>
  </si>
  <si>
    <t>27,281.25</t>
  </si>
  <si>
    <t>-11,175,789.88</t>
  </si>
  <si>
    <t>251</t>
  </si>
  <si>
    <t>534470</t>
  </si>
  <si>
    <t>CHEQUE DEPOSIT 534470 MUHAMMAD AKRAM NAZAR   MUHAMMAD 304012039 CHQ NO ::534470</t>
  </si>
  <si>
    <t>6,320.86</t>
  </si>
  <si>
    <t>-11,169,469.02</t>
  </si>
  <si>
    <t>252</t>
  </si>
  <si>
    <t>798691</t>
  </si>
  <si>
    <t>CHEQUE DEPOSIT 798691 MUHAMMAD HAMEED MUHAMMAD   FAREED 104030136 CHQ NO ::798691</t>
  </si>
  <si>
    <t>199,670.00</t>
  </si>
  <si>
    <t>-10,969,799.02</t>
  </si>
  <si>
    <t>253</t>
  </si>
  <si>
    <t>500029</t>
  </si>
  <si>
    <t>CHEQUE DEPOSIT 500029 NISSAR MANGADAN MOIDEEN   MANGADAN 905010128 CHQ NO ::500029</t>
  </si>
  <si>
    <t>844,072.50</t>
  </si>
  <si>
    <t>-10,125,726.52</t>
  </si>
  <si>
    <t>254</t>
  </si>
  <si>
    <t>001544</t>
  </si>
  <si>
    <t>CHEQUE DEPOSIT 001544 SHAMSHEER KHAN AHAMED KHAN AHAMED  KHAN 104030136 CHQ NO ::001544</t>
  </si>
  <si>
    <t>390,541.25</t>
  </si>
  <si>
    <t>-9,735,185.27</t>
  </si>
  <si>
    <t>255</t>
  </si>
  <si>
    <t>PHUB518476179</t>
  </si>
  <si>
    <t>MOB0108251853557949087</t>
  </si>
  <si>
    <t>B/O TEVAT TOURISM LLC</t>
  </si>
  <si>
    <t>14,804.15</t>
  </si>
  <si>
    <t>-9,720,381.12</t>
  </si>
  <si>
    <t>256</t>
  </si>
  <si>
    <t>000005</t>
  </si>
  <si>
    <t>CHEQUE DEPOSIT 000005 BASHEER PULIKKAL    IBRAHIM 502610169 CHQ NO ::000005</t>
  </si>
  <si>
    <t>62,360.50</t>
  </si>
  <si>
    <t>-9,658,020.62</t>
  </si>
  <si>
    <t>257</t>
  </si>
  <si>
    <t>PHUB518476658</t>
  </si>
  <si>
    <t>MOB0108251854577949075</t>
  </si>
  <si>
    <t>B/O WAM N FADE BARBER SHOP</t>
  </si>
  <si>
    <t>35,000.00</t>
  </si>
  <si>
    <t>-9,623,020.62</t>
  </si>
  <si>
    <t>258</t>
  </si>
  <si>
    <t>500602</t>
  </si>
  <si>
    <t>CHEQUE DEPOSIT 500602 ABDULRAHMAN   SAEED  HAMMAM 005012015 CHQ NO ::500602</t>
  </si>
  <si>
    <t>145,000.00</t>
  </si>
  <si>
    <t>-9,478,020.62</t>
  </si>
  <si>
    <t>259</t>
  </si>
  <si>
    <t>084585</t>
  </si>
  <si>
    <t>CHEQUE DEPOSIT 084585 SHAMSHEER KHAN AHAMED KHAN AHAMED  KHAN 004410124 CHQ NO ::084585</t>
  </si>
  <si>
    <t>21,079.25</t>
  </si>
  <si>
    <t>-9,456,941.37</t>
  </si>
  <si>
    <t>260</t>
  </si>
  <si>
    <t>002293</t>
  </si>
  <si>
    <t>CHEQUE DEPOSIT 002293 NISSAR MANGADAN MOIDEEN   MANGADAN 503511041 CHQ NO ::002293</t>
  </si>
  <si>
    <t>150,000.01</t>
  </si>
  <si>
    <t>-9,306,941.36</t>
  </si>
  <si>
    <t>261</t>
  </si>
  <si>
    <t>000063</t>
  </si>
  <si>
    <t>CHEQUE DEPOSIT 000063 DARLENE  LANGREO   CARUMBA 402620163 CHQ NO ::000063</t>
  </si>
  <si>
    <t>62,882.15</t>
  </si>
  <si>
    <t>-9,244,059.21</t>
  </si>
  <si>
    <t>262</t>
  </si>
  <si>
    <t>CHEQUE DEPOSIT 000057 DIL JAN MOHAMMAD   ALI 604630122 CHQ NO ::000057</t>
  </si>
  <si>
    <t>25,000.00</t>
  </si>
  <si>
    <t>-9,219,059.21</t>
  </si>
  <si>
    <t>263</t>
  </si>
  <si>
    <t>009880</t>
  </si>
  <si>
    <t>CHEQUE DEPOSIT 009880 AHAMMED MADAMBILLATH THIDIL KUNHI   MOIDEEN 102310030 CHQ NO ::009880</t>
  </si>
  <si>
    <t>4,546.34</t>
  </si>
  <si>
    <t>-9,214,512.87</t>
  </si>
  <si>
    <t>264</t>
  </si>
  <si>
    <t>000001</t>
  </si>
  <si>
    <t>CHEQUE DEPOSIT 000001 MUHAMMAD HAMEED MUHAMMAD   FAREED 808610001 CHQ NO ::000001</t>
  </si>
  <si>
    <t>17,380.00</t>
  </si>
  <si>
    <t>-9,197,132.87</t>
  </si>
  <si>
    <t>265</t>
  </si>
  <si>
    <t>105002</t>
  </si>
  <si>
    <t>CHEQUE DEPOSIT 105002 NISSAR MANGADAN MOIDEEN   MANGADAN 302430107 CHQ NO ::105002</t>
  </si>
  <si>
    <t>86,079.00</t>
  </si>
  <si>
    <t>-9,111,053.87</t>
  </si>
  <si>
    <t>266</t>
  </si>
  <si>
    <t>6,004.20</t>
  </si>
  <si>
    <t>-9,105,049.67</t>
  </si>
  <si>
    <t>267</t>
  </si>
  <si>
    <t>004020</t>
  </si>
  <si>
    <t>CHEQUE DEPOSIT 004020 BASHEER PULIKKAL    IBRAHIM 703310105 CHQ NO ::004020</t>
  </si>
  <si>
    <t>7,337.75</t>
  </si>
  <si>
    <t>-9,097,711.92</t>
  </si>
  <si>
    <t>268</t>
  </si>
  <si>
    <t>078258</t>
  </si>
  <si>
    <t>CHEQUE DEPOSIT 078258 BASHEER PULIKKAL    IBRAHIM 502010101 CHQ NO ::078258</t>
  </si>
  <si>
    <t>4,210.00</t>
  </si>
  <si>
    <t>-9,093,501.92</t>
  </si>
  <si>
    <t>269</t>
  </si>
  <si>
    <t>000030</t>
  </si>
  <si>
    <t>CHEQUE DEPOSIT 000030 MUHAMMAD AKRAM NAZAR   MUHAMMAD 204610111 CHQ NO ::000030</t>
  </si>
  <si>
    <t>510,810.50</t>
  </si>
  <si>
    <t>-8,582,691.42</t>
  </si>
  <si>
    <t>270</t>
  </si>
  <si>
    <t>000326</t>
  </si>
  <si>
    <t>CHEQUE DEPOSIT 000326 MUHAMMAD AKRAM NAZAR   MUHAMMAD 101110101 CHQ NO ::000326</t>
  </si>
  <si>
    <t>42,061.00</t>
  </si>
  <si>
    <t>-8,540,630.42</t>
  </si>
  <si>
    <t>271</t>
  </si>
  <si>
    <t>000376</t>
  </si>
  <si>
    <t>CHEQUE DEPOSIT 000376 SHAMSHEER KHAN AHAMED KHAN AHAMED  KHAN 004020138 CHQ NO ::000376</t>
  </si>
  <si>
    <t>47,178.75</t>
  </si>
  <si>
    <t>-8,493,451.67</t>
  </si>
  <si>
    <t>272</t>
  </si>
  <si>
    <t>961743</t>
  </si>
  <si>
    <t>CHEQUE DEPOSIT 961743 DIL JAN MOHAMMAD   ALI 504640171 CHQ NO ::961743</t>
  </si>
  <si>
    <t>2,588.90</t>
  </si>
  <si>
    <t>-8,490,862.77</t>
  </si>
  <si>
    <t>273</t>
  </si>
  <si>
    <t>002316</t>
  </si>
  <si>
    <t>CHEQUE DEPOSIT 002316 MUHAMMAD BILAL    MUHAMMAD ILYAS 903320188 CHQ NO ::002316</t>
  </si>
  <si>
    <t>126,372.00</t>
  </si>
  <si>
    <t>-8,364,490.77</t>
  </si>
  <si>
    <t>274</t>
  </si>
  <si>
    <t>50695518778</t>
  </si>
  <si>
    <t>25764454566 MBTRF B/O MUBARAK RASHID KHAMIS M AL MANSOURI</t>
  </si>
  <si>
    <t>-8,264,490.77</t>
  </si>
  <si>
    <t>275</t>
  </si>
  <si>
    <t>012620</t>
  </si>
  <si>
    <t>CHEQUE DEPOSIT 012620 MOHAMMED FACIUL     ALAM SHAH ALAM 903420130 CHQ NO ::012620</t>
  </si>
  <si>
    <t>147,232.50</t>
  </si>
  <si>
    <t>-8,117,258.27</t>
  </si>
  <si>
    <t>276</t>
  </si>
  <si>
    <t>029389</t>
  </si>
  <si>
    <t>DAZZLING GRAPH</t>
  </si>
  <si>
    <t>CHEQUE DEPOSIT DAZZLING GRAPH 103130112 CHQ NO ::029389</t>
  </si>
  <si>
    <t>71,869.82</t>
  </si>
  <si>
    <t>-8,045,388.45</t>
  </si>
  <si>
    <t>277</t>
  </si>
  <si>
    <t>000113</t>
  </si>
  <si>
    <t>CHEQUE DEPOSIT 000113 BASHEER PULIKKAL    IBRAHIM 203510137 CHQ NO ::000113</t>
  </si>
  <si>
    <t>-7,675,388.45</t>
  </si>
  <si>
    <t>278</t>
  </si>
  <si>
    <t>000341</t>
  </si>
  <si>
    <t>BOBBY PLAPARMBIL THOMAS</t>
  </si>
  <si>
    <t>CHEQUE DEPOSIT BOBBY PLAPARMBIL THOMAS 902620113 CHQ NO ::000341</t>
  </si>
  <si>
    <t>42,070.00</t>
  </si>
  <si>
    <t>-7,633,318.45</t>
  </si>
  <si>
    <t>279</t>
  </si>
  <si>
    <t>665412</t>
  </si>
  <si>
    <t>CHEQUE DEPOSIT 665412 BASHEER PULIKKAL    IBRAHIM 003510111 CHQ NO ::665412</t>
  </si>
  <si>
    <t>84,095.50</t>
  </si>
  <si>
    <t>-7,549,222.95</t>
  </si>
  <si>
    <t>280</t>
  </si>
  <si>
    <t>537802</t>
  </si>
  <si>
    <t>CHEQUE DEPOSIT 537802 MOHAMED AAMIR AMIN     LAKDAWALA 003511109 CHQ NO ::537802</t>
  </si>
  <si>
    <t>250,000.00</t>
  </si>
  <si>
    <t>-7,299,222.95</t>
  </si>
  <si>
    <t>281</t>
  </si>
  <si>
    <t>001148</t>
  </si>
  <si>
    <t>CHEQUE DEPOSIT 001148 SHAMSHEER KHAN AHAMED KHAN AHAMED  KHAN 603530160 CHQ NO ::001148</t>
  </si>
  <si>
    <t>40,026.25</t>
  </si>
  <si>
    <t>-7,259,196.70</t>
  </si>
  <si>
    <t>282</t>
  </si>
  <si>
    <t>217320</t>
  </si>
  <si>
    <t>CHEQUE DEPOSIT 217320 MUHAMMAD AKRAM NAZAR   MUHAMMAD 603512092 CHQ NO ::217320</t>
  </si>
  <si>
    <t>313,947.00</t>
  </si>
  <si>
    <t>-6,945,249.70</t>
  </si>
  <si>
    <t>283</t>
  </si>
  <si>
    <t>000054</t>
  </si>
  <si>
    <t>CHEQUE DEPOSIT 000054 NISSAR MANGADAN MOIDEEN   MANGADAN 404111067 CHQ NO ::000054</t>
  </si>
  <si>
    <t>73,560.50</t>
  </si>
  <si>
    <t>-6,871,689.20</t>
  </si>
  <si>
    <t>284</t>
  </si>
  <si>
    <t>000792</t>
  </si>
  <si>
    <t>AL BURAIMI</t>
  </si>
  <si>
    <t>CHEQUE DEPOSIT AL BURAIMI 603530182 CHQ NO ::000792</t>
  </si>
  <si>
    <t>986,526.00</t>
  </si>
  <si>
    <t>-5,885,163.20</t>
  </si>
  <si>
    <t>285</t>
  </si>
  <si>
    <t>PHUB518492148</t>
  </si>
  <si>
    <t>1000001</t>
  </si>
  <si>
    <t>B/O AIN ALFAKHAMA TECHNICAL SERVICES LL</t>
  </si>
  <si>
    <t>111,360.75</t>
  </si>
  <si>
    <t>-5,773,802.45</t>
  </si>
  <si>
    <t>286</t>
  </si>
  <si>
    <t>000476</t>
  </si>
  <si>
    <t>CHEQUE DEPOSIT 000476 SHAMSHEER KHAN AHAMED KHAN AHAMED  KHAN 300920103 CHQ NO ::000476</t>
  </si>
  <si>
    <t>55,170.50</t>
  </si>
  <si>
    <t>-5,718,631.95</t>
  </si>
  <si>
    <t>287</t>
  </si>
  <si>
    <t>001236</t>
  </si>
  <si>
    <t>CHEQUE DEPOSIT 001236 MUHAMMAD HAMEED MUHAMMAD   FAREED 203320145 CHQ NO ::001236</t>
  </si>
  <si>
    <t>311,992.00</t>
  </si>
  <si>
    <t>-5,406,639.95</t>
  </si>
  <si>
    <t>288</t>
  </si>
  <si>
    <t>CHEQUE DEPOSIT 000082 MOHAMED AAMIR AMIN     LAKDAWALA 102620128 CHQ NO ::000082</t>
  </si>
  <si>
    <t>11,870.00</t>
  </si>
  <si>
    <t>-5,394,769.95</t>
  </si>
  <si>
    <t>289</t>
  </si>
  <si>
    <t>000752</t>
  </si>
  <si>
    <t>CHEQUE DEPOSIT 000752 BASKAR SUNDARASAMY    SUNDARASAMY 602920102 CHQ NO ::000752</t>
  </si>
  <si>
    <t>13,176.69</t>
  </si>
  <si>
    <t>-5,381,593.26</t>
  </si>
  <si>
    <t>290</t>
  </si>
  <si>
    <t>000198</t>
  </si>
  <si>
    <t>CHEQUE DEPOSIT 000198 SHAMSHEER KHAN AHAMED KHAN AHAMED  KHAN 404130101 CHQ NO ::000198</t>
  </si>
  <si>
    <t>69,867.00</t>
  </si>
  <si>
    <t>-5,311,726.26</t>
  </si>
  <si>
    <t>291</t>
  </si>
  <si>
    <t>595291</t>
  </si>
  <si>
    <t>CHEQUE DEPOSIT 595291 SHAMSHEER KHAN AHAMED KHAN AHAMED  KHAN 001430152 CHQ NO ::595291</t>
  </si>
  <si>
    <t>11,026.50</t>
  </si>
  <si>
    <t>-5,300,699.76</t>
  </si>
  <si>
    <t>292</t>
  </si>
  <si>
    <t>000007</t>
  </si>
  <si>
    <t>CHEQUE DEPOSIT 000007 BASHEER PULIKKAL    IBRAHIM 702610130 CHQ NO ::000007</t>
  </si>
  <si>
    <t>40,027.00</t>
  </si>
  <si>
    <t>-5,260,672.76</t>
  </si>
  <si>
    <t>293</t>
  </si>
  <si>
    <t>CHEQUE DEPOSIT 000036 MUHAMMAD HAMEED MUHAMMAD   FAREED 804020101 CHQ NO ::000036</t>
  </si>
  <si>
    <t>42,114.25</t>
  </si>
  <si>
    <t>-5,218,558.51</t>
  </si>
  <si>
    <t>294</t>
  </si>
  <si>
    <t>50696122983</t>
  </si>
  <si>
    <t>25765176206 MBTRF B/O NIRMAL KOOTTALA PRABHA</t>
  </si>
  <si>
    <t>-5,158,558.51</t>
  </si>
  <si>
    <t>295</t>
  </si>
  <si>
    <t>100756</t>
  </si>
  <si>
    <t>CHEQUE DEPOSIT 100756 SHAMSHEER KHAN AHAMED KHAN AHAMED  KHAN 302430107 CHQ NO ::100756</t>
  </si>
  <si>
    <t>6,180.04</t>
  </si>
  <si>
    <t>-5,152,378.47</t>
  </si>
  <si>
    <t>296</t>
  </si>
  <si>
    <t>000270</t>
  </si>
  <si>
    <t>CHEQUE DEPOSIT 000270 MUHAMMAD HAMEED MUHAMMAD   FAREED 604130075 CHQ NO ::000270</t>
  </si>
  <si>
    <t>210,372.50</t>
  </si>
  <si>
    <t>-4,942,005.97</t>
  </si>
  <si>
    <t>297</t>
  </si>
  <si>
    <t>603582</t>
  </si>
  <si>
    <t>CHEQUE DEPOSIT 603582 ABOOBACKER CHITTAKATH    VARIKKOTTIL 603515583 CHQ NO ::603582</t>
  </si>
  <si>
    <t>89,314.33</t>
  </si>
  <si>
    <t>-4,852,691.64</t>
  </si>
  <si>
    <t>000375</t>
  </si>
  <si>
    <t>CHEQUE DEPOSIT 000375 SHAMSHEER KHAN AHAMED KHAN AHAMED  KHAN 004020138 CHQ NO ::000375</t>
  </si>
  <si>
    <t>9,026.25</t>
  </si>
  <si>
    <t>-4,843,665.39</t>
  </si>
  <si>
    <t>299</t>
  </si>
  <si>
    <t>001181</t>
  </si>
  <si>
    <t>CHEQUE DEPOSIT 001181 ABDUL HARIS MUKKATTIL MUKKATTIL   SAIDALAVI 204610111 CHQ NO ::001181</t>
  </si>
  <si>
    <t>25,656.60</t>
  </si>
  <si>
    <t>-4,818,008.79</t>
  </si>
  <si>
    <t>300</t>
  </si>
  <si>
    <t>000202</t>
  </si>
  <si>
    <t>CHEQUE DEPOSIT 000202 SHAMSHEER KHAN AHAMED KHAN AHAMED  KHAN 703430137 CHQ NO ::000202</t>
  </si>
  <si>
    <t>209,013.50</t>
  </si>
  <si>
    <t>-4,608,995.29</t>
  </si>
  <si>
    <t>301</t>
  </si>
  <si>
    <t>202589</t>
  </si>
  <si>
    <t>CHEQUE DEPOSIT 202589 MUHAMMAD HAMEED MUHAMMAD   FAREED 302430107 CHQ NO ::202589</t>
  </si>
  <si>
    <t>16,550.50</t>
  </si>
  <si>
    <t>-4,592,444.79</t>
  </si>
  <si>
    <t>302</t>
  </si>
  <si>
    <t>000322</t>
  </si>
  <si>
    <t>CHEQUE DEPOSIT 000322 MUHAMMAD AKRAM NAZAR   MUHAMMAD 101110101 CHQ NO ::000322</t>
  </si>
  <si>
    <t>190,532.70</t>
  </si>
  <si>
    <t>-4,401,912.09</t>
  </si>
  <si>
    <t>303</t>
  </si>
  <si>
    <t>502430</t>
  </si>
  <si>
    <t>CHEQUE DEPOSIT 502430 SHAMSHEER KHAN AHAMED KHAN AHAMED  KHAN 805030156 CHQ NO ::502430</t>
  </si>
  <si>
    <t>150,488.25</t>
  </si>
  <si>
    <t>-4,251,423.84</t>
  </si>
  <si>
    <t>304</t>
  </si>
  <si>
    <t>50696828436</t>
  </si>
  <si>
    <t>2531464424 IBTRF B/O RANJIT KEDIA</t>
  </si>
  <si>
    <t>-4,191,423.84</t>
  </si>
  <si>
    <t>305</t>
  </si>
  <si>
    <t>PHUB518512967</t>
  </si>
  <si>
    <t>518512967 B/O MARIYAM HABIB YOUSEF ABDULLA ALSAYE</t>
  </si>
  <si>
    <t>2,005.25</t>
  </si>
  <si>
    <t>-4,189,418.59</t>
  </si>
  <si>
    <t>306</t>
  </si>
  <si>
    <t>PHUB518521266</t>
  </si>
  <si>
    <t>B/O_LATESH RAMAN  PA_518521266</t>
  </si>
  <si>
    <t>49,764.50</t>
  </si>
  <si>
    <t>-4,139,654.09</t>
  </si>
  <si>
    <t>307</t>
  </si>
  <si>
    <t>PHUB518533495</t>
  </si>
  <si>
    <t>B/O PERFECT REBUILDERS TECHNICA SER LLC</t>
  </si>
  <si>
    <t>19,560.00</t>
  </si>
  <si>
    <t>-4,120,094.09</t>
  </si>
  <si>
    <t>308</t>
  </si>
  <si>
    <t>PHUB518540595</t>
  </si>
  <si>
    <t>518540595 B/O AHMED KAMAL MOHAMED ABDELLATIF</t>
  </si>
  <si>
    <t>120.00</t>
  </si>
  <si>
    <t>-4,119,974.09</t>
  </si>
  <si>
    <t>309</t>
  </si>
  <si>
    <t>PHUB518558206</t>
  </si>
  <si>
    <t>01082501</t>
  </si>
  <si>
    <t>B/O AL EATEMAD FOODSTUFF  and  MEAT L.L.</t>
  </si>
  <si>
    <t>15,597.19</t>
  </si>
  <si>
    <t>-4,104,376.90</t>
  </si>
  <si>
    <t>310</t>
  </si>
  <si>
    <t>50699900629</t>
  </si>
  <si>
    <t>25769903551 MBTRF B/O ANAND SUBBIAH</t>
  </si>
  <si>
    <t>29,475.50</t>
  </si>
  <si>
    <t>-4,074,901.40</t>
  </si>
  <si>
    <t>311</t>
  </si>
  <si>
    <t>02-Aug-2025</t>
  </si>
  <si>
    <t>PHUB518632651</t>
  </si>
  <si>
    <t>B/O_CHANDRA MO_EBIL_518632651_SBI</t>
  </si>
  <si>
    <t>-4,022,901.40</t>
  </si>
  <si>
    <t>312</t>
  </si>
  <si>
    <t>PHUB518633081</t>
  </si>
  <si>
    <t>B/O_SAHAR FATH_NBAD_518633081_Transfe</t>
  </si>
  <si>
    <t>83,763.00</t>
  </si>
  <si>
    <t>-3,939,138.40</t>
  </si>
  <si>
    <t>313</t>
  </si>
  <si>
    <t>PHUB518633521</t>
  </si>
  <si>
    <t>B/O_NAHLA DRUG_BOML_518633521_ GOODS</t>
  </si>
  <si>
    <t>81,625.47</t>
  </si>
  <si>
    <t>-3,857,512.93</t>
  </si>
  <si>
    <t>314</t>
  </si>
  <si>
    <t>PHUB518633627</t>
  </si>
  <si>
    <t>B/O_KLYOVA AVI_NBAD_518633627_Exchang</t>
  </si>
  <si>
    <t>919,505.25</t>
  </si>
  <si>
    <t>-2,938,007.68</t>
  </si>
  <si>
    <t>315</t>
  </si>
  <si>
    <t>B/O_SULSA JAIN_BOML_518634535_ FAMILY</t>
  </si>
  <si>
    <t>-2,748,007.68</t>
  </si>
  <si>
    <t>316</t>
  </si>
  <si>
    <t>58,200.00</t>
  </si>
  <si>
    <t>-2,689,807.68</t>
  </si>
  <si>
    <t>317</t>
  </si>
  <si>
    <t>14,113.25</t>
  </si>
  <si>
    <t>-2,675,694.43</t>
  </si>
  <si>
    <t>318</t>
  </si>
  <si>
    <t>73,951.00</t>
  </si>
  <si>
    <t>-2,601,743.43</t>
  </si>
  <si>
    <t>319</t>
  </si>
  <si>
    <t>10,800.00</t>
  </si>
  <si>
    <t>-2,590,943.43</t>
  </si>
  <si>
    <t>320</t>
  </si>
  <si>
    <t>10,081.00</t>
  </si>
  <si>
    <t>-2,580,862.43</t>
  </si>
  <si>
    <t>321</t>
  </si>
  <si>
    <t>PHUB518653651</t>
  </si>
  <si>
    <t>B/O_1/R M N BO_DUIB_518653651_/REF/PA</t>
  </si>
  <si>
    <t>83,456.32</t>
  </si>
  <si>
    <t>-2,497,406.11</t>
  </si>
  <si>
    <t>322</t>
  </si>
  <si>
    <t>2508020854125928</t>
  </si>
  <si>
    <t>Sila Muroor Road AUH, 01ST AUG - Cash Collection TG</t>
  </si>
  <si>
    <t>-2,277,406.11</t>
  </si>
  <si>
    <t>323</t>
  </si>
  <si>
    <t>2508020854125949</t>
  </si>
  <si>
    <t>SANAYA ZAYED TOWN W/R, 01ST AUG - Cash Collection TG</t>
  </si>
  <si>
    <t>-2,057,406.11</t>
  </si>
  <si>
    <t>324</t>
  </si>
  <si>
    <t>2508020854125956</t>
  </si>
  <si>
    <t>Beda Zayed auh, 01ST AUG - Cash Collection TG</t>
  </si>
  <si>
    <t>-1,847,406.11</t>
  </si>
  <si>
    <t>325</t>
  </si>
  <si>
    <t>2508020854125963</t>
  </si>
  <si>
    <t>Ruwais AUH, 01ST AUG - Cash Collection TG</t>
  </si>
  <si>
    <t>-1,547,406.11</t>
  </si>
  <si>
    <t>326</t>
  </si>
  <si>
    <t>2508020854135966</t>
  </si>
  <si>
    <t>HAYER Al Ain1, 01ST AUG - Cash Collection TG</t>
  </si>
  <si>
    <t>-1,267,406.11</t>
  </si>
  <si>
    <t>327</t>
  </si>
  <si>
    <t>2508020854135985</t>
  </si>
  <si>
    <t>SWEIHAN  ALAIN, 01ST AUG - Cash Collection TG</t>
  </si>
  <si>
    <t>385,000.00</t>
  </si>
  <si>
    <t>-882,406.11</t>
  </si>
  <si>
    <t>328</t>
  </si>
  <si>
    <t>2508020854135988</t>
  </si>
  <si>
    <t>AL FOAH MALL AL-AIN, 01ST AUG - Cash Collection TG</t>
  </si>
  <si>
    <t>-372,406.11</t>
  </si>
  <si>
    <t>329</t>
  </si>
  <si>
    <t>2508020854135991</t>
  </si>
  <si>
    <t>Gayathi Mubarak Ashwan AUH, 01ST AUG - Cash Collection TG</t>
  </si>
  <si>
    <t>200,000.00</t>
  </si>
  <si>
    <t>-172,406.11</t>
  </si>
  <si>
    <t>330</t>
  </si>
  <si>
    <t>2508020854136010</t>
  </si>
  <si>
    <t>Gayathi Mall AUH, 01ST AUG - Cash Collection TG</t>
  </si>
  <si>
    <t>27,593.89</t>
  </si>
  <si>
    <t>331</t>
  </si>
  <si>
    <t>2508020854136019</t>
  </si>
  <si>
    <t>AL MARFA MARKET WR, 01ST AUG - Cash Collection TG</t>
  </si>
  <si>
    <t>327,593.89</t>
  </si>
  <si>
    <t>332</t>
  </si>
  <si>
    <t>2508020854136024</t>
  </si>
  <si>
    <t>Lulu Hyper Markete Sanaiya Al Ain, 01ST AUG - Cash Collection TG</t>
  </si>
  <si>
    <t>260,000.00</t>
  </si>
  <si>
    <t>587,593.89</t>
  </si>
  <si>
    <t>333</t>
  </si>
  <si>
    <t>2508020854136027</t>
  </si>
  <si>
    <t>Al Yahar Al Ain, 01ST AUG - Cash Collection TG</t>
  </si>
  <si>
    <t>1,087,593.89</t>
  </si>
  <si>
    <t>334</t>
  </si>
  <si>
    <t>2508020854136030</t>
  </si>
  <si>
    <t>AL FARDAN EXCH DEREI BLDNG AL QUAA AA, 01ST AUG - Cash Collection TG</t>
  </si>
  <si>
    <t>1,287,593.89</t>
  </si>
  <si>
    <t>335</t>
  </si>
  <si>
    <t>2508020854136033</t>
  </si>
  <si>
    <t>Boutik Mall al Reem island AUH, 01ST AUG - Cash Collection TG</t>
  </si>
  <si>
    <t>1,657,593.89</t>
  </si>
  <si>
    <t>336</t>
  </si>
  <si>
    <t>2508020854136042</t>
  </si>
  <si>
    <t>TCA AUH, 01ST AUG - Cash Collection TG</t>
  </si>
  <si>
    <t>1,927,593.89</t>
  </si>
  <si>
    <t>337</t>
  </si>
  <si>
    <t>2508020854136045</t>
  </si>
  <si>
    <t>Al Nahyan Street AUH, 01ST AUG - Cash Collection TG</t>
  </si>
  <si>
    <t>2,447,593.89</t>
  </si>
  <si>
    <t>338</t>
  </si>
  <si>
    <t>2508020854136052</t>
  </si>
  <si>
    <t>Muroor AUH, 01ST AUG - Cash Collection TG</t>
  </si>
  <si>
    <t>2,817,593.89</t>
  </si>
  <si>
    <t>339</t>
  </si>
  <si>
    <t>2508020854136055</t>
  </si>
  <si>
    <t>B2B AUH, 01ST AUG - Cash Collection TG</t>
  </si>
  <si>
    <t>3,077,593.89</t>
  </si>
  <si>
    <t>340</t>
  </si>
  <si>
    <t>2508020854136058</t>
  </si>
  <si>
    <t>Al Falah St Auh, 01ST AUG - Cash Collection TG</t>
  </si>
  <si>
    <t>215,000.00</t>
  </si>
  <si>
    <t>3,292,593.89</t>
  </si>
  <si>
    <t>341</t>
  </si>
  <si>
    <t>2508020854136061</t>
  </si>
  <si>
    <t>Zayed 1st Street Electra AUH, 01ST AUG - Cash Collection TG</t>
  </si>
  <si>
    <t>3,572,593.89</t>
  </si>
  <si>
    <t>342</t>
  </si>
  <si>
    <t>2508020854136064</t>
  </si>
  <si>
    <t>Hamdan Abu Dhabi, 01ST AUG - Cash Collection TG</t>
  </si>
  <si>
    <t>4,382,593.89</t>
  </si>
  <si>
    <t>343</t>
  </si>
  <si>
    <t>2508020854136067</t>
  </si>
  <si>
    <t>Bin Dhgher Tower Khalidya AUH, 01ST AUG - Cash Collection TG</t>
  </si>
  <si>
    <t>4,782,593.89</t>
  </si>
  <si>
    <t>344</t>
  </si>
  <si>
    <t>2508020854146070</t>
  </si>
  <si>
    <t>Al Wahda AUH, 01ST AUG - Cash Collection TG</t>
  </si>
  <si>
    <t>5,082,593.89</t>
  </si>
  <si>
    <t>345</t>
  </si>
  <si>
    <t>2508020854146073</t>
  </si>
  <si>
    <t>Al Dhafra AUH, 01ST AUG - Cash Collection TG</t>
  </si>
  <si>
    <t>590,000.00</t>
  </si>
  <si>
    <t>5,672,593.89</t>
  </si>
  <si>
    <t>346</t>
  </si>
  <si>
    <t>2508020854146076</t>
  </si>
  <si>
    <t>Al Ain (Clock Tower)1, 01ST AUG - Cash Collection TG</t>
  </si>
  <si>
    <t>870,000.00</t>
  </si>
  <si>
    <t>6,542,593.89</t>
  </si>
  <si>
    <t>347</t>
  </si>
  <si>
    <t>2508020854146091</t>
  </si>
  <si>
    <t>Souk Br Al-Ain, 01ST AUG - Cash Collection TG</t>
  </si>
  <si>
    <t>7,162,593.89</t>
  </si>
  <si>
    <t>348</t>
  </si>
  <si>
    <t>2508020854176990</t>
  </si>
  <si>
    <t>Baniyas AUH, 01ST AUG - Cash Collection TG</t>
  </si>
  <si>
    <t>410,000.00</t>
  </si>
  <si>
    <t>7,572,593.89</t>
  </si>
  <si>
    <t>349</t>
  </si>
  <si>
    <t>2508020854176999</t>
  </si>
  <si>
    <t>Old Shahama, 01ST AUG - Cash Collection TG</t>
  </si>
  <si>
    <t>7,832,593.89</t>
  </si>
  <si>
    <t>350</t>
  </si>
  <si>
    <t>2508020854177010</t>
  </si>
  <si>
    <t>Al Forshan Central Mall Khalifa City AUH, 01ST AUG - Cash Collection TG</t>
  </si>
  <si>
    <t>560,000.00</t>
  </si>
  <si>
    <t>8,392,593.89</t>
  </si>
  <si>
    <t>351</t>
  </si>
  <si>
    <t>2508020854177016</t>
  </si>
  <si>
    <t>Shamkha Mall Abu dhabi, 01ST AUG - Cash Collection TG</t>
  </si>
  <si>
    <t>8,772,593.89</t>
  </si>
  <si>
    <t>352</t>
  </si>
  <si>
    <t>2508020854177032</t>
  </si>
  <si>
    <t>Musaffah Shabiya AUH, 01ST AUG - Cash Collection TG</t>
  </si>
  <si>
    <t>9,172,593.89</t>
  </si>
  <si>
    <t>353</t>
  </si>
  <si>
    <t>2508020854177035</t>
  </si>
  <si>
    <t>ICAD Musaffah AUH, 01ST AUG - Cash Collection TG</t>
  </si>
  <si>
    <t>416,000.00</t>
  </si>
  <si>
    <t>9,588,593.89</t>
  </si>
  <si>
    <t>354</t>
  </si>
  <si>
    <t>2508020854228123</t>
  </si>
  <si>
    <t>NESTO HYPRMRKT AJM, 01ST AUG - Cash Collection TG</t>
  </si>
  <si>
    <t>9,788,593.89</t>
  </si>
  <si>
    <t>355</t>
  </si>
  <si>
    <t>2508020854228132</t>
  </si>
  <si>
    <t>GOLDLAND BRANCH DXB, 01ST AUG - Cash Collection TG</t>
  </si>
  <si>
    <t>890,000.00</t>
  </si>
  <si>
    <t>10,678,593.89</t>
  </si>
  <si>
    <t>356</t>
  </si>
  <si>
    <t>2508020854228157</t>
  </si>
  <si>
    <t>CITY CENTER AL ZAHIA SHJ, 01ST AUG - Cash Collection TG</t>
  </si>
  <si>
    <t>11,178,593.89</t>
  </si>
  <si>
    <t>357</t>
  </si>
  <si>
    <t>2508020854228168</t>
  </si>
  <si>
    <t>DUBAI HILLS ESTATE DUBAI, 01ST AUG - Cash Collection TG</t>
  </si>
  <si>
    <t>12,038,593.89</t>
  </si>
  <si>
    <t>358</t>
  </si>
  <si>
    <t>2508020854228179</t>
  </si>
  <si>
    <t>NAIF RD, 01ST AUG - Cash Collection TG</t>
  </si>
  <si>
    <t>560,260.00</t>
  </si>
  <si>
    <t>12,598,853.89</t>
  </si>
  <si>
    <t>359</t>
  </si>
  <si>
    <t>2508020854228182</t>
  </si>
  <si>
    <t>FUJAIRAH, 01ST AUG - Cash Collection TG</t>
  </si>
  <si>
    <t>950,000.00</t>
  </si>
  <si>
    <t>13,548,853.89</t>
  </si>
  <si>
    <t>360</t>
  </si>
  <si>
    <t>2508020854228201</t>
  </si>
  <si>
    <t>AL KHAN BMW SHJ, 01ST AUG - Cash Collection TG</t>
  </si>
  <si>
    <t>290,000.00</t>
  </si>
  <si>
    <t>13,838,853.89</t>
  </si>
  <si>
    <t>361</t>
  </si>
  <si>
    <t>2508020854228204</t>
  </si>
  <si>
    <t>MEGA MALL SHARJAH BR 1, 01ST AUG - Cash Collection TG</t>
  </si>
  <si>
    <t>14,118,853.89</t>
  </si>
  <si>
    <t>362</t>
  </si>
  <si>
    <t>2508020854228207</t>
  </si>
  <si>
    <t>UAQ, 01ST AUG - Cash Collection TG</t>
  </si>
  <si>
    <t>476,000.00</t>
  </si>
  <si>
    <t>14,594,853.89</t>
  </si>
  <si>
    <t>363</t>
  </si>
  <si>
    <t>2508020854228210</t>
  </si>
  <si>
    <t>CLOCK TOWER 1, 01ST AUG - Cash Collection TG</t>
  </si>
  <si>
    <t>14,924,853.89</t>
  </si>
  <si>
    <t>364</t>
  </si>
  <si>
    <t>2508020854228213</t>
  </si>
  <si>
    <t>AL MINA NESTO BR DXB, 01ST AUG - Cash Collection TG</t>
  </si>
  <si>
    <t>420,050.00</t>
  </si>
  <si>
    <t>15,344,903.89</t>
  </si>
  <si>
    <t>365</t>
  </si>
  <si>
    <t>2508020854228216</t>
  </si>
  <si>
    <t>CO OP SOCIETY SHJ 1, 01ST AUG - Cash Collection TG</t>
  </si>
  <si>
    <t>15,594,903.89</t>
  </si>
  <si>
    <t>366</t>
  </si>
  <si>
    <t>2508020854228219</t>
  </si>
  <si>
    <t>KHAN SAHIB BLDG SHJ, 01ST AUG - Cash Collection TG</t>
  </si>
  <si>
    <t>15,894,903.89</t>
  </si>
  <si>
    <t>367</t>
  </si>
  <si>
    <t>2508020854228222</t>
  </si>
  <si>
    <t>AL AMEED MALL, 01ST AUG - Cash Collection TG</t>
  </si>
  <si>
    <t>16,764,903.89</t>
  </si>
  <si>
    <t>368</t>
  </si>
  <si>
    <t>2508020854228229</t>
  </si>
  <si>
    <t>DEIRA 1, 01ST AUG - Cash Collection TG</t>
  </si>
  <si>
    <t>900,000.00</t>
  </si>
  <si>
    <t>17,664,903.89</t>
  </si>
  <si>
    <t>369</t>
  </si>
  <si>
    <t>2508020854228237</t>
  </si>
  <si>
    <t>BUR DUBAI, 01ST AUG - Cash Collection TG</t>
  </si>
  <si>
    <t>850,000.00</t>
  </si>
  <si>
    <t>18,514,903.89</t>
  </si>
  <si>
    <t>370</t>
  </si>
  <si>
    <t>2508020854228251</t>
  </si>
  <si>
    <t>SATWA 1, 01ST AUG - Cash Collection TG</t>
  </si>
  <si>
    <t>19,074,903.89</t>
  </si>
  <si>
    <t>371</t>
  </si>
  <si>
    <t>2508020854238254</t>
  </si>
  <si>
    <t>AL NHDA RES TWRS  SHJ, 01ST AUG - Cash Collection TG</t>
  </si>
  <si>
    <t>19,374,903.89</t>
  </si>
  <si>
    <t>372</t>
  </si>
  <si>
    <t>2508020854238259</t>
  </si>
  <si>
    <t>AL MADAM SHJ, 01ST AUG - Cash Collection TG</t>
  </si>
  <si>
    <t>19,764,903.89</t>
  </si>
  <si>
    <t>373</t>
  </si>
  <si>
    <t>2508020854238288</t>
  </si>
  <si>
    <t>SAJA INDUSTRIAL SHJ 2, 01ST AUG - Cash Collection TG</t>
  </si>
  <si>
    <t>20,044,903.89</t>
  </si>
  <si>
    <t>374</t>
  </si>
  <si>
    <t>2508020854238307</t>
  </si>
  <si>
    <t>KARAMA DUBAI, 01ST AUG - Cash Collection TG</t>
  </si>
  <si>
    <t>20,644,903.89</t>
  </si>
  <si>
    <t>375</t>
  </si>
  <si>
    <t>2508020854238310</t>
  </si>
  <si>
    <t>MOE 1, 01ST AUG - Cash Collection TG</t>
  </si>
  <si>
    <t>22,644,903.89</t>
  </si>
  <si>
    <t>376</t>
  </si>
  <si>
    <t>2508020854238313</t>
  </si>
  <si>
    <t>AL RIGGA METRO STION DXB, 01ST AUG - Cash Collection TG</t>
  </si>
  <si>
    <t>1,640,000.00</t>
  </si>
  <si>
    <t>24,284,903.89</t>
  </si>
  <si>
    <t>377</t>
  </si>
  <si>
    <t>50705557334</t>
  </si>
  <si>
    <t>25776709220 MBTRF B/O SUNIL  AKBAR</t>
  </si>
  <si>
    <t>25,268.40</t>
  </si>
  <si>
    <t>24,310,172.29</t>
  </si>
  <si>
    <t>378</t>
  </si>
  <si>
    <t>001926</t>
  </si>
  <si>
    <t>28,700.00</t>
  </si>
  <si>
    <t>24,281,472.29</t>
  </si>
  <si>
    <t>379</t>
  </si>
  <si>
    <t>50705922002</t>
  </si>
  <si>
    <t>25777126436 MBTRF B/O GAURAV JUNEJA</t>
  </si>
  <si>
    <t>24,381,472.29</t>
  </si>
  <si>
    <t>380</t>
  </si>
  <si>
    <t>PHUB518684546</t>
  </si>
  <si>
    <t>B/O BANIYAS SPIKE TRADING COMPANY LLC</t>
  </si>
  <si>
    <t>440,613.45</t>
  </si>
  <si>
    <t>24,822,085.74</t>
  </si>
  <si>
    <t>381</t>
  </si>
  <si>
    <t>PHUB518684554</t>
  </si>
  <si>
    <t>549,060.65</t>
  </si>
  <si>
    <t>25,371,146.39</t>
  </si>
  <si>
    <t>382</t>
  </si>
  <si>
    <t>PHUB518678441</t>
  </si>
  <si>
    <t>21,088.00</t>
  </si>
  <si>
    <t>25,392,234.39</t>
  </si>
  <si>
    <t>383</t>
  </si>
  <si>
    <t>PHUB518678641</t>
  </si>
  <si>
    <t>518678641 B/O MAHMOD ABDALA M AYYAD</t>
  </si>
  <si>
    <t>7,822.00</t>
  </si>
  <si>
    <t>25,400,056.39</t>
  </si>
  <si>
    <t>384</t>
  </si>
  <si>
    <t>50706196855</t>
  </si>
  <si>
    <t>2531686139 IBTRF B/O RIZWAN HUSSAIN AND OR ARIFA HUSSAIN</t>
  </si>
  <si>
    <t>119.50</t>
  </si>
  <si>
    <t>25,400,175.89</t>
  </si>
  <si>
    <t>385</t>
  </si>
  <si>
    <t>PHUB518687843</t>
  </si>
  <si>
    <t>B/O_CONSLTANCY AND T_518687843</t>
  </si>
  <si>
    <t>31,421.50</t>
  </si>
  <si>
    <t>25,431,597.39</t>
  </si>
  <si>
    <t>386</t>
  </si>
  <si>
    <t>PHUB518687942</t>
  </si>
  <si>
    <t>MOB0208250931007954472</t>
  </si>
  <si>
    <t>B/O JABEL ALI VEGETABLE AND FRUITS EST</t>
  </si>
  <si>
    <t>43,692.00</t>
  </si>
  <si>
    <t>25,475,289.39</t>
  </si>
  <si>
    <t>387</t>
  </si>
  <si>
    <t>PHUB518705340</t>
  </si>
  <si>
    <t>518705340 B/O RKA GLOBAL CHARTERED ACCOUNTANTS L.L.C</t>
  </si>
  <si>
    <t>9,736.25</t>
  </si>
  <si>
    <t>25,485,025.64</t>
  </si>
  <si>
    <t>388</t>
  </si>
  <si>
    <t>33.00</t>
  </si>
  <si>
    <t>25,485,058.64</t>
  </si>
  <si>
    <t>389</t>
  </si>
  <si>
    <t>PHUB518706183</t>
  </si>
  <si>
    <t>B/O_L.L.C EXCE_ADIB_518706183_QU2058</t>
  </si>
  <si>
    <t>56,957.50</t>
  </si>
  <si>
    <t>25,542,016.14</t>
  </si>
  <si>
    <t>390</t>
  </si>
  <si>
    <t>PHUB518709578</t>
  </si>
  <si>
    <t>518709578 B/O FATMA ELSAID MOHAMED SAKR ELSHENNAWY</t>
  </si>
  <si>
    <t>25,544,516.14</t>
  </si>
  <si>
    <t>391</t>
  </si>
  <si>
    <t>518715267 B/O ISMAT SEALS INC</t>
  </si>
  <si>
    <t>31,568.48</t>
  </si>
  <si>
    <t>25,576,084.62</t>
  </si>
  <si>
    <t>392</t>
  </si>
  <si>
    <t>PHUB518716088</t>
  </si>
  <si>
    <t>MARIA AND ROSE SAL</t>
  </si>
  <si>
    <t>B/O CUT ON CAR PETS GROOMING LLC</t>
  </si>
  <si>
    <t>4,004.20</t>
  </si>
  <si>
    <t>25,580,088.82</t>
  </si>
  <si>
    <t>393</t>
  </si>
  <si>
    <t>PHUB518696788</t>
  </si>
  <si>
    <t>518696788 B/O FATMA ELSAID MOHAMED SAKR ELSHENNAWY</t>
  </si>
  <si>
    <t>25,590,088.82</t>
  </si>
  <si>
    <t>394</t>
  </si>
  <si>
    <t>50707346027</t>
  </si>
  <si>
    <t>2531733158 IBTRF B/O RAJESH KATHADETHU RAVEENDRAN NAIR</t>
  </si>
  <si>
    <t>44,000.00</t>
  </si>
  <si>
    <t>25,634,088.82</t>
  </si>
  <si>
    <t>395</t>
  </si>
  <si>
    <t>50707733718</t>
  </si>
  <si>
    <t>25779112648 MBTRF_B/O PRINCE BENNY</t>
  </si>
  <si>
    <t>262.50</t>
  </si>
  <si>
    <t>25,634,351.32</t>
  </si>
  <si>
    <t>396</t>
  </si>
  <si>
    <t>518703205 B/O KHAMIS RASHED KHAMIS ALSUBOUSI</t>
  </si>
  <si>
    <t>2,321.00</t>
  </si>
  <si>
    <t>25,636,672.32</t>
  </si>
  <si>
    <t>397</t>
  </si>
  <si>
    <t>35,976.00</t>
  </si>
  <si>
    <t>25,672,648.32</t>
  </si>
  <si>
    <t>398</t>
  </si>
  <si>
    <t>PHUB518745192</t>
  </si>
  <si>
    <t>B/O_AL FARDAN _EBIL_518745192_ADCBAUH</t>
  </si>
  <si>
    <t>8,500,000.00</t>
  </si>
  <si>
    <t>34,172,648.32</t>
  </si>
  <si>
    <t>399</t>
  </si>
  <si>
    <t>PHUB518746981</t>
  </si>
  <si>
    <t>ALFARDAN AUG2501</t>
  </si>
  <si>
    <t>B/O SAMA SALT PRODUCTION CO LLC</t>
  </si>
  <si>
    <t>83,698.00</t>
  </si>
  <si>
    <t>34,256,346.32</t>
  </si>
  <si>
    <t>400</t>
  </si>
  <si>
    <t>PHUB518751779</t>
  </si>
  <si>
    <t>518751779 B/O ANANT SHANTIKUMAR DAHALE</t>
  </si>
  <si>
    <t>34,291,346.32</t>
  </si>
  <si>
    <t>401</t>
  </si>
  <si>
    <t>PHUB518753819</t>
  </si>
  <si>
    <t>IMD 02082025</t>
  </si>
  <si>
    <t>50,388,913.21</t>
  </si>
  <si>
    <t>-16,097,566.89</t>
  </si>
  <si>
    <t>402</t>
  </si>
  <si>
    <t>000839</t>
  </si>
  <si>
    <t>INHOUSE CHEQUE DEPOSIT 000839 MUHAMMAD HAMEED MUHAMMAD   FAREED AL FARDAN EXCHANGE SP LLC CHQ NO ::000839</t>
  </si>
  <si>
    <t>-15,997,566.89</t>
  </si>
  <si>
    <t>403</t>
  </si>
  <si>
    <t>PHUB518756193</t>
  </si>
  <si>
    <t>B/O_1/OSAMAH I_DUIB_518756193_/REF/pe</t>
  </si>
  <si>
    <t>-15,897,566.89</t>
  </si>
  <si>
    <t>404</t>
  </si>
  <si>
    <t>ADCB INTERBRANCH ONL</t>
  </si>
  <si>
    <t>TRF TO INTER BRANCH ONLINE MALL OF EMIRA</t>
  </si>
  <si>
    <t>129,184.00</t>
  </si>
  <si>
    <t>-16,026,750.89</t>
  </si>
  <si>
    <t>405</t>
  </si>
  <si>
    <t>PHUB518758406</t>
  </si>
  <si>
    <t>B/O_USAMA SAMEED KHA_518758406</t>
  </si>
  <si>
    <t>1,700.00</t>
  </si>
  <si>
    <t>-16,025,050.89</t>
  </si>
  <si>
    <t>406</t>
  </si>
  <si>
    <t>PHUB518760062</t>
  </si>
  <si>
    <t>B/O SIGMA OILFIELD SOLUTION LLC</t>
  </si>
  <si>
    <t>33,126.50</t>
  </si>
  <si>
    <t>-15,991,924.39</t>
  </si>
  <si>
    <t>407</t>
  </si>
  <si>
    <t>PHUB518760755</t>
  </si>
  <si>
    <t>B/O_MOHAMMAD HUSSEI _518760755</t>
  </si>
  <si>
    <t>45,580.00</t>
  </si>
  <si>
    <t>-15,946,344.39</t>
  </si>
  <si>
    <t>408</t>
  </si>
  <si>
    <t>PHUB518762297</t>
  </si>
  <si>
    <t>347,588.15</t>
  </si>
  <si>
    <t>-15,598,756.24</t>
  </si>
  <si>
    <t>409</t>
  </si>
  <si>
    <t>PHUB518770135</t>
  </si>
  <si>
    <t>FEB 2025 SALARY</t>
  </si>
  <si>
    <t>B/O TANJENT GENERAL CONTRACTING LLC</t>
  </si>
  <si>
    <t>1,307.20</t>
  </si>
  <si>
    <t>-15,597,449.04</t>
  </si>
  <si>
    <t>410</t>
  </si>
  <si>
    <t>PHUB518777817</t>
  </si>
  <si>
    <t>QUARTET S A PAYMENT</t>
  </si>
  <si>
    <t>B/O AL ROWAD TRADING CO</t>
  </si>
  <si>
    <t>42,397.50</t>
  </si>
  <si>
    <t>-15,555,051.54</t>
  </si>
  <si>
    <t>411</t>
  </si>
  <si>
    <t>PHUB518789207</t>
  </si>
  <si>
    <t>518789207 B/O HAMZA AHMED SHEIKH</t>
  </si>
  <si>
    <t>4,000.00</t>
  </si>
  <si>
    <t>-15,551,051.54</t>
  </si>
  <si>
    <t>412</t>
  </si>
  <si>
    <t>PHUB518792311</t>
  </si>
  <si>
    <t>MOB0208251214087957019</t>
  </si>
  <si>
    <t>B/O AL OLA NEW AUTO SPARE PARTS TR CO L</t>
  </si>
  <si>
    <t>73,540.50</t>
  </si>
  <si>
    <t>-15,477,511.04</t>
  </si>
  <si>
    <t>413</t>
  </si>
  <si>
    <t>50710516037</t>
  </si>
  <si>
    <t>25782182843 MBTRF B/O VIJAY MADHUKAR PAGAR</t>
  </si>
  <si>
    <t>-15,467,511.04</t>
  </si>
  <si>
    <t>414</t>
  </si>
  <si>
    <t>PHUB518801717</t>
  </si>
  <si>
    <t>B/O_LLC NAJIMAT AL I_518801717</t>
  </si>
  <si>
    <t>7,214.00</t>
  </si>
  <si>
    <t>-15,460,297.04</t>
  </si>
  <si>
    <t>415</t>
  </si>
  <si>
    <t>-15,456,297.04</t>
  </si>
  <si>
    <t>416</t>
  </si>
  <si>
    <t>PHUB518809030</t>
  </si>
  <si>
    <t>ER01405 AL FARDAN IR</t>
  </si>
  <si>
    <t>B/O SHOROOQ PARTNERS LTD</t>
  </si>
  <si>
    <t>18,482.99</t>
  </si>
  <si>
    <t>-15,437,814.05</t>
  </si>
  <si>
    <t>417</t>
  </si>
  <si>
    <t>PHUB518808994</t>
  </si>
  <si>
    <t>ER01369 AL FARDAN</t>
  </si>
  <si>
    <t>61,228.17</t>
  </si>
  <si>
    <t>-15,376,585.88</t>
  </si>
  <si>
    <t>418</t>
  </si>
  <si>
    <t>013649</t>
  </si>
  <si>
    <t>INHOUSE CHEQUE DEPOSIT 013649 AJMAL RAZAK    RAZAK AL FARDAN EXCHANGE SP LLC CHQ NO ::013649</t>
  </si>
  <si>
    <t>71,123.55</t>
  </si>
  <si>
    <t>-15,305,462.33</t>
  </si>
  <si>
    <t>419</t>
  </si>
  <si>
    <t>PHUB518841408</t>
  </si>
  <si>
    <t>76,238.90</t>
  </si>
  <si>
    <t>-15,229,223.43</t>
  </si>
  <si>
    <t>420</t>
  </si>
  <si>
    <t>000874</t>
  </si>
  <si>
    <t>INHOUSE CHEQUE DEPOSIT 000874 ASHIR NALLA KANDY     MUHAMMED PARAYIL AL FARDAN EXCHANGE SP LLC CHQ NO ::000874</t>
  </si>
  <si>
    <t>15,500.00</t>
  </si>
  <si>
    <t>-15,213,723.43</t>
  </si>
  <si>
    <t>421</t>
  </si>
  <si>
    <t>PHUB518846732</t>
  </si>
  <si>
    <t>ER01468 AL FARDAN</t>
  </si>
  <si>
    <t>152,255.61</t>
  </si>
  <si>
    <t>-15,061,467.82</t>
  </si>
  <si>
    <t>422</t>
  </si>
  <si>
    <t>PHUB518848113</t>
  </si>
  <si>
    <t>B/O_UNIVERSAL _BARB_518848113_VIBGYOR</t>
  </si>
  <si>
    <t>2,170.65</t>
  </si>
  <si>
    <t>-15,059,297.17</t>
  </si>
  <si>
    <t>423</t>
  </si>
  <si>
    <t>50713446910</t>
  </si>
  <si>
    <t>2531981404 IBTRF B/O BLUE FIG RESTAURANT LLC OPC</t>
  </si>
  <si>
    <t>64,805.00</t>
  </si>
  <si>
    <t>-14,994,492.17</t>
  </si>
  <si>
    <t>424</t>
  </si>
  <si>
    <t>PHUB518852705</t>
  </si>
  <si>
    <t>518852705 B/O YOUSEF ALSHAIBA KHAMIS ABDULLA ALSH</t>
  </si>
  <si>
    <t>4,493.50</t>
  </si>
  <si>
    <t>-14,989,998.67</t>
  </si>
  <si>
    <t>425</t>
  </si>
  <si>
    <t>005760</t>
  </si>
  <si>
    <t>INHOUSE CHEQUE DEPOSIT 005760 JOBI KAVUNGAL JOHNY KAVUNGAL   JOHNY AL FARDAN EXCHANGE SP LLC CHQ NO ::005760</t>
  </si>
  <si>
    <t>36,856.00</t>
  </si>
  <si>
    <t>-14,953,142.67</t>
  </si>
  <si>
    <t>426</t>
  </si>
  <si>
    <t>000411</t>
  </si>
  <si>
    <t>INHOUSE CHEQUE DEPOSIT 000411 AMEER HUMZA     ABDUL RAHIM AL FARDAN EXCHANGE SP LLC CHQ NO ::000411</t>
  </si>
  <si>
    <t>17,331.50</t>
  </si>
  <si>
    <t>-14,935,811.17</t>
  </si>
  <si>
    <t>427</t>
  </si>
  <si>
    <t>INHOUSE CHEQUE DEPOSIT 000049 DIL JAN MOHAMMAD   ALI AL FARDAN EXCHANGE SP LLC CHQ NO ::000049</t>
  </si>
  <si>
    <t>293,940.50</t>
  </si>
  <si>
    <t>-14,641,870.67</t>
  </si>
  <si>
    <t>428</t>
  </si>
  <si>
    <t>PHUB518884400</t>
  </si>
  <si>
    <t>B/O_KHALAF KHAMIS HA_518884400</t>
  </si>
  <si>
    <t>21,505.25</t>
  </si>
  <si>
    <t>-14,620,365.42</t>
  </si>
  <si>
    <t>429</t>
  </si>
  <si>
    <t>92,300.00</t>
  </si>
  <si>
    <t>-14,528,065.42</t>
  </si>
  <si>
    <t>430</t>
  </si>
  <si>
    <t>PHUB518903403</t>
  </si>
  <si>
    <t>MOB0208251604557960778</t>
  </si>
  <si>
    <t>B/O MAESTRO EVENTS LLC</t>
  </si>
  <si>
    <t>129,165.00</t>
  </si>
  <si>
    <t>-14,398,900.42</t>
  </si>
  <si>
    <t>431</t>
  </si>
  <si>
    <t>PHUB518911759</t>
  </si>
  <si>
    <t>B/O_AL FARDAN _EBIL_518911759_ADCBAUH</t>
  </si>
  <si>
    <t>6,300,000.00</t>
  </si>
  <si>
    <t>-8,098,900.42</t>
  </si>
  <si>
    <t>432</t>
  </si>
  <si>
    <t>PHUB518913135</t>
  </si>
  <si>
    <t>B/O_AMRO MAHMOUD AMI_518913135</t>
  </si>
  <si>
    <t>20,748.65</t>
  </si>
  <si>
    <t>-8,078,151.77</t>
  </si>
  <si>
    <t>433</t>
  </si>
  <si>
    <t>50716774540</t>
  </si>
  <si>
    <t>25789302767 MBTRF B/O TARIQ SALAM</t>
  </si>
  <si>
    <t>30,322.50</t>
  </si>
  <si>
    <t>-8,047,829.27</t>
  </si>
  <si>
    <t>434</t>
  </si>
  <si>
    <t>50717155482</t>
  </si>
  <si>
    <t>2532094832 IBTRF B/O NATIONAL FLOWERS LLC SPC</t>
  </si>
  <si>
    <t>29,759.87</t>
  </si>
  <si>
    <t>-8,018,069.40</t>
  </si>
  <si>
    <t>435</t>
  </si>
  <si>
    <t>PHUB518924312</t>
  </si>
  <si>
    <t>518924312 B/O ROBUST HOSES LLC</t>
  </si>
  <si>
    <t>9,996.60</t>
  </si>
  <si>
    <t>-8,008,072.80</t>
  </si>
  <si>
    <t>436</t>
  </si>
  <si>
    <t>PHUB518926865</t>
  </si>
  <si>
    <t>B/O_AL FARDAN _CBDU_518926865_Own Acc</t>
  </si>
  <si>
    <t>-4,708,072.80</t>
  </si>
  <si>
    <t>437</t>
  </si>
  <si>
    <t>PHUB518928920</t>
  </si>
  <si>
    <t>AL FARDHAN EXCH</t>
  </si>
  <si>
    <t>B/O NASSER SAEED ALHAJRI &amp; PA.C.COM.AUH</t>
  </si>
  <si>
    <t>9,294.00</t>
  </si>
  <si>
    <t>-4,698,778.80</t>
  </si>
  <si>
    <t>438</t>
  </si>
  <si>
    <t>PHUB518932551</t>
  </si>
  <si>
    <t>MOB0208251711307961714</t>
  </si>
  <si>
    <t>B/O YALLA CONNECT MARKETING MGMT LLC</t>
  </si>
  <si>
    <t>200,052.50</t>
  </si>
  <si>
    <t>-4,498,726.30</t>
  </si>
  <si>
    <t>439</t>
  </si>
  <si>
    <t>PHUB518933445</t>
  </si>
  <si>
    <t>PROBE INTERIORS WPS</t>
  </si>
  <si>
    <t>B/O PROBE INTERIORS LLC</t>
  </si>
  <si>
    <t>188,884.42</t>
  </si>
  <si>
    <t>-4,309,841.88</t>
  </si>
  <si>
    <t>440</t>
  </si>
  <si>
    <t>PHUB518936085</t>
  </si>
  <si>
    <t>PROBE ELECTRICAL WPS</t>
  </si>
  <si>
    <t>B/O PROBE ELECTRICAL TRADING L.L.C</t>
  </si>
  <si>
    <t>46,298.25</t>
  </si>
  <si>
    <t>-4,263,543.63</t>
  </si>
  <si>
    <t>441</t>
  </si>
  <si>
    <t>10,026.25</t>
  </si>
  <si>
    <t>-4,253,517.38</t>
  </si>
  <si>
    <t>442</t>
  </si>
  <si>
    <t>PHUB518947991</t>
  </si>
  <si>
    <t>518947991 B/O TILAL AL WADI BLDG CONTRACTING LLC</t>
  </si>
  <si>
    <t>5,093.25</t>
  </si>
  <si>
    <t>-4,248,424.13</t>
  </si>
  <si>
    <t>443</t>
  </si>
  <si>
    <t>PHUB518948446</t>
  </si>
  <si>
    <t>PLID JUNE SALARY</t>
  </si>
  <si>
    <t>B/O PINK LINE VOGUE INTERIOR DECORA LLC</t>
  </si>
  <si>
    <t>141,673.38</t>
  </si>
  <si>
    <t>-4,106,750.75</t>
  </si>
  <si>
    <t>444</t>
  </si>
  <si>
    <t>000045</t>
  </si>
  <si>
    <t>DELPHIN</t>
  </si>
  <si>
    <t>CHEQUE DEPOSIT DELPHIN 002620109 CHQ NO ::000045</t>
  </si>
  <si>
    <t>110,000.00</t>
  </si>
  <si>
    <t>-3,996,750.75</t>
  </si>
  <si>
    <t>445</t>
  </si>
  <si>
    <t>935254</t>
  </si>
  <si>
    <t>MAHESH</t>
  </si>
  <si>
    <t>CHEQUE DEPOSIT MAHESH 902021035 CHQ NO ::935254</t>
  </si>
  <si>
    <t>21,231.00</t>
  </si>
  <si>
    <t>-3,975,519.75</t>
  </si>
  <si>
    <t>446</t>
  </si>
  <si>
    <t>500174</t>
  </si>
  <si>
    <t>CHEQUE DEPOSIT 500174 NISSAR MANGADAN MOIDEEN   MANGADAN 805011045 CHQ NO ::500174</t>
  </si>
  <si>
    <t>173,026.00</t>
  </si>
  <si>
    <t>-3,802,493.75</t>
  </si>
  <si>
    <t>447</t>
  </si>
  <si>
    <t>CHEQUE DEPOSIT 000034 MUHAMMAD AKRAM NAZAR   MUHAMMAD 803310113 CHQ NO ::000034</t>
  </si>
  <si>
    <t>650,023.10</t>
  </si>
  <si>
    <t>-3,152,470.65</t>
  </si>
  <si>
    <t>448</t>
  </si>
  <si>
    <t>000044</t>
  </si>
  <si>
    <t>CHEQUE DEPOSIT 000044 NAFAS ETTAPPURATH UMMER UMMER ETTAPPURATH   SULAIM 104020113 CHQ NO ::000044</t>
  </si>
  <si>
    <t>444,555.00</t>
  </si>
  <si>
    <t>-2,707,915.65</t>
  </si>
  <si>
    <t>449</t>
  </si>
  <si>
    <t>002319</t>
  </si>
  <si>
    <t>CHEQUE DEPOSIT 002319 MUHAMMAD BILAL    MUHAMMAD ILYAS 903320188 CHQ NO ::002319</t>
  </si>
  <si>
    <t>2,618.00</t>
  </si>
  <si>
    <t>-2,705,297.65</t>
  </si>
  <si>
    <t>450</t>
  </si>
  <si>
    <t>503393</t>
  </si>
  <si>
    <t>CHEQUE DEPOSIT 503393 NISSAR MANGADAN MOIDEEN   MANGADAN 805011001 CHQ NO ::503393</t>
  </si>
  <si>
    <t>240,890.50</t>
  </si>
  <si>
    <t>-2,464,407.15</t>
  </si>
  <si>
    <t>451</t>
  </si>
  <si>
    <t>501547</t>
  </si>
  <si>
    <t>CHEQUE DEPOSIT 501547 ABOU KHEIR M CHAFIK   HAKMI 205010141 CHQ NO ::501547</t>
  </si>
  <si>
    <t>112,699.00</t>
  </si>
  <si>
    <t>-2,351,708.15</t>
  </si>
  <si>
    <t>452</t>
  </si>
  <si>
    <t>000003</t>
  </si>
  <si>
    <t>CHEQUE DEPOSIT 000003 MUHAMMAD ZUBAIR MUHAMMAD    IFTIKHAR 502010101 CHQ NO ::000003</t>
  </si>
  <si>
    <t>-2,221,708.15</t>
  </si>
  <si>
    <t>453</t>
  </si>
  <si>
    <t>000266</t>
  </si>
  <si>
    <t>CHEQUE DEPOSIT 000266 NAFAS ETTAPPURATH UMMER UMMER ETTAPPURATH   SULAIM 104020113 CHQ NO ::000266</t>
  </si>
  <si>
    <t>85,445.00</t>
  </si>
  <si>
    <t>-2,136,263.15</t>
  </si>
  <si>
    <t>454</t>
  </si>
  <si>
    <t>006600</t>
  </si>
  <si>
    <t>CHEQUE DEPOSIT 006600 DAVID JR DIWA    SAENZ 103470151 CHQ NO ::006600</t>
  </si>
  <si>
    <t>88,800.00</t>
  </si>
  <si>
    <t>-2,047,463.15</t>
  </si>
  <si>
    <t>455</t>
  </si>
  <si>
    <t>226390</t>
  </si>
  <si>
    <t>CHEQUE DEPOSIT 226390 SUNIL RAJAN    RAJAN 202060161 CHQ NO ::226390</t>
  </si>
  <si>
    <t>25,530.00</t>
  </si>
  <si>
    <t>-2,021,933.15</t>
  </si>
  <si>
    <t>456</t>
  </si>
  <si>
    <t>000901</t>
  </si>
  <si>
    <t>CHEQUE DEPOSIT 000901 MUHAMMAD HAMEED MUHAMMAD   FAREED 104030136 CHQ NO ::000901</t>
  </si>
  <si>
    <t>26,513.00</t>
  </si>
  <si>
    <t>-1,995,420.15</t>
  </si>
  <si>
    <t>457</t>
  </si>
  <si>
    <t>002100</t>
  </si>
  <si>
    <t>CHEQUE DEPOSIT 002100 DIL JAN MOHAMMAD   ALI 004730105 CHQ NO ::002100</t>
  </si>
  <si>
    <t>28,876.00</t>
  </si>
  <si>
    <t>-1,966,544.15</t>
  </si>
  <si>
    <t>458</t>
  </si>
  <si>
    <t>002205</t>
  </si>
  <si>
    <t>CHEQUE DEPOSIT 002205 NISSAR MANGADAN MOIDEEN   MANGADAN 101110101 CHQ NO ::002205</t>
  </si>
  <si>
    <t>286,933.77</t>
  </si>
  <si>
    <t>-1,679,610.38</t>
  </si>
  <si>
    <t>459</t>
  </si>
  <si>
    <t>000119</t>
  </si>
  <si>
    <t>CHEQUE DEPOSIT 000119 SHAMSHEER KHAN AHAMED KHAN AHAMED  KHAN 804030124 CHQ NO ::000119</t>
  </si>
  <si>
    <t>57,052.50</t>
  </si>
  <si>
    <t>-1,622,557.88</t>
  </si>
  <si>
    <t>460</t>
  </si>
  <si>
    <t>CHEQUE DEPOSIT 000005 BASHEER PULIKKAL    IBRAHIM 002610175 CHQ NO ::000005</t>
  </si>
  <si>
    <t>40,621.50</t>
  </si>
  <si>
    <t>-1,581,936.38</t>
  </si>
  <si>
    <t>461</t>
  </si>
  <si>
    <t>205644</t>
  </si>
  <si>
    <t>CHEQUE DEPOSIT 205644 BASHEER PULIKKAL    IBRAHIM 303510112 CHQ NO ::205644</t>
  </si>
  <si>
    <t>-1,531,936.38</t>
  </si>
  <si>
    <t>462</t>
  </si>
  <si>
    <t>070603</t>
  </si>
  <si>
    <t>CHEQUE DEPOSIT 070603 SHAMSHEER KHAN AHAMED KHAN AHAMED  KHAN 402030140 CHQ NO ::070603</t>
  </si>
  <si>
    <t>941,640.00</t>
  </si>
  <si>
    <t>-590,296.38</t>
  </si>
  <si>
    <t>463</t>
  </si>
  <si>
    <t>000101</t>
  </si>
  <si>
    <t>CHEQUE DEPOSIT 000101 VIJAY KUMAR KANDAVARA    SHETTY 404020125 CHQ NO ::000101</t>
  </si>
  <si>
    <t>1,010,317.50</t>
  </si>
  <si>
    <t>420,021.12</t>
  </si>
  <si>
    <t>464</t>
  </si>
  <si>
    <t>000165</t>
  </si>
  <si>
    <t>CHEQUE DEPOSIT 000165 NAFAS ETTAPPURATH UMMER UMMER ETTAPPURATH   SULAIM 902620102 CHQ NO ::000165</t>
  </si>
  <si>
    <t>1,000,000.00</t>
  </si>
  <si>
    <t>1,420,021.12</t>
  </si>
  <si>
    <t>465</t>
  </si>
  <si>
    <t>547385</t>
  </si>
  <si>
    <t>CHEQUE DEPOSIT 547385 SHAMSHEER KHAN AHAMED KHAN AHAMED  KHAN 001530104 CHQ NO ::547385</t>
  </si>
  <si>
    <t>28,263.25</t>
  </si>
  <si>
    <t>1,448,284.37</t>
  </si>
  <si>
    <t>466</t>
  </si>
  <si>
    <t>PHUB518955524</t>
  </si>
  <si>
    <t>518955524 B/O FATIHA ABOURIGUE</t>
  </si>
  <si>
    <t>1,448,784.37</t>
  </si>
  <si>
    <t>467</t>
  </si>
  <si>
    <t>000071</t>
  </si>
  <si>
    <t>CHEQUE DEPOSIT 204011011 CHQ NO ::000071</t>
  </si>
  <si>
    <t>4,526.25</t>
  </si>
  <si>
    <t>1,453,310.62</t>
  </si>
  <si>
    <t>468</t>
  </si>
  <si>
    <t>000348</t>
  </si>
  <si>
    <t>CHEQUE DEPOSIT 304012039 CHQ NO ::000348</t>
  </si>
  <si>
    <t>11,528.50</t>
  </si>
  <si>
    <t>1,464,839.12</t>
  </si>
  <si>
    <t>469</t>
  </si>
  <si>
    <t>100230</t>
  </si>
  <si>
    <t>LIU GUI</t>
  </si>
  <si>
    <t>CHEQUE DEPOSIT LIU GUI 002420097 CHQ NO ::100230</t>
  </si>
  <si>
    <t>7,800.00</t>
  </si>
  <si>
    <t>1,472,639.12</t>
  </si>
  <si>
    <t>470</t>
  </si>
  <si>
    <t>547386</t>
  </si>
  <si>
    <t>CHEQUE DEPOSIT 547386 SHAMSHEER KHAN AHAMED KHAN AHAMED  KHAN 001530104 CHQ NO ::547386</t>
  </si>
  <si>
    <t>13,860.25</t>
  </si>
  <si>
    <t>1,486,499.37</t>
  </si>
  <si>
    <t>471</t>
  </si>
  <si>
    <t>000002</t>
  </si>
  <si>
    <t>CHEQUE DEPOSIT 000002 DIL JAN MOHAMMAD   ALI 304040119 CHQ NO ::000002</t>
  </si>
  <si>
    <t>1,511,499.37</t>
  </si>
  <si>
    <t>472</t>
  </si>
  <si>
    <t>782267</t>
  </si>
  <si>
    <t>CHEQUE DEPOSIT 782267 ABHIJITH SUNIL SUNIL   CHAKRAPANI 703511205 CHQ NO ::782267</t>
  </si>
  <si>
    <t>42,078.75</t>
  </si>
  <si>
    <t>1,553,578.12</t>
  </si>
  <si>
    <t>473</t>
  </si>
  <si>
    <t>000037</t>
  </si>
  <si>
    <t>CHEQUE DEPOSIT 000037 BASHEER PULIKKAL    IBRAHIM 102610161 CHQ NO ::000037</t>
  </si>
  <si>
    <t>1,653,578.12</t>
  </si>
  <si>
    <t>474</t>
  </si>
  <si>
    <t>502321</t>
  </si>
  <si>
    <t>SMART FAMILY FOR ELECTROMECH</t>
  </si>
  <si>
    <t>CHEQUE DEPOSIT SMART FAMILY FOR ELECTROMECH 605010398 CHQ NO ::502321</t>
  </si>
  <si>
    <t>22,315.00</t>
  </si>
  <si>
    <t>1,675,893.12</t>
  </si>
  <si>
    <t>475</t>
  </si>
  <si>
    <t>50719151893</t>
  </si>
  <si>
    <t>25792094861 MBTRF B/O USKUDAR GENERAL CONTRACTING SP LLC</t>
  </si>
  <si>
    <t>8,500.00</t>
  </si>
  <si>
    <t>1,684,393.12</t>
  </si>
  <si>
    <t>476</t>
  </si>
  <si>
    <t>202945</t>
  </si>
  <si>
    <t>CHEQUE DEPOSIT 202945 MUHAMMAD HAMEED MUHAMMAD   FAREED 802420101 CHQ NO ::202945</t>
  </si>
  <si>
    <t>154,184.42</t>
  </si>
  <si>
    <t>1,838,577.54</t>
  </si>
  <si>
    <t>477</t>
  </si>
  <si>
    <t>432319</t>
  </si>
  <si>
    <t>CHEQUE DEPOSIT 432319 ABHIJITH SUNIL SUNIL   CHAKRAPANI 203514036 CHQ NO ::432319</t>
  </si>
  <si>
    <t>1,888,577.54</t>
  </si>
  <si>
    <t>478</t>
  </si>
  <si>
    <t>TARIG</t>
  </si>
  <si>
    <t>CHEQUE DEPOSIT TARIG 402620163 CHQ NO ::000085</t>
  </si>
  <si>
    <t>48,750.00</t>
  </si>
  <si>
    <t>1,937,327.54</t>
  </si>
  <si>
    <t>479</t>
  </si>
  <si>
    <t>782266</t>
  </si>
  <si>
    <t>CHEQUE DEPOSIT 782266 ABHIJITH SUNIL SUNIL   CHAKRAPANI 703511205 CHQ NO ::782266</t>
  </si>
  <si>
    <t>1,979,406.29</t>
  </si>
  <si>
    <t>480</t>
  </si>
  <si>
    <t>CHEQUE DEPOSIT 000060 MUHAMMAD HAMEED MUHAMMAD   FAREED 804020101 CHQ NO ::000060</t>
  </si>
  <si>
    <t>26,164.00</t>
  </si>
  <si>
    <t>2,005,570.29</t>
  </si>
  <si>
    <t>481</t>
  </si>
  <si>
    <t>000145</t>
  </si>
  <si>
    <t>CHEQUE DEPOSIT 000145 SHAMSHEER KHAN AHAMED KHAN AHAMED  KHAN 804030124 CHQ NO ::000145</t>
  </si>
  <si>
    <t>51,129.25</t>
  </si>
  <si>
    <t>2,056,699.54</t>
  </si>
  <si>
    <t>482</t>
  </si>
  <si>
    <t>000097</t>
  </si>
  <si>
    <t>CHEQUE DEPOSIT 000097 SHAMSHEER KHAN AHAMED KHAN AHAMED  KHAN 502621073 CHQ NO ::000097</t>
  </si>
  <si>
    <t>2,081,699.54</t>
  </si>
  <si>
    <t>483</t>
  </si>
  <si>
    <t>000135</t>
  </si>
  <si>
    <t>MARKER</t>
  </si>
  <si>
    <t>CHEQUE DEPOSIT MARKER 504020188 CHQ NO ::000135</t>
  </si>
  <si>
    <t>66,424.00</t>
  </si>
  <si>
    <t>2,148,123.54</t>
  </si>
  <si>
    <t>484</t>
  </si>
  <si>
    <t>003660</t>
  </si>
  <si>
    <t>CHEQUE DEPOSIT 003660 ASHIR NALLA KANDY     MUHAMMED PARAYIL 504020188 CHQ NO ::003660</t>
  </si>
  <si>
    <t>67,317.00</t>
  </si>
  <si>
    <t>2,215,440.54</t>
  </si>
  <si>
    <t>485</t>
  </si>
  <si>
    <t>PHUB518979649</t>
  </si>
  <si>
    <t>518979649 B/O CAR PLANET AUTO CARE SOLUTIONS - LLC</t>
  </si>
  <si>
    <t>5,900.00</t>
  </si>
  <si>
    <t>2,221,340.54</t>
  </si>
  <si>
    <t>486</t>
  </si>
  <si>
    <t>50720300461</t>
  </si>
  <si>
    <t>25793469520 MBTRF B/O AUTO Z CARS TRADING COMPANY LLC SPC</t>
  </si>
  <si>
    <t>2,222,340.54</t>
  </si>
  <si>
    <t>487</t>
  </si>
  <si>
    <t>PHUB518991945</t>
  </si>
  <si>
    <t>518991945 B/O KHADIJA ALMARZOOQI</t>
  </si>
  <si>
    <t>2,865.00</t>
  </si>
  <si>
    <t>2,225,205.54</t>
  </si>
  <si>
    <t>488</t>
  </si>
  <si>
    <t>50721312692</t>
  </si>
  <si>
    <t>25794710792 MBTRF B/O AUTO GABBY CLN N POLISH CAR LLC SPC</t>
  </si>
  <si>
    <t>1,900.00</t>
  </si>
  <si>
    <t>2,227,105.54</t>
  </si>
  <si>
    <t>489</t>
  </si>
  <si>
    <t>PHUB519014848</t>
  </si>
  <si>
    <t>519014848 B/O JOPPU THOMAS</t>
  </si>
  <si>
    <t>2,237,105.54</t>
  </si>
  <si>
    <t>490</t>
  </si>
  <si>
    <t>PHUB519015828</t>
  </si>
  <si>
    <t>B/O_C VICTORIO_ADIB_519015828_MONEY T</t>
  </si>
  <si>
    <t>65,938.00</t>
  </si>
  <si>
    <t>2,303,043.54</t>
  </si>
  <si>
    <t>491</t>
  </si>
  <si>
    <t>50722395941</t>
  </si>
  <si>
    <t>25796057716 MBTRF B/O RAO MUDASSAR AKHTAR</t>
  </si>
  <si>
    <t>2,343,043.54</t>
  </si>
  <si>
    <t>492</t>
  </si>
  <si>
    <t>50722591013</t>
  </si>
  <si>
    <t>25796296674 MBTRF B/O RAO MUDASSAR AKHTAR</t>
  </si>
  <si>
    <t>2,383,043.54</t>
  </si>
  <si>
    <t>493</t>
  </si>
  <si>
    <t>PHUB519033853</t>
  </si>
  <si>
    <t>HI</t>
  </si>
  <si>
    <t>B/O TAAL TOURISM LLC</t>
  </si>
  <si>
    <t>52.50</t>
  </si>
  <si>
    <t>2,383,096.04</t>
  </si>
  <si>
    <t>494</t>
  </si>
  <si>
    <t>50723256432</t>
  </si>
  <si>
    <t>25797132432 MBTRF B/O PREMJIT DAMODAR GAONCAR</t>
  </si>
  <si>
    <t>42,065.00</t>
  </si>
  <si>
    <t>2,425,161.04</t>
  </si>
  <si>
    <t>495</t>
  </si>
  <si>
    <t>PHUB519041555</t>
  </si>
  <si>
    <t>519041555 B/O HIND ABDULJALIL ABDULLA HUSSAIN ALKHOORI</t>
  </si>
  <si>
    <t>1,155.00</t>
  </si>
  <si>
    <t>2,426,316.04</t>
  </si>
  <si>
    <t>496</t>
  </si>
  <si>
    <t>50723899131</t>
  </si>
  <si>
    <t>25797939924 MBTRF B/O SANJEEV KUMAR DAS</t>
  </si>
  <si>
    <t>100.00</t>
  </si>
  <si>
    <t>2,426,416.04</t>
  </si>
  <si>
    <t>497</t>
  </si>
  <si>
    <t>50724090172</t>
  </si>
  <si>
    <t>25798183307 MBTRF B/O SANJEEV KUMAR DAS</t>
  </si>
  <si>
    <t>39,900.00</t>
  </si>
  <si>
    <t>2,466,316.04</t>
  </si>
  <si>
    <t>498</t>
  </si>
  <si>
    <t>50724390042</t>
  </si>
  <si>
    <t>25798565350 MBTRF B/O RANATHEERAN CHELLATHURAI</t>
  </si>
  <si>
    <t>2,566,316.04</t>
  </si>
  <si>
    <t>499</t>
  </si>
  <si>
    <t>50724410070</t>
  </si>
  <si>
    <t>25798590258 MBTRF B/O RANATHEERAN CHELLATHURAI</t>
  </si>
  <si>
    <t>38,857.00</t>
  </si>
  <si>
    <t>2,605,173.04</t>
  </si>
  <si>
    <t>500</t>
  </si>
  <si>
    <t>03-Aug-2025</t>
  </si>
  <si>
    <t>PHUB519095483</t>
  </si>
  <si>
    <t>B/O_NASER MOHAMED_519095483</t>
  </si>
  <si>
    <t>19,717.00</t>
  </si>
  <si>
    <t>2,624,890.04</t>
  </si>
  <si>
    <t>501</t>
  </si>
  <si>
    <t>50728110156</t>
  </si>
  <si>
    <t>25803907071 MBTRF B/O CLASS VALUED PARKING</t>
  </si>
  <si>
    <t>5,626.25</t>
  </si>
  <si>
    <t>2,630,516.29</t>
  </si>
  <si>
    <t>502</t>
  </si>
  <si>
    <t>50728257667</t>
  </si>
  <si>
    <t>25804150587 MBTRF B/O CLASS VALUED PARKING</t>
  </si>
  <si>
    <t>12,954.50</t>
  </si>
  <si>
    <t>2,643,470.79</t>
  </si>
  <si>
    <t>503</t>
  </si>
  <si>
    <t>PHUB519119304</t>
  </si>
  <si>
    <t>B/O_HAMAD SAEED MOHA_519119304</t>
  </si>
  <si>
    <t>33,007.00</t>
  </si>
  <si>
    <t>2,676,477.79</t>
  </si>
  <si>
    <t>504</t>
  </si>
  <si>
    <t>50730157213</t>
  </si>
  <si>
    <t>25806466486 MBTRF B/O RISE STAR USD EQP HVY MCH TR LLC SP</t>
  </si>
  <si>
    <t>19,547.75</t>
  </si>
  <si>
    <t>2,696,025.54</t>
  </si>
  <si>
    <t>505</t>
  </si>
  <si>
    <t>519136682 B/O OBAID RASHED OBAID ALSHAMSI</t>
  </si>
  <si>
    <t>4,833.33</t>
  </si>
  <si>
    <t>2,700,858.87</t>
  </si>
  <si>
    <t>506</t>
  </si>
  <si>
    <t>50731228469</t>
  </si>
  <si>
    <t>25807775295 MBTRF B/O GAURAV JUNEJA</t>
  </si>
  <si>
    <t>13,764.84</t>
  </si>
  <si>
    <t>2,714,623.71</t>
  </si>
  <si>
    <t>507</t>
  </si>
  <si>
    <t>50732030533</t>
  </si>
  <si>
    <t>25808751563 MBTRF B/O SHANMUGAVEL RAJARAM</t>
  </si>
  <si>
    <t>2,729,623.71</t>
  </si>
  <si>
    <t>508</t>
  </si>
  <si>
    <t>PHUB519157150</t>
  </si>
  <si>
    <t>B/O_MUHAMMAD ASYRI N_519157150</t>
  </si>
  <si>
    <t>32,000.00</t>
  </si>
  <si>
    <t>2,761,623.71</t>
  </si>
  <si>
    <t>509</t>
  </si>
  <si>
    <t>50732660271</t>
  </si>
  <si>
    <t>25809520081 MBTRF B/O MANAL ALI ALSAYEGH</t>
  </si>
  <si>
    <t>2,766,623.71</t>
  </si>
  <si>
    <t>510</t>
  </si>
  <si>
    <t>PHUB519168879</t>
  </si>
  <si>
    <t>519168879 B/O WAEL F A ALABADLA</t>
  </si>
  <si>
    <t>2,767,123.71</t>
  </si>
  <si>
    <t>511</t>
  </si>
  <si>
    <t>50733070970</t>
  </si>
  <si>
    <t>25810024705 MBTRF B/O AHMED HELAL MOHAMMED AL MUHAIRI</t>
  </si>
  <si>
    <t>2,782,123.71</t>
  </si>
  <si>
    <t>512</t>
  </si>
  <si>
    <t>50733080194</t>
  </si>
  <si>
    <t>25810035111 MBTRF B/O ALIA PERVEEN</t>
  </si>
  <si>
    <t>2,786,123.71</t>
  </si>
  <si>
    <t>513</t>
  </si>
  <si>
    <t>50733247911</t>
  </si>
  <si>
    <t>25810237088 MBTRF B/O BLOOM PLUS PHARMACY LLC</t>
  </si>
  <si>
    <t>20,122.00</t>
  </si>
  <si>
    <t>2,806,245.71</t>
  </si>
  <si>
    <t>514</t>
  </si>
  <si>
    <t>50733544564</t>
  </si>
  <si>
    <t>25810598901 MBTRF B/O BLOOM PLUS POLY CLINIC L L C</t>
  </si>
  <si>
    <t>4,900.00</t>
  </si>
  <si>
    <t>2,811,145.71</t>
  </si>
  <si>
    <t>515</t>
  </si>
  <si>
    <t>50733734218</t>
  </si>
  <si>
    <t>25810830340 MBTRF B/O BLOOM PLUS POLY CLINIC L L C</t>
  </si>
  <si>
    <t>21,569.00</t>
  </si>
  <si>
    <t>2,832,714.71</t>
  </si>
  <si>
    <t>516</t>
  </si>
  <si>
    <t>50733894515</t>
  </si>
  <si>
    <t>25811028290 MBTRF B/O BLOOM PLUS POLY CLINIC L L C</t>
  </si>
  <si>
    <t>13,733.00</t>
  </si>
  <si>
    <t>2,846,447.71</t>
  </si>
  <si>
    <t>517</t>
  </si>
  <si>
    <t>50734294139</t>
  </si>
  <si>
    <t>25811518663 MBTRF B/O BLOOM PLUS POLY CLINIC L L C</t>
  </si>
  <si>
    <t>68,446.00</t>
  </si>
  <si>
    <t>2,914,893.71</t>
  </si>
  <si>
    <t>518</t>
  </si>
  <si>
    <t>50734315524</t>
  </si>
  <si>
    <t>25811546662 MBTRF B/O KATHIRVELAN VELAYUTHAM</t>
  </si>
  <si>
    <t>100,994.00</t>
  </si>
  <si>
    <t>3,015,887.71</t>
  </si>
  <si>
    <t>519</t>
  </si>
  <si>
    <t>PHUB519193236</t>
  </si>
  <si>
    <t>MOB0308251415247968892</t>
  </si>
  <si>
    <t>B/O AL KHALIDIYA HOLIDAYS AND TOURI LLC</t>
  </si>
  <si>
    <t>7,454.00</t>
  </si>
  <si>
    <t>3,023,341.71</t>
  </si>
  <si>
    <t>520</t>
  </si>
  <si>
    <t>50734752981</t>
  </si>
  <si>
    <t>2532544237 IBTRF B/O ALQOUS ALASWAD TECH CONT</t>
  </si>
  <si>
    <t>30,006.30</t>
  </si>
  <si>
    <t>3,053,348.01</t>
  </si>
  <si>
    <t>521</t>
  </si>
  <si>
    <t>PHUB519200634</t>
  </si>
  <si>
    <t>519200634 B/O PARESH BHAILAL JOSHI</t>
  </si>
  <si>
    <t>0.01</t>
  </si>
  <si>
    <t>3,053,348.02</t>
  </si>
  <si>
    <t>522</t>
  </si>
  <si>
    <t>50735238521</t>
  </si>
  <si>
    <t>2532558518 IBTRF B/O REBA DHAR BHATT</t>
  </si>
  <si>
    <t>100,025.50</t>
  </si>
  <si>
    <t>3,153,373.52</t>
  </si>
  <si>
    <t>523</t>
  </si>
  <si>
    <t>50735496708</t>
  </si>
  <si>
    <t>25812989541 MBTRF B/O TANAKORN GAEWKAMSON</t>
  </si>
  <si>
    <t>3,183,373.52</t>
  </si>
  <si>
    <t>524</t>
  </si>
  <si>
    <t>50735510945</t>
  </si>
  <si>
    <t>25813003794 MBTRF B/O MOHAMED ZAKARIA MOHAMED ABDELSALAM</t>
  </si>
  <si>
    <t>3,283,373.52</t>
  </si>
  <si>
    <t>525</t>
  </si>
  <si>
    <t>50735538059</t>
  </si>
  <si>
    <t>25813040799 MBTRF B/O MOHAMED ZAKARIA MOHAMED ABDELSALAM</t>
  </si>
  <si>
    <t>10,280.50</t>
  </si>
  <si>
    <t>3,293,654.02</t>
  </si>
  <si>
    <t>526</t>
  </si>
  <si>
    <t>PHUB519208895</t>
  </si>
  <si>
    <t>519208895 B/O MOHAMED AHMED KAMALELDIN HAMED HASSAN</t>
  </si>
  <si>
    <t>3,711.75</t>
  </si>
  <si>
    <t>3,297,365.77</t>
  </si>
  <si>
    <t>527</t>
  </si>
  <si>
    <t>PHUB519212282</t>
  </si>
  <si>
    <t>519212282 B/O MOHAMED HASAN IBRAHIM HASAN ALFARDA</t>
  </si>
  <si>
    <t>2,100.00</t>
  </si>
  <si>
    <t>3,299,465.77</t>
  </si>
  <si>
    <t>528</t>
  </si>
  <si>
    <t>PHUB519215087</t>
  </si>
  <si>
    <t>B/O_HOLIDAYS HOUSE F_519215087</t>
  </si>
  <si>
    <t>9,504.34</t>
  </si>
  <si>
    <t>3,308,970.11</t>
  </si>
  <si>
    <t>529</t>
  </si>
  <si>
    <t>50736295371</t>
  </si>
  <si>
    <t>2532586610 IBTRF B/O FIRE FLY AGN NTWRK WBST DSN LLC OPC</t>
  </si>
  <si>
    <t>27,000.00</t>
  </si>
  <si>
    <t>3,335,970.11</t>
  </si>
  <si>
    <t>530</t>
  </si>
  <si>
    <t>50736341920</t>
  </si>
  <si>
    <t>25813992408 MBTRF B/O EIGHTY SIX MEDIA LLC</t>
  </si>
  <si>
    <t>3,370,970.11</t>
  </si>
  <si>
    <t>531</t>
  </si>
  <si>
    <t>50736587708</t>
  </si>
  <si>
    <t>25814290754 MBTRF B/O MURALIKRISHNAN RAMAN PILLAI</t>
  </si>
  <si>
    <t>1,475.00</t>
  </si>
  <si>
    <t>3,372,445.11</t>
  </si>
  <si>
    <t>532</t>
  </si>
  <si>
    <t>50736899501</t>
  </si>
  <si>
    <t>25814662969 MBTRF B/O AL BAB AL DAHABI READYMADE GAR TRDG</t>
  </si>
  <si>
    <t>21,899.97</t>
  </si>
  <si>
    <t>3,394,345.08</t>
  </si>
  <si>
    <t>533</t>
  </si>
  <si>
    <t>50737292866</t>
  </si>
  <si>
    <t>25815149282 MBTRF B/O CLASS VALUED PARKING</t>
  </si>
  <si>
    <t>47.25</t>
  </si>
  <si>
    <t>3,394,392.33</t>
  </si>
  <si>
    <t>534</t>
  </si>
  <si>
    <t>PHUB519234364</t>
  </si>
  <si>
    <t>519234364 B/O HAMDA BEKHEET SAEED ALFALAHI</t>
  </si>
  <si>
    <t>3,394,892.33</t>
  </si>
  <si>
    <t>535</t>
  </si>
  <si>
    <t>PHUB519237957</t>
  </si>
  <si>
    <t>519237957 B/O Manal Ahmad Albalkhi</t>
  </si>
  <si>
    <t>624.00</t>
  </si>
  <si>
    <t>3,395,516.33</t>
  </si>
  <si>
    <t>536</t>
  </si>
  <si>
    <t>50738980474</t>
  </si>
  <si>
    <t>2532651403 IBTRF B/O MOHAMED ASHARAF A K MOHAMED</t>
  </si>
  <si>
    <t>3,445,516.33</t>
  </si>
  <si>
    <t>537</t>
  </si>
  <si>
    <t>50739024574</t>
  </si>
  <si>
    <t>25817287442 MBTRF B/O SEBASTIAN KOCHUPLACKAL SEBASTIAN</t>
  </si>
  <si>
    <t>3,475,516.33</t>
  </si>
  <si>
    <t>538</t>
  </si>
  <si>
    <t>PHUB519270773</t>
  </si>
  <si>
    <t>MOB0308251849557970718</t>
  </si>
  <si>
    <t>B/O E M E C ELECTRO MECHANICAL LLC</t>
  </si>
  <si>
    <t>30,773.00</t>
  </si>
  <si>
    <t>3,506,289.33</t>
  </si>
  <si>
    <t>539</t>
  </si>
  <si>
    <t>50740215804</t>
  </si>
  <si>
    <t>25818766641 MBTRF B/O GEEVARGHESE VARGHESE</t>
  </si>
  <si>
    <t>3,556,289.33</t>
  </si>
  <si>
    <t>540</t>
  </si>
  <si>
    <t>50740439447</t>
  </si>
  <si>
    <t>25819043752 MBTRF B/O WATTANAKORN JANTANAWANTANA</t>
  </si>
  <si>
    <t>3,581,289.33</t>
  </si>
  <si>
    <t>541</t>
  </si>
  <si>
    <t>50740615976</t>
  </si>
  <si>
    <t>25819269932 MBTRF B/O HAMDI OMRAN ABDALLA OMRAN</t>
  </si>
  <si>
    <t>3,616,289.33</t>
  </si>
  <si>
    <t>542</t>
  </si>
  <si>
    <t>50740859597</t>
  </si>
  <si>
    <t>25819573729 MBTRF B/O AL MASROOR TAILORING</t>
  </si>
  <si>
    <t>7,626.25</t>
  </si>
  <si>
    <t>3,623,915.58</t>
  </si>
  <si>
    <t>543</t>
  </si>
  <si>
    <t>PHUB519296107</t>
  </si>
  <si>
    <t>B/O_LLC NAJIMAT AL I_519296107</t>
  </si>
  <si>
    <t>2,445.00</t>
  </si>
  <si>
    <t>3,626,360.58</t>
  </si>
  <si>
    <t>544</t>
  </si>
  <si>
    <t>PHUB519315553</t>
  </si>
  <si>
    <t>519315553 B/O FERAS ABDULKAREEM ABDALJALEEL NAJAD</t>
  </si>
  <si>
    <t>528.00</t>
  </si>
  <si>
    <t>3,626,888.58</t>
  </si>
  <si>
    <t>545</t>
  </si>
  <si>
    <t>PHUB519316761</t>
  </si>
  <si>
    <t>13,200.00</t>
  </si>
  <si>
    <t>3,640,088.58</t>
  </si>
  <si>
    <t>546</t>
  </si>
  <si>
    <t>50743376754</t>
  </si>
  <si>
    <t>25822735622 MBTRF B/O RANGANATHA PRABHU VENKATESAMOORTHY</t>
  </si>
  <si>
    <t>8,451.25</t>
  </si>
  <si>
    <t>3,648,539.83</t>
  </si>
  <si>
    <t>547</t>
  </si>
  <si>
    <t>519357971 B/O MOHAMED ABDELSALAM ALI</t>
  </si>
  <si>
    <t>781.00</t>
  </si>
  <si>
    <t>3,649,320.83</t>
  </si>
  <si>
    <t>548</t>
  </si>
  <si>
    <t>04-Aug-2025</t>
  </si>
  <si>
    <t>50745464604</t>
  </si>
  <si>
    <t>25825380370 MBTRF B/O SAHIB MOHAMMED SAJJAD</t>
  </si>
  <si>
    <t>3,899,320.83</t>
  </si>
  <si>
    <t>549</t>
  </si>
  <si>
    <t>PHUB519366740</t>
  </si>
  <si>
    <t>B/O_ABDULAZIZ ABDULL_519366740</t>
  </si>
  <si>
    <t>3,949,320.83</t>
  </si>
  <si>
    <t>550</t>
  </si>
  <si>
    <t>PHUB519366783</t>
  </si>
  <si>
    <t>GEM SRL  3213EUR</t>
  </si>
  <si>
    <t>B/O MED TECH CORP MEDICAL EQUIPMENT LLC</t>
  </si>
  <si>
    <t>13,759.88</t>
  </si>
  <si>
    <t>3,963,080.71</t>
  </si>
  <si>
    <t>551</t>
  </si>
  <si>
    <t>PHUB519387397</t>
  </si>
  <si>
    <t>LM708 2NDPAYMENT</t>
  </si>
  <si>
    <t>B/O AL FALAH ANIMAL FEED TRADING FZE</t>
  </si>
  <si>
    <t>911,625.00</t>
  </si>
  <si>
    <t>4,874,705.71</t>
  </si>
  <si>
    <t>552</t>
  </si>
  <si>
    <t>2508040606182612</t>
  </si>
  <si>
    <t>81600000142018000001541000081</t>
  </si>
  <si>
    <t>72,700.00</t>
  </si>
  <si>
    <t>4,802,005.71</t>
  </si>
  <si>
    <t>553</t>
  </si>
  <si>
    <t>B/O_SWIFTY DIG_BOML_519394247_ PAYMEN</t>
  </si>
  <si>
    <t>145,649.00</t>
  </si>
  <si>
    <t>4,947,654.71</t>
  </si>
  <si>
    <t>554</t>
  </si>
  <si>
    <t>B/O_TECHNOCON _BOML_519394704_ COMPEN</t>
  </si>
  <si>
    <t>150,407.86</t>
  </si>
  <si>
    <t>5,098,062.57</t>
  </si>
  <si>
    <t>555</t>
  </si>
  <si>
    <t>PHUB519396445</t>
  </si>
  <si>
    <t>B/O_TILAL AL W_NBAD_519396445_SALARY</t>
  </si>
  <si>
    <t>45,293.00</t>
  </si>
  <si>
    <t>5,143,355.57</t>
  </si>
  <si>
    <t>556</t>
  </si>
  <si>
    <t>PHUB519396672</t>
  </si>
  <si>
    <t>B/O_BAF PROJEC_NBAD_519396672_TRANSFE</t>
  </si>
  <si>
    <t>15,963.00</t>
  </si>
  <si>
    <t>5,159,318.57</t>
  </si>
  <si>
    <t>557</t>
  </si>
  <si>
    <t>PHUB519396704</t>
  </si>
  <si>
    <t>B/O_BU SHAMES _NBAD_519396704_Exchang</t>
  </si>
  <si>
    <t>6,078,823.82</t>
  </si>
  <si>
    <t>558</t>
  </si>
  <si>
    <t>PHUB519396750</t>
  </si>
  <si>
    <t>B/O_JABER SARI_NBAD_519396750_</t>
  </si>
  <si>
    <t>79,516.25</t>
  </si>
  <si>
    <t>6,158,340.07</t>
  </si>
  <si>
    <t>559</t>
  </si>
  <si>
    <t>B/O_MATHEWS VA_SCBL_519399389_.</t>
  </si>
  <si>
    <t>4,331.28</t>
  </si>
  <si>
    <t>6,162,671.35</t>
  </si>
  <si>
    <t>560</t>
  </si>
  <si>
    <t>PHUB519400214</t>
  </si>
  <si>
    <t>B/O_A/C.193691_ADIB_519400214_Financi</t>
  </si>
  <si>
    <t>60,760.00</t>
  </si>
  <si>
    <t>6,223,431.35</t>
  </si>
  <si>
    <t>561</t>
  </si>
  <si>
    <t>PHUB519409737</t>
  </si>
  <si>
    <t>B/O_ABDULAZIZ _ADIB_519409737_Persona</t>
  </si>
  <si>
    <t>150,000.00</t>
  </si>
  <si>
    <t>6,373,431.35</t>
  </si>
  <si>
    <t>562</t>
  </si>
  <si>
    <t>PHUB519410572</t>
  </si>
  <si>
    <t>B/O_ABDUL RAHI_ADIB_519410572_Persona</t>
  </si>
  <si>
    <t>85,000.00</t>
  </si>
  <si>
    <t>6,458,431.35</t>
  </si>
  <si>
    <t>563</t>
  </si>
  <si>
    <t>PHUB519412431</t>
  </si>
  <si>
    <t>B/O KAIZEN TECHNICAL SOLUTION AND EQUIP</t>
  </si>
  <si>
    <t>6,467,431.35</t>
  </si>
  <si>
    <t>564</t>
  </si>
  <si>
    <t>50747911767</t>
  </si>
  <si>
    <t>25828124361 MBTRF B/O NILESH SINKAR</t>
  </si>
  <si>
    <t>16,598.00</t>
  </si>
  <si>
    <t>6,484,029.35</t>
  </si>
  <si>
    <t>565</t>
  </si>
  <si>
    <t>5,112.25</t>
  </si>
  <si>
    <t>6,489,141.60</t>
  </si>
  <si>
    <t>566</t>
  </si>
  <si>
    <t>PHUB519424924</t>
  </si>
  <si>
    <t>B/O_SHISHIR KU_HSBC_519424924_AEV0408</t>
  </si>
  <si>
    <t>183,830.00</t>
  </si>
  <si>
    <t>6,672,971.60</t>
  </si>
  <si>
    <t>567</t>
  </si>
  <si>
    <t>PHUB519427324</t>
  </si>
  <si>
    <t>519427324 B/O STEM INTERNATIONAL FZE</t>
  </si>
  <si>
    <t>7,314.25</t>
  </si>
  <si>
    <t>6,680,285.85</t>
  </si>
  <si>
    <t>568</t>
  </si>
  <si>
    <t>6,707,285.85</t>
  </si>
  <si>
    <t>569</t>
  </si>
  <si>
    <t>PHUB519440475</t>
  </si>
  <si>
    <t>DXB 040825</t>
  </si>
  <si>
    <t>2,500,000.00</t>
  </si>
  <si>
    <t>4,207,285.85</t>
  </si>
  <si>
    <t>570</t>
  </si>
  <si>
    <t>2508040910442450</t>
  </si>
  <si>
    <t>SAFYIA BUILDING HOR AL ANZ, 02ND AUG - Cash Collection TG</t>
  </si>
  <si>
    <t>4,537,285.85</t>
  </si>
  <si>
    <t>571</t>
  </si>
  <si>
    <t>2508040910452480</t>
  </si>
  <si>
    <t>NESTO HYPRMRKT AJM, 02ND AUG - Cash Collection TG</t>
  </si>
  <si>
    <t>4,787,285.85</t>
  </si>
  <si>
    <t>572</t>
  </si>
  <si>
    <t>2508040910452488</t>
  </si>
  <si>
    <t>CITY CENTER AL ZAHIA SHJ, 02ND AUG - Cash Collection TG</t>
  </si>
  <si>
    <t>5,197,285.85</t>
  </si>
  <si>
    <t>573</t>
  </si>
  <si>
    <t>2508040910452527</t>
  </si>
  <si>
    <t>MOE 1, 02ND AUG - Cash Collection TG</t>
  </si>
  <si>
    <t>680,000.00</t>
  </si>
  <si>
    <t>5,877,285.85</t>
  </si>
  <si>
    <t>574</t>
  </si>
  <si>
    <t>2508040910452534</t>
  </si>
  <si>
    <t>CROWN MALL JABL A IND DXB 1, 02ND AUG - Cash Collection TG</t>
  </si>
  <si>
    <t>650,000.00</t>
  </si>
  <si>
    <t>6,527,285.85</t>
  </si>
  <si>
    <t>575</t>
  </si>
  <si>
    <t>2508040910452541</t>
  </si>
  <si>
    <t>NAIF RD, 02ND AUG - Cash Collection TG</t>
  </si>
  <si>
    <t>575,000.00</t>
  </si>
  <si>
    <t>7,102,285.85</t>
  </si>
  <si>
    <t>576</t>
  </si>
  <si>
    <t>2508040910452560</t>
  </si>
  <si>
    <t>FUJAIRAH, 02ND AUG - Cash Collection TG</t>
  </si>
  <si>
    <t>7,622,285.85</t>
  </si>
  <si>
    <t>577</t>
  </si>
  <si>
    <t>2508040910452567</t>
  </si>
  <si>
    <t>MUWEILAH SHJ, 02ND AUG - Cash Collection TG</t>
  </si>
  <si>
    <t>810,020.00</t>
  </si>
  <si>
    <t>8,432,305.85</t>
  </si>
  <si>
    <t>578</t>
  </si>
  <si>
    <t>2508040910452576</t>
  </si>
  <si>
    <t>MEGA MALL SHARJAH BR 1, 02ND AUG - Cash Collection TG</t>
  </si>
  <si>
    <t>8,582,305.85</t>
  </si>
  <si>
    <t>579</t>
  </si>
  <si>
    <t>2508040910452582</t>
  </si>
  <si>
    <t>UAQ, 02ND AUG - Cash Collection TG</t>
  </si>
  <si>
    <t>450,000.00</t>
  </si>
  <si>
    <t>9,032,305.85</t>
  </si>
  <si>
    <t>580</t>
  </si>
  <si>
    <t>2508040910452589</t>
  </si>
  <si>
    <t>AL RIGGA METRO STION DXB, 02ND AUG - Cash Collection TG</t>
  </si>
  <si>
    <t>9,392,305.85</t>
  </si>
  <si>
    <t>581</t>
  </si>
  <si>
    <t>2508040910452604</t>
  </si>
  <si>
    <t>ONYX TOWER 1, 02ND AUG - Cash Collection TG</t>
  </si>
  <si>
    <t>9,692,305.85</t>
  </si>
  <si>
    <t>582</t>
  </si>
  <si>
    <t>2508040910452623</t>
  </si>
  <si>
    <t>AL MINA NESTO BR DXB, 02ND AUG - Cash Collection TG</t>
  </si>
  <si>
    <t>9,892,305.85</t>
  </si>
  <si>
    <t>583</t>
  </si>
  <si>
    <t>2508040910452653</t>
  </si>
  <si>
    <t>KHAN SAHIB BLDG SHJ, 02ND AUG - Cash Collection TG</t>
  </si>
  <si>
    <t>10,092,305.85</t>
  </si>
  <si>
    <t>584</t>
  </si>
  <si>
    <t>2508040910452657</t>
  </si>
  <si>
    <t>DEIRA 1, 02ND AUG - Cash Collection TG</t>
  </si>
  <si>
    <t>800,000.00</t>
  </si>
  <si>
    <t>10,892,305.85</t>
  </si>
  <si>
    <t>585</t>
  </si>
  <si>
    <t>2508040910452663</t>
  </si>
  <si>
    <t>BUR DUBAI, 02ND AUG - Cash Collection TG</t>
  </si>
  <si>
    <t>11,142,305.85</t>
  </si>
  <si>
    <t>586</t>
  </si>
  <si>
    <t>2508040910452672</t>
  </si>
  <si>
    <t>SATWA 1, 02ND AUG - Cash Collection TG</t>
  </si>
  <si>
    <t>11,342,305.85</t>
  </si>
  <si>
    <t>587</t>
  </si>
  <si>
    <t>2508040910452686</t>
  </si>
  <si>
    <t>AL NHDA RES TWRS  SHJ, 02ND AUG - Cash Collection TG</t>
  </si>
  <si>
    <t>460,000.00</t>
  </si>
  <si>
    <t>11,802,305.85</t>
  </si>
  <si>
    <t>588</t>
  </si>
  <si>
    <t>2508040910452692</t>
  </si>
  <si>
    <t>AL MADAM SHJ, 02ND AUG - Cash Collection TG</t>
  </si>
  <si>
    <t>630,000.00</t>
  </si>
  <si>
    <t>12,432,305.85</t>
  </si>
  <si>
    <t>589</t>
  </si>
  <si>
    <t>2508040910462705</t>
  </si>
  <si>
    <t>DUBAI HILLS ESTATE DUBAI, 02ND AUG - Cash Collection TG</t>
  </si>
  <si>
    <t>13,432,305.85</t>
  </si>
  <si>
    <t>590</t>
  </si>
  <si>
    <t>2508040910462709</t>
  </si>
  <si>
    <t>CLOCK TOWER 1, 02ND AUG - Cash Collection TG</t>
  </si>
  <si>
    <t>830,000.00</t>
  </si>
  <si>
    <t>14,262,305.85</t>
  </si>
  <si>
    <t>591</t>
  </si>
  <si>
    <t>2508040910462718</t>
  </si>
  <si>
    <t>KARAMA DUBAI, 02ND AUG - Cash Collection TG</t>
  </si>
  <si>
    <t>1,700,000.00</t>
  </si>
  <si>
    <t>15,962,305.85</t>
  </si>
  <si>
    <t>592</t>
  </si>
  <si>
    <t>2508040910534570</t>
  </si>
  <si>
    <t>Baniyas AUH, 02ND AUG - Cash Collection TG</t>
  </si>
  <si>
    <t>16,362,305.85</t>
  </si>
  <si>
    <t>593</t>
  </si>
  <si>
    <t>2508040910534575</t>
  </si>
  <si>
    <t>Al Forshan Central Mall Khalifa City AUH, 02ND AUG - Cash Collection TG</t>
  </si>
  <si>
    <t>16,762,305.85</t>
  </si>
  <si>
    <t>594</t>
  </si>
  <si>
    <t>2508040910534584</t>
  </si>
  <si>
    <t>Inside Bniyas Spike HyperMarkete AUH, 02ND AUG - Cash Collection TG</t>
  </si>
  <si>
    <t>17,162,305.85</t>
  </si>
  <si>
    <t>595</t>
  </si>
  <si>
    <t>2508040910534605</t>
  </si>
  <si>
    <t>Musaffah Shabiya AUH, 02ND AUG - Cash Collection TG</t>
  </si>
  <si>
    <t>17,762,305.85</t>
  </si>
  <si>
    <t>596</t>
  </si>
  <si>
    <t>2508040910534615</t>
  </si>
  <si>
    <t>Musaffah Saniya AUH, 02ND AUG - Cash Collection TG</t>
  </si>
  <si>
    <t>18,062,305.85</t>
  </si>
  <si>
    <t>597</t>
  </si>
  <si>
    <t>2508040910534626</t>
  </si>
  <si>
    <t>Old Shahama, 02ND AUG - Cash Collection TG</t>
  </si>
  <si>
    <t>18,442,305.85</t>
  </si>
  <si>
    <t>598</t>
  </si>
  <si>
    <t>2508040910534633</t>
  </si>
  <si>
    <t>Shamkha Mall Abu dhabi, 02ND AUG - Cash Collection TG</t>
  </si>
  <si>
    <t>445,000.00</t>
  </si>
  <si>
    <t>18,887,305.85</t>
  </si>
  <si>
    <t>599</t>
  </si>
  <si>
    <t>2508040910534643</t>
  </si>
  <si>
    <t>ICAD Musaffah AUH, 02ND AUG - Cash Collection TG</t>
  </si>
  <si>
    <t>530,000.00</t>
  </si>
  <si>
    <t>19,417,305.85</t>
  </si>
  <si>
    <t>600</t>
  </si>
  <si>
    <t>2508040910554909</t>
  </si>
  <si>
    <t>Sila Muroor Road AUH, 02ND AUG - Cash Collection TG</t>
  </si>
  <si>
    <t>19,897,305.85</t>
  </si>
  <si>
    <t>601</t>
  </si>
  <si>
    <t>2508040910555420</t>
  </si>
  <si>
    <t>Beda Zayed auh, 02ND AUG - Cash Collection TG</t>
  </si>
  <si>
    <t>20,107,305.85</t>
  </si>
  <si>
    <t>602</t>
  </si>
  <si>
    <t>2508040910555434</t>
  </si>
  <si>
    <t>SANAYA ZAYED TOWN W/R, 02ND AUG - Cash Collection TG</t>
  </si>
  <si>
    <t>20,707,305.85</t>
  </si>
  <si>
    <t>603</t>
  </si>
  <si>
    <t>2508040910555440</t>
  </si>
  <si>
    <t>Ruwais AUH, 02ND AUG - Cash Collection TG</t>
  </si>
  <si>
    <t>21,107,305.85</t>
  </si>
  <si>
    <t>604</t>
  </si>
  <si>
    <t>2508040910555475</t>
  </si>
  <si>
    <t>HAYER Al Ain1, 02ND AUG - Cash Collection TG</t>
  </si>
  <si>
    <t>21,617,305.85</t>
  </si>
  <si>
    <t>605</t>
  </si>
  <si>
    <t>2508040910555478</t>
  </si>
  <si>
    <t>SWEIHAN  ALAIN, 02ND AUG - Cash Collection TG</t>
  </si>
  <si>
    <t>395,000.00</t>
  </si>
  <si>
    <t>22,012,305.85</t>
  </si>
  <si>
    <t>606</t>
  </si>
  <si>
    <t>2508040910555481</t>
  </si>
  <si>
    <t>AL FOAH MALL AL-AIN, 02ND AUG - Cash Collection TG</t>
  </si>
  <si>
    <t>610,000.00</t>
  </si>
  <si>
    <t>22,622,305.85</t>
  </si>
  <si>
    <t>607</t>
  </si>
  <si>
    <t>2508040910555484</t>
  </si>
  <si>
    <t>Gayathi Mubarak Ashwan AUH, 02ND AUG - Cash Collection TG</t>
  </si>
  <si>
    <t>22,822,305.85</t>
  </si>
  <si>
    <t>608</t>
  </si>
  <si>
    <t>2508040910555493</t>
  </si>
  <si>
    <t>Gayathi Mall AUH, 02ND AUG - Cash Collection TG</t>
  </si>
  <si>
    <t>23,272,305.85</t>
  </si>
  <si>
    <t>609</t>
  </si>
  <si>
    <t>2508040910555500</t>
  </si>
  <si>
    <t>AL MARFA MARKET WR, 02ND AUG - Cash Collection TG</t>
  </si>
  <si>
    <t>23,492,305.85</t>
  </si>
  <si>
    <t>610</t>
  </si>
  <si>
    <t>2508040910555519</t>
  </si>
  <si>
    <t>Lulu Hyper Markete Sanaiya Al Ain, 02ND AUG - Cash Collection TG</t>
  </si>
  <si>
    <t>210,005.00</t>
  </si>
  <si>
    <t>23,702,310.85</t>
  </si>
  <si>
    <t>611</t>
  </si>
  <si>
    <t>2508040910555522</t>
  </si>
  <si>
    <t>Al Yahar Al Ain, 02ND AUG - Cash Collection TG</t>
  </si>
  <si>
    <t>670,000.00</t>
  </si>
  <si>
    <t>24,372,310.85</t>
  </si>
  <si>
    <t>612</t>
  </si>
  <si>
    <t>2508040910555525</t>
  </si>
  <si>
    <t>AL FARDAN EXCH DEREI BLDNG AL QUAA AA, 02ND AUG - Cash Collection TG</t>
  </si>
  <si>
    <t>180,000.00</t>
  </si>
  <si>
    <t>24,552,310.85</t>
  </si>
  <si>
    <t>613</t>
  </si>
  <si>
    <t>2508040910555528</t>
  </si>
  <si>
    <t>Boutik Mall al Reem island AUH, 02ND AUG - Cash Collection TG</t>
  </si>
  <si>
    <t>24,712,310.85</t>
  </si>
  <si>
    <t>614</t>
  </si>
  <si>
    <t>2508040910555531</t>
  </si>
  <si>
    <t>TCA AUH, 02ND AUG - Cash Collection TG</t>
  </si>
  <si>
    <t>24,932,310.85</t>
  </si>
  <si>
    <t>615</t>
  </si>
  <si>
    <t>2508040910555542</t>
  </si>
  <si>
    <t>Al Nahyan Street AUH, 02ND AUG - Cash Collection TG</t>
  </si>
  <si>
    <t>230,000.00</t>
  </si>
  <si>
    <t>25,162,310.85</t>
  </si>
  <si>
    <t>616</t>
  </si>
  <si>
    <t>2508040910555546</t>
  </si>
  <si>
    <t>B2B AUH, 02ND AUG - Cash Collection TG</t>
  </si>
  <si>
    <t>25,452,310.85</t>
  </si>
  <si>
    <t>617</t>
  </si>
  <si>
    <t>2508040910565580</t>
  </si>
  <si>
    <t>Al Falah St Auh, 02ND AUG - Cash Collection TG</t>
  </si>
  <si>
    <t>25,602,310.85</t>
  </si>
  <si>
    <t>618</t>
  </si>
  <si>
    <t>2508040910565583</t>
  </si>
  <si>
    <t>Al Wahda AUH, 02ND AUG - Cash Collection TG</t>
  </si>
  <si>
    <t>26,032,310.85</t>
  </si>
  <si>
    <t>619</t>
  </si>
  <si>
    <t>2508040910565602</t>
  </si>
  <si>
    <t>Zayed 1st Street Electra AUH, 02ND AUG - Cash Collection TG</t>
  </si>
  <si>
    <t>310,000.00</t>
  </si>
  <si>
    <t>26,342,310.85</t>
  </si>
  <si>
    <t>620</t>
  </si>
  <si>
    <t>2508040910565609</t>
  </si>
  <si>
    <t>Hamdan Abu Dhabi, 02ND AUG - Cash Collection TG</t>
  </si>
  <si>
    <t>27,102,310.85</t>
  </si>
  <si>
    <t>621</t>
  </si>
  <si>
    <t>2508040910565624</t>
  </si>
  <si>
    <t>Bin Dhgher Tower Khalidya AUH, 02ND AUG - Cash Collection TG</t>
  </si>
  <si>
    <t>27,652,310.85</t>
  </si>
  <si>
    <t>622</t>
  </si>
  <si>
    <t>2508040910565633</t>
  </si>
  <si>
    <t>Al Ain (Clock Tower)1, 02ND AUG - Cash Collection TG</t>
  </si>
  <si>
    <t>28,262,310.85</t>
  </si>
  <si>
    <t>623</t>
  </si>
  <si>
    <t>421,025.00</t>
  </si>
  <si>
    <t>28,683,335.85</t>
  </si>
  <si>
    <t>624</t>
  </si>
  <si>
    <t>PHUB519452302</t>
  </si>
  <si>
    <t>B/O_MAHMOUD AZIZ MOH_519452302</t>
  </si>
  <si>
    <t>22,104.50</t>
  </si>
  <si>
    <t>28,705,440.35</t>
  </si>
  <si>
    <t>625</t>
  </si>
  <si>
    <t>50749715904</t>
  </si>
  <si>
    <t>25829939116 MBTRF B/O AL QASAS BUILDINGS MATERIAL TR LLC</t>
  </si>
  <si>
    <t>33,971.52</t>
  </si>
  <si>
    <t>28,739,411.87</t>
  </si>
  <si>
    <t>626</t>
  </si>
  <si>
    <t>PHUB519454502</t>
  </si>
  <si>
    <t>B/O_MANDI AL DEERA R_519454502</t>
  </si>
  <si>
    <t>23,478.50</t>
  </si>
  <si>
    <t>28,762,890.37</t>
  </si>
  <si>
    <t>627</t>
  </si>
  <si>
    <t>PHUB519458826</t>
  </si>
  <si>
    <t>B/O_L.L.C AL KHALDIA_519458826</t>
  </si>
  <si>
    <t>25,256.00</t>
  </si>
  <si>
    <t>28,788,146.37</t>
  </si>
  <si>
    <t>628</t>
  </si>
  <si>
    <t>PHUB519462896</t>
  </si>
  <si>
    <t>NUHA</t>
  </si>
  <si>
    <t>B/O NUHA TECH SOLUTIONS LLC</t>
  </si>
  <si>
    <t>2,000.00</t>
  </si>
  <si>
    <t>28,790,146.37</t>
  </si>
  <si>
    <t>629</t>
  </si>
  <si>
    <t>PHUB519463443</t>
  </si>
  <si>
    <t>1,703.15</t>
  </si>
  <si>
    <t>28,791,849.52</t>
  </si>
  <si>
    <t>630</t>
  </si>
  <si>
    <t>PHUB519464409</t>
  </si>
  <si>
    <t>519464409 B/O AHMED ELSAYED ABDELSALAM ELSAYED</t>
  </si>
  <si>
    <t>7,234.50</t>
  </si>
  <si>
    <t>28,799,084.02</t>
  </si>
  <si>
    <t>631</t>
  </si>
  <si>
    <t>PHUB519473654</t>
  </si>
  <si>
    <t>B/O_KALYANVIJAYAKUMA_519473654</t>
  </si>
  <si>
    <t>28,824,084.02</t>
  </si>
  <si>
    <t>632</t>
  </si>
  <si>
    <t>PHUB519475336</t>
  </si>
  <si>
    <t>B/O_AL SATARI _ADIB_519475336_July Sa</t>
  </si>
  <si>
    <t>368,184.55</t>
  </si>
  <si>
    <t>29,192,268.57</t>
  </si>
  <si>
    <t>633</t>
  </si>
  <si>
    <t>50750973252</t>
  </si>
  <si>
    <t>25831156456 MBTRF B/O LINNETT OURI WAMALWA</t>
  </si>
  <si>
    <t>200.00</t>
  </si>
  <si>
    <t>29,192,468.57</t>
  </si>
  <si>
    <t>634</t>
  </si>
  <si>
    <t>65,000.00</t>
  </si>
  <si>
    <t>29,257,468.57</t>
  </si>
  <si>
    <t>635</t>
  </si>
  <si>
    <t>33,028.31</t>
  </si>
  <si>
    <t>29,290,496.88</t>
  </si>
  <si>
    <t>636</t>
  </si>
  <si>
    <t>PHUB519488054</t>
  </si>
  <si>
    <t>IMD 04082025 01</t>
  </si>
  <si>
    <t>22,538,812.32</t>
  </si>
  <si>
    <t>6,751,684.56</t>
  </si>
  <si>
    <t>637</t>
  </si>
  <si>
    <t>PHUB519493295</t>
  </si>
  <si>
    <t>IMD 04082025 02</t>
  </si>
  <si>
    <t>18,423,525.69</t>
  </si>
  <si>
    <t>-11,671,841.13</t>
  </si>
  <si>
    <t>638</t>
  </si>
  <si>
    <t>PHUB519494788</t>
  </si>
  <si>
    <t>B/O_RAVI PRAKA_CITI_519494788_THROUGH</t>
  </si>
  <si>
    <t>-11,571,841.13</t>
  </si>
  <si>
    <t>639</t>
  </si>
  <si>
    <t>PHUB519490405</t>
  </si>
  <si>
    <t>2002A033</t>
  </si>
  <si>
    <t>B/O ONYX GENERAL CONTRACTING LLC</t>
  </si>
  <si>
    <t>10,006.30</t>
  </si>
  <si>
    <t>-11,561,834.83</t>
  </si>
  <si>
    <t>640</t>
  </si>
  <si>
    <t>PHUB519490535</t>
  </si>
  <si>
    <t>519490535 B/O ROUBA RIAD MAHMOUD HAMMAD</t>
  </si>
  <si>
    <t>42,785.00</t>
  </si>
  <si>
    <t>-11,519,049.83</t>
  </si>
  <si>
    <t>641</t>
  </si>
  <si>
    <t>151,937.00</t>
  </si>
  <si>
    <t>-11,367,112.83</t>
  </si>
  <si>
    <t>642</t>
  </si>
  <si>
    <t>PHUB519529768</t>
  </si>
  <si>
    <t>B/O_ALI MOHAMED IBRA_519529768</t>
  </si>
  <si>
    <t>20,000.00</t>
  </si>
  <si>
    <t>-11,347,112.83</t>
  </si>
  <si>
    <t>643</t>
  </si>
  <si>
    <t>50751847504</t>
  </si>
  <si>
    <t>25831979347 MBTRF B/O ACAMIND ACADEMY LLC</t>
  </si>
  <si>
    <t>28,175.00</t>
  </si>
  <si>
    <t>-11,318,937.83</t>
  </si>
  <si>
    <t>644</t>
  </si>
  <si>
    <t>PHUB519533950</t>
  </si>
  <si>
    <t>B/O_TREKKUP FZE_519533950</t>
  </si>
  <si>
    <t>10,369.26</t>
  </si>
  <si>
    <t>-11,308,568.57</t>
  </si>
  <si>
    <t>645</t>
  </si>
  <si>
    <t>000013</t>
  </si>
  <si>
    <t>INHOUSE CHEQUE DEPOSIT 000013 MUHAMMED ANWAR JAWAHAR    JAWAHAR AL FARDAN EXCHANGE SP LLC CHQ NO ::000013</t>
  </si>
  <si>
    <t>-11,298,568.57</t>
  </si>
  <si>
    <t>646</t>
  </si>
  <si>
    <t>PHUB519534458</t>
  </si>
  <si>
    <t>519534458 B/O MUHAMMAD ABDULLAH</t>
  </si>
  <si>
    <t>9,700.00</t>
  </si>
  <si>
    <t>-11,288,868.57</t>
  </si>
  <si>
    <t>647</t>
  </si>
  <si>
    <t>50751995211</t>
  </si>
  <si>
    <t>25832121681 MBTRF B/O MIAN MAHMOOD AHMAD</t>
  </si>
  <si>
    <t>53,735.20</t>
  </si>
  <si>
    <t>-11,235,133.37</t>
  </si>
  <si>
    <t>648</t>
  </si>
  <si>
    <t>50752015419</t>
  </si>
  <si>
    <t>25832141063 MBTRF B/O WOOD EXPRESSIONS INTERIOR DECOR LLC</t>
  </si>
  <si>
    <t>30,145.00</t>
  </si>
  <si>
    <t>-11,204,988.37</t>
  </si>
  <si>
    <t>649</t>
  </si>
  <si>
    <t>50752535154</t>
  </si>
  <si>
    <t>25832637648 MBTRF B/O M N BUILDING MATERIALS LLC</t>
  </si>
  <si>
    <t>62,567.25</t>
  </si>
  <si>
    <t>-11,142,421.12</t>
  </si>
  <si>
    <t>650</t>
  </si>
  <si>
    <t>50752591875</t>
  </si>
  <si>
    <t>25832693557 MBTRF B/O ZAYED EID BAKHEET M ALMAZROUEI</t>
  </si>
  <si>
    <t>-11,002,421.12</t>
  </si>
  <si>
    <t>651</t>
  </si>
  <si>
    <t>50752751461</t>
  </si>
  <si>
    <t>2533062266 IBTRF B/O NEXT MOVE SHIPPING SERVICES LLC</t>
  </si>
  <si>
    <t>5,883.54</t>
  </si>
  <si>
    <t>-10,996,537.58</t>
  </si>
  <si>
    <t>652</t>
  </si>
  <si>
    <t>50752946104</t>
  </si>
  <si>
    <t>25833035398 MBTRF B/O ROSMA RASAILY</t>
  </si>
  <si>
    <t>757.89</t>
  </si>
  <si>
    <t>-10,995,779.69</t>
  </si>
  <si>
    <t>653</t>
  </si>
  <si>
    <t>INHOUSE CHEQUE DEPOSIT 000005 MUHAMMAD HAMEED MUHAMMAD   FAREED AL FARDAN EXCHANGE SP LLC CHQ NO ::000005</t>
  </si>
  <si>
    <t>8,151.00</t>
  </si>
  <si>
    <t>-10,987,628.69</t>
  </si>
  <si>
    <t>654</t>
  </si>
  <si>
    <t>PHUB519569739</t>
  </si>
  <si>
    <t>REQ25122 PO25682 WO25251</t>
  </si>
  <si>
    <t>B/O GLOBAL PETROMAC PROJECT LLC</t>
  </si>
  <si>
    <t>7,225.00</t>
  </si>
  <si>
    <t>-10,980,403.69</t>
  </si>
  <si>
    <t>655</t>
  </si>
  <si>
    <t>PHUB519570253</t>
  </si>
  <si>
    <t>ASF250803</t>
  </si>
  <si>
    <t>25,778.50</t>
  </si>
  <si>
    <t>-10,954,625.19</t>
  </si>
  <si>
    <t>656</t>
  </si>
  <si>
    <t>PHUB519570548</t>
  </si>
  <si>
    <t>B/O_AHMED SARF_SCBL_519570548_.</t>
  </si>
  <si>
    <t>120,000.00</t>
  </si>
  <si>
    <t>-10,834,625.19</t>
  </si>
  <si>
    <t>657</t>
  </si>
  <si>
    <t>PHUB519577232</t>
  </si>
  <si>
    <t>B/O_L.L.C JACQ_ADIB_519577232_BOIS39</t>
  </si>
  <si>
    <t>85,472.50</t>
  </si>
  <si>
    <t>-10,749,152.69</t>
  </si>
  <si>
    <t>658</t>
  </si>
  <si>
    <t>PHUB519582379</t>
  </si>
  <si>
    <t>B/O_AHMAD MOUN_HILA_519582379_FIS</t>
  </si>
  <si>
    <t>53,812.50</t>
  </si>
  <si>
    <t>-10,695,340.19</t>
  </si>
  <si>
    <t>659</t>
  </si>
  <si>
    <t>40,737.80</t>
  </si>
  <si>
    <t>-10,654,602.39</t>
  </si>
  <si>
    <t>660</t>
  </si>
  <si>
    <t>PHUB519585818</t>
  </si>
  <si>
    <t>GLCODE 998826</t>
  </si>
  <si>
    <t>B/O HUB OF CONSCIOUSNESS LFSTYL CNG LLC</t>
  </si>
  <si>
    <t>13,276.25</t>
  </si>
  <si>
    <t>-10,641,326.14</t>
  </si>
  <si>
    <t>661</t>
  </si>
  <si>
    <t>16,000.00</t>
  </si>
  <si>
    <t>-10,625,326.14</t>
  </si>
  <si>
    <t>662</t>
  </si>
  <si>
    <t>12,609.50</t>
  </si>
  <si>
    <t>-10,612,716.64</t>
  </si>
  <si>
    <t>663</t>
  </si>
  <si>
    <t>91,000.00</t>
  </si>
  <si>
    <t>-10,521,716.64</t>
  </si>
  <si>
    <t>664</t>
  </si>
  <si>
    <t>PHUB519599137</t>
  </si>
  <si>
    <t>B/O_PINK CAKES_BOML_519599137_ ADMIN</t>
  </si>
  <si>
    <t>16,621.00</t>
  </si>
  <si>
    <t>-10,505,095.64</t>
  </si>
  <si>
    <t>665</t>
  </si>
  <si>
    <t>PHUB519595402</t>
  </si>
  <si>
    <t>MOB0408251215517978465</t>
  </si>
  <si>
    <t>B/O TEAM E DUNIYAV RESTAURANT S P LLC</t>
  </si>
  <si>
    <t>21,768.25</t>
  </si>
  <si>
    <t>-10,483,327.39</t>
  </si>
  <si>
    <t>666</t>
  </si>
  <si>
    <t>50754434228</t>
  </si>
  <si>
    <t>25834440643 MBTRF B/O SAHIB MOHAMMED SAJJAD</t>
  </si>
  <si>
    <t>-10,233,327.39</t>
  </si>
  <si>
    <t>667</t>
  </si>
  <si>
    <t>PHUB519599791</t>
  </si>
  <si>
    <t>B/O_S A A S ADVISORY_519599791</t>
  </si>
  <si>
    <t>14,313.01</t>
  </si>
  <si>
    <t>-10,219,014.38</t>
  </si>
  <si>
    <t>668</t>
  </si>
  <si>
    <t>PHUB519596279</t>
  </si>
  <si>
    <t>519596279 B/O S A A S ADVISORY INVESTMENTS AND TR</t>
  </si>
  <si>
    <t>4,154.40</t>
  </si>
  <si>
    <t>-10,214,859.98</t>
  </si>
  <si>
    <t>669</t>
  </si>
  <si>
    <t>PHUB519599993</t>
  </si>
  <si>
    <t>519599993 B/O S A A S ADVISORY INVESTMENTS AND TR</t>
  </si>
  <si>
    <t>7,461.00</t>
  </si>
  <si>
    <t>-10,207,398.98</t>
  </si>
  <si>
    <t>670</t>
  </si>
  <si>
    <t>50754521019</t>
  </si>
  <si>
    <t>25834521500 MBTRF B/O SAHIB MOHAMMED SAJJAD</t>
  </si>
  <si>
    <t>48,910.00</t>
  </si>
  <si>
    <t>-10,158,488.98</t>
  </si>
  <si>
    <t>671</t>
  </si>
  <si>
    <t>PHUB519597606</t>
  </si>
  <si>
    <t>MOB0408251221497978624</t>
  </si>
  <si>
    <t>3,734.00</t>
  </si>
  <si>
    <t>-10,154,754.98</t>
  </si>
  <si>
    <t>672</t>
  </si>
  <si>
    <t>50754634068</t>
  </si>
  <si>
    <t>25834633661 MBTRF B/O AHMAD ALABED KHALIL ABU EID</t>
  </si>
  <si>
    <t>42,755.00</t>
  </si>
  <si>
    <t>-10,111,999.98</t>
  </si>
  <si>
    <t>673</t>
  </si>
  <si>
    <t>PHUB519603894</t>
  </si>
  <si>
    <t>B/O_NOOR ALAFA_BOML_519603894_ GOODS</t>
  </si>
  <si>
    <t>36,800.50</t>
  </si>
  <si>
    <t>-10,075,199.48</t>
  </si>
  <si>
    <t>674</t>
  </si>
  <si>
    <t>PHUB519607743</t>
  </si>
  <si>
    <t>519607743 B/O MOHAMMED GOLAM RASUL</t>
  </si>
  <si>
    <t>1,422.50</t>
  </si>
  <si>
    <t>-10,073,776.98</t>
  </si>
  <si>
    <t>675</t>
  </si>
  <si>
    <t>PHUB519608687</t>
  </si>
  <si>
    <t>B/O_AIX CARGO _null_519608687_For EUR</t>
  </si>
  <si>
    <t>41,651.75</t>
  </si>
  <si>
    <t>-10,032,125.23</t>
  </si>
  <si>
    <t>676</t>
  </si>
  <si>
    <t>50755118656</t>
  </si>
  <si>
    <t>2533161951 IBTRF B/O RAVI SANKAR KOMMALAPATI</t>
  </si>
  <si>
    <t>34,000.00</t>
  </si>
  <si>
    <t>-9,998,125.23</t>
  </si>
  <si>
    <t>677</t>
  </si>
  <si>
    <t>7,812.60</t>
  </si>
  <si>
    <t>-9,990,312.63</t>
  </si>
  <si>
    <t>678</t>
  </si>
  <si>
    <t>83,113.75</t>
  </si>
  <si>
    <t>-9,907,198.88</t>
  </si>
  <si>
    <t>679</t>
  </si>
  <si>
    <t>11,700.00</t>
  </si>
  <si>
    <t>-9,895,498.88</t>
  </si>
  <si>
    <t>680</t>
  </si>
  <si>
    <t>38,000.00</t>
  </si>
  <si>
    <t>-9,857,498.88</t>
  </si>
  <si>
    <t>681</t>
  </si>
  <si>
    <t>-9,853,494.68</t>
  </si>
  <si>
    <t>682</t>
  </si>
  <si>
    <t>000087</t>
  </si>
  <si>
    <t>INHOUSE CHEQUE DEPOSIT 000087 MUHAMMAD ZUBAIR MUHAMMAD    IFTIKHAR AL FARDAN EXCHANGE SP LLC CHQ NO ::000087</t>
  </si>
  <si>
    <t>105,201.25</t>
  </si>
  <si>
    <t>-9,748,293.43</t>
  </si>
  <si>
    <t>683</t>
  </si>
  <si>
    <t>000022</t>
  </si>
  <si>
    <t>INHOUSE CHEQUE DEPOSIT 000022 BASHEER PULIKKAL    IBRAHIM AL FARDAN EXCHANGE SP LLC CHQ NO ::000022</t>
  </si>
  <si>
    <t>105,157.00</t>
  </si>
  <si>
    <t>-9,643,136.43</t>
  </si>
  <si>
    <t>684</t>
  </si>
  <si>
    <t>10,746.25</t>
  </si>
  <si>
    <t>-9,632,390.18</t>
  </si>
  <si>
    <t>685</t>
  </si>
  <si>
    <t>PHUB519624856</t>
  </si>
  <si>
    <t>B/O_HUMAID KHALFAN M_519624856</t>
  </si>
  <si>
    <t>-9,592,390.18</t>
  </si>
  <si>
    <t>686</t>
  </si>
  <si>
    <t>18,136.00</t>
  </si>
  <si>
    <t>-9,574,254.18</t>
  </si>
  <si>
    <t>687</t>
  </si>
  <si>
    <t>-9,572,754.18</t>
  </si>
  <si>
    <t>688</t>
  </si>
  <si>
    <t>3,500.00</t>
  </si>
  <si>
    <t>-9,569,254.18</t>
  </si>
  <si>
    <t>689</t>
  </si>
  <si>
    <t>4,200.00</t>
  </si>
  <si>
    <t>-9,565,054.18</t>
  </si>
  <si>
    <t>690</t>
  </si>
  <si>
    <t>2,800.00</t>
  </si>
  <si>
    <t>-9,562,254.18</t>
  </si>
  <si>
    <t>691</t>
  </si>
  <si>
    <t>50756102345</t>
  </si>
  <si>
    <t>25836047777 MBTRF B/O MAKANI BUILDING MATERIALS</t>
  </si>
  <si>
    <t>17,557.93</t>
  </si>
  <si>
    <t>-9,544,696.25</t>
  </si>
  <si>
    <t>692</t>
  </si>
  <si>
    <t>PHUB519637565</t>
  </si>
  <si>
    <t>B/O_MEDITERRAN_NBAD_519637565_MEDITER</t>
  </si>
  <si>
    <t>51,654.75</t>
  </si>
  <si>
    <t>-9,493,041.50</t>
  </si>
  <si>
    <t>693</t>
  </si>
  <si>
    <t>PHUB519637643</t>
  </si>
  <si>
    <t>B/O_MEDITERRAN_NBAD_519637643_CTM 50K</t>
  </si>
  <si>
    <t>-9,308,536.25</t>
  </si>
  <si>
    <t>694</t>
  </si>
  <si>
    <t>PHUB519639480</t>
  </si>
  <si>
    <t>519639480 B/O FAHAD AHMED KHANNOORANI ZULFIQAR AHMED</t>
  </si>
  <si>
    <t>3,478.00</t>
  </si>
  <si>
    <t>-9,305,058.25</t>
  </si>
  <si>
    <t>695</t>
  </si>
  <si>
    <t>-9,296,858.25</t>
  </si>
  <si>
    <t>696</t>
  </si>
  <si>
    <t>50756385010</t>
  </si>
  <si>
    <t>2533211538 IBTRF B/O AMOGH PROJECT MANAGEMENT L L C</t>
  </si>
  <si>
    <t>21,400.00</t>
  </si>
  <si>
    <t>-9,275,458.25</t>
  </si>
  <si>
    <t>697</t>
  </si>
  <si>
    <t>-9,271,258.25</t>
  </si>
  <si>
    <t>698</t>
  </si>
  <si>
    <t>PHUB519645064</t>
  </si>
  <si>
    <t>B/O_AHMED ELSAYED AB_519645064</t>
  </si>
  <si>
    <t>18,406.75</t>
  </si>
  <si>
    <t>-9,252,851.50</t>
  </si>
  <si>
    <t>699</t>
  </si>
  <si>
    <t>PHUB519647721</t>
  </si>
  <si>
    <t>519647721 B/O BRIKPRO REALESTATE LLC</t>
  </si>
  <si>
    <t>-9,250,851.50</t>
  </si>
  <si>
    <t>700</t>
  </si>
  <si>
    <t>10,335.60</t>
  </si>
  <si>
    <t>-9,240,515.90</t>
  </si>
  <si>
    <t>701</t>
  </si>
  <si>
    <t>PHUB519654018</t>
  </si>
  <si>
    <t>1,729.56</t>
  </si>
  <si>
    <t>-9,238,786.34</t>
  </si>
  <si>
    <t>702</t>
  </si>
  <si>
    <t>50757037528</t>
  </si>
  <si>
    <t>25836986886 MBTRF B/O MADHU SIVARAMAN NAIR</t>
  </si>
  <si>
    <t>128,705.00</t>
  </si>
  <si>
    <t>-9,110,081.34</t>
  </si>
  <si>
    <t>703</t>
  </si>
  <si>
    <t>PHUB519654537</t>
  </si>
  <si>
    <t>B/O_L.L.C ABEE_ADIB_519654537_Abeer T</t>
  </si>
  <si>
    <t>-8,610,081.34</t>
  </si>
  <si>
    <t>704</t>
  </si>
  <si>
    <t>PHUB519654554</t>
  </si>
  <si>
    <t>B/O_L.L.C ABEE_ADIB_519654554_Abeer T</t>
  </si>
  <si>
    <t>167,083.01</t>
  </si>
  <si>
    <t>-8,442,998.33</t>
  </si>
  <si>
    <t>705</t>
  </si>
  <si>
    <t>PHUB519659469</t>
  </si>
  <si>
    <t>519659469 B/O CSS KINGSTON LOGISTICS FZC</t>
  </si>
  <si>
    <t>2,182.61</t>
  </si>
  <si>
    <t>-8,440,815.72</t>
  </si>
  <si>
    <t>706</t>
  </si>
  <si>
    <t>PHUB519659477</t>
  </si>
  <si>
    <t>519659477 B/O CSS KINGSTON LOGISTICS FZC</t>
  </si>
  <si>
    <t>2,434.09</t>
  </si>
  <si>
    <t>-8,438,381.63</t>
  </si>
  <si>
    <t>707</t>
  </si>
  <si>
    <t>PHUB519663293</t>
  </si>
  <si>
    <t>B/O_CSS KINGST_NBFU_519663293_PAYMENT</t>
  </si>
  <si>
    <t>29,514.94</t>
  </si>
  <si>
    <t>-8,408,866.69</t>
  </si>
  <si>
    <t>708</t>
  </si>
  <si>
    <t>PHUB519663300</t>
  </si>
  <si>
    <t>B/O_CSS KINGST_NBFU_519663300_PAYMENT</t>
  </si>
  <si>
    <t>12,491.57</t>
  </si>
  <si>
    <t>-8,396,375.12</t>
  </si>
  <si>
    <t>709</t>
  </si>
  <si>
    <t>PHUB519663536</t>
  </si>
  <si>
    <t>B/O_MR SHOAIB DAR_519663536</t>
  </si>
  <si>
    <t>15,608.75</t>
  </si>
  <si>
    <t>-8,380,766.37</t>
  </si>
  <si>
    <t>710</t>
  </si>
  <si>
    <t>PHUB519664767</t>
  </si>
  <si>
    <t>B/O_ALFATHIR U_BOML_519664767_ FINANC</t>
  </si>
  <si>
    <t>65,472.50</t>
  </si>
  <si>
    <t>-8,315,293.87</t>
  </si>
  <si>
    <t>711</t>
  </si>
  <si>
    <t>PHUB519664851</t>
  </si>
  <si>
    <t>519664851 B/O HAIDER MOHAMMED AL KHAYYAT</t>
  </si>
  <si>
    <t>-8,285,293.87</t>
  </si>
  <si>
    <t>712</t>
  </si>
  <si>
    <t>PHUB519672483</t>
  </si>
  <si>
    <t>CA 04082025</t>
  </si>
  <si>
    <t>34,000,000.00</t>
  </si>
  <si>
    <t>25,714,706.13</t>
  </si>
  <si>
    <t>713</t>
  </si>
  <si>
    <t>PHUB519673167</t>
  </si>
  <si>
    <t>USD BUY 04082025</t>
  </si>
  <si>
    <t>42,426,615.00</t>
  </si>
  <si>
    <t>-16,711,908.87</t>
  </si>
  <si>
    <t>714</t>
  </si>
  <si>
    <t>PHUB519673067</t>
  </si>
  <si>
    <t>B/O SAVE THE DATE EVENT LLC</t>
  </si>
  <si>
    <t>8,000.00</t>
  </si>
  <si>
    <t>-16,703,908.87</t>
  </si>
  <si>
    <t>715</t>
  </si>
  <si>
    <t>PHUB519675828</t>
  </si>
  <si>
    <t>MOB0408251422457981247</t>
  </si>
  <si>
    <t>B/O DUSCAPE</t>
  </si>
  <si>
    <t>18,325.00</t>
  </si>
  <si>
    <t>-16,685,583.87</t>
  </si>
  <si>
    <t>716</t>
  </si>
  <si>
    <t>PHUB519676318</t>
  </si>
  <si>
    <t>519676318 B/O ULTIMAE AVIATION SERVICES L.L.C</t>
  </si>
  <si>
    <t>-16,675,583.87</t>
  </si>
  <si>
    <t>717</t>
  </si>
  <si>
    <t>50758585806</t>
  </si>
  <si>
    <t>2533295685 IBTRF B/O ROBERT LLOYD AND OR KIM ROBERTSON</t>
  </si>
  <si>
    <t>39,297.50</t>
  </si>
  <si>
    <t>-16,636,286.37</t>
  </si>
  <si>
    <t>718</t>
  </si>
  <si>
    <t>PHUB519685552</t>
  </si>
  <si>
    <t>B/O_H H SH HAM_NBAD_519685552_Al Fard</t>
  </si>
  <si>
    <t>1,104,000.00</t>
  </si>
  <si>
    <t>-15,532,286.37</t>
  </si>
  <si>
    <t>719</t>
  </si>
  <si>
    <t>PHUB519687797</t>
  </si>
  <si>
    <t>B/O_INDO POINT_BARB_519687797_Solosto</t>
  </si>
  <si>
    <t>169,064.50</t>
  </si>
  <si>
    <t>-15,363,221.87</t>
  </si>
  <si>
    <t>720</t>
  </si>
  <si>
    <t>32,155.00</t>
  </si>
  <si>
    <t>-15,331,066.87</t>
  </si>
  <si>
    <t>721</t>
  </si>
  <si>
    <t>PHUB519692688</t>
  </si>
  <si>
    <t>B/O_O P C ALKH_ADIB_519692688_transfe</t>
  </si>
  <si>
    <t>78,658.00</t>
  </si>
  <si>
    <t>-15,252,408.87</t>
  </si>
  <si>
    <t>722</t>
  </si>
  <si>
    <t>B/O_A/C.193691_ADIB_519692692_Financi</t>
  </si>
  <si>
    <t>110,836.62</t>
  </si>
  <si>
    <t>-15,141,572.25</t>
  </si>
  <si>
    <t>723</t>
  </si>
  <si>
    <t>B/O_AL SATARI _ADIB_519696119_TRF Ahm</t>
  </si>
  <si>
    <t>482,089.30</t>
  </si>
  <si>
    <t>-14,659,482.95</t>
  </si>
  <si>
    <t>724</t>
  </si>
  <si>
    <t>50759588942</t>
  </si>
  <si>
    <t>25839532237 MBTRF B/O PREM MOHAN</t>
  </si>
  <si>
    <t>63,025.25</t>
  </si>
  <si>
    <t>-14,596,457.70</t>
  </si>
  <si>
    <t>725</t>
  </si>
  <si>
    <t>PHUB519702558</t>
  </si>
  <si>
    <t>B/O_ARTACHES G_NBAD_519702558_FOREIGN</t>
  </si>
  <si>
    <t>-14,151,457.70</t>
  </si>
  <si>
    <t>726</t>
  </si>
  <si>
    <t>PHUB519703339</t>
  </si>
  <si>
    <t>B/O_MEDITERRAN_NBAD_519703339_QUITTER</t>
  </si>
  <si>
    <t>73,787.75</t>
  </si>
  <si>
    <t>-14,077,669.95</t>
  </si>
  <si>
    <t>727</t>
  </si>
  <si>
    <t>50759984188</t>
  </si>
  <si>
    <t>21,043.73</t>
  </si>
  <si>
    <t>-14,056,626.22</t>
  </si>
  <si>
    <t>728</t>
  </si>
  <si>
    <t>50760008819</t>
  </si>
  <si>
    <t>2533345229 IBTRF B/O VELOUMANY SIVAKOLUNDU</t>
  </si>
  <si>
    <t>13,000.00</t>
  </si>
  <si>
    <t>-14,043,626.22</t>
  </si>
  <si>
    <t>729</t>
  </si>
  <si>
    <t>5603900</t>
  </si>
  <si>
    <t>5603900_16278140_13826446 FX SETTLEMENT</t>
  </si>
  <si>
    <t>1,836,363.00</t>
  </si>
  <si>
    <t>-12,207,263.22</t>
  </si>
  <si>
    <t>730</t>
  </si>
  <si>
    <t>04082512</t>
  </si>
  <si>
    <t>10,000,000.00</t>
  </si>
  <si>
    <t>-2,207,263.22</t>
  </si>
  <si>
    <t>731</t>
  </si>
  <si>
    <t>5603893</t>
  </si>
  <si>
    <t>5603893_16278134_13826440 FX SETTLEMENT</t>
  </si>
  <si>
    <t>3,672,726.00</t>
  </si>
  <si>
    <t>1,465,462.78</t>
  </si>
  <si>
    <t>732</t>
  </si>
  <si>
    <t>B/O_NOVEC CARE_BOML_519718193_ GOODS</t>
  </si>
  <si>
    <t>625,653.28</t>
  </si>
  <si>
    <t>2,091,116.06</t>
  </si>
  <si>
    <t>733</t>
  </si>
  <si>
    <t>PHUB519718953</t>
  </si>
  <si>
    <t>NIC00419</t>
  </si>
  <si>
    <t>B/O NATIONAL INDUSTRIAL COMPANY LLC</t>
  </si>
  <si>
    <t>69,463.25</t>
  </si>
  <si>
    <t>2,160,579.31</t>
  </si>
  <si>
    <t>734</t>
  </si>
  <si>
    <t>16,200.00</t>
  </si>
  <si>
    <t>2,176,779.31</t>
  </si>
  <si>
    <t>735</t>
  </si>
  <si>
    <t>50760538551</t>
  </si>
  <si>
    <t>2533365267 IBTRF B/O CORNER STONE ADV AND PUB LLC SP</t>
  </si>
  <si>
    <t>2,185,805.56</t>
  </si>
  <si>
    <t>736</t>
  </si>
  <si>
    <t>4,600.00</t>
  </si>
  <si>
    <t>2,190,405.56</t>
  </si>
  <si>
    <t>737</t>
  </si>
  <si>
    <t>PHUB519708170</t>
  </si>
  <si>
    <t>CB 04082025</t>
  </si>
  <si>
    <t>O/W TRF 519708170</t>
  </si>
  <si>
    <t>8,590,000.00</t>
  </si>
  <si>
    <t>-6,399,594.44</t>
  </si>
  <si>
    <t>738</t>
  </si>
  <si>
    <t>CHCB519708170</t>
  </si>
  <si>
    <t>O/W PROCESSING CHARGE 519708170</t>
  </si>
  <si>
    <t>-6,399,610.19</t>
  </si>
  <si>
    <t>739</t>
  </si>
  <si>
    <t>B/O_MAX ROCK S_NBFU_519721438_PAYMENT</t>
  </si>
  <si>
    <t>1,608,609.62</t>
  </si>
  <si>
    <t>-4,791,000.57</t>
  </si>
  <si>
    <t>740</t>
  </si>
  <si>
    <t>000038</t>
  </si>
  <si>
    <t>INHOUSE CHEQUE DEPOSIT 000038 ALI AHMED NADEEM NADEEM   ASIF AL FARDAN EXCHANGE SP LLC CHQ NO ::000038</t>
  </si>
  <si>
    <t>50,023.09</t>
  </si>
  <si>
    <t>-4,740,977.48</t>
  </si>
  <si>
    <t>741</t>
  </si>
  <si>
    <t>14,051.25</t>
  </si>
  <si>
    <t>-4,726,926.23</t>
  </si>
  <si>
    <t>742</t>
  </si>
  <si>
    <t>000671</t>
  </si>
  <si>
    <t>INHOUSE CHEQUE DEPOSIT 000671 ALI AHMED NADEEM NADEEM   ASIF AL FARDAN EXCHANGE SP LLC CHQ NO ::000671</t>
  </si>
  <si>
    <t>18,400.00</t>
  </si>
  <si>
    <t>-4,708,526.23</t>
  </si>
  <si>
    <t>743</t>
  </si>
  <si>
    <t>INHOUSE CHEQUE DEPOSIT 001138 MUHAMED IRFANUL HAQ THALIKAPARAMBIL   ABOOBACKER AL FARDAN EXCHANGE SP LLC CHQ NO ::001138</t>
  </si>
  <si>
    <t>1,922.25</t>
  </si>
  <si>
    <t>-4,706,603.98</t>
  </si>
  <si>
    <t>744</t>
  </si>
  <si>
    <t>B/O_/006/004 Y_NRAK_519723258_Commiss</t>
  </si>
  <si>
    <t>-4,656,603.98</t>
  </si>
  <si>
    <t>745</t>
  </si>
  <si>
    <t>001137</t>
  </si>
  <si>
    <t>INHOUSE CHEQUE DEPOSIT 001137 MUHAMED IRFANUL HAQ THALIKAPARAMBIL   ABOOBACKER AL FARDAN EXCHANGE SP LLC CHQ NO ::001137</t>
  </si>
  <si>
    <t>5,923.75</t>
  </si>
  <si>
    <t>-4,650,680.23</t>
  </si>
  <si>
    <t>746</t>
  </si>
  <si>
    <t>B/O_/006/004 Y_NRAK_519725466_Commiss</t>
  </si>
  <si>
    <t>-4,600,680.23</t>
  </si>
  <si>
    <t>747</t>
  </si>
  <si>
    <t>000042</t>
  </si>
  <si>
    <t>INHOUSE CHEQUE DEPOSIT 000042 FEMIN SUHAS CHARAKKUPARAMBAN ABDUL LATHEEF   CHARA AL FARDAN EXCHANGE SP LLC CHQ NO ::000042</t>
  </si>
  <si>
    <t>22,300.00</t>
  </si>
  <si>
    <t>-4,578,380.23</t>
  </si>
  <si>
    <t>748</t>
  </si>
  <si>
    <t>43,804.00</t>
  </si>
  <si>
    <t>-4,534,576.23</t>
  </si>
  <si>
    <t>749</t>
  </si>
  <si>
    <t>-4,518,576.23</t>
  </si>
  <si>
    <t>750</t>
  </si>
  <si>
    <t>12.60</t>
  </si>
  <si>
    <t>-4,518,563.63</t>
  </si>
  <si>
    <t>751</t>
  </si>
  <si>
    <t>50761169040</t>
  </si>
  <si>
    <t>2533387441 IBTRF B/O POWER TECH INTERNATIONAL TR LLC</t>
  </si>
  <si>
    <t>8,303.60</t>
  </si>
  <si>
    <t>-4,510,260.03</t>
  </si>
  <si>
    <t>752</t>
  </si>
  <si>
    <t>50761192237</t>
  </si>
  <si>
    <t>25841145398 MBTRF B/O FALAH ROSHDI SALEH ELGERGAWI</t>
  </si>
  <si>
    <t>-4,460,260.03</t>
  </si>
  <si>
    <t>753</t>
  </si>
  <si>
    <t>50761213842</t>
  </si>
  <si>
    <t>25841164798 MBTRF B/O BAHAA ELDIN MOHD ABBAS S O ELASWANI</t>
  </si>
  <si>
    <t>128,685.50</t>
  </si>
  <si>
    <t>-4,331,574.53</t>
  </si>
  <si>
    <t>754</t>
  </si>
  <si>
    <t>PHUB519734346</t>
  </si>
  <si>
    <t>519734346 B/O LAZZARO GULF GARMENTS L.L.C S P</t>
  </si>
  <si>
    <t>46,000.00</t>
  </si>
  <si>
    <t>-4,285,574.53</t>
  </si>
  <si>
    <t>755</t>
  </si>
  <si>
    <t>PHUB519734994</t>
  </si>
  <si>
    <t>MOB0408251617567983348</t>
  </si>
  <si>
    <t>B/O MOB TECHNICAL SERVICES LLC</t>
  </si>
  <si>
    <t>11,049.00</t>
  </si>
  <si>
    <t>-4,274,525.53</t>
  </si>
  <si>
    <t>756</t>
  </si>
  <si>
    <t>B/O_FZE MONOVA_ADIB_519735867_INV/250</t>
  </si>
  <si>
    <t>97,862.13</t>
  </si>
  <si>
    <t>-4,176,663.40</t>
  </si>
  <si>
    <t>757</t>
  </si>
  <si>
    <t>PHUB519736558</t>
  </si>
  <si>
    <t>CW 04082025</t>
  </si>
  <si>
    <t>-14,176,663.40</t>
  </si>
  <si>
    <t>758</t>
  </si>
  <si>
    <t>PHUB519765356</t>
  </si>
  <si>
    <t>17,350.40</t>
  </si>
  <si>
    <t>-14,159,313.00</t>
  </si>
  <si>
    <t>759</t>
  </si>
  <si>
    <t>VENKATESH</t>
  </si>
  <si>
    <t>196,428.45</t>
  </si>
  <si>
    <t>-13,962,884.55</t>
  </si>
  <si>
    <t>760</t>
  </si>
  <si>
    <t>50761834871</t>
  </si>
  <si>
    <t>2533410739 IBTRF B/O ELCHEF EL LUBNANY BUTCHERY LLC SPC</t>
  </si>
  <si>
    <t>19,078.25</t>
  </si>
  <si>
    <t>-13,943,806.30</t>
  </si>
  <si>
    <t>761</t>
  </si>
  <si>
    <t>PHUB519770163</t>
  </si>
  <si>
    <t>BILRS PHILIPPINES FUND</t>
  </si>
  <si>
    <t>B/O BILRS PAYMENT SERVICES PROVIDER CO.</t>
  </si>
  <si>
    <t>75,027.00</t>
  </si>
  <si>
    <t>-13,868,779.30</t>
  </si>
  <si>
    <t>762</t>
  </si>
  <si>
    <t>PHUB519750902</t>
  </si>
  <si>
    <t>B/O_TECHSTORE _BOML_519750902_ GOODS</t>
  </si>
  <si>
    <t>18,340.82</t>
  </si>
  <si>
    <t>-13,850,438.48</t>
  </si>
  <si>
    <t>763</t>
  </si>
  <si>
    <t>000136</t>
  </si>
  <si>
    <t>INHOUSE CHEQUE DEPOSIT 000136 DIL JAN MOHAMMAD   ALI AL FARDAN EXCHANGE SP LLC CHQ NO ::000136</t>
  </si>
  <si>
    <t>84,130.78</t>
  </si>
  <si>
    <t>-13,766,307.70</t>
  </si>
  <si>
    <t>764</t>
  </si>
  <si>
    <t>002029</t>
  </si>
  <si>
    <t>INHOUSE CHEQUE DEPOSIT 002029 MUHAMMAD RASHID KOONARI   PEZHUMTHARA AL FARDAN EXCHANGE SP LLC CHQ NO ::002029</t>
  </si>
  <si>
    <t>29,280.75</t>
  </si>
  <si>
    <t>-13,737,026.95</t>
  </si>
  <si>
    <t>765</t>
  </si>
  <si>
    <t>000653</t>
  </si>
  <si>
    <t>INHOUSE CHEQUE DEPOSIT 000653 SAMIR MOHAMED ELZAHREY   MOHAMED AL FARDAN EXCHANGE SP LLC CHQ NO ::000653</t>
  </si>
  <si>
    <t>40,779.00</t>
  </si>
  <si>
    <t>-13,696,247.95</t>
  </si>
  <si>
    <t>766</t>
  </si>
  <si>
    <t>001277</t>
  </si>
  <si>
    <t>INHOUSE CHEQUE DEPOSIT 001277 SHAKEEL SHARIF MUHAMMAD   SHARIF AL FARDAN EXCHANGE SP LLC CHQ NO ::001277</t>
  </si>
  <si>
    <t>12,055.00</t>
  </si>
  <si>
    <t>-13,684,192.95</t>
  </si>
  <si>
    <t>767</t>
  </si>
  <si>
    <t>50762975301</t>
  </si>
  <si>
    <t>25842980729 MBTRF B/O MANASIK TRAVELS SP LLC</t>
  </si>
  <si>
    <t>4,410.00</t>
  </si>
  <si>
    <t>-13,679,782.95</t>
  </si>
  <si>
    <t>768</t>
  </si>
  <si>
    <t>50763015975</t>
  </si>
  <si>
    <t>25843022839 MBTRF B/O EIGHTY SIX MEDIA LLC</t>
  </si>
  <si>
    <t>719.50</t>
  </si>
  <si>
    <t>-13,679,063.45</t>
  </si>
  <si>
    <t>769</t>
  </si>
  <si>
    <t>000033</t>
  </si>
  <si>
    <t>INHOUSE CHEQUE DEPOSIT 000033 MUHAMMAD HAMEED MUHAMMAD   FAREED AL FARDAN EXCHANGE SP LLC CHQ NO ::000033</t>
  </si>
  <si>
    <t>282,663.00</t>
  </si>
  <si>
    <t>-13,396,400.45</t>
  </si>
  <si>
    <t>770</t>
  </si>
  <si>
    <t>INHOUSE CHEQUE DEPOSIT 000097 NAFAS ETTAPPURATH UMMER UMMER ETTAPPURATH   SULAIM AL FARDAN EXCHANGE SP LLC CHQ NO ::000097</t>
  </si>
  <si>
    <t>1,102,155.00</t>
  </si>
  <si>
    <t>-12,294,245.45</t>
  </si>
  <si>
    <t>771</t>
  </si>
  <si>
    <t>50763588232</t>
  </si>
  <si>
    <t>25843631825 MBTRF B/O SUNEESH VATTATHARAYIL SURESH</t>
  </si>
  <si>
    <t>4,229.95</t>
  </si>
  <si>
    <t>-12,290,015.50</t>
  </si>
  <si>
    <t>772</t>
  </si>
  <si>
    <t>PHUB519760762</t>
  </si>
  <si>
    <t>B/O_TOMSON KAI_SCBL_519760762_.</t>
  </si>
  <si>
    <t>125,000.00</t>
  </si>
  <si>
    <t>-12,165,015.50</t>
  </si>
  <si>
    <t>773</t>
  </si>
  <si>
    <t>000011</t>
  </si>
  <si>
    <t>SHAMRIZ AHMED</t>
  </si>
  <si>
    <t>CHEQUE DEPOSIT SHAMRIZ AHMED 403420384 CHQ NO ::000011</t>
  </si>
  <si>
    <t>-12,090,015.50</t>
  </si>
  <si>
    <t>774</t>
  </si>
  <si>
    <t>515543</t>
  </si>
  <si>
    <t>CHEQUE DEPOSIT 202210104 CHQ NO ::515543</t>
  </si>
  <si>
    <t>42,000.00</t>
  </si>
  <si>
    <t>-12,048,015.50</t>
  </si>
  <si>
    <t>775</t>
  </si>
  <si>
    <t>78,880.25</t>
  </si>
  <si>
    <t>-11,969,135.25</t>
  </si>
  <si>
    <t>776</t>
  </si>
  <si>
    <t>1,092.10</t>
  </si>
  <si>
    <t>-11,968,043.15</t>
  </si>
  <si>
    <t>777</t>
  </si>
  <si>
    <t>685426</t>
  </si>
  <si>
    <t>CHEQUE DEPOSIT 685426 MUHAMMAD FAISAL ALTAF MIAN  ALTAF AHMED 304012039 CHQ NO ::685426</t>
  </si>
  <si>
    <t>249,900.00</t>
  </si>
  <si>
    <t>-11,718,143.15</t>
  </si>
  <si>
    <t>778</t>
  </si>
  <si>
    <t>000479</t>
  </si>
  <si>
    <t>CHEQUE DEPOSIT 000479 SHAMSHEER KHAN AHAMED KHAN AHAMED  KHAN 300920103 CHQ NO ::000479</t>
  </si>
  <si>
    <t>14,982.25</t>
  </si>
  <si>
    <t>-11,703,160.90</t>
  </si>
  <si>
    <t>779</t>
  </si>
  <si>
    <t>PHUB519785708</t>
  </si>
  <si>
    <t>519785708 B/O CSS KINGSTON LOGISTICS FZC</t>
  </si>
  <si>
    <t>5,570.16</t>
  </si>
  <si>
    <t>-11,697,590.74</t>
  </si>
  <si>
    <t>780</t>
  </si>
  <si>
    <t>CHEQUE DEPOSIT 000022 MUHAMMAD ZUBAIR MUHAMMAD    IFTIKHAR 702610130 CHQ NO ::000022</t>
  </si>
  <si>
    <t>459,460.00</t>
  </si>
  <si>
    <t>-11,238,130.74</t>
  </si>
  <si>
    <t>781</t>
  </si>
  <si>
    <t>621275</t>
  </si>
  <si>
    <t>CHEQUE DEPOSIT 621275 ALI AHMED NADEEM NADEEM   ASIF 304040119 CHQ NO ::621275</t>
  </si>
  <si>
    <t>16,872.50</t>
  </si>
  <si>
    <t>-11,221,258.24</t>
  </si>
  <si>
    <t>782</t>
  </si>
  <si>
    <t>11,736.25</t>
  </si>
  <si>
    <t>-11,209,521.99</t>
  </si>
  <si>
    <t>783</t>
  </si>
  <si>
    <t>50764079493</t>
  </si>
  <si>
    <t>25844158760 MBTRF B/O EMAD ISSA ABD EL QADER AYYASH</t>
  </si>
  <si>
    <t>-11,207,521.99</t>
  </si>
  <si>
    <t>784</t>
  </si>
  <si>
    <t>000494</t>
  </si>
  <si>
    <t>CHEQUE DEPOSIT 000494 MUHAMMAD AKRAM NAZAR   MUHAMMAD 304110061 CHQ NO ::000494</t>
  </si>
  <si>
    <t>191,192.75</t>
  </si>
  <si>
    <t>-11,016,329.24</t>
  </si>
  <si>
    <t>785</t>
  </si>
  <si>
    <t>000052</t>
  </si>
  <si>
    <t>CHEQUE DEPOSIT 000052 NISSAR MANGADAN MOIDEEN   MANGADAN 204011011 CHQ NO ::000052</t>
  </si>
  <si>
    <t>23,155.25</t>
  </si>
  <si>
    <t>-10,993,173.99</t>
  </si>
  <si>
    <t>786</t>
  </si>
  <si>
    <t>001657</t>
  </si>
  <si>
    <t>CHEQUE DEPOSIT 001657 SHAMSHEER KHAN AHAMED KHAN AHAMED  KHAN 104030136 CHQ NO ::001657</t>
  </si>
  <si>
    <t>321,089.59</t>
  </si>
  <si>
    <t>-10,672,084.40</t>
  </si>
  <si>
    <t>787</t>
  </si>
  <si>
    <t>000118</t>
  </si>
  <si>
    <t>CHEQUE DEPOSIT 000118 ABHISHANTH NELLIYULLA PARAMBATH    ASHOKAN 904720107 CHQ NO ::000118</t>
  </si>
  <si>
    <t>40,442.00</t>
  </si>
  <si>
    <t>-10,631,642.40</t>
  </si>
  <si>
    <t>788</t>
  </si>
  <si>
    <t>PHUB519788199</t>
  </si>
  <si>
    <t>B/O_AHMAD SOLA_ADIB_519788199_Financi</t>
  </si>
  <si>
    <t>-10,531,642.40</t>
  </si>
  <si>
    <t>789</t>
  </si>
  <si>
    <t>000073</t>
  </si>
  <si>
    <t>BEST CRANE</t>
  </si>
  <si>
    <t>CHEQUE DEPOSIT BEST CRANE 802630140 CHQ NO ::000073</t>
  </si>
  <si>
    <t>474,326.00</t>
  </si>
  <si>
    <t>-10,057,316.40</t>
  </si>
  <si>
    <t>790</t>
  </si>
  <si>
    <t>000142</t>
  </si>
  <si>
    <t>CHEQUE DEPOSIT 000142 SHAMSHEER KHAN AHAMED KHAN AHAMED  KHAN 903320188 CHQ NO ::000142</t>
  </si>
  <si>
    <t>-10,022,316.40</t>
  </si>
  <si>
    <t>791</t>
  </si>
  <si>
    <t>000192</t>
  </si>
  <si>
    <t>CHEQUE DEPOSIT 000192 SHAMSHEER KHAN AHAMED KHAN AHAMED  KHAN 203420380 CHQ NO ::000192</t>
  </si>
  <si>
    <t>-9,980,237.65</t>
  </si>
  <si>
    <t>792</t>
  </si>
  <si>
    <t>000043</t>
  </si>
  <si>
    <t>CHEQUE DEPOSIT 000043 BASHEER PULIKKAL    IBRAHIM 403310137 CHQ NO ::000043</t>
  </si>
  <si>
    <t>-9,938,158.90</t>
  </si>
  <si>
    <t>793</t>
  </si>
  <si>
    <t>PHUB519790905</t>
  </si>
  <si>
    <t>B/O_FACTORY PR_NBSH_519790905_JULY SA</t>
  </si>
  <si>
    <t>16,718.90</t>
  </si>
  <si>
    <t>-9,921,440.00</t>
  </si>
  <si>
    <t>794</t>
  </si>
  <si>
    <t>000010</t>
  </si>
  <si>
    <t>CHEQUE DEPOSIT 000010 ABDU SALAM THOTTUNGA PARAMBIL YOOSAF   THOTTUNGA 703820101 CHQ NO ::000010</t>
  </si>
  <si>
    <t>34,227.00</t>
  </si>
  <si>
    <t>-9,887,213.00</t>
  </si>
  <si>
    <t>795</t>
  </si>
  <si>
    <t>CHEQUE DEPOSIT 000142 ABHISHANTH NELLIYULLA PARAMBATH    ASHOKAN 904720107 CHQ NO ::000142</t>
  </si>
  <si>
    <t>41,150.80</t>
  </si>
  <si>
    <t>-9,846,062.20</t>
  </si>
  <si>
    <t>796</t>
  </si>
  <si>
    <t>CHEQUE DEPOSIT 000063 FEMIN SUHAS CHARAKKUPARAMBAN ABDUL LATHEEF   CHARA 802920106 CHQ NO ::000063</t>
  </si>
  <si>
    <t>13,170.00</t>
  </si>
  <si>
    <t>-9,832,892.20</t>
  </si>
  <si>
    <t>797</t>
  </si>
  <si>
    <t>004023</t>
  </si>
  <si>
    <t>CHEQUE DEPOSIT 004023 BASHEER PULIKKAL    IBRAHIM 703310105 CHQ NO ::004023</t>
  </si>
  <si>
    <t>42,100.00</t>
  </si>
  <si>
    <t>-9,790,792.20</t>
  </si>
  <si>
    <t>798</t>
  </si>
  <si>
    <t>PHUB519792749</t>
  </si>
  <si>
    <t>B/O_AL RABIYA _NBSH_519792749_TOF - T</t>
  </si>
  <si>
    <t>198,393.35</t>
  </si>
  <si>
    <t>-9,592,398.85</t>
  </si>
  <si>
    <t>799</t>
  </si>
  <si>
    <t>000023</t>
  </si>
  <si>
    <t>CHEQUE DEPOSIT 000023 NISSAR MANGADAN MOIDEEN   MANGADAN 503511041 CHQ NO ::000023</t>
  </si>
  <si>
    <t>213,591.75</t>
  </si>
  <si>
    <t>-9,378,807.10</t>
  </si>
  <si>
    <t>800</t>
  </si>
  <si>
    <t>528940</t>
  </si>
  <si>
    <t>CHEQUE DEPOSIT 528940 MUHAMMAD AKRAM NAZAR   MUHAMMAD 304012039 CHQ NO ::528940</t>
  </si>
  <si>
    <t>-9,353,807.10</t>
  </si>
  <si>
    <t>801</t>
  </si>
  <si>
    <t>000776</t>
  </si>
  <si>
    <t>CHEQUE DEPOSIT 000776 MUHAMMAD HAMEED MUHAMMAD   FAREED 704020137 CHQ NO ::000776</t>
  </si>
  <si>
    <t>20,309.00</t>
  </si>
  <si>
    <t>-9,333,498.10</t>
  </si>
  <si>
    <t>802</t>
  </si>
  <si>
    <t>2508041810546773</t>
  </si>
  <si>
    <t>CHQ RETRN:Amount in Words and Numbers Differ on Image/ Amount missing 704020137 CHQ NO ::000776</t>
  </si>
  <si>
    <t>803</t>
  </si>
  <si>
    <t>790843</t>
  </si>
  <si>
    <t>CHEQUE DEPOSIT 790843 SHAMSHEER KHAN AHAMED KHAN AHAMED  KHAN 503531106 CHQ NO ::790843</t>
  </si>
  <si>
    <t>93,150.75</t>
  </si>
  <si>
    <t>-9,260,656.35</t>
  </si>
  <si>
    <t>804</t>
  </si>
  <si>
    <t>73,170.00</t>
  </si>
  <si>
    <t>-9,187,486.35</t>
  </si>
  <si>
    <t>805</t>
  </si>
  <si>
    <t>785222</t>
  </si>
  <si>
    <t>CHEQUE DEPOSIT 785222 ABHIJITH SUNIL SUNIL   CHAKRAPANI 203514036 CHQ NO ::785222</t>
  </si>
  <si>
    <t>-9,157,486.35</t>
  </si>
  <si>
    <t>806</t>
  </si>
  <si>
    <t>001045</t>
  </si>
  <si>
    <t>AL MAJARAH</t>
  </si>
  <si>
    <t>CHEQUE DEPOSIT AL MAJARAH 804030157 CHQ NO ::001045</t>
  </si>
  <si>
    <t>-9,120,685.85</t>
  </si>
  <si>
    <t>807</t>
  </si>
  <si>
    <t>000571</t>
  </si>
  <si>
    <t>CHEQUE DEPOSIT 000571 SHAMSHEER KHAN AHAMED KHAN AHAMED  KHAN 202630126 CHQ NO ::000571</t>
  </si>
  <si>
    <t>49,942.00</t>
  </si>
  <si>
    <t>-9,070,743.85</t>
  </si>
  <si>
    <t>808</t>
  </si>
  <si>
    <t>001656</t>
  </si>
  <si>
    <t>CHEQUE DEPOSIT 001656 SHAMSHEER KHAN AHAMED KHAN AHAMED  KHAN 104030136 CHQ NO ::001656</t>
  </si>
  <si>
    <t>325,000.00</t>
  </si>
  <si>
    <t>-8,745,743.85</t>
  </si>
  <si>
    <t>809</t>
  </si>
  <si>
    <t>000233</t>
  </si>
  <si>
    <t>AL KHAT AL WARDI</t>
  </si>
  <si>
    <t>CHEQUE DEPOSIT AL KHAT AL WARDI 703430137 CHQ NO ::000233</t>
  </si>
  <si>
    <t>46,793.50</t>
  </si>
  <si>
    <t>-8,698,950.35</t>
  </si>
  <si>
    <t>810</t>
  </si>
  <si>
    <t>000088</t>
  </si>
  <si>
    <t>CHEQUE DEPOSIT 000088 SHAMSHEER KHAN AHAMED KHAN AHAMED  KHAN 803330115 CHQ NO ::000088</t>
  </si>
  <si>
    <t>-8,666,950.35</t>
  </si>
  <si>
    <t>811</t>
  </si>
  <si>
    <t>003128</t>
  </si>
  <si>
    <t>CHEQUE DEPOSIT 003128 SHAMSHEER KHAN AHAMED KHAN AHAMED  KHAN 404130101 CHQ NO ::003128</t>
  </si>
  <si>
    <t>375,219.73</t>
  </si>
  <si>
    <t>-8,291,730.62</t>
  </si>
  <si>
    <t>812</t>
  </si>
  <si>
    <t>000975</t>
  </si>
  <si>
    <t>CHEQUE DEPOSIT 000975 JANEL BURNASAL    BUENSUCESO 502620137 CHQ NO ::000975</t>
  </si>
  <si>
    <t>1,291.26</t>
  </si>
  <si>
    <t>-8,290,439.36</t>
  </si>
  <si>
    <t>813</t>
  </si>
  <si>
    <t>000143</t>
  </si>
  <si>
    <t>CHEQUE DEPOSIT 000143 MUHAMMED ALI SALAHUDEEN    SALAHUDEEN M 101110101 CHQ NO ::000143</t>
  </si>
  <si>
    <t>949,031.25</t>
  </si>
  <si>
    <t>-7,341,408.11</t>
  </si>
  <si>
    <t>814</t>
  </si>
  <si>
    <t>CHEQUE DEPOSIT 000051 ABHISHANTH NELLIYULLA PARAMBATH    ASHOKAN 904720107 CHQ NO ::000051</t>
  </si>
  <si>
    <t>11,556.00</t>
  </si>
  <si>
    <t>-7,329,852.11</t>
  </si>
  <si>
    <t>815</t>
  </si>
  <si>
    <t>000074</t>
  </si>
  <si>
    <t>CHEQUE DEPOSIT BEST CRANE 802630140 CHQ NO ::000074</t>
  </si>
  <si>
    <t>2,018,472.00</t>
  </si>
  <si>
    <t>-5,311,380.11</t>
  </si>
  <si>
    <t>816</t>
  </si>
  <si>
    <t>000075</t>
  </si>
  <si>
    <t>CHEQUE DEPOSIT 000075 NISSAR MANGADAN MOIDEEN   MANGADAN 102310030 CHQ NO ::000075</t>
  </si>
  <si>
    <t>37,278.50</t>
  </si>
  <si>
    <t>-5,274,101.61</t>
  </si>
  <si>
    <t>817</t>
  </si>
  <si>
    <t>003127</t>
  </si>
  <si>
    <t>CHEQUE DEPOSIT 003127 SHAMSHEER KHAN AHAMED KHAN AHAMED  KHAN 404130101 CHQ NO ::003127</t>
  </si>
  <si>
    <t>376,961.60</t>
  </si>
  <si>
    <t>-4,897,140.01</t>
  </si>
  <si>
    <t>818</t>
  </si>
  <si>
    <t>000337</t>
  </si>
  <si>
    <t>CHEQUE DEPOSIT 000337 SHAMSHEER KHAN AHAMED KHAN AHAMED  KHAN 103351010 CHQ NO ::000337</t>
  </si>
  <si>
    <t>26,772.50</t>
  </si>
  <si>
    <t>-4,870,367.51</t>
  </si>
  <si>
    <t>819</t>
  </si>
  <si>
    <t>013984</t>
  </si>
  <si>
    <t>CHEQUE DEPOSIT 013984 MOUSTAFA IBRAHIM AHMED    RAMADAN ELBARBARY 100810101 CHQ NO ::013984</t>
  </si>
  <si>
    <t>40,434.50</t>
  </si>
  <si>
    <t>-4,829,933.01</t>
  </si>
  <si>
    <t>820</t>
  </si>
  <si>
    <t>947005</t>
  </si>
  <si>
    <t>CHEQUE DEPOSIT 947005 BASHEER PULIKKAL    IBRAHIM 502010101 CHQ NO ::947005</t>
  </si>
  <si>
    <t>-4,799,933.01</t>
  </si>
  <si>
    <t>821</t>
  </si>
  <si>
    <t>50765322660</t>
  </si>
  <si>
    <t>25845562011 MBTRF_B/O MILDRED SANGRAM SAWANT</t>
  </si>
  <si>
    <t>-4,789,933.01</t>
  </si>
  <si>
    <t>822</t>
  </si>
  <si>
    <t>000196</t>
  </si>
  <si>
    <t>CHEQUE DEPOSIT 000196 SHAMSHEER KHAN AHAMED KHAN AHAMED  KHAN 801120101 CHQ NO ::000196</t>
  </si>
  <si>
    <t>13,232.00</t>
  </si>
  <si>
    <t>-4,776,701.01</t>
  </si>
  <si>
    <t>823</t>
  </si>
  <si>
    <t>359814</t>
  </si>
  <si>
    <t>CHEQUE DEPOSIT 359814 MUHAMMAD AKRAM NAZAR   MUHAMMAD 004410124 CHQ NO ::359814</t>
  </si>
  <si>
    <t>-4,516,701.01</t>
  </si>
  <si>
    <t>824</t>
  </si>
  <si>
    <t>53,596.00</t>
  </si>
  <si>
    <t>-4,463,105.01</t>
  </si>
  <si>
    <t>825</t>
  </si>
  <si>
    <t>502433</t>
  </si>
  <si>
    <t>CHEQUE DEPOSIT 502433 SHAMSHEER KHAN AHAMED KHAN AHAMED  KHAN 805030156 CHQ NO ::502433</t>
  </si>
  <si>
    <t>121,455.75</t>
  </si>
  <si>
    <t>-4,341,649.26</t>
  </si>
  <si>
    <t>826</t>
  </si>
  <si>
    <t>000157</t>
  </si>
  <si>
    <t>CHEQUE DEPOSIT 000157 NISSAR MANGADAN MOIDEEN   MANGADAN 805740101 CHQ NO ::000157</t>
  </si>
  <si>
    <t>22,105.00</t>
  </si>
  <si>
    <t>-4,319,544.26</t>
  </si>
  <si>
    <t>827</t>
  </si>
  <si>
    <t>100650</t>
  </si>
  <si>
    <t>CHEQUE DEPOSIT 100650 BASHEER PULIKKAL    IBRAHIM 902410185 CHQ NO ::100650</t>
  </si>
  <si>
    <t>56,288.00</t>
  </si>
  <si>
    <t>-4,263,256.26</t>
  </si>
  <si>
    <t>828</t>
  </si>
  <si>
    <t>100415</t>
  </si>
  <si>
    <t>CHEQUE DEPOSIT 100415 AMEER HUMZA     ABDUL RAHIM 602420129 CHQ NO ::100415</t>
  </si>
  <si>
    <t>21,907.50</t>
  </si>
  <si>
    <t>-4,241,348.76</t>
  </si>
  <si>
    <t>829</t>
  </si>
  <si>
    <t>50765454353</t>
  </si>
  <si>
    <t>25845714831 MBTRF_B/O MILDRED SANGRAM SAWANT</t>
  </si>
  <si>
    <t>-4,231,348.76</t>
  </si>
  <si>
    <t>830</t>
  </si>
  <si>
    <t>100321</t>
  </si>
  <si>
    <t>CHEQUE DEPOSIT 100321 BABIN BALACHANDRAN NAIR    BALACHANDRAN 802460105 CHQ NO ::100321</t>
  </si>
  <si>
    <t>3,815.50</t>
  </si>
  <si>
    <t>-4,227,533.26</t>
  </si>
  <si>
    <t>831</t>
  </si>
  <si>
    <t>000336</t>
  </si>
  <si>
    <t>CHEQUE DEPOSIT 000336 MUHAMMAD HAMEED MUHAMMAD   FAREED 101120102 CHQ NO ::000336</t>
  </si>
  <si>
    <t>-4,077,533.26</t>
  </si>
  <si>
    <t>832</t>
  </si>
  <si>
    <t>502432</t>
  </si>
  <si>
    <t>CHEQUE DEPOSIT 502432 SHAMSHEER KHAN AHAMED KHAN AHAMED  KHAN 805030156 CHQ NO ::502432</t>
  </si>
  <si>
    <t>61,483.00</t>
  </si>
  <si>
    <t>-4,016,050.26</t>
  </si>
  <si>
    <t>833</t>
  </si>
  <si>
    <t>PHUB519819132</t>
  </si>
  <si>
    <t>B/O_UNIVERSAL _BARB_519819132_GERENO</t>
  </si>
  <si>
    <t>5,498.02</t>
  </si>
  <si>
    <t>-4,010,552.24</t>
  </si>
  <si>
    <t>834</t>
  </si>
  <si>
    <t>PHUB519824677</t>
  </si>
  <si>
    <t>B/O_PLUS UAE R_BARB_519824677_SALARY</t>
  </si>
  <si>
    <t>9,463.85</t>
  </si>
  <si>
    <t>-4,001,088.39</t>
  </si>
  <si>
    <t>835</t>
  </si>
  <si>
    <t>50766108631</t>
  </si>
  <si>
    <t>25846484095 MBTRF_B/O MILDRED SANGRAM SAWANT</t>
  </si>
  <si>
    <t>-3,991,088.39</t>
  </si>
  <si>
    <t>836</t>
  </si>
  <si>
    <t>PHUB519841246</t>
  </si>
  <si>
    <t>MOB0408251947347987426</t>
  </si>
  <si>
    <t>B/O NELLS RUWAIS RESTAURANT</t>
  </si>
  <si>
    <t>25,664.67</t>
  </si>
  <si>
    <t>-3,965,423.72</t>
  </si>
  <si>
    <t>837</t>
  </si>
  <si>
    <t>PHUB519853594</t>
  </si>
  <si>
    <t>519853594 B/O SENTHIL KUMAR ARJUNAN ARJUNAN</t>
  </si>
  <si>
    <t>21,035.00</t>
  </si>
  <si>
    <t>-3,944,388.72</t>
  </si>
  <si>
    <t>838</t>
  </si>
  <si>
    <t>50767640114</t>
  </si>
  <si>
    <t>2533587036 IBTRF B/O ALMOBADROON ELECTR WORKS LLC</t>
  </si>
  <si>
    <t>4,320.00</t>
  </si>
  <si>
    <t>-3,940,068.72</t>
  </si>
  <si>
    <t>839</t>
  </si>
  <si>
    <t>50767653753</t>
  </si>
  <si>
    <t>25848347634 MBTRF B/O HAZEL LOURDES OBINA BALINA</t>
  </si>
  <si>
    <t>5,748.50</t>
  </si>
  <si>
    <t>-3,934,320.22</t>
  </si>
  <si>
    <t>840</t>
  </si>
  <si>
    <t>50767769634</t>
  </si>
  <si>
    <t>25848485335 MBTRF B/O SAMEH ALI QORANY ALI</t>
  </si>
  <si>
    <t>-3,930,320.22</t>
  </si>
  <si>
    <t>841</t>
  </si>
  <si>
    <t>50768066571</t>
  </si>
  <si>
    <t>25848861401 MBTRF B/O ABU FAISAL AUTO MOTIVE PARTS LLC</t>
  </si>
  <si>
    <t>2,578.00</t>
  </si>
  <si>
    <t>-3,927,742.22</t>
  </si>
  <si>
    <t>842</t>
  </si>
  <si>
    <t>-3,917,742.22</t>
  </si>
  <si>
    <t>843</t>
  </si>
  <si>
    <t>50768153109</t>
  </si>
  <si>
    <t>25848970709 MBTRF B/O MOHAMMED ANDRON</t>
  </si>
  <si>
    <t>30,204.00</t>
  </si>
  <si>
    <t>-3,887,538.22</t>
  </si>
  <si>
    <t>844</t>
  </si>
  <si>
    <t>50768298083</t>
  </si>
  <si>
    <t>25849145259 MBTRF B/O MUHAMMAD ZAID IQBAL</t>
  </si>
  <si>
    <t>-3,886,038.22</t>
  </si>
  <si>
    <t>845</t>
  </si>
  <si>
    <t>PHUB519874196</t>
  </si>
  <si>
    <t>04082502</t>
  </si>
  <si>
    <t>988,254.05</t>
  </si>
  <si>
    <t>-2,897,784.17</t>
  </si>
  <si>
    <t>846</t>
  </si>
  <si>
    <t>PHUB519882381</t>
  </si>
  <si>
    <t>SHEMI FLORA INV 115 TO124</t>
  </si>
  <si>
    <t>B/O SUNBEAM INTERNATIONAL FOODSTUFF TRA</t>
  </si>
  <si>
    <t>183,735.50</t>
  </si>
  <si>
    <t>-2,714,048.67</t>
  </si>
  <si>
    <t>847</t>
  </si>
  <si>
    <t>PHUB519883242</t>
  </si>
  <si>
    <t>GLOBAL FRUIT CANADA INV 1</t>
  </si>
  <si>
    <t>60,012.00</t>
  </si>
  <si>
    <t>-2,654,036.67</t>
  </si>
  <si>
    <t>848</t>
  </si>
  <si>
    <t>50769483344</t>
  </si>
  <si>
    <t>25850628256 MBTRF B/O MASIOR RAHAMAN SIDDIQUE</t>
  </si>
  <si>
    <t>10,030.00</t>
  </si>
  <si>
    <t>-2,644,006.67</t>
  </si>
  <si>
    <t>849</t>
  </si>
  <si>
    <t>PHUB519887648</t>
  </si>
  <si>
    <t>MOB0408252131237989330</t>
  </si>
  <si>
    <t>B/O BILAL AUTO PARTS SHOP LLC</t>
  </si>
  <si>
    <t>13,281.00</t>
  </si>
  <si>
    <t>-2,630,725.67</t>
  </si>
  <si>
    <t>850</t>
  </si>
  <si>
    <t>PHUB519888420</t>
  </si>
  <si>
    <t>TENWAY INV PAYMNT</t>
  </si>
  <si>
    <t>102,932.50</t>
  </si>
  <si>
    <t>-2,527,793.17</t>
  </si>
  <si>
    <t>851</t>
  </si>
  <si>
    <t>PHUB519897705</t>
  </si>
  <si>
    <t>519897705 B/O AMEERA YOUSEF RUSHDI ABUSAFYEH</t>
  </si>
  <si>
    <t>2,200.00</t>
  </si>
  <si>
    <t>-2,525,593.17</t>
  </si>
  <si>
    <t>852</t>
  </si>
  <si>
    <t>50770206650</t>
  </si>
  <si>
    <t>2533646163 IBTRF B/O MUKTA BEAUTY SALOON BRANCH</t>
  </si>
  <si>
    <t>21,295.00</t>
  </si>
  <si>
    <t>-2,504,298.17</t>
  </si>
  <si>
    <t>853</t>
  </si>
  <si>
    <t>50771690131</t>
  </si>
  <si>
    <t>2533676240 IBTRF B/O MUKTA BEAUTY SALOON</t>
  </si>
  <si>
    <t>36,290.75</t>
  </si>
  <si>
    <t>-2,468,007.42</t>
  </si>
  <si>
    <t>854</t>
  </si>
  <si>
    <t>05-Aug-2025</t>
  </si>
  <si>
    <t>PHUB519961347</t>
  </si>
  <si>
    <t>B/O_SHAKEELA C_EBIL_519961347_Savings</t>
  </si>
  <si>
    <t>67,225.25</t>
  </si>
  <si>
    <t>-2,400,782.17</t>
  </si>
  <si>
    <t>855</t>
  </si>
  <si>
    <t>PHUB519962349</t>
  </si>
  <si>
    <t>B/O_ASMAT DENT_BOML_519962349_ COMPEN</t>
  </si>
  <si>
    <t>103,247.56</t>
  </si>
  <si>
    <t>-2,297,534.61</t>
  </si>
  <si>
    <t>856</t>
  </si>
  <si>
    <t>-2,268,534.61</t>
  </si>
  <si>
    <t>857</t>
  </si>
  <si>
    <t>001883</t>
  </si>
  <si>
    <t>46,750.00</t>
  </si>
  <si>
    <t>-2,315,284.61</t>
  </si>
  <si>
    <t>858</t>
  </si>
  <si>
    <t>PHUB519973821</t>
  </si>
  <si>
    <t>B/O_ALHAILMARINESERV_519973821</t>
  </si>
  <si>
    <t>19,075.25</t>
  </si>
  <si>
    <t>-2,296,209.36</t>
  </si>
  <si>
    <t>859</t>
  </si>
  <si>
    <t>PHUB519981389</t>
  </si>
  <si>
    <t>B/O_(L.L.C) CLIMA GU_519981389</t>
  </si>
  <si>
    <t>1,906.00</t>
  </si>
  <si>
    <t>-2,294,303.36</t>
  </si>
  <si>
    <t>860</t>
  </si>
  <si>
    <t>50775027532</t>
  </si>
  <si>
    <t>25857221769 MBTRF B/O SUSHIL KUMAR MISHRA</t>
  </si>
  <si>
    <t>22,110.50</t>
  </si>
  <si>
    <t>-2,272,192.86</t>
  </si>
  <si>
    <t>861</t>
  </si>
  <si>
    <t>PHUB519983235</t>
  </si>
  <si>
    <t>MOB0508250816417992099</t>
  </si>
  <si>
    <t>B/O ATAIE TAILORING &amp; EMB SHOP</t>
  </si>
  <si>
    <t>149,783.76</t>
  </si>
  <si>
    <t>-2,122,409.10</t>
  </si>
  <si>
    <t>862</t>
  </si>
  <si>
    <t>PHUB519989391</t>
  </si>
  <si>
    <t>MOB0508250838597992244</t>
  </si>
  <si>
    <t>B/O GOLDEN SEAGULL TECH. EQUIP. S P LLC</t>
  </si>
  <si>
    <t>3,529.50</t>
  </si>
  <si>
    <t>-2,118,879.60</t>
  </si>
  <si>
    <t>863</t>
  </si>
  <si>
    <t>PHUB519989555</t>
  </si>
  <si>
    <t>AL FARDAN EXCH.</t>
  </si>
  <si>
    <t>92,107.75</t>
  </si>
  <si>
    <t>-2,026,771.85</t>
  </si>
  <si>
    <t>864</t>
  </si>
  <si>
    <t>50775467792</t>
  </si>
  <si>
    <t>25857681813 MBTRF B/O PROUD START GENERAL CONT LLC SPC</t>
  </si>
  <si>
    <t>20,784.25</t>
  </si>
  <si>
    <t>-2,005,987.60</t>
  </si>
  <si>
    <t>865</t>
  </si>
  <si>
    <t>USR PARTS USA</t>
  </si>
  <si>
    <t>B/O THE PARTS EXPERTS HEA EQ SP P TRLLC</t>
  </si>
  <si>
    <t>19,026.86</t>
  </si>
  <si>
    <t>-1,986,960.74</t>
  </si>
  <si>
    <t>866</t>
  </si>
  <si>
    <t>PHUB519993754</t>
  </si>
  <si>
    <t>B/O_KENT SURGI_BARB_519993754_tags5</t>
  </si>
  <si>
    <t>18,430.50</t>
  </si>
  <si>
    <t>-1,968,530.24</t>
  </si>
  <si>
    <t>867</t>
  </si>
  <si>
    <t>PHUB519993755</t>
  </si>
  <si>
    <t>B/O_KENT SURGI_BARB_519993755_5620130</t>
  </si>
  <si>
    <t>4,456.07</t>
  </si>
  <si>
    <t>-1,964,074.17</t>
  </si>
  <si>
    <t>868</t>
  </si>
  <si>
    <t>33,769.62</t>
  </si>
  <si>
    <t>-1,930,304.55</t>
  </si>
  <si>
    <t>869</t>
  </si>
  <si>
    <t>50775717918</t>
  </si>
  <si>
    <t>25857935193 MBTRF B/O RIYAZ AL JAMEEL ENGINEERING CNS LLC</t>
  </si>
  <si>
    <t>-1,910,304.55</t>
  </si>
  <si>
    <t>870</t>
  </si>
  <si>
    <t>PHUB519997548</t>
  </si>
  <si>
    <t>BEIN TRA</t>
  </si>
  <si>
    <t>B/O AL WAFA TECHNICAL SYSTEMS SERVICES</t>
  </si>
  <si>
    <t>991,958.00</t>
  </si>
  <si>
    <t>-918,346.55</t>
  </si>
  <si>
    <t>871</t>
  </si>
  <si>
    <t>2508050859541075</t>
  </si>
  <si>
    <t>Sila Muroor Road AUH, 04TH AUG - Cash Collection TG</t>
  </si>
  <si>
    <t>570,000.00</t>
  </si>
  <si>
    <t>-348,346.55</t>
  </si>
  <si>
    <t>872</t>
  </si>
  <si>
    <t>2508050859541098</t>
  </si>
  <si>
    <t>SANAYA ZAYED TOWN W/R, 04TH AUG - Cash Collection TG</t>
  </si>
  <si>
    <t>501,653.45</t>
  </si>
  <si>
    <t>873</t>
  </si>
  <si>
    <t>2508050859551101</t>
  </si>
  <si>
    <t>Beda Zayed auh, 04TH AUG - Cash Collection TG</t>
  </si>
  <si>
    <t>751,653.45</t>
  </si>
  <si>
    <t>874</t>
  </si>
  <si>
    <t>2508050859551104</t>
  </si>
  <si>
    <t>Ruwais AUH, 04TH AUG - Cash Collection TG</t>
  </si>
  <si>
    <t>1,101,653.45</t>
  </si>
  <si>
    <t>875</t>
  </si>
  <si>
    <t>2508050859551107</t>
  </si>
  <si>
    <t>Al Yahar Al Ain, 04TH AUG - Cash Collection TG</t>
  </si>
  <si>
    <t>1,200,000.00</t>
  </si>
  <si>
    <t>2,301,653.45</t>
  </si>
  <si>
    <t>876</t>
  </si>
  <si>
    <t>2508050859551110</t>
  </si>
  <si>
    <t>SWEIHAN  ALAIN, 04TH AUG - Cash Collection TG</t>
  </si>
  <si>
    <t>3,061,653.45</t>
  </si>
  <si>
    <t>877</t>
  </si>
  <si>
    <t>2508050859551113</t>
  </si>
  <si>
    <t>AL FOAH MALL AL-AIN, 04TH AUG - Cash Collection TG</t>
  </si>
  <si>
    <t>3,661,653.45</t>
  </si>
  <si>
    <t>878</t>
  </si>
  <si>
    <t>2508050859551138</t>
  </si>
  <si>
    <t>Al Wahda AUH, 04TH AUG - Cash Collection TG</t>
  </si>
  <si>
    <t>4,411,653.45</t>
  </si>
  <si>
    <t>879</t>
  </si>
  <si>
    <t>2508050859551147</t>
  </si>
  <si>
    <t>Gayathi Mubarak Ashwan AUH, 04TH AUG - Cash Collection TG</t>
  </si>
  <si>
    <t>4,661,653.45</t>
  </si>
  <si>
    <t>880</t>
  </si>
  <si>
    <t>2508050859551150</t>
  </si>
  <si>
    <t>Gayathi Mall AUH, 04TH AUG - Cash Collection TG</t>
  </si>
  <si>
    <t>5,111,653.45</t>
  </si>
  <si>
    <t>881</t>
  </si>
  <si>
    <t>2508050859551153</t>
  </si>
  <si>
    <t>AL MARFA MARKET WR, 04TH AUG - Cash Collection TG</t>
  </si>
  <si>
    <t>5,581,653.45</t>
  </si>
  <si>
    <t>882</t>
  </si>
  <si>
    <t>2508050859551156</t>
  </si>
  <si>
    <t>Lulu Hyper Markete Sanaiya Al Ain, 04TH AUG - Cash Collection TG</t>
  </si>
  <si>
    <t>6,081,653.45</t>
  </si>
  <si>
    <t>883</t>
  </si>
  <si>
    <t>2508050859551159</t>
  </si>
  <si>
    <t>Sanaiya Gift Markete Al Ain, 04TH AUG - Cash Collection TG</t>
  </si>
  <si>
    <t>540,000.00</t>
  </si>
  <si>
    <t>6,621,653.45</t>
  </si>
  <si>
    <t>884</t>
  </si>
  <si>
    <t>2508050859551162</t>
  </si>
  <si>
    <t>1,600,000.00</t>
  </si>
  <si>
    <t>8,221,653.45</t>
  </si>
  <si>
    <t>885</t>
  </si>
  <si>
    <t>2508050859551171</t>
  </si>
  <si>
    <t>AL FARDAN EXCH DEREI BLDNG AL QUAA AA, 04TH AUG - Cash Collection TG</t>
  </si>
  <si>
    <t>8,741,653.45</t>
  </si>
  <si>
    <t>886</t>
  </si>
  <si>
    <t>2508050859551174</t>
  </si>
  <si>
    <t>Boutik Mall al Reem island AUH, 04TH AUG - Cash Collection TG</t>
  </si>
  <si>
    <t>8,951,653.45</t>
  </si>
  <si>
    <t>887</t>
  </si>
  <si>
    <t>2508050859551177</t>
  </si>
  <si>
    <t>TCA AUH, 04TH AUG - Cash Collection TG</t>
  </si>
  <si>
    <t>920,000.00</t>
  </si>
  <si>
    <t>9,871,653.45</t>
  </si>
  <si>
    <t>888</t>
  </si>
  <si>
    <t>2508050859551180</t>
  </si>
  <si>
    <t>Al Nahyan Street AUH, 04TH AUG - Cash Collection TG</t>
  </si>
  <si>
    <t>10,381,653.45</t>
  </si>
  <si>
    <t>889</t>
  </si>
  <si>
    <t>2508050859551183</t>
  </si>
  <si>
    <t>Muroor AUH, 04TH AUG - Cash Collection TG</t>
  </si>
  <si>
    <t>685,000.00</t>
  </si>
  <si>
    <t>11,066,653.45</t>
  </si>
  <si>
    <t>890</t>
  </si>
  <si>
    <t>2508050859551198</t>
  </si>
  <si>
    <t>Al Falah St Auh, 04TH AUG - Cash Collection TG</t>
  </si>
  <si>
    <t>11,476,653.45</t>
  </si>
  <si>
    <t>891</t>
  </si>
  <si>
    <t>2508050859561201</t>
  </si>
  <si>
    <t>B2B AUH, 04TH AUG - Cash Collection TG</t>
  </si>
  <si>
    <t>300,020.00</t>
  </si>
  <si>
    <t>11,776,673.45</t>
  </si>
  <si>
    <t>892</t>
  </si>
  <si>
    <t>2508050859561208</t>
  </si>
  <si>
    <t>Zayed 1st Street Electra AUH, 04TH AUG - Cash Collection TG</t>
  </si>
  <si>
    <t>12,206,673.45</t>
  </si>
  <si>
    <t>893</t>
  </si>
  <si>
    <t>2508050859561211</t>
  </si>
  <si>
    <t>Hamdan Abu Dhabi, 04TH AUG - Cash Collection TG</t>
  </si>
  <si>
    <t>12,706,673.45</t>
  </si>
  <si>
    <t>894</t>
  </si>
  <si>
    <t>2508050859561218</t>
  </si>
  <si>
    <t>Bin Dhgher Tower Khalidya AUH, 04TH AUG - Cash Collection TG</t>
  </si>
  <si>
    <t>13,136,673.45</t>
  </si>
  <si>
    <t>895</t>
  </si>
  <si>
    <t>2508050859561221</t>
  </si>
  <si>
    <t>Al Dhafra AUH, 04TH AUG - Cash Collection TG</t>
  </si>
  <si>
    <t>13,816,673.45</t>
  </si>
  <si>
    <t>896</t>
  </si>
  <si>
    <t>2508050859561240</t>
  </si>
  <si>
    <t>Souk Br Al-Ain, 04TH AUG - Cash Collection TG</t>
  </si>
  <si>
    <t>14,766,673.45</t>
  </si>
  <si>
    <t>897</t>
  </si>
  <si>
    <t>2508050859561243</t>
  </si>
  <si>
    <t>Al Ain (Clock Tower)1, 04TH AUG - Cash Collection TG</t>
  </si>
  <si>
    <t>1,330,000.00</t>
  </si>
  <si>
    <t>16,096,673.45</t>
  </si>
  <si>
    <t>898</t>
  </si>
  <si>
    <t>2508050859571336</t>
  </si>
  <si>
    <t>Old Shahama, 04TH AUG - Cash Collection TG</t>
  </si>
  <si>
    <t>16,836,673.45</t>
  </si>
  <si>
    <t>899</t>
  </si>
  <si>
    <t>2508050859571345</t>
  </si>
  <si>
    <t>Musaffah Shabiya AUH, 04TH AUG - Cash Collection TG</t>
  </si>
  <si>
    <t>1,020,000.00</t>
  </si>
  <si>
    <t>17,856,673.45</t>
  </si>
  <si>
    <t>900</t>
  </si>
  <si>
    <t>2508050859571348</t>
  </si>
  <si>
    <t>M38 PLOT 48 SHOP 02 BIG MART MUSSAFAH, 04TH AUG - Cash Collection TG</t>
  </si>
  <si>
    <t>18,406,673.45</t>
  </si>
  <si>
    <t>901</t>
  </si>
  <si>
    <t>2508050859571351</t>
  </si>
  <si>
    <t>Musaffah Saniya AUH, 04TH AUG - Cash Collection TG</t>
  </si>
  <si>
    <t>19,216,673.45</t>
  </si>
  <si>
    <t>902</t>
  </si>
  <si>
    <t>2508050859571358</t>
  </si>
  <si>
    <t>Baniyas AUH, 04TH AUG - Cash Collection TG</t>
  </si>
  <si>
    <t>19,646,673.45</t>
  </si>
  <si>
    <t>903</t>
  </si>
  <si>
    <t>2508050859571361</t>
  </si>
  <si>
    <t>Al Forshan Central Mall Khalifa City AUH, 04TH AUG - Cash Collection TG</t>
  </si>
  <si>
    <t>20,496,673.45</t>
  </si>
  <si>
    <t>904</t>
  </si>
  <si>
    <t>2508050859581364</t>
  </si>
  <si>
    <t>Shamkha Mall Abu dhabi, 04TH AUG - Cash Collection TG</t>
  </si>
  <si>
    <t>21,496,673.45</t>
  </si>
  <si>
    <t>905</t>
  </si>
  <si>
    <t>2508050859581370</t>
  </si>
  <si>
    <t>ICAD Musaffah AUH, 04TH AUG - Cash Collection TG</t>
  </si>
  <si>
    <t>1,230,000.00</t>
  </si>
  <si>
    <t>22,726,673.45</t>
  </si>
  <si>
    <t>906</t>
  </si>
  <si>
    <t>2508050900022968</t>
  </si>
  <si>
    <t>NESTO HYPRMRKT AJM, 04TH AUG - Cash Collection TG</t>
  </si>
  <si>
    <t>23,276,673.45</t>
  </si>
  <si>
    <t>907</t>
  </si>
  <si>
    <t>2508050900022973</t>
  </si>
  <si>
    <t>GOLDLAND BRANCH DXB, 04TH AUG - Cash Collection TG</t>
  </si>
  <si>
    <t>24,296,673.45</t>
  </si>
  <si>
    <t>908</t>
  </si>
  <si>
    <t>2508050900022981</t>
  </si>
  <si>
    <t>CITY CENTER AL ZAHIA SHJ, 04TH AUG - Cash Collection TG</t>
  </si>
  <si>
    <t>24,956,673.45</t>
  </si>
  <si>
    <t>909</t>
  </si>
  <si>
    <t>2508050900022987</t>
  </si>
  <si>
    <t>DUBAI HILLS ESTATE DUBAI, 04TH AUG - Cash Collection TG</t>
  </si>
  <si>
    <t>25,406,673.45</t>
  </si>
  <si>
    <t>910</t>
  </si>
  <si>
    <t>2508050900022996</t>
  </si>
  <si>
    <t>MOE 1, 04TH AUG - Cash Collection TG</t>
  </si>
  <si>
    <t>25,896,673.45</t>
  </si>
  <si>
    <t>911</t>
  </si>
  <si>
    <t>2508050900022999</t>
  </si>
  <si>
    <t>CROWN MALL JABL A IND DXB 1, 04TH AUG - Cash Collection TG</t>
  </si>
  <si>
    <t>250,275.00</t>
  </si>
  <si>
    <t>26,146,948.45</t>
  </si>
  <si>
    <t>912</t>
  </si>
  <si>
    <t>2508050900033002</t>
  </si>
  <si>
    <t>NAIF RD, 04TH AUG - Cash Collection TG</t>
  </si>
  <si>
    <t>340,000.00</t>
  </si>
  <si>
    <t>26,486,948.45</t>
  </si>
  <si>
    <t>913</t>
  </si>
  <si>
    <t>2508050900033005</t>
  </si>
  <si>
    <t>FUJAIRAH, 04TH AUG - Cash Collection TG</t>
  </si>
  <si>
    <t>27,046,948.45</t>
  </si>
  <si>
    <t>914</t>
  </si>
  <si>
    <t>2508050900033009</t>
  </si>
  <si>
    <t>MUWEILAH SHJ, 04TH AUG - Cash Collection TG</t>
  </si>
  <si>
    <t>27,856,948.45</t>
  </si>
  <si>
    <t>915</t>
  </si>
  <si>
    <t>2508050900033016</t>
  </si>
  <si>
    <t>MEGA MALL SHARJAH BR 1, 04TH AUG - Cash Collection TG</t>
  </si>
  <si>
    <t>28,656,948.45</t>
  </si>
  <si>
    <t>916</t>
  </si>
  <si>
    <t>2508050900033022</t>
  </si>
  <si>
    <t>DUBAI INDUSTRAIL  CITY, 04TH AUG - Cash Collection TG</t>
  </si>
  <si>
    <t>29,156,948.45</t>
  </si>
  <si>
    <t>917</t>
  </si>
  <si>
    <t>2508050900033033</t>
  </si>
  <si>
    <t>UAQ, 04TH AUG - Cash Collection TG</t>
  </si>
  <si>
    <t>735,000.00</t>
  </si>
  <si>
    <t>29,891,948.45</t>
  </si>
  <si>
    <t>918</t>
  </si>
  <si>
    <t>2508050900033042</t>
  </si>
  <si>
    <t>AL RIGGA METRO STION DXB, 04TH AUG - Cash Collection TG</t>
  </si>
  <si>
    <t>1,370,000.00</t>
  </si>
  <si>
    <t>31,261,948.45</t>
  </si>
  <si>
    <t>919</t>
  </si>
  <si>
    <t>2508050900033045</t>
  </si>
  <si>
    <t>ONYX TOWER 1, 04TH AUG - Cash Collection TG</t>
  </si>
  <si>
    <t>31,611,948.45</t>
  </si>
  <si>
    <t>920</t>
  </si>
  <si>
    <t>2508050900033050</t>
  </si>
  <si>
    <t>DUBAI MALL, 04TH AUG - Cash Collection TG</t>
  </si>
  <si>
    <t>32,611,948.45</t>
  </si>
  <si>
    <t>921</t>
  </si>
  <si>
    <t>2508050900033059</t>
  </si>
  <si>
    <t>DMALL LG CSK53 TAXI AREA, 04TH AUG - Cash Collection TG</t>
  </si>
  <si>
    <t>505,090.00</t>
  </si>
  <si>
    <t>33,117,038.45</t>
  </si>
  <si>
    <t>922</t>
  </si>
  <si>
    <t>2508050900033067</t>
  </si>
  <si>
    <t>AL MINA NESTO BR DXB, 04TH AUG - Cash Collection TG</t>
  </si>
  <si>
    <t>570,110.00</t>
  </si>
  <si>
    <t>33,687,148.45</t>
  </si>
  <si>
    <t>923</t>
  </si>
  <si>
    <t>2508050900033074</t>
  </si>
  <si>
    <t>CO OP SOCIETY SHJ 1, 04TH AUG - Cash Collection TG</t>
  </si>
  <si>
    <t>34,337,148.45</t>
  </si>
  <si>
    <t>924</t>
  </si>
  <si>
    <t>2508050900033083</t>
  </si>
  <si>
    <t>KHAN SAHIB BLDG SHJ, 04TH AUG - Cash Collection TG</t>
  </si>
  <si>
    <t>34,887,148.45</t>
  </si>
  <si>
    <t>925</t>
  </si>
  <si>
    <t>2508050900033090</t>
  </si>
  <si>
    <t>AL AMEED MALL, 04TH AUG - Cash Collection TG</t>
  </si>
  <si>
    <t>35,517,148.45</t>
  </si>
  <si>
    <t>926</t>
  </si>
  <si>
    <t>2508050900033103</t>
  </si>
  <si>
    <t>BUR DUBAI, 04TH AUG - Cash Collection TG</t>
  </si>
  <si>
    <t>35,637,148.45</t>
  </si>
  <si>
    <t>927</t>
  </si>
  <si>
    <t>2508050900033109</t>
  </si>
  <si>
    <t>SATWA 1, 04TH AUG - Cash Collection TG</t>
  </si>
  <si>
    <t>36,127,148.45</t>
  </si>
  <si>
    <t>928</t>
  </si>
  <si>
    <t>2508050900043114</t>
  </si>
  <si>
    <t>AL NHDA RES TWRS  SHJ, 04TH AUG - Cash Collection TG</t>
  </si>
  <si>
    <t>36,467,148.45</t>
  </si>
  <si>
    <t>929</t>
  </si>
  <si>
    <t>2508050900043120</t>
  </si>
  <si>
    <t>AL MADAM SHJ, 04TH AUG - Cash Collection TG</t>
  </si>
  <si>
    <t>37,467,148.45</t>
  </si>
  <si>
    <t>930</t>
  </si>
  <si>
    <t>2508050900043142</t>
  </si>
  <si>
    <t>SAJA INDUSTRIAL SHJ 2, 04TH AUG - Cash Collection TG</t>
  </si>
  <si>
    <t>38,027,148.45</t>
  </si>
  <si>
    <t>931</t>
  </si>
  <si>
    <t>2508050900043165</t>
  </si>
  <si>
    <t>IND AREA 3 SHJ, 04TH AUG - Cash Collection TG</t>
  </si>
  <si>
    <t>225,125.00</t>
  </si>
  <si>
    <t>38,252,273.45</t>
  </si>
  <si>
    <t>932</t>
  </si>
  <si>
    <t>2508050900043170</t>
  </si>
  <si>
    <t>DUBAI MALL LG UNIT171, 04TH AUG - Cash Collection TG</t>
  </si>
  <si>
    <t>38,852,273.45</t>
  </si>
  <si>
    <t>933</t>
  </si>
  <si>
    <t>2508050900043176</t>
  </si>
  <si>
    <t>KARAMA DUBAI, 04TH AUG - Cash Collection TG</t>
  </si>
  <si>
    <t>39,352,273.45</t>
  </si>
  <si>
    <t>934</t>
  </si>
  <si>
    <t>2508050900043182</t>
  </si>
  <si>
    <t>DIBBA FUJAIRAH, 04TH AUG - Cash Collection TG</t>
  </si>
  <si>
    <t>39,692,273.45</t>
  </si>
  <si>
    <t>935</t>
  </si>
  <si>
    <t>PHUB519998221</t>
  </si>
  <si>
    <t>DXB 05082025</t>
  </si>
  <si>
    <t>39,092,273.45</t>
  </si>
  <si>
    <t>936</t>
  </si>
  <si>
    <t>PHUB520007929</t>
  </si>
  <si>
    <t>B/O_HUSAM ZAKA_ADIB_520007929_Financi</t>
  </si>
  <si>
    <t>334,114.00</t>
  </si>
  <si>
    <t>39,426,387.45</t>
  </si>
  <si>
    <t>937</t>
  </si>
  <si>
    <t>PHUB520016049</t>
  </si>
  <si>
    <t>520016049 B/O MOUZA MOHAMED SALEH ALMANSOORI</t>
  </si>
  <si>
    <t>39,430,587.45</t>
  </si>
  <si>
    <t>938</t>
  </si>
  <si>
    <t>50776779166</t>
  </si>
  <si>
    <t>25859002806 MBTRF B/O FARIS KH I JALLO</t>
  </si>
  <si>
    <t>73,400.00</t>
  </si>
  <si>
    <t>39,503,987.45</t>
  </si>
  <si>
    <t>939</t>
  </si>
  <si>
    <t>PHUB520025849</t>
  </si>
  <si>
    <t>EMIRIX SALARIES JULY 25</t>
  </si>
  <si>
    <t>B/O  EMIRIX TECHNICAL SERVICES CO LLC</t>
  </si>
  <si>
    <t>63,291.85</t>
  </si>
  <si>
    <t>39,567,279.30</t>
  </si>
  <si>
    <t>940</t>
  </si>
  <si>
    <t>520027222 B/O NEXT MOVE SHIPPING SERVICES (FZE)</t>
  </si>
  <si>
    <t>4,989.54</t>
  </si>
  <si>
    <t>39,572,268.84</t>
  </si>
  <si>
    <t>941</t>
  </si>
  <si>
    <t>520035125 B/O NEXT MOVE SHIPPING SERVICES (FZE)</t>
  </si>
  <si>
    <t>2,116.57</t>
  </si>
  <si>
    <t>39,574,385.41</t>
  </si>
  <si>
    <t>942</t>
  </si>
  <si>
    <t>520032676 B/O NEXT MOVE SHIPPING SERVICES (FZE)</t>
  </si>
  <si>
    <t>3,578.76</t>
  </si>
  <si>
    <t>39,577,964.17</t>
  </si>
  <si>
    <t>943</t>
  </si>
  <si>
    <t>520033491 B/O NEXT MOVE SHIPPING SERVICES (FZE)</t>
  </si>
  <si>
    <t>1,883.52</t>
  </si>
  <si>
    <t>39,579,847.69</t>
  </si>
  <si>
    <t>944</t>
  </si>
  <si>
    <t>PHUB520067164</t>
  </si>
  <si>
    <t>B/O_ASHWANI KU_NBAD_520067164_For onw</t>
  </si>
  <si>
    <t>39,679,847.69</t>
  </si>
  <si>
    <t>945</t>
  </si>
  <si>
    <t>50778144078</t>
  </si>
  <si>
    <t>25860346744 MBTRF B/O RAJAVELU RETHINAM</t>
  </si>
  <si>
    <t>39,779,847.69</t>
  </si>
  <si>
    <t>946</t>
  </si>
  <si>
    <t>PHUB520077375</t>
  </si>
  <si>
    <t>OFFICE 801</t>
  </si>
  <si>
    <t>B/O LUX SOLUTIONS TRADING LLC</t>
  </si>
  <si>
    <t>11,586.25</t>
  </si>
  <si>
    <t>39,791,433.94</t>
  </si>
  <si>
    <t>947</t>
  </si>
  <si>
    <t>50778524783</t>
  </si>
  <si>
    <t>25860715889 MBTRF B/O RAJAVELU RETHINAM</t>
  </si>
  <si>
    <t>50,026.50</t>
  </si>
  <si>
    <t>39,841,460.44</t>
  </si>
  <si>
    <t>948</t>
  </si>
  <si>
    <t>PHUB520080041</t>
  </si>
  <si>
    <t>520080041 B/O FAIZAN FAYAZ SUFI</t>
  </si>
  <si>
    <t>39,871,460.44</t>
  </si>
  <si>
    <t>949</t>
  </si>
  <si>
    <t>50778749157</t>
  </si>
  <si>
    <t>25860938998 MBTRF B/O SANDEEP SINGH</t>
  </si>
  <si>
    <t>12,322.50</t>
  </si>
  <si>
    <t>39,883,782.94</t>
  </si>
  <si>
    <t>950</t>
  </si>
  <si>
    <t>50778782781</t>
  </si>
  <si>
    <t>2533887457 IBTRF B/O TERHAL TRAVEL AND TOURS LLC</t>
  </si>
  <si>
    <t>16,650.00</t>
  </si>
  <si>
    <t>39,900,432.94</t>
  </si>
  <si>
    <t>951</t>
  </si>
  <si>
    <t>PHUB520082138</t>
  </si>
  <si>
    <t>B/O_AL FARDAN _EBIL_520082138_AUHADCB</t>
  </si>
  <si>
    <t>49,900,432.94</t>
  </si>
  <si>
    <t>952</t>
  </si>
  <si>
    <t>PHUB520082188</t>
  </si>
  <si>
    <t>B/O_AHMED SARF_SCBL_520082188_.</t>
  </si>
  <si>
    <t>42,053.00</t>
  </si>
  <si>
    <t>49,942,485.94</t>
  </si>
  <si>
    <t>953</t>
  </si>
  <si>
    <t>PHUB520084698</t>
  </si>
  <si>
    <t>IMD 05082025</t>
  </si>
  <si>
    <t>65,532,103.29</t>
  </si>
  <si>
    <t>-15,589,617.35</t>
  </si>
  <si>
    <t>954</t>
  </si>
  <si>
    <t>MOB0508251100257994431</t>
  </si>
  <si>
    <t>252.24</t>
  </si>
  <si>
    <t>-15,589,365.11</t>
  </si>
  <si>
    <t>955</t>
  </si>
  <si>
    <t>000197</t>
  </si>
  <si>
    <t>INHOUSE CHEQUE DEPOSIT 000197 BASHEER PULIKKAL    IBRAHIM AL FARDAN EXCHANGE SP LLC CHQ NO ::000197</t>
  </si>
  <si>
    <t>5,110.56</t>
  </si>
  <si>
    <t>-15,584,254.55</t>
  </si>
  <si>
    <t>956</t>
  </si>
  <si>
    <t>PHUB520088523</t>
  </si>
  <si>
    <t>B/O AL KONAIN COATING TECHNOLOGIES LLC</t>
  </si>
  <si>
    <t>37,102.00</t>
  </si>
  <si>
    <t>-15,547,152.55</t>
  </si>
  <si>
    <t>957</t>
  </si>
  <si>
    <t>50779109017</t>
  </si>
  <si>
    <t>25861294951 MBTRF B/O MOHAMED GOMAA IBRAHEM ABDELGHANY</t>
  </si>
  <si>
    <t>2,370.50</t>
  </si>
  <si>
    <t>-15,544,782.05</t>
  </si>
  <si>
    <t>958</t>
  </si>
  <si>
    <t>PHUB520088852</t>
  </si>
  <si>
    <t>CA 05082025</t>
  </si>
  <si>
    <t>15,000,000.00</t>
  </si>
  <si>
    <t>-544,782.05</t>
  </si>
  <si>
    <t>959</t>
  </si>
  <si>
    <t>PHUB520089427</t>
  </si>
  <si>
    <t>USD BUY 05082025</t>
  </si>
  <si>
    <t>11,019,900.00</t>
  </si>
  <si>
    <t>-11,564,682.05</t>
  </si>
  <si>
    <t>960</t>
  </si>
  <si>
    <t>50779484333</t>
  </si>
  <si>
    <t>25861657431 MBTRF B/O NAMBIRAJAN GANESAN</t>
  </si>
  <si>
    <t>6,140.50</t>
  </si>
  <si>
    <t>-11,558,541.55</t>
  </si>
  <si>
    <t>961</t>
  </si>
  <si>
    <t>000014</t>
  </si>
  <si>
    <t>INHOUSE CHEQUE DEPOSIT 000014 MUHAMMAD HAMEED MUHAMMAD   FAREED AL FARDAN EXCHANGE SP LLC CHQ NO ::000014</t>
  </si>
  <si>
    <t>6,300.00</t>
  </si>
  <si>
    <t>-11,552,241.55</t>
  </si>
  <si>
    <t>962</t>
  </si>
  <si>
    <t>PHUB520101435</t>
  </si>
  <si>
    <t>B/O_VALERIAN D_NBAD_520101435_Funds t</t>
  </si>
  <si>
    <t>54,584.00</t>
  </si>
  <si>
    <t>-11,497,657.55</t>
  </si>
  <si>
    <t>963</t>
  </si>
  <si>
    <t>PHUB520102569</t>
  </si>
  <si>
    <t>B/O AUTOCAD ENGINEERING CONSULTANCY LLC</t>
  </si>
  <si>
    <t>169,666.00</t>
  </si>
  <si>
    <t>-11,327,991.55</t>
  </si>
  <si>
    <t>964</t>
  </si>
  <si>
    <t>PHUB520104019</t>
  </si>
  <si>
    <t>B/O_KHALID MAJ_MEBL_520104019_</t>
  </si>
  <si>
    <t>196,105.00</t>
  </si>
  <si>
    <t>-11,131,886.55</t>
  </si>
  <si>
    <t>965</t>
  </si>
  <si>
    <t>B/O_A/C.193691_ADIB_520105535_Financi</t>
  </si>
  <si>
    <t>207,547.36</t>
  </si>
  <si>
    <t>-10,924,339.19</t>
  </si>
  <si>
    <t>966</t>
  </si>
  <si>
    <t>PHUB520108005</t>
  </si>
  <si>
    <t>IRJV20250963</t>
  </si>
  <si>
    <t>B/O INDMAN LABOR RECRUITMENT SERVICES</t>
  </si>
  <si>
    <t>33,174.64</t>
  </si>
  <si>
    <t>-10,891,164.55</t>
  </si>
  <si>
    <t>967</t>
  </si>
  <si>
    <t>PHUB520112912</t>
  </si>
  <si>
    <t>520112912 B/O JIBY THAZHATHE PURAKKAL CHANDRAN</t>
  </si>
  <si>
    <t>-10,888,664.55</t>
  </si>
  <si>
    <t>968</t>
  </si>
  <si>
    <t>PHUB520121981</t>
  </si>
  <si>
    <t>B/O AL SULTAN ENG.CONS.BUREAU-AUH BR.</t>
  </si>
  <si>
    <t>1,194.00</t>
  </si>
  <si>
    <t>-10,887,470.55</t>
  </si>
  <si>
    <t>969</t>
  </si>
  <si>
    <t>PHUB520122362</t>
  </si>
  <si>
    <t>B/O_BEST TRUST_UNIL_520122362_25217e2</t>
  </si>
  <si>
    <t>254,883.00</t>
  </si>
  <si>
    <t>-10,632,587.55</t>
  </si>
  <si>
    <t>970</t>
  </si>
  <si>
    <t>PHUB520123035</t>
  </si>
  <si>
    <t>B/O REFLECTION ENGINEERING CONSULTANCY</t>
  </si>
  <si>
    <t>85,225.00</t>
  </si>
  <si>
    <t>-10,547,362.55</t>
  </si>
  <si>
    <t>971</t>
  </si>
  <si>
    <t>PHUB520118042</t>
  </si>
  <si>
    <t>B/O_ANIL AMBOR_NBAD_520118042_Medical</t>
  </si>
  <si>
    <t>62,182.50</t>
  </si>
  <si>
    <t>-10,485,180.05</t>
  </si>
  <si>
    <t>972</t>
  </si>
  <si>
    <t>15,715.75</t>
  </si>
  <si>
    <t>-10,469,464.30</t>
  </si>
  <si>
    <t>973</t>
  </si>
  <si>
    <t>B/O_PARESH OR MALA J_520120028</t>
  </si>
  <si>
    <t>19,712.50</t>
  </si>
  <si>
    <t>-10,449,751.80</t>
  </si>
  <si>
    <t>974</t>
  </si>
  <si>
    <t>PHUB520131258</t>
  </si>
  <si>
    <t>FARDAN 0508</t>
  </si>
  <si>
    <t>B/O AAA FREIGHT SERVICES L.L.C.</t>
  </si>
  <si>
    <t>12,626.25</t>
  </si>
  <si>
    <t>-10,437,125.55</t>
  </si>
  <si>
    <t>975</t>
  </si>
  <si>
    <t>05082520</t>
  </si>
  <si>
    <t>6,000,000.00</t>
  </si>
  <si>
    <t>-4,437,125.55</t>
  </si>
  <si>
    <t>976</t>
  </si>
  <si>
    <t>23,945.00</t>
  </si>
  <si>
    <t>-4,413,180.55</t>
  </si>
  <si>
    <t>977</t>
  </si>
  <si>
    <t>2,925.00</t>
  </si>
  <si>
    <t>-4,410,255.55</t>
  </si>
  <si>
    <t>978</t>
  </si>
  <si>
    <t>PHUB520135132</t>
  </si>
  <si>
    <t>CDC SOA SETTELMENT</t>
  </si>
  <si>
    <t>B/O TOP RANKED SHIPPING LLC</t>
  </si>
  <si>
    <t>23,276.50</t>
  </si>
  <si>
    <t>-4,386,979.05</t>
  </si>
  <si>
    <t>979</t>
  </si>
  <si>
    <t>50781681747</t>
  </si>
  <si>
    <t>25863796245 MBTRF B/O ACAMIND ACADEMY LLC</t>
  </si>
  <si>
    <t>4,025.00</t>
  </si>
  <si>
    <t>-4,382,954.05</t>
  </si>
  <si>
    <t>980</t>
  </si>
  <si>
    <t>50781731890</t>
  </si>
  <si>
    <t>2534004893 IBTRF B/O NATIONAL FLOWERS LLC SPC</t>
  </si>
  <si>
    <t>-4,282,954.05</t>
  </si>
  <si>
    <t>981</t>
  </si>
  <si>
    <t>50781778470</t>
  </si>
  <si>
    <t>2534006667 IBTRF B/O NATIONAL FLOWERS LLC SPC</t>
  </si>
  <si>
    <t>47,202.00</t>
  </si>
  <si>
    <t>-4,235,752.05</t>
  </si>
  <si>
    <t>982</t>
  </si>
  <si>
    <t>PHUB520141966</t>
  </si>
  <si>
    <t>B/O_LLC NAJIMAT AL I_520141966</t>
  </si>
  <si>
    <t>-4,233,307.05</t>
  </si>
  <si>
    <t>983</t>
  </si>
  <si>
    <t>05082521</t>
  </si>
  <si>
    <t>3,000,000.00</t>
  </si>
  <si>
    <t>-1,233,307.05</t>
  </si>
  <si>
    <t>984</t>
  </si>
  <si>
    <t>PHUB520143415</t>
  </si>
  <si>
    <t>JUNE SALARY</t>
  </si>
  <si>
    <t>36,285.25</t>
  </si>
  <si>
    <t>-1,197,021.80</t>
  </si>
  <si>
    <t>985</t>
  </si>
  <si>
    <t>PHUB520145106</t>
  </si>
  <si>
    <t>21,600,000.00</t>
  </si>
  <si>
    <t>20,402,978.20</t>
  </si>
  <si>
    <t>986</t>
  </si>
  <si>
    <t>PHUB520145681</t>
  </si>
  <si>
    <t>B/O_Meherzad F_null_520145681_Meherza</t>
  </si>
  <si>
    <t>47,250.00</t>
  </si>
  <si>
    <t>20,450,228.20</t>
  </si>
  <si>
    <t>987</t>
  </si>
  <si>
    <t>2,784.09</t>
  </si>
  <si>
    <t>20,453,012.29</t>
  </si>
  <si>
    <t>988</t>
  </si>
  <si>
    <t>PHUB520153715</t>
  </si>
  <si>
    <t>B/O_PRIME SMAR_BOML_520153715_ COMPEN</t>
  </si>
  <si>
    <t>10,401.00</t>
  </si>
  <si>
    <t>20,463,413.29</t>
  </si>
  <si>
    <t>PHUB520154400</t>
  </si>
  <si>
    <t>MOB0508251255467996991</t>
  </si>
  <si>
    <t>51,496.50</t>
  </si>
  <si>
    <t>20,514,909.79</t>
  </si>
  <si>
    <t>990</t>
  </si>
  <si>
    <t>000184</t>
  </si>
  <si>
    <t>INHOUSE CHEQUE DEPOSIT 000184 SHAMSHEER KHAN AHAMED KHAN AHAMED  KHAN AL FARDAN EXCHANGE SP LLC CHQ NO ::000184</t>
  </si>
  <si>
    <t>20,614,909.79</t>
  </si>
  <si>
    <t>991</t>
  </si>
  <si>
    <t>2508051259463247</t>
  </si>
  <si>
    <t>04TH AUG, BMW AL KHAN - Cash Collection TG</t>
  </si>
  <si>
    <t>20,794,909.79</t>
  </si>
  <si>
    <t>992</t>
  </si>
  <si>
    <t>PHUB520159632</t>
  </si>
  <si>
    <t>WPSSANTOSHJUL25</t>
  </si>
  <si>
    <t>B/O THE BIG ART COMPANY LLC</t>
  </si>
  <si>
    <t>2,626.25</t>
  </si>
  <si>
    <t>20,797,536.04</t>
  </si>
  <si>
    <t>993</t>
  </si>
  <si>
    <t>86,779.67</t>
  </si>
  <si>
    <t>20,884,315.71</t>
  </si>
  <si>
    <t>994</t>
  </si>
  <si>
    <t>97,587.58</t>
  </si>
  <si>
    <t>20,981,903.29</t>
  </si>
  <si>
    <t>995</t>
  </si>
  <si>
    <t>PHUB520161026</t>
  </si>
  <si>
    <t>520161026 B/O KAROOR PRADEEP MENON</t>
  </si>
  <si>
    <t>8,427.00</t>
  </si>
  <si>
    <t>20,990,330.29</t>
  </si>
  <si>
    <t>996</t>
  </si>
  <si>
    <t>PHUB520163936</t>
  </si>
  <si>
    <t>B/O_AL FARDAN _EBIL_520163936_ADCB AU</t>
  </si>
  <si>
    <t>12,000,000.00</t>
  </si>
  <si>
    <t>32,990,330.29</t>
  </si>
  <si>
    <t>997</t>
  </si>
  <si>
    <t>B/O_ACE CRANES_BOML_520168457_LOANS -</t>
  </si>
  <si>
    <t>1,858.15</t>
  </si>
  <si>
    <t>32,992,188.44</t>
  </si>
  <si>
    <t>998</t>
  </si>
  <si>
    <t>PHUB520173109</t>
  </si>
  <si>
    <t>35,631,010.00</t>
  </si>
  <si>
    <t>-2,638,821.56</t>
  </si>
  <si>
    <t>999</t>
  </si>
  <si>
    <t>PHUB520173426</t>
  </si>
  <si>
    <t>13434868</t>
  </si>
  <si>
    <t>B/O CENTERLINE TECHNICAL SERVICE CO LLC</t>
  </si>
  <si>
    <t>-2,619,821.56</t>
  </si>
  <si>
    <t>50783524617</t>
  </si>
  <si>
    <t>25865646701 MBTRF B/O YASMIN M REDA FADEL MOSTAFA REDA</t>
  </si>
  <si>
    <t>859.25</t>
  </si>
  <si>
    <t>-2,618,962.31</t>
  </si>
  <si>
    <t>PHUB520186106</t>
  </si>
  <si>
    <t>520186106 B/O SYED ABIDUR RAHMAN</t>
  </si>
  <si>
    <t>-2,578,962.31</t>
  </si>
  <si>
    <t>1002</t>
  </si>
  <si>
    <t>PHUB520189515</t>
  </si>
  <si>
    <t>SALARY JULY</t>
  </si>
  <si>
    <t>B/O ALAMEEMI BERRY WOOD TRADING LLC</t>
  </si>
  <si>
    <t>55,761.40</t>
  </si>
  <si>
    <t>-2,523,200.91</t>
  </si>
  <si>
    <t>1003</t>
  </si>
  <si>
    <t>40,836.55</t>
  </si>
  <si>
    <t>-2,482,364.36</t>
  </si>
  <si>
    <t>1004</t>
  </si>
  <si>
    <t>57,294.30</t>
  </si>
  <si>
    <t>-2,425,070.06</t>
  </si>
  <si>
    <t>1005</t>
  </si>
  <si>
    <t>25,864.50</t>
  </si>
  <si>
    <t>-2,399,205.56</t>
  </si>
  <si>
    <t>1006</t>
  </si>
  <si>
    <t>50,502.62</t>
  </si>
  <si>
    <t>-2,348,702.94</t>
  </si>
  <si>
    <t>1007</t>
  </si>
  <si>
    <t>520191545 B/O RAMACHANDHIRAN VENKATACHALAM</t>
  </si>
  <si>
    <t>4,331.00</t>
  </si>
  <si>
    <t>-2,344,371.94</t>
  </si>
  <si>
    <t>1008</t>
  </si>
  <si>
    <t>PHUB520191636</t>
  </si>
  <si>
    <t>11,438.00</t>
  </si>
  <si>
    <t>-2,332,933.94</t>
  </si>
  <si>
    <t>1009</t>
  </si>
  <si>
    <t>FUND TRF TO GCC</t>
  </si>
  <si>
    <t>TRF TO G C C EXCHANGE</t>
  </si>
  <si>
    <t>2,057,950.00</t>
  </si>
  <si>
    <t>-4,390,883.94</t>
  </si>
  <si>
    <t>1010</t>
  </si>
  <si>
    <t>166,465.00</t>
  </si>
  <si>
    <t>-4,224,418.94</t>
  </si>
  <si>
    <t>1011</t>
  </si>
  <si>
    <t>PHUB520208268</t>
  </si>
  <si>
    <t>MOB0508251432247998823</t>
  </si>
  <si>
    <t>B/O P P J SOLUTIONS GENERAL MAINTENANCE</t>
  </si>
  <si>
    <t>46,376.25</t>
  </si>
  <si>
    <t>-4,178,042.69</t>
  </si>
  <si>
    <t>1012</t>
  </si>
  <si>
    <t>18,019.25</t>
  </si>
  <si>
    <t>-4,160,023.44</t>
  </si>
  <si>
    <t>1013</t>
  </si>
  <si>
    <t>84,018.00</t>
  </si>
  <si>
    <t>-4,076,005.44</t>
  </si>
  <si>
    <t>1014</t>
  </si>
  <si>
    <t>PHUB520219509</t>
  </si>
  <si>
    <t>B/O RIVIERE MINERAL W.DE.&amp;FI. FAC.LLC</t>
  </si>
  <si>
    <t>124,085.62</t>
  </si>
  <si>
    <t>-3,951,919.82</t>
  </si>
  <si>
    <t>1015</t>
  </si>
  <si>
    <t>50786025111</t>
  </si>
  <si>
    <t>25868214847 MBTRF B/O NASR EDDINE EL MANSOURY</t>
  </si>
  <si>
    <t>437.00</t>
  </si>
  <si>
    <t>-3,951,482.82</t>
  </si>
  <si>
    <t>1016</t>
  </si>
  <si>
    <t>PHUB520227294</t>
  </si>
  <si>
    <t>B/O RENOVATORS INTERNATIONAL TECHNICAL</t>
  </si>
  <si>
    <t>70,416.60</t>
  </si>
  <si>
    <t>-3,881,066.22</t>
  </si>
  <si>
    <t>1017</t>
  </si>
  <si>
    <t>50786336958</t>
  </si>
  <si>
    <t>225.00</t>
  </si>
  <si>
    <t>-3,880,841.22</t>
  </si>
  <si>
    <t>1018</t>
  </si>
  <si>
    <t>MOB0508251519047999666</t>
  </si>
  <si>
    <t>B/O AL SERAAH HOUSEHOLD UTENSILS TRADIN</t>
  </si>
  <si>
    <t>-3,850,841.22</t>
  </si>
  <si>
    <t>1019</t>
  </si>
  <si>
    <t>2022508050001729</t>
  </si>
  <si>
    <t>NO REF 2022508050001729</t>
  </si>
  <si>
    <t>3,500,000.00</t>
  </si>
  <si>
    <t>-350,841.22</t>
  </si>
  <si>
    <t>1020</t>
  </si>
  <si>
    <t>PHUB520234642</t>
  </si>
  <si>
    <t>B/O_OUSSAMA EL_ADIB_520234642_Financi</t>
  </si>
  <si>
    <t>63,478.00</t>
  </si>
  <si>
    <t>-287,363.22</t>
  </si>
  <si>
    <t>1021</t>
  </si>
  <si>
    <t>520237027 B/O ISMAT SEALS INC</t>
  </si>
  <si>
    <t>3,973.51</t>
  </si>
  <si>
    <t>-283,389.71</t>
  </si>
  <si>
    <t>1022</t>
  </si>
  <si>
    <t>50786970848</t>
  </si>
  <si>
    <t>25869173354 MBTRF B/O HOSSAM ABDELHAMID A H ABDELNASSER</t>
  </si>
  <si>
    <t>-278,389.71</t>
  </si>
  <si>
    <t>1023</t>
  </si>
  <si>
    <t>3,811.03</t>
  </si>
  <si>
    <t>-274,578.68</t>
  </si>
  <si>
    <t>1024</t>
  </si>
  <si>
    <t>50787251714</t>
  </si>
  <si>
    <t>25869453637 MBTRF B/O JACHOOS TECHNOLOGIES LLC</t>
  </si>
  <si>
    <t>17,641.00</t>
  </si>
  <si>
    <t>-256,937.68</t>
  </si>
  <si>
    <t>1025</t>
  </si>
  <si>
    <t>50787358715</t>
  </si>
  <si>
    <t>2534194952 IBTRF B/O AL MAAMOURA AGRICULTURAL NURSERIES</t>
  </si>
  <si>
    <t>5,007.50</t>
  </si>
  <si>
    <t>-251,930.18</t>
  </si>
  <si>
    <t>1026</t>
  </si>
  <si>
    <t>INHOUSE CHEQUE DEPOSIT 000002 MUHAMMAD HAMEED MUHAMMAD   FAREED AL FARDAN EXCHANGE SP LLC CHQ NO ::000002</t>
  </si>
  <si>
    <t>-229,819.68</t>
  </si>
  <si>
    <t>1027</t>
  </si>
  <si>
    <t>546,667.21</t>
  </si>
  <si>
    <t>316,847.53</t>
  </si>
  <si>
    <t>1028</t>
  </si>
  <si>
    <t>2,943,813.05</t>
  </si>
  <si>
    <t>3,260,660.58</t>
  </si>
  <si>
    <t>1029</t>
  </si>
  <si>
    <t>PHUB520256935</t>
  </si>
  <si>
    <t>GI CODE 995855</t>
  </si>
  <si>
    <t>B/O ABSOLUTE SPORTS TRADING L.L.C</t>
  </si>
  <si>
    <t>66,655.00</t>
  </si>
  <si>
    <t>3,327,315.58</t>
  </si>
  <si>
    <t>1030</t>
  </si>
  <si>
    <t>INHOUSE CHEQUE DEPOSIT 000325 RIYAS KUNIYIL    KUNHABDULLA AL FARDAN EXCHANGE SP LLC CHQ NO ::000325</t>
  </si>
  <si>
    <t>16,407.75</t>
  </si>
  <si>
    <t>3,343,723.33</t>
  </si>
  <si>
    <t>1031</t>
  </si>
  <si>
    <t>PHUB520261839</t>
  </si>
  <si>
    <t>B/O_PLUS UAE R_BARB_520261839_Guiller</t>
  </si>
  <si>
    <t>1,003.67</t>
  </si>
  <si>
    <t>3,344,727.00</t>
  </si>
  <si>
    <t>1032</t>
  </si>
  <si>
    <t>PHUB520261218</t>
  </si>
  <si>
    <t>B/O_CUTTING ZA_ADIB_520261218_abo yas</t>
  </si>
  <si>
    <t>36,800.00</t>
  </si>
  <si>
    <t>3,381,527.00</t>
  </si>
  <si>
    <t>1033</t>
  </si>
  <si>
    <t>004049</t>
  </si>
  <si>
    <t>INHOUSE CHEQUE DEPOSIT 004049 BASHEER PULIKKAL    IBRAHIM AL FARDAN EXCHANGE SP LLC CHQ NO ::004049</t>
  </si>
  <si>
    <t>63,478.50</t>
  </si>
  <si>
    <t>3,445,005.50</t>
  </si>
  <si>
    <t>1034</t>
  </si>
  <si>
    <t>025000</t>
  </si>
  <si>
    <t>INHOUSE CHEQUE DEPOSIT 025000 BASHEER PULIKKAL    IBRAHIM AL FARDAN EXCHANGE SP LLC CHQ NO ::025000</t>
  </si>
  <si>
    <t>22,072.50</t>
  </si>
  <si>
    <t>3,467,078.00</t>
  </si>
  <si>
    <t>1035</t>
  </si>
  <si>
    <t>50788065963</t>
  </si>
  <si>
    <t>2534219980 IBTRF B/O ROLON SEALS MIDDLE EAST LLC</t>
  </si>
  <si>
    <t>40,100.00</t>
  </si>
  <si>
    <t>3,507,178.00</t>
  </si>
  <si>
    <t>1036</t>
  </si>
  <si>
    <t>3,508,181.67</t>
  </si>
  <si>
    <t>1037</t>
  </si>
  <si>
    <t>50788374034</t>
  </si>
  <si>
    <t>2534229682 IBTRF B/O VIPAN KALIA AND OR ARCHANA  KALIA</t>
  </si>
  <si>
    <t>58,836.50</t>
  </si>
  <si>
    <t>3,567,018.17</t>
  </si>
  <si>
    <t>1038</t>
  </si>
  <si>
    <t>50788507474</t>
  </si>
  <si>
    <t>83,954.32</t>
  </si>
  <si>
    <t>3,650,972.49</t>
  </si>
  <si>
    <t>1039</t>
  </si>
  <si>
    <t>50788624770</t>
  </si>
  <si>
    <t>25870850717 MBTRF B/O BENNY PAREKATTIL MATHAI</t>
  </si>
  <si>
    <t>3,800,972.49</t>
  </si>
  <si>
    <t>1040</t>
  </si>
  <si>
    <t>PHUB520281381</t>
  </si>
  <si>
    <t>B/O_TREKKUP FZE_520281381</t>
  </si>
  <si>
    <t>17,438.75</t>
  </si>
  <si>
    <t>3,818,411.24</t>
  </si>
  <si>
    <t>1041</t>
  </si>
  <si>
    <t>PHUB520281696</t>
  </si>
  <si>
    <t>B/O_LLC SIND P_ADIB_520281696_resin</t>
  </si>
  <si>
    <t>73,023.53</t>
  </si>
  <si>
    <t>3,891,434.77</t>
  </si>
  <si>
    <t>1042</t>
  </si>
  <si>
    <t>PHUB520286787</t>
  </si>
  <si>
    <t>35028</t>
  </si>
  <si>
    <t>12,471.39</t>
  </si>
  <si>
    <t>3,903,906.16</t>
  </si>
  <si>
    <t>1043</t>
  </si>
  <si>
    <t>50789219045</t>
  </si>
  <si>
    <t>25871473228 MBTRF B/O MOHAMMED FARUK</t>
  </si>
  <si>
    <t>11,086.00</t>
  </si>
  <si>
    <t>3,914,992.16</t>
  </si>
  <si>
    <t>1044</t>
  </si>
  <si>
    <t>PHUB520289654</t>
  </si>
  <si>
    <t>B/O_L.L.C AL K_ADIB_520289654_Hotel B</t>
  </si>
  <si>
    <t>108,029.85</t>
  </si>
  <si>
    <t>4,023,022.01</t>
  </si>
  <si>
    <t>1045</t>
  </si>
  <si>
    <t>4,023,284.51</t>
  </si>
  <si>
    <t>1046</t>
  </si>
  <si>
    <t>8,135.00</t>
  </si>
  <si>
    <t>4,031,419.51</t>
  </si>
  <si>
    <t>1047</t>
  </si>
  <si>
    <t>PHUB520303363</t>
  </si>
  <si>
    <t>520303363 B/O RAKKIMUTHU SIVASAMY</t>
  </si>
  <si>
    <t>4,071,419.51</t>
  </si>
  <si>
    <t>1048</t>
  </si>
  <si>
    <t>PHUB520311527</t>
  </si>
  <si>
    <t>B/O_EMAD HAMDI ABDEL_520311527</t>
  </si>
  <si>
    <t>17,106.75</t>
  </si>
  <si>
    <t>4,088,526.26</t>
  </si>
  <si>
    <t>1049</t>
  </si>
  <si>
    <t>PHUB520312092</t>
  </si>
  <si>
    <t>EMIRATIS PENSION</t>
  </si>
  <si>
    <t>B/O EURO COFFEE LLC</t>
  </si>
  <si>
    <t>7,947.00</t>
  </si>
  <si>
    <t>4,096,473.26</t>
  </si>
  <si>
    <t>1050</t>
  </si>
  <si>
    <t>PHUB520313630</t>
  </si>
  <si>
    <t>B/O_CSS KINGST_NBFU_520313630_PAYMENT</t>
  </si>
  <si>
    <t>47,417.74</t>
  </si>
  <si>
    <t>4,143,891.00</t>
  </si>
  <si>
    <t>1051</t>
  </si>
  <si>
    <t>100631</t>
  </si>
  <si>
    <t>CHEQUE DEPOSIT 100631 MOHAMMED NASIR UDDIN    ABDUL MOTALEB 002420097 CHQ NO ::100631</t>
  </si>
  <si>
    <t>14,015.75</t>
  </si>
  <si>
    <t>4,157,906.75</t>
  </si>
  <si>
    <t>1052</t>
  </si>
  <si>
    <t>50790777400</t>
  </si>
  <si>
    <t>25873135380 MBTRF B/O OSPREY MARI EQUIPMENTS TRADING LLC</t>
  </si>
  <si>
    <t>37,039.00</t>
  </si>
  <si>
    <t>4,194,945.75</t>
  </si>
  <si>
    <t>1053</t>
  </si>
  <si>
    <t>PHUB520316695</t>
  </si>
  <si>
    <t>520316695 B/O AHMED SAMIR EISSA KHODAIR</t>
  </si>
  <si>
    <t>900.00</t>
  </si>
  <si>
    <t>4,195,845.75</t>
  </si>
  <si>
    <t>1054</t>
  </si>
  <si>
    <t>500458</t>
  </si>
  <si>
    <t>CHEQUE DEPOSIT 500458 MUHAMMAD HAMEED MUHAMMAD   FAREED 805030156 CHQ NO ::500458</t>
  </si>
  <si>
    <t>239,472.50</t>
  </si>
  <si>
    <t>4,435,318.25</t>
  </si>
  <si>
    <t>1055</t>
  </si>
  <si>
    <t>PHUB520319929</t>
  </si>
  <si>
    <t>B/O_ABDULLA RA_ADIB_520319929_Constru</t>
  </si>
  <si>
    <t>44,128.00</t>
  </si>
  <si>
    <t>4,479,446.25</t>
  </si>
  <si>
    <t>1056</t>
  </si>
  <si>
    <t>101729</t>
  </si>
  <si>
    <t>CHEQUE DEPOSIT 101729 MUHAMMAD HAMEED MUHAMMAD   FAREED 302430107 CHQ NO ::101729</t>
  </si>
  <si>
    <t>22,864.36</t>
  </si>
  <si>
    <t>4,502,310.61</t>
  </si>
  <si>
    <t>1057</t>
  </si>
  <si>
    <t>CHEQUE DEPOSIT 000010 DURGESH KASARGOD    PALLA 402620152 CHQ NO ::000010</t>
  </si>
  <si>
    <t>978,000.00</t>
  </si>
  <si>
    <t>5,480,310.61</t>
  </si>
  <si>
    <t>1058</t>
  </si>
  <si>
    <t>CHEQUE DEPOSIT 000010 BASHEER PULIKKAL    IBRAHIM 304012039 CHQ NO ::000010</t>
  </si>
  <si>
    <t>33,807.66</t>
  </si>
  <si>
    <t>5,514,118.27</t>
  </si>
  <si>
    <t>1059</t>
  </si>
  <si>
    <t>000253</t>
  </si>
  <si>
    <t>CHEQUE DEPOSIT 000253 SHAMSHEER KHAN AHAMED KHAN AHAMED  KHAN 602920102 CHQ NO ::000253</t>
  </si>
  <si>
    <t>89,964.34</t>
  </si>
  <si>
    <t>5,604,082.61</t>
  </si>
  <si>
    <t>1060</t>
  </si>
  <si>
    <t>001157</t>
  </si>
  <si>
    <t>CHEQUE DEPOSIT 001157 BASHEER PULIKKAL    IBRAHIM 004710103 CHQ NO ::001157</t>
  </si>
  <si>
    <t>74,282.25</t>
  </si>
  <si>
    <t>5,678,364.86</t>
  </si>
  <si>
    <t>1061</t>
  </si>
  <si>
    <t>643774</t>
  </si>
  <si>
    <t>CHEQUE DEPOSIT 643774 DIL JAN MOHAMMAD   ALI 001430152 CHQ NO ::643774</t>
  </si>
  <si>
    <t>33,563.71</t>
  </si>
  <si>
    <t>5,711,928.57</t>
  </si>
  <si>
    <t>1062</t>
  </si>
  <si>
    <t>001800</t>
  </si>
  <si>
    <t>CHEQUE DEPOSIT 001800 DIL JAN MOHAMMAD   ALI 204130077 CHQ NO ::001800</t>
  </si>
  <si>
    <t>18,428.00</t>
  </si>
  <si>
    <t>5,730,356.57</t>
  </si>
  <si>
    <t>1063</t>
  </si>
  <si>
    <t>000458</t>
  </si>
  <si>
    <t>M BHATTI</t>
  </si>
  <si>
    <t>CHEQUE DEPOSIT M BHATTI 502620182 CHQ NO ::000458</t>
  </si>
  <si>
    <t>145,572.94</t>
  </si>
  <si>
    <t>5,875,929.51</t>
  </si>
  <si>
    <t>1064</t>
  </si>
  <si>
    <t>CHEQUE DEPOSIT 000055 JOHN KATTIAPPURATHU BABY KATTIAPPURATHU   ABRAHAM 804030124 CHQ NO ::000055</t>
  </si>
  <si>
    <t>84,167.00</t>
  </si>
  <si>
    <t>5,960,096.51</t>
  </si>
  <si>
    <t>1065</t>
  </si>
  <si>
    <t>AL ADEEL GENERAL</t>
  </si>
  <si>
    <t>CHEQUE DEPOSIT AL ADEEL GENERAL 804020101 CHQ NO ::000007</t>
  </si>
  <si>
    <t>91,910.50</t>
  </si>
  <si>
    <t>6,052,007.01</t>
  </si>
  <si>
    <t>1066</t>
  </si>
  <si>
    <t>000220</t>
  </si>
  <si>
    <t>CHEQUE DEPOSIT 000220 SHAH DANISH SYED REHMAT   SHAH 504020133 CHQ NO ::000220</t>
  </si>
  <si>
    <t>47,645.41</t>
  </si>
  <si>
    <t>6,099,652.42</t>
  </si>
  <si>
    <t>1067</t>
  </si>
  <si>
    <t>CHEQUE DEPOSIT 000253 MUHAMMAD HAMEED MUHAMMAD   FAREED 604130075 CHQ NO ::000253</t>
  </si>
  <si>
    <t>82,245.00</t>
  </si>
  <si>
    <t>6,181,897.42</t>
  </si>
  <si>
    <t>1068</t>
  </si>
  <si>
    <t>820543</t>
  </si>
  <si>
    <t>SPEED LINE</t>
  </si>
  <si>
    <t>CHEQUE DEPOSIT SPEED LINE 104030136 CHQ NO ::820543</t>
  </si>
  <si>
    <t>97,054.10</t>
  </si>
  <si>
    <t>6,278,951.52</t>
  </si>
  <si>
    <t>1069</t>
  </si>
  <si>
    <t>PHUB520333355</t>
  </si>
  <si>
    <t>B/O_MR MASTHAN SHERI_520333355</t>
  </si>
  <si>
    <t>20,991.00</t>
  </si>
  <si>
    <t>6,299,942.52</t>
  </si>
  <si>
    <t>1070</t>
  </si>
  <si>
    <t>000032</t>
  </si>
  <si>
    <t>CHEQUE DEPOSIT 000032 MUHAMMAD HAMEED MUHAMMAD   FAREED 604130075 CHQ NO ::000032</t>
  </si>
  <si>
    <t>6,800.00</t>
  </si>
  <si>
    <t>6,306,742.52</t>
  </si>
  <si>
    <t>1071</t>
  </si>
  <si>
    <t>PHUB520334060</t>
  </si>
  <si>
    <t>520334060 B/O KUNAL PUROHIT</t>
  </si>
  <si>
    <t>6,356,742.52</t>
  </si>
  <si>
    <t>1072</t>
  </si>
  <si>
    <t>000223</t>
  </si>
  <si>
    <t>RUKN AL QAMAR</t>
  </si>
  <si>
    <t>CHEQUE DEPOSIT RUKN AL QAMAR 603430129 CHQ NO ::000223</t>
  </si>
  <si>
    <t>74,922.50</t>
  </si>
  <si>
    <t>6,431,665.02</t>
  </si>
  <si>
    <t>1073</t>
  </si>
  <si>
    <t>291272</t>
  </si>
  <si>
    <t>CHEQUE DEPOSIT 291272 KARAM ELIAS     ALBARCHINI 603530182 CHQ NO ::291272</t>
  </si>
  <si>
    <t>80,999.00</t>
  </si>
  <si>
    <t>6,512,664.02</t>
  </si>
  <si>
    <t>1074</t>
  </si>
  <si>
    <t>000015</t>
  </si>
  <si>
    <t>JAMSHAID MUNEER</t>
  </si>
  <si>
    <t>CHEQUE DEPOSIT JAMSHAID MUNEER 703430256 CHQ NO ::000015</t>
  </si>
  <si>
    <t>105,418.89</t>
  </si>
  <si>
    <t>6,618,082.91</t>
  </si>
  <si>
    <t>1075</t>
  </si>
  <si>
    <t>008225</t>
  </si>
  <si>
    <t>CHEQUE DEPOSIT 008225 MUHAMMAD HAMEED MUHAMMAD   FAREED 104030136 CHQ NO ::008225</t>
  </si>
  <si>
    <t>2,549.29</t>
  </si>
  <si>
    <t>6,620,632.20</t>
  </si>
  <si>
    <t>1076</t>
  </si>
  <si>
    <t>000279</t>
  </si>
  <si>
    <t>CHEQUE DEPOSIT 000279 DIL JAN MOHAMMAD   ALI 304040119 CHQ NO ::000279</t>
  </si>
  <si>
    <t>60,159.00</t>
  </si>
  <si>
    <t>6,680,791.20</t>
  </si>
  <si>
    <t>1077</t>
  </si>
  <si>
    <t>000815</t>
  </si>
  <si>
    <t>CHEQUE DEPOSIT 000815 SHAMSHEER KHAN AHAMED KHAN AHAMED  KHAN 602920102 CHQ NO ::000815</t>
  </si>
  <si>
    <t>36,000.00</t>
  </si>
  <si>
    <t>6,716,791.20</t>
  </si>
  <si>
    <t>1078</t>
  </si>
  <si>
    <t>000255</t>
  </si>
  <si>
    <t>CHEQUE DEPOSIT 000255 SHAMSHEER KHAN AHAMED KHAN AHAMED  KHAN 602920102 CHQ NO ::000255</t>
  </si>
  <si>
    <t>58,410.00</t>
  </si>
  <si>
    <t>6,775,201.20</t>
  </si>
  <si>
    <t>1079</t>
  </si>
  <si>
    <t>054490</t>
  </si>
  <si>
    <t>CHEQUE DEPOSIT 054490 ABHIJITH SUNIL SUNIL   CHAKRAPANI 703511205 CHQ NO ::054490</t>
  </si>
  <si>
    <t>6,805,201.20</t>
  </si>
  <si>
    <t>1080</t>
  </si>
  <si>
    <t>001241</t>
  </si>
  <si>
    <t>CHEQUE DEPOSIT 001241 MUHAMMAD HAMEED MUHAMMAD   FAREED 203320145 CHQ NO ::001241</t>
  </si>
  <si>
    <t>3,140.00</t>
  </si>
  <si>
    <t>6,808,341.20</t>
  </si>
  <si>
    <t>1081</t>
  </si>
  <si>
    <t>006262</t>
  </si>
  <si>
    <t>CHEQUE DEPOSIT 006262 HARMANDEEP SINGH GURBHINDER   SINGH 903330112 CHQ NO ::006262</t>
  </si>
  <si>
    <t>8,121.00</t>
  </si>
  <si>
    <t>6,816,462.20</t>
  </si>
  <si>
    <t>1082</t>
  </si>
  <si>
    <t>000254</t>
  </si>
  <si>
    <t>CHEQUE DEPOSIT 000254 SHAMSHEER KHAN AHAMED KHAN AHAMED  KHAN 602920102 CHQ NO ::000254</t>
  </si>
  <si>
    <t>7,040.86</t>
  </si>
  <si>
    <t>6,823,503.06</t>
  </si>
  <si>
    <t>1083</t>
  </si>
  <si>
    <t>004133</t>
  </si>
  <si>
    <t>CHEQUE DEPOSIT 004133 SHAMSHEER KHAN AHAMED KHAN AHAMED  KHAN 203430121 CHQ NO ::004133</t>
  </si>
  <si>
    <t>158,238.00</t>
  </si>
  <si>
    <t>6,981,741.06</t>
  </si>
  <si>
    <t>1084</t>
  </si>
  <si>
    <t>000674</t>
  </si>
  <si>
    <t>CHEQUE DEPOSIT 000674 SHAH DANISH SYED REHMAT   SHAH 404020125 CHQ NO ::000674</t>
  </si>
  <si>
    <t>45,615.77</t>
  </si>
  <si>
    <t>7,027,356.83</t>
  </si>
  <si>
    <t>1085</t>
  </si>
  <si>
    <t>50791908611</t>
  </si>
  <si>
    <t>25874434897 MBTRF B/O M HUSAM MARASHI</t>
  </si>
  <si>
    <t>49,301.45</t>
  </si>
  <si>
    <t>7,076,658.28</t>
  </si>
  <si>
    <t>1086</t>
  </si>
  <si>
    <t>000321</t>
  </si>
  <si>
    <t>CHEQUE DEPOSIT 000321 BASHEER PULIKKAL    IBRAHIM 203812006 CHQ NO ::000321</t>
  </si>
  <si>
    <t>10,651.50</t>
  </si>
  <si>
    <t>7,087,309.78</t>
  </si>
  <si>
    <t>1087</t>
  </si>
  <si>
    <t>023914</t>
  </si>
  <si>
    <t>CHEQUE DEPOSIT 023914 BASHEER PULIKKAL    IBRAHIM 202210104 CHQ NO ::023914</t>
  </si>
  <si>
    <t>7,150,335.03</t>
  </si>
  <si>
    <t>1088</t>
  </si>
  <si>
    <t>50791985607</t>
  </si>
  <si>
    <t>2534349088 IBTRF B/O POWER TECH INTERNATIONAL TR LLC</t>
  </si>
  <si>
    <t>5,440.30</t>
  </si>
  <si>
    <t>7,155,775.33</t>
  </si>
  <si>
    <t>1089</t>
  </si>
  <si>
    <t>000035</t>
  </si>
  <si>
    <t>CHEQUE DEPOSIT SYED SHIRAZ 003330175 CHQ NO ::000035</t>
  </si>
  <si>
    <t>179,297.50</t>
  </si>
  <si>
    <t>7,335,072.83</t>
  </si>
  <si>
    <t>1090</t>
  </si>
  <si>
    <t>MOHAMMAD REZA</t>
  </si>
  <si>
    <t>CHEQUE DEPOSIT MOHAMMAD REZA 703320106 CHQ NO ::000010</t>
  </si>
  <si>
    <t>65,652.00</t>
  </si>
  <si>
    <t>7,400,724.83</t>
  </si>
  <si>
    <t>1091</t>
  </si>
  <si>
    <t>B/O_BITS PILAN_HSBC_520343906_AEL2508</t>
  </si>
  <si>
    <t>37,171.00</t>
  </si>
  <si>
    <t>7,437,895.83</t>
  </si>
  <si>
    <t>1092</t>
  </si>
  <si>
    <t>000352</t>
  </si>
  <si>
    <t>ABDULHADY</t>
  </si>
  <si>
    <t>CHEQUE DEPOSIT ABDULHADY 603830105 CHQ NO ::000352</t>
  </si>
  <si>
    <t>7,522,895.83</t>
  </si>
  <si>
    <t>1093</t>
  </si>
  <si>
    <t>001480</t>
  </si>
  <si>
    <t>CHEQUE DEPOSIT 001480 BASHEER PULIKKAL    IBRAHIM 102610161 CHQ NO ::001480</t>
  </si>
  <si>
    <t>8,966.50</t>
  </si>
  <si>
    <t>7,531,862.33</t>
  </si>
  <si>
    <t>1094</t>
  </si>
  <si>
    <t>001479</t>
  </si>
  <si>
    <t>CHEQUE DEPOSIT 001479 BASHEER PULIKKAL    IBRAHIM 102610161 CHQ NO ::001479</t>
  </si>
  <si>
    <t>5,526.50</t>
  </si>
  <si>
    <t>7,537,388.83</t>
  </si>
  <si>
    <t>1095</t>
  </si>
  <si>
    <t>000172</t>
  </si>
  <si>
    <t>CHEQUE DEPOSIT 000172 DIL JAN MOHAMMAD   ALI 904220102 CHQ NO ::000172</t>
  </si>
  <si>
    <t>30,026.25</t>
  </si>
  <si>
    <t>7,567,415.08</t>
  </si>
  <si>
    <t>1096</t>
  </si>
  <si>
    <t>271483</t>
  </si>
  <si>
    <t>CHEQUE DEPOSIT 271483 ABHIJITH SUNIL SUNIL   CHAKRAPANI 203514036 CHQ NO ::271483</t>
  </si>
  <si>
    <t>7,617,415.08</t>
  </si>
  <si>
    <t>1097</t>
  </si>
  <si>
    <t>000290</t>
  </si>
  <si>
    <t>CHEQUE DEPOSIT 000290 SHAMSHEER KHAN AHAMED KHAN AHAMED  KHAN 804030157 CHQ NO ::000290</t>
  </si>
  <si>
    <t>53,326.25</t>
  </si>
  <si>
    <t>7,670,741.33</t>
  </si>
  <si>
    <t>1098</t>
  </si>
  <si>
    <t>CHEQUE DEPOSIT 000002 SHAMSHEER KHAN AHAMED KHAN AHAMED  KHAN 402030140 CHQ NO ::000002</t>
  </si>
  <si>
    <t>7,860,741.33</t>
  </si>
  <si>
    <t>1099</t>
  </si>
  <si>
    <t>749428</t>
  </si>
  <si>
    <t>CHEQUE DEPOSIT 749428 MUHAMMAD HAMEED MUHAMMAD   FAREED 104030136 CHQ NO ::749428</t>
  </si>
  <si>
    <t>54,082.57</t>
  </si>
  <si>
    <t>7,914,823.90</t>
  </si>
  <si>
    <t>1100</t>
  </si>
  <si>
    <t>PHUB520349045</t>
  </si>
  <si>
    <t>B/O_DALPAT SIN_EBIL_520349045_Loan</t>
  </si>
  <si>
    <t>67,112.00</t>
  </si>
  <si>
    <t>7,981,935.90</t>
  </si>
  <si>
    <t>1101</t>
  </si>
  <si>
    <t>50792568174</t>
  </si>
  <si>
    <t>25875212758 MBTRF B/O MANORANJAN PRADHAN</t>
  </si>
  <si>
    <t>7,988,076.40</t>
  </si>
  <si>
    <t>1102</t>
  </si>
  <si>
    <t>50793052251</t>
  </si>
  <si>
    <t>25875792418 MBTRF B/O BIJOOR ABDUL RAHUMAN</t>
  </si>
  <si>
    <t>7,988,176.40</t>
  </si>
  <si>
    <t>1103</t>
  </si>
  <si>
    <t>520365513 B/O MOHAMED ABDELSALAM ALI</t>
  </si>
  <si>
    <t>7,988,957.40</t>
  </si>
  <si>
    <t>1104</t>
  </si>
  <si>
    <t>50793392342</t>
  </si>
  <si>
    <t>25876207204 MBTRF B/O BINOY SREEDHARAN</t>
  </si>
  <si>
    <t>8,088,957.40</t>
  </si>
  <si>
    <t>1105</t>
  </si>
  <si>
    <t>PHUB520370125</t>
  </si>
  <si>
    <t>520370125 B/O ANTONETTE DORIA</t>
  </si>
  <si>
    <t>2,179.50</t>
  </si>
  <si>
    <t>8,091,136.90</t>
  </si>
  <si>
    <t>1106</t>
  </si>
  <si>
    <t>50793764371</t>
  </si>
  <si>
    <t>25876652905 MBTRF B/O KALYANA SUNDARAM &amp;OR SELVAKUMARI S</t>
  </si>
  <si>
    <t>37,317.51</t>
  </si>
  <si>
    <t>8,128,454.41</t>
  </si>
  <si>
    <t>1107</t>
  </si>
  <si>
    <t>50793871320</t>
  </si>
  <si>
    <t>25876786963 MBTRF B/O JAYDIP MAJUMDAR</t>
  </si>
  <si>
    <t>8,165,454.41</t>
  </si>
  <si>
    <t>1108</t>
  </si>
  <si>
    <t>520376770 B/O MOHAMED HASAN IBRAHIM HASAN ALFARDA</t>
  </si>
  <si>
    <t>4,300.00</t>
  </si>
  <si>
    <t>8,169,754.41</t>
  </si>
  <si>
    <t>1109</t>
  </si>
  <si>
    <t>PHUB520379253</t>
  </si>
  <si>
    <t>B/O_/006/003 S_NRAK_520379253_Goods B</t>
  </si>
  <si>
    <t>14,651.30</t>
  </si>
  <si>
    <t>8,184,405.71</t>
  </si>
  <si>
    <t>1110</t>
  </si>
  <si>
    <t>PHUB520380659</t>
  </si>
  <si>
    <t>520380659 B/O AMBILI RAVINDRAN NAIR</t>
  </si>
  <si>
    <t>41,937.75</t>
  </si>
  <si>
    <t>8,226,343.46</t>
  </si>
  <si>
    <t>1111</t>
  </si>
  <si>
    <t>50794267417</t>
  </si>
  <si>
    <t>25877277304 MBTRF B/O DANISH HAMEED</t>
  </si>
  <si>
    <t>8,231,343.46</t>
  </si>
  <si>
    <t>1112</t>
  </si>
  <si>
    <t>PHUB520388003</t>
  </si>
  <si>
    <t>B/O_TAMER ZAKARIA AB_520388003</t>
  </si>
  <si>
    <t>11,413.00</t>
  </si>
  <si>
    <t>8,242,756.46</t>
  </si>
  <si>
    <t>1113</t>
  </si>
  <si>
    <t>PHUB520388448</t>
  </si>
  <si>
    <t>520388448 B/O TAMER ZAKARIA ABDELWAHAB MOHAMED</t>
  </si>
  <si>
    <t>778.00</t>
  </si>
  <si>
    <t>8,243,534.46</t>
  </si>
  <si>
    <t>1114</t>
  </si>
  <si>
    <t>PHUB520398989</t>
  </si>
  <si>
    <t>MOB0508251942078004462</t>
  </si>
  <si>
    <t>B/O DESIGNIX PROJECT MANAGEMENT SER CO</t>
  </si>
  <si>
    <t>13,026.25</t>
  </si>
  <si>
    <t>8,256,560.71</t>
  </si>
  <si>
    <t>1115</t>
  </si>
  <si>
    <t>50795262925</t>
  </si>
  <si>
    <t>25878513506 MBTRF B/O SALAHUDDEEN NOOR MOHAMED IQBALDEEN</t>
  </si>
  <si>
    <t>7,500.00</t>
  </si>
  <si>
    <t>8,264,060.71</t>
  </si>
  <si>
    <t>1116</t>
  </si>
  <si>
    <t>PHUB520405756</t>
  </si>
  <si>
    <t>520405756 B/O ASLAM MANKADAVATH PUTHANVEETTIL</t>
  </si>
  <si>
    <t>8,268,060.71</t>
  </si>
  <si>
    <t>1117</t>
  </si>
  <si>
    <t>50796458242</t>
  </si>
  <si>
    <t>25880013164 MBTRF B/O BIJOOR ABDUL RAHUMAN</t>
  </si>
  <si>
    <t>8,307,960.71</t>
  </si>
  <si>
    <t>1118</t>
  </si>
  <si>
    <t>PHUB520421188</t>
  </si>
  <si>
    <t>B/O_HAITHAM MONIR AL_520421188</t>
  </si>
  <si>
    <t>5,571.50</t>
  </si>
  <si>
    <t>8,313,532.21</t>
  </si>
  <si>
    <t>1119</t>
  </si>
  <si>
    <t>PHUB520432824</t>
  </si>
  <si>
    <t>B/O_TREKKUP FZE_520432824</t>
  </si>
  <si>
    <t>6,734.79</t>
  </si>
  <si>
    <t>8,320,267.00</t>
  </si>
  <si>
    <t>1120</t>
  </si>
  <si>
    <t>PHUB520441119</t>
  </si>
  <si>
    <t>520441119 B/O AFSAL EDAMARATH PARAMBIL</t>
  </si>
  <si>
    <t>8,341,258.00</t>
  </si>
  <si>
    <t>1121</t>
  </si>
  <si>
    <t>PHUB520451014</t>
  </si>
  <si>
    <t>JULY 2025</t>
  </si>
  <si>
    <t>B/O BARAKAT ALMADINA TRADING CO. L.L.C</t>
  </si>
  <si>
    <t>59,852.50</t>
  </si>
  <si>
    <t>8,401,110.50</t>
  </si>
  <si>
    <t>1122</t>
  </si>
  <si>
    <t>06-Aug-2025</t>
  </si>
  <si>
    <t>50799361371</t>
  </si>
  <si>
    <t>25883684805 MBTRF B/O KUNNATH MOHAMED SHAFI</t>
  </si>
  <si>
    <t>8,921.00</t>
  </si>
  <si>
    <t>8,410,031.50</t>
  </si>
  <si>
    <t>1123</t>
  </si>
  <si>
    <t>PHUB520482920</t>
  </si>
  <si>
    <t>B/O_ABDULLA RA_ADIB_520482920_Constru</t>
  </si>
  <si>
    <t>8,510,031.50</t>
  </si>
  <si>
    <t>1124</t>
  </si>
  <si>
    <t>B/O_OIL MARKET_NBFU_520484621_OTHERS</t>
  </si>
  <si>
    <t>735,200.00</t>
  </si>
  <si>
    <t>9,245,231.50</t>
  </si>
  <si>
    <t>1125</t>
  </si>
  <si>
    <t>PHUB520491411</t>
  </si>
  <si>
    <t>520491411 B/O KHALID SULTAN SALEM JAHWEEL ALMANSOORI</t>
  </si>
  <si>
    <t>9,246,731.50</t>
  </si>
  <si>
    <t>1126</t>
  </si>
  <si>
    <t>PHUB520503599</t>
  </si>
  <si>
    <t>B/O_1/GOVERMEN_DUIB_520503599_Refund</t>
  </si>
  <si>
    <t>2,638.31</t>
  </si>
  <si>
    <t>9,249,369.81</t>
  </si>
  <si>
    <t>1127</t>
  </si>
  <si>
    <t>PHUB520503603</t>
  </si>
  <si>
    <t>B/O_1/GOVERMEN_DUIB_520503603_Refund</t>
  </si>
  <si>
    <t>6,194.15</t>
  </si>
  <si>
    <t>9,255,563.96</t>
  </si>
  <si>
    <t>1128</t>
  </si>
  <si>
    <t>PHUB520503608</t>
  </si>
  <si>
    <t>B/O_1/GOVERMEN_DUIB_520503608_5030009</t>
  </si>
  <si>
    <t>1,579.65</t>
  </si>
  <si>
    <t>9,257,143.61</t>
  </si>
  <si>
    <t>1129</t>
  </si>
  <si>
    <t>PHUB520503614</t>
  </si>
  <si>
    <t>B/O_1/GOVERMEN_DUIB_520503614_5030009</t>
  </si>
  <si>
    <t>323.02</t>
  </si>
  <si>
    <t>9,257,466.63</t>
  </si>
  <si>
    <t>1130</t>
  </si>
  <si>
    <t>PHUB520503619</t>
  </si>
  <si>
    <t>B/O_1/GOVERMEN_DUIB_520503619_5030009</t>
  </si>
  <si>
    <t>7,166.00</t>
  </si>
  <si>
    <t>9,264,632.63</t>
  </si>
  <si>
    <t>1131</t>
  </si>
  <si>
    <t>2508060829127904</t>
  </si>
  <si>
    <t>Musaffah Shabiya AUH, 05TH AUG - Cash Collection TG</t>
  </si>
  <si>
    <t>9,474,632.63</t>
  </si>
  <si>
    <t>1132</t>
  </si>
  <si>
    <t>2508060829128926</t>
  </si>
  <si>
    <t>Musaffah Saniya AUH, 05TH AUG - Cash Collection TG</t>
  </si>
  <si>
    <t>9,774,632.63</t>
  </si>
  <si>
    <t>1133</t>
  </si>
  <si>
    <t>2508060829128933</t>
  </si>
  <si>
    <t>Baniyas AUH, 05TH AUG - Cash Collection TG</t>
  </si>
  <si>
    <t>10,424,632.63</t>
  </si>
  <si>
    <t>1134</t>
  </si>
  <si>
    <t>2508060829128937</t>
  </si>
  <si>
    <t>Old Shahama, 05TH AUG - Cash Collection TG</t>
  </si>
  <si>
    <t>10,694,632.63</t>
  </si>
  <si>
    <t>1135</t>
  </si>
  <si>
    <t>2508060829128951</t>
  </si>
  <si>
    <t>Al Forshan Central Mall Khalifa City AUH, 05TH AUG - Cash Collection TG</t>
  </si>
  <si>
    <t>420,000.00</t>
  </si>
  <si>
    <t>11,114,632.63</t>
  </si>
  <si>
    <t>1136</t>
  </si>
  <si>
    <t>2508060829128957</t>
  </si>
  <si>
    <t>Shamkha Mall Abu dhabi, 05TH AUG - Cash Collection TG</t>
  </si>
  <si>
    <t>11,454,632.63</t>
  </si>
  <si>
    <t>1137</t>
  </si>
  <si>
    <t>2508060829128979</t>
  </si>
  <si>
    <t>ICAD Musaffah AUH, 05TH AUG - Cash Collection TG</t>
  </si>
  <si>
    <t>11,854,632.63</t>
  </si>
  <si>
    <t>1138</t>
  </si>
  <si>
    <t>2508060829149299</t>
  </si>
  <si>
    <t>Sila Muroor Road AUH, 05TH AUG - Cash Collection TG</t>
  </si>
  <si>
    <t>12,324,632.63</t>
  </si>
  <si>
    <t>1139</t>
  </si>
  <si>
    <t>2508060829149303</t>
  </si>
  <si>
    <t>SANAYA ZAYED TOWN W/R, 05TH AUG - Cash Collection TG</t>
  </si>
  <si>
    <t>12,634,632.63</t>
  </si>
  <si>
    <t>1140</t>
  </si>
  <si>
    <t>2508060829149306</t>
  </si>
  <si>
    <t>Ruwais AUH, 05TH AUG - Cash Collection TG</t>
  </si>
  <si>
    <t>12,884,632.63</t>
  </si>
  <si>
    <t>1141</t>
  </si>
  <si>
    <t>2508060829149313</t>
  </si>
  <si>
    <t>HAYER Al Ain1, 05TH AUG - Cash Collection TG</t>
  </si>
  <si>
    <t>13,384,632.63</t>
  </si>
  <si>
    <t>1142</t>
  </si>
  <si>
    <t>2508060829149323</t>
  </si>
  <si>
    <t>SWEIHAN  ALAIN, 05TH AUG - Cash Collection TG</t>
  </si>
  <si>
    <t>13,684,632.63</t>
  </si>
  <si>
    <t>1143</t>
  </si>
  <si>
    <t>2508060829149326</t>
  </si>
  <si>
    <t>AL FOAH MALL AL-AIN, 05TH AUG - Cash Collection TG</t>
  </si>
  <si>
    <t>13,994,632.63</t>
  </si>
  <si>
    <t>1144</t>
  </si>
  <si>
    <t>2508060829149333</t>
  </si>
  <si>
    <t>Gayathi Mubarak Ashwan AUH, 05TH AUG - Cash Collection TG</t>
  </si>
  <si>
    <t>14,194,632.63</t>
  </si>
  <si>
    <t>1145</t>
  </si>
  <si>
    <t>2508060829149337</t>
  </si>
  <si>
    <t>AL MARFA MARKET WR, 05TH AUG - Cash Collection TG</t>
  </si>
  <si>
    <t>14,394,632.63</t>
  </si>
  <si>
    <t>1146</t>
  </si>
  <si>
    <t>2508060829149340</t>
  </si>
  <si>
    <t>Sanaiya Gift Markete Al Ain, 05TH AUG - Cash Collection TG</t>
  </si>
  <si>
    <t>14,664,632.63</t>
  </si>
  <si>
    <t>1147</t>
  </si>
  <si>
    <t>2508060829149343</t>
  </si>
  <si>
    <t>Al Yahar Al Ain, 05TH AUG - Cash Collection TG</t>
  </si>
  <si>
    <t>780,000.00</t>
  </si>
  <si>
    <t>15,444,632.63</t>
  </si>
  <si>
    <t>1148</t>
  </si>
  <si>
    <t>2508060829149346</t>
  </si>
  <si>
    <t>AL FARDAN EXCH DEREI BLDNG AL QUAA AA, 05TH AUG - Cash Collection TG</t>
  </si>
  <si>
    <t>15,704,632.63</t>
  </si>
  <si>
    <t>1149</t>
  </si>
  <si>
    <t>2508060829149354</t>
  </si>
  <si>
    <t>Boutik Mall al Reem island AUH, 05TH AUG - Cash Collection TG</t>
  </si>
  <si>
    <t>15,804,632.63</t>
  </si>
  <si>
    <t>1150</t>
  </si>
  <si>
    <t>2508060829149362</t>
  </si>
  <si>
    <t>TCA AUH, 05TH AUG - Cash Collection TG</t>
  </si>
  <si>
    <t>16,134,632.63</t>
  </si>
  <si>
    <t>1151</t>
  </si>
  <si>
    <t>2508060829149375</t>
  </si>
  <si>
    <t>Al Nahyan Street AUH, 05TH AUG - Cash Collection TG</t>
  </si>
  <si>
    <t>16,354,632.63</t>
  </si>
  <si>
    <t>1152</t>
  </si>
  <si>
    <t>2508060829149381</t>
  </si>
  <si>
    <t>B2B AUH, 05TH AUG - Cash Collection TG</t>
  </si>
  <si>
    <t>16,754,632.63</t>
  </si>
  <si>
    <t>1153</t>
  </si>
  <si>
    <t>2508060829159384</t>
  </si>
  <si>
    <t>Al Falah St Auh, 05TH AUG - Cash Collection TG</t>
  </si>
  <si>
    <t>16,884,632.63</t>
  </si>
  <si>
    <t>1154</t>
  </si>
  <si>
    <t>2508060829159389</t>
  </si>
  <si>
    <t>Al Wahda AUH, 05TH AUG - Cash Collection TG</t>
  </si>
  <si>
    <t>17,454,632.63</t>
  </si>
  <si>
    <t>1155</t>
  </si>
  <si>
    <t>2508060829159912</t>
  </si>
  <si>
    <t>Zayed 1st Street Electra AUH, 05TH AUG - Cash Collection TG</t>
  </si>
  <si>
    <t>17,634,632.63</t>
  </si>
  <si>
    <t>1156</t>
  </si>
  <si>
    <t>2508060829159918</t>
  </si>
  <si>
    <t>Hamdan Abu Dhabi, 05TH AUG - Cash Collection TG</t>
  </si>
  <si>
    <t>770,000.00</t>
  </si>
  <si>
    <t>18,404,632.63</t>
  </si>
  <si>
    <t>1157</t>
  </si>
  <si>
    <t>2508060829159921</t>
  </si>
  <si>
    <t>Bin Dhgher Tower Khalidya AUH, 05TH AUG - Cash Collection TG</t>
  </si>
  <si>
    <t>1,350,000.00</t>
  </si>
  <si>
    <t>19,754,632.63</t>
  </si>
  <si>
    <t>1158</t>
  </si>
  <si>
    <t>2508060829159940</t>
  </si>
  <si>
    <t>Al Dhafra AUH, 05TH AUG - Cash Collection TG</t>
  </si>
  <si>
    <t>212,000.00</t>
  </si>
  <si>
    <t>19,966,632.63</t>
  </si>
  <si>
    <t>1159</t>
  </si>
  <si>
    <t>2508060829159943</t>
  </si>
  <si>
    <t>Souk Br Al-Ain, 05TH AUG - Cash Collection TG</t>
  </si>
  <si>
    <t>20,266,632.63</t>
  </si>
  <si>
    <t>1160</t>
  </si>
  <si>
    <t>2508060829159946</t>
  </si>
  <si>
    <t>Al Ain (Clock Tower)1, 05TH AUG - Cash Collection TG</t>
  </si>
  <si>
    <t>20,766,632.63</t>
  </si>
  <si>
    <t>1161</t>
  </si>
  <si>
    <t>2508060829180305</t>
  </si>
  <si>
    <t>SAFYIA BUILDING HOR AL ANZ, 05TH AUG - Cash Collection TG</t>
  </si>
  <si>
    <t>21,376,632.63</t>
  </si>
  <si>
    <t>1162</t>
  </si>
  <si>
    <t>2508060829180308</t>
  </si>
  <si>
    <t>NESTO HYPRMRKT AJM, 05TH AUG - Cash Collection TG</t>
  </si>
  <si>
    <t>21,796,632.63</t>
  </si>
  <si>
    <t>1163</t>
  </si>
  <si>
    <t>2508060829180317</t>
  </si>
  <si>
    <t>GOLDLAND BRANCH DXB, 05TH AUG - Cash Collection TG</t>
  </si>
  <si>
    <t>22,746,632.63</t>
  </si>
  <si>
    <t>1164</t>
  </si>
  <si>
    <t>2508060829180328</t>
  </si>
  <si>
    <t>CITY CENTER AL ZAHIA SHJ, 05TH AUG - Cash Collection TG</t>
  </si>
  <si>
    <t>700,000.00</t>
  </si>
  <si>
    <t>23,446,632.63</t>
  </si>
  <si>
    <t>1165</t>
  </si>
  <si>
    <t>2508060829180331</t>
  </si>
  <si>
    <t>DUBAI HILLS ESTATE DUBAI, 05TH AUG - Cash Collection TG</t>
  </si>
  <si>
    <t>24,546,632.63</t>
  </si>
  <si>
    <t>1166</t>
  </si>
  <si>
    <t>2508060829180334</t>
  </si>
  <si>
    <t>NAIF RD, 05TH AUG - Cash Collection TG</t>
  </si>
  <si>
    <t>472,500.00</t>
  </si>
  <si>
    <t>25,019,132.63</t>
  </si>
  <si>
    <t>1167</t>
  </si>
  <si>
    <t>2508060829180337</t>
  </si>
  <si>
    <t>MUWEILAH SHJ, 05TH AUG - Cash Collection TG</t>
  </si>
  <si>
    <t>25,409,132.63</t>
  </si>
  <si>
    <t>1168</t>
  </si>
  <si>
    <t>2508060829180340</t>
  </si>
  <si>
    <t>MEGA MALL SHARJAH BR 1, 05TH AUG - Cash Collection TG</t>
  </si>
  <si>
    <t>25,729,132.63</t>
  </si>
  <si>
    <t>1169</t>
  </si>
  <si>
    <t>2508060829180343</t>
  </si>
  <si>
    <t>UAQ, 05TH AUG - Cash Collection TG</t>
  </si>
  <si>
    <t>185,000.00</t>
  </si>
  <si>
    <t>25,914,132.63</t>
  </si>
  <si>
    <t>1170</t>
  </si>
  <si>
    <t>2508060829180362</t>
  </si>
  <si>
    <t>AL RIGGA METRO STION DXB, 05TH AUG - Cash Collection TG</t>
  </si>
  <si>
    <t>26,194,132.63</t>
  </si>
  <si>
    <t>1171</t>
  </si>
  <si>
    <t>2508060829180365</t>
  </si>
  <si>
    <t>CLOCK TOWER 1, 05TH AUG - Cash Collection TG</t>
  </si>
  <si>
    <t>26,694,132.63</t>
  </si>
  <si>
    <t>1172</t>
  </si>
  <si>
    <t>2508060829180368</t>
  </si>
  <si>
    <t>DMALL LG CSK53 TAXI AREA, 05TH AUG - Cash Collection TG</t>
  </si>
  <si>
    <t>27,094,132.63</t>
  </si>
  <si>
    <t>1173</t>
  </si>
  <si>
    <t>2508060829180371</t>
  </si>
  <si>
    <t>AL MINA NESTO BR DXB, 05TH AUG - Cash Collection TG</t>
  </si>
  <si>
    <t>27,444,132.63</t>
  </si>
  <si>
    <t>1174</t>
  </si>
  <si>
    <t>2508060829180390</t>
  </si>
  <si>
    <t>CO OP SOCIETY SHJ 1, 05TH AUG - Cash Collection TG</t>
  </si>
  <si>
    <t>180,095.00</t>
  </si>
  <si>
    <t>27,624,227.63</t>
  </si>
  <si>
    <t>1175</t>
  </si>
  <si>
    <t>2508060829190393</t>
  </si>
  <si>
    <t>KHAN SAHIB BLDG SHJ, 05TH AUG - Cash Collection TG</t>
  </si>
  <si>
    <t>27,974,227.63</t>
  </si>
  <si>
    <t>1176</t>
  </si>
  <si>
    <t>2508060829190396</t>
  </si>
  <si>
    <t>DEIRA 1, 05TH AUG - Cash Collection TG</t>
  </si>
  <si>
    <t>28,424,227.63</t>
  </si>
  <si>
    <t>1177</t>
  </si>
  <si>
    <t>2508060829190399</t>
  </si>
  <si>
    <t>SATWA 1, 05TH AUG - Cash Collection TG</t>
  </si>
  <si>
    <t>28,694,227.63</t>
  </si>
  <si>
    <t>1178</t>
  </si>
  <si>
    <t>2508060829190402</t>
  </si>
  <si>
    <t>AL NHDA RES TWRS  SHJ, 05TH AUG - Cash Collection TG</t>
  </si>
  <si>
    <t>29,144,227.63</t>
  </si>
  <si>
    <t>1179</t>
  </si>
  <si>
    <t>2508060829190405</t>
  </si>
  <si>
    <t>AL MADAM SHJ, 05TH AUG - Cash Collection TG</t>
  </si>
  <si>
    <t>370,055.00</t>
  </si>
  <si>
    <t>29,514,282.63</t>
  </si>
  <si>
    <t>1180</t>
  </si>
  <si>
    <t>2508060829190914</t>
  </si>
  <si>
    <t>SAJA INDUSTRIAL SHJ 2, 05TH AUG - Cash Collection TG</t>
  </si>
  <si>
    <t>29,714,282.63</t>
  </si>
  <si>
    <t>1181</t>
  </si>
  <si>
    <t>2508060829190923</t>
  </si>
  <si>
    <t>IND AREA 3 SHJ, 05TH AUG - Cash Collection TG</t>
  </si>
  <si>
    <t>29,844,282.63</t>
  </si>
  <si>
    <t>1182</t>
  </si>
  <si>
    <t>2508060829190938</t>
  </si>
  <si>
    <t>KARAMA DUBAI, 05TH AUG - Cash Collection TG</t>
  </si>
  <si>
    <t>30,144,282.63</t>
  </si>
  <si>
    <t>1183</t>
  </si>
  <si>
    <t>001953</t>
  </si>
  <si>
    <t>46,383.33</t>
  </si>
  <si>
    <t>30,097,899.30</t>
  </si>
  <si>
    <t>1184</t>
  </si>
  <si>
    <t>PHUB520516636</t>
  </si>
  <si>
    <t>520516636 B/O AMNA MOHAMED HASAN</t>
  </si>
  <si>
    <t>119.00</t>
  </si>
  <si>
    <t>30,098,018.30</t>
  </si>
  <si>
    <t>1185</t>
  </si>
  <si>
    <t>PHUB520518399</t>
  </si>
  <si>
    <t>B/O_LLC NAJIMAT AL I_520518399</t>
  </si>
  <si>
    <t>21,522.00</t>
  </si>
  <si>
    <t>30,119,540.30</t>
  </si>
  <si>
    <t>1186</t>
  </si>
  <si>
    <t>001952</t>
  </si>
  <si>
    <t>6,957.50</t>
  </si>
  <si>
    <t>30,112,582.80</t>
  </si>
  <si>
    <t>1187</t>
  </si>
  <si>
    <t>PHUB520524566</t>
  </si>
  <si>
    <t>B/O_RAMESH OR _HSBC_520524566_AEV0608</t>
  </si>
  <si>
    <t>83,837.00</t>
  </si>
  <si>
    <t>30,196,419.80</t>
  </si>
  <si>
    <t>1188</t>
  </si>
  <si>
    <t>PHUB520524823</t>
  </si>
  <si>
    <t>B/O_SURESH KUMAR ANB_520524823</t>
  </si>
  <si>
    <t>3,825.00</t>
  </si>
  <si>
    <t>30,200,244.80</t>
  </si>
  <si>
    <t>1189</t>
  </si>
  <si>
    <t>PHUB520526521</t>
  </si>
  <si>
    <t>B/O_NEOTECHNIQ PROJE_520526521</t>
  </si>
  <si>
    <t>23,737.25</t>
  </si>
  <si>
    <t>30,223,982.05</t>
  </si>
  <si>
    <t>1190</t>
  </si>
  <si>
    <t>PHUB520526754</t>
  </si>
  <si>
    <t>B/O_A/C. 19369_ADIB_520526754_Financi</t>
  </si>
  <si>
    <t>97,530.96</t>
  </si>
  <si>
    <t>30,321,513.01</t>
  </si>
  <si>
    <t>1191</t>
  </si>
  <si>
    <t>50803311633</t>
  </si>
  <si>
    <t>25887886677 MBTRF B/O AL ARFEEN HEAVY EQUIP RNTAL TR LLC</t>
  </si>
  <si>
    <t>30,421,513.01</t>
  </si>
  <si>
    <t>1192</t>
  </si>
  <si>
    <t>50803354385</t>
  </si>
  <si>
    <t>25887923142 MBTRF B/O AL ARFEEN HEAVY EQUIP RNTAL TR LLC</t>
  </si>
  <si>
    <t>63,553.00</t>
  </si>
  <si>
    <t>30,485,066.01</t>
  </si>
  <si>
    <t>1193</t>
  </si>
  <si>
    <t>166,811.00</t>
  </si>
  <si>
    <t>30,651,877.01</t>
  </si>
  <si>
    <t>1194</t>
  </si>
  <si>
    <t>PYT TO CARPTRAC FIJI</t>
  </si>
  <si>
    <t>165,350.00</t>
  </si>
  <si>
    <t>30,817,227.01</t>
  </si>
  <si>
    <t>1195</t>
  </si>
  <si>
    <t>PHUB520535133</t>
  </si>
  <si>
    <t>REF5620310201279</t>
  </si>
  <si>
    <t>B/O I G S FOUNDATION CONTRACTING LLC</t>
  </si>
  <si>
    <t>28,756.08</t>
  </si>
  <si>
    <t>30,845,983.09</t>
  </si>
  <si>
    <t>1196</t>
  </si>
  <si>
    <t>80,006.30</t>
  </si>
  <si>
    <t>30,925,989.39</t>
  </si>
  <si>
    <t>1197</t>
  </si>
  <si>
    <t>PHUB520560110</t>
  </si>
  <si>
    <t>B/O_ALI MOHAMED IBRA_520560110</t>
  </si>
  <si>
    <t>30,940,989.39</t>
  </si>
  <si>
    <t>1198</t>
  </si>
  <si>
    <t>50804492291</t>
  </si>
  <si>
    <t>25889021034 MBTRF B/O SUSAN GEORGE</t>
  </si>
  <si>
    <t>48,120.00</t>
  </si>
  <si>
    <t>30,989,109.39</t>
  </si>
  <si>
    <t>1199</t>
  </si>
  <si>
    <t>50804759894</t>
  </si>
  <si>
    <t>25889277686 MBTRF B/O SALEM ABDULQADER A ALKATHEERI</t>
  </si>
  <si>
    <t>203,716.00</t>
  </si>
  <si>
    <t>31,192,825.39</t>
  </si>
  <si>
    <t>1200</t>
  </si>
  <si>
    <t>50804926248</t>
  </si>
  <si>
    <t>2534689165 IBTRF B/O ABU FAISAL AUTO MOTIVE PARTS LLC</t>
  </si>
  <si>
    <t>7,410.50</t>
  </si>
  <si>
    <t>31,200,235.89</t>
  </si>
  <si>
    <t>1201</t>
  </si>
  <si>
    <t>PHUB520577136</t>
  </si>
  <si>
    <t>B/O_ALZEE STAR_BOML_520577136_ ADMIN</t>
  </si>
  <si>
    <t>10,300.00</t>
  </si>
  <si>
    <t>31,210,535.89</t>
  </si>
  <si>
    <t>1202</t>
  </si>
  <si>
    <t>228,443.20</t>
  </si>
  <si>
    <t>31,438,979.09</t>
  </si>
  <si>
    <t>1203</t>
  </si>
  <si>
    <t>PHUB520597395</t>
  </si>
  <si>
    <t>SOTRANS INV PAYMENT</t>
  </si>
  <si>
    <t>13,523.25</t>
  </si>
  <si>
    <t>31,452,502.34</t>
  </si>
  <si>
    <t>1204</t>
  </si>
  <si>
    <t>50805366542</t>
  </si>
  <si>
    <t>25889852631 MBTRF B/O SHABEEB REFINE</t>
  </si>
  <si>
    <t>31,557,659.34</t>
  </si>
  <si>
    <t>1205</t>
  </si>
  <si>
    <t>B/O_FUJAIRAH M_NBFU_520600891_PAYMENT</t>
  </si>
  <si>
    <t>105,713.75</t>
  </si>
  <si>
    <t>31,663,373.09</t>
  </si>
  <si>
    <t>1206</t>
  </si>
  <si>
    <t>PHUB520604388</t>
  </si>
  <si>
    <t>B/O_FLASH CLOU_NBSH_520604388_STAFF S</t>
  </si>
  <si>
    <t>52,807.85</t>
  </si>
  <si>
    <t>31,716,180.94</t>
  </si>
  <si>
    <t>1207</t>
  </si>
  <si>
    <t>PHUB520604424</t>
  </si>
  <si>
    <t>520604424 B/O LUKMAN VADAKKE PUTHIYA PURAYIL KALATHIL</t>
  </si>
  <si>
    <t>49,950.00</t>
  </si>
  <si>
    <t>31,766,130.94</t>
  </si>
  <si>
    <t>1208</t>
  </si>
  <si>
    <t>50805690827</t>
  </si>
  <si>
    <t>2534721235 IBTRF B/O POWER TECH INTERNATIONAL TR LLC</t>
  </si>
  <si>
    <t>64,656.95</t>
  </si>
  <si>
    <t>31,830,787.89</t>
  </si>
  <si>
    <t>1209</t>
  </si>
  <si>
    <t>PHUB520607159</t>
  </si>
  <si>
    <t>ANAS LEAVE SAL</t>
  </si>
  <si>
    <t>4,500.50</t>
  </si>
  <si>
    <t>31,835,288.39</t>
  </si>
  <si>
    <t>1210</t>
  </si>
  <si>
    <t>3,792,271.05</t>
  </si>
  <si>
    <t>35,627,559.44</t>
  </si>
  <si>
    <t>1211</t>
  </si>
  <si>
    <t>50806391674</t>
  </si>
  <si>
    <t>2534749309 IBTRF B/O NATIONAL FLOWERS LLC SPC</t>
  </si>
  <si>
    <t>30,483.24</t>
  </si>
  <si>
    <t>35,658,042.68</t>
  </si>
  <si>
    <t>1212</t>
  </si>
  <si>
    <t>PHUB520619299</t>
  </si>
  <si>
    <t>EOS EX0137</t>
  </si>
  <si>
    <t>O/W TRF 520619299</t>
  </si>
  <si>
    <t>394,275.00</t>
  </si>
  <si>
    <t>35,263,767.68</t>
  </si>
  <si>
    <t>1213</t>
  </si>
  <si>
    <t>CHCB520619299</t>
  </si>
  <si>
    <t>O/W PROCESSING CHARGE 520619299</t>
  </si>
  <si>
    <t>35,263,751.93</t>
  </si>
  <si>
    <t>1214</t>
  </si>
  <si>
    <t>CHRG520619299</t>
  </si>
  <si>
    <t>O/W CORR BK CHARGE 520619299</t>
  </si>
  <si>
    <t>1.05</t>
  </si>
  <si>
    <t>35,263,750.88</t>
  </si>
  <si>
    <t>1215</t>
  </si>
  <si>
    <t>PHUB520630032</t>
  </si>
  <si>
    <t>MOB0608251142078011934</t>
  </si>
  <si>
    <t>B/O YARAVA TRAVEL AND TOURISM LLC</t>
  </si>
  <si>
    <t>35,303,750.88</t>
  </si>
  <si>
    <t>1216</t>
  </si>
  <si>
    <t>PHUB520624756</t>
  </si>
  <si>
    <t>520624756 B/O FURQAN HUSAIN BEG</t>
  </si>
  <si>
    <t>16,164.50</t>
  </si>
  <si>
    <t>35,319,915.38</t>
  </si>
  <si>
    <t>1217</t>
  </si>
  <si>
    <t>06082510</t>
  </si>
  <si>
    <t>4,886,750.00</t>
  </si>
  <si>
    <t>40,206,665.38</t>
  </si>
  <si>
    <t>1218</t>
  </si>
  <si>
    <t>000251</t>
  </si>
  <si>
    <t>INHOUSE CHEQUE DEPOSIT 000251 MUHAMMAD AKRAM NAZAR   MUHAMMAD AL FARDAN EXCHANGE SP LLC CHQ NO ::000251</t>
  </si>
  <si>
    <t>40,215,165.38</t>
  </si>
  <si>
    <t>1219</t>
  </si>
  <si>
    <t>50806813440</t>
  </si>
  <si>
    <t>2534765591 IBTRF B/O CORNER STONE ADV AND PUB LLC SP</t>
  </si>
  <si>
    <t>3,026.25</t>
  </si>
  <si>
    <t>40,218,191.63</t>
  </si>
  <si>
    <t>1220</t>
  </si>
  <si>
    <t>PHUB520626544</t>
  </si>
  <si>
    <t>B/O_AL FARDAN _EBIL_520626544_ADCBAUH</t>
  </si>
  <si>
    <t>20,000,000.00</t>
  </si>
  <si>
    <t>60,218,191.63</t>
  </si>
  <si>
    <t>1221</t>
  </si>
  <si>
    <t>333,897.62</t>
  </si>
  <si>
    <t>60,552,089.25</t>
  </si>
  <si>
    <t>1222</t>
  </si>
  <si>
    <t>50807111391</t>
  </si>
  <si>
    <t>25891539322 MBTRF B/O KALYANA SUNDARAM &amp;OR SELVAKUMARI S</t>
  </si>
  <si>
    <t>153,775.32</t>
  </si>
  <si>
    <t>60,705,864.57</t>
  </si>
  <si>
    <t>1223</t>
  </si>
  <si>
    <t>PHUB520637784</t>
  </si>
  <si>
    <t>B/O_SOLE PROPR_ADIB_520637784_BUYMATR</t>
  </si>
  <si>
    <t>60,845,864.57</t>
  </si>
  <si>
    <t>1224</t>
  </si>
  <si>
    <t>INHOUSE CHEQUE DEPOSIT 000043 ABHIJITH SUNIL SUNIL   CHAKRAPANI AL FARDAN EXCHANGE SP LLC CHQ NO ::000043</t>
  </si>
  <si>
    <t>93,765.00</t>
  </si>
  <si>
    <t>60,939,629.57</t>
  </si>
  <si>
    <t>1225</t>
  </si>
  <si>
    <t>PHUB520648520</t>
  </si>
  <si>
    <t>520648520 B/O RUKN AL TALEEM SCHOOL FUR.TR LLC</t>
  </si>
  <si>
    <t>26,667.61</t>
  </si>
  <si>
    <t>60,966,297.18</t>
  </si>
  <si>
    <t>1226</t>
  </si>
  <si>
    <t>PHUB520644587</t>
  </si>
  <si>
    <t>B/O_HUSAM ZAKA_ADIB_520644587_Constru</t>
  </si>
  <si>
    <t>61,966,297.18</t>
  </si>
  <si>
    <t>1227</t>
  </si>
  <si>
    <t>PHUB520654015</t>
  </si>
  <si>
    <t>B/O_ENLITE TEC_BOML_520654015_ PAYMEN</t>
  </si>
  <si>
    <t>29,211.00</t>
  </si>
  <si>
    <t>61,995,508.18</t>
  </si>
  <si>
    <t>1228</t>
  </si>
  <si>
    <t>PHUB520654397</t>
  </si>
  <si>
    <t>B/O_SHAMSAN TR_BOML_520654397_ COMMIS</t>
  </si>
  <si>
    <t>94,091.00</t>
  </si>
  <si>
    <t>62,089,599.18</t>
  </si>
  <si>
    <t>1229</t>
  </si>
  <si>
    <t>PHUB520654663</t>
  </si>
  <si>
    <t>520654663 B/O SAHAR FATHI MOHAMED</t>
  </si>
  <si>
    <t>62,094,599.18</t>
  </si>
  <si>
    <t>1230</t>
  </si>
  <si>
    <t>16,533.60</t>
  </si>
  <si>
    <t>62,111,132.78</t>
  </si>
  <si>
    <t>1231</t>
  </si>
  <si>
    <t>5,472.30</t>
  </si>
  <si>
    <t>62,116,605.08</t>
  </si>
  <si>
    <t>1232</t>
  </si>
  <si>
    <t>6,806.30</t>
  </si>
  <si>
    <t>62,123,411.38</t>
  </si>
  <si>
    <t>1233</t>
  </si>
  <si>
    <t>PHUB520655373</t>
  </si>
  <si>
    <t>B/O_ENLITE TEC_BOML_520655373_ PAYMEN</t>
  </si>
  <si>
    <t>117,546.50</t>
  </si>
  <si>
    <t>62,240,957.88</t>
  </si>
  <si>
    <t>1234</t>
  </si>
  <si>
    <t>50808242672</t>
  </si>
  <si>
    <t>25892626658 MBTRF B/O MUHAMMAD AHSAN AKHTAR</t>
  </si>
  <si>
    <t>14,453.12</t>
  </si>
  <si>
    <t>62,255,411.00</t>
  </si>
  <si>
    <t>1235</t>
  </si>
  <si>
    <t>000115</t>
  </si>
  <si>
    <t>INHOUSE CHEQUE DEPOSIT 000115 MUHAMMAD AKRAM NAZAR   MUHAMMAD AL FARDAN EXCHANGE SP LLC CHQ NO ::000115</t>
  </si>
  <si>
    <t>62,415,411.00</t>
  </si>
  <si>
    <t>1236</t>
  </si>
  <si>
    <t>26,000.00</t>
  </si>
  <si>
    <t>62,441,411.00</t>
  </si>
  <si>
    <t>1237</t>
  </si>
  <si>
    <t>006849</t>
  </si>
  <si>
    <t>INHOUSE CHEQUE DEPOSIT 006849 VIPIN,MEERANTHODI,VIJAYAN,,,MEERANTHODI, AL FARDAN EXCHANGE SP LLC CHQ NO ::006849</t>
  </si>
  <si>
    <t>314,938.76</t>
  </si>
  <si>
    <t>62,756,349.76</t>
  </si>
  <si>
    <t>1238</t>
  </si>
  <si>
    <t>50808647794</t>
  </si>
  <si>
    <t>25893021304 MBTRF B/O EMAD MAMOUN IBRAHIM SULIEMAN</t>
  </si>
  <si>
    <t>62,774,780.26</t>
  </si>
  <si>
    <t>1239</t>
  </si>
  <si>
    <t>PHUB520666477</t>
  </si>
  <si>
    <t>WPS</t>
  </si>
  <si>
    <t>B/O ZIFFY MARKETING MANAGEMENT LLC</t>
  </si>
  <si>
    <t>143,148.75</t>
  </si>
  <si>
    <t>62,917,929.01</t>
  </si>
  <si>
    <t>1240</t>
  </si>
  <si>
    <t>4,725.00</t>
  </si>
  <si>
    <t>62,922,654.01</t>
  </si>
  <si>
    <t>1241</t>
  </si>
  <si>
    <t>PHUB520670344</t>
  </si>
  <si>
    <t>IMD 06082025</t>
  </si>
  <si>
    <t>60,757,166.64</t>
  </si>
  <si>
    <t>2,165,487.37</t>
  </si>
  <si>
    <t>1242</t>
  </si>
  <si>
    <t>003437</t>
  </si>
  <si>
    <t>INHOUSE CHEQUE DEPOSIT 003437 BASHEER PULIKKAL    IBRAHIM AL FARDAN EXCHANGE SP LLC CHQ NO ::003437</t>
  </si>
  <si>
    <t>102,960.00</t>
  </si>
  <si>
    <t>2,268,447.37</t>
  </si>
  <si>
    <t>1243</t>
  </si>
  <si>
    <t>INHOUSE CHEQUE DEPOSIT 000088 BASHEER PULIKKAL    IBRAHIM AL FARDAN EXCHANGE SP LLC CHQ NO ::000088</t>
  </si>
  <si>
    <t>367,455.00</t>
  </si>
  <si>
    <t>2,635,902.37</t>
  </si>
  <si>
    <t>1244</t>
  </si>
  <si>
    <t>50809186509</t>
  </si>
  <si>
    <t>25893544541 MBTRF B/O THAYANKERIL PAULOSE RANJIT</t>
  </si>
  <si>
    <t>903.34</t>
  </si>
  <si>
    <t>2,636,805.71</t>
  </si>
  <si>
    <t>1245</t>
  </si>
  <si>
    <t>PHUB520675608</t>
  </si>
  <si>
    <t>CA 06082025</t>
  </si>
  <si>
    <t>28,000,000.00</t>
  </si>
  <si>
    <t>30,636,805.71</t>
  </si>
  <si>
    <t>1246</t>
  </si>
  <si>
    <t>000114</t>
  </si>
  <si>
    <t>INHOUSE CHEQUE DEPOSIT 000114 MUHAMMAD AKRAM NAZAR   MUHAMMAD AL FARDAN EXCHANGE SP LLC CHQ NO ::000114</t>
  </si>
  <si>
    <t>30,688,805.71</t>
  </si>
  <si>
    <t>1247</t>
  </si>
  <si>
    <t>PHUB520677448</t>
  </si>
  <si>
    <t>15713100001485</t>
  </si>
  <si>
    <t>526.25</t>
  </si>
  <si>
    <t>30,689,331.96</t>
  </si>
  <si>
    <t>1248</t>
  </si>
  <si>
    <t>50809413963</t>
  </si>
  <si>
    <t>2534858773 IBTRF B/O MUDIT GUPTA</t>
  </si>
  <si>
    <t>12,423.00</t>
  </si>
  <si>
    <t>30,701,754.96</t>
  </si>
  <si>
    <t>1249</t>
  </si>
  <si>
    <t>520681451 B/O SUDIP GIRI</t>
  </si>
  <si>
    <t>30,703,254.96</t>
  </si>
  <si>
    <t>1250</t>
  </si>
  <si>
    <t>004529</t>
  </si>
  <si>
    <t>INHOUSE CHEQUE DEPOSIT 004529 SREEKESH MADATHIL     BALAKRISHNAN AL FARDAN EXCHANGE SP LLC CHQ NO ::004529</t>
  </si>
  <si>
    <t>137,491.32</t>
  </si>
  <si>
    <t>30,840,746.28</t>
  </si>
  <si>
    <t>1251</t>
  </si>
  <si>
    <t>PHUB520685554</t>
  </si>
  <si>
    <t>9,880.85</t>
  </si>
  <si>
    <t>30,850,627.13</t>
  </si>
  <si>
    <t>1252</t>
  </si>
  <si>
    <t>PHUB520686113</t>
  </si>
  <si>
    <t>520686113 B/O AHMED REFAT KHALIFA SHEREF</t>
  </si>
  <si>
    <t>30,880,627.13</t>
  </si>
  <si>
    <t>1253</t>
  </si>
  <si>
    <t>PHUB520687885</t>
  </si>
  <si>
    <t>PI 250619001</t>
  </si>
  <si>
    <t>B/O MEDINOVA MEDICAL SUPPLIES S.PRO.LLC</t>
  </si>
  <si>
    <t>11,752.25</t>
  </si>
  <si>
    <t>30,892,379.38</t>
  </si>
  <si>
    <t>1254</t>
  </si>
  <si>
    <t>000086</t>
  </si>
  <si>
    <t>INHOUSE CHEQUE DEPOSIT 000086 BASHEER PULIKKAL    IBRAHIM AL FARDAN EXCHANGE SP LLC CHQ NO ::000086</t>
  </si>
  <si>
    <t>630,026.50</t>
  </si>
  <si>
    <t>31,522,405.88</t>
  </si>
  <si>
    <t>1255</t>
  </si>
  <si>
    <t>13,700.00</t>
  </si>
  <si>
    <t>31,536,105.88</t>
  </si>
  <si>
    <t>1256</t>
  </si>
  <si>
    <t>50,861.50</t>
  </si>
  <si>
    <t>31,586,967.38</t>
  </si>
  <si>
    <t>1257</t>
  </si>
  <si>
    <t>PHUB520698857</t>
  </si>
  <si>
    <t>USD BUY 06082025</t>
  </si>
  <si>
    <t>37,834,990.00</t>
  </si>
  <si>
    <t>-6,248,022.62</t>
  </si>
  <si>
    <t>1258</t>
  </si>
  <si>
    <t>EMC24621012</t>
  </si>
  <si>
    <t>TRF TO EMIRATES GENERAL PETROLEUM CORP</t>
  </si>
  <si>
    <t>4,975.79</t>
  </si>
  <si>
    <t>-6,252,998.41</t>
  </si>
  <si>
    <t>1259</t>
  </si>
  <si>
    <t>626.25</t>
  </si>
  <si>
    <t>-6,252,372.16</t>
  </si>
  <si>
    <t>1260</t>
  </si>
  <si>
    <t>INHOUSE CHEQUE DEPOSIT 000097 MUHAMMAD ABID     MUHAMMAD ZAREEN AL FARDAN EXCHANGE SP LLC CHQ NO ::000097</t>
  </si>
  <si>
    <t>-4,252,372.16</t>
  </si>
  <si>
    <t>1261</t>
  </si>
  <si>
    <t>21,998.00</t>
  </si>
  <si>
    <t>-4,230,374.16</t>
  </si>
  <si>
    <t>1262</t>
  </si>
  <si>
    <t>CATALOG SEA FREIGHT</t>
  </si>
  <si>
    <t>B/O KAREL FREIGHT LLC</t>
  </si>
  <si>
    <t>4,653.00</t>
  </si>
  <si>
    <t>-4,225,721.16</t>
  </si>
  <si>
    <t>1263</t>
  </si>
  <si>
    <t>B/O_A/C. 19369_ADIB_520710651_Financi</t>
  </si>
  <si>
    <t>853,072.50</t>
  </si>
  <si>
    <t>-3,372,648.66</t>
  </si>
  <si>
    <t>1264</t>
  </si>
  <si>
    <t>000027</t>
  </si>
  <si>
    <t>INHOUSE CHEQUE DEPOSIT 000027 BASHEER PULIKKAL    IBRAHIM AL FARDAN EXCHANGE SP LLC CHQ NO ::000027</t>
  </si>
  <si>
    <t>33,569.50</t>
  </si>
  <si>
    <t>-3,339,079.16</t>
  </si>
  <si>
    <t>1265</t>
  </si>
  <si>
    <t>B/O_HOLIDAYS HOUSE F_520716517</t>
  </si>
  <si>
    <t>25,122.06</t>
  </si>
  <si>
    <t>-3,313,957.10</t>
  </si>
  <si>
    <t>1266</t>
  </si>
  <si>
    <t>50811587762</t>
  </si>
  <si>
    <t>25895931191 MBTRF B/O SAIFEE ALUMINIUM AND STEEL TRDG LLC</t>
  </si>
  <si>
    <t>39,403.03</t>
  </si>
  <si>
    <t>-3,274,554.07</t>
  </si>
  <si>
    <t>1267</t>
  </si>
  <si>
    <t>INHOUSE CHEQUE DEPOSIT 000065 ABHIJITH SUNIL SUNIL   CHAKRAPANI AL FARDAN EXCHANGE SP LLC CHQ NO ::000065</t>
  </si>
  <si>
    <t>-3,249,554.07</t>
  </si>
  <si>
    <t>1268</t>
  </si>
  <si>
    <t>PHUB520721229</t>
  </si>
  <si>
    <t>MOB0608251448448015623</t>
  </si>
  <si>
    <t>11,479.00</t>
  </si>
  <si>
    <t>-3,238,075.07</t>
  </si>
  <si>
    <t>1269</t>
  </si>
  <si>
    <t>PHUB520721550</t>
  </si>
  <si>
    <t>MOB0608251449318015653</t>
  </si>
  <si>
    <t>13,241.00</t>
  </si>
  <si>
    <t>-3,224,834.07</t>
  </si>
  <si>
    <t>1270</t>
  </si>
  <si>
    <t>PHUB520722355</t>
  </si>
  <si>
    <t>MOB0608251451238015681</t>
  </si>
  <si>
    <t>18,726.00</t>
  </si>
  <si>
    <t>-3,206,108.07</t>
  </si>
  <si>
    <t>1271</t>
  </si>
  <si>
    <t>50812001591</t>
  </si>
  <si>
    <t>25896343112 MBTRF B/O RANJEET KUMAR</t>
  </si>
  <si>
    <t>2,577.50</t>
  </si>
  <si>
    <t>-3,203,530.57</t>
  </si>
  <si>
    <t>1272</t>
  </si>
  <si>
    <t>PHUB520727325</t>
  </si>
  <si>
    <t>MOB0608251502368015881</t>
  </si>
  <si>
    <t>B/O GERMAN ENGINEERING CONSULTING</t>
  </si>
  <si>
    <t>25,563.00</t>
  </si>
  <si>
    <t>-3,177,967.57</t>
  </si>
  <si>
    <t>1273</t>
  </si>
  <si>
    <t>PHUB520728399</t>
  </si>
  <si>
    <t>MOB0608251505308015906</t>
  </si>
  <si>
    <t>2,420.00</t>
  </si>
  <si>
    <t>-3,175,547.57</t>
  </si>
  <si>
    <t>1274</t>
  </si>
  <si>
    <t>50812222265</t>
  </si>
  <si>
    <t>25896561300 MBTRF B/O SMAK HEALTHCARE SP LLC</t>
  </si>
  <si>
    <t>-3,145,547.57</t>
  </si>
  <si>
    <t>1275</t>
  </si>
  <si>
    <t>PHUB520728629</t>
  </si>
  <si>
    <t>MOB0608251506198015970</t>
  </si>
  <si>
    <t>17,903.00</t>
  </si>
  <si>
    <t>-3,127,644.57</t>
  </si>
  <si>
    <t>1276</t>
  </si>
  <si>
    <t>PHUB520731435</t>
  </si>
  <si>
    <t>520731435 B/O AFRA SAIF AHMED MOHAMED ALFAHIM</t>
  </si>
  <si>
    <t>-3,117,644.57</t>
  </si>
  <si>
    <t>1277</t>
  </si>
  <si>
    <t>SALARY TRANSFER</t>
  </si>
  <si>
    <t>B/O AL SHARIF GROUP AND KEC LTD. CO.</t>
  </si>
  <si>
    <t>52,764.50</t>
  </si>
  <si>
    <t>-3,064,880.07</t>
  </si>
  <si>
    <t>1278</t>
  </si>
  <si>
    <t>50812457949</t>
  </si>
  <si>
    <t>25896796028 MBTRF B/O ABU FAISAL AUTO MOTIVE PARTS LLC</t>
  </si>
  <si>
    <t>-2,964,880.07</t>
  </si>
  <si>
    <t>1279</t>
  </si>
  <si>
    <t>50812492738</t>
  </si>
  <si>
    <t>25896830444 MBTRF B/O ABU FAISAL AUTO MOTIVE PARTS LLC</t>
  </si>
  <si>
    <t>-2,864,880.07</t>
  </si>
  <si>
    <t>1280</t>
  </si>
  <si>
    <t>50812534047</t>
  </si>
  <si>
    <t>25896873548 MBTRF B/O ABU FAISAL AUTO MOTIVE PARTS LLC</t>
  </si>
  <si>
    <t>13,063.50</t>
  </si>
  <si>
    <t>-2,851,816.57</t>
  </si>
  <si>
    <t>1281</t>
  </si>
  <si>
    <t>PHUB520734622</t>
  </si>
  <si>
    <t>LNTVISAAUG</t>
  </si>
  <si>
    <t>B/O LARSEN AND TOUBRO LTD.-BR ABU DHABI</t>
  </si>
  <si>
    <t>26,142.80</t>
  </si>
  <si>
    <t>-2,825,673.77</t>
  </si>
  <si>
    <t>1282</t>
  </si>
  <si>
    <t>PHUB520734834</t>
  </si>
  <si>
    <t>520734834 B/O AFSAL EDAMARATH PARAMBIL</t>
  </si>
  <si>
    <t>8.75</t>
  </si>
  <si>
    <t>-2,825,665.02</t>
  </si>
  <si>
    <t>1283</t>
  </si>
  <si>
    <t>B/O_A/C. 19369170_520737331</t>
  </si>
  <si>
    <t>29,448.50</t>
  </si>
  <si>
    <t>-2,796,216.52</t>
  </si>
  <si>
    <t>1284</t>
  </si>
  <si>
    <t>PHUB520739895</t>
  </si>
  <si>
    <t>520739895 B/O ABDULLA RASHED AHMED ALMANA ALMANSOORI</t>
  </si>
  <si>
    <t>9,646.50</t>
  </si>
  <si>
    <t>-2,786,570.02</t>
  </si>
  <si>
    <t>1285</t>
  </si>
  <si>
    <t>PHUB520741411</t>
  </si>
  <si>
    <t>-3,036,570.02</t>
  </si>
  <si>
    <t>1286</t>
  </si>
  <si>
    <t>MOB0608251535138016476</t>
  </si>
  <si>
    <t>B/O DAYLIGHT KITCHEN ACC.-S.PRO.LLC</t>
  </si>
  <si>
    <t>110,265.50</t>
  </si>
  <si>
    <t>-2,926,304.52</t>
  </si>
  <si>
    <t>1287</t>
  </si>
  <si>
    <t>50813023022</t>
  </si>
  <si>
    <t>2534981086 IBTRF B/O PACHERS BLINDS TRADING LLC</t>
  </si>
  <si>
    <t>633.84</t>
  </si>
  <si>
    <t>-2,925,670.68</t>
  </si>
  <si>
    <t>1288</t>
  </si>
  <si>
    <t>PHUB520745221</t>
  </si>
  <si>
    <t>520745221 B/O MOHAMMAD HASSAN ABDELTAWAB AHMED HAIBA</t>
  </si>
  <si>
    <t>-2,924,670.68</t>
  </si>
  <si>
    <t>1289</t>
  </si>
  <si>
    <t>2,026.25</t>
  </si>
  <si>
    <t>-2,922,644.43</t>
  </si>
  <si>
    <t>1290</t>
  </si>
  <si>
    <t>PHUB520757462</t>
  </si>
  <si>
    <t>520757462 B/O KHALED MOHAMED FATHY ABDELMAKSOUD</t>
  </si>
  <si>
    <t>-2,920,144.43</t>
  </si>
  <si>
    <t>1291</t>
  </si>
  <si>
    <t>50813513933</t>
  </si>
  <si>
    <t>2534996802 IBTRF B/O SREEKUMAR PRABHAKARANNAIR MAROOR</t>
  </si>
  <si>
    <t>41,990.40</t>
  </si>
  <si>
    <t>-2,878,154.03</t>
  </si>
  <si>
    <t>1292</t>
  </si>
  <si>
    <t>B/O_ALI RAZA_520758590</t>
  </si>
  <si>
    <t>-2,853,154.03</t>
  </si>
  <si>
    <t>1293</t>
  </si>
  <si>
    <t>001186</t>
  </si>
  <si>
    <t>INHOUSE CHEQUE DEPOSIT 001186 ANJENETTE MATEO    ALEJANDRO AL FARDAN EXCHANGE SP LLC CHQ NO ::001186</t>
  </si>
  <si>
    <t>24,627.42</t>
  </si>
  <si>
    <t>-2,828,526.61</t>
  </si>
  <si>
    <t>1294</t>
  </si>
  <si>
    <t>PHUB520760364</t>
  </si>
  <si>
    <t>B/O_ABDULLA RASHED A_520760364</t>
  </si>
  <si>
    <t>-2,778,526.61</t>
  </si>
  <si>
    <t>1295</t>
  </si>
  <si>
    <t>50813790675</t>
  </si>
  <si>
    <t>2535006463 IBTRF B/O NEXT MOVE SHIPPING SERVICES LLC</t>
  </si>
  <si>
    <t>2,272.50</t>
  </si>
  <si>
    <t>-2,776,254.11</t>
  </si>
  <si>
    <t>1296</t>
  </si>
  <si>
    <t>000225</t>
  </si>
  <si>
    <t>INHOUSE CHEQUE DEPOSIT 000225 SHAMSHEER KHAN AHAMED KHAN AHAMED  KHAN AL FARDAN EXCHANGE SP LLC CHQ NO ::000225</t>
  </si>
  <si>
    <t>30,012.06</t>
  </si>
  <si>
    <t>-2,746,242.05</t>
  </si>
  <si>
    <t>1297</t>
  </si>
  <si>
    <t>PHUB520763327</t>
  </si>
  <si>
    <t>B/O_UNIVERSAL _BARB_520763327_BAODING</t>
  </si>
  <si>
    <t>24,442.88</t>
  </si>
  <si>
    <t>-2,721,799.17</t>
  </si>
  <si>
    <t>1298</t>
  </si>
  <si>
    <t>000515</t>
  </si>
  <si>
    <t>INHOUSE CHEQUE DEPOSIT 000515 MUHAMMAD AKRAM NAZAR   MUHAMMAD AL FARDAN EXCHANGE SP LLC CHQ NO ::000515</t>
  </si>
  <si>
    <t>72,500.00</t>
  </si>
  <si>
    <t>-2,649,299.17</t>
  </si>
  <si>
    <t>1299</t>
  </si>
  <si>
    <t>000440</t>
  </si>
  <si>
    <t>INHOUSE CHEQUE DEPOSIT 000440 MUHAMMAD AKRAM NAZAR   MUHAMMAD AL FARDAN EXCHANGE SP LLC CHQ NO ::000440</t>
  </si>
  <si>
    <t>33,800.00</t>
  </si>
  <si>
    <t>-2,615,499.17</t>
  </si>
  <si>
    <t>1300</t>
  </si>
  <si>
    <t>001082</t>
  </si>
  <si>
    <t>INHOUSE CHEQUE DEPOSIT 001082 MUHAMMAD AKRAM NAZAR   MUHAMMAD AL FARDAN EXCHANGE SP LLC CHQ NO ::001082</t>
  </si>
  <si>
    <t>60,818.75</t>
  </si>
  <si>
    <t>-2,554,680.42</t>
  </si>
  <si>
    <t>1301</t>
  </si>
  <si>
    <t>50814036124</t>
  </si>
  <si>
    <t>25898361815 MBTRF B/O MUKUL RAMESH KULKARNI</t>
  </si>
  <si>
    <t>-2,354,680.42</t>
  </si>
  <si>
    <t>1302</t>
  </si>
  <si>
    <t>PHUB520771660</t>
  </si>
  <si>
    <t>B/O_AL FARDAN _EBIL_520771660_ADCBAUH</t>
  </si>
  <si>
    <t>5,000,000.00</t>
  </si>
  <si>
    <t>2,645,319.58</t>
  </si>
  <si>
    <t>1303</t>
  </si>
  <si>
    <t>PHUB520770612</t>
  </si>
  <si>
    <t>B/O_ALLIANZ MI_NBFU_520770612_SALARY</t>
  </si>
  <si>
    <t>2,491,884.16</t>
  </si>
  <si>
    <t>5,137,203.74</t>
  </si>
  <si>
    <t>1304</t>
  </si>
  <si>
    <t>PHUB520770948</t>
  </si>
  <si>
    <t>B/O_ALLIANZ MI_NBFU_520770948_SALARY</t>
  </si>
  <si>
    <t>1,446,501.58</t>
  </si>
  <si>
    <t>6,583,705.32</t>
  </si>
  <si>
    <t>1305</t>
  </si>
  <si>
    <t>PHUB520770954</t>
  </si>
  <si>
    <t>B/O_ALLIANZ MI_NBFU_520770954_SALARY</t>
  </si>
  <si>
    <t>1,257,364.27</t>
  </si>
  <si>
    <t>7,841,069.59</t>
  </si>
  <si>
    <t>1306</t>
  </si>
  <si>
    <t>PHUB520774653</t>
  </si>
  <si>
    <t>B/O_ALLIANZ MI_NBFU_520774653_SALARY</t>
  </si>
  <si>
    <t>132,357.25</t>
  </si>
  <si>
    <t>7,973,426.84</t>
  </si>
  <si>
    <t>1307</t>
  </si>
  <si>
    <t>PHUB520774654</t>
  </si>
  <si>
    <t>B/O_ALLIANZ MI_NBFU_520774654_SALARY</t>
  </si>
  <si>
    <t>2,480,836.07</t>
  </si>
  <si>
    <t>10,454,262.91</t>
  </si>
  <si>
    <t>1308</t>
  </si>
  <si>
    <t>PHUB520775956</t>
  </si>
  <si>
    <t>B/O_STANFORD M_NBFU_520775956_SALARY</t>
  </si>
  <si>
    <t>85,870.60</t>
  </si>
  <si>
    <t>10,540,133.51</t>
  </si>
  <si>
    <t>1309</t>
  </si>
  <si>
    <t>PHUB520775961</t>
  </si>
  <si>
    <t>B/O_STANFORD M_NBFU_520775961_SALARY</t>
  </si>
  <si>
    <t>250,942.00</t>
  </si>
  <si>
    <t>10,791,075.51</t>
  </si>
  <si>
    <t>1310</t>
  </si>
  <si>
    <t>PHUB520775966</t>
  </si>
  <si>
    <t>B/O_STANFORD M_NBFU_520775966_SALARY</t>
  </si>
  <si>
    <t>773,916.00</t>
  </si>
  <si>
    <t>11,564,991.51</t>
  </si>
  <si>
    <t>1311</t>
  </si>
  <si>
    <t>PHUB520775970</t>
  </si>
  <si>
    <t>B/O_STANFORD M_NBFU_520775970_SALARY</t>
  </si>
  <si>
    <t>112,348.00</t>
  </si>
  <si>
    <t>11,677,339.51</t>
  </si>
  <si>
    <t>1312</t>
  </si>
  <si>
    <t>PHUB520775982</t>
  </si>
  <si>
    <t>B/O_STANFORD M_NBFU_520775982_SALARY</t>
  </si>
  <si>
    <t>2,398,386.75</t>
  </si>
  <si>
    <t>14,075,726.26</t>
  </si>
  <si>
    <t>1313</t>
  </si>
  <si>
    <t>PHUB520775986</t>
  </si>
  <si>
    <t>B/O_STANFORD M_NBFU_520775986_SALARY</t>
  </si>
  <si>
    <t>884,160.00</t>
  </si>
  <si>
    <t>14,959,886.26</t>
  </si>
  <si>
    <t>1314</t>
  </si>
  <si>
    <t>7,000.00</t>
  </si>
  <si>
    <t>14,966,886.26</t>
  </si>
  <si>
    <t>1315</t>
  </si>
  <si>
    <t>PHUB520783399</t>
  </si>
  <si>
    <t>GOLDENFURNTURE060825</t>
  </si>
  <si>
    <t>TRF TO GOLDEN FURNITURE REMOVAL LLC</t>
  </si>
  <si>
    <t>2,850.00</t>
  </si>
  <si>
    <t>14,964,036.26</t>
  </si>
  <si>
    <t>1316</t>
  </si>
  <si>
    <t>PHUB520784589</t>
  </si>
  <si>
    <t>MOB0608251649218017665</t>
  </si>
  <si>
    <t>44,262.00</t>
  </si>
  <si>
    <t>15,008,298.26</t>
  </si>
  <si>
    <t>1317</t>
  </si>
  <si>
    <t>PHUB520785521</t>
  </si>
  <si>
    <t>B/O_CHERIYAN S_EBIL_520785521_Transfe</t>
  </si>
  <si>
    <t>83,920.00</t>
  </si>
  <si>
    <t>15,092,218.26</t>
  </si>
  <si>
    <t>1318</t>
  </si>
  <si>
    <t>INHOUSE CHEQUE DEPOSIT 000036 MUHAMMAD HAMEED MUHAMMAD   FAREED AL FARDAN EXCHANGE SP LLC CHQ NO ::000036</t>
  </si>
  <si>
    <t>29,922.00</t>
  </si>
  <si>
    <t>15,122,140.26</t>
  </si>
  <si>
    <t>1319</t>
  </si>
  <si>
    <t>50815286811</t>
  </si>
  <si>
    <t>25899630463 MBTRF B/O ABDULLA MUBARAK MOHAMMED ALJENAIBI</t>
  </si>
  <si>
    <t>3,083.75</t>
  </si>
  <si>
    <t>15,125,224.01</t>
  </si>
  <si>
    <t>1320</t>
  </si>
  <si>
    <t>2,303.25</t>
  </si>
  <si>
    <t>15,127,527.26</t>
  </si>
  <si>
    <t>1321</t>
  </si>
  <si>
    <t>PHUB520805068</t>
  </si>
  <si>
    <t>B/O_BEST TRUST_UNIL_520805068_25218e4</t>
  </si>
  <si>
    <t>1,381,819.25</t>
  </si>
  <si>
    <t>16,509,346.51</t>
  </si>
  <si>
    <t>1322</t>
  </si>
  <si>
    <t>B/O_MAX ROCK S_NBFU_520806949_PAYMENT</t>
  </si>
  <si>
    <t>1,644,318.45</t>
  </si>
  <si>
    <t>18,153,664.96</t>
  </si>
  <si>
    <t>1323</t>
  </si>
  <si>
    <t>PHUB520811469</t>
  </si>
  <si>
    <t>ETT 060825</t>
  </si>
  <si>
    <t>18,159,664.96</t>
  </si>
  <si>
    <t>1324</t>
  </si>
  <si>
    <t>PHUB520811851</t>
  </si>
  <si>
    <t>B/O_SAEED MOHAMED SA_520811851</t>
  </si>
  <si>
    <t>32,682.00</t>
  </si>
  <si>
    <t>18,192,346.96</t>
  </si>
  <si>
    <t>1325</t>
  </si>
  <si>
    <t>000360</t>
  </si>
  <si>
    <t>CHEQUE DEPOSIT 000360 SHAMSHEER KHAN AHAMED KHAN AHAMED  KHAN 804020101 CHQ NO ::000360</t>
  </si>
  <si>
    <t>188,627.00</t>
  </si>
  <si>
    <t>18,380,973.96</t>
  </si>
  <si>
    <t>1326</t>
  </si>
  <si>
    <t>500509</t>
  </si>
  <si>
    <t>CHEQUE DEPOSIT 500509 SHAMSHEER KHAN AHAMED KHAN AHAMED  KHAN 805030156 CHQ NO ::500509</t>
  </si>
  <si>
    <t>15,526.25</t>
  </si>
  <si>
    <t>18,396,500.21</t>
  </si>
  <si>
    <t>1327</t>
  </si>
  <si>
    <t>837154</t>
  </si>
  <si>
    <t>CHEQUE DEPOSIT 837154 MUHAMMAD HAMEED MUHAMMAD   FAREED 401230101 CHQ NO ::837154</t>
  </si>
  <si>
    <t>69,321.74</t>
  </si>
  <si>
    <t>18,465,821.95</t>
  </si>
  <si>
    <t>1328</t>
  </si>
  <si>
    <t>100027</t>
  </si>
  <si>
    <t>CHEQUE DEPOSIT 100027 BASHEER PULIKKAL    IBRAHIM 502410110 CHQ NO ::100027</t>
  </si>
  <si>
    <t>18,615,821.95</t>
  </si>
  <si>
    <t>1329</t>
  </si>
  <si>
    <t>2508061751214193</t>
  </si>
  <si>
    <t>CHQ RETRN:Signature Irregular 502410110 CHQ NO ::100027</t>
  </si>
  <si>
    <t>1330</t>
  </si>
  <si>
    <t>001244</t>
  </si>
  <si>
    <t>CHEQUE DEPOSIT 001244 MUHAMMAD HAMEED MUHAMMAD   FAREED 203320145 CHQ NO ::001244</t>
  </si>
  <si>
    <t>4,461.00</t>
  </si>
  <si>
    <t>18,470,282.95</t>
  </si>
  <si>
    <t>1331</t>
  </si>
  <si>
    <t>000309</t>
  </si>
  <si>
    <t>CHEQUE DEPOSIT 000309 MUHAMMAD HAMEED MUHAMMAD   FAREED 604130075 CHQ NO ::000309</t>
  </si>
  <si>
    <t>7,820.00</t>
  </si>
  <si>
    <t>18,478,102.95</t>
  </si>
  <si>
    <t>1332</t>
  </si>
  <si>
    <t>CHEQUE DEPOSIT 000037 SHAMSHEER KHAN AHAMED KHAN AHAMED  KHAN 808610001 CHQ NO ::000037</t>
  </si>
  <si>
    <t>20,300.00</t>
  </si>
  <si>
    <t>18,498,402.95</t>
  </si>
  <si>
    <t>1333</t>
  </si>
  <si>
    <t>CHEQUE DEPOSIT 000069 SHAMSHEER KHAN AHAMED KHAN AHAMED  KHAN 503420369 CHQ NO ::000069</t>
  </si>
  <si>
    <t>18,524,402.95</t>
  </si>
  <si>
    <t>1334</t>
  </si>
  <si>
    <t>000743</t>
  </si>
  <si>
    <t>AL SALIK</t>
  </si>
  <si>
    <t>CHEQUE DEPOSIT AL SALIK 603430129 CHQ NO ::000743</t>
  </si>
  <si>
    <t>100,137.50</t>
  </si>
  <si>
    <t>18,624,540.45</t>
  </si>
  <si>
    <t>1335</t>
  </si>
  <si>
    <t>000744</t>
  </si>
  <si>
    <t>AL SALIK TYRES</t>
  </si>
  <si>
    <t>CHEQUE DEPOSIT AL SALIK TYRES 603430129 CHQ NO ::000744</t>
  </si>
  <si>
    <t>149,952.50</t>
  </si>
  <si>
    <t>18,774,492.95</t>
  </si>
  <si>
    <t>1336</t>
  </si>
  <si>
    <t>500372</t>
  </si>
  <si>
    <t>CHEQUE DEPOSIT 500372 MUHAMMAD HAMEED MUHAMMAD   FAREED 805030156 CHQ NO ::500372</t>
  </si>
  <si>
    <t>18,787,992.95</t>
  </si>
  <si>
    <t>1337</t>
  </si>
  <si>
    <t>PHUB520814878</t>
  </si>
  <si>
    <t>92,001.25</t>
  </si>
  <si>
    <t>18,879,994.20</t>
  </si>
  <si>
    <t>1338</t>
  </si>
  <si>
    <t>000004</t>
  </si>
  <si>
    <t>CHEQUE DEPOSIT 000004 MUHAMMED AJNAS AVARAKKAL KURIKKALAKATH   ANSARI 603420117 CHQ NO ::000004</t>
  </si>
  <si>
    <t>41,350.00</t>
  </si>
  <si>
    <t>18,921,344.20</t>
  </si>
  <si>
    <t>1339</t>
  </si>
  <si>
    <t>003773</t>
  </si>
  <si>
    <t>CHEQUE DEPOSIT 003773 SHAMSHEER KHAN AHAMED KHAN AHAMED  KHAN 802630140 CHQ NO ::003773</t>
  </si>
  <si>
    <t>109,500.00</t>
  </si>
  <si>
    <t>19,030,844.20</t>
  </si>
  <si>
    <t>1340</t>
  </si>
  <si>
    <t>CHEQUE DEPOSIT 000135 MUHAMMAD HAMEED MUHAMMAD   FAREED 603830105 CHQ NO ::000135</t>
  </si>
  <si>
    <t>103,385.00</t>
  </si>
  <si>
    <t>19,134,229.20</t>
  </si>
  <si>
    <t>1341</t>
  </si>
  <si>
    <t>100031</t>
  </si>
  <si>
    <t>CHEQUE DEPOSIT 100031 ADNAN ABBAS MUHAMMAD HASHIM   KHAN 202430177 CHQ NO ::100031</t>
  </si>
  <si>
    <t>25,602.50</t>
  </si>
  <si>
    <t>19,159,831.70</t>
  </si>
  <si>
    <t>1342</t>
  </si>
  <si>
    <t>102,735.15</t>
  </si>
  <si>
    <t>19,262,566.85</t>
  </si>
  <si>
    <t>1343</t>
  </si>
  <si>
    <t>000913</t>
  </si>
  <si>
    <t>CHEQUE DEPOSIT 000913 MUHAMMAD HAMEED MUHAMMAD   FAREED 104030136 CHQ NO ::000913</t>
  </si>
  <si>
    <t>35,331.00</t>
  </si>
  <si>
    <t>19,297,897.85</t>
  </si>
  <si>
    <t>1344</t>
  </si>
  <si>
    <t>000673</t>
  </si>
  <si>
    <t>CHEQUE DEPOSIT 000673 MUHAMMED ABU MIHAD CACHANCHERY RAHEEM   CACHANCHER 603410365 CHQ NO ::000673</t>
  </si>
  <si>
    <t>29,507.88</t>
  </si>
  <si>
    <t>19,327,405.73</t>
  </si>
  <si>
    <t>1345</t>
  </si>
  <si>
    <t>001658</t>
  </si>
  <si>
    <t>CHEQUE DEPOSIT 001658 SHAMSHEER KHAN AHAMED KHAN AHAMED  KHAN 104030136 CHQ NO ::001658</t>
  </si>
  <si>
    <t>19,577,405.73</t>
  </si>
  <si>
    <t>1346</t>
  </si>
  <si>
    <t>CHEQUE DEPOSIT 000349 DIL JAN MOHAMMAD   ALI 304040119 CHQ NO ::000349</t>
  </si>
  <si>
    <t>9,790.40</t>
  </si>
  <si>
    <t>19,587,196.13</t>
  </si>
  <si>
    <t>1347</t>
  </si>
  <si>
    <t>460397</t>
  </si>
  <si>
    <t>CHEQUE DEPOSIT 460397 BRIJEESH SASIDHARAN    SASIDHARAN 603513024 CHQ NO ::460397</t>
  </si>
  <si>
    <t>19,954,651.13</t>
  </si>
  <si>
    <t>1348</t>
  </si>
  <si>
    <t>000189</t>
  </si>
  <si>
    <t>CHEQUE DEPOSIT 000189 DIL JAN MOHAMMAD   ALI 302620122 CHQ NO ::000189</t>
  </si>
  <si>
    <t>20,304,651.13</t>
  </si>
  <si>
    <t>1349</t>
  </si>
  <si>
    <t>2508061759007288</t>
  </si>
  <si>
    <t>CHQ RETRN:Signature Irregular 302620122 CHQ NO ::000189</t>
  </si>
  <si>
    <t>1350</t>
  </si>
  <si>
    <t>000433</t>
  </si>
  <si>
    <t>CHEQUE DEPOSIT 000433 MUHAMMAD HAMEED MUHAMMAD   FAREED 704130102 CHQ NO ::000433</t>
  </si>
  <si>
    <t>49,985.00</t>
  </si>
  <si>
    <t>20,004,636.13</t>
  </si>
  <si>
    <t>1351</t>
  </si>
  <si>
    <t>691231</t>
  </si>
  <si>
    <t>CHEQUE DEPOSIT 691231 NIKIN MANJIPARAMBIL SURESH BABU  SURESH BABU 703510110 CHQ NO ::691231</t>
  </si>
  <si>
    <t>20,504,636.13</t>
  </si>
  <si>
    <t>1352</t>
  </si>
  <si>
    <t>000224</t>
  </si>
  <si>
    <t>CHEQUE DEPOSIT RUKN AL QAMAR 603430129 CHQ NO ::000224</t>
  </si>
  <si>
    <t>125,022.50</t>
  </si>
  <si>
    <t>20,629,658.63</t>
  </si>
  <si>
    <t>1353</t>
  </si>
  <si>
    <t>008238</t>
  </si>
  <si>
    <t>CHEQUE DEPOSIT 008238 MUHAMMAD HAMEED MUHAMMAD   FAREED 104030136 CHQ NO ::008238</t>
  </si>
  <si>
    <t>1,072.10</t>
  </si>
  <si>
    <t>20,630,730.73</t>
  </si>
  <si>
    <t>1354</t>
  </si>
  <si>
    <t>612199</t>
  </si>
  <si>
    <t>CHEQUE DEPOSIT 612199 BASHEER PULIKKAL    IBRAHIM 302020120 CHQ NO ::612199</t>
  </si>
  <si>
    <t>20,740,730.73</t>
  </si>
  <si>
    <t>1355</t>
  </si>
  <si>
    <t>000020</t>
  </si>
  <si>
    <t>AL BARAKAH</t>
  </si>
  <si>
    <t>CHEQUE DEPOSIT AL BARAKAH 104030136 CHQ NO ::000020</t>
  </si>
  <si>
    <t>170,921.00</t>
  </si>
  <si>
    <t>20,911,651.73</t>
  </si>
  <si>
    <t>1356</t>
  </si>
  <si>
    <t>PHUB520821844</t>
  </si>
  <si>
    <t>5236</t>
  </si>
  <si>
    <t>2,767.25</t>
  </si>
  <si>
    <t>20,914,418.98</t>
  </si>
  <si>
    <t>1357</t>
  </si>
  <si>
    <t>104907</t>
  </si>
  <si>
    <t>CHEQUE DEPOSIT 104907 DIL JAN MOHAMMAD   ALI 702410103 CHQ NO ::104907</t>
  </si>
  <si>
    <t>62,311.35</t>
  </si>
  <si>
    <t>20,976,730.33</t>
  </si>
  <si>
    <t>1358</t>
  </si>
  <si>
    <t>534471</t>
  </si>
  <si>
    <t>CHEQUE DEPOSIT 534471 MUHAMMAD AKRAM NAZAR   MUHAMMAD 304012039 CHQ NO ::534471</t>
  </si>
  <si>
    <t>7,805.56</t>
  </si>
  <si>
    <t>20,984,535.89</t>
  </si>
  <si>
    <t>1359</t>
  </si>
  <si>
    <t>PHUB520823079</t>
  </si>
  <si>
    <t>33,534.00</t>
  </si>
  <si>
    <t>21,018,069.89</t>
  </si>
  <si>
    <t>1360</t>
  </si>
  <si>
    <t>000353</t>
  </si>
  <si>
    <t>ABDUL HADY</t>
  </si>
  <si>
    <t>CHEQUE DEPOSIT ABDUL HADY 603830105 CHQ NO ::000353</t>
  </si>
  <si>
    <t>110,280.50</t>
  </si>
  <si>
    <t>21,128,350.39</t>
  </si>
  <si>
    <t>1361</t>
  </si>
  <si>
    <t>2508061814486643</t>
  </si>
  <si>
    <t>CHQ RETRN:Insufficient Funds(INF) 603830105 CHQ NO ::000353</t>
  </si>
  <si>
    <t>1362</t>
  </si>
  <si>
    <t>PHUB520824401</t>
  </si>
  <si>
    <t>MOB0608251815598019190</t>
  </si>
  <si>
    <t>B/O NURTURE SPORTS ACCESSORIES TRADING</t>
  </si>
  <si>
    <t>11,000.00</t>
  </si>
  <si>
    <t>21,029,069.89</t>
  </si>
  <si>
    <t>1363</t>
  </si>
  <si>
    <t>CHEQUE DEPOSIT 000142 MUHAMMED ALI SALAHUDEEN    SALAHUDEEN M 101110101 CHQ NO ::000142</t>
  </si>
  <si>
    <t>71,693.75</t>
  </si>
  <si>
    <t>21,100,763.64</t>
  </si>
  <si>
    <t>1364</t>
  </si>
  <si>
    <t>001123</t>
  </si>
  <si>
    <t>CHEQUE DEPOSIT 001123 MUHAMMAD ZUBAIR MUHAMMAD    IFTIKHAR 101110101 CHQ NO ::001123</t>
  </si>
  <si>
    <t>46,437.40</t>
  </si>
  <si>
    <t>21,147,201.04</t>
  </si>
  <si>
    <t>1365</t>
  </si>
  <si>
    <t>003130</t>
  </si>
  <si>
    <t>CHEQUE DEPOSIT 003130 SHAMSHEER KHAN AHAMED KHAN AHAMED  KHAN 404130101 CHQ NO ::003130</t>
  </si>
  <si>
    <t>351,613.35</t>
  </si>
  <si>
    <t>21,498,814.39</t>
  </si>
  <si>
    <t>1366</t>
  </si>
  <si>
    <t>003129</t>
  </si>
  <si>
    <t>CHEQUE DEPOSIT 003129 SHAMSHEER KHAN AHAMED KHAN AHAMED  KHAN 404130101 CHQ NO ::003129</t>
  </si>
  <si>
    <t>374,757.50</t>
  </si>
  <si>
    <t>21,873,571.89</t>
  </si>
  <si>
    <t>1367</t>
  </si>
  <si>
    <t>001242</t>
  </si>
  <si>
    <t>CHEQUE DEPOSIT 001242 MUHAMMAD HAMEED MUHAMMAD   FAREED 203320145 CHQ NO ::001242</t>
  </si>
  <si>
    <t>3,985.00</t>
  </si>
  <si>
    <t>21,877,556.89</t>
  </si>
  <si>
    <t>1368</t>
  </si>
  <si>
    <t>001122</t>
  </si>
  <si>
    <t>CHEQUE DEPOSIT 001122 MUHAMMAD ZUBAIR MUHAMMAD    IFTIKHAR 101110101 CHQ NO ::001122</t>
  </si>
  <si>
    <t>100,316.61</t>
  </si>
  <si>
    <t>21,977,873.50</t>
  </si>
  <si>
    <t>1369</t>
  </si>
  <si>
    <t>000008</t>
  </si>
  <si>
    <t>CHEQUE DEPOSIT 000008 BASHEER PULIKKAL    IBRAHIM 702610130 CHQ NO ::000008</t>
  </si>
  <si>
    <t>22,017,873.50</t>
  </si>
  <si>
    <t>1370</t>
  </si>
  <si>
    <t>001659</t>
  </si>
  <si>
    <t>CHEQUE DEPOSIT 001659 SHAMSHEER KHAN AHAMED KHAN AHAMED  KHAN 104030136 CHQ NO ::001659</t>
  </si>
  <si>
    <t>227,615.50</t>
  </si>
  <si>
    <t>22,245,489.00</t>
  </si>
  <si>
    <t>1371</t>
  </si>
  <si>
    <t>163878</t>
  </si>
  <si>
    <t>CHEQUE DEPOSIT 163878 ABHIJITH SUNIL SUNIL   CHAKRAPANI 203514036 CHQ NO ::163878</t>
  </si>
  <si>
    <t>114,000.00</t>
  </si>
  <si>
    <t>22,359,489.00</t>
  </si>
  <si>
    <t>1372</t>
  </si>
  <si>
    <t>000668</t>
  </si>
  <si>
    <t>CHEQUE DEPOSIT 000668 MUHAMMED ABU MIHAD CACHANCHERY RAHEEM   CACHANCHER 603410365 CHQ NO ::000668</t>
  </si>
  <si>
    <t>114,768.18</t>
  </si>
  <si>
    <t>22,474,257.18</t>
  </si>
  <si>
    <t>1373</t>
  </si>
  <si>
    <t>000898</t>
  </si>
  <si>
    <t>CHEQUE DEPOSIT 000898 MUHAMMAD HAMEED MUHAMMAD   FAREED 802630140 CHQ NO ::000898</t>
  </si>
  <si>
    <t>69,440.32</t>
  </si>
  <si>
    <t>22,543,697.50</t>
  </si>
  <si>
    <t>1374</t>
  </si>
  <si>
    <t>203118</t>
  </si>
  <si>
    <t>CHEQUE DEPOSIT 203118 NISSAR MANGADAN MOIDEEN   MANGADAN 102411014 CHQ NO ::203118</t>
  </si>
  <si>
    <t>79,759.00</t>
  </si>
  <si>
    <t>22,623,456.50</t>
  </si>
  <si>
    <t>1375</t>
  </si>
  <si>
    <t>078266</t>
  </si>
  <si>
    <t>CHEQUE DEPOSIT 078266 BASHEER PULIKKAL    IBRAHIM 502010101 CHQ NO ::078266</t>
  </si>
  <si>
    <t>38,268.00</t>
  </si>
  <si>
    <t>22,661,724.50</t>
  </si>
  <si>
    <t>1376</t>
  </si>
  <si>
    <t>CHEQUE DEPOSIT 000114 MUHAMMAD AKRAM NAZAR   MUHAMMAD 404710101 CHQ NO ::000114</t>
  </si>
  <si>
    <t>22,736,724.50</t>
  </si>
  <si>
    <t>1377</t>
  </si>
  <si>
    <t>001546</t>
  </si>
  <si>
    <t>CHEQUE DEPOSIT 001546 DIL JAN MOHAMMAD   ALI 503440134 CHQ NO ::001546</t>
  </si>
  <si>
    <t>35,896.00</t>
  </si>
  <si>
    <t>22,772,620.50</t>
  </si>
  <si>
    <t>1378</t>
  </si>
  <si>
    <t>PHUB520833067</t>
  </si>
  <si>
    <t>B/O_HI TECH GE_UNIL_520833067_2521809</t>
  </si>
  <si>
    <t>19,309.11</t>
  </si>
  <si>
    <t>22,791,929.61</t>
  </si>
  <si>
    <t>1379</t>
  </si>
  <si>
    <t>PHUB520833075</t>
  </si>
  <si>
    <t>B/O_HITEC META_UNIL_520833075_2521809</t>
  </si>
  <si>
    <t>25,386.60</t>
  </si>
  <si>
    <t>22,817,316.21</t>
  </si>
  <si>
    <t>1380</t>
  </si>
  <si>
    <t>PHUB520834140</t>
  </si>
  <si>
    <t>B/O_ROYAL CONT_UNIL_520834140_2521809</t>
  </si>
  <si>
    <t>65,245.75</t>
  </si>
  <si>
    <t>22,882,561.96</t>
  </si>
  <si>
    <t>1381</t>
  </si>
  <si>
    <t>000047</t>
  </si>
  <si>
    <t>CHEQUE DEPOSIT 000047 SHAMSHEER KHAN AHAMED KHAN AHAMED  KHAN 501130101 CHQ NO ::000047</t>
  </si>
  <si>
    <t>27,000.50</t>
  </si>
  <si>
    <t>22,909,562.46</t>
  </si>
  <si>
    <t>1382</t>
  </si>
  <si>
    <t>000077</t>
  </si>
  <si>
    <t>RAWDAT AL REEF</t>
  </si>
  <si>
    <t>CHEQUE DEPOSIT RAWDAT AL REEF 603420117 CHQ NO ::000077</t>
  </si>
  <si>
    <t>96,376.00</t>
  </si>
  <si>
    <t>23,005,938.46</t>
  </si>
  <si>
    <t>1383</t>
  </si>
  <si>
    <t>000084</t>
  </si>
  <si>
    <t>CHEQUE DEPOSIT 402320117 CHQ NO ::000084</t>
  </si>
  <si>
    <t>23,142.69</t>
  </si>
  <si>
    <t>23,029,081.15</t>
  </si>
  <si>
    <t>1384</t>
  </si>
  <si>
    <t>024638</t>
  </si>
  <si>
    <t>CHEQUE DEPOSIT 024638 BASHEER PULIKKAL    IBRAHIM 101110101 CHQ NO ::024638</t>
  </si>
  <si>
    <t>3,079.00</t>
  </si>
  <si>
    <t>23,032,160.15</t>
  </si>
  <si>
    <t>1385</t>
  </si>
  <si>
    <t>PHUB520840170</t>
  </si>
  <si>
    <t>B/O_SUBHASIS D_NBAD_520840170_Tution</t>
  </si>
  <si>
    <t>85,368.75</t>
  </si>
  <si>
    <t>23,117,528.90</t>
  </si>
  <si>
    <t>1386</t>
  </si>
  <si>
    <t>PHUB520840320</t>
  </si>
  <si>
    <t>B/O_HITEC META_UNIL_520840320_2521809</t>
  </si>
  <si>
    <t>168,441.17</t>
  </si>
  <si>
    <t>23,285,970.07</t>
  </si>
  <si>
    <t>1387</t>
  </si>
  <si>
    <t>PHUB520842485</t>
  </si>
  <si>
    <t>B/O_HITEC INTE_UNIL_520842485_2521809</t>
  </si>
  <si>
    <t>131,981.02</t>
  </si>
  <si>
    <t>23,417,951.09</t>
  </si>
  <si>
    <t>1388</t>
  </si>
  <si>
    <t>50818027276</t>
  </si>
  <si>
    <t>25902626934 MBTRF B/O M HUSAM MARASHI</t>
  </si>
  <si>
    <t>22,823.13</t>
  </si>
  <si>
    <t>23,440,774.22</t>
  </si>
  <si>
    <t>1389</t>
  </si>
  <si>
    <t>PHUB520843871</t>
  </si>
  <si>
    <t>B/O_HITEC INTE_UNIL_520843871_2521809</t>
  </si>
  <si>
    <t>7,604.20</t>
  </si>
  <si>
    <t>23,448,378.42</t>
  </si>
  <si>
    <t>1390</t>
  </si>
  <si>
    <t>PHUB520849794</t>
  </si>
  <si>
    <t>ELMAS SWEETS TURKEY</t>
  </si>
  <si>
    <t>101,604.35</t>
  </si>
  <si>
    <t>23,549,982.77</t>
  </si>
  <si>
    <t>1391</t>
  </si>
  <si>
    <t>50818663960</t>
  </si>
  <si>
    <t>25903367059 MBTRF B/O MIAN MAHMOOD AHMAD</t>
  </si>
  <si>
    <t>56,737.50</t>
  </si>
  <si>
    <t>23,606,720.27</t>
  </si>
  <si>
    <t>1392</t>
  </si>
  <si>
    <t>50818926562</t>
  </si>
  <si>
    <t>2535161024 IBTRF B/O ABDUL SALEEM SYED</t>
  </si>
  <si>
    <t>23,656,720.27</t>
  </si>
  <si>
    <t>1393</t>
  </si>
  <si>
    <t>PHUB520860493</t>
  </si>
  <si>
    <t>B/O ABRAO TRADING  L.L.C</t>
  </si>
  <si>
    <t>23,871.98</t>
  </si>
  <si>
    <t>23,680,592.25</t>
  </si>
  <si>
    <t>1394</t>
  </si>
  <si>
    <t>B/O_/003/009 M_NRAK_520865415_Goods B</t>
  </si>
  <si>
    <t>50,246.70</t>
  </si>
  <si>
    <t>23,730,838.95</t>
  </si>
  <si>
    <t>1395</t>
  </si>
  <si>
    <t>50819716392</t>
  </si>
  <si>
    <t>25904620326 MBTRF B/O SANGRAM KESHARI GHANTO</t>
  </si>
  <si>
    <t>128,800.00</t>
  </si>
  <si>
    <t>23,859,638.95</t>
  </si>
  <si>
    <t>1396</t>
  </si>
  <si>
    <t>PHUB520876718</t>
  </si>
  <si>
    <t>B/O_INCH AND B_BOML_520876718_ COMPEN</t>
  </si>
  <si>
    <t>37,116.50</t>
  </si>
  <si>
    <t>23,896,755.45</t>
  </si>
  <si>
    <t>1397</t>
  </si>
  <si>
    <t>PHUB520877908</t>
  </si>
  <si>
    <t>MOB0608252021408021447</t>
  </si>
  <si>
    <t>B/O FRONTIER AUTOMOTIVE FZCO</t>
  </si>
  <si>
    <t>24,021,755.45</t>
  </si>
  <si>
    <t>1398</t>
  </si>
  <si>
    <t>50820105257</t>
  </si>
  <si>
    <t>25905083524 MBTRF B/O JOHIR RAYHAN</t>
  </si>
  <si>
    <t>24,051,755.45</t>
  </si>
  <si>
    <t>1399</t>
  </si>
  <si>
    <t>PHUB520879209</t>
  </si>
  <si>
    <t>520879209 B/O Ali Raza</t>
  </si>
  <si>
    <t>740.00</t>
  </si>
  <si>
    <t>24,052,495.45</t>
  </si>
  <si>
    <t>1400</t>
  </si>
  <si>
    <t>50820128688</t>
  </si>
  <si>
    <t>25905116331 MBTRF B/O JOHIR RAYHAN</t>
  </si>
  <si>
    <t>28,800.00</t>
  </si>
  <si>
    <t>24,081,295.45</t>
  </si>
  <si>
    <t>1401</t>
  </si>
  <si>
    <t>50820739177</t>
  </si>
  <si>
    <t>25905848626 MBTRF B/O EMAD HAMDI ABDELNABI E RAGAB</t>
  </si>
  <si>
    <t>24,086,295.45</t>
  </si>
  <si>
    <t>1402</t>
  </si>
  <si>
    <t>PHUB520889923</t>
  </si>
  <si>
    <t>FRANKY</t>
  </si>
  <si>
    <t>967.00</t>
  </si>
  <si>
    <t>24,087,262.45</t>
  </si>
  <si>
    <t>1403</t>
  </si>
  <si>
    <t>PHUB520901357</t>
  </si>
  <si>
    <t>MOB0608252123408022357</t>
  </si>
  <si>
    <t>B/O MAGIC FRAGRANCE PERFUMES TR LLC SP</t>
  </si>
  <si>
    <t>263.00</t>
  </si>
  <si>
    <t>24,087,525.45</t>
  </si>
  <si>
    <t>1404</t>
  </si>
  <si>
    <t>PHUB520905201</t>
  </si>
  <si>
    <t>B/O_ALSHOUMOUKH INTE_520905201</t>
  </si>
  <si>
    <t>5,032.00</t>
  </si>
  <si>
    <t>24,092,557.45</t>
  </si>
  <si>
    <t>1405</t>
  </si>
  <si>
    <t>B/O_L.L.C NEOTECHNIQ_520915270</t>
  </si>
  <si>
    <t>4,115.28</t>
  </si>
  <si>
    <t>24,096,672.73</t>
  </si>
  <si>
    <t>1406</t>
  </si>
  <si>
    <t>50822607855</t>
  </si>
  <si>
    <t>2535242933 IBTRF B/O DAR AL SEROOR GRILLING AND REST</t>
  </si>
  <si>
    <t>36,775.38</t>
  </si>
  <si>
    <t>24,133,448.11</t>
  </si>
  <si>
    <t>1407</t>
  </si>
  <si>
    <t>50823031924</t>
  </si>
  <si>
    <t>25908654553 MBTRF B/O NEW FREEZE ICE CREAMS BRANCH</t>
  </si>
  <si>
    <t>4,570.75</t>
  </si>
  <si>
    <t>24,138,018.86</t>
  </si>
  <si>
    <t>1408</t>
  </si>
  <si>
    <t>07-Aug-2025</t>
  </si>
  <si>
    <t>PHUB520950958</t>
  </si>
  <si>
    <t>520950958 B/O SHOVEL CONSTRUCTION EQUIP TR LLC</t>
  </si>
  <si>
    <t>3,052.20</t>
  </si>
  <si>
    <t>24,141,071.06</t>
  </si>
  <si>
    <t>1409</t>
  </si>
  <si>
    <t>PHUB520967995</t>
  </si>
  <si>
    <t>B/O_SAIF SHIPS_BOML_520967995_ SETTLE</t>
  </si>
  <si>
    <t>110,240.95</t>
  </si>
  <si>
    <t>24,251,312.01</t>
  </si>
  <si>
    <t>1410</t>
  </si>
  <si>
    <t>7,193.45</t>
  </si>
  <si>
    <t>24,258,505.46</t>
  </si>
  <si>
    <t>1411</t>
  </si>
  <si>
    <t>2508070834529211</t>
  </si>
  <si>
    <t>Musaffah Shabiya AUH, 06TH AUG - Cash Collection TG</t>
  </si>
  <si>
    <t>25,008,505.46</t>
  </si>
  <si>
    <t>1412</t>
  </si>
  <si>
    <t>2508070834529220</t>
  </si>
  <si>
    <t>M38 PLOT 48 SHOP 02 BIG MART MUSSAFAH, 06TH AUG - Cash Collection TG</t>
  </si>
  <si>
    <t>25,418,505.46</t>
  </si>
  <si>
    <t>1413</t>
  </si>
  <si>
    <t>2508070834529223</t>
  </si>
  <si>
    <t>Musaffah Saniya AUH, 06TH AUG - Cash Collection TG</t>
  </si>
  <si>
    <t>25,788,505.46</t>
  </si>
  <si>
    <t>1414</t>
  </si>
  <si>
    <t>2508070834529226</t>
  </si>
  <si>
    <t>Baniyas AUH, 06TH AUG - Cash Collection TG</t>
  </si>
  <si>
    <t>26,018,505.46</t>
  </si>
  <si>
    <t>1415</t>
  </si>
  <si>
    <t>2508070834529229</t>
  </si>
  <si>
    <t>Old Shahama, 06TH AUG - Cash Collection TG</t>
  </si>
  <si>
    <t>26,158,505.46</t>
  </si>
  <si>
    <t>1416</t>
  </si>
  <si>
    <t>2508070834539232</t>
  </si>
  <si>
    <t>Al Forshan Central Mall Khalifa City AUH, 06TH AUG - Cash Collection TG</t>
  </si>
  <si>
    <t>26,478,505.46</t>
  </si>
  <si>
    <t>1417</t>
  </si>
  <si>
    <t>2508070834539235</t>
  </si>
  <si>
    <t>Shamkha Mall Abu dhabi, 06TH AUG - Cash Collection TG</t>
  </si>
  <si>
    <t>26,758,505.46</t>
  </si>
  <si>
    <t>1418</t>
  </si>
  <si>
    <t>2508070834539243</t>
  </si>
  <si>
    <t>Inside Bniyas Spike HyperMarkete AUH, 06TH AUG - Cash Collection TG</t>
  </si>
  <si>
    <t>27,128,505.46</t>
  </si>
  <si>
    <t>1419</t>
  </si>
  <si>
    <t>2508070834539253</t>
  </si>
  <si>
    <t>ICAD Musaffah AUH, 06TH AUG - Cash Collection TG</t>
  </si>
  <si>
    <t>27,428,505.46</t>
  </si>
  <si>
    <t>1420</t>
  </si>
  <si>
    <t>2508070834569555</t>
  </si>
  <si>
    <t>Sila Muroor Road AUH, 06TH AUG - Cash Collection TG</t>
  </si>
  <si>
    <t>27,628,505.46</t>
  </si>
  <si>
    <t>1421</t>
  </si>
  <si>
    <t>2508070834569558</t>
  </si>
  <si>
    <t>Beda Zayed auh, 06TH AUG - Cash Collection TG</t>
  </si>
  <si>
    <t>28,008,505.46</t>
  </si>
  <si>
    <t>1422</t>
  </si>
  <si>
    <t>2508070834569561</t>
  </si>
  <si>
    <t>SANAYA ZAYED TOWN W/R, 06TH AUG - Cash Collection TG</t>
  </si>
  <si>
    <t>28,418,505.46</t>
  </si>
  <si>
    <t>1423</t>
  </si>
  <si>
    <t>2508070834569564</t>
  </si>
  <si>
    <t>Ruwais AUH, 06TH AUG - Cash Collection TG</t>
  </si>
  <si>
    <t>28,688,505.46</t>
  </si>
  <si>
    <t>1424</t>
  </si>
  <si>
    <t>2508070834569567</t>
  </si>
  <si>
    <t>HAYER Al Ain1, 06TH AUG - Cash Collection TG</t>
  </si>
  <si>
    <t>29,198,505.46</t>
  </si>
  <si>
    <t>1425</t>
  </si>
  <si>
    <t>2508070834569570</t>
  </si>
  <si>
    <t>SWEIHAN  ALAIN, 06TH AUG - Cash Collection TG</t>
  </si>
  <si>
    <t>29,558,505.46</t>
  </si>
  <si>
    <t>1426</t>
  </si>
  <si>
    <t>2508070834569573</t>
  </si>
  <si>
    <t>AL FOAH MALL AL-AIN, 06TH AUG - Cash Collection TG</t>
  </si>
  <si>
    <t>29,758,505.46</t>
  </si>
  <si>
    <t>1427</t>
  </si>
  <si>
    <t>2508070834569576</t>
  </si>
  <si>
    <t>Gayathi Mubarak Ashwan AUH, 06TH AUG - Cash Collection TG</t>
  </si>
  <si>
    <t>29,908,505.46</t>
  </si>
  <si>
    <t>1428</t>
  </si>
  <si>
    <t>2508070834579587</t>
  </si>
  <si>
    <t>AL MARFA MARKET WR, 06TH AUG - Cash Collection TG</t>
  </si>
  <si>
    <t>30,158,505.46</t>
  </si>
  <si>
    <t>1429</t>
  </si>
  <si>
    <t>2508070834579590</t>
  </si>
  <si>
    <t>Lulu Hyper Markete Sanaiya Al Ain, 06TH AUG - Cash Collection TG</t>
  </si>
  <si>
    <t>30,498,505.46</t>
  </si>
  <si>
    <t>1430</t>
  </si>
  <si>
    <t>2508070834579593</t>
  </si>
  <si>
    <t>Al Yahar Al Ain, 06TH AUG - Cash Collection TG</t>
  </si>
  <si>
    <t>515,000.00</t>
  </si>
  <si>
    <t>31,013,505.46</t>
  </si>
  <si>
    <t>1431</t>
  </si>
  <si>
    <t>2508070834579596</t>
  </si>
  <si>
    <t>AL FARDAN EXCH DEREI BLDNG AL QUAA AA, 06TH AUG - Cash Collection TG</t>
  </si>
  <si>
    <t>31,213,505.46</t>
  </si>
  <si>
    <t>1432</t>
  </si>
  <si>
    <t>2508070834579599</t>
  </si>
  <si>
    <t>Boutik Mall al Reem island AUH, 06TH AUG - Cash Collection TG</t>
  </si>
  <si>
    <t>31,763,505.46</t>
  </si>
  <si>
    <t>1433</t>
  </si>
  <si>
    <t>2508070834579618</t>
  </si>
  <si>
    <t>TCA AUH, 06TH AUG - Cash Collection TG</t>
  </si>
  <si>
    <t>32,013,505.46</t>
  </si>
  <si>
    <t>1434</t>
  </si>
  <si>
    <t>2508070834579629</t>
  </si>
  <si>
    <t>Al Nahyan Street AUH, 06TH AUG - Cash Collection TG</t>
  </si>
  <si>
    <t>32,563,505.46</t>
  </si>
  <si>
    <t>1435</t>
  </si>
  <si>
    <t>2508070834579632</t>
  </si>
  <si>
    <t>B2B AUH, 06TH AUG - Cash Collection TG</t>
  </si>
  <si>
    <t>33,063,505.46</t>
  </si>
  <si>
    <t>1436</t>
  </si>
  <si>
    <t>2508070834579635</t>
  </si>
  <si>
    <t>Al Falah St Auh, 06TH AUG - Cash Collection TG</t>
  </si>
  <si>
    <t>33,173,505.46</t>
  </si>
  <si>
    <t>1437</t>
  </si>
  <si>
    <t>2508070834579638</t>
  </si>
  <si>
    <t>Al Wahda AUH, 06TH AUG - Cash Collection TG</t>
  </si>
  <si>
    <t>33,483,505.46</t>
  </si>
  <si>
    <t>1438</t>
  </si>
  <si>
    <t>2508070834579643</t>
  </si>
  <si>
    <t>Zayed 1st Street Electra AUH, 06TH AUG - Cash Collection TG</t>
  </si>
  <si>
    <t>33,783,505.46</t>
  </si>
  <si>
    <t>1439</t>
  </si>
  <si>
    <t>2508070834579662</t>
  </si>
  <si>
    <t>Hamdan Abu Dhabi, 06TH AUG - Cash Collection TG</t>
  </si>
  <si>
    <t>34,613,505.46</t>
  </si>
  <si>
    <t>1440</t>
  </si>
  <si>
    <t>2508070834579665</t>
  </si>
  <si>
    <t>Bin Dhgher Tower Khalidya AUH, 06TH AUG - Cash Collection TG</t>
  </si>
  <si>
    <t>35,093,505.46</t>
  </si>
  <si>
    <t>1441</t>
  </si>
  <si>
    <t>2508070834579684</t>
  </si>
  <si>
    <t>Souk Br Al-Ain, 06TH AUG - Cash Collection TG</t>
  </si>
  <si>
    <t>35,793,505.46</t>
  </si>
  <si>
    <t>1442</t>
  </si>
  <si>
    <t>2508070834579687</t>
  </si>
  <si>
    <t>Al Ain (Clock Tower)1, 06TH AUG - Cash Collection TG</t>
  </si>
  <si>
    <t>36,593,505.46</t>
  </si>
  <si>
    <t>1443</t>
  </si>
  <si>
    <t>2508070835010613</t>
  </si>
  <si>
    <t>REV, NAIF RD, 06TH AUG - Cash Collection TG</t>
  </si>
  <si>
    <t>36,173,505.46</t>
  </si>
  <si>
    <t>1444</t>
  </si>
  <si>
    <t>2508070835010627</t>
  </si>
  <si>
    <t>NAIF RD, 06TH AUG, SHORT - Cash Collection TG</t>
  </si>
  <si>
    <t>419,000.00</t>
  </si>
  <si>
    <t>36,592,505.46</t>
  </si>
  <si>
    <t>1445</t>
  </si>
  <si>
    <t>2508070835020616</t>
  </si>
  <si>
    <t>NESTO HYPRMRKT AJM, 06TH AUG - Cash Collection TG</t>
  </si>
  <si>
    <t>36,982,505.46</t>
  </si>
  <si>
    <t>1446</t>
  </si>
  <si>
    <t>2508070835020683</t>
  </si>
  <si>
    <t>CITY CENTER AL ZAHIA SHJ, 06TH AUG - Cash Collection TG</t>
  </si>
  <si>
    <t>720,000.00</t>
  </si>
  <si>
    <t>37,702,505.46</t>
  </si>
  <si>
    <t>1447</t>
  </si>
  <si>
    <t>2508070835020690</t>
  </si>
  <si>
    <t>DUBAI HILLS ESTATE DUBAI, 06TH AUG - Cash Collection TG</t>
  </si>
  <si>
    <t>37,922,505.46</t>
  </si>
  <si>
    <t>1448</t>
  </si>
  <si>
    <t>2508070835020696</t>
  </si>
  <si>
    <t>MOE 1, 06TH AUG - Cash Collection TG</t>
  </si>
  <si>
    <t>38,422,505.46</t>
  </si>
  <si>
    <t>1449</t>
  </si>
  <si>
    <t>2508070835020702</t>
  </si>
  <si>
    <t>NAIF RD, 06TH AUG - Cash Collection TG</t>
  </si>
  <si>
    <t>38,842,505.46</t>
  </si>
  <si>
    <t>1450</t>
  </si>
  <si>
    <t>2508070835020711</t>
  </si>
  <si>
    <t>FUJAIRAH, 06TH AUG - Cash Collection TG</t>
  </si>
  <si>
    <t>580,000.00</t>
  </si>
  <si>
    <t>39,422,505.46</t>
  </si>
  <si>
    <t>1451</t>
  </si>
  <si>
    <t>2508070835020732</t>
  </si>
  <si>
    <t>MUWEILAH SHJ, 06TH AUG - Cash Collection TG</t>
  </si>
  <si>
    <t>255,000.00</t>
  </si>
  <si>
    <t>39,677,505.46</t>
  </si>
  <si>
    <t>1452</t>
  </si>
  <si>
    <t>2508070835020744</t>
  </si>
  <si>
    <t>UAQ, 06TH AUG - Cash Collection TG</t>
  </si>
  <si>
    <t>315,000.00</t>
  </si>
  <si>
    <t>39,992,505.46</t>
  </si>
  <si>
    <t>1453</t>
  </si>
  <si>
    <t>2508070835020747</t>
  </si>
  <si>
    <t>AL RIGGA METRO STION DXB, 06TH AUG - Cash Collection TG</t>
  </si>
  <si>
    <t>40,592,505.46</t>
  </si>
  <si>
    <t>1454</t>
  </si>
  <si>
    <t>2508070835020753</t>
  </si>
  <si>
    <t>ONYX TOWER 1, 06TH AUG - Cash Collection TG</t>
  </si>
  <si>
    <t>41,192,505.46</t>
  </si>
  <si>
    <t>1455</t>
  </si>
  <si>
    <t>2508070835020756</t>
  </si>
  <si>
    <t>CLOCK TOWER 1, 06TH AUG - Cash Collection TG</t>
  </si>
  <si>
    <t>41,522,505.46</t>
  </si>
  <si>
    <t>1456</t>
  </si>
  <si>
    <t>2508070835020759</t>
  </si>
  <si>
    <t>CO OP SOCIETY SHJ 1, 06TH AUG - Cash Collection TG</t>
  </si>
  <si>
    <t>41,892,505.46</t>
  </si>
  <si>
    <t>1457</t>
  </si>
  <si>
    <t>2508070835020769</t>
  </si>
  <si>
    <t>DEIRA 1, 06TH AUG - Cash Collection TG</t>
  </si>
  <si>
    <t>13,000,000.00</t>
  </si>
  <si>
    <t>54,892,505.46</t>
  </si>
  <si>
    <t>1458</t>
  </si>
  <si>
    <t>2508070835030795</t>
  </si>
  <si>
    <t>BUR DUBAI, 06TH AUG - Cash Collection TG</t>
  </si>
  <si>
    <t>55,382,505.46</t>
  </si>
  <si>
    <t>1459</t>
  </si>
  <si>
    <t>2508070835030798</t>
  </si>
  <si>
    <t>SATWA 1, 06TH AUG - Cash Collection TG</t>
  </si>
  <si>
    <t>460,070.00</t>
  </si>
  <si>
    <t>55,842,575.46</t>
  </si>
  <si>
    <t>1460</t>
  </si>
  <si>
    <t>2508070835030823</t>
  </si>
  <si>
    <t>AL NHDA RES TWRS  SHJ, 06TH AUG - Cash Collection TG</t>
  </si>
  <si>
    <t>507,000.00</t>
  </si>
  <si>
    <t>56,349,575.46</t>
  </si>
  <si>
    <t>1461</t>
  </si>
  <si>
    <t>2508070835030829</t>
  </si>
  <si>
    <t>AL MADAM SHJ, 06TH AUG - Cash Collection TG</t>
  </si>
  <si>
    <t>56,639,575.46</t>
  </si>
  <si>
    <t>1462</t>
  </si>
  <si>
    <t>2508070835030847</t>
  </si>
  <si>
    <t>IND AREA 3 SHJ, 06TH AUG - Cash Collection TG</t>
  </si>
  <si>
    <t>170,000.00</t>
  </si>
  <si>
    <t>56,809,575.46</t>
  </si>
  <si>
    <t>1463</t>
  </si>
  <si>
    <t>2508070835030858</t>
  </si>
  <si>
    <t>DUBAI MALL LG UNIT171, 06TH AUG - Cash Collection TG</t>
  </si>
  <si>
    <t>57,409,575.46</t>
  </si>
  <si>
    <t>1464</t>
  </si>
  <si>
    <t>2508070835030861</t>
  </si>
  <si>
    <t>KARAMA DUBAI, 06TH AUG - Cash Collection TG</t>
  </si>
  <si>
    <t>58,309,575.46</t>
  </si>
  <si>
    <t>1465</t>
  </si>
  <si>
    <t>2508070835030867</t>
  </si>
  <si>
    <t>DIBBA FUJAIRAH, 06TH AUG - Cash Collection TG</t>
  </si>
  <si>
    <t>58,529,575.46</t>
  </si>
  <si>
    <t>1466</t>
  </si>
  <si>
    <t>B/O_1/IBTISSAM_DUIB_520992534_/REF/tr</t>
  </si>
  <si>
    <t>55,000.00</t>
  </si>
  <si>
    <t>58,584,575.46</t>
  </si>
  <si>
    <t>1467</t>
  </si>
  <si>
    <t>B/O_1/IBTISSAM_DUIB_520992594_/REF/tr</t>
  </si>
  <si>
    <t>58,639,575.46</t>
  </si>
  <si>
    <t>1468</t>
  </si>
  <si>
    <t>PHUB520992749</t>
  </si>
  <si>
    <t>520992749 B/O ABDUL REHMAN QURESHI</t>
  </si>
  <si>
    <t>1,100.00</t>
  </si>
  <si>
    <t>58,640,675.46</t>
  </si>
  <si>
    <t>1469</t>
  </si>
  <si>
    <t>50827587742</t>
  </si>
  <si>
    <t>25913868125 MBTRF B/O T N R FLOWERS TRADING LLC</t>
  </si>
  <si>
    <t>58,695,845.96</t>
  </si>
  <si>
    <t>1470</t>
  </si>
  <si>
    <t>212,125.00</t>
  </si>
  <si>
    <t>58,907,970.96</t>
  </si>
  <si>
    <t>1471</t>
  </si>
  <si>
    <t>PHUB521005651</t>
  </si>
  <si>
    <t>AL FARDAN RIPVAN</t>
  </si>
  <si>
    <t>61,060.25</t>
  </si>
  <si>
    <t>58,969,031.21</t>
  </si>
  <si>
    <t>1472</t>
  </si>
  <si>
    <t>PHUB521018342</t>
  </si>
  <si>
    <t>B/O_RAMESH OR _HSBC_521018342_AEV0708</t>
  </si>
  <si>
    <t>83,855.00</t>
  </si>
  <si>
    <t>59,052,886.21</t>
  </si>
  <si>
    <t>1473</t>
  </si>
  <si>
    <t>68,937.87</t>
  </si>
  <si>
    <t>59,121,824.08</t>
  </si>
  <si>
    <t>1474</t>
  </si>
  <si>
    <t>58,594.00</t>
  </si>
  <si>
    <t>59,180,418.08</t>
  </si>
  <si>
    <t>1475</t>
  </si>
  <si>
    <t>12,149.50</t>
  </si>
  <si>
    <t>59,192,567.58</t>
  </si>
  <si>
    <t>1476</t>
  </si>
  <si>
    <t>95,735.00</t>
  </si>
  <si>
    <t>59,288,302.58</t>
  </si>
  <si>
    <t>1477</t>
  </si>
  <si>
    <t>PHUB521026324</t>
  </si>
  <si>
    <t>REQ25124 DOMAIN RENEWAL</t>
  </si>
  <si>
    <t>561.00</t>
  </si>
  <si>
    <t>59,288,863.58</t>
  </si>
  <si>
    <t>1478</t>
  </si>
  <si>
    <t>PHUB521038040</t>
  </si>
  <si>
    <t>B/O_1/ANWAR AL_DUIB_521038040_/REF/FJ</t>
  </si>
  <si>
    <t>174,932.50</t>
  </si>
  <si>
    <t>59,463,796.08</t>
  </si>
  <si>
    <t>1479</t>
  </si>
  <si>
    <t>50829619618</t>
  </si>
  <si>
    <t>2535430370 IBTRF B/O AL MAAMOURA AGRICULTURAL NURSERIES</t>
  </si>
  <si>
    <t>1,305.25</t>
  </si>
  <si>
    <t>59,465,101.33</t>
  </si>
  <si>
    <t>1480</t>
  </si>
  <si>
    <t>PHUB521056526</t>
  </si>
  <si>
    <t>IMD 07082025</t>
  </si>
  <si>
    <t>41,790,687.62</t>
  </si>
  <si>
    <t>17,674,413.71</t>
  </si>
  <si>
    <t>1481</t>
  </si>
  <si>
    <t>PHUB521057060</t>
  </si>
  <si>
    <t>USD BUY 07082025</t>
  </si>
  <si>
    <t>26,447,760.00</t>
  </si>
  <si>
    <t>-8,773,346.29</t>
  </si>
  <si>
    <t>1482</t>
  </si>
  <si>
    <t>B/O_IBTISSAM CHEROUI_521060125</t>
  </si>
  <si>
    <t>-8,733,346.29</t>
  </si>
  <si>
    <t>1483</t>
  </si>
  <si>
    <t>PHUB521061809</t>
  </si>
  <si>
    <t>B/O_LLC SPEED TRACK _521061809</t>
  </si>
  <si>
    <t>21,660.75</t>
  </si>
  <si>
    <t>-8,711,685.54</t>
  </si>
  <si>
    <t>1484</t>
  </si>
  <si>
    <t>PHUB521086088</t>
  </si>
  <si>
    <t>MOB0708251100538027116</t>
  </si>
  <si>
    <t>B/O FALCON NEW REPACKAGING SERVICES</t>
  </si>
  <si>
    <t>13,429.40</t>
  </si>
  <si>
    <t>-8,698,256.14</t>
  </si>
  <si>
    <t>1485</t>
  </si>
  <si>
    <t>PHUB521066143</t>
  </si>
  <si>
    <t>EOS EX2097</t>
  </si>
  <si>
    <t>O/W TRF 521066143</t>
  </si>
  <si>
    <t>7,600.00</t>
  </si>
  <si>
    <t>-8,705,856.14</t>
  </si>
  <si>
    <t>1486</t>
  </si>
  <si>
    <t>CHCB521066143</t>
  </si>
  <si>
    <t>O/W PROCESSING CHARGE 521066143</t>
  </si>
  <si>
    <t>-8,705,871.89</t>
  </si>
  <si>
    <t>1487</t>
  </si>
  <si>
    <t>CHRG521066143</t>
  </si>
  <si>
    <t>O/W CORR BK CHARGE 521066143</t>
  </si>
  <si>
    <t>-8,705,872.94</t>
  </si>
  <si>
    <t>1488</t>
  </si>
  <si>
    <t>000576</t>
  </si>
  <si>
    <t>INHOUSE CHEQUE DEPOSIT 000576 MUHAMMAD AKRAM NAZAR   MUHAMMAD AL FARDAN EXCHANGE SP LLC CHQ NO ::000576</t>
  </si>
  <si>
    <t>4,209.75</t>
  </si>
  <si>
    <t>-8,701,663.19</t>
  </si>
  <si>
    <t>1489</t>
  </si>
  <si>
    <t>PHUB521095216</t>
  </si>
  <si>
    <t>PAYABLE</t>
  </si>
  <si>
    <t>B/O A M S MARITIME LLC</t>
  </si>
  <si>
    <t>3,933.00</t>
  </si>
  <si>
    <t>-8,697,730.19</t>
  </si>
  <si>
    <t>1490</t>
  </si>
  <si>
    <t>50831141923</t>
  </si>
  <si>
    <t>-8,597,730.19</t>
  </si>
  <si>
    <t>1491</t>
  </si>
  <si>
    <t>50831178235</t>
  </si>
  <si>
    <t>-8,497,730.19</t>
  </si>
  <si>
    <t>1492</t>
  </si>
  <si>
    <t>50831215782</t>
  </si>
  <si>
    <t>-8,447,730.19</t>
  </si>
  <si>
    <t>1493</t>
  </si>
  <si>
    <t>50831284879</t>
  </si>
  <si>
    <t>25917348706 MBTRF B/O ABU FAISAL AUTO MOTIVE PARTS LLC</t>
  </si>
  <si>
    <t>67,207.25</t>
  </si>
  <si>
    <t>-8,380,522.94</t>
  </si>
  <si>
    <t>1494</t>
  </si>
  <si>
    <t>000039</t>
  </si>
  <si>
    <t>INHOUSE CHEQUE DEPOSIT 000039 DIL JAN MOHAMMAD   ALI AL FARDAN EXCHANGE SP LLC CHQ NO ::000039</t>
  </si>
  <si>
    <t>3,464.00</t>
  </si>
  <si>
    <t>-8,377,058.94</t>
  </si>
  <si>
    <t>1495</t>
  </si>
  <si>
    <t>INHOUSE CHEQUE DEPOSIT 000055 NIKIN MANJIPARAMBIL SURESH BABU  SURESH BABU AL FARDAN EXCHANGE SP LLC CHQ NO ::000055</t>
  </si>
  <si>
    <t>-8,047,058.94</t>
  </si>
  <si>
    <t>1496</t>
  </si>
  <si>
    <t>PHUB521102457</t>
  </si>
  <si>
    <t>CA 07082025</t>
  </si>
  <si>
    <t>27,900,000.00</t>
  </si>
  <si>
    <t>19,852,941.06</t>
  </si>
  <si>
    <t>1497</t>
  </si>
  <si>
    <t>50831760845</t>
  </si>
  <si>
    <t>2535513304 IBTRF B/O CORNER STONE ADV AND PUB LLC SP</t>
  </si>
  <si>
    <t>5,026.25</t>
  </si>
  <si>
    <t>19,857,967.31</t>
  </si>
  <si>
    <t>1498</t>
  </si>
  <si>
    <t>2,505.25</t>
  </si>
  <si>
    <t>19,860,472.56</t>
  </si>
  <si>
    <t>1499</t>
  </si>
  <si>
    <t>PHUB521111001</t>
  </si>
  <si>
    <t>B/O_SOLE PROPRIETORS_521111001</t>
  </si>
  <si>
    <t>12,431.25</t>
  </si>
  <si>
    <t>19,872,903.81</t>
  </si>
  <si>
    <t>1500</t>
  </si>
  <si>
    <t>B/O TECHQIQ TECHNICAL SERVICES CO LLC</t>
  </si>
  <si>
    <t>10,500.00</t>
  </si>
  <si>
    <t>19,883,403.81</t>
  </si>
  <si>
    <t>1501</t>
  </si>
  <si>
    <t>B/O_ASIF HAYAT QURES_521115380</t>
  </si>
  <si>
    <t>5,392.50</t>
  </si>
  <si>
    <t>19,888,796.31</t>
  </si>
  <si>
    <t>1502</t>
  </si>
  <si>
    <t>PHUB521117259</t>
  </si>
  <si>
    <t>B/O_BRIKPRO RE_BOML_521117259_ COMMIS</t>
  </si>
  <si>
    <t>19,903,796.31</t>
  </si>
  <si>
    <t>1503</t>
  </si>
  <si>
    <t>000024</t>
  </si>
  <si>
    <t>INHOUSE CHEQUE DEPOSIT 000024 MUHAMMED ANWAR JAWAHAR    JAWAHAR AL FARDAN EXCHANGE SP LLC CHQ NO ::000024</t>
  </si>
  <si>
    <t>21,046.40</t>
  </si>
  <si>
    <t>19,924,842.71</t>
  </si>
  <si>
    <t>1504</t>
  </si>
  <si>
    <t>PHUB521136605</t>
  </si>
  <si>
    <t>939.75</t>
  </si>
  <si>
    <t>19,925,782.46</t>
  </si>
  <si>
    <t>1505</t>
  </si>
  <si>
    <t>PHUB521137860</t>
  </si>
  <si>
    <t>5.00</t>
  </si>
  <si>
    <t>19,925,787.46</t>
  </si>
  <si>
    <t>1506</t>
  </si>
  <si>
    <t>B/O_KHAMIS RAS_ADIB_521140463_Goods b</t>
  </si>
  <si>
    <t>59,065.74</t>
  </si>
  <si>
    <t>19,984,853.20</t>
  </si>
  <si>
    <t>1507</t>
  </si>
  <si>
    <t>PHUB521140665</t>
  </si>
  <si>
    <t>3441</t>
  </si>
  <si>
    <t>B/O AL REMAL TILES &amp; MARBLE CO LLC</t>
  </si>
  <si>
    <t>28,305.00</t>
  </si>
  <si>
    <t>20,013,158.20</t>
  </si>
  <si>
    <t>1508</t>
  </si>
  <si>
    <t>PHUB521142288</t>
  </si>
  <si>
    <t>521142288 B/O IMRAN AHMED KHAN</t>
  </si>
  <si>
    <t>20,023,158.20</t>
  </si>
  <si>
    <t>1509</t>
  </si>
  <si>
    <t>PHUB521142354</t>
  </si>
  <si>
    <t>521142354 B/O RUKN AL TALEEM SCHOOL FUR.TR LLC</t>
  </si>
  <si>
    <t>18,187.00</t>
  </si>
  <si>
    <t>20,041,345.20</t>
  </si>
  <si>
    <t>1510</t>
  </si>
  <si>
    <t>PHUB521143834</t>
  </si>
  <si>
    <t>2,010.75</t>
  </si>
  <si>
    <t>20,043,355.95</t>
  </si>
  <si>
    <t>1511</t>
  </si>
  <si>
    <t>PHUB521148465</t>
  </si>
  <si>
    <t>521148465 B/O ABDULLA HASAN YASLAM KALILAH ALAMERI</t>
  </si>
  <si>
    <t>20,044,355.95</t>
  </si>
  <si>
    <t>1512</t>
  </si>
  <si>
    <t>50834331631</t>
  </si>
  <si>
    <t>2535606361 IBTRF B/O NATIONAL FLOWERS LLC SPC</t>
  </si>
  <si>
    <t>30,584.09</t>
  </si>
  <si>
    <t>20,074,940.04</t>
  </si>
  <si>
    <t>1513</t>
  </si>
  <si>
    <t>B/O_I N C A JE_UNIL_521152182_25219bc</t>
  </si>
  <si>
    <t>11,034,000.00</t>
  </si>
  <si>
    <t>31,108,940.04</t>
  </si>
  <si>
    <t>1514</t>
  </si>
  <si>
    <t>PHUB521153301</t>
  </si>
  <si>
    <t>B/O_AFRA SAIF AHMED _521153301</t>
  </si>
  <si>
    <t>31,123,940.04</t>
  </si>
  <si>
    <t>1515</t>
  </si>
  <si>
    <t>PHUB521154204</t>
  </si>
  <si>
    <t>B/O_FZE TECHNI_ADIB_521154204_PAYMENT</t>
  </si>
  <si>
    <t>162,216.20</t>
  </si>
  <si>
    <t>31,286,156.24</t>
  </si>
  <si>
    <t>1516</t>
  </si>
  <si>
    <t>009822</t>
  </si>
  <si>
    <t>INHOUSE CHEQUE DEPOSIT 009822 RIYAS KUNIYIL    KUNHABDULLA AL FARDAN EXCHANGE SP LLC CHQ NO ::009822</t>
  </si>
  <si>
    <t>273,471.75</t>
  </si>
  <si>
    <t>31,559,627.99</t>
  </si>
  <si>
    <t>1517</t>
  </si>
  <si>
    <t>PHUB521155386</t>
  </si>
  <si>
    <t>OES2ADCB21</t>
  </si>
  <si>
    <t>B/O OASIS ENVIRONMENTAL SERVICES</t>
  </si>
  <si>
    <t>23,285.00</t>
  </si>
  <si>
    <t>31,582,912.99</t>
  </si>
  <si>
    <t>1518</t>
  </si>
  <si>
    <t>31,220.38</t>
  </si>
  <si>
    <t>31,614,133.37</t>
  </si>
  <si>
    <t>1519</t>
  </si>
  <si>
    <t>PHUB521158970</t>
  </si>
  <si>
    <t>33,059,700.00</t>
  </si>
  <si>
    <t>-1,445,566.63</t>
  </si>
  <si>
    <t>1520</t>
  </si>
  <si>
    <t>50834843034</t>
  </si>
  <si>
    <t>25920729541 MBTRF B/O JANARDHAN KOTHAPALLI</t>
  </si>
  <si>
    <t>27,615.50</t>
  </si>
  <si>
    <t>-1,417,951.13</t>
  </si>
  <si>
    <t>1521</t>
  </si>
  <si>
    <t>PHUB521162234</t>
  </si>
  <si>
    <t>HCT21</t>
  </si>
  <si>
    <t>B/O HIGH TECH COSMETICS TRADING LLC</t>
  </si>
  <si>
    <t>7,680.73</t>
  </si>
  <si>
    <t>-1,410,270.40</t>
  </si>
  <si>
    <t>1522</t>
  </si>
  <si>
    <t>PHUB521163501</t>
  </si>
  <si>
    <t>MOB0708251345588030431</t>
  </si>
  <si>
    <t>1,164.75</t>
  </si>
  <si>
    <t>-1,409,105.65</t>
  </si>
  <si>
    <t>1523</t>
  </si>
  <si>
    <t>PHUB521164032</t>
  </si>
  <si>
    <t>B/O_AVA MIDDLE_NBFU_521164032_PAYMENT</t>
  </si>
  <si>
    <t>259,665.97</t>
  </si>
  <si>
    <t>-1,149,439.68</t>
  </si>
  <si>
    <t>1524</t>
  </si>
  <si>
    <t>PHUB521167020</t>
  </si>
  <si>
    <t>IRJV20250986</t>
  </si>
  <si>
    <t>B/O INDMAN RECRUITMENT - L.L.C - S.P.C</t>
  </si>
  <si>
    <t>4,037.52</t>
  </si>
  <si>
    <t>-1,145,402.16</t>
  </si>
  <si>
    <t>1525</t>
  </si>
  <si>
    <t>PHUB521173098</t>
  </si>
  <si>
    <t>521173098 B/O NIVINE SABRY ABDELATY ALI</t>
  </si>
  <si>
    <t>7,019.75</t>
  </si>
  <si>
    <t>-1,138,382.41</t>
  </si>
  <si>
    <t>1526</t>
  </si>
  <si>
    <t>PHUB521168874</t>
  </si>
  <si>
    <t>Jul 2025</t>
  </si>
  <si>
    <t>B/O AL KHALEEJ EQUIP&amp;INDU SUPPLIER LLC</t>
  </si>
  <si>
    <t>6.30</t>
  </si>
  <si>
    <t>-1,138,376.11</t>
  </si>
  <si>
    <t>1527</t>
  </si>
  <si>
    <t>PHUB521168875</t>
  </si>
  <si>
    <t>Jun 2025</t>
  </si>
  <si>
    <t>-1,138,369.81</t>
  </si>
  <si>
    <t>1528</t>
  </si>
  <si>
    <t>PHUB521168876</t>
  </si>
  <si>
    <t>May 2025</t>
  </si>
  <si>
    <t>-1,138,363.51</t>
  </si>
  <si>
    <t>1529</t>
  </si>
  <si>
    <t>PHUB521168877</t>
  </si>
  <si>
    <t>Apr 2025</t>
  </si>
  <si>
    <t>-1,138,357.21</t>
  </si>
  <si>
    <t>1530</t>
  </si>
  <si>
    <t>PHUB521168878</t>
  </si>
  <si>
    <t>Mar 2025</t>
  </si>
  <si>
    <t>-1,138,350.91</t>
  </si>
  <si>
    <t>1531</t>
  </si>
  <si>
    <t>PHUB521168879</t>
  </si>
  <si>
    <t>Feb 2025</t>
  </si>
  <si>
    <t>9.45</t>
  </si>
  <si>
    <t>-1,138,341.46</t>
  </si>
  <si>
    <t>1532</t>
  </si>
  <si>
    <t>PHUB521174164</t>
  </si>
  <si>
    <t>ENB35</t>
  </si>
  <si>
    <t>B/O EMIRATES NATIONAL BATTERIES FACTORY</t>
  </si>
  <si>
    <t>22,563.00</t>
  </si>
  <si>
    <t>-1,115,778.46</t>
  </si>
  <si>
    <t>1533</t>
  </si>
  <si>
    <t>PHUB521174291</t>
  </si>
  <si>
    <t>SALARY FOR JULY 2025</t>
  </si>
  <si>
    <t>B/O MARJAN ALMUSTAQBAL AUTONEW SP TRLLC</t>
  </si>
  <si>
    <t>-1,112,278.46</t>
  </si>
  <si>
    <t>1534</t>
  </si>
  <si>
    <t>PHUB521170136</t>
  </si>
  <si>
    <t>B/O_LPFLEX BAS_EBIL_521170136_LPFLEX</t>
  </si>
  <si>
    <t>20,615.75</t>
  </si>
  <si>
    <t>-1,091,662.71</t>
  </si>
  <si>
    <t>1535</t>
  </si>
  <si>
    <t>PHUB521184507</t>
  </si>
  <si>
    <t>521184507 B/O SONABIZ Accounting and  Bookkeeping</t>
  </si>
  <si>
    <t>4,036.25</t>
  </si>
  <si>
    <t>-1,087,626.46</t>
  </si>
  <si>
    <t>1536</t>
  </si>
  <si>
    <t>PHUB521196960</t>
  </si>
  <si>
    <t>B/O_TR LLC BAW_ADIB_521196960_goods</t>
  </si>
  <si>
    <t>169,065.00</t>
  </si>
  <si>
    <t>-918,561.46</t>
  </si>
  <si>
    <t>1537</t>
  </si>
  <si>
    <t>PHUB521197778</t>
  </si>
  <si>
    <t>B/O_CITY CARE _ABIN_521197778_CCSS LA</t>
  </si>
  <si>
    <t>68,317.98</t>
  </si>
  <si>
    <t>-850,243.48</t>
  </si>
  <si>
    <t>1538</t>
  </si>
  <si>
    <t>PHUB521197782</t>
  </si>
  <si>
    <t>B/O_CITY CARE _ABIN_521197782_CCFM LA</t>
  </si>
  <si>
    <t>38,439.36</t>
  </si>
  <si>
    <t>-811,804.12</t>
  </si>
  <si>
    <t>1539</t>
  </si>
  <si>
    <t>PHUB521197787</t>
  </si>
  <si>
    <t>B/O_CITY CARE _ABIN_521197787_CCS LAB</t>
  </si>
  <si>
    <t>47,188.12</t>
  </si>
  <si>
    <t>-764,616.00</t>
  </si>
  <si>
    <t>1540</t>
  </si>
  <si>
    <t>50836842518</t>
  </si>
  <si>
    <t>25922690190 MBTRF B/O SATHISH CHANDRAN</t>
  </si>
  <si>
    <t>21,017.50</t>
  </si>
  <si>
    <t>-743,598.50</t>
  </si>
  <si>
    <t>1541</t>
  </si>
  <si>
    <t>PHUB521198271</t>
  </si>
  <si>
    <t>B/O_TR LLC BAW_ADIB_521198271_goods</t>
  </si>
  <si>
    <t>55,171.00</t>
  </si>
  <si>
    <t>-688,427.50</t>
  </si>
  <si>
    <t>1542</t>
  </si>
  <si>
    <t>000006</t>
  </si>
  <si>
    <t>INHOUSE CHEQUE DEPOSIT 000006 SANTHOSH PUTHOOR VALSALA VALIYA MEKKAT   SREEDHARA AL FARDAN EXCHANGE SP LLC CHQ NO ::000006</t>
  </si>
  <si>
    <t>178,851.41</t>
  </si>
  <si>
    <t>-509,576.09</t>
  </si>
  <si>
    <t>1543</t>
  </si>
  <si>
    <t>PHUB521201316</t>
  </si>
  <si>
    <t>B/O_(L.L.C) CL_ADIB_521201316_SEELEY</t>
  </si>
  <si>
    <t>69,060.50</t>
  </si>
  <si>
    <t>-440,515.59</t>
  </si>
  <si>
    <t>1544</t>
  </si>
  <si>
    <t>PHUB521201832</t>
  </si>
  <si>
    <t>MOB0708251507588031798</t>
  </si>
  <si>
    <t>4,516.50</t>
  </si>
  <si>
    <t>-435,999.09</t>
  </si>
  <si>
    <t>1545</t>
  </si>
  <si>
    <t>PHUB521202327</t>
  </si>
  <si>
    <t>MOB0708251509068031870</t>
  </si>
  <si>
    <t>B/O ELMERITO SHIPPING N LOGISTIC SRVLLC</t>
  </si>
  <si>
    <t>7,015.00</t>
  </si>
  <si>
    <t>-428,984.09</t>
  </si>
  <si>
    <t>1546</t>
  </si>
  <si>
    <t>025035</t>
  </si>
  <si>
    <t>INHOUSE CHEQUE DEPOSIT 025035 BASHEER PULIKKAL    IBRAHIM AL FARDAN EXCHANGE SP LLC CHQ NO ::025035</t>
  </si>
  <si>
    <t>16,444.44</t>
  </si>
  <si>
    <t>-412,539.65</t>
  </si>
  <si>
    <t>1547</t>
  </si>
  <si>
    <t>B/O_NARASINGA RAO PA_521202991</t>
  </si>
  <si>
    <t>-392,539.65</t>
  </si>
  <si>
    <t>1548</t>
  </si>
  <si>
    <t>PHUB521206563</t>
  </si>
  <si>
    <t>B/O_APPLUS RTD_CITI_521206563_ALFARDA</t>
  </si>
  <si>
    <t>784,358.05</t>
  </si>
  <si>
    <t>391,818.40</t>
  </si>
  <si>
    <t>1549</t>
  </si>
  <si>
    <t>PHUB521207652</t>
  </si>
  <si>
    <t>B/O_EXTREME EX_BOML_521207652_ ADMIN</t>
  </si>
  <si>
    <t>15,776.25</t>
  </si>
  <si>
    <t>407,594.65</t>
  </si>
  <si>
    <t>1550</t>
  </si>
  <si>
    <t>009586</t>
  </si>
  <si>
    <t>INHOUSE CHEQUE DEPOSIT 009586 MOHAMMAD ABDUL NUR MD SAYED  JAMAL AL FARDAN EXCHANGE SP LLC CHQ NO ::009586</t>
  </si>
  <si>
    <t>2,533.00</t>
  </si>
  <si>
    <t>410,127.65</t>
  </si>
  <si>
    <t>1551</t>
  </si>
  <si>
    <t>006092</t>
  </si>
  <si>
    <t>INHOUSE CHEQUE DEPOSIT 006092 MOHAMMAD ABDUL NUR MD SAYED  JAMAL AL FARDAN EXCHANGE SP LLC CHQ NO ::006092</t>
  </si>
  <si>
    <t>56,849.00</t>
  </si>
  <si>
    <t>466,976.65</t>
  </si>
  <si>
    <t>1552</t>
  </si>
  <si>
    <t>006093</t>
  </si>
  <si>
    <t>INHOUSE CHEQUE DEPOSIT 006093 MOHAMMAD ABDUL NUR MD SAYED  JAMAL AL FARDAN EXCHANGE SP LLC CHQ NO ::006093</t>
  </si>
  <si>
    <t>3,483.00</t>
  </si>
  <si>
    <t>470,459.65</t>
  </si>
  <si>
    <t>1553</t>
  </si>
  <si>
    <t>50837617015</t>
  </si>
  <si>
    <t>25923445518 MBTRF B/O SOUMYA SARIN</t>
  </si>
  <si>
    <t>42,008.03</t>
  </si>
  <si>
    <t>512,467.68</t>
  </si>
  <si>
    <t>1554</t>
  </si>
  <si>
    <t>009588</t>
  </si>
  <si>
    <t>INHOUSE CHEQUE DEPOSIT 009588 MOHAMMAD ABDUL NUR MD SAYED  JAMAL AL FARDAN EXCHANGE SP LLC CHQ NO ::009588</t>
  </si>
  <si>
    <t>124,389.00</t>
  </si>
  <si>
    <t>636,856.68</t>
  </si>
  <si>
    <t>1555</t>
  </si>
  <si>
    <t>50837749014</t>
  </si>
  <si>
    <t>2535714498 IBTRF B/O KARISHMA  SURESH  LALWANI</t>
  </si>
  <si>
    <t>93,138.00</t>
  </si>
  <si>
    <t>729,994.68</t>
  </si>
  <si>
    <t>1556</t>
  </si>
  <si>
    <t>000191</t>
  </si>
  <si>
    <t>INHOUSE CHEQUE DEPOSIT 000191 SMERA VADASSERY RAVI RAVI VADASSERY  VIJAYAN AL FARDAN EXCHANGE SP LLC CHQ NO ::000191</t>
  </si>
  <si>
    <t>779,994.68</t>
  </si>
  <si>
    <t>1557</t>
  </si>
  <si>
    <t>PHUB521216169</t>
  </si>
  <si>
    <t>SHAILESH KUMAR</t>
  </si>
  <si>
    <t>3,179.08</t>
  </si>
  <si>
    <t>783,173.76</t>
  </si>
  <si>
    <t>1558</t>
  </si>
  <si>
    <t>50837946556</t>
  </si>
  <si>
    <t>2535720313 IBTRF B/O OPTIONS HOLIDAYS AND TOURISM LLC</t>
  </si>
  <si>
    <t>8,827.36</t>
  </si>
  <si>
    <t>792,001.12</t>
  </si>
  <si>
    <t>1559</t>
  </si>
  <si>
    <t>IZMIR CONVEYANCING</t>
  </si>
  <si>
    <t>INHOUSE CHEQUE DEPOSIT IZMIR CONVEYANCING AL FARDAN EXCHANGE SP LLC CHQ NO ::000011</t>
  </si>
  <si>
    <t>20,350.00</t>
  </si>
  <si>
    <t>812,351.12</t>
  </si>
  <si>
    <t>1560</t>
  </si>
  <si>
    <t>INHOUSE CHEQUE DEPOSIT 000008 SHAMSHEER KHAN AHAMED KHAN AHAMED  KHAN AL FARDAN EXCHANGE SP LLC CHQ NO ::000008</t>
  </si>
  <si>
    <t>31,447.00</t>
  </si>
  <si>
    <t>843,798.12</t>
  </si>
  <si>
    <t>1561</t>
  </si>
  <si>
    <t>B/O_INDUSTRIAL_NBAD_521220956_2501005</t>
  </si>
  <si>
    <t>8,702.22</t>
  </si>
  <si>
    <t>852,500.34</t>
  </si>
  <si>
    <t>1562</t>
  </si>
  <si>
    <t>003544</t>
  </si>
  <si>
    <t>INHOUSE CHEQUE DEPOSIT 003544 BADARUDEEN SHAMSUDEEN    SHAMSUDEEN AL FARDAN EXCHANGE SP LLC CHQ NO ::003544</t>
  </si>
  <si>
    <t>1,852,500.34</t>
  </si>
  <si>
    <t>1563</t>
  </si>
  <si>
    <t>PHUB521231109</t>
  </si>
  <si>
    <t>MOB0708251614298032956</t>
  </si>
  <si>
    <t>63,200.00</t>
  </si>
  <si>
    <t>1,915,700.34</t>
  </si>
  <si>
    <t>1564</t>
  </si>
  <si>
    <t>50838743781</t>
  </si>
  <si>
    <t>25924559816 MBTRF B/O MANASIK TRAVELS SP LLC</t>
  </si>
  <si>
    <t>16,228.00</t>
  </si>
  <si>
    <t>1,931,928.34</t>
  </si>
  <si>
    <t>1565</t>
  </si>
  <si>
    <t>PHUB521232743</t>
  </si>
  <si>
    <t>B/O_AEROSTYLE _NBSH_521232743_TOF - T</t>
  </si>
  <si>
    <t>1,987,098.84</t>
  </si>
  <si>
    <t>1566</t>
  </si>
  <si>
    <t>50838915919</t>
  </si>
  <si>
    <t>25924730182 MBTRF B/O FAISWAL PALAPPURA</t>
  </si>
  <si>
    <t>1,995,098.84</t>
  </si>
  <si>
    <t>1567</t>
  </si>
  <si>
    <t>50839018246</t>
  </si>
  <si>
    <t>25924831059 MBTRF B/O SAKHI REAL ESTATE LLC</t>
  </si>
  <si>
    <t>1,995,361.34</t>
  </si>
  <si>
    <t>1568</t>
  </si>
  <si>
    <t>PHUB521241114</t>
  </si>
  <si>
    <t>521241114 B/O SHAN HASSAN BABA</t>
  </si>
  <si>
    <t>7,310.00</t>
  </si>
  <si>
    <t>2,002,671.34</t>
  </si>
  <si>
    <t>1569</t>
  </si>
  <si>
    <t>PHUB521245018</t>
  </si>
  <si>
    <t>B/O_A/C. 19369_ADIB_521245018_Financi</t>
  </si>
  <si>
    <t>147,000.50</t>
  </si>
  <si>
    <t>2,149,671.84</t>
  </si>
  <si>
    <t>1570</t>
  </si>
  <si>
    <t>PHUB521245033</t>
  </si>
  <si>
    <t>B/O_A/C. 19369_ADIB_521245033_Financi</t>
  </si>
  <si>
    <t>109,218.55</t>
  </si>
  <si>
    <t>2,258,890.39</t>
  </si>
  <si>
    <t>1571</t>
  </si>
  <si>
    <t>PHUB521248625</t>
  </si>
  <si>
    <t>B/O_MR VISHNU _HSBC_521248625_AEV0708</t>
  </si>
  <si>
    <t>2,358,890.39</t>
  </si>
  <si>
    <t>1572</t>
  </si>
  <si>
    <t>PHUB521251251</t>
  </si>
  <si>
    <t>B/O_SAFAA ABDU_NBSH_521251251_TOF - T</t>
  </si>
  <si>
    <t>2,920.00</t>
  </si>
  <si>
    <t>2,361,810.39</t>
  </si>
  <si>
    <t>1573</t>
  </si>
  <si>
    <t>PHUB521257942</t>
  </si>
  <si>
    <t>B/O_MEDITERRAN_NBAD_521257942_CTM 103</t>
  </si>
  <si>
    <t>381,860.75</t>
  </si>
  <si>
    <t>2,743,671.14</t>
  </si>
  <si>
    <t>1574</t>
  </si>
  <si>
    <t>PHUB521262790</t>
  </si>
  <si>
    <t>B/O_CREDO COMM_NBAD_521262790_AvvRi</t>
  </si>
  <si>
    <t>29,986.00</t>
  </si>
  <si>
    <t>2,773,657.14</t>
  </si>
  <si>
    <t>1575</t>
  </si>
  <si>
    <t>PHUB521270387</t>
  </si>
  <si>
    <t>35451</t>
  </si>
  <si>
    <t>31.50</t>
  </si>
  <si>
    <t>2,773,688.64</t>
  </si>
  <si>
    <t>1576</t>
  </si>
  <si>
    <t>PHUB521270361</t>
  </si>
  <si>
    <t>35455</t>
  </si>
  <si>
    <t>76,480.20</t>
  </si>
  <si>
    <t>2,850,168.84</t>
  </si>
  <si>
    <t>1577</t>
  </si>
  <si>
    <t>PHUB521270363</t>
  </si>
  <si>
    <t>35452</t>
  </si>
  <si>
    <t>16.80</t>
  </si>
  <si>
    <t>2,850,185.64</t>
  </si>
  <si>
    <t>1578</t>
  </si>
  <si>
    <t>PHUB521270414</t>
  </si>
  <si>
    <t>35457</t>
  </si>
  <si>
    <t>14.70</t>
  </si>
  <si>
    <t>2,850,200.34</t>
  </si>
  <si>
    <t>1579</t>
  </si>
  <si>
    <t>PHUB521270409</t>
  </si>
  <si>
    <t>35454</t>
  </si>
  <si>
    <t>119.70</t>
  </si>
  <si>
    <t>2,850,320.04</t>
  </si>
  <si>
    <t>1580</t>
  </si>
  <si>
    <t>PHUB521270391</t>
  </si>
  <si>
    <t>35456</t>
  </si>
  <si>
    <t>2,850,332.64</t>
  </si>
  <si>
    <t>1581</t>
  </si>
  <si>
    <t>PHUB521270390</t>
  </si>
  <si>
    <t>35453</t>
  </si>
  <si>
    <t>2,850,349.44</t>
  </si>
  <si>
    <t>1582</t>
  </si>
  <si>
    <t>PHUB521273055</t>
  </si>
  <si>
    <t>521273055 B/O OMAR SAAB SAAB</t>
  </si>
  <si>
    <t>6,622.95</t>
  </si>
  <si>
    <t>2,856,972.39</t>
  </si>
  <si>
    <t>1583</t>
  </si>
  <si>
    <t>506138</t>
  </si>
  <si>
    <t>CHEQUE DEPOSIT 506138 SHER ZAMAN     WALIZADA 705010403 CHQ NO ::506138</t>
  </si>
  <si>
    <t>52,868.00</t>
  </si>
  <si>
    <t>2,909,840.39</t>
  </si>
  <si>
    <t>1584</t>
  </si>
  <si>
    <t>029390</t>
  </si>
  <si>
    <t>CHEQUE DEPOSIT DAZZLING GRAPH 103130112 CHQ NO ::029390</t>
  </si>
  <si>
    <t>79,305.24</t>
  </si>
  <si>
    <t>2,989,145.63</t>
  </si>
  <si>
    <t>1585</t>
  </si>
  <si>
    <t>001661</t>
  </si>
  <si>
    <t>CHEQUE DEPOSIT 001661 SHAMSHEER KHAN AHAMED KHAN AHAMED  KHAN 104030136 CHQ NO ::001661</t>
  </si>
  <si>
    <t>288,000.00</t>
  </si>
  <si>
    <t>3,277,145.63</t>
  </si>
  <si>
    <t>1586</t>
  </si>
  <si>
    <t>000355</t>
  </si>
  <si>
    <t>CHEQUE DEPOSIT 000355 SHAHANAS SHIHABUDEEN    SHIHABUDEEN M 304012039 CHQ NO ::000355</t>
  </si>
  <si>
    <t>30,903.25</t>
  </si>
  <si>
    <t>3,308,048.88</t>
  </si>
  <si>
    <t>1587</t>
  </si>
  <si>
    <t>32,452.50</t>
  </si>
  <si>
    <t>3,340,501.38</t>
  </si>
  <si>
    <t>1588</t>
  </si>
  <si>
    <t>004325</t>
  </si>
  <si>
    <t>CHEQUE DEPOSIT 004325 APPUKUTTAN PRASANNAN    APPUKUTTAN 003810101 CHQ NO ::004325</t>
  </si>
  <si>
    <t>62,615.94</t>
  </si>
  <si>
    <t>3,403,117.32</t>
  </si>
  <si>
    <t>1589</t>
  </si>
  <si>
    <t>CHEQUE DEPOSIT 703430137 CHQ NO ::000015</t>
  </si>
  <si>
    <t>62,279.00</t>
  </si>
  <si>
    <t>3,465,396.32</t>
  </si>
  <si>
    <t>1590</t>
  </si>
  <si>
    <t>001129</t>
  </si>
  <si>
    <t>CHEQUE DEPOSIT 001129 MUHAMMED ANWAR JAWAHAR    JAWAHAR 101110101 CHQ NO ::001129</t>
  </si>
  <si>
    <t>12,956.24</t>
  </si>
  <si>
    <t>3,478,352.56</t>
  </si>
  <si>
    <t>1591</t>
  </si>
  <si>
    <t>001267</t>
  </si>
  <si>
    <t>SEENA USED</t>
  </si>
  <si>
    <t>CHEQUE DEPOSIT SEENA USED 603830105 CHQ NO ::001267</t>
  </si>
  <si>
    <t>132,692.00</t>
  </si>
  <si>
    <t>3,611,044.56</t>
  </si>
  <si>
    <t>1592</t>
  </si>
  <si>
    <t>50841085072</t>
  </si>
  <si>
    <t>25926961050 MBTRF B/O JAMEEL CHAHAL</t>
  </si>
  <si>
    <t>36,989.25</t>
  </si>
  <si>
    <t>3,648,033.81</t>
  </si>
  <si>
    <t>1593</t>
  </si>
  <si>
    <t>000763</t>
  </si>
  <si>
    <t>CHEQUE DEPOSIT 000763 BASKAR SUNDARASAMY    SUNDARASAMY 602920102 CHQ NO ::000763</t>
  </si>
  <si>
    <t>7,408.50</t>
  </si>
  <si>
    <t>3,655,442.31</t>
  </si>
  <si>
    <t>1594</t>
  </si>
  <si>
    <t>000062</t>
  </si>
  <si>
    <t>CHEQUE DEPOSIT 000062 ADNAN ABBAS MUHAMMAD HASHIM   KHAN 704020137 CHQ NO ::000062</t>
  </si>
  <si>
    <t>18,315.73</t>
  </si>
  <si>
    <t>3,673,758.04</t>
  </si>
  <si>
    <t>1595</t>
  </si>
  <si>
    <t>6,500.00</t>
  </si>
  <si>
    <t>3,680,258.04</t>
  </si>
  <si>
    <t>1596</t>
  </si>
  <si>
    <t>CHEQUE DEPOSIT 000024 MUHAMMAD HAMEED MUHAMMAD   FAREED 804030124 CHQ NO ::000024</t>
  </si>
  <si>
    <t>101,500.00</t>
  </si>
  <si>
    <t>3,781,758.04</t>
  </si>
  <si>
    <t>1597</t>
  </si>
  <si>
    <t>CHEQUE DEPOSIT 000043 BASHEER PULIKKAL    IBRAHIM 903310239 CHQ NO ::000043</t>
  </si>
  <si>
    <t>74,000.00</t>
  </si>
  <si>
    <t>3,855,758.04</t>
  </si>
  <si>
    <t>1598</t>
  </si>
  <si>
    <t>004323</t>
  </si>
  <si>
    <t>CHEQUE DEPOSIT 004323 APPUKUTTAN PRASANNAN    APPUKUTTAN 003810101 CHQ NO ::004323</t>
  </si>
  <si>
    <t>10,509.68</t>
  </si>
  <si>
    <t>3,866,267.72</t>
  </si>
  <si>
    <t>1599</t>
  </si>
  <si>
    <t>001046</t>
  </si>
  <si>
    <t>CHEQUE DEPOSIT 001046 GHASSAN HASSAN    CHAABAN 003510111 CHQ NO ::001046</t>
  </si>
  <si>
    <t>3,873,767.72</t>
  </si>
  <si>
    <t>1600</t>
  </si>
  <si>
    <t>963716</t>
  </si>
  <si>
    <t>CHEQUE DEPOSIT 963716 MUHAMMAD AKRAM NAZAR   MUHAMMAD 104010101 CHQ NO ::963716</t>
  </si>
  <si>
    <t>67,276.50</t>
  </si>
  <si>
    <t>3,941,044.22</t>
  </si>
  <si>
    <t>1601</t>
  </si>
  <si>
    <t>50841254228</t>
  </si>
  <si>
    <t>25927143753 MBTRF B/O MANASIK TRAVELS SP LLC</t>
  </si>
  <si>
    <t>9,946.00</t>
  </si>
  <si>
    <t>3,950,990.22</t>
  </si>
  <si>
    <t>1602</t>
  </si>
  <si>
    <t>001662</t>
  </si>
  <si>
    <t>CHEQUE DEPOSIT 001662 SHAMSHEER KHAN AHAMED KHAN AHAMED  KHAN 104030136 CHQ NO ::001662</t>
  </si>
  <si>
    <t>4,200,990.22</t>
  </si>
  <si>
    <t>1603</t>
  </si>
  <si>
    <t>000102</t>
  </si>
  <si>
    <t>CHEQUE DEPOSIT 000102 SHAMSHEER KHAN AHAMED KHAN AHAMED  KHAN 703320106 CHQ NO ::000102</t>
  </si>
  <si>
    <t>128,668.00</t>
  </si>
  <si>
    <t>4,329,658.22</t>
  </si>
  <si>
    <t>1604</t>
  </si>
  <si>
    <t>CHEQUE DEPOSIT 002610175 CHQ NO ::000020</t>
  </si>
  <si>
    <t>14,823.50</t>
  </si>
  <si>
    <t>4,344,481.72</t>
  </si>
  <si>
    <t>1605</t>
  </si>
  <si>
    <t>CHEQUE DEPOSIT BAB OSAKA 603420117 CHQ NO ::000037</t>
  </si>
  <si>
    <t>49,572.50</t>
  </si>
  <si>
    <t>4,394,054.22</t>
  </si>
  <si>
    <t>1606</t>
  </si>
  <si>
    <t>001837</t>
  </si>
  <si>
    <t>CHEQUE DEPOSIT 001837 MUHAMMED AFLAH CHULLIPARAMBIL    YOUSEF 602920102 CHQ NO ::001837</t>
  </si>
  <si>
    <t>9,068.25</t>
  </si>
  <si>
    <t>4,403,122.47</t>
  </si>
  <si>
    <t>1607</t>
  </si>
  <si>
    <t>AL NAJM AL BURAQ</t>
  </si>
  <si>
    <t>CHEQUE DEPOSIT AL NAJM AL BURAQ 003420289 CHQ NO ::000045</t>
  </si>
  <si>
    <t>111,351.50</t>
  </si>
  <si>
    <t>4,514,473.97</t>
  </si>
  <si>
    <t>1608</t>
  </si>
  <si>
    <t>000046</t>
  </si>
  <si>
    <t>CHEQUE DEPOSIT AL NAJM AL BURAQ 003420289 CHQ NO ::000046</t>
  </si>
  <si>
    <t>108,931.40</t>
  </si>
  <si>
    <t>4,623,405.37</t>
  </si>
  <si>
    <t>1609</t>
  </si>
  <si>
    <t>340473</t>
  </si>
  <si>
    <t>CHEQUE DEPOSIT 340473 SUNIL,RAJAN,,,,RAJAN, 402620152 CHQ NO ::340473</t>
  </si>
  <si>
    <t>100,219.26</t>
  </si>
  <si>
    <t>4,723,624.63</t>
  </si>
  <si>
    <t>1610</t>
  </si>
  <si>
    <t>004322</t>
  </si>
  <si>
    <t>CHEQUE DEPOSIT 004322 APPUKUTTAN PRASANNAN    APPUKUTTAN 003810101 CHQ NO ::004322</t>
  </si>
  <si>
    <t>13,644.42</t>
  </si>
  <si>
    <t>4,737,269.05</t>
  </si>
  <si>
    <t>1611</t>
  </si>
  <si>
    <t>941172</t>
  </si>
  <si>
    <t>CHEQUE DEPOSIT 941172 MUHAMMAD HAMEED MUHAMMAD   FAREED 804020101 CHQ NO ::941172</t>
  </si>
  <si>
    <t>13,390.84</t>
  </si>
  <si>
    <t>4,750,659.89</t>
  </si>
  <si>
    <t>1612</t>
  </si>
  <si>
    <t>001161</t>
  </si>
  <si>
    <t>CHEQUE DEPOSIT 001161 BASHEER PULIKKAL    IBRAHIM 004710103 CHQ NO ::001161</t>
  </si>
  <si>
    <t>25,775.00</t>
  </si>
  <si>
    <t>4,776,434.89</t>
  </si>
  <si>
    <t>1613</t>
  </si>
  <si>
    <t>102710</t>
  </si>
  <si>
    <t>CHEQUE DEPOSIT 102710 MUHAMMAD HAMEED MUHAMMAD   FAREED 502420111 CHQ NO ::102710</t>
  </si>
  <si>
    <t>33,157.33</t>
  </si>
  <si>
    <t>4,809,592.22</t>
  </si>
  <si>
    <t>1614</t>
  </si>
  <si>
    <t>37,990.00</t>
  </si>
  <si>
    <t>4,847,582.22</t>
  </si>
  <si>
    <t>1615</t>
  </si>
  <si>
    <t>001660</t>
  </si>
  <si>
    <t>CHEQUE DEPOSIT 001660 SHAMSHEER KHAN AHAMED KHAN AHAMED  KHAN 104030136 CHQ NO ::001660</t>
  </si>
  <si>
    <t>280,885.15</t>
  </si>
  <si>
    <t>5,128,467.37</t>
  </si>
  <si>
    <t>1616</t>
  </si>
  <si>
    <t>502436</t>
  </si>
  <si>
    <t>CHEQUE DEPOSIT 502436 SHAMSHEER KHAN AHAMED KHAN AHAMED  KHAN 805030156 CHQ NO ::502436</t>
  </si>
  <si>
    <t>160,158.50</t>
  </si>
  <si>
    <t>5,288,625.87</t>
  </si>
  <si>
    <t>1617</t>
  </si>
  <si>
    <t>SAQR ALSHARQ</t>
  </si>
  <si>
    <t>CHEQUE DEPOSIT SAQR ALSHARQ 703320106 CHQ NO ::000031</t>
  </si>
  <si>
    <t>5,354,277.87</t>
  </si>
  <si>
    <t>1618</t>
  </si>
  <si>
    <t>506139</t>
  </si>
  <si>
    <t>CHEQUE DEPOSIT 506139 SHER ZAMAN     WALIZADA 705010403 CHQ NO ::506139</t>
  </si>
  <si>
    <t>58,643.00</t>
  </si>
  <si>
    <t>5,412,920.87</t>
  </si>
  <si>
    <t>1619</t>
  </si>
  <si>
    <t>000885</t>
  </si>
  <si>
    <t>CHEQUE DEPOSIT 000885 SHAMSHEER KHAN AHAMED KHAN AHAMED  KHAN 104251001 CHQ NO ::000885</t>
  </si>
  <si>
    <t>5,026.79</t>
  </si>
  <si>
    <t>5,417,947.66</t>
  </si>
  <si>
    <t>1620</t>
  </si>
  <si>
    <t>000354</t>
  </si>
  <si>
    <t>CHEQUE DEPOSIT 000354 SHAHANAS SHIHABUDEEN    SHIHABUDEEN M 304012039 CHQ NO ::000354</t>
  </si>
  <si>
    <t>36,741.75</t>
  </si>
  <si>
    <t>5,454,689.41</t>
  </si>
  <si>
    <t>1621</t>
  </si>
  <si>
    <t>000009</t>
  </si>
  <si>
    <t>CHEQUE DEPOSIT 000009 SHAMSHEER KHAN AHAMED KHAN AHAMED  KHAN 202630126 CHQ NO ::000009</t>
  </si>
  <si>
    <t>5,496,689.41</t>
  </si>
  <si>
    <t>1622</t>
  </si>
  <si>
    <t>CHEQUE DEPOSIT 000001 AMBUJAKSHAN,CHATHOTHKANDY,APPUNNI,NAIR,,CHATHOTHKA 602920102 CHQ NO ::000001</t>
  </si>
  <si>
    <t>174,766.36</t>
  </si>
  <si>
    <t>5,671,455.77</t>
  </si>
  <si>
    <t>1623</t>
  </si>
  <si>
    <t>CHEQUE DEPOSIT RUKN AL QAMAR 603430129 CHQ NO ::000225</t>
  </si>
  <si>
    <t>99,952.50</t>
  </si>
  <si>
    <t>5,771,408.27</t>
  </si>
  <si>
    <t>1624</t>
  </si>
  <si>
    <t>340475</t>
  </si>
  <si>
    <t>CHEQUE DEPOSIT 340475 SUNIL,RAJAN,,,,RAJAN, 402620152 CHQ NO ::340475</t>
  </si>
  <si>
    <t>228,504.08</t>
  </si>
  <si>
    <t>5,999,912.35</t>
  </si>
  <si>
    <t>1625</t>
  </si>
  <si>
    <t>000133</t>
  </si>
  <si>
    <t>CHEQUE DEPOSIT 000133 SHAMSHEER KHAN AHAMED KHAN AHAMED  KHAN 804030124 CHQ NO ::000133</t>
  </si>
  <si>
    <t>7,444.75</t>
  </si>
  <si>
    <t>6,007,357.10</t>
  </si>
  <si>
    <t>1626</t>
  </si>
  <si>
    <t>000018</t>
  </si>
  <si>
    <t>GOLESTAN LINE</t>
  </si>
  <si>
    <t>CHEQUE DEPOSIT GOLESTAN LINE 703320106 CHQ NO ::000018</t>
  </si>
  <si>
    <t>125,072.50</t>
  </si>
  <si>
    <t>6,132,429.60</t>
  </si>
  <si>
    <t>1627</t>
  </si>
  <si>
    <t>CHEQUE DEPOSIT 000054 ADNAN ABBAS MUHAMMAD HASHIM   KHAN 104020113 CHQ NO ::000054</t>
  </si>
  <si>
    <t>5,506.00</t>
  </si>
  <si>
    <t>6,137,935.60</t>
  </si>
  <si>
    <t>1628</t>
  </si>
  <si>
    <t>100554</t>
  </si>
  <si>
    <t>CHEQUE DEPOSIT 100554 MUHAMMAD AKRAM NAZAR   MUHAMMAD 902410185 CHQ NO ::100554</t>
  </si>
  <si>
    <t>206,592.00</t>
  </si>
  <si>
    <t>6,344,527.60</t>
  </si>
  <si>
    <t>1629</t>
  </si>
  <si>
    <t>002322</t>
  </si>
  <si>
    <t>CHEQUE DEPOSIT 002322 MUHAMMAD BILAL    MUHAMMAD ILYAS 903320188 CHQ NO ::002322</t>
  </si>
  <si>
    <t>23,121.00</t>
  </si>
  <si>
    <t>6,367,648.60</t>
  </si>
  <si>
    <t>1630</t>
  </si>
  <si>
    <t>PHUB521290861</t>
  </si>
  <si>
    <t>ADVANCE PAYMENT FOR</t>
  </si>
  <si>
    <t>B/O AL BARSHAA GENERAL TRADING CO LLC</t>
  </si>
  <si>
    <t>241,755.70</t>
  </si>
  <si>
    <t>6,609,404.30</t>
  </si>
  <si>
    <t>1631</t>
  </si>
  <si>
    <t>50842315644</t>
  </si>
  <si>
    <t>25928320298 MBTRF B/O MUHAMMAD JUNAID KHAN</t>
  </si>
  <si>
    <t>300.00</t>
  </si>
  <si>
    <t>6,609,704.30</t>
  </si>
  <si>
    <t>1632</t>
  </si>
  <si>
    <t>PHUB521300966</t>
  </si>
  <si>
    <t>B/O_MOHAMMED ABDULLA_521300966</t>
  </si>
  <si>
    <t>21,871.00</t>
  </si>
  <si>
    <t>6,631,575.30</t>
  </si>
  <si>
    <t>1633</t>
  </si>
  <si>
    <t>PHUB521299561</t>
  </si>
  <si>
    <t>B/O_SANJAY VIG_HSBC_521299561_AEV0708</t>
  </si>
  <si>
    <t>551,310.00</t>
  </si>
  <si>
    <t>7,182,885.30</t>
  </si>
  <si>
    <t>1634</t>
  </si>
  <si>
    <t>PHUB521318859</t>
  </si>
  <si>
    <t>MOB0708251936228036249</t>
  </si>
  <si>
    <t>B/O KHATOT ELATHAA TRADING S P LLC</t>
  </si>
  <si>
    <t>49,725.50</t>
  </si>
  <si>
    <t>7,232,610.80</t>
  </si>
  <si>
    <t>1635</t>
  </si>
  <si>
    <t>PHUB521325000</t>
  </si>
  <si>
    <t>521325000 B/O AL SADARAH ENGINEERING SOLUTION FZE</t>
  </si>
  <si>
    <t>3,375.00</t>
  </si>
  <si>
    <t>7,235,985.80</t>
  </si>
  <si>
    <t>1636</t>
  </si>
  <si>
    <t>PHUB521326407</t>
  </si>
  <si>
    <t>521326407 B/O THARMALINGAM KADARKARAI KADARKARAI</t>
  </si>
  <si>
    <t>21,000.00</t>
  </si>
  <si>
    <t>7,256,985.80</t>
  </si>
  <si>
    <t>1637</t>
  </si>
  <si>
    <t>PHUB521332452</t>
  </si>
  <si>
    <t>521332452 B/O PAUL STANLEY THOPPIL</t>
  </si>
  <si>
    <t>7,296,985.80</t>
  </si>
  <si>
    <t>1638</t>
  </si>
  <si>
    <t>PHUB521332858</t>
  </si>
  <si>
    <t>521332858 B/O FEKRY MOHAMED EMAM GOUDA</t>
  </si>
  <si>
    <t>7,298,485.80</t>
  </si>
  <si>
    <t>1639</t>
  </si>
  <si>
    <t>B/O_MUSTAFA S MUHAMM_521337619</t>
  </si>
  <si>
    <t>14,976.50</t>
  </si>
  <si>
    <t>7,313,462.30</t>
  </si>
  <si>
    <t>1640</t>
  </si>
  <si>
    <t>PHUB521343294</t>
  </si>
  <si>
    <t>B/O_C VICTORIO_ADIB_521343294_MONEY T</t>
  </si>
  <si>
    <t>19,654.00</t>
  </si>
  <si>
    <t>7,333,116.30</t>
  </si>
  <si>
    <t>1641</t>
  </si>
  <si>
    <t>50845051066</t>
  </si>
  <si>
    <t>25931558772 MBTRF B/O QAZI TAMOOR ALI</t>
  </si>
  <si>
    <t>7,333,856.30</t>
  </si>
  <si>
    <t>1642</t>
  </si>
  <si>
    <t>50845240171</t>
  </si>
  <si>
    <t>25931793527 MBTRF B/O HEXA MARBLE AND GRANITE LLC OPC</t>
  </si>
  <si>
    <t>75,688.75</t>
  </si>
  <si>
    <t>7,409,545.05</t>
  </si>
  <si>
    <t>1643</t>
  </si>
  <si>
    <t>PHUB521352574</t>
  </si>
  <si>
    <t>521352574 B/O MAJDI AHMAD M AWAWDEH</t>
  </si>
  <si>
    <t>7,411,045.05</t>
  </si>
  <si>
    <t>1644</t>
  </si>
  <si>
    <t>PHUB521374053</t>
  </si>
  <si>
    <t>B/O_A/C. 19369170_521374053</t>
  </si>
  <si>
    <t>25,958.68</t>
  </si>
  <si>
    <t>7,437,003.73</t>
  </si>
  <si>
    <t>1645</t>
  </si>
  <si>
    <t>08-Aug-2025</t>
  </si>
  <si>
    <t>2508080508048452</t>
  </si>
  <si>
    <t>Installment Recovery-108L055220390001</t>
  </si>
  <si>
    <t>1,962,512.98</t>
  </si>
  <si>
    <t>5,474,490.75</t>
  </si>
  <si>
    <t>1646</t>
  </si>
  <si>
    <t>PHUB521422398</t>
  </si>
  <si>
    <t>SALARY JULY 1 JULY 31</t>
  </si>
  <si>
    <t>B/O EZZ ALARAB CONTR GEN MAINT SP LLC</t>
  </si>
  <si>
    <t>3,600.00</t>
  </si>
  <si>
    <t>5,478,090.75</t>
  </si>
  <si>
    <t>1647</t>
  </si>
  <si>
    <t>PHUB521423098</t>
  </si>
  <si>
    <t>SALARY JULY 1 TO 31</t>
  </si>
  <si>
    <t>B/O ZENONO GENERAL TRADING - SOLE PROPR</t>
  </si>
  <si>
    <t>1,826.25</t>
  </si>
  <si>
    <t>5,479,917.00</t>
  </si>
  <si>
    <t>1648</t>
  </si>
  <si>
    <t>PHUB521429994</t>
  </si>
  <si>
    <t>GL CODE 992211</t>
  </si>
  <si>
    <t>B/O NAS OIL FIELD SERVICE</t>
  </si>
  <si>
    <t>5,509,917.00</t>
  </si>
  <si>
    <t>1649</t>
  </si>
  <si>
    <t>PHUB521439301</t>
  </si>
  <si>
    <t>PGPV080820250001</t>
  </si>
  <si>
    <t>B/O POLY GULF E &amp; C LLC</t>
  </si>
  <si>
    <t>15,191.30</t>
  </si>
  <si>
    <t>5,525,108.30</t>
  </si>
  <si>
    <t>1650</t>
  </si>
  <si>
    <t>50851512194</t>
  </si>
  <si>
    <t>25939115788 MBTRF B/O SURESHKUMAR JETHALAL PATEL</t>
  </si>
  <si>
    <t>5,590,108.30</t>
  </si>
  <si>
    <t>1651</t>
  </si>
  <si>
    <t>PHUB521447550</t>
  </si>
  <si>
    <t>DXB 08082025</t>
  </si>
  <si>
    <t>3,590,108.30</t>
  </si>
  <si>
    <t>1652</t>
  </si>
  <si>
    <t>B/O_NOVEC CARE_BOML_521449858_ GOODS</t>
  </si>
  <si>
    <t>285,125.00</t>
  </si>
  <si>
    <t>3,875,233.30</t>
  </si>
  <si>
    <t>1653</t>
  </si>
  <si>
    <t>2508080910570450</t>
  </si>
  <si>
    <t>NESTO HYPRMRKT AJM, 07TH AUG - Cash Collection TG</t>
  </si>
  <si>
    <t>4,025,233.30</t>
  </si>
  <si>
    <t>1654</t>
  </si>
  <si>
    <t>2508080910570477</t>
  </si>
  <si>
    <t>CITY CENTER AL ZAHIA SHJ, 07TH AUG - Cash Collection TG</t>
  </si>
  <si>
    <t>4,235,233.30</t>
  </si>
  <si>
    <t>1655</t>
  </si>
  <si>
    <t>2508080910570490</t>
  </si>
  <si>
    <t>MOE 1, 07TH AUG - Cash Collection TG</t>
  </si>
  <si>
    <t>5,035,233.30</t>
  </si>
  <si>
    <t>1656</t>
  </si>
  <si>
    <t>2508080910570497</t>
  </si>
  <si>
    <t>NAIF RD, 07TH AUG - Cash Collection TG</t>
  </si>
  <si>
    <t>5,535,233.30</t>
  </si>
  <si>
    <t>1657</t>
  </si>
  <si>
    <t>2508080910570504</t>
  </si>
  <si>
    <t>FUJAIRAH, 07TH AUG - Cash Collection TG</t>
  </si>
  <si>
    <t>6,085,233.30</t>
  </si>
  <si>
    <t>1658</t>
  </si>
  <si>
    <t>2508080910570519</t>
  </si>
  <si>
    <t>MUWEILAH SHJ, 07TH AUG - Cash Collection TG</t>
  </si>
  <si>
    <t>6,385,233.30</t>
  </si>
  <si>
    <t>1659</t>
  </si>
  <si>
    <t>2508080910570528</t>
  </si>
  <si>
    <t>MEGA MALL SHARJAH BR 1, 07TH AUG - Cash Collection TG</t>
  </si>
  <si>
    <t>6,635,233.30</t>
  </si>
  <si>
    <t>1660</t>
  </si>
  <si>
    <t>2508080910570532</t>
  </si>
  <si>
    <t>UAQ, 07TH AUG - Cash Collection TG</t>
  </si>
  <si>
    <t>710,000.00</t>
  </si>
  <si>
    <t>7,345,233.30</t>
  </si>
  <si>
    <t>1661</t>
  </si>
  <si>
    <t>2508080910570544</t>
  </si>
  <si>
    <t>AL RIGGA METRO STION DXB, 07TH AUG - Cash Collection TG</t>
  </si>
  <si>
    <t>690,000.00</t>
  </si>
  <si>
    <t>8,035,233.30</t>
  </si>
  <si>
    <t>1662</t>
  </si>
  <si>
    <t>2508080910570560</t>
  </si>
  <si>
    <t>CLOCK TOWER 1, 07TH AUG - Cash Collection TG</t>
  </si>
  <si>
    <t>8,905,233.30</t>
  </si>
  <si>
    <t>1663</t>
  </si>
  <si>
    <t>2508080910570563</t>
  </si>
  <si>
    <t>DMALL LG CSK53 TAXI AREA, 07TH AUG - Cash Collection TG</t>
  </si>
  <si>
    <t>400,600.00</t>
  </si>
  <si>
    <t>9,305,833.30</t>
  </si>
  <si>
    <t>1664</t>
  </si>
  <si>
    <t>2508080910580566</t>
  </si>
  <si>
    <t>AL MINA NESTO BR DXB, 07TH AUG - Cash Collection TG</t>
  </si>
  <si>
    <t>170,055.00</t>
  </si>
  <si>
    <t>9,475,888.30</t>
  </si>
  <si>
    <t>1665</t>
  </si>
  <si>
    <t>2508080910580588</t>
  </si>
  <si>
    <t>CO OP SOCIETY SHJ 1, 07TH AUG - Cash Collection TG</t>
  </si>
  <si>
    <t>9,665,888.30</t>
  </si>
  <si>
    <t>1666</t>
  </si>
  <si>
    <t>2508080910580593</t>
  </si>
  <si>
    <t>AL AMEED MALL, 07TH AUG - Cash Collection TG</t>
  </si>
  <si>
    <t>10,165,888.30</t>
  </si>
  <si>
    <t>1667</t>
  </si>
  <si>
    <t>2508080910580639</t>
  </si>
  <si>
    <t>DEIRA 1, 07TH AUG - Cash Collection TG</t>
  </si>
  <si>
    <t>10,465,888.30</t>
  </si>
  <si>
    <t>1668</t>
  </si>
  <si>
    <t>2508080910580680</t>
  </si>
  <si>
    <t>BUR DUBAI, 07TH AUG - Cash Collection TG</t>
  </si>
  <si>
    <t>10,735,888.30</t>
  </si>
  <si>
    <t>1669</t>
  </si>
  <si>
    <t>2508080910580694</t>
  </si>
  <si>
    <t>SATWA 1, 07TH AUG - Cash Collection TG</t>
  </si>
  <si>
    <t>11,095,888.30</t>
  </si>
  <si>
    <t>1670</t>
  </si>
  <si>
    <t>2508080910580707</t>
  </si>
  <si>
    <t>AL MADAM SHJ, 07TH AUG - Cash Collection TG</t>
  </si>
  <si>
    <t>11,255,888.30</t>
  </si>
  <si>
    <t>1671</t>
  </si>
  <si>
    <t>2508080910580714</t>
  </si>
  <si>
    <t>IND AREA 3 SHJ, 07TH AUG - Cash Collection TG</t>
  </si>
  <si>
    <t>11,400,888.30</t>
  </si>
  <si>
    <t>1672</t>
  </si>
  <si>
    <t>2508080910580731</t>
  </si>
  <si>
    <t>DUBAI MALL LG UNIT171, 07TH AUG - Cash Collection TG</t>
  </si>
  <si>
    <t>11,700,888.30</t>
  </si>
  <si>
    <t>1673</t>
  </si>
  <si>
    <t>2508080910580738</t>
  </si>
  <si>
    <t>KARAMA DUBAI, 07TH AUG - Cash Collection TG</t>
  </si>
  <si>
    <t>12,150,888.30</t>
  </si>
  <si>
    <t>1674</t>
  </si>
  <si>
    <t>2508080911073386</t>
  </si>
  <si>
    <t>Musaffah Shabiya AUH, 07TH AUG - Cash Collection TG</t>
  </si>
  <si>
    <t>12,470,888.30</t>
  </si>
  <si>
    <t>1675</t>
  </si>
  <si>
    <t>2508080911073389</t>
  </si>
  <si>
    <t>M38 PLOT 48 SHOP 02 BIG MART MUSSAFAH, 07TH AUG - Cash Collection TG</t>
  </si>
  <si>
    <t>221,135.00</t>
  </si>
  <si>
    <t>12,692,023.30</t>
  </si>
  <si>
    <t>1676</t>
  </si>
  <si>
    <t>2508080911073396</t>
  </si>
  <si>
    <t>Musaffah Saniya AUH, 07TH AUG - Cash Collection TG</t>
  </si>
  <si>
    <t>12,922,023.30</t>
  </si>
  <si>
    <t>1677</t>
  </si>
  <si>
    <t>2508080911073918</t>
  </si>
  <si>
    <t>Baniyas AUH, 07TH AUG - Cash Collection TG</t>
  </si>
  <si>
    <t>13,242,023.30</t>
  </si>
  <si>
    <t>1678</t>
  </si>
  <si>
    <t>2508080911073944</t>
  </si>
  <si>
    <t>Old Shahama, 07TH AUG - Cash Collection TG</t>
  </si>
  <si>
    <t>13,342,023.30</t>
  </si>
  <si>
    <t>1679</t>
  </si>
  <si>
    <t>2508080911073950</t>
  </si>
  <si>
    <t>Al Forshan Central Mall Khalifa City AUH, 07TH AUG - Cash Collection TG</t>
  </si>
  <si>
    <t>13,592,023.30</t>
  </si>
  <si>
    <t>1680</t>
  </si>
  <si>
    <t>2508080911073954</t>
  </si>
  <si>
    <t>Shamkha Mall Abu dhabi, 07TH AUG - Cash Collection TG</t>
  </si>
  <si>
    <t>13,912,023.30</t>
  </si>
  <si>
    <t>1681</t>
  </si>
  <si>
    <t>2508080911073982</t>
  </si>
  <si>
    <t>Inside Bniyas Spike HyperMarkete AUH, 07TH AUG - Cash Collection TG</t>
  </si>
  <si>
    <t>14,232,023.30</t>
  </si>
  <si>
    <t>1682</t>
  </si>
  <si>
    <t>2508080911073989</t>
  </si>
  <si>
    <t>ICAD Musaffah AUH, 07TH AUG - Cash Collection TG</t>
  </si>
  <si>
    <t>14,492,023.30</t>
  </si>
  <si>
    <t>1683</t>
  </si>
  <si>
    <t>2508080911094297</t>
  </si>
  <si>
    <t>Sila Muroor Road AUH, 07TH AUG - Cash Collection TG</t>
  </si>
  <si>
    <t>14,702,023.30</t>
  </si>
  <si>
    <t>1684</t>
  </si>
  <si>
    <t>2508080911094307</t>
  </si>
  <si>
    <t>SANAYA ZAYED TOWN W/R, 07TH AUG - Cash Collection TG</t>
  </si>
  <si>
    <t>15,022,023.30</t>
  </si>
  <si>
    <t>1685</t>
  </si>
  <si>
    <t>2508080911094331</t>
  </si>
  <si>
    <t>Ruwais AUH, 07TH AUG - Cash Collection TG</t>
  </si>
  <si>
    <t>15,182,023.30</t>
  </si>
  <si>
    <t>1686</t>
  </si>
  <si>
    <t>2508080911094356</t>
  </si>
  <si>
    <t>HAYER Al Ain1, 07TH AUG - Cash Collection TG</t>
  </si>
  <si>
    <t>15,442,023.30</t>
  </si>
  <si>
    <t>1687</t>
  </si>
  <si>
    <t>2508080911094362</t>
  </si>
  <si>
    <t>SWEIHAN  ALAIN, 07TH AUG - Cash Collection TG</t>
  </si>
  <si>
    <t>15,642,023.30</t>
  </si>
  <si>
    <t>1688</t>
  </si>
  <si>
    <t>2508080911094366</t>
  </si>
  <si>
    <t>AL FOAH MALL AL-AIN, 07TH AUG - Cash Collection TG</t>
  </si>
  <si>
    <t>15,812,023.30</t>
  </si>
  <si>
    <t>1689</t>
  </si>
  <si>
    <t>2508080911094369</t>
  </si>
  <si>
    <t>TCA AUH, 07TH AUG - Cash Collection TG</t>
  </si>
  <si>
    <t>15,972,023.30</t>
  </si>
  <si>
    <t>1690</t>
  </si>
  <si>
    <t>2508080911094372</t>
  </si>
  <si>
    <t>Gayathi Mubarak Ashwan AUH, 07TH AUG - Cash Collection TG</t>
  </si>
  <si>
    <t>16,122,023.30</t>
  </si>
  <si>
    <t>1691</t>
  </si>
  <si>
    <t>2508080911094391</t>
  </si>
  <si>
    <t>Gayathi Mall AUH, 07TH AUG - Cash Collection TG</t>
  </si>
  <si>
    <t>16,472,023.30</t>
  </si>
  <si>
    <t>1692</t>
  </si>
  <si>
    <t>2508080911094394</t>
  </si>
  <si>
    <t>AL MARFA MARKET WR, 07TH AUG - Cash Collection TG</t>
  </si>
  <si>
    <t>240,000.00</t>
  </si>
  <si>
    <t>16,712,023.30</t>
  </si>
  <si>
    <t>1693</t>
  </si>
  <si>
    <t>2508080911094397</t>
  </si>
  <si>
    <t>Lulu Hyper Markete Sanaiya Al Ain, 07TH AUG - Cash Collection TG</t>
  </si>
  <si>
    <t>16,862,023.30</t>
  </si>
  <si>
    <t>1694</t>
  </si>
  <si>
    <t>2508080911094400</t>
  </si>
  <si>
    <t>Al Yahar Al Ain, 07TH AUG - Cash Collection TG</t>
  </si>
  <si>
    <t>17,562,023.30</t>
  </si>
  <si>
    <t>1695</t>
  </si>
  <si>
    <t>2508080911104403</t>
  </si>
  <si>
    <t>Boutik Mall al Reem island AUH, 07TH AUG - Cash Collection TG</t>
  </si>
  <si>
    <t>17,872,023.30</t>
  </si>
  <si>
    <t>1696</t>
  </si>
  <si>
    <t>2508080911104406</t>
  </si>
  <si>
    <t>Al Nahyan Street AUH, 07TH AUG - Cash Collection TG</t>
  </si>
  <si>
    <t>18,182,023.30</t>
  </si>
  <si>
    <t>1697</t>
  </si>
  <si>
    <t>2508080911104409</t>
  </si>
  <si>
    <t>B2B AUH, 07TH AUG - Cash Collection TG</t>
  </si>
  <si>
    <t>18,382,023.30</t>
  </si>
  <si>
    <t>1698</t>
  </si>
  <si>
    <t>2508080911104912</t>
  </si>
  <si>
    <t>Al Falah St Auh, 07TH AUG - Cash Collection TG</t>
  </si>
  <si>
    <t>18,602,023.30</t>
  </si>
  <si>
    <t>1699</t>
  </si>
  <si>
    <t>2508080911104915</t>
  </si>
  <si>
    <t>Zayed 1st Street Electra AUH, 07TH AUG - Cash Collection TG</t>
  </si>
  <si>
    <t>18,702,023.30</t>
  </si>
  <si>
    <t>1700</t>
  </si>
  <si>
    <t>2508080911104918</t>
  </si>
  <si>
    <t>Hamdan Abu Dhabi, 07TH AUG - Cash Collection TG</t>
  </si>
  <si>
    <t>20,402,023.30</t>
  </si>
  <si>
    <t>1701</t>
  </si>
  <si>
    <t>2508080911104943</t>
  </si>
  <si>
    <t>Al Wahda AUH, 07TH AUG - Cash Collection TG</t>
  </si>
  <si>
    <t>21,502,023.30</t>
  </si>
  <si>
    <t>1702</t>
  </si>
  <si>
    <t>2508080911104952</t>
  </si>
  <si>
    <t>Al Dhafra AUH, 07TH AUG - Cash Collection TG</t>
  </si>
  <si>
    <t>275,000.00</t>
  </si>
  <si>
    <t>21,777,023.30</t>
  </si>
  <si>
    <t>1703</t>
  </si>
  <si>
    <t>2508080911104971</t>
  </si>
  <si>
    <t>Al Ain (Clock Tower)1, 07TH AUG - Cash Collection TG</t>
  </si>
  <si>
    <t>980,000.00</t>
  </si>
  <si>
    <t>22,757,023.30</t>
  </si>
  <si>
    <t>1704</t>
  </si>
  <si>
    <t>PHUB521456293</t>
  </si>
  <si>
    <t>B/O_MR VISHNU _HSBC_521456293_AEV0808</t>
  </si>
  <si>
    <t>22,857,023.30</t>
  </si>
  <si>
    <t>1705</t>
  </si>
  <si>
    <t>PHUB521460225</t>
  </si>
  <si>
    <t>B/O_ZAID A ABD_NBSH_521460225_TOF - T</t>
  </si>
  <si>
    <t>208,000.00</t>
  </si>
  <si>
    <t>23,065,023.30</t>
  </si>
  <si>
    <t>1706</t>
  </si>
  <si>
    <t>PHUB521472274</t>
  </si>
  <si>
    <t>521472274 B/O BHAVINKUMAR HIRABHAI SHARMA HIRABHA</t>
  </si>
  <si>
    <t>22,000.00</t>
  </si>
  <si>
    <t>23,087,023.30</t>
  </si>
  <si>
    <t>1707</t>
  </si>
  <si>
    <t>50852777461</t>
  </si>
  <si>
    <t>25940339694 MBTRF B/O BLUE SKY ENVIRON CONSLT AND STUDIES</t>
  </si>
  <si>
    <t>3,800.00</t>
  </si>
  <si>
    <t>23,090,823.30</t>
  </si>
  <si>
    <t>1708</t>
  </si>
  <si>
    <t>19,200.00</t>
  </si>
  <si>
    <t>23,110,023.30</t>
  </si>
  <si>
    <t>1709</t>
  </si>
  <si>
    <t>50853198102</t>
  </si>
  <si>
    <t>2536112420 IBTRF B/O HALT MINI MART LLC</t>
  </si>
  <si>
    <t>3,605.25</t>
  </si>
  <si>
    <t>23,113,628.55</t>
  </si>
  <si>
    <t>1710</t>
  </si>
  <si>
    <t>50853241390</t>
  </si>
  <si>
    <t>25940775576 MBTRF B/O MOHAMED SALY T KUNJUMOHAMED</t>
  </si>
  <si>
    <t>126,500.00</t>
  </si>
  <si>
    <t>23,240,128.55</t>
  </si>
  <si>
    <t>1711</t>
  </si>
  <si>
    <t>PHUB521496031</t>
  </si>
  <si>
    <t>MOB0808251012428041481</t>
  </si>
  <si>
    <t>B/O AL KATEF IT SOLUTIONS SOLE P LLC</t>
  </si>
  <si>
    <t>23,276,128.55</t>
  </si>
  <si>
    <t>1712</t>
  </si>
  <si>
    <t>PHUB521496872</t>
  </si>
  <si>
    <t>MOB0808251014098041514</t>
  </si>
  <si>
    <t>61.00</t>
  </si>
  <si>
    <t>23,276,189.55</t>
  </si>
  <si>
    <t>1713</t>
  </si>
  <si>
    <t>PHUB521497610</t>
  </si>
  <si>
    <t>IRJV20251010</t>
  </si>
  <si>
    <t>3,226.25</t>
  </si>
  <si>
    <t>23,279,415.80</t>
  </si>
  <si>
    <t>1714</t>
  </si>
  <si>
    <t>B/O_I N C A JE_UNIL_521497845_252205b</t>
  </si>
  <si>
    <t>34,313,415.80</t>
  </si>
  <si>
    <t>1715</t>
  </si>
  <si>
    <t>PHUB521499351</t>
  </si>
  <si>
    <t>SCID WORKMEN JULY 25</t>
  </si>
  <si>
    <t>B/O SHINE CONCEPT INTERIOR DECORATION L</t>
  </si>
  <si>
    <t>19,471.57</t>
  </si>
  <si>
    <t>34,332,887.37</t>
  </si>
  <si>
    <t>1716</t>
  </si>
  <si>
    <t>PHUB521499193</t>
  </si>
  <si>
    <t>NANOTEK WORKMEN JULY 25</t>
  </si>
  <si>
    <t>13,172.85</t>
  </si>
  <si>
    <t>34,346,060.22</t>
  </si>
  <si>
    <t>1717</t>
  </si>
  <si>
    <t>PHUB521501572</t>
  </si>
  <si>
    <t>B/O_APPLUS RTD_CITI_521501572_ALFARDA</t>
  </si>
  <si>
    <t>230,271.95</t>
  </si>
  <si>
    <t>34,576,332.17</t>
  </si>
  <si>
    <t>1718</t>
  </si>
  <si>
    <t>PHUB521503203</t>
  </si>
  <si>
    <t>FARDAN TOPUP 0808</t>
  </si>
  <si>
    <t>34,578,337.42</t>
  </si>
  <si>
    <t>1719</t>
  </si>
  <si>
    <t>50853913064</t>
  </si>
  <si>
    <t>2536142954 IBTRF B/O K B R STEEL MANUFACTURING LLC</t>
  </si>
  <si>
    <t>17,252.50</t>
  </si>
  <si>
    <t>34,595,589.92</t>
  </si>
  <si>
    <t>1720</t>
  </si>
  <si>
    <t>50854066740</t>
  </si>
  <si>
    <t>25941548645 MBTRF B/O AMER ABDULHADI  SOUFAN AL AHBABI</t>
  </si>
  <si>
    <t>117,100.00</t>
  </si>
  <si>
    <t>34,712,689.92</t>
  </si>
  <si>
    <t>1721</t>
  </si>
  <si>
    <t>PHUB521528890</t>
  </si>
  <si>
    <t>USD BUY 08082025</t>
  </si>
  <si>
    <t>7,346,600.00</t>
  </si>
  <si>
    <t>27,366,089.92</t>
  </si>
  <si>
    <t>1722</t>
  </si>
  <si>
    <t>PHUB521536273</t>
  </si>
  <si>
    <t>B/O_AL FARDAN _EBIL_521536273_AUHADCB</t>
  </si>
  <si>
    <t>18,000,000.00</t>
  </si>
  <si>
    <t>45,366,089.92</t>
  </si>
  <si>
    <t>1723</t>
  </si>
  <si>
    <t>PHUB521537889</t>
  </si>
  <si>
    <t>IMD 08082025</t>
  </si>
  <si>
    <t>61,207,097.61</t>
  </si>
  <si>
    <t>-15,841,007.69</t>
  </si>
  <si>
    <t>1724</t>
  </si>
  <si>
    <t>2508081055004383</t>
  </si>
  <si>
    <t>BUY CASH 270K USD RATE 3.677 FROM ALFARDAN EXCHANGE</t>
  </si>
  <si>
    <t>992,790.00</t>
  </si>
  <si>
    <t>-14,848,217.69</t>
  </si>
  <si>
    <t>1725</t>
  </si>
  <si>
    <t>5620460016574</t>
  </si>
  <si>
    <t>2,724.15</t>
  </si>
  <si>
    <t>-14,845,493.54</t>
  </si>
  <si>
    <t>1726</t>
  </si>
  <si>
    <t>128,160.00</t>
  </si>
  <si>
    <t>-14,717,333.54</t>
  </si>
  <si>
    <t>1727</t>
  </si>
  <si>
    <t>PHUB521552605</t>
  </si>
  <si>
    <t>MOB0808251129018042775</t>
  </si>
  <si>
    <t>B/O ATLAS OIL FIELDS EQUIPMENT TRADING</t>
  </si>
  <si>
    <t>-14,714,307.29</t>
  </si>
  <si>
    <t>1728</t>
  </si>
  <si>
    <t>PHUB521560863</t>
  </si>
  <si>
    <t>B/O_DANNY RAMACHANDR_521560863</t>
  </si>
  <si>
    <t>21,058.25</t>
  </si>
  <si>
    <t>-14,693,249.04</t>
  </si>
  <si>
    <t>1729</t>
  </si>
  <si>
    <t>BR OC JUNE</t>
  </si>
  <si>
    <t>B/O STAG MARINE SHIPPING SERVICES</t>
  </si>
  <si>
    <t>40,423.33</t>
  </si>
  <si>
    <t>-14,652,825.71</t>
  </si>
  <si>
    <t>1730</t>
  </si>
  <si>
    <t>B/O_MAX ROCK S_NBFU_521574797_PAYMENT</t>
  </si>
  <si>
    <t>2,065,442.48</t>
  </si>
  <si>
    <t>-12,587,383.23</t>
  </si>
  <si>
    <t>1731</t>
  </si>
  <si>
    <t>PHUB521581657</t>
  </si>
  <si>
    <t>CA 08082025</t>
  </si>
  <si>
    <t>36,000,000.00</t>
  </si>
  <si>
    <t>23,412,616.77</t>
  </si>
  <si>
    <t>1732</t>
  </si>
  <si>
    <t>PHUB521581959</t>
  </si>
  <si>
    <t>-9,647,083.23</t>
  </si>
  <si>
    <t>1733</t>
  </si>
  <si>
    <t>PHUB521583409</t>
  </si>
  <si>
    <t>B/O_KIWI MEDIC_BARB_521583409_Q3</t>
  </si>
  <si>
    <t>27,650.99</t>
  </si>
  <si>
    <t>-9,619,432.24</t>
  </si>
  <si>
    <t>1734</t>
  </si>
  <si>
    <t>PHUB521586246</t>
  </si>
  <si>
    <t>B/O_SIAM MIDDL_NBFU_521586246_PAYMENT</t>
  </si>
  <si>
    <t>405,462.45</t>
  </si>
  <si>
    <t>-9,213,969.79</t>
  </si>
  <si>
    <t>1735</t>
  </si>
  <si>
    <t>000845</t>
  </si>
  <si>
    <t>INHOUSE CHEQUE DEPOSIT 000845 NISSAR MANGADAN MOIDEEN   MANGADAN AL FARDAN EXCHANGE SP LLC CHQ NO ::000845</t>
  </si>
  <si>
    <t>14,523.86</t>
  </si>
  <si>
    <t>-9,199,445.93</t>
  </si>
  <si>
    <t>1736</t>
  </si>
  <si>
    <t>PHUB521592247</t>
  </si>
  <si>
    <t>B/O_(L.L.C) BE_ADIB_521592247_COMPANY</t>
  </si>
  <si>
    <t>186,282.00</t>
  </si>
  <si>
    <t>-9,013,163.93</t>
  </si>
  <si>
    <t>1737</t>
  </si>
  <si>
    <t>PHUB521592671</t>
  </si>
  <si>
    <t>521592671 B/O SATISH VISHWAS MOHITE VISHWAS MOHIT</t>
  </si>
  <si>
    <t>-8,987,163.93</t>
  </si>
  <si>
    <t>1738</t>
  </si>
  <si>
    <t>AIMIL</t>
  </si>
  <si>
    <t>B/O PRECIZ SCIENTIFIC &amp; LABORATORY EQUI</t>
  </si>
  <si>
    <t>7,667.41</t>
  </si>
  <si>
    <t>-8,979,496.52</t>
  </si>
  <si>
    <t>1739</t>
  </si>
  <si>
    <t>000178</t>
  </si>
  <si>
    <t>INHOUSE CHEQUE DEPOSIT 000178 SHAMSHEER KHAN AHAMED KHAN AHAMED  KHAN AL FARDAN EXCHANGE SP LLC CHQ NO ::000178</t>
  </si>
  <si>
    <t>50,126.00</t>
  </si>
  <si>
    <t>-8,929,370.52</t>
  </si>
  <si>
    <t>1740</t>
  </si>
  <si>
    <t>PHUB521602567</t>
  </si>
  <si>
    <t>B/O_AL NAHIYA _CBDU_521602567_Technic</t>
  </si>
  <si>
    <t>82,020.00</t>
  </si>
  <si>
    <t>-8,847,350.52</t>
  </si>
  <si>
    <t>1741</t>
  </si>
  <si>
    <t>INHOUSE CHEQUE DEPOSIT 000011 ABHIJITH SUNIL SUNIL   CHAKRAPANI AL FARDAN EXCHANGE SP LLC CHQ NO ::000011</t>
  </si>
  <si>
    <t>37,500.00</t>
  </si>
  <si>
    <t>-8,809,850.52</t>
  </si>
  <si>
    <t>1742</t>
  </si>
  <si>
    <t>PHUB521609483</t>
  </si>
  <si>
    <t>MOB0808251326178044630</t>
  </si>
  <si>
    <t>503.00</t>
  </si>
  <si>
    <t>-8,809,347.52</t>
  </si>
  <si>
    <t>1743</t>
  </si>
  <si>
    <t>PV3045</t>
  </si>
  <si>
    <t>45,580.10</t>
  </si>
  <si>
    <t>-8,763,767.42</t>
  </si>
  <si>
    <t>1744</t>
  </si>
  <si>
    <t>PHUB521613712</t>
  </si>
  <si>
    <t>B/O_HATEM KOTB_HILA_521613712_GDS</t>
  </si>
  <si>
    <t>94,700.00</t>
  </si>
  <si>
    <t>-8,669,067.42</t>
  </si>
  <si>
    <t>1745</t>
  </si>
  <si>
    <t>025040</t>
  </si>
  <si>
    <t>INHOUSE CHEQUE DEPOSIT 025040 BASHEER PULIKKAL    IBRAHIM AL FARDAN EXCHANGE SP LLC CHQ NO ::025040</t>
  </si>
  <si>
    <t>42,880.00</t>
  </si>
  <si>
    <t>-8,626,187.42</t>
  </si>
  <si>
    <t>1746</t>
  </si>
  <si>
    <t>004531</t>
  </si>
  <si>
    <t>INHOUSE CHEQUE DEPOSIT 004531 SAJEEV KARIKKAPPILLY BALAKRISHNAN CHITTEZHATH  KRI AL FARDAN EXCHANGE SP LLC CHQ NO ::004531</t>
  </si>
  <si>
    <t>187,089.33</t>
  </si>
  <si>
    <t>-8,439,098.09</t>
  </si>
  <si>
    <t>1747</t>
  </si>
  <si>
    <t>167,667.61</t>
  </si>
  <si>
    <t>-8,271,430.48</t>
  </si>
  <si>
    <t>1748</t>
  </si>
  <si>
    <t>50859772795</t>
  </si>
  <si>
    <t>25947186409 MBTRF B/O MUHAMMAD ALI KHILJI</t>
  </si>
  <si>
    <t>14,972.00</t>
  </si>
  <si>
    <t>-8,256,458.48</t>
  </si>
  <si>
    <t>1749</t>
  </si>
  <si>
    <t>JABAL ARMAN</t>
  </si>
  <si>
    <t>INHOUSE CHEQUE DEPOSIT JABAL ARMAN AL FARDAN EXCHANGE SP LLC CHQ NO ::000006</t>
  </si>
  <si>
    <t>259,969.10</t>
  </si>
  <si>
    <t>-7,996,489.38</t>
  </si>
  <si>
    <t>1750</t>
  </si>
  <si>
    <t>50860080534</t>
  </si>
  <si>
    <t>25947503347 MBTRF B/O MUHAMMAD  ZAHID</t>
  </si>
  <si>
    <t>-7,995,489.38</t>
  </si>
  <si>
    <t>1751</t>
  </si>
  <si>
    <t>INHOUSE CHEQUE DEPOSIT 000031 SANTHOSH PUTHOOR VALSALA VALIYA MEKKAT   SREEDHARA AL FARDAN EXCHANGE SP LLC CHQ NO ::000031</t>
  </si>
  <si>
    <t>-7,895,489.38</t>
  </si>
  <si>
    <t>1752</t>
  </si>
  <si>
    <t>INHOUSE CHEQUE DEPOSIT 000035 MUHAMMAD HAMEED MUHAMMAD   FAREED AL FARDAN EXCHANGE SP LLC CHQ NO ::000035</t>
  </si>
  <si>
    <t>223,614.00</t>
  </si>
  <si>
    <t>-7,671,875.38</t>
  </si>
  <si>
    <t>1753</t>
  </si>
  <si>
    <t>INHOUSE CHEQUE DEPOSIT 000326 RIYAS KUNIYIL    KUNHABDULLA AL FARDAN EXCHANGE SP LLC CHQ NO ::000326</t>
  </si>
  <si>
    <t>442,494.25</t>
  </si>
  <si>
    <t>-7,229,381.13</t>
  </si>
  <si>
    <t>1754</t>
  </si>
  <si>
    <t>001528</t>
  </si>
  <si>
    <t>INHOUSE CHEQUE DEPOSIT 001528 MUHAMMAD HAMEED MUHAMMAD   FAREED AL FARDAN EXCHANGE SP LLC CHQ NO ::001528</t>
  </si>
  <si>
    <t>103,660.00</t>
  </si>
  <si>
    <t>-7,125,721.13</t>
  </si>
  <si>
    <t>1755</t>
  </si>
  <si>
    <t>61,709.25</t>
  </si>
  <si>
    <t>-7,064,011.88</t>
  </si>
  <si>
    <t>1756</t>
  </si>
  <si>
    <t>1,175.00</t>
  </si>
  <si>
    <t>-7,062,836.88</t>
  </si>
  <si>
    <t>1757</t>
  </si>
  <si>
    <t>PHUB521647656</t>
  </si>
  <si>
    <t>521647656 B/O MR JUSTIN CLEOPHAS</t>
  </si>
  <si>
    <t>6,700.00</t>
  </si>
  <si>
    <t>-7,056,136.88</t>
  </si>
  <si>
    <t>1758</t>
  </si>
  <si>
    <t>PHUB521656373</t>
  </si>
  <si>
    <t>521656373 B/O ENLITE TECHNOLOGIES DMCC</t>
  </si>
  <si>
    <t>5,886.00</t>
  </si>
  <si>
    <t>-7,050,250.88</t>
  </si>
  <si>
    <t>1759</t>
  </si>
  <si>
    <t>LULU AGAINST BNP</t>
  </si>
  <si>
    <t>TRF TO LULU INTERNATIONAL EXCHANGE LLC</t>
  </si>
  <si>
    <t>4,890,000.00</t>
  </si>
  <si>
    <t>-11,940,250.88</t>
  </si>
  <si>
    <t>1760</t>
  </si>
  <si>
    <t>PHUB521659647</t>
  </si>
  <si>
    <t>521659647 B/O MARSHALL LEE ROY MALGAS</t>
  </si>
  <si>
    <t>6,515.00</t>
  </si>
  <si>
    <t>-11,933,735.88</t>
  </si>
  <si>
    <t>1761</t>
  </si>
  <si>
    <t>PHUB521659756</t>
  </si>
  <si>
    <t>521659756 B/O RICARDO DOMINIC HUDSON</t>
  </si>
  <si>
    <t>8,016.00</t>
  </si>
  <si>
    <t>-11,925,719.88</t>
  </si>
  <si>
    <t>1762</t>
  </si>
  <si>
    <t>50861540304</t>
  </si>
  <si>
    <t>2536398927 IBTRF B/O ZAHRAT AMMAN TRADING</t>
  </si>
  <si>
    <t>-11,825,719.88</t>
  </si>
  <si>
    <t>1763</t>
  </si>
  <si>
    <t>50861563848</t>
  </si>
  <si>
    <t>2536399631 IBTRF B/O ZAHRAT AMMAN TRADING</t>
  </si>
  <si>
    <t>-11,725,719.88</t>
  </si>
  <si>
    <t>1764</t>
  </si>
  <si>
    <t>50861594691</t>
  </si>
  <si>
    <t>2536400451 IBTRF B/O ZAHRAT AMMAN TRADING</t>
  </si>
  <si>
    <t>-11,675,719.88</t>
  </si>
  <si>
    <t>1765</t>
  </si>
  <si>
    <t>50861885454</t>
  </si>
  <si>
    <t>25949349477 MBTRF B/O SANTHANA KRISHNAN THANGARAJU PILLAI</t>
  </si>
  <si>
    <t>-11,645,719.88</t>
  </si>
  <si>
    <t>1766</t>
  </si>
  <si>
    <t>PHUB521670375</t>
  </si>
  <si>
    <t>MOB0808251452088045765</t>
  </si>
  <si>
    <t>B/O JOLI TIR PARTY PHOTOGRAPHY</t>
  </si>
  <si>
    <t>14,646.25</t>
  </si>
  <si>
    <t>-11,631,073.63</t>
  </si>
  <si>
    <t>1767</t>
  </si>
  <si>
    <t>14,000.00</t>
  </si>
  <si>
    <t>-11,617,073.63</t>
  </si>
  <si>
    <t>1768</t>
  </si>
  <si>
    <t>8.40</t>
  </si>
  <si>
    <t>-11,617,065.23</t>
  </si>
  <si>
    <t>1769</t>
  </si>
  <si>
    <t>PHUB521677636</t>
  </si>
  <si>
    <t>521677636 B/O JASON LEE CICERO</t>
  </si>
  <si>
    <t>-11,610,565.23</t>
  </si>
  <si>
    <t>1770</t>
  </si>
  <si>
    <t>PHUB521677709</t>
  </si>
  <si>
    <t>B/O_AL FARDAN _EBIL_521677709_AUH ADC</t>
  </si>
  <si>
    <t>9,000,000.00</t>
  </si>
  <si>
    <t>-2,610,565.23</t>
  </si>
  <si>
    <t>1771</t>
  </si>
  <si>
    <t>2,207.25</t>
  </si>
  <si>
    <t>-2,608,357.98</t>
  </si>
  <si>
    <t>1772</t>
  </si>
  <si>
    <t>50862791473</t>
  </si>
  <si>
    <t>2536436969 IBTRF B/O CRUISER XPRESS AUTO REPAIRING</t>
  </si>
  <si>
    <t>53,385.83</t>
  </si>
  <si>
    <t>-2,554,972.15</t>
  </si>
  <si>
    <t>1773</t>
  </si>
  <si>
    <t>50862818988</t>
  </si>
  <si>
    <t>2536438150 IBTRF B/O CRUISER XPRESS AUTO REPAIRING</t>
  </si>
  <si>
    <t>33,694.10</t>
  </si>
  <si>
    <t>-2,521,278.05</t>
  </si>
  <si>
    <t>1774</t>
  </si>
  <si>
    <t>50862853835</t>
  </si>
  <si>
    <t>2536439404 IBTRF B/O CRUISER XPRESS AUTO REPAIRING</t>
  </si>
  <si>
    <t>49,481.50</t>
  </si>
  <si>
    <t>-2,471,796.55</t>
  </si>
  <si>
    <t>1775</t>
  </si>
  <si>
    <t>50862893349</t>
  </si>
  <si>
    <t>2536440545 IBTRF B/O CRUISER XPRESS AUTO REPAIRING</t>
  </si>
  <si>
    <t>-2,371,796.55</t>
  </si>
  <si>
    <t>1776</t>
  </si>
  <si>
    <t>50862925076</t>
  </si>
  <si>
    <t>2536441441 IBTRF B/O CRUISER XPRESS AUTO REPAIRING</t>
  </si>
  <si>
    <t>8,066.33</t>
  </si>
  <si>
    <t>-2,363,730.22</t>
  </si>
  <si>
    <t>1777</t>
  </si>
  <si>
    <t>PHUB521687445</t>
  </si>
  <si>
    <t>F. SETLMT-FARDAN</t>
  </si>
  <si>
    <t>28,607.18</t>
  </si>
  <si>
    <t>-2,335,123.04</t>
  </si>
  <si>
    <t>1778</t>
  </si>
  <si>
    <t>PHUB521687629</t>
  </si>
  <si>
    <t>WORLD CALSS</t>
  </si>
  <si>
    <t>B/O ZANAYA SHIPPING SERVICES LLC</t>
  </si>
  <si>
    <t>178,174.50</t>
  </si>
  <si>
    <t>-2,156,948.54</t>
  </si>
  <si>
    <t>1779</t>
  </si>
  <si>
    <t>PHUB521687069</t>
  </si>
  <si>
    <t>SANWAY SUPPLY</t>
  </si>
  <si>
    <t>17,595.25</t>
  </si>
  <si>
    <t>-2,139,353.29</t>
  </si>
  <si>
    <t>1780</t>
  </si>
  <si>
    <t>PHUB521687954</t>
  </si>
  <si>
    <t>B/O_ENLITE TEC_BOML_521687954_ PAYMEN</t>
  </si>
  <si>
    <t>167,477.67</t>
  </si>
  <si>
    <t>-1,971,875.62</t>
  </si>
  <si>
    <t>1781</t>
  </si>
  <si>
    <t>18,508.00</t>
  </si>
  <si>
    <t>-1,953,367.62</t>
  </si>
  <si>
    <t>1782</t>
  </si>
  <si>
    <t>50863276356</t>
  </si>
  <si>
    <t>25950772739 MBTRF B/O QAZI AMIR QAZI SHAHABUDDIN</t>
  </si>
  <si>
    <t>26,986.00</t>
  </si>
  <si>
    <t>-1,926,381.62</t>
  </si>
  <si>
    <t>1783</t>
  </si>
  <si>
    <t>PHUB521698686</t>
  </si>
  <si>
    <t>74,151.52</t>
  </si>
  <si>
    <t>-1,852,230.10</t>
  </si>
  <si>
    <t>1784</t>
  </si>
  <si>
    <t>PHUB521693971</t>
  </si>
  <si>
    <t>B/O_MRI SHIPPI_EBIL_521693971_soa</t>
  </si>
  <si>
    <t>17,234.54</t>
  </si>
  <si>
    <t>-1,834,995.56</t>
  </si>
  <si>
    <t>1785</t>
  </si>
  <si>
    <t>7,926.50</t>
  </si>
  <si>
    <t>-1,827,069.06</t>
  </si>
  <si>
    <t>1786</t>
  </si>
  <si>
    <t>PHUB521696344</t>
  </si>
  <si>
    <t>B/O_LPFLEX BAS_EBIL_521696344_LPFLEX</t>
  </si>
  <si>
    <t>30,002.63</t>
  </si>
  <si>
    <t>-1,797,066.43</t>
  </si>
  <si>
    <t>1787</t>
  </si>
  <si>
    <t>PHUB521696398</t>
  </si>
  <si>
    <t>B/O_LPFLEX BAS_EBIL_521696398_LPFLEX</t>
  </si>
  <si>
    <t>15,002.63</t>
  </si>
  <si>
    <t>-1,782,063.80</t>
  </si>
  <si>
    <t>1788</t>
  </si>
  <si>
    <t>B/O_LAZAR SHIP_BOML_521705042_ FINANC</t>
  </si>
  <si>
    <t>772,333.82</t>
  </si>
  <si>
    <t>-1,009,729.98</t>
  </si>
  <si>
    <t>1789</t>
  </si>
  <si>
    <t>50863976622</t>
  </si>
  <si>
    <t>2536474389 IBTRF B/O NEXT MOVE SHIPPING SERVICES LLC</t>
  </si>
  <si>
    <t>8,914.84</t>
  </si>
  <si>
    <t>-1,000,815.14</t>
  </si>
  <si>
    <t>1790</t>
  </si>
  <si>
    <t>PHUB521708451</t>
  </si>
  <si>
    <t>MOB0808251727218048030</t>
  </si>
  <si>
    <t>B/O NEW AGE INTERNATIONAL FZCO</t>
  </si>
  <si>
    <t>52,432.00</t>
  </si>
  <si>
    <t>-948,383.14</t>
  </si>
  <si>
    <t>1791</t>
  </si>
  <si>
    <t>50864075335</t>
  </si>
  <si>
    <t>2536477583 IBTRF B/O NEXT MOVE SHIPPING SERVICES LLC</t>
  </si>
  <si>
    <t>2,891.00</t>
  </si>
  <si>
    <t>-945,492.14</t>
  </si>
  <si>
    <t>1792</t>
  </si>
  <si>
    <t>50864131119</t>
  </si>
  <si>
    <t>2536479508 IBTRF B/O NEXT MOVE SHIPPING SERVICES LLC</t>
  </si>
  <si>
    <t>6,232.82</t>
  </si>
  <si>
    <t>-939,259.32</t>
  </si>
  <si>
    <t>1793</t>
  </si>
  <si>
    <t>50864243555</t>
  </si>
  <si>
    <t>2536483226 IBTRF B/O NEXT MOVE SHIPPING SERVICES LLC</t>
  </si>
  <si>
    <t>9,772.34</t>
  </si>
  <si>
    <t>-929,486.98</t>
  </si>
  <si>
    <t>1794</t>
  </si>
  <si>
    <t>PHUB521723246</t>
  </si>
  <si>
    <t>B/O_HAPPY JOUR_EBIL_521723246_Albania</t>
  </si>
  <si>
    <t>-922,986.98</t>
  </si>
  <si>
    <t>1795</t>
  </si>
  <si>
    <t>438278</t>
  </si>
  <si>
    <t>CHEQUE DEPOSIT 438278 SHAMSHEER KHAN AHAMED KHAN AHAMED  KHAN 803520152 CHQ NO ::438278</t>
  </si>
  <si>
    <t>70,167.77</t>
  </si>
  <si>
    <t>-852,819.21</t>
  </si>
  <si>
    <t>1796</t>
  </si>
  <si>
    <t>000048</t>
  </si>
  <si>
    <t>CHEQUE DEPOSIT 000048 SHAMSHEER KHAN AHAMED KHAN AHAMED  KHAN 703320106 CHQ NO ::000048</t>
  </si>
  <si>
    <t>169,833.69</t>
  </si>
  <si>
    <t>-682,985.52</t>
  </si>
  <si>
    <t>1797</t>
  </si>
  <si>
    <t>000150</t>
  </si>
  <si>
    <t>AL FARJ AL SATEE</t>
  </si>
  <si>
    <t>CHEQUE DEPOSIT AL FARJ AL SATEE 703320106 CHQ NO ::000150</t>
  </si>
  <si>
    <t>221,012.90</t>
  </si>
  <si>
    <t>-461,972.62</t>
  </si>
  <si>
    <t>1798</t>
  </si>
  <si>
    <t>037118</t>
  </si>
  <si>
    <t>CHEQUE DEPOSIT 037118 MUHAMMAD HAMEED MUHAMMAD   FAREED 304630121 CHQ NO ::037118</t>
  </si>
  <si>
    <t>2,630.46</t>
  </si>
  <si>
    <t>-459,342.16</t>
  </si>
  <si>
    <t>1799</t>
  </si>
  <si>
    <t>CHEQUE DEPOSIT 000114 TAMMAM MAMDOUH    HOMSI 704130135 CHQ NO ::000114</t>
  </si>
  <si>
    <t>13,070.00</t>
  </si>
  <si>
    <t>-446,272.16</t>
  </si>
  <si>
    <t>1800</t>
  </si>
  <si>
    <t>000504</t>
  </si>
  <si>
    <t>CHEQUE DEPOSIT 000504 MUHAMMAD HAMEED MUHAMMAD   FAREED 704130102 CHQ NO ::000504</t>
  </si>
  <si>
    <t>25,062.50</t>
  </si>
  <si>
    <t>-421,209.66</t>
  </si>
  <si>
    <t>1801</t>
  </si>
  <si>
    <t>201618</t>
  </si>
  <si>
    <t>CHEQUE DEPOSIT 201618 DIL JAN MOHAMMAD   ALI 302430107 CHQ NO ::201618</t>
  </si>
  <si>
    <t>61,014.60</t>
  </si>
  <si>
    <t>-360,195.06</t>
  </si>
  <si>
    <t>1802</t>
  </si>
  <si>
    <t>011949</t>
  </si>
  <si>
    <t>CHEQUE DEPOSIT 011949 SHAMSHEER KHAN AHAMED KHAN AHAMED  KHAN 102330106 CHQ NO ::011949</t>
  </si>
  <si>
    <t>6,583.75</t>
  </si>
  <si>
    <t>-353,611.31</t>
  </si>
  <si>
    <t>1803</t>
  </si>
  <si>
    <t>CHEQUE DEPOSIT 000001 REYCEL UMALI     LUGOS 904010130 CHQ NO ::000001</t>
  </si>
  <si>
    <t>13,628.00</t>
  </si>
  <si>
    <t>-339,983.31</t>
  </si>
  <si>
    <t>1804</t>
  </si>
  <si>
    <t>012650</t>
  </si>
  <si>
    <t>CHEQUE DEPOSIT 012650 MOHAMMED FACIUL     ALAM SHAH ALAM 903420130 CHQ NO ::012650</t>
  </si>
  <si>
    <t>30,077.22</t>
  </si>
  <si>
    <t>-309,906.09</t>
  </si>
  <si>
    <t>1805</t>
  </si>
  <si>
    <t>JOSELIN</t>
  </si>
  <si>
    <t>CHEQUE DEPOSIT JOSELIN 703320106 CHQ NO ::000001</t>
  </si>
  <si>
    <t>-39,906.09</t>
  </si>
  <si>
    <t>1806</t>
  </si>
  <si>
    <t>DIGITAL WORLD</t>
  </si>
  <si>
    <t>CHEQUE DEPOSIT DIGITAL WORLD 703320106 CHQ NO ::000002</t>
  </si>
  <si>
    <t>2,093.91</t>
  </si>
  <si>
    <t>1807</t>
  </si>
  <si>
    <t>HEMANT</t>
  </si>
  <si>
    <t>CHEQUE DEPOSIT HEMANT 703320106 CHQ NO ::000018</t>
  </si>
  <si>
    <t>17,000.00</t>
  </si>
  <si>
    <t>19,093.91</t>
  </si>
  <si>
    <t>1808</t>
  </si>
  <si>
    <t>000111</t>
  </si>
  <si>
    <t>CHEQUE DEPOSIT 000111 BASHEER PULIKKAL    IBRAHIM 802610160 CHQ NO ::000111</t>
  </si>
  <si>
    <t>2,018.25</t>
  </si>
  <si>
    <t>21,112.16</t>
  </si>
  <si>
    <t>1809</t>
  </si>
  <si>
    <t>000850</t>
  </si>
  <si>
    <t>CHEQUE DEPOSIT 000850 NAUFAL PITTU    MOIDEEN 603510179 CHQ NO ::000850</t>
  </si>
  <si>
    <t>177.45</t>
  </si>
  <si>
    <t>21,289.61</t>
  </si>
  <si>
    <t>1810</t>
  </si>
  <si>
    <t>971373</t>
  </si>
  <si>
    <t>CHEQUE DEPOSIT 971373 ABHIJITH SUNIL SUNIL   CHAKRAPANI 203514036 CHQ NO ::971373</t>
  </si>
  <si>
    <t>321,289.61</t>
  </si>
  <si>
    <t>1811</t>
  </si>
  <si>
    <t>883366</t>
  </si>
  <si>
    <t>CHEQUE DEPOSIT 883366 BASHEER PULIKKAL    IBRAHIM 003510111 CHQ NO ::883366</t>
  </si>
  <si>
    <t>12,227.00</t>
  </si>
  <si>
    <t>333,516.61</t>
  </si>
  <si>
    <t>1812</t>
  </si>
  <si>
    <t>002445</t>
  </si>
  <si>
    <t>CHEQUE DEPOSIT 002445 MUHAMMAD HAMEED MUHAMMAD   FAREED 304040119 CHQ NO ::002445</t>
  </si>
  <si>
    <t>27,140.00</t>
  </si>
  <si>
    <t>360,656.61</t>
  </si>
  <si>
    <t>1813</t>
  </si>
  <si>
    <t>001663</t>
  </si>
  <si>
    <t>CHEQUE DEPOSIT 001663 SHAMSHEER KHAN AHAMED KHAN AHAMED  KHAN 104030136 CHQ NO ::001663</t>
  </si>
  <si>
    <t>183,906.21</t>
  </si>
  <si>
    <t>544,562.82</t>
  </si>
  <si>
    <t>1814</t>
  </si>
  <si>
    <t>CHEQUE DEPOSIT 000002 JITHILLAL,KELOTH AJI,,,,KELOTH, 805740101 CHQ NO ::000002</t>
  </si>
  <si>
    <t>7,378.25</t>
  </si>
  <si>
    <t>551,941.07</t>
  </si>
  <si>
    <t>1815</t>
  </si>
  <si>
    <t>MUHAMMAD RIAZ</t>
  </si>
  <si>
    <t>CHEQUE DEPOSIT MUHAMMAD RIAZ 703430256 CHQ NO ::000011</t>
  </si>
  <si>
    <t>100,192.50</t>
  </si>
  <si>
    <t>652,133.57</t>
  </si>
  <si>
    <t>1816</t>
  </si>
  <si>
    <t>PHUB521730383</t>
  </si>
  <si>
    <t>B/O_AHMED HELA_ADIB_521730383_Constru</t>
  </si>
  <si>
    <t>57,113.50</t>
  </si>
  <si>
    <t>709,247.07</t>
  </si>
  <si>
    <t>1817</t>
  </si>
  <si>
    <t>000203</t>
  </si>
  <si>
    <t>CHEQUE DEPOSIT 000203 SHAMSHEER KHAN AHAMED KHAN AHAMED  KHAN 703430137 CHQ NO ::000203</t>
  </si>
  <si>
    <t>212,583.50</t>
  </si>
  <si>
    <t>921,830.57</t>
  </si>
  <si>
    <t>1818</t>
  </si>
  <si>
    <t>080628</t>
  </si>
  <si>
    <t>CHEQUE DEPOSIT 080628 PRINCE THOMAS    THOMAS 103130112 CHQ NO ::080628</t>
  </si>
  <si>
    <t>1,157.41</t>
  </si>
  <si>
    <t>922,987.98</t>
  </si>
  <si>
    <t>1819</t>
  </si>
  <si>
    <t>503394</t>
  </si>
  <si>
    <t>ROBOOA</t>
  </si>
  <si>
    <t>CHEQUE DEPOSIT ROBOOA 805011001 CHQ NO ::503394</t>
  </si>
  <si>
    <t>95,581.00</t>
  </si>
  <si>
    <t>1,018,568.98</t>
  </si>
  <si>
    <t>1820</t>
  </si>
  <si>
    <t>500195</t>
  </si>
  <si>
    <t>CHEQUE DEPOSIT 500195 NISSAR MANGADAN MOIDEEN   MANGADAN 805011045 CHQ NO ::500195</t>
  </si>
  <si>
    <t>59,738.00</t>
  </si>
  <si>
    <t>1,078,306.98</t>
  </si>
  <si>
    <t>1821</t>
  </si>
  <si>
    <t>2508081807402161</t>
  </si>
  <si>
    <t>CHQ RETRN:Signature Missing 805011045 CHQ NO ::500195</t>
  </si>
  <si>
    <t>1822</t>
  </si>
  <si>
    <t>012681</t>
  </si>
  <si>
    <t>CHEQUE DEPOSIT 012681 MOHAMMED FACIUL     ALAM SHAH ALAM 903420130 CHQ NO ::012681</t>
  </si>
  <si>
    <t>34,531.57</t>
  </si>
  <si>
    <t>1,053,100.55</t>
  </si>
  <si>
    <t>1823</t>
  </si>
  <si>
    <t>060938</t>
  </si>
  <si>
    <t>CHEQUE DEPOSIT 060938 SUNIL RAJAN    RAJAN 002020130 CHQ NO ::060938</t>
  </si>
  <si>
    <t>85,260.00</t>
  </si>
  <si>
    <t>1,138,360.55</t>
  </si>
  <si>
    <t>1824</t>
  </si>
  <si>
    <t>500040</t>
  </si>
  <si>
    <t>CHEQUE DEPOSIT 500040 TAMMAM MAMDOUH    HOMSI 805030156 CHQ NO ::500040</t>
  </si>
  <si>
    <t>36,552.00</t>
  </si>
  <si>
    <t>1,174,912.55</t>
  </si>
  <si>
    <t>1825</t>
  </si>
  <si>
    <t>002323</t>
  </si>
  <si>
    <t>CHEQUE DEPOSIT 002323 MUHAMMAD,BILAL,,,,MUHAMMAD ILYAS, 903320188 CHQ NO ::002323</t>
  </si>
  <si>
    <t>16,880.00</t>
  </si>
  <si>
    <t>1,191,792.55</t>
  </si>
  <si>
    <t>1826</t>
  </si>
  <si>
    <t>012682</t>
  </si>
  <si>
    <t>CHEQUE DEPOSIT 012682 SHAMSHEER KHAN AHAMED KHAN AHAMED  KHAN 102330106 CHQ NO ::012682</t>
  </si>
  <si>
    <t>11,600.00</t>
  </si>
  <si>
    <t>1,203,392.55</t>
  </si>
  <si>
    <t>1827</t>
  </si>
  <si>
    <t>011945</t>
  </si>
  <si>
    <t>CHEQUE DEPOSIT 011945 SHAMSHEER KHAN AHAMED KHAN AHAMED  KHAN 102330106 CHQ NO ::011945</t>
  </si>
  <si>
    <t>1,209,392.55</t>
  </si>
  <si>
    <t>1828</t>
  </si>
  <si>
    <t>001809</t>
  </si>
  <si>
    <t>CHEQUE DEPOSIT 001809 WILLY OLIVER     FRESNOSA 101110101 CHQ NO ::001809</t>
  </si>
  <si>
    <t>115,580.00</t>
  </si>
  <si>
    <t>1,324,972.55</t>
  </si>
  <si>
    <t>1829</t>
  </si>
  <si>
    <t>CHEQUE DEPOSIT 000032 SHAMSHEER KHAN AHAMED KHAN AHAMED  KHAN 102620140 CHQ NO ::000032</t>
  </si>
  <si>
    <t>1,374,999.05</t>
  </si>
  <si>
    <t>1830</t>
  </si>
  <si>
    <t>002249</t>
  </si>
  <si>
    <t>CHEQUE DEPOSIT 002249 DIL JAN MOHAMMAD   ALI 403340107 CHQ NO ::002249</t>
  </si>
  <si>
    <t>1,448.90</t>
  </si>
  <si>
    <t>1,376,447.95</t>
  </si>
  <si>
    <t>1831</t>
  </si>
  <si>
    <t>209700</t>
  </si>
  <si>
    <t>CHEQUE DEPOSIT 209700 BASHEER PULIKKAL    IBRAHIM 702410103 CHQ NO ::209700</t>
  </si>
  <si>
    <t>267,160.75</t>
  </si>
  <si>
    <t>1,643,608.70</t>
  </si>
  <si>
    <t>1832</t>
  </si>
  <si>
    <t>012619</t>
  </si>
  <si>
    <t>CHEQUE DEPOSIT 012619 MOHAMMED FACIUL     ALAM SHAH ALAM 903420130 CHQ NO ::012619</t>
  </si>
  <si>
    <t>36,227.54</t>
  </si>
  <si>
    <t>1,679,836.24</t>
  </si>
  <si>
    <t>1833</t>
  </si>
  <si>
    <t>004612</t>
  </si>
  <si>
    <t>CHEQUE DEPOSIT 004612 MOHAMMED NIHAL VATTAPARAMBIL    BASHEER 603530160 CHQ NO ::004612</t>
  </si>
  <si>
    <t>23,569.30</t>
  </si>
  <si>
    <t>1,703,405.54</t>
  </si>
  <si>
    <t>1834</t>
  </si>
  <si>
    <t>50865170609</t>
  </si>
  <si>
    <t>2536510759 IBTRF B/O NEXT MOVE SHIPPING SERVICES LLC</t>
  </si>
  <si>
    <t>9,064.25</t>
  </si>
  <si>
    <t>1,712,469.79</t>
  </si>
  <si>
    <t>1835</t>
  </si>
  <si>
    <t>000766</t>
  </si>
  <si>
    <t>CHEQUE DEPOSIT 000766 BASKAR,SUNDARASAMY,,,,SUNDARASAMY, 602920102 CHQ NO ::000766</t>
  </si>
  <si>
    <t>17,328.30</t>
  </si>
  <si>
    <t>1,729,798.09</t>
  </si>
  <si>
    <t>1836</t>
  </si>
  <si>
    <t>002036</t>
  </si>
  <si>
    <t>CHEQUE DEPOSIT 002036 SHAMSHEER KHAN AHAMED KHAN AHAMED  KHAN 704130102 CHQ NO ::002036</t>
  </si>
  <si>
    <t>1,784,798.09</t>
  </si>
  <si>
    <t>1837</t>
  </si>
  <si>
    <t>JAIGANESH NATARAJAN</t>
  </si>
  <si>
    <t>24,953.80</t>
  </si>
  <si>
    <t>1,809,751.89</t>
  </si>
  <si>
    <t>1838</t>
  </si>
  <si>
    <t>50865383631</t>
  </si>
  <si>
    <t>25953049636 MBTRF B/O  TORINO ELEVATOR INST MAIN S P LLC</t>
  </si>
  <si>
    <t>24,750.00</t>
  </si>
  <si>
    <t>1,834,501.89</t>
  </si>
  <si>
    <t>1839</t>
  </si>
  <si>
    <t>50865413675</t>
  </si>
  <si>
    <t>25953083755 MBTRF B/O  TORINO ELEVATOR INST MAIN S P LLC</t>
  </si>
  <si>
    <t>51,887.00</t>
  </si>
  <si>
    <t>1,886,388.89</t>
  </si>
  <si>
    <t>1840</t>
  </si>
  <si>
    <t>PHUB521738053</t>
  </si>
  <si>
    <t>B/O_AHMED HELA_ADIB_521738053_Constru</t>
  </si>
  <si>
    <t>52,800.00</t>
  </si>
  <si>
    <t>1,939,188.89</t>
  </si>
  <si>
    <t>1841</t>
  </si>
  <si>
    <t>50865437920</t>
  </si>
  <si>
    <t>25953113742 MBTRF B/O  TORINO ELEVATOR INST MAIN S P LLC</t>
  </si>
  <si>
    <t>44,790.00</t>
  </si>
  <si>
    <t>1,983,978.89</t>
  </si>
  <si>
    <t>1842</t>
  </si>
  <si>
    <t>000194</t>
  </si>
  <si>
    <t>CHEQUE DEPOSIT 000194 SHAMSHEER KHAN AHAMED KHAN AHAMED  KHAN 603420117 CHQ NO ::000194</t>
  </si>
  <si>
    <t>58,000.00</t>
  </si>
  <si>
    <t>2,041,978.89</t>
  </si>
  <si>
    <t>1843</t>
  </si>
  <si>
    <t>000112</t>
  </si>
  <si>
    <t>CHEQUE DEPOSIT 000112 BASHEER PULIKKAL    IBRAHIM 802610160 CHQ NO ::000112</t>
  </si>
  <si>
    <t>13,654.50</t>
  </si>
  <si>
    <t>2,055,633.39</t>
  </si>
  <si>
    <t>1844</t>
  </si>
  <si>
    <t>060843</t>
  </si>
  <si>
    <t>CHEQUE DEPOSIT 060843 SUNIL RAJAN    RAJAN 002020130 CHQ NO ::060843</t>
  </si>
  <si>
    <t>294,700.00</t>
  </si>
  <si>
    <t>2,350,333.39</t>
  </si>
  <si>
    <t>1845</t>
  </si>
  <si>
    <t>50865485724</t>
  </si>
  <si>
    <t>25953165835 MBTRF B/O  TORINO ELEVATOR INST MAIN S P LLC</t>
  </si>
  <si>
    <t>47,810.00</t>
  </si>
  <si>
    <t>2,398,143.39</t>
  </si>
  <si>
    <t>1846</t>
  </si>
  <si>
    <t>000216</t>
  </si>
  <si>
    <t>ATTALAH JAN</t>
  </si>
  <si>
    <t>CHEQUE DEPOSIT ATTALAH JAN 203870112 CHQ NO ::000216</t>
  </si>
  <si>
    <t>67,607.98</t>
  </si>
  <si>
    <t>2,465,751.37</t>
  </si>
  <si>
    <t>1847</t>
  </si>
  <si>
    <t>037104</t>
  </si>
  <si>
    <t>CHEQUE DEPOSIT 037104 MUHAMMAD HAMEED MUHAMMAD   FAREED 304630121 CHQ NO ::037104</t>
  </si>
  <si>
    <t>124,309.53</t>
  </si>
  <si>
    <t>2,590,060.90</t>
  </si>
  <si>
    <t>1848</t>
  </si>
  <si>
    <t>50865516727</t>
  </si>
  <si>
    <t>25953202210 MBTRF B/O  TORINO ELEVATOR INST MAIN S P LLC</t>
  </si>
  <si>
    <t>14,282.00</t>
  </si>
  <si>
    <t>2,604,342.90</t>
  </si>
  <si>
    <t>1849</t>
  </si>
  <si>
    <t>500002</t>
  </si>
  <si>
    <t>CHEQUE DEPOSIT 500002 REYCEL UMALI     LUGOS 705010403 CHQ NO ::500002</t>
  </si>
  <si>
    <t>2,639,342.90</t>
  </si>
  <si>
    <t>1850</t>
  </si>
  <si>
    <t>PHUB521739995</t>
  </si>
  <si>
    <t>B/O_A BAIT ALS_BOML_521739995_ GOODS</t>
  </si>
  <si>
    <t>74,628.14</t>
  </si>
  <si>
    <t>2,713,971.04</t>
  </si>
  <si>
    <t>1851</t>
  </si>
  <si>
    <t>CHEQUE DEPOSIT 000048 ADNAN ABBAS MUHAMMAD HASHIM   KHAN 004730105 CHQ NO ::000048</t>
  </si>
  <si>
    <t>15,200.00</t>
  </si>
  <si>
    <t>2,729,171.04</t>
  </si>
  <si>
    <t>1852</t>
  </si>
  <si>
    <t>000200</t>
  </si>
  <si>
    <t>CHEQUE DEPOSIT 000200 SHAMSHEER KHAN AHAMED KHAN AHAMED  KHAN 404130101 CHQ NO ::000200</t>
  </si>
  <si>
    <t>73,541.00</t>
  </si>
  <si>
    <t>2,802,712.04</t>
  </si>
  <si>
    <t>1853</t>
  </si>
  <si>
    <t>CHEQUE DEPOSIT 000004 BASHEER PULIKKAL    IBRAHIM 802610160 CHQ NO ::000004</t>
  </si>
  <si>
    <t>202,147.50</t>
  </si>
  <si>
    <t>3,004,859.54</t>
  </si>
  <si>
    <t>1854</t>
  </si>
  <si>
    <t>50865754883</t>
  </si>
  <si>
    <t>2536526302 IBTRF B/O RAJESH ULLAL</t>
  </si>
  <si>
    <t>25,226.50</t>
  </si>
  <si>
    <t>3,030,086.04</t>
  </si>
  <si>
    <t>1855</t>
  </si>
  <si>
    <t>PHUB521746851</t>
  </si>
  <si>
    <t>SALARY FOR STAFF</t>
  </si>
  <si>
    <t>341,991.00</t>
  </si>
  <si>
    <t>3,372,077.04</t>
  </si>
  <si>
    <t>1856</t>
  </si>
  <si>
    <t>PHUB521747130</t>
  </si>
  <si>
    <t>SALARY FOR OPERATION</t>
  </si>
  <si>
    <t>167,225.75</t>
  </si>
  <si>
    <t>3,539,302.79</t>
  </si>
  <si>
    <t>1857</t>
  </si>
  <si>
    <t>PHUB521747586</t>
  </si>
  <si>
    <t>GLOBAL SALARY</t>
  </si>
  <si>
    <t>18,703.80</t>
  </si>
  <si>
    <t>3,558,006.59</t>
  </si>
  <si>
    <t>1858</t>
  </si>
  <si>
    <t>PHUB521747974</t>
  </si>
  <si>
    <t>MANAGEMENT SALARY</t>
  </si>
  <si>
    <t>118,012.60</t>
  </si>
  <si>
    <t>3,676,019.19</t>
  </si>
  <si>
    <t>1859</t>
  </si>
  <si>
    <t>383,768.77</t>
  </si>
  <si>
    <t>4,059,787.96</t>
  </si>
  <si>
    <t>1860</t>
  </si>
  <si>
    <t>PHUB521754820</t>
  </si>
  <si>
    <t>B/O_KHALID SULTAN SA_521754820</t>
  </si>
  <si>
    <t>32,437.50</t>
  </si>
  <si>
    <t>4,092,225.46</t>
  </si>
  <si>
    <t>1861</t>
  </si>
  <si>
    <t>PHUB521756093</t>
  </si>
  <si>
    <t>B/O_JIHANNE BAGHDOUD_521756093</t>
  </si>
  <si>
    <t>43,500.00</t>
  </si>
  <si>
    <t>4,135,725.46</t>
  </si>
  <si>
    <t>1862</t>
  </si>
  <si>
    <t>PHUB521756571</t>
  </si>
  <si>
    <t>B/O_SOUKAINA ELFADIL_521756571</t>
  </si>
  <si>
    <t>4,175,725.46</t>
  </si>
  <si>
    <t>1863</t>
  </si>
  <si>
    <t>PHUB521766857</t>
  </si>
  <si>
    <t>521766857 B/O SALAHELDIN AHMED NASR REZK</t>
  </si>
  <si>
    <t>4,185,755.46</t>
  </si>
  <si>
    <t>1864</t>
  </si>
  <si>
    <t>50867169472</t>
  </si>
  <si>
    <t>25955160469 MBTRF B/O ROMEO FRANCIS DIAS</t>
  </si>
  <si>
    <t>40,899.75</t>
  </si>
  <si>
    <t>4,226,655.21</t>
  </si>
  <si>
    <t>1865</t>
  </si>
  <si>
    <t>PHUB521779400</t>
  </si>
  <si>
    <t>521779400 B/O ALI MOHAMED IBRAHIM SALEM ALTENEIJI</t>
  </si>
  <si>
    <t>4,236,655.21</t>
  </si>
  <si>
    <t>1866</t>
  </si>
  <si>
    <t>PHUB521790986</t>
  </si>
  <si>
    <t>521790986 B/O ABDUL LATEEF LASHARI</t>
  </si>
  <si>
    <t>4,244,065.71</t>
  </si>
  <si>
    <t>1867</t>
  </si>
  <si>
    <t>PHUB521793754</t>
  </si>
  <si>
    <t>RIT62</t>
  </si>
  <si>
    <t>538.75</t>
  </si>
  <si>
    <t>4,244,604.46</t>
  </si>
  <si>
    <t>1868</t>
  </si>
  <si>
    <t>PHUB521794712</t>
  </si>
  <si>
    <t>RIT61</t>
  </si>
  <si>
    <t>4,634.00</t>
  </si>
  <si>
    <t>4,249,238.46</t>
  </si>
  <si>
    <t>1869</t>
  </si>
  <si>
    <t>PHUB521795373</t>
  </si>
  <si>
    <t>521795373 B/O TAMER ZAKARIA ABDELWAHAB MOHAMED</t>
  </si>
  <si>
    <t>3,810.00</t>
  </si>
  <si>
    <t>4,253,048.46</t>
  </si>
  <si>
    <t>1870</t>
  </si>
  <si>
    <t>5,500.00</t>
  </si>
  <si>
    <t>4,258,548.46</t>
  </si>
  <si>
    <t>1871</t>
  </si>
  <si>
    <t>PHUB521808985</t>
  </si>
  <si>
    <t>B/O KIDS UNLIMITED AMUSEMENT ARCADE LLC</t>
  </si>
  <si>
    <t>4,275,548.46</t>
  </si>
  <si>
    <t>1872</t>
  </si>
  <si>
    <t>PHUB521827350</t>
  </si>
  <si>
    <t>MOB0808252306468051684</t>
  </si>
  <si>
    <t>B/O OSWA FOODSTUFF TRADING SPS LLC</t>
  </si>
  <si>
    <t>2,253.88</t>
  </si>
  <si>
    <t>4,277,802.34</t>
  </si>
  <si>
    <t>1873</t>
  </si>
  <si>
    <t>PHUB521828465</t>
  </si>
  <si>
    <t>MOB0808252312148051738</t>
  </si>
  <si>
    <t>B/O A S D INTERNTNL MED REQ S PROP LLC</t>
  </si>
  <si>
    <t>4,299,906.84</t>
  </si>
  <si>
    <t>1874</t>
  </si>
  <si>
    <t>09-Aug-2025</t>
  </si>
  <si>
    <t>50871798951</t>
  </si>
  <si>
    <t>25960886538 MBTRF B/O MOHAMMED NAZEEB AYOOB</t>
  </si>
  <si>
    <t>6,718.90</t>
  </si>
  <si>
    <t>4,306,625.74</t>
  </si>
  <si>
    <t>1875</t>
  </si>
  <si>
    <t>50871818313</t>
  </si>
  <si>
    <t>25960904655 MBTRF B/O MOHAMMED NAZEEB AYOOB</t>
  </si>
  <si>
    <t>2,006.30</t>
  </si>
  <si>
    <t>4,308,632.04</t>
  </si>
  <si>
    <t>1876</t>
  </si>
  <si>
    <t>50872162277</t>
  </si>
  <si>
    <t>25961335094 MBTRF B/O  TORINO ELEVATOR INST MAIN S P LLC</t>
  </si>
  <si>
    <t>92,512.00</t>
  </si>
  <si>
    <t>4,401,144.04</t>
  </si>
  <si>
    <t>1877</t>
  </si>
  <si>
    <t>50872175436</t>
  </si>
  <si>
    <t>25961344599 MBTRF B/O  TORINO ELEVATOR INST MAIN S P LLC</t>
  </si>
  <si>
    <t>4,501,144.04</t>
  </si>
  <si>
    <t>1878</t>
  </si>
  <si>
    <t>PHUB521856374</t>
  </si>
  <si>
    <t>B/O_MEDITERRAN_NBAD_521856374_ctm 45k</t>
  </si>
  <si>
    <t>166,055.25</t>
  </si>
  <si>
    <t>4,667,199.29</t>
  </si>
  <si>
    <t>1879</t>
  </si>
  <si>
    <t>PHUB521857443</t>
  </si>
  <si>
    <t>B/O_AL HAIL MA_NBFU_521857443_SALARY</t>
  </si>
  <si>
    <t>997,475.69</t>
  </si>
  <si>
    <t>5,664,674.98</t>
  </si>
  <si>
    <t>1880</t>
  </si>
  <si>
    <t>PHUB521858264</t>
  </si>
  <si>
    <t>B/O_I G S FOUN_CBDU_521858264_Financi</t>
  </si>
  <si>
    <t>150,397.50</t>
  </si>
  <si>
    <t>5,815,072.48</t>
  </si>
  <si>
    <t>1881</t>
  </si>
  <si>
    <t>B/O_GEORGERU_null_521865135_Politap</t>
  </si>
  <si>
    <t>14,617.23</t>
  </si>
  <si>
    <t>5,829,689.71</t>
  </si>
  <si>
    <t>1882</t>
  </si>
  <si>
    <t>PHUB521874114</t>
  </si>
  <si>
    <t>B/O_RKA GLOBAL_BOML_521874114_ ADMIN</t>
  </si>
  <si>
    <t>20,026.25</t>
  </si>
  <si>
    <t>5,849,715.96</t>
  </si>
  <si>
    <t>1883</t>
  </si>
  <si>
    <t>50874374705</t>
  </si>
  <si>
    <t>25963808438 MBTRF B/O JABIR KAKKOTTAKATH PUTHIYA PURAYIL</t>
  </si>
  <si>
    <t>216,500.00</t>
  </si>
  <si>
    <t>6,066,215.96</t>
  </si>
  <si>
    <t>1884</t>
  </si>
  <si>
    <t>09082502</t>
  </si>
  <si>
    <t>21,066,215.96</t>
  </si>
  <si>
    <t>1885</t>
  </si>
  <si>
    <t>2508090840168019</t>
  </si>
  <si>
    <t>SAFYIA BUILDING HOR AL ANZ, 08TH AUG - Cash Collection TG</t>
  </si>
  <si>
    <t>440,000.00</t>
  </si>
  <si>
    <t>21,506,215.96</t>
  </si>
  <si>
    <t>1886</t>
  </si>
  <si>
    <t>2508090840178028</t>
  </si>
  <si>
    <t>DUBAI HILLS ESTATE DUBAI, 08TH AUG - Cash Collection TG</t>
  </si>
  <si>
    <t>21,936,215.96</t>
  </si>
  <si>
    <t>1887</t>
  </si>
  <si>
    <t>2508090840178031</t>
  </si>
  <si>
    <t>FUJAIRAH, 08TH AUG - Cash Collection TG</t>
  </si>
  <si>
    <t>22,196,215.96</t>
  </si>
  <si>
    <t>1888</t>
  </si>
  <si>
    <t>2508090840178034</t>
  </si>
  <si>
    <t>MUWEILAH SHJ, 08TH AUG - Cash Collection TG</t>
  </si>
  <si>
    <t>22,446,215.96</t>
  </si>
  <si>
    <t>1889</t>
  </si>
  <si>
    <t>2508090840178037</t>
  </si>
  <si>
    <t>AL KHAN BMW SHJ, 08TH AUG - Cash Collection TG</t>
  </si>
  <si>
    <t>22,796,215.96</t>
  </si>
  <si>
    <t>1890</t>
  </si>
  <si>
    <t>2508090840178056</t>
  </si>
  <si>
    <t>MEGA MALL SHARJAH BR 1, 08TH AUG - Cash Collection TG</t>
  </si>
  <si>
    <t>23,126,215.96</t>
  </si>
  <si>
    <t>1891</t>
  </si>
  <si>
    <t>2508090840178059</t>
  </si>
  <si>
    <t>UAQ, 08TH AUG - Cash Collection TG</t>
  </si>
  <si>
    <t>23,296,215.96</t>
  </si>
  <si>
    <t>1892</t>
  </si>
  <si>
    <t>2508090840178062</t>
  </si>
  <si>
    <t>AL RIGGA METRO STION DXB, 08TH AUG - Cash Collection TG</t>
  </si>
  <si>
    <t>24,106,215.96</t>
  </si>
  <si>
    <t>1893</t>
  </si>
  <si>
    <t>2508090840178071</t>
  </si>
  <si>
    <t>CLOCK TOWER 1, 08TH AUG - Cash Collection TG</t>
  </si>
  <si>
    <t>24,466,215.96</t>
  </si>
  <si>
    <t>1894</t>
  </si>
  <si>
    <t>2508090840178090</t>
  </si>
  <si>
    <t>AL MINA NESTO BR DXB, 08TH AUG - Cash Collection TG</t>
  </si>
  <si>
    <t>24,706,215.96</t>
  </si>
  <si>
    <t>1895</t>
  </si>
  <si>
    <t>2508090840178093</t>
  </si>
  <si>
    <t>CO OP SOCIETY SHJ 1, 08TH AUG - Cash Collection TG</t>
  </si>
  <si>
    <t>24,856,215.96</t>
  </si>
  <si>
    <t>1896</t>
  </si>
  <si>
    <t>2508090840178102</t>
  </si>
  <si>
    <t>DEIRA 1, 08TH AUG - Cash Collection TG</t>
  </si>
  <si>
    <t>25,606,215.96</t>
  </si>
  <si>
    <t>1897</t>
  </si>
  <si>
    <t>2508090840178111</t>
  </si>
  <si>
    <t>BUR DUBAI, 08TH AUG - Cash Collection TG</t>
  </si>
  <si>
    <t>25,986,215.96</t>
  </si>
  <si>
    <t>1898</t>
  </si>
  <si>
    <t>2508090840178130</t>
  </si>
  <si>
    <t>SATWA 1, 08TH AUG - Cash Collection TG</t>
  </si>
  <si>
    <t>26,206,215.96</t>
  </si>
  <si>
    <t>1899</t>
  </si>
  <si>
    <t>2508090840188137</t>
  </si>
  <si>
    <t>AL NHDA RES TWRS  SHJ, 08TH AUG - Cash Collection TG</t>
  </si>
  <si>
    <t>26,656,215.96</t>
  </si>
  <si>
    <t>1900</t>
  </si>
  <si>
    <t>2508090840188146</t>
  </si>
  <si>
    <t>AL MADAM SHJ, 08TH AUG - Cash Collection TG</t>
  </si>
  <si>
    <t>26,816,215.96</t>
  </si>
  <si>
    <t>1901</t>
  </si>
  <si>
    <t>2508090840188149</t>
  </si>
  <si>
    <t>KARAMA DUBAI, 08TH AUG - Cash Collection TG</t>
  </si>
  <si>
    <t>27,466,215.96</t>
  </si>
  <si>
    <t>1902</t>
  </si>
  <si>
    <t>2508090840289492</t>
  </si>
  <si>
    <t>SANAYA ZAYED TOWN W/R, 08TH AUG - Cash Collection TG</t>
  </si>
  <si>
    <t>375,000.00</t>
  </si>
  <si>
    <t>27,841,215.96</t>
  </si>
  <si>
    <t>1903</t>
  </si>
  <si>
    <t>2508090840289495</t>
  </si>
  <si>
    <t>Beda Zayed auh, 08TH AUG - Cash Collection TG</t>
  </si>
  <si>
    <t>28,031,215.96</t>
  </si>
  <si>
    <t>1904</t>
  </si>
  <si>
    <t>2508090840289498</t>
  </si>
  <si>
    <t>Ruwais AUH, 08TH AUG - Cash Collection TG</t>
  </si>
  <si>
    <t>28,181,215.96</t>
  </si>
  <si>
    <t>1905</t>
  </si>
  <si>
    <t>2508090840289501</t>
  </si>
  <si>
    <t>HAYER Al Ain1, 08TH AUG - Cash Collection TG</t>
  </si>
  <si>
    <t>28,491,215.96</t>
  </si>
  <si>
    <t>1906</t>
  </si>
  <si>
    <t>2508090840289520</t>
  </si>
  <si>
    <t>SWEIHAN  ALAIN, 08TH AUG - Cash Collection TG</t>
  </si>
  <si>
    <t>28,721,215.96</t>
  </si>
  <si>
    <t>1907</t>
  </si>
  <si>
    <t>2508090840289523</t>
  </si>
  <si>
    <t>Gayathi Mubarak Ashwan AUH, 08TH AUG - Cash Collection TG</t>
  </si>
  <si>
    <t>225,000.00</t>
  </si>
  <si>
    <t>28,946,215.96</t>
  </si>
  <si>
    <t>1908</t>
  </si>
  <si>
    <t>2508090840289526</t>
  </si>
  <si>
    <t>Gayathi Mall AUH, 08TH AUG - Cash Collection TG</t>
  </si>
  <si>
    <t>29,216,215.96</t>
  </si>
  <si>
    <t>1909</t>
  </si>
  <si>
    <t>2508090840289529</t>
  </si>
  <si>
    <t>AL MARFA MARKET WR, 08TH AUG - Cash Collection TG</t>
  </si>
  <si>
    <t>29,416,215.96</t>
  </si>
  <si>
    <t>1910</t>
  </si>
  <si>
    <t>2508090840289532</t>
  </si>
  <si>
    <t>AL FARDAN EXCH DEREI BLDNG AL QUAA AA, 08TH AUG - Cash Collection TG</t>
  </si>
  <si>
    <t>29,626,215.96</t>
  </si>
  <si>
    <t>1911</t>
  </si>
  <si>
    <t>2508090840289535</t>
  </si>
  <si>
    <t>Boutik Mall al Reem island AUH, 08TH AUG - Cash Collection TG</t>
  </si>
  <si>
    <t>29,726,215.96</t>
  </si>
  <si>
    <t>1912</t>
  </si>
  <si>
    <t>2508090840299554</t>
  </si>
  <si>
    <t>TCA AUH, 08TH AUG - Cash Collection TG</t>
  </si>
  <si>
    <t>29,876,215.96</t>
  </si>
  <si>
    <t>1913</t>
  </si>
  <si>
    <t>2508090840299557</t>
  </si>
  <si>
    <t>Al Nahyan Street AUH, 08TH AUG - Cash Collection TG</t>
  </si>
  <si>
    <t>30,296,215.96</t>
  </si>
  <si>
    <t>1914</t>
  </si>
  <si>
    <t>2508090840299560</t>
  </si>
  <si>
    <t>Muroor AUH, 08TH AUG - Cash Collection TG</t>
  </si>
  <si>
    <t>30,746,215.96</t>
  </si>
  <si>
    <t>1915</t>
  </si>
  <si>
    <t>2508090840299579</t>
  </si>
  <si>
    <t>B2B AUH, 08TH AUG - Cash Collection TG</t>
  </si>
  <si>
    <t>30,946,215.96</t>
  </si>
  <si>
    <t>1916</t>
  </si>
  <si>
    <t>2508090840299582</t>
  </si>
  <si>
    <t>Al Wahda AUH, 08TH AUG - Cash Collection TG</t>
  </si>
  <si>
    <t>31,216,215.96</t>
  </si>
  <si>
    <t>1917</t>
  </si>
  <si>
    <t>2508090840299585</t>
  </si>
  <si>
    <t>Zayed 1st Street Electra AUH, 08TH AUG - Cash Collection TG</t>
  </si>
  <si>
    <t>31,326,215.96</t>
  </si>
  <si>
    <t>1918</t>
  </si>
  <si>
    <t>2508090840299588</t>
  </si>
  <si>
    <t>Hamdan Abu Dhabi, 08TH AUG - Cash Collection TG</t>
  </si>
  <si>
    <t>31,926,215.96</t>
  </si>
  <si>
    <t>1919</t>
  </si>
  <si>
    <t>2508090840299591</t>
  </si>
  <si>
    <t>Souk Br Al-Ain, 08TH AUG - Cash Collection TG</t>
  </si>
  <si>
    <t>32,186,215.96</t>
  </si>
  <si>
    <t>1920</t>
  </si>
  <si>
    <t>2508090840299594</t>
  </si>
  <si>
    <t>Al Ain (Clock Tower)1, 08TH AUG - Cash Collection TG</t>
  </si>
  <si>
    <t>32,556,215.96</t>
  </si>
  <si>
    <t>1921</t>
  </si>
  <si>
    <t>2508090840339867</t>
  </si>
  <si>
    <t>Musaffah Saniya AUH, 08TH AUG - Cash Collection TG</t>
  </si>
  <si>
    <t>32,866,215.96</t>
  </si>
  <si>
    <t>1922</t>
  </si>
  <si>
    <t>2508090840339874</t>
  </si>
  <si>
    <t>Old Shahama, 08TH AUG - Cash Collection TG</t>
  </si>
  <si>
    <t>33,046,215.96</t>
  </si>
  <si>
    <t>1923</t>
  </si>
  <si>
    <t>2508090840339877</t>
  </si>
  <si>
    <t>Al Forshan Central Mall Khalifa City AUH, 08TH AUG - Cash Collection TG</t>
  </si>
  <si>
    <t>33,266,215.96</t>
  </si>
  <si>
    <t>1924</t>
  </si>
  <si>
    <t>2508090840339884</t>
  </si>
  <si>
    <t>Shamkha Mall Abu dhabi, 08TH AUG - Cash Collection TG</t>
  </si>
  <si>
    <t>33,426,215.96</t>
  </si>
  <si>
    <t>1925</t>
  </si>
  <si>
    <t>PHUB521885928</t>
  </si>
  <si>
    <t>B/O  HAMPTON MIDDLEEAST L L C</t>
  </si>
  <si>
    <t>27,144.00</t>
  </si>
  <si>
    <t>33,453,359.96</t>
  </si>
  <si>
    <t>1926</t>
  </si>
  <si>
    <t>PHUB521892367</t>
  </si>
  <si>
    <t>521892367 B/O ASAAD SELEM DEYAA GHAZAL</t>
  </si>
  <si>
    <t>33,461,359.96</t>
  </si>
  <si>
    <t>1927</t>
  </si>
  <si>
    <t>PHUB521896050</t>
  </si>
  <si>
    <t>B/O ALRIMAL ALMOTAHREKA TECH SRV LLC</t>
  </si>
  <si>
    <t>33,471,359.96</t>
  </si>
  <si>
    <t>1928</t>
  </si>
  <si>
    <t>PHUB521899696</t>
  </si>
  <si>
    <t>521899696 B/O AHMED IBRAHIM MOHAMED ALMAAZMI</t>
  </si>
  <si>
    <t>33,472,859.96</t>
  </si>
  <si>
    <t>1929</t>
  </si>
  <si>
    <t>50875961690</t>
  </si>
  <si>
    <t>25965521768 MBTRF B/O AL QASAS BUILDINGS MATERIAL TR LLC</t>
  </si>
  <si>
    <t>54,412.07</t>
  </si>
  <si>
    <t>33,527,272.03</t>
  </si>
  <si>
    <t>1930</t>
  </si>
  <si>
    <t>50876253157</t>
  </si>
  <si>
    <t>2536746718 IBTRF B/O PACHERS BLINDS TRADING LLC</t>
  </si>
  <si>
    <t>33,627,272.03</t>
  </si>
  <si>
    <t>1931</t>
  </si>
  <si>
    <t>50876336899</t>
  </si>
  <si>
    <t>2536749383 IBTRF B/O PACHERS BLINDS TRADING LLC</t>
  </si>
  <si>
    <t>28,221.90</t>
  </si>
  <si>
    <t>33,655,493.93</t>
  </si>
  <si>
    <t>1932</t>
  </si>
  <si>
    <t>PHUB521912037</t>
  </si>
  <si>
    <t>IMD 09082025</t>
  </si>
  <si>
    <t>43,186,471.74</t>
  </si>
  <si>
    <t>-9,530,977.81</t>
  </si>
  <si>
    <t>1933</t>
  </si>
  <si>
    <t>INHOUSE CHEQUE DEPOSIT 000032 ABHIJITH SUNIL SUNIL   CHAKRAPANI AL FARDAN EXCHANGE SP LLC CHQ NO ::000032</t>
  </si>
  <si>
    <t>18,942.00</t>
  </si>
  <si>
    <t>-9,512,035.81</t>
  </si>
  <si>
    <t>1934</t>
  </si>
  <si>
    <t>PHUB521924395</t>
  </si>
  <si>
    <t>B/O_LLC NAJIMAT AL I_521924395</t>
  </si>
  <si>
    <t>20,091.00</t>
  </si>
  <si>
    <t>-9,491,944.81</t>
  </si>
  <si>
    <t>1935</t>
  </si>
  <si>
    <t>PHUB521939921</t>
  </si>
  <si>
    <t>B/O_GOVINDARAJ_NBAD_521939921_to exch</t>
  </si>
  <si>
    <t>87,000.00</t>
  </si>
  <si>
    <t>-9,404,944.81</t>
  </si>
  <si>
    <t>1936</t>
  </si>
  <si>
    <t>PHUB521940187</t>
  </si>
  <si>
    <t>B/O_AL THEEB E_EBIL_521940187_GOODS B</t>
  </si>
  <si>
    <t>1,127.75</t>
  </si>
  <si>
    <t>-9,403,817.06</t>
  </si>
  <si>
    <t>1937</t>
  </si>
  <si>
    <t>2,934,000.00</t>
  </si>
  <si>
    <t>-12,337,817.06</t>
  </si>
  <si>
    <t>1938</t>
  </si>
  <si>
    <t>PHUB521949890</t>
  </si>
  <si>
    <t>CA 09082025</t>
  </si>
  <si>
    <t>19,700,000.00</t>
  </si>
  <si>
    <t>7,362,182.94</t>
  </si>
  <si>
    <t>1939</t>
  </si>
  <si>
    <t>50877416221</t>
  </si>
  <si>
    <t>25967035231 MBTRF B/O SAKET WAHI</t>
  </si>
  <si>
    <t>7,462,182.94</t>
  </si>
  <si>
    <t>1940</t>
  </si>
  <si>
    <t>50877431042</t>
  </si>
  <si>
    <t>25967049449 MBTRF B/O SAKET WAHI</t>
  </si>
  <si>
    <t>7,562,182.94</t>
  </si>
  <si>
    <t>1941</t>
  </si>
  <si>
    <t>50877445528</t>
  </si>
  <si>
    <t>25967065832 MBTRF B/O SAKET WAHI</t>
  </si>
  <si>
    <t>26,567.00</t>
  </si>
  <si>
    <t>7,588,749.94</t>
  </si>
  <si>
    <t>1942</t>
  </si>
  <si>
    <t>000190</t>
  </si>
  <si>
    <t>KHALEEL JAMEEL</t>
  </si>
  <si>
    <t>INHOUSE CHEQUE DEPOSIT KHALEEL JAMEEL AL FARDAN EXCHANGE SP LLC CHQ NO ::000190</t>
  </si>
  <si>
    <t>63,723.00</t>
  </si>
  <si>
    <t>7,652,472.94</t>
  </si>
  <si>
    <t>1943</t>
  </si>
  <si>
    <t>002044</t>
  </si>
  <si>
    <t>INHOUSE CHEQUE DEPOSIT 002044 MUHAMMAD RASHID KOONARI   PEZHUMTHARA AL FARDAN EXCHANGE SP LLC CHQ NO ::002044</t>
  </si>
  <si>
    <t>10,072.25</t>
  </si>
  <si>
    <t>7,662,545.19</t>
  </si>
  <si>
    <t>1944</t>
  </si>
  <si>
    <t>PHUB521958653</t>
  </si>
  <si>
    <t>2524</t>
  </si>
  <si>
    <t>B/O EZ ASK PROPERTIES L.L.C</t>
  </si>
  <si>
    <t>6,600.00</t>
  </si>
  <si>
    <t>7,669,145.19</t>
  </si>
  <si>
    <t>1945</t>
  </si>
  <si>
    <t>2508091145543161</t>
  </si>
  <si>
    <t>Cash Deposit- SEAL NO 001042670</t>
  </si>
  <si>
    <t>588,320.00</t>
  </si>
  <si>
    <t>8,257,465.19</t>
  </si>
  <si>
    <t>1946</t>
  </si>
  <si>
    <t>50878182944</t>
  </si>
  <si>
    <t>2536818351 IBTRF B/O SUGUMAR D</t>
  </si>
  <si>
    <t>8,357,465.19</t>
  </si>
  <si>
    <t>1947</t>
  </si>
  <si>
    <t>PHUB521973207</t>
  </si>
  <si>
    <t>521973207 B/O REFORM TRADING-SOLE PROP.LLC</t>
  </si>
  <si>
    <t>20,536.00</t>
  </si>
  <si>
    <t>8,378,001.19</t>
  </si>
  <si>
    <t>1948</t>
  </si>
  <si>
    <t>INHOUSE CHEQUE DEPOSIT 000049 MUHAMMAD AKRAM NAZAR   MUHAMMAD AL FARDAN EXCHANGE SP LLC CHQ NO ::000049</t>
  </si>
  <si>
    <t>105,068.50</t>
  </si>
  <si>
    <t>8,483,069.69</t>
  </si>
  <si>
    <t>1949</t>
  </si>
  <si>
    <t>000421</t>
  </si>
  <si>
    <t>INHOUSE CHEQUE DEPOSIT 000421 RIYAS KUNIYIL    KUNHABDULLA AL FARDAN EXCHANGE SP LLC CHQ NO ::000421</t>
  </si>
  <si>
    <t>365,565.75</t>
  </si>
  <si>
    <t>8,848,635.44</t>
  </si>
  <si>
    <t>1950</t>
  </si>
  <si>
    <t>INHOUSE CHEQUE DEPOSIT 000002 ABHIJITH SUNIL SUNIL   CHAKRAPANI AL FARDAN EXCHANGE SP LLC CHQ NO ::000002</t>
  </si>
  <si>
    <t>9,048,635.44</t>
  </si>
  <si>
    <t>1951</t>
  </si>
  <si>
    <t>005759</t>
  </si>
  <si>
    <t>INHOUSE CHEQUE DEPOSIT 005759 ANIL ANTO PUTHUSSERY ANTO PUTHUSSERY  DEVASSY AL FARDAN EXCHANGE SP LLC CHQ NO ::005759</t>
  </si>
  <si>
    <t>187,000.00</t>
  </si>
  <si>
    <t>9,235,635.44</t>
  </si>
  <si>
    <t>1952</t>
  </si>
  <si>
    <t>PHUB521991778</t>
  </si>
  <si>
    <t>DIHITAL MATKETING SERVICE</t>
  </si>
  <si>
    <t>7,223.47</t>
  </si>
  <si>
    <t>9,242,858.91</t>
  </si>
  <si>
    <t>1953</t>
  </si>
  <si>
    <t>INHOUSE CHEQUE DEPOSIT 000105 MOHAMMAD ABRARUDDIN,SIDDIQE,MOHAMMAD,SALEEM UDDIN, AL FARDAN EXCHANGE SP LLC CHQ NO ::000105</t>
  </si>
  <si>
    <t>57,500.00</t>
  </si>
  <si>
    <t>9,300,358.91</t>
  </si>
  <si>
    <t>1954</t>
  </si>
  <si>
    <t>INHOUSE CHEQUE DEPOSIT 000003 MUHAMMAD HAMEED MUHAMMAD   FAREED AL FARDAN EXCHANGE SP LLC CHQ NO ::000003</t>
  </si>
  <si>
    <t>63,441.89</t>
  </si>
  <si>
    <t>9,363,800.80</t>
  </si>
  <si>
    <t>1955</t>
  </si>
  <si>
    <t>50878783504</t>
  </si>
  <si>
    <t>25968431720 MBTRF B/O ASHWIN DAVIDS</t>
  </si>
  <si>
    <t>9,370,800.80</t>
  </si>
  <si>
    <t>1956</t>
  </si>
  <si>
    <t>50878823821</t>
  </si>
  <si>
    <t>9,470,800.80</t>
  </si>
  <si>
    <t>1957</t>
  </si>
  <si>
    <t>50878854612</t>
  </si>
  <si>
    <t>9,570,800.80</t>
  </si>
  <si>
    <t>1958</t>
  </si>
  <si>
    <t>50878888104</t>
  </si>
  <si>
    <t>9,620,800.80</t>
  </si>
  <si>
    <t>1959</t>
  </si>
  <si>
    <t>PHUB521995843</t>
  </si>
  <si>
    <t>14,006.25</t>
  </si>
  <si>
    <t>9,634,807.05</t>
  </si>
  <si>
    <t>1960</t>
  </si>
  <si>
    <t>PHUB521984734</t>
  </si>
  <si>
    <t>BILRS INVOICE 260024</t>
  </si>
  <si>
    <t>9,637,807.05</t>
  </si>
  <si>
    <t>1961</t>
  </si>
  <si>
    <t>PHUB521997726</t>
  </si>
  <si>
    <t>BILRS INV 260035</t>
  </si>
  <si>
    <t>3,871.00</t>
  </si>
  <si>
    <t>9,641,678.05</t>
  </si>
  <si>
    <t>1962</t>
  </si>
  <si>
    <t>PHUB521999755</t>
  </si>
  <si>
    <t>B/O LEEDS LOGISTICS LLC</t>
  </si>
  <si>
    <t>23,600.00</t>
  </si>
  <si>
    <t>9,665,278.05</t>
  </si>
  <si>
    <t>1963</t>
  </si>
  <si>
    <t>PHUB522000065</t>
  </si>
  <si>
    <t>522000065 B/O ALI MOHAMED IBRAHIM SALEM ALTENEIJI</t>
  </si>
  <si>
    <t>3,833.25</t>
  </si>
  <si>
    <t>9,669,111.30</t>
  </si>
  <si>
    <t>1964</t>
  </si>
  <si>
    <t>010556</t>
  </si>
  <si>
    <t>INHOUSE CHEQUE DEPOSIT 010556 MUHAMMAD HAMEED MUHAMMAD   FAREED AL FARDAN EXCHANGE SP LLC CHQ NO ::010556</t>
  </si>
  <si>
    <t>9,230.50</t>
  </si>
  <si>
    <t>9,678,341.80</t>
  </si>
  <si>
    <t>1965</t>
  </si>
  <si>
    <t>22,326.00</t>
  </si>
  <si>
    <t>9,700,667.80</t>
  </si>
  <si>
    <t>1966</t>
  </si>
  <si>
    <t>010555</t>
  </si>
  <si>
    <t>INHOUSE CHEQUE DEPOSIT 010555 MUHAMMAD HAMEED MUHAMMAD   FAREED AL FARDAN EXCHANGE SP LLC CHQ NO ::010555</t>
  </si>
  <si>
    <t>19,640.25</t>
  </si>
  <si>
    <t>9,720,308.05</t>
  </si>
  <si>
    <t>1967</t>
  </si>
  <si>
    <t>50880468664</t>
  </si>
  <si>
    <t>25970189234 MBTRF B/O NASR EDDINE EL MANSOURY</t>
  </si>
  <si>
    <t>9,745,308.05</t>
  </si>
  <si>
    <t>1968</t>
  </si>
  <si>
    <t>000626</t>
  </si>
  <si>
    <t>INHOUSE CHEQUE DEPOSIT 000626 HASSAN HABIB QURESHI HABIB UR REHMAN  QURESHI AL FARDAN EXCHANGE SP LLC CHQ NO ::000626</t>
  </si>
  <si>
    <t>107,244.00</t>
  </si>
  <si>
    <t>9,852,552.05</t>
  </si>
  <si>
    <t>1969</t>
  </si>
  <si>
    <t>PHUB522023073</t>
  </si>
  <si>
    <t>B/O_SHAMSAN TR_BOML_522023073_ COMMIS</t>
  </si>
  <si>
    <t>11,083.00</t>
  </si>
  <si>
    <t>9,863,635.05</t>
  </si>
  <si>
    <t>1970</t>
  </si>
  <si>
    <t>522022922 B/O MOHAMED HASAN IBRAHIM HASAN ALFARDA</t>
  </si>
  <si>
    <t>9,865,635.05</t>
  </si>
  <si>
    <t>1971</t>
  </si>
  <si>
    <t>2508091402529720</t>
  </si>
  <si>
    <t>08TH AUG, NESTO HYPRMRKT AJM - Cash Collection TG</t>
  </si>
  <si>
    <t>165,000.00</t>
  </si>
  <si>
    <t>10,030,635.05</t>
  </si>
  <si>
    <t>1972</t>
  </si>
  <si>
    <t>50881094626</t>
  </si>
  <si>
    <t>25970853993 MBTRF B/O DHAKAN BHUPESH  HARGOVIND</t>
  </si>
  <si>
    <t>629,353.00</t>
  </si>
  <si>
    <t>10,659,988.05</t>
  </si>
  <si>
    <t>1973</t>
  </si>
  <si>
    <t>PHUB522027122</t>
  </si>
  <si>
    <t>1,593.15</t>
  </si>
  <si>
    <t>10,661,581.20</t>
  </si>
  <si>
    <t>1974</t>
  </si>
  <si>
    <t>FDN090825</t>
  </si>
  <si>
    <t>B/O NAVIAS SHIP MANAGEMENT LLC</t>
  </si>
  <si>
    <t>28,274.00</t>
  </si>
  <si>
    <t>10,689,855.20</t>
  </si>
  <si>
    <t>1975</t>
  </si>
  <si>
    <t>PHUB522029671</t>
  </si>
  <si>
    <t>HOTEL PAYMENT</t>
  </si>
  <si>
    <t>B/O AL KHALDIA HAJ &amp; OMRA - L.L.C</t>
  </si>
  <si>
    <t>48,357.48</t>
  </si>
  <si>
    <t>10,738,212.68</t>
  </si>
  <si>
    <t>1976</t>
  </si>
  <si>
    <t>56,515.97</t>
  </si>
  <si>
    <t>10,794,728.65</t>
  </si>
  <si>
    <t>1977</t>
  </si>
  <si>
    <t>238,170.19</t>
  </si>
  <si>
    <t>11,032,898.84</t>
  </si>
  <si>
    <t>1978</t>
  </si>
  <si>
    <t>50881830535</t>
  </si>
  <si>
    <t>2536937632 IBTRF B/O TALKHEES CORPORATE SERVICES PRV LLC</t>
  </si>
  <si>
    <t>13,100.00</t>
  </si>
  <si>
    <t>11,045,998.84</t>
  </si>
  <si>
    <t>1979</t>
  </si>
  <si>
    <t>B/O_I N C A JE_UNIL_522038595_2522111</t>
  </si>
  <si>
    <t>14,730,000.00</t>
  </si>
  <si>
    <t>25,775,998.84</t>
  </si>
  <si>
    <t>1980</t>
  </si>
  <si>
    <t>50882742736</t>
  </si>
  <si>
    <t>25972641968 MBTRF B/O JUNAID MACHINGAL</t>
  </si>
  <si>
    <t>57,000.00</t>
  </si>
  <si>
    <t>25,832,998.84</t>
  </si>
  <si>
    <t>1981</t>
  </si>
  <si>
    <t>PHUB522055024</t>
  </si>
  <si>
    <t>B/O FOUR LITE TECHNICAL SERVICES</t>
  </si>
  <si>
    <t>12,918.25</t>
  </si>
  <si>
    <t>25,845,917.09</t>
  </si>
  <si>
    <t>1982</t>
  </si>
  <si>
    <t>PHUB522056290</t>
  </si>
  <si>
    <t>B/O_SHALMA LAL_NBAD_522056290_Remitta</t>
  </si>
  <si>
    <t>92,033.75</t>
  </si>
  <si>
    <t>25,937,950.84</t>
  </si>
  <si>
    <t>1983</t>
  </si>
  <si>
    <t>50884100462</t>
  </si>
  <si>
    <t>25974136987 MBTRF B/O PRAVEEN KUMAR PURUSHOTHAMAN</t>
  </si>
  <si>
    <t>71,500.00</t>
  </si>
  <si>
    <t>26,009,450.84</t>
  </si>
  <si>
    <t>1984</t>
  </si>
  <si>
    <t>50885012111</t>
  </si>
  <si>
    <t>2537029145 IBTRF B/O SUGUMAR D</t>
  </si>
  <si>
    <t>26,109,450.84</t>
  </si>
  <si>
    <t>1985</t>
  </si>
  <si>
    <t>50885097808</t>
  </si>
  <si>
    <t>2537031599 IBTRF B/O SUGUMAR DEIVASIGAMANI</t>
  </si>
  <si>
    <t>26,209,450.84</t>
  </si>
  <si>
    <t>1986</t>
  </si>
  <si>
    <t>PHUB522091297</t>
  </si>
  <si>
    <t>522091297 B/O Mohammed Hashim Karimbil</t>
  </si>
  <si>
    <t>26,216,450.84</t>
  </si>
  <si>
    <t>1987</t>
  </si>
  <si>
    <t>50885257271</t>
  </si>
  <si>
    <t>25975436745 MBTRF B/O SAEED ALI OBAID MOHAMED ALFAZARI</t>
  </si>
  <si>
    <t>1,463.25</t>
  </si>
  <si>
    <t>26,217,914.09</t>
  </si>
  <si>
    <t>1988</t>
  </si>
  <si>
    <t>PHUB522093550</t>
  </si>
  <si>
    <t>6678</t>
  </si>
  <si>
    <t>B/O IMACROB TRADING LLC</t>
  </si>
  <si>
    <t>26,227,914.09</t>
  </si>
  <si>
    <t>1989</t>
  </si>
  <si>
    <t>50885299379</t>
  </si>
  <si>
    <t>2537038092 IBTRF B/O SUGUMAR DEIVASIGAMANI</t>
  </si>
  <si>
    <t>26,248,914.09</t>
  </si>
  <si>
    <t>1990</t>
  </si>
  <si>
    <t>50885343371</t>
  </si>
  <si>
    <t>2537039839 IBTRF B/O SUGUMAR DEIVASIGAMANI</t>
  </si>
  <si>
    <t>26,348,914.09</t>
  </si>
  <si>
    <t>1991</t>
  </si>
  <si>
    <t>PHUB522095107</t>
  </si>
  <si>
    <t>B/O THE ONE GENTS SALON</t>
  </si>
  <si>
    <t>26,364,114.09</t>
  </si>
  <si>
    <t>1992</t>
  </si>
  <si>
    <t>50885419219</t>
  </si>
  <si>
    <t>25975616958 MBTRF B/O AL BADER TECHNICAL WORKS LLC</t>
  </si>
  <si>
    <t>26,366,614.09</t>
  </si>
  <si>
    <t>1993</t>
  </si>
  <si>
    <t>50885446982</t>
  </si>
  <si>
    <t>25975650151 MBTRF B/O AL BADER TECHNICAL WORKS LLC</t>
  </si>
  <si>
    <t>16,450.00</t>
  </si>
  <si>
    <t>26,383,064.09</t>
  </si>
  <si>
    <t>1994</t>
  </si>
  <si>
    <t>101730</t>
  </si>
  <si>
    <t>CHEQUE DEPOSIT 101730 MUHAMMAD HAMEED MUHAMMAD   FAREED 302430107 CHQ NO ::101730</t>
  </si>
  <si>
    <t>26,662.68</t>
  </si>
  <si>
    <t>26,409,726.77</t>
  </si>
  <si>
    <t>1995</t>
  </si>
  <si>
    <t>000177</t>
  </si>
  <si>
    <t>SULTAN</t>
  </si>
  <si>
    <t>CHEQUE DEPOSIT SULTAN 100811003 CHQ NO ::000177</t>
  </si>
  <si>
    <t>49,642.00</t>
  </si>
  <si>
    <t>26,459,368.77</t>
  </si>
  <si>
    <t>1996</t>
  </si>
  <si>
    <t>002470</t>
  </si>
  <si>
    <t>CHEQUE DEPOSIT 002470 SHAMSHEER KHAN AHAMED KHAN AHAMED  KHAN 802630140 CHQ NO ::002470</t>
  </si>
  <si>
    <t>8,713.77</t>
  </si>
  <si>
    <t>26,468,082.54</t>
  </si>
  <si>
    <t>1997</t>
  </si>
  <si>
    <t>001164</t>
  </si>
  <si>
    <t>CHEQUE DEPOSIT 001164 BASHEER PULIKKAL    IBRAHIM 004710103 CHQ NO ::001164</t>
  </si>
  <si>
    <t>26,486,513.04</t>
  </si>
  <si>
    <t>1998</t>
  </si>
  <si>
    <t>CHEQUE DEPOSIT ABDUL HADY 603830105 CHQ NO ::000354</t>
  </si>
  <si>
    <t>26,596,793.54</t>
  </si>
  <si>
    <t>1999</t>
  </si>
  <si>
    <t>000377</t>
  </si>
  <si>
    <t>CHEQUE DEPOSIT 000377 SHAMSHEER KHAN AHAMED KHAN AHAMED  KHAN 004020138 CHQ NO ::000377</t>
  </si>
  <si>
    <t>40,320.19</t>
  </si>
  <si>
    <t>26,637,113.73</t>
  </si>
  <si>
    <t>2000</t>
  </si>
  <si>
    <t>CHEQUE DEPOSIT 000187 GANESH,HALAGERI,,,,SHREEKANT, 504020133 CHQ NO ::000187</t>
  </si>
  <si>
    <t>385,677.50</t>
  </si>
  <si>
    <t>27,022,791.23</t>
  </si>
  <si>
    <t>2001</t>
  </si>
  <si>
    <t>000261</t>
  </si>
  <si>
    <t>CHEQUE DEPOSIT 000261 MUHAMMAD HAMEED MUHAMMAD   FAREED 703820101 CHQ NO ::000261</t>
  </si>
  <si>
    <t>126,369.00</t>
  </si>
  <si>
    <t>27,149,160.23</t>
  </si>
  <si>
    <t>2002</t>
  </si>
  <si>
    <t>000692</t>
  </si>
  <si>
    <t>CHEQUE DEPOSIT 000692 ANANDHU SALIMON GOPAL ETTIYAPADAM   GOPALAN SALI 702610130 CHQ NO ::000692</t>
  </si>
  <si>
    <t>182,172.38</t>
  </si>
  <si>
    <t>27,331,332.61</t>
  </si>
  <si>
    <t>2003</t>
  </si>
  <si>
    <t>002273</t>
  </si>
  <si>
    <t>CHEQUE DEPOSIT 002273 MUHAMMAD HAMEED MUHAMMAD   FAREED 804030124 CHQ NO ::002273</t>
  </si>
  <si>
    <t>86,012.50</t>
  </si>
  <si>
    <t>27,417,345.11</t>
  </si>
  <si>
    <t>2004</t>
  </si>
  <si>
    <t>CHEQUE DEPOSIT 000035 MOHAMMED AASHIF     LIYAKAT ALI 804020112 CHQ NO ::000035</t>
  </si>
  <si>
    <t>565,553.61</t>
  </si>
  <si>
    <t>27,982,898.72</t>
  </si>
  <si>
    <t>2005</t>
  </si>
  <si>
    <t>503396</t>
  </si>
  <si>
    <t>ROBOOA 2</t>
  </si>
  <si>
    <t>CHEQUE DEPOSIT ROBOOA 2 805011001 CHQ NO ::503396</t>
  </si>
  <si>
    <t>229,336.50</t>
  </si>
  <si>
    <t>28,212,235.22</t>
  </si>
  <si>
    <t>2006</t>
  </si>
  <si>
    <t>CHEQUE DEPOSIT 000349 MUHAMMAD HAMEED MUHAMMAD   FAREED 703820101 CHQ NO ::000349</t>
  </si>
  <si>
    <t>167,501.00</t>
  </si>
  <si>
    <t>28,379,736.22</t>
  </si>
  <si>
    <t>2007</t>
  </si>
  <si>
    <t>000370</t>
  </si>
  <si>
    <t>CHEQUE DEPOSIT 000370 MUHAMMAD HAMEED MUHAMMAD   FAREED 203320145 CHQ NO ::000370</t>
  </si>
  <si>
    <t>127,045.00</t>
  </si>
  <si>
    <t>28,506,781.22</t>
  </si>
  <si>
    <t>2008</t>
  </si>
  <si>
    <t>195274</t>
  </si>
  <si>
    <t>CHEQUE DEPOSIT 195274 BASHEER PULIKKAL    IBRAHIM 003510188 CHQ NO ::195274</t>
  </si>
  <si>
    <t>28,531,781.22</t>
  </si>
  <si>
    <t>2009</t>
  </si>
  <si>
    <t>000551</t>
  </si>
  <si>
    <t>NASAR NELLOLY</t>
  </si>
  <si>
    <t>CHEQUE DEPOSIT NASAR NELLOLY 104030136 CHQ NO ::000551</t>
  </si>
  <si>
    <t>3,939.64</t>
  </si>
  <si>
    <t>28,535,720.86</t>
  </si>
  <si>
    <t>2010</t>
  </si>
  <si>
    <t>000446</t>
  </si>
  <si>
    <t>MOHAMMED ALI ARIF</t>
  </si>
  <si>
    <t>CHEQUE DEPOSIT MOHAMMED ALI ARIF 104030136 CHQ NO ::000446</t>
  </si>
  <si>
    <t>278,021.50</t>
  </si>
  <si>
    <t>28,813,742.36</t>
  </si>
  <si>
    <t>2011</t>
  </si>
  <si>
    <t>029391</t>
  </si>
  <si>
    <t>DAZZLING</t>
  </si>
  <si>
    <t>CHEQUE DEPOSIT DAZZLING 103130112 CHQ NO ::029391</t>
  </si>
  <si>
    <t>10,147.00</t>
  </si>
  <si>
    <t>28,823,889.36</t>
  </si>
  <si>
    <t>2012</t>
  </si>
  <si>
    <t>281382</t>
  </si>
  <si>
    <t>CHEQUE DEPOSIT 281382 AMR GAMAL MOHAMED   AWAD 302430107 CHQ NO ::281382</t>
  </si>
  <si>
    <t>152,929.82</t>
  </si>
  <si>
    <t>28,976,819.18</t>
  </si>
  <si>
    <t>2013</t>
  </si>
  <si>
    <t>PHUB522105205</t>
  </si>
  <si>
    <t>522105205 B/O RAMGOPAL KUMARAGURU</t>
  </si>
  <si>
    <t>28,986,819.18</t>
  </si>
  <si>
    <t>2014</t>
  </si>
  <si>
    <t>50886897683</t>
  </si>
  <si>
    <t>25977323978 MBTRF B/O KHALED AYED DEYAB ALSERHAN</t>
  </si>
  <si>
    <t>28,987,819.18</t>
  </si>
  <si>
    <t>2015</t>
  </si>
  <si>
    <t>PHUB522121557</t>
  </si>
  <si>
    <t>B/O_CAR PLANET_BOML_522121557_ ADMIN</t>
  </si>
  <si>
    <t>14,666.67</t>
  </si>
  <si>
    <t>29,002,485.85</t>
  </si>
  <si>
    <t>2016</t>
  </si>
  <si>
    <t>48,806.25</t>
  </si>
  <si>
    <t>29,051,292.10</t>
  </si>
  <si>
    <t>2017</t>
  </si>
  <si>
    <t>105.00</t>
  </si>
  <si>
    <t>29,051,397.10</t>
  </si>
  <si>
    <t>2018</t>
  </si>
  <si>
    <t>PHUB522140031</t>
  </si>
  <si>
    <t>7654</t>
  </si>
  <si>
    <t>27,477.50</t>
  </si>
  <si>
    <t>29,078,874.60</t>
  </si>
  <si>
    <t>2019</t>
  </si>
  <si>
    <t>50888198969</t>
  </si>
  <si>
    <t>25978863073 MBTRF B/O MANASIK TRAVELS SP LLC</t>
  </si>
  <si>
    <t>23,080.50</t>
  </si>
  <si>
    <t>29,101,955.10</t>
  </si>
  <si>
    <t>2020</t>
  </si>
  <si>
    <t>50888257314</t>
  </si>
  <si>
    <t>25978935879 MBTRF B/O MANASIK TRAVELS SP LLC</t>
  </si>
  <si>
    <t>5,173.00</t>
  </si>
  <si>
    <t>29,107,128.10</t>
  </si>
  <si>
    <t>2021</t>
  </si>
  <si>
    <t>PHUB522158916</t>
  </si>
  <si>
    <t>22,304.75</t>
  </si>
  <si>
    <t>29,129,432.85</t>
  </si>
  <si>
    <t>2022</t>
  </si>
  <si>
    <t>50889424703</t>
  </si>
  <si>
    <t>2537130124 IBTRF B/O POWER TECH INTERNATIONAL TR LLC</t>
  </si>
  <si>
    <t>29,229,432.85</t>
  </si>
  <si>
    <t>2023</t>
  </si>
  <si>
    <t>50889454962</t>
  </si>
  <si>
    <t>2537130746 IBTRF B/O POWER TECH INTERNATIONAL TR LLC</t>
  </si>
  <si>
    <t>29,329,432.85</t>
  </si>
  <si>
    <t>2024</t>
  </si>
  <si>
    <t>PHUB522165028</t>
  </si>
  <si>
    <t>522165028 B/O AL SADARAH ENGINEERING SOLUTION FZE</t>
  </si>
  <si>
    <t>262.57</t>
  </si>
  <si>
    <t>29,329,695.42</t>
  </si>
  <si>
    <t>2025</t>
  </si>
  <si>
    <t>PHUB522167903</t>
  </si>
  <si>
    <t>JULY SALARY GL943341</t>
  </si>
  <si>
    <t>B/O ALMCO ENGINEERING CONSTRUCTION LLC</t>
  </si>
  <si>
    <t>79,029.55</t>
  </si>
  <si>
    <t>29,408,724.97</t>
  </si>
  <si>
    <t>2026</t>
  </si>
  <si>
    <t>PHUB522177204</t>
  </si>
  <si>
    <t>522177204 B/O ABDULLA HASAN YASLAM KALILAH ALAMERI</t>
  </si>
  <si>
    <t>1,521.00</t>
  </si>
  <si>
    <t>29,410,245.97</t>
  </si>
  <si>
    <t>2027</t>
  </si>
  <si>
    <t>PHUB522177547</t>
  </si>
  <si>
    <t>522177547 B/O ABDULLA HASAN YASLAM KALILAH ALAMERI</t>
  </si>
  <si>
    <t>1,021.00</t>
  </si>
  <si>
    <t>29,411,266.97</t>
  </si>
  <si>
    <t>2028</t>
  </si>
  <si>
    <t>PHUB522177932</t>
  </si>
  <si>
    <t>522177932 B/O ABDULLA HASAN YASLAM KALILAH ALAMERI</t>
  </si>
  <si>
    <t>29,412,287.97</t>
  </si>
  <si>
    <t>2029</t>
  </si>
  <si>
    <t>10-Aug-2025</t>
  </si>
  <si>
    <t>PHUB522203522</t>
  </si>
  <si>
    <t>522203522 B/O MR CYRANO LESLEY FREDERICKS</t>
  </si>
  <si>
    <t>29,414,487.97</t>
  </si>
  <si>
    <t>2030</t>
  </si>
  <si>
    <t>PHUB522222374</t>
  </si>
  <si>
    <t>522222374 B/O MOHAMED HASAN IBRAHIM HASAN ALFARDA</t>
  </si>
  <si>
    <t>29,416,587.97</t>
  </si>
  <si>
    <t>2031</t>
  </si>
  <si>
    <t>PHUB522231356</t>
  </si>
  <si>
    <t>522231356 B/O Musaab Mamoun Suleman Elmaki</t>
  </si>
  <si>
    <t>29,431,587.97</t>
  </si>
  <si>
    <t>2032</t>
  </si>
  <si>
    <t>50895093303</t>
  </si>
  <si>
    <t>25987269772 MBTRF B/O GHASSAN MOHAMAD SAMI NUSAIR</t>
  </si>
  <si>
    <t>6,260.00</t>
  </si>
  <si>
    <t>29,437,847.97</t>
  </si>
  <si>
    <t>2033</t>
  </si>
  <si>
    <t>50896994075</t>
  </si>
  <si>
    <t>25989545186 MBTRF B/O ROSMA RASAILY</t>
  </si>
  <si>
    <t>1,969.70</t>
  </si>
  <si>
    <t>29,439,817.67</t>
  </si>
  <si>
    <t>2034</t>
  </si>
  <si>
    <t>50897661803</t>
  </si>
  <si>
    <t>25990334241 MBTRF B/O ALOK MISHRA</t>
  </si>
  <si>
    <t>8,434.00</t>
  </si>
  <si>
    <t>29,448,251.67</t>
  </si>
  <si>
    <t>2035</t>
  </si>
  <si>
    <t>PHUB522271667</t>
  </si>
  <si>
    <t>522271667 B/O JABER SARI BALOOSH BARAK ALMAZROUEI</t>
  </si>
  <si>
    <t>2,345.50</t>
  </si>
  <si>
    <t>29,450,597.17</t>
  </si>
  <si>
    <t>2036</t>
  </si>
  <si>
    <t>PHUB522273015</t>
  </si>
  <si>
    <t>522273015 B/O MAKANI BUILDING MATERIALS</t>
  </si>
  <si>
    <t>2,968.84</t>
  </si>
  <si>
    <t>29,453,566.01</t>
  </si>
  <si>
    <t>2037</t>
  </si>
  <si>
    <t>PHUB522280611</t>
  </si>
  <si>
    <t>522280611 B/O MAYADA ALI ABDUL RAHMAN</t>
  </si>
  <si>
    <t>150.00</t>
  </si>
  <si>
    <t>29,453,716.01</t>
  </si>
  <si>
    <t>2038</t>
  </si>
  <si>
    <t>PHUB522301019</t>
  </si>
  <si>
    <t>522301019 B/O MISK GOURMET MILL SOLE PROPRIETORSH</t>
  </si>
  <si>
    <t>1,005.25</t>
  </si>
  <si>
    <t>29,454,721.26</t>
  </si>
  <si>
    <t>2039</t>
  </si>
  <si>
    <t>50900874323</t>
  </si>
  <si>
    <t>29,554,721.26</t>
  </si>
  <si>
    <t>2040</t>
  </si>
  <si>
    <t>50900888840</t>
  </si>
  <si>
    <t>29,654,721.26</t>
  </si>
  <si>
    <t>2041</t>
  </si>
  <si>
    <t>50901070427</t>
  </si>
  <si>
    <t>2537370006 IBTRF B/O ABU FAISAL AUTO MOTIVE PARTS LLC</t>
  </si>
  <si>
    <t>29,676,825.76</t>
  </si>
  <si>
    <t>2042</t>
  </si>
  <si>
    <t>50901320401</t>
  </si>
  <si>
    <t>2537374913 IBTRF B/O PURE PATH MEDICAL CENTER LLC SP</t>
  </si>
  <si>
    <t>73,099.00</t>
  </si>
  <si>
    <t>29,749,924.76</t>
  </si>
  <si>
    <t>2043</t>
  </si>
  <si>
    <t>50901360529</t>
  </si>
  <si>
    <t>2537375655 IBTRF B/O PURE PATH PHARMACY LLC SP</t>
  </si>
  <si>
    <t>15,639.00</t>
  </si>
  <si>
    <t>29,765,563.76</t>
  </si>
  <si>
    <t>2044</t>
  </si>
  <si>
    <t>PHUB522324066</t>
  </si>
  <si>
    <t>522324066 B/O AFRA SAIF AHMED MOHAMED ALFAHIM</t>
  </si>
  <si>
    <t>520.00</t>
  </si>
  <si>
    <t>29,766,083.76</t>
  </si>
  <si>
    <t>2045</t>
  </si>
  <si>
    <t>50901897805</t>
  </si>
  <si>
    <t>25995432690 MBTRF B/O HAROON UR RASHID</t>
  </si>
  <si>
    <t>1,955.00</t>
  </si>
  <si>
    <t>29,768,038.76</t>
  </si>
  <si>
    <t>2046</t>
  </si>
  <si>
    <t>50902165452</t>
  </si>
  <si>
    <t>25995756570 MBTRF B/O ARSLAN AHMAD</t>
  </si>
  <si>
    <t>1,798.50</t>
  </si>
  <si>
    <t>29,769,837.26</t>
  </si>
  <si>
    <t>2047</t>
  </si>
  <si>
    <t>PHUB522332107</t>
  </si>
  <si>
    <t>522332107 B/O KHALED MOHAMED FATHY ABDELMAKSOUD</t>
  </si>
  <si>
    <t>29,777,337.26</t>
  </si>
  <si>
    <t>2048</t>
  </si>
  <si>
    <t>PHUB522333488</t>
  </si>
  <si>
    <t>522333488 B/O PRIME SMART EVENT AND EXIBITIONS MANAGEMENT L.L.C</t>
  </si>
  <si>
    <t>1,731.83</t>
  </si>
  <si>
    <t>29,779,069.09</t>
  </si>
  <si>
    <t>2049</t>
  </si>
  <si>
    <t>PHUB522346137</t>
  </si>
  <si>
    <t>522346137 B/O NAGY MATTAR ALY AFIYA</t>
  </si>
  <si>
    <t>1,200.00</t>
  </si>
  <si>
    <t>29,780,269.09</t>
  </si>
  <si>
    <t>2050</t>
  </si>
  <si>
    <t>PHUB522364274</t>
  </si>
  <si>
    <t>5620460016606</t>
  </si>
  <si>
    <t>B/O NEXT PHASE ELECTROMECHNCL WORKS LLC</t>
  </si>
  <si>
    <t>1,766.30</t>
  </si>
  <si>
    <t>29,782,035.39</t>
  </si>
  <si>
    <t>2051</t>
  </si>
  <si>
    <t>50905589144</t>
  </si>
  <si>
    <t>25999939017 MBTRF B/O MUNICH WOOD IND LLC</t>
  </si>
  <si>
    <t>56,141.06</t>
  </si>
  <si>
    <t>29,838,176.45</t>
  </si>
  <si>
    <t>2052</t>
  </si>
  <si>
    <t>50906500554</t>
  </si>
  <si>
    <t>26001064096 MBTRF B/O SUBHASISH BANDYOPADHYAY</t>
  </si>
  <si>
    <t>29,880,276.45</t>
  </si>
  <si>
    <t>2053</t>
  </si>
  <si>
    <t>PHUB522407615</t>
  </si>
  <si>
    <t>522407615 B/O RAMANA RAJAGOPAL RAJAGOPAL</t>
  </si>
  <si>
    <t>29,910,276.45</t>
  </si>
  <si>
    <t>2054</t>
  </si>
  <si>
    <t>PHUB522420571</t>
  </si>
  <si>
    <t>MOB1008252245588070599</t>
  </si>
  <si>
    <t>B/O ALMUBDRA TEL SYS EQ INS MNT LLC OPC</t>
  </si>
  <si>
    <t>143,913.06</t>
  </si>
  <si>
    <t>30,054,189.51</t>
  </si>
  <si>
    <t>2055</t>
  </si>
  <si>
    <t>PHUB522423841</t>
  </si>
  <si>
    <t>522423841 B/O ZEINAB ARABI ESMAEEL</t>
  </si>
  <si>
    <t>30,056,189.51</t>
  </si>
  <si>
    <t>2056</t>
  </si>
  <si>
    <t>11-Aug-2025</t>
  </si>
  <si>
    <t>50909390882</t>
  </si>
  <si>
    <t>26004659785 MBTRF B/O WATER SOLUTION FOR WATER TECH</t>
  </si>
  <si>
    <t>34,597.00</t>
  </si>
  <si>
    <t>30,090,786.51</t>
  </si>
  <si>
    <t>2057</t>
  </si>
  <si>
    <t>PHUB522445490</t>
  </si>
  <si>
    <t>2025081101</t>
  </si>
  <si>
    <t>B/O GEM LUMEN BUILDING MATERIALS TRADIN</t>
  </si>
  <si>
    <t>2,250.00</t>
  </si>
  <si>
    <t>30,093,036.51</t>
  </si>
  <si>
    <t>2058</t>
  </si>
  <si>
    <t>PHUB522470851</t>
  </si>
  <si>
    <t>B/O_MOHAMMED Y_ADIB_522470851_Financi</t>
  </si>
  <si>
    <t>30,178,036.51</t>
  </si>
  <si>
    <t>2059</t>
  </si>
  <si>
    <t>PHUB522471243</t>
  </si>
  <si>
    <t>B/O_AHMED SARF_SCBL_522471243_.</t>
  </si>
  <si>
    <t>30,203,036.51</t>
  </si>
  <si>
    <t>2060</t>
  </si>
  <si>
    <t>50911058532</t>
  </si>
  <si>
    <t>26006529660 MBTRF B/O RAKESH RAM AND OR SATISH RAM</t>
  </si>
  <si>
    <t>30,218,036.51</t>
  </si>
  <si>
    <t>2061</t>
  </si>
  <si>
    <t>PHUB522477169</t>
  </si>
  <si>
    <t>SIF  SERVICE CHARGE</t>
  </si>
  <si>
    <t>B/O DELNOT MARITIME SHIPS TECH SER LLC</t>
  </si>
  <si>
    <t>26.25</t>
  </si>
  <si>
    <t>30,218,062.76</t>
  </si>
  <si>
    <t>2062</t>
  </si>
  <si>
    <t>ENGINEXPERTS USA</t>
  </si>
  <si>
    <t>124,000.00</t>
  </si>
  <si>
    <t>30,342,062.76</t>
  </si>
  <si>
    <t>2063</t>
  </si>
  <si>
    <t>2508110833070896</t>
  </si>
  <si>
    <t>REV, AL MARFA MARKET WR, 09TH AUG - Cash Collection TG</t>
  </si>
  <si>
    <t>30,142,062.76</t>
  </si>
  <si>
    <t>2064</t>
  </si>
  <si>
    <t>2508110833070903</t>
  </si>
  <si>
    <t>AL MARFA MARKET WR, 09TH AUG, SHORT - Cash Collection TG</t>
  </si>
  <si>
    <t>30,332,062.76</t>
  </si>
  <si>
    <t>2065</t>
  </si>
  <si>
    <t>2508110833111337</t>
  </si>
  <si>
    <t>NESTO HYPRMRKT AJM, 09TH AUG - Cash Collection TG</t>
  </si>
  <si>
    <t>30,462,062.76</t>
  </si>
  <si>
    <t>2066</t>
  </si>
  <si>
    <t>2508110833111356</t>
  </si>
  <si>
    <t>CITY CENTER AL ZAHIA SHJ, 09TH AUG - Cash Collection TG</t>
  </si>
  <si>
    <t>30,942,062.76</t>
  </si>
  <si>
    <t>2067</t>
  </si>
  <si>
    <t>2508110833111359</t>
  </si>
  <si>
    <t>MOE 1, 09TH AUG - Cash Collection TG</t>
  </si>
  <si>
    <t>31,242,062.76</t>
  </si>
  <si>
    <t>2068</t>
  </si>
  <si>
    <t>2508110833111362</t>
  </si>
  <si>
    <t>NAIF RD, 09TH AUG - Cash Collection TG</t>
  </si>
  <si>
    <t>31,602,062.76</t>
  </si>
  <si>
    <t>2069</t>
  </si>
  <si>
    <t>2508110833111365</t>
  </si>
  <si>
    <t>FUJAIRAH, 09TH AUG - Cash Collection TG</t>
  </si>
  <si>
    <t>31,802,062.76</t>
  </si>
  <si>
    <t>2070</t>
  </si>
  <si>
    <t>2508110833111374</t>
  </si>
  <si>
    <t>MUWEILAH SHJ, 09TH AUG - Cash Collection TG</t>
  </si>
  <si>
    <t>32,282,062.76</t>
  </si>
  <si>
    <t>2071</t>
  </si>
  <si>
    <t>2508110833111377</t>
  </si>
  <si>
    <t>AL KHAN BMW SHJ, 09TH AUG - Cash Collection TG</t>
  </si>
  <si>
    <t>32,532,062.76</t>
  </si>
  <si>
    <t>2072</t>
  </si>
  <si>
    <t>2508110833111380</t>
  </si>
  <si>
    <t>UAQ, 09TH AUG - Cash Collection TG</t>
  </si>
  <si>
    <t>32,632,062.76</t>
  </si>
  <si>
    <t>2073</t>
  </si>
  <si>
    <t>2508110833111398</t>
  </si>
  <si>
    <t>AL RIGGA METRO STION DXB, 09TH AUG - Cash Collection TG</t>
  </si>
  <si>
    <t>32,932,062.76</t>
  </si>
  <si>
    <t>2074</t>
  </si>
  <si>
    <t>2508110833111408</t>
  </si>
  <si>
    <t>CLOCK TOWER 1, 09TH AUG - Cash Collection TG</t>
  </si>
  <si>
    <t>33,352,062.76</t>
  </si>
  <si>
    <t>2075</t>
  </si>
  <si>
    <t>2508110833111415</t>
  </si>
  <si>
    <t>CO OP SOCIETY SHJ 1, 09TH AUG - Cash Collection TG</t>
  </si>
  <si>
    <t>33,632,062.76</t>
  </si>
  <si>
    <t>2076</t>
  </si>
  <si>
    <t>2508110833111422</t>
  </si>
  <si>
    <t>AL AMEED MALL, 09TH AUG - Cash Collection TG</t>
  </si>
  <si>
    <t>33,992,062.76</t>
  </si>
  <si>
    <t>2077</t>
  </si>
  <si>
    <t>2508110833111425</t>
  </si>
  <si>
    <t>BUR DUBAI, 09TH AUG - Cash Collection TG</t>
  </si>
  <si>
    <t>34,342,062.76</t>
  </si>
  <si>
    <t>2078</t>
  </si>
  <si>
    <t>2508110833111428</t>
  </si>
  <si>
    <t>SATWA 1, 09TH AUG - Cash Collection TG</t>
  </si>
  <si>
    <t>34,642,062.76</t>
  </si>
  <si>
    <t>2079</t>
  </si>
  <si>
    <t>2508110833111431</t>
  </si>
  <si>
    <t>AL NHDA RES TWRS  SHJ, 09TH AUG - Cash Collection TG</t>
  </si>
  <si>
    <t>178,500.00</t>
  </si>
  <si>
    <t>34,820,562.76</t>
  </si>
  <si>
    <t>2080</t>
  </si>
  <si>
    <t>2508110833121434</t>
  </si>
  <si>
    <t>AL MADAM SHJ, 09TH AUG - Cash Collection TG</t>
  </si>
  <si>
    <t>35,030,562.76</t>
  </si>
  <si>
    <t>2081</t>
  </si>
  <si>
    <t>2508110833121437</t>
  </si>
  <si>
    <t>IND AREA 3 SHJ, 09TH AUG - Cash Collection TG</t>
  </si>
  <si>
    <t>35,240,562.76</t>
  </si>
  <si>
    <t>2082</t>
  </si>
  <si>
    <t>2508110833121440</t>
  </si>
  <si>
    <t>KARAMA DUBAI, 09TH AUG - Cash Collection TG</t>
  </si>
  <si>
    <t>35,440,562.76</t>
  </si>
  <si>
    <t>2083</t>
  </si>
  <si>
    <t>2508110833182678</t>
  </si>
  <si>
    <t>Musaffah Shabiya AUH, 09TH AUG - Cash Collection TG</t>
  </si>
  <si>
    <t>36,040,562.76</t>
  </si>
  <si>
    <t>2084</t>
  </si>
  <si>
    <t>2508110833182687</t>
  </si>
  <si>
    <t>Musaffah Saniya AUH, 09TH AUG - Cash Collection TG</t>
  </si>
  <si>
    <t>36,290,562.76</t>
  </si>
  <si>
    <t>2085</t>
  </si>
  <si>
    <t>2508110833182690</t>
  </si>
  <si>
    <t>Old Shahama, 09TH AUG - Cash Collection TG</t>
  </si>
  <si>
    <t>36,490,562.76</t>
  </si>
  <si>
    <t>2086</t>
  </si>
  <si>
    <t>2508110833182694</t>
  </si>
  <si>
    <t>Al Forshan Central Mall Khalifa City AUH, 09TH AUG - Cash Collection TG</t>
  </si>
  <si>
    <t>36,705,562.76</t>
  </si>
  <si>
    <t>2087</t>
  </si>
  <si>
    <t>2508110833182704</t>
  </si>
  <si>
    <t>Shamkha Mall Abu dhabi, 09TH AUG - Cash Collection TG</t>
  </si>
  <si>
    <t>36,975,562.76</t>
  </si>
  <si>
    <t>2088</t>
  </si>
  <si>
    <t>2508110833182707</t>
  </si>
  <si>
    <t>ICAD Musaffah AUH, 09TH AUG - Cash Collection TG</t>
  </si>
  <si>
    <t>37,365,562.76</t>
  </si>
  <si>
    <t>2089</t>
  </si>
  <si>
    <t>2508110833202863</t>
  </si>
  <si>
    <t>Sila Muroor Road AUH, 09TH AUG - Cash Collection TG</t>
  </si>
  <si>
    <t>37,815,562.76</t>
  </si>
  <si>
    <t>2090</t>
  </si>
  <si>
    <t>2508110833202866</t>
  </si>
  <si>
    <t>SANAYA ZAYED TOWN W/R, 09TH AUG - Cash Collection TG</t>
  </si>
  <si>
    <t>37,965,562.76</t>
  </si>
  <si>
    <t>2091</t>
  </si>
  <si>
    <t>2508110833202869</t>
  </si>
  <si>
    <t>Beda Zayed auh, 09TH AUG - Cash Collection TG</t>
  </si>
  <si>
    <t>38,195,562.76</t>
  </si>
  <si>
    <t>2092</t>
  </si>
  <si>
    <t>2508110833202872</t>
  </si>
  <si>
    <t>Ruwais AUH, 09TH AUG - Cash Collection TG</t>
  </si>
  <si>
    <t>38,345,562.76</t>
  </si>
  <si>
    <t>2093</t>
  </si>
  <si>
    <t>2508110833202875</t>
  </si>
  <si>
    <t>HAYER Al Ain1, 09TH AUG - Cash Collection TG</t>
  </si>
  <si>
    <t>38,605,562.76</t>
  </si>
  <si>
    <t>2094</t>
  </si>
  <si>
    <t>2508110833202878</t>
  </si>
  <si>
    <t>SWEIHAN  ALAIN, 09TH AUG - Cash Collection TG</t>
  </si>
  <si>
    <t>38,755,562.76</t>
  </si>
  <si>
    <t>2095</t>
  </si>
  <si>
    <t>2508110833202881</t>
  </si>
  <si>
    <t>AL FOAH MALL AL-AIN, 09TH AUG - Cash Collection TG</t>
  </si>
  <si>
    <t>1,400,000.00</t>
  </si>
  <si>
    <t>40,155,562.76</t>
  </si>
  <si>
    <t>2096</t>
  </si>
  <si>
    <t>2508110833202884</t>
  </si>
  <si>
    <t>Gayathi Mubarak Ashwan AUH, 09TH AUG - Cash Collection TG</t>
  </si>
  <si>
    <t>40,305,562.76</t>
  </si>
  <si>
    <t>2097</t>
  </si>
  <si>
    <t>2508110833202895</t>
  </si>
  <si>
    <t>AL MARFA MARKET WR, 09TH AUG - Cash Collection TG</t>
  </si>
  <si>
    <t>40,505,562.76</t>
  </si>
  <si>
    <t>2098</t>
  </si>
  <si>
    <t>2508110833202904</t>
  </si>
  <si>
    <t>Lulu Hyper Markete Sanaiya Al Ain, 09TH AUG - Cash Collection TG</t>
  </si>
  <si>
    <t>40,785,562.76</t>
  </si>
  <si>
    <t>2099</t>
  </si>
  <si>
    <t>2508110833202907</t>
  </si>
  <si>
    <t>Al Yahar Al Ain, 09TH AUG - Cash Collection TG</t>
  </si>
  <si>
    <t>41,215,562.76</t>
  </si>
  <si>
    <t>2100</t>
  </si>
  <si>
    <t>2508110833202910</t>
  </si>
  <si>
    <t>AL FARDAN EXCH DEREI BLDNG AL QUAA AA, 09TH AUG - Cash Collection TG</t>
  </si>
  <si>
    <t>41,325,562.76</t>
  </si>
  <si>
    <t>2101</t>
  </si>
  <si>
    <t>2508110833202913</t>
  </si>
  <si>
    <t>Al Falah St Auh, 09TH AUG - Cash Collection TG</t>
  </si>
  <si>
    <t>41,455,562.76</t>
  </si>
  <si>
    <t>2102</t>
  </si>
  <si>
    <t>2508110833212916</t>
  </si>
  <si>
    <t>Al Wahda AUH, 09TH AUG - Cash Collection TG</t>
  </si>
  <si>
    <t>41,965,562.76</t>
  </si>
  <si>
    <t>2103</t>
  </si>
  <si>
    <t>2508110833212923</t>
  </si>
  <si>
    <t>Zayed 1st Street Electra AUH, 09TH AUG - Cash Collection TG</t>
  </si>
  <si>
    <t>42,085,562.76</t>
  </si>
  <si>
    <t>2104</t>
  </si>
  <si>
    <t>2508110833212926</t>
  </si>
  <si>
    <t>Hamdan Abu Dhabi, 09TH AUG - Cash Collection TG</t>
  </si>
  <si>
    <t>42,405,562.76</t>
  </si>
  <si>
    <t>2105</t>
  </si>
  <si>
    <t>2508110833212929</t>
  </si>
  <si>
    <t>Al Dhafra AUH, 09TH AUG - Cash Collection TG</t>
  </si>
  <si>
    <t>42,695,562.76</t>
  </si>
  <si>
    <t>2106</t>
  </si>
  <si>
    <t>PHUB522489873</t>
  </si>
  <si>
    <t>JULY25 EPL SA</t>
  </si>
  <si>
    <t>B/O SQUEAK GENERAL TRANSPORT LLC OPC</t>
  </si>
  <si>
    <t>9,165.73</t>
  </si>
  <si>
    <t>42,704,728.49</t>
  </si>
  <si>
    <t>2107</t>
  </si>
  <si>
    <t>PHUB522490703</t>
  </si>
  <si>
    <t>CW 11082025</t>
  </si>
  <si>
    <t>37,704,728.49</t>
  </si>
  <si>
    <t>2108</t>
  </si>
  <si>
    <t>PHUB522490702</t>
  </si>
  <si>
    <t>DXB 11082025</t>
  </si>
  <si>
    <t>34,704,728.49</t>
  </si>
  <si>
    <t>2109</t>
  </si>
  <si>
    <t>7,026.25</t>
  </si>
  <si>
    <t>34,711,754.74</t>
  </si>
  <si>
    <t>2110</t>
  </si>
  <si>
    <t>50913480738</t>
  </si>
  <si>
    <t>2537635971 IBTRF B/O INJAZAT AL SHARQ CONSTRUCTION LLC</t>
  </si>
  <si>
    <t>34,811,754.74</t>
  </si>
  <si>
    <t>2111</t>
  </si>
  <si>
    <t>50913503701</t>
  </si>
  <si>
    <t>2537637333 IBTRF B/O INJAZAT AL SHARQ CONSTRUCTION LLC</t>
  </si>
  <si>
    <t>12,991.50</t>
  </si>
  <si>
    <t>34,824,746.24</t>
  </si>
  <si>
    <t>2112</t>
  </si>
  <si>
    <t>PHUB522518392</t>
  </si>
  <si>
    <t>B/O T U HOLDING - LLC - OPC</t>
  </si>
  <si>
    <t>45,457.97</t>
  </si>
  <si>
    <t>34,870,204.21</t>
  </si>
  <si>
    <t>2113</t>
  </si>
  <si>
    <t>50913647317</t>
  </si>
  <si>
    <t>26009099851 MBTRF B/O AYLA ELECTRICAL SLTION SRV LLC SPC</t>
  </si>
  <si>
    <t>34,900,204.21</t>
  </si>
  <si>
    <t>2114</t>
  </si>
  <si>
    <t>PHUB522524020</t>
  </si>
  <si>
    <t>B/O MADANG KOREAN RESTAURANT LLC SPC</t>
  </si>
  <si>
    <t>43,826.02</t>
  </si>
  <si>
    <t>34,944,030.23</t>
  </si>
  <si>
    <t>2115</t>
  </si>
  <si>
    <t>50913912228</t>
  </si>
  <si>
    <t>26009346004 MBTRF B/O PRASAD RAMANNA SHETTY</t>
  </si>
  <si>
    <t>55,188.00</t>
  </si>
  <si>
    <t>34,999,218.23</t>
  </si>
  <si>
    <t>2116</t>
  </si>
  <si>
    <t>50914071103</t>
  </si>
  <si>
    <t>26009497447 MBTRF B/O VIKAS MAHAJAN</t>
  </si>
  <si>
    <t>34,999,318.23</t>
  </si>
  <si>
    <t>2117</t>
  </si>
  <si>
    <t>B/O_C VICTORIO_ADIB_522537465_MONEY T</t>
  </si>
  <si>
    <t>8,585.00</t>
  </si>
  <si>
    <t>35,007,903.23</t>
  </si>
  <si>
    <t>2118</t>
  </si>
  <si>
    <t>PHUB522543759</t>
  </si>
  <si>
    <t>B/O PHO7 RESTAURANT L L C O P C</t>
  </si>
  <si>
    <t>41,497.54</t>
  </si>
  <si>
    <t>35,049,400.77</t>
  </si>
  <si>
    <t>2119</t>
  </si>
  <si>
    <t>PHUB522542465</t>
  </si>
  <si>
    <t>522542465 B/O SHATHA R ABDULKADER AL KHALIDY</t>
  </si>
  <si>
    <t>5,650.00</t>
  </si>
  <si>
    <t>35,055,050.77</t>
  </si>
  <si>
    <t>2120</t>
  </si>
  <si>
    <t>PHUB522545732</t>
  </si>
  <si>
    <t>B/O MADANG SUPERMARKET SP LLC</t>
  </si>
  <si>
    <t>31,130.57</t>
  </si>
  <si>
    <t>35,086,181.34</t>
  </si>
  <si>
    <t>2121</t>
  </si>
  <si>
    <t>PHUB522545906</t>
  </si>
  <si>
    <t>429,675.00</t>
  </si>
  <si>
    <t>35,515,856.34</t>
  </si>
  <si>
    <t>2122</t>
  </si>
  <si>
    <t>50914523200</t>
  </si>
  <si>
    <t>26009920590 MBTRF B/O AHMED ABDELBAKI ABDELRADI HASSANEIN</t>
  </si>
  <si>
    <t>245.00</t>
  </si>
  <si>
    <t>35,516,101.34</t>
  </si>
  <si>
    <t>2123</t>
  </si>
  <si>
    <t>PHUB522553052</t>
  </si>
  <si>
    <t>B/O MADANG BAKERY&amp;CAFETERIA SPRP.LLC</t>
  </si>
  <si>
    <t>23,918.60</t>
  </si>
  <si>
    <t>35,540,019.94</t>
  </si>
  <si>
    <t>2124</t>
  </si>
  <si>
    <t>B/O_AL MUSHTAR_BOML_522552294_ FINANC</t>
  </si>
  <si>
    <t>35,613,560.44</t>
  </si>
  <si>
    <t>2125</t>
  </si>
  <si>
    <t>INHOUSE CHEQUE DEPOSIT 000030 ABHISHANTH NELLIYULLA PARAMBATH    ASHOKAN AL FARDAN EXCHANGE SP LLC CHQ NO ::000030</t>
  </si>
  <si>
    <t>3,595.40</t>
  </si>
  <si>
    <t>35,617,155.84</t>
  </si>
  <si>
    <t>2126</t>
  </si>
  <si>
    <t>000041</t>
  </si>
  <si>
    <t>INHOUSE CHEQUE DEPOSIT 000041 ABHISHANTH NELLIYULLA PARAMBATH    ASHOKAN AL FARDAN EXCHANGE SP LLC CHQ NO ::000041</t>
  </si>
  <si>
    <t>8,112.60</t>
  </si>
  <si>
    <t>35,625,268.44</t>
  </si>
  <si>
    <t>2127</t>
  </si>
  <si>
    <t>PHUB522554191</t>
  </si>
  <si>
    <t>B/O NURI GRILL AND BAR BY MADANG RESTAU</t>
  </si>
  <si>
    <t>27,871.85</t>
  </si>
  <si>
    <t>35,653,140.29</t>
  </si>
  <si>
    <t>2128</t>
  </si>
  <si>
    <t>50914823846</t>
  </si>
  <si>
    <t>26010196587 MBTRF B/O JIAH LUKMAN MULLA</t>
  </si>
  <si>
    <t>210,100.00</t>
  </si>
  <si>
    <t>35,863,240.29</t>
  </si>
  <si>
    <t>2129</t>
  </si>
  <si>
    <t>PHUB522562641</t>
  </si>
  <si>
    <t>ANCHORS SHIPMENT</t>
  </si>
  <si>
    <t>B/O SAIF AL ANWAR BUILDING &amp; CONSTRUCTI</t>
  </si>
  <si>
    <t>84,371.00</t>
  </si>
  <si>
    <t>35,947,611.29</t>
  </si>
  <si>
    <t>2130</t>
  </si>
  <si>
    <t>18,000.00</t>
  </si>
  <si>
    <t>35,965,611.29</t>
  </si>
  <si>
    <t>2131</t>
  </si>
  <si>
    <t>50915204630</t>
  </si>
  <si>
    <t>26010549710 MBTRF B/O VIKAS MAHAJAN</t>
  </si>
  <si>
    <t>77,196.00</t>
  </si>
  <si>
    <t>36,042,807.29</t>
  </si>
  <si>
    <t>2132</t>
  </si>
  <si>
    <t>537,700.00</t>
  </si>
  <si>
    <t>36,580,507.29</t>
  </si>
  <si>
    <t>2133</t>
  </si>
  <si>
    <t>50915524056</t>
  </si>
  <si>
    <t>2537727995 IBTRF B/O GANGNAM GENTS SALON</t>
  </si>
  <si>
    <t>3,300.00</t>
  </si>
  <si>
    <t>36,583,807.29</t>
  </si>
  <si>
    <t>2134</t>
  </si>
  <si>
    <t>PHUB522612341</t>
  </si>
  <si>
    <t>AL FARDHAN</t>
  </si>
  <si>
    <t>B/O UNCLE LEE KITCHEN L L C S P C</t>
  </si>
  <si>
    <t>5,792.52</t>
  </si>
  <si>
    <t>36,589,599.81</t>
  </si>
  <si>
    <t>2135</t>
  </si>
  <si>
    <t>PHUB522603998</t>
  </si>
  <si>
    <t>B/O_UNIVERSAL _BARB_522603998_NANTE A</t>
  </si>
  <si>
    <t>7,889.79</t>
  </si>
  <si>
    <t>36,597,489.60</t>
  </si>
  <si>
    <t>2136</t>
  </si>
  <si>
    <t>50916148632</t>
  </si>
  <si>
    <t>26011426997 MBTRF B/O BAIT AL SHETA TECH CONT</t>
  </si>
  <si>
    <t>36,627,489.60</t>
  </si>
  <si>
    <t>2137</t>
  </si>
  <si>
    <t>PHUB522618801</t>
  </si>
  <si>
    <t>B/O_ELSAYED MOHAMED _522618801</t>
  </si>
  <si>
    <t>38,044.00</t>
  </si>
  <si>
    <t>36,665,533.60</t>
  </si>
  <si>
    <t>2138</t>
  </si>
  <si>
    <t>19,170.00</t>
  </si>
  <si>
    <t>36,684,703.60</t>
  </si>
  <si>
    <t>2139</t>
  </si>
  <si>
    <t>INHOUSE CHEQUE DEPOSIT 000051 MUHAMMAD HAMEED MUHAMMAD   FAREED AL FARDAN EXCHANGE SP LLC CHQ NO ::000051</t>
  </si>
  <si>
    <t>4,800.00</t>
  </si>
  <si>
    <t>36,689,503.60</t>
  </si>
  <si>
    <t>2140</t>
  </si>
  <si>
    <t>PHUB522629712</t>
  </si>
  <si>
    <t>B/O_NOVEC CARE_BOML_522629712_ GOODS</t>
  </si>
  <si>
    <t>207,831.30</t>
  </si>
  <si>
    <t>36,897,334.90</t>
  </si>
  <si>
    <t>2141</t>
  </si>
  <si>
    <t>PHUB522624115</t>
  </si>
  <si>
    <t>B/O_MEDITRATE _BOML_522624115_ AIR TR</t>
  </si>
  <si>
    <t>49,990.16</t>
  </si>
  <si>
    <t>36,947,325.06</t>
  </si>
  <si>
    <t>2142</t>
  </si>
  <si>
    <t>11082507</t>
  </si>
  <si>
    <t>21,758,000.00</t>
  </si>
  <si>
    <t>58,705,325.06</t>
  </si>
  <si>
    <t>2143</t>
  </si>
  <si>
    <t>148,522.80</t>
  </si>
  <si>
    <t>58,853,847.86</t>
  </si>
  <si>
    <t>2144</t>
  </si>
  <si>
    <t>PHUB522631469</t>
  </si>
  <si>
    <t>B/O_ALI MOHAMED IBRA_522631469</t>
  </si>
  <si>
    <t>58,866,847.86</t>
  </si>
  <si>
    <t>2145</t>
  </si>
  <si>
    <t>PHUB522634642</t>
  </si>
  <si>
    <t>IMD 11082025</t>
  </si>
  <si>
    <t>20,881,973.95</t>
  </si>
  <si>
    <t>37,984,873.91</t>
  </si>
  <si>
    <t>2146</t>
  </si>
  <si>
    <t>PHUB522634536</t>
  </si>
  <si>
    <t>14,200,609.19</t>
  </si>
  <si>
    <t>23,784,264.72</t>
  </si>
  <si>
    <t>2147</t>
  </si>
  <si>
    <t>PHUB522635614</t>
  </si>
  <si>
    <t>B/O_AEROSTYLE _NBSH_522635614_TOF - T</t>
  </si>
  <si>
    <t>23,839,435.22</t>
  </si>
  <si>
    <t>2148</t>
  </si>
  <si>
    <t>PHUB522635855</t>
  </si>
  <si>
    <t>MOB1108251143308075363</t>
  </si>
  <si>
    <t>B/O MINDS AHEAD INSTITUTE L L C</t>
  </si>
  <si>
    <t>12,620.00</t>
  </si>
  <si>
    <t>23,852,055.22</t>
  </si>
  <si>
    <t>2149</t>
  </si>
  <si>
    <t>50916880532</t>
  </si>
  <si>
    <t>26012108289 MBTRF B/O STEPHANE MOUSSI NGUEMBE</t>
  </si>
  <si>
    <t>24,102,055.22</t>
  </si>
  <si>
    <t>2150</t>
  </si>
  <si>
    <t>50916898706</t>
  </si>
  <si>
    <t>26012131179 MBTRF B/O STEPHANE MOUSSI NGUEMBE</t>
  </si>
  <si>
    <t>24,352,055.22</t>
  </si>
  <si>
    <t>2151</t>
  </si>
  <si>
    <t>50916932418</t>
  </si>
  <si>
    <t>26012164456 MBTRF B/O STEPHANE MOUSSI NGUEMBE</t>
  </si>
  <si>
    <t>24,602,055.22</t>
  </si>
  <si>
    <t>2152</t>
  </si>
  <si>
    <t>50916947281</t>
  </si>
  <si>
    <t>26012174968 MBTRF B/O SULTAN INDUSTRIAL MACHINES TR LLC</t>
  </si>
  <si>
    <t>22,351.30</t>
  </si>
  <si>
    <t>24,624,406.52</t>
  </si>
  <si>
    <t>2153</t>
  </si>
  <si>
    <t>522638608 B/O MOHAMAD KADDURA</t>
  </si>
  <si>
    <t>3,872.00</t>
  </si>
  <si>
    <t>24,628,278.52</t>
  </si>
  <si>
    <t>2154</t>
  </si>
  <si>
    <t>PHUB522638691</t>
  </si>
  <si>
    <t>WPS SLARY PAY JUL25</t>
  </si>
  <si>
    <t>B/O KALPATARU POWER TRANSMISSN. LIMITED</t>
  </si>
  <si>
    <t>373,404.30</t>
  </si>
  <si>
    <t>25,001,682.82</t>
  </si>
  <si>
    <t>2155</t>
  </si>
  <si>
    <t>PHUB522638830</t>
  </si>
  <si>
    <t>B/O KALPATARU POWER TRANSMISSION LIMIT.</t>
  </si>
  <si>
    <t>290,939.60</t>
  </si>
  <si>
    <t>25,292,622.42</t>
  </si>
  <si>
    <t>2156</t>
  </si>
  <si>
    <t>PHUB522639084</t>
  </si>
  <si>
    <t>B/O_G D UNITED CONTR_522639084</t>
  </si>
  <si>
    <t>6,726.25</t>
  </si>
  <si>
    <t>25,299,348.67</t>
  </si>
  <si>
    <t>2157</t>
  </si>
  <si>
    <t>25,302,348.67</t>
  </si>
  <si>
    <t>2158</t>
  </si>
  <si>
    <t>MOB1108251152478075596</t>
  </si>
  <si>
    <t>47,834.75</t>
  </si>
  <si>
    <t>25,350,183.42</t>
  </si>
  <si>
    <t>2159</t>
  </si>
  <si>
    <t>50917184282</t>
  </si>
  <si>
    <t>26012393583 MBTRF B/O ROMULO JR JAVIER</t>
  </si>
  <si>
    <t>25,350,445.92</t>
  </si>
  <si>
    <t>2160</t>
  </si>
  <si>
    <t>50917222579</t>
  </si>
  <si>
    <t>26012432776 MBTRF B/O ROMULO JR JAVIER</t>
  </si>
  <si>
    <t>25,350,708.42</t>
  </si>
  <si>
    <t>2161</t>
  </si>
  <si>
    <t>464,680.00</t>
  </si>
  <si>
    <t>25,815,388.42</t>
  </si>
  <si>
    <t>2162</t>
  </si>
  <si>
    <t>INHOUSE CHEQUE DEPOSIT 000041 BASHEER PULIKKAL    IBRAHIM AL FARDAN EXCHANGE SP LLC CHQ NO ::000041</t>
  </si>
  <si>
    <t>25,880,388.42</t>
  </si>
  <si>
    <t>2163</t>
  </si>
  <si>
    <t>50917818665</t>
  </si>
  <si>
    <t>26012986466 MBTRF B/O HABIB BACHA</t>
  </si>
  <si>
    <t>5,525.00</t>
  </si>
  <si>
    <t>25,885,913.42</t>
  </si>
  <si>
    <t>2164</t>
  </si>
  <si>
    <t>000320</t>
  </si>
  <si>
    <t>INHOUSE CHEQUE DEPOSIT 000320 BASHEER PULIKKAL    IBRAHIM AL FARDAN EXCHANGE SP LLC CHQ NO ::000320</t>
  </si>
  <si>
    <t>25,977,947.17</t>
  </si>
  <si>
    <t>2165</t>
  </si>
  <si>
    <t>PHUB522654111</t>
  </si>
  <si>
    <t>B/O_METEL INDU_BOML_522654111_ TECHNI</t>
  </si>
  <si>
    <t>111,832.75</t>
  </si>
  <si>
    <t>26,089,779.92</t>
  </si>
  <si>
    <t>2166</t>
  </si>
  <si>
    <t>2508111220365987</t>
  </si>
  <si>
    <t>09TH AUG, KHALIDIYA - Cash Collection TG</t>
  </si>
  <si>
    <t>26,529,779.92</t>
  </si>
  <si>
    <t>2167</t>
  </si>
  <si>
    <t>2022508110001255</t>
  </si>
  <si>
    <t>NONREF 2022508110001255</t>
  </si>
  <si>
    <t>10,045,000.00</t>
  </si>
  <si>
    <t>36,574,779.92</t>
  </si>
  <si>
    <t>2168</t>
  </si>
  <si>
    <t>PHUB522658556</t>
  </si>
  <si>
    <t>B/O_ALFATHIR U_BOML_522658556_ FINANC</t>
  </si>
  <si>
    <t>65,865.50</t>
  </si>
  <si>
    <t>36,640,645.42</t>
  </si>
  <si>
    <t>2169</t>
  </si>
  <si>
    <t>50918194042</t>
  </si>
  <si>
    <t>26013340908 MBTRF B/O SACHIN MANOHAR DESAI</t>
  </si>
  <si>
    <t>33,231.50</t>
  </si>
  <si>
    <t>36,673,876.92</t>
  </si>
  <si>
    <t>2170</t>
  </si>
  <si>
    <t>6,080.65</t>
  </si>
  <si>
    <t>36,679,957.57</t>
  </si>
  <si>
    <t>2171</t>
  </si>
  <si>
    <t>FMSTRF2025280</t>
  </si>
  <si>
    <t>267,044.00</t>
  </si>
  <si>
    <t>36,947,001.57</t>
  </si>
  <si>
    <t>2172</t>
  </si>
  <si>
    <t>PHUB522666021</t>
  </si>
  <si>
    <t>CA 11082025</t>
  </si>
  <si>
    <t>34,700,000.00</t>
  </si>
  <si>
    <t>71,647,001.57</t>
  </si>
  <si>
    <t>2173</t>
  </si>
  <si>
    <t>PHUB522666675</t>
  </si>
  <si>
    <t>12600 KD FOR ASHOK BUSES</t>
  </si>
  <si>
    <t>B/O AL MARKABAH AL MUTAMADAH USED CARS</t>
  </si>
  <si>
    <t>152,260.50</t>
  </si>
  <si>
    <t>71,799,262.07</t>
  </si>
  <si>
    <t>2174</t>
  </si>
  <si>
    <t>2508111245574545</t>
  </si>
  <si>
    <t>TG Cash Pick up Fee May 2025 2027810118 Al Fardan Exchange (Clock Tower) [ MSR 109964 ]</t>
  </si>
  <si>
    <t>2,134.76</t>
  </si>
  <si>
    <t>71,797,127.31</t>
  </si>
  <si>
    <t>2175</t>
  </si>
  <si>
    <t>2508111245574564</t>
  </si>
  <si>
    <t>TG Cash Pick up Fee May 2025 2027810120 Al Fardan Exchange Sanaya Br [ MSR 109964 ]</t>
  </si>
  <si>
    <t>1,709.10</t>
  </si>
  <si>
    <t>71,795,418.21</t>
  </si>
  <si>
    <t>2176</t>
  </si>
  <si>
    <t>2508111245574579</t>
  </si>
  <si>
    <t>TG Cash Pick up Fee May 2025 2027810119 Al Fardan Exchange (Souk) [ MSR 109964 ]</t>
  </si>
  <si>
    <t>2,165.63</t>
  </si>
  <si>
    <t>71,793,252.58</t>
  </si>
  <si>
    <t>2177</t>
  </si>
  <si>
    <t>2508111245574582</t>
  </si>
  <si>
    <t>TG Cash Pick up Fee May 2025 2027810122 Al Fardan Exchange (Al Yahar ) [ MSR 109964 ]</t>
  </si>
  <si>
    <t>2,535.36</t>
  </si>
  <si>
    <t>71,790,717.22</t>
  </si>
  <si>
    <t>2178</t>
  </si>
  <si>
    <t>2508111245584748</t>
  </si>
  <si>
    <t>TG Cash Pick up Fee May 2025 2027810912 ADCB AL FARDAN EXCHANGE AL HAYER [ MSR 109964 ]</t>
  </si>
  <si>
    <t>2,347.10</t>
  </si>
  <si>
    <t>71,788,370.12</t>
  </si>
  <si>
    <t>2179</t>
  </si>
  <si>
    <t>50918699835</t>
  </si>
  <si>
    <t>26013824496 MBTRF B/O LAMYA ALI MOHAMMAD ABDULLA ALSAYEGH</t>
  </si>
  <si>
    <t>71,789,370.12</t>
  </si>
  <si>
    <t>2180</t>
  </si>
  <si>
    <t>2508111245594787</t>
  </si>
  <si>
    <t>TG Cash Pick up Fee May 2025 2027811158 ADCB AL FARDAN EXCHANGE SWEIHAN BR AL AN [ MSR 109964 ]</t>
  </si>
  <si>
    <t>2,257.58</t>
  </si>
  <si>
    <t>71,787,112.54</t>
  </si>
  <si>
    <t>2181</t>
  </si>
  <si>
    <t>2508111245594834</t>
  </si>
  <si>
    <t>TG Cash Pick up Fee May 2025 2027811316 ADCB AL FARDAN EXCHANGE FOAH MALL AL AIN [ MSR 109964 ]</t>
  </si>
  <si>
    <t>1,756.49</t>
  </si>
  <si>
    <t>71,785,356.05</t>
  </si>
  <si>
    <t>2182</t>
  </si>
  <si>
    <t>2508111246004863</t>
  </si>
  <si>
    <t>TG Cash Pick up Fee May 2025 2027810407 AL FARDAN EXCHANGE BADA ZAYED [ MSR 109964 ]</t>
  </si>
  <si>
    <t>2,283.33</t>
  </si>
  <si>
    <t>71,783,072.72</t>
  </si>
  <si>
    <t>2183</t>
  </si>
  <si>
    <t>2508111246004870</t>
  </si>
  <si>
    <t>TG Cash Pick up Fee May 2025 2027810051 Al Fardan Exchange TCA [ MSR 109964 ]</t>
  </si>
  <si>
    <t>1,486.25</t>
  </si>
  <si>
    <t>71,781,586.47</t>
  </si>
  <si>
    <t>2184</t>
  </si>
  <si>
    <t>2508111246004875</t>
  </si>
  <si>
    <t>TG Cash Pick up Fee May 2025 2027810271 AL FARDAN EXCHANGE BANIYAS [ MSR 109964 ]</t>
  </si>
  <si>
    <t>2,397.18</t>
  </si>
  <si>
    <t>71,779,189.29</t>
  </si>
  <si>
    <t>2185</t>
  </si>
  <si>
    <t>2508111246004888</t>
  </si>
  <si>
    <t>TG Cash Pick up Fee May 2025 2027810085 ADCB AL FARDAN RUWAIS [ MSR 109964 ]</t>
  </si>
  <si>
    <t>3,192.27</t>
  </si>
  <si>
    <t>71,775,997.02</t>
  </si>
  <si>
    <t>2186</t>
  </si>
  <si>
    <t>2508111246004891</t>
  </si>
  <si>
    <t>TG Cash Pick up Fee May 2025 2027810071 ADCB AL FARDAN EXCHANGE SILA [ MSR 109964 ]</t>
  </si>
  <si>
    <t>3,407.86</t>
  </si>
  <si>
    <t>71,772,589.16</t>
  </si>
  <si>
    <t>2187</t>
  </si>
  <si>
    <t>2508111246004896</t>
  </si>
  <si>
    <t>TG Cash Pick up Fee May 2025 2027810065 Al Fardan Exchange Musaffah [ MSR 109964 ]</t>
  </si>
  <si>
    <t>1,964.66</t>
  </si>
  <si>
    <t>71,770,624.50</t>
  </si>
  <si>
    <t>2188</t>
  </si>
  <si>
    <t>2508111246005417</t>
  </si>
  <si>
    <t>TG Cash Pick up Fee May 2025 2027810083 Al Fardan Exchange Wada Mall [ MSR 109964 ]</t>
  </si>
  <si>
    <t>2,023.75</t>
  </si>
  <si>
    <t>71,768,600.75</t>
  </si>
  <si>
    <t>2189</t>
  </si>
  <si>
    <t>2508111246005432</t>
  </si>
  <si>
    <t>TG Cash Pick up Fee May 2025 2027810172 Al Fardan Exchange Shabiya [ MSR 109964 ]</t>
  </si>
  <si>
    <t>2,098.87</t>
  </si>
  <si>
    <t>71,766,501.88</t>
  </si>
  <si>
    <t>2190</t>
  </si>
  <si>
    <t>2508111246005435</t>
  </si>
  <si>
    <t>TG Cash Pick up Fee May 2025 2027810084 Al Fardan Exchange Main [ MSR 109964 ]</t>
  </si>
  <si>
    <t>2,331.78</t>
  </si>
  <si>
    <t>71,764,170.10</t>
  </si>
  <si>
    <t>2191</t>
  </si>
  <si>
    <t>2508111246015446</t>
  </si>
  <si>
    <t>TG Cash Pick up Fee May 2025 2027810269 AL FARDAN EXCHANGE OLD SHAHAMA [ MSR 109964 ]</t>
  </si>
  <si>
    <t>2,310.25</t>
  </si>
  <si>
    <t>71,761,859.85</t>
  </si>
  <si>
    <t>2192</t>
  </si>
  <si>
    <t>2508111246015453</t>
  </si>
  <si>
    <t>TG Cash Pick up Fee May 2025 2027810270 AL FARDAN EXCHANGE MUSSAFAH [ MSR 109964 ]</t>
  </si>
  <si>
    <t>2,484.03</t>
  </si>
  <si>
    <t>71,759,375.82</t>
  </si>
  <si>
    <t>2193</t>
  </si>
  <si>
    <t>2508111246015456</t>
  </si>
  <si>
    <t>TG Cash Pick up Fee May 2025 2027810273 AL FARDAN EXCHANGE MUROOR ROAD [ MSR 109964 ]</t>
  </si>
  <si>
    <t>1,700.13</t>
  </si>
  <si>
    <t>71,757,675.69</t>
  </si>
  <si>
    <t>2194</t>
  </si>
  <si>
    <t>2508111246015465</t>
  </si>
  <si>
    <t>TG Cash Pick up Fee May 2025 2027810278 Al Fardan Exchange, Boutik Mall Br [ MSR 109964 ]</t>
  </si>
  <si>
    <t>1,102.00</t>
  </si>
  <si>
    <t>71,756,573.69</t>
  </si>
  <si>
    <t>2195</t>
  </si>
  <si>
    <t>2508111246015478</t>
  </si>
  <si>
    <t>TG Cash Pick up Fee May 2025 2027810276 ADCB AL FARDAN EXCHANGE SANAYA, ZAYAD TO [ MSR 109964 ]</t>
  </si>
  <si>
    <t>3,634.21</t>
  </si>
  <si>
    <t>71,752,939.48</t>
  </si>
  <si>
    <t>2196</t>
  </si>
  <si>
    <t>2508111246015491</t>
  </si>
  <si>
    <t>TG Cash Pick up Fee May 2025 2027800201 ADCB AL FARDAN EXCHANGE B2B [ MSR 109964 ]</t>
  </si>
  <si>
    <t>1,724.44</t>
  </si>
  <si>
    <t>71,751,215.04</t>
  </si>
  <si>
    <t>2197</t>
  </si>
  <si>
    <t>2508111246045731</t>
  </si>
  <si>
    <t>TG Cash Pick up Fee May 2025 2027800332 ADCB AL FARDAN EXCH BIN DAGHER TOWER KHA [ MSR 109964 ]</t>
  </si>
  <si>
    <t>1,584.85</t>
  </si>
  <si>
    <t>71,749,630.19</t>
  </si>
  <si>
    <t>2198</t>
  </si>
  <si>
    <t>2508111246045738</t>
  </si>
  <si>
    <t>TG Cash Pick up Fee May 2025 2027800331 ADCB AL FARDAN EXCH JUMA AID AL MURAIHI [ MSR 109964 ]</t>
  </si>
  <si>
    <t>1,675.18</t>
  </si>
  <si>
    <t>71,747,955.01</t>
  </si>
  <si>
    <t>2199</t>
  </si>
  <si>
    <t>2508111246045744</t>
  </si>
  <si>
    <t>TG Cash Pick up Fee May 2025 2027800390 ADCB AL FARDAN EXCH ZAYED FIRST ST ELECT [ MSR 109964 ]</t>
  </si>
  <si>
    <t>2,033.14</t>
  </si>
  <si>
    <t>71,745,921.87</t>
  </si>
  <si>
    <t>2200</t>
  </si>
  <si>
    <t>2508111246055876</t>
  </si>
  <si>
    <t>TG Cash Pick up Fee May 2025 2027810345 ADCB AL FARDAN EXCHANGE AL NAHYAN ST AUH [ MSR 109964 ]</t>
  </si>
  <si>
    <t>1,518.16</t>
  </si>
  <si>
    <t>71,744,403.71</t>
  </si>
  <si>
    <t>2201</t>
  </si>
  <si>
    <t>2508111246066447</t>
  </si>
  <si>
    <t>TG Cash Pick up Fee May 2025 2027810392 ADCB AL FARDAN EXCHANGE GATATHI AUH [ MSR 109964 ]</t>
  </si>
  <si>
    <t>2,664.42</t>
  </si>
  <si>
    <t>71,741,739.29</t>
  </si>
  <si>
    <t>2202</t>
  </si>
  <si>
    <t>2508111246066466</t>
  </si>
  <si>
    <t>TG Cash Pick up Fee May 2025 2027810880 ADCB AL FARDAN EXCH AL MARFA MARKET WR [ MSR 109964 ]</t>
  </si>
  <si>
    <t>2,657.18</t>
  </si>
  <si>
    <t>71,739,082.11</t>
  </si>
  <si>
    <t>2203</t>
  </si>
  <si>
    <t>2508111246270372</t>
  </si>
  <si>
    <t>TG Cash Pick up Fee May 2025 2027812123 ADCB AL FARDAN EXCH GAYATHI MALL AUH [ MSR 109964 ]</t>
  </si>
  <si>
    <t>2,824.46</t>
  </si>
  <si>
    <t>71,736,257.65</t>
  </si>
  <si>
    <t>2204</t>
  </si>
  <si>
    <t>22,200.00</t>
  </si>
  <si>
    <t>71,758,457.65</t>
  </si>
  <si>
    <t>2205</t>
  </si>
  <si>
    <t>PHUB522674066</t>
  </si>
  <si>
    <t>B/O_SOLE PROPRIETORS_522674066</t>
  </si>
  <si>
    <t>97.00</t>
  </si>
  <si>
    <t>71,758,554.65</t>
  </si>
  <si>
    <t>2206</t>
  </si>
  <si>
    <t>50919124179</t>
  </si>
  <si>
    <t>26014235765 MBTRF B/O VIJAYALAKSHMI VELUSAMY</t>
  </si>
  <si>
    <t>71,780,554.65</t>
  </si>
  <si>
    <t>2207</t>
  </si>
  <si>
    <t>PHUB522675289</t>
  </si>
  <si>
    <t>USD BUY 11082025</t>
  </si>
  <si>
    <t>47,752,900.00</t>
  </si>
  <si>
    <t>24,027,654.65</t>
  </si>
  <si>
    <t>2208</t>
  </si>
  <si>
    <t>ALFARDAN EXCHANGE</t>
  </si>
  <si>
    <t>46,628.25</t>
  </si>
  <si>
    <t>24,074,282.90</t>
  </si>
  <si>
    <t>2209</t>
  </si>
  <si>
    <t>PHUB522676921</t>
  </si>
  <si>
    <t>B/O AL DHANNAH GOLF CLUB L.L.C S.P.C</t>
  </si>
  <si>
    <t>138,506.38</t>
  </si>
  <si>
    <t>24,212,789.28</t>
  </si>
  <si>
    <t>2210</t>
  </si>
  <si>
    <t>PHUB522681881</t>
  </si>
  <si>
    <t>B/O_AL FARDAN _EBIL_522681881_ADCBAUH</t>
  </si>
  <si>
    <t>6,500,000.00</t>
  </si>
  <si>
    <t>30,712,789.28</t>
  </si>
  <si>
    <t>2211</t>
  </si>
  <si>
    <t>PHUB522678127</t>
  </si>
  <si>
    <t>522678127 B/O FLASH CLOUD LIMOUSINE S.P.LLC.</t>
  </si>
  <si>
    <t>8,378.40</t>
  </si>
  <si>
    <t>30,721,167.68</t>
  </si>
  <si>
    <t>2212</t>
  </si>
  <si>
    <t>CAPITAL TO YIWU JUYUSHI</t>
  </si>
  <si>
    <t>B/O S M T S BUILDING MATERIALS TRAD.LLC</t>
  </si>
  <si>
    <t>16,646.00</t>
  </si>
  <si>
    <t>30,737,813.68</t>
  </si>
  <si>
    <t>2213</t>
  </si>
  <si>
    <t>INHOUSE CHEQUE DEPOSIT 000037 ABHIJITH SUNIL SUNIL   CHAKRAPANI AL FARDAN EXCHANGE SP LLC CHQ NO ::000037</t>
  </si>
  <si>
    <t>30,787,813.68</t>
  </si>
  <si>
    <t>2214</t>
  </si>
  <si>
    <t>INHOUSE CHEQUE DEPOSIT 000001 ABHIJITH SUNIL SUNIL   CHAKRAPANI AL FARDAN EXCHANGE SP LLC CHQ NO ::000001</t>
  </si>
  <si>
    <t>51,000.00</t>
  </si>
  <si>
    <t>30,838,813.68</t>
  </si>
  <si>
    <t>2215</t>
  </si>
  <si>
    <t>INHOUSE CHEQUE DEPOSIT 000048 ABHIJITH SUNIL SUNIL   CHAKRAPANI AL FARDAN EXCHANGE SP LLC CHQ NO ::000048</t>
  </si>
  <si>
    <t>30,938,813.68</t>
  </si>
  <si>
    <t>2216</t>
  </si>
  <si>
    <t>31,038,813.68</t>
  </si>
  <si>
    <t>2217</t>
  </si>
  <si>
    <t>PHUB522704431</t>
  </si>
  <si>
    <t>JULY WPS</t>
  </si>
  <si>
    <t>B/O MTECH MARINE SERVICES L L C</t>
  </si>
  <si>
    <t>52,537.50</t>
  </si>
  <si>
    <t>31,091,351.18</t>
  </si>
  <si>
    <t>2218</t>
  </si>
  <si>
    <t>PHUB522698316</t>
  </si>
  <si>
    <t>42,793,945.00</t>
  </si>
  <si>
    <t>-11,702,593.82</t>
  </si>
  <si>
    <t>2219</t>
  </si>
  <si>
    <t>INHOUSE CHEQUE DEPOSIT 000023 ABHIJITH SUNIL SUNIL   CHAKRAPANI AL FARDAN EXCHANGE SP LLC CHQ NO ::000023</t>
  </si>
  <si>
    <t>18,200.00</t>
  </si>
  <si>
    <t>-11,684,393.82</t>
  </si>
  <si>
    <t>2220</t>
  </si>
  <si>
    <t>000327</t>
  </si>
  <si>
    <t>INHOUSE CHEQUE DEPOSIT 000327 RIYAS KUNIYIL    KUNHABDULLA AL FARDAN EXCHANGE SP LLC CHQ NO ::000327</t>
  </si>
  <si>
    <t>130,844.50</t>
  </si>
  <si>
    <t>-11,553,549.32</t>
  </si>
  <si>
    <t>2221</t>
  </si>
  <si>
    <t>PHUB522708757</t>
  </si>
  <si>
    <t>B/O_HAMDAN MUB_ADIB_522708757_Constru</t>
  </si>
  <si>
    <t>43,273.00</t>
  </si>
  <si>
    <t>-11,510,276.32</t>
  </si>
  <si>
    <t>2222</t>
  </si>
  <si>
    <t>006104</t>
  </si>
  <si>
    <t>INHOUSE CHEQUE DEPOSIT 006104 VALIYAVEEDU HAMZA    KOYA AL FARDAN EXCHANGE SP LLC CHQ NO ::006104</t>
  </si>
  <si>
    <t>1,840.00</t>
  </si>
  <si>
    <t>-11,508,436.32</t>
  </si>
  <si>
    <t>2223</t>
  </si>
  <si>
    <t>PHUB522702561</t>
  </si>
  <si>
    <t>B/O_VARUN KUMA_NBAD_522702561_Payamen</t>
  </si>
  <si>
    <t>65,070.00</t>
  </si>
  <si>
    <t>-11,443,366.32</t>
  </si>
  <si>
    <t>2224</t>
  </si>
  <si>
    <t>PHUB522702583</t>
  </si>
  <si>
    <t>B/O_KHALED ABO_BOML_522702583_ FAMILY</t>
  </si>
  <si>
    <t>18,449.25</t>
  </si>
  <si>
    <t>-11,424,917.07</t>
  </si>
  <si>
    <t>2225</t>
  </si>
  <si>
    <t>PHUB522702872</t>
  </si>
  <si>
    <t>JULY SAL AL FARDAN E</t>
  </si>
  <si>
    <t>B/O AL FATTAN ENERGY L.L.C</t>
  </si>
  <si>
    <t>107,877.92</t>
  </si>
  <si>
    <t>-11,317,039.15</t>
  </si>
  <si>
    <t>2226</t>
  </si>
  <si>
    <t>PHUB522711963</t>
  </si>
  <si>
    <t>522711963 B/O SATISH KANAUJIA</t>
  </si>
  <si>
    <t>21,528.50</t>
  </si>
  <si>
    <t>-11,295,510.65</t>
  </si>
  <si>
    <t>2227</t>
  </si>
  <si>
    <t>PHUB522718138</t>
  </si>
  <si>
    <t>6665</t>
  </si>
  <si>
    <t>20,546.00</t>
  </si>
  <si>
    <t>-11,274,964.65</t>
  </si>
  <si>
    <t>2228</t>
  </si>
  <si>
    <t>50921738957</t>
  </si>
  <si>
    <t>26016802758 MBTRF B/O PATHROSE NEREYUS JEMILA</t>
  </si>
  <si>
    <t>10,620.33</t>
  </si>
  <si>
    <t>-11,264,344.32</t>
  </si>
  <si>
    <t>2229</t>
  </si>
  <si>
    <t>PHUB522721687</t>
  </si>
  <si>
    <t>3,673,300.00</t>
  </si>
  <si>
    <t>-14,937,644.32</t>
  </si>
  <si>
    <t>2230</t>
  </si>
  <si>
    <t>PHUB522726546</t>
  </si>
  <si>
    <t>LIAOCHENG SHIPMENT</t>
  </si>
  <si>
    <t>41,812.90</t>
  </si>
  <si>
    <t>-14,895,831.42</t>
  </si>
  <si>
    <t>2231</t>
  </si>
  <si>
    <t>001088</t>
  </si>
  <si>
    <t>EMIRATES PEARL PROPERTY LLC</t>
  </si>
  <si>
    <t>INHOUSE CHEQUE DEPOSIT EMIRATES PEARL PROPERTY LLC AL FARDAN EXCHANGE SP LLC CHQ NO ::001088</t>
  </si>
  <si>
    <t>-14,840,660.92</t>
  </si>
  <si>
    <t>2232</t>
  </si>
  <si>
    <t>PHUB522730602</t>
  </si>
  <si>
    <t>B/O_LPFLEX BAS_EBIL_522730602_LPFLEX</t>
  </si>
  <si>
    <t>22,324.13</t>
  </si>
  <si>
    <t>-14,818,336.79</t>
  </si>
  <si>
    <t>2233</t>
  </si>
  <si>
    <t>PHUB522730606</t>
  </si>
  <si>
    <t>B/O_LPFLEX BAS_EBIL_522730606_LPFLEX</t>
  </si>
  <si>
    <t>16,027.88</t>
  </si>
  <si>
    <t>-14,802,308.91</t>
  </si>
  <si>
    <t>2234</t>
  </si>
  <si>
    <t>50922299281</t>
  </si>
  <si>
    <t>26017337318 MBTRF B/O AL SAQR TEXTILE TRADING LLC</t>
  </si>
  <si>
    <t>-14,762,308.91</t>
  </si>
  <si>
    <t>2235</t>
  </si>
  <si>
    <t>INHOUSE CHEQUE DEPOSIT 000086 ABHIJITH SUNIL SUNIL   CHAKRAPANI AL FARDAN EXCHANGE SP LLC CHQ NO ::000086</t>
  </si>
  <si>
    <t>40,579.00</t>
  </si>
  <si>
    <t>-14,721,729.91</t>
  </si>
  <si>
    <t>2236</t>
  </si>
  <si>
    <t>INHOUSE CHEQUE DEPOSIT 000014 ABHIJITH SUNIL SUNIL   CHAKRAPANI AL FARDAN EXCHANGE SP LLC CHQ NO ::000014</t>
  </si>
  <si>
    <t>90,000.00</t>
  </si>
  <si>
    <t>-14,631,729.91</t>
  </si>
  <si>
    <t>2237</t>
  </si>
  <si>
    <t>001342</t>
  </si>
  <si>
    <t>INHOUSE CHEQUE DEPOSIT 001342 BASHEER PULIKKAL    IBRAHIM AL FARDAN EXCHANGE SP LLC CHQ NO ::001342</t>
  </si>
  <si>
    <t>10,002.00</t>
  </si>
  <si>
    <t>-14,621,727.91</t>
  </si>
  <si>
    <t>2238</t>
  </si>
  <si>
    <t>B/O_WESTERN IN_BOML_522742225_ INTER</t>
  </si>
  <si>
    <t>54,672.50</t>
  </si>
  <si>
    <t>-14,567,055.41</t>
  </si>
  <si>
    <t>2239</t>
  </si>
  <si>
    <t>PHUB522750424</t>
  </si>
  <si>
    <t>522750424 B/O WINANDA DARMA WIGUNA PUTRI</t>
  </si>
  <si>
    <t>11,345.00</t>
  </si>
  <si>
    <t>-14,555,710.41</t>
  </si>
  <si>
    <t>2240</t>
  </si>
  <si>
    <t>MURALIDHARAN S AND OR RADHA D</t>
  </si>
  <si>
    <t>INHOUSE CHEQUE DEPOSIT MURALIDHARAN S AND OR RADHA D AL FARDAN EXCHANGE SP LLC CHQ NO ::000038</t>
  </si>
  <si>
    <t>-14,515,710.41</t>
  </si>
  <si>
    <t>2241</t>
  </si>
  <si>
    <t>INHOUSE CHEQUE DEPOSIT 000034 ABHISHANTH NELLIYULLA PARAMBATH    ASHOKAN AL FARDAN EXCHANGE SP LLC CHQ NO ::000034</t>
  </si>
  <si>
    <t>11,029.40</t>
  </si>
  <si>
    <t>-14,504,681.01</t>
  </si>
  <si>
    <t>2242</t>
  </si>
  <si>
    <t>PHUB522765013</t>
  </si>
  <si>
    <t>522765013 B/O HAMZA AHMED SHEIKH</t>
  </si>
  <si>
    <t>-14,503,181.01</t>
  </si>
  <si>
    <t>2243</t>
  </si>
  <si>
    <t>PHUB522765276</t>
  </si>
  <si>
    <t>2563</t>
  </si>
  <si>
    <t>B/O NATHEER TECHNICAL SERVICES LLC</t>
  </si>
  <si>
    <t>34,297.82</t>
  </si>
  <si>
    <t>-14,468,883.19</t>
  </si>
  <si>
    <t>2244</t>
  </si>
  <si>
    <t>001113</t>
  </si>
  <si>
    <t>INHOUSE CHEQUE DEPOSIT 001113 NISSAR MANGADAN MOIDEEN   MANGADAN AL FARDAN EXCHANGE SP LLC CHQ NO ::001113</t>
  </si>
  <si>
    <t>22,097.00</t>
  </si>
  <si>
    <t>-14,446,786.19</t>
  </si>
  <si>
    <t>2245</t>
  </si>
  <si>
    <t>009612</t>
  </si>
  <si>
    <t>INHOUSE CHEQUE DEPOSIT 009612 VALIYAVEEDU HAMZA    KOYA AL FARDAN EXCHANGE SP LLC CHQ NO ::009612</t>
  </si>
  <si>
    <t>19,415.00</t>
  </si>
  <si>
    <t>-14,427,371.19</t>
  </si>
  <si>
    <t>2246</t>
  </si>
  <si>
    <t>PHUB522774118</t>
  </si>
  <si>
    <t>110825BALFLEX</t>
  </si>
  <si>
    <t>B/O HYDRAFORCE SERVICES LLC</t>
  </si>
  <si>
    <t>30,053.30</t>
  </si>
  <si>
    <t>-14,397,317.89</t>
  </si>
  <si>
    <t>2247</t>
  </si>
  <si>
    <t>PHUB522777697</t>
  </si>
  <si>
    <t>B/O_ROBUST HOS_BOML_522777697_ GOODS</t>
  </si>
  <si>
    <t>60,266.02</t>
  </si>
  <si>
    <t>-14,337,051.87</t>
  </si>
  <si>
    <t>2248</t>
  </si>
  <si>
    <t>PHUB522779031</t>
  </si>
  <si>
    <t>B/O_AL FARDAN _EBIL_522779031_AUHADCB</t>
  </si>
  <si>
    <t>2,200,000.00</t>
  </si>
  <si>
    <t>-12,137,051.87</t>
  </si>
  <si>
    <t>2249</t>
  </si>
  <si>
    <t>PHUB522780614</t>
  </si>
  <si>
    <t>B/O_MOHAMMED A_ADIB_522780614_Financi</t>
  </si>
  <si>
    <t>115,092.50</t>
  </si>
  <si>
    <t>-12,021,959.37</t>
  </si>
  <si>
    <t>2250</t>
  </si>
  <si>
    <t>50925202423</t>
  </si>
  <si>
    <t>26020176225 MBTRF B/O Q LOGEX AIR CARGO SERVICES CO L L C</t>
  </si>
  <si>
    <t>-12,019,709.37</t>
  </si>
  <si>
    <t>2251</t>
  </si>
  <si>
    <t>50925295301</t>
  </si>
  <si>
    <t>26020266374 MBTRF B/O ANKUSH SHIVAJI BIRAJDAR</t>
  </si>
  <si>
    <t>-11,994,709.37</t>
  </si>
  <si>
    <t>2252</t>
  </si>
  <si>
    <t>50925438327</t>
  </si>
  <si>
    <t>26020410341 MBTRF B/O MUHAMMAD FAROOQ AZAM</t>
  </si>
  <si>
    <t>49,722.50</t>
  </si>
  <si>
    <t>-11,944,986.87</t>
  </si>
  <si>
    <t>2253</t>
  </si>
  <si>
    <t>PHUB522790323</t>
  </si>
  <si>
    <t>B/O_CUTTING ZA_ADIB_522790323_abo yas</t>
  </si>
  <si>
    <t>54,509.00</t>
  </si>
  <si>
    <t>-11,890,477.87</t>
  </si>
  <si>
    <t>2254</t>
  </si>
  <si>
    <t>PHUB522795685</t>
  </si>
  <si>
    <t>B/O_O P C ALKH_ADIB_522795685_transfe</t>
  </si>
  <si>
    <t>83,566.00</t>
  </si>
  <si>
    <t>-11,806,911.87</t>
  </si>
  <si>
    <t>2255</t>
  </si>
  <si>
    <t>50925839468</t>
  </si>
  <si>
    <t>26020805504 MBTRF B/O SAFARATH SHAFI KALLUVALAPPU</t>
  </si>
  <si>
    <t>84,060.11</t>
  </si>
  <si>
    <t>-11,722,851.76</t>
  </si>
  <si>
    <t>2256</t>
  </si>
  <si>
    <t>PHUB522798801</t>
  </si>
  <si>
    <t>BPG0005649</t>
  </si>
  <si>
    <t>B/O ALMADINA HYPERMARKET LLC</t>
  </si>
  <si>
    <t>220,470.50</t>
  </si>
  <si>
    <t>-11,502,381.26</t>
  </si>
  <si>
    <t>2257</t>
  </si>
  <si>
    <t>PHUB522801895</t>
  </si>
  <si>
    <t>522801895 B/O WINANDA DARMA WIGUNA PUTRI</t>
  </si>
  <si>
    <t>-11,502,081.26</t>
  </si>
  <si>
    <t>2258</t>
  </si>
  <si>
    <t>PHUB522809752</t>
  </si>
  <si>
    <t>B/O_RAED MOHAMMAD MU_522809752</t>
  </si>
  <si>
    <t>49,801.50</t>
  </si>
  <si>
    <t>-11,452,279.76</t>
  </si>
  <si>
    <t>2259</t>
  </si>
  <si>
    <t>PHUB522809825</t>
  </si>
  <si>
    <t>522809825 B/O EMADELDIN GOHAR MOHAMED MOHAMED DAW</t>
  </si>
  <si>
    <t>18,846.50</t>
  </si>
  <si>
    <t>-11,433,433.26</t>
  </si>
  <si>
    <t>2260</t>
  </si>
  <si>
    <t>50927737797</t>
  </si>
  <si>
    <t>2538176525 IBTRF B/O POWER TECH INTERNATIONAL TR LLC</t>
  </si>
  <si>
    <t>-11,333,433.26</t>
  </si>
  <si>
    <t>2261</t>
  </si>
  <si>
    <t>50927794604</t>
  </si>
  <si>
    <t>2538178089 IBTRF B/O POWER TECH INTERNATIONAL TR LLC</t>
  </si>
  <si>
    <t>67,513.00</t>
  </si>
  <si>
    <t>-11,265,920.26</t>
  </si>
  <si>
    <t>2262</t>
  </si>
  <si>
    <t>50927882025</t>
  </si>
  <si>
    <t>26022978719 MBTRF B/O SREE KUMAR MANUKONDA</t>
  </si>
  <si>
    <t>-11,255,920.26</t>
  </si>
  <si>
    <t>2263</t>
  </si>
  <si>
    <t>846942</t>
  </si>
  <si>
    <t>CHEQUE DEPOSIT 846942 NAZER KOZHINHI    KODAN 302810103 CHQ NO ::846942</t>
  </si>
  <si>
    <t>4,807.50</t>
  </si>
  <si>
    <t>-11,251,112.76</t>
  </si>
  <si>
    <t>2264</t>
  </si>
  <si>
    <t>000025</t>
  </si>
  <si>
    <t>CHEQUE DEPOSIT 000025 SHAMSHEER KHAN AHAMED KHAN AHAMED  KHAN 703430137 CHQ NO ::000025</t>
  </si>
  <si>
    <t>128,650.50</t>
  </si>
  <si>
    <t>-11,122,462.26</t>
  </si>
  <si>
    <t>2265</t>
  </si>
  <si>
    <t>2508111842230679</t>
  </si>
  <si>
    <t>CHQ RETRN:Signature Irregular 703430137 CHQ NO ::000025</t>
  </si>
  <si>
    <t>2266</t>
  </si>
  <si>
    <t>012154</t>
  </si>
  <si>
    <t>CHEQUE DEPOSIT 012154 SHAMSHEER KHAN AHAMED KHAN AHAMED  KHAN 102330106 CHQ NO ::012154</t>
  </si>
  <si>
    <t>-11,240,312.76</t>
  </si>
  <si>
    <t>2267</t>
  </si>
  <si>
    <t>252077</t>
  </si>
  <si>
    <t>CHEQUE DEPOSIT 252077 ABHIJITH SUNIL SUNIL   CHAKRAPANI 203514036 CHQ NO ::252077</t>
  </si>
  <si>
    <t>-11,198,312.76</t>
  </si>
  <si>
    <t>2268</t>
  </si>
  <si>
    <t>000151</t>
  </si>
  <si>
    <t>AL FAJR AL SATEE</t>
  </si>
  <si>
    <t>CHEQUE DEPOSIT AL FAJR AL SATEE 703320106 CHQ NO ::000151</t>
  </si>
  <si>
    <t>-11,095,380.26</t>
  </si>
  <si>
    <t>2269</t>
  </si>
  <si>
    <t>50928120320</t>
  </si>
  <si>
    <t>26023240764 MBTRF B/O PROUD START GENERAL CONT LLC SPC</t>
  </si>
  <si>
    <t>63,872.75</t>
  </si>
  <si>
    <t>-11,031,507.51</t>
  </si>
  <si>
    <t>2270</t>
  </si>
  <si>
    <t>002407</t>
  </si>
  <si>
    <t>CHEQUE DEPOSIT 002407 SYED TAQI ABBAS  SHAHABAL  HUSSAIN SHAH 004710103 CHQ NO ::002407</t>
  </si>
  <si>
    <t>180,905.25</t>
  </si>
  <si>
    <t>-10,850,602.26</t>
  </si>
  <si>
    <t>2271</t>
  </si>
  <si>
    <t>000278</t>
  </si>
  <si>
    <t>CHEQUE DEPOSIT 000278 SHAMSHEER KHAN AHAMED KHAN AHAMED  KHAN 304040119 CHQ NO ::000278</t>
  </si>
  <si>
    <t>63,566.75</t>
  </si>
  <si>
    <t>-10,787,035.51</t>
  </si>
  <si>
    <t>2272</t>
  </si>
  <si>
    <t>571365</t>
  </si>
  <si>
    <t>CHEQUE DEPOSIT 571365 ABHIJITH SUNIL SUNIL   CHAKRAPANI 303510112 CHQ NO ::571365</t>
  </si>
  <si>
    <t>51,601.00</t>
  </si>
  <si>
    <t>-10,735,434.51</t>
  </si>
  <si>
    <t>2273</t>
  </si>
  <si>
    <t>618060</t>
  </si>
  <si>
    <t>CHEQUE DEPOSIT 618060 BASHEER PULIKKAL    IBRAHIM 502010101 CHQ NO ::618060</t>
  </si>
  <si>
    <t>-10,700,434.51</t>
  </si>
  <si>
    <t>2274</t>
  </si>
  <si>
    <t>CHEQUE DEPOSIT 000001 SHAMSHEER KHAN AHAMED KHAN AHAMED  KHAN 403420384 CHQ NO ::000001</t>
  </si>
  <si>
    <t>23,399.25</t>
  </si>
  <si>
    <t>-10,677,035.26</t>
  </si>
  <si>
    <t>2275</t>
  </si>
  <si>
    <t>835217</t>
  </si>
  <si>
    <t>CHEQUE DEPOSIT 835217 BASHEER PULIKKAL    IBRAHIM 303510112 CHQ NO ::835217</t>
  </si>
  <si>
    <t>-10,656,000.26</t>
  </si>
  <si>
    <t>2276</t>
  </si>
  <si>
    <t>46,990.50</t>
  </si>
  <si>
    <t>-10,609,009.76</t>
  </si>
  <si>
    <t>2277</t>
  </si>
  <si>
    <t>741993</t>
  </si>
  <si>
    <t>LASER MEAT</t>
  </si>
  <si>
    <t>CHEQUE DEPOSIT LASER MEAT 704020137 CHQ NO ::741993</t>
  </si>
  <si>
    <t>116,216.57</t>
  </si>
  <si>
    <t>-10,492,793.19</t>
  </si>
  <si>
    <t>2278</t>
  </si>
  <si>
    <t>AL BARAKH</t>
  </si>
  <si>
    <t>CHEQUE DEPOSIT AL BARAKH 104030136 CHQ NO ::000023</t>
  </si>
  <si>
    <t>147,307.50</t>
  </si>
  <si>
    <t>-10,345,485.69</t>
  </si>
  <si>
    <t>2279</t>
  </si>
  <si>
    <t>685721</t>
  </si>
  <si>
    <t>CHEQUE DEPOSIT 685721 MOHAMMED NASIR UDDIN    ABDUL MOTALEB 304012039 CHQ NO ::685721</t>
  </si>
  <si>
    <t>221,073.00</t>
  </si>
  <si>
    <t>-10,124,412.69</t>
  </si>
  <si>
    <t>2280</t>
  </si>
  <si>
    <t>CHEQUE DEPOSIT 000007 PARDEEP KUMAR KHATRI   GANPAT LAL 304012039 CHQ NO ::000007</t>
  </si>
  <si>
    <t>94,060.30</t>
  </si>
  <si>
    <t>-10,030,352.39</t>
  </si>
  <si>
    <t>2281</t>
  </si>
  <si>
    <t>000234</t>
  </si>
  <si>
    <t>CHEQUE DEPOSIT AL KHAT AL WARDI 703430137 CHQ NO ::000234</t>
  </si>
  <si>
    <t>46,972.10</t>
  </si>
  <si>
    <t>-9,983,380.29</t>
  </si>
  <si>
    <t>2282</t>
  </si>
  <si>
    <t>50928561616</t>
  </si>
  <si>
    <t>26023742787 MBTRF B/O IMANE ZEROUKI</t>
  </si>
  <si>
    <t>-9,933,380.29</t>
  </si>
  <si>
    <t>2283</t>
  </si>
  <si>
    <t>846943</t>
  </si>
  <si>
    <t>CHEQUE DEPOSIT 846943 NAZER KOZHINHI    KODAN 302810103 CHQ NO ::846943</t>
  </si>
  <si>
    <t>91,897.75</t>
  </si>
  <si>
    <t>-9,841,482.54</t>
  </si>
  <si>
    <t>2284</t>
  </si>
  <si>
    <t>PHUB522846905</t>
  </si>
  <si>
    <t>B/O_HAMDAN GHA_ADIB_522846905_Air tra</t>
  </si>
  <si>
    <t>617,987.00</t>
  </si>
  <si>
    <t>-9,223,495.54</t>
  </si>
  <si>
    <t>2285</t>
  </si>
  <si>
    <t>50928693594</t>
  </si>
  <si>
    <t>26023896694 MBTRF B/O MATHEW CHAINDITHAIPIL THOMAS</t>
  </si>
  <si>
    <t>-8,973,495.54</t>
  </si>
  <si>
    <t>2286</t>
  </si>
  <si>
    <t>50928739206</t>
  </si>
  <si>
    <t>26023939357 MBTRF B/O MATHEW CHAINDITHAIPIL THOMAS</t>
  </si>
  <si>
    <t>-8,923,495.54</t>
  </si>
  <si>
    <t>2287</t>
  </si>
  <si>
    <t>000250</t>
  </si>
  <si>
    <t>TAREEQ SANAYAH</t>
  </si>
  <si>
    <t>CHEQUE DEPOSIT TAREEQ SANAYAH 104030136 CHQ NO ::000250</t>
  </si>
  <si>
    <t>-8,831,585.04</t>
  </si>
  <si>
    <t>2288</t>
  </si>
  <si>
    <t>000770</t>
  </si>
  <si>
    <t>CHEQUE DEPOSIT 000770 BASKAR SUNDARASAMY    SUNDARASAMY 602920102 CHQ NO ::000770</t>
  </si>
  <si>
    <t>13,003.90</t>
  </si>
  <si>
    <t>-8,818,581.14</t>
  </si>
  <si>
    <t>2289</t>
  </si>
  <si>
    <t>CHEQUE DEPOSIT 000084 ABHISHANTH NELLIYULLA PARAMBATH    ASHOKAN 904720107 CHQ NO ::000084</t>
  </si>
  <si>
    <t>11,217.00</t>
  </si>
  <si>
    <t>-8,807,364.14</t>
  </si>
  <si>
    <t>2290</t>
  </si>
  <si>
    <t>CHEQUE DEPOSIT 000143 ABHISHANTH NELLIYULLA PARAMBATH    ASHOKAN 904720107 CHQ NO ::000143</t>
  </si>
  <si>
    <t>23,547.40</t>
  </si>
  <si>
    <t>-8,783,816.74</t>
  </si>
  <si>
    <t>2291</t>
  </si>
  <si>
    <t>438277</t>
  </si>
  <si>
    <t>CHEQUE DEPOSIT 438277 SHAMSHEER KHAN AHAMED KHAN AHAMED  KHAN 803520152 CHQ NO ::438277</t>
  </si>
  <si>
    <t>123,673.74</t>
  </si>
  <si>
    <t>-8,660,143.00</t>
  </si>
  <si>
    <t>2292</t>
  </si>
  <si>
    <t>002324</t>
  </si>
  <si>
    <t>CHEQUE DEPOSIT 002324 MUHAMMAD,BILAL,,,,MUHAMMAD ILYAS, 903320188 CHQ NO ::002324</t>
  </si>
  <si>
    <t>11,550.00</t>
  </si>
  <si>
    <t>-8,648,593.00</t>
  </si>
  <si>
    <t>2293</t>
  </si>
  <si>
    <t>000900</t>
  </si>
  <si>
    <t>CHEQUE DEPOSIT 000900 MUHAMMAD HAMEED MUHAMMAD   FAREED 802630140 CHQ NO ::000900</t>
  </si>
  <si>
    <t>20,662.46</t>
  </si>
  <si>
    <t>-8,627,930.54</t>
  </si>
  <si>
    <t>2294</t>
  </si>
  <si>
    <t>WAHAT AL MARJAN</t>
  </si>
  <si>
    <t>CHEQUE DEPOSIT WAHAT AL MARJAN 603830105 CHQ NO ::000049</t>
  </si>
  <si>
    <t>122,982.50</t>
  </si>
  <si>
    <t>-8,504,948.04</t>
  </si>
  <si>
    <t>2295</t>
  </si>
  <si>
    <t>PHUB522854584</t>
  </si>
  <si>
    <t>B/O_TECHMA FZC_EBIL_522854584_5620310</t>
  </si>
  <si>
    <t>4,037.25</t>
  </si>
  <si>
    <t>-8,500,910.79</t>
  </si>
  <si>
    <t>2296</t>
  </si>
  <si>
    <t>201313</t>
  </si>
  <si>
    <t>CHEQUE DEPOSIT 201313 BASHEER PULIKKAL    IBRAHIM 702410103 CHQ NO ::201313</t>
  </si>
  <si>
    <t>43,519.25</t>
  </si>
  <si>
    <t>-8,457,391.54</t>
  </si>
  <si>
    <t>2297</t>
  </si>
  <si>
    <t>500674</t>
  </si>
  <si>
    <t>CHEQUE DEPOSIT 500674 HAMED HUISH    ALMUAANED 705040116 CHQ NO ::500674</t>
  </si>
  <si>
    <t>145,482.00</t>
  </si>
  <si>
    <t>-8,311,909.54</t>
  </si>
  <si>
    <t>2298</t>
  </si>
  <si>
    <t>PHUB522858119</t>
  </si>
  <si>
    <t>27,267.38</t>
  </si>
  <si>
    <t>-8,284,642.16</t>
  </si>
  <si>
    <t>2299</t>
  </si>
  <si>
    <t>500675</t>
  </si>
  <si>
    <t>CHEQUE DEPOSIT 500675 HAMED HUISH    ALMUAANED 705040116 CHQ NO ::500675</t>
  </si>
  <si>
    <t>6,176.00</t>
  </si>
  <si>
    <t>-8,278,466.16</t>
  </si>
  <si>
    <t>2300</t>
  </si>
  <si>
    <t>500160</t>
  </si>
  <si>
    <t>CHEQUE DEPOSIT 500160 ABID BIN AMAR AMAR   BIN MOHAMMED 005011027 CHQ NO ::500160</t>
  </si>
  <si>
    <t>31,525.75</t>
  </si>
  <si>
    <t>-8,246,940.41</t>
  </si>
  <si>
    <t>2301</t>
  </si>
  <si>
    <t>100003</t>
  </si>
  <si>
    <t>CHEQUE DEPOSIT 100003 VISHNU,VIJAYA SANKAR,SIVASANKARAN,,,KANAKAZHIKANDA 102420124 CHQ NO ::100003</t>
  </si>
  <si>
    <t>-7,996,940.41</t>
  </si>
  <si>
    <t>2302</t>
  </si>
  <si>
    <t>000452</t>
  </si>
  <si>
    <t>CHEQUE DEPOSIT 000452 SRI RAMA MURTHY  SRINIVASU UPPALAPATI  UPPALAPATI 101110101 CHQ NO ::000452</t>
  </si>
  <si>
    <t>12,712.60</t>
  </si>
  <si>
    <t>-7,984,227.81</t>
  </si>
  <si>
    <t>2303</t>
  </si>
  <si>
    <t>100061</t>
  </si>
  <si>
    <t>ANWAR AL TAREQ</t>
  </si>
  <si>
    <t>CHEQUE DEPOSIT ANWAR AL TAREQ 802420101 CHQ NO ::100061</t>
  </si>
  <si>
    <t>178,062.33</t>
  </si>
  <si>
    <t>-7,806,165.48</t>
  </si>
  <si>
    <t>2304</t>
  </si>
  <si>
    <t>CHEQUE DEPOSIT 001137 SIRAJ MOHAMMED    PILAR 101110101 CHQ NO ::001137</t>
  </si>
  <si>
    <t>113,087.87</t>
  </si>
  <si>
    <t>-7,693,077.61</t>
  </si>
  <si>
    <t>2305</t>
  </si>
  <si>
    <t>029392</t>
  </si>
  <si>
    <t>DAZLLING</t>
  </si>
  <si>
    <t>CHEQUE DEPOSIT DAZLLING 103130112 CHQ NO ::029392</t>
  </si>
  <si>
    <t>12,550.50</t>
  </si>
  <si>
    <t>-7,680,527.11</t>
  </si>
  <si>
    <t>2306</t>
  </si>
  <si>
    <t>100060</t>
  </si>
  <si>
    <t>CHEQUE DEPOSIT ANWAR AL TAREQ 802420101 CHQ NO ::100060</t>
  </si>
  <si>
    <t>-7,606,986.61</t>
  </si>
  <si>
    <t>2307</t>
  </si>
  <si>
    <t>40,200.00</t>
  </si>
  <si>
    <t>-7,566,786.61</t>
  </si>
  <si>
    <t>2308</t>
  </si>
  <si>
    <t>000092</t>
  </si>
  <si>
    <t>CHEQUE DEPOSIT 000092 KHALED ALI MOHAMMED   SUBAIEA 203812006 CHQ NO ::000092</t>
  </si>
  <si>
    <t>67,974.50</t>
  </si>
  <si>
    <t>-7,498,812.11</t>
  </si>
  <si>
    <t>2309</t>
  </si>
  <si>
    <t>CHEQUE DEPOSIT 000042 SUBAIR     NAIYAKKARILLATH 805740101 CHQ NO ::000042</t>
  </si>
  <si>
    <t>33,778.50</t>
  </si>
  <si>
    <t>-7,465,033.61</t>
  </si>
  <si>
    <t>2310</t>
  </si>
  <si>
    <t>50930163237</t>
  </si>
  <si>
    <t>26025624274 MBTRF B/O DI XIAO</t>
  </si>
  <si>
    <t>349.25</t>
  </si>
  <si>
    <t>-7,464,684.36</t>
  </si>
  <si>
    <t>2311</t>
  </si>
  <si>
    <t>618059</t>
  </si>
  <si>
    <t>CHEQUE DEPOSIT 618059 BASHEER PULIKKAL    IBRAHIM 502010101 CHQ NO ::618059</t>
  </si>
  <si>
    <t>-7,413,684.36</t>
  </si>
  <si>
    <t>2312</t>
  </si>
  <si>
    <t>001169</t>
  </si>
  <si>
    <t>CHEQUE DEPOSIT 001169 ABDULRAHMAN   SAEED  HAMMAM 101110101 CHQ NO ::001169</t>
  </si>
  <si>
    <t>119,078.75</t>
  </si>
  <si>
    <t>-7,294,605.61</t>
  </si>
  <si>
    <t>2313</t>
  </si>
  <si>
    <t>PHUB522879197</t>
  </si>
  <si>
    <t>MELT INV PAYMENT</t>
  </si>
  <si>
    <t>144,446.86</t>
  </si>
  <si>
    <t>-7,150,158.75</t>
  </si>
  <si>
    <t>2314</t>
  </si>
  <si>
    <t>PHUB522886933</t>
  </si>
  <si>
    <t>11082501</t>
  </si>
  <si>
    <t>180,091.38</t>
  </si>
  <si>
    <t>-6,970,067.37</t>
  </si>
  <si>
    <t>2315</t>
  </si>
  <si>
    <t>PHUB522888171</t>
  </si>
  <si>
    <t>522888171 B/O JABER SARI BALOOSH BARAK ALMAZROUEI</t>
  </si>
  <si>
    <t>2,342.25</t>
  </si>
  <si>
    <t>-6,967,725.12</t>
  </si>
  <si>
    <t>2316</t>
  </si>
  <si>
    <t>PHUB522889117</t>
  </si>
  <si>
    <t>522889117 B/O GOVINDARAJU MOHAN</t>
  </si>
  <si>
    <t>43,000.00</t>
  </si>
  <si>
    <t>-6,924,725.12</t>
  </si>
  <si>
    <t>2317</t>
  </si>
  <si>
    <t>50931415071</t>
  </si>
  <si>
    <t>2538263880 IBTRF B/O SANJAY SHANTILAL MODY</t>
  </si>
  <si>
    <t>19,237.50</t>
  </si>
  <si>
    <t>-6,905,487.62</t>
  </si>
  <si>
    <t>2318</t>
  </si>
  <si>
    <t>PHUB522896283</t>
  </si>
  <si>
    <t>522896283 B/O FERAS ABDULKAREEM ABDALJALEEL NAJAD</t>
  </si>
  <si>
    <t>220.00</t>
  </si>
  <si>
    <t>-6,905,267.62</t>
  </si>
  <si>
    <t>2319</t>
  </si>
  <si>
    <t>PHUB522903626</t>
  </si>
  <si>
    <t>MOB1108252144448086462</t>
  </si>
  <si>
    <t>B/O ADITYA EXPERT TECHNCIAL SERV LLC</t>
  </si>
  <si>
    <t>23,078.75</t>
  </si>
  <si>
    <t>-6,882,188.87</t>
  </si>
  <si>
    <t>2320</t>
  </si>
  <si>
    <t>50933259298</t>
  </si>
  <si>
    <t>26029397203 MBTRF B/O JULIE KURIAN</t>
  </si>
  <si>
    <t>111,301.20</t>
  </si>
  <si>
    <t>-6,770,887.67</t>
  </si>
  <si>
    <t>2321</t>
  </si>
  <si>
    <t>PHUB522929031</t>
  </si>
  <si>
    <t>MOB1108252318238087501</t>
  </si>
  <si>
    <t>B/O SHATLEH FOR LAND AND AGRIC SUPP EST</t>
  </si>
  <si>
    <t>3,900.00</t>
  </si>
  <si>
    <t>-6,766,987.67</t>
  </si>
  <si>
    <t>2322</t>
  </si>
  <si>
    <t>50934077743</t>
  </si>
  <si>
    <t>26030415162 MBTRF B/O OPTIONS HOLIDAYS AND TOURISM LLC</t>
  </si>
  <si>
    <t>18,728.09</t>
  </si>
  <si>
    <t>-6,748,259.58</t>
  </si>
  <si>
    <t>2323</t>
  </si>
  <si>
    <t>12-Aug-2025</t>
  </si>
  <si>
    <t>PHUB522943398</t>
  </si>
  <si>
    <t>MOB1108252327498087584</t>
  </si>
  <si>
    <t>B/O TAZAMON FOR COMM NETWORK INSTAL LLC</t>
  </si>
  <si>
    <t>105,650.32</t>
  </si>
  <si>
    <t>-6,642,609.26</t>
  </si>
  <si>
    <t>2324</t>
  </si>
  <si>
    <t>PHUB522958644</t>
  </si>
  <si>
    <t>B/O_BU SHAMES _NBAD_522958644_Exchang</t>
  </si>
  <si>
    <t>-5,723,104.01</t>
  </si>
  <si>
    <t>2325</t>
  </si>
  <si>
    <t>1,803.15</t>
  </si>
  <si>
    <t>-5,721,300.86</t>
  </si>
  <si>
    <t>2326</t>
  </si>
  <si>
    <t>30,026.28</t>
  </si>
  <si>
    <t>-5,691,274.58</t>
  </si>
  <si>
    <t>2327</t>
  </si>
  <si>
    <t>PHUB522970329</t>
  </si>
  <si>
    <t>BO2508121</t>
  </si>
  <si>
    <t>B/O DAEAH ENGINEERING AND CON.C.LTD AUH</t>
  </si>
  <si>
    <t>13,542.00</t>
  </si>
  <si>
    <t>-5,677,732.58</t>
  </si>
  <si>
    <t>2328</t>
  </si>
  <si>
    <t>50936678906</t>
  </si>
  <si>
    <t>26033328837 MBTRF B/O SAI DHAM VEGETARIAN RESTAURANT LLC</t>
  </si>
  <si>
    <t>10,483.00</t>
  </si>
  <si>
    <t>-5,667,249.58</t>
  </si>
  <si>
    <t>2329</t>
  </si>
  <si>
    <t>B/O_BITS PILAN_HSBC_522974554_AEL2508</t>
  </si>
  <si>
    <t>133,827.19</t>
  </si>
  <si>
    <t>-5,533,422.39</t>
  </si>
  <si>
    <t>2330</t>
  </si>
  <si>
    <t>PHUB522976683</t>
  </si>
  <si>
    <t>B/O_ALHAILMARINESERV_522976683</t>
  </si>
  <si>
    <t>18,798.75</t>
  </si>
  <si>
    <t>-5,514,623.64</t>
  </si>
  <si>
    <t>2331</t>
  </si>
  <si>
    <t>PHUB522997159</t>
  </si>
  <si>
    <t>B/O_MR RAVISHANKAR K_522997159</t>
  </si>
  <si>
    <t>-5,501,623.64</t>
  </si>
  <si>
    <t>2332</t>
  </si>
  <si>
    <t>PHUB522997380</t>
  </si>
  <si>
    <t>PGPV120820250001</t>
  </si>
  <si>
    <t>211,127.35</t>
  </si>
  <si>
    <t>-5,290,496.29</t>
  </si>
  <si>
    <t>2333</t>
  </si>
  <si>
    <t>50937712432</t>
  </si>
  <si>
    <t>26034332884 MBTRF B/O SKY HEALTH DRUG STORE LLC</t>
  </si>
  <si>
    <t>88,409.67</t>
  </si>
  <si>
    <t>-5,202,086.62</t>
  </si>
  <si>
    <t>2334</t>
  </si>
  <si>
    <t>PHUB522999358</t>
  </si>
  <si>
    <t>522999358 B/O LAHOUCEINE TABIA</t>
  </si>
  <si>
    <t>-5,162,086.62</t>
  </si>
  <si>
    <t>2335</t>
  </si>
  <si>
    <t>50937788365</t>
  </si>
  <si>
    <t>2538407010 IBTRF B/O MUNICH WOOD IND LLC</t>
  </si>
  <si>
    <t>-5,062,086.62</t>
  </si>
  <si>
    <t>2336</t>
  </si>
  <si>
    <t>2508120913131330</t>
  </si>
  <si>
    <t>Musaffah Shabiya AUH, 11TH AUG - Cash Collection TG</t>
  </si>
  <si>
    <t>-4,632,086.62</t>
  </si>
  <si>
    <t>2337</t>
  </si>
  <si>
    <t>2508120913131341</t>
  </si>
  <si>
    <t>M38 PLOT 48 SHOP 02 BIG MART MUSSAFAH, 11TH AUG - Cash Collection TG</t>
  </si>
  <si>
    <t>-4,322,086.62</t>
  </si>
  <si>
    <t>2338</t>
  </si>
  <si>
    <t>2508120913131352</t>
  </si>
  <si>
    <t>Musaffah Saniya AUH, 11TH AUG - Cash Collection TG</t>
  </si>
  <si>
    <t>820,000.00</t>
  </si>
  <si>
    <t>-3,502,086.62</t>
  </si>
  <si>
    <t>2339</t>
  </si>
  <si>
    <t>2508120913131361</t>
  </si>
  <si>
    <t>Old Shahama, 11TH AUG - Cash Collection TG</t>
  </si>
  <si>
    <t>-3,002,086.62</t>
  </si>
  <si>
    <t>2340</t>
  </si>
  <si>
    <t>2508120913141364</t>
  </si>
  <si>
    <t>Al Forshan Central Mall Khalifa City AUH, 11TH AUG - Cash Collection TG</t>
  </si>
  <si>
    <t>-2,142,086.62</t>
  </si>
  <si>
    <t>2341</t>
  </si>
  <si>
    <t>2508120913141387</t>
  </si>
  <si>
    <t>Shamkha Mall Abu dhabi, 11TH AUG - Cash Collection TG</t>
  </si>
  <si>
    <t>-1,782,086.62</t>
  </si>
  <si>
    <t>2342</t>
  </si>
  <si>
    <t>2508120913141390</t>
  </si>
  <si>
    <t>Inside Bniyas Spike HyperMarkete AUH, 11TH AUG - Cash Collection TG</t>
  </si>
  <si>
    <t>-1,572,086.62</t>
  </si>
  <si>
    <t>2343</t>
  </si>
  <si>
    <t>2508120913141393</t>
  </si>
  <si>
    <t>ICAD Musaffah AUH, 11TH AUG - Cash Collection TG</t>
  </si>
  <si>
    <t>607,000.00</t>
  </si>
  <si>
    <t>-965,086.62</t>
  </si>
  <si>
    <t>2344</t>
  </si>
  <si>
    <t>2508120913172747</t>
  </si>
  <si>
    <t>Sila Muroor Road AUH, 11TH AUG - Cash Collection TG</t>
  </si>
  <si>
    <t>-565,086.62</t>
  </si>
  <si>
    <t>2345</t>
  </si>
  <si>
    <t>2508120913172750</t>
  </si>
  <si>
    <t>SANAYA ZAYED TOWN W/R, 11TH AUG - Cash Collection TG</t>
  </si>
  <si>
    <t>-95,086.62</t>
  </si>
  <si>
    <t>2346</t>
  </si>
  <si>
    <t>2508120913182755</t>
  </si>
  <si>
    <t>Beda Zayed auh, 11TH AUG - Cash Collection TG</t>
  </si>
  <si>
    <t>94,913.38</t>
  </si>
  <si>
    <t>2347</t>
  </si>
  <si>
    <t>2508120913182774</t>
  </si>
  <si>
    <t>Ruwais AUH, 11TH AUG - Cash Collection TG</t>
  </si>
  <si>
    <t>294,913.38</t>
  </si>
  <si>
    <t>2348</t>
  </si>
  <si>
    <t>2508120913182783</t>
  </si>
  <si>
    <t>HAYER Al Ain1, 11TH AUG - Cash Collection TG</t>
  </si>
  <si>
    <t>804,913.38</t>
  </si>
  <si>
    <t>2349</t>
  </si>
  <si>
    <t>2508120913182786</t>
  </si>
  <si>
    <t>SWEIHAN  ALAIN, 11TH AUG - Cash Collection TG</t>
  </si>
  <si>
    <t>1,234,913.38</t>
  </si>
  <si>
    <t>2350</t>
  </si>
  <si>
    <t>2508120913182793</t>
  </si>
  <si>
    <t>AL FOAH MALL AL-AIN, 11TH AUG - Cash Collection TG</t>
  </si>
  <si>
    <t>1,554,913.38</t>
  </si>
  <si>
    <t>2351</t>
  </si>
  <si>
    <t>2508120913182798</t>
  </si>
  <si>
    <t>Al Wahda AUH, 11TH AUG - Cash Collection TG</t>
  </si>
  <si>
    <t>2,084,913.38</t>
  </si>
  <si>
    <t>2352</t>
  </si>
  <si>
    <t>2508120913182823</t>
  </si>
  <si>
    <t>Gayathi Mall AUH, 11TH AUG - Cash Collection TG</t>
  </si>
  <si>
    <t>2,484,913.38</t>
  </si>
  <si>
    <t>2353</t>
  </si>
  <si>
    <t>2508120913182826</t>
  </si>
  <si>
    <t>Gayathi Mubarak Ashwan AUH, 11TH AUG - Cash Collection TG</t>
  </si>
  <si>
    <t>2,984,913.38</t>
  </si>
  <si>
    <t>2354</t>
  </si>
  <si>
    <t>2508120913182848</t>
  </si>
  <si>
    <t>AL MARFA MARKET WR, 11TH AUG - Cash Collection TG</t>
  </si>
  <si>
    <t>3,194,913.38</t>
  </si>
  <si>
    <t>2355</t>
  </si>
  <si>
    <t>2508120913182854</t>
  </si>
  <si>
    <t>Lulu Hyper Markete Sanaiya Al Ain, 11TH AUG - Cash Collection TG</t>
  </si>
  <si>
    <t>3,514,913.38</t>
  </si>
  <si>
    <t>2356</t>
  </si>
  <si>
    <t>2508120913182875</t>
  </si>
  <si>
    <t>Sanaiya Gift Markete Al Ain, 11TH AUG - Cash Collection TG</t>
  </si>
  <si>
    <t>4,054,913.38</t>
  </si>
  <si>
    <t>2357</t>
  </si>
  <si>
    <t>2508120913182882</t>
  </si>
  <si>
    <t>Al Yahar Al Ain, 11TH AUG - Cash Collection TG</t>
  </si>
  <si>
    <t>4,774,913.38</t>
  </si>
  <si>
    <t>2358</t>
  </si>
  <si>
    <t>2508120913182888</t>
  </si>
  <si>
    <t>Boutik Mall al Reem island AUH, 11TH AUG - Cash Collection TG</t>
  </si>
  <si>
    <t>4,994,913.38</t>
  </si>
  <si>
    <t>2359</t>
  </si>
  <si>
    <t>2508120913182891</t>
  </si>
  <si>
    <t>TCA AUH, 11TH AUG - Cash Collection TG</t>
  </si>
  <si>
    <t>5,894,913.38</t>
  </si>
  <si>
    <t>2360</t>
  </si>
  <si>
    <t>2508120913193416</t>
  </si>
  <si>
    <t>Al Nahyan Street AUH, 11TH AUG - Cash Collection TG</t>
  </si>
  <si>
    <t>665,000.00</t>
  </si>
  <si>
    <t>6,559,913.38</t>
  </si>
  <si>
    <t>2361</t>
  </si>
  <si>
    <t>2508120913193425</t>
  </si>
  <si>
    <t>Muroor AUH, 11TH AUG - Cash Collection TG</t>
  </si>
  <si>
    <t>6,879,913.38</t>
  </si>
  <si>
    <t>2362</t>
  </si>
  <si>
    <t>2508120913193434</t>
  </si>
  <si>
    <t>B2B AUH, 11TH AUG - Cash Collection TG</t>
  </si>
  <si>
    <t>7,229,913.38</t>
  </si>
  <si>
    <t>2363</t>
  </si>
  <si>
    <t>2508120913193439</t>
  </si>
  <si>
    <t>Al Falah St Auh, 11TH AUG - Cash Collection TG</t>
  </si>
  <si>
    <t>7,529,913.38</t>
  </si>
  <si>
    <t>2364</t>
  </si>
  <si>
    <t>2508120913193442</t>
  </si>
  <si>
    <t>Zayed 1st Street Electra AUH, 11TH AUG - Cash Collection TG</t>
  </si>
  <si>
    <t>235,000.00</t>
  </si>
  <si>
    <t>7,764,913.38</t>
  </si>
  <si>
    <t>2365</t>
  </si>
  <si>
    <t>2508120913193445</t>
  </si>
  <si>
    <t>Hamdan Abu Dhabi, 11TH AUG - Cash Collection TG</t>
  </si>
  <si>
    <t>1,170,000.00</t>
  </si>
  <si>
    <t>8,934,913.38</t>
  </si>
  <si>
    <t>2366</t>
  </si>
  <si>
    <t>2508120913193454</t>
  </si>
  <si>
    <t>Souk Br Al-Ain, 11TH AUG - Cash Collection TG</t>
  </si>
  <si>
    <t>9,264,913.38</t>
  </si>
  <si>
    <t>2367</t>
  </si>
  <si>
    <t>2508120913193461</t>
  </si>
  <si>
    <t>Al Ain (Clock Tower)1, 11TH AUG - Cash Collection TG</t>
  </si>
  <si>
    <t>9,674,913.38</t>
  </si>
  <si>
    <t>2368</t>
  </si>
  <si>
    <t>2508120913234580</t>
  </si>
  <si>
    <t>NESTO HYPRMRKT AJM, 11TH AUG - Cash Collection TG</t>
  </si>
  <si>
    <t>10,084,913.38</t>
  </si>
  <si>
    <t>2369</t>
  </si>
  <si>
    <t>2508120913234595</t>
  </si>
  <si>
    <t>CITY CENTER AL ZAHIA SHJ, 11TH AUG - Cash Collection TG</t>
  </si>
  <si>
    <t>500,005.00</t>
  </si>
  <si>
    <t>10,584,918.38</t>
  </si>
  <si>
    <t>2370</t>
  </si>
  <si>
    <t>2508120913234606</t>
  </si>
  <si>
    <t>HOR AL ANZ, 11TH AUG - Cash Collection TG</t>
  </si>
  <si>
    <t>11,184,918.38</t>
  </si>
  <si>
    <t>2371</t>
  </si>
  <si>
    <t>2508120913234615</t>
  </si>
  <si>
    <t>NAIF RD, 11TH AUG - Cash Collection TG</t>
  </si>
  <si>
    <t>298,000.00</t>
  </si>
  <si>
    <t>11,482,918.38</t>
  </si>
  <si>
    <t>2372</t>
  </si>
  <si>
    <t>2508120913234634</t>
  </si>
  <si>
    <t>FUJAIRAH, 11TH AUG - Cash Collection TG</t>
  </si>
  <si>
    <t>11,962,918.38</t>
  </si>
  <si>
    <t>2373</t>
  </si>
  <si>
    <t>2508120913244637</t>
  </si>
  <si>
    <t>MUWEILAH SHJ, 11TH AUG - Cash Collection TG</t>
  </si>
  <si>
    <t>845,050.00</t>
  </si>
  <si>
    <t>12,807,968.38</t>
  </si>
  <si>
    <t>2374</t>
  </si>
  <si>
    <t>2508120913244658</t>
  </si>
  <si>
    <t>MEGA MALL SHARJAH BR 1, 11TH AUG - Cash Collection TG</t>
  </si>
  <si>
    <t>13,557,968.38</t>
  </si>
  <si>
    <t>2375</t>
  </si>
  <si>
    <t>2508120913244668</t>
  </si>
  <si>
    <t>DUBAI INDUSTRAIL  CITY, 11TH AUG - Cash Collection TG</t>
  </si>
  <si>
    <t>750,180.00</t>
  </si>
  <si>
    <t>14,308,148.38</t>
  </si>
  <si>
    <t>2376</t>
  </si>
  <si>
    <t>2508120913244684</t>
  </si>
  <si>
    <t>UAQ, 11TH AUG - Cash Collection TG</t>
  </si>
  <si>
    <t>14,628,148.38</t>
  </si>
  <si>
    <t>2377</t>
  </si>
  <si>
    <t>2508120913244699</t>
  </si>
  <si>
    <t>AL RIGGA METRO STION DXB, 11TH AUG - Cash Collection TG</t>
  </si>
  <si>
    <t>15,248,148.38</t>
  </si>
  <si>
    <t>2378</t>
  </si>
  <si>
    <t>2508120913244706</t>
  </si>
  <si>
    <t>AL MINA NESTO BR DXB, 11TH AUG - Cash Collection TG</t>
  </si>
  <si>
    <t>350,070.00</t>
  </si>
  <si>
    <t>15,598,218.38</t>
  </si>
  <si>
    <t>2379</t>
  </si>
  <si>
    <t>2508120913244709</t>
  </si>
  <si>
    <t>CO OP SOCIETY SHJ 1, 11TH AUG - Cash Collection TG</t>
  </si>
  <si>
    <t>15,833,218.38</t>
  </si>
  <si>
    <t>2380</t>
  </si>
  <si>
    <t>2508120913244712</t>
  </si>
  <si>
    <t>KHAN SAHIB BLDG SHJ, 11TH AUG - Cash Collection TG</t>
  </si>
  <si>
    <t>400,085.00</t>
  </si>
  <si>
    <t>16,233,303.38</t>
  </si>
  <si>
    <t>2381</t>
  </si>
  <si>
    <t>2508120913244735</t>
  </si>
  <si>
    <t>DEIRA 1, 11TH AUG - Cash Collection TG</t>
  </si>
  <si>
    <t>16,833,303.38</t>
  </si>
  <si>
    <t>2382</t>
  </si>
  <si>
    <t>2508120913244738</t>
  </si>
  <si>
    <t>BUR DUBAI, 11TH AUG - Cash Collection TG</t>
  </si>
  <si>
    <t>17,243,303.38</t>
  </si>
  <si>
    <t>2383</t>
  </si>
  <si>
    <t>2508120913244761</t>
  </si>
  <si>
    <t>AL NHDA RES TWRS  SHJ, 11TH AUG - Cash Collection TG</t>
  </si>
  <si>
    <t>17,518,303.38</t>
  </si>
  <si>
    <t>2384</t>
  </si>
  <si>
    <t>2508120913244764</t>
  </si>
  <si>
    <t>AL MADAM SHJ, 11TH AUG - Cash Collection TG</t>
  </si>
  <si>
    <t>300,480.00</t>
  </si>
  <si>
    <t>17,818,783.38</t>
  </si>
  <si>
    <t>2385</t>
  </si>
  <si>
    <t>2508120913244767</t>
  </si>
  <si>
    <t>SAJA INDUSTRIAL SHJ 2, 11TH AUG - Cash Collection TG</t>
  </si>
  <si>
    <t>300,650.00</t>
  </si>
  <si>
    <t>18,119,433.38</t>
  </si>
  <si>
    <t>2386</t>
  </si>
  <si>
    <t>2508120913244770</t>
  </si>
  <si>
    <t>DUBAI MALL LG UNIT171, 11TH AUG - Cash Collection TG</t>
  </si>
  <si>
    <t>18,519,433.38</t>
  </si>
  <si>
    <t>2387</t>
  </si>
  <si>
    <t>2508120913244781</t>
  </si>
  <si>
    <t>KARAMA DUBAI, 11TH AUG - Cash Collection TG</t>
  </si>
  <si>
    <t>18,919,433.38</t>
  </si>
  <si>
    <t>2388</t>
  </si>
  <si>
    <t>2508120913254784</t>
  </si>
  <si>
    <t>DIBBA FUJAIRAH, 11TH AUG - Cash Collection TG</t>
  </si>
  <si>
    <t>295,000.00</t>
  </si>
  <si>
    <t>19,214,433.38</t>
  </si>
  <si>
    <t>2389</t>
  </si>
  <si>
    <t>2508120913254787</t>
  </si>
  <si>
    <t>CLOCK TOWER 1, 11TH AUG - Cash Collection TG</t>
  </si>
  <si>
    <t>19,704,433.38</t>
  </si>
  <si>
    <t>2390</t>
  </si>
  <si>
    <t>2508120913254796</t>
  </si>
  <si>
    <t>DMALL LG CSK53 TAXI AREA, 11TH AUG - Cash Collection TG</t>
  </si>
  <si>
    <t>20,054,433.38</t>
  </si>
  <si>
    <t>2391</t>
  </si>
  <si>
    <t>PHUB523001454</t>
  </si>
  <si>
    <t>523001454 B/O NOOR ALAFAQ TURNKEY PROJECTS CONTRACTING L.L.C</t>
  </si>
  <si>
    <t>20,064,433.38</t>
  </si>
  <si>
    <t>2392</t>
  </si>
  <si>
    <t>50937853268</t>
  </si>
  <si>
    <t>2538409608 IBTRF B/O MUNICH WOOD IND LLC</t>
  </si>
  <si>
    <t>20,164,433.38</t>
  </si>
  <si>
    <t>2393</t>
  </si>
  <si>
    <t>50937917529</t>
  </si>
  <si>
    <t>2538412165 IBTRF B/O MUNICH WOOD IND LLC</t>
  </si>
  <si>
    <t>40,384.99</t>
  </si>
  <si>
    <t>20,204,818.37</t>
  </si>
  <si>
    <t>2394</t>
  </si>
  <si>
    <t>MOB1208250923078089362</t>
  </si>
  <si>
    <t>B/O PRINTZOGO MANUFACTURING LLC</t>
  </si>
  <si>
    <t>15,638.34</t>
  </si>
  <si>
    <t>20,220,456.71</t>
  </si>
  <si>
    <t>2395</t>
  </si>
  <si>
    <t>PHUB523005063</t>
  </si>
  <si>
    <t>B/O_L.L.C JACQ_ADIB_523005063_BOIS39</t>
  </si>
  <si>
    <t>85,772.50</t>
  </si>
  <si>
    <t>20,306,229.21</t>
  </si>
  <si>
    <t>2396</t>
  </si>
  <si>
    <t>9,228.00</t>
  </si>
  <si>
    <t>20,315,457.21</t>
  </si>
  <si>
    <t>2397</t>
  </si>
  <si>
    <t>PHUB523012346</t>
  </si>
  <si>
    <t>523012346 B/O NIKHIL GOEL MAHESH KUMAR GOEL</t>
  </si>
  <si>
    <t>20,318,457.21</t>
  </si>
  <si>
    <t>2398</t>
  </si>
  <si>
    <t>B/O_DHABI WEST GATE _523006345</t>
  </si>
  <si>
    <t>19,168.21</t>
  </si>
  <si>
    <t>20,337,625.42</t>
  </si>
  <si>
    <t>2399</t>
  </si>
  <si>
    <t>PHUB523008064</t>
  </si>
  <si>
    <t>B/O_PROPRIETOR_ADIB_523008064_t</t>
  </si>
  <si>
    <t>183,330.50</t>
  </si>
  <si>
    <t>20,520,955.92</t>
  </si>
  <si>
    <t>2400</t>
  </si>
  <si>
    <t>30,026.00</t>
  </si>
  <si>
    <t>20,550,981.92</t>
  </si>
  <si>
    <t>2401</t>
  </si>
  <si>
    <t>PHUB523018663</t>
  </si>
  <si>
    <t>BILRS PAKISTAN TRANSFER</t>
  </si>
  <si>
    <t>20,600,981.92</t>
  </si>
  <si>
    <t>2402</t>
  </si>
  <si>
    <t>50938644336</t>
  </si>
  <si>
    <t>26035189557 MBTRF B/O RAJESH PARASMAL JAIN</t>
  </si>
  <si>
    <t>73,910.00</t>
  </si>
  <si>
    <t>20,674,891.92</t>
  </si>
  <si>
    <t>2403</t>
  </si>
  <si>
    <t>24,743.00</t>
  </si>
  <si>
    <t>20,699,634.92</t>
  </si>
  <si>
    <t>2404</t>
  </si>
  <si>
    <t>PHUB523036184</t>
  </si>
  <si>
    <t>AL YASSI AJMAN PAYMENT</t>
  </si>
  <si>
    <t>B/O JFI ELEVATOR &amp; ESCALATORS L.L.C</t>
  </si>
  <si>
    <t>20,736,435.42</t>
  </si>
  <si>
    <t>2405</t>
  </si>
  <si>
    <t>INHOUSE CHEQUE DEPOSIT 000163 MOHAMMED NIHAL VATTAPARAMBIL    BASHEER AL FARDAN EXCHANGE SP LLC CHQ NO ::000163</t>
  </si>
  <si>
    <t>9,528.35</t>
  </si>
  <si>
    <t>20,745,963.77</t>
  </si>
  <si>
    <t>2406</t>
  </si>
  <si>
    <t>PHUB523064893</t>
  </si>
  <si>
    <t>B/O_(L.L.C) BESAN HO_523064893</t>
  </si>
  <si>
    <t>47,669.25</t>
  </si>
  <si>
    <t>20,793,633.02</t>
  </si>
  <si>
    <t>2407</t>
  </si>
  <si>
    <t>50940393320</t>
  </si>
  <si>
    <t>26036787687 MBTRF B/O MOHAMAD BISMARULLAH</t>
  </si>
  <si>
    <t>20,843,633.02</t>
  </si>
  <si>
    <t>2408</t>
  </si>
  <si>
    <t>PHUB523073222</t>
  </si>
  <si>
    <t>B/O_P G I SECU_BOML_523073222_ ADMIN</t>
  </si>
  <si>
    <t>54,576.25</t>
  </si>
  <si>
    <t>20,898,209.27</t>
  </si>
  <si>
    <t>2409</t>
  </si>
  <si>
    <t>025038</t>
  </si>
  <si>
    <t>INHOUSE CHEQUE DEPOSIT 025038 BASHEER PULIKKAL    IBRAHIM AL FARDAN EXCHANGE SP LLC CHQ NO ::025038</t>
  </si>
  <si>
    <t>20,908,209.27</t>
  </si>
  <si>
    <t>2410</t>
  </si>
  <si>
    <t>523074422 B/O EISA MOHAMED AHMED MOALLA ALHASHMI</t>
  </si>
  <si>
    <t>20,918,209.27</t>
  </si>
  <si>
    <t>2411</t>
  </si>
  <si>
    <t>PHUB523076111</t>
  </si>
  <si>
    <t>523076111 B/O TARJAMA FZ LLC</t>
  </si>
  <si>
    <t>3,711.25</t>
  </si>
  <si>
    <t>20,921,920.52</t>
  </si>
  <si>
    <t>2412</t>
  </si>
  <si>
    <t>50940678033</t>
  </si>
  <si>
    <t>26037049797 MBTRF B/O EMAD MAMOUN IBRAHIM SULIEMAN</t>
  </si>
  <si>
    <t>294,025.00</t>
  </si>
  <si>
    <t>21,215,945.52</t>
  </si>
  <si>
    <t>2413</t>
  </si>
  <si>
    <t>50940793965</t>
  </si>
  <si>
    <t>2538530376 IBTRF B/O ABU FAISAL AUTO MOTIVE PARTS LLC</t>
  </si>
  <si>
    <t>83,821.00</t>
  </si>
  <si>
    <t>21,299,766.52</t>
  </si>
  <si>
    <t>2414</t>
  </si>
  <si>
    <t>50940830201</t>
  </si>
  <si>
    <t>2538531639 IBTRF B/O ABU FAISAL AUTO MOTIVE PARTS LLC</t>
  </si>
  <si>
    <t>21,399,766.52</t>
  </si>
  <si>
    <t>2415</t>
  </si>
  <si>
    <t>PHUB523091835</t>
  </si>
  <si>
    <t>523091835 B/O BGT Technology</t>
  </si>
  <si>
    <t>5,004.00</t>
  </si>
  <si>
    <t>21,404,770.52</t>
  </si>
  <si>
    <t>2416</t>
  </si>
  <si>
    <t>000356</t>
  </si>
  <si>
    <t>INHOUSE CHEQUE DEPOSIT 000356 SUMEEJ VELUTHEDATHU PARAMBIL    MANIKUTTY AL FARDAN EXCHANGE SP LLC CHQ NO ::000356</t>
  </si>
  <si>
    <t>7,775.90</t>
  </si>
  <si>
    <t>21,412,546.42</t>
  </si>
  <si>
    <t>2417</t>
  </si>
  <si>
    <t>PV2695</t>
  </si>
  <si>
    <t>1,071.13</t>
  </si>
  <si>
    <t>21,413,617.55</t>
  </si>
  <si>
    <t>2418</t>
  </si>
  <si>
    <t>18,002.75</t>
  </si>
  <si>
    <t>21,431,620.30</t>
  </si>
  <si>
    <t>2419</t>
  </si>
  <si>
    <t>FARDAN560</t>
  </si>
  <si>
    <t>B/O MUBARAK MARINE LLC</t>
  </si>
  <si>
    <t>24,322.73</t>
  </si>
  <si>
    <t>21,455,943.03</t>
  </si>
  <si>
    <t>2420</t>
  </si>
  <si>
    <t>B/O_A/C. 19369170_523097749</t>
  </si>
  <si>
    <t>43,654.28</t>
  </si>
  <si>
    <t>21,499,597.31</t>
  </si>
  <si>
    <t>2421</t>
  </si>
  <si>
    <t>12082501</t>
  </si>
  <si>
    <t>527,200.41</t>
  </si>
  <si>
    <t>22,026,797.72</t>
  </si>
  <si>
    <t>2422</t>
  </si>
  <si>
    <t>9,527.50</t>
  </si>
  <si>
    <t>22,036,325.22</t>
  </si>
  <si>
    <t>2423</t>
  </si>
  <si>
    <t>245,000.00</t>
  </si>
  <si>
    <t>22,281,325.22</t>
  </si>
  <si>
    <t>2424</t>
  </si>
  <si>
    <t>PHUB523104911</t>
  </si>
  <si>
    <t>523104911 B/O IBRAHIM MEER ABDELRAHMAN ABDELNOUR</t>
  </si>
  <si>
    <t>22,306,325.22</t>
  </si>
  <si>
    <t>2425</t>
  </si>
  <si>
    <t>002484</t>
  </si>
  <si>
    <t>INHOUSE CHEQUE DEPOSIT 002484 ANOOP CHERIAN KARIMPANAKKEL   CHERIAN AL FARDAN EXCHANGE SP LLC CHQ NO ::002484</t>
  </si>
  <si>
    <t>21,385.00</t>
  </si>
  <si>
    <t>22,327,710.22</t>
  </si>
  <si>
    <t>2426</t>
  </si>
  <si>
    <t>002056</t>
  </si>
  <si>
    <t>INHOUSE CHEQUE DEPOSIT 002056 MUHAMMAD RASHID KOONARI   PEZHUMTHARA AL FARDAN EXCHANGE SP LLC CHQ NO ::002056</t>
  </si>
  <si>
    <t>22,626.25</t>
  </si>
  <si>
    <t>22,350,336.47</t>
  </si>
  <si>
    <t>2427</t>
  </si>
  <si>
    <t>PHUB523109662</t>
  </si>
  <si>
    <t>B/O_AL FARDAN _EBIL_523109662_AUHADCB</t>
  </si>
  <si>
    <t>28,350,336.47</t>
  </si>
  <si>
    <t>2428</t>
  </si>
  <si>
    <t>24,899.50</t>
  </si>
  <si>
    <t>28,375,235.97</t>
  </si>
  <si>
    <t>2429</t>
  </si>
  <si>
    <t>87,386.00</t>
  </si>
  <si>
    <t>28,462,621.97</t>
  </si>
  <si>
    <t>2430</t>
  </si>
  <si>
    <t>PHUB523111525</t>
  </si>
  <si>
    <t>5,634.00</t>
  </si>
  <si>
    <t>28,468,255.97</t>
  </si>
  <si>
    <t>2431</t>
  </si>
  <si>
    <t>PHUB523114723</t>
  </si>
  <si>
    <t>1,853.31</t>
  </si>
  <si>
    <t>28,470,109.28</t>
  </si>
  <si>
    <t>2432</t>
  </si>
  <si>
    <t>PHUB523115563</t>
  </si>
  <si>
    <t>B/O_MUSAAB MAM_HILA_523115563_HORSE B</t>
  </si>
  <si>
    <t>51,610.00</t>
  </si>
  <si>
    <t>28,521,719.28</t>
  </si>
  <si>
    <t>2433</t>
  </si>
  <si>
    <t>3,502.75</t>
  </si>
  <si>
    <t>28,525,222.03</t>
  </si>
  <si>
    <t>2434</t>
  </si>
  <si>
    <t>35,002.75</t>
  </si>
  <si>
    <t>28,560,224.78</t>
  </si>
  <si>
    <t>2435</t>
  </si>
  <si>
    <t>PHUB523121041</t>
  </si>
  <si>
    <t>B/O_ALLIANZ MI_NBFU_523121041_SALARY</t>
  </si>
  <si>
    <t>44,635.90</t>
  </si>
  <si>
    <t>28,604,860.68</t>
  </si>
  <si>
    <t>2436</t>
  </si>
  <si>
    <t>001529</t>
  </si>
  <si>
    <t>INHOUSE CHEQUE DEPOSIT 001529 MUHAMMAD HAMEED MUHAMMAD   FAREED AL FARDAN EXCHANGE SP LLC CHQ NO ::001529</t>
  </si>
  <si>
    <t>234,632.50</t>
  </si>
  <si>
    <t>28,839,493.18</t>
  </si>
  <si>
    <t>2437</t>
  </si>
  <si>
    <t>MALIK KHALIQ</t>
  </si>
  <si>
    <t>INHOUSE CHEQUE DEPOSIT MALIK KHALIQ AL FARDAN EXCHANGE SP LLC CHQ NO ::000007</t>
  </si>
  <si>
    <t>992,040.00</t>
  </si>
  <si>
    <t>29,831,533.18</t>
  </si>
  <si>
    <t>2438</t>
  </si>
  <si>
    <t>PHUB523132084</t>
  </si>
  <si>
    <t>523132084 B/O STANFORD MARINE LLC</t>
  </si>
  <si>
    <t>4,196.00</t>
  </si>
  <si>
    <t>29,835,729.18</t>
  </si>
  <si>
    <t>2439</t>
  </si>
  <si>
    <t>PHUB523136602</t>
  </si>
  <si>
    <t>MOB1208251303358093632</t>
  </si>
  <si>
    <t>2,194.54</t>
  </si>
  <si>
    <t>29,837,923.72</t>
  </si>
  <si>
    <t>2440</t>
  </si>
  <si>
    <t>PHUB523133720</t>
  </si>
  <si>
    <t>B/O_STANFORD M_NBFU_523133720_SALARY</t>
  </si>
  <si>
    <t>12,935.00</t>
  </si>
  <si>
    <t>29,850,858.72</t>
  </si>
  <si>
    <t>2441</t>
  </si>
  <si>
    <t>SGAE336250805XJH</t>
  </si>
  <si>
    <t>B/O AGRI BUSINESS CONTROL AGRICLTURAL</t>
  </si>
  <si>
    <t>27,158.21</t>
  </si>
  <si>
    <t>29,878,016.93</t>
  </si>
  <si>
    <t>2442</t>
  </si>
  <si>
    <t>16,502.00</t>
  </si>
  <si>
    <t>29,894,518.93</t>
  </si>
  <si>
    <t>2443</t>
  </si>
  <si>
    <t>PHUB523143623</t>
  </si>
  <si>
    <t>IMD 12082025</t>
  </si>
  <si>
    <t>45,947,508.24</t>
  </si>
  <si>
    <t>-16,052,989.31</t>
  </si>
  <si>
    <t>2444</t>
  </si>
  <si>
    <t>MOB1208251327358094084</t>
  </si>
  <si>
    <t>-16,052,928.81</t>
  </si>
  <si>
    <t>2445</t>
  </si>
  <si>
    <t>50944576689</t>
  </si>
  <si>
    <t>26040674838 MBTRF B/O NOOR MUHAMMAD KHAN</t>
  </si>
  <si>
    <t>-16,051,130.31</t>
  </si>
  <si>
    <t>2446</t>
  </si>
  <si>
    <t>50944864128</t>
  </si>
  <si>
    <t>26040951061 MBTRF B/O KHALED KHAMIS MOHD B ALSHAMSI</t>
  </si>
  <si>
    <t>562,439.01</t>
  </si>
  <si>
    <t>-15,488,691.30</t>
  </si>
  <si>
    <t>2447</t>
  </si>
  <si>
    <t>PHUB523152611</t>
  </si>
  <si>
    <t>523152611 B/O AL SAFA MODERN AUTO BAKERY LLC S P</t>
  </si>
  <si>
    <t>3,256.30</t>
  </si>
  <si>
    <t>-15,485,435.00</t>
  </si>
  <si>
    <t>2448</t>
  </si>
  <si>
    <t>50945224906</t>
  </si>
  <si>
    <t>2538683152 IBTRF B/O C M GLOBAL TRANSPORTATION</t>
  </si>
  <si>
    <t>10,160.00</t>
  </si>
  <si>
    <t>-15,475,275.00</t>
  </si>
  <si>
    <t>2449</t>
  </si>
  <si>
    <t>50945330769</t>
  </si>
  <si>
    <t>26041403667 MBTRF B/O KHALED KHAMIS MOHD B ALSHAMSI</t>
  </si>
  <si>
    <t>-15,475,222.50</t>
  </si>
  <si>
    <t>2450</t>
  </si>
  <si>
    <t>50945350056</t>
  </si>
  <si>
    <t>26041422993 MBTRF B/O SREEKANTH GEMBALI</t>
  </si>
  <si>
    <t>-15,375,222.50</t>
  </si>
  <si>
    <t>2451</t>
  </si>
  <si>
    <t>PHUB523161384</t>
  </si>
  <si>
    <t>MOB1208251409038094831</t>
  </si>
  <si>
    <t>-15,369,222.50</t>
  </si>
  <si>
    <t>2452</t>
  </si>
  <si>
    <t>929,673.75</t>
  </si>
  <si>
    <t>-14,439,548.75</t>
  </si>
  <si>
    <t>2453</t>
  </si>
  <si>
    <t>1,190,209.50</t>
  </si>
  <si>
    <t>-13,249,339.25</t>
  </si>
  <si>
    <t>2454</t>
  </si>
  <si>
    <t>268,653.50</t>
  </si>
  <si>
    <t>-12,980,685.75</t>
  </si>
  <si>
    <t>2455</t>
  </si>
  <si>
    <t>FITOUT SQUAD12082025</t>
  </si>
  <si>
    <t>TRF TO FITOUT SQUAD INTERIOR &amp; CONTR.LLC</t>
  </si>
  <si>
    <t>14,280.00</t>
  </si>
  <si>
    <t>-12,994,965.75</t>
  </si>
  <si>
    <t>2456</t>
  </si>
  <si>
    <t>PHUB523166213</t>
  </si>
  <si>
    <t>CA 12082025</t>
  </si>
  <si>
    <t>19,900,000.00</t>
  </si>
  <si>
    <t>6,905,034.25</t>
  </si>
  <si>
    <t>2457</t>
  </si>
  <si>
    <t>PHUB523167447</t>
  </si>
  <si>
    <t>USD BUY 12082025</t>
  </si>
  <si>
    <t>17,264,510.00</t>
  </si>
  <si>
    <t>-10,359,475.75</t>
  </si>
  <si>
    <t>2458</t>
  </si>
  <si>
    <t>33,706.00</t>
  </si>
  <si>
    <t>-10,325,769.75</t>
  </si>
  <si>
    <t>2459</t>
  </si>
  <si>
    <t>50946725497</t>
  </si>
  <si>
    <t>26042733959 MBTRF B/O SREEKANTH GEMBALI</t>
  </si>
  <si>
    <t>83,885.00</t>
  </si>
  <si>
    <t>-10,241,884.75</t>
  </si>
  <si>
    <t>2460</t>
  </si>
  <si>
    <t>PHUB523185904</t>
  </si>
  <si>
    <t>B/O_ASTEX GENE_BOML_523185904_ COMPEN</t>
  </si>
  <si>
    <t>10,726.25</t>
  </si>
  <si>
    <t>-10,231,158.50</t>
  </si>
  <si>
    <t>2461</t>
  </si>
  <si>
    <t>MATERIAL IMPORT</t>
  </si>
  <si>
    <t>B/O S S A INTERNATIONAL BUILDING CONTRA</t>
  </si>
  <si>
    <t>30,265.00</t>
  </si>
  <si>
    <t>-10,200,893.50</t>
  </si>
  <si>
    <t>2462</t>
  </si>
  <si>
    <t>50947348594</t>
  </si>
  <si>
    <t>26043324216 MBTRF B/O PREM MOHAN</t>
  </si>
  <si>
    <t>41,990.50</t>
  </si>
  <si>
    <t>-10,158,903.00</t>
  </si>
  <si>
    <t>2463</t>
  </si>
  <si>
    <t>006706</t>
  </si>
  <si>
    <t>INHOUSE CHEQUE DEPOSIT 006706 MUHAMMAD HAMEED MUHAMMAD   FAREED AL FARDAN EXCHANGE SP LLC CHQ NO ::006706</t>
  </si>
  <si>
    <t>26,514.00</t>
  </si>
  <si>
    <t>-10,132,389.00</t>
  </si>
  <si>
    <t>2464</t>
  </si>
  <si>
    <t>PHUB523198730</t>
  </si>
  <si>
    <t>B/O_SARUN ELAM_BOML_523198730_ FAMILY</t>
  </si>
  <si>
    <t>-10,092,389.00</t>
  </si>
  <si>
    <t>2465</t>
  </si>
  <si>
    <t>006708</t>
  </si>
  <si>
    <t>INHOUSE CHEQUE DEPOSIT 006708 MUHAMMAD HAMEED MUHAMMAD   FAREED AL FARDAN EXCHANGE SP LLC CHQ NO ::006708</t>
  </si>
  <si>
    <t>-10,065,875.00</t>
  </si>
  <si>
    <t>2466</t>
  </si>
  <si>
    <t>PHUB523199432</t>
  </si>
  <si>
    <t>JULY</t>
  </si>
  <si>
    <t>B/O QASER AL JIRF RESTAURANT BRANCH 01</t>
  </si>
  <si>
    <t>64,581.00</t>
  </si>
  <si>
    <t>-10,001,294.00</t>
  </si>
  <si>
    <t>2467</t>
  </si>
  <si>
    <t>50947839971</t>
  </si>
  <si>
    <t>26043789199 MBTRF B/O KARAM ABDUL AZIZ ABDUL R AL OMARI</t>
  </si>
  <si>
    <t>812.00</t>
  </si>
  <si>
    <t>-10,000,482.00</t>
  </si>
  <si>
    <t>2468</t>
  </si>
  <si>
    <t>200,192.75</t>
  </si>
  <si>
    <t>-9,800,289.25</t>
  </si>
  <si>
    <t>2469</t>
  </si>
  <si>
    <t>019566</t>
  </si>
  <si>
    <t>INHOUSE CHEQUE DEPOSIT 019566 MANU,JACOB,,,,JACOB, AL FARDAN EXCHANGE SP LLC CHQ NO ::019566</t>
  </si>
  <si>
    <t>24,856.79</t>
  </si>
  <si>
    <t>-9,775,432.46</t>
  </si>
  <si>
    <t>2470</t>
  </si>
  <si>
    <t>019564</t>
  </si>
  <si>
    <t>INHOUSE CHEQUE DEPOSIT 019564 MANU,JACOB,,,,JACOB, AL FARDAN EXCHANGE SP LLC CHQ NO ::019564</t>
  </si>
  <si>
    <t>24,736.73</t>
  </si>
  <si>
    <t>-9,750,695.73</t>
  </si>
  <si>
    <t>2471</t>
  </si>
  <si>
    <t>000328</t>
  </si>
  <si>
    <t>INHOUSE CHEQUE DEPOSIT 000328 RIYAS KUNIYIL    KUNHABDULLA AL FARDAN EXCHANGE SP LLC CHQ NO ::000328</t>
  </si>
  <si>
    <t>-9,734,287.98</t>
  </si>
  <si>
    <t>2472</t>
  </si>
  <si>
    <t>PHUB523209624</t>
  </si>
  <si>
    <t>B/O_/011/000 R_NRAK_523209624_Family</t>
  </si>
  <si>
    <t>117,948.50</t>
  </si>
  <si>
    <t>-9,616,339.48</t>
  </si>
  <si>
    <t>2473</t>
  </si>
  <si>
    <t>019565</t>
  </si>
  <si>
    <t>INHOUSE CHEQUE DEPOSIT 019565 MANU,JACOB,,,,JACOB, AL FARDAN EXCHANGE SP LLC CHQ NO ::019565</t>
  </si>
  <si>
    <t>21,686.86</t>
  </si>
  <si>
    <t>-9,594,652.62</t>
  </si>
  <si>
    <t>2474</t>
  </si>
  <si>
    <t>88,599.75</t>
  </si>
  <si>
    <t>-9,506,052.87</t>
  </si>
  <si>
    <t>2475</t>
  </si>
  <si>
    <t>78,500.00</t>
  </si>
  <si>
    <t>-9,427,552.87</t>
  </si>
  <si>
    <t>2476</t>
  </si>
  <si>
    <t>-9,407,552.87</t>
  </si>
  <si>
    <t>2477</t>
  </si>
  <si>
    <t>PHUB523213221</t>
  </si>
  <si>
    <t>B/O_LAVEENA CH_NBAD_523213221_Account</t>
  </si>
  <si>
    <t>-9,307,552.87</t>
  </si>
  <si>
    <t>2478</t>
  </si>
  <si>
    <t>PHUB523215330</t>
  </si>
  <si>
    <t>SALARIES FOR EMPLOYEE</t>
  </si>
  <si>
    <t>19,500.00</t>
  </si>
  <si>
    <t>-9,288,052.87</t>
  </si>
  <si>
    <t>2479</t>
  </si>
  <si>
    <t>PHUB523218813</t>
  </si>
  <si>
    <t>B/O_AL FARDAN _EBIL_523218813_AUHADCB</t>
  </si>
  <si>
    <t>711,947.13</t>
  </si>
  <si>
    <t>2480</t>
  </si>
  <si>
    <t>PHUB523220060</t>
  </si>
  <si>
    <t>CW 12082025</t>
  </si>
  <si>
    <t>-11,288,052.87</t>
  </si>
  <si>
    <t>2481</t>
  </si>
  <si>
    <t>50948909064</t>
  </si>
  <si>
    <t>2538811887 IBTRF B/O ALQAISAR WORKSHOP EQU AND MAC SALES</t>
  </si>
  <si>
    <t>-11,188,052.87</t>
  </si>
  <si>
    <t>2482</t>
  </si>
  <si>
    <t>B/O_LAZAR SHIP_BOML_523222684_ FINANC</t>
  </si>
  <si>
    <t>328,182.16</t>
  </si>
  <si>
    <t>-10,859,870.71</t>
  </si>
  <si>
    <t>2483</t>
  </si>
  <si>
    <t>50948942222</t>
  </si>
  <si>
    <t>2538812926 IBTRF B/O ALQAISAR WORKSHOP EQU AND MAC SALES</t>
  </si>
  <si>
    <t>-10,759,870.71</t>
  </si>
  <si>
    <t>2484</t>
  </si>
  <si>
    <t>50948979130</t>
  </si>
  <si>
    <t>2538814299 IBTRF B/O ALQAISAR WORKSHOP EQU AND MAC SALES</t>
  </si>
  <si>
    <t>-10,709,870.71</t>
  </si>
  <si>
    <t>2485</t>
  </si>
  <si>
    <t>50949132021</t>
  </si>
  <si>
    <t>26045043219 MBTRF B/O TAMER MOHAMED ATTIA</t>
  </si>
  <si>
    <t>7,679.00</t>
  </si>
  <si>
    <t>-10,702,191.71</t>
  </si>
  <si>
    <t>2486</t>
  </si>
  <si>
    <t>PHUB523229770</t>
  </si>
  <si>
    <t>B/O_NIDAL KHAL_ADIB_523229770_Persona</t>
  </si>
  <si>
    <t>83,421.25</t>
  </si>
  <si>
    <t>-10,618,770.46</t>
  </si>
  <si>
    <t>2487</t>
  </si>
  <si>
    <t>50949520258</t>
  </si>
  <si>
    <t>26045422492 MBTRF B/O SAKHI REAL ESTATE LLC</t>
  </si>
  <si>
    <t>-10,604,770.46</t>
  </si>
  <si>
    <t>2488</t>
  </si>
  <si>
    <t>PHUB523236838</t>
  </si>
  <si>
    <t>523236838 B/O NIDAL KHALIL ISSA ABUZIR</t>
  </si>
  <si>
    <t>5,216.25</t>
  </si>
  <si>
    <t>-10,599,554.21</t>
  </si>
  <si>
    <t>2489</t>
  </si>
  <si>
    <t>PHUB523237574</t>
  </si>
  <si>
    <t>B/O_WANDERINGG FOODI_523237574</t>
  </si>
  <si>
    <t>20,004.00</t>
  </si>
  <si>
    <t>-10,579,550.21</t>
  </si>
  <si>
    <t>2490</t>
  </si>
  <si>
    <t>PHUB523239190</t>
  </si>
  <si>
    <t>B/O_PROPRIETORSHIP A_523239190</t>
  </si>
  <si>
    <t>-10,573,550.21</t>
  </si>
  <si>
    <t>2491</t>
  </si>
  <si>
    <t>PHUB523241746</t>
  </si>
  <si>
    <t>B/O_MR SIVADASAN PAT_523241746</t>
  </si>
  <si>
    <t>12,614.25</t>
  </si>
  <si>
    <t>-10,560,935.96</t>
  </si>
  <si>
    <t>2492</t>
  </si>
  <si>
    <t>50950159866</t>
  </si>
  <si>
    <t>26046068285 MBTRF B/O JAISON RAJU VARGHESE</t>
  </si>
  <si>
    <t>-10,549,935.96</t>
  </si>
  <si>
    <t>2493</t>
  </si>
  <si>
    <t>68,997.65</t>
  </si>
  <si>
    <t>-10,480,938.31</t>
  </si>
  <si>
    <t>2494</t>
  </si>
  <si>
    <t>000148</t>
  </si>
  <si>
    <t>CHEQUE DEPOSIT AL FAJR AL SATEE 703320106 CHQ NO ::000148</t>
  </si>
  <si>
    <t>-10,330,938.31</t>
  </si>
  <si>
    <t>2495</t>
  </si>
  <si>
    <t>101630</t>
  </si>
  <si>
    <t>CHEQUE DEPOSIT 101630 MUHAMMAD HAMEED MUHAMMAD   FAREED 002420097 CHQ NO ::101630</t>
  </si>
  <si>
    <t>151,645.00</t>
  </si>
  <si>
    <t>-10,179,293.31</t>
  </si>
  <si>
    <t>2496</t>
  </si>
  <si>
    <t>CHEQUE DEPOSIT 000034 MUHAMMAD HAMEED MUHAMMAD   FAREED 501130101 CHQ NO ::000034</t>
  </si>
  <si>
    <t>3,201.77</t>
  </si>
  <si>
    <t>-10,176,091.54</t>
  </si>
  <si>
    <t>2497</t>
  </si>
  <si>
    <t>209718</t>
  </si>
  <si>
    <t>CHEQUE DEPOSIT 209718 BASHEER PULIKKAL    IBRAHIM 702410103 CHQ NO ::209718</t>
  </si>
  <si>
    <t>4,434.43</t>
  </si>
  <si>
    <t>-10,171,657.11</t>
  </si>
  <si>
    <t>2498</t>
  </si>
  <si>
    <t>203120</t>
  </si>
  <si>
    <t>CHEQUE DEPOSIT 203120 NISSAR MANGADAN MOIDEEN   MANGADAN 102411014 CHQ NO ::203120</t>
  </si>
  <si>
    <t>9,621.00</t>
  </si>
  <si>
    <t>-10,162,036.11</t>
  </si>
  <si>
    <t>2499</t>
  </si>
  <si>
    <t>001478</t>
  </si>
  <si>
    <t>CHEQUE DEPOSIT 001478 IMRAN KHAN SALIM   KHAN 804020112 CHQ NO ::001478</t>
  </si>
  <si>
    <t>80,759.55</t>
  </si>
  <si>
    <t>-10,081,276.56</t>
  </si>
  <si>
    <t>2500</t>
  </si>
  <si>
    <t>PHUB523259288</t>
  </si>
  <si>
    <t>BPG0005679</t>
  </si>
  <si>
    <t>367,713.75</t>
  </si>
  <si>
    <t>-9,713,562.81</t>
  </si>
  <si>
    <t>2501</t>
  </si>
  <si>
    <t>001665</t>
  </si>
  <si>
    <t>CHEQUE DEPOSIT 001665 SHAMSHEER KHAN AHAMED KHAN AHAMED  KHAN 104030136 CHQ NO ::001665</t>
  </si>
  <si>
    <t>253,700.00</t>
  </si>
  <si>
    <t>-9,459,862.81</t>
  </si>
  <si>
    <t>2502</t>
  </si>
  <si>
    <t>004136</t>
  </si>
  <si>
    <t>CHEQUE DEPOSIT 004136 SHAMSHEER KHAN AHAMED KHAN AHAMED  KHAN 203430121 CHQ NO ::004136</t>
  </si>
  <si>
    <t>463,582.00</t>
  </si>
  <si>
    <t>-8,996,280.81</t>
  </si>
  <si>
    <t>2503</t>
  </si>
  <si>
    <t>012159</t>
  </si>
  <si>
    <t>CHEQUE DEPOSIT 012159 SHAMSHEER KHAN AHAMED KHAN AHAMED  KHAN 102330106 CHQ NO ::012159</t>
  </si>
  <si>
    <t>6,340.00</t>
  </si>
  <si>
    <t>-8,989,940.81</t>
  </si>
  <si>
    <t>2504</t>
  </si>
  <si>
    <t>500513</t>
  </si>
  <si>
    <t>CHEQUE DEPOSIT 500513 MUHAMMAD HAMEED MUHAMMAD   FAREED 805030156 CHQ NO ::500513</t>
  </si>
  <si>
    <t>20,293.25</t>
  </si>
  <si>
    <t>-8,969,647.56</t>
  </si>
  <si>
    <t>2505</t>
  </si>
  <si>
    <t>502435</t>
  </si>
  <si>
    <t>CHEQUE DEPOSIT 502435 SHAMSHEER KHAN AHAMED KHAN AHAMED  KHAN 805030156 CHQ NO ::502435</t>
  </si>
  <si>
    <t>97,811.75</t>
  </si>
  <si>
    <t>-8,871,835.81</t>
  </si>
  <si>
    <t>2506</t>
  </si>
  <si>
    <t>865539</t>
  </si>
  <si>
    <t>CHEQUE DEPOSIT 865539 VISHNU,VIJAYA SANKAR,SIVASANKARAN,,,KANAKAZHIKANDA 203511136 CHQ NO ::865539</t>
  </si>
  <si>
    <t>-8,371,835.81</t>
  </si>
  <si>
    <t>2507</t>
  </si>
  <si>
    <t>002058</t>
  </si>
  <si>
    <t>CHEQUE DEPOSIT 002058 VISHAK     PANTHANGI 102310171 CHQ NO ::002058</t>
  </si>
  <si>
    <t>7,841.00</t>
  </si>
  <si>
    <t>-8,363,994.81</t>
  </si>
  <si>
    <t>2508</t>
  </si>
  <si>
    <t>001704</t>
  </si>
  <si>
    <t>CHEQUE DEPOSIT 001704 MUHAMMAD HAMEED MUHAMMAD   FAREED 804030157 CHQ NO ::001704</t>
  </si>
  <si>
    <t>93,408.04</t>
  </si>
  <si>
    <t>-8,270,586.77</t>
  </si>
  <si>
    <t>2509</t>
  </si>
  <si>
    <t>CHEQUE DEPOSIT 001809 DIL JAN MOHAMMAD   ALI 204130077 CHQ NO ::001809</t>
  </si>
  <si>
    <t>1,497.46</t>
  </si>
  <si>
    <t>-8,269,089.31</t>
  </si>
  <si>
    <t>2510</t>
  </si>
  <si>
    <t>971374</t>
  </si>
  <si>
    <t>CHEQUE DEPOSIT 971374 SANTHOSH PUTHOOR VALSALA VALIYA MEKKAT   SREEDHARA 203514036 CHQ NO ::971374</t>
  </si>
  <si>
    <t>-7,889,089.31</t>
  </si>
  <si>
    <t>2511</t>
  </si>
  <si>
    <t>565070</t>
  </si>
  <si>
    <t>CHEQUE DEPOSIT 565070 DIL JAN MOHAMMAD   ALI 001530104 CHQ NO ::565070</t>
  </si>
  <si>
    <t>35,026.25</t>
  </si>
  <si>
    <t>-7,854,063.06</t>
  </si>
  <si>
    <t>2512</t>
  </si>
  <si>
    <t>010582</t>
  </si>
  <si>
    <t>CHEQUE DEPOSIT 010582 RAJATH     JAGADISH 702230112 CHQ NO ::010582</t>
  </si>
  <si>
    <t>43,152.50</t>
  </si>
  <si>
    <t>-7,810,910.56</t>
  </si>
  <si>
    <t>2513</t>
  </si>
  <si>
    <t>001810</t>
  </si>
  <si>
    <t>CHEQUE DEPOSIT 001810 DIL JAN MOHAMMAD   ALI 204130077 CHQ NO ::001810</t>
  </si>
  <si>
    <t>1,535.00</t>
  </si>
  <si>
    <t>-7,809,375.56</t>
  </si>
  <si>
    <t>2514</t>
  </si>
  <si>
    <t>000056</t>
  </si>
  <si>
    <t>CHEQUE DEPOSIT 000056 DIL JAN MOHAMMAD   ALI 204130118 CHQ NO ::000056</t>
  </si>
  <si>
    <t>11,259.00</t>
  </si>
  <si>
    <t>-7,798,116.56</t>
  </si>
  <si>
    <t>2515</t>
  </si>
  <si>
    <t>002400</t>
  </si>
  <si>
    <t>CHEQUE DEPOSIT 002400 SAFDAR AHMED THACHARUPADIKKAL    THAZHETH 702630110 CHQ NO ::002400</t>
  </si>
  <si>
    <t>42,028.00</t>
  </si>
  <si>
    <t>-7,756,088.56</t>
  </si>
  <si>
    <t>2516</t>
  </si>
  <si>
    <t>SAQR AL SHARQ</t>
  </si>
  <si>
    <t>CHEQUE DEPOSIT SAQR AL SHARQ 703320106 CHQ NO ::000033</t>
  </si>
  <si>
    <t>110,073.00</t>
  </si>
  <si>
    <t>-7,646,015.56</t>
  </si>
  <si>
    <t>2517</t>
  </si>
  <si>
    <t>CHEQUE DEPOSIT 000063 ADNAN ABBAS MUHAMMAD HASHIM   KHAN 704020137 CHQ NO ::000063</t>
  </si>
  <si>
    <t>22,158.00</t>
  </si>
  <si>
    <t>-7,623,857.56</t>
  </si>
  <si>
    <t>2518</t>
  </si>
  <si>
    <t>CHEQUE DEPOSIT 000002 REYCEL UMALI     LUGOS 904010130 CHQ NO ::000002</t>
  </si>
  <si>
    <t>11,935.56</t>
  </si>
  <si>
    <t>-7,611,922.00</t>
  </si>
  <si>
    <t>2519</t>
  </si>
  <si>
    <t>749429</t>
  </si>
  <si>
    <t>CHEQUE DEPOSIT 749429 MUHAMMAD HAMEED MUHAMMAD   FAREED 104030136 CHQ NO ::749429</t>
  </si>
  <si>
    <t>22,590.50</t>
  </si>
  <si>
    <t>-7,589,331.50</t>
  </si>
  <si>
    <t>2520</t>
  </si>
  <si>
    <t>000123</t>
  </si>
  <si>
    <t>CHEQUE DEPOSIT 000123 SHAMSHEER KHAN AHAMED KHAN AHAMED  KHAN 004730105 CHQ NO ::000123</t>
  </si>
  <si>
    <t>20,376.00</t>
  </si>
  <si>
    <t>-7,568,955.50</t>
  </si>
  <si>
    <t>2521</t>
  </si>
  <si>
    <t>001664</t>
  </si>
  <si>
    <t>CHEQUE DEPOSIT 001664 SHAMSHEER KHAN AHAMED KHAN AHAMED  KHAN 104030136 CHQ NO ::001664</t>
  </si>
  <si>
    <t>246,000.00</t>
  </si>
  <si>
    <t>-7,322,955.50</t>
  </si>
  <si>
    <t>2522</t>
  </si>
  <si>
    <t>001666</t>
  </si>
  <si>
    <t>CHEQUE DEPOSIT 001666 SHAMSHEER KHAN AHAMED KHAN AHAMED  KHAN 104030136 CHQ NO ::001666</t>
  </si>
  <si>
    <t>263,082.07</t>
  </si>
  <si>
    <t>-7,059,873.43</t>
  </si>
  <si>
    <t>2523</t>
  </si>
  <si>
    <t>527833</t>
  </si>
  <si>
    <t>CHEQUE DEPOSIT 527833 MUHAMMAD KHALIL     MUHAMMAD AKBAR 003511109 CHQ NO ::527833</t>
  </si>
  <si>
    <t>5,638.14</t>
  </si>
  <si>
    <t>-7,054,235.29</t>
  </si>
  <si>
    <t>525840</t>
  </si>
  <si>
    <t>CHEQUE DEPOSIT 525840 BASHEER PULIKKAL    IBRAHIM 202210104 CHQ NO ::525840</t>
  </si>
  <si>
    <t>1,775.00</t>
  </si>
  <si>
    <t>-7,052,460.29</t>
  </si>
  <si>
    <t>2525</t>
  </si>
  <si>
    <t>002401</t>
  </si>
  <si>
    <t>CHEQUE DEPOSIT 002401 SAFDAR AHMED THACHARUPADIKKAL    THAZHETH 702630110 CHQ NO ::002401</t>
  </si>
  <si>
    <t>195,841.00</t>
  </si>
  <si>
    <t>-6,856,619.29</t>
  </si>
  <si>
    <t>2526</t>
  </si>
  <si>
    <t>CHEQUE DEPOSIT 000077 SHAMSHEER KHAN AHAMED KHAN AHAMED  KHAN 802631611 CHQ NO ::000077</t>
  </si>
  <si>
    <t>2,463.42</t>
  </si>
  <si>
    <t>-6,854,155.87</t>
  </si>
  <si>
    <t>2527</t>
  </si>
  <si>
    <t>941178</t>
  </si>
  <si>
    <t>CHEQUE DEPOSIT 941178 MUHAMMAD HAMEED MUHAMMAD   FAREED 804020101 CHQ NO ::941178</t>
  </si>
  <si>
    <t>24,085.85</t>
  </si>
  <si>
    <t>-6,830,070.02</t>
  </si>
  <si>
    <t>2528</t>
  </si>
  <si>
    <t>140536</t>
  </si>
  <si>
    <t>CHEQUE DEPOSIT 140536 IMRAN KHAN SALIM   KHAN 403521119 CHQ NO ::140536</t>
  </si>
  <si>
    <t>201,898.85</t>
  </si>
  <si>
    <t>-6,628,171.17</t>
  </si>
  <si>
    <t>2529</t>
  </si>
  <si>
    <t>364022</t>
  </si>
  <si>
    <t>AL ROSHID</t>
  </si>
  <si>
    <t>CHEQUE DEPOSIT AL ROSHID 701211002 CHQ NO ::364022</t>
  </si>
  <si>
    <t>102,101.00</t>
  </si>
  <si>
    <t>-6,526,070.17</t>
  </si>
  <si>
    <t>2530</t>
  </si>
  <si>
    <t>000449</t>
  </si>
  <si>
    <t>mohammed ali arif</t>
  </si>
  <si>
    <t>CHEQUE DEPOSIT mohammed ali arif 104030136 CHQ NO ::000449</t>
  </si>
  <si>
    <t>16,079.25</t>
  </si>
  <si>
    <t>-6,509,990.92</t>
  </si>
  <si>
    <t>2531</t>
  </si>
  <si>
    <t>CHEQUE DEPOSIT AL BARAKH 104030136 CHQ NO ::000025</t>
  </si>
  <si>
    <t>-6,362,683.42</t>
  </si>
  <si>
    <t>2532</t>
  </si>
  <si>
    <t>000167</t>
  </si>
  <si>
    <t>al naseeb</t>
  </si>
  <si>
    <t>CHEQUE DEPOSIT al naseeb 603830105 CHQ NO ::000167</t>
  </si>
  <si>
    <t>64,890.50</t>
  </si>
  <si>
    <t>-6,297,792.92</t>
  </si>
  <si>
    <t>2533</t>
  </si>
  <si>
    <t>460398</t>
  </si>
  <si>
    <t>CHEQUE DEPOSIT 460398 MUHAMMAD AKRAM NAZAR   MUHAMMAD 603513024 CHQ NO ::460398</t>
  </si>
  <si>
    <t>-6,237,792.92</t>
  </si>
  <si>
    <t>2534</t>
  </si>
  <si>
    <t>500176</t>
  </si>
  <si>
    <t>WAIEL SOUSA</t>
  </si>
  <si>
    <t>CHEQUE DEPOSIT WAIEL SOUSA 805011045 CHQ NO ::500176</t>
  </si>
  <si>
    <t>57,801.75</t>
  </si>
  <si>
    <t>-6,179,991.17</t>
  </si>
  <si>
    <t>2535</t>
  </si>
  <si>
    <t>865634</t>
  </si>
  <si>
    <t>CHEQUE DEPOSIT 865634 BASHEER PULIKKAL    IBRAHIM 003510111 CHQ NO ::865634</t>
  </si>
  <si>
    <t>83,989.75</t>
  </si>
  <si>
    <t>-6,096,001.42</t>
  </si>
  <si>
    <t>2536</t>
  </si>
  <si>
    <t>502434</t>
  </si>
  <si>
    <t>CHEQUE DEPOSIT 502434 SHAMSHEER KHAN AHAMED KHAN AHAMED  KHAN 805030156 CHQ NO ::502434</t>
  </si>
  <si>
    <t>115,066.25</t>
  </si>
  <si>
    <t>-5,980,935.17</t>
  </si>
  <si>
    <t>2537</t>
  </si>
  <si>
    <t>001276</t>
  </si>
  <si>
    <t>CHEQUE DEPOSIT 001276 SAKTHIVEL,CHINNADURAI,,,,CHINNADURAI, 602920102 CHQ NO ::001276</t>
  </si>
  <si>
    <t>187,959.88</t>
  </si>
  <si>
    <t>-5,792,975.29</t>
  </si>
  <si>
    <t>2538</t>
  </si>
  <si>
    <t>012621</t>
  </si>
  <si>
    <t>CHEQUE DEPOSIT 012621 MOHAMMED FACIUL     ALAM SHAH ALAM 903420130 CHQ NO ::012621</t>
  </si>
  <si>
    <t>-5,645,742.79</t>
  </si>
  <si>
    <t>2539</t>
  </si>
  <si>
    <t>000283</t>
  </si>
  <si>
    <t>NAVEED ANWAR USED CARS</t>
  </si>
  <si>
    <t>CHEQUE DEPOSIT NAVEED ANWAR USED CARS 703430137 CHQ NO ::000283</t>
  </si>
  <si>
    <t>174,322.50</t>
  </si>
  <si>
    <t>-5,471,420.29</t>
  </si>
  <si>
    <t>2540</t>
  </si>
  <si>
    <t>002294</t>
  </si>
  <si>
    <t>CHEQUE DEPOSIT 002294 NISSAR MANGADAN MOIDEEN   MANGADAN 503511041 CHQ NO ::002294</t>
  </si>
  <si>
    <t>209,934.10</t>
  </si>
  <si>
    <t>-5,261,486.19</t>
  </si>
  <si>
    <t>2541</t>
  </si>
  <si>
    <t>000182</t>
  </si>
  <si>
    <t>CHEQUE DEPOSIT 000182 MUHAMMAD HAMEED MUHAMMAD   FAREED 704130135 CHQ NO ::000182</t>
  </si>
  <si>
    <t>100,300.00</t>
  </si>
  <si>
    <t>-5,161,186.19</t>
  </si>
  <si>
    <t>2542</t>
  </si>
  <si>
    <t>NAJMAT AL MADINA</t>
  </si>
  <si>
    <t>CHEQUE DEPOSIT NAJMAT AL MADINA 504020188 CHQ NO ::000057</t>
  </si>
  <si>
    <t>99,500.00</t>
  </si>
  <si>
    <t>-5,061,686.19</t>
  </si>
  <si>
    <t>2543</t>
  </si>
  <si>
    <t>CHEQUE DEPOSIT MOHAMMAD REZA 703320106 CHQ NO ::000004</t>
  </si>
  <si>
    <t>-5,011,686.19</t>
  </si>
  <si>
    <t>2544</t>
  </si>
  <si>
    <t>903196</t>
  </si>
  <si>
    <t>CHEQUE DEPOSIT 903196 SHAMSHEER KHAN AHAMED KHAN AHAMED  KHAN 103130112 CHQ NO ::903196</t>
  </si>
  <si>
    <t>47,465.00</t>
  </si>
  <si>
    <t>-4,964,221.19</t>
  </si>
  <si>
    <t>2545</t>
  </si>
  <si>
    <t>566711</t>
  </si>
  <si>
    <t>CHEQUE DEPOSIT 566711 BASHEER PULIKKAL    IBRAHIM 502010101 CHQ NO ::566711</t>
  </si>
  <si>
    <t>-4,864,221.19</t>
  </si>
  <si>
    <t>2546</t>
  </si>
  <si>
    <t>CHEQUE DEPOSIT 000283 IMRAN KHAN SALIM   KHAN 804020112 CHQ NO ::000283</t>
  </si>
  <si>
    <t>38,184.85</t>
  </si>
  <si>
    <t>-4,826,036.34</t>
  </si>
  <si>
    <t>2547</t>
  </si>
  <si>
    <t>005153</t>
  </si>
  <si>
    <t>CHEQUE DEPOSIT 005153 RITHESH JAYA,,,,,SHETTY, 904220102 CHQ NO ::005153</t>
  </si>
  <si>
    <t>193,487.26</t>
  </si>
  <si>
    <t>-4,632,549.08</t>
  </si>
  <si>
    <t>2548</t>
  </si>
  <si>
    <t>PHUB523280416</t>
  </si>
  <si>
    <t>B/O_MIRAGE REC_BOML_523280416_ ADMIN</t>
  </si>
  <si>
    <t>99,209.25</t>
  </si>
  <si>
    <t>-4,533,339.83</t>
  </si>
  <si>
    <t>2549</t>
  </si>
  <si>
    <t>PHUB523283775</t>
  </si>
  <si>
    <t>523283775 B/O RAMESH KAKADE</t>
  </si>
  <si>
    <t>26,960.00</t>
  </si>
  <si>
    <t>-4,506,379.83</t>
  </si>
  <si>
    <t>2550</t>
  </si>
  <si>
    <t>PHUB523287230</t>
  </si>
  <si>
    <t>523287230 B/O AL RABIYA AUTO ACCESSORIES TR LLC</t>
  </si>
  <si>
    <t>4,689.74</t>
  </si>
  <si>
    <t>-4,501,690.09</t>
  </si>
  <si>
    <t>2551</t>
  </si>
  <si>
    <t>50952434207</t>
  </si>
  <si>
    <t>26048533810 MBTRF B/O SURESH SIVARAM</t>
  </si>
  <si>
    <t>23,400.00</t>
  </si>
  <si>
    <t>-4,478,290.09</t>
  </si>
  <si>
    <t>2552</t>
  </si>
  <si>
    <t>PHUB523289227</t>
  </si>
  <si>
    <t>523289227 B/O PANKAJ SHARMA ELECTRONICS TRADING CO. L.L.C</t>
  </si>
  <si>
    <t>-4,474,290.09</t>
  </si>
  <si>
    <t>2553</t>
  </si>
  <si>
    <t>190,567.00</t>
  </si>
  <si>
    <t>-4,283,723.09</t>
  </si>
  <si>
    <t>2554</t>
  </si>
  <si>
    <t>B/O_/011/000 S_NRAK_523290645_Family</t>
  </si>
  <si>
    <t>-4,203,723.09</t>
  </si>
  <si>
    <t>2555</t>
  </si>
  <si>
    <t>50952767062</t>
  </si>
  <si>
    <t>26048920750 MBTRF B/O NASR EDDINE EL MANSOURY</t>
  </si>
  <si>
    <t>-4,103,723.09</t>
  </si>
  <si>
    <t>2556</t>
  </si>
  <si>
    <t>50952792512</t>
  </si>
  <si>
    <t>26048947616 MBTRF B/O STEPHANE MOUSSI NGUEMBE</t>
  </si>
  <si>
    <t>205,000.00</t>
  </si>
  <si>
    <t>-3,898,723.09</t>
  </si>
  <si>
    <t>2557</t>
  </si>
  <si>
    <t>50952813148</t>
  </si>
  <si>
    <t>26048974842 MBTRF B/O STEPHANE MOUSSI NGUEMBE</t>
  </si>
  <si>
    <t>-3,693,723.09</t>
  </si>
  <si>
    <t>2558</t>
  </si>
  <si>
    <t>-3,691,723.09</t>
  </si>
  <si>
    <t>2559</t>
  </si>
  <si>
    <t>50952953015</t>
  </si>
  <si>
    <t>26049138297 MBTRF B/O BINDUMOL VORUGANTI</t>
  </si>
  <si>
    <t>449.50</t>
  </si>
  <si>
    <t>-3,691,273.59</t>
  </si>
  <si>
    <t>2560</t>
  </si>
  <si>
    <t>PHUB523296058</t>
  </si>
  <si>
    <t>523296058 B/O JABER SARI BALOOSH BARAK ALMAZROUEI</t>
  </si>
  <si>
    <t>8,617.75</t>
  </si>
  <si>
    <t>-3,682,655.84</t>
  </si>
  <si>
    <t>2561</t>
  </si>
  <si>
    <t>20,860.00</t>
  </si>
  <si>
    <t>-3,661,795.84</t>
  </si>
  <si>
    <t>2562</t>
  </si>
  <si>
    <t>54730812254486</t>
  </si>
  <si>
    <t>CDM-Cash Deposit-SHOFIQUL ISLAM MAINUDDIN</t>
  </si>
  <si>
    <t>-3,650,795.84</t>
  </si>
  <si>
    <t>50954270508</t>
  </si>
  <si>
    <t>26050700442 MBTRF B/O MOHAMMAD SALMAN SALAHUDDEEN</t>
  </si>
  <si>
    <t>2,526.50</t>
  </si>
  <si>
    <t>-3,648,269.34</t>
  </si>
  <si>
    <t>2564</t>
  </si>
  <si>
    <t>523319239 B/O HALLA EL AYNEN</t>
  </si>
  <si>
    <t>-3,647,069.34</t>
  </si>
  <si>
    <t>2565</t>
  </si>
  <si>
    <t>PHUB523322455</t>
  </si>
  <si>
    <t>523322455 B/O HAMED SOLIMAN</t>
  </si>
  <si>
    <t>-3,643,769.34</t>
  </si>
  <si>
    <t>2566</t>
  </si>
  <si>
    <t>50955028710</t>
  </si>
  <si>
    <t>26051607885 MBTRF B/O MAHDI KHADER</t>
  </si>
  <si>
    <t>17,313.00</t>
  </si>
  <si>
    <t>-3,626,456.34</t>
  </si>
  <si>
    <t>2567</t>
  </si>
  <si>
    <t>PHUB523335607</t>
  </si>
  <si>
    <t>B/O_AHMED MOHAMED SA_523335607</t>
  </si>
  <si>
    <t>33,521.00</t>
  </si>
  <si>
    <t>-3,592,935.34</t>
  </si>
  <si>
    <t>2568</t>
  </si>
  <si>
    <t>PHUB523343906</t>
  </si>
  <si>
    <t>B/O_BERNADETTE MAGSA_523343906</t>
  </si>
  <si>
    <t>32,309.75</t>
  </si>
  <si>
    <t>-3,560,625.59</t>
  </si>
  <si>
    <t>2569</t>
  </si>
  <si>
    <t>PHUB523345034</t>
  </si>
  <si>
    <t>BA121975</t>
  </si>
  <si>
    <t>B/O GAC SHIPPING AND LOGISTICS LLC</t>
  </si>
  <si>
    <t>125,193.25</t>
  </si>
  <si>
    <t>-3,435,432.34</t>
  </si>
  <si>
    <t>2570</t>
  </si>
  <si>
    <t>PHUB523347040</t>
  </si>
  <si>
    <t>B/O_ALADDIN MOHAMED _523347040</t>
  </si>
  <si>
    <t>35,166.25</t>
  </si>
  <si>
    <t>-3,400,266.09</t>
  </si>
  <si>
    <t>2571</t>
  </si>
  <si>
    <t>50956176234</t>
  </si>
  <si>
    <t>26052993163 MBTRF B/O NASR EDDINE EL MANSOURY</t>
  </si>
  <si>
    <t>439.00</t>
  </si>
  <si>
    <t>-3,399,827.09</t>
  </si>
  <si>
    <t>2572</t>
  </si>
  <si>
    <t>PHUB523348397</t>
  </si>
  <si>
    <t>523348397 B/O ALADDIN MOHAMED AHMED HAMMAD</t>
  </si>
  <si>
    <t>3,803.63</t>
  </si>
  <si>
    <t>-3,396,023.46</t>
  </si>
  <si>
    <t>2573</t>
  </si>
  <si>
    <t>PHUB523368703</t>
  </si>
  <si>
    <t>9095</t>
  </si>
  <si>
    <t>B/O INITIATIVE ABU DHABI SP LLC</t>
  </si>
  <si>
    <t>3,380,350.00</t>
  </si>
  <si>
    <t>-15,673.46</t>
  </si>
  <si>
    <t>2574</t>
  </si>
  <si>
    <t>13-Aug-2025</t>
  </si>
  <si>
    <t>50959004251</t>
  </si>
  <si>
    <t>26056418849 MBTRF B/O FATIMA ZAHRA BOUCHIKHI</t>
  </si>
  <si>
    <t>-673.46</t>
  </si>
  <si>
    <t>2575</t>
  </si>
  <si>
    <t>B/O_URUGUAY TR_BOML_523397888_ GOODS</t>
  </si>
  <si>
    <t>19,992.00</t>
  </si>
  <si>
    <t>19,318.54</t>
  </si>
  <si>
    <t>2576</t>
  </si>
  <si>
    <t>PHUB523399005</t>
  </si>
  <si>
    <t>SIMS</t>
  </si>
  <si>
    <t>B/O TOUT AND KIWI FOODSTUFF TRADING</t>
  </si>
  <si>
    <t>48,303.79</t>
  </si>
  <si>
    <t>67,622.33</t>
  </si>
  <si>
    <t>2577</t>
  </si>
  <si>
    <t>50960377625</t>
  </si>
  <si>
    <t>26057852641 MBTRF B/O RANJEET KUMAR</t>
  </si>
  <si>
    <t>70,199.83</t>
  </si>
  <si>
    <t>2578</t>
  </si>
  <si>
    <t>174,315.92</t>
  </si>
  <si>
    <t>244,515.75</t>
  </si>
  <si>
    <t>2579</t>
  </si>
  <si>
    <t>50960554745</t>
  </si>
  <si>
    <t>26058030508 MBTRF B/O SHYAM DHAVALA ANDOR A DHAVALA</t>
  </si>
  <si>
    <t>73,663.75</t>
  </si>
  <si>
    <t>318,179.50</t>
  </si>
  <si>
    <t>2580</t>
  </si>
  <si>
    <t>PHUB523416303</t>
  </si>
  <si>
    <t>8,000,000.00</t>
  </si>
  <si>
    <t>-7,681,820.50</t>
  </si>
  <si>
    <t>2581</t>
  </si>
  <si>
    <t>PHUB523418109</t>
  </si>
  <si>
    <t>523418109 B/O RASHID KHAWAJA</t>
  </si>
  <si>
    <t>2,629.50</t>
  </si>
  <si>
    <t>-7,679,191.00</t>
  </si>
  <si>
    <t>2582</t>
  </si>
  <si>
    <t>2508130849441623</t>
  </si>
  <si>
    <t>NESTO HYPRMRKT AJM, 12TH AUG - Cash Collection TG</t>
  </si>
  <si>
    <t>-7,519,191.00</t>
  </si>
  <si>
    <t>2583</t>
  </si>
  <si>
    <t>2508130849441636</t>
  </si>
  <si>
    <t>CITY CENTER AL ZAHIA SHJ, 12TH AUG - Cash Collection TG</t>
  </si>
  <si>
    <t>-7,369,191.00</t>
  </si>
  <si>
    <t>2584</t>
  </si>
  <si>
    <t>2508130849441639</t>
  </si>
  <si>
    <t>FUJAIRAH, 12TH AUG - Cash Collection TG</t>
  </si>
  <si>
    <t>1,320,000.00</t>
  </si>
  <si>
    <t>-6,049,191.00</t>
  </si>
  <si>
    <t>2585</t>
  </si>
  <si>
    <t>2508130849441642</t>
  </si>
  <si>
    <t>MUWEILAH SHJ, 12TH AUG - Cash Collection TG</t>
  </si>
  <si>
    <t>555,000.00</t>
  </si>
  <si>
    <t>-5,494,191.00</t>
  </si>
  <si>
    <t>2586</t>
  </si>
  <si>
    <t>2508130849441645</t>
  </si>
  <si>
    <t>MEGA MALL SHARJAH BR 1, 12TH AUG - Cash Collection TG</t>
  </si>
  <si>
    <t>-5,274,191.00</t>
  </si>
  <si>
    <t>2587</t>
  </si>
  <si>
    <t>2508130849441648</t>
  </si>
  <si>
    <t>UAQ, 12TH AUG - Cash Collection TG</t>
  </si>
  <si>
    <t>-4,986,191.00</t>
  </si>
  <si>
    <t>2588</t>
  </si>
  <si>
    <t>2508130849441657</t>
  </si>
  <si>
    <t>AL RIGGA METRO STION DXB, 12TH AUG - Cash Collection TG</t>
  </si>
  <si>
    <t>-4,776,191.00</t>
  </si>
  <si>
    <t>2589</t>
  </si>
  <si>
    <t>2508130849451660</t>
  </si>
  <si>
    <t>CLOCK TOWER 1, 12TH AUG - Cash Collection TG</t>
  </si>
  <si>
    <t>-4,116,191.00</t>
  </si>
  <si>
    <t>2590</t>
  </si>
  <si>
    <t>2508130849451667</t>
  </si>
  <si>
    <t>DMALL LG CSK53 TAXI AREA, 12TH AUG - Cash Collection TG</t>
  </si>
  <si>
    <t>301,855.00</t>
  </si>
  <si>
    <t>-3,814,336.00</t>
  </si>
  <si>
    <t>2591</t>
  </si>
  <si>
    <t>2508130849451672</t>
  </si>
  <si>
    <t>AL MINA NESTO BR DXB, 12TH AUG - Cash Collection TG</t>
  </si>
  <si>
    <t>-3,634,336.00</t>
  </si>
  <si>
    <t>2592</t>
  </si>
  <si>
    <t>2508130849451675</t>
  </si>
  <si>
    <t>CO OP SOCIETY SHJ 1, 12TH AUG - Cash Collection TG</t>
  </si>
  <si>
    <t>-3,384,336.00</t>
  </si>
  <si>
    <t>2593</t>
  </si>
  <si>
    <t>2508130849451678</t>
  </si>
  <si>
    <t>KHAN SAHIB BLDG SHJ, 12TH AUG - Cash Collection TG</t>
  </si>
  <si>
    <t>-2,584,336.00</t>
  </si>
  <si>
    <t>2594</t>
  </si>
  <si>
    <t>2508130849451687</t>
  </si>
  <si>
    <t>BUR DUBAI, 12TH AUG - Cash Collection TG</t>
  </si>
  <si>
    <t>-2,084,336.00</t>
  </si>
  <si>
    <t>2595</t>
  </si>
  <si>
    <t>2508130849451690</t>
  </si>
  <si>
    <t>SATWA 1, 12TH AUG - Cash Collection TG</t>
  </si>
  <si>
    <t>-1,694,336.00</t>
  </si>
  <si>
    <t>2596</t>
  </si>
  <si>
    <t>2508130849451703</t>
  </si>
  <si>
    <t>AL NHDA RES TWRS  SHJ, 12TH AUG - Cash Collection TG</t>
  </si>
  <si>
    <t>-1,434,336.00</t>
  </si>
  <si>
    <t>2597</t>
  </si>
  <si>
    <t>2508130849451706</t>
  </si>
  <si>
    <t>AL MADAM SHJ, 12TH AUG - Cash Collection TG</t>
  </si>
  <si>
    <t>-1,164,336.00</t>
  </si>
  <si>
    <t>2598</t>
  </si>
  <si>
    <t>2508130849451709</t>
  </si>
  <si>
    <t>SAJA INDUSTRIAL SHJ 2, 12TH AUG - Cash Collection TG</t>
  </si>
  <si>
    <t>-844,336.00</t>
  </si>
  <si>
    <t>2599</t>
  </si>
  <si>
    <t>2508130849451712</t>
  </si>
  <si>
    <t>DUBAI MALL LG UNIT171, 12TH AUG - Cash Collection TG</t>
  </si>
  <si>
    <t>555,664.00</t>
  </si>
  <si>
    <t>2600</t>
  </si>
  <si>
    <t>2508130849451723</t>
  </si>
  <si>
    <t>KARAMA DUBAI, 12TH AUG - Cash Collection TG</t>
  </si>
  <si>
    <t>805,664.00</t>
  </si>
  <si>
    <t>2601</t>
  </si>
  <si>
    <t>2508130849512690</t>
  </si>
  <si>
    <t>HAYER Al Ain1, 12TH AUG - Cash Collection TG</t>
  </si>
  <si>
    <t>1,115,664.00</t>
  </si>
  <si>
    <t>2602</t>
  </si>
  <si>
    <t>2508130849512696</t>
  </si>
  <si>
    <t>SWEIHAN  ALAIN, 12TH AUG - Cash Collection TG</t>
  </si>
  <si>
    <t>1,265,664.00</t>
  </si>
  <si>
    <t>2603</t>
  </si>
  <si>
    <t>2508130849512704</t>
  </si>
  <si>
    <t>B2B AUH, 12TH AUG - Cash Collection TG</t>
  </si>
  <si>
    <t>1,365,664.00</t>
  </si>
  <si>
    <t>2604</t>
  </si>
  <si>
    <t>2508130849512711</t>
  </si>
  <si>
    <t>Sanaiya Gift Markete Al Ain, 12TH AUG - Cash Collection TG</t>
  </si>
  <si>
    <t>1,575,664.00</t>
  </si>
  <si>
    <t>2605</t>
  </si>
  <si>
    <t>2508130849512727</t>
  </si>
  <si>
    <t>Lulu Hyper Markete Sanaiya Al Ain, 12TH AUG - Cash Collection TG</t>
  </si>
  <si>
    <t>271,000.00</t>
  </si>
  <si>
    <t>1,846,664.00</t>
  </si>
  <si>
    <t>2606</t>
  </si>
  <si>
    <t>2508130849512730</t>
  </si>
  <si>
    <t>Al Yahar Al Ain, 12TH AUG - Cash Collection TG</t>
  </si>
  <si>
    <t>2,236,664.00</t>
  </si>
  <si>
    <t>2607</t>
  </si>
  <si>
    <t>2508130849512738</t>
  </si>
  <si>
    <t>Boutik Mall al Reem island AUH, 12TH AUG - Cash Collection TG</t>
  </si>
  <si>
    <t>2,486,664.00</t>
  </si>
  <si>
    <t>2608</t>
  </si>
  <si>
    <t>2508130849512748</t>
  </si>
  <si>
    <t>TCA AUH, 12TH AUG - Cash Collection TG</t>
  </si>
  <si>
    <t>2,936,664.00</t>
  </si>
  <si>
    <t>2609</t>
  </si>
  <si>
    <t>2508130849512751</t>
  </si>
  <si>
    <t>Al Nahyan Street AUH, 12TH AUG - Cash Collection TG</t>
  </si>
  <si>
    <t>3,106,664.00</t>
  </si>
  <si>
    <t>2610</t>
  </si>
  <si>
    <t>2508130849522764</t>
  </si>
  <si>
    <t>Muroor AUH, 12TH AUG - Cash Collection TG</t>
  </si>
  <si>
    <t>3,286,664.00</t>
  </si>
  <si>
    <t>2611</t>
  </si>
  <si>
    <t>2508130849522767</t>
  </si>
  <si>
    <t>Al Falah St Auh, 12TH AUG - Cash Collection TG</t>
  </si>
  <si>
    <t>3,386,664.00</t>
  </si>
  <si>
    <t>2612</t>
  </si>
  <si>
    <t>2508130849522772</t>
  </si>
  <si>
    <t>Al Wahda AUH, 12TH AUG - Cash Collection TG</t>
  </si>
  <si>
    <t>3,646,664.00</t>
  </si>
  <si>
    <t>2613</t>
  </si>
  <si>
    <t>2508130849522787</t>
  </si>
  <si>
    <t>Zayed 1st Street Electra AUH, 12TH AUG - Cash Collection TG</t>
  </si>
  <si>
    <t>155,000.00</t>
  </si>
  <si>
    <t>3,801,664.00</t>
  </si>
  <si>
    <t>2614</t>
  </si>
  <si>
    <t>2508130849522813</t>
  </si>
  <si>
    <t>Bin Dhgher Tower Khalidya AUH, 12TH AUG - Cash Collection TG</t>
  </si>
  <si>
    <t>1,300,000.00</t>
  </si>
  <si>
    <t>5,101,664.00</t>
  </si>
  <si>
    <t>2615</t>
  </si>
  <si>
    <t>2508130849522823</t>
  </si>
  <si>
    <t>Souk Br Al-Ain, 12TH AUG - Cash Collection TG</t>
  </si>
  <si>
    <t>5,351,664.00</t>
  </si>
  <si>
    <t>2616</t>
  </si>
  <si>
    <t>2508130849522827</t>
  </si>
  <si>
    <t>Al Ain (Clock Tower)1, 12TH AUG - Cash Collection TG</t>
  </si>
  <si>
    <t>5,711,664.00</t>
  </si>
  <si>
    <t>2617</t>
  </si>
  <si>
    <t>2508130849533455</t>
  </si>
  <si>
    <t>Musaffah Shabiya AUH, 12TH AUG - Cash Collection TG</t>
  </si>
  <si>
    <t>6,211,664.00</t>
  </si>
  <si>
    <t>2618</t>
  </si>
  <si>
    <t>2508130849533458</t>
  </si>
  <si>
    <t>Baniyas AUH, 12TH AUG - Cash Collection TG</t>
  </si>
  <si>
    <t>6,691,664.00</t>
  </si>
  <si>
    <t>2619</t>
  </si>
  <si>
    <t>2508130849533465</t>
  </si>
  <si>
    <t>Old Shahama, 12TH AUG - Cash Collection TG</t>
  </si>
  <si>
    <t>6,791,664.00</t>
  </si>
  <si>
    <t>2620</t>
  </si>
  <si>
    <t>2508130849533472</t>
  </si>
  <si>
    <t>AlForshan Central Mall Khalifa City AUH, 12TH AUG - Cash Collection TG</t>
  </si>
  <si>
    <t>6,991,664.00</t>
  </si>
  <si>
    <t>2621</t>
  </si>
  <si>
    <t>2508130849543475</t>
  </si>
  <si>
    <t>Shamkha Mall Abu dhabi, 12TH AUG - Cash Collection TG</t>
  </si>
  <si>
    <t>7,141,664.00</t>
  </si>
  <si>
    <t>2622</t>
  </si>
  <si>
    <t>2508130849543478</t>
  </si>
  <si>
    <t>ICAD Musaffah AUH, 12TH AUG - Cash Collection TG</t>
  </si>
  <si>
    <t>7,456,664.00</t>
  </si>
  <si>
    <t>2623</t>
  </si>
  <si>
    <t>PHUB523425896</t>
  </si>
  <si>
    <t>523425896 B/O ALI MOHAMED IBRAHIM SALEM ALTENEIJI</t>
  </si>
  <si>
    <t>7,466,664.00</t>
  </si>
  <si>
    <t>2624</t>
  </si>
  <si>
    <t>9,003.15</t>
  </si>
  <si>
    <t>7,475,667.15</t>
  </si>
  <si>
    <t>2625</t>
  </si>
  <si>
    <t>PHUB523442000</t>
  </si>
  <si>
    <t>B/O_RAMESH OR _HSBC_523442000_AEV1308</t>
  </si>
  <si>
    <t>209,965.00</t>
  </si>
  <si>
    <t>7,685,632.15</t>
  </si>
  <si>
    <t>2626</t>
  </si>
  <si>
    <t>PHUB523443646</t>
  </si>
  <si>
    <t>B/O_S A A S ADVISORY_523443646</t>
  </si>
  <si>
    <t>22,229.00</t>
  </si>
  <si>
    <t>7,707,861.15</t>
  </si>
  <si>
    <t>2627</t>
  </si>
  <si>
    <t>PHUB523443674</t>
  </si>
  <si>
    <t>B/O_S A A S ADVISORY_523443674</t>
  </si>
  <si>
    <t>17,088.93</t>
  </si>
  <si>
    <t>7,724,950.08</t>
  </si>
  <si>
    <t>2628</t>
  </si>
  <si>
    <t>PHUB523434673</t>
  </si>
  <si>
    <t>B/O_S A A S ADVISORY_523434673</t>
  </si>
  <si>
    <t>18,916.53</t>
  </si>
  <si>
    <t>7,743,866.61</t>
  </si>
  <si>
    <t>2629</t>
  </si>
  <si>
    <t>PHUB523434694</t>
  </si>
  <si>
    <t>523434694 B/O S A A S ADVISORY INVESTMENTS AND TR</t>
  </si>
  <si>
    <t>4,521.80</t>
  </si>
  <si>
    <t>7,748,388.41</t>
  </si>
  <si>
    <t>2630</t>
  </si>
  <si>
    <t>PHUB523435577</t>
  </si>
  <si>
    <t>B/O_AL RABIYA _NBSH_523435577_TOF - T</t>
  </si>
  <si>
    <t>20,726.75</t>
  </si>
  <si>
    <t>7,769,115.16</t>
  </si>
  <si>
    <t>2631</t>
  </si>
  <si>
    <t>B/O_L.L.C NEOTECHNIQ_523435693</t>
  </si>
  <si>
    <t>26,242.21</t>
  </si>
  <si>
    <t>7,795,357.37</t>
  </si>
  <si>
    <t>2632</t>
  </si>
  <si>
    <t>PHUB523463056</t>
  </si>
  <si>
    <t>MOB1308251004218105424</t>
  </si>
  <si>
    <t>113,939.00</t>
  </si>
  <si>
    <t>7,909,296.37</t>
  </si>
  <si>
    <t>2633</t>
  </si>
  <si>
    <t>50962578980</t>
  </si>
  <si>
    <t>26059959163 MBTRF B/O GEORGY THOMAS</t>
  </si>
  <si>
    <t>3,183.00</t>
  </si>
  <si>
    <t>7,912,479.37</t>
  </si>
  <si>
    <t>2634</t>
  </si>
  <si>
    <t>50962602282</t>
  </si>
  <si>
    <t>26059976086 MBTRF B/O SANTHANAM BABU</t>
  </si>
  <si>
    <t>8,162,479.37</t>
  </si>
  <si>
    <t>2635</t>
  </si>
  <si>
    <t>50962630174</t>
  </si>
  <si>
    <t>26060002074 MBTRF B/O SANTHANAM BABU</t>
  </si>
  <si>
    <t>169,841.00</t>
  </si>
  <si>
    <t>8,332,320.37</t>
  </si>
  <si>
    <t>2636</t>
  </si>
  <si>
    <t>PHUB523464965</t>
  </si>
  <si>
    <t>B/O_SHAIMA AWA_ADIB_523464965_Goods b</t>
  </si>
  <si>
    <t>134,476.00</t>
  </si>
  <si>
    <t>8,466,796.37</t>
  </si>
  <si>
    <t>2637</t>
  </si>
  <si>
    <t>3,006.30</t>
  </si>
  <si>
    <t>8,469,802.67</t>
  </si>
  <si>
    <t>2638</t>
  </si>
  <si>
    <t>PHUB523475733</t>
  </si>
  <si>
    <t>B/O_LLC NAJIMAT AL I_523475733</t>
  </si>
  <si>
    <t>15,800.00</t>
  </si>
  <si>
    <t>8,485,602.67</t>
  </si>
  <si>
    <t>2639</t>
  </si>
  <si>
    <t>PHUB523490953</t>
  </si>
  <si>
    <t>8,515,602.67</t>
  </si>
  <si>
    <t>2640</t>
  </si>
  <si>
    <t>ORDER DOOR 13082025</t>
  </si>
  <si>
    <t>TRF TO ORDER DOOR TECHNICAL SERVICES</t>
  </si>
  <si>
    <t>840.00</t>
  </si>
  <si>
    <t>8,514,762.67</t>
  </si>
  <si>
    <t>2641</t>
  </si>
  <si>
    <t>PHUB523495362</t>
  </si>
  <si>
    <t>B/O_RAMESH OR _HSBC_523495362_AEV1308</t>
  </si>
  <si>
    <t>209,790.00</t>
  </si>
  <si>
    <t>8,724,552.67</t>
  </si>
  <si>
    <t>2642</t>
  </si>
  <si>
    <t>PHUB523502678</t>
  </si>
  <si>
    <t>JOHN PAUL 13082025</t>
  </si>
  <si>
    <t>TRF TO JOHN PAUL AC UNITS FIX CONT LLC</t>
  </si>
  <si>
    <t>1,181.25</t>
  </si>
  <si>
    <t>8,723,371.42</t>
  </si>
  <si>
    <t>2643</t>
  </si>
  <si>
    <t>PHUB523502720</t>
  </si>
  <si>
    <t>523502720 B/O MAHMUDUL HASAN</t>
  </si>
  <si>
    <t>1,838.25</t>
  </si>
  <si>
    <t>8,725,209.67</t>
  </si>
  <si>
    <t>2644</t>
  </si>
  <si>
    <t>PHUB523504779</t>
  </si>
  <si>
    <t>523504779 B/O STANFORD MARINE LLC</t>
  </si>
  <si>
    <t>7,168.92</t>
  </si>
  <si>
    <t>8,732,378.59</t>
  </si>
  <si>
    <t>2645</t>
  </si>
  <si>
    <t>523505239 B/O CONSOLIDATED CONTRACTORS ENGINEERING PTE LIMITED</t>
  </si>
  <si>
    <t>34,369.75</t>
  </si>
  <si>
    <t>8,766,748.34</t>
  </si>
  <si>
    <t>2646</t>
  </si>
  <si>
    <t>PHUB523505385</t>
  </si>
  <si>
    <t>REDSPACE 13082025</t>
  </si>
  <si>
    <t>TRF TO RED SPACE AUTOMATIC DOORS</t>
  </si>
  <si>
    <t>8,764,648.34</t>
  </si>
  <si>
    <t>2647</t>
  </si>
  <si>
    <t>PHUB523505386</t>
  </si>
  <si>
    <t>FALAH MOTOR 13082025</t>
  </si>
  <si>
    <t>TRF TO AL FALAH MOTOR WINDING AND REP</t>
  </si>
  <si>
    <t>892.50</t>
  </si>
  <si>
    <t>8,763,755.84</t>
  </si>
  <si>
    <t>2648</t>
  </si>
  <si>
    <t>50964027436</t>
  </si>
  <si>
    <t>2539224069 IBTRF B/O SAKLESHPUR PRASAD &amp;OR SUDHA PRASAD</t>
  </si>
  <si>
    <t>91,947.50</t>
  </si>
  <si>
    <t>8,855,703.34</t>
  </si>
  <si>
    <t>2649</t>
  </si>
  <si>
    <t>50964414518</t>
  </si>
  <si>
    <t>26061652762 MBTRF B/O AMER YOUSEF IBRAHIM ABEDALAZIZ</t>
  </si>
  <si>
    <t>103,789.00</t>
  </si>
  <si>
    <t>8,959,492.34</t>
  </si>
  <si>
    <t>2650</t>
  </si>
  <si>
    <t>9,537.22</t>
  </si>
  <si>
    <t>8,969,029.56</t>
  </si>
  <si>
    <t>2651</t>
  </si>
  <si>
    <t>INHOUSE CHEQUE DEPOSIT 000031 MUHAMMAD HAMEED MUHAMMAD   FAREED AL FARDAN EXCHANGE SP LLC CHQ NO ::000031</t>
  </si>
  <si>
    <t>9,119,029.56</t>
  </si>
  <si>
    <t>2652</t>
  </si>
  <si>
    <t>PHUB523525730</t>
  </si>
  <si>
    <t>B/O DANEM ENGINEERING WORKS FZE</t>
  </si>
  <si>
    <t>249,175.00</t>
  </si>
  <si>
    <t>9,368,204.56</t>
  </si>
  <si>
    <t>2653</t>
  </si>
  <si>
    <t>B/O_FUJAIRAH M_NBFU_523533935_PAYMENT</t>
  </si>
  <si>
    <t>165,465.00</t>
  </si>
  <si>
    <t>9,533,669.56</t>
  </si>
  <si>
    <t>2654</t>
  </si>
  <si>
    <t>50965214850</t>
  </si>
  <si>
    <t>2539268040 IBTRF B/O ALQAISAR WORKSHOP EQU AND MAC SALES</t>
  </si>
  <si>
    <t>79,309.00</t>
  </si>
  <si>
    <t>9,612,978.56</t>
  </si>
  <si>
    <t>2655</t>
  </si>
  <si>
    <t>PHUB523534554</t>
  </si>
  <si>
    <t>IMD 13082025</t>
  </si>
  <si>
    <t>25,194,414.57</t>
  </si>
  <si>
    <t>-15,581,436.01</t>
  </si>
  <si>
    <t>2656</t>
  </si>
  <si>
    <t>PHUB523534858</t>
  </si>
  <si>
    <t>CA 13082025</t>
  </si>
  <si>
    <t>17,000,000.00</t>
  </si>
  <si>
    <t>1,418,563.99</t>
  </si>
  <si>
    <t>2657</t>
  </si>
  <si>
    <t>PHUB523535344</t>
  </si>
  <si>
    <t>17,700,000.00</t>
  </si>
  <si>
    <t>-16,281,436.01</t>
  </si>
  <si>
    <t>2658</t>
  </si>
  <si>
    <t>004546</t>
  </si>
  <si>
    <t>INHOUSE CHEQUE DEPOSIT 004546 SAJEEV KARIKKAPPILLY BALAKRISHNAN CHITTEZHATH  KRI AL FARDAN EXCHANGE SP LLC CHQ NO ::004546</t>
  </si>
  <si>
    <t>88,624.84</t>
  </si>
  <si>
    <t>-16,192,811.17</t>
  </si>
  <si>
    <t>2659</t>
  </si>
  <si>
    <t>PHUB523543515</t>
  </si>
  <si>
    <t>B/O_CUTTING ZA_ADIB_523543515_work</t>
  </si>
  <si>
    <t>18,430.00</t>
  </si>
  <si>
    <t>-16,174,381.17</t>
  </si>
  <si>
    <t>2660</t>
  </si>
  <si>
    <t>PHUB523549811</t>
  </si>
  <si>
    <t>YOUMIR LASER</t>
  </si>
  <si>
    <t>8,731.14</t>
  </si>
  <si>
    <t>-16,165,650.03</t>
  </si>
  <si>
    <t>2661</t>
  </si>
  <si>
    <t>PHUB523550468</t>
  </si>
  <si>
    <t>LIAOCHENG</t>
  </si>
  <si>
    <t>1,162.70</t>
  </si>
  <si>
    <t>-16,164,487.33</t>
  </si>
  <si>
    <t>2662</t>
  </si>
  <si>
    <t>PHUB523551112</t>
  </si>
  <si>
    <t>B/O_EASTERN EU_NBSH_523551112_TOF - T</t>
  </si>
  <si>
    <t>147,020.50</t>
  </si>
  <si>
    <t>-16,017,466.83</t>
  </si>
  <si>
    <t>2663</t>
  </si>
  <si>
    <t>INHOUSE CHEQUE DEPOSIT 000033 SIRAJ MOHAMMED    PILAR AL FARDAN EXCHANGE SP LLC CHQ NO ::000033</t>
  </si>
  <si>
    <t>18,533.00</t>
  </si>
  <si>
    <t>-15,998,933.83</t>
  </si>
  <si>
    <t>2664</t>
  </si>
  <si>
    <t>PHUB523555131</t>
  </si>
  <si>
    <t>AL FARDAN USA T</t>
  </si>
  <si>
    <t>B/O RIGZONE MECHANICAL EQUIPMENT LLC</t>
  </si>
  <si>
    <t>734,760.50</t>
  </si>
  <si>
    <t>-15,264,173.33</t>
  </si>
  <si>
    <t>2665</t>
  </si>
  <si>
    <t>INHOUSE CHEQUE DEPOSIT 000001 MUHAMMAD AKRAM NAZAR   MUHAMMAD AL FARDAN EXCHANGE SP LLC CHQ NO ::000001</t>
  </si>
  <si>
    <t>-14,964,173.33</t>
  </si>
  <si>
    <t>2666</t>
  </si>
  <si>
    <t>PHUB523555370</t>
  </si>
  <si>
    <t>523555370 B/O MR CURTIS LLOYD HOWE</t>
  </si>
  <si>
    <t>-14,961,173.33</t>
  </si>
  <si>
    <t>2667</t>
  </si>
  <si>
    <t>PHUB523558087</t>
  </si>
  <si>
    <t>B/O_BLUE OCEAN_EBIL_523558087_CREW SA</t>
  </si>
  <si>
    <t>177,790.00</t>
  </si>
  <si>
    <t>-14,783,383.33</t>
  </si>
  <si>
    <t>2668</t>
  </si>
  <si>
    <t>PHUB523562209</t>
  </si>
  <si>
    <t>523562209 B/O Sartaj Ahmed Junejo Al Junejo</t>
  </si>
  <si>
    <t>-14,753,383.33</t>
  </si>
  <si>
    <t>2669</t>
  </si>
  <si>
    <t>PHUB523565847</t>
  </si>
  <si>
    <t>250301P2</t>
  </si>
  <si>
    <t>48,367.54</t>
  </si>
  <si>
    <t>-14,705,015.79</t>
  </si>
  <si>
    <t>2670</t>
  </si>
  <si>
    <t>PHUB523568677</t>
  </si>
  <si>
    <t>523568677 B/O MAKANI BUILDING MATERIALS</t>
  </si>
  <si>
    <t>1,089.22</t>
  </si>
  <si>
    <t>-14,703,926.57</t>
  </si>
  <si>
    <t>2671</t>
  </si>
  <si>
    <t>PHUB523573852</t>
  </si>
  <si>
    <t>RESIN</t>
  </si>
  <si>
    <t>11,394.79</t>
  </si>
  <si>
    <t>-14,692,531.78</t>
  </si>
  <si>
    <t>2672</t>
  </si>
  <si>
    <t>50967870700</t>
  </si>
  <si>
    <t>26064857852 MBTRF B/O ALAA MOHAMED MOHAMED YOUSSEF RABIA</t>
  </si>
  <si>
    <t>3,788.00</t>
  </si>
  <si>
    <t>-14,688,743.78</t>
  </si>
  <si>
    <t>2673</t>
  </si>
  <si>
    <t>PHUB523579367</t>
  </si>
  <si>
    <t>B/O_AL FARDAN _EBIL_523579367_AUHADCB</t>
  </si>
  <si>
    <t>-8,688,743.78</t>
  </si>
  <si>
    <t>2674</t>
  </si>
  <si>
    <t>PHUB523579563</t>
  </si>
  <si>
    <t>24,600,000.00</t>
  </si>
  <si>
    <t>15,911,256.22</t>
  </si>
  <si>
    <t>2675</t>
  </si>
  <si>
    <t>PHUB523580478</t>
  </si>
  <si>
    <t>MOB1308251334288109700</t>
  </si>
  <si>
    <t>B/O COSMO CODE COSMETICS TRADING LLC</t>
  </si>
  <si>
    <t>12,026.25</t>
  </si>
  <si>
    <t>15,923,282.47</t>
  </si>
  <si>
    <t>2676</t>
  </si>
  <si>
    <t>PHUB523580595</t>
  </si>
  <si>
    <t>USD BUY 13082025</t>
  </si>
  <si>
    <t>29,019,070.00</t>
  </si>
  <si>
    <t>-13,095,787.53</t>
  </si>
  <si>
    <t>2677</t>
  </si>
  <si>
    <t>PHUB523582417</t>
  </si>
  <si>
    <t>KVLFUJIPAPER</t>
  </si>
  <si>
    <t>742,542.71</t>
  </si>
  <si>
    <t>-12,353,244.82</t>
  </si>
  <si>
    <t>2678</t>
  </si>
  <si>
    <t>B/O_FUJAIRAH M_NBFU_523584007_PAYMENT</t>
  </si>
  <si>
    <t>43,040.00</t>
  </si>
  <si>
    <t>-12,310,204.82</t>
  </si>
  <si>
    <t>2679</t>
  </si>
  <si>
    <t>000276</t>
  </si>
  <si>
    <t>INHOUSE CHEQUE DEPOSIT 000276 SHAMSHEER KHAN AHAMED KHAN AHAMED  KHAN AL FARDAN EXCHANGE SP LLC CHQ NO ::000276</t>
  </si>
  <si>
    <t>17,726.36</t>
  </si>
  <si>
    <t>-12,292,478.46</t>
  </si>
  <si>
    <t>2680</t>
  </si>
  <si>
    <t>MOB1308251357468110173</t>
  </si>
  <si>
    <t>123,372.37</t>
  </si>
  <si>
    <t>-12,169,106.09</t>
  </si>
  <si>
    <t>2681</t>
  </si>
  <si>
    <t>PHUB523593435</t>
  </si>
  <si>
    <t>B/O_TARJAMA FZ_ARAB_523593435_FIS/Tar</t>
  </si>
  <si>
    <t>16,627.38</t>
  </si>
  <si>
    <t>-12,152,478.71</t>
  </si>
  <si>
    <t>2682</t>
  </si>
  <si>
    <t>PHUB523588242</t>
  </si>
  <si>
    <t>B/O_1/GOVERMEN_DUIB_523588242_5020004</t>
  </si>
  <si>
    <t>2,827.22</t>
  </si>
  <si>
    <t>-12,149,651.49</t>
  </si>
  <si>
    <t>2683</t>
  </si>
  <si>
    <t>006926</t>
  </si>
  <si>
    <t>INHOUSE CHEQUE DEPOSIT 006926 MUHAMMAD AKRAM NAZAR   MUHAMMAD AL FARDAN EXCHANGE SP LLC CHQ NO ::006926</t>
  </si>
  <si>
    <t>25,275.75</t>
  </si>
  <si>
    <t>-12,124,375.74</t>
  </si>
  <si>
    <t>2684</t>
  </si>
  <si>
    <t>PHUB523588557</t>
  </si>
  <si>
    <t>113,917.65</t>
  </si>
  <si>
    <t>-12,010,458.09</t>
  </si>
  <si>
    <t>2685</t>
  </si>
  <si>
    <t>PHUB523593980</t>
  </si>
  <si>
    <t>22,706.00</t>
  </si>
  <si>
    <t>-11,987,752.09</t>
  </si>
  <si>
    <t>2686</t>
  </si>
  <si>
    <t>PHUB523589176</t>
  </si>
  <si>
    <t>NON WPS JULY 2025</t>
  </si>
  <si>
    <t>49,737.25</t>
  </si>
  <si>
    <t>-11,938,014.84</t>
  </si>
  <si>
    <t>2687</t>
  </si>
  <si>
    <t>523594499 B/O ALI SULTAN HAMAD SULTAN ALKINDI</t>
  </si>
  <si>
    <t>-11,935,014.84</t>
  </si>
  <si>
    <t>2688</t>
  </si>
  <si>
    <t>120825</t>
  </si>
  <si>
    <t>B/O PROACT ENGINEERING SERVICES LLC</t>
  </si>
  <si>
    <t>65,213.50</t>
  </si>
  <si>
    <t>-11,869,801.34</t>
  </si>
  <si>
    <t>2689</t>
  </si>
  <si>
    <t>PHUB523597767</t>
  </si>
  <si>
    <t>474,771.25</t>
  </si>
  <si>
    <t>-11,395,030.09</t>
  </si>
  <si>
    <t>2690</t>
  </si>
  <si>
    <t>PHUB523602873</t>
  </si>
  <si>
    <t>B/O_TR LLC BAW_ADIB_523602873_goods</t>
  </si>
  <si>
    <t>110,281.00</t>
  </si>
  <si>
    <t>-11,284,749.09</t>
  </si>
  <si>
    <t>2691</t>
  </si>
  <si>
    <t>50969610491</t>
  </si>
  <si>
    <t>26066531505 MBTRF B/O RAMESH GADARLA</t>
  </si>
  <si>
    <t>4,247.69</t>
  </si>
  <si>
    <t>-11,280,501.40</t>
  </si>
  <si>
    <t>2692</t>
  </si>
  <si>
    <t>PHUB523609005</t>
  </si>
  <si>
    <t>FNF OF 3 EMPLOYEES</t>
  </si>
  <si>
    <t>B/O KEC TOWERS LLC</t>
  </si>
  <si>
    <t>9,905.75</t>
  </si>
  <si>
    <t>-11,270,595.65</t>
  </si>
  <si>
    <t>2693</t>
  </si>
  <si>
    <t>PHUB523598669</t>
  </si>
  <si>
    <t>20250812 0040</t>
  </si>
  <si>
    <t>B/O GLOBAL LOGISTIC SERVICES CO LLC</t>
  </si>
  <si>
    <t>1,253,507.97</t>
  </si>
  <si>
    <t>-10,017,087.68</t>
  </si>
  <si>
    <t>2694</t>
  </si>
  <si>
    <t>PHUB523612017</t>
  </si>
  <si>
    <t>523612017 B/O SUBHASHIS DUTTA</t>
  </si>
  <si>
    <t>2,124.50</t>
  </si>
  <si>
    <t>-10,014,963.18</t>
  </si>
  <si>
    <t>2695</t>
  </si>
  <si>
    <t>PHUB523613029</t>
  </si>
  <si>
    <t>B/O_RIGHT LINE_BOML_523613029_ PAYMEN</t>
  </si>
  <si>
    <t>30,918.43</t>
  </si>
  <si>
    <t>-9,984,044.75</t>
  </si>
  <si>
    <t>2696</t>
  </si>
  <si>
    <t>B/O_HOLIDAYS HOUSE F_523613837</t>
  </si>
  <si>
    <t>40,544.45</t>
  </si>
  <si>
    <t>-9,943,500.30</t>
  </si>
  <si>
    <t>2697</t>
  </si>
  <si>
    <t>50970142005</t>
  </si>
  <si>
    <t>26067045337 MBTRF B/O MANDOBY FOR GOVERNMT TRANSACTIONS</t>
  </si>
  <si>
    <t>-9,907,500.30</t>
  </si>
  <si>
    <t>2698</t>
  </si>
  <si>
    <t>B/O_A/C. 19369_ADIB_523617447_Financi</t>
  </si>
  <si>
    <t>-9,797,234.80</t>
  </si>
  <si>
    <t>2699</t>
  </si>
  <si>
    <t>PHUB523617509</t>
  </si>
  <si>
    <t>B/O_GEORGIOS G_BOML_523617509_ TRAVEL</t>
  </si>
  <si>
    <t>43,100.00</t>
  </si>
  <si>
    <t>-9,754,134.80</t>
  </si>
  <si>
    <t>2700</t>
  </si>
  <si>
    <t>85,663.00</t>
  </si>
  <si>
    <t>-9,668,471.80</t>
  </si>
  <si>
    <t>2701</t>
  </si>
  <si>
    <t>PHUB523620500</t>
  </si>
  <si>
    <t>B/O DANEM ENERGY OIL &amp; GAS FZCO</t>
  </si>
  <si>
    <t>198,444.00</t>
  </si>
  <si>
    <t>-9,470,027.80</t>
  </si>
  <si>
    <t>2702</t>
  </si>
  <si>
    <t>PHUB523624060</t>
  </si>
  <si>
    <t>101,393.50</t>
  </si>
  <si>
    <t>-9,368,634.30</t>
  </si>
  <si>
    <t>2703</t>
  </si>
  <si>
    <t>PHUB523624611</t>
  </si>
  <si>
    <t>MOB1308251525148111560</t>
  </si>
  <si>
    <t>216,241.00</t>
  </si>
  <si>
    <t>-9,152,393.30</t>
  </si>
  <si>
    <t>2704</t>
  </si>
  <si>
    <t>MUBARAZ OILFIELD</t>
  </si>
  <si>
    <t>B/O MUBARAZ OILFIELD INSTALLATION LLC</t>
  </si>
  <si>
    <t>1,526.75</t>
  </si>
  <si>
    <t>-9,150,866.55</t>
  </si>
  <si>
    <t>2705</t>
  </si>
  <si>
    <t>PHUB523636807</t>
  </si>
  <si>
    <t>B/O_RAMZI ASSA_EBIL_523636807_Fx aed</t>
  </si>
  <si>
    <t>73,585.25</t>
  </si>
  <si>
    <t>-9,077,281.30</t>
  </si>
  <si>
    <t>2706</t>
  </si>
  <si>
    <t>139,167.25</t>
  </si>
  <si>
    <t>-8,938,114.05</t>
  </si>
  <si>
    <t>2707</t>
  </si>
  <si>
    <t>PHUB523637896</t>
  </si>
  <si>
    <t>B/O_AL BASATA _EBIL_523637896_balance</t>
  </si>
  <si>
    <t>116,356.00</t>
  </si>
  <si>
    <t>-8,821,758.05</t>
  </si>
  <si>
    <t>2708</t>
  </si>
  <si>
    <t>20,948.40</t>
  </si>
  <si>
    <t>-8,800,809.65</t>
  </si>
  <si>
    <t>2709</t>
  </si>
  <si>
    <t>50972116810</t>
  </si>
  <si>
    <t>-8,700,809.65</t>
  </si>
  <si>
    <t>2710</t>
  </si>
  <si>
    <t>50972140822</t>
  </si>
  <si>
    <t>-8,600,809.65</t>
  </si>
  <si>
    <t>2711</t>
  </si>
  <si>
    <t>50972176255</t>
  </si>
  <si>
    <t>1,288.00</t>
  </si>
  <si>
    <t>-8,599,521.65</t>
  </si>
  <si>
    <t>2712</t>
  </si>
  <si>
    <t>PHUB523653066</t>
  </si>
  <si>
    <t>KIDEST WPS</t>
  </si>
  <si>
    <t>B/O SALFORD MARINE SERVICES LLC</t>
  </si>
  <si>
    <t>-8,598,516.40</t>
  </si>
  <si>
    <t>2713</t>
  </si>
  <si>
    <t>50972418272</t>
  </si>
  <si>
    <t>26069233467 MBTRF B/O SAI DHAM VEGETARIAN RESTAURANT LLC</t>
  </si>
  <si>
    <t>525.00</t>
  </si>
  <si>
    <t>-8,597,991.40</t>
  </si>
  <si>
    <t>2714</t>
  </si>
  <si>
    <t>50972452336</t>
  </si>
  <si>
    <t>26069263832 MBTRF B/O JULIAN STEPHAN SNYDERS</t>
  </si>
  <si>
    <t>3,200.00</t>
  </si>
  <si>
    <t>-8,594,791.40</t>
  </si>
  <si>
    <t>2715</t>
  </si>
  <si>
    <t>50972457731</t>
  </si>
  <si>
    <t>26069272412 MBTRF B/O NOOR MUHAMMAD KHAN</t>
  </si>
  <si>
    <t>-8,592,991.40</t>
  </si>
  <si>
    <t>2716</t>
  </si>
  <si>
    <t>PHUB523656415</t>
  </si>
  <si>
    <t>B/O_UNIVERSAL _BARB_523656415_HENAN A</t>
  </si>
  <si>
    <t>16,155.40</t>
  </si>
  <si>
    <t>-8,576,836.00</t>
  </si>
  <si>
    <t>2717</t>
  </si>
  <si>
    <t>PHUB523664488</t>
  </si>
  <si>
    <t>STAFF SALARY JULY 2025</t>
  </si>
  <si>
    <t>B/O TESLA ELECTROMECHANICAL LLC</t>
  </si>
  <si>
    <t>154,517.33</t>
  </si>
  <si>
    <t>-8,422,318.67</t>
  </si>
  <si>
    <t>2718</t>
  </si>
  <si>
    <t>50973261215</t>
  </si>
  <si>
    <t>26070078403 MBTRF B/O MUNDEKKATTIL SHAMSUDHEEN</t>
  </si>
  <si>
    <t>-8,322,318.67</t>
  </si>
  <si>
    <t>2719</t>
  </si>
  <si>
    <t>B/O_LLC SUPER _ADIB_523668672_MAXENTY</t>
  </si>
  <si>
    <t>93,259.23</t>
  </si>
  <si>
    <t>-8,229,059.44</t>
  </si>
  <si>
    <t>2720</t>
  </si>
  <si>
    <t>PHUB523675550</t>
  </si>
  <si>
    <t>SHJ EMPLYEES JULY 2025</t>
  </si>
  <si>
    <t>B/O BEST QUALITY MARBLE GRANITE FIX LLC</t>
  </si>
  <si>
    <t>17,045.46</t>
  </si>
  <si>
    <t>-8,212,013.98</t>
  </si>
  <si>
    <t>2721</t>
  </si>
  <si>
    <t>PHUB523671914</t>
  </si>
  <si>
    <t>DXB EMPLOYEES JULY 2025</t>
  </si>
  <si>
    <t>2,445.38</t>
  </si>
  <si>
    <t>-8,209,568.60</t>
  </si>
  <si>
    <t>2722</t>
  </si>
  <si>
    <t>PHUB523676147</t>
  </si>
  <si>
    <t>B/O_MARQUIS CO_NBSH_523676147_TRF TO</t>
  </si>
  <si>
    <t>196,426.69</t>
  </si>
  <si>
    <t>-8,013,141.91</t>
  </si>
  <si>
    <t>2723</t>
  </si>
  <si>
    <t>PHUB523672162</t>
  </si>
  <si>
    <t>MOB1308251725388113440</t>
  </si>
  <si>
    <t>5,060.00</t>
  </si>
  <si>
    <t>-8,008,081.91</t>
  </si>
  <si>
    <t>2724</t>
  </si>
  <si>
    <t>PHUB523672288</t>
  </si>
  <si>
    <t>MOB1308251726268113469</t>
  </si>
  <si>
    <t>-8,000,581.91</t>
  </si>
  <si>
    <t>2725</t>
  </si>
  <si>
    <t>B/O_ISMAT SEAL_NBSH_523672578_YANGZHO</t>
  </si>
  <si>
    <t>63,711.67</t>
  </si>
  <si>
    <t>-7,936,870.24</t>
  </si>
  <si>
    <t>2726</t>
  </si>
  <si>
    <t>PHUB523672793</t>
  </si>
  <si>
    <t>MOB1308251728438113480</t>
  </si>
  <si>
    <t>6,003.00</t>
  </si>
  <si>
    <t>-7,930,867.24</t>
  </si>
  <si>
    <t>2727</t>
  </si>
  <si>
    <t>CHEQUE DEPOSIT 000015 MUHAMMAD AKRAM NAZAR   MUHAMMAD 304012039 CHQ NO ::000015</t>
  </si>
  <si>
    <t>63,000.00</t>
  </si>
  <si>
    <t>-7,867,867.24</t>
  </si>
  <si>
    <t>2728</t>
  </si>
  <si>
    <t>CHEQUE DEPOSIT 000036 MUHAMMAD HAMEED MUHAMMAD   FAREED 501130101 CHQ NO ::000036</t>
  </si>
  <si>
    <t>12,643.06</t>
  </si>
  <si>
    <t>-7,855,224.18</t>
  </si>
  <si>
    <t>2729</t>
  </si>
  <si>
    <t>007761</t>
  </si>
  <si>
    <t>CHEQUE DEPOSIT 007761 AATIB,KHAN NABAB,,,,ALI KHAN, 502620137 CHQ NO ::007761</t>
  </si>
  <si>
    <t>54,300.25</t>
  </si>
  <si>
    <t>-7,800,923.93</t>
  </si>
  <si>
    <t>2730</t>
  </si>
  <si>
    <t>000226</t>
  </si>
  <si>
    <t>RUKN AL QAMAR USED</t>
  </si>
  <si>
    <t>CHEQUE DEPOSIT RUKN AL QAMAR USED 603430129 CHQ NO ::000226</t>
  </si>
  <si>
    <t>24,932.50</t>
  </si>
  <si>
    <t>-7,775,991.43</t>
  </si>
  <si>
    <t>2731</t>
  </si>
  <si>
    <t>000016</t>
  </si>
  <si>
    <t>CHEQUE DEPOSIT JAMSHAID MUNEER 703430256 CHQ NO ::000016</t>
  </si>
  <si>
    <t>79,671.48</t>
  </si>
  <si>
    <t>-7,696,319.95</t>
  </si>
  <si>
    <t>2732</t>
  </si>
  <si>
    <t>CHEQUE DEPOSIT 000151 SHAMSHEER KHAN AHAMED KHAN AHAMED  KHAN 004220109 CHQ NO ::000151</t>
  </si>
  <si>
    <t>385,728.00</t>
  </si>
  <si>
    <t>-7,310,591.95</t>
  </si>
  <si>
    <t>2733</t>
  </si>
  <si>
    <t>007760</t>
  </si>
  <si>
    <t>CHEQUE DEPOSIT 007760 AATIB,KHAN NABAB,,,,ALI KHAN, 502620137 CHQ NO ::007760</t>
  </si>
  <si>
    <t>60,101.25</t>
  </si>
  <si>
    <t>-7,250,490.70</t>
  </si>
  <si>
    <t>2734</t>
  </si>
  <si>
    <t>391485</t>
  </si>
  <si>
    <t>CHEQUE DEPOSIT 391485 BASHEER PULIKKAL    IBRAHIM 702410103 CHQ NO ::391485</t>
  </si>
  <si>
    <t>34,828.75</t>
  </si>
  <si>
    <t>-7,215,661.95</t>
  </si>
  <si>
    <t>2735</t>
  </si>
  <si>
    <t>008276</t>
  </si>
  <si>
    <t>CHEQUE DEPOSIT 008276 SHAMSHEER KHAN AHAMED KHAN AHAMED  KHAN 304630121 CHQ NO ::008276</t>
  </si>
  <si>
    <t>127,103.00</t>
  </si>
  <si>
    <t>-7,088,558.95</t>
  </si>
  <si>
    <t>2736</t>
  </si>
  <si>
    <t>000183</t>
  </si>
  <si>
    <t>CHEQUE DEPOSIT 000183 MUHAMMAD HAMEED MUHAMMAD   FAREED 603830105 CHQ NO ::000183</t>
  </si>
  <si>
    <t>147,040.50</t>
  </si>
  <si>
    <t>-6,941,518.45</t>
  </si>
  <si>
    <t>2737</t>
  </si>
  <si>
    <t>002261</t>
  </si>
  <si>
    <t>CHEQUE DEPOSIT 002261 SHAMSHEER KHAN AHAMED KHAN AHAMED  KHAN 600930105 CHQ NO ::002261</t>
  </si>
  <si>
    <t>60,023.45</t>
  </si>
  <si>
    <t>-6,881,495.00</t>
  </si>
  <si>
    <t>2738</t>
  </si>
  <si>
    <t>007759</t>
  </si>
  <si>
    <t>CHEQUE DEPOSIT 007759 AATIB,KHAN NABAB,,,,ALI KHAN, 502620137 CHQ NO ::007759</t>
  </si>
  <si>
    <t>5,659.25</t>
  </si>
  <si>
    <t>-6,875,835.75</t>
  </si>
  <si>
    <t>2739</t>
  </si>
  <si>
    <t>002326</t>
  </si>
  <si>
    <t>CHEQUE DEPOSIT 002326 MUHAMMAD,BILAL,,,,MUHAMMAD ILYAS, 903320188 CHQ NO ::002326</t>
  </si>
  <si>
    <t>1,659.00</t>
  </si>
  <si>
    <t>-6,874,176.75</t>
  </si>
  <si>
    <t>2740</t>
  </si>
  <si>
    <t>078282</t>
  </si>
  <si>
    <t>CHEQUE DEPOSIT 078282 BASHEER PULIKKAL    IBRAHIM 502010101 CHQ NO ::078282</t>
  </si>
  <si>
    <t>42,770.00</t>
  </si>
  <si>
    <t>-6,831,406.75</t>
  </si>
  <si>
    <t>2741</t>
  </si>
  <si>
    <t>001237</t>
  </si>
  <si>
    <t>CHEQUE DEPOSIT 001237 MUHAMMAD,HAMEED,MUHAMMAD,,,FAREED, 203320145 CHQ NO ::001237</t>
  </si>
  <si>
    <t>8,073.00</t>
  </si>
  <si>
    <t>-6,823,333.75</t>
  </si>
  <si>
    <t>2742</t>
  </si>
  <si>
    <t>CHEQUE DEPOSIT 000034 SUBAIR     NAIYAKKARILLATH 805740101 CHQ NO ::000034</t>
  </si>
  <si>
    <t>16,873.25</t>
  </si>
  <si>
    <t>-6,806,460.50</t>
  </si>
  <si>
    <t>2743</t>
  </si>
  <si>
    <t>79,830.39</t>
  </si>
  <si>
    <t>-6,726,630.11</t>
  </si>
  <si>
    <t>2744</t>
  </si>
  <si>
    <t>CHEQUE DEPOSIT 000031 SHAMSHEER KHAN AHAMED KHAN AHAMED  KHAN 402620163 CHQ NO ::000031</t>
  </si>
  <si>
    <t>52,083.00</t>
  </si>
  <si>
    <t>-6,674,547.11</t>
  </si>
  <si>
    <t>2745</t>
  </si>
  <si>
    <t>503398</t>
  </si>
  <si>
    <t>ROBOAA</t>
  </si>
  <si>
    <t>CHEQUE DEPOSIT ROBOAA 805011001 CHQ NO ::503398</t>
  </si>
  <si>
    <t>44,918.00</t>
  </si>
  <si>
    <t>-6,629,629.11</t>
  </si>
  <si>
    <t>2746</t>
  </si>
  <si>
    <t>CHEQUE DEPOSIT AL NAJM AL BURAQ 003420289 CHQ NO ::000047</t>
  </si>
  <si>
    <t>130,006.50</t>
  </si>
  <si>
    <t>-6,499,622.61</t>
  </si>
  <si>
    <t>2747</t>
  </si>
  <si>
    <t>000648</t>
  </si>
  <si>
    <t>CHEQUE DEPOSIT 000648 OMAIR NAEEM MUHAMMAD   NAEEM 602920102 CHQ NO ::000648</t>
  </si>
  <si>
    <t>257,581.15</t>
  </si>
  <si>
    <t>-6,242,041.46</t>
  </si>
  <si>
    <t>2748</t>
  </si>
  <si>
    <t>000275</t>
  </si>
  <si>
    <t>CHEQUE DEPOSIT 000275 SOUFIYAN,,,,,ANAIMI, 602620145 CHQ NO ::000275</t>
  </si>
  <si>
    <t>772,782.07</t>
  </si>
  <si>
    <t>-5,469,259.39</t>
  </si>
  <si>
    <t>2749</t>
  </si>
  <si>
    <t>000587</t>
  </si>
  <si>
    <t>CHEQUE DEPOSIT 000587 UNNIKRISHNAN     MELATH VEETTIL 801111002 CHQ NO ::000587</t>
  </si>
  <si>
    <t>36,202.50</t>
  </si>
  <si>
    <t>-5,433,056.89</t>
  </si>
  <si>
    <t>2750</t>
  </si>
  <si>
    <t>CHEQUE DEPOSIT 000003 SHAHEED MOHAMMED CHAKKALATHOPPE   PUTHIYAD 502610103 CHQ NO ::000003</t>
  </si>
  <si>
    <t>29,997.00</t>
  </si>
  <si>
    <t>-5,403,059.89</t>
  </si>
  <si>
    <t>2751</t>
  </si>
  <si>
    <t>CHEQUE DEPOSIT 000035 SUBAIR     NAIYAKKARILLATH 805740101 CHQ NO ::000035</t>
  </si>
  <si>
    <t>-5,343,059.89</t>
  </si>
  <si>
    <t>2752</t>
  </si>
  <si>
    <t>000026</t>
  </si>
  <si>
    <t>CHEQUE DEPOSIT AL BARAKAH 104030136 CHQ NO ::000026</t>
  </si>
  <si>
    <t>44,107.25</t>
  </si>
  <si>
    <t>-5,298,952.64</t>
  </si>
  <si>
    <t>2753</t>
  </si>
  <si>
    <t>502437</t>
  </si>
  <si>
    <t>CHEQUE DEPOSIT 502437 SHAMSHEER KHAN AHAMED KHAN AHAMED  KHAN 805030156 CHQ NO ::502437</t>
  </si>
  <si>
    <t>169,697.25</t>
  </si>
  <si>
    <t>-5,129,255.39</t>
  </si>
  <si>
    <t>2754</t>
  </si>
  <si>
    <t>000676</t>
  </si>
  <si>
    <t>AYOON AL MAHA</t>
  </si>
  <si>
    <t>CHEQUE DEPOSIT AYOON AL MAHA 404111067 CHQ NO ::000676</t>
  </si>
  <si>
    <t>70,123.75</t>
  </si>
  <si>
    <t>-5,059,131.64</t>
  </si>
  <si>
    <t>2755</t>
  </si>
  <si>
    <t>000463</t>
  </si>
  <si>
    <t>AL KARAWAN</t>
  </si>
  <si>
    <t>CHEQUE DEPOSIT AL KARAWAN 404111067 CHQ NO ::000463</t>
  </si>
  <si>
    <t>11,859.00</t>
  </si>
  <si>
    <t>-5,047,272.64</t>
  </si>
  <si>
    <t>2756</t>
  </si>
  <si>
    <t>CHEQUE DEPOSIT 000038 SHAHEED MOHAMMED CHAKKALATHOPPE   PUTHIYAD 404710101 CHQ NO ::000038</t>
  </si>
  <si>
    <t>5,955.25</t>
  </si>
  <si>
    <t>-5,041,317.39</t>
  </si>
  <si>
    <t>2757</t>
  </si>
  <si>
    <t>PHUB523699371</t>
  </si>
  <si>
    <t>523699371 B/O CSS KINGSTON LOGISTICS FZC</t>
  </si>
  <si>
    <t>1,723.38</t>
  </si>
  <si>
    <t>-5,039,594.01</t>
  </si>
  <si>
    <t>2758</t>
  </si>
  <si>
    <t>1,122.10</t>
  </si>
  <si>
    <t>-5,038,471.91</t>
  </si>
  <si>
    <t>2759</t>
  </si>
  <si>
    <t>158,214.04</t>
  </si>
  <si>
    <t>-4,880,257.87</t>
  </si>
  <si>
    <t>2760</t>
  </si>
  <si>
    <t>CHEQUE DEPOSIT 000494 SIRAJ MOHAMMED    PILAR 003810101 CHQ NO ::000494</t>
  </si>
  <si>
    <t>63,500.00</t>
  </si>
  <si>
    <t>-4,816,757.87</t>
  </si>
  <si>
    <t>2761</t>
  </si>
  <si>
    <t>50975486181</t>
  </si>
  <si>
    <t>26072421491 MBTRF B/O JEBA PRAKASH KAMALESAN</t>
  </si>
  <si>
    <t>-4,786,757.87</t>
  </si>
  <si>
    <t>2762</t>
  </si>
  <si>
    <t>PHUB523709289</t>
  </si>
  <si>
    <t>523709289 B/O NARENDRA DAMODAR PARGAONKAR</t>
  </si>
  <si>
    <t>25,322.00</t>
  </si>
  <si>
    <t>-4,761,435.87</t>
  </si>
  <si>
    <t>2763</t>
  </si>
  <si>
    <t>1,482.10</t>
  </si>
  <si>
    <t>-4,759,953.77</t>
  </si>
  <si>
    <t>2764</t>
  </si>
  <si>
    <t>PHUB523719490</t>
  </si>
  <si>
    <t>523719490 B/O AHMED IBRAHIM MOHAMED ALMAAZMI</t>
  </si>
  <si>
    <t>7,132.50</t>
  </si>
  <si>
    <t>-4,752,821.27</t>
  </si>
  <si>
    <t>2765</t>
  </si>
  <si>
    <t>50976359431</t>
  </si>
  <si>
    <t>26073414674 MBTRF B/O SHAJI VARGHESE</t>
  </si>
  <si>
    <t>25,332.50</t>
  </si>
  <si>
    <t>-4,727,488.77</t>
  </si>
  <si>
    <t>2766</t>
  </si>
  <si>
    <t>50976434183</t>
  </si>
  <si>
    <t>26073496946 MBTRF B/O BAHAA ELDIN MOHD ABBAS S O ELASWANI</t>
  </si>
  <si>
    <t>208,290.00</t>
  </si>
  <si>
    <t>-4,519,198.77</t>
  </si>
  <si>
    <t>2767</t>
  </si>
  <si>
    <t>PHUB523726128</t>
  </si>
  <si>
    <t>523726128 B/O JABER SARI BALOOSH BARAK ALMAZROUEI</t>
  </si>
  <si>
    <t>2,079.00</t>
  </si>
  <si>
    <t>-4,517,119.77</t>
  </si>
  <si>
    <t>2768</t>
  </si>
  <si>
    <t>50977053089</t>
  </si>
  <si>
    <t>26074225032 MBTRF B/O MOAZ ABDELRAHIM ABDELLATIF HASSAN</t>
  </si>
  <si>
    <t>14,485.00</t>
  </si>
  <si>
    <t>-4,502,634.77</t>
  </si>
  <si>
    <t>2769</t>
  </si>
  <si>
    <t>PHUB523735088</t>
  </si>
  <si>
    <t>B/O_KHALAF KHA_ADIB_523735088_Financi</t>
  </si>
  <si>
    <t>86,532.50</t>
  </si>
  <si>
    <t>-4,416,102.27</t>
  </si>
  <si>
    <t>2770</t>
  </si>
  <si>
    <t>50977355696</t>
  </si>
  <si>
    <t>26074579080 MBTRF B/O ANIS MOUELHI</t>
  </si>
  <si>
    <t>-4,408,102.27</t>
  </si>
  <si>
    <t>2771</t>
  </si>
  <si>
    <t>50977679879</t>
  </si>
  <si>
    <t>2539654859 IBTRF B/O VELOUMANY SIVAKOLUNDU</t>
  </si>
  <si>
    <t>-4,392,902.27</t>
  </si>
  <si>
    <t>2772</t>
  </si>
  <si>
    <t>PHUB523761908</t>
  </si>
  <si>
    <t>MOB1308252123338117119</t>
  </si>
  <si>
    <t>7,082.33</t>
  </si>
  <si>
    <t>-4,385,819.94</t>
  </si>
  <si>
    <t>2773</t>
  </si>
  <si>
    <t>PHUB523762551</t>
  </si>
  <si>
    <t>MOB1308252125348117157</t>
  </si>
  <si>
    <t>9,748.08</t>
  </si>
  <si>
    <t>-4,376,071.86</t>
  </si>
  <si>
    <t>2774</t>
  </si>
  <si>
    <t>50980273113</t>
  </si>
  <si>
    <t>2539709600 IBTRF B/O RANJIT KEDIA</t>
  </si>
  <si>
    <t>-4,346,071.86</t>
  </si>
  <si>
    <t>2775</t>
  </si>
  <si>
    <t>14-Aug-2025</t>
  </si>
  <si>
    <t>PHUB523809547</t>
  </si>
  <si>
    <t>ENDOMAG  61075GBP</t>
  </si>
  <si>
    <t>306,180.40</t>
  </si>
  <si>
    <t>-4,039,891.46</t>
  </si>
  <si>
    <t>2776</t>
  </si>
  <si>
    <t>PHUB523814430</t>
  </si>
  <si>
    <t>TEBO HYDRAULIC</t>
  </si>
  <si>
    <t>79,676.08</t>
  </si>
  <si>
    <t>-3,960,215.38</t>
  </si>
  <si>
    <t>2777</t>
  </si>
  <si>
    <t>PHUB523823035</t>
  </si>
  <si>
    <t>523823035 B/O ABDUL REHMAN QURESHI</t>
  </si>
  <si>
    <t>1,050.00</t>
  </si>
  <si>
    <t>-3,959,165.38</t>
  </si>
  <si>
    <t>2778</t>
  </si>
  <si>
    <t>PHUB523824948</t>
  </si>
  <si>
    <t>B/O_SUNIL KUMA_SCBL_523824948_.</t>
  </si>
  <si>
    <t>84,380.00</t>
  </si>
  <si>
    <t>-3,874,785.38</t>
  </si>
  <si>
    <t>2779</t>
  </si>
  <si>
    <t>50984100819</t>
  </si>
  <si>
    <t>26082430995 MBTRF B/O TANAKORN GAEWKAMSON</t>
  </si>
  <si>
    <t>-3,824,785.38</t>
  </si>
  <si>
    <t>2780</t>
  </si>
  <si>
    <t>2508140836432026</t>
  </si>
  <si>
    <t>Musaffah Shabiya AUH, 13TH AUG - Cash Collection TG</t>
  </si>
  <si>
    <t>-3,574,785.38</t>
  </si>
  <si>
    <t>2781</t>
  </si>
  <si>
    <t>2508140836432039</t>
  </si>
  <si>
    <t>M38 PLOT 48 SHOP 02 BIG MART MUSSAFAH, 13TH AUG - Cash Collection TG</t>
  </si>
  <si>
    <t>-3,264,785.38</t>
  </si>
  <si>
    <t>2782</t>
  </si>
  <si>
    <t>2508140836432048</t>
  </si>
  <si>
    <t>Musaffah Saniya AUH, 13TH AUG - Cash Collection TG</t>
  </si>
  <si>
    <t>-2,834,785.38</t>
  </si>
  <si>
    <t>2783</t>
  </si>
  <si>
    <t>2508140836432051</t>
  </si>
  <si>
    <t>Baniyas AUH, 13TH AUG - Cash Collection TG</t>
  </si>
  <si>
    <t>-2,484,785.38</t>
  </si>
  <si>
    <t>2784</t>
  </si>
  <si>
    <t>2508140836432070</t>
  </si>
  <si>
    <t>Old Shahama, 13TH AUG - Cash Collection TG</t>
  </si>
  <si>
    <t>-2,374,785.38</t>
  </si>
  <si>
    <t>2785</t>
  </si>
  <si>
    <t>2508140836432089</t>
  </si>
  <si>
    <t>Shamkha Mall Abu dhabi, 13TH AUG - Cash Collection TG</t>
  </si>
  <si>
    <t>-2,174,785.38</t>
  </si>
  <si>
    <t>2786</t>
  </si>
  <si>
    <t>2508140836432096</t>
  </si>
  <si>
    <t>Mafraq Center Baniyas AUH, 13TH AUG - Cash Collection TG</t>
  </si>
  <si>
    <t>-1,874,785.38</t>
  </si>
  <si>
    <t>2787</t>
  </si>
  <si>
    <t>2508140836462386</t>
  </si>
  <si>
    <t>HAYER Al Ain1, 13TH AUG - Cash Collection TG</t>
  </si>
  <si>
    <t>-1,624,785.38</t>
  </si>
  <si>
    <t>2788</t>
  </si>
  <si>
    <t>2508140836462389</t>
  </si>
  <si>
    <t>SWEIHAN  ALAIN, 13TH AUG - Cash Collection TG</t>
  </si>
  <si>
    <t>-1,394,785.38</t>
  </si>
  <si>
    <t>2789</t>
  </si>
  <si>
    <t>2508140836462392</t>
  </si>
  <si>
    <t>AL FOAH MALL AL-AIN, 13TH AUG - Cash Collection TG</t>
  </si>
  <si>
    <t>-1,114,785.38</t>
  </si>
  <si>
    <t>2790</t>
  </si>
  <si>
    <t>2508140836462395</t>
  </si>
  <si>
    <t>Lulu Hyper Markete Sanaiya Al Ain, 13TH AUG - Cash Collection TG</t>
  </si>
  <si>
    <t>-914,785.38</t>
  </si>
  <si>
    <t>2791</t>
  </si>
  <si>
    <t>2508140836462914</t>
  </si>
  <si>
    <t>Al Yahar Al Ain, 13TH AUG - Cash Collection TG</t>
  </si>
  <si>
    <t>-414,785.38</t>
  </si>
  <si>
    <t>2792</t>
  </si>
  <si>
    <t>2508140836472917</t>
  </si>
  <si>
    <t>Boutik Mall al Reem island AUH, 13TH AUG - Cash Collection TG</t>
  </si>
  <si>
    <t>-194,785.38</t>
  </si>
  <si>
    <t>2793</t>
  </si>
  <si>
    <t>2508140836472920</t>
  </si>
  <si>
    <t>TCA AUH, 13TH AUG - Cash Collection TG</t>
  </si>
  <si>
    <t>405,000.00</t>
  </si>
  <si>
    <t>210,214.62</t>
  </si>
  <si>
    <t>2794</t>
  </si>
  <si>
    <t>2508140836472923</t>
  </si>
  <si>
    <t>Muroor AUH, 13TH AUG - Cash Collection TG</t>
  </si>
  <si>
    <t>400,214.62</t>
  </si>
  <si>
    <t>2795</t>
  </si>
  <si>
    <t>2508140836472926</t>
  </si>
  <si>
    <t>B2B AUH, 13TH AUG - Cash Collection TG</t>
  </si>
  <si>
    <t>610,214.62</t>
  </si>
  <si>
    <t>2796</t>
  </si>
  <si>
    <t>2508140836472929</t>
  </si>
  <si>
    <t>Al Wahda AUH, 13TH AUG - Cash Collection TG</t>
  </si>
  <si>
    <t>810,214.62</t>
  </si>
  <si>
    <t>2797</t>
  </si>
  <si>
    <t>2508140836472932</t>
  </si>
  <si>
    <t>Zayed 1st Street Electra AUH, 13TH AUG - Cash Collection TG</t>
  </si>
  <si>
    <t>1,700,214.62</t>
  </si>
  <si>
    <t>2798</t>
  </si>
  <si>
    <t>2508140836472935</t>
  </si>
  <si>
    <t>Hamdan Abu Dhabi, 13TH AUG - Cash Collection TG</t>
  </si>
  <si>
    <t>2,550,214.62</t>
  </si>
  <si>
    <t>2799</t>
  </si>
  <si>
    <t>2508140836472938</t>
  </si>
  <si>
    <t>Bin Dhgher Tower Khalidya AUH, 13TH AUG - Cash Collection TG</t>
  </si>
  <si>
    <t>1,190,000.00</t>
  </si>
  <si>
    <t>3,740,214.62</t>
  </si>
  <si>
    <t>2800</t>
  </si>
  <si>
    <t>2508140836472957</t>
  </si>
  <si>
    <t>Souk Br Al-Ain, 13TH AUG - Cash Collection TG</t>
  </si>
  <si>
    <t>3,950,214.62</t>
  </si>
  <si>
    <t>2801</t>
  </si>
  <si>
    <t>2508140836472976</t>
  </si>
  <si>
    <t>Al Ain (Clock Tower)1, 13TH AUG - Cash Collection TG</t>
  </si>
  <si>
    <t>4,670,214.62</t>
  </si>
  <si>
    <t>2802</t>
  </si>
  <si>
    <t>2508140836543466</t>
  </si>
  <si>
    <t>NESTO HYPRMRKT AJM, 13TH AUG - Cash Collection TG</t>
  </si>
  <si>
    <t>4,930,214.62</t>
  </si>
  <si>
    <t>2803</t>
  </si>
  <si>
    <t>2508140836543469</t>
  </si>
  <si>
    <t>CITY CENTER AL ZAHIA SHJ, 13TH AUG - Cash Collection TG</t>
  </si>
  <si>
    <t>5,080,214.62</t>
  </si>
  <si>
    <t>2804</t>
  </si>
  <si>
    <t>2508140836543472</t>
  </si>
  <si>
    <t>MOE 1, 13TH AUG - Cash Collection TG</t>
  </si>
  <si>
    <t>300,280.00</t>
  </si>
  <si>
    <t>5,380,494.62</t>
  </si>
  <si>
    <t>2805</t>
  </si>
  <si>
    <t>2508140836543475</t>
  </si>
  <si>
    <t>NAIF RD, 13TH AUG - Cash Collection TG</t>
  </si>
  <si>
    <t>5,705,494.62</t>
  </si>
  <si>
    <t>2806</t>
  </si>
  <si>
    <t>2508140836543478</t>
  </si>
  <si>
    <t>DEIRA CCM DUBAI, 13TH AUG - Cash Collection TG</t>
  </si>
  <si>
    <t>17,705,494.62</t>
  </si>
  <si>
    <t>2807</t>
  </si>
  <si>
    <t>2508140836543497</t>
  </si>
  <si>
    <t>AL KHAN BMW SHJ, 13TH AUG - Cash Collection TG</t>
  </si>
  <si>
    <t>18,135,494.62</t>
  </si>
  <si>
    <t>2808</t>
  </si>
  <si>
    <t>2508140836543500</t>
  </si>
  <si>
    <t>UAQ, 13TH AUG - Cash Collection TG</t>
  </si>
  <si>
    <t>18,395,494.62</t>
  </si>
  <si>
    <t>2809</t>
  </si>
  <si>
    <t>2508140836543519</t>
  </si>
  <si>
    <t>AL RIGGA METRO STION DXB, 13TH AUG - Cash Collection TG</t>
  </si>
  <si>
    <t>18,565,494.62</t>
  </si>
  <si>
    <t>2810</t>
  </si>
  <si>
    <t>2508140836543522</t>
  </si>
  <si>
    <t>CLOCK TOWER 1, 13TH AUG - Cash Collection TG</t>
  </si>
  <si>
    <t>19,035,494.62</t>
  </si>
  <si>
    <t>2811</t>
  </si>
  <si>
    <t>2508140836543525</t>
  </si>
  <si>
    <t>AL MINA NESTO BR DXB, 13TH AUG - Cash Collection TG</t>
  </si>
  <si>
    <t>19,185,494.62</t>
  </si>
  <si>
    <t>2812</t>
  </si>
  <si>
    <t>2508140836543544</t>
  </si>
  <si>
    <t>CO OP SOCIETY SHJ 1, 13TH AUG - Cash Collection TG</t>
  </si>
  <si>
    <t>19,345,494.62</t>
  </si>
  <si>
    <t>2813</t>
  </si>
  <si>
    <t>2508140836543560</t>
  </si>
  <si>
    <t>BUR DUBAI, 13TH AUG - Cash Collection TG</t>
  </si>
  <si>
    <t>19,745,494.62</t>
  </si>
  <si>
    <t>2814</t>
  </si>
  <si>
    <t>2508140836553582</t>
  </si>
  <si>
    <t>AL NHDA RES TWRS  SHJ, 13TH AUG - Cash Collection TG</t>
  </si>
  <si>
    <t>19,985,494.62</t>
  </si>
  <si>
    <t>2815</t>
  </si>
  <si>
    <t>2508140836553585</t>
  </si>
  <si>
    <t>AL MADAM SHJ, 13TH AUG - Cash Collection TG</t>
  </si>
  <si>
    <t>20,285,494.62</t>
  </si>
  <si>
    <t>2816</t>
  </si>
  <si>
    <t>2508140836553588</t>
  </si>
  <si>
    <t>SAJA INDUSTRIAL SHJ 2, 13TH AUG - Cash Collection TG</t>
  </si>
  <si>
    <t>20,585,494.62</t>
  </si>
  <si>
    <t>2817</t>
  </si>
  <si>
    <t>2508140836553591</t>
  </si>
  <si>
    <t>IND AREA 3 SHJ, 13TH AUG - Cash Collection TG</t>
  </si>
  <si>
    <t>111,220.00</t>
  </si>
  <si>
    <t>20,696,714.62</t>
  </si>
  <si>
    <t>2818</t>
  </si>
  <si>
    <t>2508140836553594</t>
  </si>
  <si>
    <t>KARAMA DUBAI, 13TH AUG - Cash Collection TG</t>
  </si>
  <si>
    <t>20,996,714.62</t>
  </si>
  <si>
    <t>2819</t>
  </si>
  <si>
    <t>50,028.35</t>
  </si>
  <si>
    <t>21,046,742.97</t>
  </si>
  <si>
    <t>2820</t>
  </si>
  <si>
    <t>PHUB523846184</t>
  </si>
  <si>
    <t>523846184 B/O NEXT MOVE SHIPPING SERVICES (FZE)</t>
  </si>
  <si>
    <t>1,244.12</t>
  </si>
  <si>
    <t>21,047,987.09</t>
  </si>
  <si>
    <t>2821</t>
  </si>
  <si>
    <t>PHUB523849019</t>
  </si>
  <si>
    <t>BPAAS</t>
  </si>
  <si>
    <t>B/O EMERPRO IT SOLUTION</t>
  </si>
  <si>
    <t>6,894.14</t>
  </si>
  <si>
    <t>21,054,881.23</t>
  </si>
  <si>
    <t>2822</t>
  </si>
  <si>
    <t>PHUB523849390</t>
  </si>
  <si>
    <t>B/O_NEXT MOVE _BOML_523849390_ AIR TR</t>
  </si>
  <si>
    <t>13,360.37</t>
  </si>
  <si>
    <t>21,068,241.60</t>
  </si>
  <si>
    <t>2823</t>
  </si>
  <si>
    <t>B/O_LLC GREEN GARDEN_523850538</t>
  </si>
  <si>
    <t>18,435.50</t>
  </si>
  <si>
    <t>21,086,677.10</t>
  </si>
  <si>
    <t>2824</t>
  </si>
  <si>
    <t>50985325767</t>
  </si>
  <si>
    <t>2539828110 IBTRF B/O PUNNILATH MOHAMED MOHAMED SHAHIN</t>
  </si>
  <si>
    <t>17,500.00</t>
  </si>
  <si>
    <t>21,104,177.10</t>
  </si>
  <si>
    <t>2825</t>
  </si>
  <si>
    <t>12,300.00</t>
  </si>
  <si>
    <t>21,116,477.10</t>
  </si>
  <si>
    <t>2826</t>
  </si>
  <si>
    <t>PHUB523870731</t>
  </si>
  <si>
    <t>IMD 14082025</t>
  </si>
  <si>
    <t>37,143,183.65</t>
  </si>
  <si>
    <t>-16,026,706.55</t>
  </si>
  <si>
    <t>2827</t>
  </si>
  <si>
    <t>PHUB523870838</t>
  </si>
  <si>
    <t>MOB1408250946038120413</t>
  </si>
  <si>
    <t>B/O NORTH SEA MARINE ENGINEERING</t>
  </si>
  <si>
    <t>17,739.00</t>
  </si>
  <si>
    <t>-16,008,967.55</t>
  </si>
  <si>
    <t>2828</t>
  </si>
  <si>
    <t>PHUB523871810</t>
  </si>
  <si>
    <t>B/O_LLC GREEN _ADIB_523871810_transfe</t>
  </si>
  <si>
    <t>-15,949,229.55</t>
  </si>
  <si>
    <t>2829</t>
  </si>
  <si>
    <t>PHUB523873331</t>
  </si>
  <si>
    <t>MOB1408250949198120451</t>
  </si>
  <si>
    <t>42,554.00</t>
  </si>
  <si>
    <t>-15,906,675.55</t>
  </si>
  <si>
    <t>2830</t>
  </si>
  <si>
    <t>PHUB523874289</t>
  </si>
  <si>
    <t>SURENDRA JULY SALARY</t>
  </si>
  <si>
    <t>3,016.00</t>
  </si>
  <si>
    <t>-15,903,659.55</t>
  </si>
  <si>
    <t>2831</t>
  </si>
  <si>
    <t>PHUB523876126</t>
  </si>
  <si>
    <t>EOS EX2975</t>
  </si>
  <si>
    <t>O/W TRF 523876126</t>
  </si>
  <si>
    <t>3,529.00</t>
  </si>
  <si>
    <t>-15,907,188.55</t>
  </si>
  <si>
    <t>2832</t>
  </si>
  <si>
    <t>CHCB523876126</t>
  </si>
  <si>
    <t>O/W PROCESSING CHARGE 523876126</t>
  </si>
  <si>
    <t>-15,907,204.30</t>
  </si>
  <si>
    <t>2833</t>
  </si>
  <si>
    <t>CHRG523876126</t>
  </si>
  <si>
    <t>O/W CORR BK CHARGE 523876126</t>
  </si>
  <si>
    <t>-15,907,205.35</t>
  </si>
  <si>
    <t>2834</t>
  </si>
  <si>
    <t>PHUB523876599</t>
  </si>
  <si>
    <t>MOB1408250956598120554</t>
  </si>
  <si>
    <t>37,487.00</t>
  </si>
  <si>
    <t>-15,869,718.35</t>
  </si>
  <si>
    <t>2835</t>
  </si>
  <si>
    <t>PHUB523883211</t>
  </si>
  <si>
    <t>523883211 B/O ALI MOHAMED IBRAHIM SALEM ALTENEIJI</t>
  </si>
  <si>
    <t>6,750.00</t>
  </si>
  <si>
    <t>-15,862,968.35</t>
  </si>
  <si>
    <t>2836</t>
  </si>
  <si>
    <t>15,965.75</t>
  </si>
  <si>
    <t>-15,847,002.60</t>
  </si>
  <si>
    <t>2837</t>
  </si>
  <si>
    <t>PHUB523890620</t>
  </si>
  <si>
    <t>36,729.00</t>
  </si>
  <si>
    <t>-15,810,273.60</t>
  </si>
  <si>
    <t>2838</t>
  </si>
  <si>
    <t>10,003.15</t>
  </si>
  <si>
    <t>-15,800,270.45</t>
  </si>
  <si>
    <t>2839</t>
  </si>
  <si>
    <t>PHUB523893655</t>
  </si>
  <si>
    <t>B/O_ALI MOHAMED IBRA_523893655</t>
  </si>
  <si>
    <t>11,750.00</t>
  </si>
  <si>
    <t>-15,788,520.45</t>
  </si>
  <si>
    <t>2840</t>
  </si>
  <si>
    <t>PHUB523914073</t>
  </si>
  <si>
    <t>15,527.00</t>
  </si>
  <si>
    <t>-15,772,993.45</t>
  </si>
  <si>
    <t>2841</t>
  </si>
  <si>
    <t>PHUB523907879</t>
  </si>
  <si>
    <t>48,361.00</t>
  </si>
  <si>
    <t>-15,724,632.45</t>
  </si>
  <si>
    <t>2842</t>
  </si>
  <si>
    <t>2508141027398730</t>
  </si>
  <si>
    <t>Cash Deposit</t>
  </si>
  <si>
    <t>73,550.00</t>
  </si>
  <si>
    <t>-15,651,082.45</t>
  </si>
  <si>
    <t>2843</t>
  </si>
  <si>
    <t>PHUB523918878</t>
  </si>
  <si>
    <t>AL FARDAN EXCH</t>
  </si>
  <si>
    <t>8,830.00</t>
  </si>
  <si>
    <t>-15,642,252.45</t>
  </si>
  <si>
    <t>2844</t>
  </si>
  <si>
    <t>PHUB523920763</t>
  </si>
  <si>
    <t>BPV000533</t>
  </si>
  <si>
    <t>B/O HASSAN IBRAHIM A.F REAL ESTATE LLC</t>
  </si>
  <si>
    <t>12,707.50</t>
  </si>
  <si>
    <t>-15,629,544.95</t>
  </si>
  <si>
    <t>2845</t>
  </si>
  <si>
    <t>PHUB523920764</t>
  </si>
  <si>
    <t>BPV000538</t>
  </si>
  <si>
    <t>5,300.00</t>
  </si>
  <si>
    <t>-15,624,244.95</t>
  </si>
  <si>
    <t>2846</t>
  </si>
  <si>
    <t>PHUB523920768</t>
  </si>
  <si>
    <t>120820254</t>
  </si>
  <si>
    <t>14,592.27</t>
  </si>
  <si>
    <t>-15,609,652.68</t>
  </si>
  <si>
    <t>2847</t>
  </si>
  <si>
    <t>PHUB523921645</t>
  </si>
  <si>
    <t>523921645 B/O KHALED MUBARAK ALI HELAL</t>
  </si>
  <si>
    <t>25,925.00</t>
  </si>
  <si>
    <t>-15,583,727.68</t>
  </si>
  <si>
    <t>2848</t>
  </si>
  <si>
    <t>PHUB523925630</t>
  </si>
  <si>
    <t>B/O_LLC M B E _ADIB_523925630_TRN REF</t>
  </si>
  <si>
    <t>134,319.50</t>
  </si>
  <si>
    <t>-15,449,408.18</t>
  </si>
  <si>
    <t>2849</t>
  </si>
  <si>
    <t>PHUB523925469</t>
  </si>
  <si>
    <t>B/O_(L.L.C) BESAN HO_523925469</t>
  </si>
  <si>
    <t>11,081.00</t>
  </si>
  <si>
    <t>-15,438,327.18</t>
  </si>
  <si>
    <t>2850</t>
  </si>
  <si>
    <t>PHUB523930068</t>
  </si>
  <si>
    <t>523930068 B/O MABROUK MOUSTAFA ABDELLATIF</t>
  </si>
  <si>
    <t>380.00</t>
  </si>
  <si>
    <t>-15,437,947.18</t>
  </si>
  <si>
    <t>2851</t>
  </si>
  <si>
    <t>MOB1408251116228121972</t>
  </si>
  <si>
    <t>-15,410,469.68</t>
  </si>
  <si>
    <t>2852</t>
  </si>
  <si>
    <t>14,124.15</t>
  </si>
  <si>
    <t>-15,396,345.53</t>
  </si>
  <si>
    <t>2853</t>
  </si>
  <si>
    <t>PHUB523943639</t>
  </si>
  <si>
    <t>B/O_AL THEEB E_EBIL_523943639_GOODS B</t>
  </si>
  <si>
    <t>811.00</t>
  </si>
  <si>
    <t>-15,395,534.53</t>
  </si>
  <si>
    <t>2854</t>
  </si>
  <si>
    <t>PHUB523943682</t>
  </si>
  <si>
    <t>B/O_THAER ABDALLAH A_523943682</t>
  </si>
  <si>
    <t>25,978.25</t>
  </si>
  <si>
    <t>-15,369,556.28</t>
  </si>
  <si>
    <t>2855</t>
  </si>
  <si>
    <t>50988323551</t>
  </si>
  <si>
    <t>26086316864 MBTRF B/O SHELBY DANAE NEHO</t>
  </si>
  <si>
    <t>-15,347,356.28</t>
  </si>
  <si>
    <t>2856</t>
  </si>
  <si>
    <t>50988350750</t>
  </si>
  <si>
    <t>2539951132 IBTRF B/O MANORANJAN SYAMAL AND OR SABITA</t>
  </si>
  <si>
    <t>25,353.75</t>
  </si>
  <si>
    <t>-15,322,002.53</t>
  </si>
  <si>
    <t>2857</t>
  </si>
  <si>
    <t>PHUB523951083</t>
  </si>
  <si>
    <t>MOB1408251144138122529</t>
  </si>
  <si>
    <t>B/O KUNOOZ kids entertainment CENTRE</t>
  </si>
  <si>
    <t>3,526.25</t>
  </si>
  <si>
    <t>-15,318,476.28</t>
  </si>
  <si>
    <t>2858</t>
  </si>
  <si>
    <t>50989045537</t>
  </si>
  <si>
    <t>2539977246 IBTRF B/O NATIONAL FLOWERS LLC SPC</t>
  </si>
  <si>
    <t>71,213.61</t>
  </si>
  <si>
    <t>-15,247,262.67</t>
  </si>
  <si>
    <t>2859</t>
  </si>
  <si>
    <t>50989139760</t>
  </si>
  <si>
    <t>2539980924 IBTRF B/O NATIONAL FLOWERS LLC SPC</t>
  </si>
  <si>
    <t>-15,147,262.67</t>
  </si>
  <si>
    <t>2860</t>
  </si>
  <si>
    <t>14,438.00</t>
  </si>
  <si>
    <t>-15,132,824.67</t>
  </si>
  <si>
    <t>2861</t>
  </si>
  <si>
    <t>PHUB523974471</t>
  </si>
  <si>
    <t>13007651</t>
  </si>
  <si>
    <t>B/O M A S MEDICAL SURGICAL ARTICLES &amp; R</t>
  </si>
  <si>
    <t>18,717.07</t>
  </si>
  <si>
    <t>-15,114,107.60</t>
  </si>
  <si>
    <t>2862</t>
  </si>
  <si>
    <t>PHUB523978134</t>
  </si>
  <si>
    <t>MOB1408251242118123735</t>
  </si>
  <si>
    <t>B/O TECH LEADERZ TECHNICAL SERVICES</t>
  </si>
  <si>
    <t>10,350.00</t>
  </si>
  <si>
    <t>-15,103,757.60</t>
  </si>
  <si>
    <t>2863</t>
  </si>
  <si>
    <t>PHUB523984919</t>
  </si>
  <si>
    <t>CA 14082025</t>
  </si>
  <si>
    <t>36,900,000.00</t>
  </si>
  <si>
    <t>21,796,242.40</t>
  </si>
  <si>
    <t>2864</t>
  </si>
  <si>
    <t>PHUB523984972</t>
  </si>
  <si>
    <t>B/O_(L.L.C) CLIMA GU_523984972</t>
  </si>
  <si>
    <t>2,478.50</t>
  </si>
  <si>
    <t>21,798,720.90</t>
  </si>
  <si>
    <t>2865</t>
  </si>
  <si>
    <t>PHUB523986880</t>
  </si>
  <si>
    <t>MOB1408251300318124077</t>
  </si>
  <si>
    <t>21,817,151.40</t>
  </si>
  <si>
    <t>2866</t>
  </si>
  <si>
    <t>PHUB523986845</t>
  </si>
  <si>
    <t>21,467,151.40</t>
  </si>
  <si>
    <t>2867</t>
  </si>
  <si>
    <t>PHUB523987346</t>
  </si>
  <si>
    <t>81,636.32</t>
  </si>
  <si>
    <t>21,548,787.72</t>
  </si>
  <si>
    <t>2868</t>
  </si>
  <si>
    <t>019567</t>
  </si>
  <si>
    <t>INHOUSE CHEQUE DEPOSIT 019567 NIYAS ELLIKKAL VEERANKUTTY   ELLIKKAL AL FARDAN EXCHANGE SP LLC CHQ NO ::019567</t>
  </si>
  <si>
    <t>154,775.98</t>
  </si>
  <si>
    <t>21,703,563.70</t>
  </si>
  <si>
    <t>2869</t>
  </si>
  <si>
    <t>000208</t>
  </si>
  <si>
    <t>INHOUSE CHEQUE DEPOSIT 000208 BASHEER PULIKKAL    IBRAHIM AL FARDAN EXCHANGE SP LLC CHQ NO ::000208</t>
  </si>
  <si>
    <t>89,520.00</t>
  </si>
  <si>
    <t>21,793,083.70</t>
  </si>
  <si>
    <t>2870</t>
  </si>
  <si>
    <t>005762</t>
  </si>
  <si>
    <t>INHOUSE CHEQUE DEPOSIT 005762 ANIL,ANTO PUTHUSSERY,ANTO,PUTHUSSERY,,DEVASSY, AL FARDAN EXCHANGE SP LLC CHQ NO ::005762</t>
  </si>
  <si>
    <t>148,500.00</t>
  </si>
  <si>
    <t>21,941,583.70</t>
  </si>
  <si>
    <t>2871</t>
  </si>
  <si>
    <t>50990760346</t>
  </si>
  <si>
    <t>26088568226 MBTRF B/O MANAL ALI ALSAYEGH</t>
  </si>
  <si>
    <t>21,946,583.70</t>
  </si>
  <si>
    <t>2872</t>
  </si>
  <si>
    <t>PHUB523993513</t>
  </si>
  <si>
    <t>USD BUY 14082025</t>
  </si>
  <si>
    <t>34,529,020.00</t>
  </si>
  <si>
    <t>-12,582,436.30</t>
  </si>
  <si>
    <t>2873</t>
  </si>
  <si>
    <t>006864</t>
  </si>
  <si>
    <t>INHOUSE CHEQUE DEPOSIT 006864 VIPIN,MEERANTHODI,VIJAYAN,,,MEERANTHODI, AL FARDAN EXCHANGE SP LLC CHQ NO ::006864</t>
  </si>
  <si>
    <t>234,663.77</t>
  </si>
  <si>
    <t>-12,347,772.53</t>
  </si>
  <si>
    <t>2874</t>
  </si>
  <si>
    <t>CRANLEIGH 14082025</t>
  </si>
  <si>
    <t>TRF TO Cranleigh School Abu Dhabi</t>
  </si>
  <si>
    <t>48,405.00</t>
  </si>
  <si>
    <t>-12,396,177.53</t>
  </si>
  <si>
    <t>2875</t>
  </si>
  <si>
    <t>45,380.00</t>
  </si>
  <si>
    <t>-12,441,557.53</t>
  </si>
  <si>
    <t>2876</t>
  </si>
  <si>
    <t>PHUB523998469</t>
  </si>
  <si>
    <t>TT LOCAL</t>
  </si>
  <si>
    <t>B/O LAMCO NEW TECHNICAL LLC</t>
  </si>
  <si>
    <t>16,618.50</t>
  </si>
  <si>
    <t>-12,424,939.03</t>
  </si>
  <si>
    <t>2877</t>
  </si>
  <si>
    <t>PHUB524000413</t>
  </si>
  <si>
    <t>B/O_MOHAMMED S_EBIL_524000413_Car</t>
  </si>
  <si>
    <t>71,852.00</t>
  </si>
  <si>
    <t>-12,353,087.03</t>
  </si>
  <si>
    <t>2878</t>
  </si>
  <si>
    <t>50991313478</t>
  </si>
  <si>
    <t>26089103265 MBTRF B/O MANDOBY FOR GOVERNMT TRANSACTIONS</t>
  </si>
  <si>
    <t>-12,317,087.03</t>
  </si>
  <si>
    <t>2879</t>
  </si>
  <si>
    <t>PHUB524006665</t>
  </si>
  <si>
    <t>11453502</t>
  </si>
  <si>
    <t>B/O APT GLOBAL MARINE N O/F ENG RMC FZC</t>
  </si>
  <si>
    <t>91,305.00</t>
  </si>
  <si>
    <t>-12,225,782.03</t>
  </si>
  <si>
    <t>2880</t>
  </si>
  <si>
    <t>B/O_HAMED S M _NBSH_524003536_TOF - T</t>
  </si>
  <si>
    <t>140,362.00</t>
  </si>
  <si>
    <t>-12,085,420.03</t>
  </si>
  <si>
    <t>2881</t>
  </si>
  <si>
    <t>PHUB524004208</t>
  </si>
  <si>
    <t>JAN JULY SALARY</t>
  </si>
  <si>
    <t>B/O VALIDATE TCH.SERVICES.SP.LLC</t>
  </si>
  <si>
    <t>-12,082,420.03</t>
  </si>
  <si>
    <t>2882</t>
  </si>
  <si>
    <t>50991583745</t>
  </si>
  <si>
    <t>2540067705 IBTRF B/O JOINTECH FIRST AIR CON MAINT</t>
  </si>
  <si>
    <t>3,458.87</t>
  </si>
  <si>
    <t>-12,078,961.16</t>
  </si>
  <si>
    <t>2883</t>
  </si>
  <si>
    <t>50991763109</t>
  </si>
  <si>
    <t>26089526237 MBTRF B/O YOUSSEF SAKNI</t>
  </si>
  <si>
    <t>4,330.00</t>
  </si>
  <si>
    <t>-12,074,631.16</t>
  </si>
  <si>
    <t>2884</t>
  </si>
  <si>
    <t>50991897697</t>
  </si>
  <si>
    <t>26089659931 MBTRF B/O NOOR MUHAMMAD KHAN</t>
  </si>
  <si>
    <t>-12,072,831.16</t>
  </si>
  <si>
    <t>2885</t>
  </si>
  <si>
    <t>326,009.95</t>
  </si>
  <si>
    <t>-11,746,821.21</t>
  </si>
  <si>
    <t>2886</t>
  </si>
  <si>
    <t>16,526.25</t>
  </si>
  <si>
    <t>-11,730,294.96</t>
  </si>
  <si>
    <t>2887</t>
  </si>
  <si>
    <t>005761</t>
  </si>
  <si>
    <t>INHOUSE CHEQUE DEPOSIT 005761 ANIL,ANTO PUTHUSSERY,ANTO,PUTHUSSERY,,DEVASSY, AL FARDAN EXCHANGE SP LLC CHQ NO ::005761</t>
  </si>
  <si>
    <t>96,075.00</t>
  </si>
  <si>
    <t>-11,634,219.96</t>
  </si>
  <si>
    <t>2888</t>
  </si>
  <si>
    <t>PHUB524026418</t>
  </si>
  <si>
    <t>FINESSE 14082025</t>
  </si>
  <si>
    <t>TRF TO FINESSE FZ LLC</t>
  </si>
  <si>
    <t>31,331.02</t>
  </si>
  <si>
    <t>-11,665,550.98</t>
  </si>
  <si>
    <t>2889</t>
  </si>
  <si>
    <t>PHUB524026768</t>
  </si>
  <si>
    <t>11327297</t>
  </si>
  <si>
    <t>B/O SUPREME INDUSTRIAL TOOLS TRD LLC</t>
  </si>
  <si>
    <t>-11,645,550.98</t>
  </si>
  <si>
    <t>2890</t>
  </si>
  <si>
    <t>50992231673</t>
  </si>
  <si>
    <t>2540089294 IBTRF B/O ARCSYS MIDDLE EAST CONTRACT LLC OPC</t>
  </si>
  <si>
    <t>29,229.75</t>
  </si>
  <si>
    <t>-11,616,321.23</t>
  </si>
  <si>
    <t>2891</t>
  </si>
  <si>
    <t>PHUB524022413</t>
  </si>
  <si>
    <t>BILRS PHILIPPINES</t>
  </si>
  <si>
    <t>-11,541,294.23</t>
  </si>
  <si>
    <t>2892</t>
  </si>
  <si>
    <t>50992648659</t>
  </si>
  <si>
    <t>2540102505 IBTRF B/O AMOGH PROJECT MANAGEMENT L L C</t>
  </si>
  <si>
    <t>23,189.00</t>
  </si>
  <si>
    <t>-11,518,105.23</t>
  </si>
  <si>
    <t>2893</t>
  </si>
  <si>
    <t>-11,488,875.48</t>
  </si>
  <si>
    <t>2894</t>
  </si>
  <si>
    <t>19,403.00</t>
  </si>
  <si>
    <t>-11,469,472.48</t>
  </si>
  <si>
    <t>2895</t>
  </si>
  <si>
    <t>PV3165</t>
  </si>
  <si>
    <t>10,575.81</t>
  </si>
  <si>
    <t>-11,458,896.67</t>
  </si>
  <si>
    <t>2896</t>
  </si>
  <si>
    <t>PHUB524040496</t>
  </si>
  <si>
    <t>524040496 B/O PNEUMA SHIPPING L.L.C</t>
  </si>
  <si>
    <t>1,383.14</t>
  </si>
  <si>
    <t>-11,457,513.53</t>
  </si>
  <si>
    <t>2897</t>
  </si>
  <si>
    <t>PHUB524048577</t>
  </si>
  <si>
    <t>B/O_PROPRIETOR_ADIB_524048577_ref 562</t>
  </si>
  <si>
    <t>238,838.00</t>
  </si>
  <si>
    <t>-11,218,675.53</t>
  </si>
  <si>
    <t>2898</t>
  </si>
  <si>
    <t>147,310.30</t>
  </si>
  <si>
    <t>-11,071,365.23</t>
  </si>
  <si>
    <t>2899</t>
  </si>
  <si>
    <t>50993422367</t>
  </si>
  <si>
    <t>26091102121 MBTRF B/O SAMHA BUSINESS SERVICES</t>
  </si>
  <si>
    <t>4,026.25</t>
  </si>
  <si>
    <t>-11,067,338.98</t>
  </si>
  <si>
    <t>2900</t>
  </si>
  <si>
    <t>50993542569</t>
  </si>
  <si>
    <t>26091218780 MBTRF B/O SAMHA BUSINESS SERVICES</t>
  </si>
  <si>
    <t>-11,063,312.73</t>
  </si>
  <si>
    <t>2901</t>
  </si>
  <si>
    <t>2022508140001374</t>
  </si>
  <si>
    <t>NONREF 2022508140001374</t>
  </si>
  <si>
    <t>-1,018,312.73</t>
  </si>
  <si>
    <t>2902</t>
  </si>
  <si>
    <t>50994496799</t>
  </si>
  <si>
    <t>26092124142 MBTRF B/O MOHAMMAD GOHAR AQEEL KHAN</t>
  </si>
  <si>
    <t>-993,312.73</t>
  </si>
  <si>
    <t>2903</t>
  </si>
  <si>
    <t>000079</t>
  </si>
  <si>
    <t>INHOUSE CHEQUE DEPOSIT 000079 MUHAMMAD AKRAM NAZAR   MUHAMMAD AL FARDAN EXCHANGE SP LLC CHQ NO ::000079</t>
  </si>
  <si>
    <t>90,739.75</t>
  </si>
  <si>
    <t>-902,572.98</t>
  </si>
  <si>
    <t>2904</t>
  </si>
  <si>
    <t>50994803434</t>
  </si>
  <si>
    <t>26092413232 MBTRF B/O USMAN YASIR WARRAICH</t>
  </si>
  <si>
    <t>1,300.00</t>
  </si>
  <si>
    <t>-901,272.98</t>
  </si>
  <si>
    <t>2905</t>
  </si>
  <si>
    <t>50994803731</t>
  </si>
  <si>
    <t>26092413760 MBTRF B/O BARKHA RAHUL MALLY</t>
  </si>
  <si>
    <t>-717,492.98</t>
  </si>
  <si>
    <t>2906</t>
  </si>
  <si>
    <t>16,837.80</t>
  </si>
  <si>
    <t>-700,655.18</t>
  </si>
  <si>
    <t>2907</t>
  </si>
  <si>
    <t>-650,655.18</t>
  </si>
  <si>
    <t>2908</t>
  </si>
  <si>
    <t>PHUB524103346</t>
  </si>
  <si>
    <t>6,599.74</t>
  </si>
  <si>
    <t>-644,055.44</t>
  </si>
  <si>
    <t>2909</t>
  </si>
  <si>
    <t>31,565.00</t>
  </si>
  <si>
    <t>-612,490.44</t>
  </si>
  <si>
    <t>2910</t>
  </si>
  <si>
    <t>PHUB524106601</t>
  </si>
  <si>
    <t>MOB1408251727528128486</t>
  </si>
  <si>
    <t>B/O SHAMS AL NOOR SHIPPING SERVICE LLC</t>
  </si>
  <si>
    <t>88,787.00</t>
  </si>
  <si>
    <t>-523,703.44</t>
  </si>
  <si>
    <t>2911</t>
  </si>
  <si>
    <t>PHUB524108821</t>
  </si>
  <si>
    <t>524108821 B/O KHALED MUBARAK ALI HELAL</t>
  </si>
  <si>
    <t>-520,703.44</t>
  </si>
  <si>
    <t>2912</t>
  </si>
  <si>
    <t>000391</t>
  </si>
  <si>
    <t>CHEQUE DEPOSIT 000391 MUHAMMAD,HAMEED,MUHAMMAD,,,FAREED, 104030136 CHQ NO ::000391</t>
  </si>
  <si>
    <t>30,778.75</t>
  </si>
  <si>
    <t>-489,924.69</t>
  </si>
  <si>
    <t>2913</t>
  </si>
  <si>
    <t>601788</t>
  </si>
  <si>
    <t>CHEQUE DEPOSIT 601788 MOHAMMED KUNHI PUTHIYA PURAYIL MUSTHAFA KUPPURA 502010101 CHQ NO ::601788</t>
  </si>
  <si>
    <t>92,000.00</t>
  </si>
  <si>
    <t>-397,924.69</t>
  </si>
  <si>
    <t>2914</t>
  </si>
  <si>
    <t>500032</t>
  </si>
  <si>
    <t>SHEIKH KHALED</t>
  </si>
  <si>
    <t>CHEQUE DEPOSIT SHEIKH KHALED 905010128 CHQ NO ::500032</t>
  </si>
  <si>
    <t>2,808,072.50</t>
  </si>
  <si>
    <t>2,410,147.81</t>
  </si>
  <si>
    <t>2915</t>
  </si>
  <si>
    <t>000907</t>
  </si>
  <si>
    <t>CHEQUE DEPOSIT 000907 MUHAMMAD HAMEED MUHAMMAD   FAREED 802630140 CHQ NO ::000907</t>
  </si>
  <si>
    <t>76,772.89</t>
  </si>
  <si>
    <t>2,486,920.70</t>
  </si>
  <si>
    <t>2916</t>
  </si>
  <si>
    <t>000906</t>
  </si>
  <si>
    <t>CHEQUE DEPOSIT 000906 MUHAMMAD HAMEED MUHAMMAD   FAREED 802630140 CHQ NO ::000906</t>
  </si>
  <si>
    <t>112,023.89</t>
  </si>
  <si>
    <t>2,598,944.59</t>
  </si>
  <si>
    <t>2917</t>
  </si>
  <si>
    <t>438282</t>
  </si>
  <si>
    <t>CHEQUE DEPOSIT 438282 SHAMSHEER KHAN AHAMED KHAN AHAMED  KHAN 803520152 CHQ NO ::438282</t>
  </si>
  <si>
    <t>7,959.60</t>
  </si>
  <si>
    <t>2,606,904.19</t>
  </si>
  <si>
    <t>2918</t>
  </si>
  <si>
    <t>000917</t>
  </si>
  <si>
    <t>CHEQUE DEPOSIT 000917 MUHAMMAD HAMEED MUHAMMAD   FAREED 104030136 CHQ NO ::000917</t>
  </si>
  <si>
    <t>26,513.50</t>
  </si>
  <si>
    <t>2,633,417.69</t>
  </si>
  <si>
    <t>2919</t>
  </si>
  <si>
    <t>001247</t>
  </si>
  <si>
    <t>CHEQUE DEPOSIT 001247 MUHAMMAD,HAMEED,MUHAMMAD,,,FAREED, 203320145 CHQ NO ::001247</t>
  </si>
  <si>
    <t>13,922.00</t>
  </si>
  <si>
    <t>2,647,339.69</t>
  </si>
  <si>
    <t>2920</t>
  </si>
  <si>
    <t>CHEQUE DEPOSIT 000040 SALEM KHALIFA JAMIL   ALJAFARI 003810101 CHQ NO ::000040</t>
  </si>
  <si>
    <t>2,697,368.04</t>
  </si>
  <si>
    <t>2921</t>
  </si>
  <si>
    <t>001817</t>
  </si>
  <si>
    <t>CHEQUE DEPOSIT 001817 SHAMSHEER KHAN AHAMED KHAN AHAMED  KHAN 204130077 CHQ NO ::001817</t>
  </si>
  <si>
    <t>71,899.47</t>
  </si>
  <si>
    <t>2,769,267.51</t>
  </si>
  <si>
    <t>2922</t>
  </si>
  <si>
    <t>CHEQUE DEPOSIT 000172 BABIN BALACHANDRAN NAIR    BALACHANDRAN 502660142 CHQ NO ::000172</t>
  </si>
  <si>
    <t>25,290.00</t>
  </si>
  <si>
    <t>2,794,557.51</t>
  </si>
  <si>
    <t>2923</t>
  </si>
  <si>
    <t>CHEQUE DEPOSIT 000026 SHAMSHEER KHAN AHAMED KHAN AHAMED  KHAN 703430137 CHQ NO ::000026</t>
  </si>
  <si>
    <t>2,923,208.01</t>
  </si>
  <si>
    <t>2924</t>
  </si>
  <si>
    <t>000774</t>
  </si>
  <si>
    <t>CHEQUE DEPOSIT 000774 SAKTHIVEL,CHINNADURAI,,,,CHINNADURAI, 602920102 CHQ NO ::000774</t>
  </si>
  <si>
    <t>30,279.15</t>
  </si>
  <si>
    <t>2,953,487.16</t>
  </si>
  <si>
    <t>2925</t>
  </si>
  <si>
    <t>000294</t>
  </si>
  <si>
    <t>CHEQUE DEPOSIT 000294 SHAMSHEER KHAN AHAMED KHAN AHAMED  KHAN 804030157 CHQ NO ::000294</t>
  </si>
  <si>
    <t>18,259.50</t>
  </si>
  <si>
    <t>2,971,746.66</t>
  </si>
  <si>
    <t>2926</t>
  </si>
  <si>
    <t>215098</t>
  </si>
  <si>
    <t>SADAF</t>
  </si>
  <si>
    <t>CHEQUE DEPOSIT SADAF 402411004 CHQ NO ::215098</t>
  </si>
  <si>
    <t>3,850.00</t>
  </si>
  <si>
    <t>2,975,596.66</t>
  </si>
  <si>
    <t>2927</t>
  </si>
  <si>
    <t>PHUB524119609</t>
  </si>
  <si>
    <t>MOB1408251325088124493</t>
  </si>
  <si>
    <t>126.00</t>
  </si>
  <si>
    <t>2,975,722.66</t>
  </si>
  <si>
    <t>2928</t>
  </si>
  <si>
    <t>000090</t>
  </si>
  <si>
    <t>CHEQUE DEPOSIT 000090 JILU JALEEL     ABDUL JALEEL 304012039 CHQ NO ::000090</t>
  </si>
  <si>
    <t>48,912.50</t>
  </si>
  <si>
    <t>3,024,635.16</t>
  </si>
  <si>
    <t>2929</t>
  </si>
  <si>
    <t>003132</t>
  </si>
  <si>
    <t>CHEQUE DEPOSIT 003132 SHAMSHEER KHAN AHAMED KHAN AHAMED  KHAN 404130101 CHQ NO ::003132</t>
  </si>
  <si>
    <t>297,073.55</t>
  </si>
  <si>
    <t>3,321,708.71</t>
  </si>
  <si>
    <t>2930</t>
  </si>
  <si>
    <t>CHEQUE DEPOSIT 000004 ANANDHU SALIMON GOPAL ETTIYAPADAM   GOPALAN SALI 904010130 CHQ NO ::000004</t>
  </si>
  <si>
    <t>58,800.54</t>
  </si>
  <si>
    <t>3,380,509.25</t>
  </si>
  <si>
    <t>2931</t>
  </si>
  <si>
    <t>002243</t>
  </si>
  <si>
    <t>CHEQUE DEPOSIT 002243 MUHAMMAD,HAMEED,MUHAMMAD,,,FAREED, 203320145 CHQ NO ::002243</t>
  </si>
  <si>
    <t>72,233.00</t>
  </si>
  <si>
    <t>3,452,742.25</t>
  </si>
  <si>
    <t>2932</t>
  </si>
  <si>
    <t>500148</t>
  </si>
  <si>
    <t>ORINET</t>
  </si>
  <si>
    <t>CHEQUE DEPOSIT ORINET 105011002 CHQ NO ::500148</t>
  </si>
  <si>
    <t>183,760.50</t>
  </si>
  <si>
    <t>3,636,502.75</t>
  </si>
  <si>
    <t>2933</t>
  </si>
  <si>
    <t>012181</t>
  </si>
  <si>
    <t>CHEQUE DEPOSIT 012181 SHAMSHEER KHAN AHAMED KHAN AHAMED  KHAN 102330106 CHQ NO ::012181</t>
  </si>
  <si>
    <t>3,355.50</t>
  </si>
  <si>
    <t>3,639,858.25</t>
  </si>
  <si>
    <t>2934</t>
  </si>
  <si>
    <t>363650</t>
  </si>
  <si>
    <t>rocket oil field equipment tr llc</t>
  </si>
  <si>
    <t>CHEQUE DEPOSIT rocket oil field equipment tr llc 904010130 CHQ NO ::363650</t>
  </si>
  <si>
    <t>42,020.50</t>
  </si>
  <si>
    <t>3,681,878.75</t>
  </si>
  <si>
    <t>2935</t>
  </si>
  <si>
    <t>B/O_BITS PILAN_HSBC_524121858_AEL2508</t>
  </si>
  <si>
    <t>50,644.00</t>
  </si>
  <si>
    <t>3,732,522.75</t>
  </si>
  <si>
    <t>2936</t>
  </si>
  <si>
    <t>PHUB524124429</t>
  </si>
  <si>
    <t>B/O_AEROSTYLE _NBSH_524124429_TOF - T</t>
  </si>
  <si>
    <t>3,787,693.25</t>
  </si>
  <si>
    <t>2937</t>
  </si>
  <si>
    <t>CHEQUE DEPOSIT 000039 RINCHEN TAMANG    RAJEN TAMANG 703320117 CHQ NO ::000039</t>
  </si>
  <si>
    <t>50,700.00</t>
  </si>
  <si>
    <t>3,838,393.25</t>
  </si>
  <si>
    <t>2938</t>
  </si>
  <si>
    <t>001269</t>
  </si>
  <si>
    <t>SEENA USED AUTO</t>
  </si>
  <si>
    <t>CHEQUE DEPOSIT SEENA USED AUTO 603830105 CHQ NO ::001269</t>
  </si>
  <si>
    <t>121,670.00</t>
  </si>
  <si>
    <t>3,960,063.25</t>
  </si>
  <si>
    <t>2939</t>
  </si>
  <si>
    <t>CHEQUE DEPOSIT 000006 ADNAN ABBAS MUHAMMAD HASHIM   KHAN 102930108 CHQ NO ::000006</t>
  </si>
  <si>
    <t>4,085,063.25</t>
  </si>
  <si>
    <t>2940</t>
  </si>
  <si>
    <t>PHUB524126274</t>
  </si>
  <si>
    <t>B/O_IBRAHIM YO_BOML_524126274_ FAMILY</t>
  </si>
  <si>
    <t>4,135,063.25</t>
  </si>
  <si>
    <t>2941</t>
  </si>
  <si>
    <t>000170</t>
  </si>
  <si>
    <t>CHEQUE DEPOSIT 000170 MUHAMMAD HAMEED MUHAMMAD   FAREED 802630140 CHQ NO ::000170</t>
  </si>
  <si>
    <t>89,153.25</t>
  </si>
  <si>
    <t>4,224,216.50</t>
  </si>
  <si>
    <t>2942</t>
  </si>
  <si>
    <t>508065</t>
  </si>
  <si>
    <t>CHEQUE DEPOSIT 508065 BASHEER PULIKKAL    IBRAHIM 103511203 CHQ NO ::508065</t>
  </si>
  <si>
    <t>147,045.00</t>
  </si>
  <si>
    <t>4,371,261.50</t>
  </si>
  <si>
    <t>2943</t>
  </si>
  <si>
    <t>CHEQUE DEPOSIT 000025 MUHAMMAD HAMEED MUHAMMAD   FAREED 703320106 CHQ NO ::000025</t>
  </si>
  <si>
    <t>183,761.00</t>
  </si>
  <si>
    <t>4,555,022.50</t>
  </si>
  <si>
    <t>2944</t>
  </si>
  <si>
    <t>CHEQUE DEPOSIT 000133 WAQAR AHMED     MUHAMMAD JAHANGIR 502010101 CHQ NO ::000133</t>
  </si>
  <si>
    <t>75,956.50</t>
  </si>
  <si>
    <t>4,630,979.00</t>
  </si>
  <si>
    <t>2945</t>
  </si>
  <si>
    <t>PHUB524130967</t>
  </si>
  <si>
    <t>B/O_ALHAILMARINESERV_524130967</t>
  </si>
  <si>
    <t>20,785.94</t>
  </si>
  <si>
    <t>4,651,764.94</t>
  </si>
  <si>
    <t>2946</t>
  </si>
  <si>
    <t>50998208028</t>
  </si>
  <si>
    <t>26095815264 MBTRF B/O RUBEL</t>
  </si>
  <si>
    <t>30,500.00</t>
  </si>
  <si>
    <t>4,682,264.94</t>
  </si>
  <si>
    <t>2947</t>
  </si>
  <si>
    <t>PHUB524134152</t>
  </si>
  <si>
    <t>18,919.00</t>
  </si>
  <si>
    <t>4,701,183.94</t>
  </si>
  <si>
    <t>2948</t>
  </si>
  <si>
    <t>PHUB524141346</t>
  </si>
  <si>
    <t>MOB1408251859158129889</t>
  </si>
  <si>
    <t>B/O HYDRA MARINE EQIP N FISHING ACCESOR</t>
  </si>
  <si>
    <t>3,391.90</t>
  </si>
  <si>
    <t>4,704,575.84</t>
  </si>
  <si>
    <t>2949</t>
  </si>
  <si>
    <t>50998955476</t>
  </si>
  <si>
    <t>26096645064 MBTRF B/O KANAGARAJEU DEENADAYALAN</t>
  </si>
  <si>
    <t>4,731,575.84</t>
  </si>
  <si>
    <t>2950</t>
  </si>
  <si>
    <t>PHUB524147947</t>
  </si>
  <si>
    <t>35853</t>
  </si>
  <si>
    <t>28,004.20</t>
  </si>
  <si>
    <t>4,759,580.04</t>
  </si>
  <si>
    <t>2951</t>
  </si>
  <si>
    <t>PHUB524158681</t>
  </si>
  <si>
    <t>524158681 B/O MOHAMMAD JAMAL MUSTAFA AL SOTRY</t>
  </si>
  <si>
    <t>5,028.25</t>
  </si>
  <si>
    <t>4,764,608.29</t>
  </si>
  <si>
    <t>2952</t>
  </si>
  <si>
    <t>PHUB524171488</t>
  </si>
  <si>
    <t>67,448.00</t>
  </si>
  <si>
    <t>4,832,056.29</t>
  </si>
  <si>
    <t>2953</t>
  </si>
  <si>
    <t>PHUB524193208</t>
  </si>
  <si>
    <t>B/O_BERNADETTE MAGSA_524193208</t>
  </si>
  <si>
    <t>32,456.25</t>
  </si>
  <si>
    <t>4,864,512.54</t>
  </si>
  <si>
    <t>2954</t>
  </si>
  <si>
    <t>51002119167</t>
  </si>
  <si>
    <t>26100359312 MBTRF B/O HAZEL LOURDES OBINA BALINA</t>
  </si>
  <si>
    <t>4,865,712.54</t>
  </si>
  <si>
    <t>2955</t>
  </si>
  <si>
    <t>51002753815</t>
  </si>
  <si>
    <t>26101130690 MBTRF B/O FAHAD ABDULLA HUSSAIN ALI ALFARDAN</t>
  </si>
  <si>
    <t>20,056.00</t>
  </si>
  <si>
    <t>4,885,768.54</t>
  </si>
  <si>
    <t>2956</t>
  </si>
  <si>
    <t>51003693805</t>
  </si>
  <si>
    <t>26102272758 MBTRF B/O HAMIDA BLDGS MATERIAL TRADING LLC</t>
  </si>
  <si>
    <t>40,397.35</t>
  </si>
  <si>
    <t>4,926,165.89</t>
  </si>
  <si>
    <t>2957</t>
  </si>
  <si>
    <t>PHUB524226625</t>
  </si>
  <si>
    <t>MOB1408252353498133821</t>
  </si>
  <si>
    <t>B/O GORKHA JEWELLERY LLC SPC</t>
  </si>
  <si>
    <t>4,932,165.89</t>
  </si>
  <si>
    <t>2958</t>
  </si>
  <si>
    <t>15-Aug-2025</t>
  </si>
  <si>
    <t>PHUB524241529</t>
  </si>
  <si>
    <t>524241529 B/O KHALID SULTAN SALEM JAHWEEL ALMANSOORI</t>
  </si>
  <si>
    <t>4,936,065.89</t>
  </si>
  <si>
    <t>2959</t>
  </si>
  <si>
    <t>PHUB524248712</t>
  </si>
  <si>
    <t>524248712 B/O SHINTU AUGUSTY</t>
  </si>
  <si>
    <t>4,979,065.89</t>
  </si>
  <si>
    <t>2960</t>
  </si>
  <si>
    <t>PHUB524250087</t>
  </si>
  <si>
    <t>8,486.30</t>
  </si>
  <si>
    <t>4,987,552.19</t>
  </si>
  <si>
    <t>2961</t>
  </si>
  <si>
    <t>B/O_MOHAMED FA_NBAD_524250732_Family</t>
  </si>
  <si>
    <t>5,087,552.19</t>
  </si>
  <si>
    <t>2962</t>
  </si>
  <si>
    <t>PHUB524250974</t>
  </si>
  <si>
    <t>B/O_ABDUL RASH_BOML_524250974_ FAMILY</t>
  </si>
  <si>
    <t>47,218.00</t>
  </si>
  <si>
    <t>5,134,770.19</t>
  </si>
  <si>
    <t>2963</t>
  </si>
  <si>
    <t>B/O_PROTECH AL_BOML_524251613_ GOODS</t>
  </si>
  <si>
    <t>16,843.72</t>
  </si>
  <si>
    <t>5,151,613.91</t>
  </si>
  <si>
    <t>2964</t>
  </si>
  <si>
    <t>B/O_SUMEET VER_SCBL_524252708_.</t>
  </si>
  <si>
    <t>99,276.75</t>
  </si>
  <si>
    <t>5,250,890.66</t>
  </si>
  <si>
    <t>2965</t>
  </si>
  <si>
    <t>PHUB524255259</t>
  </si>
  <si>
    <t>B/O ABSEILING MIDDLE EAST TECH SERV LLC</t>
  </si>
  <si>
    <t>88,106.00</t>
  </si>
  <si>
    <t>5,338,996.66</t>
  </si>
  <si>
    <t>2966</t>
  </si>
  <si>
    <t>B/O_OIL MARKET_NBFU_524258711_OTHERS</t>
  </si>
  <si>
    <t>6,074,196.66</t>
  </si>
  <si>
    <t>2967</t>
  </si>
  <si>
    <t>PHUB524259169</t>
  </si>
  <si>
    <t>MOB1508250721108134534</t>
  </si>
  <si>
    <t>B/O SPIDERTECH TECHNICAL SERVICES LLC</t>
  </si>
  <si>
    <t>58,708.00</t>
  </si>
  <si>
    <t>6,132,904.66</t>
  </si>
  <si>
    <t>2968</t>
  </si>
  <si>
    <t>2508150825223832</t>
  </si>
  <si>
    <t>Musaffah Shabiya AUH, 14TH AUG - Cash Collection TG</t>
  </si>
  <si>
    <t>6,502,904.66</t>
  </si>
  <si>
    <t>2969</t>
  </si>
  <si>
    <t>2508150825223835</t>
  </si>
  <si>
    <t>M38 PLOT 48 SHOP 02 BIG MART MUSSAFAH, 14TH AUG - Cash Collection TG</t>
  </si>
  <si>
    <t>6,722,904.66</t>
  </si>
  <si>
    <t>2970</t>
  </si>
  <si>
    <t>2508150825223842</t>
  </si>
  <si>
    <t>Baniyas AUH, 14TH AUG - Cash Collection TG</t>
  </si>
  <si>
    <t>6,942,904.66</t>
  </si>
  <si>
    <t>2971</t>
  </si>
  <si>
    <t>2508150825223845</t>
  </si>
  <si>
    <t>Old Shahama, 14TH AUG - Cash Collection TG</t>
  </si>
  <si>
    <t>7,062,904.66</t>
  </si>
  <si>
    <t>2972</t>
  </si>
  <si>
    <t>2508150825233860</t>
  </si>
  <si>
    <t>Al Forshan Central Mall Khalifa City AUH, 14TH AUG - Cash Collection TG</t>
  </si>
  <si>
    <t>7,472,904.66</t>
  </si>
  <si>
    <t>2973</t>
  </si>
  <si>
    <t>2508150825233863</t>
  </si>
  <si>
    <t>Shamkha Mall Abu dhabi, 14TH AUG - Cash Collection TG</t>
  </si>
  <si>
    <t>7,632,904.66</t>
  </si>
  <si>
    <t>2974</t>
  </si>
  <si>
    <t>2508150825233866</t>
  </si>
  <si>
    <t>Inside Bniyas Spike HyperMarkete AUH, 14TH AUG - Cash Collection TG</t>
  </si>
  <si>
    <t>7,892,904.66</t>
  </si>
  <si>
    <t>2975</t>
  </si>
  <si>
    <t>2508150825233875</t>
  </si>
  <si>
    <t>ICAD Musaffah AUH, 14TH AUG - Cash Collection TG</t>
  </si>
  <si>
    <t>8,267,904.66</t>
  </si>
  <si>
    <t>2976</t>
  </si>
  <si>
    <t>2508150825233884</t>
  </si>
  <si>
    <t>Mafraq Center Baniyas AUH, 14TH AUG - Cash Collection TG</t>
  </si>
  <si>
    <t>8,487,904.66</t>
  </si>
  <si>
    <t>2977</t>
  </si>
  <si>
    <t>2508150825254518</t>
  </si>
  <si>
    <t>AL MARFA MARKET WR, 14TH AUG - Cash Collection TG</t>
  </si>
  <si>
    <t>8,657,904.66</t>
  </si>
  <si>
    <t>2978</t>
  </si>
  <si>
    <t>2508150825254521</t>
  </si>
  <si>
    <t>Boutik Mall al Reem island AUH, 14TH AUG - Cash Collection TG</t>
  </si>
  <si>
    <t>8,777,904.66</t>
  </si>
  <si>
    <t>2979</t>
  </si>
  <si>
    <t>2508150825254524</t>
  </si>
  <si>
    <t>TCA AUH, 14TH AUG - Cash Collection TG</t>
  </si>
  <si>
    <t>9,027,904.66</t>
  </si>
  <si>
    <t>2980</t>
  </si>
  <si>
    <t>2508150825254539</t>
  </si>
  <si>
    <t>Al Nahyan Street AUH, 14TH AUG - Cash Collection TG</t>
  </si>
  <si>
    <t>9,527,904.66</t>
  </si>
  <si>
    <t>2981</t>
  </si>
  <si>
    <t>2508150825254542</t>
  </si>
  <si>
    <t>Muroor AUH, 14TH AUG - Cash Collection TG</t>
  </si>
  <si>
    <t>9,687,904.66</t>
  </si>
  <si>
    <t>2982</t>
  </si>
  <si>
    <t>2508150825254552</t>
  </si>
  <si>
    <t>B2B AUH, 14TH AUG - Cash Collection TG</t>
  </si>
  <si>
    <t>9,897,904.66</t>
  </si>
  <si>
    <t>2983</t>
  </si>
  <si>
    <t>2508150825254558</t>
  </si>
  <si>
    <t>Al Falah St Auh, 14TH AUG - Cash Collection TG</t>
  </si>
  <si>
    <t>10,143,904.66</t>
  </si>
  <si>
    <t>2984</t>
  </si>
  <si>
    <t>2508150825254569</t>
  </si>
  <si>
    <t>Al Wahda AUH, 14TH AUG - Cash Collection TG</t>
  </si>
  <si>
    <t>10,343,904.66</t>
  </si>
  <si>
    <t>2985</t>
  </si>
  <si>
    <t>2508150825254572</t>
  </si>
  <si>
    <t>Bin Dhgher Tower Khalidya AUH, 14TH AUG - Cash Collection TG</t>
  </si>
  <si>
    <t>10,643,904.66</t>
  </si>
  <si>
    <t>2986</t>
  </si>
  <si>
    <t>2508150825254575</t>
  </si>
  <si>
    <t>Al Ain (Clock Tower)1, 14TH AUG - Cash Collection TG</t>
  </si>
  <si>
    <t>10,893,904.66</t>
  </si>
  <si>
    <t>2987</t>
  </si>
  <si>
    <t>2508150825294875</t>
  </si>
  <si>
    <t>NESTO HYPRMRKT AJM, 14TH AUG - Cash Collection TG</t>
  </si>
  <si>
    <t>11,053,904.66</t>
  </si>
  <si>
    <t>2988</t>
  </si>
  <si>
    <t>2508150825294878</t>
  </si>
  <si>
    <t>CITY CENTER AL ZAHIA SHJ, 14TH AUG - Cash Collection TG</t>
  </si>
  <si>
    <t>11,583,904.66</t>
  </si>
  <si>
    <t>2989</t>
  </si>
  <si>
    <t>2508150825304881</t>
  </si>
  <si>
    <t>FUJAIRAH, 14TH AUG - Cash Collection TG</t>
  </si>
  <si>
    <t>11,808,904.66</t>
  </si>
  <si>
    <t>2990</t>
  </si>
  <si>
    <t>2508150825304884</t>
  </si>
  <si>
    <t>MUWEILAH SHJ, 14TH AUG - Cash Collection TG</t>
  </si>
  <si>
    <t>12,038,904.66</t>
  </si>
  <si>
    <t>2991</t>
  </si>
  <si>
    <t>2508150825304893</t>
  </si>
  <si>
    <t>DEIRA CCM DUBAI, 14TH AUG - Cash Collection TG</t>
  </si>
  <si>
    <t>17,038,904.66</t>
  </si>
  <si>
    <t>2992</t>
  </si>
  <si>
    <t>2508150825304896</t>
  </si>
  <si>
    <t>MEGA MALL SHARJAH BR 1, 14TH AUG - Cash Collection TG</t>
  </si>
  <si>
    <t>17,508,904.66</t>
  </si>
  <si>
    <t>2993</t>
  </si>
  <si>
    <t>2508150825304899</t>
  </si>
  <si>
    <t>DUBAI INDUSTRAIL  CITY, 14TH AUG - Cash Collection TG</t>
  </si>
  <si>
    <t>17,908,904.66</t>
  </si>
  <si>
    <t>2994</t>
  </si>
  <si>
    <t>2508150825304902</t>
  </si>
  <si>
    <t>UAQ, 14TH AUG - Cash Collection TG</t>
  </si>
  <si>
    <t>18,448,904.66</t>
  </si>
  <si>
    <t>2995</t>
  </si>
  <si>
    <t>2508150825304905</t>
  </si>
  <si>
    <t>AL RIGGA METRO STION DXB, 14TH AUG - Cash Collection TG</t>
  </si>
  <si>
    <t>18,898,904.66</t>
  </si>
  <si>
    <t>2996</t>
  </si>
  <si>
    <t>2508150825304908</t>
  </si>
  <si>
    <t>ONYX TOWER 1, 14TH AUG - Cash Collection TG</t>
  </si>
  <si>
    <t>19,398,904.66</t>
  </si>
  <si>
    <t>2997</t>
  </si>
  <si>
    <t>2508150825305417</t>
  </si>
  <si>
    <t>CLOCK TOWER 1, 14TH AUG - Cash Collection TG</t>
  </si>
  <si>
    <t>1,720,000.00</t>
  </si>
  <si>
    <t>21,118,904.66</t>
  </si>
  <si>
    <t>2998</t>
  </si>
  <si>
    <t>2508150825305428</t>
  </si>
  <si>
    <t>DMALL LG CSK53 TAXI AREA, 14TH AUG - Cash Collection TG</t>
  </si>
  <si>
    <t>21,518,904.66</t>
  </si>
  <si>
    <t>2999</t>
  </si>
  <si>
    <t>2508150825305434</t>
  </si>
  <si>
    <t>AL MINA NESTO BR DXB, 14TH AUG - Cash Collection TG</t>
  </si>
  <si>
    <t>21,768,904.66</t>
  </si>
  <si>
    <t>3000</t>
  </si>
  <si>
    <t>2508150825305437</t>
  </si>
  <si>
    <t>CO OP SOCIETY SHJ 1, 14TH AUG - Cash Collection TG</t>
  </si>
  <si>
    <t>22,228,904.66</t>
  </si>
  <si>
    <t>3001</t>
  </si>
  <si>
    <t>2508150825305446</t>
  </si>
  <si>
    <t>SATWA 1, 14TH AUG - Cash Collection TG</t>
  </si>
  <si>
    <t>22,528,904.66</t>
  </si>
  <si>
    <t>3002</t>
  </si>
  <si>
    <t>2508150825305449</t>
  </si>
  <si>
    <t>AL MADAM SHJ, 14TH AUG - Cash Collection TG</t>
  </si>
  <si>
    <t>22,713,904.66</t>
  </si>
  <si>
    <t>3003</t>
  </si>
  <si>
    <t>2508150825305461</t>
  </si>
  <si>
    <t>SAJA INDUSTRIAL SHJ 2, 14TH AUG - Cash Collection TG</t>
  </si>
  <si>
    <t>23,013,904.66</t>
  </si>
  <si>
    <t>3004</t>
  </si>
  <si>
    <t>2508150825315473</t>
  </si>
  <si>
    <t>IND AREA 3 SHJ, 14TH AUG - Cash Collection TG</t>
  </si>
  <si>
    <t>23,113,904.66</t>
  </si>
  <si>
    <t>3005</t>
  </si>
  <si>
    <t>2508150825315494</t>
  </si>
  <si>
    <t>DIBBA FUJAIRAH, 14TH AUG - Cash Collection TG</t>
  </si>
  <si>
    <t>23,313,904.66</t>
  </si>
  <si>
    <t>3006</t>
  </si>
  <si>
    <t>2508150825315500</t>
  </si>
  <si>
    <t>43,313,904.66</t>
  </si>
  <si>
    <t>3007</t>
  </si>
  <si>
    <t>PHUB524275052</t>
  </si>
  <si>
    <t>524275052 B/O HAMZA AHMED SHEIKH</t>
  </si>
  <si>
    <t>43,315,904.66</t>
  </si>
  <si>
    <t>3008</t>
  </si>
  <si>
    <t>11,903,157.00</t>
  </si>
  <si>
    <t>55,219,061.66</t>
  </si>
  <si>
    <t>3009</t>
  </si>
  <si>
    <t>PHUB524298074</t>
  </si>
  <si>
    <t>B/O_LLC REMAK MEDICA_524298074</t>
  </si>
  <si>
    <t>19,957.50</t>
  </si>
  <si>
    <t>55,239,019.16</t>
  </si>
  <si>
    <t>3010</t>
  </si>
  <si>
    <t>PHUB524301612</t>
  </si>
  <si>
    <t>MOB1508250944178135504</t>
  </si>
  <si>
    <t>B/O BORDER P P E TRADING LLC</t>
  </si>
  <si>
    <t>26,994.00</t>
  </si>
  <si>
    <t>55,266,013.16</t>
  </si>
  <si>
    <t>3011</t>
  </si>
  <si>
    <t>PHUB524310441</t>
  </si>
  <si>
    <t>524310441 B/O WINANDA DARMA WIGUNA PUTRI</t>
  </si>
  <si>
    <t>55,266,413.16</t>
  </si>
  <si>
    <t>3012</t>
  </si>
  <si>
    <t>PHUB524315038</t>
  </si>
  <si>
    <t>B/O_BLUE OCEAN_EBIL_524315038_CREW SA</t>
  </si>
  <si>
    <t>163,366.00</t>
  </si>
  <si>
    <t>55,429,779.16</t>
  </si>
  <si>
    <t>3013</t>
  </si>
  <si>
    <t>51008815477</t>
  </si>
  <si>
    <t>26107478015 MBTRF B/O RITA CHAFIC MARCHI AND OR LINA C M</t>
  </si>
  <si>
    <t>5,520.25</t>
  </si>
  <si>
    <t>55,435,299.41</t>
  </si>
  <si>
    <t>3014</t>
  </si>
  <si>
    <t>PHUB524325267</t>
  </si>
  <si>
    <t>IMD 15082025</t>
  </si>
  <si>
    <t>39,093,322.15</t>
  </si>
  <si>
    <t>16,341,977.26</t>
  </si>
  <si>
    <t>3015</t>
  </si>
  <si>
    <t>51008989686</t>
  </si>
  <si>
    <t>26107632707 MBTRF B/O ALWAHA HYGIENE PT CON A FAC SVC LLC</t>
  </si>
  <si>
    <t>1,602.10</t>
  </si>
  <si>
    <t>16,343,579.36</t>
  </si>
  <si>
    <t>3016</t>
  </si>
  <si>
    <t>PHUB524361914</t>
  </si>
  <si>
    <t>DXB 15082025</t>
  </si>
  <si>
    <t>15,143,579.36</t>
  </si>
  <si>
    <t>3017</t>
  </si>
  <si>
    <t>51010649559</t>
  </si>
  <si>
    <t>26109137178 MBTRF B/O RISE STAR USD EQP HVY MCH TR LLC SP</t>
  </si>
  <si>
    <t>86,399.50</t>
  </si>
  <si>
    <t>15,229,978.86</t>
  </si>
  <si>
    <t>3018</t>
  </si>
  <si>
    <t>PHUB524378253</t>
  </si>
  <si>
    <t>B/O_FZE TECHNI_ADIB_524378253_PAYMENT</t>
  </si>
  <si>
    <t>169,979.33</t>
  </si>
  <si>
    <t>15,399,958.19</t>
  </si>
  <si>
    <t>3019</t>
  </si>
  <si>
    <t>B/O_IHAB MAHER OWIS_524384015</t>
  </si>
  <si>
    <t>24,530.25</t>
  </si>
  <si>
    <t>15,424,488.44</t>
  </si>
  <si>
    <t>3020</t>
  </si>
  <si>
    <t>PHUB524385097</t>
  </si>
  <si>
    <t>B/O_LPFLEX BAS_EBIL_524385097_LPFLEX</t>
  </si>
  <si>
    <t>73,664.00</t>
  </si>
  <si>
    <t>15,498,152.44</t>
  </si>
  <si>
    <t>3021</t>
  </si>
  <si>
    <t>PHUB524385106</t>
  </si>
  <si>
    <t>B/O_LPFLEX BAS_EBIL_524385106_LPFLEX</t>
  </si>
  <si>
    <t>53,880.38</t>
  </si>
  <si>
    <t>15,552,032.82</t>
  </si>
  <si>
    <t>3022</t>
  </si>
  <si>
    <t>PHUB524385139</t>
  </si>
  <si>
    <t>B/O_AL THEEB E_EBIL_524385139_GOODS B</t>
  </si>
  <si>
    <t>1,131.25</t>
  </si>
  <si>
    <t>15,553,164.07</t>
  </si>
  <si>
    <t>3023</t>
  </si>
  <si>
    <t>B/O AL RAS REF. DEVICES SPA PAR TR LLC</t>
  </si>
  <si>
    <t>329,639.27</t>
  </si>
  <si>
    <t>15,882,803.34</t>
  </si>
  <si>
    <t>3024</t>
  </si>
  <si>
    <t>PHUB524388244</t>
  </si>
  <si>
    <t>B/O_UMAIR KHAN_524388244</t>
  </si>
  <si>
    <t>22,004.20</t>
  </si>
  <si>
    <t>15,904,807.54</t>
  </si>
  <si>
    <t>3025</t>
  </si>
  <si>
    <t>PHUB524392542</t>
  </si>
  <si>
    <t>B/O_MRS THAVAN_HSBC_524392542_AEV1508</t>
  </si>
  <si>
    <t>16,804,807.54</t>
  </si>
  <si>
    <t>3026</t>
  </si>
  <si>
    <t>51012006850</t>
  </si>
  <si>
    <t>2540667371 IBTRF B/O PRADEEP KUMAR CHOUDHARY</t>
  </si>
  <si>
    <t>16,904,807.54</t>
  </si>
  <si>
    <t>3027</t>
  </si>
  <si>
    <t>PHUB524410943</t>
  </si>
  <si>
    <t>B/O_RUKN AL TA_NBSH_524410943_CODEX</t>
  </si>
  <si>
    <t>61,427.36</t>
  </si>
  <si>
    <t>16,966,234.90</t>
  </si>
  <si>
    <t>3028</t>
  </si>
  <si>
    <t>PHUB524416311</t>
  </si>
  <si>
    <t>CA 15082025</t>
  </si>
  <si>
    <t>22,000,000.00</t>
  </si>
  <si>
    <t>38,966,234.90</t>
  </si>
  <si>
    <t>3029</t>
  </si>
  <si>
    <t>PHUB524418983</t>
  </si>
  <si>
    <t>B/O_YACHT INTE_CBDU_524418983_Goods B</t>
  </si>
  <si>
    <t>73,480.00</t>
  </si>
  <si>
    <t>39,039,714.90</t>
  </si>
  <si>
    <t>3030</t>
  </si>
  <si>
    <t>PHUB524421878</t>
  </si>
  <si>
    <t>AL FARD.</t>
  </si>
  <si>
    <t>B/O GULF ASIA CONTRACTING CO LLC SP</t>
  </si>
  <si>
    <t>5,514,954.50</t>
  </si>
  <si>
    <t>44,554,669.40</t>
  </si>
  <si>
    <t>3031</t>
  </si>
  <si>
    <t>51013062490</t>
  </si>
  <si>
    <t>2540701065 IBTRF B/O NATIONAL SURVEY</t>
  </si>
  <si>
    <t>3,705.25</t>
  </si>
  <si>
    <t>44,558,374.65</t>
  </si>
  <si>
    <t>3032</t>
  </si>
  <si>
    <t>PHUB524423125</t>
  </si>
  <si>
    <t>B/O_SIAM MIDDL_NBFU_524423125_PAYMENT</t>
  </si>
  <si>
    <t>185,654.91</t>
  </si>
  <si>
    <t>44,744,029.56</t>
  </si>
  <si>
    <t>3033</t>
  </si>
  <si>
    <t>PHUB524423562</t>
  </si>
  <si>
    <t>524423562 B/O FATMA ELSAID MOHAMED SAKR ELSHENNAWY</t>
  </si>
  <si>
    <t>44,749,029.56</t>
  </si>
  <si>
    <t>3034</t>
  </si>
  <si>
    <t>PHUB524427153</t>
  </si>
  <si>
    <t>524427153 B/O GREEN TREES SUPERMARKET LLC</t>
  </si>
  <si>
    <t>4,545.17</t>
  </si>
  <si>
    <t>44,753,574.73</t>
  </si>
  <si>
    <t>3035</t>
  </si>
  <si>
    <t>PHUB524427230</t>
  </si>
  <si>
    <t>AL HANI AJMAN</t>
  </si>
  <si>
    <t>B/O XIZI OTIS LIFTS AND ESCALATORS TRAD</t>
  </si>
  <si>
    <t>30,863.32</t>
  </si>
  <si>
    <t>44,784,438.05</t>
  </si>
  <si>
    <t>3036</t>
  </si>
  <si>
    <t>PHUB524427574</t>
  </si>
  <si>
    <t>USD BUY 15082025</t>
  </si>
  <si>
    <t>49,222,220.00</t>
  </si>
  <si>
    <t>-4,437,781.95</t>
  </si>
  <si>
    <t>3037</t>
  </si>
  <si>
    <t>PHUB524429102</t>
  </si>
  <si>
    <t>524429102 B/O FATIHA ABOURIGUE</t>
  </si>
  <si>
    <t>-4,436,781.95</t>
  </si>
  <si>
    <t>3038</t>
  </si>
  <si>
    <t>PHUB524430342</t>
  </si>
  <si>
    <t>B/O_/006/004 B_NRAK_524430342_Goods B</t>
  </si>
  <si>
    <t>42,072.50</t>
  </si>
  <si>
    <t>-4,394,709.45</t>
  </si>
  <si>
    <t>3039</t>
  </si>
  <si>
    <t>524432102 B/O ISMAT SEALS INC</t>
  </si>
  <si>
    <t>6,979.42</t>
  </si>
  <si>
    <t>-4,387,730.03</t>
  </si>
  <si>
    <t>3040</t>
  </si>
  <si>
    <t>PHUB524433363</t>
  </si>
  <si>
    <t>CB 15082025</t>
  </si>
  <si>
    <t>O/W TRF 524433363</t>
  </si>
  <si>
    <t>7,000,000.00</t>
  </si>
  <si>
    <t>-11,387,730.03</t>
  </si>
  <si>
    <t>3041</t>
  </si>
  <si>
    <t>CHCB524433363</t>
  </si>
  <si>
    <t>O/W PROCESSING CHARGE 524433363</t>
  </si>
  <si>
    <t>-11,387,745.78</t>
  </si>
  <si>
    <t>3042</t>
  </si>
  <si>
    <t>PHUB524435530</t>
  </si>
  <si>
    <t>524435530 B/O PURANMAL JI INVESTMENTS LLC</t>
  </si>
  <si>
    <t>46,427.00</t>
  </si>
  <si>
    <t>-11,341,318.78</t>
  </si>
  <si>
    <t>3043</t>
  </si>
  <si>
    <t>000106</t>
  </si>
  <si>
    <t>INHOUSE CHEQUE DEPOSIT 000106 MUHAMMAD ATIF SIDDIQUE MUHAMMAD    SIDDIQUE AL FARDAN EXCHANGE SP LLC CHQ NO ::000106</t>
  </si>
  <si>
    <t>100,060.50</t>
  </si>
  <si>
    <t>-11,241,258.28</t>
  </si>
  <si>
    <t>3044</t>
  </si>
  <si>
    <t>PHUB524444341</t>
  </si>
  <si>
    <t>B/O_1/GOVERMEN_DUIB_524444341_5030009</t>
  </si>
  <si>
    <t>129,000.00</t>
  </si>
  <si>
    <t>-11,112,258.28</t>
  </si>
  <si>
    <t>3045</t>
  </si>
  <si>
    <t>MOB1508251422498139631</t>
  </si>
  <si>
    <t>1,633.00</t>
  </si>
  <si>
    <t>-11,110,625.28</t>
  </si>
  <si>
    <t>3046</t>
  </si>
  <si>
    <t>PHUB524446535</t>
  </si>
  <si>
    <t>B/O_TRAVERSEA _NBSH_524446535_CREW SA</t>
  </si>
  <si>
    <t>466,124.87</t>
  </si>
  <si>
    <t>-10,644,500.41</t>
  </si>
  <si>
    <t>3047</t>
  </si>
  <si>
    <t>PHUB524449064</t>
  </si>
  <si>
    <t>B/O_LABEEB BSOUL_524449064</t>
  </si>
  <si>
    <t>26,922.50</t>
  </si>
  <si>
    <t>-10,617,577.91</t>
  </si>
  <si>
    <t>3048</t>
  </si>
  <si>
    <t>PHUB524452160</t>
  </si>
  <si>
    <t>278,264.19</t>
  </si>
  <si>
    <t>-10,339,313.72</t>
  </si>
  <si>
    <t>3049</t>
  </si>
  <si>
    <t>24,085.75</t>
  </si>
  <si>
    <t>-10,315,227.97</t>
  </si>
  <si>
    <t>3050</t>
  </si>
  <si>
    <t>PHUB524452614</t>
  </si>
  <si>
    <t>524452614 B/O FLASH CLOUD LIMOUSINE S.P.LLC.</t>
  </si>
  <si>
    <t>8,042.70</t>
  </si>
  <si>
    <t>-10,307,185.27</t>
  </si>
  <si>
    <t>3051</t>
  </si>
  <si>
    <t>PHUB524453311</t>
  </si>
  <si>
    <t>25,026.39</t>
  </si>
  <si>
    <t>-10,282,158.88</t>
  </si>
  <si>
    <t>3052</t>
  </si>
  <si>
    <t>PHUB524455101</t>
  </si>
  <si>
    <t>524455101 B/O HK SEASIDE PRODUCTIONS LLC</t>
  </si>
  <si>
    <t>-10,282,106.38</t>
  </si>
  <si>
    <t>3053</t>
  </si>
  <si>
    <t>B/O AL FARD ELECTRICAL TRADING LLC OPC</t>
  </si>
  <si>
    <t>6,671.05</t>
  </si>
  <si>
    <t>-10,275,435.33</t>
  </si>
  <si>
    <t>3054</t>
  </si>
  <si>
    <t>PHUB524471351</t>
  </si>
  <si>
    <t>O/W TRF 524471351</t>
  </si>
  <si>
    <t>4,000,000.00</t>
  </si>
  <si>
    <t>-14,275,435.33</t>
  </si>
  <si>
    <t>3055</t>
  </si>
  <si>
    <t>CHCB524471351</t>
  </si>
  <si>
    <t>O/W PROCESSING CHARGE 524471351</t>
  </si>
  <si>
    <t>-14,275,451.08</t>
  </si>
  <si>
    <t>3056</t>
  </si>
  <si>
    <t>51016086058</t>
  </si>
  <si>
    <t>26114435789 MBTRF B/O OLEKSANDR MITIEV</t>
  </si>
  <si>
    <t>2,981.00</t>
  </si>
  <si>
    <t>-14,272,470.08</t>
  </si>
  <si>
    <t>3057</t>
  </si>
  <si>
    <t>PHUB524477337</t>
  </si>
  <si>
    <t>3,611.79</t>
  </si>
  <si>
    <t>-14,268,858.29</t>
  </si>
  <si>
    <t>3058</t>
  </si>
  <si>
    <t>PHUB524478362</t>
  </si>
  <si>
    <t>B/O_NIDAL KHALIL ISS_524478362</t>
  </si>
  <si>
    <t>21,838.00</t>
  </si>
  <si>
    <t>-14,247,020.29</t>
  </si>
  <si>
    <t>3059</t>
  </si>
  <si>
    <t>PHUB524478742</t>
  </si>
  <si>
    <t>5620560007880</t>
  </si>
  <si>
    <t>4,154.68</t>
  </si>
  <si>
    <t>-14,242,865.61</t>
  </si>
  <si>
    <t>3060</t>
  </si>
  <si>
    <t>PHUB524479312</t>
  </si>
  <si>
    <t>10,655.50</t>
  </si>
  <si>
    <t>-14,232,210.11</t>
  </si>
  <si>
    <t>3061</t>
  </si>
  <si>
    <t>PHUB524480737</t>
  </si>
  <si>
    <t>3,830.41</t>
  </si>
  <si>
    <t>-14,228,379.70</t>
  </si>
  <si>
    <t>3062</t>
  </si>
  <si>
    <t>-14,201,379.70</t>
  </si>
  <si>
    <t>3063</t>
  </si>
  <si>
    <t>PHUB524485258</t>
  </si>
  <si>
    <t>32,553.22</t>
  </si>
  <si>
    <t>-14,168,826.48</t>
  </si>
  <si>
    <t>3064</t>
  </si>
  <si>
    <t>PHUB524486910</t>
  </si>
  <si>
    <t>PLV JULY SALARY</t>
  </si>
  <si>
    <t>282,381.08</t>
  </si>
  <si>
    <t>-13,886,445.40</t>
  </si>
  <si>
    <t>3065</t>
  </si>
  <si>
    <t>PHUB524487421</t>
  </si>
  <si>
    <t>16,112.66</t>
  </si>
  <si>
    <t>-13,870,332.74</t>
  </si>
  <si>
    <t>3066</t>
  </si>
  <si>
    <t>PHUB524492849</t>
  </si>
  <si>
    <t>B/O_LLC SPEED TRACK _524492849</t>
  </si>
  <si>
    <t>4,266.75</t>
  </si>
  <si>
    <t>-13,866,065.99</t>
  </si>
  <si>
    <t>3067</t>
  </si>
  <si>
    <t>PHUB524493477</t>
  </si>
  <si>
    <t>524493477 B/O ALSHOUMOUKH INTERNATIONAL SERVICES LLC</t>
  </si>
  <si>
    <t>5,278.31</t>
  </si>
  <si>
    <t>-13,860,787.68</t>
  </si>
  <si>
    <t>3068</t>
  </si>
  <si>
    <t>PHUB524494222</t>
  </si>
  <si>
    <t>B/O_KUNHI KRISHNAN S_524494222</t>
  </si>
  <si>
    <t>12,668.75</t>
  </si>
  <si>
    <t>-13,848,118.93</t>
  </si>
  <si>
    <t>3069</t>
  </si>
  <si>
    <t>207,021.65</t>
  </si>
  <si>
    <t>-13,641,097.28</t>
  </si>
  <si>
    <t>3070</t>
  </si>
  <si>
    <t>81,968.25</t>
  </si>
  <si>
    <t>-13,559,129.03</t>
  </si>
  <si>
    <t>3071</t>
  </si>
  <si>
    <t>8,543.05</t>
  </si>
  <si>
    <t>-13,550,585.98</t>
  </si>
  <si>
    <t>3072</t>
  </si>
  <si>
    <t>51017428377</t>
  </si>
  <si>
    <t>2540842397 IBTRF B/O RAVIRAJ  MANIKLAL  SONI</t>
  </si>
  <si>
    <t>183,850.00</t>
  </si>
  <si>
    <t>-13,366,735.98</t>
  </si>
  <si>
    <t>3073</t>
  </si>
  <si>
    <t>69,882.25</t>
  </si>
  <si>
    <t>-13,296,853.73</t>
  </si>
  <si>
    <t>3074</t>
  </si>
  <si>
    <t>PHUB524505573</t>
  </si>
  <si>
    <t>AL FARDAN1508</t>
  </si>
  <si>
    <t>B/O GULF ASIA CATER A CAMP MANT SER LLC</t>
  </si>
  <si>
    <t>32,100.00</t>
  </si>
  <si>
    <t>-13,264,753.73</t>
  </si>
  <si>
    <t>3075</t>
  </si>
  <si>
    <t>MOB1508251647358141613</t>
  </si>
  <si>
    <t>24,191.00</t>
  </si>
  <si>
    <t>-13,240,562.73</t>
  </si>
  <si>
    <t>3076</t>
  </si>
  <si>
    <t>24,715.00</t>
  </si>
  <si>
    <t>-13,215,847.73</t>
  </si>
  <si>
    <t>3077</t>
  </si>
  <si>
    <t>51017841944</t>
  </si>
  <si>
    <t>2540856569 IBTRF B/O NATIONAL FLOWERS LLC SPC</t>
  </si>
  <si>
    <t>-13,142,307.23</t>
  </si>
  <si>
    <t>3078</t>
  </si>
  <si>
    <t>INHOUSE CHEQUE DEPOSIT 000004 MUHAMMAD HAMEED MUHAMMAD   FAREED AL FARDAN EXCHANGE SP LLC CHQ NO ::000004</t>
  </si>
  <si>
    <t>22,024.36</t>
  </si>
  <si>
    <t>-13,120,282.87</t>
  </si>
  <si>
    <t>3079</t>
  </si>
  <si>
    <t>000098</t>
  </si>
  <si>
    <t>INHOUSE CHEQUE DEPOSIT 000098 KABEER MUKKADEKAD VALAPPIL   KOYUNNI AL FARDAN EXCHANGE SP LLC CHQ NO ::000098</t>
  </si>
  <si>
    <t>-13,020,282.87</t>
  </si>
  <si>
    <t>3080</t>
  </si>
  <si>
    <t>000358</t>
  </si>
  <si>
    <t>INHOUSE CHEQUE DEPOSIT 000358 SUMEEJ VELUTHEDATHU PARAMBIL    MANIKUTTY AL FARDAN EXCHANGE SP LLC CHQ NO ::000358</t>
  </si>
  <si>
    <t>22,768.00</t>
  </si>
  <si>
    <t>-12,997,514.87</t>
  </si>
  <si>
    <t>3081</t>
  </si>
  <si>
    <t>3,385.40</t>
  </si>
  <si>
    <t>-12,994,129.47</t>
  </si>
  <si>
    <t>3082</t>
  </si>
  <si>
    <t>PHUB524523195</t>
  </si>
  <si>
    <t>B/O_LAST CHANC_BOML_524523195_ PAYMEN</t>
  </si>
  <si>
    <t>19,728.75</t>
  </si>
  <si>
    <t>-12,974,400.72</t>
  </si>
  <si>
    <t>3083</t>
  </si>
  <si>
    <t>23,567.50</t>
  </si>
  <si>
    <t>-12,950,833.22</t>
  </si>
  <si>
    <t>3084</t>
  </si>
  <si>
    <t>PHUB524539809</t>
  </si>
  <si>
    <t>524539809 B/O AIDEN DRYDEN</t>
  </si>
  <si>
    <t>-12,950,333.22</t>
  </si>
  <si>
    <t>3085</t>
  </si>
  <si>
    <t>PHUB524543226</t>
  </si>
  <si>
    <t>B/O_AMIT HOODA_HSBC_524543226_AEV1508</t>
  </si>
  <si>
    <t>-12,900,306.72</t>
  </si>
  <si>
    <t>3086</t>
  </si>
  <si>
    <t>51019727069</t>
  </si>
  <si>
    <t>26118172329 MBTRF B/O SAFARATH SHAFI KALLUVALAPPU</t>
  </si>
  <si>
    <t>56,916.51</t>
  </si>
  <si>
    <t>-12,843,390.21</t>
  </si>
  <si>
    <t>3087</t>
  </si>
  <si>
    <t>057469</t>
  </si>
  <si>
    <t>CHEQUE DEPOSIT 057469 SHAMSHEER KHAN AHAMED KHAN AHAMED  KHAN 003520167 CHQ NO ::057469</t>
  </si>
  <si>
    <t>6,031.00</t>
  </si>
  <si>
    <t>-12,837,359.21</t>
  </si>
  <si>
    <t>3088</t>
  </si>
  <si>
    <t>001670</t>
  </si>
  <si>
    <t>CHEQUE DEPOSIT 001670 SHAMSHEER KHAN AHAMED KHAN AHAMED  KHAN 104030136 CHQ NO ::001670</t>
  </si>
  <si>
    <t>138,816.57</t>
  </si>
  <si>
    <t>-12,698,542.64</t>
  </si>
  <si>
    <t>3089</t>
  </si>
  <si>
    <t>000750</t>
  </si>
  <si>
    <t>CHEQUE DEPOSIT AL SALIK 603430129 CHQ NO ::000750</t>
  </si>
  <si>
    <t>149,772.50</t>
  </si>
  <si>
    <t>-12,548,770.14</t>
  </si>
  <si>
    <t>3090</t>
  </si>
  <si>
    <t>100761</t>
  </si>
  <si>
    <t>CHEQUE DEPOSIT 100761 SHAMSHEER KHAN AHAMED KHAN AHAMED  KHAN 302430107 CHQ NO ::100761</t>
  </si>
  <si>
    <t>35,315.67</t>
  </si>
  <si>
    <t>-12,513,454.47</t>
  </si>
  <si>
    <t>3091</t>
  </si>
  <si>
    <t>000461</t>
  </si>
  <si>
    <t>CHEQUE DEPOSIT M BHATTI 502620182 CHQ NO ::000461</t>
  </si>
  <si>
    <t>121,320.87</t>
  </si>
  <si>
    <t>-12,392,133.60</t>
  </si>
  <si>
    <t>3092</t>
  </si>
  <si>
    <t>CHEQUE DEPOSIT 000090 SHAMSHEER KHAN AHAMED KHAN AHAMED  KHAN 604130075 CHQ NO ::000090</t>
  </si>
  <si>
    <t>-12,355,333.60</t>
  </si>
  <si>
    <t>3093</t>
  </si>
  <si>
    <t>003133</t>
  </si>
  <si>
    <t>CHEQUE DEPOSIT 003133 SHAMSHEER KHAN AHAMED KHAN AHAMED  KHAN 404130101 CHQ NO ::003133</t>
  </si>
  <si>
    <t>223,400.00</t>
  </si>
  <si>
    <t>-12,131,933.60</t>
  </si>
  <si>
    <t>3094</t>
  </si>
  <si>
    <t>034896</t>
  </si>
  <si>
    <t>CHEQUE DEPOSIT 034896 SHAMSHEER KHAN AHAMED KHAN AHAMED  KHAN 003520167 CHQ NO ::034896</t>
  </si>
  <si>
    <t>-12,111,933.60</t>
  </si>
  <si>
    <t>3095</t>
  </si>
  <si>
    <t>004366</t>
  </si>
  <si>
    <t>CHEQUE DEPOSIT 004366 APPUKUTTAN PRASANNAN    APPUKUTTAN 003810101 CHQ NO ::004366</t>
  </si>
  <si>
    <t>361,348.57</t>
  </si>
  <si>
    <t>-11,750,585.03</t>
  </si>
  <si>
    <t>3096</t>
  </si>
  <si>
    <t>B/O_I N C A JE_UARB_524549843_Local B</t>
  </si>
  <si>
    <t>7,364,000.00</t>
  </si>
  <si>
    <t>-4,386,585.03</t>
  </si>
  <si>
    <t>3097</t>
  </si>
  <si>
    <t>CHEQUE DEPOSIT 000354 SHAMSHEER KHAN AHAMED KHAN AHAMED  KHAN 304040119 CHQ NO ::000354</t>
  </si>
  <si>
    <t>34,519.87</t>
  </si>
  <si>
    <t>-4,352,065.16</t>
  </si>
  <si>
    <t>3098</t>
  </si>
  <si>
    <t>001669</t>
  </si>
  <si>
    <t>CHEQUE DEPOSIT 001669 SHAMSHEER KHAN AHAMED KHAN AHAMED  KHAN 104030136 CHQ NO ::001669</t>
  </si>
  <si>
    <t>-4,322,616.66</t>
  </si>
  <si>
    <t>3099</t>
  </si>
  <si>
    <t>PHUB524553813</t>
  </si>
  <si>
    <t>524553813 B/O ISMAIL POTHU VADAKKAYIL</t>
  </si>
  <si>
    <t>42,130.00</t>
  </si>
  <si>
    <t>-4,280,486.66</t>
  </si>
  <si>
    <t>3100</t>
  </si>
  <si>
    <t>000749</t>
  </si>
  <si>
    <t>CHEQUE DEPOSIT AL SALIK 603430129 CHQ NO ::000749</t>
  </si>
  <si>
    <t>100,017.50</t>
  </si>
  <si>
    <t>-4,180,469.16</t>
  </si>
  <si>
    <t>3101</t>
  </si>
  <si>
    <t>B/O_IHAB MAHER OWIS_524555530</t>
  </si>
  <si>
    <t>13,597.50</t>
  </si>
  <si>
    <t>-4,166,871.66</t>
  </si>
  <si>
    <t>3102</t>
  </si>
  <si>
    <t>000505</t>
  </si>
  <si>
    <t>CHEQUE DEPOSIT 000505 MUHAMMAD HAMEED MUHAMMAD   FAREED 704130102 CHQ NO ::000505</t>
  </si>
  <si>
    <t>-4,066,871.66</t>
  </si>
  <si>
    <t>3103</t>
  </si>
  <si>
    <t>PHUB524556796</t>
  </si>
  <si>
    <t>B/O_MRS RASHMI_HSBC_524556796_AEV1508</t>
  </si>
  <si>
    <t>58,900.00</t>
  </si>
  <si>
    <t>-4,007,971.66</t>
  </si>
  <si>
    <t>3104</t>
  </si>
  <si>
    <t>012690</t>
  </si>
  <si>
    <t>CHEQUE DEPOSIT 012690 MOHAMMED FACIUL     ALAM SHAH ALAM 903420130 CHQ NO ::012690</t>
  </si>
  <si>
    <t>11,721.66</t>
  </si>
  <si>
    <t>-3,996,250.00</t>
  </si>
  <si>
    <t>3105</t>
  </si>
  <si>
    <t>CHEQUE DEPOSIT 000325 VISHNU,VIJAYA SANKAR,SIVASANKARAN,,,KANAKAZHIKANDA 003420159 CHQ NO ::000325</t>
  </si>
  <si>
    <t>-3,796,250.00</t>
  </si>
  <si>
    <t>3106</t>
  </si>
  <si>
    <t>003134</t>
  </si>
  <si>
    <t>CHEQUE DEPOSIT 003134 SHAMSHEER KHAN AHAMED KHAN AHAMED  KHAN 404130101 CHQ NO ::003134</t>
  </si>
  <si>
    <t>217,480.50</t>
  </si>
  <si>
    <t>-3,578,769.50</t>
  </si>
  <si>
    <t>3107</t>
  </si>
  <si>
    <t>002784</t>
  </si>
  <si>
    <t>CHEQUE DEPOSIT 002784 BASHEER PULIKKAL    IBRAHIM 703310105 CHQ NO ::002784</t>
  </si>
  <si>
    <t>-3,576,269.50</t>
  </si>
  <si>
    <t>3108</t>
  </si>
  <si>
    <t>438288</t>
  </si>
  <si>
    <t>CHEQUE DEPOSIT 438288 SHAMSHEER KHAN AHAMED KHAN AHAMED  KHAN 803520152 CHQ NO ::438288</t>
  </si>
  <si>
    <t>1,713.80</t>
  </si>
  <si>
    <t>-3,574,555.70</t>
  </si>
  <si>
    <t>3109</t>
  </si>
  <si>
    <t>000448</t>
  </si>
  <si>
    <t>CHEQUE DEPOSIT JABAL ARMAN 603830105 CHQ NO ::000448</t>
  </si>
  <si>
    <t>272,686.50</t>
  </si>
  <si>
    <t>-3,301,869.20</t>
  </si>
  <si>
    <t>3110</t>
  </si>
  <si>
    <t>000706</t>
  </si>
  <si>
    <t>KARNAIL SINGH</t>
  </si>
  <si>
    <t>CHEQUE DEPOSIT KARNAIL SINGH 803320103 CHQ NO ::000706</t>
  </si>
  <si>
    <t>71,606.25</t>
  </si>
  <si>
    <t>-3,230,262.95</t>
  </si>
  <si>
    <t>3111</t>
  </si>
  <si>
    <t>51021018891</t>
  </si>
  <si>
    <t>2540951590 IBTRF B/O SUSAIAPPAN ROYAPPAN</t>
  </si>
  <si>
    <t>-3,228,962.95</t>
  </si>
  <si>
    <t>3112</t>
  </si>
  <si>
    <t>000091</t>
  </si>
  <si>
    <t>CHEQUE DEPOSIT 000091 JILU JALEEL     ABDUL JALEEL 304012039 CHQ NO ::000091</t>
  </si>
  <si>
    <t>5,462.75</t>
  </si>
  <si>
    <t>-3,223,500.20</t>
  </si>
  <si>
    <t>3113</t>
  </si>
  <si>
    <t>000333</t>
  </si>
  <si>
    <t>GALB AL GAMAR</t>
  </si>
  <si>
    <t>CHEQUE DEPOSIT GALB AL GAMAR 903420196 CHQ NO ::000333</t>
  </si>
  <si>
    <t>72,971.25</t>
  </si>
  <si>
    <t>-3,150,528.95</t>
  </si>
  <si>
    <t>3114</t>
  </si>
  <si>
    <t>008256</t>
  </si>
  <si>
    <t>CHEQUE DEPOSIT 008256 MUHAMMAD HAMEED MUHAMMAD   FAREED 104030136 CHQ NO ::008256</t>
  </si>
  <si>
    <t>5,619.29</t>
  </si>
  <si>
    <t>-3,144,909.66</t>
  </si>
  <si>
    <t>3115</t>
  </si>
  <si>
    <t>502438</t>
  </si>
  <si>
    <t>CHEQUE DEPOSIT 502438 SHAMSHEER KHAN AHAMED KHAN AHAMED  KHAN 805030156 CHQ NO ::502438</t>
  </si>
  <si>
    <t>184,936.25</t>
  </si>
  <si>
    <t>-2,959,973.41</t>
  </si>
  <si>
    <t>3116</t>
  </si>
  <si>
    <t>000332</t>
  </si>
  <si>
    <t>CHEQUE DEPOSIT GALB AL GAMAR 903420196 CHQ NO ::000332</t>
  </si>
  <si>
    <t>97,243.00</t>
  </si>
  <si>
    <t>-2,862,730.41</t>
  </si>
  <si>
    <t>3117</t>
  </si>
  <si>
    <t>000809</t>
  </si>
  <si>
    <t>CHEQUE DEPOSIT 000809 MUHAMMAD HAMEED MUHAMMAD   FAREED 604130075 CHQ NO ::000809</t>
  </si>
  <si>
    <t>198,970.67</t>
  </si>
  <si>
    <t>-2,663,759.74</t>
  </si>
  <si>
    <t>3118</t>
  </si>
  <si>
    <t>PHUB524570284</t>
  </si>
  <si>
    <t>524570284 B/O DHEYAB  MOHAMED RASHED BINALIWAH ALYAMMAHI</t>
  </si>
  <si>
    <t>-2,660,759.74</t>
  </si>
  <si>
    <t>3119</t>
  </si>
  <si>
    <t>CHEQUE DEPOSIT 000002 SHAMSHEER KHAN AHAMED KHAN AHAMED  KHAN 403420384 CHQ NO ::000002</t>
  </si>
  <si>
    <t>10,553.00</t>
  </si>
  <si>
    <t>-2,650,206.74</t>
  </si>
  <si>
    <t>3120</t>
  </si>
  <si>
    <t>PHUB524590901</t>
  </si>
  <si>
    <t>CW 15082025</t>
  </si>
  <si>
    <t>-6,650,206.74</t>
  </si>
  <si>
    <t>3121</t>
  </si>
  <si>
    <t>524596819 B/O ABDUL QAYYUM</t>
  </si>
  <si>
    <t>-6,642,706.74</t>
  </si>
  <si>
    <t>3122</t>
  </si>
  <si>
    <t>PHUB524600144</t>
  </si>
  <si>
    <t>B/O_SHOFIQUL ISLAM_524600144</t>
  </si>
  <si>
    <t>-6,631,706.74</t>
  </si>
  <si>
    <t>3123</t>
  </si>
  <si>
    <t>51023388170</t>
  </si>
  <si>
    <t>26122464519 MBTRF B/O AHMED ABDELHAMID MOHAMED ELASHMAWY</t>
  </si>
  <si>
    <t>-6,594,912.49</t>
  </si>
  <si>
    <t>3124</t>
  </si>
  <si>
    <t>51023945052</t>
  </si>
  <si>
    <t>26123133157 MBTRF B/O T N R FLOWERS TRADING LLC</t>
  </si>
  <si>
    <t>-6,539,741.99</t>
  </si>
  <si>
    <t>3125</t>
  </si>
  <si>
    <t>PHUB524627773</t>
  </si>
  <si>
    <t>LEO TO US AGENT FEE</t>
  </si>
  <si>
    <t>6,216.00</t>
  </si>
  <si>
    <t>-6,533,525.99</t>
  </si>
  <si>
    <t>3126</t>
  </si>
  <si>
    <t>16-Aug-2025</t>
  </si>
  <si>
    <t>B/O_MAX ROCK S_NBFU_524663479_PAYMENT</t>
  </si>
  <si>
    <t>2,239,315.46</t>
  </si>
  <si>
    <t>-4,294,210.53</t>
  </si>
  <si>
    <t>3127</t>
  </si>
  <si>
    <t>51027672712</t>
  </si>
  <si>
    <t>2541070405 IBTRF B/O NEXT MOVE SHIPPING SERVICES LLC</t>
  </si>
  <si>
    <t>8,972.38</t>
  </si>
  <si>
    <t>-4,285,238.15</t>
  </si>
  <si>
    <t>3128</t>
  </si>
  <si>
    <t>PHUB524670583</t>
  </si>
  <si>
    <t>RIT64</t>
  </si>
  <si>
    <t>8,179.75</t>
  </si>
  <si>
    <t>-4,277,058.40</t>
  </si>
  <si>
    <t>3129</t>
  </si>
  <si>
    <t>PHUB524670913</t>
  </si>
  <si>
    <t>RIT63</t>
  </si>
  <si>
    <t>16,882.50</t>
  </si>
  <si>
    <t>-4,260,175.90</t>
  </si>
  <si>
    <t>3130</t>
  </si>
  <si>
    <t>51027705380</t>
  </si>
  <si>
    <t>2541071475 IBTRF B/O NEXT MOVE SHIPPING SERVICES LLC</t>
  </si>
  <si>
    <t>10,336.54</t>
  </si>
  <si>
    <t>-4,249,839.36</t>
  </si>
  <si>
    <t>3131</t>
  </si>
  <si>
    <t>51027757743</t>
  </si>
  <si>
    <t>2541072946 IBTRF B/O NEXT MOVE SHIPPING SERVICES LLC</t>
  </si>
  <si>
    <t>3,529.25</t>
  </si>
  <si>
    <t>-4,246,310.11</t>
  </si>
  <si>
    <t>3132</t>
  </si>
  <si>
    <t>51027805070</t>
  </si>
  <si>
    <t>2541074154 IBTRF B/O NEXT MOVE SHIPPING SERVICES LLC</t>
  </si>
  <si>
    <t>1,181.38</t>
  </si>
  <si>
    <t>-4,245,128.73</t>
  </si>
  <si>
    <t>3133</t>
  </si>
  <si>
    <t>51027860763</t>
  </si>
  <si>
    <t>2541075639 IBTRF B/O NEXT MOVE SHIPPING SERVICES LLC</t>
  </si>
  <si>
    <t>10,404.08</t>
  </si>
  <si>
    <t>-4,234,724.65</t>
  </si>
  <si>
    <t>3134</t>
  </si>
  <si>
    <t>2508160838542637</t>
  </si>
  <si>
    <t>NESTO HYPRMRKT AJM, 15TH AUG - Cash Collection TG</t>
  </si>
  <si>
    <t>-3,979,724.65</t>
  </si>
  <si>
    <t>3135</t>
  </si>
  <si>
    <t>2508160838542640</t>
  </si>
  <si>
    <t>GOLDLAND BRANCH DXB, 15TH AUG - Cash Collection TG</t>
  </si>
  <si>
    <t>-3,759,724.65</t>
  </si>
  <si>
    <t>3136</t>
  </si>
  <si>
    <t>2508160838552643</t>
  </si>
  <si>
    <t>CITY CENTER AL ZAHIA SHJ, 15TH AUG - Cash Collection TG</t>
  </si>
  <si>
    <t>-3,609,724.65</t>
  </si>
  <si>
    <t>3137</t>
  </si>
  <si>
    <t>2508160838552646</t>
  </si>
  <si>
    <t>DUBAI HILLS ESTATE DUBAI, 15TH AUG - Cash Collection TG</t>
  </si>
  <si>
    <t>-3,409,724.65</t>
  </si>
  <si>
    <t>3138</t>
  </si>
  <si>
    <t>2508160838552649</t>
  </si>
  <si>
    <t>MEGA MALL SHARJAH BR 1, 15TH AUG - Cash Collection TG</t>
  </si>
  <si>
    <t>-3,129,724.65</t>
  </si>
  <si>
    <t>3139</t>
  </si>
  <si>
    <t>2508160838552652</t>
  </si>
  <si>
    <t>UAQ, 15TH AUG - Cash Collection TG</t>
  </si>
  <si>
    <t>-3,049,724.65</t>
  </si>
  <si>
    <t>3140</t>
  </si>
  <si>
    <t>2508160838552655</t>
  </si>
  <si>
    <t>AL RIGGA METRO STION DXB, 15TH AUG - Cash Collection TG</t>
  </si>
  <si>
    <t>-2,799,724.65</t>
  </si>
  <si>
    <t>3141</t>
  </si>
  <si>
    <t>2508160838552658</t>
  </si>
  <si>
    <t>CLOCK TOWER 1, 15TH AUG - Cash Collection TG</t>
  </si>
  <si>
    <t>-2,589,724.65</t>
  </si>
  <si>
    <t>3142</t>
  </si>
  <si>
    <t>2508160838552661</t>
  </si>
  <si>
    <t>AL MINA NESTO BR DXB, 15TH AUG - Cash Collection TG</t>
  </si>
  <si>
    <t>-2,439,724.65</t>
  </si>
  <si>
    <t>3143</t>
  </si>
  <si>
    <t>2508160838552664</t>
  </si>
  <si>
    <t>CO OP SOCIETY SHJ 1, 15TH AUG - Cash Collection TG</t>
  </si>
  <si>
    <t>-2,279,724.65</t>
  </si>
  <si>
    <t>3144</t>
  </si>
  <si>
    <t>2508160838552667</t>
  </si>
  <si>
    <t>KHAN SAHIB BLDG SHJ, 15TH AUG - Cash Collection TG</t>
  </si>
  <si>
    <t>-2,079,724.65</t>
  </si>
  <si>
    <t>3145</t>
  </si>
  <si>
    <t>2508160838552670</t>
  </si>
  <si>
    <t>DEIRA 1, 15TH AUG - Cash Collection TG</t>
  </si>
  <si>
    <t>1,500,000.00</t>
  </si>
  <si>
    <t>-579,724.65</t>
  </si>
  <si>
    <t>3146</t>
  </si>
  <si>
    <t>2508160838552679</t>
  </si>
  <si>
    <t>SATWA 1, 15TH AUG - Cash Collection TG</t>
  </si>
  <si>
    <t>-379,724.65</t>
  </si>
  <si>
    <t>3147</t>
  </si>
  <si>
    <t>2508160838552682</t>
  </si>
  <si>
    <t>AL NHDA RES TWRS  SHJ, 15TH AUG - Cash Collection TG</t>
  </si>
  <si>
    <t>-159,724.65</t>
  </si>
  <si>
    <t>3148</t>
  </si>
  <si>
    <t>2508160838552685</t>
  </si>
  <si>
    <t>AL MADAM SHJ, 15TH AUG - Cash Collection TG</t>
  </si>
  <si>
    <t>245,030.00</t>
  </si>
  <si>
    <t>85,305.35</t>
  </si>
  <si>
    <t>3149</t>
  </si>
  <si>
    <t>2508160838552688</t>
  </si>
  <si>
    <t>SAJA INDUSTRIAL SHJ 2, 15TH AUG - Cash Collection TG</t>
  </si>
  <si>
    <t>285,305.35</t>
  </si>
  <si>
    <t>3150</t>
  </si>
  <si>
    <t>2508160838562691</t>
  </si>
  <si>
    <t>KARAMA DUBAI, 15TH AUG - Cash Collection TG</t>
  </si>
  <si>
    <t>535,305.35</t>
  </si>
  <si>
    <t>3151</t>
  </si>
  <si>
    <t>2508160839033834</t>
  </si>
  <si>
    <t>Musaffah Saniya AUH, 15TH AUG - Cash Collection TG</t>
  </si>
  <si>
    <t>1,125,305.35</t>
  </si>
  <si>
    <t>3152</t>
  </si>
  <si>
    <t>2508160839033840</t>
  </si>
  <si>
    <t>Al Forshan Central Mall Khalifa City AUH, 15TH AUG - Cash Collection TG</t>
  </si>
  <si>
    <t>1,335,305.35</t>
  </si>
  <si>
    <t>3153</t>
  </si>
  <si>
    <t>2508160839033843</t>
  </si>
  <si>
    <t>Old Shahama, 15TH AUG - Cash Collection TG</t>
  </si>
  <si>
    <t>1,485,305.35</t>
  </si>
  <si>
    <t>3154</t>
  </si>
  <si>
    <t>2508160839033846</t>
  </si>
  <si>
    <t>Shamkha Mall Abu dhabi, 15TH AUG - Cash Collection TG</t>
  </si>
  <si>
    <t>1,655,305.35</t>
  </si>
  <si>
    <t>3155</t>
  </si>
  <si>
    <t>2508160839054552</t>
  </si>
  <si>
    <t>HAYER Al Ain1, 15TH AUG - Cash Collection TG</t>
  </si>
  <si>
    <t>1,925,305.35</t>
  </si>
  <si>
    <t>3156</t>
  </si>
  <si>
    <t>2508160839054559</t>
  </si>
  <si>
    <t>SWEIHAN  ALAIN, 15TH AUG - Cash Collection TG</t>
  </si>
  <si>
    <t>2,125,305.35</t>
  </si>
  <si>
    <t>3157</t>
  </si>
  <si>
    <t>2508160839054568</t>
  </si>
  <si>
    <t>AL FOAH MALL AL-AIN, 15TH AUG - Cash Collection TG</t>
  </si>
  <si>
    <t>2,775,305.35</t>
  </si>
  <si>
    <t>3158</t>
  </si>
  <si>
    <t>2508160839054571</t>
  </si>
  <si>
    <t>Al Yahar Al Ain, 15TH AUG - Cash Collection TG</t>
  </si>
  <si>
    <t>3,175,305.35</t>
  </si>
  <si>
    <t>3159</t>
  </si>
  <si>
    <t>2508160839054574</t>
  </si>
  <si>
    <t>TCA AUH, 15TH AUG - Cash Collection TG</t>
  </si>
  <si>
    <t>3,475,305.35</t>
  </si>
  <si>
    <t>3160</t>
  </si>
  <si>
    <t>2508160839054577</t>
  </si>
  <si>
    <t>Muroor AUH, 15TH AUG - Cash Collection TG</t>
  </si>
  <si>
    <t>3,755,305.35</t>
  </si>
  <si>
    <t>3161</t>
  </si>
  <si>
    <t>2508160839064588</t>
  </si>
  <si>
    <t>B2B AUH, 15TH AUG - Cash Collection TG</t>
  </si>
  <si>
    <t>4,055,305.35</t>
  </si>
  <si>
    <t>3162</t>
  </si>
  <si>
    <t>2508160839064591</t>
  </si>
  <si>
    <t>Al Nahyan Street AUH, 15TH AUG - Cash Collection TG</t>
  </si>
  <si>
    <t>4,235,305.35</t>
  </si>
  <si>
    <t>3163</t>
  </si>
  <si>
    <t>2508160839064594</t>
  </si>
  <si>
    <t>Al Wahda AUH, 15TH AUG - Cash Collection TG</t>
  </si>
  <si>
    <t>5,185,305.35</t>
  </si>
  <si>
    <t>3164</t>
  </si>
  <si>
    <t>2508160839064597</t>
  </si>
  <si>
    <t>Zayed 1st Street Electra AUH, 15TH AUG - Cash Collection TG</t>
  </si>
  <si>
    <t>5,325,305.35</t>
  </si>
  <si>
    <t>3165</t>
  </si>
  <si>
    <t>2508160839064600</t>
  </si>
  <si>
    <t>Hamdan Abu Dhabi, 15TH AUG - Cash Collection TG</t>
  </si>
  <si>
    <t>1,310,000.00</t>
  </si>
  <si>
    <t>6,635,305.35</t>
  </si>
  <si>
    <t>3166</t>
  </si>
  <si>
    <t>2508160839064603</t>
  </si>
  <si>
    <t>Bin Dhgher Tower Khalidya AUH, 15TH AUG - Cash Collection TG</t>
  </si>
  <si>
    <t>6,985,305.35</t>
  </si>
  <si>
    <t>3167</t>
  </si>
  <si>
    <t>PHUB524688520</t>
  </si>
  <si>
    <t>B/O_TSU CHIN Y_NBAD_524688520_Savings</t>
  </si>
  <si>
    <t>7,185,305.35</t>
  </si>
  <si>
    <t>3168</t>
  </si>
  <si>
    <t>PHUB524694515</t>
  </si>
  <si>
    <t>B/O_LLC REMAK _ADIB_524694515_RCSI</t>
  </si>
  <si>
    <t>76,373.50</t>
  </si>
  <si>
    <t>7,261,678.85</t>
  </si>
  <si>
    <t>3169</t>
  </si>
  <si>
    <t>B/O_MEDITRATE _BOML_524700380_ AIR TR</t>
  </si>
  <si>
    <t>34,822.60</t>
  </si>
  <si>
    <t>7,296,501.45</t>
  </si>
  <si>
    <t>3170</t>
  </si>
  <si>
    <t>51029014736</t>
  </si>
  <si>
    <t>2541115718 IBTRF B/O NEXT MOVE SHIPPING SERVICES LLC</t>
  </si>
  <si>
    <t>5,739.25</t>
  </si>
  <si>
    <t>7,302,240.70</t>
  </si>
  <si>
    <t>3171</t>
  </si>
  <si>
    <t>51029045348</t>
  </si>
  <si>
    <t>26128916329 MBTRF B/O GRAND MALFOUF WA HAREES CAF CO LLC</t>
  </si>
  <si>
    <t>7,592.00</t>
  </si>
  <si>
    <t>7,309,832.70</t>
  </si>
  <si>
    <t>3172</t>
  </si>
  <si>
    <t>B/O_I N C A JE_UARB_524713712_Local B</t>
  </si>
  <si>
    <t>11,032,500.00</t>
  </si>
  <si>
    <t>18,342,332.70</t>
  </si>
  <si>
    <t>3173</t>
  </si>
  <si>
    <t>B/O_MOHAMED FA_NBAD_524717585_Family</t>
  </si>
  <si>
    <t>18,442,332.70</t>
  </si>
  <si>
    <t>3174</t>
  </si>
  <si>
    <t>51029878769</t>
  </si>
  <si>
    <t>26129770743 MBTRF B/O MOHAMMED AHMED ALI MORSY ELBITAR</t>
  </si>
  <si>
    <t>30,531.00</t>
  </si>
  <si>
    <t>18,472,863.70</t>
  </si>
  <si>
    <t>3175</t>
  </si>
  <si>
    <t>PHUB524747381</t>
  </si>
  <si>
    <t>524747381 B/O VICTOR KANGANGA KABATA</t>
  </si>
  <si>
    <t>18,522,863.70</t>
  </si>
  <si>
    <t>3176</t>
  </si>
  <si>
    <t>524748177 B/O OBAID RASHED OBAID ALSHAMSI</t>
  </si>
  <si>
    <t>18,524,363.70</t>
  </si>
  <si>
    <t>3177</t>
  </si>
  <si>
    <t>PHUB524743538</t>
  </si>
  <si>
    <t>IMD 16082025</t>
  </si>
  <si>
    <t>34,719,601.15</t>
  </si>
  <si>
    <t>-16,195,237.45</t>
  </si>
  <si>
    <t>3178</t>
  </si>
  <si>
    <t>51030654826</t>
  </si>
  <si>
    <t>26130560416 MBTRF B/O RAHUL BHARGAVA AND OR CHHAVI B</t>
  </si>
  <si>
    <t>1,102.05</t>
  </si>
  <si>
    <t>-16,194,135.40</t>
  </si>
  <si>
    <t>3179</t>
  </si>
  <si>
    <t>51030885715</t>
  </si>
  <si>
    <t>26130796161 MBTRF B/O RAHUL BHARGAVA AND OR CHHAVI B</t>
  </si>
  <si>
    <t>325.00</t>
  </si>
  <si>
    <t>-16,193,810.40</t>
  </si>
  <si>
    <t>3180</t>
  </si>
  <si>
    <t>PHUB524756608</t>
  </si>
  <si>
    <t>REQ25131 PO25739 WO25301</t>
  </si>
  <si>
    <t>4,505.50</t>
  </si>
  <si>
    <t>-16,189,304.90</t>
  </si>
  <si>
    <t>3181</t>
  </si>
  <si>
    <t>PHUB524756971</t>
  </si>
  <si>
    <t>CA 16082025</t>
  </si>
  <si>
    <t>15,600,000.00</t>
  </si>
  <si>
    <t>-589,304.90</t>
  </si>
  <si>
    <t>3182</t>
  </si>
  <si>
    <t>51031014830</t>
  </si>
  <si>
    <t>26130923408 MBTRF B/O BALARAM B K</t>
  </si>
  <si>
    <t>354.00</t>
  </si>
  <si>
    <t>-588,950.90</t>
  </si>
  <si>
    <t>3183</t>
  </si>
  <si>
    <t>INHOUSE CHEQUE DEPOSIT 000063 FARHAN ALI SHAN     ABDUL WAZIR ALI AL FARDAN EXCHANGE SP LLC CHQ NO ::000063</t>
  </si>
  <si>
    <t>-338,950.90</t>
  </si>
  <si>
    <t>3184</t>
  </si>
  <si>
    <t>000108</t>
  </si>
  <si>
    <t>INHOUSE CHEQUE DEPOSIT 000108 MUHAMMAD ATIF SIDDIQUE MUHAMMAD    SIDDIQUE AL FARDAN EXCHANGE SP LLC CHQ NO ::000108</t>
  </si>
  <si>
    <t>274,939.48</t>
  </si>
  <si>
    <t>-64,011.42</t>
  </si>
  <si>
    <t>3185</t>
  </si>
  <si>
    <t>4,003.15</t>
  </si>
  <si>
    <t>-60,008.27</t>
  </si>
  <si>
    <t>3186</t>
  </si>
  <si>
    <t>PHUB524775133</t>
  </si>
  <si>
    <t>B/O_MR INDERRA_HSBC_524775133_AEV1608</t>
  </si>
  <si>
    <t>367,465.00</t>
  </si>
  <si>
    <t>307,456.73</t>
  </si>
  <si>
    <t>3187</t>
  </si>
  <si>
    <t>51032657624</t>
  </si>
  <si>
    <t>26132576735 MBTRF B/O IDEAL TAILORING SHOP</t>
  </si>
  <si>
    <t>30,302.00</t>
  </si>
  <si>
    <t>337,758.73</t>
  </si>
  <si>
    <t>3188</t>
  </si>
  <si>
    <t>51033468363</t>
  </si>
  <si>
    <t>2541270752 IBTRF B/O AMOGH PROJECT MANAGEMENT L L C</t>
  </si>
  <si>
    <t>24,596.98</t>
  </si>
  <si>
    <t>362,355.71</t>
  </si>
  <si>
    <t>3189</t>
  </si>
  <si>
    <t>FARDAN160825</t>
  </si>
  <si>
    <t>225,887.00</t>
  </si>
  <si>
    <t>588,242.71</t>
  </si>
  <si>
    <t>3190</t>
  </si>
  <si>
    <t>B/O_MAJID NIMR_ADIB_524803382_Technic</t>
  </si>
  <si>
    <t>15,020.00</t>
  </si>
  <si>
    <t>603,262.71</t>
  </si>
  <si>
    <t>3191</t>
  </si>
  <si>
    <t>PHUB524808325</t>
  </si>
  <si>
    <t>B/O_MOHAMMAD HUSSEI _524808325</t>
  </si>
  <si>
    <t>19,005.00</t>
  </si>
  <si>
    <t>622,267.71</t>
  </si>
  <si>
    <t>3192</t>
  </si>
  <si>
    <t>002634</t>
  </si>
  <si>
    <t>INHOUSE CHEQUE DEPOSIT 002634 TAYYEB TAHIR  REDI  GUL AL FARDAN EXCHANGE SP LLC CHQ NO ::002634</t>
  </si>
  <si>
    <t>59,183.55</t>
  </si>
  <si>
    <t>681,451.26</t>
  </si>
  <si>
    <t>3193</t>
  </si>
  <si>
    <t>INHOUSE CHEQUE DEPOSIT 000119 MOHAMMED SHERIN THUVAKKOTT MAHAMOOD NADAMMAL  KAND AL FARDAN EXCHANGE SP LLC CHQ NO ::000119</t>
  </si>
  <si>
    <t>70,219.20</t>
  </si>
  <si>
    <t>751,670.46</t>
  </si>
  <si>
    <t>3194</t>
  </si>
  <si>
    <t>002639</t>
  </si>
  <si>
    <t>INHOUSE CHEQUE DEPOSIT 002639 TAYYEB TAHIR  REDI  GUL AL FARDAN EXCHANGE SP LLC CHQ NO ::002639</t>
  </si>
  <si>
    <t>45,916.25</t>
  </si>
  <si>
    <t>797,586.71</t>
  </si>
  <si>
    <t>3195</t>
  </si>
  <si>
    <t>PHUB524822453</t>
  </si>
  <si>
    <t>524822453 B/O JABER SARI BALOOSH BARAK ALMAZROUEI</t>
  </si>
  <si>
    <t>4,645.00</t>
  </si>
  <si>
    <t>802,231.71</t>
  </si>
  <si>
    <t>3196</t>
  </si>
  <si>
    <t>51035069737</t>
  </si>
  <si>
    <t>2541313227 IBTRF B/O NATIONAL FLOWERS LLC SPC</t>
  </si>
  <si>
    <t>73,254.98</t>
  </si>
  <si>
    <t>875,486.69</t>
  </si>
  <si>
    <t>3197</t>
  </si>
  <si>
    <t>880,512.94</t>
  </si>
  <si>
    <t>3198</t>
  </si>
  <si>
    <t>PHUB524834832</t>
  </si>
  <si>
    <t>524834832 B/O AFRA SAIF AHMED MOHAMED ALFAHIM</t>
  </si>
  <si>
    <t>890,512.94</t>
  </si>
  <si>
    <t>3199</t>
  </si>
  <si>
    <t>PHUB524837049</t>
  </si>
  <si>
    <t>524837049 B/O MUHAMMAD USMAN</t>
  </si>
  <si>
    <t>897,512.94</t>
  </si>
  <si>
    <t>3200</t>
  </si>
  <si>
    <t>51036201554</t>
  </si>
  <si>
    <t>26136347194 MBTRF B/O NOOR MUHAMMAD KHAN</t>
  </si>
  <si>
    <t>899,312.94</t>
  </si>
  <si>
    <t>3201</t>
  </si>
  <si>
    <t>14,430.00</t>
  </si>
  <si>
    <t>913,742.94</t>
  </si>
  <si>
    <t>3202</t>
  </si>
  <si>
    <t>B/O_I N C A JE_UARB_524849375_Local B</t>
  </si>
  <si>
    <t>7,355,000.00</t>
  </si>
  <si>
    <t>8,268,742.94</t>
  </si>
  <si>
    <t>3203</t>
  </si>
  <si>
    <t>B/O_I N C A JE_UNIL_524849376_252289e</t>
  </si>
  <si>
    <t>11,046,000.00</t>
  </si>
  <si>
    <t>19,314,742.94</t>
  </si>
  <si>
    <t>3204</t>
  </si>
  <si>
    <t>51037123360</t>
  </si>
  <si>
    <t>2541367094 IBTRF B/O JACOB SEBASTIAN &amp;/OR NISHA JACOB</t>
  </si>
  <si>
    <t>19,339,742.94</t>
  </si>
  <si>
    <t>3205</t>
  </si>
  <si>
    <t>524858352 B/O FATMA ELSAID MOHAMED SAKR ELSHENNAWY</t>
  </si>
  <si>
    <t>1,420.00</t>
  </si>
  <si>
    <t>19,341,162.94</t>
  </si>
  <si>
    <t>3206</t>
  </si>
  <si>
    <t>B/O_HOLIDAYS HOUSE F_524862376</t>
  </si>
  <si>
    <t>14,840.52</t>
  </si>
  <si>
    <t>19,356,003.46</t>
  </si>
  <si>
    <t>3207</t>
  </si>
  <si>
    <t>281436</t>
  </si>
  <si>
    <t>CHEQUE DEPOSIT 281436 AMR GAMAL MOHAMED   AWAD 302430107 CHQ NO ::281436</t>
  </si>
  <si>
    <t>6,251.88</t>
  </si>
  <si>
    <t>19,362,255.34</t>
  </si>
  <si>
    <t>3208</t>
  </si>
  <si>
    <t>100044</t>
  </si>
  <si>
    <t>CHEQUE DEPOSIT 100044 JITHILLAL,KELOTH AJI,,,,KELOTH, 805210103 CHQ NO ::100044</t>
  </si>
  <si>
    <t>459,397.50</t>
  </si>
  <si>
    <t>19,821,652.84</t>
  </si>
  <si>
    <t>3209</t>
  </si>
  <si>
    <t>037243</t>
  </si>
  <si>
    <t>CHEQUE DEPOSIT 037243 MUHAMMAD HAMEED MUHAMMAD   FAREED 304630121 CHQ NO ::037243</t>
  </si>
  <si>
    <t>14,127.05</t>
  </si>
  <si>
    <t>19,835,779.89</t>
  </si>
  <si>
    <t>3210</t>
  </si>
  <si>
    <t>012691</t>
  </si>
  <si>
    <t>CHEQUE DEPOSIT 012691 MOHAMMED FACIUL     ALAM SHAH ALAM 903420130 CHQ NO ::012691</t>
  </si>
  <si>
    <t>13,424.04</t>
  </si>
  <si>
    <t>19,849,203.93</t>
  </si>
  <si>
    <t>3211</t>
  </si>
  <si>
    <t>000289</t>
  </si>
  <si>
    <t>CHEQUE DEPOSIT 000289 SAI JOHN VARGHESE EDATHIPARAMBIL   VARGHESE 501130101 CHQ NO ::000289</t>
  </si>
  <si>
    <t>151,940.00</t>
  </si>
  <si>
    <t>20,001,143.93</t>
  </si>
  <si>
    <t>3212</t>
  </si>
  <si>
    <t>534481</t>
  </si>
  <si>
    <t>AL SHAMRAE ENGINEERING</t>
  </si>
  <si>
    <t>CHEQUE DEPOSIT AL SHAMRAE ENGINEERING 304012039 CHQ NO ::534481</t>
  </si>
  <si>
    <t>18,637.75</t>
  </si>
  <si>
    <t>20,019,781.68</t>
  </si>
  <si>
    <t>3213</t>
  </si>
  <si>
    <t>CHEQUE DEPOSIT 402910107 CHQ NO ::000040</t>
  </si>
  <si>
    <t>2,828.25</t>
  </si>
  <si>
    <t>20,022,609.93</t>
  </si>
  <si>
    <t>3214</t>
  </si>
  <si>
    <t>019625</t>
  </si>
  <si>
    <t>CHEQUE DEPOSIT 019625 SHAMSHEER KHAN AHAMED KHAN AHAMED  KHAN 802630140 CHQ NO ::019625</t>
  </si>
  <si>
    <t>25,142.00</t>
  </si>
  <si>
    <t>20,047,751.93</t>
  </si>
  <si>
    <t>3215</t>
  </si>
  <si>
    <t>019622</t>
  </si>
  <si>
    <t>CHEQUE DEPOSIT 019622 SHAMSHEER KHAN AHAMED KHAN AHAMED  KHAN 802630140 CHQ NO ::019622</t>
  </si>
  <si>
    <t>31,172.00</t>
  </si>
  <si>
    <t>20,078,923.93</t>
  </si>
  <si>
    <t>3216</t>
  </si>
  <si>
    <t>000021</t>
  </si>
  <si>
    <t>CHEQUE DEPOSIT 000021 SHAMSHEER KHAN AHAMED KHAN AHAMED  KHAN 204011011 CHQ NO ::000021</t>
  </si>
  <si>
    <t>17,659.00</t>
  </si>
  <si>
    <t>20,096,582.93</t>
  </si>
  <si>
    <t>3217</t>
  </si>
  <si>
    <t>136830</t>
  </si>
  <si>
    <t>CHEQUE DEPOSIT 136830 NISSAR MANGADAN MOIDEEN   MANGADAN 302811005 CHQ NO ::136830</t>
  </si>
  <si>
    <t>36,795.50</t>
  </si>
  <si>
    <t>20,133,378.43</t>
  </si>
  <si>
    <t>3218</t>
  </si>
  <si>
    <t>CHEQUE DEPOSIT 000182 SHAMSHEER KHAN AHAMED KHAN AHAMED  KHAN 404020125 CHQ NO ::000182</t>
  </si>
  <si>
    <t>121,335.00</t>
  </si>
  <si>
    <t>20,254,713.43</t>
  </si>
  <si>
    <t>3219</t>
  </si>
  <si>
    <t>004632</t>
  </si>
  <si>
    <t>CHEQUE DEPOSIT 004632 MUHAMMAD HAMEED MUHAMMAD   FAREED 704020137 CHQ NO ::004632</t>
  </si>
  <si>
    <t>80,910.00</t>
  </si>
  <si>
    <t>20,335,623.43</t>
  </si>
  <si>
    <t>3220</t>
  </si>
  <si>
    <t>625826</t>
  </si>
  <si>
    <t>CHEQUE DEPOSIT 625826 BASHEER PULIKKAL    IBRAHIM 104010101 CHQ NO ::625826</t>
  </si>
  <si>
    <t>20,435,623.43</t>
  </si>
  <si>
    <t>3221</t>
  </si>
  <si>
    <t>CHEQUE DEPOSIT 500032 SHAMSHEER KHAN AHAMED KHAN AHAMED  KHAN 805030156 CHQ NO ::500032</t>
  </si>
  <si>
    <t>50,060.50</t>
  </si>
  <si>
    <t>20,485,683.93</t>
  </si>
  <si>
    <t>3222</t>
  </si>
  <si>
    <t>golden tents</t>
  </si>
  <si>
    <t>CHEQUE DEPOSIT golden tents 304012039 CHQ NO ::000020</t>
  </si>
  <si>
    <t>60,600.00</t>
  </si>
  <si>
    <t>20,546,283.93</t>
  </si>
  <si>
    <t>3223</t>
  </si>
  <si>
    <t>061047</t>
  </si>
  <si>
    <t>CHEQUE DEPOSIT 061047 SUNIL,RAJAN,,,,RAJAN, 002020130 CHQ NO ::061047</t>
  </si>
  <si>
    <t>213,850.00</t>
  </si>
  <si>
    <t>20,760,133.93</t>
  </si>
  <si>
    <t>3224</t>
  </si>
  <si>
    <t>201621</t>
  </si>
  <si>
    <t>CHEQUE DEPOSIT 201621 DIL JAN MOHAMMAD   ALI 302430107 CHQ NO ::201621</t>
  </si>
  <si>
    <t>12,684.25</t>
  </si>
  <si>
    <t>20,772,818.18</t>
  </si>
  <si>
    <t>3225</t>
  </si>
  <si>
    <t>100021</t>
  </si>
  <si>
    <t>CHEQUE DEPOSIT 100021 KHALED MOHAMED ABDELHALIM ABDELMAGUID   ALDAKDOUKY 202414052 CHQ NO ::100021</t>
  </si>
  <si>
    <t>20,872,818.18</t>
  </si>
  <si>
    <t>3226</t>
  </si>
  <si>
    <t>004141</t>
  </si>
  <si>
    <t>CHEQUE DEPOSIT 004141 SHAMSHEER KHAN AHAMED KHAN AHAMED  KHAN 203430121 CHQ NO ::004141</t>
  </si>
  <si>
    <t>778,963.50</t>
  </si>
  <si>
    <t>21,651,781.68</t>
  </si>
  <si>
    <t>3227</t>
  </si>
  <si>
    <t>019623</t>
  </si>
  <si>
    <t>CHEQUE DEPOSIT 019623 SHAMSHEER KHAN AHAMED KHAN AHAMED  KHAN 802630140 CHQ NO ::019623</t>
  </si>
  <si>
    <t>48,872.00</t>
  </si>
  <si>
    <t>21,700,653.68</t>
  </si>
  <si>
    <t>3228</t>
  </si>
  <si>
    <t>239087</t>
  </si>
  <si>
    <t>CHEQUE DEPOSIT 239087 SAFDAR AHMED THACHARUPADIKKAL    THAZHETH 302430107 CHQ NO ::239087</t>
  </si>
  <si>
    <t>918,560.50</t>
  </si>
  <si>
    <t>22,619,214.18</t>
  </si>
  <si>
    <t>3229</t>
  </si>
  <si>
    <t>288940</t>
  </si>
  <si>
    <t>ADRIAN BIN AHMAD</t>
  </si>
  <si>
    <t>CHEQUE DEPOSIT ADRIAN BIN AHMAD 503510224 CHQ NO ::288940</t>
  </si>
  <si>
    <t>66,286.00</t>
  </si>
  <si>
    <t>22,685,500.18</t>
  </si>
  <si>
    <t>3230</t>
  </si>
  <si>
    <t>209729</t>
  </si>
  <si>
    <t>CHEQUE DEPOSIT 209729 BASHEER PULIKKAL    IBRAHIM 702410103 CHQ NO ::209729</t>
  </si>
  <si>
    <t>494,328.09</t>
  </si>
  <si>
    <t>23,179,828.27</t>
  </si>
  <si>
    <t>3231</t>
  </si>
  <si>
    <t>798693</t>
  </si>
  <si>
    <t>AL MEENA STEEL</t>
  </si>
  <si>
    <t>CHEQUE DEPOSIT AL MEENA STEEL 104030136 CHQ NO ::798693</t>
  </si>
  <si>
    <t>6,613.00</t>
  </si>
  <si>
    <t>23,186,441.27</t>
  </si>
  <si>
    <t>3232</t>
  </si>
  <si>
    <t>51039377192</t>
  </si>
  <si>
    <t>2541429273 IBTRF B/O PANKAJ NAND KUMAR SHRINGARPURE</t>
  </si>
  <si>
    <t>5,001.00</t>
  </si>
  <si>
    <t>23,191,442.27</t>
  </si>
  <si>
    <t>3233</t>
  </si>
  <si>
    <t>002318</t>
  </si>
  <si>
    <t>BENELUX</t>
  </si>
  <si>
    <t>CHEQUE DEPOSIT BENELUX 801120101 CHQ NO ::002318</t>
  </si>
  <si>
    <t>32,459.30</t>
  </si>
  <si>
    <t>23,223,901.57</t>
  </si>
  <si>
    <t>3234</t>
  </si>
  <si>
    <t>CHEQUE DEPOSIT 000074 MUHAMMAD HAMEED MUHAMMAD   FAREED 703430137 CHQ NO ::000074</t>
  </si>
  <si>
    <t>121,328.82</t>
  </si>
  <si>
    <t>23,345,230.39</t>
  </si>
  <si>
    <t>3235</t>
  </si>
  <si>
    <t>000070</t>
  </si>
  <si>
    <t>CHEQUE DEPOSIT 000070 BASHEER PULIKKAL    IBRAHIM 803410154 CHQ NO ::000070</t>
  </si>
  <si>
    <t>27,773.00</t>
  </si>
  <si>
    <t>23,373,003.39</t>
  </si>
  <si>
    <t>3236</t>
  </si>
  <si>
    <t>000019</t>
  </si>
  <si>
    <t>CHEQUE DEPOSIT HEMANT 703320106 CHQ NO ::000019</t>
  </si>
  <si>
    <t>23,403,003.39</t>
  </si>
  <si>
    <t>3237</t>
  </si>
  <si>
    <t>019624</t>
  </si>
  <si>
    <t>CHEQUE DEPOSIT 019624 SHAMSHEER KHAN AHAMED KHAN AHAMED  KHAN 802630140 CHQ NO ::019624</t>
  </si>
  <si>
    <t>19,351.00</t>
  </si>
  <si>
    <t>23,422,354.39</t>
  </si>
  <si>
    <t>3238</t>
  </si>
  <si>
    <t>CHEQUE DEPOSIT 000108 ABDULREHIMAN,KOOLIKKATTIL,,,,MOHAMED, 302920101 CHQ NO ::000108</t>
  </si>
  <si>
    <t>151,549.00</t>
  </si>
  <si>
    <t>23,573,903.39</t>
  </si>
  <si>
    <t>3239</t>
  </si>
  <si>
    <t>019138</t>
  </si>
  <si>
    <t>CHEQUE DEPOSIT 019138 BIRJESH KUMAR OMPRAKASH   BALAI 903330112 CHQ NO ::019138</t>
  </si>
  <si>
    <t>37,422.15</t>
  </si>
  <si>
    <t>23,611,325.54</t>
  </si>
  <si>
    <t>3240</t>
  </si>
  <si>
    <t>51042352379</t>
  </si>
  <si>
    <t>2541486357 IBTRF B/O ALQOUS ALASWAD TECH CONT</t>
  </si>
  <si>
    <t>18,440.50</t>
  </si>
  <si>
    <t>23,629,766.04</t>
  </si>
  <si>
    <t>3241</t>
  </si>
  <si>
    <t>51043064138</t>
  </si>
  <si>
    <t>26144251192 MBTRF B/O RAHUL KUMAR RAI</t>
  </si>
  <si>
    <t>23,679,766.04</t>
  </si>
  <si>
    <t>3242</t>
  </si>
  <si>
    <t>17-Aug-2025</t>
  </si>
  <si>
    <t>51045060303</t>
  </si>
  <si>
    <t>26146690194 MBTRF B/O HAZEL LOURDES OBINA BALINA</t>
  </si>
  <si>
    <t>4,588.00</t>
  </si>
  <si>
    <t>23,684,354.04</t>
  </si>
  <si>
    <t>3243</t>
  </si>
  <si>
    <t>51046401962</t>
  </si>
  <si>
    <t>26148197522 MBTRF B/O HAZEL LOURDES OBINA BALINA</t>
  </si>
  <si>
    <t>3,045.00</t>
  </si>
  <si>
    <t>23,687,399.04</t>
  </si>
  <si>
    <t>3244</t>
  </si>
  <si>
    <t>524992100 B/O MOHAMMED MOUNIER YOUSEF MANSOUR</t>
  </si>
  <si>
    <t>4,015.75</t>
  </si>
  <si>
    <t>23,691,414.79</t>
  </si>
  <si>
    <t>3245</t>
  </si>
  <si>
    <t>525010735 B/O MOHAMED HASAN IBRAHIM HASAN ALFARDA</t>
  </si>
  <si>
    <t>23,693,514.79</t>
  </si>
  <si>
    <t>3246</t>
  </si>
  <si>
    <t>PHUB525023029</t>
  </si>
  <si>
    <t>525023029 B/O SUHAIL ALAFRIDI</t>
  </si>
  <si>
    <t>23,693,714.79</t>
  </si>
  <si>
    <t>3247</t>
  </si>
  <si>
    <t>PHUB525026065</t>
  </si>
  <si>
    <t>MOB1708251224378160767</t>
  </si>
  <si>
    <t>5,357.64</t>
  </si>
  <si>
    <t>23,699,072.43</t>
  </si>
  <si>
    <t>3248</t>
  </si>
  <si>
    <t>51050134988</t>
  </si>
  <si>
    <t>26152558646 MBTRF B/O SAVIO MARTIN AND/OR JUDALINE MARTIN</t>
  </si>
  <si>
    <t>18,500.00</t>
  </si>
  <si>
    <t>23,717,572.43</t>
  </si>
  <si>
    <t>3249</t>
  </si>
  <si>
    <t>51051027610</t>
  </si>
  <si>
    <t>26153610945 MBTRF B/O NOOR MUHAMMAD KHAN</t>
  </si>
  <si>
    <t>23,719,372.43</t>
  </si>
  <si>
    <t>3250</t>
  </si>
  <si>
    <t>PHUB525060727</t>
  </si>
  <si>
    <t>525060727 B/O MAYADA ALI ABDUL RAHMAN</t>
  </si>
  <si>
    <t>919.00</t>
  </si>
  <si>
    <t>23,720,291.43</t>
  </si>
  <si>
    <t>3251</t>
  </si>
  <si>
    <t>51053619387</t>
  </si>
  <si>
    <t>26156658912 MBTRF B/O ABDELKARIM MOHAMED GABER AHMED</t>
  </si>
  <si>
    <t>23,724,291.43</t>
  </si>
  <si>
    <t>3252</t>
  </si>
  <si>
    <t>PHUB525112740</t>
  </si>
  <si>
    <t>MOB1708251923408163336</t>
  </si>
  <si>
    <t>23,761,091.93</t>
  </si>
  <si>
    <t>3253</t>
  </si>
  <si>
    <t>PHUB525118674</t>
  </si>
  <si>
    <t>525118674 B/O MAHMOD ABDALA M AYYAD</t>
  </si>
  <si>
    <t>23,768,913.93</t>
  </si>
  <si>
    <t>3254</t>
  </si>
  <si>
    <t>51056570405</t>
  </si>
  <si>
    <t>2541773283 IBTRF B/O ABU FAISAL AUTO MOTIVE PARTS LLC</t>
  </si>
  <si>
    <t>66,441.25</t>
  </si>
  <si>
    <t>23,835,355.18</t>
  </si>
  <si>
    <t>3255</t>
  </si>
  <si>
    <t>51056619609</t>
  </si>
  <si>
    <t>2541774061 IBTRF B/O ABU FAISAL AUTO MOTIVE PARTS LLC</t>
  </si>
  <si>
    <t>23,935,355.18</t>
  </si>
  <si>
    <t>3256</t>
  </si>
  <si>
    <t>PHUB525123268</t>
  </si>
  <si>
    <t>B/O_THAER ABDALLAH A_525123268</t>
  </si>
  <si>
    <t>25,974.00</t>
  </si>
  <si>
    <t>23,961,329.18</t>
  </si>
  <si>
    <t>3257</t>
  </si>
  <si>
    <t>51056991668</t>
  </si>
  <si>
    <t>26160694996 MBTRF B/O FEKRY FARAG MOHAMED ALI ALI</t>
  </si>
  <si>
    <t>36,589.00</t>
  </si>
  <si>
    <t>23,997,918.18</t>
  </si>
  <si>
    <t>3258</t>
  </si>
  <si>
    <t>51058168068</t>
  </si>
  <si>
    <t>26162126043 MBTRF B/O MOHAMED HASSANIN HASSANIN MARZOUK</t>
  </si>
  <si>
    <t>7,660.00</t>
  </si>
  <si>
    <t>24,005,578.18</t>
  </si>
  <si>
    <t>3259</t>
  </si>
  <si>
    <t>PHUB525158334</t>
  </si>
  <si>
    <t>B/O_TREKKUP FZE_525158334</t>
  </si>
  <si>
    <t>14,176.25</t>
  </si>
  <si>
    <t>24,019,754.43</t>
  </si>
  <si>
    <t>3260</t>
  </si>
  <si>
    <t>51059534380</t>
  </si>
  <si>
    <t>26163805602 MBTRF B/O ROSE RANJIT</t>
  </si>
  <si>
    <t>726.00</t>
  </si>
  <si>
    <t>24,020,480.43</t>
  </si>
  <si>
    <t>3261</t>
  </si>
  <si>
    <t>18-Aug-2025</t>
  </si>
  <si>
    <t>PHUB525197362</t>
  </si>
  <si>
    <t>B/O_TSU CHIN Y_NBAD_525197362_Savings</t>
  </si>
  <si>
    <t>24,220,480.43</t>
  </si>
  <si>
    <t>3262</t>
  </si>
  <si>
    <t>PHUB525205424</t>
  </si>
  <si>
    <t>B/O_AHMED SARF_SCBL_525205424_.</t>
  </si>
  <si>
    <t>24,245,480.43</t>
  </si>
  <si>
    <t>3263</t>
  </si>
  <si>
    <t>B/O_LINK DATA _CBDU_525208747_Goods B</t>
  </si>
  <si>
    <t>52,500.00</t>
  </si>
  <si>
    <t>24,297,980.43</t>
  </si>
  <si>
    <t>3264</t>
  </si>
  <si>
    <t>PHUB525215814</t>
  </si>
  <si>
    <t>B/O_LLC AL WAF_ADIB_525215814_eos</t>
  </si>
  <si>
    <t>6,100.37</t>
  </si>
  <si>
    <t>24,304,080.80</t>
  </si>
  <si>
    <t>3265</t>
  </si>
  <si>
    <t>PHUB525217803</t>
  </si>
  <si>
    <t>B/O_RAMESH OR _HSBC_525217803_AEV1808</t>
  </si>
  <si>
    <t>210,276.00</t>
  </si>
  <si>
    <t>24,514,356.80</t>
  </si>
  <si>
    <t>3266</t>
  </si>
  <si>
    <t>PHUB525219654</t>
  </si>
  <si>
    <t>525219654 B/O KITTIPONG KONGKAW</t>
  </si>
  <si>
    <t>2,550.00</t>
  </si>
  <si>
    <t>24,516,906.80</t>
  </si>
  <si>
    <t>3267</t>
  </si>
  <si>
    <t>1,062.10</t>
  </si>
  <si>
    <t>24,517,968.90</t>
  </si>
  <si>
    <t>3268</t>
  </si>
  <si>
    <t>51063124284</t>
  </si>
  <si>
    <t>26167749917 MBTRF B/O GHASSAN MOHAMAD SAMI NUSAIR</t>
  </si>
  <si>
    <t>24,521,468.90</t>
  </si>
  <si>
    <t>3269</t>
  </si>
  <si>
    <t>PHUB525234702</t>
  </si>
  <si>
    <t>MOB1808250908458166592</t>
  </si>
  <si>
    <t>5,104.16</t>
  </si>
  <si>
    <t>24,526,573.06</t>
  </si>
  <si>
    <t>3270</t>
  </si>
  <si>
    <t>PHUB525237221</t>
  </si>
  <si>
    <t>B/O_UNIVERSAL _BARB_525237221_WUHAN</t>
  </si>
  <si>
    <t>20,950.86</t>
  </si>
  <si>
    <t>24,547,523.92</t>
  </si>
  <si>
    <t>3271</t>
  </si>
  <si>
    <t>WAY WAY INV PAYMENT</t>
  </si>
  <si>
    <t>6,866.00</t>
  </si>
  <si>
    <t>24,554,389.92</t>
  </si>
  <si>
    <t>3272</t>
  </si>
  <si>
    <t>51063588601</t>
  </si>
  <si>
    <t>2541915122 IBTRF B/O SAFE BOX LOGISTICS LLC</t>
  </si>
  <si>
    <t>62,100.00</t>
  </si>
  <si>
    <t>24,616,489.92</t>
  </si>
  <si>
    <t>3273</t>
  </si>
  <si>
    <t>PHUB525239571</t>
  </si>
  <si>
    <t>B/O_RAMESH OR _HSBC_525239571_AEV1808</t>
  </si>
  <si>
    <t>210,015.00</t>
  </si>
  <si>
    <t>24,826,504.92</t>
  </si>
  <si>
    <t>3274</t>
  </si>
  <si>
    <t>PHUB525243344</t>
  </si>
  <si>
    <t>B/O_LLC NAJIMAT AL I_525243344</t>
  </si>
  <si>
    <t>16,753.00</t>
  </si>
  <si>
    <t>24,843,257.92</t>
  </si>
  <si>
    <t>3275</t>
  </si>
  <si>
    <t>PHUB525256914</t>
  </si>
  <si>
    <t>B/O_PROPRIETOR_ADIB_525256914_5620780</t>
  </si>
  <si>
    <t>95,205.00</t>
  </si>
  <si>
    <t>24,938,462.92</t>
  </si>
  <si>
    <t>3276</t>
  </si>
  <si>
    <t>B/O_ESTABLISHM_ADIB_525256927_CORPORA</t>
  </si>
  <si>
    <t>244,826.00</t>
  </si>
  <si>
    <t>25,183,288.92</t>
  </si>
  <si>
    <t>3277</t>
  </si>
  <si>
    <t>B/O_C VICTORIO_ADIB_525256955_MONEY T</t>
  </si>
  <si>
    <t>46,333.48</t>
  </si>
  <si>
    <t>25,229,622.40</t>
  </si>
  <si>
    <t>3278</t>
  </si>
  <si>
    <t>PHUB525260698</t>
  </si>
  <si>
    <t>4362</t>
  </si>
  <si>
    <t>21,494.25</t>
  </si>
  <si>
    <t>25,251,116.65</t>
  </si>
  <si>
    <t>3279</t>
  </si>
  <si>
    <t>2508180944362669</t>
  </si>
  <si>
    <t>SAFYIA BUILDING HOR AL ANZ, 16TH AUG - Cash Collection TG</t>
  </si>
  <si>
    <t>25,551,116.65</t>
  </si>
  <si>
    <t>3280</t>
  </si>
  <si>
    <t>2508180944362682</t>
  </si>
  <si>
    <t>CITY CENTER AL ZAHIA SHJ, 16TH AUG - Cash Collection TG</t>
  </si>
  <si>
    <t>25,801,116.65</t>
  </si>
  <si>
    <t>3281</t>
  </si>
  <si>
    <t>2508180944362685</t>
  </si>
  <si>
    <t>CROWN MALL JABL A IND DXB 1, 16TH AUG - Cash Collection TG</t>
  </si>
  <si>
    <t>26,251,116.65</t>
  </si>
  <si>
    <t>3282</t>
  </si>
  <si>
    <t>2508180944362694</t>
  </si>
  <si>
    <t>NAIF RD, 16TH AUG - Cash Collection TG</t>
  </si>
  <si>
    <t>26,661,116.65</t>
  </si>
  <si>
    <t>3283</t>
  </si>
  <si>
    <t>2508180944362701</t>
  </si>
  <si>
    <t>FUJAIRAH, 16TH AUG - Cash Collection TG</t>
  </si>
  <si>
    <t>26,921,116.65</t>
  </si>
  <si>
    <t>3284</t>
  </si>
  <si>
    <t>2508180944362704</t>
  </si>
  <si>
    <t>MUWEILAH SHJ, 16TH AUG - Cash Collection TG</t>
  </si>
  <si>
    <t>27,181,116.65</t>
  </si>
  <si>
    <t>3285</t>
  </si>
  <si>
    <t>2508180944362729</t>
  </si>
  <si>
    <t>UAQ, 16TH AUG - Cash Collection TG</t>
  </si>
  <si>
    <t>93,000.00</t>
  </si>
  <si>
    <t>27,274,116.65</t>
  </si>
  <si>
    <t>3286</t>
  </si>
  <si>
    <t>2508180944372732</t>
  </si>
  <si>
    <t>AL RIGGA METRO STION DXB, 16TH AUG - Cash Collection TG</t>
  </si>
  <si>
    <t>27,484,116.65</t>
  </si>
  <si>
    <t>3287</t>
  </si>
  <si>
    <t>2508180944372755</t>
  </si>
  <si>
    <t>CLOCK TOWER 1, 16TH AUG - Cash Collection TG</t>
  </si>
  <si>
    <t>27,814,116.65</t>
  </si>
  <si>
    <t>3288</t>
  </si>
  <si>
    <t>2508180944372768</t>
  </si>
  <si>
    <t>CO OP SOCIETY SHJ 1, 16TH AUG - Cash Collection TG</t>
  </si>
  <si>
    <t>27,984,116.65</t>
  </si>
  <si>
    <t>3289</t>
  </si>
  <si>
    <t>2508180944372779</t>
  </si>
  <si>
    <t>DEIRA 1, 16TH AUG - Cash Collection TG</t>
  </si>
  <si>
    <t>700,485.00</t>
  </si>
  <si>
    <t>28,684,601.65</t>
  </si>
  <si>
    <t>3290</t>
  </si>
  <si>
    <t>2508180944372796</t>
  </si>
  <si>
    <t>33,684,601.65</t>
  </si>
  <si>
    <t>3291</t>
  </si>
  <si>
    <t>2508180944372803</t>
  </si>
  <si>
    <t>BUR DUBAI, 16TH AUG - Cash Collection TG</t>
  </si>
  <si>
    <t>175,000.00</t>
  </si>
  <si>
    <t>33,859,601.65</t>
  </si>
  <si>
    <t>3292</t>
  </si>
  <si>
    <t>2508180944372822</t>
  </si>
  <si>
    <t>SATWA 1, 16TH AUG - Cash Collection TG</t>
  </si>
  <si>
    <t>34,059,601.65</t>
  </si>
  <si>
    <t>3293</t>
  </si>
  <si>
    <t>2508180944372835</t>
  </si>
  <si>
    <t>AL NHDA RES TWRS  SHJ, 16TH AUG - Cash Collection TG</t>
  </si>
  <si>
    <t>34,259,601.65</t>
  </si>
  <si>
    <t>3294</t>
  </si>
  <si>
    <t>2508180944372844</t>
  </si>
  <si>
    <t>AL MADAM SHJ, 16TH AUG - Cash Collection TG</t>
  </si>
  <si>
    <t>34,409,601.65</t>
  </si>
  <si>
    <t>3295</t>
  </si>
  <si>
    <t>2508180944372847</t>
  </si>
  <si>
    <t>SAJA INDUSTRIAL SHJ 2, 16TH AUG - Cash Collection TG</t>
  </si>
  <si>
    <t>34,609,601.65</t>
  </si>
  <si>
    <t>3296</t>
  </si>
  <si>
    <t>2508180944372866</t>
  </si>
  <si>
    <t>IND AREA 3 SHJ, 16TH AUG - Cash Collection TG</t>
  </si>
  <si>
    <t>34,819,601.65</t>
  </si>
  <si>
    <t>3297</t>
  </si>
  <si>
    <t>2508180944372870</t>
  </si>
  <si>
    <t>NESTO HYPRMRKT AJM, 16TH AUG - Cash Collection TG</t>
  </si>
  <si>
    <t>35,249,601.65</t>
  </si>
  <si>
    <t>3298</t>
  </si>
  <si>
    <t>2508180944434633</t>
  </si>
  <si>
    <t>REV, Beda Zayed auh, 16TH AUG - Cash Collection TG</t>
  </si>
  <si>
    <t>34,949,601.65</t>
  </si>
  <si>
    <t>3299</t>
  </si>
  <si>
    <t>2508180944434642</t>
  </si>
  <si>
    <t>Beda Zayed auh, 16TH AUG, EXCESS - Cash Collection TG</t>
  </si>
  <si>
    <t>299,900.00</t>
  </si>
  <si>
    <t>35,249,501.65</t>
  </si>
  <si>
    <t>3300</t>
  </si>
  <si>
    <t>2508180944475159</t>
  </si>
  <si>
    <t>Musaffah Shabiya AUH, 16TH AUG - Cash Collection TG</t>
  </si>
  <si>
    <t>35,549,501.65</t>
  </si>
  <si>
    <t>3301</t>
  </si>
  <si>
    <t>2508180944475162</t>
  </si>
  <si>
    <t>M38 PLOT 48 SHOP 02 BIG MART MUSSAFAH, 16TH AUG - Cash Collection TG</t>
  </si>
  <si>
    <t>35,869,501.65</t>
  </si>
  <si>
    <t>3302</t>
  </si>
  <si>
    <t>2508180944475165</t>
  </si>
  <si>
    <t>Musaffah Saniya AUH, 16TH AUG - Cash Collection TG</t>
  </si>
  <si>
    <t>36,649,501.65</t>
  </si>
  <si>
    <t>3303</t>
  </si>
  <si>
    <t>2508180944475168</t>
  </si>
  <si>
    <t>Baniyas AUH, 16TH AUG - Cash Collection TG</t>
  </si>
  <si>
    <t>1,050,000.00</t>
  </si>
  <si>
    <t>37,699,501.65</t>
  </si>
  <si>
    <t>3304</t>
  </si>
  <si>
    <t>2508180944475171</t>
  </si>
  <si>
    <t>Old Shahama, 16TH AUG - Cash Collection TG</t>
  </si>
  <si>
    <t>37,749,501.65</t>
  </si>
  <si>
    <t>3305</t>
  </si>
  <si>
    <t>2508180944475204</t>
  </si>
  <si>
    <t>Shamkha Mall Abu dhabi, 16TH AUG - Cash Collection TG</t>
  </si>
  <si>
    <t>37,859,501.65</t>
  </si>
  <si>
    <t>3306</t>
  </si>
  <si>
    <t>2508180944475221</t>
  </si>
  <si>
    <t>ICAD Musaffah AUH, 16TH AUG - Cash Collection TG</t>
  </si>
  <si>
    <t>38,409,501.65</t>
  </si>
  <si>
    <t>3307</t>
  </si>
  <si>
    <t>2508180944495944</t>
  </si>
  <si>
    <t>AL MARFA MARKET WR, 16TH AUG - Cash Collection TG</t>
  </si>
  <si>
    <t>38,709,501.65</t>
  </si>
  <si>
    <t>3308</t>
  </si>
  <si>
    <t>2508180944505953</t>
  </si>
  <si>
    <t>Beda Zayed auh, 16TH AUG - Cash Collection TG</t>
  </si>
  <si>
    <t>39,009,501.65</t>
  </si>
  <si>
    <t>3309</t>
  </si>
  <si>
    <t>2508180944505964</t>
  </si>
  <si>
    <t>SWEIHAN  ALAIN, 16TH AUG - Cash Collection TG</t>
  </si>
  <si>
    <t>39,229,501.65</t>
  </si>
  <si>
    <t>3310</t>
  </si>
  <si>
    <t>2508180944505979</t>
  </si>
  <si>
    <t>HAYER Al Ain1, 16TH AUG - Cash Collection TG</t>
  </si>
  <si>
    <t>39,444,501.65</t>
  </si>
  <si>
    <t>3311</t>
  </si>
  <si>
    <t>2508180944506004</t>
  </si>
  <si>
    <t>AL FOAH MALL AL-AIN, 16TH AUG - Cash Collection TG</t>
  </si>
  <si>
    <t>39,874,501.65</t>
  </si>
  <si>
    <t>3312</t>
  </si>
  <si>
    <t>2508180944506007</t>
  </si>
  <si>
    <t>Al Yahar Al Ain, 16TH AUG - Cash Collection TG</t>
  </si>
  <si>
    <t>40,194,501.65</t>
  </si>
  <si>
    <t>3313</t>
  </si>
  <si>
    <t>2508180944506010</t>
  </si>
  <si>
    <t>AL FARDAN EXCH DEREI BLDNG AL QUAA AA, 16TH AUG - Cash Collection TG</t>
  </si>
  <si>
    <t>40,594,501.65</t>
  </si>
  <si>
    <t>3314</t>
  </si>
  <si>
    <t>2508180944506017</t>
  </si>
  <si>
    <t>Boutik Mall al Reem island AUH, 16TH AUG - Cash Collection TG</t>
  </si>
  <si>
    <t>40,694,501.65</t>
  </si>
  <si>
    <t>3315</t>
  </si>
  <si>
    <t>2508180944506026</t>
  </si>
  <si>
    <t>TCA AUH, 16TH AUG - Cash Collection TG</t>
  </si>
  <si>
    <t>40,904,501.65</t>
  </si>
  <si>
    <t>3316</t>
  </si>
  <si>
    <t>2508180944506029</t>
  </si>
  <si>
    <t>Al Nahyan Street AUH, 16TH AUG - Cash Collection TG</t>
  </si>
  <si>
    <t>41,184,501.65</t>
  </si>
  <si>
    <t>3317</t>
  </si>
  <si>
    <t>2508180944506032</t>
  </si>
  <si>
    <t>Muroor AUH, 16TH AUG - Cash Collection TG</t>
  </si>
  <si>
    <t>41,354,501.65</t>
  </si>
  <si>
    <t>3318</t>
  </si>
  <si>
    <t>2508180944506041</t>
  </si>
  <si>
    <t>B2B AUH, 16TH AUG - Cash Collection TG</t>
  </si>
  <si>
    <t>41,554,501.65</t>
  </si>
  <si>
    <t>3319</t>
  </si>
  <si>
    <t>2508180944506044</t>
  </si>
  <si>
    <t>Al Falah St Auh, 16TH AUG - Cash Collection TG</t>
  </si>
  <si>
    <t>41,654,501.65</t>
  </si>
  <si>
    <t>3320</t>
  </si>
  <si>
    <t>2508180944506047</t>
  </si>
  <si>
    <t>Zayed 1st Street Electra AUH, 16TH AUG - Cash Collection TG</t>
  </si>
  <si>
    <t>41,924,501.65</t>
  </si>
  <si>
    <t>3321</t>
  </si>
  <si>
    <t>2508180944516056</t>
  </si>
  <si>
    <t>Bin Dhgher Tower Khalidya AUH, 16TH AUG - Cash Collection TG</t>
  </si>
  <si>
    <t>42,324,501.65</t>
  </si>
  <si>
    <t>3322</t>
  </si>
  <si>
    <t>2508180944516065</t>
  </si>
  <si>
    <t>Souk Br Al-Ain, 16TH AUG - Cash Collection TG</t>
  </si>
  <si>
    <t>42,624,501.65</t>
  </si>
  <si>
    <t>3323</t>
  </si>
  <si>
    <t>51064182042</t>
  </si>
  <si>
    <t>26168737543 MBTRF B/O RABHA AMAHZOUNE</t>
  </si>
  <si>
    <t>42,627,001.65</t>
  </si>
  <si>
    <t>3324</t>
  </si>
  <si>
    <t>001873</t>
  </si>
  <si>
    <t>58,437.50</t>
  </si>
  <si>
    <t>42,568,564.15</t>
  </si>
  <si>
    <t>3325</t>
  </si>
  <si>
    <t>PHUB525263441</t>
  </si>
  <si>
    <t>GI CODE 995628</t>
  </si>
  <si>
    <t>B/O NASR AL MADINA TRAVEL AND TOURI LLC</t>
  </si>
  <si>
    <t>18,004.00</t>
  </si>
  <si>
    <t>42,586,568.15</t>
  </si>
  <si>
    <t>3326</t>
  </si>
  <si>
    <t>PHUB525301568</t>
  </si>
  <si>
    <t>525301568 B/O NEZHA YAHYA</t>
  </si>
  <si>
    <t>4,144.00</t>
  </si>
  <si>
    <t>42,590,712.15</t>
  </si>
  <si>
    <t>3327</t>
  </si>
  <si>
    <t>001140</t>
  </si>
  <si>
    <t>INHOUSE CHEQUE DEPOSIT 001140 MUHAMED IRFANUL HAQ THALIKAPARAMBIL   ABOOBACKER AL FARDAN EXCHANGE SP LLC CHQ NO ::001140</t>
  </si>
  <si>
    <t>5,922.50</t>
  </si>
  <si>
    <t>42,596,634.65</t>
  </si>
  <si>
    <t>3328</t>
  </si>
  <si>
    <t>PHUB525335882</t>
  </si>
  <si>
    <t>PART SALARY JULY-25</t>
  </si>
  <si>
    <t>B/O TRION TECHNICAL OILFIELD SERV LLC</t>
  </si>
  <si>
    <t>27,440.75</t>
  </si>
  <si>
    <t>42,624,075.40</t>
  </si>
  <si>
    <t>3329</t>
  </si>
  <si>
    <t>PHUB525336660</t>
  </si>
  <si>
    <t>IMD 18082025</t>
  </si>
  <si>
    <t>20,608,112.77</t>
  </si>
  <si>
    <t>22,015,962.63</t>
  </si>
  <si>
    <t>3330</t>
  </si>
  <si>
    <t>PHUB525316717</t>
  </si>
  <si>
    <t>12,898,631.25</t>
  </si>
  <si>
    <t>9,117,331.38</t>
  </si>
  <si>
    <t>3331</t>
  </si>
  <si>
    <t>51065868012</t>
  </si>
  <si>
    <t>26170246603 MBTRF B/O NOOR MUHAMMAD KHAN</t>
  </si>
  <si>
    <t>9,119,131.38</t>
  </si>
  <si>
    <t>3332</t>
  </si>
  <si>
    <t>51065944136</t>
  </si>
  <si>
    <t>2542014682 IBTRF B/O RIZWAN HUSSAIN AND OR ARIFA HUSSAIN</t>
  </si>
  <si>
    <t>10,945.50</t>
  </si>
  <si>
    <t>9,130,076.88</t>
  </si>
  <si>
    <t>3333</t>
  </si>
  <si>
    <t>9,134,076.88</t>
  </si>
  <si>
    <t>3334</t>
  </si>
  <si>
    <t>PHUB525319406</t>
  </si>
  <si>
    <t>B/O_ABDULLA RA_ADIB_525319406_Constru</t>
  </si>
  <si>
    <t>181,210.00</t>
  </si>
  <si>
    <t>9,315,286.88</t>
  </si>
  <si>
    <t>3335</t>
  </si>
  <si>
    <t>51066089114</t>
  </si>
  <si>
    <t>26170441592 MBTRF B/O RISE STAR USD EQP HVY MCH TR LLC SP</t>
  </si>
  <si>
    <t>9,370,457.38</t>
  </si>
  <si>
    <t>3336</t>
  </si>
  <si>
    <t>PHUB525343737</t>
  </si>
  <si>
    <t>MOB1808251114108168834</t>
  </si>
  <si>
    <t>B/O MAA SHAKTI TECHNICAL SERVICES LLC</t>
  </si>
  <si>
    <t>11,383.23</t>
  </si>
  <si>
    <t>9,381,840.61</t>
  </si>
  <si>
    <t>3337</t>
  </si>
  <si>
    <t>PHUB525343877</t>
  </si>
  <si>
    <t>525343877 B/O CAHYA SATRIA INSYAHPUTRA</t>
  </si>
  <si>
    <t>9,386,840.61</t>
  </si>
  <si>
    <t>3338</t>
  </si>
  <si>
    <t>025081</t>
  </si>
  <si>
    <t>INHOUSE CHEQUE DEPOSIT 025081 BASHEER PULIKKAL    IBRAHIM AL FARDAN EXCHANGE SP LLC CHQ NO ::025081</t>
  </si>
  <si>
    <t>9,396,840.61</t>
  </si>
  <si>
    <t>3339</t>
  </si>
  <si>
    <t>827.10</t>
  </si>
  <si>
    <t>9,397,667.71</t>
  </si>
  <si>
    <t>3340</t>
  </si>
  <si>
    <t>PHUB525349302</t>
  </si>
  <si>
    <t>B/O_WANDERINGG FOODI_525349302</t>
  </si>
  <si>
    <t>15,991.00</t>
  </si>
  <si>
    <t>9,413,658.71</t>
  </si>
  <si>
    <t>3341</t>
  </si>
  <si>
    <t>51066750027</t>
  </si>
  <si>
    <t>26171039385 MBTRF_B/O DEEPAK GARG AND/OR RITA GARG</t>
  </si>
  <si>
    <t>9,413,763.71</t>
  </si>
  <si>
    <t>3342</t>
  </si>
  <si>
    <t>PHUB525354908</t>
  </si>
  <si>
    <t>NIC00423</t>
  </si>
  <si>
    <t>113,382.35</t>
  </si>
  <si>
    <t>9,527,146.06</t>
  </si>
  <si>
    <t>3343</t>
  </si>
  <si>
    <t>000663</t>
  </si>
  <si>
    <t>INHOUSE CHEQUE DEPOSIT 000663 MUHAMMAD AKRAM NAZAR   MUHAMMAD AL FARDAN EXCHANGE SP LLC CHQ NO ::000663</t>
  </si>
  <si>
    <t>9,917,146.06</t>
  </si>
  <si>
    <t>3344</t>
  </si>
  <si>
    <t>51067267606</t>
  </si>
  <si>
    <t>26171497704 MBTRF B/O SHAMEER ALI THAZATHE PEADIKAKKAL</t>
  </si>
  <si>
    <t>108,105.00</t>
  </si>
  <si>
    <t>10,025,251.06</t>
  </si>
  <si>
    <t>3345</t>
  </si>
  <si>
    <t>PHUB525361169</t>
  </si>
  <si>
    <t>B/O_MOHAMED ABDELHAM_525361169</t>
  </si>
  <si>
    <t>10,075,251.06</t>
  </si>
  <si>
    <t>3346</t>
  </si>
  <si>
    <t>001115</t>
  </si>
  <si>
    <t>INHOUSE CHEQUE DEPOSIT 001115 NISSAR MANGADAN MOIDEEN   MANGADAN AL FARDAN EXCHANGE SP LLC CHQ NO ::001115</t>
  </si>
  <si>
    <t>10,175,251.06</t>
  </si>
  <si>
    <t>3347</t>
  </si>
  <si>
    <t>51067746481</t>
  </si>
  <si>
    <t>26171913438 MBTRF B/O JASPAL SINGH</t>
  </si>
  <si>
    <t>13,472.50</t>
  </si>
  <si>
    <t>10,188,723.56</t>
  </si>
  <si>
    <t>3348</t>
  </si>
  <si>
    <t>51067748344</t>
  </si>
  <si>
    <t>2542090106 IBTRF B/O PLATINUM MEDICAL SUPPLIES TR LLC</t>
  </si>
  <si>
    <t>92,616.10</t>
  </si>
  <si>
    <t>10,281,339.66</t>
  </si>
  <si>
    <t>3349</t>
  </si>
  <si>
    <t>001114</t>
  </si>
  <si>
    <t>INHOUSE CHEQUE DEPOSIT 001114 NISSAR MANGADAN MOIDEEN   MANGADAN AL FARDAN EXCHANGE SP LLC CHQ NO ::001114</t>
  </si>
  <si>
    <t>10,381,339.66</t>
  </si>
  <si>
    <t>3350</t>
  </si>
  <si>
    <t>PHUB525377368</t>
  </si>
  <si>
    <t>446699</t>
  </si>
  <si>
    <t>B/O UNITED ENGINEERING FZCO</t>
  </si>
  <si>
    <t>76,608.79</t>
  </si>
  <si>
    <t>10,457,948.45</t>
  </si>
  <si>
    <t>3351</t>
  </si>
  <si>
    <t>PHUB525380207</t>
  </si>
  <si>
    <t>AL FARDAN VAT PAYMT</t>
  </si>
  <si>
    <t>300,024.00</t>
  </si>
  <si>
    <t>10,757,972.45</t>
  </si>
  <si>
    <t>3352</t>
  </si>
  <si>
    <t>50,472.25</t>
  </si>
  <si>
    <t>10,808,444.70</t>
  </si>
  <si>
    <t>3353</t>
  </si>
  <si>
    <t>51068494136</t>
  </si>
  <si>
    <t>2542119833 IBTRF B/O PACHERS BLINDS TRADING LLC</t>
  </si>
  <si>
    <t>1,365.92</t>
  </si>
  <si>
    <t>10,809,810.62</t>
  </si>
  <si>
    <t>3354</t>
  </si>
  <si>
    <t>PHUB525383811</t>
  </si>
  <si>
    <t>CA 18082025</t>
  </si>
  <si>
    <t>32,100,000.00</t>
  </si>
  <si>
    <t>42,909,810.62</t>
  </si>
  <si>
    <t>3355</t>
  </si>
  <si>
    <t>PHUB525391324</t>
  </si>
  <si>
    <t>2,485.34</t>
  </si>
  <si>
    <t>42,912,295.96</t>
  </si>
  <si>
    <t>3356</t>
  </si>
  <si>
    <t>PHUB525391797</t>
  </si>
  <si>
    <t>B/O_SHAIMA AWA_ADIB_525391797_Goods b</t>
  </si>
  <si>
    <t>134,226.00</t>
  </si>
  <si>
    <t>43,046,521.96</t>
  </si>
  <si>
    <t>3357</t>
  </si>
  <si>
    <t>PHUB525393153</t>
  </si>
  <si>
    <t>B/O_YACHT INTE_CBDU_525393153_Goods B</t>
  </si>
  <si>
    <t>330,750.00</t>
  </si>
  <si>
    <t>43,377,271.96</t>
  </si>
  <si>
    <t>3358</t>
  </si>
  <si>
    <t>51069089649</t>
  </si>
  <si>
    <t>26173132754 MBTRF B/O GRAHAM HUMPHREY</t>
  </si>
  <si>
    <t>31,072.75</t>
  </si>
  <si>
    <t>43,408,344.71</t>
  </si>
  <si>
    <t>3359</t>
  </si>
  <si>
    <t>PHUB525397141</t>
  </si>
  <si>
    <t>B/O_CO SOLE PROPRITO_525397141</t>
  </si>
  <si>
    <t>43,426,772.71</t>
  </si>
  <si>
    <t>3360</t>
  </si>
  <si>
    <t>ROBOOA AL AIN</t>
  </si>
  <si>
    <t>INHOUSE CHEQUE DEPOSIT ROBOOA AL AIN AL FARDAN EXCHANGE SP LLC CHQ NO ::000002</t>
  </si>
  <si>
    <t>182,834.00</t>
  </si>
  <si>
    <t>43,609,606.71</t>
  </si>
  <si>
    <t>3361</t>
  </si>
  <si>
    <t>PHUB525403855</t>
  </si>
  <si>
    <t>MOB1808251312348171514</t>
  </si>
  <si>
    <t>B/O DIAMOND SHIELD SCAFFOLDING TR LLC</t>
  </si>
  <si>
    <t>43,738,292.21</t>
  </si>
  <si>
    <t>3362</t>
  </si>
  <si>
    <t>PHUB525415483</t>
  </si>
  <si>
    <t>MOB1808251339168172036</t>
  </si>
  <si>
    <t>B/O FOUR SEASON CITY GARDEN DESIGN LLC</t>
  </si>
  <si>
    <t>200,815.75</t>
  </si>
  <si>
    <t>43,939,107.96</t>
  </si>
  <si>
    <t>3363</t>
  </si>
  <si>
    <t>PHUB525423259</t>
  </si>
  <si>
    <t>USD BUY 18082023</t>
  </si>
  <si>
    <t>53,262,850.00</t>
  </si>
  <si>
    <t>-9,323,742.04</t>
  </si>
  <si>
    <t>3364</t>
  </si>
  <si>
    <t>B/O_A V A MIDD_BOML_525425660_ PURCHA</t>
  </si>
  <si>
    <t>720,070.00</t>
  </si>
  <si>
    <t>-8,603,672.04</t>
  </si>
  <si>
    <t>3365</t>
  </si>
  <si>
    <t>PHUB525428402</t>
  </si>
  <si>
    <t>18082025ALFARDAN</t>
  </si>
  <si>
    <t>B/O PARAGON SHIPPING AND LOGISTICS LLC</t>
  </si>
  <si>
    <t>2,187.93</t>
  </si>
  <si>
    <t>-8,601,484.11</t>
  </si>
  <si>
    <t>3366</t>
  </si>
  <si>
    <t>PHUB525428063</t>
  </si>
  <si>
    <t>180820253</t>
  </si>
  <si>
    <t>8,518.03</t>
  </si>
  <si>
    <t>-8,592,966.08</t>
  </si>
  <si>
    <t>3367</t>
  </si>
  <si>
    <t>PHUB525428406</t>
  </si>
  <si>
    <t>18082025AL</t>
  </si>
  <si>
    <t>19,878.35</t>
  </si>
  <si>
    <t>-8,573,087.73</t>
  </si>
  <si>
    <t>3368</t>
  </si>
  <si>
    <t>PHUB525428791</t>
  </si>
  <si>
    <t>CB 18082025</t>
  </si>
  <si>
    <t>O/W TRF 525428791</t>
  </si>
  <si>
    <t>7,200,000.00</t>
  </si>
  <si>
    <t>-15,773,087.73</t>
  </si>
  <si>
    <t>3369</t>
  </si>
  <si>
    <t>CHCB525428791</t>
  </si>
  <si>
    <t>O/W PROCESSING CHARGE 525428791</t>
  </si>
  <si>
    <t>-15,773,103.48</t>
  </si>
  <si>
    <t>3370</t>
  </si>
  <si>
    <t>PHUB525430645</t>
  </si>
  <si>
    <t>525430645 B/O MAKANI BUILDING MATERIALS</t>
  </si>
  <si>
    <t>7,199.08</t>
  </si>
  <si>
    <t>-15,765,904.40</t>
  </si>
  <si>
    <t>3371</t>
  </si>
  <si>
    <t>PHUB525431019</t>
  </si>
  <si>
    <t>B/O_AHMED ABDE_BOML_525431019_ OWN AC</t>
  </si>
  <si>
    <t>18,435.05</t>
  </si>
  <si>
    <t>-15,747,469.35</t>
  </si>
  <si>
    <t>3372</t>
  </si>
  <si>
    <t>3,012.83</t>
  </si>
  <si>
    <t>-15,744,456.52</t>
  </si>
  <si>
    <t>3373</t>
  </si>
  <si>
    <t>51071363656</t>
  </si>
  <si>
    <t>26175297622 MBTRF B/O ABDERRAHIM EL FARSI</t>
  </si>
  <si>
    <t>26,300.00</t>
  </si>
  <si>
    <t>-15,718,156.52</t>
  </si>
  <si>
    <t>3374</t>
  </si>
  <si>
    <t>51071399547</t>
  </si>
  <si>
    <t>26175327258 MBTRF B/O HAZEL LOURDES OBINA BALINA</t>
  </si>
  <si>
    <t>22,730.50</t>
  </si>
  <si>
    <t>-15,695,426.02</t>
  </si>
  <si>
    <t>3375</t>
  </si>
  <si>
    <t>PHUB525436865</t>
  </si>
  <si>
    <t>B/O_TECHSTORE _BOML_525436865_ GOODS</t>
  </si>
  <si>
    <t>18,656.18</t>
  </si>
  <si>
    <t>-15,676,769.84</t>
  </si>
  <si>
    <t>3376</t>
  </si>
  <si>
    <t>PHUB525438099</t>
  </si>
  <si>
    <t>B/O_CONSLTANCY AND T_525438099</t>
  </si>
  <si>
    <t>18,527.75</t>
  </si>
  <si>
    <t>-15,658,242.09</t>
  </si>
  <si>
    <t>3377</t>
  </si>
  <si>
    <t>PHUB525439204</t>
  </si>
  <si>
    <t>525439204 B/O YOUSAF SULTAN ALI</t>
  </si>
  <si>
    <t>25,172.50</t>
  </si>
  <si>
    <t>-15,633,069.59</t>
  </si>
  <si>
    <t>3378</t>
  </si>
  <si>
    <t>PHUB525444942</t>
  </si>
  <si>
    <t>525444942 B/O PNEUMA SHIPPING L.L.C</t>
  </si>
  <si>
    <t>2,448.60</t>
  </si>
  <si>
    <t>-15,630,620.99</t>
  </si>
  <si>
    <t>3379</t>
  </si>
  <si>
    <t>51072061930</t>
  </si>
  <si>
    <t>26175958021 MBTRF B/O YASMIN M REDA FADEL MOSTAFA REDA</t>
  </si>
  <si>
    <t>225.75</t>
  </si>
  <si>
    <t>-15,630,395.24</t>
  </si>
  <si>
    <t>3380</t>
  </si>
  <si>
    <t>294,171.80</t>
  </si>
  <si>
    <t>-15,336,223.44</t>
  </si>
  <si>
    <t>3381</t>
  </si>
  <si>
    <t>PHUB525464110</t>
  </si>
  <si>
    <t>B/O_RUKN AL TA_NBSH_525464110_TALIMIA</t>
  </si>
  <si>
    <t>40,474.50</t>
  </si>
  <si>
    <t>-15,295,748.94</t>
  </si>
  <si>
    <t>3382</t>
  </si>
  <si>
    <t>000970</t>
  </si>
  <si>
    <t>INHOUSE CHEQUE DEPOSIT 000970 BARA SAMIR AHMAD   SHALABI AL FARDAN EXCHANGE SP LLC CHQ NO ::000970</t>
  </si>
  <si>
    <t>23,151.45</t>
  </si>
  <si>
    <t>-15,272,597.49</t>
  </si>
  <si>
    <t>3383</t>
  </si>
  <si>
    <t>004262</t>
  </si>
  <si>
    <t>INHOUSE CHEQUE DEPOSIT 004262 DIL JAN MOHAMMAD   ALI AL FARDAN EXCHANGE SP LLC CHQ NO ::004262</t>
  </si>
  <si>
    <t>16,638.00</t>
  </si>
  <si>
    <t>-15,255,959.49</t>
  </si>
  <si>
    <t>3384</t>
  </si>
  <si>
    <t>010570</t>
  </si>
  <si>
    <t>INHOUSE CHEQUE DEPOSIT 010570 MUHAMMAD HAMEED MUHAMMAD   FAREED AL FARDAN EXCHANGE SP LLC CHQ NO ::010570</t>
  </si>
  <si>
    <t>53,936.75</t>
  </si>
  <si>
    <t>-15,202,022.74</t>
  </si>
  <si>
    <t>3385</t>
  </si>
  <si>
    <t>PHUB525448201</t>
  </si>
  <si>
    <t>525448201 B/O ALI MUHAMMAD ABDUL MANAN QURESHI</t>
  </si>
  <si>
    <t>43,300.00</t>
  </si>
  <si>
    <t>-15,158,722.74</t>
  </si>
  <si>
    <t>3386</t>
  </si>
  <si>
    <t>525465440 B/O IHAB MAHER OWIS</t>
  </si>
  <si>
    <t>5,021.00</t>
  </si>
  <si>
    <t>-15,153,701.74</t>
  </si>
  <si>
    <t>3387</t>
  </si>
  <si>
    <t>PHUB525466101</t>
  </si>
  <si>
    <t>B/O_KENT SURGI_BARB_525466101_Brush P</t>
  </si>
  <si>
    <t>12,919.50</t>
  </si>
  <si>
    <t>-15,140,782.24</t>
  </si>
  <si>
    <t>3388</t>
  </si>
  <si>
    <t>004549</t>
  </si>
  <si>
    <t>INHOUSE CHEQUE DEPOSIT 004549 UNNIKRISHNAN KADAMPALLIL PARAMESWARAN   NAIR AL FARDAN EXCHANGE SP LLC CHQ NO ::004549</t>
  </si>
  <si>
    <t>62,564.72</t>
  </si>
  <si>
    <t>-15,078,217.52</t>
  </si>
  <si>
    <t>3389</t>
  </si>
  <si>
    <t>5,003.15</t>
  </si>
  <si>
    <t>-15,073,214.37</t>
  </si>
  <si>
    <t>3390</t>
  </si>
  <si>
    <t>51072753349</t>
  </si>
  <si>
    <t>2542273360 IBTRF B/O HARI NARAYANAN RAGHUPATHY</t>
  </si>
  <si>
    <t>36,840.00</t>
  </si>
  <si>
    <t>-15,036,374.37</t>
  </si>
  <si>
    <t>3391</t>
  </si>
  <si>
    <t>INHOUSE CHEQUE DEPOSIT 000003 DIL JAN MOHAMMAD   ALI AL FARDAN EXCHANGE SP LLC CHQ NO ::000003</t>
  </si>
  <si>
    <t>300,026.50</t>
  </si>
  <si>
    <t>-14,736,347.87</t>
  </si>
  <si>
    <t>3392</t>
  </si>
  <si>
    <t>PHUB525457082</t>
  </si>
  <si>
    <t>B/O_MEDITERRAN_NBAD_525457082_CTM USD</t>
  </si>
  <si>
    <t>129,334.33</t>
  </si>
  <si>
    <t>-14,607,013.54</t>
  </si>
  <si>
    <t>3393</t>
  </si>
  <si>
    <t>000303</t>
  </si>
  <si>
    <t>INHOUSE CHEQUE DEPOSIT 000303 SHAMSHEER KHAN AHAMED KHAN AHAMED  KHAN AL FARDAN EXCHANGE SP LLC CHQ NO ::000303</t>
  </si>
  <si>
    <t>50,945.00</t>
  </si>
  <si>
    <t>-14,556,068.54</t>
  </si>
  <si>
    <t>3394</t>
  </si>
  <si>
    <t>B/O_MAX ROCK S_NBFU_525472526_PAYMENT</t>
  </si>
  <si>
    <t>2,416,622.92</t>
  </si>
  <si>
    <t>-12,139,445.62</t>
  </si>
  <si>
    <t>3395</t>
  </si>
  <si>
    <t>PHUB525474704</t>
  </si>
  <si>
    <t>FINAL SETTLEMENT</t>
  </si>
  <si>
    <t>3,397.25</t>
  </si>
  <si>
    <t>-12,136,048.37</t>
  </si>
  <si>
    <t>3396</t>
  </si>
  <si>
    <t>PHUB525475499</t>
  </si>
  <si>
    <t>B/O_JABER SARI_NBAD_525475499_</t>
  </si>
  <si>
    <t>188,980.00</t>
  </si>
  <si>
    <t>-11,947,068.37</t>
  </si>
  <si>
    <t>3397</t>
  </si>
  <si>
    <t>51073644779</t>
  </si>
  <si>
    <t>26177446434 MBTRF B/O BAB AL ELM TECHNICAL SERVICES LLC</t>
  </si>
  <si>
    <t>48,600.00</t>
  </si>
  <si>
    <t>-11,898,468.37</t>
  </si>
  <si>
    <t>3398</t>
  </si>
  <si>
    <t>51073668765</t>
  </si>
  <si>
    <t>26177468759 MBTRF B/O BAB AL ELM TECHNICAL SERVICES LLC</t>
  </si>
  <si>
    <t>-11,896,468.37</t>
  </si>
  <si>
    <t>3399</t>
  </si>
  <si>
    <t>PHUB525478647</t>
  </si>
  <si>
    <t>2,453.47</t>
  </si>
  <si>
    <t>-11,894,014.90</t>
  </si>
  <si>
    <t>3400</t>
  </si>
  <si>
    <t>PHUB525480849</t>
  </si>
  <si>
    <t>MMTT130825393A</t>
  </si>
  <si>
    <t>B/O METROMAC AUTOMATION L.L.C</t>
  </si>
  <si>
    <t>15,949.70</t>
  </si>
  <si>
    <t>-11,878,065.20</t>
  </si>
  <si>
    <t>3401</t>
  </si>
  <si>
    <t>525341990</t>
  </si>
  <si>
    <t>5610550577543</t>
  </si>
  <si>
    <t>5000000512757748-OW2507169203-SWED25081300YMY4-RETN REASON-Bank internal policy</t>
  </si>
  <si>
    <t>2,294.13</t>
  </si>
  <si>
    <t>-11,875,771.07</t>
  </si>
  <si>
    <t>3402</t>
  </si>
  <si>
    <t>PHUB525485908</t>
  </si>
  <si>
    <t>3,390.53</t>
  </si>
  <si>
    <t>-11,872,380.54</t>
  </si>
  <si>
    <t>3403</t>
  </si>
  <si>
    <t>MOB1808251622548174906</t>
  </si>
  <si>
    <t>11,992.00</t>
  </si>
  <si>
    <t>-11,860,388.54</t>
  </si>
  <si>
    <t>3404</t>
  </si>
  <si>
    <t>-11,855,385.39</t>
  </si>
  <si>
    <t>3405</t>
  </si>
  <si>
    <t>PHUB525491719</t>
  </si>
  <si>
    <t>B/O_ALFATHIR U_BOML_525491719_ FINANC</t>
  </si>
  <si>
    <t>65,805.50</t>
  </si>
  <si>
    <t>-11,789,579.89</t>
  </si>
  <si>
    <t>3406</t>
  </si>
  <si>
    <t>PHUB525495410</t>
  </si>
  <si>
    <t>B/O_ADIL EL BAHI_525495410</t>
  </si>
  <si>
    <t>43,575.50</t>
  </si>
  <si>
    <t>-11,746,004.39</t>
  </si>
  <si>
    <t>3407</t>
  </si>
  <si>
    <t>51074793163</t>
  </si>
  <si>
    <t>26178541742 MBTRF B/O AKMAL NAZIR</t>
  </si>
  <si>
    <t>13,050.00</t>
  </si>
  <si>
    <t>-11,732,954.39</t>
  </si>
  <si>
    <t>3408</t>
  </si>
  <si>
    <t>PHUB525504374</t>
  </si>
  <si>
    <t>525504374 B/O NEXT MOVE SHIPPING SERVICES (FZE)</t>
  </si>
  <si>
    <t>2,664.24</t>
  </si>
  <si>
    <t>-11,730,290.15</t>
  </si>
  <si>
    <t>3409</t>
  </si>
  <si>
    <t>PHUB525504332</t>
  </si>
  <si>
    <t>B/O_LLC PARROTS WORL_525504332</t>
  </si>
  <si>
    <t>-11,693,489.65</t>
  </si>
  <si>
    <t>3410</t>
  </si>
  <si>
    <t>PHUB525505085</t>
  </si>
  <si>
    <t>B/O_KHALID AHMED SAE_525505085</t>
  </si>
  <si>
    <t>43,131.50</t>
  </si>
  <si>
    <t>-11,650,358.15</t>
  </si>
  <si>
    <t>3411</t>
  </si>
  <si>
    <t>PHUB525509084</t>
  </si>
  <si>
    <t>250818</t>
  </si>
  <si>
    <t>-11,624,579.65</t>
  </si>
  <si>
    <t>3412</t>
  </si>
  <si>
    <t>PHUB525515101</t>
  </si>
  <si>
    <t>525515101 B/O TAAB ELECTRO MECHANICAL LLC</t>
  </si>
  <si>
    <t>4,314.70</t>
  </si>
  <si>
    <t>-11,620,264.95</t>
  </si>
  <si>
    <t>3413</t>
  </si>
  <si>
    <t>PHUB525522233</t>
  </si>
  <si>
    <t>B/O_AMER MOHD _MEBL_525522233_</t>
  </si>
  <si>
    <t>-11,320,264.95</t>
  </si>
  <si>
    <t>3414</t>
  </si>
  <si>
    <t>438287</t>
  </si>
  <si>
    <t>CHEQUE DEPOSIT 438287 SHAMSHEER KHAN AHAMED KHAN AHAMED  KHAN 803520152 CHQ NO ::438287</t>
  </si>
  <si>
    <t>2,296.13</t>
  </si>
  <si>
    <t>-11,317,968.82</t>
  </si>
  <si>
    <t>3415</t>
  </si>
  <si>
    <t>633234</t>
  </si>
  <si>
    <t>CHEQUE DEPOSIT 633234 FARHAN ALI SHAN     ABDUL WAZIR ALI 703511205 CHQ NO ::633234</t>
  </si>
  <si>
    <t>33,690.00</t>
  </si>
  <si>
    <t>-11,284,278.82</t>
  </si>
  <si>
    <t>3416</t>
  </si>
  <si>
    <t>136831</t>
  </si>
  <si>
    <t>CHEQUE DEPOSIT 136831 NISSAR MANGADAN MOIDEEN   MANGADAN 302811005 CHQ NO ::136831</t>
  </si>
  <si>
    <t>22,621.19</t>
  </si>
  <si>
    <t>-11,261,657.63</t>
  </si>
  <si>
    <t>3417</t>
  </si>
  <si>
    <t>001170</t>
  </si>
  <si>
    <t>CHEQUE DEPOSIT 001170 ABDULRAHMAN   SAEED  HAMMAM 101110101 CHQ NO ::001170</t>
  </si>
  <si>
    <t>65,594.50</t>
  </si>
  <si>
    <t>-11,196,063.13</t>
  </si>
  <si>
    <t>3418</t>
  </si>
  <si>
    <t>CHEQUE DEPOSIT 000216 SHAMSHEER KHAN AHAMED KHAN AHAMED  KHAN 402320117 CHQ NO ::000216</t>
  </si>
  <si>
    <t>66,700.50</t>
  </si>
  <si>
    <t>-11,129,362.63</t>
  </si>
  <si>
    <t>3419</t>
  </si>
  <si>
    <t>CHEQUE DEPOSIT 000203 SHAMSHEER KHAN AHAMED KHAN AHAMED  KHAN 404130101 CHQ NO ::000203</t>
  </si>
  <si>
    <t>-11,055,821.63</t>
  </si>
  <si>
    <t>3420</t>
  </si>
  <si>
    <t>012719</t>
  </si>
  <si>
    <t>CHEQUE DEPOSIT 012719 PRAKASH     ASWANI 903420130 CHQ NO ::012719</t>
  </si>
  <si>
    <t>56,599.05</t>
  </si>
  <si>
    <t>-10,999,222.58</t>
  </si>
  <si>
    <t>3421</t>
  </si>
  <si>
    <t>51076663675</t>
  </si>
  <si>
    <t>26180400179 MBTRF B/O REEMA SHRIDHAR SHANBHAG</t>
  </si>
  <si>
    <t>-10,979,222.58</t>
  </si>
  <si>
    <t>3422</t>
  </si>
  <si>
    <t>000129</t>
  </si>
  <si>
    <t>CHEQUE DEPOSIT 000129 BASHEER PULIKKAL    IBRAHIM 805740101 CHQ NO ::000129</t>
  </si>
  <si>
    <t>18,472.50</t>
  </si>
  <si>
    <t>-10,960,750.08</t>
  </si>
  <si>
    <t>3423</t>
  </si>
  <si>
    <t>012725</t>
  </si>
  <si>
    <t>CHEQUE DEPOSIT 012725 PRAKASH     ASWANI 903420130 CHQ NO ::012725</t>
  </si>
  <si>
    <t>110,052.50</t>
  </si>
  <si>
    <t>-10,850,697.58</t>
  </si>
  <si>
    <t>3424</t>
  </si>
  <si>
    <t>000481</t>
  </si>
  <si>
    <t>CHEQUE DEPOSIT 000481 SHAMSHEER KHAN AHAMED KHAN AHAMED  KHAN 300920103 CHQ NO ::000481</t>
  </si>
  <si>
    <t>30,263.50</t>
  </si>
  <si>
    <t>-10,820,434.08</t>
  </si>
  <si>
    <t>3425</t>
  </si>
  <si>
    <t>416181</t>
  </si>
  <si>
    <t>CHEQUE DEPOSIT 416181 SHAMSHEER KHAN AHAMED KHAN AHAMED  KHAN 802420101 CHQ NO ::416181</t>
  </si>
  <si>
    <t>-10,802,003.58</t>
  </si>
  <si>
    <t>3426</t>
  </si>
  <si>
    <t>001009</t>
  </si>
  <si>
    <t>CHEQUE DEPOSIT 001009 NISSAR MANGADAN MOIDEEN   MANGADAN 703811013 CHQ NO ::001009</t>
  </si>
  <si>
    <t>79,786.30</t>
  </si>
  <si>
    <t>-10,722,217.28</t>
  </si>
  <si>
    <t>3427</t>
  </si>
  <si>
    <t>000215</t>
  </si>
  <si>
    <t>CHEQUE DEPOSIT 000215 SHAMSHEER KHAN AHAMED KHAN AHAMED  KHAN 402320117 CHQ NO ::000215</t>
  </si>
  <si>
    <t>130,745.25</t>
  </si>
  <si>
    <t>-10,591,472.03</t>
  </si>
  <si>
    <t>3428</t>
  </si>
  <si>
    <t>001176</t>
  </si>
  <si>
    <t>CHEQUE DEPOSIT 001176 ABDULRAHMAN   SAEED  HAMMAM 101110101 CHQ NO ::001176</t>
  </si>
  <si>
    <t>72,818.25</t>
  </si>
  <si>
    <t>-10,518,653.78</t>
  </si>
  <si>
    <t>3429</t>
  </si>
  <si>
    <t>000081</t>
  </si>
  <si>
    <t>CHEQUE DEPOSIT 000081 MUHAMMAD HAMEED MUHAMMAD   FAREED 802630140 CHQ NO ::000081</t>
  </si>
  <si>
    <t>73,585.00</t>
  </si>
  <si>
    <t>-10,445,068.78</t>
  </si>
  <si>
    <t>3430</t>
  </si>
  <si>
    <t>CHEQUE DEPOSIT 000251 BASHEER PULIKKAL    IBRAHIM 101110101 CHQ NO ::000251</t>
  </si>
  <si>
    <t>30,616.75</t>
  </si>
  <si>
    <t>-10,414,452.03</t>
  </si>
  <si>
    <t>3431</t>
  </si>
  <si>
    <t>CHEQUE DEPOSIT 001137 AMEEN BIN ABDULLA VALIYA PEEDIKAYIL    PUTHIYAPURA 304012039 CHQ NO ::001137</t>
  </si>
  <si>
    <t>3,813.25</t>
  </si>
  <si>
    <t>-10,410,638.78</t>
  </si>
  <si>
    <t>3432</t>
  </si>
  <si>
    <t>349407</t>
  </si>
  <si>
    <t>CHEQUE DEPOSIT 349407 SHAMSHEER KHAN AHAMED KHAN AHAMED  KHAN 402030140 CHQ NO ::349407</t>
  </si>
  <si>
    <t>-10,345,638.78</t>
  </si>
  <si>
    <t>3433</t>
  </si>
  <si>
    <t>573198</t>
  </si>
  <si>
    <t>CHEQUE DEPOSIT 573198 BASHEER PULIKKAL    IBRAHIM 203511136 CHQ NO ::573198</t>
  </si>
  <si>
    <t>-10,245,638.78</t>
  </si>
  <si>
    <t>3434</t>
  </si>
  <si>
    <t>CHEQUE DEPOSIT 000026 MUHAMMAD HAMEED MUHAMMAD   FAREED 602620145 CHQ NO ::000026</t>
  </si>
  <si>
    <t>79,463.50</t>
  </si>
  <si>
    <t>-10,166,175.28</t>
  </si>
  <si>
    <t>3435</t>
  </si>
  <si>
    <t>51077035422</t>
  </si>
  <si>
    <t>26180784500 MBTRF B/O KARAN KUMAR MELWANI</t>
  </si>
  <si>
    <t>734,805.00</t>
  </si>
  <si>
    <t>-9,431,370.28</t>
  </si>
  <si>
    <t>3436</t>
  </si>
  <si>
    <t>000271</t>
  </si>
  <si>
    <t>CHEQUE DEPOSIT 000271 MUHAMMAD HAMEED MUHAMMAD   FAREED 804130121 CHQ NO ::000271</t>
  </si>
  <si>
    <t>25,639.52</t>
  </si>
  <si>
    <t>-9,405,730.76</t>
  </si>
  <si>
    <t>3437</t>
  </si>
  <si>
    <t>500007</t>
  </si>
  <si>
    <t>FAISAL MUSTAFA ALI</t>
  </si>
  <si>
    <t>CHEQUE DEPOSIT FAISAL MUSTAFA ALI 905010140 CHQ NO ::500007</t>
  </si>
  <si>
    <t>62,284.25</t>
  </si>
  <si>
    <t>-9,343,446.51</t>
  </si>
  <si>
    <t>3438</t>
  </si>
  <si>
    <t>2508181823168522</t>
  </si>
  <si>
    <t>CHQ RETRN:ALT ON ITEM WO ENDORS 905010140 CHQ NO ::500007</t>
  </si>
  <si>
    <t>3439</t>
  </si>
  <si>
    <t>100348</t>
  </si>
  <si>
    <t>CHEQUE DEPOSIT 100348 MOUSTAFA IBRAHIM AHMED    RAMADAN ELBARBARY 702410103 CHQ NO ::100348</t>
  </si>
  <si>
    <t>125,843.00</t>
  </si>
  <si>
    <t>-9,279,887.76</t>
  </si>
  <si>
    <t>3440</t>
  </si>
  <si>
    <t>CHEQUE DEPOSIT 000027 SHAMSHEER KHAN AHAMED KHAN AHAMED  KHAN 703430137 CHQ NO ::000027</t>
  </si>
  <si>
    <t>-9,132,867.26</t>
  </si>
  <si>
    <t>001962</t>
  </si>
  <si>
    <t>CHEQUE DEPOSIT 001962 MUHAMMAD HAMEED MUHAMMAD   FAREED 304040119 CHQ NO ::001962</t>
  </si>
  <si>
    <t>45,691.58</t>
  </si>
  <si>
    <t>-9,087,175.68</t>
  </si>
  <si>
    <t>3442</t>
  </si>
  <si>
    <t>FRAME LESS</t>
  </si>
  <si>
    <t>CHEQUE DEPOSIT FRAME LESS 404111067 CHQ NO ::000030</t>
  </si>
  <si>
    <t>6,240.00</t>
  </si>
  <si>
    <t>-9,080,935.68</t>
  </si>
  <si>
    <t>3443</t>
  </si>
  <si>
    <t>CHEQUE DEPOSIT 000151 SHAMSHEER KHAN AHAMED KHAN AHAMED  KHAN 804030124 CHQ NO ::000151</t>
  </si>
  <si>
    <t>-9,062,505.18</t>
  </si>
  <si>
    <t>3444</t>
  </si>
  <si>
    <t>000169</t>
  </si>
  <si>
    <t>CHEQUE DEPOSIT 000169 MUHAMMAD HAMEED MUHAMMAD   FAREED 604130075 CHQ NO ::000169</t>
  </si>
  <si>
    <t>5,917.13</t>
  </si>
  <si>
    <t>-9,056,588.05</t>
  </si>
  <si>
    <t>3445</t>
  </si>
  <si>
    <t>502439</t>
  </si>
  <si>
    <t>CHEQUE DEPOSIT 502439 SHAMSHEER KHAN AHAMED KHAN AHAMED  KHAN 805030156 CHQ NO ::502439</t>
  </si>
  <si>
    <t>127,841.00</t>
  </si>
  <si>
    <t>-8,928,747.05</t>
  </si>
  <si>
    <t>3446</t>
  </si>
  <si>
    <t>012728</t>
  </si>
  <si>
    <t>CHEQUE DEPOSIT 012728 PRAKASH     ASWANI 903420130 CHQ NO ::012728</t>
  </si>
  <si>
    <t>113,423.48</t>
  </si>
  <si>
    <t>-8,815,323.57</t>
  </si>
  <si>
    <t>3447</t>
  </si>
  <si>
    <t>856971</t>
  </si>
  <si>
    <t>CHEQUE DEPOSIT 856971 FARHAN ALI SHAN     ABDUL WAZIR ALI 203514036 CHQ NO ::856971</t>
  </si>
  <si>
    <t>-8,785,323.57</t>
  </si>
  <si>
    <t>3448</t>
  </si>
  <si>
    <t>203012</t>
  </si>
  <si>
    <t>ALGHALYA</t>
  </si>
  <si>
    <t>CHEQUE DEPOSIT ALGHALYA 502420111 CHQ NO ::203012</t>
  </si>
  <si>
    <t>77,374.00</t>
  </si>
  <si>
    <t>-8,707,949.57</t>
  </si>
  <si>
    <t>3449</t>
  </si>
  <si>
    <t>000697</t>
  </si>
  <si>
    <t>CHEQUE DEPOSIT 000697 ANANDHU SALIMON GOPAL ETTIYAPADAM   GOPALAN SALI 702610130 CHQ NO ::000697</t>
  </si>
  <si>
    <t>60,618.25</t>
  </si>
  <si>
    <t>-8,647,331.32</t>
  </si>
  <si>
    <t>3450</t>
  </si>
  <si>
    <t>000107</t>
  </si>
  <si>
    <t>CHEQUE DEPOSIT 000107 ABDULRAHMAN   SAEED  HAMMAM 101110101 CHQ NO ::000107</t>
  </si>
  <si>
    <t>-8,522,331.32</t>
  </si>
  <si>
    <t>3451</t>
  </si>
  <si>
    <t>CHEQUE DEPOSIT 000003 SHAMSHEER KHAN AHAMED KHAN AHAMED  KHAN 402620163 CHQ NO ::000003</t>
  </si>
  <si>
    <t>-8,482,331.32</t>
  </si>
  <si>
    <t>3452</t>
  </si>
  <si>
    <t>655771</t>
  </si>
  <si>
    <t>CHEQUE DEPOSIT 655771 MUHAMMAD AKRAM NAZAR   MUHAMMAD 502010101 CHQ NO ::655771</t>
  </si>
  <si>
    <t>-8,382,331.32</t>
  </si>
  <si>
    <t>3453</t>
  </si>
  <si>
    <t>525542212 B/O CONSOLIDATED CONTRACTORS ENGINEERING PTE LIMITED</t>
  </si>
  <si>
    <t>22,538.00</t>
  </si>
  <si>
    <t>-8,359,793.32</t>
  </si>
  <si>
    <t>3454</t>
  </si>
  <si>
    <t>B/O_AYMAN ALSATARI_525543851</t>
  </si>
  <si>
    <t>10,935.00</t>
  </si>
  <si>
    <t>-8,348,858.32</t>
  </si>
  <si>
    <t>3455</t>
  </si>
  <si>
    <t>PHUB525548239</t>
  </si>
  <si>
    <t>MOB1808251900048177633</t>
  </si>
  <si>
    <t>B/O ANNEX GENERAL MAINTENANCE LLC</t>
  </si>
  <si>
    <t>4,612.60</t>
  </si>
  <si>
    <t>-8,344,245.72</t>
  </si>
  <si>
    <t>3456</t>
  </si>
  <si>
    <t>525549234 B/O ROBTECH SMART MACHINES &amp; SPARE PARTS TRADING CO LLC</t>
  </si>
  <si>
    <t>6,006.00</t>
  </si>
  <si>
    <t>-8,338,239.72</t>
  </si>
  <si>
    <t>3457</t>
  </si>
  <si>
    <t>PHUB525549263</t>
  </si>
  <si>
    <t>MOB1808251902548177690</t>
  </si>
  <si>
    <t>49,213.00</t>
  </si>
  <si>
    <t>-8,289,026.72</t>
  </si>
  <si>
    <t>3458</t>
  </si>
  <si>
    <t>PHUB525561476</t>
  </si>
  <si>
    <t>525561476 B/O JOPPU THOMAS</t>
  </si>
  <si>
    <t>-8,285,526.72</t>
  </si>
  <si>
    <t>3459</t>
  </si>
  <si>
    <t>51078999437</t>
  </si>
  <si>
    <t>26182983278 MBTRF B/O NEDJMA BARECHE</t>
  </si>
  <si>
    <t>25,005.00</t>
  </si>
  <si>
    <t>-8,260,521.72</t>
  </si>
  <si>
    <t>3460</t>
  </si>
  <si>
    <t>51079140152</t>
  </si>
  <si>
    <t>26183150488 MBTRF B/O MOHAMMED HAFIZ</t>
  </si>
  <si>
    <t>-8,160,521.72</t>
  </si>
  <si>
    <t>3461</t>
  </si>
  <si>
    <t>PHUB525575684</t>
  </si>
  <si>
    <t>525575684 B/O SHOFIQUL ISLAM</t>
  </si>
  <si>
    <t>-8,150,521.72</t>
  </si>
  <si>
    <t>3462</t>
  </si>
  <si>
    <t>525579973 B/O ROBTECH SMART MACHINES &amp; SPARE PARTS TRADING CO LLC</t>
  </si>
  <si>
    <t>50.00</t>
  </si>
  <si>
    <t>-8,150,471.72</t>
  </si>
  <si>
    <t>3463</t>
  </si>
  <si>
    <t>51079839768</t>
  </si>
  <si>
    <t>26183963568 MBTRF B/O THAYANKERIL PAULOSE RANJIT</t>
  </si>
  <si>
    <t>-8,110,471.72</t>
  </si>
  <si>
    <t>3464</t>
  </si>
  <si>
    <t>PHUB525582833</t>
  </si>
  <si>
    <t>B/O_IMRAN AHME_BOML_525582833_ FAMILY</t>
  </si>
  <si>
    <t>17,286.00</t>
  </si>
  <si>
    <t>-8,093,185.72</t>
  </si>
  <si>
    <t>3465</t>
  </si>
  <si>
    <t>PHUB525584693</t>
  </si>
  <si>
    <t>B/O_MUHAMMAD ASYRI N_525584693</t>
  </si>
  <si>
    <t>22,500.00</t>
  </si>
  <si>
    <t>-8,070,685.72</t>
  </si>
  <si>
    <t>3466</t>
  </si>
  <si>
    <t>MOB1808252143548180281</t>
  </si>
  <si>
    <t>88,224.50</t>
  </si>
  <si>
    <t>-7,982,461.22</t>
  </si>
  <si>
    <t>3467</t>
  </si>
  <si>
    <t>19-Aug-2025</t>
  </si>
  <si>
    <t>PYT TO SG DIESEL SINGAPOR</t>
  </si>
  <si>
    <t>22,263.28</t>
  </si>
  <si>
    <t>-7,960,197.94</t>
  </si>
  <si>
    <t>3468</t>
  </si>
  <si>
    <t>PYT TO SURPLUS PARTS AUST</t>
  </si>
  <si>
    <t>4,345.21</t>
  </si>
  <si>
    <t>-7,955,852.73</t>
  </si>
  <si>
    <t>3469</t>
  </si>
  <si>
    <t>PHUB525651251</t>
  </si>
  <si>
    <t>B/O_AMARSINH V_NBAD_525651251_To Trf</t>
  </si>
  <si>
    <t>86,500.00</t>
  </si>
  <si>
    <t>-7,869,352.73</t>
  </si>
  <si>
    <t>3470</t>
  </si>
  <si>
    <t>PHUB525651771</t>
  </si>
  <si>
    <t>B/O_WALEED ALI_ADIB_525651771_Goods b</t>
  </si>
  <si>
    <t>95,000.00</t>
  </si>
  <si>
    <t>-7,774,352.73</t>
  </si>
  <si>
    <t>3471</t>
  </si>
  <si>
    <t>51085364266</t>
  </si>
  <si>
    <t>26190343248 MBTRF B/O RAMADAN ABDELSALAM MAHMOUD GHOZLAN</t>
  </si>
  <si>
    <t>-7,773,852.73</t>
  </si>
  <si>
    <t>3472</t>
  </si>
  <si>
    <t>PHUB525666265</t>
  </si>
  <si>
    <t>B/O_RAMESH OR _HSBC_525666265_AEV1908</t>
  </si>
  <si>
    <t>210,540.00</t>
  </si>
  <si>
    <t>-7,563,312.73</t>
  </si>
  <si>
    <t>3473</t>
  </si>
  <si>
    <t>PHUB525670115</t>
  </si>
  <si>
    <t>NOUFAL SALARY</t>
  </si>
  <si>
    <t>-7,543,312.73</t>
  </si>
  <si>
    <t>3474</t>
  </si>
  <si>
    <t>2508190843133932</t>
  </si>
  <si>
    <t>Musaffah Shabiya AUH, 18TH AUG - Cash Collection TG</t>
  </si>
  <si>
    <t>-7,133,312.73</t>
  </si>
  <si>
    <t>3475</t>
  </si>
  <si>
    <t>2508190843133943</t>
  </si>
  <si>
    <t>M38 PLOT 48 SHOP 02 BIG MART MUSSAFAH, 18TH AUG - Cash Collection TG</t>
  </si>
  <si>
    <t>-6,683,312.73</t>
  </si>
  <si>
    <t>3476</t>
  </si>
  <si>
    <t>2508190843133946</t>
  </si>
  <si>
    <t>Musaffah Saniya AUH, 18TH AUG - Cash Collection TG</t>
  </si>
  <si>
    <t>-6,223,312.73</t>
  </si>
  <si>
    <t>3477</t>
  </si>
  <si>
    <t>2508190843133960</t>
  </si>
  <si>
    <t>Baniyas AUH, 18TH AUG - Cash Collection TG</t>
  </si>
  <si>
    <t>730,000.00</t>
  </si>
  <si>
    <t>-5,493,312.73</t>
  </si>
  <si>
    <t>3478</t>
  </si>
  <si>
    <t>2508190843133970</t>
  </si>
  <si>
    <t>Old Shahama, 18TH AUG - Cash Collection TG</t>
  </si>
  <si>
    <t>-5,303,312.73</t>
  </si>
  <si>
    <t>3479</t>
  </si>
  <si>
    <t>2508190843133974</t>
  </si>
  <si>
    <t>AlForshan Central Mall Khalifa City AUH, 18TH AUG - Cash Collection TG</t>
  </si>
  <si>
    <t>-4,903,312.73</t>
  </si>
  <si>
    <t>3480</t>
  </si>
  <si>
    <t>2508190843143984</t>
  </si>
  <si>
    <t>Shamkha Mall Abu dhabi, 18TH AUG - Cash Collection TG</t>
  </si>
  <si>
    <t>-4,693,312.73</t>
  </si>
  <si>
    <t>3481</t>
  </si>
  <si>
    <t>2508190843143991</t>
  </si>
  <si>
    <t>ICAD Musaffah AUH, 18TH AUG - Cash Collection TG</t>
  </si>
  <si>
    <t>-4,313,312.73</t>
  </si>
  <si>
    <t>3482</t>
  </si>
  <si>
    <t>2508190843143999</t>
  </si>
  <si>
    <t>Mafraq Center Baniyas AUH, 18TH AUG - Cash Collection TG</t>
  </si>
  <si>
    <t>220,085.00</t>
  </si>
  <si>
    <t>-4,093,227.73</t>
  </si>
  <si>
    <t>3483</t>
  </si>
  <si>
    <t>2508190843174228</t>
  </si>
  <si>
    <t>Al Dhafra AUH, 18TH AUG - Cash Collection TG</t>
  </si>
  <si>
    <t>365,000.00</t>
  </si>
  <si>
    <t>-3,728,227.73</t>
  </si>
  <si>
    <t>3484</t>
  </si>
  <si>
    <t>2508190843184231</t>
  </si>
  <si>
    <t>Souk Br Al-Ain, 18TH AUG - Cash Collection TG</t>
  </si>
  <si>
    <t>-3,228,227.73</t>
  </si>
  <si>
    <t>3485</t>
  </si>
  <si>
    <t>2508190843184234</t>
  </si>
  <si>
    <t>Al Ain (Clock Tower)1, 18TH AUG - Cash Collection TG</t>
  </si>
  <si>
    <t>-2,308,227.73</t>
  </si>
  <si>
    <t>3486</t>
  </si>
  <si>
    <t>2508190843184237</t>
  </si>
  <si>
    <t>Sila Muroor Road AUH, 18TH AUG - Cash Collection TG</t>
  </si>
  <si>
    <t>-1,858,227.73</t>
  </si>
  <si>
    <t>3487</t>
  </si>
  <si>
    <t>2508190843184242</t>
  </si>
  <si>
    <t>SANAYA ZAYED TOWN W/R, 18TH AUG - Cash Collection TG</t>
  </si>
  <si>
    <t>-1,348,227.73</t>
  </si>
  <si>
    <t>3488</t>
  </si>
  <si>
    <t>2508190843184261</t>
  </si>
  <si>
    <t>HAYER Al Ain1, 18TH AUG - Cash Collection TG</t>
  </si>
  <si>
    <t>-1,148,227.73</t>
  </si>
  <si>
    <t>3489</t>
  </si>
  <si>
    <t>2508190843184264</t>
  </si>
  <si>
    <t>SWEIHAN  ALAIN, 18TH AUG - Cash Collection TG</t>
  </si>
  <si>
    <t>-848,227.73</t>
  </si>
  <si>
    <t>3490</t>
  </si>
  <si>
    <t>2508190843184267</t>
  </si>
  <si>
    <t>AL FOAH MALL AL-AIN, 18TH AUG - Cash Collection TG</t>
  </si>
  <si>
    <t>-588,227.73</t>
  </si>
  <si>
    <t>3491</t>
  </si>
  <si>
    <t>2508190843184270</t>
  </si>
  <si>
    <t>Al Wahda AUH, 18TH AUG - Cash Collection TG</t>
  </si>
  <si>
    <t>-378,227.73</t>
  </si>
  <si>
    <t>3492</t>
  </si>
  <si>
    <t>2508190843184273</t>
  </si>
  <si>
    <t>AL MARFA MARKET WR, 18TH AUG - Cash Collection TG</t>
  </si>
  <si>
    <t>-148,227.73</t>
  </si>
  <si>
    <t>3493</t>
  </si>
  <si>
    <t>2508190843184282</t>
  </si>
  <si>
    <t>Lulu Hyper Markete Sanaiya Al Ain, 18TH AUG - Cash Collection TG</t>
  </si>
  <si>
    <t>361,772.27</t>
  </si>
  <si>
    <t>3494</t>
  </si>
  <si>
    <t>2508190843184285</t>
  </si>
  <si>
    <t>Al Yahar Al Ain, 18TH AUG - Cash Collection TG</t>
  </si>
  <si>
    <t>930,000.00</t>
  </si>
  <si>
    <t>1,291,772.27</t>
  </si>
  <si>
    <t>3495</t>
  </si>
  <si>
    <t>2508190843184288</t>
  </si>
  <si>
    <t>AL FARDAN EXCH DEREI BLDNG AL QUAA AA, 18TH AUG - Cash Collection TG</t>
  </si>
  <si>
    <t>1,641,772.27</t>
  </si>
  <si>
    <t>3496</t>
  </si>
  <si>
    <t>2508190843184291</t>
  </si>
  <si>
    <t>Boutik Mall al Reem island AUH, 18TH AUG - Cash Collection TG</t>
  </si>
  <si>
    <t>1,741,772.27</t>
  </si>
  <si>
    <t>3497</t>
  </si>
  <si>
    <t>2508190843194294</t>
  </si>
  <si>
    <t>Al Nahyan Street AUH, 18TH AUG - Cash Collection TG</t>
  </si>
  <si>
    <t>2,126,772.27</t>
  </si>
  <si>
    <t>3498</t>
  </si>
  <si>
    <t>2508190843194297</t>
  </si>
  <si>
    <t>B2B AUH, 18TH AUG - Cash Collection TG</t>
  </si>
  <si>
    <t>2,476,772.27</t>
  </si>
  <si>
    <t>3499</t>
  </si>
  <si>
    <t>2508190843194300</t>
  </si>
  <si>
    <t>Al Falah St Auh, 18TH AUG - Cash Collection TG</t>
  </si>
  <si>
    <t>2,596,772.27</t>
  </si>
  <si>
    <t>3500</t>
  </si>
  <si>
    <t>2508190843194303</t>
  </si>
  <si>
    <t>Zayed 1st Street Electra AUH, 18TH AUG - Cash Collection TG</t>
  </si>
  <si>
    <t>2,956,772.27</t>
  </si>
  <si>
    <t>3501</t>
  </si>
  <si>
    <t>2508190843194322</t>
  </si>
  <si>
    <t>Hamdan Abu Dhabi, 18TH AUG - Cash Collection TG</t>
  </si>
  <si>
    <t>4,656,772.27</t>
  </si>
  <si>
    <t>3502</t>
  </si>
  <si>
    <t>2508190843194325</t>
  </si>
  <si>
    <t>Bin Dhgher Tower Khalidya AUH, 18TH AUG - Cash Collection TG</t>
  </si>
  <si>
    <t>5,026,772.27</t>
  </si>
  <si>
    <t>3503</t>
  </si>
  <si>
    <t>2508190843245273</t>
  </si>
  <si>
    <t>NESTO HYPRMRKT AJM, 18TH AUG - Cash Collection TG</t>
  </si>
  <si>
    <t>5,176,772.27</t>
  </si>
  <si>
    <t>3504</t>
  </si>
  <si>
    <t>2508190843245276</t>
  </si>
  <si>
    <t>CROWN MALL JABL A IND DXB 1, 18TH AUG - Cash Collection TG</t>
  </si>
  <si>
    <t>5,576,772.27</t>
  </si>
  <si>
    <t>3505</t>
  </si>
  <si>
    <t>2508190843245279</t>
  </si>
  <si>
    <t>NAIF RD, 18TH AUG - Cash Collection TG</t>
  </si>
  <si>
    <t>5,634,272.27</t>
  </si>
  <si>
    <t>3506</t>
  </si>
  <si>
    <t>2508190843245282</t>
  </si>
  <si>
    <t>MUWEILAH SHJ, 18TH AUG - Cash Collection TG</t>
  </si>
  <si>
    <t>5,974,272.27</t>
  </si>
  <si>
    <t>3507</t>
  </si>
  <si>
    <t>2508190843245301</t>
  </si>
  <si>
    <t>AL KHAN BMW SHJ, 18TH AUG - Cash Collection TG</t>
  </si>
  <si>
    <t>6,274,272.27</t>
  </si>
  <si>
    <t>3508</t>
  </si>
  <si>
    <t>2508190843245304</t>
  </si>
  <si>
    <t>MEGA MALL SHARJAH BR 1, 18TH AUG - Cash Collection TG</t>
  </si>
  <si>
    <t>6,444,272.27</t>
  </si>
  <si>
    <t>3509</t>
  </si>
  <si>
    <t>2508190843245313</t>
  </si>
  <si>
    <t>DUBAI INDUSTRAIL  CITY, 18TH AUG - Cash Collection TG</t>
  </si>
  <si>
    <t>6,944,272.27</t>
  </si>
  <si>
    <t>3510</t>
  </si>
  <si>
    <t>2508190843245316</t>
  </si>
  <si>
    <t>UAQ, 18TH AUG - Cash Collection TG</t>
  </si>
  <si>
    <t>425,000.00</t>
  </si>
  <si>
    <t>7,369,272.27</t>
  </si>
  <si>
    <t>3511</t>
  </si>
  <si>
    <t>2508190843245319</t>
  </si>
  <si>
    <t>AL RIGGA METRO STION DXB, 18TH AUG - Cash Collection TG</t>
  </si>
  <si>
    <t>7,499,272.27</t>
  </si>
  <si>
    <t>3512</t>
  </si>
  <si>
    <t>2508190843245322</t>
  </si>
  <si>
    <t>CLOCK TOWER 1, 18TH AUG - Cash Collection TG</t>
  </si>
  <si>
    <t>8,029,272.27</t>
  </si>
  <si>
    <t>3513</t>
  </si>
  <si>
    <t>2508190843245325</t>
  </si>
  <si>
    <t>DUBAI MALL, 18TH AUG - Cash Collection TG</t>
  </si>
  <si>
    <t>621,400.00</t>
  </si>
  <si>
    <t>8,650,672.27</t>
  </si>
  <si>
    <t>3514</t>
  </si>
  <si>
    <t>2508190843245328</t>
  </si>
  <si>
    <t>DMALL LG CSK53 TAXI AREA, 18TH AUG - Cash Collection TG</t>
  </si>
  <si>
    <t>301,600.00</t>
  </si>
  <si>
    <t>8,952,272.27</t>
  </si>
  <si>
    <t>3515</t>
  </si>
  <si>
    <t>2508190843245331</t>
  </si>
  <si>
    <t>AL MINA NESTO BR DXB, 18TH AUG - Cash Collection TG</t>
  </si>
  <si>
    <t>9,252,272.27</t>
  </si>
  <si>
    <t>3516</t>
  </si>
  <si>
    <t>2508190843245334</t>
  </si>
  <si>
    <t>CO OP SOCIETY SHJ 1, 18TH AUG - Cash Collection TG</t>
  </si>
  <si>
    <t>9,457,272.27</t>
  </si>
  <si>
    <t>3517</t>
  </si>
  <si>
    <t>2508190843245343</t>
  </si>
  <si>
    <t>SATWA 1, 18TH AUG - Cash Collection TG</t>
  </si>
  <si>
    <t>9,657,272.27</t>
  </si>
  <si>
    <t>3518</t>
  </si>
  <si>
    <t>2508190843245346</t>
  </si>
  <si>
    <t>AL NHDA RES TWRS  SHJ, 18TH AUG - Cash Collection TG</t>
  </si>
  <si>
    <t>10,067,272.27</t>
  </si>
  <si>
    <t>3519</t>
  </si>
  <si>
    <t>2508190843255349</t>
  </si>
  <si>
    <t>AL MADAM SHJ, 18TH AUG - Cash Collection TG</t>
  </si>
  <si>
    <t>10,367,272.27</t>
  </si>
  <si>
    <t>3520</t>
  </si>
  <si>
    <t>2508190843255352</t>
  </si>
  <si>
    <t>SAJA INDUSTRIAL SHJ 2, 18TH AUG - Cash Collection TG</t>
  </si>
  <si>
    <t>10,767,272.27</t>
  </si>
  <si>
    <t>3521</t>
  </si>
  <si>
    <t>2508190843255355</t>
  </si>
  <si>
    <t>DUBAI MALL LG UNIT171, 18TH AUG - Cash Collection TG</t>
  </si>
  <si>
    <t>11,417,272.27</t>
  </si>
  <si>
    <t>3522</t>
  </si>
  <si>
    <t>2508190843255358</t>
  </si>
  <si>
    <t>DIBBA FUJAIRAH, 18TH AUG - Cash Collection TG</t>
  </si>
  <si>
    <t>11,737,272.27</t>
  </si>
  <si>
    <t>3523</t>
  </si>
  <si>
    <t>PHUB525673078</t>
  </si>
  <si>
    <t>525673078 B/O ADHRAA MOHAMED KHADIM ALMANSOORI</t>
  </si>
  <si>
    <t>163.00</t>
  </si>
  <si>
    <t>11,737,435.27</t>
  </si>
  <si>
    <t>3524</t>
  </si>
  <si>
    <t>PHUB525673288</t>
  </si>
  <si>
    <t>525673288 B/O ADHRAA MOHAMED KHADIM ALMANSOORI</t>
  </si>
  <si>
    <t>11,737,535.27</t>
  </si>
  <si>
    <t>3525</t>
  </si>
  <si>
    <t>PHUB525686579</t>
  </si>
  <si>
    <t>12669042</t>
  </si>
  <si>
    <t>B/O THE TILE EXPERTS TRADING L.L.C</t>
  </si>
  <si>
    <t>1,582.62</t>
  </si>
  <si>
    <t>11,739,117.89</t>
  </si>
  <si>
    <t>3526</t>
  </si>
  <si>
    <t>PHUB525695491</t>
  </si>
  <si>
    <t>GLOBAL FRUIT INV 00225</t>
  </si>
  <si>
    <t>95,332.62</t>
  </si>
  <si>
    <t>11,834,450.51</t>
  </si>
  <si>
    <t>3527</t>
  </si>
  <si>
    <t>PHUB525713952</t>
  </si>
  <si>
    <t>B/O_SHAVETA KA_SCBL_525713952_.</t>
  </si>
  <si>
    <t>11,874,450.51</t>
  </si>
  <si>
    <t>3528</t>
  </si>
  <si>
    <t>PHUB525716005</t>
  </si>
  <si>
    <t>B/O_DEREK JOHN_ADIB_525716005_Family</t>
  </si>
  <si>
    <t>131,908.00</t>
  </si>
  <si>
    <t>12,006,358.51</t>
  </si>
  <si>
    <t>3529</t>
  </si>
  <si>
    <t>PHUB525716072</t>
  </si>
  <si>
    <t>NIC00425</t>
  </si>
  <si>
    <t>478,858.13</t>
  </si>
  <si>
    <t>12,485,216.64</t>
  </si>
  <si>
    <t>3530</t>
  </si>
  <si>
    <t>51087838022</t>
  </si>
  <si>
    <t>26192587005 MBTRF B/O SAIFEE ALUMINIUM AND STEEL TRDG LLC</t>
  </si>
  <si>
    <t>41,915.71</t>
  </si>
  <si>
    <t>12,527,132.35</t>
  </si>
  <si>
    <t>3531</t>
  </si>
  <si>
    <t>PHUB525724665</t>
  </si>
  <si>
    <t>B/O_JABER SARI_NBAD_525724665_</t>
  </si>
  <si>
    <t>76,644.00</t>
  </si>
  <si>
    <t>12,603,776.35</t>
  </si>
  <si>
    <t>3532</t>
  </si>
  <si>
    <t>19082507</t>
  </si>
  <si>
    <t>22,056,000.00</t>
  </si>
  <si>
    <t>34,659,776.35</t>
  </si>
  <si>
    <t>3533</t>
  </si>
  <si>
    <t>PHUB525725973</t>
  </si>
  <si>
    <t>MOB1908251028298184185</t>
  </si>
  <si>
    <t>B/O GREEN WOODEN IND LLC</t>
  </si>
  <si>
    <t>148,680.41</t>
  </si>
  <si>
    <t>34,808,456.76</t>
  </si>
  <si>
    <t>3534</t>
  </si>
  <si>
    <t>PHUB525728671</t>
  </si>
  <si>
    <t>B/O ELEGANT LINE LOGISTICS LLC</t>
  </si>
  <si>
    <t>23,968.33</t>
  </si>
  <si>
    <t>34,832,425.09</t>
  </si>
  <si>
    <t>3535</t>
  </si>
  <si>
    <t>17,961.00</t>
  </si>
  <si>
    <t>34,850,386.09</t>
  </si>
  <si>
    <t>3536</t>
  </si>
  <si>
    <t>000181</t>
  </si>
  <si>
    <t>VARUGHESE DANIEL</t>
  </si>
  <si>
    <t>INHOUSE CHEQUE DEPOSIT VARUGHESE DANIEL AL FARDAN EXCHANGE SP LLC CHQ NO ::000181</t>
  </si>
  <si>
    <t>105,334.00</t>
  </si>
  <si>
    <t>34,955,720.09</t>
  </si>
  <si>
    <t>3537</t>
  </si>
  <si>
    <t>525737455 B/O UNIVERSITY BOOK HOUSE</t>
  </si>
  <si>
    <t>4,433.71</t>
  </si>
  <si>
    <t>34,960,153.80</t>
  </si>
  <si>
    <t>3538</t>
  </si>
  <si>
    <t>025056</t>
  </si>
  <si>
    <t>INHOUSE CHEQUE DEPOSIT 025056 BASHEER PULIKKAL    IBRAHIM AL FARDAN EXCHANGE SP LLC CHQ NO ::025056</t>
  </si>
  <si>
    <t>34,970,153.80</t>
  </si>
  <si>
    <t>3539</t>
  </si>
  <si>
    <t>000059</t>
  </si>
  <si>
    <t>INHOUSE CHEQUE DEPOSIT 000059 BASHEER PULIKKAL    IBRAHIM AL FARDAN EXCHANGE SP LLC CHQ NO ::000059</t>
  </si>
  <si>
    <t>34,975,153.80</t>
  </si>
  <si>
    <t>3540</t>
  </si>
  <si>
    <t>PHUB525757897</t>
  </si>
  <si>
    <t>IMD 19082025</t>
  </si>
  <si>
    <t>43,428,543.95</t>
  </si>
  <si>
    <t>-8,453,390.15</t>
  </si>
  <si>
    <t>3541</t>
  </si>
  <si>
    <t>PHUB525756822</t>
  </si>
  <si>
    <t>CA 19082025</t>
  </si>
  <si>
    <t>42,700,000.00</t>
  </si>
  <si>
    <t>34,246,609.85</t>
  </si>
  <si>
    <t>3542</t>
  </si>
  <si>
    <t>10,309,271.50</t>
  </si>
  <si>
    <t>23,937,338.35</t>
  </si>
  <si>
    <t>3543</t>
  </si>
  <si>
    <t>PHUB525764474</t>
  </si>
  <si>
    <t>525764474 B/O MUNEER AHMED ABDUL HAMEED ANJUM</t>
  </si>
  <si>
    <t>13,024.50</t>
  </si>
  <si>
    <t>23,950,362.85</t>
  </si>
  <si>
    <t>3544</t>
  </si>
  <si>
    <t>PHUB525765102</t>
  </si>
  <si>
    <t>525765102 B/O NIVINE SABRY ABDELATY ALI</t>
  </si>
  <si>
    <t>36,224.50</t>
  </si>
  <si>
    <t>23,986,587.35</t>
  </si>
  <si>
    <t>3545</t>
  </si>
  <si>
    <t>51089978252</t>
  </si>
  <si>
    <t>26194467570 MBTRF B/O NOOR MUHAMMAD KHAN</t>
  </si>
  <si>
    <t>3,856.00</t>
  </si>
  <si>
    <t>23,990,443.35</t>
  </si>
  <si>
    <t>3546</t>
  </si>
  <si>
    <t>PHUB525774299</t>
  </si>
  <si>
    <t>HARALD INV PAYMENT</t>
  </si>
  <si>
    <t>165,054.33</t>
  </si>
  <si>
    <t>24,155,497.68</t>
  </si>
  <si>
    <t>3547</t>
  </si>
  <si>
    <t>PHUB525774618</t>
  </si>
  <si>
    <t>KONTIKI AL FARDAN</t>
  </si>
  <si>
    <t>62,845.14</t>
  </si>
  <si>
    <t>24,218,342.82</t>
  </si>
  <si>
    <t>3548</t>
  </si>
  <si>
    <t>PHUB525775396</t>
  </si>
  <si>
    <t>B/O_PARESH OR MALA J_525775396</t>
  </si>
  <si>
    <t>32,561.00</t>
  </si>
  <si>
    <t>24,250,903.82</t>
  </si>
  <si>
    <t>3549</t>
  </si>
  <si>
    <t>BONUS19825</t>
  </si>
  <si>
    <t>24,255,223.82</t>
  </si>
  <si>
    <t>3550</t>
  </si>
  <si>
    <t>PHUB525778931</t>
  </si>
  <si>
    <t>B/O_SOLE PROPR_ADIB_525778931_HOTEL B</t>
  </si>
  <si>
    <t>10,639.25</t>
  </si>
  <si>
    <t>24,265,863.07</t>
  </si>
  <si>
    <t>3551</t>
  </si>
  <si>
    <t>51090451424</t>
  </si>
  <si>
    <t>26194884325 MBTRF B/O AKMAL NAZIR</t>
  </si>
  <si>
    <t>19,569.00</t>
  </si>
  <si>
    <t>24,285,432.07</t>
  </si>
  <si>
    <t>3552</t>
  </si>
  <si>
    <t>PHUB525789842</t>
  </si>
  <si>
    <t>B/O_TREKKUP FZE_525789842</t>
  </si>
  <si>
    <t>36,750.00</t>
  </si>
  <si>
    <t>24,322,182.07</t>
  </si>
  <si>
    <t>3553</t>
  </si>
  <si>
    <t>PHUB525784632</t>
  </si>
  <si>
    <t>525784632 B/O INSAN EL MUBARAQ</t>
  </si>
  <si>
    <t>24,356,182.07</t>
  </si>
  <si>
    <t>3554</t>
  </si>
  <si>
    <t>PHUB525791272</t>
  </si>
  <si>
    <t>525791272 B/O TOTAL SECURE LLC</t>
  </si>
  <si>
    <t>6,452.50</t>
  </si>
  <si>
    <t>24,362,634.57</t>
  </si>
  <si>
    <t>3555</t>
  </si>
  <si>
    <t>B/O_C VICTORIO_ADIB_525786701_MONEY T</t>
  </si>
  <si>
    <t>17,759.29</t>
  </si>
  <si>
    <t>24,380,393.86</t>
  </si>
  <si>
    <t>3556</t>
  </si>
  <si>
    <t>PHUB525795315</t>
  </si>
  <si>
    <t>B/O_TREKKUP FZE_525795315</t>
  </si>
  <si>
    <t>18,055.27</t>
  </si>
  <si>
    <t>24,398,449.13</t>
  </si>
  <si>
    <t>3557</t>
  </si>
  <si>
    <t>2508191247112845</t>
  </si>
  <si>
    <t>CASH PURCHSE  AL FARDAN EXCHANGE</t>
  </si>
  <si>
    <t>44,775.00</t>
  </si>
  <si>
    <t>24,443,224.13</t>
  </si>
  <si>
    <t>3558</t>
  </si>
  <si>
    <t>PHUB525805082</t>
  </si>
  <si>
    <t>MOB1908251301358187310</t>
  </si>
  <si>
    <t>290,577.25</t>
  </si>
  <si>
    <t>24,733,801.38</t>
  </si>
  <si>
    <t>3559</t>
  </si>
  <si>
    <t>51091712731</t>
  </si>
  <si>
    <t>26196024666 MBTRF B/O ELIE HELOU</t>
  </si>
  <si>
    <t>24,753,801.38</t>
  </si>
  <si>
    <t>3560</t>
  </si>
  <si>
    <t>000884</t>
  </si>
  <si>
    <t>INHOUSE CHEQUE DEPOSIT 000884 MUHAMMAD HAMEED MUHAMMAD   FAREED AL FARDAN EXCHANGE SP LLC CHQ NO ::000884</t>
  </si>
  <si>
    <t>537,952.50</t>
  </si>
  <si>
    <t>25,291,753.88</t>
  </si>
  <si>
    <t>3561</t>
  </si>
  <si>
    <t>51091774104</t>
  </si>
  <si>
    <t>26196073195 MBTRF B/O MINTRA SRITHONGTAE</t>
  </si>
  <si>
    <t>25,301,753.88</t>
  </si>
  <si>
    <t>3562</t>
  </si>
  <si>
    <t>51091787249</t>
  </si>
  <si>
    <t>26196088155 MBTRF B/O STEPHEN OLOHAN</t>
  </si>
  <si>
    <t>7,568.31</t>
  </si>
  <si>
    <t>25,309,322.19</t>
  </si>
  <si>
    <t>3563</t>
  </si>
  <si>
    <t>UEC 19082025</t>
  </si>
  <si>
    <t>TRF TO UNIVERSAL EXCHANGE CENTER</t>
  </si>
  <si>
    <t>2,365,018.90</t>
  </si>
  <si>
    <t>22,944,303.29</t>
  </si>
  <si>
    <t>3564</t>
  </si>
  <si>
    <t>PHUB525808293</t>
  </si>
  <si>
    <t>USD BUY 19082025</t>
  </si>
  <si>
    <t>34,896,350.00</t>
  </si>
  <si>
    <t>-11,952,046.71</t>
  </si>
  <si>
    <t>3565</t>
  </si>
  <si>
    <t>OFFICE SYSTEM 190825</t>
  </si>
  <si>
    <t>TRF TO OFFICE SYSTEM TRADING LLC</t>
  </si>
  <si>
    <t>52,374.00</t>
  </si>
  <si>
    <t>-12,004,420.71</t>
  </si>
  <si>
    <t>3566</t>
  </si>
  <si>
    <t>INNOTECH 19082025</t>
  </si>
  <si>
    <t>TRF TO INNOTECH NETWORK SERVICES LLC</t>
  </si>
  <si>
    <t>1,417.50</t>
  </si>
  <si>
    <t>-12,005,838.21</t>
  </si>
  <si>
    <t>3567</t>
  </si>
  <si>
    <t>EMPIRE 19082025</t>
  </si>
  <si>
    <t>TRF TO Internatiional Empire Traders</t>
  </si>
  <si>
    <t>546.00</t>
  </si>
  <si>
    <t>-12,006,384.21</t>
  </si>
  <si>
    <t>3568</t>
  </si>
  <si>
    <t>BIN SANDAL 19082025</t>
  </si>
  <si>
    <t>TRF TO BIN SANDAL STATIONERY</t>
  </si>
  <si>
    <t>11,340.00</t>
  </si>
  <si>
    <t>-12,017,724.21</t>
  </si>
  <si>
    <t>3569</t>
  </si>
  <si>
    <t>SMARTSTAMP 19082025</t>
  </si>
  <si>
    <t>TRF TO SMART STAMPS LLC</t>
  </si>
  <si>
    <t>210.00</t>
  </si>
  <si>
    <t>-12,017,934.21</t>
  </si>
  <si>
    <t>3570</t>
  </si>
  <si>
    <t>OKOOL 19082025</t>
  </si>
  <si>
    <t>TRF TO OKOOL GENERAL SECURITY GUARD SERV</t>
  </si>
  <si>
    <t>54,363.75</t>
  </si>
  <si>
    <t>-12,072,297.96</t>
  </si>
  <si>
    <t>3571</t>
  </si>
  <si>
    <t>EXPRESS 19082025</t>
  </si>
  <si>
    <t>TRF TO EXPRESS COMPUTERS LLC OPC</t>
  </si>
  <si>
    <t>246.75</t>
  </si>
  <si>
    <t>-12,072,544.71</t>
  </si>
  <si>
    <t>3572</t>
  </si>
  <si>
    <t>51092252971</t>
  </si>
  <si>
    <t>2542857610 IBTRF B/O NEXT MOVE SHIPPING SERVICES LLC</t>
  </si>
  <si>
    <t>8,696.75</t>
  </si>
  <si>
    <t>-12,063,847.96</t>
  </si>
  <si>
    <t>3573</t>
  </si>
  <si>
    <t>51092390529</t>
  </si>
  <si>
    <t>26196644191 MBTRF B/O VIKAS JAIN</t>
  </si>
  <si>
    <t>-11,963,847.96</t>
  </si>
  <si>
    <t>3574</t>
  </si>
  <si>
    <t>000783</t>
  </si>
  <si>
    <t>INHOUSE CHEQUE DEPOSIT 000783 MUHAMMAD HAMEED MUHAMMAD   FAREED AL FARDAN EXCHANGE SP LLC CHQ NO ::000783</t>
  </si>
  <si>
    <t>103,027.00</t>
  </si>
  <si>
    <t>-11,860,820.96</t>
  </si>
  <si>
    <t>3575</t>
  </si>
  <si>
    <t>51092473236</t>
  </si>
  <si>
    <t>2542864328 IBTRF B/O NEXT MOVE SHIPPING SERVICES LLC</t>
  </si>
  <si>
    <t>560.30</t>
  </si>
  <si>
    <t>-11,860,260.66</t>
  </si>
  <si>
    <t>3576</t>
  </si>
  <si>
    <t>PHUB525824826</t>
  </si>
  <si>
    <t>B/O_DAGHAYA GE_HBZU_525824826_Own acc</t>
  </si>
  <si>
    <t>345,798.60</t>
  </si>
  <si>
    <t>-11,514,462.06</t>
  </si>
  <si>
    <t>3577</t>
  </si>
  <si>
    <t>PHUB525831762</t>
  </si>
  <si>
    <t>NTCR HNDSTN29</t>
  </si>
  <si>
    <t>7,387.75</t>
  </si>
  <si>
    <t>-11,507,074.31</t>
  </si>
  <si>
    <t>3578</t>
  </si>
  <si>
    <t>B/O_VCMELTD1_525833347</t>
  </si>
  <si>
    <t>2,263.68</t>
  </si>
  <si>
    <t>-11,504,810.63</t>
  </si>
  <si>
    <t>3579</t>
  </si>
  <si>
    <t>51093180541</t>
  </si>
  <si>
    <t>26197375623 MBTRF B/O AHMED MAHER MOHAMED H ALASHWAL</t>
  </si>
  <si>
    <t>115,400.00</t>
  </si>
  <si>
    <t>-11,389,410.63</t>
  </si>
  <si>
    <t>3580</t>
  </si>
  <si>
    <t>PHUB525837195</t>
  </si>
  <si>
    <t>B/O_S A A S ADVISORY_525837195</t>
  </si>
  <si>
    <t>24,623.00</t>
  </si>
  <si>
    <t>-11,364,787.63</t>
  </si>
  <si>
    <t>3581</t>
  </si>
  <si>
    <t>PHUB525843917</t>
  </si>
  <si>
    <t>B/O_S A A S AD_null_525843917_Skin100</t>
  </si>
  <si>
    <t>172,078.24</t>
  </si>
  <si>
    <t>-11,192,709.39</t>
  </si>
  <si>
    <t>3582</t>
  </si>
  <si>
    <t>51093568354</t>
  </si>
  <si>
    <t>2542898578 IBTRF B/O INEZ D CUNHA</t>
  </si>
  <si>
    <t>9,983.25</t>
  </si>
  <si>
    <t>-11,182,726.14</t>
  </si>
  <si>
    <t>3583</t>
  </si>
  <si>
    <t>51093795368</t>
  </si>
  <si>
    <t>26197941275 MBTRF B/O PETAR KOSTADINOV AND OR LINNETT W</t>
  </si>
  <si>
    <t>-11,182,576.14</t>
  </si>
  <si>
    <t>3584</t>
  </si>
  <si>
    <t>PHUB525847121</t>
  </si>
  <si>
    <t>B/O_HUMAID KHALFAN M_525847121</t>
  </si>
  <si>
    <t>-11,142,576.14</t>
  </si>
  <si>
    <t>3585</t>
  </si>
  <si>
    <t>51093823341</t>
  </si>
  <si>
    <t>26197969767 MBTRF B/O CHAWLAS TWO RESTAURANT LLC</t>
  </si>
  <si>
    <t>-11,132,076.14</t>
  </si>
  <si>
    <t>3586</t>
  </si>
  <si>
    <t>INHOUSE CHEQUE DEPOSIT 000086 DIL JAN MOHAMMAD   ALI AL FARDAN EXCHANGE SP LLC CHQ NO ::000086</t>
  </si>
  <si>
    <t>-11,119,026.14</t>
  </si>
  <si>
    <t>3587</t>
  </si>
  <si>
    <t>PHUB525854648</t>
  </si>
  <si>
    <t>B/O_1/GOVERMEN_DUIB_525854648_Refund</t>
  </si>
  <si>
    <t>6,596.30</t>
  </si>
  <si>
    <t>-11,112,429.84</t>
  </si>
  <si>
    <t>3588</t>
  </si>
  <si>
    <t>PHUB525854650</t>
  </si>
  <si>
    <t>B/O_1/GOVERMEN_DUIB_525854650_Refund</t>
  </si>
  <si>
    <t>5,780.73</t>
  </si>
  <si>
    <t>-11,106,649.11</t>
  </si>
  <si>
    <t>3589</t>
  </si>
  <si>
    <t>PHUB525854653</t>
  </si>
  <si>
    <t>B/O_1/GOVERMEN_DUIB_525854653_Refund</t>
  </si>
  <si>
    <t>863.10</t>
  </si>
  <si>
    <t>-11,105,786.01</t>
  </si>
  <si>
    <t>3590</t>
  </si>
  <si>
    <t>PHUB525854658</t>
  </si>
  <si>
    <t>B/O_1/GOVERMEN_DUIB_525854658_Refund</t>
  </si>
  <si>
    <t>171.62</t>
  </si>
  <si>
    <t>-11,105,614.39</t>
  </si>
  <si>
    <t>3591</t>
  </si>
  <si>
    <t>PHUB525855630</t>
  </si>
  <si>
    <t>B/O_1/GOVERMEN_DUIB_525855630_5030009</t>
  </si>
  <si>
    <t>7,350.95</t>
  </si>
  <si>
    <t>-11,098,263.44</t>
  </si>
  <si>
    <t>3592</t>
  </si>
  <si>
    <t>PHUB525855633</t>
  </si>
  <si>
    <t>B/O_1/GOVERMEN_DUIB_525855633_5030009</t>
  </si>
  <si>
    <t>8,438.99</t>
  </si>
  <si>
    <t>-11,089,824.45</t>
  </si>
  <si>
    <t>3593</t>
  </si>
  <si>
    <t>PHUB525855638</t>
  </si>
  <si>
    <t>B/O_1/GOVERMEN_DUIB_525855638_5030009</t>
  </si>
  <si>
    <t>9,359.20</t>
  </si>
  <si>
    <t>-11,080,465.25</t>
  </si>
  <si>
    <t>3594</t>
  </si>
  <si>
    <t>B/O_1/GOVERMEN_DUIB_525855641_5030009</t>
  </si>
  <si>
    <t>1,937.69</t>
  </si>
  <si>
    <t>-11,078,527.56</t>
  </si>
  <si>
    <t>3595</t>
  </si>
  <si>
    <t>PHUB525855646</t>
  </si>
  <si>
    <t>B/O_1/GOVERMEN_DUIB_525855646_5030009</t>
  </si>
  <si>
    <t>1,538.79</t>
  </si>
  <si>
    <t>-11,076,988.77</t>
  </si>
  <si>
    <t>3596</t>
  </si>
  <si>
    <t>PHUB525855651</t>
  </si>
  <si>
    <t>B/O_1/GOVERMEN_DUIB_525855651_5030009</t>
  </si>
  <si>
    <t>5,816.41</t>
  </si>
  <si>
    <t>-11,071,172.36</t>
  </si>
  <si>
    <t>3597</t>
  </si>
  <si>
    <t>PHUB525855655</t>
  </si>
  <si>
    <t>B/O_1/GOVERMEN_DUIB_525855655_5030009</t>
  </si>
  <si>
    <t>8,605.44</t>
  </si>
  <si>
    <t>-11,062,566.92</t>
  </si>
  <si>
    <t>3598</t>
  </si>
  <si>
    <t>51094656700</t>
  </si>
  <si>
    <t>26198731069 MBTRF B/O RABHA AMAHZOUNE</t>
  </si>
  <si>
    <t>4,957.00</t>
  </si>
  <si>
    <t>-11,057,609.92</t>
  </si>
  <si>
    <t>3599</t>
  </si>
  <si>
    <t>B/O_CONSOLIDAT_CBDU_525860323_Inter G</t>
  </si>
  <si>
    <t>81,660.00</t>
  </si>
  <si>
    <t>-10,975,949.92</t>
  </si>
  <si>
    <t>3600</t>
  </si>
  <si>
    <t>PHUB525863748</t>
  </si>
  <si>
    <t>FARDAN190825</t>
  </si>
  <si>
    <t>121,754.00</t>
  </si>
  <si>
    <t>-10,854,195.92</t>
  </si>
  <si>
    <t>3601</t>
  </si>
  <si>
    <t>INHOUSE CHEQUE DEPOSIT 000085 DIL JAN MOHAMMAD   ALI AL FARDAN EXCHANGE SP LLC CHQ NO ::000085</t>
  </si>
  <si>
    <t>37,805.75</t>
  </si>
  <si>
    <t>-10,816,390.17</t>
  </si>
  <si>
    <t>3602</t>
  </si>
  <si>
    <t>PHUB525865564</t>
  </si>
  <si>
    <t>525865564 B/O RAMY ABDELKAREEM RAMADAN ABDELAZIZ</t>
  </si>
  <si>
    <t>7,400.00</t>
  </si>
  <si>
    <t>-10,808,990.17</t>
  </si>
  <si>
    <t>3603</t>
  </si>
  <si>
    <t>INHOUSE CHEQUE DEPOSIT 000123 MOHAMMED SHAFI     THONDIKKODAN AL FARDAN EXCHANGE SP LLC CHQ NO ::000123</t>
  </si>
  <si>
    <t>34,539.70</t>
  </si>
  <si>
    <t>-10,774,450.47</t>
  </si>
  <si>
    <t>3604</t>
  </si>
  <si>
    <t>000080</t>
  </si>
  <si>
    <t>INHOUSE CHEQUE DEPOSIT 000080 MUHAMMAD AKRAM NAZAR   MUHAMMAD AL FARDAN EXCHANGE SP LLC CHQ NO ::000080</t>
  </si>
  <si>
    <t>90,794.75</t>
  </si>
  <si>
    <t>-10,683,655.72</t>
  </si>
  <si>
    <t>3605</t>
  </si>
  <si>
    <t>PHUB525870068</t>
  </si>
  <si>
    <t>TRN NO 5620270008808</t>
  </si>
  <si>
    <t>B/O QUETTA USED CARS &amp; SPARE PA. TR LLC</t>
  </si>
  <si>
    <t>90,164.26</t>
  </si>
  <si>
    <t>-10,593,491.46</t>
  </si>
  <si>
    <t>3606</t>
  </si>
  <si>
    <t>51095493226</t>
  </si>
  <si>
    <t>26199493769 MBTRF B/O MIAN MAHMOOD AHMAD</t>
  </si>
  <si>
    <t>49,613.00</t>
  </si>
  <si>
    <t>-10,543,878.46</t>
  </si>
  <si>
    <t>3607</t>
  </si>
  <si>
    <t>B/O_ISMAT SEAL_NBSH_525876760_GPOLYPL</t>
  </si>
  <si>
    <t>80,864.71</t>
  </si>
  <si>
    <t>-10,463,013.75</t>
  </si>
  <si>
    <t>3608</t>
  </si>
  <si>
    <t>PHUB525878172</t>
  </si>
  <si>
    <t>CW 19082025</t>
  </si>
  <si>
    <t>-15,463,013.75</t>
  </si>
  <si>
    <t>3609</t>
  </si>
  <si>
    <t>PHUB525884082</t>
  </si>
  <si>
    <t>HYDRASUN</t>
  </si>
  <si>
    <t>12,734.00</t>
  </si>
  <si>
    <t>-15,450,279.75</t>
  </si>
  <si>
    <t>3610</t>
  </si>
  <si>
    <t>PHUB525888734</t>
  </si>
  <si>
    <t>JULY 25 SALARY</t>
  </si>
  <si>
    <t>B/O ROYAL CLASS MARBLE TR L L C</t>
  </si>
  <si>
    <t>23,035.00</t>
  </si>
  <si>
    <t>-15,427,244.75</t>
  </si>
  <si>
    <t>3611</t>
  </si>
  <si>
    <t>PHUB525888822</t>
  </si>
  <si>
    <t>REQ25133 PO25729 WO25290</t>
  </si>
  <si>
    <t>4,122.25</t>
  </si>
  <si>
    <t>-15,423,122.50</t>
  </si>
  <si>
    <t>3612</t>
  </si>
  <si>
    <t>PHUB525891350</t>
  </si>
  <si>
    <t>B/O_AHMED ATEE_ADIB_525891350_BUY SHA</t>
  </si>
  <si>
    <t>2,600,000.00</t>
  </si>
  <si>
    <t>-12,823,122.50</t>
  </si>
  <si>
    <t>3613</t>
  </si>
  <si>
    <t>525895442 B/O AL MILAD TR</t>
  </si>
  <si>
    <t>4,799.96</t>
  </si>
  <si>
    <t>-12,818,322.54</t>
  </si>
  <si>
    <t>3614</t>
  </si>
  <si>
    <t>VINAY SANJAY KADAM</t>
  </si>
  <si>
    <t>INHOUSE CHEQUE DEPOSIT VINAY SANJAY KADAM AL FARDAN EXCHANGE SP LLC CHQ NO ::000026</t>
  </si>
  <si>
    <t>73,140.75</t>
  </si>
  <si>
    <t>-12,745,181.79</t>
  </si>
  <si>
    <t>3615</t>
  </si>
  <si>
    <t>2508191657201283</t>
  </si>
  <si>
    <t>CHQ RETRN:Insufficient Funds(INF) AL FARDAN EXCHANGE SP LLC CHQ NO ::000026</t>
  </si>
  <si>
    <t>3616</t>
  </si>
  <si>
    <t>PHUB525900073</t>
  </si>
  <si>
    <t>B/O_TR LLC BAW_ADIB_525900073_goods</t>
  </si>
  <si>
    <t>134,162.00</t>
  </si>
  <si>
    <t>-12,684,160.54</t>
  </si>
  <si>
    <t>3617</t>
  </si>
  <si>
    <t>32,216.18</t>
  </si>
  <si>
    <t>-12,651,944.36</t>
  </si>
  <si>
    <t>3618</t>
  </si>
  <si>
    <t>B/O_LAZAR SHIP_BOML_525902958_ FINANC</t>
  </si>
  <si>
    <t>64,857.93</t>
  </si>
  <si>
    <t>-12,587,086.43</t>
  </si>
  <si>
    <t>3619</t>
  </si>
  <si>
    <t>51097289392</t>
  </si>
  <si>
    <t>2543024891 IBTRF B/O LEYTON SHIPPING LLC</t>
  </si>
  <si>
    <t>13,231.79</t>
  </si>
  <si>
    <t>-12,573,854.64</t>
  </si>
  <si>
    <t>3620</t>
  </si>
  <si>
    <t>PHUB525904962</t>
  </si>
  <si>
    <t>525904962 B/O MAKANI BUILDING MATERIALS</t>
  </si>
  <si>
    <t>2,706.00</t>
  </si>
  <si>
    <t>-12,571,148.64</t>
  </si>
  <si>
    <t>3621</t>
  </si>
  <si>
    <t>PHUB525905919</t>
  </si>
  <si>
    <t>WORLD CLAS 9389 9362</t>
  </si>
  <si>
    <t>370,895.54</t>
  </si>
  <si>
    <t>-12,200,253.10</t>
  </si>
  <si>
    <t>3622</t>
  </si>
  <si>
    <t>PHUB525908706</t>
  </si>
  <si>
    <t>SCOND 50PER FOR YOUSIF</t>
  </si>
  <si>
    <t>B/O GLAZE EASY SYSTEM LLC</t>
  </si>
  <si>
    <t>10,482.34</t>
  </si>
  <si>
    <t>-12,189,770.76</t>
  </si>
  <si>
    <t>3623</t>
  </si>
  <si>
    <t>PHUB525909835</t>
  </si>
  <si>
    <t>3,702.75</t>
  </si>
  <si>
    <t>-12,186,068.01</t>
  </si>
  <si>
    <t>3624</t>
  </si>
  <si>
    <t>PHUB525910683</t>
  </si>
  <si>
    <t>525910683 B/O RAJARAM BASNET</t>
  </si>
  <si>
    <t>-12,185,768.01</t>
  </si>
  <si>
    <t>3625</t>
  </si>
  <si>
    <t>PHUB525911996</t>
  </si>
  <si>
    <t>525911996 B/O MAKANI BUILDING MATERIALS</t>
  </si>
  <si>
    <t>86.50</t>
  </si>
  <si>
    <t>-12,185,681.51</t>
  </si>
  <si>
    <t>3626</t>
  </si>
  <si>
    <t>PHUB525912311</t>
  </si>
  <si>
    <t>93,310.35</t>
  </si>
  <si>
    <t>-12,092,371.16</t>
  </si>
  <si>
    <t>3627</t>
  </si>
  <si>
    <t>51098297043</t>
  </si>
  <si>
    <t>26202186359 MBTRF B/O OBAID ALI KHAMIS KHALFAN</t>
  </si>
  <si>
    <t>-12,090,871.16</t>
  </si>
  <si>
    <t>3628</t>
  </si>
  <si>
    <t>PHUB525920595</t>
  </si>
  <si>
    <t>B/O_CSS KINGST_NBFU_525920595_OTHERS</t>
  </si>
  <si>
    <t>26,380.73</t>
  </si>
  <si>
    <t>-12,064,490.43</t>
  </si>
  <si>
    <t>3629</t>
  </si>
  <si>
    <t>PHUB525925039</t>
  </si>
  <si>
    <t>124488</t>
  </si>
  <si>
    <t>B/O ARMADIO DESIGN CLOSETS-S.PRO.LLC</t>
  </si>
  <si>
    <t>86,826.34</t>
  </si>
  <si>
    <t>-11,977,664.09</t>
  </si>
  <si>
    <t>3630</t>
  </si>
  <si>
    <t>51098635246</t>
  </si>
  <si>
    <t>2543070797 IBTRF B/O NEXT MOVE SHIPPING SERVICES LLC</t>
  </si>
  <si>
    <t>3,827.38</t>
  </si>
  <si>
    <t>-11,973,836.71</t>
  </si>
  <si>
    <t>3631</t>
  </si>
  <si>
    <t>51099303901</t>
  </si>
  <si>
    <t>2543088460 IBTRF B/O TUSHAR RAMKRISHNA KSHATRIYA</t>
  </si>
  <si>
    <t>40,580.00</t>
  </si>
  <si>
    <t>-11,933,256.71</t>
  </si>
  <si>
    <t>3632</t>
  </si>
  <si>
    <t>PHUB525938008</t>
  </si>
  <si>
    <t>B/O_ANDREEA CO_SCBL_525938008_.</t>
  </si>
  <si>
    <t>86,449.00</t>
  </si>
  <si>
    <t>-11,846,807.71</t>
  </si>
  <si>
    <t>3633</t>
  </si>
  <si>
    <t>681026</t>
  </si>
  <si>
    <t>CHEQUE DEPOSIT 681026 FARHAN ALI SHAN     ABDUL WAZIR ALI 203514036 CHQ NO ::681026</t>
  </si>
  <si>
    <t>-11,726,807.71</t>
  </si>
  <si>
    <t>3634</t>
  </si>
  <si>
    <t>024645</t>
  </si>
  <si>
    <t>CHEQUE DEPOSIT 024645 BASHEER PULIKKAL    IBRAHIM 101110101 CHQ NO ::024645</t>
  </si>
  <si>
    <t>15,858.18</t>
  </si>
  <si>
    <t>-11,710,949.53</t>
  </si>
  <si>
    <t>3635</t>
  </si>
  <si>
    <t>000153</t>
  </si>
  <si>
    <t>CHEQUE DEPOSIT 000153 MUHAMMED ABU MIHAD CACHANCHERY RAHEEM   CACHANCHER 104010101 CHQ NO ::000153</t>
  </si>
  <si>
    <t>40,979.25</t>
  </si>
  <si>
    <t>-11,669,970.28</t>
  </si>
  <si>
    <t>3636</t>
  </si>
  <si>
    <t>930360</t>
  </si>
  <si>
    <t>CHEQUE DEPOSIT 930360 SUNDAR     RAMANUJAM 502010101 CHQ NO ::930360</t>
  </si>
  <si>
    <t>106,000.00</t>
  </si>
  <si>
    <t>-11,563,970.28</t>
  </si>
  <si>
    <t>3637</t>
  </si>
  <si>
    <t>PHUB525945817</t>
  </si>
  <si>
    <t>B/O_MRI SHIPPI_EBIL_525945817_al fard</t>
  </si>
  <si>
    <t>51,038.63</t>
  </si>
  <si>
    <t>-11,512,931.65</t>
  </si>
  <si>
    <t>3638</t>
  </si>
  <si>
    <t>000144</t>
  </si>
  <si>
    <t>CHEQUE DEPOSIT 000144 BASHEER PULIKKAL    IBRAHIM 202620147 CHQ NO ::000144</t>
  </si>
  <si>
    <t>-11,407,774.65</t>
  </si>
  <si>
    <t>3639</t>
  </si>
  <si>
    <t>51099816099</t>
  </si>
  <si>
    <t>2543102314 IBTRF B/O NATIONAL FLOWERS LLC SPC</t>
  </si>
  <si>
    <t>35,952.17</t>
  </si>
  <si>
    <t>-11,371,822.48</t>
  </si>
  <si>
    <t>3640</t>
  </si>
  <si>
    <t>CHEQUE DEPOSIT 000220 MUHAMMAD HAMEED MUHAMMAD   FAREED 203870112 CHQ NO ::000220</t>
  </si>
  <si>
    <t>94,401.00</t>
  </si>
  <si>
    <t>-11,277,421.48</t>
  </si>
  <si>
    <t>3641</t>
  </si>
  <si>
    <t>000219</t>
  </si>
  <si>
    <t>CHEQUE DEPOSIT 000219 MUHAMMAD HAMEED MUHAMMAD   FAREED 203870112 CHQ NO ::000219</t>
  </si>
  <si>
    <t>73,544.50</t>
  </si>
  <si>
    <t>-11,203,876.98</t>
  </si>
  <si>
    <t>3642</t>
  </si>
  <si>
    <t>CHEQUE DEPOSIT 000046 ABDUL NASEEB MUNDAYADAN KANDY   PUTHIYAPURA 703320106 CHQ NO ::000046</t>
  </si>
  <si>
    <t>-11,203,614.48</t>
  </si>
  <si>
    <t>3643</t>
  </si>
  <si>
    <t>001139</t>
  </si>
  <si>
    <t>CHEQUE DEPOSIT 001139 AMEEN BIN ABDULLA VALIYA PEEDIKAYIL    PUTHIYAPURA 304012039 CHQ NO ::001139</t>
  </si>
  <si>
    <t>7,050.50</t>
  </si>
  <si>
    <t>-11,196,563.98</t>
  </si>
  <si>
    <t>3644</t>
  </si>
  <si>
    <t>CHEQUE DEPOSIT 000360 SHAHANAS SHIHABUDEEN    SHIHABUDEEN M 304012039 CHQ NO ::000360</t>
  </si>
  <si>
    <t>3,061.50</t>
  </si>
  <si>
    <t>-11,193,502.48</t>
  </si>
  <si>
    <t>3645</t>
  </si>
  <si>
    <t>528942</t>
  </si>
  <si>
    <t>CHEQUE DEPOSIT 528942 MUHAMMAD AKRAM NAZAR   MUHAMMAD 304012039 CHQ NO ::528942</t>
  </si>
  <si>
    <t>95,622.00</t>
  </si>
  <si>
    <t>-11,097,880.48</t>
  </si>
  <si>
    <t>3646</t>
  </si>
  <si>
    <t>CHEQUE DEPOSIT 000037 MUHAMMAD HAMEED MUHAMMAD   FAREED 104030136 CHQ NO ::000037</t>
  </si>
  <si>
    <t>177,054.50</t>
  </si>
  <si>
    <t>-10,920,825.98</t>
  </si>
  <si>
    <t>3647</t>
  </si>
  <si>
    <t>502441</t>
  </si>
  <si>
    <t>CHEQUE DEPOSIT 502441 SHAMSHEER KHAN AHAMED KHAN AHAMED  KHAN 805030156 CHQ NO ::502441</t>
  </si>
  <si>
    <t>62,610.50</t>
  </si>
  <si>
    <t>-10,858,215.48</t>
  </si>
  <si>
    <t>3648</t>
  </si>
  <si>
    <t>CHEQUE DEPOSIT 000189 VIJAY,KUMAR KANDAVARA,,,,SHETTY, 904720107 CHQ NO ::000189</t>
  </si>
  <si>
    <t>2,796.00</t>
  </si>
  <si>
    <t>-10,855,419.48</t>
  </si>
  <si>
    <t>3649</t>
  </si>
  <si>
    <t>747037</t>
  </si>
  <si>
    <t>CHEQUE DEPOSIT 747037 MUHAMMAD HAMEED MUHAMMAD   FAREED 104020135 CHQ NO ::747037</t>
  </si>
  <si>
    <t>75,594.00</t>
  </si>
  <si>
    <t>-10,779,825.48</t>
  </si>
  <si>
    <t>3650</t>
  </si>
  <si>
    <t>000227</t>
  </si>
  <si>
    <t>CHEQUE DEPOSIT 000227 MUHAMMAD HAMEED MUHAMMAD   FAREED 603430129 CHQ NO ::000227</t>
  </si>
  <si>
    <t>100,872.50</t>
  </si>
  <si>
    <t>-10,678,952.98</t>
  </si>
  <si>
    <t>3651</t>
  </si>
  <si>
    <t>000186</t>
  </si>
  <si>
    <t>CHEQUE DEPOSIT 000186 MUHAMMAD HAMEED MUHAMMAD   FAREED 704130135 CHQ NO ::000186</t>
  </si>
  <si>
    <t>75,950.00</t>
  </si>
  <si>
    <t>-10,603,002.98</t>
  </si>
  <si>
    <t>3652</t>
  </si>
  <si>
    <t>000257</t>
  </si>
  <si>
    <t>CHEQUE DEPOSIT 000257 MUHAMMAD,HAMEED,MUHAMMAD,,,FAREED, 604130075 CHQ NO ::000257</t>
  </si>
  <si>
    <t>57,587.00</t>
  </si>
  <si>
    <t>-10,545,415.98</t>
  </si>
  <si>
    <t>3653</t>
  </si>
  <si>
    <t>003135</t>
  </si>
  <si>
    <t>CHEQUE DEPOSIT 003135 SHAMSHEER KHAN AHAMED KHAN AHAMED  KHAN 404130101 CHQ NO ::003135</t>
  </si>
  <si>
    <t>215,241.28</t>
  </si>
  <si>
    <t>-10,330,174.70</t>
  </si>
  <si>
    <t>3654</t>
  </si>
  <si>
    <t>003136</t>
  </si>
  <si>
    <t>CHEQUE DEPOSIT 003136 SHAMSHEER KHAN AHAMED KHAN AHAMED  KHAN 404130101 CHQ NO ::003136</t>
  </si>
  <si>
    <t>221,400.00</t>
  </si>
  <si>
    <t>-10,108,774.70</t>
  </si>
  <si>
    <t>3655</t>
  </si>
  <si>
    <t>500534</t>
  </si>
  <si>
    <t>CHEQUE DEPOSIT 500534 MUHAMMED ABU MIHAD CACHANCHERY RAHEEM   CACHANCHER 605010398 CHQ NO ::500534</t>
  </si>
  <si>
    <t>-10,071,974.20</t>
  </si>
  <si>
    <t>3656</t>
  </si>
  <si>
    <t>001750</t>
  </si>
  <si>
    <t>CHEQUE DEPOSIT 001750 BASHEER PULIKKAL    IBRAHIM 003810101 CHQ NO ::001750</t>
  </si>
  <si>
    <t>28,133.00</t>
  </si>
  <si>
    <t>-10,043,841.20</t>
  </si>
  <si>
    <t>3657</t>
  </si>
  <si>
    <t>008284</t>
  </si>
  <si>
    <t>CHEQUE DEPOSIT 008284 SHAMSHEER KHAN AHAMED KHAN AHAMED  KHAN 304630121 CHQ NO ::008284</t>
  </si>
  <si>
    <t>46,481.50</t>
  </si>
  <si>
    <t>-9,997,359.70</t>
  </si>
  <si>
    <t>3658</t>
  </si>
  <si>
    <t>741994</t>
  </si>
  <si>
    <t>CHEQUE DEPOSIT 741994 MUHAMMAD HAMEED MUHAMMAD   FAREED 704020137 CHQ NO ::741994</t>
  </si>
  <si>
    <t>747,554.57</t>
  </si>
  <si>
    <t>-9,249,805.13</t>
  </si>
  <si>
    <t>3659</t>
  </si>
  <si>
    <t>000028</t>
  </si>
  <si>
    <t>CHEQUE DEPOSIT 000028 MUHAMMAD,HAMEED,MUHAMMAD,,,FAREED, 804020101 CHQ NO ::000028</t>
  </si>
  <si>
    <t>37,930.67</t>
  </si>
  <si>
    <t>-9,211,874.46</t>
  </si>
  <si>
    <t>3660</t>
  </si>
  <si>
    <t>CHEQUE DEPOSIT 000079 BASHEER PULIKKAL    IBRAHIM 802631611 CHQ NO ::000079</t>
  </si>
  <si>
    <t>-9,156,874.46</t>
  </si>
  <si>
    <t>3661</t>
  </si>
  <si>
    <t>51100142528</t>
  </si>
  <si>
    <t>2543110171 IBTRF B/O POWER TECH INTERNATIONAL TR LLC</t>
  </si>
  <si>
    <t>57,066.92</t>
  </si>
  <si>
    <t>-9,099,807.54</t>
  </si>
  <si>
    <t>3662</t>
  </si>
  <si>
    <t>CHEQUE DEPOSIT 000048 MUHAMMAD HAMEED MUHAMMAD   FAREED 003420289 CHQ NO ::000048</t>
  </si>
  <si>
    <t>206,912.84</t>
  </si>
  <si>
    <t>-8,892,894.70</t>
  </si>
  <si>
    <t>3663</t>
  </si>
  <si>
    <t>001250</t>
  </si>
  <si>
    <t>CHEQUE DEPOSIT 001250 MUHAMMAD,HAMEED,MUHAMMAD,,,FAREED, 203320145 CHQ NO ::001250</t>
  </si>
  <si>
    <t>21,256.00</t>
  </si>
  <si>
    <t>-8,871,638.70</t>
  </si>
  <si>
    <t>3664</t>
  </si>
  <si>
    <t>191567</t>
  </si>
  <si>
    <t>CHEQUE DEPOSIT 191567 BASHEER PULIKKAL    IBRAHIM 003510188 CHQ NO ::191567</t>
  </si>
  <si>
    <t>13,562.50</t>
  </si>
  <si>
    <t>-8,858,076.20</t>
  </si>
  <si>
    <t>3665</t>
  </si>
  <si>
    <t>029393</t>
  </si>
  <si>
    <t>CHEQUE DEPOSIT 029393 MUHAMMAD HAMEED MUHAMMAD   FAREED 103130112 CHQ NO ::029393</t>
  </si>
  <si>
    <t>-8,846,995.20</t>
  </si>
  <si>
    <t>3666</t>
  </si>
  <si>
    <t>CHEQUE DEPOSIT 000092 SULFIKAR SHERIEF NOOHU KANNU  SHERIEF 304012039 CHQ NO ::000092</t>
  </si>
  <si>
    <t>14,800.00</t>
  </si>
  <si>
    <t>-8,832,195.20</t>
  </si>
  <si>
    <t>3667</t>
  </si>
  <si>
    <t>001826</t>
  </si>
  <si>
    <t>CHEQUE DEPOSIT 001826 MUHAMMAD HAMEED MUHAMMAD   FAREED 704020137 CHQ NO ::001826</t>
  </si>
  <si>
    <t>73,601.00</t>
  </si>
  <si>
    <t>-8,758,594.20</t>
  </si>
  <si>
    <t>3668</t>
  </si>
  <si>
    <t>001983</t>
  </si>
  <si>
    <t>CHEQUE DEPOSIT 001983 SYED TAQI ABBAS  SHAHABAL  HUSSAIN SHAH 004730105 CHQ NO ::001983</t>
  </si>
  <si>
    <t>234,114.25</t>
  </si>
  <si>
    <t>-8,524,479.95</t>
  </si>
  <si>
    <t>3669</t>
  </si>
  <si>
    <t>CHEQUE DEPOSIT 000108 NISSAR MANGADAN MOIDEEN   MANGADAN 204011011 CHQ NO ::000108</t>
  </si>
  <si>
    <t>39,735.75</t>
  </si>
  <si>
    <t>-8,484,744.20</t>
  </si>
  <si>
    <t>3670</t>
  </si>
  <si>
    <t>621279</t>
  </si>
  <si>
    <t>CHEQUE DEPOSIT 621279 DIL JAN MOHAMMAD   ALI 304040119 CHQ NO ::621279</t>
  </si>
  <si>
    <t>42,300.00</t>
  </si>
  <si>
    <t>-8,442,444.20</t>
  </si>
  <si>
    <t>3671</t>
  </si>
  <si>
    <t>001271</t>
  </si>
  <si>
    <t>CHEQUE DEPOSIT 001271 MUHAMMAD HAMEED MUHAMMAD   FAREED 603830105 CHQ NO ::001271</t>
  </si>
  <si>
    <t>130,487.50</t>
  </si>
  <si>
    <t>-8,311,956.70</t>
  </si>
  <si>
    <t>3672</t>
  </si>
  <si>
    <t>CHEQUE DEPOSIT 000034 MUHAMMAD HAMEED MUHAMMAD   FAREED 703320106 CHQ NO ::000034</t>
  </si>
  <si>
    <t>105,290.00</t>
  </si>
  <si>
    <t>-8,206,666.70</t>
  </si>
  <si>
    <t>3673</t>
  </si>
  <si>
    <t>000171</t>
  </si>
  <si>
    <t>CHEQUE DEPOSIT 000171 SHAMSHEER KHAN AHAMED KHAN AHAMED  KHAN 503330169 CHQ NO ::000171</t>
  </si>
  <si>
    <t>42,149.50</t>
  </si>
  <si>
    <t>-8,164,517.20</t>
  </si>
  <si>
    <t>3674</t>
  </si>
  <si>
    <t>51100457110</t>
  </si>
  <si>
    <t>26204550663 MBTRF B/O VIKRAM PRABHAKAR</t>
  </si>
  <si>
    <t>24,147.50</t>
  </si>
  <si>
    <t>-8,140,369.70</t>
  </si>
  <si>
    <t>3675</t>
  </si>
  <si>
    <t>365001</t>
  </si>
  <si>
    <t>CHEQUE DEPOSIT 365001 AHMED SALAH ELSAYED MAHMOUD  AGWA 701211002 CHQ NO ::365001</t>
  </si>
  <si>
    <t>12,028.35</t>
  </si>
  <si>
    <t>-8,128,341.35</t>
  </si>
  <si>
    <t>3676</t>
  </si>
  <si>
    <t>004142</t>
  </si>
  <si>
    <t>CHEQUE DEPOSIT 004142 SHAMSHEER KHAN AHAMED KHAN AHAMED  KHAN 203430121 CHQ NO ::004142</t>
  </si>
  <si>
    <t>356,168.00</t>
  </si>
  <si>
    <t>-7,772,173.35</t>
  </si>
  <si>
    <t>3677</t>
  </si>
  <si>
    <t>CHEQUE DEPOSIT 000001 SHAMSHEER KHAN AHAMED KHAN AHAMED  KHAN 804230106 CHQ NO ::000001</t>
  </si>
  <si>
    <t>47,000.00</t>
  </si>
  <si>
    <t>-7,725,173.35</t>
  </si>
  <si>
    <t>3678</t>
  </si>
  <si>
    <t>CHEQUE DEPOSIT 000001 FARHAN ALI SHAN     ABDUL WAZIR ALI 502610103 CHQ NO ::000001</t>
  </si>
  <si>
    <t>-7,650,173.35</t>
  </si>
  <si>
    <t>3679</t>
  </si>
  <si>
    <t>CHEQUE DEPOSIT 000070 MUHAMMAD HAMEED MUHAMMAD   FAREED 304040119 CHQ NO ::000070</t>
  </si>
  <si>
    <t>19,897.50</t>
  </si>
  <si>
    <t>-7,630,275.85</t>
  </si>
  <si>
    <t>3680</t>
  </si>
  <si>
    <t>000905</t>
  </si>
  <si>
    <t>CHEQUE DEPOSIT 000905 MUHAMMAD HAMEED MUHAMMAD   FAREED 802630140 CHQ NO ::000905</t>
  </si>
  <si>
    <t>20,634.90</t>
  </si>
  <si>
    <t>-7,609,640.95</t>
  </si>
  <si>
    <t>3681</t>
  </si>
  <si>
    <t>001168</t>
  </si>
  <si>
    <t>CHEQUE DEPOSIT 001168 BASHEER PULIKKAL    IBRAHIM 004710103 CHQ NO ::001168</t>
  </si>
  <si>
    <t>22,101.50</t>
  </si>
  <si>
    <t>-7,587,539.45</t>
  </si>
  <si>
    <t>3682</t>
  </si>
  <si>
    <t>000235</t>
  </si>
  <si>
    <t>CHEQUE DEPOSIT 000235 MUHAMMAD HAMEED MUHAMMAD   FAREED 703430137 CHQ NO ::000235</t>
  </si>
  <si>
    <t>50,724.50</t>
  </si>
  <si>
    <t>-7,536,814.95</t>
  </si>
  <si>
    <t>3683</t>
  </si>
  <si>
    <t>001325</t>
  </si>
  <si>
    <t>CHEQUE DEPOSIT 001325 NAUFAL PITTU    MOIDEEN 603510179 CHQ NO ::001325</t>
  </si>
  <si>
    <t>286.15</t>
  </si>
  <si>
    <t>-7,536,528.80</t>
  </si>
  <si>
    <t>3684</t>
  </si>
  <si>
    <t>365002</t>
  </si>
  <si>
    <t>CHEQUE DEPOSIT 365002 AHMED SALAH ELSAYED MAHMOUD  AGWA 701211002 CHQ NO ::365002</t>
  </si>
  <si>
    <t>30,684.08</t>
  </si>
  <si>
    <t>-7,505,844.72</t>
  </si>
  <si>
    <t>3685</t>
  </si>
  <si>
    <t>51100829931</t>
  </si>
  <si>
    <t>2543128574 IBTRF B/O NEXT MOVE SHIPPING SERVICES LLC</t>
  </si>
  <si>
    <t>14,132.64</t>
  </si>
  <si>
    <t>-7,491,712.08</t>
  </si>
  <si>
    <t>3686</t>
  </si>
  <si>
    <t>51101049973</t>
  </si>
  <si>
    <t>26205225064 MBTRF B/O VIKRAM PRABHAKAR</t>
  </si>
  <si>
    <t>13,526.75</t>
  </si>
  <si>
    <t>-7,478,185.33</t>
  </si>
  <si>
    <t>3687</t>
  </si>
  <si>
    <t>51101110320</t>
  </si>
  <si>
    <t>26205293978 MBTRF B/O RAJESH PREMANAND NAIK</t>
  </si>
  <si>
    <t>64,943.00</t>
  </si>
  <si>
    <t>-7,413,242.33</t>
  </si>
  <si>
    <t>3688</t>
  </si>
  <si>
    <t>51101231034</t>
  </si>
  <si>
    <t>2543136755 IBTRF B/O NEXT MOVE SHIPPING SERVICES LLC</t>
  </si>
  <si>
    <t>9,317.46</t>
  </si>
  <si>
    <t>-7,403,924.87</t>
  </si>
  <si>
    <t>3689</t>
  </si>
  <si>
    <t>51101314800</t>
  </si>
  <si>
    <t>2543138253 IBTRF B/O NEXT MOVE SHIPPING SERVICES LLC</t>
  </si>
  <si>
    <t>29,571.19</t>
  </si>
  <si>
    <t>-7,374,353.68</t>
  </si>
  <si>
    <t>3690</t>
  </si>
  <si>
    <t>PHUB525970496</t>
  </si>
  <si>
    <t>525970496 B/O AHMED HELAL SUHAIL ALMAZROUEI</t>
  </si>
  <si>
    <t>-7,364,353.68</t>
  </si>
  <si>
    <t>3691</t>
  </si>
  <si>
    <t>51101351823</t>
  </si>
  <si>
    <t>26205584562 MBTRF B/O ABIN THOMAS DANIEL</t>
  </si>
  <si>
    <t>-7,324,353.68</t>
  </si>
  <si>
    <t>3692</t>
  </si>
  <si>
    <t>PHUB525971989</t>
  </si>
  <si>
    <t>525971989 B/O AROHA ELECTRICAL TRADING CO. L.L.C</t>
  </si>
  <si>
    <t>-7,321,353.68</t>
  </si>
  <si>
    <t>3693</t>
  </si>
  <si>
    <t>51101893729</t>
  </si>
  <si>
    <t>26206214151 MBTRF B/O GRAHAM HUMPHREY</t>
  </si>
  <si>
    <t>-7,290,280.93</t>
  </si>
  <si>
    <t>3694</t>
  </si>
  <si>
    <t>PHUB525979221</t>
  </si>
  <si>
    <t>MOB1908252050378195314</t>
  </si>
  <si>
    <t>5,752.00</t>
  </si>
  <si>
    <t>-7,284,528.93</t>
  </si>
  <si>
    <t>3695</t>
  </si>
  <si>
    <t>PHUB525982804</t>
  </si>
  <si>
    <t>525982804 B/O AL SADARAH ENGINEERING SOLUTION FZE</t>
  </si>
  <si>
    <t>-7,282,573.93</t>
  </si>
  <si>
    <t>3696</t>
  </si>
  <si>
    <t>51103449081</t>
  </si>
  <si>
    <t>26208075949 MBTRF B/O HAMIDA BLDGS MATERIAL TRADING LLC</t>
  </si>
  <si>
    <t>-7,182,573.93</t>
  </si>
  <si>
    <t>3697</t>
  </si>
  <si>
    <t>51103479270</t>
  </si>
  <si>
    <t>26208103939 MBTRF B/O HAMIDA BLDGS MATERIAL TRADING LLC</t>
  </si>
  <si>
    <t>18,723.35</t>
  </si>
  <si>
    <t>-7,163,850.58</t>
  </si>
  <si>
    <t>3698</t>
  </si>
  <si>
    <t>PHUB526022059</t>
  </si>
  <si>
    <t>B/O_AHMED ALI MOHAME_526022059</t>
  </si>
  <si>
    <t>26,128.00</t>
  </si>
  <si>
    <t>-7,137,722.58</t>
  </si>
  <si>
    <t>3699</t>
  </si>
  <si>
    <t>20-Aug-2025</t>
  </si>
  <si>
    <t>PHUB526042245</t>
  </si>
  <si>
    <t>MOB2008250544528197831</t>
  </si>
  <si>
    <t>B/O AL ROWAD FOODSTUFF TRADING LLC S P</t>
  </si>
  <si>
    <t>2,179.00</t>
  </si>
  <si>
    <t>-7,135,543.58</t>
  </si>
  <si>
    <t>3700</t>
  </si>
  <si>
    <t>51106813996</t>
  </si>
  <si>
    <t>2543238164 IBTRF B/O NEXT MOVE SHIPPING SERVICES LLC</t>
  </si>
  <si>
    <t>1,227.86</t>
  </si>
  <si>
    <t>-7,134,315.72</t>
  </si>
  <si>
    <t>3701</t>
  </si>
  <si>
    <t>51106865272</t>
  </si>
  <si>
    <t>2543239809 IBTRF B/O NEXT MOVE SHIPPING SERVICES LLC</t>
  </si>
  <si>
    <t>6,249.04</t>
  </si>
  <si>
    <t>-7,128,066.68</t>
  </si>
  <si>
    <t>3702</t>
  </si>
  <si>
    <t>PHUB526062829</t>
  </si>
  <si>
    <t>RUIJIN SCALES</t>
  </si>
  <si>
    <t>23,868.02</t>
  </si>
  <si>
    <t>-7,104,198.66</t>
  </si>
  <si>
    <t>3703</t>
  </si>
  <si>
    <t>51107323262</t>
  </si>
  <si>
    <t>26212373971 MBTRF B/O SOUMYA SARIN</t>
  </si>
  <si>
    <t>4,263.79</t>
  </si>
  <si>
    <t>-7,099,934.87</t>
  </si>
  <si>
    <t>3704</t>
  </si>
  <si>
    <t>14,008.95</t>
  </si>
  <si>
    <t>-7,085,925.92</t>
  </si>
  <si>
    <t>3705</t>
  </si>
  <si>
    <t>2508200847123649</t>
  </si>
  <si>
    <t>Baniyas AUH, 19TH AUG - Cash Collection TG</t>
  </si>
  <si>
    <t>-6,865,925.92</t>
  </si>
  <si>
    <t>3706</t>
  </si>
  <si>
    <t>2508200847123668</t>
  </si>
  <si>
    <t>inside Bniyas Spike HyperMarkete AUH, 19TH AUG - Cash Collection TG</t>
  </si>
  <si>
    <t>-6,635,925.92</t>
  </si>
  <si>
    <t>3707</t>
  </si>
  <si>
    <t>2508200847123671</t>
  </si>
  <si>
    <t>Musaffah Shabiya AUH, 19TH AUG - Cash Collection TG</t>
  </si>
  <si>
    <t>-6,385,925.92</t>
  </si>
  <si>
    <t>3708</t>
  </si>
  <si>
    <t>2508200847133690</t>
  </si>
  <si>
    <t>Musaffah Saniya AUH, 19TH AUG - Cash Collection TG</t>
  </si>
  <si>
    <t>-6,135,925.92</t>
  </si>
  <si>
    <t>3709</t>
  </si>
  <si>
    <t>2508200847133699</t>
  </si>
  <si>
    <t>Old Shahama, 19TH AUG - Cash Collection TG</t>
  </si>
  <si>
    <t>-5,985,925.92</t>
  </si>
  <si>
    <t>3710</t>
  </si>
  <si>
    <t>2508200847133702</t>
  </si>
  <si>
    <t>Shamkha Mall Abu dhabi, 19TH AUG - Cash Collection TG</t>
  </si>
  <si>
    <t>139,000.00</t>
  </si>
  <si>
    <t>-5,846,925.92</t>
  </si>
  <si>
    <t>3711</t>
  </si>
  <si>
    <t>2508200847144446</t>
  </si>
  <si>
    <t>Al Ain (Clock Tower)1, 19TH AUG - Cash Collection TG</t>
  </si>
  <si>
    <t>-5,626,925.92</t>
  </si>
  <si>
    <t>3712</t>
  </si>
  <si>
    <t>2508200847154449</t>
  </si>
  <si>
    <t>Sila Muroor Road AUH, 19TH AUG - Cash Collection TG</t>
  </si>
  <si>
    <t>-5,406,925.92</t>
  </si>
  <si>
    <t>3713</t>
  </si>
  <si>
    <t>2508200847154468</t>
  </si>
  <si>
    <t>SANAYA ZAYED TOWN W/R, 19TH AUG - Cash Collection TG</t>
  </si>
  <si>
    <t>-5,206,925.92</t>
  </si>
  <si>
    <t>3714</t>
  </si>
  <si>
    <t>2508200847154477</t>
  </si>
  <si>
    <t>Ruwais AUH, 19TH AUG - Cash Collection TG</t>
  </si>
  <si>
    <t>-4,106,925.92</t>
  </si>
  <si>
    <t>3715</t>
  </si>
  <si>
    <t>2508200847154480</t>
  </si>
  <si>
    <t>HAYER Al Ain1, 19TH AUG - Cash Collection TG</t>
  </si>
  <si>
    <t>-3,896,925.92</t>
  </si>
  <si>
    <t>3716</t>
  </si>
  <si>
    <t>2508200847154483</t>
  </si>
  <si>
    <t>SWEIHAN  ALAIN, 19TH AUG - Cash Collection TG</t>
  </si>
  <si>
    <t>-3,746,925.92</t>
  </si>
  <si>
    <t>3717</t>
  </si>
  <si>
    <t>2508200847154486</t>
  </si>
  <si>
    <t>Gayathi Mubarak Ashwan AUH, 19TH AUG - Cash Collection TG</t>
  </si>
  <si>
    <t>-2,946,925.92</t>
  </si>
  <si>
    <t>3718</t>
  </si>
  <si>
    <t>2508200847154489</t>
  </si>
  <si>
    <t>Gayathi Mall AUH, 19TH AUG - Cash Collection TG</t>
  </si>
  <si>
    <t>-2,146,925.92</t>
  </si>
  <si>
    <t>3719</t>
  </si>
  <si>
    <t>2508200847154512</t>
  </si>
  <si>
    <t>Lulu Hyper Markete Sanaiya Al Ain, 19TH AUG - Cash Collection TG</t>
  </si>
  <si>
    <t>-1,836,925.92</t>
  </si>
  <si>
    <t>3720</t>
  </si>
  <si>
    <t>2508200847154515</t>
  </si>
  <si>
    <t>TCA AUH, 19TH AUG - Cash Collection TG</t>
  </si>
  <si>
    <t>-1,556,925.92</t>
  </si>
  <si>
    <t>3721</t>
  </si>
  <si>
    <t>2508200847154518</t>
  </si>
  <si>
    <t>Muroor AUH, 19TH AUG - Cash Collection TG</t>
  </si>
  <si>
    <t>-1,196,925.92</t>
  </si>
  <si>
    <t>3722</t>
  </si>
  <si>
    <t>2508200847154521</t>
  </si>
  <si>
    <t>Al Wahda AUH, 19TH AUG - Cash Collection TG</t>
  </si>
  <si>
    <t>-786,925.92</t>
  </si>
  <si>
    <t>3723</t>
  </si>
  <si>
    <t>2508200847154524</t>
  </si>
  <si>
    <t>Zayed 1st Street Electra AUH, 19TH AUG - Cash Collection TG</t>
  </si>
  <si>
    <t>-316,925.92</t>
  </si>
  <si>
    <t>3724</t>
  </si>
  <si>
    <t>2508200847164527</t>
  </si>
  <si>
    <t>Hamdan Abu Dhabi, 19TH AUG - Cash Collection TG</t>
  </si>
  <si>
    <t>203,074.08</t>
  </si>
  <si>
    <t>3725</t>
  </si>
  <si>
    <t>2508200847195013</t>
  </si>
  <si>
    <t>NESTO HYPRMRKT AJM, 19TH AUG - Cash Collection TG</t>
  </si>
  <si>
    <t>483,074.08</t>
  </si>
  <si>
    <t>3726</t>
  </si>
  <si>
    <t>2508200847195016</t>
  </si>
  <si>
    <t>CITY CENTER AL ZAHIA SHJ, 19TH AUG - Cash Collection TG</t>
  </si>
  <si>
    <t>643,074.08</t>
  </si>
  <si>
    <t>3727</t>
  </si>
  <si>
    <t>2508200847195027</t>
  </si>
  <si>
    <t>NAIF RD, 19TH AUG - Cash Collection TG</t>
  </si>
  <si>
    <t>718,074.08</t>
  </si>
  <si>
    <t>3728</t>
  </si>
  <si>
    <t>2508200847195030</t>
  </si>
  <si>
    <t>FUJAIRAH, 19TH AUG - Cash Collection TG</t>
  </si>
  <si>
    <t>1,128,074.08</t>
  </si>
  <si>
    <t>3729</t>
  </si>
  <si>
    <t>2508200847195033</t>
  </si>
  <si>
    <t>MUWEILAH SHJ, 19TH AUG - Cash Collection TG</t>
  </si>
  <si>
    <t>1,353,074.08</t>
  </si>
  <si>
    <t>3730</t>
  </si>
  <si>
    <t>2508200847195042</t>
  </si>
  <si>
    <t>MEGA MALL SHARJAH BR 1, 19TH AUG - Cash Collection TG</t>
  </si>
  <si>
    <t>1,503,074.08</t>
  </si>
  <si>
    <t>3731</t>
  </si>
  <si>
    <t>2508200847195045</t>
  </si>
  <si>
    <t>UAQ, 19TH AUG - Cash Collection TG</t>
  </si>
  <si>
    <t>1,663,074.08</t>
  </si>
  <si>
    <t>3732</t>
  </si>
  <si>
    <t>2508200847195048</t>
  </si>
  <si>
    <t>AL RIGGA METRO STION DXB, 19TH AUG - Cash Collection TG</t>
  </si>
  <si>
    <t>1,913,074.08</t>
  </si>
  <si>
    <t>3733</t>
  </si>
  <si>
    <t>2508200847195051</t>
  </si>
  <si>
    <t>AL MINA NESTO BR DXB, 19TH AUG - Cash Collection TG</t>
  </si>
  <si>
    <t>150,150.00</t>
  </si>
  <si>
    <t>2,063,224.08</t>
  </si>
  <si>
    <t>3734</t>
  </si>
  <si>
    <t>2508200847195054</t>
  </si>
  <si>
    <t>CO OP SOCIETY SHJ 1, 19TH AUG - Cash Collection TG</t>
  </si>
  <si>
    <t>110,035.00</t>
  </si>
  <si>
    <t>2,173,259.08</t>
  </si>
  <si>
    <t>3735</t>
  </si>
  <si>
    <t>2508200847195057</t>
  </si>
  <si>
    <t>BUR DUBAI, 19TH AUG - Cash Collection TG</t>
  </si>
  <si>
    <t>2,473,259.08</t>
  </si>
  <si>
    <t>3736</t>
  </si>
  <si>
    <t>2508200847195060</t>
  </si>
  <si>
    <t>AL NHDA RES TWRS  SHJ, 19TH AUG - Cash Collection TG</t>
  </si>
  <si>
    <t>2,643,259.08</t>
  </si>
  <si>
    <t>3737</t>
  </si>
  <si>
    <t>2508200847195063</t>
  </si>
  <si>
    <t>AL MADAM SHJ, 19TH AUG - Cash Collection TG</t>
  </si>
  <si>
    <t>170,215.00</t>
  </si>
  <si>
    <t>2,813,474.08</t>
  </si>
  <si>
    <t>3738</t>
  </si>
  <si>
    <t>2508200847195070</t>
  </si>
  <si>
    <t>SAJA INDUSTRIAL SHJ 2, 19TH AUG - Cash Collection TG</t>
  </si>
  <si>
    <t>350,050.00</t>
  </si>
  <si>
    <t>3,163,524.08</t>
  </si>
  <si>
    <t>3739</t>
  </si>
  <si>
    <t>PHUB526069200</t>
  </si>
  <si>
    <t>AIJAZ FED AC.</t>
  </si>
  <si>
    <t>8,501.08</t>
  </si>
  <si>
    <t>3,172,025.16</t>
  </si>
  <si>
    <t>3740</t>
  </si>
  <si>
    <t>PHUB526077980</t>
  </si>
  <si>
    <t>B/O_TOTAL SECU_BOML_526077980_ ADMIN</t>
  </si>
  <si>
    <t>35,721.71</t>
  </si>
  <si>
    <t>3,207,746.87</t>
  </si>
  <si>
    <t>3741</t>
  </si>
  <si>
    <t>51108092317</t>
  </si>
  <si>
    <t>26213093288 MBTRF B/O AHMAD ALABED KHALIL ABU EID</t>
  </si>
  <si>
    <t>43,055.00</t>
  </si>
  <si>
    <t>3,250,801.87</t>
  </si>
  <si>
    <t>3742</t>
  </si>
  <si>
    <t>51108125700</t>
  </si>
  <si>
    <t>26213122852 MBTRF B/O AL SAQR TEXTILE TRADING LLC</t>
  </si>
  <si>
    <t>3,290,801.87</t>
  </si>
  <si>
    <t>3743</t>
  </si>
  <si>
    <t>51108391227</t>
  </si>
  <si>
    <t>26213360194 MBTRF B/O SAIFEE ALUMINIUM AND STEEL TRDG LLC</t>
  </si>
  <si>
    <t>3,390,801.87</t>
  </si>
  <si>
    <t>3744</t>
  </si>
  <si>
    <t>51108409988</t>
  </si>
  <si>
    <t>26213375179 MBTRF B/O SAIFEE ALUMINIUM AND STEEL TRDG LLC</t>
  </si>
  <si>
    <t>3,490,801.87</t>
  </si>
  <si>
    <t>3745</t>
  </si>
  <si>
    <t>51108445039</t>
  </si>
  <si>
    <t>26213405868 MBTRF B/O SAIFEE ALUMINIUM AND STEEL TRDG LLC</t>
  </si>
  <si>
    <t>25,599.96</t>
  </si>
  <si>
    <t>3,516,401.83</t>
  </si>
  <si>
    <t>3746</t>
  </si>
  <si>
    <t>PHUB526092388</t>
  </si>
  <si>
    <t>B/O_LLC REMAK MEDICA_526092388</t>
  </si>
  <si>
    <t>19,838.25</t>
  </si>
  <si>
    <t>3,536,240.08</t>
  </si>
  <si>
    <t>3747</t>
  </si>
  <si>
    <t>PHUB526093373</t>
  </si>
  <si>
    <t>B/O_CUTTING ZA_ADIB_526093373_abo yas</t>
  </si>
  <si>
    <t>55,857.54</t>
  </si>
  <si>
    <t>3,592,097.62</t>
  </si>
  <si>
    <t>3748</t>
  </si>
  <si>
    <t>3,600,097.62</t>
  </si>
  <si>
    <t>3749</t>
  </si>
  <si>
    <t>PHUB526099425</t>
  </si>
  <si>
    <t>B/O_L.L.C JACQ_ADIB_526099425_BOIS39</t>
  </si>
  <si>
    <t>85,872.50</t>
  </si>
  <si>
    <t>3,685,970.12</t>
  </si>
  <si>
    <t>3750</t>
  </si>
  <si>
    <t>PHUB526096586</t>
  </si>
  <si>
    <t>BEIN TRNS</t>
  </si>
  <si>
    <t>1,102,163.00</t>
  </si>
  <si>
    <t>4,788,133.12</t>
  </si>
  <si>
    <t>3751</t>
  </si>
  <si>
    <t>PHUB526103510</t>
  </si>
  <si>
    <t>4366</t>
  </si>
  <si>
    <t>4,815,127.12</t>
  </si>
  <si>
    <t>3752</t>
  </si>
  <si>
    <t>PHUB526103575</t>
  </si>
  <si>
    <t>B/O_HUSAM ZAKA_ADIB_526103575_Constru</t>
  </si>
  <si>
    <t>5,815,127.12</t>
  </si>
  <si>
    <t>3753</t>
  </si>
  <si>
    <t>PHUB526114355</t>
  </si>
  <si>
    <t>B/O_BLUE OCEAN_EBIL_526114355_CREW SA</t>
  </si>
  <si>
    <t>11,121.49</t>
  </si>
  <si>
    <t>5,826,248.61</t>
  </si>
  <si>
    <t>3754</t>
  </si>
  <si>
    <t>PHUB526114361</t>
  </si>
  <si>
    <t>B/O_BLUE OCEAN_EBIL_526114361_CREW SA</t>
  </si>
  <si>
    <t>2,608.49</t>
  </si>
  <si>
    <t>5,828,857.10</t>
  </si>
  <si>
    <t>3755</t>
  </si>
  <si>
    <t>PHUB526128460</t>
  </si>
  <si>
    <t>EOS EX2732</t>
  </si>
  <si>
    <t>O/W TRF 526128460</t>
  </si>
  <si>
    <t>5,333.00</t>
  </si>
  <si>
    <t>5,823,524.10</t>
  </si>
  <si>
    <t>3756</t>
  </si>
  <si>
    <t>PHUB526120203</t>
  </si>
  <si>
    <t>EOS EX2908</t>
  </si>
  <si>
    <t>O/W TRF 526120203</t>
  </si>
  <si>
    <t>7,636.00</t>
  </si>
  <si>
    <t>5,815,888.10</t>
  </si>
  <si>
    <t>3757</t>
  </si>
  <si>
    <t>PHUB526128462</t>
  </si>
  <si>
    <t>O/W TRF 526128462</t>
  </si>
  <si>
    <t>8,444.00</t>
  </si>
  <si>
    <t>5,807,444.10</t>
  </si>
  <si>
    <t>3758</t>
  </si>
  <si>
    <t>CHCB526120203</t>
  </si>
  <si>
    <t>O/W PROCESSING CHARGE 526120203</t>
  </si>
  <si>
    <t>5,807,428.35</t>
  </si>
  <si>
    <t>3759</t>
  </si>
  <si>
    <t>CHCB526128462</t>
  </si>
  <si>
    <t>O/W PROCESSING CHARGE 526128462</t>
  </si>
  <si>
    <t>5,807,412.60</t>
  </si>
  <si>
    <t>3760</t>
  </si>
  <si>
    <t>CHRG526120203</t>
  </si>
  <si>
    <t>O/W CORR BK CHARGE 526120203</t>
  </si>
  <si>
    <t>5,807,411.55</t>
  </si>
  <si>
    <t>3761</t>
  </si>
  <si>
    <t>CHCB526128460</t>
  </si>
  <si>
    <t>O/W PROCESSING CHARGE 526128460</t>
  </si>
  <si>
    <t>5,807,395.80</t>
  </si>
  <si>
    <t>3762</t>
  </si>
  <si>
    <t>CHRG526128462</t>
  </si>
  <si>
    <t>O/W CORR BK CHARGE 526128462</t>
  </si>
  <si>
    <t>5,807,394.75</t>
  </si>
  <si>
    <t>3763</t>
  </si>
  <si>
    <t>CHRG526128460</t>
  </si>
  <si>
    <t>O/W CORR BK CHARGE 526128460</t>
  </si>
  <si>
    <t>5,807,393.70</t>
  </si>
  <si>
    <t>3764</t>
  </si>
  <si>
    <t>B/O_LAZAR SHIP_BOML_526121946_ FINANC</t>
  </si>
  <si>
    <t>98,257.09</t>
  </si>
  <si>
    <t>5,905,650.79</t>
  </si>
  <si>
    <t>3765</t>
  </si>
  <si>
    <t>526122361</t>
  </si>
  <si>
    <t>5610940548302</t>
  </si>
  <si>
    <t>5610940548302_20250820_252328793607</t>
  </si>
  <si>
    <t>773.80</t>
  </si>
  <si>
    <t>5,904,876.99</t>
  </si>
  <si>
    <t>3766</t>
  </si>
  <si>
    <t>526144238</t>
  </si>
  <si>
    <t>5610840575548</t>
  </si>
  <si>
    <t>5610840575548_20250820_252328793778</t>
  </si>
  <si>
    <t>617.24</t>
  </si>
  <si>
    <t>5,904,259.75</t>
  </si>
  <si>
    <t>3767</t>
  </si>
  <si>
    <t>51110315667</t>
  </si>
  <si>
    <t>26215069395 MBTRF B/O SKY HEALTH DRUG STORE LLC</t>
  </si>
  <si>
    <t>24,639.60</t>
  </si>
  <si>
    <t>5,928,899.35</t>
  </si>
  <si>
    <t>3768</t>
  </si>
  <si>
    <t>PHUB526153543</t>
  </si>
  <si>
    <t>MOB2008251115178200746</t>
  </si>
  <si>
    <t>13,600.00</t>
  </si>
  <si>
    <t>5,942,499.35</t>
  </si>
  <si>
    <t>3769</t>
  </si>
  <si>
    <t>PHUB526153779</t>
  </si>
  <si>
    <t>B/O_BEST TRUST_UNIL_526153779_252324b</t>
  </si>
  <si>
    <t>499,597.00</t>
  </si>
  <si>
    <t>6,442,096.35</t>
  </si>
  <si>
    <t>3770</t>
  </si>
  <si>
    <t>PHUB526156654</t>
  </si>
  <si>
    <t>212318</t>
  </si>
  <si>
    <t>B/O APT GLOBAL MARINE SERVICES (L.L.C)</t>
  </si>
  <si>
    <t>3,717.10</t>
  </si>
  <si>
    <t>6,445,813.45</t>
  </si>
  <si>
    <t>3771</t>
  </si>
  <si>
    <t>PHUB526158410</t>
  </si>
  <si>
    <t>020</t>
  </si>
  <si>
    <t>45,026.50</t>
  </si>
  <si>
    <t>6,490,839.95</t>
  </si>
  <si>
    <t>3772</t>
  </si>
  <si>
    <t>010581</t>
  </si>
  <si>
    <t>INHOUSE CHEQUE DEPOSIT 010581 MUHAMMAD HAMEED MUHAMMAD   FAREED AL FARDAN EXCHANGE SP LLC CHQ NO ::010581</t>
  </si>
  <si>
    <t>6,743.50</t>
  </si>
  <si>
    <t>6,497,583.45</t>
  </si>
  <si>
    <t>3773</t>
  </si>
  <si>
    <t>PHUB526159389</t>
  </si>
  <si>
    <t>B/O_ANITA BIZN_SCBL_526159389_.</t>
  </si>
  <si>
    <t>20,152.50</t>
  </si>
  <si>
    <t>6,517,735.95</t>
  </si>
  <si>
    <t>3774</t>
  </si>
  <si>
    <t>PHUB526160630</t>
  </si>
  <si>
    <t>IMD 20082025</t>
  </si>
  <si>
    <t>19,525,791.32</t>
  </si>
  <si>
    <t>-13,008,055.37</t>
  </si>
  <si>
    <t>3775</t>
  </si>
  <si>
    <t>PHUB526161075</t>
  </si>
  <si>
    <t>CA 20082025</t>
  </si>
  <si>
    <t>3,991,944.63</t>
  </si>
  <si>
    <t>3776</t>
  </si>
  <si>
    <t>PHUB526161384</t>
  </si>
  <si>
    <t>18,800,000.00</t>
  </si>
  <si>
    <t>-14,808,055.37</t>
  </si>
  <si>
    <t>3777</t>
  </si>
  <si>
    <t>526162004 B/O ALI SULTAN HAMAD SULTAN ALKINDI</t>
  </si>
  <si>
    <t>-14,804,055.37</t>
  </si>
  <si>
    <t>3778</t>
  </si>
  <si>
    <t>000281</t>
  </si>
  <si>
    <t>INHOUSE CHEQUE DEPOSIT 000281 ZAINI FARHAN    PILAKKAL AL FARDAN EXCHANGE SP LLC CHQ NO ::000281</t>
  </si>
  <si>
    <t>2,712.77</t>
  </si>
  <si>
    <t>-14,801,342.60</t>
  </si>
  <si>
    <t>3779</t>
  </si>
  <si>
    <t>51111464121</t>
  </si>
  <si>
    <t>26216085259 MBTRF B/O AL ARFEEN HEAVY EQUIP RNTAL TR LLC</t>
  </si>
  <si>
    <t>-14,701,342.60</t>
  </si>
  <si>
    <t>3780</t>
  </si>
  <si>
    <t>51111496596</t>
  </si>
  <si>
    <t>26216115102 MBTRF B/O AL ARFEEN HEAVY EQUIP RNTAL TR LLC</t>
  </si>
  <si>
    <t>-14,601,342.60</t>
  </si>
  <si>
    <t>3781</t>
  </si>
  <si>
    <t>51111534721</t>
  </si>
  <si>
    <t>26216147833 MBTRF B/O AL ARFEEN HEAVY EQUIP RNTAL TR LLC</t>
  </si>
  <si>
    <t>46,297.00</t>
  </si>
  <si>
    <t>-14,555,045.60</t>
  </si>
  <si>
    <t>3782</t>
  </si>
  <si>
    <t>51111793011</t>
  </si>
  <si>
    <t>26216378327 MBTRF B/O ROBERTS LIBIN DEVARAJ</t>
  </si>
  <si>
    <t>13,732.64</t>
  </si>
  <si>
    <t>-14,541,312.96</t>
  </si>
  <si>
    <t>3783</t>
  </si>
  <si>
    <t>PHUB526171933</t>
  </si>
  <si>
    <t>526171933 B/O MANOJ MADHUKAR INAMDAR</t>
  </si>
  <si>
    <t>-14,500,732.96</t>
  </si>
  <si>
    <t>3784</t>
  </si>
  <si>
    <t>PHUB526177904</t>
  </si>
  <si>
    <t>ER01472 AL FARDAN</t>
  </si>
  <si>
    <t>18,191.81</t>
  </si>
  <si>
    <t>-14,482,541.15</t>
  </si>
  <si>
    <t>3785</t>
  </si>
  <si>
    <t>2508201221469333</t>
  </si>
  <si>
    <t>TG Cash Pick up Fee June 2025 2027810118 Al Fardan EXG (Clock Tower)_MSR1101422</t>
  </si>
  <si>
    <t>2,146.03</t>
  </si>
  <si>
    <t>-14,484,687.18</t>
  </si>
  <si>
    <t>3786</t>
  </si>
  <si>
    <t>2508201221469344</t>
  </si>
  <si>
    <t>TG Cash Pick up Fee June 2025 2027810120 Al Fardan EXG Sanaya Br_MSR1101422</t>
  </si>
  <si>
    <t>2,027.95</t>
  </si>
  <si>
    <t>-14,486,715.13</t>
  </si>
  <si>
    <t>3787</t>
  </si>
  <si>
    <t>2508201221469349</t>
  </si>
  <si>
    <t>TG Cash Pick up Fee June 2025 2027810119 Al Fardan EXG (Souk)_MSR1101422</t>
  </si>
  <si>
    <t>1,953.53</t>
  </si>
  <si>
    <t>-14,488,668.66</t>
  </si>
  <si>
    <t>3788</t>
  </si>
  <si>
    <t>2508201221469358</t>
  </si>
  <si>
    <t>TG Cash Pick up Fee June 2025 2027810122 Al Fardan EXG (Al Yahar )_MSR1101422</t>
  </si>
  <si>
    <t>2,070.37</t>
  </si>
  <si>
    <t>-14,490,739.03</t>
  </si>
  <si>
    <t>3789</t>
  </si>
  <si>
    <t>2508201221479393</t>
  </si>
  <si>
    <t>TG Cash Pick up Fee June 2025 2027810912 ADCB AL FARDAN EXG AL HAYER_MSR1101422</t>
  </si>
  <si>
    <t>2,212.97</t>
  </si>
  <si>
    <t>-14,492,952.00</t>
  </si>
  <si>
    <t>3790</t>
  </si>
  <si>
    <t>2508201221479920</t>
  </si>
  <si>
    <t>TG Cash Pick up Fee June 2025 2027811158 ADCB AL FARDAN EXG SWEIHAN BR AL AN_MSR1101422</t>
  </si>
  <si>
    <t>2,169.73</t>
  </si>
  <si>
    <t>-14,495,121.73</t>
  </si>
  <si>
    <t>3791</t>
  </si>
  <si>
    <t>2508201221479947</t>
  </si>
  <si>
    <t>TG Cash Pick up Fee June 2025 2027811316 ADCB AL FARDAN EXG FOAH MALL AL AIN_MSR1101422</t>
  </si>
  <si>
    <t>1,798.72</t>
  </si>
  <si>
    <t>-14,496,920.45</t>
  </si>
  <si>
    <t>3792</t>
  </si>
  <si>
    <t>2508201221479984</t>
  </si>
  <si>
    <t>TG Cash Pick up Fee June 2025 2027810407 AL FARDAN EXG BADA ZAYED_MSR1101422</t>
  </si>
  <si>
    <t>2,024.25</t>
  </si>
  <si>
    <t>-14,498,944.70</t>
  </si>
  <si>
    <t>3793</t>
  </si>
  <si>
    <t>2508201221480009</t>
  </si>
  <si>
    <t>TG Cash Pick up Fee June 2025 2027810051 Al Fardan EXG TCA_MSR1101422</t>
  </si>
  <si>
    <t>1,740.59</t>
  </si>
  <si>
    <t>-14,500,685.29</t>
  </si>
  <si>
    <t>3794</t>
  </si>
  <si>
    <t>2508201221480033</t>
  </si>
  <si>
    <t>TG Cash Pick up Fee June 2025 2027810271 AL FARDAN EXG BANIYAS_MSR1101422</t>
  </si>
  <si>
    <t>1,953.33</t>
  </si>
  <si>
    <t>-14,502,638.62</t>
  </si>
  <si>
    <t>3795</t>
  </si>
  <si>
    <t>2508201221480056</t>
  </si>
  <si>
    <t>TG Cash Pick up Fee June 2025 2027810085 ADCB AL FARDAN RUWAIS_MSR1101422</t>
  </si>
  <si>
    <t>2,687.86</t>
  </si>
  <si>
    <t>-14,505,326.48</t>
  </si>
  <si>
    <t>3796</t>
  </si>
  <si>
    <t>2508201221480075</t>
  </si>
  <si>
    <t>TG Cash Pick up Fee June 2025 2027810071 ADCB AL FARDAN EXG SILA_MSR1101422</t>
  </si>
  <si>
    <t>2,545.90</t>
  </si>
  <si>
    <t>-14,507,872.38</t>
  </si>
  <si>
    <t>3797</t>
  </si>
  <si>
    <t>2508201221480080</t>
  </si>
  <si>
    <t>TG Cash Pick up Fee June 2025 2027810065 Al Fardan EXG Musaffah_MSR1101422</t>
  </si>
  <si>
    <t>1,761.36</t>
  </si>
  <si>
    <t>-14,509,633.74</t>
  </si>
  <si>
    <t>3798</t>
  </si>
  <si>
    <t>2508201221480095</t>
  </si>
  <si>
    <t>TG Cash Pick up Fee June 2025 2027810083 Al Fardan EXG Wada Mall_MSR1101422</t>
  </si>
  <si>
    <t>2,166.62</t>
  </si>
  <si>
    <t>-14,511,800.36</t>
  </si>
  <si>
    <t>3799</t>
  </si>
  <si>
    <t>2508201221480098</t>
  </si>
  <si>
    <t>TG Cash Pick up Fee June 2025 2027810172 Al Fardan EXG Shabiya_MSR1101422</t>
  </si>
  <si>
    <t>1,844.77</t>
  </si>
  <si>
    <t>-14,513,645.13</t>
  </si>
  <si>
    <t>3800</t>
  </si>
  <si>
    <t>2508201221490121</t>
  </si>
  <si>
    <t>TG Cash Pick up Fee June 2025 2027810084 Al Fardan EXG Main_MSR1101422</t>
  </si>
  <si>
    <t>2,267.29</t>
  </si>
  <si>
    <t>-14,515,912.42</t>
  </si>
  <si>
    <t>3801</t>
  </si>
  <si>
    <t>2508201221490124</t>
  </si>
  <si>
    <t>TG Cash Pick up Fee June 2025 2027810269 AL FARDAN EXG OLD SHAHAMA_MSR1101422</t>
  </si>
  <si>
    <t>2,204.53</t>
  </si>
  <si>
    <t>-14,518,116.95</t>
  </si>
  <si>
    <t>3802</t>
  </si>
  <si>
    <t>2508201221490131</t>
  </si>
  <si>
    <t>TG Cash Pick up Fee June 2025 2027810270 AL FARDAN EXG MUSSAFAH_MSR1101422</t>
  </si>
  <si>
    <t>1,974.02</t>
  </si>
  <si>
    <t>-14,520,090.97</t>
  </si>
  <si>
    <t>3803</t>
  </si>
  <si>
    <t>2508201221490144</t>
  </si>
  <si>
    <t>TG Cash Pick up Fee June 2025 2027810273 AL FARDAN EXG MUROOR ROAD_MSR1101422</t>
  </si>
  <si>
    <t>1,897.90</t>
  </si>
  <si>
    <t>-14,521,988.87</t>
  </si>
  <si>
    <t>3804</t>
  </si>
  <si>
    <t>2508201221490149</t>
  </si>
  <si>
    <t>TG Cash Pick up Fee June 2025 2027810278 Al Fardan EXG, Boutik Mall Br_MSR1101422</t>
  </si>
  <si>
    <t>1,617.47</t>
  </si>
  <si>
    <t>-14,523,606.34</t>
  </si>
  <si>
    <t>3805</t>
  </si>
  <si>
    <t>2508201221490166</t>
  </si>
  <si>
    <t>TG Cash Pick up Fee June 2025 2027810276 ADCB AL FARDAN EXG SANAYA, ZAYAD TO_MSR1101422</t>
  </si>
  <si>
    <t>3,429.32</t>
  </si>
  <si>
    <t>-14,527,035.66</t>
  </si>
  <si>
    <t>3806</t>
  </si>
  <si>
    <t>2508201221500169</t>
  </si>
  <si>
    <t>TG Cash Pick up Fee June 2025 2027800201 ADCB AL FARDAN EXG B2B_MSR1101422</t>
  </si>
  <si>
    <t>2,077.32</t>
  </si>
  <si>
    <t>-14,529,112.98</t>
  </si>
  <si>
    <t>3807</t>
  </si>
  <si>
    <t>2508201221520231</t>
  </si>
  <si>
    <t>TG Cash Pick up Fee June 2025 2027800332 ADCB AL FARDAN EXCH BIN DAGHER TOWER KHA_MSR1101422</t>
  </si>
  <si>
    <t>1,406.46</t>
  </si>
  <si>
    <t>-14,530,519.44</t>
  </si>
  <si>
    <t>3808</t>
  </si>
  <si>
    <t>2508201221520259</t>
  </si>
  <si>
    <t>TG Cash Pick up Fee June 2025 2027800331 ADCB AL FARDAN EXCH JUMA AID AL MURAIHI_MSR1101422</t>
  </si>
  <si>
    <t>1,628.59</t>
  </si>
  <si>
    <t>-14,532,148.03</t>
  </si>
  <si>
    <t>3809</t>
  </si>
  <si>
    <t>2508201221520289</t>
  </si>
  <si>
    <t>TG Cash Pick up Fee June 2025 2027800390 ADCB AL FARDAN EXCH ZAYED FIRST ST ELECT_MSR1101422</t>
  </si>
  <si>
    <t>1,896.33</t>
  </si>
  <si>
    <t>-14,534,044.36</t>
  </si>
  <si>
    <t>3810</t>
  </si>
  <si>
    <t>2508201221530343</t>
  </si>
  <si>
    <t>TG Cash Pick up Fee June 2025 2027810345 ADCB AL FARDAN EXG AL NAHYAN ST AUH_MSR1101422</t>
  </si>
  <si>
    <t>1,740.35</t>
  </si>
  <si>
    <t>-14,535,784.71</t>
  </si>
  <si>
    <t>3811</t>
  </si>
  <si>
    <t>2508201221530382</t>
  </si>
  <si>
    <t>TG Cash Pick up Fee June 2025 2027810392 ADCB AL FARDAN EXG GATATHI AUH_MSR1101422</t>
  </si>
  <si>
    <t>1,826.72</t>
  </si>
  <si>
    <t>-14,537,611.43</t>
  </si>
  <si>
    <t>3812</t>
  </si>
  <si>
    <t>2508201221530405</t>
  </si>
  <si>
    <t>TG Cash Pick up Fee June 2025 2027810880 ADCB AL FARDAN EXCH AL MARFA MARKET WR_MSR1101422</t>
  </si>
  <si>
    <t>2,654.24</t>
  </si>
  <si>
    <t>-14,540,265.67</t>
  </si>
  <si>
    <t>3813</t>
  </si>
  <si>
    <t>2508201222063151</t>
  </si>
  <si>
    <t>TG Cash Pick up Fee June 2025 2027812123 ADCB AL FARDAN EXCH GAYATHI MALL AUH_MSR1101422</t>
  </si>
  <si>
    <t>1,917.01</t>
  </si>
  <si>
    <t>-14,542,182.68</t>
  </si>
  <si>
    <t>3814</t>
  </si>
  <si>
    <t>PHUB526182489</t>
  </si>
  <si>
    <t>526182489 B/O TECHSTORE TRADING L.L.C</t>
  </si>
  <si>
    <t>7,447.69</t>
  </si>
  <si>
    <t>-14,534,734.99</t>
  </si>
  <si>
    <t>3815</t>
  </si>
  <si>
    <t>PHUB526184213</t>
  </si>
  <si>
    <t>2008202501</t>
  </si>
  <si>
    <t>1,768,472.46</t>
  </si>
  <si>
    <t>-12,766,262.53</t>
  </si>
  <si>
    <t>3816</t>
  </si>
  <si>
    <t>PHUB526188080</t>
  </si>
  <si>
    <t>250820</t>
  </si>
  <si>
    <t>-12,738,647.03</t>
  </si>
  <si>
    <t>3817</t>
  </si>
  <si>
    <t>INHOUSE CHEQUE DEPOSIT VINAY SANJAY KADAM AL FARDAN EXCHANGE SP LLC CHQ NO ::000027</t>
  </si>
  <si>
    <t>-12,665,506.28</t>
  </si>
  <si>
    <t>3818</t>
  </si>
  <si>
    <t>PHUB526192005</t>
  </si>
  <si>
    <t>B/O_AHMED JABER ALKH_526192005</t>
  </si>
  <si>
    <t>16,455.00</t>
  </si>
  <si>
    <t>-12,649,051.28</t>
  </si>
  <si>
    <t>3819</t>
  </si>
  <si>
    <t>PHUB526195065</t>
  </si>
  <si>
    <t>TRN NO 5620270008820</t>
  </si>
  <si>
    <t>-12,465,290.78</t>
  </si>
  <si>
    <t>3820</t>
  </si>
  <si>
    <t>PHUB526195216</t>
  </si>
  <si>
    <t>B/O_AHMED JABE_ADIB_526195216_Goods b</t>
  </si>
  <si>
    <t>226,641.42</t>
  </si>
  <si>
    <t>-12,238,649.36</t>
  </si>
  <si>
    <t>3821</t>
  </si>
  <si>
    <t>51113335365</t>
  </si>
  <si>
    <t>26217749882 MBTRF B/O RAKESH RAM AND OR SATISH RAM</t>
  </si>
  <si>
    <t>138.14</t>
  </si>
  <si>
    <t>-12,238,511.22</t>
  </si>
  <si>
    <t>3822</t>
  </si>
  <si>
    <t>-11,638,511.22</t>
  </si>
  <si>
    <t>3823</t>
  </si>
  <si>
    <t>001534</t>
  </si>
  <si>
    <t>INHOUSE CHEQUE DEPOSIT 001534 MUHAMMAD HAMEED MUHAMMAD   FAREED AL FARDAN EXCHANGE SP LLC CHQ NO ::001534</t>
  </si>
  <si>
    <t>218,652.25</t>
  </si>
  <si>
    <t>-11,419,858.97</t>
  </si>
  <si>
    <t>3824</t>
  </si>
  <si>
    <t>INHOUSE CHEQUE DEPOSIT 000326 ABHIJITH SUNIL SUNIL   CHAKRAPANI AL FARDAN EXCHANGE SP LLC CHQ NO ::000326</t>
  </si>
  <si>
    <t>67,322.50</t>
  </si>
  <si>
    <t>-11,352,536.47</t>
  </si>
  <si>
    <t>3825</t>
  </si>
  <si>
    <t>51113837096</t>
  </si>
  <si>
    <t>26218217902 MBTRF B/O QAZI AMIR QAZI SHAHABUDDIN</t>
  </si>
  <si>
    <t>18,795.00</t>
  </si>
  <si>
    <t>-11,333,741.47</t>
  </si>
  <si>
    <t>3826</t>
  </si>
  <si>
    <t>000012</t>
  </si>
  <si>
    <t>INHOUSE CHEQUE DEPOSIT 000012 ABHIJITH SUNIL SUNIL   CHAKRAPANI AL FARDAN EXCHANGE SP LLC CHQ NO ::000012</t>
  </si>
  <si>
    <t>-11,295,741.47</t>
  </si>
  <si>
    <t>3827</t>
  </si>
  <si>
    <t>PHUB526206301</t>
  </si>
  <si>
    <t>B/O_L.L.C EXCE_ADIB_526206301_1479414</t>
  </si>
  <si>
    <t>587,616.75</t>
  </si>
  <si>
    <t>-10,708,124.72</t>
  </si>
  <si>
    <t>3828</t>
  </si>
  <si>
    <t>PHUB526206363</t>
  </si>
  <si>
    <t>19,500,000.00</t>
  </si>
  <si>
    <t>8,791,875.28</t>
  </si>
  <si>
    <t>3829</t>
  </si>
  <si>
    <t>PHUB526206625</t>
  </si>
  <si>
    <t>ADCB CA 20082025</t>
  </si>
  <si>
    <t>2,400,000.00</t>
  </si>
  <si>
    <t>11,191,875.28</t>
  </si>
  <si>
    <t>3830</t>
  </si>
  <si>
    <t>UEC 20082025</t>
  </si>
  <si>
    <t>1,833,996.19</t>
  </si>
  <si>
    <t>9,357,879.09</t>
  </si>
  <si>
    <t>3831</t>
  </si>
  <si>
    <t>PHUB526206808</t>
  </si>
  <si>
    <t>USD BUY 20082025</t>
  </si>
  <si>
    <t>20,203,150.00</t>
  </si>
  <si>
    <t>-10,845,270.91</t>
  </si>
  <si>
    <t>3832</t>
  </si>
  <si>
    <t>000329</t>
  </si>
  <si>
    <t>INHOUSE CHEQUE DEPOSIT 000329 RIYAS KUNIYIL    KUNHABDULLA AL FARDAN EXCHANGE SP LLC CHQ NO ::000329</t>
  </si>
  <si>
    <t>387,060.75</t>
  </si>
  <si>
    <t>-10,458,210.16</t>
  </si>
  <si>
    <t>3833</t>
  </si>
  <si>
    <t>001536</t>
  </si>
  <si>
    <t>INHOUSE CHEQUE DEPOSIT 001536 MUHAMMAD HAMEED MUHAMMAD   FAREED AL FARDAN EXCHANGE SP LLC CHQ NO ::001536</t>
  </si>
  <si>
    <t>122,634.20</t>
  </si>
  <si>
    <t>-10,335,575.96</t>
  </si>
  <si>
    <t>3834</t>
  </si>
  <si>
    <t>PHUB526211503</t>
  </si>
  <si>
    <t>MOB2008251331028203516</t>
  </si>
  <si>
    <t>1,408.40</t>
  </si>
  <si>
    <t>-10,334,167.56</t>
  </si>
  <si>
    <t>3835</t>
  </si>
  <si>
    <t>PHUB526215218</t>
  </si>
  <si>
    <t>257,191.05</t>
  </si>
  <si>
    <t>-10,076,976.51</t>
  </si>
  <si>
    <t>3836</t>
  </si>
  <si>
    <t>PHUB526217833</t>
  </si>
  <si>
    <t>CB 20082025</t>
  </si>
  <si>
    <t>O/W TRF 526217833</t>
  </si>
  <si>
    <t>4,350,000.00</t>
  </si>
  <si>
    <t>-14,426,976.51</t>
  </si>
  <si>
    <t>3837</t>
  </si>
  <si>
    <t>CHCB526217833</t>
  </si>
  <si>
    <t>O/W PROCESSING CHARGE 526217833</t>
  </si>
  <si>
    <t>-14,426,992.26</t>
  </si>
  <si>
    <t>3838</t>
  </si>
  <si>
    <t>20,052.50</t>
  </si>
  <si>
    <t>-14,406,939.76</t>
  </si>
  <si>
    <t>3839</t>
  </si>
  <si>
    <t>PHUB526220513</t>
  </si>
  <si>
    <t>MOB2008251355208203987</t>
  </si>
  <si>
    <t>2,010.50</t>
  </si>
  <si>
    <t>-14,404,929.26</t>
  </si>
  <si>
    <t>3840</t>
  </si>
  <si>
    <t>PHUB526221124</t>
  </si>
  <si>
    <t>526221124 B/O MOHAMMAD HUSSEI N ABD EL AZIZ MOHAMMAD</t>
  </si>
  <si>
    <t>179.00</t>
  </si>
  <si>
    <t>-14,404,750.26</t>
  </si>
  <si>
    <t>3841</t>
  </si>
  <si>
    <t>FARDAN 5623100009124</t>
  </si>
  <si>
    <t>2,574.27</t>
  </si>
  <si>
    <t>-14,402,175.99</t>
  </si>
  <si>
    <t>3842</t>
  </si>
  <si>
    <t>51115183100</t>
  </si>
  <si>
    <t>2543546273 IBTRF B/O KALAMS VISION TECHNICAL SERVICES</t>
  </si>
  <si>
    <t>12,083.00</t>
  </si>
  <si>
    <t>-14,390,092.99</t>
  </si>
  <si>
    <t>3843</t>
  </si>
  <si>
    <t>51115208886</t>
  </si>
  <si>
    <t>2543547037 IBTRF B/O NATIONAL FLOWERS LLC SPC</t>
  </si>
  <si>
    <t>20,561.42</t>
  </si>
  <si>
    <t>-14,369,531.57</t>
  </si>
  <si>
    <t>3844</t>
  </si>
  <si>
    <t>PHUB526228574</t>
  </si>
  <si>
    <t>3,162.00</t>
  </si>
  <si>
    <t>-14,366,369.57</t>
  </si>
  <si>
    <t>3845</t>
  </si>
  <si>
    <t>PHUB526230534</t>
  </si>
  <si>
    <t>7,026.00</t>
  </si>
  <si>
    <t>-14,359,343.57</t>
  </si>
  <si>
    <t>3846</t>
  </si>
  <si>
    <t>PHUB526230811</t>
  </si>
  <si>
    <t>550,995.00</t>
  </si>
  <si>
    <t>-14,910,338.57</t>
  </si>
  <si>
    <t>3847</t>
  </si>
  <si>
    <t>526231022 B/O HAMZA AHMED SHEIKH</t>
  </si>
  <si>
    <t>850.00</t>
  </si>
  <si>
    <t>-14,909,488.57</t>
  </si>
  <si>
    <t>3848</t>
  </si>
  <si>
    <t>PHUB526231529</t>
  </si>
  <si>
    <t>END OF SERVICE</t>
  </si>
  <si>
    <t>13,377.25</t>
  </si>
  <si>
    <t>-14,896,111.32</t>
  </si>
  <si>
    <t>3849</t>
  </si>
  <si>
    <t>PHUB526232456</t>
  </si>
  <si>
    <t>B/O_MEDITERRAN_NBAD_526232456_CTM usd</t>
  </si>
  <si>
    <t>449,583.75</t>
  </si>
  <si>
    <t>-14,446,527.57</t>
  </si>
  <si>
    <t>3850</t>
  </si>
  <si>
    <t>46,200.25</t>
  </si>
  <si>
    <t>-14,400,327.32</t>
  </si>
  <si>
    <t>3851</t>
  </si>
  <si>
    <t>69,465.95</t>
  </si>
  <si>
    <t>-14,330,861.37</t>
  </si>
  <si>
    <t>3852</t>
  </si>
  <si>
    <t>143,734.65</t>
  </si>
  <si>
    <t>-14,187,126.72</t>
  </si>
  <si>
    <t>3853</t>
  </si>
  <si>
    <t>40,966.65</t>
  </si>
  <si>
    <t>-14,146,160.07</t>
  </si>
  <si>
    <t>3854</t>
  </si>
  <si>
    <t>13,813.05</t>
  </si>
  <si>
    <t>-14,132,347.02</t>
  </si>
  <si>
    <t>3855</t>
  </si>
  <si>
    <t>211,406.90</t>
  </si>
  <si>
    <t>-13,920,940.12</t>
  </si>
  <si>
    <t>3856</t>
  </si>
  <si>
    <t>MOB2008251443438204800</t>
  </si>
  <si>
    <t>270.00</t>
  </si>
  <si>
    <t>-13,920,670.12</t>
  </si>
  <si>
    <t>3857</t>
  </si>
  <si>
    <t>51116204466</t>
  </si>
  <si>
    <t>26220404094 MBTRF B/O AL SAQR TEXTILE TRADING LLC</t>
  </si>
  <si>
    <t>-13,900,670.12</t>
  </si>
  <si>
    <t>3858</t>
  </si>
  <si>
    <t>PHUB526245075</t>
  </si>
  <si>
    <t>B/O_ANURA BANDARA  J_526245075</t>
  </si>
  <si>
    <t>-13,880,670.12</t>
  </si>
  <si>
    <t>3859</t>
  </si>
  <si>
    <t>51116429524</t>
  </si>
  <si>
    <t>26220611304 MBTRF B/O AL SAQR TEXTILE TRADING LLC</t>
  </si>
  <si>
    <t>267.50</t>
  </si>
  <si>
    <t>-13,880,402.62</t>
  </si>
  <si>
    <t>3860</t>
  </si>
  <si>
    <t>PHUB526247782</t>
  </si>
  <si>
    <t>3,204.93</t>
  </si>
  <si>
    <t>-13,877,197.69</t>
  </si>
  <si>
    <t>3861</t>
  </si>
  <si>
    <t>PHUB526248532</t>
  </si>
  <si>
    <t>B/O_1/AL FARDA_DUIB_526248532_FINANCI</t>
  </si>
  <si>
    <t>2,800,000.00</t>
  </si>
  <si>
    <t>-11,077,197.69</t>
  </si>
  <si>
    <t>3862</t>
  </si>
  <si>
    <t>PHUB526252515</t>
  </si>
  <si>
    <t>526252515 B/O SAEED MOHAMED KAMAL NAJJAR</t>
  </si>
  <si>
    <t>2,323.00</t>
  </si>
  <si>
    <t>-11,074,874.69</t>
  </si>
  <si>
    <t>3863</t>
  </si>
  <si>
    <t>INHOUSE CHEQUE DEPOSIT 000025 FARHAN ALI SHAN     ABDUL WAZIR ALI AL FARDAN EXCHANGE SP LLC CHQ NO ::000025</t>
  </si>
  <si>
    <t>46,090.00</t>
  </si>
  <si>
    <t>-11,028,784.69</t>
  </si>
  <si>
    <t>3864</t>
  </si>
  <si>
    <t>51117052728</t>
  </si>
  <si>
    <t>2543613152 IBTRF B/O VICTOR GEORGE RONALD PINTO</t>
  </si>
  <si>
    <t>597,610.00</t>
  </si>
  <si>
    <t>-10,431,174.69</t>
  </si>
  <si>
    <t>3865</t>
  </si>
  <si>
    <t>51117082117</t>
  </si>
  <si>
    <t>26221219422 MBTRF B/O AHMED ABDELHAMID MOHAMED ELASHMAWY</t>
  </si>
  <si>
    <t>22,802.00</t>
  </si>
  <si>
    <t>-10,408,372.69</t>
  </si>
  <si>
    <t>3866</t>
  </si>
  <si>
    <t>INHOUSE CHEQUE DEPOSIT 000020 SHRIDHAR JAGANNATH BORAGE JAGANNATH    SAKHARAM BO AL FARDAN EXCHANGE SP LLC CHQ NO ::000020</t>
  </si>
  <si>
    <t>86,805.58</t>
  </si>
  <si>
    <t>-10,321,567.11</t>
  </si>
  <si>
    <t>3867</t>
  </si>
  <si>
    <t>000330</t>
  </si>
  <si>
    <t>INHOUSE CHEQUE DEPOSIT 000330 RIYAS KUNIYIL    KUNHABDULLA AL FARDAN EXCHANGE SP LLC CHQ NO ::000330</t>
  </si>
  <si>
    <t>16,775.00</t>
  </si>
  <si>
    <t>-10,304,792.11</t>
  </si>
  <si>
    <t>3868</t>
  </si>
  <si>
    <t>15,327.00</t>
  </si>
  <si>
    <t>-10,289,465.11</t>
  </si>
  <si>
    <t>3869</t>
  </si>
  <si>
    <t>001537</t>
  </si>
  <si>
    <t>INHOUSE CHEQUE DEPOSIT 001537 MUHAMMAD HAMEED MUHAMMAD   FAREED AL FARDAN EXCHANGE SP LLC CHQ NO ::001537</t>
  </si>
  <si>
    <t>67,864.25</t>
  </si>
  <si>
    <t>-10,221,600.86</t>
  </si>
  <si>
    <t>3870</t>
  </si>
  <si>
    <t>005078</t>
  </si>
  <si>
    <t>INHOUSE CHEQUE DEPOSIT 005078 DIL JAN MOHAMMAD   ALI AL FARDAN EXCHANGE SP LLC CHQ NO ::005078</t>
  </si>
  <si>
    <t>91,549.50</t>
  </si>
  <si>
    <t>-10,130,051.36</t>
  </si>
  <si>
    <t>3871</t>
  </si>
  <si>
    <t>PHUB526268433</t>
  </si>
  <si>
    <t>CW 20082025</t>
  </si>
  <si>
    <t>-14,130,051.36</t>
  </si>
  <si>
    <t>3872</t>
  </si>
  <si>
    <t>LP2008251</t>
  </si>
  <si>
    <t>B/O FUSION INT SHIPPING AND LOGISTICS</t>
  </si>
  <si>
    <t>15,991.27</t>
  </si>
  <si>
    <t>-14,114,060.09</t>
  </si>
  <si>
    <t>3873</t>
  </si>
  <si>
    <t>PHUB526279126</t>
  </si>
  <si>
    <t>SSYAPKL1517052025</t>
  </si>
  <si>
    <t>228,308.00</t>
  </si>
  <si>
    <t>-13,885,752.09</t>
  </si>
  <si>
    <t>3874</t>
  </si>
  <si>
    <t>PHUB526280403</t>
  </si>
  <si>
    <t>F.SETTLMT-AL FARDAN</t>
  </si>
  <si>
    <t>36,819.15</t>
  </si>
  <si>
    <t>-13,848,932.94</t>
  </si>
  <si>
    <t>3875</t>
  </si>
  <si>
    <t>PHUB526282714</t>
  </si>
  <si>
    <t>B/O_AL FARDAN _EBIL_526282714_AUHADCB</t>
  </si>
  <si>
    <t>-11,348,932.94</t>
  </si>
  <si>
    <t>3876</t>
  </si>
  <si>
    <t>B/O_LLC SUPER _ADIB_526283709_JULY25P</t>
  </si>
  <si>
    <t>159,301.98</t>
  </si>
  <si>
    <t>-11,189,630.96</t>
  </si>
  <si>
    <t>3877</t>
  </si>
  <si>
    <t>25,460.00</t>
  </si>
  <si>
    <t>-11,164,170.96</t>
  </si>
  <si>
    <t>3878</t>
  </si>
  <si>
    <t>PHUB526290386</t>
  </si>
  <si>
    <t>269.50</t>
  </si>
  <si>
    <t>-11,163,901.46</t>
  </si>
  <si>
    <t>3879</t>
  </si>
  <si>
    <t>PHUB526290718</t>
  </si>
  <si>
    <t>AFJ TELEPHONE</t>
  </si>
  <si>
    <t>2,953.00</t>
  </si>
  <si>
    <t>-11,160,948.46</t>
  </si>
  <si>
    <t>3880</t>
  </si>
  <si>
    <t>PHUB526290805</t>
  </si>
  <si>
    <t>AFJ STORE  ADDC</t>
  </si>
  <si>
    <t>929.21</t>
  </si>
  <si>
    <t>-11,160,019.25</t>
  </si>
  <si>
    <t>3881</t>
  </si>
  <si>
    <t>PHUB526290843</t>
  </si>
  <si>
    <t>18,869.15</t>
  </si>
  <si>
    <t>-11,141,150.10</t>
  </si>
  <si>
    <t>3882</t>
  </si>
  <si>
    <t>PHUB526290933</t>
  </si>
  <si>
    <t>AL FARDAN EX</t>
  </si>
  <si>
    <t>112,342.25</t>
  </si>
  <si>
    <t>-11,028,807.85</t>
  </si>
  <si>
    <t>3883</t>
  </si>
  <si>
    <t>PHUB526290981</t>
  </si>
  <si>
    <t>AL FARDAN EXC</t>
  </si>
  <si>
    <t>457,573.50</t>
  </si>
  <si>
    <t>-10,571,234.35</t>
  </si>
  <si>
    <t>3884</t>
  </si>
  <si>
    <t>PHUB526298129</t>
  </si>
  <si>
    <t>1,747,044.75</t>
  </si>
  <si>
    <t>-8,824,189.60</t>
  </si>
  <si>
    <t>3885</t>
  </si>
  <si>
    <t>PHUB526299236</t>
  </si>
  <si>
    <t>B/O_TOTAL SECU_BOML_526299236_ PURCHA</t>
  </si>
  <si>
    <t>72,856.50</t>
  </si>
  <si>
    <t>-8,751,333.10</t>
  </si>
  <si>
    <t>3886</t>
  </si>
  <si>
    <t>PHUB526300049</t>
  </si>
  <si>
    <t>526300049 B/O HOSSAIN</t>
  </si>
  <si>
    <t>-8,731,333.10</t>
  </si>
  <si>
    <t>3887</t>
  </si>
  <si>
    <t>PHUB526300148</t>
  </si>
  <si>
    <t>526300148 B/O NEXT MOVE SHIPPING SERVICES (FZE)</t>
  </si>
  <si>
    <t>6,878.45</t>
  </si>
  <si>
    <t>-8,724,454.65</t>
  </si>
  <si>
    <t>3888</t>
  </si>
  <si>
    <t>526301527 B/O NEXT MOVE SHIPPING SERVICES (FZE)</t>
  </si>
  <si>
    <t>1,404.26</t>
  </si>
  <si>
    <t>-8,723,050.39</t>
  </si>
  <si>
    <t>3889</t>
  </si>
  <si>
    <t>PHUB526303152</t>
  </si>
  <si>
    <t>526303152 B/O NEXT MOVE SHIPPING SERVICES (FZE)</t>
  </si>
  <si>
    <t>3,652.18</t>
  </si>
  <si>
    <t>-8,719,398.21</t>
  </si>
  <si>
    <t>3890</t>
  </si>
  <si>
    <t>526304940 B/O NEXT MOVE SHIPPING SERVICES (FZE)</t>
  </si>
  <si>
    <t>2,845.39</t>
  </si>
  <si>
    <t>-8,716,552.82</t>
  </si>
  <si>
    <t>3891</t>
  </si>
  <si>
    <t>526307242 B/O NEXT MOVE SHIPPING SERVICES (FZE)</t>
  </si>
  <si>
    <t>4,654.25</t>
  </si>
  <si>
    <t>-8,711,898.57</t>
  </si>
  <si>
    <t>3892</t>
  </si>
  <si>
    <t>PHUB526307336</t>
  </si>
  <si>
    <t>MOB2008251754128207846</t>
  </si>
  <si>
    <t>B/O ELHALW AUTO SPARE PARTS TR LLC</t>
  </si>
  <si>
    <t>133,896.25</t>
  </si>
  <si>
    <t>-8,578,002.32</t>
  </si>
  <si>
    <t>3893</t>
  </si>
  <si>
    <t>PHUB526308686</t>
  </si>
  <si>
    <t>15,778.00</t>
  </si>
  <si>
    <t>-8,562,224.32</t>
  </si>
  <si>
    <t>3894</t>
  </si>
  <si>
    <t>PHUB526310089</t>
  </si>
  <si>
    <t>1,560.56</t>
  </si>
  <si>
    <t>-8,560,663.76</t>
  </si>
  <si>
    <t>3895</t>
  </si>
  <si>
    <t>PHUB526311060</t>
  </si>
  <si>
    <t>526311060 B/O DELICATES FIX and CLEAN L.L.C</t>
  </si>
  <si>
    <t>6,342.00</t>
  </si>
  <si>
    <t>-8,554,321.76</t>
  </si>
  <si>
    <t>3896</t>
  </si>
  <si>
    <t>51120565967</t>
  </si>
  <si>
    <t>26224544361 MBTRF B/O NOOR MUHAMMAD KHAN</t>
  </si>
  <si>
    <t>-8,550,465.76</t>
  </si>
  <si>
    <t>3897</t>
  </si>
  <si>
    <t>51120656376</t>
  </si>
  <si>
    <t>26224642938 MBTRF B/O SYAMSUL HUDA BIN H ABDURROHIM</t>
  </si>
  <si>
    <t>-8,547,465.76</t>
  </si>
  <si>
    <t>3898</t>
  </si>
  <si>
    <t>PYT TO FQML ZAMBIA</t>
  </si>
  <si>
    <t>19,347.43</t>
  </si>
  <si>
    <t>-8,528,118.33</t>
  </si>
  <si>
    <t>3899</t>
  </si>
  <si>
    <t>CHEQUE DEPOSIT 000086 SHAMSHEER KHAN AHAMED KHAN AHAMED  KHAN 304040119 CHQ NO ::000086</t>
  </si>
  <si>
    <t>-8,381,097.83</t>
  </si>
  <si>
    <t>3900</t>
  </si>
  <si>
    <t>100032</t>
  </si>
  <si>
    <t>CHEQUE DEPOSIT 100032 ADNAN ABBAS MUHAMMAD HASHIM   KHAN 202430177 CHQ NO ::100032</t>
  </si>
  <si>
    <t>57,204.50</t>
  </si>
  <si>
    <t>-8,323,893.33</t>
  </si>
  <si>
    <t>3901</t>
  </si>
  <si>
    <t>685734</t>
  </si>
  <si>
    <t>CHEQUE DEPOSIT 685734 MUHAMMAD AKRAM NAZAR   MUHAMMAD 304012039 CHQ NO ::685734</t>
  </si>
  <si>
    <t>-8,313,893.33</t>
  </si>
  <si>
    <t>3902</t>
  </si>
  <si>
    <t>000076</t>
  </si>
  <si>
    <t>CHEQUE DEPOSIT 000076 MUHAMMAD HAMEED MUHAMMAD   FAREED 802630140 CHQ NO ::000076</t>
  </si>
  <si>
    <t>364,926.00</t>
  </si>
  <si>
    <t>-7,948,967.33</t>
  </si>
  <si>
    <t>3903</t>
  </si>
  <si>
    <t>001823</t>
  </si>
  <si>
    <t>CHEQUE DEPOSIT 001823 DIL JAN MOHAMMAD   ALI 204130077 CHQ NO ::001823</t>
  </si>
  <si>
    <t>440,880.50</t>
  </si>
  <si>
    <t>-7,508,086.83</t>
  </si>
  <si>
    <t>3904</t>
  </si>
  <si>
    <t>820553</t>
  </si>
  <si>
    <t>CHEQUE DEPOSIT SPEED LINE 104030136 CHQ NO ::820553</t>
  </si>
  <si>
    <t>47,822.50</t>
  </si>
  <si>
    <t>-7,460,264.33</t>
  </si>
  <si>
    <t>3905</t>
  </si>
  <si>
    <t>002408</t>
  </si>
  <si>
    <t>CHEQUE DEPOSIT 002408 SYED TAQI ABBAS  SHAHABAL  HUSSAIN SHAH 004710103 CHQ NO ::002408</t>
  </si>
  <si>
    <t>220,714.50</t>
  </si>
  <si>
    <t>-7,239,549.83</t>
  </si>
  <si>
    <t>3906</t>
  </si>
  <si>
    <t>CHEQUE DEPOSIT 000002 SHAMSHEER KHAN AHAMED KHAN AHAMED  KHAN 804230106 CHQ NO ::000002</t>
  </si>
  <si>
    <t>40,079.75</t>
  </si>
  <si>
    <t>-7,199,470.08</t>
  </si>
  <si>
    <t>3907</t>
  </si>
  <si>
    <t>000295</t>
  </si>
  <si>
    <t>CHEQUE DEPOSIT 000295 MUJAHID AMIN MUHAMMAD    BINYAMIN 004730105 CHQ NO ::000295</t>
  </si>
  <si>
    <t>23,977.00</t>
  </si>
  <si>
    <t>-7,175,493.08</t>
  </si>
  <si>
    <t>3908</t>
  </si>
  <si>
    <t>000583</t>
  </si>
  <si>
    <t>SKYLIFT TRANS</t>
  </si>
  <si>
    <t>CHEQUE DEPOSIT SKYLIFT TRANS 404710101 CHQ NO ::000583</t>
  </si>
  <si>
    <t>46,840.00</t>
  </si>
  <si>
    <t>-7,128,653.08</t>
  </si>
  <si>
    <t>3909</t>
  </si>
  <si>
    <t>004638</t>
  </si>
  <si>
    <t>CHEQUE DEPOSIT 004638 MUHAMMAD HAMEED MUHAMMAD   FAREED 704020137 CHQ NO ::004638</t>
  </si>
  <si>
    <t>110,310.00</t>
  </si>
  <si>
    <t>-7,018,343.08</t>
  </si>
  <si>
    <t>3910</t>
  </si>
  <si>
    <t>002200</t>
  </si>
  <si>
    <t>CHEQUE DEPOSIT 002200 NISSAR MANGADAN MOIDEEN   MANGADAN 101110101 CHQ NO ::002200</t>
  </si>
  <si>
    <t>6,843.00</t>
  </si>
  <si>
    <t>-7,011,500.08</t>
  </si>
  <si>
    <t>3911</t>
  </si>
  <si>
    <t>000258</t>
  </si>
  <si>
    <t>CHEQUE DEPOSIT 000258 MUHAMMAD HAMEED MUHAMMAD   FAREED 604130075 CHQ NO ::000258</t>
  </si>
  <si>
    <t>56,910.00</t>
  </si>
  <si>
    <t>-6,954,590.08</t>
  </si>
  <si>
    <t>3912</t>
  </si>
  <si>
    <t>CHEQUE DEPOSIT 000002 FARHAN ALI SHAN     ABDUL WAZIR ALI 502610103 CHQ NO ::000002</t>
  </si>
  <si>
    <t>121,500.00</t>
  </si>
  <si>
    <t>-6,833,090.08</t>
  </si>
  <si>
    <t>3913</t>
  </si>
  <si>
    <t>274095</t>
  </si>
  <si>
    <t>CHEQUE DEPOSIT 274095 MOHAMED,MAHMOUD,ABDEL KAWY,,,MAHMOUD, 702410103 CHQ NO ::274095</t>
  </si>
  <si>
    <t>-6,733,090.08</t>
  </si>
  <si>
    <t>3914</t>
  </si>
  <si>
    <t>054509</t>
  </si>
  <si>
    <t>CHEQUE DEPOSIT 054509 DIL JAN MOHAMMAD   ALI 103130112 CHQ NO ::054509</t>
  </si>
  <si>
    <t>11,073.00</t>
  </si>
  <si>
    <t>-6,722,017.08</t>
  </si>
  <si>
    <t>3915</t>
  </si>
  <si>
    <t>000503</t>
  </si>
  <si>
    <t>CHEQUE DEPOSIT 000503 MUHAMMAD AKRAM NAZAR   MUHAMMAD 304110061 CHQ NO ::000503</t>
  </si>
  <si>
    <t>73,532.50</t>
  </si>
  <si>
    <t>-6,648,484.58</t>
  </si>
  <si>
    <t>3916</t>
  </si>
  <si>
    <t>2508201909157732</t>
  </si>
  <si>
    <t>CHQ RETRN:Signature Irregular 304110061 CHQ NO ::000503</t>
  </si>
  <si>
    <t>3917</t>
  </si>
  <si>
    <t>CHEQUE DEPOSIT 000504 MUHAMMAD AKRAM NAZAR   MUHAMMAD 304110061 CHQ NO ::000504</t>
  </si>
  <si>
    <t>110,268.50</t>
  </si>
  <si>
    <t>-6,611,748.58</t>
  </si>
  <si>
    <t>3918</t>
  </si>
  <si>
    <t>2508201909167804</t>
  </si>
  <si>
    <t>CHQ RETRN:Signature Irregular 304110061 CHQ NO ::000504</t>
  </si>
  <si>
    <t>3919</t>
  </si>
  <si>
    <t>099269</t>
  </si>
  <si>
    <t>MOHAMMAD RAFIQ UTMANZI</t>
  </si>
  <si>
    <t>CHEQUE DEPOSIT MOHAMMAD RAFIQ UTMANZI 103130112 CHQ NO ::099269</t>
  </si>
  <si>
    <t>-6,572,017.08</t>
  </si>
  <si>
    <t>3920</t>
  </si>
  <si>
    <t>CHEQUE DEPOSIT 000010 SHAMSHEER KHAN AHAMED KHAN AHAMED  KHAN 504020155 CHQ NO ::000010</t>
  </si>
  <si>
    <t>38,521.06</t>
  </si>
  <si>
    <t>-6,533,496.02</t>
  </si>
  <si>
    <t>3921</t>
  </si>
  <si>
    <t>CHEQUE DEPOSIT 000005 MUHAMMAD ABID     MUHAMMAD ZAREEN 904010130 CHQ NO ::000005</t>
  </si>
  <si>
    <t>22,703.03</t>
  </si>
  <si>
    <t>-6,510,792.99</t>
  </si>
  <si>
    <t>3922</t>
  </si>
  <si>
    <t>000464</t>
  </si>
  <si>
    <t>AL RABOWA</t>
  </si>
  <si>
    <t>CHEQUE DEPOSIT AL RABOWA 403411036 CHQ NO ::000464</t>
  </si>
  <si>
    <t>164,876.00</t>
  </si>
  <si>
    <t>-6,345,916.99</t>
  </si>
  <si>
    <t>3923</t>
  </si>
  <si>
    <t>CHEQUE DEPOSIT 000505 MUHAMMAD AKRAM NAZAR   MUHAMMAD 304110061 CHQ NO ::000505</t>
  </si>
  <si>
    <t>344,313.75</t>
  </si>
  <si>
    <t>-6,001,603.24</t>
  </si>
  <si>
    <t>3924</t>
  </si>
  <si>
    <t>2508201921295843</t>
  </si>
  <si>
    <t>CHQ RETRN:SWIFT CONF AWAITED 304110061 CHQ NO ::000505</t>
  </si>
  <si>
    <t>3925</t>
  </si>
  <si>
    <t>000152</t>
  </si>
  <si>
    <t>CHEQUE DEPOSIT AL FAJR AL SATEE 703320106 CHQ NO ::000152</t>
  </si>
  <si>
    <t>-6,162,156.49</t>
  </si>
  <si>
    <t>3926</t>
  </si>
  <si>
    <t>001030</t>
  </si>
  <si>
    <t>CHEQUE DEPOSIT 001030 BASHEER PULIKKAL    IBRAHIM 004710103 CHQ NO ::001030</t>
  </si>
  <si>
    <t>59,328.75</t>
  </si>
  <si>
    <t>-6,102,827.74</t>
  </si>
  <si>
    <t>3927</t>
  </si>
  <si>
    <t>1,117,522.75</t>
  </si>
  <si>
    <t>-4,985,304.99</t>
  </si>
  <si>
    <t>3928</t>
  </si>
  <si>
    <t>19,282.79</t>
  </si>
  <si>
    <t>-4,966,022.20</t>
  </si>
  <si>
    <t>3929</t>
  </si>
  <si>
    <t>PHUB526341133</t>
  </si>
  <si>
    <t>526341133 B/O HAMDAN MUBARAK NASSER SALMEEN ALMANSOORI</t>
  </si>
  <si>
    <t>-4,965,022.20</t>
  </si>
  <si>
    <t>3930</t>
  </si>
  <si>
    <t>51122380519</t>
  </si>
  <si>
    <t>2543783755 IBTRF B/O NATIONAL FLOWERS LLC SPC</t>
  </si>
  <si>
    <t>12,705.12</t>
  </si>
  <si>
    <t>-4,952,317.08</t>
  </si>
  <si>
    <t>3931</t>
  </si>
  <si>
    <t>PHUB526347261</t>
  </si>
  <si>
    <t>129,390.02</t>
  </si>
  <si>
    <t>-4,822,927.06</t>
  </si>
  <si>
    <t>3932</t>
  </si>
  <si>
    <t>51122668916</t>
  </si>
  <si>
    <t>26226862673 MBTRF B/O FARIS KH I JALLO</t>
  </si>
  <si>
    <t>108,663.00</t>
  </si>
  <si>
    <t>-4,714,264.06</t>
  </si>
  <si>
    <t>3933</t>
  </si>
  <si>
    <t>PHUB526350855</t>
  </si>
  <si>
    <t>526350855 B/O MR RAVISHANKAR KARTHIKEYAN</t>
  </si>
  <si>
    <t>-4,704,264.06</t>
  </si>
  <si>
    <t>3934</t>
  </si>
  <si>
    <t>PHUB526351725</t>
  </si>
  <si>
    <t>PRO006249</t>
  </si>
  <si>
    <t>B/O LEGEND BUILDING MATERIALS LLC</t>
  </si>
  <si>
    <t>80,597.25</t>
  </si>
  <si>
    <t>-4,623,666.81</t>
  </si>
  <si>
    <t>3935</t>
  </si>
  <si>
    <t>51124077185</t>
  </si>
  <si>
    <t>26228494208 MBTRF B/O MOHAMED GOMAA IBRAHEM ABDELGHANY</t>
  </si>
  <si>
    <t>3,527.99</t>
  </si>
  <si>
    <t>-4,620,138.82</t>
  </si>
  <si>
    <t>3936</t>
  </si>
  <si>
    <t>PHUB526372557</t>
  </si>
  <si>
    <t>526372557 B/O AHMED AMR ALY HOSNY HASSAN ALY KANDIL</t>
  </si>
  <si>
    <t>9,274.39</t>
  </si>
  <si>
    <t>-4,610,864.43</t>
  </si>
  <si>
    <t>3937</t>
  </si>
  <si>
    <t>PHUB526379146</t>
  </si>
  <si>
    <t>526379146 B/O ABDUL QAYYUM</t>
  </si>
  <si>
    <t>6,519.00</t>
  </si>
  <si>
    <t>-4,604,345.43</t>
  </si>
  <si>
    <t>3938</t>
  </si>
  <si>
    <t>PHUB526379834</t>
  </si>
  <si>
    <t>MOB2008252139088211422</t>
  </si>
  <si>
    <t>15,023.74</t>
  </si>
  <si>
    <t>-4,589,321.69</t>
  </si>
  <si>
    <t>3939</t>
  </si>
  <si>
    <t>PHUB526380362</t>
  </si>
  <si>
    <t>MOB2008252140568211431</t>
  </si>
  <si>
    <t>8,951.44</t>
  </si>
  <si>
    <t>-4,580,370.25</t>
  </si>
  <si>
    <t>3940</t>
  </si>
  <si>
    <t>51125903979</t>
  </si>
  <si>
    <t>26230659506 MBTRF B/O TIBIN GEORGE</t>
  </si>
  <si>
    <t>42,346.00</t>
  </si>
  <si>
    <t>-4,538,024.25</t>
  </si>
  <si>
    <t>3941</t>
  </si>
  <si>
    <t>PHUB526398733</t>
  </si>
  <si>
    <t>526398733 B/O SALEM SALEH HUSAIN NASER ALMESSABI</t>
  </si>
  <si>
    <t>-4,528,024.25</t>
  </si>
  <si>
    <t>3942</t>
  </si>
  <si>
    <t>PHUB526399321</t>
  </si>
  <si>
    <t>526399321 B/O MOHAMMAD JAWAD MOHAMMAD ALZUBAIDI</t>
  </si>
  <si>
    <t>1,018.25</t>
  </si>
  <si>
    <t>-4,527,006.00</t>
  </si>
  <si>
    <t>3943</t>
  </si>
  <si>
    <t>21-Aug-2025</t>
  </si>
  <si>
    <t>PHUB526427136</t>
  </si>
  <si>
    <t>B/O_MATHEWS VA_SCBL_526427136_.</t>
  </si>
  <si>
    <t>4,254.83</t>
  </si>
  <si>
    <t>-4,522,751.17</t>
  </si>
  <si>
    <t>3944</t>
  </si>
  <si>
    <t>003BM60252320061</t>
  </si>
  <si>
    <t>B/O YES BANK LTD 252328797330</t>
  </si>
  <si>
    <t>10,018.00</t>
  </si>
  <si>
    <t>-4,512,733.17</t>
  </si>
  <si>
    <t>3945</t>
  </si>
  <si>
    <t>PHUB526441422</t>
  </si>
  <si>
    <t>107,343.25</t>
  </si>
  <si>
    <t>-4,405,389.92</t>
  </si>
  <si>
    <t>3946</t>
  </si>
  <si>
    <t>51128850691</t>
  </si>
  <si>
    <t>26233917494 MBTRF B/O GANESAN CHELLAPPA</t>
  </si>
  <si>
    <t>-4,355,389.92</t>
  </si>
  <si>
    <t>3947</t>
  </si>
  <si>
    <t>B/O_1/MAYADEEN_DUIB_526447413_/REF/35</t>
  </si>
  <si>
    <t>1,369,463.59</t>
  </si>
  <si>
    <t>-2,985,926.33</t>
  </si>
  <si>
    <t>3948</t>
  </si>
  <si>
    <t>PHUB526451927</t>
  </si>
  <si>
    <t>DXB 21082025</t>
  </si>
  <si>
    <t>-5,985,926.33</t>
  </si>
  <si>
    <t>3949</t>
  </si>
  <si>
    <t>51129314856</t>
  </si>
  <si>
    <t>2543934862 IBTRF B/O ABU FAISAL AUTO MOTIVE PARTS LLC</t>
  </si>
  <si>
    <t>20,465.75</t>
  </si>
  <si>
    <t>-5,965,460.58</t>
  </si>
  <si>
    <t>3950</t>
  </si>
  <si>
    <t>PHUB526453730</t>
  </si>
  <si>
    <t>B/O_(L.L.C) BE_ADIB_526453730_COMPANY</t>
  </si>
  <si>
    <t>167,756.00</t>
  </si>
  <si>
    <t>-5,797,704.58</t>
  </si>
  <si>
    <t>3951</t>
  </si>
  <si>
    <t>2508210857336305</t>
  </si>
  <si>
    <t>Musaffah Shabiya AUH, 20TH AUG - Cash Collection TG</t>
  </si>
  <si>
    <t>-5,527,704.58</t>
  </si>
  <si>
    <t>3952</t>
  </si>
  <si>
    <t>2508210857336310</t>
  </si>
  <si>
    <t>M38 PLOT 48 SHOP 02 BIG MART MUSSAFAH, 20TH AUG - Cash Collection TG</t>
  </si>
  <si>
    <t>-5,297,704.58</t>
  </si>
  <si>
    <t>3953</t>
  </si>
  <si>
    <t>2508210857336322</t>
  </si>
  <si>
    <t>Musaffah Saniya AUH, 20TH AUG - Cash Collection TG</t>
  </si>
  <si>
    <t>-4,997,704.58</t>
  </si>
  <si>
    <t>3954</t>
  </si>
  <si>
    <t>2508210857336332</t>
  </si>
  <si>
    <t>Old Shahama, 20TH AUG - Cash Collection TG</t>
  </si>
  <si>
    <t>-4,687,704.58</t>
  </si>
  <si>
    <t>3955</t>
  </si>
  <si>
    <t>2508210857336343</t>
  </si>
  <si>
    <t>Shamkha Mall Abu dhabi, 20TH AUG - Cash Collection TG</t>
  </si>
  <si>
    <t>-4,477,704.58</t>
  </si>
  <si>
    <t>3956</t>
  </si>
  <si>
    <t>2508210857336346</t>
  </si>
  <si>
    <t>AlForshan Central Mall Khalifa City AUH, 20TH AUG - Cash Collection TG</t>
  </si>
  <si>
    <t>-3,977,704.58</t>
  </si>
  <si>
    <t>3957</t>
  </si>
  <si>
    <t>2508210857336349</t>
  </si>
  <si>
    <t>ICAD Musaffah AUH, 20TH AUG - Cash Collection TG</t>
  </si>
  <si>
    <t>-3,667,704.58</t>
  </si>
  <si>
    <t>3958</t>
  </si>
  <si>
    <t>2508210857336353</t>
  </si>
  <si>
    <t>Mafraq Center Baniyas AUH, 20TH AUG - Cash Collection TG</t>
  </si>
  <si>
    <t>-3,447,704.58</t>
  </si>
  <si>
    <t>3959</t>
  </si>
  <si>
    <t>2508210857357516</t>
  </si>
  <si>
    <t>Souk Br Al-Ain, 20TH AUG - Cash Collection TG</t>
  </si>
  <si>
    <t>-2,517,704.58</t>
  </si>
  <si>
    <t>3960</t>
  </si>
  <si>
    <t>2508210857357525</t>
  </si>
  <si>
    <t>Sila Muroor Road AUH, 20TH AUG - Cash Collection TG</t>
  </si>
  <si>
    <t>-2,367,704.58</t>
  </si>
  <si>
    <t>3961</t>
  </si>
  <si>
    <t>2508210857357528</t>
  </si>
  <si>
    <t>Beda Zayed auh, 20TH AUG - Cash Collection TG</t>
  </si>
  <si>
    <t>-2,127,704.58</t>
  </si>
  <si>
    <t>3962</t>
  </si>
  <si>
    <t>2508210857357531</t>
  </si>
  <si>
    <t>SANAYA ZAYED TOWN W/R, 20TH AUG - Cash Collection TG</t>
  </si>
  <si>
    <t>-1,967,704.58</t>
  </si>
  <si>
    <t>3963</t>
  </si>
  <si>
    <t>2508210857367534</t>
  </si>
  <si>
    <t>Ruwais AUH, 20TH AUG - Cash Collection TG</t>
  </si>
  <si>
    <t>-1,467,704.58</t>
  </si>
  <si>
    <t>3964</t>
  </si>
  <si>
    <t>2508210857367577</t>
  </si>
  <si>
    <t>HAYER Al Ain1, 20TH AUG - Cash Collection TG</t>
  </si>
  <si>
    <t>-1,367,704.58</t>
  </si>
  <si>
    <t>3965</t>
  </si>
  <si>
    <t>2508210857367580</t>
  </si>
  <si>
    <t>SWEIHAN  ALAIN, 20TH AUG - Cash Collection TG</t>
  </si>
  <si>
    <t>-1,197,704.58</t>
  </si>
  <si>
    <t>3966</t>
  </si>
  <si>
    <t>2508210857367593</t>
  </si>
  <si>
    <t>AL FOAH MALL AL-AIN, 20TH AUG - Cash Collection TG</t>
  </si>
  <si>
    <t>-967,704.58</t>
  </si>
  <si>
    <t>3967</t>
  </si>
  <si>
    <t>2508210857367596</t>
  </si>
  <si>
    <t>Gayathi Mubarak Ashwan AUH, 20TH AUG - Cash Collection TG</t>
  </si>
  <si>
    <t>-767,704.58</t>
  </si>
  <si>
    <t>3968</t>
  </si>
  <si>
    <t>2508210857367599</t>
  </si>
  <si>
    <t>Gayathi Mall AUH, 20TH AUG - Cash Collection TG</t>
  </si>
  <si>
    <t>-467,704.58</t>
  </si>
  <si>
    <t>3969</t>
  </si>
  <si>
    <t>2508210857367602</t>
  </si>
  <si>
    <t>AL MARFA MARKET WR, 20TH AUG - Cash Collection TG</t>
  </si>
  <si>
    <t>-197,704.58</t>
  </si>
  <si>
    <t>3970</t>
  </si>
  <si>
    <t>2508210857367605</t>
  </si>
  <si>
    <t>Lulu Hyper Markete Sanaiya Al Ain, 20TH AUG - Cash Collection TG</t>
  </si>
  <si>
    <t>-47,704.58</t>
  </si>
  <si>
    <t>3971</t>
  </si>
  <si>
    <t>2508210857367608</t>
  </si>
  <si>
    <t>Al Yahar Al Ain, 20TH AUG - Cash Collection TG</t>
  </si>
  <si>
    <t>502,295.42</t>
  </si>
  <si>
    <t>3972</t>
  </si>
  <si>
    <t>2508210857367617</t>
  </si>
  <si>
    <t>AL FARDAN EXCH DEREI BLDNG AL QUAA AA, 20TH AUG - Cash Collection TG</t>
  </si>
  <si>
    <t>682,295.42</t>
  </si>
  <si>
    <t>3973</t>
  </si>
  <si>
    <t>2508210857367620</t>
  </si>
  <si>
    <t>Boutik Mall al Reem island AUH, 20TH AUG - Cash Collection TG</t>
  </si>
  <si>
    <t>802,295.42</t>
  </si>
  <si>
    <t>3974</t>
  </si>
  <si>
    <t>2508210857367623</t>
  </si>
  <si>
    <t>Al Nahyan Street AUH, 20TH AUG - Cash Collection TG</t>
  </si>
  <si>
    <t>285,000.00</t>
  </si>
  <si>
    <t>1,087,295.42</t>
  </si>
  <si>
    <t>3975</t>
  </si>
  <si>
    <t>2508210857377626</t>
  </si>
  <si>
    <t>Muroor AUH, 20TH AUG - Cash Collection TG</t>
  </si>
  <si>
    <t>1,277,295.42</t>
  </si>
  <si>
    <t>3976</t>
  </si>
  <si>
    <t>2508210857377645</t>
  </si>
  <si>
    <t>B2B AUH, 20TH AUG - Cash Collection TG</t>
  </si>
  <si>
    <t>1,487,295.42</t>
  </si>
  <si>
    <t>3977</t>
  </si>
  <si>
    <t>2508210857377648</t>
  </si>
  <si>
    <t>Al Falah St Auh, 20TH AUG - Cash Collection TG</t>
  </si>
  <si>
    <t>1,637,295.42</t>
  </si>
  <si>
    <t>3978</t>
  </si>
  <si>
    <t>2508210857377651</t>
  </si>
  <si>
    <t>Al Wahda AUH, 20TH AUG - Cash Collection TG</t>
  </si>
  <si>
    <t>1,987,295.42</t>
  </si>
  <si>
    <t>3979</t>
  </si>
  <si>
    <t>2508210857377654</t>
  </si>
  <si>
    <t>Hamdan Abu Dhabi, 20TH AUG - Cash Collection TG</t>
  </si>
  <si>
    <t>1,130,000.00</t>
  </si>
  <si>
    <t>3,117,295.42</t>
  </si>
  <si>
    <t>3980</t>
  </si>
  <si>
    <t>2508210857377661</t>
  </si>
  <si>
    <t>Bin Dhgher Tower Khalidya AUH, 20TH AUG - Cash Collection TG</t>
  </si>
  <si>
    <t>3,517,295.42</t>
  </si>
  <si>
    <t>3981</t>
  </si>
  <si>
    <t>2508210857408464</t>
  </si>
  <si>
    <t>CITY CENTER AL ZAHIA SHJ, 20TH AUG - Cash Collection TG</t>
  </si>
  <si>
    <t>3,817,295.42</t>
  </si>
  <si>
    <t>3982</t>
  </si>
  <si>
    <t>2508210857408467</t>
  </si>
  <si>
    <t>CROWN MALL JABL A IND DXB 1, 20TH AUG - Cash Collection TG</t>
  </si>
  <si>
    <t>350,280.00</t>
  </si>
  <si>
    <t>4,167,575.42</t>
  </si>
  <si>
    <t>3983</t>
  </si>
  <si>
    <t>2508210857408470</t>
  </si>
  <si>
    <t>NAIF RD, 20TH AUG - Cash Collection TG</t>
  </si>
  <si>
    <t>4,577,575.42</t>
  </si>
  <si>
    <t>3984</t>
  </si>
  <si>
    <t>2508210857408473</t>
  </si>
  <si>
    <t>MUWEILAH SHJ, 20TH AUG - Cash Collection TG</t>
  </si>
  <si>
    <t>4,847,575.42</t>
  </si>
  <si>
    <t>3985</t>
  </si>
  <si>
    <t>2508210857408476</t>
  </si>
  <si>
    <t>UAQ, 20TH AUG - Cash Collection TG</t>
  </si>
  <si>
    <t>4,957,575.42</t>
  </si>
  <si>
    <t>3986</t>
  </si>
  <si>
    <t>2508210857408479</t>
  </si>
  <si>
    <t>AL RIGGA METRO STION DXB, 20TH AUG - Cash Collection TG</t>
  </si>
  <si>
    <t>5,077,575.42</t>
  </si>
  <si>
    <t>3987</t>
  </si>
  <si>
    <t>2508210857408488</t>
  </si>
  <si>
    <t>CLOCK TOWER 1, 20TH AUG - Cash Collection TG</t>
  </si>
  <si>
    <t>5,407,575.42</t>
  </si>
  <si>
    <t>3988</t>
  </si>
  <si>
    <t>2508210857408491</t>
  </si>
  <si>
    <t>CO OP SOCIETY SHJ 1, 20TH AUG - Cash Collection TG</t>
  </si>
  <si>
    <t>5,597,575.42</t>
  </si>
  <si>
    <t>3989</t>
  </si>
  <si>
    <t>2508210857408494</t>
  </si>
  <si>
    <t>KHAN SAHIB BLDG SHJ, 20TH AUG - Cash Collection TG</t>
  </si>
  <si>
    <t>5,797,575.42</t>
  </si>
  <si>
    <t>3990</t>
  </si>
  <si>
    <t>2508210857408497</t>
  </si>
  <si>
    <t>BUR DUBAI, 20TH AUG - Cash Collection TG</t>
  </si>
  <si>
    <t>6,047,575.42</t>
  </si>
  <si>
    <t>3991</t>
  </si>
  <si>
    <t>2508210857408516</t>
  </si>
  <si>
    <t>AL MADAM SHJ, 20TH AUG - Cash Collection TG</t>
  </si>
  <si>
    <t>6,337,575.42</t>
  </si>
  <si>
    <t>3992</t>
  </si>
  <si>
    <t>2508210857408519</t>
  </si>
  <si>
    <t>SAJA INDUSTRIAL SHJ 2, 20TH AUG - Cash Collection TG</t>
  </si>
  <si>
    <t>6,482,575.42</t>
  </si>
  <si>
    <t>3993</t>
  </si>
  <si>
    <t>2508210857408522</t>
  </si>
  <si>
    <t>IND AREA 3 SHJ, 20TH AUG - Cash Collection TG</t>
  </si>
  <si>
    <t>116,005.00</t>
  </si>
  <si>
    <t>6,598,580.42</t>
  </si>
  <si>
    <t>3994</t>
  </si>
  <si>
    <t>2508210857408525</t>
  </si>
  <si>
    <t>DUBAI MALL LG UNIT171, 20TH AUG - Cash Collection TG</t>
  </si>
  <si>
    <t>7,198,580.42</t>
  </si>
  <si>
    <t>3995</t>
  </si>
  <si>
    <t>2508210857418528</t>
  </si>
  <si>
    <t>KARAMA DUBAI, 20TH AUG - Cash Collection TG</t>
  </si>
  <si>
    <t>7,698,580.42</t>
  </si>
  <si>
    <t>3996</t>
  </si>
  <si>
    <t>PHUB526457207</t>
  </si>
  <si>
    <t>B/O_ALI MOHAMED IBRA_526457207</t>
  </si>
  <si>
    <t>7,713,580.42</t>
  </si>
  <si>
    <t>3997</t>
  </si>
  <si>
    <t>2508210913015244</t>
  </si>
  <si>
    <t>REV, SWEIHAN  ALAIN, 20TH AUG - Cash Collection TG</t>
  </si>
  <si>
    <t>7,543,580.42</t>
  </si>
  <si>
    <t>3998</t>
  </si>
  <si>
    <t>2508210913015251</t>
  </si>
  <si>
    <t>SWEIHAN  ALAIN, 20TH AUG, TOTAL EEROR - Cash Collection TG</t>
  </si>
  <si>
    <t>7,703,580.42</t>
  </si>
  <si>
    <t>3999</t>
  </si>
  <si>
    <t>2508210913015290</t>
  </si>
  <si>
    <t>REV, IND AREA 3 SHJ, 20TH AUG - Cash Collection TG</t>
  </si>
  <si>
    <t>7,587,575.42</t>
  </si>
  <si>
    <t>4000</t>
  </si>
  <si>
    <t>2508210913015293</t>
  </si>
  <si>
    <t>IND AREA 3 SHJ, 20TH AUG, TOTAL ERROR - Cash Collection TG</t>
  </si>
  <si>
    <t>116,055.00</t>
  </si>
  <si>
    <t>7,703,630.42</t>
  </si>
  <si>
    <t>4001</t>
  </si>
  <si>
    <t>51129805887</t>
  </si>
  <si>
    <t>26234801348 MBTRF B/O NOOR MUHAMMAD KHAN</t>
  </si>
  <si>
    <t>7,707,486.42</t>
  </si>
  <si>
    <t>4002</t>
  </si>
  <si>
    <t>PHUB526461254</t>
  </si>
  <si>
    <t>55,223.00</t>
  </si>
  <si>
    <t>7,762,709.42</t>
  </si>
  <si>
    <t>4003</t>
  </si>
  <si>
    <t>EX0137 MISCELLANEOUS</t>
  </si>
  <si>
    <t>O/W TRF 526462010</t>
  </si>
  <si>
    <t>1,051.00</t>
  </si>
  <si>
    <t>7,761,658.42</t>
  </si>
  <si>
    <t>4004</t>
  </si>
  <si>
    <t>CHCB526462010</t>
  </si>
  <si>
    <t>O/W PROCESSING CHARGE 526462010</t>
  </si>
  <si>
    <t>7,761,642.67</t>
  </si>
  <si>
    <t>4005</t>
  </si>
  <si>
    <t>CHRG526462010</t>
  </si>
  <si>
    <t>O/W CORR BK CHARGE 526462010</t>
  </si>
  <si>
    <t>7,761,641.62</t>
  </si>
  <si>
    <t>4006</t>
  </si>
  <si>
    <t>PHUB526466502</t>
  </si>
  <si>
    <t>B/O_BLUE OCEAN_EBIL_526466502_CREW SA</t>
  </si>
  <si>
    <t>13,625.00</t>
  </si>
  <si>
    <t>7,775,266.62</t>
  </si>
  <si>
    <t>4007</t>
  </si>
  <si>
    <t>PHUB526467508</t>
  </si>
  <si>
    <t>7,780,266.62</t>
  </si>
  <si>
    <t>4008</t>
  </si>
  <si>
    <t>PHUB526467829</t>
  </si>
  <si>
    <t>B/O_HUSAM ZAKA_ADIB_526467829_Constru</t>
  </si>
  <si>
    <t>8,780,266.62</t>
  </si>
  <si>
    <t>4009</t>
  </si>
  <si>
    <t>PHUB526468370</t>
  </si>
  <si>
    <t>PENDING SALARY JULY</t>
  </si>
  <si>
    <t>39,900.50</t>
  </si>
  <si>
    <t>8,820,167.12</t>
  </si>
  <si>
    <t>4010</t>
  </si>
  <si>
    <t>PHUB526473988</t>
  </si>
  <si>
    <t>B/O_MOHAMAD SE_ADIB_526473988_Goods b</t>
  </si>
  <si>
    <t>54,048.50</t>
  </si>
  <si>
    <t>8,874,215.62</t>
  </si>
  <si>
    <t>4011</t>
  </si>
  <si>
    <t>51130679648</t>
  </si>
  <si>
    <t>26235567098 MBTRF_B/O AKHIL PRASAD THAYYIL</t>
  </si>
  <si>
    <t>8,879,215.62</t>
  </si>
  <si>
    <t>4012</t>
  </si>
  <si>
    <t>PHUB526509356</t>
  </si>
  <si>
    <t>B/O_LLC NAJIMAT AL I_526509356</t>
  </si>
  <si>
    <t>19,138.00</t>
  </si>
  <si>
    <t>8,898,353.62</t>
  </si>
  <si>
    <t>4013</t>
  </si>
  <si>
    <t>51131308638</t>
  </si>
  <si>
    <t>26236115944 MBTRF B/O RITA CHAFIC MARCHI</t>
  </si>
  <si>
    <t>36,785.00</t>
  </si>
  <si>
    <t>8,935,138.62</t>
  </si>
  <si>
    <t>4014</t>
  </si>
  <si>
    <t>PHUB526510609</t>
  </si>
  <si>
    <t>314,618.00</t>
  </si>
  <si>
    <t>9,249,756.62</t>
  </si>
  <si>
    <t>4015</t>
  </si>
  <si>
    <t>51131530695</t>
  </si>
  <si>
    <t>26236305827 MBTRF B/O KATHIRVELAN VELAYUTHAM</t>
  </si>
  <si>
    <t>9,389,756.62</t>
  </si>
  <si>
    <t>4016</t>
  </si>
  <si>
    <t>PHUB526512951</t>
  </si>
  <si>
    <t>B/O_NAISAMUDEEN RAFI_526512951</t>
  </si>
  <si>
    <t>21,245.75</t>
  </si>
  <si>
    <t>9,411,002.37</t>
  </si>
  <si>
    <t>4017</t>
  </si>
  <si>
    <t>B/O_A/C. 19369_ADIB_526513450_Financi</t>
  </si>
  <si>
    <t>116,189.70</t>
  </si>
  <si>
    <t>9,527,192.07</t>
  </si>
  <si>
    <t>4018</t>
  </si>
  <si>
    <t>2508211054418354</t>
  </si>
  <si>
    <t>Finance Disbursal-108L055252330001</t>
  </si>
  <si>
    <t>55,000,000.00</t>
  </si>
  <si>
    <t>64,527,192.07</t>
  </si>
  <si>
    <t>4019</t>
  </si>
  <si>
    <t>B/O_I N C A JE_UNIL_526515686_25233b9</t>
  </si>
  <si>
    <t>29,416,000.00</t>
  </si>
  <si>
    <t>93,943,192.07</t>
  </si>
  <si>
    <t>4020</t>
  </si>
  <si>
    <t>PHUB526518521</t>
  </si>
  <si>
    <t>526518521 B/O SALAHELDIN AHMED NASR REZK</t>
  </si>
  <si>
    <t>93,943,822.07</t>
  </si>
  <si>
    <t>4021</t>
  </si>
  <si>
    <t>B/O_HOLIDAYS HOUSE F_526520460</t>
  </si>
  <si>
    <t>22,182.39</t>
  </si>
  <si>
    <t>93,966,004.46</t>
  </si>
  <si>
    <t>4022</t>
  </si>
  <si>
    <t>PHUB526521288</t>
  </si>
  <si>
    <t>B/O_TREKKUP FZE_526521288</t>
  </si>
  <si>
    <t>9,408.00</t>
  </si>
  <si>
    <t>93,975,412.46</t>
  </si>
  <si>
    <t>4023</t>
  </si>
  <si>
    <t>B/O_KIWI MEDIC_BARB_526521284_WRP Pay</t>
  </si>
  <si>
    <t>93,904.67</t>
  </si>
  <si>
    <t>94,069,317.13</t>
  </si>
  <si>
    <t>4024</t>
  </si>
  <si>
    <t>PHUB526522075</t>
  </si>
  <si>
    <t>REF 5620230000531</t>
  </si>
  <si>
    <t>B/O ALREZEQ METALS INDUSTRIES L.L.C.</t>
  </si>
  <si>
    <t>842,852.50</t>
  </si>
  <si>
    <t>94,912,169.63</t>
  </si>
  <si>
    <t>4025</t>
  </si>
  <si>
    <t>PHUB526523037</t>
  </si>
  <si>
    <t>IMD 21082025</t>
  </si>
  <si>
    <t>34,966,091.35</t>
  </si>
  <si>
    <t>59,946,078.28</t>
  </si>
  <si>
    <t>4026</t>
  </si>
  <si>
    <t>PHUB526523332</t>
  </si>
  <si>
    <t>526523332 B/O AMINA IBRAHIM MOHAMED YOUSIF AL ALI</t>
  </si>
  <si>
    <t>59,950,278.28</t>
  </si>
  <si>
    <t>4027</t>
  </si>
  <si>
    <t>PHUB526524086</t>
  </si>
  <si>
    <t>LNTFNF2108</t>
  </si>
  <si>
    <t>9,445.10</t>
  </si>
  <si>
    <t>59,959,723.38</t>
  </si>
  <si>
    <t>4028</t>
  </si>
  <si>
    <t>950,929.00</t>
  </si>
  <si>
    <t>60,910,652.38</t>
  </si>
  <si>
    <t>4029</t>
  </si>
  <si>
    <t>16,810.25</t>
  </si>
  <si>
    <t>60,927,462.63</t>
  </si>
  <si>
    <t>4030</t>
  </si>
  <si>
    <t>PHUB526534767</t>
  </si>
  <si>
    <t>B/O_KOCHUPAILY_EBIL_526534767_5620840</t>
  </si>
  <si>
    <t>180,529.00</t>
  </si>
  <si>
    <t>61,107,991.63</t>
  </si>
  <si>
    <t>4031</t>
  </si>
  <si>
    <t>PHUB526533034</t>
  </si>
  <si>
    <t>FARDAN UMMER KV</t>
  </si>
  <si>
    <t>63,558.90</t>
  </si>
  <si>
    <t>61,171,550.53</t>
  </si>
  <si>
    <t>4032</t>
  </si>
  <si>
    <t>PHUB526536191</t>
  </si>
  <si>
    <t>B/O_GEORGERU_null_526536191_Saati A</t>
  </si>
  <si>
    <t>91,508.01</t>
  </si>
  <si>
    <t>61,263,058.54</t>
  </si>
  <si>
    <t>4033</t>
  </si>
  <si>
    <t>51133077206</t>
  </si>
  <si>
    <t>26237685937 MBTRF B/O SHELBY DANAE NEHO</t>
  </si>
  <si>
    <t>21,700.00</t>
  </si>
  <si>
    <t>61,284,758.54</t>
  </si>
  <si>
    <t>4034</t>
  </si>
  <si>
    <t>51133272212</t>
  </si>
  <si>
    <t>26237860118 MBTRF B/O AL QASAS BUILDINGS MATERIAL TR LLC</t>
  </si>
  <si>
    <t>68,396.90</t>
  </si>
  <si>
    <t>61,353,155.44</t>
  </si>
  <si>
    <t>4035</t>
  </si>
  <si>
    <t>PHUB526555815</t>
  </si>
  <si>
    <t>MOB2108251230348217535</t>
  </si>
  <si>
    <t>898.50</t>
  </si>
  <si>
    <t>61,354,053.94</t>
  </si>
  <si>
    <t>4036</t>
  </si>
  <si>
    <t>27,833.00</t>
  </si>
  <si>
    <t>61,381,886.94</t>
  </si>
  <si>
    <t>4037</t>
  </si>
  <si>
    <t>PHUB526564723</t>
  </si>
  <si>
    <t>B/O_AKZO NOBEL_HSBC_526564723_AEA2108</t>
  </si>
  <si>
    <t>43,192.30</t>
  </si>
  <si>
    <t>61,425,079.24</t>
  </si>
  <si>
    <t>4038</t>
  </si>
  <si>
    <t>PHUB526579002</t>
  </si>
  <si>
    <t>JEALOUS FRUIT INV 5940</t>
  </si>
  <si>
    <t>150,887.27</t>
  </si>
  <si>
    <t>61,575,966.51</t>
  </si>
  <si>
    <t>4039</t>
  </si>
  <si>
    <t>PHUB526580622</t>
  </si>
  <si>
    <t>B/O_H H SH HAM_NBAD_526580622_Al Fard</t>
  </si>
  <si>
    <t>40,607.00</t>
  </si>
  <si>
    <t>61,616,573.51</t>
  </si>
  <si>
    <t>4040</t>
  </si>
  <si>
    <t>FARDAN210825</t>
  </si>
  <si>
    <t>251,762.00</t>
  </si>
  <si>
    <t>61,868,335.51</t>
  </si>
  <si>
    <t>4041</t>
  </si>
  <si>
    <t>51135418331</t>
  </si>
  <si>
    <t>26239814983 MBTRF B/O AASHISH KANAIYALAL VAGHANI</t>
  </si>
  <si>
    <t>30,172.50</t>
  </si>
  <si>
    <t>61,898,508.01</t>
  </si>
  <si>
    <t>4042</t>
  </si>
  <si>
    <t>INHOUSE CHEQUE DEPOSIT MALIK KHALIQ AL FARDAN EXCHANGE SP LLC CHQ NO ::000008</t>
  </si>
  <si>
    <t>405,482.00</t>
  </si>
  <si>
    <t>62,303,990.01</t>
  </si>
  <si>
    <t>4043</t>
  </si>
  <si>
    <t>000124</t>
  </si>
  <si>
    <t>INHOUSE CHEQUE DEPOSIT 000124 BASHEER PULIKKAL    IBRAHIM AL FARDAN EXCHANGE SP LLC CHQ NO ::000124</t>
  </si>
  <si>
    <t>62,353,990.01</t>
  </si>
  <si>
    <t>4044</t>
  </si>
  <si>
    <t>PHUB526576383</t>
  </si>
  <si>
    <t>B/O_BAWABAT AL_NBSH_526576383_TOF - T</t>
  </si>
  <si>
    <t>17,272.00</t>
  </si>
  <si>
    <t>62,371,262.01</t>
  </si>
  <si>
    <t>4045</t>
  </si>
  <si>
    <t>PHUB526584624</t>
  </si>
  <si>
    <t>CA 21082025</t>
  </si>
  <si>
    <t>14,800,000.00</t>
  </si>
  <si>
    <t>77,171,262.01</t>
  </si>
  <si>
    <t>4046</t>
  </si>
  <si>
    <t>PHUB526584881</t>
  </si>
  <si>
    <t>USD BUY 21082025</t>
  </si>
  <si>
    <t>72,364,010.00</t>
  </si>
  <si>
    <t>4,807,252.01</t>
  </si>
  <si>
    <t>4047</t>
  </si>
  <si>
    <t>51135727185</t>
  </si>
  <si>
    <t>2544178835 IBTRF B/O DEEPAK GARG AND/OR RITA GARG</t>
  </si>
  <si>
    <t>5,057,252.01</t>
  </si>
  <si>
    <t>4048</t>
  </si>
  <si>
    <t>51135747280</t>
  </si>
  <si>
    <t>2544179669 IBTRF B/O DEEPAK GARG AND/OR RITA GARG</t>
  </si>
  <si>
    <t>5,167,252.01</t>
  </si>
  <si>
    <t>4049</t>
  </si>
  <si>
    <t>PHUB526585501</t>
  </si>
  <si>
    <t>UEC 21082025</t>
  </si>
  <si>
    <t>14,657,940.18</t>
  </si>
  <si>
    <t>-9,490,688.17</t>
  </si>
  <si>
    <t>4050</t>
  </si>
  <si>
    <t>105,012.00</t>
  </si>
  <si>
    <t>-9,385,676.17</t>
  </si>
  <si>
    <t>4051</t>
  </si>
  <si>
    <t>B/O_BITS PILAN_HSBC_526586925_AEL2508</t>
  </si>
  <si>
    <t>59,542.00</t>
  </si>
  <si>
    <t>-9,326,134.17</t>
  </si>
  <si>
    <t>4052</t>
  </si>
  <si>
    <t>PHUB526589645</t>
  </si>
  <si>
    <t>526589645 B/O SARAVANAN THANKAPPAN</t>
  </si>
  <si>
    <t>10,012.50</t>
  </si>
  <si>
    <t>-9,316,121.67</t>
  </si>
  <si>
    <t>4053</t>
  </si>
  <si>
    <t>003864</t>
  </si>
  <si>
    <t>INHOUSE CHEQUE DEPOSIT 003864 BADARUDEEN SHAMSUDEEN    SHAMSUDEEN AL FARDAN EXCHANGE SP LLC CHQ NO ::003864</t>
  </si>
  <si>
    <t>266,717.00</t>
  </si>
  <si>
    <t>-9,049,404.67</t>
  </si>
  <si>
    <t>4054</t>
  </si>
  <si>
    <t>51136153967</t>
  </si>
  <si>
    <t>26240496286 MBTRF B/O MIAN MAHMOOD AHMAD</t>
  </si>
  <si>
    <t>48,444.40</t>
  </si>
  <si>
    <t>-9,000,960.27</t>
  </si>
  <si>
    <t>4055</t>
  </si>
  <si>
    <t>PHUB526594607</t>
  </si>
  <si>
    <t>526594607 B/O HAMZA AHMED SHEIKH</t>
  </si>
  <si>
    <t>-8,999,960.27</t>
  </si>
  <si>
    <t>4056</t>
  </si>
  <si>
    <t>PHUB526595956</t>
  </si>
  <si>
    <t>B/O_ABDULRAHMA_NBSH_526595956_PV 817</t>
  </si>
  <si>
    <t>26,478.75</t>
  </si>
  <si>
    <t>-8,973,481.52</t>
  </si>
  <si>
    <t>4057</t>
  </si>
  <si>
    <t>001142</t>
  </si>
  <si>
    <t>INHOUSE CHEQUE DEPOSIT 001142 MUHAMED IRFANUL HAQ THALIKAPARAMBIL   ABOOBACKER AL FARDAN EXCHANGE SP LLC CHQ NO ::001142</t>
  </si>
  <si>
    <t>4,312.75</t>
  </si>
  <si>
    <t>-8,969,168.77</t>
  </si>
  <si>
    <t>4058</t>
  </si>
  <si>
    <t>PHUB526605618</t>
  </si>
  <si>
    <t>14,342.83</t>
  </si>
  <si>
    <t>-8,954,825.94</t>
  </si>
  <si>
    <t>4059</t>
  </si>
  <si>
    <t>PHUB526605739</t>
  </si>
  <si>
    <t>MUSTAFA LEAVE AND ADV SAL</t>
  </si>
  <si>
    <t>23,186.50</t>
  </si>
  <si>
    <t>-8,931,639.44</t>
  </si>
  <si>
    <t>4060</t>
  </si>
  <si>
    <t>PHUB526608226</t>
  </si>
  <si>
    <t>B/O_ABDUL RASHEED AY_526608226</t>
  </si>
  <si>
    <t>-8,881,639.44</t>
  </si>
  <si>
    <t>4061</t>
  </si>
  <si>
    <t>PHUB526612258</t>
  </si>
  <si>
    <t>B/O_THE UNIVER_NBFU_526612258_PAYMENT</t>
  </si>
  <si>
    <t>127,093.26</t>
  </si>
  <si>
    <t>-8,754,546.18</t>
  </si>
  <si>
    <t>4062</t>
  </si>
  <si>
    <t>51137367368</t>
  </si>
  <si>
    <t>26241613621 MBTRF B/O TONICHAN ABRAHAM ANCHEAKARA JOHN</t>
  </si>
  <si>
    <t>-8,704,546.18</t>
  </si>
  <si>
    <t>4063</t>
  </si>
  <si>
    <t>51137378681</t>
  </si>
  <si>
    <t>26241624955 MBTRF B/O M N BUILDING MATERIALS LLC SPC</t>
  </si>
  <si>
    <t>14,179.50</t>
  </si>
  <si>
    <t>-8,690,366.68</t>
  </si>
  <si>
    <t>4064</t>
  </si>
  <si>
    <t>1,197.47</t>
  </si>
  <si>
    <t>-8,689,169.21</t>
  </si>
  <si>
    <t>4065</t>
  </si>
  <si>
    <t>PHUB526613854</t>
  </si>
  <si>
    <t>FARDAN SAFIULLA</t>
  </si>
  <si>
    <t>25,495.19</t>
  </si>
  <si>
    <t>-8,663,674.02</t>
  </si>
  <si>
    <t>4066</t>
  </si>
  <si>
    <t>PHUB526615698</t>
  </si>
  <si>
    <t>B/O_KHALID MAJ_MEBL_526615698_</t>
  </si>
  <si>
    <t>77,475.60</t>
  </si>
  <si>
    <t>-8,586,198.42</t>
  </si>
  <si>
    <t>4067</t>
  </si>
  <si>
    <t>PHUB526618446</t>
  </si>
  <si>
    <t>526618446 B/O EMADELDIN GOHAR MOHAMED MOHAMED DAW</t>
  </si>
  <si>
    <t>18,727.50</t>
  </si>
  <si>
    <t>-8,567,470.92</t>
  </si>
  <si>
    <t>4068</t>
  </si>
  <si>
    <t>PHUB526622244</t>
  </si>
  <si>
    <t>B/O_(L.L.C) CLIMA GU_526622244</t>
  </si>
  <si>
    <t>3,705.75</t>
  </si>
  <si>
    <t>-8,563,765.17</t>
  </si>
  <si>
    <t>4069</t>
  </si>
  <si>
    <t>INHOUSE CHEQUE DEPOSIT 000275 SHAMSHEER KHAN AHAMED KHAN AHAMED  KHAN AL FARDAN EXCHANGE SP LLC CHQ NO ::000275</t>
  </si>
  <si>
    <t>-8,413,765.17</t>
  </si>
  <si>
    <t>4070</t>
  </si>
  <si>
    <t>-8,263,765.17</t>
  </si>
  <si>
    <t>4071</t>
  </si>
  <si>
    <t>000274</t>
  </si>
  <si>
    <t>INHOUSE CHEQUE DEPOSIT 000274 SHAMSHEER KHAN AHAMED KHAN AHAMED  KHAN AL FARDAN EXCHANGE SP LLC CHQ NO ::000274</t>
  </si>
  <si>
    <t>-7,913,765.17</t>
  </si>
  <si>
    <t>4072</t>
  </si>
  <si>
    <t>005768</t>
  </si>
  <si>
    <t>INHOUSE CHEQUE DEPOSIT 005768 JOBI,KAVUNGAL JOHNY,KAVUNGAL,,,JOHNY, AL FARDAN EXCHANGE SP LLC CHQ NO ::005768</t>
  </si>
  <si>
    <t>315,657.00</t>
  </si>
  <si>
    <t>-7,598,108.17</t>
  </si>
  <si>
    <t>4073</t>
  </si>
  <si>
    <t>-7,556,108.17</t>
  </si>
  <si>
    <t>4074</t>
  </si>
  <si>
    <t>PHUB526625634</t>
  </si>
  <si>
    <t>36595</t>
  </si>
  <si>
    <t>22,104.20</t>
  </si>
  <si>
    <t>-7,534,003.97</t>
  </si>
  <si>
    <t>4075</t>
  </si>
  <si>
    <t>64,406.25</t>
  </si>
  <si>
    <t>-7,469,597.72</t>
  </si>
  <si>
    <t>4076</t>
  </si>
  <si>
    <t>PHUB526630250</t>
  </si>
  <si>
    <t>526630250 B/O SATISH KANAUJIA</t>
  </si>
  <si>
    <t>21,408.50</t>
  </si>
  <si>
    <t>-7,448,189.22</t>
  </si>
  <si>
    <t>4077</t>
  </si>
  <si>
    <t>1,803.68</t>
  </si>
  <si>
    <t>-7,446,385.54</t>
  </si>
  <si>
    <t>4078</t>
  </si>
  <si>
    <t>PHUB526632449</t>
  </si>
  <si>
    <t>B/O_/009/004 Z_NRAK_526632449_Goods B</t>
  </si>
  <si>
    <t>685,649.78</t>
  </si>
  <si>
    <t>-6,760,735.76</t>
  </si>
  <si>
    <t>4079</t>
  </si>
  <si>
    <t>019280</t>
  </si>
  <si>
    <t>INHOUSE CHEQUE DEPOSIT 019280 MANU,JACOB,,,,JACOB, AL FARDAN EXCHANGE SP LLC CHQ NO ::019280</t>
  </si>
  <si>
    <t>22,240.66</t>
  </si>
  <si>
    <t>-6,738,495.10</t>
  </si>
  <si>
    <t>4080</t>
  </si>
  <si>
    <t>PHUB526636532</t>
  </si>
  <si>
    <t>B/O_AL FARDAN _EBIL_526636532_AUHADCB</t>
  </si>
  <si>
    <t>7,500,000.00</t>
  </si>
  <si>
    <t>761,504.90</t>
  </si>
  <si>
    <t>4081</t>
  </si>
  <si>
    <t>019278</t>
  </si>
  <si>
    <t>INHOUSE CHEQUE DEPOSIT 019278 MANU,JACOB,,,,JACOB, AL FARDAN EXCHANGE SP LLC CHQ NO ::019278</t>
  </si>
  <si>
    <t>18,645.68</t>
  </si>
  <si>
    <t>780,150.58</t>
  </si>
  <si>
    <t>4082</t>
  </si>
  <si>
    <t>019279</t>
  </si>
  <si>
    <t>INHOUSE CHEQUE DEPOSIT 019279 MANU,JACOB,,,,JACOB, AL FARDAN EXCHANGE SP LLC CHQ NO ::019279</t>
  </si>
  <si>
    <t>23,061.94</t>
  </si>
  <si>
    <t>803,212.52</t>
  </si>
  <si>
    <t>4083</t>
  </si>
  <si>
    <t>019281</t>
  </si>
  <si>
    <t>INHOUSE CHEQUE DEPOSIT 019281 MANU,JACOB,,,,JACOB, AL FARDAN EXCHANGE SP LLC CHQ NO ::019281</t>
  </si>
  <si>
    <t>18,612.90</t>
  </si>
  <si>
    <t>821,825.42</t>
  </si>
  <si>
    <t>4084</t>
  </si>
  <si>
    <t>INHOUSE CHEQUE DEPOSIT 000044 SHAMSHEER KHAN AHAMED KHAN AHAMED  KHAN AL FARDAN EXCHANGE SP LLC CHQ NO ::000044</t>
  </si>
  <si>
    <t>21,506.50</t>
  </si>
  <si>
    <t>843,331.92</t>
  </si>
  <si>
    <t>4085</t>
  </si>
  <si>
    <t>51139260454</t>
  </si>
  <si>
    <t>26243341753 MBTRF B/O KATHIRVELAN VELAYUTHAM</t>
  </si>
  <si>
    <t>24,000.00</t>
  </si>
  <si>
    <t>867,331.92</t>
  </si>
  <si>
    <t>4086</t>
  </si>
  <si>
    <t>PHUB526648405</t>
  </si>
  <si>
    <t>B/O_AL FARDAN _BMIS_526648405_FUNDING</t>
  </si>
  <si>
    <t>1,317,331.92</t>
  </si>
  <si>
    <t>4087</t>
  </si>
  <si>
    <t>PHUB526677460</t>
  </si>
  <si>
    <t>B/O_GOLDEN POI_BARB_526677460_IMPORT</t>
  </si>
  <si>
    <t>146,916.00</t>
  </si>
  <si>
    <t>1,464,247.92</t>
  </si>
  <si>
    <t>4088</t>
  </si>
  <si>
    <t>51141022326</t>
  </si>
  <si>
    <t>26245029178 MBTRF B/O MOHAMAD MASHHADANI</t>
  </si>
  <si>
    <t>53,366.00</t>
  </si>
  <si>
    <t>1,517,613.92</t>
  </si>
  <si>
    <t>4089</t>
  </si>
  <si>
    <t>1,521,640.17</t>
  </si>
  <si>
    <t>4090</t>
  </si>
  <si>
    <t>PHUB526687858</t>
  </si>
  <si>
    <t>B/O_HIND IAZZA_ADIB_526687858_Own acc</t>
  </si>
  <si>
    <t>1,621,640.17</t>
  </si>
  <si>
    <t>4091</t>
  </si>
  <si>
    <t>PHUB526692014</t>
  </si>
  <si>
    <t>WEIGHTS PAYMENT</t>
  </si>
  <si>
    <t>14,756.50</t>
  </si>
  <si>
    <t>1,636,396.67</t>
  </si>
  <si>
    <t>4092</t>
  </si>
  <si>
    <t>PHUB526700638</t>
  </si>
  <si>
    <t>HVHJV</t>
  </si>
  <si>
    <t>B/O EXCELLON GOLD TRADING LLC</t>
  </si>
  <si>
    <t>6,526.25</t>
  </si>
  <si>
    <t>1,642,922.92</t>
  </si>
  <si>
    <t>4093</t>
  </si>
  <si>
    <t>PHUB526694748</t>
  </si>
  <si>
    <t>OU STAFF PAYMENTS</t>
  </si>
  <si>
    <t>42,717.94</t>
  </si>
  <si>
    <t>1,685,640.86</t>
  </si>
  <si>
    <t>4094</t>
  </si>
  <si>
    <t>PHUB526702463</t>
  </si>
  <si>
    <t>526702463 B/O AL SADARAH ENGINEERING SOLUTION FZE</t>
  </si>
  <si>
    <t>1,685,903.43</t>
  </si>
  <si>
    <t>4095</t>
  </si>
  <si>
    <t>PHUB526713007</t>
  </si>
  <si>
    <t>B/O_ABDULLAH AHMED G_526713007</t>
  </si>
  <si>
    <t>36,905.50</t>
  </si>
  <si>
    <t>1,722,808.93</t>
  </si>
  <si>
    <t>4096</t>
  </si>
  <si>
    <t>51142742784</t>
  </si>
  <si>
    <t>26246810388 MBTRF B/O ISLAM ABDELWAHAB ALI ISMAIL</t>
  </si>
  <si>
    <t>2,041.25</t>
  </si>
  <si>
    <t>1,724,850.18</t>
  </si>
  <si>
    <t>4097</t>
  </si>
  <si>
    <t>001189</t>
  </si>
  <si>
    <t>CHEQUE DEPOSIT 001189 MUHAMMAD AKRAM NAZAR   MUHAMMAD 102310030 CHQ NO ::001189</t>
  </si>
  <si>
    <t>24,001.70</t>
  </si>
  <si>
    <t>1,748,851.88</t>
  </si>
  <si>
    <t>4098</t>
  </si>
  <si>
    <t>100063</t>
  </si>
  <si>
    <t>CHEQUE DEPOSIT ANWAR AL TAREQ 802420101 CHQ NO ::100063</t>
  </si>
  <si>
    <t>1,822,392.38</t>
  </si>
  <si>
    <t>4099</t>
  </si>
  <si>
    <t>120370</t>
  </si>
  <si>
    <t>CHEQUE DEPOSIT 120370 BASHEER PULIKKAL    IBRAHIM 502010101 CHQ NO ::120370</t>
  </si>
  <si>
    <t>10,501.50</t>
  </si>
  <si>
    <t>1,832,893.88</t>
  </si>
  <si>
    <t>4100</t>
  </si>
  <si>
    <t>CHEQUE DEPOSIT 000002 FARHAN ALI SHAN     ABDUL WAZIR ALI 502621073 CHQ NO ::000002</t>
  </si>
  <si>
    <t>72,000.00</t>
  </si>
  <si>
    <t>1,904,893.88</t>
  </si>
  <si>
    <t>4101</t>
  </si>
  <si>
    <t>2508211909239305</t>
  </si>
  <si>
    <t>CHQ RETRN:Signature Irregular 502621073 CHQ NO ::000002</t>
  </si>
  <si>
    <t>4102</t>
  </si>
  <si>
    <t>000296</t>
  </si>
  <si>
    <t>CHEQUE DEPOSIT 000296 SHAMSHEER KHAN AHAMED KHAN AHAMED  KHAN 804030157 CHQ NO ::000296</t>
  </si>
  <si>
    <t>3,888.29</t>
  </si>
  <si>
    <t>1,836,782.17</t>
  </si>
  <si>
    <t>4103</t>
  </si>
  <si>
    <t>000981</t>
  </si>
  <si>
    <t>CHEQUE DEPOSIT 000981 SHAMSHEER KHAN AHAMED KHAN AHAMED  KHAN 103321073 CHQ NO ::000981</t>
  </si>
  <si>
    <t>131,905.00</t>
  </si>
  <si>
    <t>1,968,687.17</t>
  </si>
  <si>
    <t>4104</t>
  </si>
  <si>
    <t>100064</t>
  </si>
  <si>
    <t>CHEQUE DEPOSIT ANWAR AL TAREQ 802420101 CHQ NO ::100064</t>
  </si>
  <si>
    <t>112,797.50</t>
  </si>
  <si>
    <t>2,081,484.67</t>
  </si>
  <si>
    <t>4105</t>
  </si>
  <si>
    <t>001522</t>
  </si>
  <si>
    <t>CHEQUE DEPOSIT 001522 MUHAMMAD AKRAM NAZAR   MUHAMMAD 102310030 CHQ NO ::001522</t>
  </si>
  <si>
    <t>304,495.40</t>
  </si>
  <si>
    <t>2,385,980.07</t>
  </si>
  <si>
    <t>4106</t>
  </si>
  <si>
    <t>056248</t>
  </si>
  <si>
    <t>CHEQUE DEPOSIT 056248 SHAMSHEER KHAN AHAMED KHAN AHAMED  KHAN 103130112 CHQ NO ::056248</t>
  </si>
  <si>
    <t>2,569,740.57</t>
  </si>
  <si>
    <t>4107</t>
  </si>
  <si>
    <t>001591</t>
  </si>
  <si>
    <t>CHEQUE DEPOSIT 001591 RAAFAT MAAMOUN    ALMASRI 001430152 CHQ NO ::001591</t>
  </si>
  <si>
    <t>72,526.25</t>
  </si>
  <si>
    <t>2,642,266.82</t>
  </si>
  <si>
    <t>4108</t>
  </si>
  <si>
    <t>CHEQUE DEPOSIT 000012 MUHAMMED ALI SALAHUDEEN    SALAHUDEEN M 703320106 CHQ NO ::000012</t>
  </si>
  <si>
    <t>9,376.10</t>
  </si>
  <si>
    <t>2,651,642.92</t>
  </si>
  <si>
    <t>4109</t>
  </si>
  <si>
    <t>CHEQUE DEPOSIT BEST CRANE 802630140 CHQ NO ::000077</t>
  </si>
  <si>
    <t>367,460.00</t>
  </si>
  <si>
    <t>3,019,102.92</t>
  </si>
  <si>
    <t>4110</t>
  </si>
  <si>
    <t>000507</t>
  </si>
  <si>
    <t>CHEQUE DEPOSIT 000507 MUHAMMAD AKRAM NAZAR   MUHAMMAD 304110061 CHQ NO ::000507</t>
  </si>
  <si>
    <t>3,092,635.42</t>
  </si>
  <si>
    <t>4111</t>
  </si>
  <si>
    <t>081803</t>
  </si>
  <si>
    <t>CHEQUE DEPOSIT 081803 DIL JAN MOHAMMAD   ALI 704060131 CHQ NO ::081803</t>
  </si>
  <si>
    <t>96,770.00</t>
  </si>
  <si>
    <t>3,189,405.42</t>
  </si>
  <si>
    <t>4112</t>
  </si>
  <si>
    <t>PHUB526730531</t>
  </si>
  <si>
    <t>526730531 B/O ASLAM MANKADAVATH PUTHANVEETTIL</t>
  </si>
  <si>
    <t>3,189,905.42</t>
  </si>
  <si>
    <t>4113</t>
  </si>
  <si>
    <t>573199</t>
  </si>
  <si>
    <t>CHEQUE DEPOSIT 573199 BASHEER PULIKKAL    IBRAHIM 203511136 CHQ NO ::573199</t>
  </si>
  <si>
    <t>36,500.00</t>
  </si>
  <si>
    <t>3,226,405.42</t>
  </si>
  <si>
    <t>4114</t>
  </si>
  <si>
    <t>000095</t>
  </si>
  <si>
    <t>CHEQUE DEPOSIT 000095 SHAMSHEER KHAN AHAMED KHAN AHAMED  KHAN 504020188 CHQ NO ::000095</t>
  </si>
  <si>
    <t>3,263,205.92</t>
  </si>
  <si>
    <t>4115</t>
  </si>
  <si>
    <t>CHEQUE DEPOSIT AL MAJARAH 804030157 CHQ NO ::001161</t>
  </si>
  <si>
    <t>58,844.50</t>
  </si>
  <si>
    <t>3,322,050.42</t>
  </si>
  <si>
    <t>4116</t>
  </si>
  <si>
    <t>CHEQUE DEPOSIT AL BARAKH 104030136 CHQ NO ::000038</t>
  </si>
  <si>
    <t>3,469,357.92</t>
  </si>
  <si>
    <t>4117</t>
  </si>
  <si>
    <t>000990</t>
  </si>
  <si>
    <t>CHEQUE DEPOSIT 000990 SHAMSHEER KHAN AHAMED KHAN AHAMED  KHAN 003020106 CHQ NO ::000990</t>
  </si>
  <si>
    <t>31,053.00</t>
  </si>
  <si>
    <t>3,500,410.92</t>
  </si>
  <si>
    <t>4118</t>
  </si>
  <si>
    <t>CHEQUE DEPOSIT 000239 SHAMSHEER KHAN AHAMED KHAN AHAMED  KHAN 904720107 CHQ NO ::000239</t>
  </si>
  <si>
    <t>30,075.68</t>
  </si>
  <si>
    <t>3,530,486.60</t>
  </si>
  <si>
    <t>4119</t>
  </si>
  <si>
    <t>002328</t>
  </si>
  <si>
    <t>CHEQUE DEPOSIT 002328 MUHAMMAD,BILAL,,,,MUHAMMAD ILYAS, 903320188 CHQ NO ::002328</t>
  </si>
  <si>
    <t>951.00</t>
  </si>
  <si>
    <t>3,531,437.60</t>
  </si>
  <si>
    <t>4120</t>
  </si>
  <si>
    <t>000509</t>
  </si>
  <si>
    <t>CHEQUE DEPOSIT 000509 MUHAMMAD AKRAM NAZAR   MUHAMMAD 304110061 CHQ NO ::000509</t>
  </si>
  <si>
    <t>3,875,751.35</t>
  </si>
  <si>
    <t>4121</t>
  </si>
  <si>
    <t>500282</t>
  </si>
  <si>
    <t>QASYOON</t>
  </si>
  <si>
    <t>CHEQUE DEPOSIT QASYOON 105011002 CHQ NO ::500282</t>
  </si>
  <si>
    <t>13,123.00</t>
  </si>
  <si>
    <t>3,888,874.35</t>
  </si>
  <si>
    <t>4122</t>
  </si>
  <si>
    <t>CHEQUE DEPOSIT 000012 SHAMSHEER KHAN AHAMED KHAN AHAMED  KHAN 804030124 CHQ NO ::000012</t>
  </si>
  <si>
    <t>476.50</t>
  </si>
  <si>
    <t>3,889,350.85</t>
  </si>
  <si>
    <t>4123</t>
  </si>
  <si>
    <t>003664</t>
  </si>
  <si>
    <t>CHEQUE DEPOSIT 003664 ANANDHU SALIMON GOPAL ETTIYAPADAM   GOPALAN SALI 101110101 CHQ NO ::003664</t>
  </si>
  <si>
    <t>5,853.00</t>
  </si>
  <si>
    <t>3,895,203.85</t>
  </si>
  <si>
    <t>4124</t>
  </si>
  <si>
    <t>000508</t>
  </si>
  <si>
    <t>CHEQUE DEPOSIT 000508 MUHAMMAD AKRAM NAZAR   MUHAMMAD 304110061 CHQ NO ::000508</t>
  </si>
  <si>
    <t>4,005,472.35</t>
  </si>
  <si>
    <t>4125</t>
  </si>
  <si>
    <t>CHEQUE DEPOSIT JAMSHAID MUNEER 703430256 CHQ NO ::000018</t>
  </si>
  <si>
    <t>85,647.97</t>
  </si>
  <si>
    <t>4,091,120.32</t>
  </si>
  <si>
    <t>4126</t>
  </si>
  <si>
    <t>000229</t>
  </si>
  <si>
    <t>CHEQUE DEPOSIT RUKN AL QAMAR 603430129 CHQ NO ::000229</t>
  </si>
  <si>
    <t>74,882.30</t>
  </si>
  <si>
    <t>4,166,002.62</t>
  </si>
  <si>
    <t>4127</t>
  </si>
  <si>
    <t>364025</t>
  </si>
  <si>
    <t>CHEQUE DEPOSIT AL ROSHID 701211002 CHQ NO ::364025</t>
  </si>
  <si>
    <t>150,176.25</t>
  </si>
  <si>
    <t>4,316,178.87</t>
  </si>
  <si>
    <t>4128</t>
  </si>
  <si>
    <t>CHEQUE DEPOSIT 000261 SHAMSHEER KHAN AHAMED KHAN AHAMED  KHAN 602920102 CHQ NO ::000261</t>
  </si>
  <si>
    <t>95,584.50</t>
  </si>
  <si>
    <t>4,411,763.37</t>
  </si>
  <si>
    <t>4129</t>
  </si>
  <si>
    <t>012727</t>
  </si>
  <si>
    <t>CHEQUE DEPOSIT 012727 SHIELA MONTENEGRO    AURE 903420130 CHQ NO ::012727</t>
  </si>
  <si>
    <t>112,890.50</t>
  </si>
  <si>
    <t>4,524,653.87</t>
  </si>
  <si>
    <t>4130</t>
  </si>
  <si>
    <t>000260</t>
  </si>
  <si>
    <t>CHEQUE DEPOSIT 000260 SHAMSHEER KHAN AHAMED KHAN AHAMED  KHAN 602920102 CHQ NO ::000260</t>
  </si>
  <si>
    <t>4,036.00</t>
  </si>
  <si>
    <t>4,528,689.87</t>
  </si>
  <si>
    <t>4131</t>
  </si>
  <si>
    <t>51143886016</t>
  </si>
  <si>
    <t>26248103525 MBTRF B/O MUHAMED FARHAN</t>
  </si>
  <si>
    <t>26,452.00</t>
  </si>
  <si>
    <t>4,555,141.87</t>
  </si>
  <si>
    <t>4132</t>
  </si>
  <si>
    <t>51143912785</t>
  </si>
  <si>
    <t>2544437519 IBTRF B/O POWER TECH INTERNATIONAL TR LLC</t>
  </si>
  <si>
    <t>80,699.46</t>
  </si>
  <si>
    <t>4,635,841.33</t>
  </si>
  <si>
    <t>4133</t>
  </si>
  <si>
    <t>51144589856</t>
  </si>
  <si>
    <t>26248905201 MBTRF B/O AMANY FAROUK AHMED ALI ABDELWARTH</t>
  </si>
  <si>
    <t>3,960.00</t>
  </si>
  <si>
    <t>4,639,801.33</t>
  </si>
  <si>
    <t>4134</t>
  </si>
  <si>
    <t>MOB2108252047148225772</t>
  </si>
  <si>
    <t>B/O AL ARD AL THAHABIAH AGR LLC SOLE PR</t>
  </si>
  <si>
    <t>17,367.00</t>
  </si>
  <si>
    <t>4,657,168.33</t>
  </si>
  <si>
    <t>4135</t>
  </si>
  <si>
    <t>51145016557</t>
  </si>
  <si>
    <t>26249406773 MBTRF B/O AKMAL NAZIR</t>
  </si>
  <si>
    <t>1,124.11</t>
  </si>
  <si>
    <t>4,658,292.44</t>
  </si>
  <si>
    <t>4136</t>
  </si>
  <si>
    <t>PHUB526758034</t>
  </si>
  <si>
    <t>526758034 B/O SALAHELDIN AHMED NASR REZK</t>
  </si>
  <si>
    <t>4,658,922.44</t>
  </si>
  <si>
    <t>4137</t>
  </si>
  <si>
    <t>PHUB526760816</t>
  </si>
  <si>
    <t>B/O_KARTHIKEYAN SWAM_526760816</t>
  </si>
  <si>
    <t>33,839.00</t>
  </si>
  <si>
    <t>4,692,761.44</t>
  </si>
  <si>
    <t>4138</t>
  </si>
  <si>
    <t>PHUB526763299</t>
  </si>
  <si>
    <t>526763299 B/O AMRO MAHMOUD AMIN HUSSIEN</t>
  </si>
  <si>
    <t>5,048.34</t>
  </si>
  <si>
    <t>4,697,809.78</t>
  </si>
  <si>
    <t>4139</t>
  </si>
  <si>
    <t>51145415529</t>
  </si>
  <si>
    <t>26249877357 MBTRF B/O ZAHRAT AL MADAAIN FOODSTUFF</t>
  </si>
  <si>
    <t>63,344.50</t>
  </si>
  <si>
    <t>4,761,154.28</t>
  </si>
  <si>
    <t>4140</t>
  </si>
  <si>
    <t>51145450930</t>
  </si>
  <si>
    <t>26249916514 MBTRF B/O ZAHRAT AL MADAAIN FOODSTUFF</t>
  </si>
  <si>
    <t>4,824,498.78</t>
  </si>
  <si>
    <t>4141</t>
  </si>
  <si>
    <t>51145896216</t>
  </si>
  <si>
    <t>26250442458 MBTRF B/O GREEN HOMELAND BUILDING MAINT LLC</t>
  </si>
  <si>
    <t>29,447.00</t>
  </si>
  <si>
    <t>4,853,945.78</t>
  </si>
  <si>
    <t>4142</t>
  </si>
  <si>
    <t>51146111350</t>
  </si>
  <si>
    <t>26250704805 MBTRF B/O TAHIR NADEEM</t>
  </si>
  <si>
    <t>62,169.50</t>
  </si>
  <si>
    <t>4,916,115.28</t>
  </si>
  <si>
    <t>4143</t>
  </si>
  <si>
    <t>PHUB526774988</t>
  </si>
  <si>
    <t>B/O_TAMER ZAKARIA AB_526774988</t>
  </si>
  <si>
    <t>11,403.25</t>
  </si>
  <si>
    <t>4,927,518.53</t>
  </si>
  <si>
    <t>4144</t>
  </si>
  <si>
    <t>B/O_ABDUL QAYYUM_526776103</t>
  </si>
  <si>
    <t>13,046.00</t>
  </si>
  <si>
    <t>4,940,564.53</t>
  </si>
  <si>
    <t>4145</t>
  </si>
  <si>
    <t>51146374582</t>
  </si>
  <si>
    <t>26251013808 MBTRF B/O VIKRAM PRABHAKAR</t>
  </si>
  <si>
    <t>1,153.46</t>
  </si>
  <si>
    <t>4,941,717.99</t>
  </si>
  <si>
    <t>4146</t>
  </si>
  <si>
    <t>22-Aug-2025</t>
  </si>
  <si>
    <t>51148483372</t>
  </si>
  <si>
    <t>26253573428 MBTRF B/O NILESH SINKAR</t>
  </si>
  <si>
    <t>36,810.50</t>
  </si>
  <si>
    <t>4,978,528.49</t>
  </si>
  <si>
    <t>4147</t>
  </si>
  <si>
    <t>91,832.50</t>
  </si>
  <si>
    <t>5,070,360.99</t>
  </si>
  <si>
    <t>4148</t>
  </si>
  <si>
    <t>2,003.15</t>
  </si>
  <si>
    <t>5,072,364.14</t>
  </si>
  <si>
    <t>4149</t>
  </si>
  <si>
    <t>5,074,367.29</t>
  </si>
  <si>
    <t>4150</t>
  </si>
  <si>
    <t>PHUB526822563</t>
  </si>
  <si>
    <t>B/O_SEACOR OFF_CITI_526822563_CREW AL</t>
  </si>
  <si>
    <t>320,165.20</t>
  </si>
  <si>
    <t>5,394,532.49</t>
  </si>
  <si>
    <t>4151</t>
  </si>
  <si>
    <t>51149836146</t>
  </si>
  <si>
    <t>26255028689 MBTRF B/O JABIR KAKKOTTAKATH PUTHIYA PURAYIL</t>
  </si>
  <si>
    <t>171,890.00</t>
  </si>
  <si>
    <t>5,566,422.49</t>
  </si>
  <si>
    <t>4152</t>
  </si>
  <si>
    <t>51149916284</t>
  </si>
  <si>
    <t>26255110813 MBTRF B/O JACOB VELAMPARAMPIL THOMAS</t>
  </si>
  <si>
    <t>5,616,422.49</t>
  </si>
  <si>
    <t>4153</t>
  </si>
  <si>
    <t>PHUB526839261</t>
  </si>
  <si>
    <t>B/O_INDO POINT_BARB_526839261_Shippin</t>
  </si>
  <si>
    <t>72,322.45</t>
  </si>
  <si>
    <t>5,688,744.94</t>
  </si>
  <si>
    <t>4154</t>
  </si>
  <si>
    <t>PHUB526843681</t>
  </si>
  <si>
    <t>B/O_INTERNATIO_MEBL_526843681_PAYMENT</t>
  </si>
  <si>
    <t>942.35</t>
  </si>
  <si>
    <t>5,689,687.29</t>
  </si>
  <si>
    <t>4155</t>
  </si>
  <si>
    <t>PHUB526847331</t>
  </si>
  <si>
    <t>DXB 22082025</t>
  </si>
  <si>
    <t>4,189,687.29</t>
  </si>
  <si>
    <t>4156</t>
  </si>
  <si>
    <t>UFIC 22082025</t>
  </si>
  <si>
    <t>TRF TO UNITED FIDELITY INSUR CO-DUBAI BR</t>
  </si>
  <si>
    <t>717.09</t>
  </si>
  <si>
    <t>4,188,970.20</t>
  </si>
  <si>
    <t>4157</t>
  </si>
  <si>
    <t>51150992025</t>
  </si>
  <si>
    <t>26256150259 MBTRF B/O ANIL CHANDRAKANT DABKE</t>
  </si>
  <si>
    <t>428.00</t>
  </si>
  <si>
    <t>4,189,398.20</t>
  </si>
  <si>
    <t>4158</t>
  </si>
  <si>
    <t>2508220925519878</t>
  </si>
  <si>
    <t>Musaffah Shabiya AUH, 21ST AUG - Cash Collection TG</t>
  </si>
  <si>
    <t>4,499,398.20</t>
  </si>
  <si>
    <t>4159</t>
  </si>
  <si>
    <t>2508220925529889</t>
  </si>
  <si>
    <t>Musaffah Saniya AUH, 21ST AUG - Cash Collection TG</t>
  </si>
  <si>
    <t>4,769,398.20</t>
  </si>
  <si>
    <t>4160</t>
  </si>
  <si>
    <t>2508220925529908</t>
  </si>
  <si>
    <t>Old Shahama, 21ST AUG - Cash Collection TG</t>
  </si>
  <si>
    <t>4,919,398.20</t>
  </si>
  <si>
    <t>4161</t>
  </si>
  <si>
    <t>2508220925520429</t>
  </si>
  <si>
    <t>Shamkha Mall Abu dhabi, 21ST AUG - Cash Collection TG</t>
  </si>
  <si>
    <t>5,069,398.20</t>
  </si>
  <si>
    <t>4162</t>
  </si>
  <si>
    <t>2508220925520435</t>
  </si>
  <si>
    <t>ICAD Musaffah AUH, 21ST AUG - Cash Collection TG</t>
  </si>
  <si>
    <t>5,269,398.20</t>
  </si>
  <si>
    <t>4163</t>
  </si>
  <si>
    <t>2508220925530713</t>
  </si>
  <si>
    <t>Souk Br Al-Ain, 21ST AUG - Cash Collection TG</t>
  </si>
  <si>
    <t>5,689,398.20</t>
  </si>
  <si>
    <t>4164</t>
  </si>
  <si>
    <t>2508220925530725</t>
  </si>
  <si>
    <t>Al Ain (Clock Tower)1, 21ST AUG - Cash Collection TG</t>
  </si>
  <si>
    <t>6,049,398.20</t>
  </si>
  <si>
    <t>4165</t>
  </si>
  <si>
    <t>2508220925540731</t>
  </si>
  <si>
    <t>SANAYA ZAYED TOWN W/R, 21ST AUG - Cash Collection TG</t>
  </si>
  <si>
    <t>6,249,398.20</t>
  </si>
  <si>
    <t>4166</t>
  </si>
  <si>
    <t>2508220925540755</t>
  </si>
  <si>
    <t>Beda Zayed auh, 21ST AUG - Cash Collection TG</t>
  </si>
  <si>
    <t>6,509,398.20</t>
  </si>
  <si>
    <t>4167</t>
  </si>
  <si>
    <t>2508220925540761</t>
  </si>
  <si>
    <t>Sanaiya Gift Markete Al Ain, 21ST AUG - Cash Collection TG</t>
  </si>
  <si>
    <t>6,719,398.20</t>
  </si>
  <si>
    <t>4168</t>
  </si>
  <si>
    <t>2508220925540767</t>
  </si>
  <si>
    <t>Zayed 1st Street Electra AUH, 21ST AUG - Cash Collection TG</t>
  </si>
  <si>
    <t>6,874,398.20</t>
  </si>
  <si>
    <t>4169</t>
  </si>
  <si>
    <t>2508220925540773</t>
  </si>
  <si>
    <t>Al Dhafra AUH, 21ST AUG - Cash Collection TG</t>
  </si>
  <si>
    <t>7,154,398.20</t>
  </si>
  <si>
    <t>4170</t>
  </si>
  <si>
    <t>2508220925540779</t>
  </si>
  <si>
    <t>SWEIHAN  ALAIN, 21ST AUG - Cash Collection TG</t>
  </si>
  <si>
    <t>70,000.00</t>
  </si>
  <si>
    <t>7,224,398.20</t>
  </si>
  <si>
    <t>4171</t>
  </si>
  <si>
    <t>2508220925540785</t>
  </si>
  <si>
    <t>Al Yahar Al Ain, 21ST AUG - Cash Collection TG</t>
  </si>
  <si>
    <t>7,414,398.20</t>
  </si>
  <si>
    <t>4172</t>
  </si>
  <si>
    <t>2508220925540797</t>
  </si>
  <si>
    <t>AL FARDAN EXCH DEREI BLDNG AL QUAA AA, 21ST AUG - Cash Collection TG</t>
  </si>
  <si>
    <t>7,514,398.20</t>
  </si>
  <si>
    <t>4173</t>
  </si>
  <si>
    <t>2508220925540807</t>
  </si>
  <si>
    <t>TCA AUH, 21ST AUG - Cash Collection TG</t>
  </si>
  <si>
    <t>7,714,398.20</t>
  </si>
  <si>
    <t>4174</t>
  </si>
  <si>
    <t>2508220925540813</t>
  </si>
  <si>
    <t>B2B AUH, 21ST AUG - Cash Collection TG</t>
  </si>
  <si>
    <t>7,914,398.20</t>
  </si>
  <si>
    <t>4175</t>
  </si>
  <si>
    <t>2508220925540825</t>
  </si>
  <si>
    <t>Hamdan Abu Dhabi, 21ST AUG - Cash Collection TG</t>
  </si>
  <si>
    <t>300,035.00</t>
  </si>
  <si>
    <t>8,214,433.20</t>
  </si>
  <si>
    <t>4176</t>
  </si>
  <si>
    <t>2508220925581271</t>
  </si>
  <si>
    <t>NESTO HYPRMRKT AJM, 21ST AUG - Cash Collection TG</t>
  </si>
  <si>
    <t>8,584,433.20</t>
  </si>
  <si>
    <t>4177</t>
  </si>
  <si>
    <t>2508220925581293</t>
  </si>
  <si>
    <t>HOR AL ANZ, 21ST AUG - Cash Collection TG</t>
  </si>
  <si>
    <t>340,020.00</t>
  </si>
  <si>
    <t>8,924,453.20</t>
  </si>
  <si>
    <t>4178</t>
  </si>
  <si>
    <t>2508220925581299</t>
  </si>
  <si>
    <t>FUJAIRAH, 21ST AUG - Cash Collection TG</t>
  </si>
  <si>
    <t>9,294,453.20</t>
  </si>
  <si>
    <t>4179</t>
  </si>
  <si>
    <t>2508220925581305</t>
  </si>
  <si>
    <t>MEGA MALL SHARJAH BR 1, 21ST AUG - Cash Collection TG</t>
  </si>
  <si>
    <t>9,519,453.20</t>
  </si>
  <si>
    <t>4180</t>
  </si>
  <si>
    <t>2508220925581311</t>
  </si>
  <si>
    <t>UAQ, 21ST AUG - Cash Collection TG</t>
  </si>
  <si>
    <t>9,594,453.20</t>
  </si>
  <si>
    <t>4181</t>
  </si>
  <si>
    <t>2508220925581320</t>
  </si>
  <si>
    <t>CLOCK TOWER 1, 21ST AUG - Cash Collection TG</t>
  </si>
  <si>
    <t>10,404,453.20</t>
  </si>
  <si>
    <t>4182</t>
  </si>
  <si>
    <t>2508220925581326</t>
  </si>
  <si>
    <t>AL MINA NESTO BR DXB, 21ST AUG - Cash Collection TG</t>
  </si>
  <si>
    <t>100,100.00</t>
  </si>
  <si>
    <t>10,504,553.20</t>
  </si>
  <si>
    <t>4183</t>
  </si>
  <si>
    <t>2508220925581336</t>
  </si>
  <si>
    <t>CO OP SOCIETY SHJ 1, 21ST AUG - Cash Collection TG</t>
  </si>
  <si>
    <t>10,624,553.20</t>
  </si>
  <si>
    <t>4184</t>
  </si>
  <si>
    <t>2508220925581372</t>
  </si>
  <si>
    <t>AL AMEED MALL, 21ST AUG - Cash Collection TG</t>
  </si>
  <si>
    <t>10,954,553.20</t>
  </si>
  <si>
    <t>4185</t>
  </si>
  <si>
    <t>2508220925581392</t>
  </si>
  <si>
    <t>BUR DUBAI, 21ST AUG - Cash Collection TG</t>
  </si>
  <si>
    <t>11,054,553.20</t>
  </si>
  <si>
    <t>4186</t>
  </si>
  <si>
    <t>2508220925581398</t>
  </si>
  <si>
    <t>SATWA 1, 21ST AUG - Cash Collection TG</t>
  </si>
  <si>
    <t>11,354,553.20</t>
  </si>
  <si>
    <t>4187</t>
  </si>
  <si>
    <t>2508220925581401</t>
  </si>
  <si>
    <t>AL NHDA RES TWRS  SHJ, 21ST AUG - Cash Collection TG</t>
  </si>
  <si>
    <t>11,594,553.20</t>
  </si>
  <si>
    <t>4188</t>
  </si>
  <si>
    <t>2508220925581929</t>
  </si>
  <si>
    <t>AL MADAM SHJ, 21ST AUG - Cash Collection TG</t>
  </si>
  <si>
    <t>11,794,553.20</t>
  </si>
  <si>
    <t>4189</t>
  </si>
  <si>
    <t>2508220925591937</t>
  </si>
  <si>
    <t>SAJA INDUSTRIAL SHJ 2, 21ST AUG - Cash Collection TG</t>
  </si>
  <si>
    <t>11,994,553.20</t>
  </si>
  <si>
    <t>4190</t>
  </si>
  <si>
    <t>2508220925591947</t>
  </si>
  <si>
    <t>DUBAI MALL LG UNIT171, 21ST AUG - Cash Collection TG</t>
  </si>
  <si>
    <t>12,294,553.20</t>
  </si>
  <si>
    <t>4191</t>
  </si>
  <si>
    <t>2508220931204036</t>
  </si>
  <si>
    <t>BUY CASH 30,000 USD  RATE 3.676 FROM AL FARDAN</t>
  </si>
  <si>
    <t>110,280.00</t>
  </si>
  <si>
    <t>12,404,833.20</t>
  </si>
  <si>
    <t>4192</t>
  </si>
  <si>
    <t>PHUB526868215</t>
  </si>
  <si>
    <t>B/O_NAUREEN AAYRA KH_526868215</t>
  </si>
  <si>
    <t>14,060.50</t>
  </si>
  <si>
    <t>12,418,893.70</t>
  </si>
  <si>
    <t>4193</t>
  </si>
  <si>
    <t>PHUB526879969</t>
  </si>
  <si>
    <t>526879969 B/O MUHAMMED FARIS PILAKKAT ABDURAHMAN</t>
  </si>
  <si>
    <t>12,421,093.70</t>
  </si>
  <si>
    <t>4194</t>
  </si>
  <si>
    <t>PHUB526887124</t>
  </si>
  <si>
    <t>B/O_NEXT MOVE _BOML_526887124_ AIR TR</t>
  </si>
  <si>
    <t>14,008.19</t>
  </si>
  <si>
    <t>12,435,101.89</t>
  </si>
  <si>
    <t>4195</t>
  </si>
  <si>
    <t>PHUB526889428</t>
  </si>
  <si>
    <t>ALFARDAN GOLDEN OIL</t>
  </si>
  <si>
    <t>440,993.00</t>
  </si>
  <si>
    <t>12,876,094.89</t>
  </si>
  <si>
    <t>4196</t>
  </si>
  <si>
    <t>PHUB526891983</t>
  </si>
  <si>
    <t>MISCELLANEOUS EX2456</t>
  </si>
  <si>
    <t>O/W TRF 526891983</t>
  </si>
  <si>
    <t>4,881.00</t>
  </si>
  <si>
    <t>12,871,213.89</t>
  </si>
  <si>
    <t>4197</t>
  </si>
  <si>
    <t>CHCB526891983</t>
  </si>
  <si>
    <t>O/W PROCESSING CHARGE 526891983</t>
  </si>
  <si>
    <t>12,871,198.14</t>
  </si>
  <si>
    <t>4198</t>
  </si>
  <si>
    <t>CHRG526891983</t>
  </si>
  <si>
    <t>O/W CORR BK CHARGE 526891983</t>
  </si>
  <si>
    <t>12,871,197.09</t>
  </si>
  <si>
    <t>4199</t>
  </si>
  <si>
    <t>PHUB526892264</t>
  </si>
  <si>
    <t>526892264 B/O JABER SARI BALOOSH BARAK ALMAZROUEI</t>
  </si>
  <si>
    <t>2,819.00</t>
  </si>
  <si>
    <t>12,874,016.09</t>
  </si>
  <si>
    <t>4200</t>
  </si>
  <si>
    <t>PHUB526892802</t>
  </si>
  <si>
    <t>IMD 22082025</t>
  </si>
  <si>
    <t>26,362,509.32</t>
  </si>
  <si>
    <t>-13,488,493.23</t>
  </si>
  <si>
    <t>4201</t>
  </si>
  <si>
    <t>PHUB526893215</t>
  </si>
  <si>
    <t>CA 22082025</t>
  </si>
  <si>
    <t>25,000,000.00</t>
  </si>
  <si>
    <t>11,511,506.77</t>
  </si>
  <si>
    <t>4202</t>
  </si>
  <si>
    <t>PHUB526893699</t>
  </si>
  <si>
    <t>-488,493.23</t>
  </si>
  <si>
    <t>4203</t>
  </si>
  <si>
    <t>51152697379</t>
  </si>
  <si>
    <t>26257691938 MBTRF B/O ALEXANDER JAMES BROWN</t>
  </si>
  <si>
    <t>115,355.75</t>
  </si>
  <si>
    <t>-373,137.48</t>
  </si>
  <si>
    <t>4204</t>
  </si>
  <si>
    <t>2,303.15</t>
  </si>
  <si>
    <t>-370,834.33</t>
  </si>
  <si>
    <t>4205</t>
  </si>
  <si>
    <t>PHUB526923761</t>
  </si>
  <si>
    <t>526923761 B/O SAJJAD HUSSAIN</t>
  </si>
  <si>
    <t>-367,834.33</t>
  </si>
  <si>
    <t>4206</t>
  </si>
  <si>
    <t>B/O_AL MUSHTAR_BOML_526925520_ FINANC</t>
  </si>
  <si>
    <t>-331,033.83</t>
  </si>
  <si>
    <t>4207</t>
  </si>
  <si>
    <t>51153588889</t>
  </si>
  <si>
    <t>26258509639 MBTRF B/O JAISON RAJU VARGHESE</t>
  </si>
  <si>
    <t>-323,533.83</t>
  </si>
  <si>
    <t>4208</t>
  </si>
  <si>
    <t>PHUB526939340</t>
  </si>
  <si>
    <t>B/O_HUSAM ZAKA_ADIB_526939340_BUYING</t>
  </si>
  <si>
    <t>2,257,776.00</t>
  </si>
  <si>
    <t>1,934,242.17</t>
  </si>
  <si>
    <t>4209</t>
  </si>
  <si>
    <t>PHUB526940756</t>
  </si>
  <si>
    <t>EOS EX2330</t>
  </si>
  <si>
    <t>TRF TO HALEEMA SALEH SULAIMAN A ALMAHRI</t>
  </si>
  <si>
    <t>8,560.00</t>
  </si>
  <si>
    <t>1,925,682.17</t>
  </si>
  <si>
    <t>4210</t>
  </si>
  <si>
    <t>PHUB526940759</t>
  </si>
  <si>
    <t>EOS EX2456</t>
  </si>
  <si>
    <t>O/W TRF 526940759</t>
  </si>
  <si>
    <t>4,158.00</t>
  </si>
  <si>
    <t>1,921,524.17</t>
  </si>
  <si>
    <t>4211</t>
  </si>
  <si>
    <t>PHUB526940760</t>
  </si>
  <si>
    <t>EOS EX1725</t>
  </si>
  <si>
    <t>O/W TRF 526940760</t>
  </si>
  <si>
    <t>21,348.00</t>
  </si>
  <si>
    <t>1,900,176.17</t>
  </si>
  <si>
    <t>4212</t>
  </si>
  <si>
    <t>CHCB526940759</t>
  </si>
  <si>
    <t>O/W PROCESSING CHARGE 526940759</t>
  </si>
  <si>
    <t>1,900,160.42</t>
  </si>
  <si>
    <t>4213</t>
  </si>
  <si>
    <t>PHUB526946626</t>
  </si>
  <si>
    <t>EOS EX1639</t>
  </si>
  <si>
    <t>O/W TRF 526946626</t>
  </si>
  <si>
    <t>18,425.00</t>
  </si>
  <si>
    <t>1,881,735.42</t>
  </si>
  <si>
    <t>4214</t>
  </si>
  <si>
    <t>CHCB526940760</t>
  </si>
  <si>
    <t>O/W PROCESSING CHARGE 526940760</t>
  </si>
  <si>
    <t>1,881,719.67</t>
  </si>
  <si>
    <t>4215</t>
  </si>
  <si>
    <t>CHCB526946626</t>
  </si>
  <si>
    <t>O/W PROCESSING CHARGE 526946626</t>
  </si>
  <si>
    <t>1,881,703.92</t>
  </si>
  <si>
    <t>4216</t>
  </si>
  <si>
    <t>CHRG526940759</t>
  </si>
  <si>
    <t>O/W CORR BK CHARGE 526940759</t>
  </si>
  <si>
    <t>1,881,702.87</t>
  </si>
  <si>
    <t>4217</t>
  </si>
  <si>
    <t>CHRG526940760</t>
  </si>
  <si>
    <t>O/W CORR BK CHARGE 526940760</t>
  </si>
  <si>
    <t>1,881,701.82</t>
  </si>
  <si>
    <t>4218</t>
  </si>
  <si>
    <t>CHRG526946626</t>
  </si>
  <si>
    <t>O/W CORR BK CHARGE 526946626</t>
  </si>
  <si>
    <t>1,881,700.77</t>
  </si>
  <si>
    <t>4219</t>
  </si>
  <si>
    <t>51154036911</t>
  </si>
  <si>
    <t>26258915164 MBTRF B/O SANJOE  PORIYATHU MATHEW</t>
  </si>
  <si>
    <t>25,394.50</t>
  </si>
  <si>
    <t>1,907,095.27</t>
  </si>
  <si>
    <t>4220</t>
  </si>
  <si>
    <t>B/O_I N C A JE_UNIL_526941908_2523443</t>
  </si>
  <si>
    <t>5,147,800.00</t>
  </si>
  <si>
    <t>7,054,895.27</t>
  </si>
  <si>
    <t>4221</t>
  </si>
  <si>
    <t>PHUB526942057</t>
  </si>
  <si>
    <t>GL943341</t>
  </si>
  <si>
    <t>1,079.20</t>
  </si>
  <si>
    <t>7,055,974.47</t>
  </si>
  <si>
    <t>4222</t>
  </si>
  <si>
    <t>51154122233</t>
  </si>
  <si>
    <t>26258989690 MBTRF B/O AL SAQR TEXTILE TRADING LLC</t>
  </si>
  <si>
    <t>56,500.00</t>
  </si>
  <si>
    <t>7,112,474.47</t>
  </si>
  <si>
    <t>4223</t>
  </si>
  <si>
    <t>PV3301</t>
  </si>
  <si>
    <t>14,600.00</t>
  </si>
  <si>
    <t>7,127,074.47</t>
  </si>
  <si>
    <t>4224</t>
  </si>
  <si>
    <t>162,663.00</t>
  </si>
  <si>
    <t>7,289,737.47</t>
  </si>
  <si>
    <t>4225</t>
  </si>
  <si>
    <t>PHUB526948339</t>
  </si>
  <si>
    <t>B/O_MUHAMMAD M_ADIB_526948339_Financi</t>
  </si>
  <si>
    <t>153,022.50</t>
  </si>
  <si>
    <t>7,442,759.97</t>
  </si>
  <si>
    <t>4226</t>
  </si>
  <si>
    <t>B/O_I N C A JE_UARB_526948621_Local B</t>
  </si>
  <si>
    <t>5,883,200.00</t>
  </si>
  <si>
    <t>13,325,959.97</t>
  </si>
  <si>
    <t>4227</t>
  </si>
  <si>
    <t>INHOUSE CHEQUE DEPOSIT 000085 ABHIJITH SUNIL SUNIL   CHAKRAPANI AL FARDAN EXCHANGE SP LLC CHQ NO ::000085</t>
  </si>
  <si>
    <t>13,343,959.97</t>
  </si>
  <si>
    <t>4228</t>
  </si>
  <si>
    <t>PHUB526960392</t>
  </si>
  <si>
    <t>B/O_DHIAB ABDU_NBAD_526960392_RENT PM</t>
  </si>
  <si>
    <t>232,118.25</t>
  </si>
  <si>
    <t>13,576,078.22</t>
  </si>
  <si>
    <t>4229</t>
  </si>
  <si>
    <t>11,250.00</t>
  </si>
  <si>
    <t>13,587,328.22</t>
  </si>
  <si>
    <t>4230</t>
  </si>
  <si>
    <t>INHOUSE CHEQUE DEPOSIT 000020 SHAMSHEER KHAN AHAMED KHAN AHAMED  KHAN AL FARDAN EXCHANGE SP LLC CHQ NO ::000020</t>
  </si>
  <si>
    <t>99,789.00</t>
  </si>
  <si>
    <t>13,687,117.22</t>
  </si>
  <si>
    <t>4231</t>
  </si>
  <si>
    <t>51155218210</t>
  </si>
  <si>
    <t>26259991246 MBTRF B/O NOOR MUHAMMAD KHAN</t>
  </si>
  <si>
    <t>13,690,973.22</t>
  </si>
  <si>
    <t>4232</t>
  </si>
  <si>
    <t>PHUB526969253</t>
  </si>
  <si>
    <t>B/O_FOUAD MOHAMED AB_526969253</t>
  </si>
  <si>
    <t>18,109.00</t>
  </si>
  <si>
    <t>13,709,082.22</t>
  </si>
  <si>
    <t>4233</t>
  </si>
  <si>
    <t>PHUB526976692</t>
  </si>
  <si>
    <t>526976692 B/O NOON  MOHAMED ELTAYEB MOHAMED</t>
  </si>
  <si>
    <t>1,797.00</t>
  </si>
  <si>
    <t>13,710,879.22</t>
  </si>
  <si>
    <t>4234</t>
  </si>
  <si>
    <t>INHOUSE CHEQUE DEPOSIT 000025 ABHIJITH SUNIL SUNIL   CHAKRAPANI AL FARDAN EXCHANGE SP LLC CHQ NO ::000025</t>
  </si>
  <si>
    <t>13,730,879.22</t>
  </si>
  <si>
    <t>4235</t>
  </si>
  <si>
    <t>51155847315</t>
  </si>
  <si>
    <t>26260573371 MBTRF B/O SURENDRA SHETTY</t>
  </si>
  <si>
    <t>13,830,879.22</t>
  </si>
  <si>
    <t>4236</t>
  </si>
  <si>
    <t>51155891162</t>
  </si>
  <si>
    <t>26260613522 MBTRF B/O SURENDRA SHETTY</t>
  </si>
  <si>
    <t>11,229.25</t>
  </si>
  <si>
    <t>13,842,108.47</t>
  </si>
  <si>
    <t>4237</t>
  </si>
  <si>
    <t>UMER ARFATH</t>
  </si>
  <si>
    <t>INHOUSE CHEQUE DEPOSIT UMER ARFATH AL FARDAN EXCHANGE SP LLC CHQ NO ::000011</t>
  </si>
  <si>
    <t>183,805.00</t>
  </si>
  <si>
    <t>14,025,913.47</t>
  </si>
  <si>
    <t>4238</t>
  </si>
  <si>
    <t>PHUB526984816</t>
  </si>
  <si>
    <t>B/O_CREDO COMM_NBAD_526984816_DCRacin</t>
  </si>
  <si>
    <t>1,067,072.00</t>
  </si>
  <si>
    <t>15,092,985.47</t>
  </si>
  <si>
    <t>4239</t>
  </si>
  <si>
    <t>51156441517</t>
  </si>
  <si>
    <t>2544790803 IBTRF B/O PACHERS BLINDS TRADING LLC</t>
  </si>
  <si>
    <t>3,150.74</t>
  </si>
  <si>
    <t>15,096,136.21</t>
  </si>
  <si>
    <t>4240</t>
  </si>
  <si>
    <t>PHUB526990926</t>
  </si>
  <si>
    <t>526990926 B/O RUCIAN DRYDEN</t>
  </si>
  <si>
    <t>5,015.00</t>
  </si>
  <si>
    <t>15,101,151.21</t>
  </si>
  <si>
    <t>4241</t>
  </si>
  <si>
    <t>PHUB526996922</t>
  </si>
  <si>
    <t>15,501,151.21</t>
  </si>
  <si>
    <t>4242</t>
  </si>
  <si>
    <t>PHUB526996944</t>
  </si>
  <si>
    <t>CB 22082025</t>
  </si>
  <si>
    <t>O/W TRF 526996944</t>
  </si>
  <si>
    <t>3,700,000.00</t>
  </si>
  <si>
    <t>11,801,151.21</t>
  </si>
  <si>
    <t>4243</t>
  </si>
  <si>
    <t>CHCB526996944</t>
  </si>
  <si>
    <t>O/W PROCESSING CHARGE 526996944</t>
  </si>
  <si>
    <t>11,801,135.46</t>
  </si>
  <si>
    <t>4244</t>
  </si>
  <si>
    <t>PHUB526999943</t>
  </si>
  <si>
    <t>CW 22082025</t>
  </si>
  <si>
    <t>-8,198,864.54</t>
  </si>
  <si>
    <t>4245</t>
  </si>
  <si>
    <t>000137</t>
  </si>
  <si>
    <t>INHOUSE CHEQUE DEPOSIT 000137 MUHAMMAD,SHAKEEL,MUHAMMAD,,,BASHIR, AL FARDAN EXCHANGE SP LLC CHQ NO ::000137</t>
  </si>
  <si>
    <t>73,098.50</t>
  </si>
  <si>
    <t>-8,125,766.04</t>
  </si>
  <si>
    <t>4246</t>
  </si>
  <si>
    <t>PHUB527004965</t>
  </si>
  <si>
    <t>B/O_NASSIM AL ABED_527004965</t>
  </si>
  <si>
    <t>26,776.00</t>
  </si>
  <si>
    <t>-8,098,990.04</t>
  </si>
  <si>
    <t>4247</t>
  </si>
  <si>
    <t>51157419909</t>
  </si>
  <si>
    <t>2544822155 IBTRF B/O LAKSHMI MEGANATHAN-JOINT</t>
  </si>
  <si>
    <t>-8,038,990.04</t>
  </si>
  <si>
    <t>4248</t>
  </si>
  <si>
    <t>413,980.76</t>
  </si>
  <si>
    <t>-7,625,009.28</t>
  </si>
  <si>
    <t>4249</t>
  </si>
  <si>
    <t>PHUB527014025</t>
  </si>
  <si>
    <t>ALFRDAN BONTU JUL</t>
  </si>
  <si>
    <t>B/O AL HILAL HOURI MEDICAL EQUIP LLC</t>
  </si>
  <si>
    <t>2,426.25</t>
  </si>
  <si>
    <t>-7,622,583.03</t>
  </si>
  <si>
    <t>4250</t>
  </si>
  <si>
    <t>51158197703</t>
  </si>
  <si>
    <t>26262913196 MBTRF B/O RAKHI RADHAKRISHNAN</t>
  </si>
  <si>
    <t>-7,618,583.03</t>
  </si>
  <si>
    <t>4251</t>
  </si>
  <si>
    <t>PHUB527022759</t>
  </si>
  <si>
    <t>PLID JULY SALARY</t>
  </si>
  <si>
    <t>138,716.30</t>
  </si>
  <si>
    <t>-7,479,866.73</t>
  </si>
  <si>
    <t>4252</t>
  </si>
  <si>
    <t>010584</t>
  </si>
  <si>
    <t>INHOUSE CHEQUE DEPOSIT 010584 MUHAMMAD HAMEED MUHAMMAD   FAREED AL FARDAN EXCHANGE SP LLC CHQ NO ::010584</t>
  </si>
  <si>
    <t>29,861.75</t>
  </si>
  <si>
    <t>-7,450,004.98</t>
  </si>
  <si>
    <t>4253</t>
  </si>
  <si>
    <t>BORE DRILL USED</t>
  </si>
  <si>
    <t>INHOUSE CHEQUE DEPOSIT BORE DRILL USED AL FARDAN EXCHANGE SP LLC CHQ NO ::000012</t>
  </si>
  <si>
    <t>76,847.00</t>
  </si>
  <si>
    <t>-7,373,157.98</t>
  </si>
  <si>
    <t>4254</t>
  </si>
  <si>
    <t>004562</t>
  </si>
  <si>
    <t>INHOUSE CHEQUE DEPOSIT 004562 SREEKESH MADATHIL     BALAKRISHNAN AL FARDAN EXCHANGE SP LLC CHQ NO ::004562</t>
  </si>
  <si>
    <t>32,811.60</t>
  </si>
  <si>
    <t>-7,340,346.38</t>
  </si>
  <si>
    <t>4255</t>
  </si>
  <si>
    <t>010416</t>
  </si>
  <si>
    <t>INHOUSE CHEQUE DEPOSIT 010416 RIYAS KUNIYIL    KUNHABDULLA AL FARDAN EXCHANGE SP LLC CHQ NO ::010416</t>
  </si>
  <si>
    <t>21,965.75</t>
  </si>
  <si>
    <t>-7,318,380.63</t>
  </si>
  <si>
    <t>4256</t>
  </si>
  <si>
    <t>SAKSHEM</t>
  </si>
  <si>
    <t>3,023.10</t>
  </si>
  <si>
    <t>-7,315,357.53</t>
  </si>
  <si>
    <t>4257</t>
  </si>
  <si>
    <t>PHUB527030641</t>
  </si>
  <si>
    <t>B/O_GULF DUNES_NBAD_527030641_invoice</t>
  </si>
  <si>
    <t>598.50</t>
  </si>
  <si>
    <t>-7,314,759.03</t>
  </si>
  <si>
    <t>4258</t>
  </si>
  <si>
    <t>527036538 B/O TAHNOUN SALEM NASSER MOHAMED ALDHAHERI</t>
  </si>
  <si>
    <t>-7,312,759.03</t>
  </si>
  <si>
    <t>4259</t>
  </si>
  <si>
    <t>PHUB527037436</t>
  </si>
  <si>
    <t>527037436 B/O HAMED SOLIMAN</t>
  </si>
  <si>
    <t>1,585.00</t>
  </si>
  <si>
    <t>-7,311,174.03</t>
  </si>
  <si>
    <t>4260</t>
  </si>
  <si>
    <t>45,792.00</t>
  </si>
  <si>
    <t>-7,265,382.03</t>
  </si>
  <si>
    <t>4261</t>
  </si>
  <si>
    <t>PHUB527039451</t>
  </si>
  <si>
    <t>527039451 B/O AURELIE EVE ELEONORE COLSON</t>
  </si>
  <si>
    <t>21,445.25</t>
  </si>
  <si>
    <t>-7,243,936.78</t>
  </si>
  <si>
    <t>4262</t>
  </si>
  <si>
    <t>51159691220</t>
  </si>
  <si>
    <t>26264362367 MBTRF B/O AASHISH KANAIYALAL VAGHANI</t>
  </si>
  <si>
    <t>20,232.50</t>
  </si>
  <si>
    <t>-7,223,704.28</t>
  </si>
  <si>
    <t>4263</t>
  </si>
  <si>
    <t>51159752231</t>
  </si>
  <si>
    <t>2544904126 IBTRF B/O NEXT MOVE SHIPPING SERVICES LLC</t>
  </si>
  <si>
    <t>16,241.53</t>
  </si>
  <si>
    <t>-7,207,462.75</t>
  </si>
  <si>
    <t>4264</t>
  </si>
  <si>
    <t>PHUB527044146</t>
  </si>
  <si>
    <t>MOB2208251559248235120</t>
  </si>
  <si>
    <t>B/O BUSINESS POINT INTERNATIONAL FZE</t>
  </si>
  <si>
    <t>429,992.50</t>
  </si>
  <si>
    <t>-6,777,470.25</t>
  </si>
  <si>
    <t>4265</t>
  </si>
  <si>
    <t>51159820446</t>
  </si>
  <si>
    <t>2544906542 IBTRF B/O NEXT MOVE SHIPPING SERVICES LLC</t>
  </si>
  <si>
    <t>9,615.50</t>
  </si>
  <si>
    <t>-6,767,854.75</t>
  </si>
  <si>
    <t>4266</t>
  </si>
  <si>
    <t>51159831429</t>
  </si>
  <si>
    <t>26264493767 MBTRF B/O KAYYUM SHAKIR &amp;OR MUBINA K SHAKIR</t>
  </si>
  <si>
    <t>50,510.31</t>
  </si>
  <si>
    <t>-6,717,344.44</t>
  </si>
  <si>
    <t>4267</t>
  </si>
  <si>
    <t>37,096.96</t>
  </si>
  <si>
    <t>-6,680,247.48</t>
  </si>
  <si>
    <t>4268</t>
  </si>
  <si>
    <t>51160052190</t>
  </si>
  <si>
    <t>26264710792 MBTRF B/O MINTRA SRITHONGTAE</t>
  </si>
  <si>
    <t>-6,640,247.48</t>
  </si>
  <si>
    <t>4269</t>
  </si>
  <si>
    <t>PHUB527049423</t>
  </si>
  <si>
    <t>B/O_GEO VARGHE_EBIL_527049423_</t>
  </si>
  <si>
    <t>-6,568,247.48</t>
  </si>
  <si>
    <t>4270</t>
  </si>
  <si>
    <t>PHUB527049655</t>
  </si>
  <si>
    <t>JINAN GOLD</t>
  </si>
  <si>
    <t>-6,563,594.48</t>
  </si>
  <si>
    <t>4271</t>
  </si>
  <si>
    <t>PHUB527050241</t>
  </si>
  <si>
    <t>FAR0225</t>
  </si>
  <si>
    <t>146,000.00</t>
  </si>
  <si>
    <t>-6,417,594.48</t>
  </si>
  <si>
    <t>4272</t>
  </si>
  <si>
    <t>PHUB527055254</t>
  </si>
  <si>
    <t>527055254 B/O MOUNA BALY</t>
  </si>
  <si>
    <t>-6,416,294.48</t>
  </si>
  <si>
    <t>4273</t>
  </si>
  <si>
    <t>PHUB527055848</t>
  </si>
  <si>
    <t>B/O_AL FARDAN _EBIL_527055848_ADCBAUH</t>
  </si>
  <si>
    <t>-3,916,294.48</t>
  </si>
  <si>
    <t>4274</t>
  </si>
  <si>
    <t>51160866460</t>
  </si>
  <si>
    <t>26265506373 MBTRF B/O GRAHAM HUMPHREY</t>
  </si>
  <si>
    <t>20,682.25</t>
  </si>
  <si>
    <t>-3,895,612.23</t>
  </si>
  <si>
    <t>4275</t>
  </si>
  <si>
    <t>PHUB527062757</t>
  </si>
  <si>
    <t>11,000,000.00</t>
  </si>
  <si>
    <t>-14,895,612.23</t>
  </si>
  <si>
    <t>4276</t>
  </si>
  <si>
    <t>PHUB527070327</t>
  </si>
  <si>
    <t>4,694.90</t>
  </si>
  <si>
    <t>-14,890,917.33</t>
  </si>
  <si>
    <t>4277</t>
  </si>
  <si>
    <t>PHUB527076674</t>
  </si>
  <si>
    <t>MOB2208251727248236422</t>
  </si>
  <si>
    <t>65,740.46</t>
  </si>
  <si>
    <t>-14,825,176.87</t>
  </si>
  <si>
    <t>4278</t>
  </si>
  <si>
    <t>PHUB527076995</t>
  </si>
  <si>
    <t>B/O_AL FARDAN _CBDU_527076995_Own Acc</t>
  </si>
  <si>
    <t>-10,825,176.87</t>
  </si>
  <si>
    <t>4279</t>
  </si>
  <si>
    <t>CHEQUE DEPOSIT 000011 SHAMSHEER KHAN AHAMED KHAN AHAMED  KHAN 804030124 CHQ NO ::000011</t>
  </si>
  <si>
    <t>495.50</t>
  </si>
  <si>
    <t>-10,824,681.37</t>
  </si>
  <si>
    <t>4280</t>
  </si>
  <si>
    <t>527079888 B/O NEXT MOVE SHIPPING SERVICES (FZE)</t>
  </si>
  <si>
    <t>2,963.75</t>
  </si>
  <si>
    <t>-10,821,717.62</t>
  </si>
  <si>
    <t>4281</t>
  </si>
  <si>
    <t>500276</t>
  </si>
  <si>
    <t>CHEQUE DEPOSIT 500276 MUHAMMED JABIR SULAIMAN    VALIYAPEEDIKAYIL 605010398 CHQ NO ::500276</t>
  </si>
  <si>
    <t>26,254.00</t>
  </si>
  <si>
    <t>-10,795,463.62</t>
  </si>
  <si>
    <t>4282</t>
  </si>
  <si>
    <t>JISAR AL KHAN</t>
  </si>
  <si>
    <t>CHEQUE DEPOSIT JISAR AL KHAN 603830105 CHQ NO ::000446</t>
  </si>
  <si>
    <t>249,272.50</t>
  </si>
  <si>
    <t>-10,546,191.12</t>
  </si>
  <si>
    <t>4283</t>
  </si>
  <si>
    <t>B/O_I N C A JE_UARB_527080211_Local B</t>
  </si>
  <si>
    <t>20,223,500.00</t>
  </si>
  <si>
    <t>9,677,308.88</t>
  </si>
  <si>
    <t>4284</t>
  </si>
  <si>
    <t>CHEQUE DEPOSIT 402910107 CHQ NO ::000042</t>
  </si>
  <si>
    <t>33,157.25</t>
  </si>
  <si>
    <t>9,710,466.13</t>
  </si>
  <si>
    <t>4285</t>
  </si>
  <si>
    <t>001240</t>
  </si>
  <si>
    <t>CHEQUE DEPOSIT 001240 BASHEER PULIKKAL    IBRAHIM 803370119 CHQ NO ::001240</t>
  </si>
  <si>
    <t>369,505.00</t>
  </si>
  <si>
    <t>10,079,971.13</t>
  </si>
  <si>
    <t>4286</t>
  </si>
  <si>
    <t>001180</t>
  </si>
  <si>
    <t>CHEQUE DEPOSIT 001180 ABDULRAHMAN   SAEED  HAMMAM 101110101 CHQ NO ::001180</t>
  </si>
  <si>
    <t>43,755.00</t>
  </si>
  <si>
    <t>10,123,726.13</t>
  </si>
  <si>
    <t>4287</t>
  </si>
  <si>
    <t>100089</t>
  </si>
  <si>
    <t>CHEQUE DEPOSIT 100089 SHAMSHEER KHAN AHAMED KHAN AHAMED  KHAN 002420097 CHQ NO ::100089</t>
  </si>
  <si>
    <t>49,127.50</t>
  </si>
  <si>
    <t>10,172,853.63</t>
  </si>
  <si>
    <t>4288</t>
  </si>
  <si>
    <t>002329</t>
  </si>
  <si>
    <t>CHEQUE DEPOSIT 002329 MUHAMMAD,BILAL,,,,MUHAMMAD ILYAS, 903320188 CHQ NO ::002329</t>
  </si>
  <si>
    <t>3,348.00</t>
  </si>
  <si>
    <t>10,176,201.63</t>
  </si>
  <si>
    <t>4289</t>
  </si>
  <si>
    <t>51161945141</t>
  </si>
  <si>
    <t>26266573133 MBTRF B/O SEBASTIAN KOCHUPLACKAL SEBASTIAN</t>
  </si>
  <si>
    <t>10,176,701.63</t>
  </si>
  <si>
    <t>4290</t>
  </si>
  <si>
    <t>A SAOL TYRES</t>
  </si>
  <si>
    <t>CHEQUE DEPOSIT A SAOL TYRES 603430129 CHQ NO ::000503</t>
  </si>
  <si>
    <t>74,712.50</t>
  </si>
  <si>
    <t>10,251,414.13</t>
  </si>
  <si>
    <t>4291</t>
  </si>
  <si>
    <t>AL RUKN AL SAFI</t>
  </si>
  <si>
    <t>CHEQUE DEPOSIT AL RUKN AL SAFI 203420119 CHQ NO ::000020</t>
  </si>
  <si>
    <t>403,398.25</t>
  </si>
  <si>
    <t>10,654,812.38</t>
  </si>
  <si>
    <t>4292</t>
  </si>
  <si>
    <t>372591</t>
  </si>
  <si>
    <t>CHEQUE DEPOSIT 372591 ABHIJITH SUNIL SUNIL   CHAKRAPANI 003510111 CHQ NO ::372591</t>
  </si>
  <si>
    <t>24,200.00</t>
  </si>
  <si>
    <t>10,679,012.38</t>
  </si>
  <si>
    <t>4293</t>
  </si>
  <si>
    <t>PHUB527081386</t>
  </si>
  <si>
    <t>B/O_MOHD AFTAB_NBAD_527081386_univers</t>
  </si>
  <si>
    <t>95,545.75</t>
  </si>
  <si>
    <t>10,774,558.13</t>
  </si>
  <si>
    <t>4294</t>
  </si>
  <si>
    <t>001639</t>
  </si>
  <si>
    <t>CHEQUE DEPOSIT 001639 MUHAMMED AJNAS AVARAKKAL KURIKKALAKATH   ANSARI 803870017 CHQ NO ::001639</t>
  </si>
  <si>
    <t>51,249.00</t>
  </si>
  <si>
    <t>10,825,807.13</t>
  </si>
  <si>
    <t>4295</t>
  </si>
  <si>
    <t>100033</t>
  </si>
  <si>
    <t>CHEQUE DEPOSIT 100033 ADNAN ABBAS MUHAMMAD HASHIM   KHAN 202430177 CHQ NO ::100033</t>
  </si>
  <si>
    <t>42,952.50</t>
  </si>
  <si>
    <t>10,868,759.63</t>
  </si>
  <si>
    <t>4296</t>
  </si>
  <si>
    <t>PHUB527083067</t>
  </si>
  <si>
    <t>B/O_SEACOR OFF_CITI_527083067_CREW AL</t>
  </si>
  <si>
    <t>40,357.80</t>
  </si>
  <si>
    <t>10,909,117.43</t>
  </si>
  <si>
    <t>4297</t>
  </si>
  <si>
    <t>509080</t>
  </si>
  <si>
    <t>CHEQUE DEPOSIT 509080 ASGHAR ALI     ABDUL QAYOUM 205010141 CHQ NO ::509080</t>
  </si>
  <si>
    <t>176,306.73</t>
  </si>
  <si>
    <t>11,085,424.16</t>
  </si>
  <si>
    <t>4298</t>
  </si>
  <si>
    <t>001150</t>
  </si>
  <si>
    <t>CHEQUE DEPOSIT 001150 MUHAMMED ABU MIHAD CACHANCHERY RAHEEM   CACHANCHER 101110101 CHQ NO ::001150</t>
  </si>
  <si>
    <t>100,481.94</t>
  </si>
  <si>
    <t>11,185,906.10</t>
  </si>
  <si>
    <t>4299</t>
  </si>
  <si>
    <t>003137</t>
  </si>
  <si>
    <t>CHEQUE DEPOSIT 003137 SHAMSHEER KHAN AHAMED KHAN AHAMED  KHAN 404130101 CHQ NO ::003137</t>
  </si>
  <si>
    <t>310,200.00</t>
  </si>
  <si>
    <t>11,496,106.10</t>
  </si>
  <si>
    <t>4300</t>
  </si>
  <si>
    <t>000236</t>
  </si>
  <si>
    <t>CHEQUE DEPOSIT AL KHAT AL WARDI 703430137 CHQ NO ::000236</t>
  </si>
  <si>
    <t>11,566,106.10</t>
  </si>
  <si>
    <t>4301</t>
  </si>
  <si>
    <t>009897</t>
  </si>
  <si>
    <t>CHEQUE DEPOSIT 009897 JOY THOMAS    THOMAS 102310030 CHQ NO ::009897</t>
  </si>
  <si>
    <t>6,799.75</t>
  </si>
  <si>
    <t>11,572,905.85</t>
  </si>
  <si>
    <t>4302</t>
  </si>
  <si>
    <t>CHEQUE DEPOSIT AL FARJ AL SATEE 603430129 CHQ NO ::000076</t>
  </si>
  <si>
    <t>368,303.50</t>
  </si>
  <si>
    <t>11,941,209.35</t>
  </si>
  <si>
    <t>4303</t>
  </si>
  <si>
    <t>000339</t>
  </si>
  <si>
    <t>CHEQUE DEPOSIT 000339 SIRAJ MOHAMMED    PILAR 004710103 CHQ NO ::000339</t>
  </si>
  <si>
    <t>22,293.00</t>
  </si>
  <si>
    <t>11,963,502.35</t>
  </si>
  <si>
    <t>4304</t>
  </si>
  <si>
    <t>000094</t>
  </si>
  <si>
    <t>CHEQUE DEPOSIT 000094 JILU JALEEL     ABDUL JALEEL 304012039 CHQ NO ::000094</t>
  </si>
  <si>
    <t>8,168.00</t>
  </si>
  <si>
    <t>11,971,670.35</t>
  </si>
  <si>
    <t>4305</t>
  </si>
  <si>
    <t>CHEQUE DEPOSIT 000006 SHAMSHEER KHAN AHAMED KHAN AHAMED  KHAN 804230106 CHQ NO ::000006</t>
  </si>
  <si>
    <t>85,873.00</t>
  </si>
  <si>
    <t>12,057,543.35</t>
  </si>
  <si>
    <t>4306</t>
  </si>
  <si>
    <t>51162242317</t>
  </si>
  <si>
    <t>26266872498 MBTRF B/O SHAJI VARGHESE</t>
  </si>
  <si>
    <t>14,776.00</t>
  </si>
  <si>
    <t>12,072,319.35</t>
  </si>
  <si>
    <t>4307</t>
  </si>
  <si>
    <t>007183</t>
  </si>
  <si>
    <t>CHEQUE DEPOSIT 007183 ASHIQALI,MOHAMED,YOUSUF,MOHAMED,,YOUSUF, 602620145 CHQ NO ::007183</t>
  </si>
  <si>
    <t>158,707.75</t>
  </si>
  <si>
    <t>12,231,027.10</t>
  </si>
  <si>
    <t>4308</t>
  </si>
  <si>
    <t>B/O_NEXT MOVE _BOML_527086149_ AIR TR</t>
  </si>
  <si>
    <t>10,773.13</t>
  </si>
  <si>
    <t>12,241,800.23</t>
  </si>
  <si>
    <t>4309</t>
  </si>
  <si>
    <t>963717</t>
  </si>
  <si>
    <t>CHEQUE DEPOSIT 963717 MUHAMMAD AKRAM NAZAR   MUHAMMAD 104010101 CHQ NO ::963717</t>
  </si>
  <si>
    <t>204,148.25</t>
  </si>
  <si>
    <t>12,445,948.48</t>
  </si>
  <si>
    <t>4310</t>
  </si>
  <si>
    <t>004146</t>
  </si>
  <si>
    <t>CHEQUE DEPOSIT 004146 SHAMSHEER KHAN AHAMED KHAN AHAMED  KHAN 203430121 CHQ NO ::004146</t>
  </si>
  <si>
    <t>883,925.00</t>
  </si>
  <si>
    <t>13,329,873.48</t>
  </si>
  <si>
    <t>4311</t>
  </si>
  <si>
    <t>820555</t>
  </si>
  <si>
    <t>CHEQUE DEPOSIT SPEED LINE 104030136 CHQ NO ::820555</t>
  </si>
  <si>
    <t>13,440,153.98</t>
  </si>
  <si>
    <t>4312</t>
  </si>
  <si>
    <t>003138</t>
  </si>
  <si>
    <t>CHEQUE DEPOSIT 003138 SHAMSHEER KHAN AHAMED KHAN AHAMED  KHAN 404130101 CHQ NO ::003138</t>
  </si>
  <si>
    <t>312,285.37</t>
  </si>
  <si>
    <t>13,752,439.35</t>
  </si>
  <si>
    <t>4313</t>
  </si>
  <si>
    <t>340487</t>
  </si>
  <si>
    <t>CHEQUE DEPOSIT 340487 SUNIL,RAJAN,,,,RAJAN, 402620152 CHQ NO ::340487</t>
  </si>
  <si>
    <t>105,103.99</t>
  </si>
  <si>
    <t>13,857,543.34</t>
  </si>
  <si>
    <t>4314</t>
  </si>
  <si>
    <t>AL BARAKH DATES</t>
  </si>
  <si>
    <t>CHEQUE DEPOSIT AL BARAKH DATES 104030136 CHQ NO ::000045</t>
  </si>
  <si>
    <t>14,112,543.34</t>
  </si>
  <si>
    <t>4315</t>
  </si>
  <si>
    <t>001671</t>
  </si>
  <si>
    <t>CHEQUE DEPOSIT 001671 SHAMSHEER KHAN AHAMED KHAN AHAMED  KHAN 104030136 CHQ NO ::001671</t>
  </si>
  <si>
    <t>100,889.26</t>
  </si>
  <si>
    <t>14,213,432.60</t>
  </si>
  <si>
    <t>4316</t>
  </si>
  <si>
    <t>056740</t>
  </si>
  <si>
    <t>CHEQUE DEPOSIT 056740 MOHAMED MOHAMED ELSAYED   SALEM 603510179 CHQ NO ::056740</t>
  </si>
  <si>
    <t>1,685.00</t>
  </si>
  <si>
    <t>14,215,117.60</t>
  </si>
  <si>
    <t>4317</t>
  </si>
  <si>
    <t>51162406323</t>
  </si>
  <si>
    <t>2544989179 IBTRF B/O HARIKRISHNAN POURNAMI SOMAN</t>
  </si>
  <si>
    <t>14,240,117.60</t>
  </si>
  <si>
    <t>4318</t>
  </si>
  <si>
    <t>000789</t>
  </si>
  <si>
    <t>CHEQUE DEPOSIT 000789 SAKTHIVEL,CHINNADURAI,,,,CHINNADURAI, 602920102 CHQ NO ::000789</t>
  </si>
  <si>
    <t>4,744.85</t>
  </si>
  <si>
    <t>14,244,862.45</t>
  </si>
  <si>
    <t>4319</t>
  </si>
  <si>
    <t>000914</t>
  </si>
  <si>
    <t>CHEQUE DEPOSIT 000914 MUHAMMAD HAMEED MUHAMMAD   FAREED 802630140 CHQ NO ::000914</t>
  </si>
  <si>
    <t>38,627.95</t>
  </si>
  <si>
    <t>14,283,490.40</t>
  </si>
  <si>
    <t>4320</t>
  </si>
  <si>
    <t>000915</t>
  </si>
  <si>
    <t>CHEQUE DEPOSIT 000915 MUHAMMAD HAMEED MUHAMMAD   FAREED 802630140 CHQ NO ::000915</t>
  </si>
  <si>
    <t>5,528.51</t>
  </si>
  <si>
    <t>14,289,018.91</t>
  </si>
  <si>
    <t>4321</t>
  </si>
  <si>
    <t>000624</t>
  </si>
  <si>
    <t>CHEQUE DEPOSIT 000624 SHAMSHEER KHAN AHAMED KHAN AHAMED  KHAN 805740101 CHQ NO ::000624</t>
  </si>
  <si>
    <t>200,389.00</t>
  </si>
  <si>
    <t>14,489,407.91</t>
  </si>
  <si>
    <t>4322</t>
  </si>
  <si>
    <t>000217</t>
  </si>
  <si>
    <t>CHEQUE DEPOSIT 000217 SHAMSHEER KHAN AHAMED KHAN AHAMED  KHAN 402320117 CHQ NO ::000217</t>
  </si>
  <si>
    <t>99,717.75</t>
  </si>
  <si>
    <t>14,589,125.66</t>
  </si>
  <si>
    <t>4323</t>
  </si>
  <si>
    <t>CHEQUE DEPOSIT 000124 SHAMSHEER KHAN AHAMED KHAN AHAMED  KHAN 004730105 CHQ NO ::000124</t>
  </si>
  <si>
    <t>156,133.00</t>
  </si>
  <si>
    <t>14,745,258.66</t>
  </si>
  <si>
    <t>4324</t>
  </si>
  <si>
    <t>340486</t>
  </si>
  <si>
    <t>CHEQUE DEPOSIT 340486 SUNIL,RAJAN,,,,RAJAN, 402620152 CHQ NO ::340486</t>
  </si>
  <si>
    <t>92,263.48</t>
  </si>
  <si>
    <t>14,837,522.14</t>
  </si>
  <si>
    <t>4325</t>
  </si>
  <si>
    <t>779825</t>
  </si>
  <si>
    <t>CHEQUE DEPOSIT 779825 BASHEER PULIKKAL    IBRAHIM 003510122 CHQ NO ::779825</t>
  </si>
  <si>
    <t>5,408.50</t>
  </si>
  <si>
    <t>14,842,930.64</t>
  </si>
  <si>
    <t>4326</t>
  </si>
  <si>
    <t>000093</t>
  </si>
  <si>
    <t>CHEQUE DEPOSIT 000093 JILU JALEEL     ABDUL JALEEL 304012039 CHQ NO ::000093</t>
  </si>
  <si>
    <t>16,046.75</t>
  </si>
  <si>
    <t>14,858,977.39</t>
  </si>
  <si>
    <t>4327</t>
  </si>
  <si>
    <t>CHEQUE DEPOSIT 000137 MUHAMMAD HAMEED MUHAMMAD   FAREED 603830105 CHQ NO ::000137</t>
  </si>
  <si>
    <t>77,368.00</t>
  </si>
  <si>
    <t>14,936,345.39</t>
  </si>
  <si>
    <t>4328</t>
  </si>
  <si>
    <t>009894</t>
  </si>
  <si>
    <t>CHEQUE DEPOSIT 009894 JOY THOMAS    THOMAS 102310030 CHQ NO ::009894</t>
  </si>
  <si>
    <t>3,534.42</t>
  </si>
  <si>
    <t>14,939,879.81</t>
  </si>
  <si>
    <t>4329</t>
  </si>
  <si>
    <t>500464</t>
  </si>
  <si>
    <t>CHEQUE DEPOSIT 500464 NASIR ALI BALOCH MUHAMMAD  USMAN 105011002 CHQ NO ::500464</t>
  </si>
  <si>
    <t>461,284.00</t>
  </si>
  <si>
    <t>15,401,163.81</t>
  </si>
  <si>
    <t>4330</t>
  </si>
  <si>
    <t>500978</t>
  </si>
  <si>
    <t>CHEQUE DEPOSIT 500978 MUHAMMAD AKRAM NAZAR   MUHAMMAD 005010181 CHQ NO ::500978</t>
  </si>
  <si>
    <t>262,178.25</t>
  </si>
  <si>
    <t>15,663,342.06</t>
  </si>
  <si>
    <t>4331</t>
  </si>
  <si>
    <t>CHEQUE DEPOSIT 000088 RAPHAEL JR,NUNEZ,,,,CATORCE, 402320117 CHQ NO ::000088</t>
  </si>
  <si>
    <t>207,742.20</t>
  </si>
  <si>
    <t>15,871,084.26</t>
  </si>
  <si>
    <t>4332</t>
  </si>
  <si>
    <t>200991</t>
  </si>
  <si>
    <t>CHEQUE DEPOSIT 200991 SHAMSHEER KHAN AHAMED KHAN AHAMED  KHAN 602440109 CHQ NO ::200991</t>
  </si>
  <si>
    <t>68,870.00</t>
  </si>
  <si>
    <t>15,939,954.26</t>
  </si>
  <si>
    <t>4333</t>
  </si>
  <si>
    <t>001640</t>
  </si>
  <si>
    <t>CHEQUE DEPOSIT 001640 MUHAMMED AJNAS AVARAKKAL KURIKKALAKATH   ANSARI 803870017 CHQ NO ::001640</t>
  </si>
  <si>
    <t>69,165.00</t>
  </si>
  <si>
    <t>16,009,119.26</t>
  </si>
  <si>
    <t>4334</t>
  </si>
  <si>
    <t>PHUB526960940</t>
  </si>
  <si>
    <t>MOB2208251207598231857</t>
  </si>
  <si>
    <t>40,621.46</t>
  </si>
  <si>
    <t>16,049,740.72</t>
  </si>
  <si>
    <t>4335</t>
  </si>
  <si>
    <t>PHUB527104147</t>
  </si>
  <si>
    <t>B/O_DANNY RAMACHANDR_527104147</t>
  </si>
  <si>
    <t>21,103.00</t>
  </si>
  <si>
    <t>16,070,843.72</t>
  </si>
  <si>
    <t>4336</t>
  </si>
  <si>
    <t>51163363573</t>
  </si>
  <si>
    <t>26268091920 MBTRF B/O RANJIT KUMAR ERUNALIYATH PALLATH</t>
  </si>
  <si>
    <t>16,220,843.72</t>
  </si>
  <si>
    <t>4337</t>
  </si>
  <si>
    <t>PHUB527113234</t>
  </si>
  <si>
    <t>B/O_MRS RASHMI SHETT_527113234</t>
  </si>
  <si>
    <t>13,347.50</t>
  </si>
  <si>
    <t>16,234,191.22</t>
  </si>
  <si>
    <t>4338</t>
  </si>
  <si>
    <t>51163950297</t>
  </si>
  <si>
    <t>26268749151 MBTRF B/O RANJEET KUMAR</t>
  </si>
  <si>
    <t>16,236,768.72</t>
  </si>
  <si>
    <t>4339</t>
  </si>
  <si>
    <t>PHUB527122376</t>
  </si>
  <si>
    <t>MOB2208251947418238508</t>
  </si>
  <si>
    <t>B/O OMNIYAT RENT A CAR EST</t>
  </si>
  <si>
    <t>32,374.25</t>
  </si>
  <si>
    <t>16,269,142.97</t>
  </si>
  <si>
    <t>4340</t>
  </si>
  <si>
    <t>PHUB527122979</t>
  </si>
  <si>
    <t>B/O_MOHAMMAD HASSAN _527122979</t>
  </si>
  <si>
    <t>16,280,142.97</t>
  </si>
  <si>
    <t>4341</t>
  </si>
  <si>
    <t>PHUB527132430</t>
  </si>
  <si>
    <t>B/O_IRUM AYUB_527132430</t>
  </si>
  <si>
    <t>16,281,442.97</t>
  </si>
  <si>
    <t>4342</t>
  </si>
  <si>
    <t>PHUB527132444</t>
  </si>
  <si>
    <t>B/O_SHAHUL HAMEED AM_527132444</t>
  </si>
  <si>
    <t>16,311,442.97</t>
  </si>
  <si>
    <t>4343</t>
  </si>
  <si>
    <t>23-Aug-2025</t>
  </si>
  <si>
    <t>51169696983</t>
  </si>
  <si>
    <t>26275548754 MBTRF B/O MUTHURAMALINGAM BALASUBRAMANIAN</t>
  </si>
  <si>
    <t>25,327.14</t>
  </si>
  <si>
    <t>16,336,770.11</t>
  </si>
  <si>
    <t>4344</t>
  </si>
  <si>
    <t>PHUB527225486</t>
  </si>
  <si>
    <t>BILRS INDIA TRANSFER</t>
  </si>
  <si>
    <t>16,356,770.11</t>
  </si>
  <si>
    <t>4345</t>
  </si>
  <si>
    <t>2508230900524181</t>
  </si>
  <si>
    <t>Musaffah Shabiya AUH, 22ND AUG - Cash Collection TG</t>
  </si>
  <si>
    <t>16,556,770.11</t>
  </si>
  <si>
    <t>4346</t>
  </si>
  <si>
    <t>2508230900524184</t>
  </si>
  <si>
    <t>Old Shahama, 22ND AUG - Cash Collection TG</t>
  </si>
  <si>
    <t>16,656,770.11</t>
  </si>
  <si>
    <t>4347</t>
  </si>
  <si>
    <t>2508230900524203</t>
  </si>
  <si>
    <t>AlForshan Central Mall Khalifa City AUH, 22ND AUG - Cash Collection TG</t>
  </si>
  <si>
    <t>16,916,770.11</t>
  </si>
  <si>
    <t>4348</t>
  </si>
  <si>
    <t>2508230900534212</t>
  </si>
  <si>
    <t>Shamkha Mall Abu dhabi, 22ND AUG - Cash Collection TG</t>
  </si>
  <si>
    <t>17,126,770.11</t>
  </si>
  <si>
    <t>4349</t>
  </si>
  <si>
    <t>2508230900554968</t>
  </si>
  <si>
    <t>Sila Muroor Road AUH, 22ND AUG - Cash Collection TG</t>
  </si>
  <si>
    <t>17,306,770.11</t>
  </si>
  <si>
    <t>4350</t>
  </si>
  <si>
    <t>2508230900554971</t>
  </si>
  <si>
    <t>Ruwais AUH, 22ND AUG - Cash Collection TG</t>
  </si>
  <si>
    <t>17,556,770.11</t>
  </si>
  <si>
    <t>4351</t>
  </si>
  <si>
    <t>2508230900564974</t>
  </si>
  <si>
    <t>HAYER Al Ain1, 22ND AUG - Cash Collection TG</t>
  </si>
  <si>
    <t>17,716,770.11</t>
  </si>
  <si>
    <t>4352</t>
  </si>
  <si>
    <t>2508230900564981</t>
  </si>
  <si>
    <t>SWEIHAN  ALAIN, 22ND AUG - Cash Collection TG</t>
  </si>
  <si>
    <t>17,866,770.11</t>
  </si>
  <si>
    <t>4353</t>
  </si>
  <si>
    <t>2508230900564984</t>
  </si>
  <si>
    <t>AL MARFA MARKET WR, 22ND AUG - Cash Collection TG</t>
  </si>
  <si>
    <t>18,046,770.11</t>
  </si>
  <si>
    <t>4354</t>
  </si>
  <si>
    <t>2508230900565003</t>
  </si>
  <si>
    <t>Lulu Hyper Markete Sanaiya Al Ain, 22ND AUG - Cash Collection TG</t>
  </si>
  <si>
    <t>18,326,770.11</t>
  </si>
  <si>
    <t>4355</t>
  </si>
  <si>
    <t>2508230900565006</t>
  </si>
  <si>
    <t>Al Yahar Al Ain, 22ND AUG - Cash Collection TG</t>
  </si>
  <si>
    <t>18,486,770.11</t>
  </si>
  <si>
    <t>4356</t>
  </si>
  <si>
    <t>2508230900565009</t>
  </si>
  <si>
    <t>TCA AUH, 22ND AUG - Cash Collection TG</t>
  </si>
  <si>
    <t>18,766,770.11</t>
  </si>
  <si>
    <t>4357</t>
  </si>
  <si>
    <t>2508230900565012</t>
  </si>
  <si>
    <t>Al Nahyan Street AUH, 22ND AUG - Cash Collection TG</t>
  </si>
  <si>
    <t>19,016,770.11</t>
  </si>
  <si>
    <t>4358</t>
  </si>
  <si>
    <t>2508230900565015</t>
  </si>
  <si>
    <t>Muroor AUH, 22ND AUG - Cash Collection TG</t>
  </si>
  <si>
    <t>19,716,770.11</t>
  </si>
  <si>
    <t>4359</t>
  </si>
  <si>
    <t>2508230900565034</t>
  </si>
  <si>
    <t>Zayed 1st Street Electra AUH, 22ND AUG - Cash Collection TG</t>
  </si>
  <si>
    <t>19,816,770.11</t>
  </si>
  <si>
    <t>4360</t>
  </si>
  <si>
    <t>2508230900565037</t>
  </si>
  <si>
    <t>Hamdan Abu Dhabi, 22ND AUG - Cash Collection TG</t>
  </si>
  <si>
    <t>20,366,770.11</t>
  </si>
  <si>
    <t>4361</t>
  </si>
  <si>
    <t>2508230900565040</t>
  </si>
  <si>
    <t>Bin Dhgher Tower Khalidya AUH, 22ND AUG - Cash Collection TG</t>
  </si>
  <si>
    <t>20,816,770.11</t>
  </si>
  <si>
    <t>2508230901016033</t>
  </si>
  <si>
    <t>NESTO HYPRMRKT AJM, 22ND AUG - Cash Collection TG</t>
  </si>
  <si>
    <t>21,046,770.11</t>
  </si>
  <si>
    <t>4363</t>
  </si>
  <si>
    <t>2508230901016039</t>
  </si>
  <si>
    <t>NAIF RD, 22ND AUG - Cash Collection TG</t>
  </si>
  <si>
    <t>21,456,770.11</t>
  </si>
  <si>
    <t>4364</t>
  </si>
  <si>
    <t>2508230901016058</t>
  </si>
  <si>
    <t>MEGA MALL SHARJAH BR 1, 22ND AUG - Cash Collection TG</t>
  </si>
  <si>
    <t>21,756,770.11</t>
  </si>
  <si>
    <t>4365</t>
  </si>
  <si>
    <t>2508230901016080</t>
  </si>
  <si>
    <t>UAQ, 22ND AUG - Cash Collection TG</t>
  </si>
  <si>
    <t>135,000.00</t>
  </si>
  <si>
    <t>21,891,770.11</t>
  </si>
  <si>
    <t>2508230901016092</t>
  </si>
  <si>
    <t>AL RIGGA METRO STION DXB, 22ND AUG - Cash Collection TG</t>
  </si>
  <si>
    <t>22,091,770.11</t>
  </si>
  <si>
    <t>4367</t>
  </si>
  <si>
    <t>2508230901016104</t>
  </si>
  <si>
    <t>CLOCK TOWER 1, 22ND AUG - Cash Collection TG</t>
  </si>
  <si>
    <t>22,241,770.11</t>
  </si>
  <si>
    <t>4368</t>
  </si>
  <si>
    <t>2508230901016113</t>
  </si>
  <si>
    <t>AL MINA NESTO BR DXB, 22ND AUG - Cash Collection TG</t>
  </si>
  <si>
    <t>300,025.00</t>
  </si>
  <si>
    <t>22,541,795.11</t>
  </si>
  <si>
    <t>4369</t>
  </si>
  <si>
    <t>2508230901016116</t>
  </si>
  <si>
    <t>CO OP SOCIETY SHJ 1, 22ND AUG - Cash Collection TG</t>
  </si>
  <si>
    <t>22,641,795.11</t>
  </si>
  <si>
    <t>4370</t>
  </si>
  <si>
    <t>2508230901016119</t>
  </si>
  <si>
    <t>SAJA INDUSTRIAL SHJ 2, 22ND AUG - Cash Collection TG</t>
  </si>
  <si>
    <t>22,941,795.11</t>
  </si>
  <si>
    <t>4371</t>
  </si>
  <si>
    <t>2508230901026122</t>
  </si>
  <si>
    <t>IND AREA 3 SHJ, 22ND AUG - Cash Collection TG</t>
  </si>
  <si>
    <t>142,000.00</t>
  </si>
  <si>
    <t>23,083,795.11</t>
  </si>
  <si>
    <t>4372</t>
  </si>
  <si>
    <t>2508230901026125</t>
  </si>
  <si>
    <t>KARAMA DUBAI, 22ND AUG - Cash Collection TG</t>
  </si>
  <si>
    <t>23,383,795.11</t>
  </si>
  <si>
    <t>4373</t>
  </si>
  <si>
    <t>PHUB527240488</t>
  </si>
  <si>
    <t>B/O_MOHAMMAD_MEBL_527240488_Persona</t>
  </si>
  <si>
    <t>23,548,795.11</t>
  </si>
  <si>
    <t>4374</t>
  </si>
  <si>
    <t>PHUB527252138</t>
  </si>
  <si>
    <t>527252138 B/O S A A S ADVISORY INVESTMENTS AND TR</t>
  </si>
  <si>
    <t>1,950.00</t>
  </si>
  <si>
    <t>23,550,745.11</t>
  </si>
  <si>
    <t>4375</t>
  </si>
  <si>
    <t>PHUB527252158</t>
  </si>
  <si>
    <t>B/O_S A A S ADVISORY_527252158</t>
  </si>
  <si>
    <t>14,809.00</t>
  </si>
  <si>
    <t>23,565,554.11</t>
  </si>
  <si>
    <t>4376</t>
  </si>
  <si>
    <t>PHUB527245946</t>
  </si>
  <si>
    <t>B/O_S A A S ADVISORY_527245946</t>
  </si>
  <si>
    <t>35,130.18</t>
  </si>
  <si>
    <t>23,600,684.29</t>
  </si>
  <si>
    <t>4377</t>
  </si>
  <si>
    <t>B/O_I N C A JE_UARB_527265413_Local B</t>
  </si>
  <si>
    <t>15,830,450.00</t>
  </si>
  <si>
    <t>39,431,134.29</t>
  </si>
  <si>
    <t>4378</t>
  </si>
  <si>
    <t>PHUB527294921</t>
  </si>
  <si>
    <t>IMD 23082025</t>
  </si>
  <si>
    <t>31,952,426.45</t>
  </si>
  <si>
    <t>7,478,707.84</t>
  </si>
  <si>
    <t>4379</t>
  </si>
  <si>
    <t>23082501</t>
  </si>
  <si>
    <t>1,596,690.23</t>
  </si>
  <si>
    <t>9,075,398.07</t>
  </si>
  <si>
    <t>4380</t>
  </si>
  <si>
    <t>PHUB527301795</t>
  </si>
  <si>
    <t>CA 23082025</t>
  </si>
  <si>
    <t>20,075,398.07</t>
  </si>
  <si>
    <t>4381</t>
  </si>
  <si>
    <t>PHUB527302094</t>
  </si>
  <si>
    <t>B/O_ALMUHEAT R_BOML_527302094_ GOODS</t>
  </si>
  <si>
    <t>17,568.25</t>
  </si>
  <si>
    <t>20,092,966.32</t>
  </si>
  <si>
    <t>4382</t>
  </si>
  <si>
    <t>51173224928</t>
  </si>
  <si>
    <t>26279231087 MBTRF_B/O SABER MOHAMED ABDELMONEM REFAY</t>
  </si>
  <si>
    <t>20,102,966.32</t>
  </si>
  <si>
    <t>4383</t>
  </si>
  <si>
    <t>51173269223</t>
  </si>
  <si>
    <t>26279272700 MBTRF_B/O SABER MOHAMED ABDELMONEM REFAY</t>
  </si>
  <si>
    <t>65.00</t>
  </si>
  <si>
    <t>20,103,031.32</t>
  </si>
  <si>
    <t>4384</t>
  </si>
  <si>
    <t>51173310064</t>
  </si>
  <si>
    <t>26279317554 MBTRF_B/O SABER MOHAMED ABDELMONEM REFAY</t>
  </si>
  <si>
    <t>20,113,031.32</t>
  </si>
  <si>
    <t>4385</t>
  </si>
  <si>
    <t>PHUB527311152</t>
  </si>
  <si>
    <t>B/O_MAKANI BUI_NBSH_527311152_TOF - T</t>
  </si>
  <si>
    <t>20,178.96</t>
  </si>
  <si>
    <t>20,133,210.28</t>
  </si>
  <si>
    <t>4386</t>
  </si>
  <si>
    <t>51173346201</t>
  </si>
  <si>
    <t>26279355970 MBTRF_B/O SABER MOHAMED ABDELMONEM REFAY</t>
  </si>
  <si>
    <t>20,143,210.28</t>
  </si>
  <si>
    <t>4387</t>
  </si>
  <si>
    <t>51173378551</t>
  </si>
  <si>
    <t>26279392078 MBTRF_B/O SABER MOHAMED ABDELMONEM REFAY</t>
  </si>
  <si>
    <t>20,153,210.28</t>
  </si>
  <si>
    <t>4388</t>
  </si>
  <si>
    <t>51173415429</t>
  </si>
  <si>
    <t>26279428881 MBTRF_B/O SABER MOHAMED ABDELMONEM REFAY</t>
  </si>
  <si>
    <t>20,163,210.28</t>
  </si>
  <si>
    <t>4389</t>
  </si>
  <si>
    <t>51173470138</t>
  </si>
  <si>
    <t>26279483148 MBTRF_B/O REJANEESH RAMA CHANDRAN</t>
  </si>
  <si>
    <t>20,167,210.28</t>
  </si>
  <si>
    <t>4390</t>
  </si>
  <si>
    <t>51173503447</t>
  </si>
  <si>
    <t>26279518415 MBTRF_B/O SABER MOHAMED ABDELMONEM REFAY</t>
  </si>
  <si>
    <t>20,177,210.28</t>
  </si>
  <si>
    <t>4391</t>
  </si>
  <si>
    <t>51173530451</t>
  </si>
  <si>
    <t>26279545566 MBTRF_B/O SABER MOHAMED ABDELMONEM REFAY</t>
  </si>
  <si>
    <t>20,187,210.28</t>
  </si>
  <si>
    <t>4392</t>
  </si>
  <si>
    <t>51173615798</t>
  </si>
  <si>
    <t>26279629405 MBTRF_B/O SABER MOHAMED ABDELMONEM REFAY</t>
  </si>
  <si>
    <t>4,935.00</t>
  </si>
  <si>
    <t>20,192,145.28</t>
  </si>
  <si>
    <t>4393</t>
  </si>
  <si>
    <t>PHUB527320250</t>
  </si>
  <si>
    <t>B/O_ASMAA AWAD_NBSH_527320250_UNIT RE</t>
  </si>
  <si>
    <t>75,894.00</t>
  </si>
  <si>
    <t>20,268,039.28</t>
  </si>
  <si>
    <t>4394</t>
  </si>
  <si>
    <t>50,280.00</t>
  </si>
  <si>
    <t>20,318,319.28</t>
  </si>
  <si>
    <t>4395</t>
  </si>
  <si>
    <t>PHUB527325051</t>
  </si>
  <si>
    <t>B/O_SIAM MIDDL_NBFU_527325051_PAYMENT</t>
  </si>
  <si>
    <t>412,636.43</t>
  </si>
  <si>
    <t>20,730,955.71</t>
  </si>
  <si>
    <t>4396</t>
  </si>
  <si>
    <t>PHUB527328741</t>
  </si>
  <si>
    <t>REQ25137 PO25759 WO25307</t>
  </si>
  <si>
    <t>24,004.50</t>
  </si>
  <si>
    <t>20,754,960.21</t>
  </si>
  <si>
    <t>4397</t>
  </si>
  <si>
    <t>PHUB527336058</t>
  </si>
  <si>
    <t>527336058 B/O ZEINAB ARABI ESMAEEL</t>
  </si>
  <si>
    <t>20,755,460.21</t>
  </si>
  <si>
    <t>4398</t>
  </si>
  <si>
    <t>51174674226</t>
  </si>
  <si>
    <t>26280707309 MBTRF B/O MOHAMED GOMAA IBRAHEM ABDELGHANY</t>
  </si>
  <si>
    <t>5,147.80</t>
  </si>
  <si>
    <t>20,760,608.01</t>
  </si>
  <si>
    <t>4399</t>
  </si>
  <si>
    <t>51174709015</t>
  </si>
  <si>
    <t>26280744620 MBTRF B/O MOHAMED GOMAA IBRAHEM ABDELGHANY</t>
  </si>
  <si>
    <t>7,852.78</t>
  </si>
  <si>
    <t>20,768,460.79</t>
  </si>
  <si>
    <t>4400</t>
  </si>
  <si>
    <t>B/O_HAKITAAK T_MEBL_527346868_Hakitaa</t>
  </si>
  <si>
    <t>42,108.25</t>
  </si>
  <si>
    <t>20,810,569.04</t>
  </si>
  <si>
    <t>4401</t>
  </si>
  <si>
    <t>010585</t>
  </si>
  <si>
    <t>INHOUSE CHEQUE DEPOSIT 010585 MUHAMMAD HAMEED MUHAMMAD   FAREED AL FARDAN EXCHANGE SP LLC CHQ NO ::010585</t>
  </si>
  <si>
    <t>27,496.25</t>
  </si>
  <si>
    <t>20,838,065.29</t>
  </si>
  <si>
    <t>4402</t>
  </si>
  <si>
    <t>010586</t>
  </si>
  <si>
    <t>INHOUSE CHEQUE DEPOSIT 010586 MUHAMMAD HAMEED MUHAMMAD   FAREED AL FARDAN EXCHANGE SP LLC CHQ NO ::010586</t>
  </si>
  <si>
    <t>47,137.50</t>
  </si>
  <si>
    <t>20,885,202.79</t>
  </si>
  <si>
    <t>4403</t>
  </si>
  <si>
    <t>010588</t>
  </si>
  <si>
    <t>INHOUSE CHEQUE DEPOSIT 010588 MUHAMMAD HAMEED MUHAMMAD   FAREED AL FARDAN EXCHANGE SP LLC CHQ NO ::010588</t>
  </si>
  <si>
    <t>15,548.50</t>
  </si>
  <si>
    <t>20,900,751.29</t>
  </si>
  <si>
    <t>4404</t>
  </si>
  <si>
    <t>000422</t>
  </si>
  <si>
    <t>INHOUSE CHEQUE DEPOSIT 000422 RIYAS KUNIYIL    KUNHABDULLA AL FARDAN EXCHANGE SP LLC CHQ NO ::000422</t>
  </si>
  <si>
    <t>60,710.75</t>
  </si>
  <si>
    <t>20,961,462.04</t>
  </si>
  <si>
    <t>4405</t>
  </si>
  <si>
    <t>000364</t>
  </si>
  <si>
    <t>INHOUSE CHEQUE DEPOSIT 000364 SUMEEJ VELUTHEDATHU PARAMBIL    MANIKUTTY AL FARDAN EXCHANGE SP LLC CHQ NO ::000364</t>
  </si>
  <si>
    <t>141,698.11</t>
  </si>
  <si>
    <t>21,103,160.15</t>
  </si>
  <si>
    <t>4406</t>
  </si>
  <si>
    <t>51177270202</t>
  </si>
  <si>
    <t>26283368471 MBTRF B/O GEORGY THOMAS</t>
  </si>
  <si>
    <t>20,484.27</t>
  </si>
  <si>
    <t>21,123,644.42</t>
  </si>
  <si>
    <t>4407</t>
  </si>
  <si>
    <t>PHUB527380209</t>
  </si>
  <si>
    <t>B/O_TR LLC BAW_ADIB_527380209_goods</t>
  </si>
  <si>
    <t>106,607.00</t>
  </si>
  <si>
    <t>21,230,251.42</t>
  </si>
  <si>
    <t>4408</t>
  </si>
  <si>
    <t>51177447795</t>
  </si>
  <si>
    <t>26283556073 MBTRF B/O ALTAMAYOUZ AGRICULTURAL</t>
  </si>
  <si>
    <t>75,628.00</t>
  </si>
  <si>
    <t>21,305,879.42</t>
  </si>
  <si>
    <t>4409</t>
  </si>
  <si>
    <t>51177443020</t>
  </si>
  <si>
    <t>2545381065 IBTRF B/O PANKAJ NAND KUMAR SHRINGARPURE</t>
  </si>
  <si>
    <t>100,001.00</t>
  </si>
  <si>
    <t>21,405,880.42</t>
  </si>
  <si>
    <t>4410</t>
  </si>
  <si>
    <t>51177549140</t>
  </si>
  <si>
    <t>26283664451 MBTRF B/O T N R FLOWERS TRADING LLC</t>
  </si>
  <si>
    <t>33,625.06</t>
  </si>
  <si>
    <t>21,439,505.48</t>
  </si>
  <si>
    <t>4411</t>
  </si>
  <si>
    <t>003865</t>
  </si>
  <si>
    <t>INHOUSE CHEQUE DEPOSIT 003865 BADARUDEEN SHAMSUDEEN    SHAMSUDEEN AL FARDAN EXCHANGE SP LLC CHQ NO ::003865</t>
  </si>
  <si>
    <t>992,072.50</t>
  </si>
  <si>
    <t>22,431,577.98</t>
  </si>
  <si>
    <t>4412</t>
  </si>
  <si>
    <t>PHUB527398508</t>
  </si>
  <si>
    <t>527398508 B/O AHMED ABDELHAMID ABDELHADY ABDELREHIM</t>
  </si>
  <si>
    <t>22,441,577.98</t>
  </si>
  <si>
    <t>4413</t>
  </si>
  <si>
    <t>51178435228</t>
  </si>
  <si>
    <t>2545411074 IBTRF B/O NATIONAL FLOWERS LLC SPC</t>
  </si>
  <si>
    <t>86,234.56</t>
  </si>
  <si>
    <t>22,527,812.54</t>
  </si>
  <si>
    <t>4414</t>
  </si>
  <si>
    <t>51178754069</t>
  </si>
  <si>
    <t>26284941428 MBTRF B/O PACHERS BLINDS TRADING LLC</t>
  </si>
  <si>
    <t>885.76</t>
  </si>
  <si>
    <t>22,528,698.30</t>
  </si>
  <si>
    <t>4415</t>
  </si>
  <si>
    <t>51178798165</t>
  </si>
  <si>
    <t>2545421391 IBTRF B/O ZAHRAT AMMAN TRADING</t>
  </si>
  <si>
    <t>22,628,698.30</t>
  </si>
  <si>
    <t>4416</t>
  </si>
  <si>
    <t>51178817562</t>
  </si>
  <si>
    <t>2545421907 IBTRF B/O ZAHRAT AMMAN TRADING</t>
  </si>
  <si>
    <t>22,728,698.30</t>
  </si>
  <si>
    <t>4417</t>
  </si>
  <si>
    <t>51178840849</t>
  </si>
  <si>
    <t>2545422521 IBTRF B/O ZAHRAT AMMAN TRADING</t>
  </si>
  <si>
    <t>22,778,698.30</t>
  </si>
  <si>
    <t>4418</t>
  </si>
  <si>
    <t>2508231559253249</t>
  </si>
  <si>
    <t>22ND AUG, MUWAILLAHSHJ - Cash Collection TG</t>
  </si>
  <si>
    <t>23,098,698.30</t>
  </si>
  <si>
    <t>4419</t>
  </si>
  <si>
    <t>51179092952</t>
  </si>
  <si>
    <t>26285294385 MBTRF B/O ROSE RANJIT</t>
  </si>
  <si>
    <t>11,948.22</t>
  </si>
  <si>
    <t>23,110,646.52</t>
  </si>
  <si>
    <t>4420</t>
  </si>
  <si>
    <t>MOB2308251609318248354</t>
  </si>
  <si>
    <t>19,468.67</t>
  </si>
  <si>
    <t>23,130,115.19</t>
  </si>
  <si>
    <t>4421</t>
  </si>
  <si>
    <t>51179376179</t>
  </si>
  <si>
    <t>26285599837 MBTRF B/O AHMAD M M AL KHALAF</t>
  </si>
  <si>
    <t>33,006.59</t>
  </si>
  <si>
    <t>23,163,121.78</t>
  </si>
  <si>
    <t>4422</t>
  </si>
  <si>
    <t>PHUB527421497</t>
  </si>
  <si>
    <t>527421497 B/O MR AHMED BASSYOUNY ELAHWAL</t>
  </si>
  <si>
    <t>209.00</t>
  </si>
  <si>
    <t>23,163,330.78</t>
  </si>
  <si>
    <t>4423</t>
  </si>
  <si>
    <t>PHUB527437429</t>
  </si>
  <si>
    <t>B/O_1/GOVERMEN_DUIB_527437429_5030009</t>
  </si>
  <si>
    <t>23,173,330.78</t>
  </si>
  <si>
    <t>4424</t>
  </si>
  <si>
    <t>PHUB527439359</t>
  </si>
  <si>
    <t>527439359 B/O MR RAKESH KUMAR BHAJANA RAM</t>
  </si>
  <si>
    <t>1,206.44</t>
  </si>
  <si>
    <t>23,174,537.22</t>
  </si>
  <si>
    <t>4425</t>
  </si>
  <si>
    <t>CURRENCY EXCHANGE DOLLAR</t>
  </si>
  <si>
    <t>B/O RIDER ARABIA TOURISM LLC</t>
  </si>
  <si>
    <t>36,845.00</t>
  </si>
  <si>
    <t>23,211,382.22</t>
  </si>
  <si>
    <t>4426</t>
  </si>
  <si>
    <t>51181525129</t>
  </si>
  <si>
    <t>26287968315 MBTRF B/O MUHAMMED ASLAM POOCHENGAL</t>
  </si>
  <si>
    <t>99,937.69</t>
  </si>
  <si>
    <t>23,311,319.91</t>
  </si>
  <si>
    <t>4427</t>
  </si>
  <si>
    <t>51181689391</t>
  </si>
  <si>
    <t>26288147566 MBTRF B/O AL QASAS BUILDINGS MATERIAL TR LLC</t>
  </si>
  <si>
    <t>49,843.20</t>
  </si>
  <si>
    <t>23,361,163.11</t>
  </si>
  <si>
    <t>4428</t>
  </si>
  <si>
    <t>002248</t>
  </si>
  <si>
    <t>CHEQUE DEPOSIT 002248 MUHAMMAD,HAMEED,MUHAMMAD,,,FAREED, 203320145 CHQ NO ::002248</t>
  </si>
  <si>
    <t>16,126.00</t>
  </si>
  <si>
    <t>23,377,289.11</t>
  </si>
  <si>
    <t>4429</t>
  </si>
  <si>
    <t>CHEQUE DEPOSIT 000042 SHAMSHEER KHAN AHAMED KHAN AHAMED  KHAN 902620135 CHQ NO ::000042</t>
  </si>
  <si>
    <t>23,537,289.11</t>
  </si>
  <si>
    <t>4430</t>
  </si>
  <si>
    <t>CHEQUE DEPOSIT 000583 BABIN BALACHANDRAN NAIR    BALACHANDRAN 703560171 CHQ NO ::000583</t>
  </si>
  <si>
    <t>504,067.00</t>
  </si>
  <si>
    <t>24,041,356.11</t>
  </si>
  <si>
    <t>4431</t>
  </si>
  <si>
    <t>358463</t>
  </si>
  <si>
    <t>CHEQUE DEPOSIT 358463 NISSAR MANGADAN MOIDEEN   MANGADAN 701211002 CHQ NO ::358463</t>
  </si>
  <si>
    <t>46,076.00</t>
  </si>
  <si>
    <t>24,087,432.11</t>
  </si>
  <si>
    <t>4432</t>
  </si>
  <si>
    <t>CHEQUE DEPOSIT 001148 NAUFAL PITTU    MOIDEEN 603510179 CHQ NO ::001148</t>
  </si>
  <si>
    <t>1,313.45</t>
  </si>
  <si>
    <t>24,088,745.56</t>
  </si>
  <si>
    <t>4433</t>
  </si>
  <si>
    <t>014101</t>
  </si>
  <si>
    <t>CHEQUE DEPOSIT 014101 MOUSTAFA IBRAHIM,AHMED,,,,RAMADAN ELBARBARY, 100810101 CHQ NO ::014101</t>
  </si>
  <si>
    <t>22,430.50</t>
  </si>
  <si>
    <t>24,111,176.06</t>
  </si>
  <si>
    <t>4434</t>
  </si>
  <si>
    <t>014725</t>
  </si>
  <si>
    <t>CHEQUE DEPOSIT 014725 MUHAMMAD AKRAM NAZAR   MUHAMMAD 102310030 CHQ NO ::014725</t>
  </si>
  <si>
    <t>33,158.75</t>
  </si>
  <si>
    <t>24,144,334.81</t>
  </si>
  <si>
    <t>4435</t>
  </si>
  <si>
    <t>CHEQUE DEPOSIT 000815 MUHAMMAD HAMEED MUHAMMAD   FAREED 604130075 CHQ NO ::000815</t>
  </si>
  <si>
    <t>12,909.75</t>
  </si>
  <si>
    <t>24,157,244.56</t>
  </si>
  <si>
    <t>4436</t>
  </si>
  <si>
    <t>000819</t>
  </si>
  <si>
    <t>CHEQUE DEPOSIT 000819 MUHAMMAD HAMEED MUHAMMAD   FAREED 604130075 CHQ NO ::000819</t>
  </si>
  <si>
    <t>10,338.30</t>
  </si>
  <si>
    <t>24,167,582.86</t>
  </si>
  <si>
    <t>4437</t>
  </si>
  <si>
    <t>BENU LEEBERSON</t>
  </si>
  <si>
    <t>CHEQUE DEPOSIT BENU LEEBERSON 902620102 CHQ NO ::000150</t>
  </si>
  <si>
    <t>39,977.00</t>
  </si>
  <si>
    <t>24,207,559.86</t>
  </si>
  <si>
    <t>4438</t>
  </si>
  <si>
    <t>CHEQUE DEPOSIT 000336 KARAN SINGH,,,,,MAJHI, 804030124 CHQ NO ::000336</t>
  </si>
  <si>
    <t>36,228.02</t>
  </si>
  <si>
    <t>24,243,787.88</t>
  </si>
  <si>
    <t>4439</t>
  </si>
  <si>
    <t>358462</t>
  </si>
  <si>
    <t>CHEQUE DEPOSIT 358462 NISSAR MANGADAN MOIDEEN   MANGADAN 701211002 CHQ NO ::358462</t>
  </si>
  <si>
    <t>23,139.00</t>
  </si>
  <si>
    <t>24,266,926.88</t>
  </si>
  <si>
    <t>4440</t>
  </si>
  <si>
    <t>100765</t>
  </si>
  <si>
    <t>CHEQUE DEPOSIT 100765 SHAMSHEER KHAN AHAMED KHAN AHAMED  KHAN 302430107 CHQ NO ::100765</t>
  </si>
  <si>
    <t>38,693.16</t>
  </si>
  <si>
    <t>24,305,620.04</t>
  </si>
  <si>
    <t>4441</t>
  </si>
  <si>
    <t>CHEQUE DEPOSIT 000095 JILU JALEEL     ABDUL JALEEL 304012039 CHQ NO ::000095</t>
  </si>
  <si>
    <t>25,050.50</t>
  </si>
  <si>
    <t>24,330,670.54</t>
  </si>
  <si>
    <t>4442</t>
  </si>
  <si>
    <t>CHEQUE DEPOSIT 000025 BASHEER PULIKKAL    IBRAHIM 102610161 CHQ NO ::000025</t>
  </si>
  <si>
    <t>24,380,670.54</t>
  </si>
  <si>
    <t>4443</t>
  </si>
  <si>
    <t>001238</t>
  </si>
  <si>
    <t>CHEQUE DEPOSIT 001238 MUHAMMAD,HAMEED,MUHAMMAD,,,FAREED, 203320145 CHQ NO ::001238</t>
  </si>
  <si>
    <t>17,808.00</t>
  </si>
  <si>
    <t>24,398,478.54</t>
  </si>
  <si>
    <t>4444</t>
  </si>
  <si>
    <t>002246</t>
  </si>
  <si>
    <t>CHEQUE DEPOSIT 002246 MUHAMMAD,HAMEED,MUHAMMAD,,,FAREED, 203320145 CHQ NO ::002246</t>
  </si>
  <si>
    <t>11,075.00</t>
  </si>
  <si>
    <t>24,409,553.54</t>
  </si>
  <si>
    <t>4445</t>
  </si>
  <si>
    <t>000584</t>
  </si>
  <si>
    <t>CHEQUE DEPOSIT 000584 BABIN BALACHANDRAN NAIR    BALACHANDRAN 703560171 CHQ NO ::000584</t>
  </si>
  <si>
    <t>243,944.50</t>
  </si>
  <si>
    <t>24,653,498.04</t>
  </si>
  <si>
    <t>4446</t>
  </si>
  <si>
    <t>000252</t>
  </si>
  <si>
    <t>CHEQUE DEPOSIT 000252 BASHEER PULIKKAL    IBRAHIM 101110101 CHQ NO ::000252</t>
  </si>
  <si>
    <t>25,311.00</t>
  </si>
  <si>
    <t>24,678,809.04</t>
  </si>
  <si>
    <t>4447</t>
  </si>
  <si>
    <t>003816</t>
  </si>
  <si>
    <t>CHEQUE DEPOSIT 003816 SHAMSHEER KHAN AHAMED KHAN AHAMED  KHAN 802630140 CHQ NO ::003816</t>
  </si>
  <si>
    <t>21,900.00</t>
  </si>
  <si>
    <t>24,700,709.04</t>
  </si>
  <si>
    <t>4448</t>
  </si>
  <si>
    <t>000297</t>
  </si>
  <si>
    <t>CHEQUE DEPOSIT 000297 SHAMSHEER KHAN AHAMED KHAN AHAMED  KHAN 804030157 CHQ NO ::000297</t>
  </si>
  <si>
    <t>17,943.00</t>
  </si>
  <si>
    <t>24,718,652.04</t>
  </si>
  <si>
    <t>4449</t>
  </si>
  <si>
    <t>000103</t>
  </si>
  <si>
    <t>CHEQUE DEPOSIT 000103 MUHAMMAD AKRAM NAZAR   MUHAMMAD 205319002 CHQ NO ::000103</t>
  </si>
  <si>
    <t>24,768,652.04</t>
  </si>
  <si>
    <t>4450</t>
  </si>
  <si>
    <t>002330</t>
  </si>
  <si>
    <t>CHEQUE DEPOSIT 002330 MUHAMMAD,BILAL,,,,MUHAMMAD ILYAS, 903320188 CHQ NO ::002330</t>
  </si>
  <si>
    <t>14,056.00</t>
  </si>
  <si>
    <t>24,782,708.04</t>
  </si>
  <si>
    <t>4451</t>
  </si>
  <si>
    <t>TAMMOUN</t>
  </si>
  <si>
    <t>CHEQUE DEPOSIT TAMMOUN 204011011 CHQ NO ::000059</t>
  </si>
  <si>
    <t>194,047.75</t>
  </si>
  <si>
    <t>24,976,755.79</t>
  </si>
  <si>
    <t>4452</t>
  </si>
  <si>
    <t>51182663023</t>
  </si>
  <si>
    <t>26289262814 MBTRF B/O T N R FLOWERS TRADING LLC</t>
  </si>
  <si>
    <t>25,035,600.29</t>
  </si>
  <si>
    <t>4453</t>
  </si>
  <si>
    <t>51182933581</t>
  </si>
  <si>
    <t>26289578063 MBTRF B/O HOSSAM ABDELHAMID A H ABDELNASSER</t>
  </si>
  <si>
    <t>44,149.00</t>
  </si>
  <si>
    <t>25,079,749.29</t>
  </si>
  <si>
    <t>4454</t>
  </si>
  <si>
    <t>51183254674</t>
  </si>
  <si>
    <t>26289947745 MBTRF B/O HAMZA YOUSEF LUTFI HAMAD</t>
  </si>
  <si>
    <t>4,218.25</t>
  </si>
  <si>
    <t>25,083,967.54</t>
  </si>
  <si>
    <t>4455</t>
  </si>
  <si>
    <t>51183427381</t>
  </si>
  <si>
    <t>26290149128 MBTRF B/O AKMAL NAZIR</t>
  </si>
  <si>
    <t>802.87</t>
  </si>
  <si>
    <t>25,084,770.41</t>
  </si>
  <si>
    <t>4456</t>
  </si>
  <si>
    <t>527485112 B/O MOHAMED ABDELSALAM ALI</t>
  </si>
  <si>
    <t>25,087,770.41</t>
  </si>
  <si>
    <t>4457</t>
  </si>
  <si>
    <t>51184390389</t>
  </si>
  <si>
    <t>26291278827 MBTRF B/O JAYDIP MAJUMDAR</t>
  </si>
  <si>
    <t>6,612.00</t>
  </si>
  <si>
    <t>25,094,382.41</t>
  </si>
  <si>
    <t>4458</t>
  </si>
  <si>
    <t>51184672966</t>
  </si>
  <si>
    <t>26291616815 MBTRF B/O SILA TRADING LLC</t>
  </si>
  <si>
    <t>34,000.15</t>
  </si>
  <si>
    <t>25,128,382.56</t>
  </si>
  <si>
    <t>4459</t>
  </si>
  <si>
    <t>PHUB527501440</t>
  </si>
  <si>
    <t>527501440 B/O KHALED MOHAMED FATHY ABDELMAKSOUD</t>
  </si>
  <si>
    <t>25,128,882.56</t>
  </si>
  <si>
    <t>4460</t>
  </si>
  <si>
    <t>51185259135</t>
  </si>
  <si>
    <t>26292305945 MBTRF B/O ABBOALFTEH AHAMED ABBOALFTEH AHAMED</t>
  </si>
  <si>
    <t>59,818.25</t>
  </si>
  <si>
    <t>25,188,700.81</t>
  </si>
  <si>
    <t>4461</t>
  </si>
  <si>
    <t>24-Aug-2025</t>
  </si>
  <si>
    <t>51190927516</t>
  </si>
  <si>
    <t>26298977690 MBTRF B/O MANAL ALI MOHAMED ABDULLA AL SAYEGH</t>
  </si>
  <si>
    <t>26,516.25</t>
  </si>
  <si>
    <t>25,215,217.06</t>
  </si>
  <si>
    <t>4462</t>
  </si>
  <si>
    <t>51191978920</t>
  </si>
  <si>
    <t>26300190573 MBTRF B/O MANAL ALI MOHAMED ABDULLA AL SAYEGH</t>
  </si>
  <si>
    <t>700.00</t>
  </si>
  <si>
    <t>25,215,917.06</t>
  </si>
  <si>
    <t>4463</t>
  </si>
  <si>
    <t>51192078277</t>
  </si>
  <si>
    <t>26300304177 MBTRF B/O GRAND MALFOUF WA HAREES CAF CO LLC</t>
  </si>
  <si>
    <t>1,079.00</t>
  </si>
  <si>
    <t>25,216,996.06</t>
  </si>
  <si>
    <t>4464</t>
  </si>
  <si>
    <t>PHUB527590996</t>
  </si>
  <si>
    <t>527590996 B/O MOHAMMED MOUNIER YOUSEF MANSOUR</t>
  </si>
  <si>
    <t>25,052.00</t>
  </si>
  <si>
    <t>25,242,048.06</t>
  </si>
  <si>
    <t>4465</t>
  </si>
  <si>
    <t>PHUB527592053</t>
  </si>
  <si>
    <t>527592053 B/O FERAS ABDULKAREEM ABDALJALEEL NAJAD</t>
  </si>
  <si>
    <t>130.00</t>
  </si>
  <si>
    <t>25,242,178.06</t>
  </si>
  <si>
    <t>4466</t>
  </si>
  <si>
    <t>51192311482</t>
  </si>
  <si>
    <t>26300570688 MBTRF B/O MOHAMMED EMTIAJ UDDIN SIKDER</t>
  </si>
  <si>
    <t>36,855.00</t>
  </si>
  <si>
    <t>25,279,033.06</t>
  </si>
  <si>
    <t>4467</t>
  </si>
  <si>
    <t>PHUB527594898</t>
  </si>
  <si>
    <t>527594898 B/O FERAS ABDULKAREEM ABDALJALEEL NAJAD</t>
  </si>
  <si>
    <t>25,280,033.06</t>
  </si>
  <si>
    <t>4468</t>
  </si>
  <si>
    <t>PHUB527595567</t>
  </si>
  <si>
    <t>527595567 B/O FERAS ABDULKAREEM ABDALJALEEL NAJAD</t>
  </si>
  <si>
    <t>545.00</t>
  </si>
  <si>
    <t>25,280,578.06</t>
  </si>
  <si>
    <t>4469</t>
  </si>
  <si>
    <t>PHUB527605984</t>
  </si>
  <si>
    <t>527605984 B/O AHMED ELSAYED ABDELSALAM ELSAYED</t>
  </si>
  <si>
    <t>4,280.00</t>
  </si>
  <si>
    <t>25,284,858.06</t>
  </si>
  <si>
    <t>4470</t>
  </si>
  <si>
    <t>PHUB527607000</t>
  </si>
  <si>
    <t>527607000 B/O Akber Abdul Aziz Pirani</t>
  </si>
  <si>
    <t>6,129.00</t>
  </si>
  <si>
    <t>25,290,987.06</t>
  </si>
  <si>
    <t>4471</t>
  </si>
  <si>
    <t>PHUB527607925</t>
  </si>
  <si>
    <t>527607925 B/O MOHAMED HASAN IBRAHIM HASAN ALFARDA</t>
  </si>
  <si>
    <t>25,293,087.06</t>
  </si>
  <si>
    <t>4472</t>
  </si>
  <si>
    <t>PHUB527621163</t>
  </si>
  <si>
    <t>527621163 B/O MARSHALL LEE ROY MALGAS</t>
  </si>
  <si>
    <t>4,020.00</t>
  </si>
  <si>
    <t>25,297,107.06</t>
  </si>
  <si>
    <t>4473</t>
  </si>
  <si>
    <t>PHUB527627861</t>
  </si>
  <si>
    <t>527627861 B/O ASEP HERYANA SUHERMAN</t>
  </si>
  <si>
    <t>25,322,107.06</t>
  </si>
  <si>
    <t>4474</t>
  </si>
  <si>
    <t>51195595024</t>
  </si>
  <si>
    <t>26304354752 MBTRF B/O MUTHURAMALINGAM BALASUBRAMANIAN</t>
  </si>
  <si>
    <t>26.50</t>
  </si>
  <si>
    <t>25,322,133.56</t>
  </si>
  <si>
    <t>4475</t>
  </si>
  <si>
    <t>51197630877</t>
  </si>
  <si>
    <t>26306810834 MBTRF B/O INDIAN BITES CATERING LLC</t>
  </si>
  <si>
    <t>25,329,133.56</t>
  </si>
  <si>
    <t>4476</t>
  </si>
  <si>
    <t>51197785470</t>
  </si>
  <si>
    <t>26307002952 MBTRF B/O AL ARFEEN HEAVY EQUIP RNTAL TR LLC</t>
  </si>
  <si>
    <t>25,351,633.56</t>
  </si>
  <si>
    <t>4477</t>
  </si>
  <si>
    <t>51198180405</t>
  </si>
  <si>
    <t>2545845734 IBTRF B/O ZAHRAT AMMAN TRADING</t>
  </si>
  <si>
    <t>25,451,633.56</t>
  </si>
  <si>
    <t>4478</t>
  </si>
  <si>
    <t>51198208038</t>
  </si>
  <si>
    <t>2545846118 IBTRF B/O ZAHRAT AMMAN TRADING</t>
  </si>
  <si>
    <t>25,551,633.56</t>
  </si>
  <si>
    <t>4479</t>
  </si>
  <si>
    <t>51198226462</t>
  </si>
  <si>
    <t>2545846521 IBTRF B/O ZAHRAT AMMAN TRADING</t>
  </si>
  <si>
    <t>25,601,633.56</t>
  </si>
  <si>
    <t>4480</t>
  </si>
  <si>
    <t>PHUB527683682</t>
  </si>
  <si>
    <t>527683682 B/O FATIHA ABOURIGUE</t>
  </si>
  <si>
    <t>5,544.22</t>
  </si>
  <si>
    <t>25,607,177.78</t>
  </si>
  <si>
    <t>4481</t>
  </si>
  <si>
    <t>PHUB527698045</t>
  </si>
  <si>
    <t>SALARY WPS AUG 25</t>
  </si>
  <si>
    <t>B/O UAE JJ FITNESS - SOLE PROPRIETORSHI</t>
  </si>
  <si>
    <t>237,470.21</t>
  </si>
  <si>
    <t>25,844,647.99</t>
  </si>
  <si>
    <t>4482</t>
  </si>
  <si>
    <t>PHUB527700426</t>
  </si>
  <si>
    <t>B/O_SREENIVAS UDANDA_527700426</t>
  </si>
  <si>
    <t>28,000.00</t>
  </si>
  <si>
    <t>25,872,647.99</t>
  </si>
  <si>
    <t>4483</t>
  </si>
  <si>
    <t>25-Aug-2025</t>
  </si>
  <si>
    <t>PHUB527763075</t>
  </si>
  <si>
    <t>B/O_NOOR ALAFA_BOML_527763075_ GOODS</t>
  </si>
  <si>
    <t>45,673.21</t>
  </si>
  <si>
    <t>25,918,321.20</t>
  </si>
  <si>
    <t>4484</t>
  </si>
  <si>
    <t>PHUB527771059</t>
  </si>
  <si>
    <t>B/O_HASSAN ABD_NBAD_527771059_Service</t>
  </si>
  <si>
    <t>67,021.00</t>
  </si>
  <si>
    <t>25,985,342.20</t>
  </si>
  <si>
    <t>4485</t>
  </si>
  <si>
    <t>PHUB527772057</t>
  </si>
  <si>
    <t>B/O_A/C. 19369_ADIB_527772057_Financi</t>
  </si>
  <si>
    <t>121,096.00</t>
  </si>
  <si>
    <t>26,106,438.20</t>
  </si>
  <si>
    <t>4486</t>
  </si>
  <si>
    <t>PHUB527779657</t>
  </si>
  <si>
    <t>B/O_FATMA ELSA_ADIB_527779657_Family</t>
  </si>
  <si>
    <t>91,214.75</t>
  </si>
  <si>
    <t>26,197,652.95</t>
  </si>
  <si>
    <t>4487</t>
  </si>
  <si>
    <t>26,200,079.20</t>
  </si>
  <si>
    <t>4488</t>
  </si>
  <si>
    <t>PHUB527781281</t>
  </si>
  <si>
    <t>MOB2508250647538259516</t>
  </si>
  <si>
    <t>B/O AL AMIRI CONTRACTING LLC</t>
  </si>
  <si>
    <t>10,114.00</t>
  </si>
  <si>
    <t>26,210,193.20</t>
  </si>
  <si>
    <t>4489</t>
  </si>
  <si>
    <t>001957</t>
  </si>
  <si>
    <t>26,192,693.20</t>
  </si>
  <si>
    <t>4490</t>
  </si>
  <si>
    <t>alok bhargava</t>
  </si>
  <si>
    <t>INHOUSE CHEQUE DEPOSIT alok bhargava AL FARDAN EXCHANGE SP LLC CHQ NO ::000016</t>
  </si>
  <si>
    <t>9,454.00</t>
  </si>
  <si>
    <t>26,202,147.20</t>
  </si>
  <si>
    <t>4491</t>
  </si>
  <si>
    <t>PHUB527795754</t>
  </si>
  <si>
    <t>B/O_BITS PILAN_HSBC_527795754_AEL2508</t>
  </si>
  <si>
    <t>50,288.00</t>
  </si>
  <si>
    <t>26,252,435.20</t>
  </si>
  <si>
    <t>4492</t>
  </si>
  <si>
    <t>PHUB527796962</t>
  </si>
  <si>
    <t>B/O_DR ALEXAND_HSBC_527796962_AEV2508</t>
  </si>
  <si>
    <t>26,677,435.20</t>
  </si>
  <si>
    <t>4493</t>
  </si>
  <si>
    <t>68,228.25</t>
  </si>
  <si>
    <t>26,745,663.45</t>
  </si>
  <si>
    <t>4494</t>
  </si>
  <si>
    <t>PHUB527815604</t>
  </si>
  <si>
    <t>00606</t>
  </si>
  <si>
    <t>B/O AL BAIZARA OPERATION N.R. S P LLC</t>
  </si>
  <si>
    <t>117,146.00</t>
  </si>
  <si>
    <t>26,862,809.45</t>
  </si>
  <si>
    <t>4495</t>
  </si>
  <si>
    <t>PHUB527815520</t>
  </si>
  <si>
    <t>00607</t>
  </si>
  <si>
    <t>11,200.00</t>
  </si>
  <si>
    <t>26,874,009.45</t>
  </si>
  <si>
    <t>4496</t>
  </si>
  <si>
    <t>PHUB527815723</t>
  </si>
  <si>
    <t>82,150.00</t>
  </si>
  <si>
    <t>26,956,159.45</t>
  </si>
  <si>
    <t>4497</t>
  </si>
  <si>
    <t>45,776.30</t>
  </si>
  <si>
    <t>27,001,935.75</t>
  </si>
  <si>
    <t>4498</t>
  </si>
  <si>
    <t>PHUB527827635</t>
  </si>
  <si>
    <t>527827635 B/O ASHWIN JOSHUA DENNIS GESWINDT</t>
  </si>
  <si>
    <t>3,450.00</t>
  </si>
  <si>
    <t>27,005,385.75</t>
  </si>
  <si>
    <t>4499</t>
  </si>
  <si>
    <t>2508250907127776</t>
  </si>
  <si>
    <t>Musaffah Saniya AUH, 23RD AUG - Cash Collection TG</t>
  </si>
  <si>
    <t>27,305,385.75</t>
  </si>
  <si>
    <t>4500</t>
  </si>
  <si>
    <t>2508250907127795</t>
  </si>
  <si>
    <t>Baniyas AUH, 23RD AUG - Cash Collection TG</t>
  </si>
  <si>
    <t>27,725,385.75</t>
  </si>
  <si>
    <t>4501</t>
  </si>
  <si>
    <t>2508250907127812</t>
  </si>
  <si>
    <t>Old Shahama, 23RD AUG - Cash Collection TG</t>
  </si>
  <si>
    <t>27,825,385.75</t>
  </si>
  <si>
    <t>4502</t>
  </si>
  <si>
    <t>2508250907127825</t>
  </si>
  <si>
    <t>AlForshan Central Mall Khalifa City AUH, 23RD AUG - Cash Collection TG</t>
  </si>
  <si>
    <t>28,125,385.75</t>
  </si>
  <si>
    <t>4503</t>
  </si>
  <si>
    <t>2508250907127828</t>
  </si>
  <si>
    <t>Shamkha Mall Abu dhabi, 23RD AUG - Cash Collection TG</t>
  </si>
  <si>
    <t>28,275,385.75</t>
  </si>
  <si>
    <t>4504</t>
  </si>
  <si>
    <t>2508250907127831</t>
  </si>
  <si>
    <t>ICAD Musaffah AUH, 23RD AUG - Cash Collection TG</t>
  </si>
  <si>
    <t>28,495,385.75</t>
  </si>
  <si>
    <t>4505</t>
  </si>
  <si>
    <t>2508250907148516</t>
  </si>
  <si>
    <t>Sila Muroor Road AUH, 23RD AUG - Cash Collection TG</t>
  </si>
  <si>
    <t>28,655,385.75</t>
  </si>
  <si>
    <t>4506</t>
  </si>
  <si>
    <t>2508250907148523</t>
  </si>
  <si>
    <t>SANAYA ZAYED TOWN W/R, 23RD AUG - Cash Collection TG</t>
  </si>
  <si>
    <t>28,935,385.75</t>
  </si>
  <si>
    <t>4507</t>
  </si>
  <si>
    <t>2508250907148526</t>
  </si>
  <si>
    <t>Ruwais AUH, 23RD AUG - Cash Collection TG</t>
  </si>
  <si>
    <t>29,185,385.75</t>
  </si>
  <si>
    <t>4508</t>
  </si>
  <si>
    <t>2508250907148529</t>
  </si>
  <si>
    <t>HAYER Al Ain1, 23RD AUG - Cash Collection TG</t>
  </si>
  <si>
    <t>29,395,385.75</t>
  </si>
  <si>
    <t>4509</t>
  </si>
  <si>
    <t>2508250907148538</t>
  </si>
  <si>
    <t>SWEIHAN  ALAIN, 23RD AUG - Cash Collection TG</t>
  </si>
  <si>
    <t>29,475,385.75</t>
  </si>
  <si>
    <t>4510</t>
  </si>
  <si>
    <t>2508250907148541</t>
  </si>
  <si>
    <t>AL FOAH MALL AL-AIN, 23RD AUG - Cash Collection TG</t>
  </si>
  <si>
    <t>29,625,385.75</t>
  </si>
  <si>
    <t>4511</t>
  </si>
  <si>
    <t>2508250907148550</t>
  </si>
  <si>
    <t>Lulu Hyper Markete Sanaiya Al Ain, 23RD AUG - Cash Collection TG</t>
  </si>
  <si>
    <t>29,885,385.75</t>
  </si>
  <si>
    <t>4512</t>
  </si>
  <si>
    <t>2508250907158553</t>
  </si>
  <si>
    <t>Al Yahar Al Ain, 23RD AUG - Cash Collection TG</t>
  </si>
  <si>
    <t>30,125,385.75</t>
  </si>
  <si>
    <t>4513</t>
  </si>
  <si>
    <t>2508250907158562</t>
  </si>
  <si>
    <t>AL FARDAN EXCH DEREI BLDNG AL QUAA AA, 23RD AUG - Cash Collection TG</t>
  </si>
  <si>
    <t>30,255,385.75</t>
  </si>
  <si>
    <t>4514</t>
  </si>
  <si>
    <t>2508250907158565</t>
  </si>
  <si>
    <t>TCA AUH, 23RD AUG - Cash Collection TG</t>
  </si>
  <si>
    <t>30,500,385.75</t>
  </si>
  <si>
    <t>4515</t>
  </si>
  <si>
    <t>2508250907158568</t>
  </si>
  <si>
    <t>Al Nahyan Street AUH, 23RD AUG - Cash Collection TG</t>
  </si>
  <si>
    <t>30,745,385.75</t>
  </si>
  <si>
    <t>4516</t>
  </si>
  <si>
    <t>2508250907158603</t>
  </si>
  <si>
    <t>B2B AUH, 23RD AUG - Cash Collection TG</t>
  </si>
  <si>
    <t>30,845,385.75</t>
  </si>
  <si>
    <t>4517</t>
  </si>
  <si>
    <t>2508250907158606</t>
  </si>
  <si>
    <t>Al Wahda AUH, 23RD AUG - Cash Collection TG</t>
  </si>
  <si>
    <t>31,545,385.75</t>
  </si>
  <si>
    <t>4518</t>
  </si>
  <si>
    <t>2508250907158631</t>
  </si>
  <si>
    <t>Al Dhafra AUH, 23RD AUG - Cash Collection TG</t>
  </si>
  <si>
    <t>31,775,385.75</t>
  </si>
  <si>
    <t>4519</t>
  </si>
  <si>
    <t>2508250907158642</t>
  </si>
  <si>
    <t>Al Ain (Clock Tower)1, 23RD AUG - Cash Collection TG</t>
  </si>
  <si>
    <t>32,125,385.75</t>
  </si>
  <si>
    <t>4520</t>
  </si>
  <si>
    <t>2508250907158645</t>
  </si>
  <si>
    <t>Al Falah St Auh, 23RD AUG - Cash Collection TG</t>
  </si>
  <si>
    <t>150,010.00</t>
  </si>
  <si>
    <t>32,275,395.75</t>
  </si>
  <si>
    <t>4521</t>
  </si>
  <si>
    <t>2508250907158656</t>
  </si>
  <si>
    <t>Zayed 1st Street Electra AUH, 23RD AUG - Cash Collection TG</t>
  </si>
  <si>
    <t>32,385,395.75</t>
  </si>
  <si>
    <t>4522</t>
  </si>
  <si>
    <t>2508250907158659</t>
  </si>
  <si>
    <t>Hamdan Abu Dhabi, 23RD AUG - Cash Collection TG</t>
  </si>
  <si>
    <t>32,785,395.75</t>
  </si>
  <si>
    <t>4523</t>
  </si>
  <si>
    <t>2508250907158662</t>
  </si>
  <si>
    <t>Bin Dhgher Tower Khalidya AUH, 23RD AUG - Cash Collection TG</t>
  </si>
  <si>
    <t>33,095,395.75</t>
  </si>
  <si>
    <t>4524</t>
  </si>
  <si>
    <t>2508250907199676</t>
  </si>
  <si>
    <t>SONAPUR CENTRAL DUBAI, 23RD AUG - Cash Collection TG</t>
  </si>
  <si>
    <t>480,055.00</t>
  </si>
  <si>
    <t>33,575,450.75</t>
  </si>
  <si>
    <t>4525</t>
  </si>
  <si>
    <t>2508250907199681</t>
  </si>
  <si>
    <t>NESTO HYPRMRKT AJM, 23RD AUG - Cash Collection TG</t>
  </si>
  <si>
    <t>33,785,450.75</t>
  </si>
  <si>
    <t>4526</t>
  </si>
  <si>
    <t>2508250907199684</t>
  </si>
  <si>
    <t>CITY CENTER AL ZAHIA SHJ, 23RD AUG - Cash Collection TG</t>
  </si>
  <si>
    <t>33,905,450.75</t>
  </si>
  <si>
    <t>4527</t>
  </si>
  <si>
    <t>2508250907199703</t>
  </si>
  <si>
    <t>DUBAI HILLS ESTATE DUBAI, 23RD AUG - Cash Collection TG</t>
  </si>
  <si>
    <t>34,105,450.75</t>
  </si>
  <si>
    <t>4528</t>
  </si>
  <si>
    <t>2508250907199711</t>
  </si>
  <si>
    <t>CROWN MALL JABL A IND DXB 1, 23RD AUG - Cash Collection TG</t>
  </si>
  <si>
    <t>34,315,450.75</t>
  </si>
  <si>
    <t>4529</t>
  </si>
  <si>
    <t>2508250907199725</t>
  </si>
  <si>
    <t>FUJAIRAH, 23RD AUG - Cash Collection TG</t>
  </si>
  <si>
    <t>34,525,450.75</t>
  </si>
  <si>
    <t>4530</t>
  </si>
  <si>
    <t>2508250907199734</t>
  </si>
  <si>
    <t>MUWEILAH SHJ, 23RD AUG - Cash Collection TG</t>
  </si>
  <si>
    <t>34,885,450.75</t>
  </si>
  <si>
    <t>4531</t>
  </si>
  <si>
    <t>2508250907199749</t>
  </si>
  <si>
    <t>MEGA MALL SHARJAH BR 1, 23RD AUG - Cash Collection TG</t>
  </si>
  <si>
    <t>35,105,450.75</t>
  </si>
  <si>
    <t>4532</t>
  </si>
  <si>
    <t>2508250907199753</t>
  </si>
  <si>
    <t>UAQ, 23RD AUG - Cash Collection TG</t>
  </si>
  <si>
    <t>105,000.00</t>
  </si>
  <si>
    <t>35,210,450.75</t>
  </si>
  <si>
    <t>4533</t>
  </si>
  <si>
    <t>2508250907199756</t>
  </si>
  <si>
    <t>AL RIGGA METRO STION DXB, 23RD AUG - Cash Collection TG</t>
  </si>
  <si>
    <t>35,410,450.75</t>
  </si>
  <si>
    <t>4534</t>
  </si>
  <si>
    <t>2508250907199765</t>
  </si>
  <si>
    <t>ONYX TOWER 1, 23RD AUG - Cash Collection TG</t>
  </si>
  <si>
    <t>501,500.00</t>
  </si>
  <si>
    <t>35,911,950.75</t>
  </si>
  <si>
    <t>4535</t>
  </si>
  <si>
    <t>2508250907209768</t>
  </si>
  <si>
    <t>CO OP SOCIETY SHJ 1, 23RD AUG - Cash Collection TG</t>
  </si>
  <si>
    <t>36,011,950.75</t>
  </si>
  <si>
    <t>4536</t>
  </si>
  <si>
    <t>2508250907209779</t>
  </si>
  <si>
    <t>KHAN SAHIB BLDG SHJ, 23RD AUG - Cash Collection TG</t>
  </si>
  <si>
    <t>36,211,950.75</t>
  </si>
  <si>
    <t>4537</t>
  </si>
  <si>
    <t>2508250907209792</t>
  </si>
  <si>
    <t>BUR DUBAI, 23RD AUG - Cash Collection TG</t>
  </si>
  <si>
    <t>36,371,950.75</t>
  </si>
  <si>
    <t>4538</t>
  </si>
  <si>
    <t>2508250907209811</t>
  </si>
  <si>
    <t>AL NHDA RES TWRS  SHJ, 23RD AUG - Cash Collection TG</t>
  </si>
  <si>
    <t>36,591,950.75</t>
  </si>
  <si>
    <t>4539</t>
  </si>
  <si>
    <t>2508250907209814</t>
  </si>
  <si>
    <t>AL MADAM SHJ, 23RD AUG - Cash Collection TG</t>
  </si>
  <si>
    <t>36,921,950.75</t>
  </si>
  <si>
    <t>4540</t>
  </si>
  <si>
    <t>PHUB527847353</t>
  </si>
  <si>
    <t>B/O_SOLE PROPRIETORS_527847353</t>
  </si>
  <si>
    <t>10,693.00</t>
  </si>
  <si>
    <t>36,932,643.75</t>
  </si>
  <si>
    <t>4541</t>
  </si>
  <si>
    <t>51205954618</t>
  </si>
  <si>
    <t>26316108296 MBTRF B/O ROSE RANJIT</t>
  </si>
  <si>
    <t>50,084.15</t>
  </si>
  <si>
    <t>36,982,727.90</t>
  </si>
  <si>
    <t>4542</t>
  </si>
  <si>
    <t>B/O_KHALAF KHA_ADIB_527850791_Financi</t>
  </si>
  <si>
    <t>65,405.25</t>
  </si>
  <si>
    <t>37,048,133.15</t>
  </si>
  <si>
    <t>4543</t>
  </si>
  <si>
    <t>PHUB527860354</t>
  </si>
  <si>
    <t>B/O_CUTTING ZA_ADIB_527860354_abo yas</t>
  </si>
  <si>
    <t>37,084,933.15</t>
  </si>
  <si>
    <t>4544</t>
  </si>
  <si>
    <t>PHUB527867397</t>
  </si>
  <si>
    <t>B/O_AL THEEB E_EBIL_527867397_GOODS B</t>
  </si>
  <si>
    <t>2,405.00</t>
  </si>
  <si>
    <t>37,087,338.15</t>
  </si>
  <si>
    <t>4545</t>
  </si>
  <si>
    <t>PHUB527864075</t>
  </si>
  <si>
    <t>MOB2508250953178260987</t>
  </si>
  <si>
    <t>72,100.50</t>
  </si>
  <si>
    <t>37,159,438.65</t>
  </si>
  <si>
    <t>4546</t>
  </si>
  <si>
    <t>PHUB527877940</t>
  </si>
  <si>
    <t>IMD 25082025</t>
  </si>
  <si>
    <t>11,805,952.67</t>
  </si>
  <si>
    <t>25,353,485.98</t>
  </si>
  <si>
    <t>4547</t>
  </si>
  <si>
    <t>PHUB527877939</t>
  </si>
  <si>
    <t>11,584,759.97</t>
  </si>
  <si>
    <t>13,768,726.01</t>
  </si>
  <si>
    <t>4548</t>
  </si>
  <si>
    <t>PHUB527894947</t>
  </si>
  <si>
    <t>PART VAT PMT</t>
  </si>
  <si>
    <t>14,018,726.01</t>
  </si>
  <si>
    <t>4549</t>
  </si>
  <si>
    <t>280,139.25</t>
  </si>
  <si>
    <t>14,298,865.26</t>
  </si>
  <si>
    <t>4550</t>
  </si>
  <si>
    <t>23,764.30</t>
  </si>
  <si>
    <t>14,322,629.56</t>
  </si>
  <si>
    <t>4551</t>
  </si>
  <si>
    <t>PHUB527906503</t>
  </si>
  <si>
    <t>MOB2508251033038261702</t>
  </si>
  <si>
    <t>4,816.00</t>
  </si>
  <si>
    <t>14,327,445.56</t>
  </si>
  <si>
    <t>4552</t>
  </si>
  <si>
    <t>000160</t>
  </si>
  <si>
    <t>INHOUSE CHEQUE DEPOSIT 000160 BASHEER PULIKKAL    IBRAHIM AL FARDAN EXCHANGE SP LLC CHQ NO ::000160</t>
  </si>
  <si>
    <t>14,427,445.56</t>
  </si>
  <si>
    <t>4553</t>
  </si>
  <si>
    <t>SPECIAL BELT</t>
  </si>
  <si>
    <t>INHOUSE CHEQUE DEPOSIT SPECIAL BELT AL FARDAN EXCHANGE SP LLC CHQ NO ::000584</t>
  </si>
  <si>
    <t>5,954.00</t>
  </si>
  <si>
    <t>14,433,399.56</t>
  </si>
  <si>
    <t>4554</t>
  </si>
  <si>
    <t>51208119392</t>
  </si>
  <si>
    <t>26318138826 MBTRF B/O SUNIL SAMPATH SAMPATH RANGASAMI</t>
  </si>
  <si>
    <t>14,533,399.56</t>
  </si>
  <si>
    <t>4555</t>
  </si>
  <si>
    <t>PHUB527925824</t>
  </si>
  <si>
    <t>527925824 B/O JAMAL EDDINE IDMALEK</t>
  </si>
  <si>
    <t>20,072.50</t>
  </si>
  <si>
    <t>14,553,472.06</t>
  </si>
  <si>
    <t>4556</t>
  </si>
  <si>
    <t>PHUB527958016</t>
  </si>
  <si>
    <t>527958016 B/O HAMDAN MUBARAK NASSER SALMEEN ALMANSOORI</t>
  </si>
  <si>
    <t>1,756.00</t>
  </si>
  <si>
    <t>14,555,228.06</t>
  </si>
  <si>
    <t>4557</t>
  </si>
  <si>
    <t>PHUB527959345</t>
  </si>
  <si>
    <t>B/O_CONSOLIDAT_CBDU_527959345_Inter G</t>
  </si>
  <si>
    <t>119,459.50</t>
  </si>
  <si>
    <t>14,674,687.56</t>
  </si>
  <si>
    <t>4558</t>
  </si>
  <si>
    <t>51209074297</t>
  </si>
  <si>
    <t>2546158687 IBTRF B/O RIZWAN HUSSAIN AND OR ARIFA HUSSAIN</t>
  </si>
  <si>
    <t>31,923.00</t>
  </si>
  <si>
    <t>14,706,610.56</t>
  </si>
  <si>
    <t>4559</t>
  </si>
  <si>
    <t>527963850</t>
  </si>
  <si>
    <t>5610280640336</t>
  </si>
  <si>
    <t>5610280640336_20250825_252378827469</t>
  </si>
  <si>
    <t>54,667.62</t>
  </si>
  <si>
    <t>14,651,942.94</t>
  </si>
  <si>
    <t>4560</t>
  </si>
  <si>
    <t>INHOUSE CHEQUE DEPOSIT 000014 SHAMSHEER KHAN AHAMED KHAN AHAMED  KHAN AL FARDAN EXCHANGE SP LLC CHQ NO ::000014</t>
  </si>
  <si>
    <t>49,000.00</t>
  </si>
  <si>
    <t>14,700,942.94</t>
  </si>
  <si>
    <t>4561</t>
  </si>
  <si>
    <t>51209425096</t>
  </si>
  <si>
    <t>2546172782 IBTRF B/O PLATINUM MEDICAL SUPPLIES TR LLC</t>
  </si>
  <si>
    <t>29,431.96</t>
  </si>
  <si>
    <t>14,730,374.90</t>
  </si>
  <si>
    <t>4562</t>
  </si>
  <si>
    <t>51209507036</t>
  </si>
  <si>
    <t>2546176502 IBTRF B/O CRYSTAL TR EST LLC SP</t>
  </si>
  <si>
    <t>71,047.25</t>
  </si>
  <si>
    <t>14,801,422.15</t>
  </si>
  <si>
    <t>4563</t>
  </si>
  <si>
    <t>527972878 B/O HUNZA GLOBAL VENTURES LLC</t>
  </si>
  <si>
    <t>5,855.30</t>
  </si>
  <si>
    <t>14,807,277.45</t>
  </si>
  <si>
    <t>4564</t>
  </si>
  <si>
    <t>PHUB527973608</t>
  </si>
  <si>
    <t>36901</t>
  </si>
  <si>
    <t>14,807,292.15</t>
  </si>
  <si>
    <t>4565</t>
  </si>
  <si>
    <t>PHUB527973657</t>
  </si>
  <si>
    <t>36902</t>
  </si>
  <si>
    <t>14,807,308.95</t>
  </si>
  <si>
    <t>4566</t>
  </si>
  <si>
    <t>PHUB527973656</t>
  </si>
  <si>
    <t>36900</t>
  </si>
  <si>
    <t>207.90</t>
  </si>
  <si>
    <t>14,807,516.85</t>
  </si>
  <si>
    <t>4567</t>
  </si>
  <si>
    <t>PHUB527973611</t>
  </si>
  <si>
    <t>36904</t>
  </si>
  <si>
    <t>77.70</t>
  </si>
  <si>
    <t>14,807,594.55</t>
  </si>
  <si>
    <t>4568</t>
  </si>
  <si>
    <t>PHUB527973610</t>
  </si>
  <si>
    <t>36905</t>
  </si>
  <si>
    <t>14,807,609.25</t>
  </si>
  <si>
    <t>4569</t>
  </si>
  <si>
    <t>PHUB527973628</t>
  </si>
  <si>
    <t>36903</t>
  </si>
  <si>
    <t>29.40</t>
  </si>
  <si>
    <t>14,807,638.65</t>
  </si>
  <si>
    <t>4570</t>
  </si>
  <si>
    <t>PHUB527978084</t>
  </si>
  <si>
    <t>527978084 B/O ASAAD ALI ABDELSALAM ALI ELBOSHI</t>
  </si>
  <si>
    <t>24,129.50</t>
  </si>
  <si>
    <t>14,831,768.15</t>
  </si>
  <si>
    <t>4571</t>
  </si>
  <si>
    <t>PHUB527983587</t>
  </si>
  <si>
    <t>527983587 B/O SATISH KANAUJIA</t>
  </si>
  <si>
    <t>21,432.50</t>
  </si>
  <si>
    <t>14,853,200.65</t>
  </si>
  <si>
    <t>4572</t>
  </si>
  <si>
    <t>527984388 B/O KAMLA SALEM ALI SALEM ALDEREI</t>
  </si>
  <si>
    <t>14,855,700.65</t>
  </si>
  <si>
    <t>4573</t>
  </si>
  <si>
    <t>51209968807</t>
  </si>
  <si>
    <t>26319907056 MBTRF B/O MOHAMED GOMAA IBRAHEM ABDELGHANY</t>
  </si>
  <si>
    <t>8,274.00</t>
  </si>
  <si>
    <t>14,863,974.65</t>
  </si>
  <si>
    <t>4574</t>
  </si>
  <si>
    <t>2,112.20</t>
  </si>
  <si>
    <t>14,866,086.85</t>
  </si>
  <si>
    <t>4575</t>
  </si>
  <si>
    <t>51209985664</t>
  </si>
  <si>
    <t>26319922305 MBTRF B/O ASIF AHAMED MOHAMED KASIM</t>
  </si>
  <si>
    <t>80,300.00</t>
  </si>
  <si>
    <t>14,946,386.85</t>
  </si>
  <si>
    <t>4576</t>
  </si>
  <si>
    <t>PHUB527989582</t>
  </si>
  <si>
    <t>B/O_LLC SPEED TRACK _527989582</t>
  </si>
  <si>
    <t>21,550.50</t>
  </si>
  <si>
    <t>14,967,937.35</t>
  </si>
  <si>
    <t>4577</t>
  </si>
  <si>
    <t>51210170600</t>
  </si>
  <si>
    <t>26320098340 MBTRF B/O MOHAMED AHMED GADELRAB SALMIN</t>
  </si>
  <si>
    <t>9,766.00</t>
  </si>
  <si>
    <t>14,977,703.35</t>
  </si>
  <si>
    <t>4578</t>
  </si>
  <si>
    <t>INHOUSE CHEQUE DEPOSIT alok bhargava AL FARDAN EXCHANGE SP LLC CHQ NO ::000011</t>
  </si>
  <si>
    <t>32,642.00</t>
  </si>
  <si>
    <t>15,010,345.35</t>
  </si>
  <si>
    <t>4579</t>
  </si>
  <si>
    <t>19,680.34</t>
  </si>
  <si>
    <t>15,030,025.69</t>
  </si>
  <si>
    <t>4580</t>
  </si>
  <si>
    <t>2,504.20</t>
  </si>
  <si>
    <t>15,032,529.89</t>
  </si>
  <si>
    <t>4581</t>
  </si>
  <si>
    <t>90,583.00</t>
  </si>
  <si>
    <t>15,123,112.89</t>
  </si>
  <si>
    <t>4582</t>
  </si>
  <si>
    <t>MOB2508251206138263723</t>
  </si>
  <si>
    <t>22,046.59</t>
  </si>
  <si>
    <t>15,145,159.48</t>
  </si>
  <si>
    <t>4583</t>
  </si>
  <si>
    <t>51210519463</t>
  </si>
  <si>
    <t>2546216434 IBTRF B/O NATIONAL FLOWERS LLC SPC</t>
  </si>
  <si>
    <t>15,200,329.98</t>
  </si>
  <si>
    <t>4584</t>
  </si>
  <si>
    <t>25082507</t>
  </si>
  <si>
    <t>11,026,500.00</t>
  </si>
  <si>
    <t>26,226,829.98</t>
  </si>
  <si>
    <t>4585</t>
  </si>
  <si>
    <t>PHUB528001037</t>
  </si>
  <si>
    <t>B/O_/006/003 H_NRAK_528001037_Goods B</t>
  </si>
  <si>
    <t>55,163.00</t>
  </si>
  <si>
    <t>26,281,992.98</t>
  </si>
  <si>
    <t>4586</t>
  </si>
  <si>
    <t>51210752565</t>
  </si>
  <si>
    <t>26320664277 MBTRF B/O MUKESH PEEDIKAPARAMBIL KESAVAN</t>
  </si>
  <si>
    <t>26,287,992.98</t>
  </si>
  <si>
    <t>4587</t>
  </si>
  <si>
    <t>51210769130</t>
  </si>
  <si>
    <t>2546225366 IBTRF B/O JOHN CHAVANIKAMANNIL PHILIP</t>
  </si>
  <si>
    <t>12,668.73</t>
  </si>
  <si>
    <t>26,300,661.71</t>
  </si>
  <si>
    <t>4588</t>
  </si>
  <si>
    <t>PHUB528005694</t>
  </si>
  <si>
    <t>26,380,661.71</t>
  </si>
  <si>
    <t>4589</t>
  </si>
  <si>
    <t>PHUB528017037</t>
  </si>
  <si>
    <t>B/O_HASAN AL F_HSBC_528017037_AEV2508</t>
  </si>
  <si>
    <t>140,016.72</t>
  </si>
  <si>
    <t>26,520,678.43</t>
  </si>
  <si>
    <t>4590</t>
  </si>
  <si>
    <t>PHUB528013201</t>
  </si>
  <si>
    <t>528013201 B/O ELHAM MOHAMEDNOOR ABDULKAREEM ALHARMOODI</t>
  </si>
  <si>
    <t>26,532,678.43</t>
  </si>
  <si>
    <t>4591</t>
  </si>
  <si>
    <t>51211368140</t>
  </si>
  <si>
    <t>26321271230 MBTRF B/O GRAHAM HUMPHREY</t>
  </si>
  <si>
    <t>31,042.75</t>
  </si>
  <si>
    <t>26,563,721.18</t>
  </si>
  <si>
    <t>4592</t>
  </si>
  <si>
    <t>INHOUSE CHEQUE DEPOSIT 000014 MOHAMMED KUNHI PUTHIYA PURAYIL MUSTHAFA KUPPURA AL FARDAN EXCHANGE SP LLC CHQ NO ::000014</t>
  </si>
  <si>
    <t>105,200.00</t>
  </si>
  <si>
    <t>26,668,921.18</t>
  </si>
  <si>
    <t>4593</t>
  </si>
  <si>
    <t>51212014476</t>
  </si>
  <si>
    <t>26321910820 MBTRF B/O ANNIE JOSE FINION JOSEPH NICHOLAS</t>
  </si>
  <si>
    <t>6,345.00</t>
  </si>
  <si>
    <t>26,675,266.18</t>
  </si>
  <si>
    <t>4594</t>
  </si>
  <si>
    <t>5,790,749.75</t>
  </si>
  <si>
    <t>20,884,516.43</t>
  </si>
  <si>
    <t>4595</t>
  </si>
  <si>
    <t>PHUB528051770</t>
  </si>
  <si>
    <t>B/O_ALI GENIDY IBRAH_528051770</t>
  </si>
  <si>
    <t>28,094.75</t>
  </si>
  <si>
    <t>20,912,611.18</t>
  </si>
  <si>
    <t>4596</t>
  </si>
  <si>
    <t>29,800.00</t>
  </si>
  <si>
    <t>20,942,411.18</t>
  </si>
  <si>
    <t>4597</t>
  </si>
  <si>
    <t>PHUB528054339</t>
  </si>
  <si>
    <t>528054339 B/O AL NAHIYA GROUP</t>
  </si>
  <si>
    <t>39,582.20</t>
  </si>
  <si>
    <t>20,981,993.38</t>
  </si>
  <si>
    <t>4598</t>
  </si>
  <si>
    <t>INHOUSE CHEQUE DEPOSIT 000007 ABDULREHIMAN,KOOLIKKATTIL,,,,MOHAMED, AL FARDAN EXCHANGE SP LLC CHQ NO ::000007</t>
  </si>
  <si>
    <t>56,050.00</t>
  </si>
  <si>
    <t>21,038,043.38</t>
  </si>
  <si>
    <t>4599</t>
  </si>
  <si>
    <t>PHUB528055370</t>
  </si>
  <si>
    <t>PV3349</t>
  </si>
  <si>
    <t>47,762.00</t>
  </si>
  <si>
    <t>21,085,805.38</t>
  </si>
  <si>
    <t>4600</t>
  </si>
  <si>
    <t>51212515665</t>
  </si>
  <si>
    <t>26322412948 MBTRF B/O MUHAMMAD AHSAN AKHTAR</t>
  </si>
  <si>
    <t>33,861.30</t>
  </si>
  <si>
    <t>21,119,666.68</t>
  </si>
  <si>
    <t>4601</t>
  </si>
  <si>
    <t>004570</t>
  </si>
  <si>
    <t>INHOUSE CHEQUE DEPOSIT 004570 SAJEEV KARIKKAPPILLY BALAKRISHNAN CHITTEZHATH  KRI AL FARDAN EXCHANGE SP LLC CHQ NO ::004570</t>
  </si>
  <si>
    <t>238,481.97</t>
  </si>
  <si>
    <t>21,358,148.65</t>
  </si>
  <si>
    <t>4602</t>
  </si>
  <si>
    <t>PHUB528059745</t>
  </si>
  <si>
    <t>B/O_TR LLC BAW_ADIB_528059745_goods</t>
  </si>
  <si>
    <t>367,000.00</t>
  </si>
  <si>
    <t>21,725,148.65</t>
  </si>
  <si>
    <t>4603</t>
  </si>
  <si>
    <t>PHUB528061667</t>
  </si>
  <si>
    <t>VRAY INSTRUMENTS</t>
  </si>
  <si>
    <t>30,974.00</t>
  </si>
  <si>
    <t>21,756,122.65</t>
  </si>
  <si>
    <t>4604</t>
  </si>
  <si>
    <t>INHOUSE CHEQUE DEPOSIT 000135 NISSAR MANGADAN MOIDEEN   MANGADAN AL FARDAN EXCHANGE SP LLC CHQ NO ::000135</t>
  </si>
  <si>
    <t>602,128.00</t>
  </si>
  <si>
    <t>22,358,250.65</t>
  </si>
  <si>
    <t>4605</t>
  </si>
  <si>
    <t>FARDAN250825</t>
  </si>
  <si>
    <t>56,744.00</t>
  </si>
  <si>
    <t>22,414,994.65</t>
  </si>
  <si>
    <t>4606</t>
  </si>
  <si>
    <t>PHUB528067184</t>
  </si>
  <si>
    <t>3,404.35</t>
  </si>
  <si>
    <t>22,418,399.00</t>
  </si>
  <si>
    <t>4607</t>
  </si>
  <si>
    <t>22,423,399.00</t>
  </si>
  <si>
    <t>4608</t>
  </si>
  <si>
    <t>PHUB528068185</t>
  </si>
  <si>
    <t>GL 997020 AUGUST</t>
  </si>
  <si>
    <t>B/O URBAN NEST GENERAL TRADING LLC</t>
  </si>
  <si>
    <t>41,726.50</t>
  </si>
  <si>
    <t>22,465,125.50</t>
  </si>
  <si>
    <t>4609</t>
  </si>
  <si>
    <t>001447</t>
  </si>
  <si>
    <t>INHOUSE CHEQUE DEPOSIT 001447 AMR MOHAMED MOHAMED   ISMAIL AL FARDAN EXCHANGE SP LLC CHQ NO ::001447</t>
  </si>
  <si>
    <t>22,760,125.50</t>
  </si>
  <si>
    <t>4610</t>
  </si>
  <si>
    <t>51213226840</t>
  </si>
  <si>
    <t>26323145208 MBTRF B/O ANIS MOUELHI</t>
  </si>
  <si>
    <t>515.00</t>
  </si>
  <si>
    <t>22,760,640.50</t>
  </si>
  <si>
    <t>4611</t>
  </si>
  <si>
    <t>51213502772</t>
  </si>
  <si>
    <t>26323424026 MBTRF B/O HASAN PERFECT BOOKSHOP LLC</t>
  </si>
  <si>
    <t>15,541.75</t>
  </si>
  <si>
    <t>22,776,182.25</t>
  </si>
  <si>
    <t>4612</t>
  </si>
  <si>
    <t>51213529247</t>
  </si>
  <si>
    <t>26323445049 MBTRF B/O JAN PILBAUER</t>
  </si>
  <si>
    <t>265,800.00</t>
  </si>
  <si>
    <t>23,041,982.25</t>
  </si>
  <si>
    <t>4613</t>
  </si>
  <si>
    <t>PHUB528077369</t>
  </si>
  <si>
    <t>528077369 B/O TILAL AL WADI BLDG CONTRACTING LLC</t>
  </si>
  <si>
    <t>3,693.25</t>
  </si>
  <si>
    <t>23,045,675.50</t>
  </si>
  <si>
    <t>4614</t>
  </si>
  <si>
    <t>61,134.05</t>
  </si>
  <si>
    <t>23,106,809.55</t>
  </si>
  <si>
    <t>4615</t>
  </si>
  <si>
    <t>B/O_KENT SURGI_BARB_528081233_Venus P</t>
  </si>
  <si>
    <t>38,357.54</t>
  </si>
  <si>
    <t>23,145,167.09</t>
  </si>
  <si>
    <t>4616</t>
  </si>
  <si>
    <t>PHUB528081236</t>
  </si>
  <si>
    <t>B/O_INDO POINT_BARB_528081236_supplie</t>
  </si>
  <si>
    <t>23,292,187.59</t>
  </si>
  <si>
    <t>4617</t>
  </si>
  <si>
    <t>INHOUSE CHEQUE DEPOSIT 000091 MAHER,,,,,KASSEM, AL FARDAN EXCHANGE SP LLC CHQ NO ::000091</t>
  </si>
  <si>
    <t>36,231.00</t>
  </si>
  <si>
    <t>23,328,418.59</t>
  </si>
  <si>
    <t>4618</t>
  </si>
  <si>
    <t>PHUB528086009</t>
  </si>
  <si>
    <t>CA 25082025</t>
  </si>
  <si>
    <t>21,800,000.00</t>
  </si>
  <si>
    <t>45,128,418.59</t>
  </si>
  <si>
    <t>4619</t>
  </si>
  <si>
    <t>002061</t>
  </si>
  <si>
    <t>INHOUSE CHEQUE DEPOSIT 002061 MUHAMMAD RASHID KOONARI   PEZHUMTHARA AL FARDAN EXCHANGE SP LLC CHQ NO ::002061</t>
  </si>
  <si>
    <t>78,141.50</t>
  </si>
  <si>
    <t>45,206,560.09</t>
  </si>
  <si>
    <t>4620</t>
  </si>
  <si>
    <t>PHUB528097798</t>
  </si>
  <si>
    <t>528097798 B/O MOHAMMED IQBAL HOSSAIN</t>
  </si>
  <si>
    <t>45,231,560.09</t>
  </si>
  <si>
    <t>4621</t>
  </si>
  <si>
    <t>PHUB528096056</t>
  </si>
  <si>
    <t>528096056 B/O MAIKE DR SCHUMACHER BRANTL SCHIEFFE</t>
  </si>
  <si>
    <t>45,271,560.09</t>
  </si>
  <si>
    <t>4622</t>
  </si>
  <si>
    <t>51214815699</t>
  </si>
  <si>
    <t>26324709620 MBTRF B/O ANNIE JOSE FINION JOSEPH NICHOLAS</t>
  </si>
  <si>
    <t>3,523.10</t>
  </si>
  <si>
    <t>45,275,083.19</t>
  </si>
  <si>
    <t>4623</t>
  </si>
  <si>
    <t>PHUB528105274</t>
  </si>
  <si>
    <t>BILRS PAYSYS TRANSFER</t>
  </si>
  <si>
    <t>45,325,083.19</t>
  </si>
  <si>
    <t>4624</t>
  </si>
  <si>
    <t>INHOUSE CHEQUE DEPOSIT 000001 MUHAMMAD HAMEED MUHAMMAD   FAREED AL FARDAN EXCHANGE SP LLC CHQ NO ::000001</t>
  </si>
  <si>
    <t>98,880.00</t>
  </si>
  <si>
    <t>45,423,963.19</t>
  </si>
  <si>
    <t>4625</t>
  </si>
  <si>
    <t>001116</t>
  </si>
  <si>
    <t>INHOUSE CHEQUE DEPOSIT 001116 NISSAR MANGADAN MOIDEEN   MANGADAN AL FARDAN EXCHANGE SP LLC CHQ NO ::001116</t>
  </si>
  <si>
    <t>51,511.00</t>
  </si>
  <si>
    <t>45,475,474.19</t>
  </si>
  <si>
    <t>4626</t>
  </si>
  <si>
    <t>PHUB528110446</t>
  </si>
  <si>
    <t>B/O_STANFORD M_NBFU_528110446_SALARY</t>
  </si>
  <si>
    <t>785,441.50</t>
  </si>
  <si>
    <t>46,260,915.69</t>
  </si>
  <si>
    <t>4627</t>
  </si>
  <si>
    <t>PHUB528110455</t>
  </si>
  <si>
    <t>B/O_STANFORD M_NBFU_528110455_SALARY</t>
  </si>
  <si>
    <t>46,270,918.84</t>
  </si>
  <si>
    <t>4628</t>
  </si>
  <si>
    <t>PHUB528110462</t>
  </si>
  <si>
    <t>B/O_STANFORD M_NBFU_528110462_SALARY</t>
  </si>
  <si>
    <t>96,009.50</t>
  </si>
  <si>
    <t>46,366,928.34</t>
  </si>
  <si>
    <t>4629</t>
  </si>
  <si>
    <t>PHUB528110469</t>
  </si>
  <si>
    <t>B/O_STANFORD M_NBFU_528110469_SALARY</t>
  </si>
  <si>
    <t>45,003.15</t>
  </si>
  <si>
    <t>46,411,931.49</t>
  </si>
  <si>
    <t>4630</t>
  </si>
  <si>
    <t>PHUB528110476</t>
  </si>
  <si>
    <t>B/O_STANFORD M_NBFU_528110476_SALARY</t>
  </si>
  <si>
    <t>1,243,097.30</t>
  </si>
  <si>
    <t>47,655,028.79</t>
  </si>
  <si>
    <t>4631</t>
  </si>
  <si>
    <t>PHUB528110481</t>
  </si>
  <si>
    <t>B/O_STANFORD M_NBFU_528110481_PAYMENT</t>
  </si>
  <si>
    <t>303,009.50</t>
  </si>
  <si>
    <t>47,958,038.29</t>
  </si>
  <si>
    <t>4632</t>
  </si>
  <si>
    <t>PHUB528110485</t>
  </si>
  <si>
    <t>B/O_STANFORD M_NBFU_528110485_SALARY</t>
  </si>
  <si>
    <t>274,787.70</t>
  </si>
  <si>
    <t>48,232,825.99</t>
  </si>
  <si>
    <t>4633</t>
  </si>
  <si>
    <t>000078</t>
  </si>
  <si>
    <t>INHOUSE CHEQUE DEPOSIT 000078 SHAMSHEER KHAN AHAMED KHAN AHAMED  KHAN AL FARDAN EXCHANGE SP LLC CHQ NO ::000078</t>
  </si>
  <si>
    <t>40,900.00</t>
  </si>
  <si>
    <t>48,273,725.99</t>
  </si>
  <si>
    <t>4634</t>
  </si>
  <si>
    <t>51215484361</t>
  </si>
  <si>
    <t>26325359602 MBTRF B/O MOHAMED HAMDY IBRAHIM ABDELSALAM</t>
  </si>
  <si>
    <t>99,000.00</t>
  </si>
  <si>
    <t>48,372,725.99</t>
  </si>
  <si>
    <t>4635</t>
  </si>
  <si>
    <t>51215550929</t>
  </si>
  <si>
    <t>26325423128 MBTRF B/O MOHAMED HAMDY IBRAHIM ABDELSALAM</t>
  </si>
  <si>
    <t>48,471,725.99</t>
  </si>
  <si>
    <t>4636</t>
  </si>
  <si>
    <t>51215893522</t>
  </si>
  <si>
    <t>26325764886 MBTRF B/O SAMI JULIAN PASCHA KHALEG</t>
  </si>
  <si>
    <t>41,151.00</t>
  </si>
  <si>
    <t>48,512,876.99</t>
  </si>
  <si>
    <t>4637</t>
  </si>
  <si>
    <t>PHUB528125433</t>
  </si>
  <si>
    <t>CW 25082025</t>
  </si>
  <si>
    <t>38,512,876.99</t>
  </si>
  <si>
    <t>4638</t>
  </si>
  <si>
    <t>PHUB528125432</t>
  </si>
  <si>
    <t>27,000,000.00</t>
  </si>
  <si>
    <t>11,512,876.99</t>
  </si>
  <si>
    <t>4639</t>
  </si>
  <si>
    <t>PHUB528131820</t>
  </si>
  <si>
    <t>528131820 B/O MARIAM MATAR KHAMISALSHAIBA ALSHAIBA ALKHEMEIRI</t>
  </si>
  <si>
    <t>11,516,376.99</t>
  </si>
  <si>
    <t>4640</t>
  </si>
  <si>
    <t>51216131663</t>
  </si>
  <si>
    <t>26325995061 MBTRF B/O RAMA CHAANDRAN BAIJU</t>
  </si>
  <si>
    <t>11,766,376.99</t>
  </si>
  <si>
    <t>4641</t>
  </si>
  <si>
    <t>51216179780</t>
  </si>
  <si>
    <t>26326038778 MBTRF B/O AL ANFAL FOR AGRICULTURAL MATERIAL</t>
  </si>
  <si>
    <t>35,213.54</t>
  </si>
  <si>
    <t>11,801,590.53</t>
  </si>
  <si>
    <t>4642</t>
  </si>
  <si>
    <t>PHUB528136681</t>
  </si>
  <si>
    <t>B/O_LPFLEX BAS_EBIL_528136681_LPFLEX</t>
  </si>
  <si>
    <t>106,008.00</t>
  </si>
  <si>
    <t>11,907,598.53</t>
  </si>
  <si>
    <t>4643</t>
  </si>
  <si>
    <t>PHUB528136687</t>
  </si>
  <si>
    <t>B/O_LPFLEX BAS_EBIL_528136687_LPFLEX</t>
  </si>
  <si>
    <t>42,791.13</t>
  </si>
  <si>
    <t>11,950,389.66</t>
  </si>
  <si>
    <t>4644</t>
  </si>
  <si>
    <t>51216253057</t>
  </si>
  <si>
    <t>26326118242 MBTRF B/O RAMA CHAANDRAN BAIJU</t>
  </si>
  <si>
    <t>31,540.00</t>
  </si>
  <si>
    <t>11,981,929.66</t>
  </si>
  <si>
    <t>4645</t>
  </si>
  <si>
    <t>PHUB528139194</t>
  </si>
  <si>
    <t>MOB2508251530568267803</t>
  </si>
  <si>
    <t>26,078.75</t>
  </si>
  <si>
    <t>12,008,008.41</t>
  </si>
  <si>
    <t>4646</t>
  </si>
  <si>
    <t>PHUB528142559</t>
  </si>
  <si>
    <t>528142559 B/O MASOOD AHMED MEMON</t>
  </si>
  <si>
    <t>21,876.00</t>
  </si>
  <si>
    <t>12,029,884.41</t>
  </si>
  <si>
    <t>4647</t>
  </si>
  <si>
    <t>51216569438</t>
  </si>
  <si>
    <t>26326418943 MBTRF B/O GHASSAN MOHAMAD SAMI NUSAIR</t>
  </si>
  <si>
    <t>12,063,684.41</t>
  </si>
  <si>
    <t>4648</t>
  </si>
  <si>
    <t>AL ERJOUWAN</t>
  </si>
  <si>
    <t>INHOUSE CHEQUE DEPOSIT AL ERJOUWAN AL FARDAN EXCHANGE SP LLC CHQ NO ::000850</t>
  </si>
  <si>
    <t>70,788.67</t>
  </si>
  <si>
    <t>12,134,473.08</t>
  </si>
  <si>
    <t>4649</t>
  </si>
  <si>
    <t>PHUB528144666</t>
  </si>
  <si>
    <t>B/O_MAHMOUD MO_NBAD_528144666_TRF TO</t>
  </si>
  <si>
    <t>1,450,000.00</t>
  </si>
  <si>
    <t>13,584,473.08</t>
  </si>
  <si>
    <t>4650</t>
  </si>
  <si>
    <t>108,357.25</t>
  </si>
  <si>
    <t>13,692,830.33</t>
  </si>
  <si>
    <t>4651</t>
  </si>
  <si>
    <t>20,800.00</t>
  </si>
  <si>
    <t>13,713,630.33</t>
  </si>
  <si>
    <t>4652</t>
  </si>
  <si>
    <t>PHUB528147120</t>
  </si>
  <si>
    <t>528147120 B/O UMAIR KHAN</t>
  </si>
  <si>
    <t>16,516.80</t>
  </si>
  <si>
    <t>13,730,147.13</t>
  </si>
  <si>
    <t>4653</t>
  </si>
  <si>
    <t>MOB2508251553108268237</t>
  </si>
  <si>
    <t>152,973.61</t>
  </si>
  <si>
    <t>13,883,120.74</t>
  </si>
  <si>
    <t>4654</t>
  </si>
  <si>
    <t>PHUB528153683</t>
  </si>
  <si>
    <t>BOS AUG 25</t>
  </si>
  <si>
    <t>19,295.32</t>
  </si>
  <si>
    <t>13,902,416.06</t>
  </si>
  <si>
    <t>4655</t>
  </si>
  <si>
    <t>PHUB528158420</t>
  </si>
  <si>
    <t>BAL VAT PMT</t>
  </si>
  <si>
    <t>282,114.52</t>
  </si>
  <si>
    <t>14,184,530.58</t>
  </si>
  <si>
    <t>4656</t>
  </si>
  <si>
    <t>PHUB528159454</t>
  </si>
  <si>
    <t>BPG0005748</t>
  </si>
  <si>
    <t>193,040.50</t>
  </si>
  <si>
    <t>14,377,571.08</t>
  </si>
  <si>
    <t>4657</t>
  </si>
  <si>
    <t>B/O_MR THAMBAN_HSBC_528162093_AEV2508</t>
  </si>
  <si>
    <t>14,452,571.08</t>
  </si>
  <si>
    <t>4658</t>
  </si>
  <si>
    <t>PHUB528163433</t>
  </si>
  <si>
    <t>MOB2508251614358268624</t>
  </si>
  <si>
    <t>12,265.00</t>
  </si>
  <si>
    <t>14,464,836.08</t>
  </si>
  <si>
    <t>4659</t>
  </si>
  <si>
    <t>PHUB528167896</t>
  </si>
  <si>
    <t>B/O LAMCO ESTABLISHMENT</t>
  </si>
  <si>
    <t>14,715.25</t>
  </si>
  <si>
    <t>14,479,551.33</t>
  </si>
  <si>
    <t>4660</t>
  </si>
  <si>
    <t>528170902 B/O MUTAAB SAEED ALI ALSHAMSI</t>
  </si>
  <si>
    <t>30,016.00</t>
  </si>
  <si>
    <t>14,509,567.33</t>
  </si>
  <si>
    <t>4661</t>
  </si>
  <si>
    <t>PHUB528172040</t>
  </si>
  <si>
    <t>B/O_BEST TRUST_UNIL_528172040_25237f4</t>
  </si>
  <si>
    <t>198,428.25</t>
  </si>
  <si>
    <t>14,707,995.58</t>
  </si>
  <si>
    <t>4662</t>
  </si>
  <si>
    <t>PHUB528173381</t>
  </si>
  <si>
    <t>B/O_TECHSTORE _BOML_528173381_ GOODS</t>
  </si>
  <si>
    <t>40,087.32</t>
  </si>
  <si>
    <t>14,748,082.90</t>
  </si>
  <si>
    <t>4663</t>
  </si>
  <si>
    <t>132,723.00</t>
  </si>
  <si>
    <t>14,880,805.90</t>
  </si>
  <si>
    <t>4664</t>
  </si>
  <si>
    <t>528188373 B/O ALI SULTAN HAMAD SULTAN ALKINDI</t>
  </si>
  <si>
    <t>14,883,305.90</t>
  </si>
  <si>
    <t>4665</t>
  </si>
  <si>
    <t>PHUB528189036</t>
  </si>
  <si>
    <t>ADGT</t>
  </si>
  <si>
    <t>B/O AL DHAFR GENERAL TRADING CO LLC</t>
  </si>
  <si>
    <t>39,996.88</t>
  </si>
  <si>
    <t>14,923,302.78</t>
  </si>
  <si>
    <t>4666</t>
  </si>
  <si>
    <t>PHUB528189755</t>
  </si>
  <si>
    <t>HOTEL BOOKING</t>
  </si>
  <si>
    <t>44,306.00</t>
  </si>
  <si>
    <t>14,967,608.78</t>
  </si>
  <si>
    <t>4667</t>
  </si>
  <si>
    <t>PHUB528190605</t>
  </si>
  <si>
    <t>528190605 B/O TARJAMA FZ LLC</t>
  </si>
  <si>
    <t>8,199.48</t>
  </si>
  <si>
    <t>14,975,808.26</t>
  </si>
  <si>
    <t>4668</t>
  </si>
  <si>
    <t>PHUB528194790</t>
  </si>
  <si>
    <t>6,203.00</t>
  </si>
  <si>
    <t>14,982,011.26</t>
  </si>
  <si>
    <t>4669</t>
  </si>
  <si>
    <t>BAF SHP USD 75000</t>
  </si>
  <si>
    <t>B/O GALAXY WORLDWIDE SHIPPING.LLC</t>
  </si>
  <si>
    <t>275,768.00</t>
  </si>
  <si>
    <t>15,257,779.26</t>
  </si>
  <si>
    <t>4670</t>
  </si>
  <si>
    <t>PHUB528197421</t>
  </si>
  <si>
    <t>MOB2508251719578269800</t>
  </si>
  <si>
    <t>B/O AL WATAN PERFUMES IND. LLC</t>
  </si>
  <si>
    <t>921,598.00</t>
  </si>
  <si>
    <t>16,179,377.26</t>
  </si>
  <si>
    <t>4671</t>
  </si>
  <si>
    <t>PHUB528201193</t>
  </si>
  <si>
    <t>WPS AUG2025</t>
  </si>
  <si>
    <t>B/O RITUALS BEAUTY SPA SOLE PROP LLC</t>
  </si>
  <si>
    <t>137,057.95</t>
  </si>
  <si>
    <t>16,316,435.21</t>
  </si>
  <si>
    <t>4672</t>
  </si>
  <si>
    <t>51219614453</t>
  </si>
  <si>
    <t>2546548847 IBTRF B/O PACHERS BLINDS TRADING LLC</t>
  </si>
  <si>
    <t>65,723.76</t>
  </si>
  <si>
    <t>16,382,158.97</t>
  </si>
  <si>
    <t>4673</t>
  </si>
  <si>
    <t>PHUB528202610</t>
  </si>
  <si>
    <t>B/O_ALLIANZ MI_NBFU_528202610_SALARY</t>
  </si>
  <si>
    <t>2,026,937.77</t>
  </si>
  <si>
    <t>18,409,096.74</t>
  </si>
  <si>
    <t>4674</t>
  </si>
  <si>
    <t>51219714666</t>
  </si>
  <si>
    <t>2546552311 IBTRF B/O THE BICYCLE SHP SP EQUIP TR LLC</t>
  </si>
  <si>
    <t>18,409,149.24</t>
  </si>
  <si>
    <t>4675</t>
  </si>
  <si>
    <t>51219871688</t>
  </si>
  <si>
    <t>2546557378 IBTRF B/O ZAHRAT AMMAN TRADING</t>
  </si>
  <si>
    <t>18,509,149.24</t>
  </si>
  <si>
    <t>4676</t>
  </si>
  <si>
    <t>51219911553</t>
  </si>
  <si>
    <t>2546558613 IBTRF B/O ZAHRAT AMMAN TRADING</t>
  </si>
  <si>
    <t>18,559,149.24</t>
  </si>
  <si>
    <t>4677</t>
  </si>
  <si>
    <t>51220032107</t>
  </si>
  <si>
    <t>2546563678 IBTRF B/O ZAHRAT AMMAN TRADING</t>
  </si>
  <si>
    <t>18,659,149.24</t>
  </si>
  <si>
    <t>4678</t>
  </si>
  <si>
    <t>PHUB528210104</t>
  </si>
  <si>
    <t>FPS04668</t>
  </si>
  <si>
    <t>7,502.06</t>
  </si>
  <si>
    <t>18,666,651.30</t>
  </si>
  <si>
    <t>4679</t>
  </si>
  <si>
    <t>51220101775</t>
  </si>
  <si>
    <t>26329990524 MBTRF_B/O PRINCE BENNY</t>
  </si>
  <si>
    <t>18,671,451.30</t>
  </si>
  <si>
    <t>4680</t>
  </si>
  <si>
    <t>PHUB528217778</t>
  </si>
  <si>
    <t>528217778 B/O ROBUST HOSES LLC</t>
  </si>
  <si>
    <t>8,228.25</t>
  </si>
  <si>
    <t>18,679,679.55</t>
  </si>
  <si>
    <t>4681</t>
  </si>
  <si>
    <t>51220501285</t>
  </si>
  <si>
    <t>225,026.50</t>
  </si>
  <si>
    <t>18,904,706.05</t>
  </si>
  <si>
    <t>4682</t>
  </si>
  <si>
    <t>51220540959</t>
  </si>
  <si>
    <t>19,104,706.05</t>
  </si>
  <si>
    <t>4683</t>
  </si>
  <si>
    <t>PHUB528224677</t>
  </si>
  <si>
    <t>PAID TO WANKAI BALANCE</t>
  </si>
  <si>
    <t>B/O DEVCON PLASTIC TRADING LLC</t>
  </si>
  <si>
    <t>302,733.03</t>
  </si>
  <si>
    <t>19,407,439.08</t>
  </si>
  <si>
    <t>4684</t>
  </si>
  <si>
    <t>PHUB528225814</t>
  </si>
  <si>
    <t>PAID FOR WANKIA MAT SHIPI</t>
  </si>
  <si>
    <t>28,770.20</t>
  </si>
  <si>
    <t>19,436,209.28</t>
  </si>
  <si>
    <t>4685</t>
  </si>
  <si>
    <t>51221470823</t>
  </si>
  <si>
    <t>26331477106 MBTRF B/O MANORANJAN PRADHAN</t>
  </si>
  <si>
    <t>7,385.00</t>
  </si>
  <si>
    <t>19,443,594.28</t>
  </si>
  <si>
    <t>4686</t>
  </si>
  <si>
    <t>CHEQUE DEPOSIT 000004 SHAMSHEER KHAN AHAMED KHAN AHAMED  KHAN 402620163 CHQ NO ::000004</t>
  </si>
  <si>
    <t>19,473,594.28</t>
  </si>
  <si>
    <t>4687</t>
  </si>
  <si>
    <t>000495</t>
  </si>
  <si>
    <t>CHEQUE DEPOSIT 000495 SIRAJ MOHAMMED    PILAR 003810101 CHQ NO ::000495</t>
  </si>
  <si>
    <t>19,493,594.28</t>
  </si>
  <si>
    <t>4688</t>
  </si>
  <si>
    <t>CHEQUE DEPOSIT JISAR AL KHAN 603830105 CHQ NO ::000448</t>
  </si>
  <si>
    <t>249,236.25</t>
  </si>
  <si>
    <t>19,742,830.53</t>
  </si>
  <si>
    <t>4689</t>
  </si>
  <si>
    <t>001275</t>
  </si>
  <si>
    <t>CHEQUE DEPOSIT SEENA USED AUTO 603830105 CHQ NO ::001275</t>
  </si>
  <si>
    <t>138,717.26</t>
  </si>
  <si>
    <t>19,881,547.79</t>
  </si>
  <si>
    <t>4690</t>
  </si>
  <si>
    <t>51221613026</t>
  </si>
  <si>
    <t>2546613375 IBTRF B/O MERIT CONFORMITY CONSULTANCY LLC</t>
  </si>
  <si>
    <t>88,122.04</t>
  </si>
  <si>
    <t>19,969,669.83</t>
  </si>
  <si>
    <t>4691</t>
  </si>
  <si>
    <t>747178</t>
  </si>
  <si>
    <t>AL JABAL AL JALEEDE</t>
  </si>
  <si>
    <t>CHEQUE DEPOSIT AL JABAL AL JALEEDE 104030136 CHQ NO ::747178</t>
  </si>
  <si>
    <t>20,552.50</t>
  </si>
  <si>
    <t>19,990,222.33</t>
  </si>
  <si>
    <t>4692</t>
  </si>
  <si>
    <t>000158</t>
  </si>
  <si>
    <t>ALBISAT</t>
  </si>
  <si>
    <t>CHEQUE DEPOSIT ALBISAT 805740101 CHQ NO ::000158</t>
  </si>
  <si>
    <t>43,622.00</t>
  </si>
  <si>
    <t>20,033,844.33</t>
  </si>
  <si>
    <t>4693</t>
  </si>
  <si>
    <t>PHUB528248817</t>
  </si>
  <si>
    <t>25,080.18</t>
  </si>
  <si>
    <t>20,058,924.51</t>
  </si>
  <si>
    <t>4694</t>
  </si>
  <si>
    <t>CHEQUE DEPOSIT 004710103 CHQ NO ::001170</t>
  </si>
  <si>
    <t>27,611.75</t>
  </si>
  <si>
    <t>20,086,536.26</t>
  </si>
  <si>
    <t>4695</t>
  </si>
  <si>
    <t>PHUB528242457</t>
  </si>
  <si>
    <t>528242457 B/O MR FIROS KHAN PARANGODATH</t>
  </si>
  <si>
    <t>6,754.27</t>
  </si>
  <si>
    <t>20,093,290.53</t>
  </si>
  <si>
    <t>4696</t>
  </si>
  <si>
    <t>51221939606</t>
  </si>
  <si>
    <t>26332015258 MBTRF B/O PRAKASH JANARDAN</t>
  </si>
  <si>
    <t>1,505.25</t>
  </si>
  <si>
    <t>20,094,795.78</t>
  </si>
  <si>
    <t>4697</t>
  </si>
  <si>
    <t>51222008672</t>
  </si>
  <si>
    <t>26332096143 MBTRF B/O MANOHAR KOLAPUDI PENCHALAIAH</t>
  </si>
  <si>
    <t>108,000.00</t>
  </si>
  <si>
    <t>20,202,795.78</t>
  </si>
  <si>
    <t>4698</t>
  </si>
  <si>
    <t>PHUB528254226</t>
  </si>
  <si>
    <t>528254226 B/O VENKATRAMANI VENKATAKRISHNAN</t>
  </si>
  <si>
    <t>20,205,295.78</t>
  </si>
  <si>
    <t>4699</t>
  </si>
  <si>
    <t>000230</t>
  </si>
  <si>
    <t>CHEQUE DEPOSIT RUKN AL QAMAR 603430129 CHQ NO ::000230</t>
  </si>
  <si>
    <t>80,154.18</t>
  </si>
  <si>
    <t>20,285,449.96</t>
  </si>
  <si>
    <t>4700</t>
  </si>
  <si>
    <t>000206</t>
  </si>
  <si>
    <t>CHEQUE DEPOSIT 000206 SHAMSHEER KHAN AHAMED KHAN AHAMED  KHAN 404130101 CHQ NO ::000206</t>
  </si>
  <si>
    <t>127,181.00</t>
  </si>
  <si>
    <t>20,412,630.96</t>
  </si>
  <si>
    <t>4701</t>
  </si>
  <si>
    <t>123367</t>
  </si>
  <si>
    <t>CHEQUE DEPOSIT 123367 MOHAMMED KUNHI PUTHIYA PURAYIL MUSTHAFA KUPPURA 203514036 CHQ NO ::123367</t>
  </si>
  <si>
    <t>23,184.50</t>
  </si>
  <si>
    <t>20,435,815.46</t>
  </si>
  <si>
    <t>4702</t>
  </si>
  <si>
    <t>CHEQUE DEPOSIT 000039 SHAMSHEER KHAN AHAMED KHAN AHAMED  KHAN 102620140 CHQ NO ::000039</t>
  </si>
  <si>
    <t>20,445,815.46</t>
  </si>
  <si>
    <t>4703</t>
  </si>
  <si>
    <t>000496</t>
  </si>
  <si>
    <t>CHEQUE DEPOSIT 000496 SIRAJ MOHAMMED    PILAR 003810101 CHQ NO ::000496</t>
  </si>
  <si>
    <t>20,460,815.46</t>
  </si>
  <si>
    <t>4704</t>
  </si>
  <si>
    <t>500005</t>
  </si>
  <si>
    <t>CHEQUE DEPOSIT 500005 PUNIL KUMAR PRASAD GOPAL   PRASAD 705020103 CHQ NO ::500005</t>
  </si>
  <si>
    <t>20,461,077.96</t>
  </si>
  <si>
    <t>4705</t>
  </si>
  <si>
    <t>003139</t>
  </si>
  <si>
    <t>CHEQUE DEPOSIT 003139 SHAMSHEER KHAN AHAMED KHAN AHAMED  KHAN 404130101 CHQ NO ::003139</t>
  </si>
  <si>
    <t>11,668.76</t>
  </si>
  <si>
    <t>20,472,746.72</t>
  </si>
  <si>
    <t>4706</t>
  </si>
  <si>
    <t>PHUB528259959</t>
  </si>
  <si>
    <t>B/O_TREKKUP FZE_528259959</t>
  </si>
  <si>
    <t>3,211.50</t>
  </si>
  <si>
    <t>20,475,958.22</t>
  </si>
  <si>
    <t>4707</t>
  </si>
  <si>
    <t>CHEQUE DEPOSIT 000028 SHAMSHEER KHAN AHAMED KHAN AHAMED  KHAN 703430137 CHQ NO ::000028</t>
  </si>
  <si>
    <t>20,586,238.72</t>
  </si>
  <si>
    <t>4708</t>
  </si>
  <si>
    <t>685738</t>
  </si>
  <si>
    <t>CHEQUE DEPOSIT 685738 MUHAMMED SHAFI CHEMBAN BEERAN  KUTTY 304012039 CHQ NO ::685738</t>
  </si>
  <si>
    <t>26,162.50</t>
  </si>
  <si>
    <t>20,612,401.22</t>
  </si>
  <si>
    <t>4709</t>
  </si>
  <si>
    <t>CHEQUE DEPOSIT 000112 MOHAMMED KUNHI PUTHIYA PURAYIL MUSTHAFA KUPPURA 503510105 CHQ NO ::000112</t>
  </si>
  <si>
    <t>20,712,401.22</t>
  </si>
  <si>
    <t>4710</t>
  </si>
  <si>
    <t>51222673214</t>
  </si>
  <si>
    <t>26332864855 MBTRF B/O AHMED ALZAMLY</t>
  </si>
  <si>
    <t>25,465.00</t>
  </si>
  <si>
    <t>20,737,866.22</t>
  </si>
  <si>
    <t>4711</t>
  </si>
  <si>
    <t>209740</t>
  </si>
  <si>
    <t>CHEQUE DEPOSIT 209740 BASHEER PULIKKAL    IBRAHIM 702410103 CHQ NO ::209740</t>
  </si>
  <si>
    <t>7,499.34</t>
  </si>
  <si>
    <t>20,745,365.56</t>
  </si>
  <si>
    <t>4712</t>
  </si>
  <si>
    <t>51222769144</t>
  </si>
  <si>
    <t>2546644295 IBTRF B/O ABDELHAKIM A EL GHERIANI</t>
  </si>
  <si>
    <t>30,087.45</t>
  </si>
  <si>
    <t>20,775,453.01</t>
  </si>
  <si>
    <t>4713</t>
  </si>
  <si>
    <t>CHEQUE DEPOSIT 500002 IRSHAD ABOOBACKER THOTTIKULAYAN   THOTTIKULAYAN 105011002 CHQ NO ::500002</t>
  </si>
  <si>
    <t>50,510.50</t>
  </si>
  <si>
    <t>20,825,963.51</t>
  </si>
  <si>
    <t>4714</t>
  </si>
  <si>
    <t>BAB OAAKA AUTO</t>
  </si>
  <si>
    <t>CHEQUE DEPOSIT BAB OAAKA AUTO 603420117 CHQ NO ::000038</t>
  </si>
  <si>
    <t>100,032.50</t>
  </si>
  <si>
    <t>20,925,996.01</t>
  </si>
  <si>
    <t>4715</t>
  </si>
  <si>
    <t>51223090602</t>
  </si>
  <si>
    <t>26333348970 MBTRF B/O MOHAMMAD IZZAT A ABDELRAHMAN</t>
  </si>
  <si>
    <t>21,025,996.01</t>
  </si>
  <si>
    <t>4716</t>
  </si>
  <si>
    <t>51223107729</t>
  </si>
  <si>
    <t>26333376242 MBTRF B/O MOHAMMAD IZZAT A ABDELRAHMAN</t>
  </si>
  <si>
    <t>21,125,996.01</t>
  </si>
  <si>
    <t>4717</t>
  </si>
  <si>
    <t>51223383698</t>
  </si>
  <si>
    <t>26333696327 MBTRF_B/O MILDRED SANGRAM SAWANT</t>
  </si>
  <si>
    <t>2,017.00</t>
  </si>
  <si>
    <t>21,128,013.01</t>
  </si>
  <si>
    <t>4718</t>
  </si>
  <si>
    <t>51223531723</t>
  </si>
  <si>
    <t>26333874452 MBTRF B/O PRO INTELLIGENCE MARKETING CONS LLC</t>
  </si>
  <si>
    <t>21,228,013.01</t>
  </si>
  <si>
    <t>4719</t>
  </si>
  <si>
    <t>51223554754</t>
  </si>
  <si>
    <t>26333899834 MBTRF B/O PRO INTELLIGENCE MARKETING CONS LLC</t>
  </si>
  <si>
    <t>12,368.05</t>
  </si>
  <si>
    <t>21,240,381.06</t>
  </si>
  <si>
    <t>4720</t>
  </si>
  <si>
    <t>51223799059</t>
  </si>
  <si>
    <t>26334187185 MBTRF B/O RANJEET KUMAR</t>
  </si>
  <si>
    <t>21,242,958.56</t>
  </si>
  <si>
    <t>4721</t>
  </si>
  <si>
    <t>51224248211</t>
  </si>
  <si>
    <t>26334722098 MBTRF B/O MOHAMED ALI</t>
  </si>
  <si>
    <t>21,342,958.56</t>
  </si>
  <si>
    <t>4722</t>
  </si>
  <si>
    <t>51224891740</t>
  </si>
  <si>
    <t>26335541081 MBTRF B/O AL ANFAL FOR AGRICULTURAL MATERIAL</t>
  </si>
  <si>
    <t>21,442,958.56</t>
  </si>
  <si>
    <t>4723</t>
  </si>
  <si>
    <t>51224978438</t>
  </si>
  <si>
    <t>26335654840 MBTRF B/O AL ANFAL FOR AGRICULTURAL MATERIAL</t>
  </si>
  <si>
    <t>53,128.53</t>
  </si>
  <si>
    <t>21,496,087.09</t>
  </si>
  <si>
    <t>4724</t>
  </si>
  <si>
    <t>PHUB528306468</t>
  </si>
  <si>
    <t>MOB2508252115228273290</t>
  </si>
  <si>
    <t>B/O TYUBA AUTO SPARE PARTS</t>
  </si>
  <si>
    <t>45,300.00</t>
  </si>
  <si>
    <t>21,541,387.09</t>
  </si>
  <si>
    <t>4725</t>
  </si>
  <si>
    <t>51225408627</t>
  </si>
  <si>
    <t>26336177048 MBTRF B/O MOHAMMED SALIQUE</t>
  </si>
  <si>
    <t>26,026.50</t>
  </si>
  <si>
    <t>21,567,413.59</t>
  </si>
  <si>
    <t>4726</t>
  </si>
  <si>
    <t>51225968508</t>
  </si>
  <si>
    <t>26336851140 MBTRF B/O BANURAMA ALMUTATAWIRA BLDG CNTRCTNG</t>
  </si>
  <si>
    <t>21,617,413.59</t>
  </si>
  <si>
    <t>4727</t>
  </si>
  <si>
    <t>PHUB528322965</t>
  </si>
  <si>
    <t>B/O_MOHSEN AWADH OMA_528322965</t>
  </si>
  <si>
    <t>21,618,613.59</t>
  </si>
  <si>
    <t>4728</t>
  </si>
  <si>
    <t>51226306607</t>
  </si>
  <si>
    <t>26337251754 MBTRF B/O AL ARFEEN HEAVY EQUIP RNTAL TR LLC</t>
  </si>
  <si>
    <t>57,240.00</t>
  </si>
  <si>
    <t>21,675,853.59</t>
  </si>
  <si>
    <t>4729</t>
  </si>
  <si>
    <t>51226325344</t>
  </si>
  <si>
    <t>26337274589 MBTRF B/O AL ARFEEN HEAVY EQUIP RNTAL TR LLC</t>
  </si>
  <si>
    <t>21,775,853.59</t>
  </si>
  <si>
    <t>4730</t>
  </si>
  <si>
    <t>51227158518</t>
  </si>
  <si>
    <t>23,184.70</t>
  </si>
  <si>
    <t>21,799,038.29</t>
  </si>
  <si>
    <t>4731</t>
  </si>
  <si>
    <t>PHUB528343382</t>
  </si>
  <si>
    <t>MOB2508252321328274900</t>
  </si>
  <si>
    <t>135,126.00</t>
  </si>
  <si>
    <t>21,934,164.29</t>
  </si>
  <si>
    <t>4732</t>
  </si>
  <si>
    <t>26-Aug-2025</t>
  </si>
  <si>
    <t>PHUB528358972</t>
  </si>
  <si>
    <t>HK 2M P2</t>
  </si>
  <si>
    <t>22,384,164.29</t>
  </si>
  <si>
    <t>4733</t>
  </si>
  <si>
    <t>22,390,864.29</t>
  </si>
  <si>
    <t>4734</t>
  </si>
  <si>
    <t>51229486458</t>
  </si>
  <si>
    <t>2546785955 IBTRF B/O SMOOTH FLY TRAVEL AND TOURISM LLC</t>
  </si>
  <si>
    <t>3,310.00</t>
  </si>
  <si>
    <t>22,394,174.29</t>
  </si>
  <si>
    <t>4735</t>
  </si>
  <si>
    <t>PHUB528412610</t>
  </si>
  <si>
    <t>STAFF SALARY</t>
  </si>
  <si>
    <t>B/O NELLAIAPPAR RESTAURANT L L C</t>
  </si>
  <si>
    <t>14,625.00</t>
  </si>
  <si>
    <t>22,408,799.29</t>
  </si>
  <si>
    <t>4736</t>
  </si>
  <si>
    <t>159,124.52</t>
  </si>
  <si>
    <t>22,567,923.81</t>
  </si>
  <si>
    <t>4737</t>
  </si>
  <si>
    <t>163,540.00</t>
  </si>
  <si>
    <t>22,731,463.81</t>
  </si>
  <si>
    <t>4738</t>
  </si>
  <si>
    <t>PHUB528430942</t>
  </si>
  <si>
    <t>AUG 25 SALARY</t>
  </si>
  <si>
    <t>22,771,463.81</t>
  </si>
  <si>
    <t>4739</t>
  </si>
  <si>
    <t>PHUB528434296</t>
  </si>
  <si>
    <t>14,526.25</t>
  </si>
  <si>
    <t>22,785,990.06</t>
  </si>
  <si>
    <t>4740</t>
  </si>
  <si>
    <t>PHUB528437010</t>
  </si>
  <si>
    <t>DXB 26082025</t>
  </si>
  <si>
    <t>20,585,990.06</t>
  </si>
  <si>
    <t>4741</t>
  </si>
  <si>
    <t>51231436003</t>
  </si>
  <si>
    <t>26343103010 MBTRF B/O MOHAMMAD IZZAT A ABDELRAHMAN</t>
  </si>
  <si>
    <t>20,685,990.06</t>
  </si>
  <si>
    <t>4742</t>
  </si>
  <si>
    <t>51231509030</t>
  </si>
  <si>
    <t>26343183077 MBTRF B/O MOHAMMAD IZZAT A ABDELRAHMAN</t>
  </si>
  <si>
    <t>38,113.00</t>
  </si>
  <si>
    <t>20,724,103.06</t>
  </si>
  <si>
    <t>4743</t>
  </si>
  <si>
    <t>CARPTRAC FIJI</t>
  </si>
  <si>
    <t>20,743,103.06</t>
  </si>
  <si>
    <t>4744</t>
  </si>
  <si>
    <t>4,420.36</t>
  </si>
  <si>
    <t>20,747,523.42</t>
  </si>
  <si>
    <t>4745</t>
  </si>
  <si>
    <t>PHUB528445742</t>
  </si>
  <si>
    <t>B/O_MR PRIANTO MUSTI_528445742</t>
  </si>
  <si>
    <t>20,784,523.42</t>
  </si>
  <si>
    <t>4746</t>
  </si>
  <si>
    <t>2508260911333595</t>
  </si>
  <si>
    <t>Musaffah Shabiya AUH, 25TH AUG - Cash Collection TG</t>
  </si>
  <si>
    <t>21,644,523.42</t>
  </si>
  <si>
    <t>4747</t>
  </si>
  <si>
    <t>2508260911333642</t>
  </si>
  <si>
    <t>Musaffah Saniya AUH, 25TH AUG - Cash Collection TG</t>
  </si>
  <si>
    <t>22,094,523.42</t>
  </si>
  <si>
    <t>4748</t>
  </si>
  <si>
    <t>2508260911333649</t>
  </si>
  <si>
    <t>Old Shahama, 25TH AUG - Cash Collection TG</t>
  </si>
  <si>
    <t>22,384,523.42</t>
  </si>
  <si>
    <t>4749</t>
  </si>
  <si>
    <t>2508260911333672</t>
  </si>
  <si>
    <t>AlForshan Central Mall Khalifa City AUH, 25TH AUG - Cash Collection TG</t>
  </si>
  <si>
    <t>23,984,523.42</t>
  </si>
  <si>
    <t>4750</t>
  </si>
  <si>
    <t>2508260911333696</t>
  </si>
  <si>
    <t>Shamkha Mall Abu dhabi, 25TH AUG - Cash Collection TG</t>
  </si>
  <si>
    <t>24,244,523.42</t>
  </si>
  <si>
    <t>4751</t>
  </si>
  <si>
    <t>2508260911333700</t>
  </si>
  <si>
    <t>ICAD Musaffah AUH, 25TH AUG - Cash Collection TG</t>
  </si>
  <si>
    <t>24,514,523.42</t>
  </si>
  <si>
    <t>4752</t>
  </si>
  <si>
    <t>2508260911374406</t>
  </si>
  <si>
    <t>Al Nahyan Street AUH, 25TH AUG - Cash Collection TG</t>
  </si>
  <si>
    <t>24,904,523.42</t>
  </si>
  <si>
    <t>4753</t>
  </si>
  <si>
    <t>2508260911384915</t>
  </si>
  <si>
    <t>Souk Br Al-Ain, 25TH AUG - Cash Collection TG</t>
  </si>
  <si>
    <t>25,644,523.42</t>
  </si>
  <si>
    <t>4754</t>
  </si>
  <si>
    <t>2508260911384924</t>
  </si>
  <si>
    <t>Al Ain (Clock Tower)1, 25TH AUG - Cash Collection TG</t>
  </si>
  <si>
    <t>350,020.00</t>
  </si>
  <si>
    <t>25,994,543.42</t>
  </si>
  <si>
    <t>4755</t>
  </si>
  <si>
    <t>2508260911384930</t>
  </si>
  <si>
    <t>Sila Muroor Road AUH, 25TH AUG - Cash Collection TG</t>
  </si>
  <si>
    <t>26,324,543.42</t>
  </si>
  <si>
    <t>4756</t>
  </si>
  <si>
    <t>2508260911384939</t>
  </si>
  <si>
    <t>SANAYA ZAYED TOWN W/R, 25TH AUG - Cash Collection TG</t>
  </si>
  <si>
    <t>26,714,543.42</t>
  </si>
  <si>
    <t>4757</t>
  </si>
  <si>
    <t>2508260911384945</t>
  </si>
  <si>
    <t>Beda Zayed auh, 25TH AUG - Cash Collection TG</t>
  </si>
  <si>
    <t>26,994,543.42</t>
  </si>
  <si>
    <t>4758</t>
  </si>
  <si>
    <t>2508260911384952</t>
  </si>
  <si>
    <t>Ruwais AUH, 25TH AUG - Cash Collection TG</t>
  </si>
  <si>
    <t>27,294,543.42</t>
  </si>
  <si>
    <t>4759</t>
  </si>
  <si>
    <t>2508260911384960</t>
  </si>
  <si>
    <t>HAYER Al Ain1, 25TH AUG - Cash Collection TG</t>
  </si>
  <si>
    <t>27,594,543.42</t>
  </si>
  <si>
    <t>4760</t>
  </si>
  <si>
    <t>2508260911384969</t>
  </si>
  <si>
    <t>SWEIHAN  ALAIN, 25TH AUG - Cash Collection TG</t>
  </si>
  <si>
    <t>27,844,543.42</t>
  </si>
  <si>
    <t>4761</t>
  </si>
  <si>
    <t>2508260911384975</t>
  </si>
  <si>
    <t>Al Wahda AUH, 25TH AUG - Cash Collection TG</t>
  </si>
  <si>
    <t>203,000.00</t>
  </si>
  <si>
    <t>28,047,543.42</t>
  </si>
  <si>
    <t>4762</t>
  </si>
  <si>
    <t>2508260911384983</t>
  </si>
  <si>
    <t>Gayathi Mall AUH, 25TH AUG - Cash Collection TG</t>
  </si>
  <si>
    <t>28,297,543.42</t>
  </si>
  <si>
    <t>4763</t>
  </si>
  <si>
    <t>2508260911384986</t>
  </si>
  <si>
    <t>Gayathi Mubarak Ashwan AUH, 25TH AUG - Cash Collection TG</t>
  </si>
  <si>
    <t>28,997,543.42</t>
  </si>
  <si>
    <t>4764</t>
  </si>
  <si>
    <t>2508260911384992</t>
  </si>
  <si>
    <t>AL MARFA MARKET WR, 25TH AUG - Cash Collection TG</t>
  </si>
  <si>
    <t>29,357,543.42</t>
  </si>
  <si>
    <t>4765</t>
  </si>
  <si>
    <t>2508260911384995</t>
  </si>
  <si>
    <t>Lulu Hyper Markete Sanaiya Al Ain, 25TH AUG - Cash Collection TG</t>
  </si>
  <si>
    <t>29,687,543.42</t>
  </si>
  <si>
    <t>4766</t>
  </si>
  <si>
    <t>2508260911385018</t>
  </si>
  <si>
    <t>Al Yahar Al Ain, 25TH AUG - Cash Collection TG</t>
  </si>
  <si>
    <t>29,957,543.42</t>
  </si>
  <si>
    <t>4767</t>
  </si>
  <si>
    <t>2508260911395021</t>
  </si>
  <si>
    <t>AL FARDAN EXCH DEREI BLDNG AL QUAA AA, 25TH AUG - Cash Collection TG</t>
  </si>
  <si>
    <t>30,117,543.42</t>
  </si>
  <si>
    <t>4768</t>
  </si>
  <si>
    <t>2508260911395027</t>
  </si>
  <si>
    <t>Boutik Mall al Reem island AUH, 25TH AUG - Cash Collection TG</t>
  </si>
  <si>
    <t>30,287,543.42</t>
  </si>
  <si>
    <t>4769</t>
  </si>
  <si>
    <t>2508260911395049</t>
  </si>
  <si>
    <t>TCA AUH, 25TH AUG - Cash Collection TG</t>
  </si>
  <si>
    <t>30,787,543.42</t>
  </si>
  <si>
    <t>4770</t>
  </si>
  <si>
    <t>2508260911395052</t>
  </si>
  <si>
    <t>Muroor AUH, 25TH AUG - Cash Collection TG</t>
  </si>
  <si>
    <t>31,147,543.42</t>
  </si>
  <si>
    <t>4771</t>
  </si>
  <si>
    <t>2508260911395060</t>
  </si>
  <si>
    <t>B2B AUH, 25TH AUG - Cash Collection TG</t>
  </si>
  <si>
    <t>31,297,543.42</t>
  </si>
  <si>
    <t>4772</t>
  </si>
  <si>
    <t>2508260911395067</t>
  </si>
  <si>
    <t>Hamdan Abu Dhabi, 25TH AUG - Cash Collection TG</t>
  </si>
  <si>
    <t>32,247,543.42</t>
  </si>
  <si>
    <t>4773</t>
  </si>
  <si>
    <t>2508260911395073</t>
  </si>
  <si>
    <t>Zayed 1st Street Electra AUH, 25TH AUG - Cash Collection TG</t>
  </si>
  <si>
    <t>32,457,543.42</t>
  </si>
  <si>
    <t>4774</t>
  </si>
  <si>
    <t>2508260911395080</t>
  </si>
  <si>
    <t>Bin Dhgher Tower Khalidya AUH, 25TH AUG - Cash Collection TG</t>
  </si>
  <si>
    <t>33,237,543.42</t>
  </si>
  <si>
    <t>4775</t>
  </si>
  <si>
    <t>2508260911395083</t>
  </si>
  <si>
    <t>Al Dhafra AUH, 25TH AUG - Cash Collection TG</t>
  </si>
  <si>
    <t>33,477,543.42</t>
  </si>
  <si>
    <t>4776</t>
  </si>
  <si>
    <t>2508260911456521</t>
  </si>
  <si>
    <t>SONAPUR CENTRAL DUBAI, 25TH AUG - Cash Collection TG</t>
  </si>
  <si>
    <t>250,415.00</t>
  </si>
  <si>
    <t>33,727,958.42</t>
  </si>
  <si>
    <t>4777</t>
  </si>
  <si>
    <t>2508260911456528</t>
  </si>
  <si>
    <t>SAFYIA BUILDING HOR AL ANZ, 25TH AUG - Cash Collection TG</t>
  </si>
  <si>
    <t>34,077,958.42</t>
  </si>
  <si>
    <t>4778</t>
  </si>
  <si>
    <t>2508260911456537</t>
  </si>
  <si>
    <t>NESTO HYPRMRKT AJM, 25TH AUG - Cash Collection TG</t>
  </si>
  <si>
    <t>34,427,958.42</t>
  </si>
  <si>
    <t>4779</t>
  </si>
  <si>
    <t>2508260911456565</t>
  </si>
  <si>
    <t>GOLDLAND BRANCH DXB, 25TH AUG - Cash Collection TG</t>
  </si>
  <si>
    <t>35,627,958.42</t>
  </si>
  <si>
    <t>4780</t>
  </si>
  <si>
    <t>2508260911456569</t>
  </si>
  <si>
    <t>CITY CENTER AL ZAHIA SHJ, 25TH AUG - Cash Collection TG</t>
  </si>
  <si>
    <t>36,627,958.42</t>
  </si>
  <si>
    <t>4781</t>
  </si>
  <si>
    <t>2508260911456580</t>
  </si>
  <si>
    <t>NAIF RD, 25TH AUG - Cash Collection TG</t>
  </si>
  <si>
    <t>163,000.00</t>
  </si>
  <si>
    <t>36,790,958.42</t>
  </si>
  <si>
    <t>4782</t>
  </si>
  <si>
    <t>2508260911456583</t>
  </si>
  <si>
    <t>MUWEILAH SHJ, 25TH AUG - Cash Collection TG</t>
  </si>
  <si>
    <t>37,090,958.42</t>
  </si>
  <si>
    <t>4783</t>
  </si>
  <si>
    <t>2508260911456593</t>
  </si>
  <si>
    <t>AL KHAN BMW SHJ, 25TH AUG - Cash Collection TG</t>
  </si>
  <si>
    <t>37,540,958.42</t>
  </si>
  <si>
    <t>4784</t>
  </si>
  <si>
    <t>2508260911456611</t>
  </si>
  <si>
    <t>MEGA MALL SHARJAH BR 1, 25TH AUG - Cash Collection TG</t>
  </si>
  <si>
    <t>37,840,958.42</t>
  </si>
  <si>
    <t>4785</t>
  </si>
  <si>
    <t>2508260911456634</t>
  </si>
  <si>
    <t>UAQ, 25TH AUG - Cash Collection TG</t>
  </si>
  <si>
    <t>38,090,958.42</t>
  </si>
  <si>
    <t>4786</t>
  </si>
  <si>
    <t>2508260911456637</t>
  </si>
  <si>
    <t>AL RIGGA METRO STION DXB, 25TH AUG - Cash Collection TG</t>
  </si>
  <si>
    <t>38,460,958.42</t>
  </si>
  <si>
    <t>4787</t>
  </si>
  <si>
    <t>2508260911456644</t>
  </si>
  <si>
    <t>CO OP SOCIETY SHJ 1, 25TH AUG - Cash Collection TG</t>
  </si>
  <si>
    <t>38,670,958.42</t>
  </si>
  <si>
    <t>4788</t>
  </si>
  <si>
    <t>2508260911466675</t>
  </si>
  <si>
    <t>KHAN SAHIB BLDG SHJ, 25TH AUG - Cash Collection TG</t>
  </si>
  <si>
    <t>38,870,958.42</t>
  </si>
  <si>
    <t>4789</t>
  </si>
  <si>
    <t>2508260911466699</t>
  </si>
  <si>
    <t>DEIRA 1, 25TH AUG - Cash Collection TG</t>
  </si>
  <si>
    <t>39,970,958.42</t>
  </si>
  <si>
    <t>4790</t>
  </si>
  <si>
    <t>2508260911466708</t>
  </si>
  <si>
    <t>BUR DUBAI, 25TH AUG - Cash Collection TG</t>
  </si>
  <si>
    <t>40,670,958.42</t>
  </si>
  <si>
    <t>4791</t>
  </si>
  <si>
    <t>2508260911466720</t>
  </si>
  <si>
    <t>AL NHDA RES TWRS  SHJ, 25TH AUG - Cash Collection TG</t>
  </si>
  <si>
    <t>41,070,958.42</t>
  </si>
  <si>
    <t>4792</t>
  </si>
  <si>
    <t>2508260911466723</t>
  </si>
  <si>
    <t>AL MADAM SHJ, 25TH AUG - Cash Collection TG</t>
  </si>
  <si>
    <t>140,060.00</t>
  </si>
  <si>
    <t>41,211,018.42</t>
  </si>
  <si>
    <t>4793</t>
  </si>
  <si>
    <t>2508260911466737</t>
  </si>
  <si>
    <t>SAJA INDUSTRIAL SHJ 2, 25TH AUG - Cash Collection TG</t>
  </si>
  <si>
    <t>41,721,018.42</t>
  </si>
  <si>
    <t>4794</t>
  </si>
  <si>
    <t>2508260911466764</t>
  </si>
  <si>
    <t>IND AREA 3 SHJ, 25TH AUG - Cash Collection TG</t>
  </si>
  <si>
    <t>41,951,018.42</t>
  </si>
  <si>
    <t>4795</t>
  </si>
  <si>
    <t>2508260911466770</t>
  </si>
  <si>
    <t>DUBAI MALL LG UNIT171, 25TH AUG - Cash Collection TG</t>
  </si>
  <si>
    <t>42,251,018.42</t>
  </si>
  <si>
    <t>4796</t>
  </si>
  <si>
    <t>2508260911466778</t>
  </si>
  <si>
    <t>KARAMA DUBAI, 25TH AUG - Cash Collection TG</t>
  </si>
  <si>
    <t>42,651,018.42</t>
  </si>
  <si>
    <t>4797</t>
  </si>
  <si>
    <t>2508260911466784</t>
  </si>
  <si>
    <t>CLOCK TOWER 1, 25TH AUG - Cash Collection TG</t>
  </si>
  <si>
    <t>43,821,018.42</t>
  </si>
  <si>
    <t>4798</t>
  </si>
  <si>
    <t>2508260911466791</t>
  </si>
  <si>
    <t>AL MINA NESTO BR DXB, 25TH AUG - Cash Collection TG</t>
  </si>
  <si>
    <t>44,591,018.42</t>
  </si>
  <si>
    <t>4799</t>
  </si>
  <si>
    <t>2508260911466796</t>
  </si>
  <si>
    <t>SATWA 1, 25TH AUG - Cash Collection TG</t>
  </si>
  <si>
    <t>44,961,018.42</t>
  </si>
  <si>
    <t>4800</t>
  </si>
  <si>
    <t>2508260917314972</t>
  </si>
  <si>
    <t>REV, SONAPUR CENTRAL DUBAI, 25TH AUG - Cash Collection TG</t>
  </si>
  <si>
    <t>44,710,603.42</t>
  </si>
  <si>
    <t>4801</t>
  </si>
  <si>
    <t>2508260917314975</t>
  </si>
  <si>
    <t>SONAPUR CENTRAL DUBAI, 25TH AUG, CUT NOTE - Cash Collection TG</t>
  </si>
  <si>
    <t>250,365.00</t>
  </si>
  <si>
    <t>44,960,968.42</t>
  </si>
  <si>
    <t>4802</t>
  </si>
  <si>
    <t>PHUB528479224</t>
  </si>
  <si>
    <t>RADIX MEDIA 26082025</t>
  </si>
  <si>
    <t>TRF TO RADIX MEDIA LLC</t>
  </si>
  <si>
    <t>11,182.50</t>
  </si>
  <si>
    <t>44,949,785.92</t>
  </si>
  <si>
    <t>4803</t>
  </si>
  <si>
    <t>PHUB528479230</t>
  </si>
  <si>
    <t>IMD 26082025</t>
  </si>
  <si>
    <t>50,289,056.31</t>
  </si>
  <si>
    <t>-5,339,270.39</t>
  </si>
  <si>
    <t>4804</t>
  </si>
  <si>
    <t>MISCELLANEOUS EX2062</t>
  </si>
  <si>
    <t>O/W TRF 528479237</t>
  </si>
  <si>
    <t>598.00</t>
  </si>
  <si>
    <t>-5,339,868.39</t>
  </si>
  <si>
    <t>4805</t>
  </si>
  <si>
    <t>MISCELLANEOUS EX1639</t>
  </si>
  <si>
    <t>O/W TRF 528471759</t>
  </si>
  <si>
    <t>524.93</t>
  </si>
  <si>
    <t>-5,340,393.32</t>
  </si>
  <si>
    <t>4806</t>
  </si>
  <si>
    <t>CHCB528479237</t>
  </si>
  <si>
    <t>O/W PROCESSING CHARGE 528479237</t>
  </si>
  <si>
    <t>-5,340,409.07</t>
  </si>
  <si>
    <t>4807</t>
  </si>
  <si>
    <t>CHCB528471759</t>
  </si>
  <si>
    <t>O/W PROCESSING CHARGE 528471759</t>
  </si>
  <si>
    <t>-5,340,424.82</t>
  </si>
  <si>
    <t>4808</t>
  </si>
  <si>
    <t>CHRG528479237</t>
  </si>
  <si>
    <t>O/W CORR BK CHARGE 528479237</t>
  </si>
  <si>
    <t>-5,340,425.87</t>
  </si>
  <si>
    <t>4809</t>
  </si>
  <si>
    <t>CHRG528471759</t>
  </si>
  <si>
    <t>O/W CORR BK CHARGE 528471759</t>
  </si>
  <si>
    <t>-5,340,426.92</t>
  </si>
  <si>
    <t>4810</t>
  </si>
  <si>
    <t>4,547.25</t>
  </si>
  <si>
    <t>-5,335,879.67</t>
  </si>
  <si>
    <t>4811</t>
  </si>
  <si>
    <t>PHUB528472775</t>
  </si>
  <si>
    <t>528472775 B/O ALI MOHAMED IBRAHIM SALEM ALTENEIJI</t>
  </si>
  <si>
    <t>-5,325,879.67</t>
  </si>
  <si>
    <t>4812</t>
  </si>
  <si>
    <t>51232741027</t>
  </si>
  <si>
    <t>26344393826 MBTRF B/O ABDUL AZIZ KHAMIS ALI F ALSHAMSI</t>
  </si>
  <si>
    <t>4,362.45</t>
  </si>
  <si>
    <t>-5,321,517.22</t>
  </si>
  <si>
    <t>4813</t>
  </si>
  <si>
    <t>PHUB528484912</t>
  </si>
  <si>
    <t>B/O_ESTABLISHM_ADIB_528484912_WPS SAL</t>
  </si>
  <si>
    <t>126,662.50</t>
  </si>
  <si>
    <t>-5,194,854.72</t>
  </si>
  <si>
    <t>4814</t>
  </si>
  <si>
    <t>PHUB528487730</t>
  </si>
  <si>
    <t>528487730 B/O BIJU MAMMAN</t>
  </si>
  <si>
    <t>-5,179,854.72</t>
  </si>
  <si>
    <t>4815</t>
  </si>
  <si>
    <t>51233097144</t>
  </si>
  <si>
    <t>26344736142 MBTRF B/O AL ARFEEN HEAVY EQUIP RNTAL TR LLC</t>
  </si>
  <si>
    <t>-5,079,854.72</t>
  </si>
  <si>
    <t>4816</t>
  </si>
  <si>
    <t>PHUB528505761</t>
  </si>
  <si>
    <t>EURO PERCHASE</t>
  </si>
  <si>
    <t>588,213.50</t>
  </si>
  <si>
    <t>-4,491,641.22</t>
  </si>
  <si>
    <t>4817</t>
  </si>
  <si>
    <t>PHUB528503934</t>
  </si>
  <si>
    <t>528503934 B/O BAWABAT ALSHARQ</t>
  </si>
  <si>
    <t>2,479.00</t>
  </si>
  <si>
    <t>-4,489,162.22</t>
  </si>
  <si>
    <t>4818</t>
  </si>
  <si>
    <t>16,505.25</t>
  </si>
  <si>
    <t>-4,472,656.97</t>
  </si>
  <si>
    <t>4819</t>
  </si>
  <si>
    <t>51233831930</t>
  </si>
  <si>
    <t>26345434928 MBTRF B/O PRASAD RAMANNA SHETTY</t>
  </si>
  <si>
    <t>81,030.00</t>
  </si>
  <si>
    <t>-4,391,626.97</t>
  </si>
  <si>
    <t>4820</t>
  </si>
  <si>
    <t>51234029759</t>
  </si>
  <si>
    <t>26345621490 MBTRF B/O PARTHO MULLICK &amp;/OR SANGHAMITRA M</t>
  </si>
  <si>
    <t>-4,391,521.97</t>
  </si>
  <si>
    <t>4821</t>
  </si>
  <si>
    <t>51234180388</t>
  </si>
  <si>
    <t>26345760256 MBTRF B/O RANJEET KUMAR</t>
  </si>
  <si>
    <t>-4,388,944.47</t>
  </si>
  <si>
    <t>4822</t>
  </si>
  <si>
    <t>PHUB528537704</t>
  </si>
  <si>
    <t>528537704 B/O ALLIANZ MIDDLE EAST SHIP MANAGEMENT</t>
  </si>
  <si>
    <t>-4,379,941.32</t>
  </si>
  <si>
    <t>4823</t>
  </si>
  <si>
    <t>51234408203</t>
  </si>
  <si>
    <t>2546955518 IBTRF B/O ALQAISAR WORKSHOP EQU AND MAC SALES</t>
  </si>
  <si>
    <t>-4,279,941.32</t>
  </si>
  <si>
    <t>4824</t>
  </si>
  <si>
    <t>PHUB528541898</t>
  </si>
  <si>
    <t>BP-MOS-00573</t>
  </si>
  <si>
    <t>84.00</t>
  </si>
  <si>
    <t>-4,279,857.32</t>
  </si>
  <si>
    <t>4825</t>
  </si>
  <si>
    <t>51234576000</t>
  </si>
  <si>
    <t>2546961837 IBTRF B/O ALQAISAR WORKSHOP EQU AND MAC SALES</t>
  </si>
  <si>
    <t>-4,179,857.32</t>
  </si>
  <si>
    <t>4826</t>
  </si>
  <si>
    <t>51234642792</t>
  </si>
  <si>
    <t>2546964663 IBTRF B/O ALQAISAR WORKSHOP EQU AND MAC SALES</t>
  </si>
  <si>
    <t>36,082.88</t>
  </si>
  <si>
    <t>-4,143,774.44</t>
  </si>
  <si>
    <t>4827</t>
  </si>
  <si>
    <t>-4,123,748.19</t>
  </si>
  <si>
    <t>4828</t>
  </si>
  <si>
    <t>51234906695</t>
  </si>
  <si>
    <t>26346454776 MBTRF B/O MINTRA SRITHONGTAE</t>
  </si>
  <si>
    <t>-4,103,748.19</t>
  </si>
  <si>
    <t>4829</t>
  </si>
  <si>
    <t>PHUB528558733</t>
  </si>
  <si>
    <t>528558733 B/O KHALAF KHAMIS HAMAD ATEEQ ALMAZROUEI</t>
  </si>
  <si>
    <t>9,210.75</t>
  </si>
  <si>
    <t>-4,094,537.44</t>
  </si>
  <si>
    <t>4830</t>
  </si>
  <si>
    <t>51235281044</t>
  </si>
  <si>
    <t>26346808108 MBTRF B/O SUNIL SAMPATH SAMPATH RANGASAMI</t>
  </si>
  <si>
    <t>-3,994,537.44</t>
  </si>
  <si>
    <t>4831</t>
  </si>
  <si>
    <t>51235308251</t>
  </si>
  <si>
    <t>26346837283 MBTRF B/O SUNIL SAMPATH SAMPATH RANGASAMI</t>
  </si>
  <si>
    <t>-3,944,537.44</t>
  </si>
  <si>
    <t>4832</t>
  </si>
  <si>
    <t>025109</t>
  </si>
  <si>
    <t>INHOUSE CHEQUE DEPOSIT 025109 BASHEER PULIKKAL    IBRAHIM AL FARDAN EXCHANGE SP LLC CHQ NO ::025109</t>
  </si>
  <si>
    <t>-3,934,537.44</t>
  </si>
  <si>
    <t>4833</t>
  </si>
  <si>
    <t>51235708809</t>
  </si>
  <si>
    <t>26347224781 MBTRF B/O MUHAMMAD MURTAZA</t>
  </si>
  <si>
    <t>8,218.00</t>
  </si>
  <si>
    <t>-3,926,319.44</t>
  </si>
  <si>
    <t>4834</t>
  </si>
  <si>
    <t>FEE FORGREENPACK REGISTER</t>
  </si>
  <si>
    <t>-3,926,056.94</t>
  </si>
  <si>
    <t>4835</t>
  </si>
  <si>
    <t>51235982064</t>
  </si>
  <si>
    <t>26347483658 MBTRF B/O MOHAMED GOMAA IBRAHEM ABDELGHANY</t>
  </si>
  <si>
    <t>9,284.64</t>
  </si>
  <si>
    <t>-3,916,772.30</t>
  </si>
  <si>
    <t>4836</t>
  </si>
  <si>
    <t>PHUB528595413</t>
  </si>
  <si>
    <t>MOB2608251205088279954</t>
  </si>
  <si>
    <t>B/O AVON MACHINERY TRADING L L C</t>
  </si>
  <si>
    <t>51,795.75</t>
  </si>
  <si>
    <t>-3,864,976.55</t>
  </si>
  <si>
    <t>4837</t>
  </si>
  <si>
    <t>51237316780</t>
  </si>
  <si>
    <t>26348771142 MBTRF B/O PARTHO MULLICK &amp;/OR SANGHAMITRA M</t>
  </si>
  <si>
    <t>734,700.00</t>
  </si>
  <si>
    <t>-3,130,276.55</t>
  </si>
  <si>
    <t>4838</t>
  </si>
  <si>
    <t>PHUB528604652</t>
  </si>
  <si>
    <t>B/O_ALFATHIR U_BOML_528604652_ FINANC</t>
  </si>
  <si>
    <t>64,752.50</t>
  </si>
  <si>
    <t>-3,065,524.05</t>
  </si>
  <si>
    <t>4839</t>
  </si>
  <si>
    <t>UEC 26082025</t>
  </si>
  <si>
    <t>2,677,842.13</t>
  </si>
  <si>
    <t>-5,743,366.18</t>
  </si>
  <si>
    <t>4840</t>
  </si>
  <si>
    <t>PHUB528614429</t>
  </si>
  <si>
    <t>B/O_AEROSTYLE _NBSH_528614429_TOF - T</t>
  </si>
  <si>
    <t>29,973.00</t>
  </si>
  <si>
    <t>-5,713,393.18</t>
  </si>
  <si>
    <t>4841</t>
  </si>
  <si>
    <t>000497</t>
  </si>
  <si>
    <t>INHOUSE CHEQUE DEPOSIT 000497 BASHEER PULIKKAL    IBRAHIM AL FARDAN EXCHANGE SP LLC CHQ NO ::000497</t>
  </si>
  <si>
    <t>22,401.50</t>
  </si>
  <si>
    <t>-5,690,991.68</t>
  </si>
  <si>
    <t>4842</t>
  </si>
  <si>
    <t>PHUB528621258</t>
  </si>
  <si>
    <t>MOB2608251240278280727</t>
  </si>
  <si>
    <t>B/O WONDER FIX TECH SERVS AND CONT LLC</t>
  </si>
  <si>
    <t>-5,684,991.68</t>
  </si>
  <si>
    <t>4843</t>
  </si>
  <si>
    <t>PHUB528621811</t>
  </si>
  <si>
    <t>528621811 B/O DEREK JOHN FISCHART</t>
  </si>
  <si>
    <t>23,853.75</t>
  </si>
  <si>
    <t>-5,661,137.93</t>
  </si>
  <si>
    <t>4844</t>
  </si>
  <si>
    <t>PHUB528621840</t>
  </si>
  <si>
    <t>B/O_CUTTING ZA_ADIB_528621840_abo yas</t>
  </si>
  <si>
    <t>52,113.00</t>
  </si>
  <si>
    <t>-5,609,024.93</t>
  </si>
  <si>
    <t>4845</t>
  </si>
  <si>
    <t>PHUB528621864</t>
  </si>
  <si>
    <t>B/O_LLC AL SAL_ADIB_528621864_cash 26</t>
  </si>
  <si>
    <t>-5,553,854.43</t>
  </si>
  <si>
    <t>4846</t>
  </si>
  <si>
    <t>4,359.20</t>
  </si>
  <si>
    <t>-5,549,495.23</t>
  </si>
  <si>
    <t>4847</t>
  </si>
  <si>
    <t>5,004.20</t>
  </si>
  <si>
    <t>-5,544,491.03</t>
  </si>
  <si>
    <t>4848</t>
  </si>
  <si>
    <t>PHUB528629450</t>
  </si>
  <si>
    <t>B/O_DAVID JOHN_NBAD_528629450_poland</t>
  </si>
  <si>
    <t>76,789.25</t>
  </si>
  <si>
    <t>-5,467,701.78</t>
  </si>
  <si>
    <t>4849</t>
  </si>
  <si>
    <t>PHUB528629792</t>
  </si>
  <si>
    <t>FISV -SHJ WPS</t>
  </si>
  <si>
    <t>11,536.75</t>
  </si>
  <si>
    <t>-5,456,165.03</t>
  </si>
  <si>
    <t>4850</t>
  </si>
  <si>
    <t>PHUB528630313</t>
  </si>
  <si>
    <t>WPS FISV</t>
  </si>
  <si>
    <t>44,789.75</t>
  </si>
  <si>
    <t>-5,411,375.28</t>
  </si>
  <si>
    <t>4851</t>
  </si>
  <si>
    <t>51238895224</t>
  </si>
  <si>
    <t>2547124992 IBTRF B/O AMOGH PROJECT MANAGEMENT L L C</t>
  </si>
  <si>
    <t>13,095.25</t>
  </si>
  <si>
    <t>-5,398,280.03</t>
  </si>
  <si>
    <t>4852</t>
  </si>
  <si>
    <t>PHUB528638495</t>
  </si>
  <si>
    <t>B/O COLUMBIA MIDDLE EAST AUTO MAINTENAN</t>
  </si>
  <si>
    <t>15,063.00</t>
  </si>
  <si>
    <t>-5,383,217.03</t>
  </si>
  <si>
    <t>4853</t>
  </si>
  <si>
    <t>51239031592</t>
  </si>
  <si>
    <t>26350447263 MBTRF B/O VINOD KUMAR KUTHAMBETH KOYITTY</t>
  </si>
  <si>
    <t>47,060.00</t>
  </si>
  <si>
    <t>-5,336,157.03</t>
  </si>
  <si>
    <t>4854</t>
  </si>
  <si>
    <t>PHUB528640649</t>
  </si>
  <si>
    <t>B/O_ABU BAKAR _ADIB_528640649_Family</t>
  </si>
  <si>
    <t>105,670.00</t>
  </si>
  <si>
    <t>-5,230,487.03</t>
  </si>
  <si>
    <t>4855</t>
  </si>
  <si>
    <t>PHUB528641939</t>
  </si>
  <si>
    <t>528641939 B/O KITTIPONG KONGKAW</t>
  </si>
  <si>
    <t>10,050.00</t>
  </si>
  <si>
    <t>-5,220,437.03</t>
  </si>
  <si>
    <t>4856</t>
  </si>
  <si>
    <t>B/O_PETROSHALE_BOML_528644963_ FINANC</t>
  </si>
  <si>
    <t>59,379.63</t>
  </si>
  <si>
    <t>-5,161,057.40</t>
  </si>
  <si>
    <t>4857</t>
  </si>
  <si>
    <t>PHUB528646528</t>
  </si>
  <si>
    <t>528646528 B/O OMAR SAAB SAAB</t>
  </si>
  <si>
    <t>44,087.25</t>
  </si>
  <si>
    <t>-5,116,970.15</t>
  </si>
  <si>
    <t>4858</t>
  </si>
  <si>
    <t>51239427048</t>
  </si>
  <si>
    <t>26350840722 MBTRF B/O BRIGHT WHITE STAR SHIPPING L L C</t>
  </si>
  <si>
    <t>-5,025,059.65</t>
  </si>
  <si>
    <t>4859</t>
  </si>
  <si>
    <t>INHOUSE CHEQUE DEPOSIT 000038 BASHEER PULIKKAL    IBRAHIM AL FARDAN EXCHANGE SP LLC CHQ NO ::000038</t>
  </si>
  <si>
    <t>165,412.00</t>
  </si>
  <si>
    <t>-4,859,647.65</t>
  </si>
  <si>
    <t>4860</t>
  </si>
  <si>
    <t>001912</t>
  </si>
  <si>
    <t>INHOUSE CHEQUE DEPOSIT 001912 MUHAMMAD NAWAZ     SABIR HUSSAIN AL FARDAN EXCHANGE SP LLC CHQ NO ::001912</t>
  </si>
  <si>
    <t>131,713.10</t>
  </si>
  <si>
    <t>-4,727,934.55</t>
  </si>
  <si>
    <t>4861</t>
  </si>
  <si>
    <t>51239527779</t>
  </si>
  <si>
    <t>26350941299 MBTRF B/O EIGHTY SIX MEDIA LLC</t>
  </si>
  <si>
    <t>54,633.25</t>
  </si>
  <si>
    <t>-4,673,301.30</t>
  </si>
  <si>
    <t>4862</t>
  </si>
  <si>
    <t>010431</t>
  </si>
  <si>
    <t>INHOUSE CHEQUE DEPOSIT 010431 RIYAS KUNIYIL    KUNHABDULLA AL FARDAN EXCHANGE SP LLC CHQ NO ::010431</t>
  </si>
  <si>
    <t>108,245.25</t>
  </si>
  <si>
    <t>-4,565,056.05</t>
  </si>
  <si>
    <t>4863</t>
  </si>
  <si>
    <t>B/O_/011/000 S_NRAK_528656762_Own Acc</t>
  </si>
  <si>
    <t>209,670.00</t>
  </si>
  <si>
    <t>-4,355,386.05</t>
  </si>
  <si>
    <t>4864</t>
  </si>
  <si>
    <t>PHUB528656200</t>
  </si>
  <si>
    <t>FE TRADING PAYMENT</t>
  </si>
  <si>
    <t>B/O LAMASSAT CAR CARE CENTER</t>
  </si>
  <si>
    <t>17,050.25</t>
  </si>
  <si>
    <t>-4,338,335.80</t>
  </si>
  <si>
    <t>4865</t>
  </si>
  <si>
    <t>004068</t>
  </si>
  <si>
    <t>INHOUSE CHEQUE DEPOSIT 004068 BASHEER PULIKKAL    IBRAHIM AL FARDAN EXCHANGE SP LLC CHQ NO ::004068</t>
  </si>
  <si>
    <t>336,061.00</t>
  </si>
  <si>
    <t>-4,002,274.80</t>
  </si>
  <si>
    <t>4866</t>
  </si>
  <si>
    <t>PHUB528658312</t>
  </si>
  <si>
    <t>B/O_BUTHAINA A_ADIB_528658312_Goods b</t>
  </si>
  <si>
    <t>244,984.48</t>
  </si>
  <si>
    <t>-3,757,290.32</t>
  </si>
  <si>
    <t>4867</t>
  </si>
  <si>
    <t>PHUB528662003</t>
  </si>
  <si>
    <t>CA 26082025</t>
  </si>
  <si>
    <t>34,600,000.00</t>
  </si>
  <si>
    <t>30,842,709.68</t>
  </si>
  <si>
    <t>4868</t>
  </si>
  <si>
    <t>PHUB528662727</t>
  </si>
  <si>
    <t>USD BUY 26082025</t>
  </si>
  <si>
    <t>26,631,425.00</t>
  </si>
  <si>
    <t>4,211,284.68</t>
  </si>
  <si>
    <t>4869</t>
  </si>
  <si>
    <t>000447</t>
  </si>
  <si>
    <t>INHOUSE CHEQUE DEPOSIT 000447 KARAM ELIAS     ALBARCHINI AL FARDAN EXCHANGE SP LLC CHQ NO ::000447</t>
  </si>
  <si>
    <t>470,092.00</t>
  </si>
  <si>
    <t>4,681,376.68</t>
  </si>
  <si>
    <t>4870</t>
  </si>
  <si>
    <t>002226</t>
  </si>
  <si>
    <t>INHOUSE CHEQUE DEPOSIT 002226 NOUSHAD     KADAKKOTTE AL FARDAN EXCHANGE SP LLC CHQ NO ::002226</t>
  </si>
  <si>
    <t>110,601.75</t>
  </si>
  <si>
    <t>4,791,978.43</t>
  </si>
  <si>
    <t>4871</t>
  </si>
  <si>
    <t>7,867.00</t>
  </si>
  <si>
    <t>4,799,845.43</t>
  </si>
  <si>
    <t>4872</t>
  </si>
  <si>
    <t>4,805,845.43</t>
  </si>
  <si>
    <t>4873</t>
  </si>
  <si>
    <t>010590</t>
  </si>
  <si>
    <t>INHOUSE CHEQUE DEPOSIT 010590 MUHAMMAD HAMEED MUHAMMAD   FAREED AL FARDAN EXCHANGE SP LLC CHQ NO ::010590</t>
  </si>
  <si>
    <t>91,890.00</t>
  </si>
  <si>
    <t>4,897,735.43</t>
  </si>
  <si>
    <t>4874</t>
  </si>
  <si>
    <t>PHUB528675646</t>
  </si>
  <si>
    <t>B/O_SANJEEV GU_SCBL_528675646_Sanjeev</t>
  </si>
  <si>
    <t>149,112.50</t>
  </si>
  <si>
    <t>5,046,847.93</t>
  </si>
  <si>
    <t>4875</t>
  </si>
  <si>
    <t>5,051,847.93</t>
  </si>
  <si>
    <t>4876</t>
  </si>
  <si>
    <t>PHUB528670121</t>
  </si>
  <si>
    <t>B/O_METEL INDU_BOML_528670121_ TECHNI</t>
  </si>
  <si>
    <t>38,103.25</t>
  </si>
  <si>
    <t>5,089,951.18</t>
  </si>
  <si>
    <t>4877</t>
  </si>
  <si>
    <t>51241049153</t>
  </si>
  <si>
    <t>26352429338 MBTRF B/O HUSAM RAHMEH</t>
  </si>
  <si>
    <t>10,798.00</t>
  </si>
  <si>
    <t>5,100,749.18</t>
  </si>
  <si>
    <t>4878</t>
  </si>
  <si>
    <t>PHUB528682528</t>
  </si>
  <si>
    <t>B/O_FZE TECHNIVISION_528682528</t>
  </si>
  <si>
    <t>32,820.62</t>
  </si>
  <si>
    <t>5,133,569.80</t>
  </si>
  <si>
    <t>4879</t>
  </si>
  <si>
    <t>15,412.60</t>
  </si>
  <si>
    <t>5,148,982.40</t>
  </si>
  <si>
    <t>4880</t>
  </si>
  <si>
    <t>PHUB528683104</t>
  </si>
  <si>
    <t>AL FARDAN -FEE</t>
  </si>
  <si>
    <t>78.75</t>
  </si>
  <si>
    <t>5,149,061.15</t>
  </si>
  <si>
    <t>4881</t>
  </si>
  <si>
    <t>15,003.15</t>
  </si>
  <si>
    <t>5,164,064.30</t>
  </si>
  <si>
    <t>4882</t>
  </si>
  <si>
    <t>PHUB528684031</t>
  </si>
  <si>
    <t>CB 26082025</t>
  </si>
  <si>
    <t>O/W TRF 528684031</t>
  </si>
  <si>
    <t>7,550,000.00</t>
  </si>
  <si>
    <t>-2,385,935.70</t>
  </si>
  <si>
    <t>4883</t>
  </si>
  <si>
    <t>CHCB528684031</t>
  </si>
  <si>
    <t>O/W PROCESSING CHARGE 528684031</t>
  </si>
  <si>
    <t>-2,385,951.45</t>
  </si>
  <si>
    <t>4884</t>
  </si>
  <si>
    <t>528685033</t>
  </si>
  <si>
    <t>5620110189249</t>
  </si>
  <si>
    <t>5620110189249_20250826_252388841236</t>
  </si>
  <si>
    <t>848.91</t>
  </si>
  <si>
    <t>-2,386,800.36</t>
  </si>
  <si>
    <t>4885</t>
  </si>
  <si>
    <t>PHUB528686523</t>
  </si>
  <si>
    <t>B/O_IBRAHIM YO_BOML_528686523_ FAMILY</t>
  </si>
  <si>
    <t>13,263.25</t>
  </si>
  <si>
    <t>-2,373,537.11</t>
  </si>
  <si>
    <t>4886</t>
  </si>
  <si>
    <t>528690348 B/O MUTAAB SAEED ALI ALSHAMSI</t>
  </si>
  <si>
    <t>-2,343,537.11</t>
  </si>
  <si>
    <t>4887</t>
  </si>
  <si>
    <t>PHUB528693835</t>
  </si>
  <si>
    <t>B/O_UNIVERSAL _BARB_528693835_TKD KAB</t>
  </si>
  <si>
    <t>3,137.92</t>
  </si>
  <si>
    <t>-2,340,399.19</t>
  </si>
  <si>
    <t>4888</t>
  </si>
  <si>
    <t>PHUB528694227</t>
  </si>
  <si>
    <t>B/O_SALIAN SAN_SCBL_528694227_Frm san</t>
  </si>
  <si>
    <t>-2,325,399.19</t>
  </si>
  <si>
    <t>4889</t>
  </si>
  <si>
    <t>INHOUSE CHEQUE DEPOSIT 000087 DIL JAN MOHAMMAD   ALI AL FARDAN EXCHANGE SP LLC CHQ NO ::000087</t>
  </si>
  <si>
    <t>5,156.00</t>
  </si>
  <si>
    <t>-2,320,243.19</t>
  </si>
  <si>
    <t>4890</t>
  </si>
  <si>
    <t>PHUB528700007</t>
  </si>
  <si>
    <t>32,793.00</t>
  </si>
  <si>
    <t>-2,287,450.19</t>
  </si>
  <si>
    <t>4891</t>
  </si>
  <si>
    <t>B/O_SALEM ABDU_ADIB_528701040_Goods b</t>
  </si>
  <si>
    <t>63,636.90</t>
  </si>
  <si>
    <t>-2,223,813.29</t>
  </si>
  <si>
    <t>4892</t>
  </si>
  <si>
    <t>PHUB528702452</t>
  </si>
  <si>
    <t>B/O_URUGUAY TR_BOML_528702452_ GOODS</t>
  </si>
  <si>
    <t>96,197.00</t>
  </si>
  <si>
    <t>-2,127,616.29</t>
  </si>
  <si>
    <t>4893</t>
  </si>
  <si>
    <t>51242351383</t>
  </si>
  <si>
    <t>26353711405 MBTRF B/O NOUFAL EDAKAIL KOUVALIL</t>
  </si>
  <si>
    <t>298.00</t>
  </si>
  <si>
    <t>-2,127,318.29</t>
  </si>
  <si>
    <t>4894</t>
  </si>
  <si>
    <t>PHUB528708496</t>
  </si>
  <si>
    <t>528708496 B/O DESIREE WILLIDA MPOFU</t>
  </si>
  <si>
    <t>3,150.00</t>
  </si>
  <si>
    <t>-2,124,168.29</t>
  </si>
  <si>
    <t>4895</t>
  </si>
  <si>
    <t>MOB2608251521118283714</t>
  </si>
  <si>
    <t>1,392.00</t>
  </si>
  <si>
    <t>-2,122,776.29</t>
  </si>
  <si>
    <t>4896</t>
  </si>
  <si>
    <t>PHUB528711320</t>
  </si>
  <si>
    <t>528711320 B/O AMEERA YOUSEF RUSHDI ABUSAFYEH</t>
  </si>
  <si>
    <t>10,413.00</t>
  </si>
  <si>
    <t>-2,112,363.29</t>
  </si>
  <si>
    <t>4897</t>
  </si>
  <si>
    <t>528711968 B/O AC</t>
  </si>
  <si>
    <t>12,398.90</t>
  </si>
  <si>
    <t>-2,099,964.39</t>
  </si>
  <si>
    <t>4898</t>
  </si>
  <si>
    <t>PHUB528714228</t>
  </si>
  <si>
    <t>B/O_MR AHMED BASSYOU_528714228</t>
  </si>
  <si>
    <t>33,447.50</t>
  </si>
  <si>
    <t>-2,066,516.89</t>
  </si>
  <si>
    <t>4899</t>
  </si>
  <si>
    <t>AL EMPRATOR</t>
  </si>
  <si>
    <t>INHOUSE CHEQUE DEPOSIT AL EMPRATOR AL FARDAN EXCHANGE SP LLC CHQ NO ::000014</t>
  </si>
  <si>
    <t>-2,029,716.39</t>
  </si>
  <si>
    <t>4900</t>
  </si>
  <si>
    <t>PHUB528714464</t>
  </si>
  <si>
    <t>SALARY FOR AUGUST</t>
  </si>
  <si>
    <t>B/O JOLI TIR PARTY PHOTOGRAPHY LLC SPC</t>
  </si>
  <si>
    <t>70,366.75</t>
  </si>
  <si>
    <t>-1,959,349.64</t>
  </si>
  <si>
    <t>4901</t>
  </si>
  <si>
    <t>PHUB528715801</t>
  </si>
  <si>
    <t>528715801 B/O PRADEEP ELANTHIKKAL GOVINDANKUTTY M</t>
  </si>
  <si>
    <t>-1,949,349.64</t>
  </si>
  <si>
    <t>4902</t>
  </si>
  <si>
    <t>PHUB528718802</t>
  </si>
  <si>
    <t>83,497.35</t>
  </si>
  <si>
    <t>-1,865,852.29</t>
  </si>
  <si>
    <t>4903</t>
  </si>
  <si>
    <t>392.38</t>
  </si>
  <si>
    <t>-1,865,459.91</t>
  </si>
  <si>
    <t>4904</t>
  </si>
  <si>
    <t>-1,857,959.91</t>
  </si>
  <si>
    <t>4905</t>
  </si>
  <si>
    <t>025115</t>
  </si>
  <si>
    <t>INHOUSE CHEQUE DEPOSIT 025115 BASHEER PULIKKAL    IBRAHIM AL FARDAN EXCHANGE SP LLC CHQ NO ::025115</t>
  </si>
  <si>
    <t>11,545.75</t>
  </si>
  <si>
    <t>-1,846,414.16</t>
  </si>
  <si>
    <t>4906</t>
  </si>
  <si>
    <t>PHUB528721324</t>
  </si>
  <si>
    <t>528721324 B/O MOHAMMED GOLAM RASUL</t>
  </si>
  <si>
    <t>9,274.00</t>
  </si>
  <si>
    <t>-1,837,140.16</t>
  </si>
  <si>
    <t>4907</t>
  </si>
  <si>
    <t>51243293676</t>
  </si>
  <si>
    <t>26354635293 MBTRF B/O MOHAMED GOMAA IBRAHEM ABDELGHANY</t>
  </si>
  <si>
    <t>-1,823,377.16</t>
  </si>
  <si>
    <t>4908</t>
  </si>
  <si>
    <t>PHUB528721797</t>
  </si>
  <si>
    <t>B/O_LLC NAJIMAT AL I_528721797</t>
  </si>
  <si>
    <t>-1,806,624.16</t>
  </si>
  <si>
    <t>4909</t>
  </si>
  <si>
    <t>INHOUSE CHEQUE DEPOSIT 000089 DIL JAN MOHAMMAD   ALI AL FARDAN EXCHANGE SP LLC CHQ NO ::000089</t>
  </si>
  <si>
    <t>49,193.75</t>
  </si>
  <si>
    <t>-1,757,430.41</t>
  </si>
  <si>
    <t>4910</t>
  </si>
  <si>
    <t>PHUB528725725</t>
  </si>
  <si>
    <t>B/O_ZONE PARKI_EBIL_528725725_F and F</t>
  </si>
  <si>
    <t>1,224.64</t>
  </si>
  <si>
    <t>-1,756,205.77</t>
  </si>
  <si>
    <t>4911</t>
  </si>
  <si>
    <t>002364</t>
  </si>
  <si>
    <t>INHOUSE CHEQUE DEPOSIT 002364 YASER MOHAMED IBRAHIM MOHAMED    ABOU EL MAATI AL FARDAN EXCHANGE SP LLC CHQ NO ::002364</t>
  </si>
  <si>
    <t>90,582.00</t>
  </si>
  <si>
    <t>-1,665,623.77</t>
  </si>
  <si>
    <t>4912</t>
  </si>
  <si>
    <t>51243499738</t>
  </si>
  <si>
    <t>26354835110 MBTRF B/O MUHAMMAD JUNAID KHAN</t>
  </si>
  <si>
    <t>1,226.25</t>
  </si>
  <si>
    <t>-1,664,397.52</t>
  </si>
  <si>
    <t>4913</t>
  </si>
  <si>
    <t>51243510190</t>
  </si>
  <si>
    <t>26354845764 MBTRF_B/O MOLISHA SAHU</t>
  </si>
  <si>
    <t>2,586.00</t>
  </si>
  <si>
    <t>-1,661,811.52</t>
  </si>
  <si>
    <t>4914</t>
  </si>
  <si>
    <t>009572</t>
  </si>
  <si>
    <t>INHOUSE CHEQUE DEPOSIT 009572 MOHAMED SHAFI CHALIL   MOHAMEDUNNY AL FARDAN EXCHANGE SP LLC CHQ NO ::009572</t>
  </si>
  <si>
    <t>31,027.00</t>
  </si>
  <si>
    <t>-1,630,784.52</t>
  </si>
  <si>
    <t>4915</t>
  </si>
  <si>
    <t>51243570773</t>
  </si>
  <si>
    <t>26354903436 MBTRF_B/O MELVIN MATHEW</t>
  </si>
  <si>
    <t>991.50</t>
  </si>
  <si>
    <t>-1,629,793.02</t>
  </si>
  <si>
    <t>4916</t>
  </si>
  <si>
    <t>51243868166</t>
  </si>
  <si>
    <t>26355203263 MBTRF B/O MOHAMED GOMAA IBRAHEM ABDELGHANY</t>
  </si>
  <si>
    <t>-1,624,645.22</t>
  </si>
  <si>
    <t>4917</t>
  </si>
  <si>
    <t>51243935721</t>
  </si>
  <si>
    <t>26355264076 MBTRF B/O MOHAMED GOMAA IBRAHEM ABDELGHANY</t>
  </si>
  <si>
    <t>-1,616,792.44</t>
  </si>
  <si>
    <t>4918</t>
  </si>
  <si>
    <t>51244067437</t>
  </si>
  <si>
    <t>26355397382 MBTRF B/O JOSE LUIS DIAZ GOMEZ</t>
  </si>
  <si>
    <t>-1,386,792.44</t>
  </si>
  <si>
    <t>4919</t>
  </si>
  <si>
    <t>PHUB528739730</t>
  </si>
  <si>
    <t>B/O_AEROSTYLE _NBSH_528739730_TOF - T</t>
  </si>
  <si>
    <t>61,949.03</t>
  </si>
  <si>
    <t>-1,324,843.41</t>
  </si>
  <si>
    <t>4920</t>
  </si>
  <si>
    <t>PHUB528741150</t>
  </si>
  <si>
    <t>B/O_A/C. 19369_ADIB_528741150_Constru</t>
  </si>
  <si>
    <t>187,052.50</t>
  </si>
  <si>
    <t>-1,137,790.91</t>
  </si>
  <si>
    <t>4921</t>
  </si>
  <si>
    <t>PHUB528741211</t>
  </si>
  <si>
    <t>B/O_AL FARDAN _EBIL_528741211_AUHADCB</t>
  </si>
  <si>
    <t>2,999,994.75</t>
  </si>
  <si>
    <t>1,862,203.84</t>
  </si>
  <si>
    <t>4922</t>
  </si>
  <si>
    <t>51244364334</t>
  </si>
  <si>
    <t>26355688691 MBTRF B/O SUDARSHAN SESHADRI AND/OR SUDHA S</t>
  </si>
  <si>
    <t>53,326.00</t>
  </si>
  <si>
    <t>1,915,529.84</t>
  </si>
  <si>
    <t>4923</t>
  </si>
  <si>
    <t>PHUB528742379</t>
  </si>
  <si>
    <t>B/O_A/C. 19369_ADIB_528742379_Financi</t>
  </si>
  <si>
    <t>208,486.21</t>
  </si>
  <si>
    <t>2,124,016.05</t>
  </si>
  <si>
    <t>4924</t>
  </si>
  <si>
    <t>PHUB528743854</t>
  </si>
  <si>
    <t>B/O_TR LLC BAW_ADIB_528743854_goods</t>
  </si>
  <si>
    <t>154,369.00</t>
  </si>
  <si>
    <t>2,278,385.05</t>
  </si>
  <si>
    <t>4925</t>
  </si>
  <si>
    <t>PHUB528745198</t>
  </si>
  <si>
    <t>B/O_SAAS PROPE_HSBC_528745198_AEH2608</t>
  </si>
  <si>
    <t>98,950.87</t>
  </si>
  <si>
    <t>2,377,335.92</t>
  </si>
  <si>
    <t>4926</t>
  </si>
  <si>
    <t>PHUB528748725</t>
  </si>
  <si>
    <t>528748725 B/O DEXTER DIEGO</t>
  </si>
  <si>
    <t>3,559.01</t>
  </si>
  <si>
    <t>2,380,894.93</t>
  </si>
  <si>
    <t>4927</t>
  </si>
  <si>
    <t>51244821719</t>
  </si>
  <si>
    <t>26356151621 MBTRF B/O DEEPANSHU RANA</t>
  </si>
  <si>
    <t>35,711.00</t>
  </si>
  <si>
    <t>2,416,605.93</t>
  </si>
  <si>
    <t>4928</t>
  </si>
  <si>
    <t>PHUB528751242</t>
  </si>
  <si>
    <t>B/O_MEDITERRAN_NBAD_528751242_CTM MSC</t>
  </si>
  <si>
    <t>176,244.75</t>
  </si>
  <si>
    <t>2,592,850.68</t>
  </si>
  <si>
    <t>4929</t>
  </si>
  <si>
    <t>51245007799</t>
  </si>
  <si>
    <t>26356339372 MBTRF B/O MUHAMMAD FAROOQ AZAM</t>
  </si>
  <si>
    <t>50,107.50</t>
  </si>
  <si>
    <t>2,642,958.18</t>
  </si>
  <si>
    <t>4930</t>
  </si>
  <si>
    <t>51245066867</t>
  </si>
  <si>
    <t>26356401795 MBTRF B/O NASR EDDINE EL MANSOURY</t>
  </si>
  <si>
    <t>2,644,958.18</t>
  </si>
  <si>
    <t>4931</t>
  </si>
  <si>
    <t>PHUB528758106</t>
  </si>
  <si>
    <t>SAL 2608</t>
  </si>
  <si>
    <t>2,679,984.43</t>
  </si>
  <si>
    <t>4932</t>
  </si>
  <si>
    <t>INHOUSE CHEQUE DEPOSIT 000003 AL FARDAN EXCHANGE SP LLC CHQ NO ::000003</t>
  </si>
  <si>
    <t>29,460.50</t>
  </si>
  <si>
    <t>2,709,444.93</t>
  </si>
  <si>
    <t>4933</t>
  </si>
  <si>
    <t>2508261659065768</t>
  </si>
  <si>
    <t>CHQ RETRN:Signature Irregular AL FARDAN EXCHANGE SP LLC CHQ NO ::000003</t>
  </si>
  <si>
    <t>4934</t>
  </si>
  <si>
    <t>PHUB528758943</t>
  </si>
  <si>
    <t>389,164.28</t>
  </si>
  <si>
    <t>3,069,148.71</t>
  </si>
  <si>
    <t>4935</t>
  </si>
  <si>
    <t>INHOUSE CHEQUE DEPOSIT 000080 AL FARDAN EXCHANGE SP LLC CHQ NO ::000080</t>
  </si>
  <si>
    <t>147,112.00</t>
  </si>
  <si>
    <t>3,216,260.71</t>
  </si>
  <si>
    <t>4936</t>
  </si>
  <si>
    <t>2508261659351420</t>
  </si>
  <si>
    <t>CHQ RETRN:Signature Irregular AL FARDAN EXCHANGE SP LLC CHQ NO ::000080</t>
  </si>
  <si>
    <t>4937</t>
  </si>
  <si>
    <t>B/O_ASHIF ABDUL KADE_528763288</t>
  </si>
  <si>
    <t>16,345.86</t>
  </si>
  <si>
    <t>3,085,494.57</t>
  </si>
  <si>
    <t>4938</t>
  </si>
  <si>
    <t>PHUB528764414</t>
  </si>
  <si>
    <t>528764414 B/O VICTOR RICHARD MACCARDO</t>
  </si>
  <si>
    <t>3,086,994.57</t>
  </si>
  <si>
    <t>4939</t>
  </si>
  <si>
    <t>51245684915</t>
  </si>
  <si>
    <t>2547349495 IBTRF B/O ZAHRAT AMMAN TRADING</t>
  </si>
  <si>
    <t>17,968.55</t>
  </si>
  <si>
    <t>3,104,963.12</t>
  </si>
  <si>
    <t>4940</t>
  </si>
  <si>
    <t>27,750.00</t>
  </si>
  <si>
    <t>3,132,713.12</t>
  </si>
  <si>
    <t>4941</t>
  </si>
  <si>
    <t>PHUB528773187</t>
  </si>
  <si>
    <t>528773187 B/O HAMED IBRAHIM ABDALLAH JUMA AL BALUSHI</t>
  </si>
  <si>
    <t>3,134,213.12</t>
  </si>
  <si>
    <t>4942</t>
  </si>
  <si>
    <t>PHUB528776981</t>
  </si>
  <si>
    <t>528776981 B/O R M B GROUP SOLE PROPRIETORSHIP LLC</t>
  </si>
  <si>
    <t>4,303.15</t>
  </si>
  <si>
    <t>3,138,516.27</t>
  </si>
  <si>
    <t>4943</t>
  </si>
  <si>
    <t>51246222558</t>
  </si>
  <si>
    <t>26357596839 MBTRF B/O MOHAMMAD A A ANSARI</t>
  </si>
  <si>
    <t>3,163,516.27</t>
  </si>
  <si>
    <t>4944</t>
  </si>
  <si>
    <t>51246625691</t>
  </si>
  <si>
    <t>26358014192 MBTRF B/O ELIZABETH OLUWAFUNMILAYO QUADRY</t>
  </si>
  <si>
    <t>9,500.00</t>
  </si>
  <si>
    <t>3,173,016.27</t>
  </si>
  <si>
    <t>4945</t>
  </si>
  <si>
    <t>MOB2608251757108286223</t>
  </si>
  <si>
    <t>14,754.50</t>
  </si>
  <si>
    <t>3,187,770.77</t>
  </si>
  <si>
    <t>4946</t>
  </si>
  <si>
    <t>B/O_SANOOJ SAL_ADIB_528789208_Educati</t>
  </si>
  <si>
    <t>138,682.00</t>
  </si>
  <si>
    <t>3,326,452.77</t>
  </si>
  <si>
    <t>4947</t>
  </si>
  <si>
    <t>19,150.00</t>
  </si>
  <si>
    <t>3,345,602.77</t>
  </si>
  <si>
    <t>4948</t>
  </si>
  <si>
    <t>B/O_/011/000 S_NRAK_528793963_Own Acc</t>
  </si>
  <si>
    <t>314,755.00</t>
  </si>
  <si>
    <t>3,660,357.77</t>
  </si>
  <si>
    <t>4949</t>
  </si>
  <si>
    <t>6,254.25</t>
  </si>
  <si>
    <t>3,666,612.02</t>
  </si>
  <si>
    <t>4950</t>
  </si>
  <si>
    <t>PHUB528797136</t>
  </si>
  <si>
    <t>528797136 B/O ALI GENIDY IBRAHIM</t>
  </si>
  <si>
    <t>3,667,012.02</t>
  </si>
  <si>
    <t>4951</t>
  </si>
  <si>
    <t>B/O_BEAUTY GOL_BARB_528797758_TAX PAY</t>
  </si>
  <si>
    <t>93,547.50</t>
  </si>
  <si>
    <t>3,760,559.52</t>
  </si>
  <si>
    <t>4952</t>
  </si>
  <si>
    <t>528800159 B/O OMAR BEKDACHE</t>
  </si>
  <si>
    <t>21,548.00</t>
  </si>
  <si>
    <t>3,782,107.52</t>
  </si>
  <si>
    <t>4953</t>
  </si>
  <si>
    <t>PHUB528801168</t>
  </si>
  <si>
    <t>B/O_KRISHNAMOO_NBFU_528801168_FAMILY</t>
  </si>
  <si>
    <t>209,847.00</t>
  </si>
  <si>
    <t>3,991,954.52</t>
  </si>
  <si>
    <t>4954</t>
  </si>
  <si>
    <t>PHUB528807455</t>
  </si>
  <si>
    <t>B/O_JOGINDER F_NBAD_528807455_Mainten</t>
  </si>
  <si>
    <t>4,191,954.52</t>
  </si>
  <si>
    <t>4955</t>
  </si>
  <si>
    <t>51247757585</t>
  </si>
  <si>
    <t>26359247122 MBTRF B/O ALTAMAYOUZ AGRICULTURAL</t>
  </si>
  <si>
    <t>79,464.83</t>
  </si>
  <si>
    <t>4,271,419.35</t>
  </si>
  <si>
    <t>4956</t>
  </si>
  <si>
    <t>099270</t>
  </si>
  <si>
    <t>MOHAMMAD RAFIQ</t>
  </si>
  <si>
    <t>CHEQUE DEPOSIT MOHAMMAD RAFIQ 103130112 CHQ NO ::099270</t>
  </si>
  <si>
    <t>4,391,419.35</t>
  </si>
  <si>
    <t>4957</t>
  </si>
  <si>
    <t>CHEQUE DEPOSIT AL SALIK 603430129 CHQ NO ::000504</t>
  </si>
  <si>
    <t>99,592.50</t>
  </si>
  <si>
    <t>4,491,011.85</t>
  </si>
  <si>
    <t>4958</t>
  </si>
  <si>
    <t>luminous lighting</t>
  </si>
  <si>
    <t>CHEQUE DEPOSIT luminous lighting 101110101 CHQ NO ::000152</t>
  </si>
  <si>
    <t>2,731.50</t>
  </si>
  <si>
    <t>4,493,743.35</t>
  </si>
  <si>
    <t>4959</t>
  </si>
  <si>
    <t>001794</t>
  </si>
  <si>
    <t>CHEQUE DEPOSIT 001794 AMR ELSAID FATHI   ELSAID 300960107 CHQ NO ::001794</t>
  </si>
  <si>
    <t>20,292.05</t>
  </si>
  <si>
    <t>4,514,035.40</t>
  </si>
  <si>
    <t>4960</t>
  </si>
  <si>
    <t>528819038 B/O NEXT MOVE SHIPPING SERVICES (FZE)</t>
  </si>
  <si>
    <t>1,585.63</t>
  </si>
  <si>
    <t>4,515,621.03</t>
  </si>
  <si>
    <t>4961</t>
  </si>
  <si>
    <t>749430</t>
  </si>
  <si>
    <t>CHEQUE DEPOSIT 749430 MUHAMMAD HAMEED MUHAMMAD   FAREED 104030136 CHQ NO ::749430</t>
  </si>
  <si>
    <t>23,234.50</t>
  </si>
  <si>
    <t>4,538,855.53</t>
  </si>
  <si>
    <t>4962</t>
  </si>
  <si>
    <t>547467</t>
  </si>
  <si>
    <t>CHEQUE DEPOSIT 547467 SHAMSHEER KHAN AHAMED KHAN AHAMED  KHAN 001530104 CHQ NO ::547467</t>
  </si>
  <si>
    <t>4,558,977.53</t>
  </si>
  <si>
    <t>4963</t>
  </si>
  <si>
    <t>991068</t>
  </si>
  <si>
    <t>CHEQUE DEPOSIT 991068 SHAMSHEER KHAN AHAMED KHAN AHAMED  KHAN 804030124 CHQ NO ::991068</t>
  </si>
  <si>
    <t>225,601.50</t>
  </si>
  <si>
    <t>4,784,579.03</t>
  </si>
  <si>
    <t>4964</t>
  </si>
  <si>
    <t>863410</t>
  </si>
  <si>
    <t>CHEQUE DEPOSIT 863410 MUHAMMAD HAMEED MUHAMMAD   FAREED 804030124 CHQ NO ::863410</t>
  </si>
  <si>
    <t>4,834,579.03</t>
  </si>
  <si>
    <t>4965</t>
  </si>
  <si>
    <t>CHEQUE DEPOSIT 000329 MUHAMMAD AKRAM NAZAR   MUHAMMAD 101110101 CHQ NO ::000329</t>
  </si>
  <si>
    <t>68,338.65</t>
  </si>
  <si>
    <t>4,902,917.68</t>
  </si>
  <si>
    <t>4966</t>
  </si>
  <si>
    <t>500127</t>
  </si>
  <si>
    <t>CHEQUE DEPOSIT 500127 THILAN CHARUKA    WARNAKU KORALAGE 705020103 CHQ NO ::500127</t>
  </si>
  <si>
    <t>88,966.34</t>
  </si>
  <si>
    <t>4,991,884.02</t>
  </si>
  <si>
    <t>4967</t>
  </si>
  <si>
    <t>361155</t>
  </si>
  <si>
    <t>AL NASEEM</t>
  </si>
  <si>
    <t>CHEQUE DEPOSIT AL NASEEM 701211002 CHQ NO ::361155</t>
  </si>
  <si>
    <t>5,021,332.52</t>
  </si>
  <si>
    <t>4968</t>
  </si>
  <si>
    <t>502443</t>
  </si>
  <si>
    <t>CHEQUE DEPOSIT 502443 SHAMSHEER KHAN AHAMED KHAN AHAMED  KHAN 805030156 CHQ NO ::502443</t>
  </si>
  <si>
    <t>67,795.75</t>
  </si>
  <si>
    <t>5,089,128.27</t>
  </si>
  <si>
    <t>4969</t>
  </si>
  <si>
    <t>CHEQUE DEPOSIT 000088 ANTONY,JOSEPH,,,,JOSEPH, 504020133 CHQ NO ::000088</t>
  </si>
  <si>
    <t>34,867.98</t>
  </si>
  <si>
    <t>5,123,996.25</t>
  </si>
  <si>
    <t>4970</t>
  </si>
  <si>
    <t>CHEQUE DEPOSIT 000039 MUHAMMAD HAMEED MUHAMMAD   FAREED 501130101 CHQ NO ::000039</t>
  </si>
  <si>
    <t>3,359.75</t>
  </si>
  <si>
    <t>5,127,356.00</t>
  </si>
  <si>
    <t>4971</t>
  </si>
  <si>
    <t>CHEQUE DEPOSIT 000118 ABDULREHIMAN,KOOLIKKATTIL,,,,MOHAMED, 302920101 CHQ NO ::000118</t>
  </si>
  <si>
    <t>5,400.00</t>
  </si>
  <si>
    <t>5,132,756.00</t>
  </si>
  <si>
    <t>4972</t>
  </si>
  <si>
    <t>101638</t>
  </si>
  <si>
    <t>CHEQUE DEPOSIT 101638 MUHAMMAD HAMEED MUHAMMAD   FAREED 002420097 CHQ NO ::101638</t>
  </si>
  <si>
    <t>12,800.00</t>
  </si>
  <si>
    <t>5,145,556.00</t>
  </si>
  <si>
    <t>4973</t>
  </si>
  <si>
    <t>001024</t>
  </si>
  <si>
    <t>CHEQUE DEPOSIT 001024 MUHAMMAD HAMEED MUHAMMAD   FAREED 802630140 CHQ NO ::001024</t>
  </si>
  <si>
    <t>8,944.23</t>
  </si>
  <si>
    <t>5,154,500.23</t>
  </si>
  <si>
    <t>4974</t>
  </si>
  <si>
    <t>029394</t>
  </si>
  <si>
    <t>DAZLLING GRAPH</t>
  </si>
  <si>
    <t>CHEQUE DEPOSIT DAZLLING GRAPH 103130112 CHQ NO ::029394</t>
  </si>
  <si>
    <t>5,176,601.73</t>
  </si>
  <si>
    <t>4975</t>
  </si>
  <si>
    <t>001286</t>
  </si>
  <si>
    <t>CHEQUE DEPOSIT 001286 SHAMSHEER KHAN AHAMED KHAN AHAMED  KHAN 600930105 CHQ NO ::001286</t>
  </si>
  <si>
    <t>101,673.00</t>
  </si>
  <si>
    <t>5,278,274.73</t>
  </si>
  <si>
    <t>4976</t>
  </si>
  <si>
    <t>000231</t>
  </si>
  <si>
    <t>CHEQUE DEPOSIT RUKN AL QAMAR 603430129 CHQ NO ::000231</t>
  </si>
  <si>
    <t>125,322.50</t>
  </si>
  <si>
    <t>5,403,597.23</t>
  </si>
  <si>
    <t>4977</t>
  </si>
  <si>
    <t>209756</t>
  </si>
  <si>
    <t>CHEQUE DEPOSIT 209756 BASHEER PULIKKAL    IBRAHIM 702410103 CHQ NO ::209756</t>
  </si>
  <si>
    <t>110,706.32</t>
  </si>
  <si>
    <t>5,514,303.55</t>
  </si>
  <si>
    <t>4978</t>
  </si>
  <si>
    <t>CHEQUE DEPOSIT 000075 MUHAMMAD HAMEED MUHAMMAD   FAREED 603530160 CHQ NO ::000075</t>
  </si>
  <si>
    <t>138,551.00</t>
  </si>
  <si>
    <t>5,652,854.55</t>
  </si>
  <si>
    <t>4979</t>
  </si>
  <si>
    <t>CHEQUE DEPOSIT 000047 VIJAY,KUMAR KANDAVARA,,,,SHETTY, 302020120 CHQ NO ::000047</t>
  </si>
  <si>
    <t>73,303.00</t>
  </si>
  <si>
    <t>5,726,157.55</t>
  </si>
  <si>
    <t>4980</t>
  </si>
  <si>
    <t>012655</t>
  </si>
  <si>
    <t>CHEQUE DEPOSIT 012655 SHIELA MONTENEGRO    AURE 903420130 CHQ NO ::012655</t>
  </si>
  <si>
    <t>16,811.66</t>
  </si>
  <si>
    <t>5,742,969.21</t>
  </si>
  <si>
    <t>4981</t>
  </si>
  <si>
    <t>CHEQUE DEPOSIT 000019 MUHAMMAD HAMEED MUHAMMAD   FAREED 402620152 CHQ NO ::000019</t>
  </si>
  <si>
    <t>250,272.50</t>
  </si>
  <si>
    <t>5,993,241.71</t>
  </si>
  <si>
    <t>4982</t>
  </si>
  <si>
    <t>002331</t>
  </si>
  <si>
    <t>CHEQUE DEPOSIT 002331 MUHAMMAD,BILAL,,,,MUHAMMAD ILYAS, 903320188 CHQ NO ::002331</t>
  </si>
  <si>
    <t>5,613.00</t>
  </si>
  <si>
    <t>5,998,854.71</t>
  </si>
  <si>
    <t>4983</t>
  </si>
  <si>
    <t>012715</t>
  </si>
  <si>
    <t>CHEQUE DEPOSIT 012715 SHAMSHEER KHAN AHAMED KHAN AHAMED  KHAN 102330106 CHQ NO ::012715</t>
  </si>
  <si>
    <t>10,137.00</t>
  </si>
  <si>
    <t>6,008,991.71</t>
  </si>
  <si>
    <t>4984</t>
  </si>
  <si>
    <t>PHUB528827016</t>
  </si>
  <si>
    <t>VAT PAYMENT</t>
  </si>
  <si>
    <t>66,482.25</t>
  </si>
  <si>
    <t>6,075,473.96</t>
  </si>
  <si>
    <t>4985</t>
  </si>
  <si>
    <t>000795</t>
  </si>
  <si>
    <t>CHEQUE DEPOSIT 000795 RIYAS AHAMED,MOHAMED BATCHA,,,,MOHAMED BATCHA, 602920102 CHQ NO ::000795</t>
  </si>
  <si>
    <t>11,449.90</t>
  </si>
  <si>
    <t>6,086,923.86</t>
  </si>
  <si>
    <t>4986</t>
  </si>
  <si>
    <t>B/O_NEXT MOVE _BOML_528828192_ AIR TR</t>
  </si>
  <si>
    <t>16,160.70</t>
  </si>
  <si>
    <t>6,103,084.56</t>
  </si>
  <si>
    <t>4987</t>
  </si>
  <si>
    <t>012720</t>
  </si>
  <si>
    <t>CHEQUE DEPOSIT 012720 SHAMSHEER KHAN AHAMED KHAN AHAMED  KHAN 102330106 CHQ NO ::012720</t>
  </si>
  <si>
    <t>6,850.00</t>
  </si>
  <si>
    <t>6,109,934.56</t>
  </si>
  <si>
    <t>4988</t>
  </si>
  <si>
    <t>CHEQUE DEPOSIT 001186 ABDULRAHMAN   SAEED  HAMMAM 101110101 CHQ NO ::001186</t>
  </si>
  <si>
    <t>51,853.00</t>
  </si>
  <si>
    <t>6,161,787.56</t>
  </si>
  <si>
    <t>4989</t>
  </si>
  <si>
    <t>CHEQUE DEPOSIT 000010 SHAMSHEER KHAN AHAMED KHAN AHAMED  KHAN 103320171 CHQ NO ::000010</t>
  </si>
  <si>
    <t>100,026.50</t>
  </si>
  <si>
    <t>6,261,814.06</t>
  </si>
  <si>
    <t>4990</t>
  </si>
  <si>
    <t>CHEQUE DEPOSIT 000106 NADEEM SHAHZAD     AHMED ALI KHAN 804030124 CHQ NO ::000106</t>
  </si>
  <si>
    <t>6,361,814.06</t>
  </si>
  <si>
    <t>4991</t>
  </si>
  <si>
    <t>359210</t>
  </si>
  <si>
    <t>CHEQUE DEPOSIT 359210 HEWA FONSEKAGE JAYESHA KAVINDI    FONSEKA 603511101 CHQ NO ::359210</t>
  </si>
  <si>
    <t>56,000.00</t>
  </si>
  <si>
    <t>6,417,814.06</t>
  </si>
  <si>
    <t>4992</t>
  </si>
  <si>
    <t>100038</t>
  </si>
  <si>
    <t>CHEQUE DEPOSIT 100038 DIL JAN MOHAMMAD   ALI 302430107 CHQ NO ::100038</t>
  </si>
  <si>
    <t>5,304.50</t>
  </si>
  <si>
    <t>6,423,118.56</t>
  </si>
  <si>
    <t>4993</t>
  </si>
  <si>
    <t>000109</t>
  </si>
  <si>
    <t>CHEQUE DEPOSIT 000109 SHAMSHEER KHAN AHAMED KHAN AHAMED  KHAN 703430256 CHQ NO ::000109</t>
  </si>
  <si>
    <t>134,423.81</t>
  </si>
  <si>
    <t>6,557,542.37</t>
  </si>
  <si>
    <t>4994</t>
  </si>
  <si>
    <t>51248942428</t>
  </si>
  <si>
    <t>26360597146 MBTRF B/O RASHED ALI CAFETERIA LLC</t>
  </si>
  <si>
    <t>6,607,568.87</t>
  </si>
  <si>
    <t>4995</t>
  </si>
  <si>
    <t>000677</t>
  </si>
  <si>
    <t>CHEQUE DEPOSIT 000677 SIRAJ MOHAMMED    PILAR 603410365 CHQ NO ::000677</t>
  </si>
  <si>
    <t>34,388.21</t>
  </si>
  <si>
    <t>6,641,957.08</t>
  </si>
  <si>
    <t>4996</t>
  </si>
  <si>
    <t>GOLESTAN</t>
  </si>
  <si>
    <t>CHEQUE DEPOSIT GOLESTAN 703320106 CHQ NO ::000021</t>
  </si>
  <si>
    <t>124,822.50</t>
  </si>
  <si>
    <t>6,766,779.58</t>
  </si>
  <si>
    <t>4997</t>
  </si>
  <si>
    <t>PHUB528833202</t>
  </si>
  <si>
    <t>528833202 B/O IRFAN MAHMOOD</t>
  </si>
  <si>
    <t>38,914.00</t>
  </si>
  <si>
    <t>6,805,693.58</t>
  </si>
  <si>
    <t>4998</t>
  </si>
  <si>
    <t>PHUB528833436</t>
  </si>
  <si>
    <t>528833436 B/O UMAIR KHAN</t>
  </si>
  <si>
    <t>3,308.40</t>
  </si>
  <si>
    <t>6,809,001.98</t>
  </si>
  <si>
    <t>4999</t>
  </si>
  <si>
    <t>PHUB528835788</t>
  </si>
  <si>
    <t>MOB2608251935398287843</t>
  </si>
  <si>
    <t>B/O HOME CONCRETE WORKS SP LLC</t>
  </si>
  <si>
    <t>74,075.00</t>
  </si>
  <si>
    <t>6,883,076.98</t>
  </si>
  <si>
    <t>5000</t>
  </si>
  <si>
    <t>CHEQUE DEPOSIT 000058 ABDULREHIMAN,KOOLIKKATTIL,,,,MOHAMED, 302920101 CHQ NO ::000058</t>
  </si>
  <si>
    <t>26,170.00</t>
  </si>
  <si>
    <t>6,909,246.98</t>
  </si>
  <si>
    <t>5001</t>
  </si>
  <si>
    <t>100006</t>
  </si>
  <si>
    <t>CHEQUE DEPOSIT 100006 SHAMSHEER KHAN AHAMED KHAN AHAMED  KHAN 802410144 CHQ NO ::100006</t>
  </si>
  <si>
    <t>6,984,246.98</t>
  </si>
  <si>
    <t>5002</t>
  </si>
  <si>
    <t>012811</t>
  </si>
  <si>
    <t>CHEQUE DEPOSIT 012811 HAZEM HASSAN HOSNY ELSHIKH  MAHMOUD REZK 404710101 CHQ NO ::012811</t>
  </si>
  <si>
    <t>136,253.50</t>
  </si>
  <si>
    <t>7,120,500.48</t>
  </si>
  <si>
    <t>5003</t>
  </si>
  <si>
    <t>921346</t>
  </si>
  <si>
    <t>CHEQUE DEPOSIT 921346 VIJAY,KUMAR KANDAVARA,,,,SHETTY, 504020133 CHQ NO ::921346</t>
  </si>
  <si>
    <t>16,468.58</t>
  </si>
  <si>
    <t>7,136,969.06</t>
  </si>
  <si>
    <t>5004</t>
  </si>
  <si>
    <t>PHUB528837541</t>
  </si>
  <si>
    <t>B/O_GAYATHRI R_NBAD_528837541_Remit t</t>
  </si>
  <si>
    <t>7,191,969.06</t>
  </si>
  <si>
    <t>5005</t>
  </si>
  <si>
    <t>CHEQUE DEPOSIT 000005 SHAMSHEER KHAN AHAMED KHAN AHAMED  KHAN 603830105 CHQ NO ::000005</t>
  </si>
  <si>
    <t>7,231,969.06</t>
  </si>
  <si>
    <t>5006</t>
  </si>
  <si>
    <t>CHEQUE DEPOSIT 000093 SHAMSHEER KHAN AHAMED KHAN AHAMED  KHAN 203420119 CHQ NO ::000093</t>
  </si>
  <si>
    <t>96,600.00</t>
  </si>
  <si>
    <t>7,328,569.06</t>
  </si>
  <si>
    <t>5007</t>
  </si>
  <si>
    <t>000096</t>
  </si>
  <si>
    <t>CHEQUE DEPOSIT 000096 JILU JALEEL     ABDUL JALEEL 304012039 CHQ NO ::000096</t>
  </si>
  <si>
    <t>18,318.00</t>
  </si>
  <si>
    <t>7,346,887.06</t>
  </si>
  <si>
    <t>5008</t>
  </si>
  <si>
    <t>502447</t>
  </si>
  <si>
    <t>CHEQUE DEPOSIT 502447 SHAMSHEER KHAN AHAMED KHAN AHAMED  KHAN 805030156 CHQ NO ::502447</t>
  </si>
  <si>
    <t>126,035.25</t>
  </si>
  <si>
    <t>7,472,922.31</t>
  </si>
  <si>
    <t>5009</t>
  </si>
  <si>
    <t>012695</t>
  </si>
  <si>
    <t>CHEQUE DEPOSIT 012695 SHIELA MONTENEGRO    AURE 903420130 CHQ NO ::012695</t>
  </si>
  <si>
    <t>32,255.05</t>
  </si>
  <si>
    <t>7,505,177.36</t>
  </si>
  <si>
    <t>5010</t>
  </si>
  <si>
    <t>747180</t>
  </si>
  <si>
    <t>CHEQUE DEPOSIT AL JABAL AL JALEEDE 104030136 CHQ NO ::747180</t>
  </si>
  <si>
    <t>7,597,087.86</t>
  </si>
  <si>
    <t>5011</t>
  </si>
  <si>
    <t>528842976 B/O WADIMA SAIF MOHAMMED SULTAN ALDEREI</t>
  </si>
  <si>
    <t>7,597,387.86</t>
  </si>
  <si>
    <t>5012</t>
  </si>
  <si>
    <t>502442</t>
  </si>
  <si>
    <t>CHEQUE DEPOSIT 502442 SHAMSHEER KHAN AHAMED KHAN AHAMED  KHAN 805030156 CHQ NO ::502442</t>
  </si>
  <si>
    <t>64,200.50</t>
  </si>
  <si>
    <t>7,661,588.36</t>
  </si>
  <si>
    <t>5013</t>
  </si>
  <si>
    <t>PHUB528843665</t>
  </si>
  <si>
    <t>B/O_LLC UMRAH LINKS_528843665</t>
  </si>
  <si>
    <t>7,161.25</t>
  </si>
  <si>
    <t>7,668,749.61</t>
  </si>
  <si>
    <t>5014</t>
  </si>
  <si>
    <t>CHEQUE DEPOSIT 000038 MUHAMMAD HAMEED MUHAMMAD   FAREED 501130101 CHQ NO ::000038</t>
  </si>
  <si>
    <t>5,654.00</t>
  </si>
  <si>
    <t>7,674,403.61</t>
  </si>
  <si>
    <t>5015</t>
  </si>
  <si>
    <t>002274</t>
  </si>
  <si>
    <t>CHEQUE DEPOSIT 002274 MUHAMMAD HAMEED MUHAMMAD   FAREED 804030124 CHQ NO ::002274</t>
  </si>
  <si>
    <t>43,312.50</t>
  </si>
  <si>
    <t>7,717,716.11</t>
  </si>
  <si>
    <t>5016</t>
  </si>
  <si>
    <t>CHEQUE DEPOSIT 012727 SHAMSHEER KHAN AHAMED KHAN AHAMED  KHAN 102330106 CHQ NO ::012727</t>
  </si>
  <si>
    <t>3,717.00</t>
  </si>
  <si>
    <t>7,721,433.11</t>
  </si>
  <si>
    <t>5017</t>
  </si>
  <si>
    <t>101731</t>
  </si>
  <si>
    <t>CHEQUE DEPOSIT 101731 MUHAMMAD HAMEED MUHAMMAD   FAREED 302430107 CHQ NO ::101731</t>
  </si>
  <si>
    <t>348,141.90</t>
  </si>
  <si>
    <t>8,069,575.01</t>
  </si>
  <si>
    <t>5018</t>
  </si>
  <si>
    <t>100858</t>
  </si>
  <si>
    <t>CHEQUE DEPOSIT 100858 BASHEER PULIKKAL    IBRAHIM 902410185 CHQ NO ::100858</t>
  </si>
  <si>
    <t>56,678.75</t>
  </si>
  <si>
    <t>8,126,253.76</t>
  </si>
  <si>
    <t>5019</t>
  </si>
  <si>
    <t>CHEQUE DEPOSIT 001447 RANJO SIKDAR BASHAD   SIKDAR 802610160 CHQ NO ::001447</t>
  </si>
  <si>
    <t>13,203.50</t>
  </si>
  <si>
    <t>8,139,457.26</t>
  </si>
  <si>
    <t>5020</t>
  </si>
  <si>
    <t>100857</t>
  </si>
  <si>
    <t>CHEQUE DEPOSIT 100857 BASHEER PULIKKAL    IBRAHIM 902410185 CHQ NO ::100857</t>
  </si>
  <si>
    <t>69,131.75</t>
  </si>
  <si>
    <t>8,208,589.01</t>
  </si>
  <si>
    <t>5021</t>
  </si>
  <si>
    <t>502445</t>
  </si>
  <si>
    <t>CHEQUE DEPOSIT 502445 SHAMSHEER KHAN AHAMED KHAN AHAMED  KHAN 805030156 CHQ NO ::502445</t>
  </si>
  <si>
    <t>64,388.50</t>
  </si>
  <si>
    <t>8,272,977.51</t>
  </si>
  <si>
    <t>5022</t>
  </si>
  <si>
    <t>PHUB528847758</t>
  </si>
  <si>
    <t>528847758 B/O SARTAJ AHMED JUNEJO</t>
  </si>
  <si>
    <t>39,138.94</t>
  </si>
  <si>
    <t>8,312,116.45</t>
  </si>
  <si>
    <t>5023</t>
  </si>
  <si>
    <t>001641</t>
  </si>
  <si>
    <t>CHEQUE DEPOSIT 001641 DAVID JR DIWA    SAENZ 803870017 CHQ NO ::001641</t>
  </si>
  <si>
    <t>45,200.00</t>
  </si>
  <si>
    <t>8,357,316.45</t>
  </si>
  <si>
    <t>5024</t>
  </si>
  <si>
    <t>008260</t>
  </si>
  <si>
    <t>CHEQUE DEPOSIT 008260 MUHAMMAD HAMEED MUHAMMAD   FAREED 104030136 CHQ NO ::008260</t>
  </si>
  <si>
    <t>1,056.14</t>
  </si>
  <si>
    <t>8,358,372.59</t>
  </si>
  <si>
    <t>5025</t>
  </si>
  <si>
    <t>CONSULTANCY PAYMENT</t>
  </si>
  <si>
    <t>B/O STUDIO INTERNATIONAL ENG.CONS.LLC</t>
  </si>
  <si>
    <t>382,635.93</t>
  </si>
  <si>
    <t>8,741,008.52</t>
  </si>
  <si>
    <t>5026</t>
  </si>
  <si>
    <t>51250959508</t>
  </si>
  <si>
    <t>26362950636 MBTRF B/O SIVAJI NEMALIPURI</t>
  </si>
  <si>
    <t>8,751,008.52</t>
  </si>
  <si>
    <t>5027</t>
  </si>
  <si>
    <t>PHUB528865989</t>
  </si>
  <si>
    <t>528865989 B/O AHMED NASHAAT ABBAS HASSAN ALI</t>
  </si>
  <si>
    <t>5,373.25</t>
  </si>
  <si>
    <t>8,756,381.77</t>
  </si>
  <si>
    <t>5028</t>
  </si>
  <si>
    <t>PHUB528875125</t>
  </si>
  <si>
    <t>28082503</t>
  </si>
  <si>
    <t>1,051,506.09</t>
  </si>
  <si>
    <t>9,807,887.86</t>
  </si>
  <si>
    <t>5029</t>
  </si>
  <si>
    <t>51251594347</t>
  </si>
  <si>
    <t>26363708794 MBTRF B/O RIJOSH C K JOSE</t>
  </si>
  <si>
    <t>21,008.25</t>
  </si>
  <si>
    <t>9,828,896.11</t>
  </si>
  <si>
    <t>5030</t>
  </si>
  <si>
    <t>528878394 B/O FATIHA ABOURIGUE</t>
  </si>
  <si>
    <t>9,829,596.11</t>
  </si>
  <si>
    <t>5031</t>
  </si>
  <si>
    <t>51252208171</t>
  </si>
  <si>
    <t>2,709.45</t>
  </si>
  <si>
    <t>9,832,305.56</t>
  </si>
  <si>
    <t>5032</t>
  </si>
  <si>
    <t>27-Aug-2025</t>
  </si>
  <si>
    <t>51254594136</t>
  </si>
  <si>
    <t>26367365307 MBTRF B/O REKHA  PATIDAR</t>
  </si>
  <si>
    <t>79,696.50</t>
  </si>
  <si>
    <t>9,912,002.06</t>
  </si>
  <si>
    <t>5033</t>
  </si>
  <si>
    <t>51255261695</t>
  </si>
  <si>
    <t>26368161952 MBTRF B/O MOREEN BUYINZA</t>
  </si>
  <si>
    <t>9,914,002.06</t>
  </si>
  <si>
    <t>5034</t>
  </si>
  <si>
    <t>PHUB528935047</t>
  </si>
  <si>
    <t>HK 2M P3</t>
  </si>
  <si>
    <t>10,464,002.06</t>
  </si>
  <si>
    <t>5035</t>
  </si>
  <si>
    <t>PHUB528975695</t>
  </si>
  <si>
    <t>BPV000541</t>
  </si>
  <si>
    <t>177,451.00</t>
  </si>
  <si>
    <t>10,641,453.06</t>
  </si>
  <si>
    <t>5036</t>
  </si>
  <si>
    <t>10,644,457.26</t>
  </si>
  <si>
    <t>5037</t>
  </si>
  <si>
    <t>305,316.78</t>
  </si>
  <si>
    <t>10,949,774.04</t>
  </si>
  <si>
    <t>5038</t>
  </si>
  <si>
    <t>2,262,494.67</t>
  </si>
  <si>
    <t>13,212,268.71</t>
  </si>
  <si>
    <t>5039</t>
  </si>
  <si>
    <t>2,295,870.38</t>
  </si>
  <si>
    <t>15,508,139.09</t>
  </si>
  <si>
    <t>5040</t>
  </si>
  <si>
    <t>4,781,524.83</t>
  </si>
  <si>
    <t>20,289,663.92</t>
  </si>
  <si>
    <t>5041</t>
  </si>
  <si>
    <t>487,001.22</t>
  </si>
  <si>
    <t>20,776,665.14</t>
  </si>
  <si>
    <t>5042</t>
  </si>
  <si>
    <t>51256317078</t>
  </si>
  <si>
    <t>26369308846 MBTRF B/O UJANG SOLEHUDIN</t>
  </si>
  <si>
    <t>20,786,665.14</t>
  </si>
  <si>
    <t>5043</t>
  </si>
  <si>
    <t>PHUB529067841</t>
  </si>
  <si>
    <t>B/O_MR THIANTHAWAT  _529067841</t>
  </si>
  <si>
    <t>20,822,665.14</t>
  </si>
  <si>
    <t>5044</t>
  </si>
  <si>
    <t>PHUB529070496</t>
  </si>
  <si>
    <t>529070496 B/O IMAN KRISNAWAN SUGIRI</t>
  </si>
  <si>
    <t>20,837,665.14</t>
  </si>
  <si>
    <t>5045</t>
  </si>
  <si>
    <t>PHUB529073206</t>
  </si>
  <si>
    <t>529073206 B/O HERIYADI QURBANA</t>
  </si>
  <si>
    <t>25,027.00</t>
  </si>
  <si>
    <t>20,862,692.14</t>
  </si>
  <si>
    <t>5046</t>
  </si>
  <si>
    <t>PHUB529024147</t>
  </si>
  <si>
    <t>BEIN PAY</t>
  </si>
  <si>
    <t>734,813.00</t>
  </si>
  <si>
    <t>21,597,505.14</t>
  </si>
  <si>
    <t>5047</t>
  </si>
  <si>
    <t>PHUB529025313</t>
  </si>
  <si>
    <t>529025313 B/O ABDUL MALIK MUHAMMAD SYAFA</t>
  </si>
  <si>
    <t>21,632,505.14</t>
  </si>
  <si>
    <t>5048</t>
  </si>
  <si>
    <t>51257877186</t>
  </si>
  <si>
    <t>26371061509 MBTRF B/O YVES GERAND HINGRAT</t>
  </si>
  <si>
    <t>21,712,505.14</t>
  </si>
  <si>
    <t>5049</t>
  </si>
  <si>
    <t>PHUB529028093</t>
  </si>
  <si>
    <t>529028093 B/O MOUZA MOHAMED SALEH ALMANSOORI</t>
  </si>
  <si>
    <t>21,719,205.14</t>
  </si>
  <si>
    <t>5050</t>
  </si>
  <si>
    <t>PHUB529084098</t>
  </si>
  <si>
    <t>CB 27082025</t>
  </si>
  <si>
    <t>O/W TRF 529084098</t>
  </si>
  <si>
    <t>6,110,000.00</t>
  </si>
  <si>
    <t>15,609,205.14</t>
  </si>
  <si>
    <t>5051</t>
  </si>
  <si>
    <t>CHCB529084098</t>
  </si>
  <si>
    <t>O/W PROCESSING CHARGE 529084098</t>
  </si>
  <si>
    <t>15,609,189.39</t>
  </si>
  <si>
    <t>5052</t>
  </si>
  <si>
    <t>PHUB529029286</t>
  </si>
  <si>
    <t>529029286 B/O ALI MOHAMED IBRAHIM SALEM ALTENEIJI</t>
  </si>
  <si>
    <t>15,619,189.39</t>
  </si>
  <si>
    <t>5053</t>
  </si>
  <si>
    <t>PHUB529032013</t>
  </si>
  <si>
    <t>529032013 B/O FATMA ELSAID MOHAMED SAKR ELSHENNAWY</t>
  </si>
  <si>
    <t>15,624,189.39</t>
  </si>
  <si>
    <t>5054</t>
  </si>
  <si>
    <t>PHUB529033272</t>
  </si>
  <si>
    <t>AMAZSALARYAUGUST2025</t>
  </si>
  <si>
    <t>B/O AL MUROOJ AL ZAHIYA TRADING LLC</t>
  </si>
  <si>
    <t>2,600.00</t>
  </si>
  <si>
    <t>15,626,789.39</t>
  </si>
  <si>
    <t>5055</t>
  </si>
  <si>
    <t>PHUB529034087</t>
  </si>
  <si>
    <t>529034087 B/O CECILE MARIE ANNE GRAS</t>
  </si>
  <si>
    <t>15,652,789.39</t>
  </si>
  <si>
    <t>5056</t>
  </si>
  <si>
    <t>76,000.00</t>
  </si>
  <si>
    <t>15,728,789.39</t>
  </si>
  <si>
    <t>5057</t>
  </si>
  <si>
    <t>51259186941</t>
  </si>
  <si>
    <t>26372423596 MBTRF B/O CHAIT  RAM</t>
  </si>
  <si>
    <t>15,763,789.39</t>
  </si>
  <si>
    <t>5058</t>
  </si>
  <si>
    <t>2508270935227145</t>
  </si>
  <si>
    <t>Mafraq Center Baniyas AUH, 26TH AUG - Cash Collection TG</t>
  </si>
  <si>
    <t>265,000.00</t>
  </si>
  <si>
    <t>16,028,789.39</t>
  </si>
  <si>
    <t>5059</t>
  </si>
  <si>
    <t>2508270935227148</t>
  </si>
  <si>
    <t>Musaffah Shabiya AUH, 26TH AUG - Cash Collection TG</t>
  </si>
  <si>
    <t>16,328,789.39</t>
  </si>
  <si>
    <t>5060</t>
  </si>
  <si>
    <t>2508270935227151</t>
  </si>
  <si>
    <t>AL FAR EX-M38 PLOT 48 SHOP 02 BIG MART MUSSAFAH, 26TH AUG - Cash Collection TG</t>
  </si>
  <si>
    <t>16,548,789.39</t>
  </si>
  <si>
    <t>5061</t>
  </si>
  <si>
    <t>2508270935227154</t>
  </si>
  <si>
    <t>Baniyas AUH, 26TH AUG - Cash Collection TG</t>
  </si>
  <si>
    <t>16,868,789.39</t>
  </si>
  <si>
    <t>5062</t>
  </si>
  <si>
    <t>2508270935227161</t>
  </si>
  <si>
    <t>Old Shahama, 26TH AUG - Cash Collection TG</t>
  </si>
  <si>
    <t>17,058,789.39</t>
  </si>
  <si>
    <t>5063</t>
  </si>
  <si>
    <t>2508270935227168</t>
  </si>
  <si>
    <t>Shamkha Mall Abu dhabi, 26TH AUG - Cash Collection TG</t>
  </si>
  <si>
    <t>17,278,789.39</t>
  </si>
  <si>
    <t>5064</t>
  </si>
  <si>
    <t>2508270935227177</t>
  </si>
  <si>
    <t>ICAD Musaffah AUH, 26TH AUG - Cash Collection TG</t>
  </si>
  <si>
    <t>403,000.00</t>
  </si>
  <si>
    <t>17,681,789.39</t>
  </si>
  <si>
    <t>5065</t>
  </si>
  <si>
    <t>2508270935247383</t>
  </si>
  <si>
    <t>Souk Br Al-Ain, 26TH AUG - Cash Collection TG</t>
  </si>
  <si>
    <t>18,031,789.39</t>
  </si>
  <si>
    <t>5066</t>
  </si>
  <si>
    <t>2508270935247386</t>
  </si>
  <si>
    <t>Al Ain (Clock Tower)1, 26TH AUG - Cash Collection TG</t>
  </si>
  <si>
    <t>18,241,789.39</t>
  </si>
  <si>
    <t>5067</t>
  </si>
  <si>
    <t>2508270935247395</t>
  </si>
  <si>
    <t>Sila Muroor Road AUH, 26TH AUG - Cash Collection TG</t>
  </si>
  <si>
    <t>18,411,789.39</t>
  </si>
  <si>
    <t>5068</t>
  </si>
  <si>
    <t>2508270935247398</t>
  </si>
  <si>
    <t>SANAYA ZAYED TOWN W/R, 26TH AUG - Cash Collection TG</t>
  </si>
  <si>
    <t>18,621,789.39</t>
  </si>
  <si>
    <t>5069</t>
  </si>
  <si>
    <t>2508270935247921</t>
  </si>
  <si>
    <t>Ruwais AUH, 26TH AUG - Cash Collection TG</t>
  </si>
  <si>
    <t>19,121,789.39</t>
  </si>
  <si>
    <t>5070</t>
  </si>
  <si>
    <t>2508270935247928</t>
  </si>
  <si>
    <t>AL FOAH MALL AL-AIN, 26TH AUG - Cash Collection TG</t>
  </si>
  <si>
    <t>20,421,789.39</t>
  </si>
  <si>
    <t>5071</t>
  </si>
  <si>
    <t>2508270935247931</t>
  </si>
  <si>
    <t>SWEIHAN  ALAIN, 26TH AUG - Cash Collection TG</t>
  </si>
  <si>
    <t>20,841,789.39</t>
  </si>
  <si>
    <t>5072</t>
  </si>
  <si>
    <t>2508270935247934</t>
  </si>
  <si>
    <t>HAYER Al Ain1, 26TH AUG - Cash Collection TG</t>
  </si>
  <si>
    <t>20,991,789.39</t>
  </si>
  <si>
    <t>5073</t>
  </si>
  <si>
    <t>2508270935247953</t>
  </si>
  <si>
    <t>Gayathi Mall AUH, 26TH AUG - Cash Collection TG</t>
  </si>
  <si>
    <t>21,141,789.39</t>
  </si>
  <si>
    <t>5074</t>
  </si>
  <si>
    <t>2508270935247978</t>
  </si>
  <si>
    <t>Gayathi Mubarak Ashwan AUH, 26TH AUG - Cash Collection TG</t>
  </si>
  <si>
    <t>21,341,789.39</t>
  </si>
  <si>
    <t>5075</t>
  </si>
  <si>
    <t>2508270935257987</t>
  </si>
  <si>
    <t>Lulu Hyper Markete Sanaiya Al Ain, 26TH AUG - Cash Collection TG</t>
  </si>
  <si>
    <t>21,511,789.39</t>
  </si>
  <si>
    <t>5076</t>
  </si>
  <si>
    <t>2508270935257990</t>
  </si>
  <si>
    <t>Sanaiya Gift Markete Al Ain, 26TH AUG - Cash Collection TG</t>
  </si>
  <si>
    <t>21,761,789.39</t>
  </si>
  <si>
    <t>5077</t>
  </si>
  <si>
    <t>2508270935257997</t>
  </si>
  <si>
    <t>Al Yahar Al Ain, 26TH AUG - Cash Collection TG</t>
  </si>
  <si>
    <t>410,035.00</t>
  </si>
  <si>
    <t>22,171,824.39</t>
  </si>
  <si>
    <t>5078</t>
  </si>
  <si>
    <t>2508270935258000</t>
  </si>
  <si>
    <t>Boutik Mall al Reem island AUH, 26TH AUG - Cash Collection TG</t>
  </si>
  <si>
    <t>22,421,824.39</t>
  </si>
  <si>
    <t>5079</t>
  </si>
  <si>
    <t>2508270935258003</t>
  </si>
  <si>
    <t>TCA AUH, 26TH AUG - Cash Collection TG</t>
  </si>
  <si>
    <t>22,571,824.39</t>
  </si>
  <si>
    <t>5080</t>
  </si>
  <si>
    <t>2508270935258006</t>
  </si>
  <si>
    <t>Al Nahyan Street AUH, 26TH AUG - Cash Collection TG</t>
  </si>
  <si>
    <t>22,821,824.39</t>
  </si>
  <si>
    <t>5081</t>
  </si>
  <si>
    <t>2508270935258015</t>
  </si>
  <si>
    <t>Muroor AUH, 26TH AUG - Cash Collection TG</t>
  </si>
  <si>
    <t>23,281,824.39</t>
  </si>
  <si>
    <t>5082</t>
  </si>
  <si>
    <t>2508270935258018</t>
  </si>
  <si>
    <t>Zayed 1st Street Electra AUH, 26TH AUG - Cash Collection TG</t>
  </si>
  <si>
    <t>23,491,824.39</t>
  </si>
  <si>
    <t>5083</t>
  </si>
  <si>
    <t>2508270935258021</t>
  </si>
  <si>
    <t>Hamdan Abu Dhabi, 26TH AUG - Cash Collection TG</t>
  </si>
  <si>
    <t>24,441,824.39</t>
  </si>
  <si>
    <t>5084</t>
  </si>
  <si>
    <t>2508270935258040</t>
  </si>
  <si>
    <t>Bin Dhgher Tower Khalidya AUH, 26TH AUG - Cash Collection TG</t>
  </si>
  <si>
    <t>24,791,824.39</t>
  </si>
  <si>
    <t>5085</t>
  </si>
  <si>
    <t>2508270935258059</t>
  </si>
  <si>
    <t>B2B AUH, 26TH AUG - Cash Collection TG</t>
  </si>
  <si>
    <t>25,041,824.39</t>
  </si>
  <si>
    <t>5086</t>
  </si>
  <si>
    <t>2508270935258062</t>
  </si>
  <si>
    <t>Al Falah St Auh, 26TH AUG - Cash Collection TG</t>
  </si>
  <si>
    <t>25,231,824.39</t>
  </si>
  <si>
    <t>5087</t>
  </si>
  <si>
    <t>2508270935258065</t>
  </si>
  <si>
    <t>Al Wahda AUH, 26TH AUG - Cash Collection TG</t>
  </si>
  <si>
    <t>26,131,824.39</t>
  </si>
  <si>
    <t>5088</t>
  </si>
  <si>
    <t>2508270935299093</t>
  </si>
  <si>
    <t>NESTO HYPRMRKT AJM, 26TH AUG - Cash Collection TG</t>
  </si>
  <si>
    <t>26,461,824.39</t>
  </si>
  <si>
    <t>5089</t>
  </si>
  <si>
    <t>2508270935299100</t>
  </si>
  <si>
    <t>CITY CENTER AL ZAHIA SHJ, 26TH AUG - Cash Collection TG</t>
  </si>
  <si>
    <t>27,311,824.39</t>
  </si>
  <si>
    <t>5090</t>
  </si>
  <si>
    <t>2508270935309107</t>
  </si>
  <si>
    <t>FUJAIRAH, 26TH AUG - Cash Collection TG</t>
  </si>
  <si>
    <t>27,561,824.39</t>
  </si>
  <si>
    <t>5091</t>
  </si>
  <si>
    <t>2508270935309142</t>
  </si>
  <si>
    <t>AL KHAN BMW SHJ, 26TH AUG - Cash Collection TG</t>
  </si>
  <si>
    <t>27,911,824.39</t>
  </si>
  <si>
    <t>5092</t>
  </si>
  <si>
    <t>2508270935309145</t>
  </si>
  <si>
    <t>MEGA MALL SHARJAH BR 1, 26TH AUG - Cash Collection TG</t>
  </si>
  <si>
    <t>28,481,824.39</t>
  </si>
  <si>
    <t>5093</t>
  </si>
  <si>
    <t>2508270935309148</t>
  </si>
  <si>
    <t>DUBAI INDUSTRAIL  CITY, 26TH AUG - Cash Collection TG</t>
  </si>
  <si>
    <t>28,831,824.39</t>
  </si>
  <si>
    <t>5094</t>
  </si>
  <si>
    <t>2508270935309173</t>
  </si>
  <si>
    <t>UAQ, 26TH AUG - Cash Collection TG</t>
  </si>
  <si>
    <t>168,000.00</t>
  </si>
  <si>
    <t>28,999,824.39</t>
  </si>
  <si>
    <t>5095</t>
  </si>
  <si>
    <t>2508270935309192</t>
  </si>
  <si>
    <t>AL RIGGA METRO STION DXB, 26TH AUG - Cash Collection TG</t>
  </si>
  <si>
    <t>29,299,824.39</t>
  </si>
  <si>
    <t>5096</t>
  </si>
  <si>
    <t>2508270935309201</t>
  </si>
  <si>
    <t>DMALL LG CSK53 TAXI AREA, 26TH AUG - Cash Collection TG</t>
  </si>
  <si>
    <t>303,900.00</t>
  </si>
  <si>
    <t>29,603,724.39</t>
  </si>
  <si>
    <t>5097</t>
  </si>
  <si>
    <t>2508270935309204</t>
  </si>
  <si>
    <t>AL MINA NESTO BR DXB, 26TH AUG - Cash Collection TG</t>
  </si>
  <si>
    <t>779,045.00</t>
  </si>
  <si>
    <t>30,382,769.39</t>
  </si>
  <si>
    <t>5098</t>
  </si>
  <si>
    <t>2508270935309207</t>
  </si>
  <si>
    <t>CO OP SOCIETY SHJ 1, 26TH AUG - Cash Collection TG</t>
  </si>
  <si>
    <t>30,482,769.39</t>
  </si>
  <si>
    <t>5099</t>
  </si>
  <si>
    <t>2508270935309236</t>
  </si>
  <si>
    <t>KHAN SAHIB BLDG SHJ, 26TH AUG - Cash Collection TG</t>
  </si>
  <si>
    <t>30,682,769.39</t>
  </si>
  <si>
    <t>5100</t>
  </si>
  <si>
    <t>2508270935309251</t>
  </si>
  <si>
    <t>AL AMEED MALL, 26TH AUG - Cash Collection TG</t>
  </si>
  <si>
    <t>31,152,769.39</t>
  </si>
  <si>
    <t>5101</t>
  </si>
  <si>
    <t>2508270935309254</t>
  </si>
  <si>
    <t>BUR DUBAI, 26TH AUG - Cash Collection TG</t>
  </si>
  <si>
    <t>31,402,769.39</t>
  </si>
  <si>
    <t>5102</t>
  </si>
  <si>
    <t>2508270935309272</t>
  </si>
  <si>
    <t>SATWA 1, 26TH AUG - Cash Collection TG</t>
  </si>
  <si>
    <t>200,270.00</t>
  </si>
  <si>
    <t>31,603,039.39</t>
  </si>
  <si>
    <t>5103</t>
  </si>
  <si>
    <t>2508270935309278</t>
  </si>
  <si>
    <t>AL NHDA RES TWRS  SHJ, 26TH AUG - Cash Collection TG</t>
  </si>
  <si>
    <t>31,863,039.39</t>
  </si>
  <si>
    <t>5104</t>
  </si>
  <si>
    <t>2508270935309287</t>
  </si>
  <si>
    <t>AL MADAM SHJ, 26TH AUG - Cash Collection TG</t>
  </si>
  <si>
    <t>31,983,039.39</t>
  </si>
  <si>
    <t>5105</t>
  </si>
  <si>
    <t>2508270935319296</t>
  </si>
  <si>
    <t>SAJA INDUSTRIAL SHJ 2, 26TH AUG - Cash Collection TG</t>
  </si>
  <si>
    <t>32,393,039.39</t>
  </si>
  <si>
    <t>5106</t>
  </si>
  <si>
    <t>2508270935319299</t>
  </si>
  <si>
    <t>DUBAI MALL LG UNIT171, 26TH AUG - Cash Collection TG</t>
  </si>
  <si>
    <t>32,693,039.39</t>
  </si>
  <si>
    <t>5107</t>
  </si>
  <si>
    <t>2508270935319700</t>
  </si>
  <si>
    <t>REV, SAJA INDUSTRIAL SHJ 2, 26TH AUG - Cash Collection TG</t>
  </si>
  <si>
    <t>32,283,039.39</t>
  </si>
  <si>
    <t>5108</t>
  </si>
  <si>
    <t>2508270935319703</t>
  </si>
  <si>
    <t>SAJA INDUSTRIAL SHJ 2, 26TH AUG, SHORT - Cash Collection TG</t>
  </si>
  <si>
    <t>407,000.00</t>
  </si>
  <si>
    <t>32,690,039.39</t>
  </si>
  <si>
    <t>5109</t>
  </si>
  <si>
    <t>PHUB529047804</t>
  </si>
  <si>
    <t>B/O_PROPRIETOR_ADIB_529047804_564</t>
  </si>
  <si>
    <t>183,720.00</t>
  </si>
  <si>
    <t>32,873,759.39</t>
  </si>
  <si>
    <t>5110</t>
  </si>
  <si>
    <t>PHUB529047840</t>
  </si>
  <si>
    <t>B/O_SAMS GLOBA_null_529047840_Trn ref</t>
  </si>
  <si>
    <t>92,263.20</t>
  </si>
  <si>
    <t>32,966,022.59</t>
  </si>
  <si>
    <t>5111</t>
  </si>
  <si>
    <t>51259681223</t>
  </si>
  <si>
    <t>26372915399 MBTRF B/O ANKIT SREEN</t>
  </si>
  <si>
    <t>4,026.50</t>
  </si>
  <si>
    <t>32,970,049.09</t>
  </si>
  <si>
    <t>5112</t>
  </si>
  <si>
    <t>51259731117</t>
  </si>
  <si>
    <t>26372964989 MBTRF B/O CLASS VALUED PARKING</t>
  </si>
  <si>
    <t>32,974,575.34</t>
  </si>
  <si>
    <t>5113</t>
  </si>
  <si>
    <t>PHUB529052053</t>
  </si>
  <si>
    <t>IMD 27082025</t>
  </si>
  <si>
    <t>42,768,279.46</t>
  </si>
  <si>
    <t>-9,793,704.12</t>
  </si>
  <si>
    <t>5114</t>
  </si>
  <si>
    <t>PHUB529112875</t>
  </si>
  <si>
    <t>529112875 B/O JOPPU THOMAS</t>
  </si>
  <si>
    <t>-9,780,704.12</t>
  </si>
  <si>
    <t>5115</t>
  </si>
  <si>
    <t>271,411.00</t>
  </si>
  <si>
    <t>-9,509,293.12</t>
  </si>
  <si>
    <t>5116</t>
  </si>
  <si>
    <t>62,489.00</t>
  </si>
  <si>
    <t>-9,446,804.12</t>
  </si>
  <si>
    <t>5117</t>
  </si>
  <si>
    <t>PHUB529096883</t>
  </si>
  <si>
    <t>UP 072 8 2025</t>
  </si>
  <si>
    <t>B/O UNITED PROPERTIES</t>
  </si>
  <si>
    <t>34,700.00</t>
  </si>
  <si>
    <t>-9,412,104.12</t>
  </si>
  <si>
    <t>5118</t>
  </si>
  <si>
    <t>PHUB529097068</t>
  </si>
  <si>
    <t>UP 071 8 2025</t>
  </si>
  <si>
    <t>45,799.10</t>
  </si>
  <si>
    <t>-9,366,305.02</t>
  </si>
  <si>
    <t>5119</t>
  </si>
  <si>
    <t>PHUB529113317</t>
  </si>
  <si>
    <t>MOB3007251150117909132</t>
  </si>
  <si>
    <t>B/O AL ERJOUWAN VETERINARY LLC  OPC</t>
  </si>
  <si>
    <t>-9,353,278.77</t>
  </si>
  <si>
    <t>5120</t>
  </si>
  <si>
    <t>PHUB529120191</t>
  </si>
  <si>
    <t>JNL222688</t>
  </si>
  <si>
    <t>B/O VIRTUZONE UAE FZ LLC</t>
  </si>
  <si>
    <t>247,745.50</t>
  </si>
  <si>
    <t>-9,105,533.27</t>
  </si>
  <si>
    <t>5121</t>
  </si>
  <si>
    <t>PHUB529126221</t>
  </si>
  <si>
    <t>NIC00431</t>
  </si>
  <si>
    <t>165,914.25</t>
  </si>
  <si>
    <t>-8,939,619.02</t>
  </si>
  <si>
    <t>5122</t>
  </si>
  <si>
    <t>PHUB529130295</t>
  </si>
  <si>
    <t>529130295 B/O MOHAMMAD JAMAL MUSTAFA AL SOTRY</t>
  </si>
  <si>
    <t>8,070.51</t>
  </si>
  <si>
    <t>-8,931,548.51</t>
  </si>
  <si>
    <t>5123</t>
  </si>
  <si>
    <t>51260926811</t>
  </si>
  <si>
    <t>26374128499 MBTRF B/O GEORGY THOMAS</t>
  </si>
  <si>
    <t>9,729.36</t>
  </si>
  <si>
    <t>-8,921,819.15</t>
  </si>
  <si>
    <t>5124</t>
  </si>
  <si>
    <t>PHUB529164789</t>
  </si>
  <si>
    <t>B/O_AEROSTYLE _NBSH_529164789_TOF - T</t>
  </si>
  <si>
    <t>53,446.68</t>
  </si>
  <si>
    <t>-8,868,372.47</t>
  </si>
  <si>
    <t>5125</t>
  </si>
  <si>
    <t>PHUB529166358</t>
  </si>
  <si>
    <t>529166358 B/O MOSTAFA TOLBA AHMED SELEM</t>
  </si>
  <si>
    <t>48,640.00</t>
  </si>
  <si>
    <t>-8,819,732.47</t>
  </si>
  <si>
    <t>5126</t>
  </si>
  <si>
    <t>PHUB529166905</t>
  </si>
  <si>
    <t>529166905 B/O JAIMON MANNEZHATHU THOMAS</t>
  </si>
  <si>
    <t>7,197.00</t>
  </si>
  <si>
    <t>-8,812,535.47</t>
  </si>
  <si>
    <t>5127</t>
  </si>
  <si>
    <t>PHUB529168860</t>
  </si>
  <si>
    <t>529168860 B/O MOSTAFA TOLBA AHMED SELEM</t>
  </si>
  <si>
    <t>-8,776,535.47</t>
  </si>
  <si>
    <t>5128</t>
  </si>
  <si>
    <t>PHUB529169775</t>
  </si>
  <si>
    <t>VAT</t>
  </si>
  <si>
    <t>34,524.75</t>
  </si>
  <si>
    <t>-8,742,010.72</t>
  </si>
  <si>
    <t>5129</t>
  </si>
  <si>
    <t>51261762474</t>
  </si>
  <si>
    <t>26374950303 MBTRF B/O AHMED IBRAHIM KHALIL ELSAYED KHALIL</t>
  </si>
  <si>
    <t>800.00</t>
  </si>
  <si>
    <t>-8,741,210.72</t>
  </si>
  <si>
    <t>5130</t>
  </si>
  <si>
    <t>51261826343</t>
  </si>
  <si>
    <t>2547759342 IBTRF B/O RIZWAN HUSSAIN AND OR ARIFA HUSSAIN</t>
  </si>
  <si>
    <t>5,605.25</t>
  </si>
  <si>
    <t>-8,735,605.47</t>
  </si>
  <si>
    <t>5131</t>
  </si>
  <si>
    <t>51261869801</t>
  </si>
  <si>
    <t>26375055229 MBTRF B/O SAMEH MOHAMED A IBRAHIM</t>
  </si>
  <si>
    <t>-8,730,105.47</t>
  </si>
  <si>
    <t>5132</t>
  </si>
  <si>
    <t>PHUB529179051</t>
  </si>
  <si>
    <t>529179051 B/O SATISH KANAUJIA</t>
  </si>
  <si>
    <t>-8,708,672.97</t>
  </si>
  <si>
    <t>5133</t>
  </si>
  <si>
    <t>309,125.58</t>
  </si>
  <si>
    <t>-8,399,547.39</t>
  </si>
  <si>
    <t>5134</t>
  </si>
  <si>
    <t>50,050.00</t>
  </si>
  <si>
    <t>-8,349,497.39</t>
  </si>
  <si>
    <t>5135</t>
  </si>
  <si>
    <t>004070</t>
  </si>
  <si>
    <t>INHOUSE CHEQUE DEPOSIT 004070 BASHEER PULIKKAL    IBRAHIM AL FARDAN EXCHANGE SP LLC CHQ NO ::004070</t>
  </si>
  <si>
    <t>4,836.25</t>
  </si>
  <si>
    <t>-8,344,661.14</t>
  </si>
  <si>
    <t>5136</t>
  </si>
  <si>
    <t>51262869564</t>
  </si>
  <si>
    <t>2547799428 IBTRF B/O JAIMON POOTHRUCKAYIL PHILIP</t>
  </si>
  <si>
    <t>-8,274,661.14</t>
  </si>
  <si>
    <t>5137</t>
  </si>
  <si>
    <t>18,037.70</t>
  </si>
  <si>
    <t>-8,256,623.44</t>
  </si>
  <si>
    <t>5138</t>
  </si>
  <si>
    <t>PHUB529201880</t>
  </si>
  <si>
    <t>529201880 B/O AZIZA ABDULRAHMAN ABDULLA MOHAMED ALHARTHI</t>
  </si>
  <si>
    <t>-8,247,623.44</t>
  </si>
  <si>
    <t>5139</t>
  </si>
  <si>
    <t>B/O_1/DUBAI GE_DUIB_529203587_Oxford</t>
  </si>
  <si>
    <t>3,962.46</t>
  </si>
  <si>
    <t>-8,243,660.98</t>
  </si>
  <si>
    <t>5140</t>
  </si>
  <si>
    <t>PHUB529213599</t>
  </si>
  <si>
    <t>B/O_BOB HEAVY _NBFU_529213599_PAYMENT</t>
  </si>
  <si>
    <t>314,756.00</t>
  </si>
  <si>
    <t>-7,928,904.98</t>
  </si>
  <si>
    <t>5141</t>
  </si>
  <si>
    <t>51263621697</t>
  </si>
  <si>
    <t>26376772989 MBTRF B/O MUKESH PEEDIKAPARAMBIL KESAVAN</t>
  </si>
  <si>
    <t>4,222.00</t>
  </si>
  <si>
    <t>-7,924,682.98</t>
  </si>
  <si>
    <t>5142</t>
  </si>
  <si>
    <t>PHUB529221011</t>
  </si>
  <si>
    <t>EOS EX3268</t>
  </si>
  <si>
    <t>O/W TRF 529221011</t>
  </si>
  <si>
    <t>14,097.00</t>
  </si>
  <si>
    <t>-7,938,779.98</t>
  </si>
  <si>
    <t>5143</t>
  </si>
  <si>
    <t>51263837245</t>
  </si>
  <si>
    <t>26376984045 MBTRF B/O HELAL ELSAYED HALAL IBRAHIM</t>
  </si>
  <si>
    <t>-7,903,779.98</t>
  </si>
  <si>
    <t>5144</t>
  </si>
  <si>
    <t>PHUB529221048</t>
  </si>
  <si>
    <t>EOS EX2927</t>
  </si>
  <si>
    <t>O/W TRF 529221048</t>
  </si>
  <si>
    <t>7,991.00</t>
  </si>
  <si>
    <t>-7,911,770.98</t>
  </si>
  <si>
    <t>5145</t>
  </si>
  <si>
    <t>CHCB529221011</t>
  </si>
  <si>
    <t>O/W PROCESSING CHARGE 529221011</t>
  </si>
  <si>
    <t>-7,911,786.73</t>
  </si>
  <si>
    <t>5146</t>
  </si>
  <si>
    <t>CHCB529221048</t>
  </si>
  <si>
    <t>O/W PROCESSING CHARGE 529221048</t>
  </si>
  <si>
    <t>-7,911,802.48</t>
  </si>
  <si>
    <t>5147</t>
  </si>
  <si>
    <t>CHRG529221011</t>
  </si>
  <si>
    <t>O/W CORR BK CHARGE 529221011</t>
  </si>
  <si>
    <t>-7,911,803.53</t>
  </si>
  <si>
    <t>5148</t>
  </si>
  <si>
    <t>CHRG529221048</t>
  </si>
  <si>
    <t>O/W CORR BK CHARGE 529221048</t>
  </si>
  <si>
    <t>-7,911,804.58</t>
  </si>
  <si>
    <t>5149</t>
  </si>
  <si>
    <t>PHUB529221574</t>
  </si>
  <si>
    <t>B/O_ALBOOM MAR_NBSH_529221574_TOF - T</t>
  </si>
  <si>
    <t>-7,871,804.58</t>
  </si>
  <si>
    <t>5150</t>
  </si>
  <si>
    <t>1,125,434.25</t>
  </si>
  <si>
    <t>-8,997,238.83</t>
  </si>
  <si>
    <t>5151</t>
  </si>
  <si>
    <t>UEC 27082025</t>
  </si>
  <si>
    <t>3,932,957.42</t>
  </si>
  <si>
    <t>-12,930,196.25</t>
  </si>
  <si>
    <t>5152</t>
  </si>
  <si>
    <t>51263882831</t>
  </si>
  <si>
    <t>26377030719 MBTRF B/O HELAL ELSAYED HALAL IBRAHIM</t>
  </si>
  <si>
    <t>-12,925,196.25</t>
  </si>
  <si>
    <t>5153</t>
  </si>
  <si>
    <t>PHUB529221845</t>
  </si>
  <si>
    <t>EOS EX3225</t>
  </si>
  <si>
    <t>O/W TRF 529221845</t>
  </si>
  <si>
    <t>2,804.00</t>
  </si>
  <si>
    <t>-12,928,000.25</t>
  </si>
  <si>
    <t>5154</t>
  </si>
  <si>
    <t>CHCB529221845</t>
  </si>
  <si>
    <t>O/W PROCESSING CHARGE 529221845</t>
  </si>
  <si>
    <t>-12,928,016.00</t>
  </si>
  <si>
    <t>5155</t>
  </si>
  <si>
    <t>CHRG529221845</t>
  </si>
  <si>
    <t>O/W CORR BK CHARGE 529221845</t>
  </si>
  <si>
    <t>-12,928,017.05</t>
  </si>
  <si>
    <t>5156</t>
  </si>
  <si>
    <t>PHUB529224291</t>
  </si>
  <si>
    <t>529224291 B/O TAMERON WILLIAMS</t>
  </si>
  <si>
    <t>4,380.00</t>
  </si>
  <si>
    <t>-12,923,637.05</t>
  </si>
  <si>
    <t>5157</t>
  </si>
  <si>
    <t>51264035050</t>
  </si>
  <si>
    <t>2547842106 IBTRF B/O VINOD SANKARA NARAYANAN</t>
  </si>
  <si>
    <t>-12,776,525.05</t>
  </si>
  <si>
    <t>5158</t>
  </si>
  <si>
    <t>PHUB529226946</t>
  </si>
  <si>
    <t>B/O_JISMON MUNDACKAM_529226946</t>
  </si>
  <si>
    <t>11,738.60</t>
  </si>
  <si>
    <t>-12,764,786.45</t>
  </si>
  <si>
    <t>5159</t>
  </si>
  <si>
    <t>51264361393</t>
  </si>
  <si>
    <t>2547853795 IBTRF B/O NATIONAL FLOWERS LLC SPC</t>
  </si>
  <si>
    <t>43,744.73</t>
  </si>
  <si>
    <t>-12,721,041.72</t>
  </si>
  <si>
    <t>5160</t>
  </si>
  <si>
    <t>PHUB529233872</t>
  </si>
  <si>
    <t>B/O_RIGHT LINE_BOML_529233872_ PAYMEN</t>
  </si>
  <si>
    <t>186,160.82</t>
  </si>
  <si>
    <t>-12,534,880.90</t>
  </si>
  <si>
    <t>5161</t>
  </si>
  <si>
    <t>PHUB529236014</t>
  </si>
  <si>
    <t>B/O PREMIER CONSULTANTS INTER FZE</t>
  </si>
  <si>
    <t>10,923.74</t>
  </si>
  <si>
    <t>-12,523,957.16</t>
  </si>
  <si>
    <t>5162</t>
  </si>
  <si>
    <t>PHUB529238526</t>
  </si>
  <si>
    <t>2 INVOICE PAYMENT</t>
  </si>
  <si>
    <t>7,471.25</t>
  </si>
  <si>
    <t>-12,516,485.91</t>
  </si>
  <si>
    <t>5163</t>
  </si>
  <si>
    <t>PHUB529239175</t>
  </si>
  <si>
    <t>B/O_/006/004 S_NRAK_529239175_Technic</t>
  </si>
  <si>
    <t>64,272.50</t>
  </si>
  <si>
    <t>-12,452,213.41</t>
  </si>
  <si>
    <t>5164</t>
  </si>
  <si>
    <t>011243</t>
  </si>
  <si>
    <t>INHOUSE CHEQUE DEPOSIT 011243 BASHEER PULIKKAL    IBRAHIM AL FARDAN EXCHANGE SP LLC CHQ NO ::011243</t>
  </si>
  <si>
    <t>40,459.91</t>
  </si>
  <si>
    <t>-12,411,753.50</t>
  </si>
  <si>
    <t>5165</t>
  </si>
  <si>
    <t>PHUB529241172</t>
  </si>
  <si>
    <t>B/O_SHOROOQ ME_BOML_529241172_ GOODS</t>
  </si>
  <si>
    <t>101,668.00</t>
  </si>
  <si>
    <t>-12,310,085.50</t>
  </si>
  <si>
    <t>5166</t>
  </si>
  <si>
    <t>PHUB529241210</t>
  </si>
  <si>
    <t>B/O_MR RAMI MOHAMMAD_529241210</t>
  </si>
  <si>
    <t>-12,278,085.50</t>
  </si>
  <si>
    <t>5167</t>
  </si>
  <si>
    <t>3,400.30</t>
  </si>
  <si>
    <t>-12,274,685.20</t>
  </si>
  <si>
    <t>5168</t>
  </si>
  <si>
    <t>163,247.25</t>
  </si>
  <si>
    <t>-12,111,437.95</t>
  </si>
  <si>
    <t>5169</t>
  </si>
  <si>
    <t>PHUB529247826</t>
  </si>
  <si>
    <t>B/O_1/R M N BO_DUIB_529247826_/REF/PA</t>
  </si>
  <si>
    <t>87,908.80</t>
  </si>
  <si>
    <t>-12,023,529.15</t>
  </si>
  <si>
    <t>5170</t>
  </si>
  <si>
    <t>-11,823,529.15</t>
  </si>
  <si>
    <t>5171</t>
  </si>
  <si>
    <t>B/O_ANITA BIZN_SCBL_529254310_.</t>
  </si>
  <si>
    <t>10,097.45</t>
  </si>
  <si>
    <t>-11,813,431.70</t>
  </si>
  <si>
    <t>5172</t>
  </si>
  <si>
    <t>46,207.00</t>
  </si>
  <si>
    <t>-11,767,224.70</t>
  </si>
  <si>
    <t>5173</t>
  </si>
  <si>
    <t>PHUB529256374</t>
  </si>
  <si>
    <t>CA 27082025</t>
  </si>
  <si>
    <t>30,600,000.00</t>
  </si>
  <si>
    <t>18,832,775.30</t>
  </si>
  <si>
    <t>5174</t>
  </si>
  <si>
    <t>PHUB529257985</t>
  </si>
  <si>
    <t>USD BUY 27082025</t>
  </si>
  <si>
    <t>30,855,720.00</t>
  </si>
  <si>
    <t>-12,022,944.70</t>
  </si>
  <si>
    <t>5175</t>
  </si>
  <si>
    <t>PHUB529259801</t>
  </si>
  <si>
    <t>B/O_CONSTRUMAT_SHAR_529259801_EXCHANG</t>
  </si>
  <si>
    <t>-11,762,944.70</t>
  </si>
  <si>
    <t>5176</t>
  </si>
  <si>
    <t>PHUB529261927</t>
  </si>
  <si>
    <t>529261927 B/O Fahad Abdelrahman Ali Malik Al Mans</t>
  </si>
  <si>
    <t>-11,743,944.70</t>
  </si>
  <si>
    <t>5177</t>
  </si>
  <si>
    <t>PHUB529263139</t>
  </si>
  <si>
    <t>B/O_CITY CARE _ABIN_529263139_CCFM OF</t>
  </si>
  <si>
    <t>17,115.15</t>
  </si>
  <si>
    <t>-11,726,829.55</t>
  </si>
  <si>
    <t>5178</t>
  </si>
  <si>
    <t>PHUB529263152</t>
  </si>
  <si>
    <t>B/O_CITY CARE _ABIN_529263152_1725 IS</t>
  </si>
  <si>
    <t>14,928.84</t>
  </si>
  <si>
    <t>-11,711,900.71</t>
  </si>
  <si>
    <t>5179</t>
  </si>
  <si>
    <t>PHUB529264757</t>
  </si>
  <si>
    <t>1,312.50</t>
  </si>
  <si>
    <t>-11,710,588.21</t>
  </si>
  <si>
    <t>5180</t>
  </si>
  <si>
    <t>51265867151</t>
  </si>
  <si>
    <t>2547905066 IBTRF B/O EMINENCE ACCOUNT  AND BOOKKEEP LLC</t>
  </si>
  <si>
    <t>-11,700,288.21</t>
  </si>
  <si>
    <t>5181</t>
  </si>
  <si>
    <t>PHUB529266105</t>
  </si>
  <si>
    <t>B/O_TARJAMA FZ_BOML_529266105_ SETTLE</t>
  </si>
  <si>
    <t>23,346.63</t>
  </si>
  <si>
    <t>-11,676,941.58</t>
  </si>
  <si>
    <t>5182</t>
  </si>
  <si>
    <t>PHUB529267390</t>
  </si>
  <si>
    <t>B/O_HIGHBRIDGE_ABIN_529267390_SALARIE</t>
  </si>
  <si>
    <t>5,026.50</t>
  </si>
  <si>
    <t>-11,671,915.08</t>
  </si>
  <si>
    <t>5183</t>
  </si>
  <si>
    <t>018336</t>
  </si>
  <si>
    <t>INHOUSE CHEQUE DEPOSIT 018336 SHERIN PANAKKAL SHAJAN SHAJAN   PANAKKAL RAJAN AL FARDAN EXCHANGE SP LLC CHQ NO ::018336</t>
  </si>
  <si>
    <t>108,631.01</t>
  </si>
  <si>
    <t>-11,563,284.07</t>
  </si>
  <si>
    <t>5184</t>
  </si>
  <si>
    <t>49,822.76</t>
  </si>
  <si>
    <t>-11,513,461.31</t>
  </si>
  <si>
    <t>5185</t>
  </si>
  <si>
    <t>51266352290</t>
  </si>
  <si>
    <t>2547920394 IBTRF B/O MANORANJAN SYAMAL AND OR SABITA</t>
  </si>
  <si>
    <t>15,783.00</t>
  </si>
  <si>
    <t>-11,497,678.31</t>
  </si>
  <si>
    <t>5186</t>
  </si>
  <si>
    <t>B/O_LAZAR SHIP_BOML_529291000_ FINANC</t>
  </si>
  <si>
    <t>22,446.12</t>
  </si>
  <si>
    <t>-11,475,232.19</t>
  </si>
  <si>
    <t>5187</t>
  </si>
  <si>
    <t>251775925</t>
  </si>
  <si>
    <t>DD Issued In Favour Of ::YOUNG PRESIDENTS ORGANIZATION  DD NO IS: 251775925</t>
  </si>
  <si>
    <t>91,823.10</t>
  </si>
  <si>
    <t>-11,567,055.29</t>
  </si>
  <si>
    <t>5188</t>
  </si>
  <si>
    <t>-11,567,160.29</t>
  </si>
  <si>
    <t>5189</t>
  </si>
  <si>
    <t>51267476345</t>
  </si>
  <si>
    <t>26380633046 MBTRF B/O MUHAMMAD AHSAN AKHTAR</t>
  </si>
  <si>
    <t>49,820.45</t>
  </si>
  <si>
    <t>-11,517,339.84</t>
  </si>
  <si>
    <t>5190</t>
  </si>
  <si>
    <t>B/O_MAX ROCK S_NBFU_529304505_PAYMENT</t>
  </si>
  <si>
    <t>2,391,564.88</t>
  </si>
  <si>
    <t>-9,125,774.96</t>
  </si>
  <si>
    <t>5191</t>
  </si>
  <si>
    <t>PHUB529304597</t>
  </si>
  <si>
    <t>B/O_FLOW TEST _BOML_529304597_ COMPEN</t>
  </si>
  <si>
    <t>76,671.44</t>
  </si>
  <si>
    <t>-9,049,103.52</t>
  </si>
  <si>
    <t>5192</t>
  </si>
  <si>
    <t>PHUB529304672</t>
  </si>
  <si>
    <t>B/O_SRIVIDHYA _BOML_529304672_ GOODS</t>
  </si>
  <si>
    <t>14,883.25</t>
  </si>
  <si>
    <t>-9,034,220.27</t>
  </si>
  <si>
    <t>5193</t>
  </si>
  <si>
    <t>51267717336</t>
  </si>
  <si>
    <t>26380879610 MBTRF B/O BANURAMA ALMUTATAWIRA BLDG CNTRCTNG</t>
  </si>
  <si>
    <t>-8,984,220.27</t>
  </si>
  <si>
    <t>5194</t>
  </si>
  <si>
    <t>51267759368</t>
  </si>
  <si>
    <t>26380916746 MBTRF B/O MARIYA MAQBOOL</t>
  </si>
  <si>
    <t>-8,981,220.27</t>
  </si>
  <si>
    <t>5195</t>
  </si>
  <si>
    <t>PHUB529308769</t>
  </si>
  <si>
    <t>CW 27082025</t>
  </si>
  <si>
    <t>-14,981,220.27</t>
  </si>
  <si>
    <t>5196</t>
  </si>
  <si>
    <t>8021</t>
  </si>
  <si>
    <t>B/O EXCEL OIL AND GAS EQUIPMENT TRD LLC</t>
  </si>
  <si>
    <t>5,063.50</t>
  </si>
  <si>
    <t>-14,976,156.77</t>
  </si>
  <si>
    <t>51267979233</t>
  </si>
  <si>
    <t>26381140654 MBTRF B/O HARISH NUJUMUDEEN</t>
  </si>
  <si>
    <t>21,017.00</t>
  </si>
  <si>
    <t>-14,955,139.77</t>
  </si>
  <si>
    <t>5198</t>
  </si>
  <si>
    <t>PHUB529312545</t>
  </si>
  <si>
    <t>FARDAN SAKEENA 2708</t>
  </si>
  <si>
    <t>4,228.18</t>
  </si>
  <si>
    <t>-14,950,911.59</t>
  </si>
  <si>
    <t>5199</t>
  </si>
  <si>
    <t>PHUB529312861</t>
  </si>
  <si>
    <t>TAX PAYMENT</t>
  </si>
  <si>
    <t>B/O MATCH COMMERCIAL BROKERS</t>
  </si>
  <si>
    <t>5,528.50</t>
  </si>
  <si>
    <t>-14,945,383.09</t>
  </si>
  <si>
    <t>5200</t>
  </si>
  <si>
    <t>51268454999</t>
  </si>
  <si>
    <t>26381615997 MBTRF B/O ASMATH ALI PUTHIYA NALAKATH</t>
  </si>
  <si>
    <t>-14,895,383.09</t>
  </si>
  <si>
    <t>5201</t>
  </si>
  <si>
    <t>PHUB529323468</t>
  </si>
  <si>
    <t>B/O_CITY CARE _ABIN_529323468_CCS SAL</t>
  </si>
  <si>
    <t>26,210.50</t>
  </si>
  <si>
    <t>-14,869,172.59</t>
  </si>
  <si>
    <t>5202</t>
  </si>
  <si>
    <t>26,435.75</t>
  </si>
  <si>
    <t>-14,842,736.84</t>
  </si>
  <si>
    <t>5203</t>
  </si>
  <si>
    <t>51268678108</t>
  </si>
  <si>
    <t>26381848242 MBTRF B/O THAYANKERIL PAULOSE RANJIT</t>
  </si>
  <si>
    <t>6,329.02</t>
  </si>
  <si>
    <t>-14,836,407.82</t>
  </si>
  <si>
    <t>5204</t>
  </si>
  <si>
    <t>PHUB529327809</t>
  </si>
  <si>
    <t>529327809 B/O HAYAT SHITIT</t>
  </si>
  <si>
    <t>-14,830,907.82</t>
  </si>
  <si>
    <t>5205</t>
  </si>
  <si>
    <t>PHUB529328858</t>
  </si>
  <si>
    <t>FULTON PAYMENT</t>
  </si>
  <si>
    <t>212,276.75</t>
  </si>
  <si>
    <t>-14,618,631.07</t>
  </si>
  <si>
    <t>5206</t>
  </si>
  <si>
    <t>PHUB529330384</t>
  </si>
  <si>
    <t>TEKALFPAY1270825MT1</t>
  </si>
  <si>
    <t>B/O TEK SALAH (L.L.C)</t>
  </si>
  <si>
    <t>79,858.42</t>
  </si>
  <si>
    <t>-14,538,772.65</t>
  </si>
  <si>
    <t>5207</t>
  </si>
  <si>
    <t>PHUB529335533</t>
  </si>
  <si>
    <t>B/O_SOLE PROPRIETORS_529335533</t>
  </si>
  <si>
    <t>29,196.25</t>
  </si>
  <si>
    <t>-14,509,576.40</t>
  </si>
  <si>
    <t>5208</t>
  </si>
  <si>
    <t>PHUB529336590</t>
  </si>
  <si>
    <t>B/O_(L.L.C) BE_ADIB_529336590_COMPANY</t>
  </si>
  <si>
    <t>-14,421,351.90</t>
  </si>
  <si>
    <t>5209</t>
  </si>
  <si>
    <t>PHUB529337032</t>
  </si>
  <si>
    <t>MOB2708251458568299175</t>
  </si>
  <si>
    <t>11,962.50</t>
  </si>
  <si>
    <t>-14,409,389.40</t>
  </si>
  <si>
    <t>5210</t>
  </si>
  <si>
    <t>PHUB529337903</t>
  </si>
  <si>
    <t>MOB2708251500528299232</t>
  </si>
  <si>
    <t>B/O CUBES LAND NURSERIY LLC</t>
  </si>
  <si>
    <t>10,126.25</t>
  </si>
  <si>
    <t>-14,399,263.15</t>
  </si>
  <si>
    <t>5211</t>
  </si>
  <si>
    <t>PHUB529338058</t>
  </si>
  <si>
    <t>B/O_RUKN AL TA_NBSH_529338058_COWBOY</t>
  </si>
  <si>
    <t>39,974.84</t>
  </si>
  <si>
    <t>-14,359,288.31</t>
  </si>
  <si>
    <t>5212</t>
  </si>
  <si>
    <t>4,485.68</t>
  </si>
  <si>
    <t>-14,354,802.63</t>
  </si>
  <si>
    <t>5213</t>
  </si>
  <si>
    <t>51269389359</t>
  </si>
  <si>
    <t>2548012916 IBTRF B/O AMOGH PROJECT MANAGEMENT L L C</t>
  </si>
  <si>
    <t>-14,350,802.63</t>
  </si>
  <si>
    <t>5214</t>
  </si>
  <si>
    <t>79,000.00</t>
  </si>
  <si>
    <t>-14,271,802.63</t>
  </si>
  <si>
    <t>5215</t>
  </si>
  <si>
    <t>PHUB529350389</t>
  </si>
  <si>
    <t>B/O_BEST TRUST_UNIL_529350389_25239da</t>
  </si>
  <si>
    <t>279,163.75</t>
  </si>
  <si>
    <t>-13,992,638.88</t>
  </si>
  <si>
    <t>5216</t>
  </si>
  <si>
    <t>51270028235</t>
  </si>
  <si>
    <t>26383221363 MBTRF B/O NAUJAD BAYALUMBAGATH CURUNGALATHIL</t>
  </si>
  <si>
    <t>-13,979,638.88</t>
  </si>
  <si>
    <t>5217</t>
  </si>
  <si>
    <t>PHUB529355664</t>
  </si>
  <si>
    <t>529355664 B/O HAMDA BEKHEET SAEED ALFALAHI</t>
  </si>
  <si>
    <t>-13,979,138.88</t>
  </si>
  <si>
    <t>5218</t>
  </si>
  <si>
    <t>51270138404</t>
  </si>
  <si>
    <t>26383338462 MBTRF B/O ALSARH ALFADHI ALM N GLS CONT LLC</t>
  </si>
  <si>
    <t>19,245.80</t>
  </si>
  <si>
    <t>-13,959,893.08</t>
  </si>
  <si>
    <t>5219</t>
  </si>
  <si>
    <t>51270158171</t>
  </si>
  <si>
    <t>26383358606 MBTRF B/O ABDULLA MATAR K ALKHEMEIRI</t>
  </si>
  <si>
    <t>-13,952,893.08</t>
  </si>
  <si>
    <t>5220</t>
  </si>
  <si>
    <t>51270514752</t>
  </si>
  <si>
    <t>2548051369 IBTRF B/O VIPAN KALIA AND OR ARCHANA  KALIA</t>
  </si>
  <si>
    <t>49,552.50</t>
  </si>
  <si>
    <t>-13,903,340.58</t>
  </si>
  <si>
    <t>5221</t>
  </si>
  <si>
    <t>004522</t>
  </si>
  <si>
    <t>INHOUSE CHEQUE DEPOSIT 004522 BASHEER PULIKKAL    IBRAHIM AL FARDAN EXCHANGE SP LLC CHQ NO ::004522</t>
  </si>
  <si>
    <t>11,147.00</t>
  </si>
  <si>
    <t>-13,892,193.58</t>
  </si>
  <si>
    <t>5222</t>
  </si>
  <si>
    <t>000410</t>
  </si>
  <si>
    <t>INHOUSE CHEQUE DEPOSIT 000410 MAHBOOB MOHAMMED     MUFID MOHAMMED AL FARDAN EXCHANGE SP LLC CHQ NO ::000410</t>
  </si>
  <si>
    <t>31,198.00</t>
  </si>
  <si>
    <t>-13,860,995.58</t>
  </si>
  <si>
    <t>5223</t>
  </si>
  <si>
    <t>004069</t>
  </si>
  <si>
    <t>INHOUSE CHEQUE DEPOSIT 004069 BASHEER PULIKKAL    IBRAHIM AL FARDAN EXCHANGE SP LLC CHQ NO ::004069</t>
  </si>
  <si>
    <t>38,337.00</t>
  </si>
  <si>
    <t>-13,822,658.58</t>
  </si>
  <si>
    <t>5224</t>
  </si>
  <si>
    <t>PHUB529366895</t>
  </si>
  <si>
    <t>158,317.50</t>
  </si>
  <si>
    <t>-13,664,341.08</t>
  </si>
  <si>
    <t>5225</t>
  </si>
  <si>
    <t>PHUB529367777</t>
  </si>
  <si>
    <t>529367777 B/O AHMAD SOLAIMAN DHAHERI</t>
  </si>
  <si>
    <t>11,913.00</t>
  </si>
  <si>
    <t>-13,652,428.08</t>
  </si>
  <si>
    <t>5226</t>
  </si>
  <si>
    <t>INHOUSE CHEQUE DEPOSIT 000004 MUHAMMAD,HAMEED,MUHAMMAD,,,FAREED, AL FARDAN EXCHANGE SP LLC CHQ NO ::000004</t>
  </si>
  <si>
    <t>-13,622,967.58</t>
  </si>
  <si>
    <t>5227</t>
  </si>
  <si>
    <t>INHOUSE CHEQUE DEPOSIT 000038 MUHAMMAD,HAMEED,MUHAMMAD,,,FAREED, AL FARDAN EXCHANGE SP LLC CHQ NO ::000038</t>
  </si>
  <si>
    <t>10,644.00</t>
  </si>
  <si>
    <t>-13,612,323.58</t>
  </si>
  <si>
    <t>51270820889</t>
  </si>
  <si>
    <t>26384032664 MBTRF B/O MOHAMMD AFJAL</t>
  </si>
  <si>
    <t>-13,562,323.58</t>
  </si>
  <si>
    <t>5229</t>
  </si>
  <si>
    <t>PHUB529377262</t>
  </si>
  <si>
    <t>B/O_AL FARDAN _CBDU_529377262_Own Acc</t>
  </si>
  <si>
    <t>-8,562,323.58</t>
  </si>
  <si>
    <t>5230</t>
  </si>
  <si>
    <t>PHUB529382067</t>
  </si>
  <si>
    <t>B/O_IYAD ALSAR_NBSH_529382067_SIANGPA</t>
  </si>
  <si>
    <t>76,885.92</t>
  </si>
  <si>
    <t>-8,485,437.66</t>
  </si>
  <si>
    <t>PHUB529384029</t>
  </si>
  <si>
    <t>529384029 B/O FATIHA ABOURIGUE</t>
  </si>
  <si>
    <t>-8,484,937.66</t>
  </si>
  <si>
    <t>PHUB529388666</t>
  </si>
  <si>
    <t>TRF TO AL FARDAN</t>
  </si>
  <si>
    <t>B/O ARABIAN CONSTRUCTION CO. W.L.L</t>
  </si>
  <si>
    <t>-8,444,937.66</t>
  </si>
  <si>
    <t>138,854.83</t>
  </si>
  <si>
    <t>-8,306,082.83</t>
  </si>
  <si>
    <t>5234</t>
  </si>
  <si>
    <t>51271809700</t>
  </si>
  <si>
    <t>26385055135 MBTRF B/O SILA TRADING LLC</t>
  </si>
  <si>
    <t>-8,206,082.83</t>
  </si>
  <si>
    <t>5235</t>
  </si>
  <si>
    <t>PHUB529390490</t>
  </si>
  <si>
    <t>B/O_ALI SULTAN_ADIB_529390490_Goods b</t>
  </si>
  <si>
    <t>74,795.00</t>
  </si>
  <si>
    <t>-8,131,287.83</t>
  </si>
  <si>
    <t>51271849969</t>
  </si>
  <si>
    <t>26385097934 MBTRF B/O SAJIN STEPHEN</t>
  </si>
  <si>
    <t>3,803.00</t>
  </si>
  <si>
    <t>-8,127,484.83</t>
  </si>
  <si>
    <t>5237</t>
  </si>
  <si>
    <t>51271879269</t>
  </si>
  <si>
    <t>26385130743 MBTRF B/O SILA TRADING LLC</t>
  </si>
  <si>
    <t>58,591.46</t>
  </si>
  <si>
    <t>-8,068,893.37</t>
  </si>
  <si>
    <t>5238</t>
  </si>
  <si>
    <t>PHUB529395098</t>
  </si>
  <si>
    <t>SAR PURCHASE</t>
  </si>
  <si>
    <t>B/O FAS ARABIA LLC</t>
  </si>
  <si>
    <t>5,070.01</t>
  </si>
  <si>
    <t>-8,063,823.36</t>
  </si>
  <si>
    <t>5239</t>
  </si>
  <si>
    <t>PHUB529399087</t>
  </si>
  <si>
    <t>VAT PAYABLE MAY JULY</t>
  </si>
  <si>
    <t>B/O DGM HOME FURNITURE MANUFACTUR LLC</t>
  </si>
  <si>
    <t>2,821.00</t>
  </si>
  <si>
    <t>-8,061,002.36</t>
  </si>
  <si>
    <t>5240</t>
  </si>
  <si>
    <t>51272257487</t>
  </si>
  <si>
    <t>26385530783 MBTRF B/O MARC BIOSCA BOU</t>
  </si>
  <si>
    <t>85,689.00</t>
  </si>
  <si>
    <t>-7,975,313.36</t>
  </si>
  <si>
    <t>5241</t>
  </si>
  <si>
    <t>PHUB529404219</t>
  </si>
  <si>
    <t>529404219 B/O CAHYA SATRIA INSYAHPUTRA</t>
  </si>
  <si>
    <t>-7,970,313.36</t>
  </si>
  <si>
    <t>5242</t>
  </si>
  <si>
    <t>-7,934,313.36</t>
  </si>
  <si>
    <t>5243</t>
  </si>
  <si>
    <t>PHUB529407640</t>
  </si>
  <si>
    <t>B/O_TREKKUP FZE_529407640</t>
  </si>
  <si>
    <t>-7,919,556.86</t>
  </si>
  <si>
    <t>5244</t>
  </si>
  <si>
    <t>PHUB529409254</t>
  </si>
  <si>
    <t>529409254 B/O MUNTASER ZUHAIR ABDULMAJEED AL HASHMI</t>
  </si>
  <si>
    <t>24,210.00</t>
  </si>
  <si>
    <t>-7,895,346.86</t>
  </si>
  <si>
    <t>5245</t>
  </si>
  <si>
    <t>529413999 B/O ALI RAZA</t>
  </si>
  <si>
    <t>-7,870,346.86</t>
  </si>
  <si>
    <t>5246</t>
  </si>
  <si>
    <t>PHUB529417112</t>
  </si>
  <si>
    <t>B/O_MAYFAIR GE_NBAD_529417112_Mayfair</t>
  </si>
  <si>
    <t>169,386.75</t>
  </si>
  <si>
    <t>-7,700,960.11</t>
  </si>
  <si>
    <t>5247</t>
  </si>
  <si>
    <t>51273348010</t>
  </si>
  <si>
    <t>2548144162 IBTRF B/O ARIEF DWI RAHARJO</t>
  </si>
  <si>
    <t>-7,665,960.11</t>
  </si>
  <si>
    <t>5248</t>
  </si>
  <si>
    <t>PHUB529421201</t>
  </si>
  <si>
    <t>40,891.00</t>
  </si>
  <si>
    <t>-7,625,069.11</t>
  </si>
  <si>
    <t>5249</t>
  </si>
  <si>
    <t>PHUB529425190</t>
  </si>
  <si>
    <t>FAV</t>
  </si>
  <si>
    <t>16,323.50</t>
  </si>
  <si>
    <t>-7,608,745.61</t>
  </si>
  <si>
    <t>5250</t>
  </si>
  <si>
    <t>PHUB529428253</t>
  </si>
  <si>
    <t>529428253 B/O SAJJAD HUSSAIN</t>
  </si>
  <si>
    <t>-7,606,845.61</t>
  </si>
  <si>
    <t>5251</t>
  </si>
  <si>
    <t>PHUB529430528</t>
  </si>
  <si>
    <t>B/O_ACE ENGINE_NBAD_529430528_Against</t>
  </si>
  <si>
    <t>49,448.46</t>
  </si>
  <si>
    <t>-7,557,397.15</t>
  </si>
  <si>
    <t>5252</t>
  </si>
  <si>
    <t>192,193.25</t>
  </si>
  <si>
    <t>-7,365,203.90</t>
  </si>
  <si>
    <t>5253</t>
  </si>
  <si>
    <t>51274372430</t>
  </si>
  <si>
    <t>2548174211 IBTRF B/O ABU FAISAL AUTO MOTIVE PARTS LLC</t>
  </si>
  <si>
    <t>62,025.75</t>
  </si>
  <si>
    <t>-7,303,178.15</t>
  </si>
  <si>
    <t>5254</t>
  </si>
  <si>
    <t>PHUB529446519</t>
  </si>
  <si>
    <t>SNR MGNMNTAUG25</t>
  </si>
  <si>
    <t>B/O WELLNESS FORWARD GROUP LLC</t>
  </si>
  <si>
    <t>269,016.80</t>
  </si>
  <si>
    <t>-7,034,161.35</t>
  </si>
  <si>
    <t>5255</t>
  </si>
  <si>
    <t>-6,984,161.35</t>
  </si>
  <si>
    <t>5256</t>
  </si>
  <si>
    <t>136,670.09</t>
  </si>
  <si>
    <t>-6,847,491.26</t>
  </si>
  <si>
    <t>5257</t>
  </si>
  <si>
    <t>62,736.47</t>
  </si>
  <si>
    <t>-6,784,754.79</t>
  </si>
  <si>
    <t>5258</t>
  </si>
  <si>
    <t>122,753.30</t>
  </si>
  <si>
    <t>-6,662,001.49</t>
  </si>
  <si>
    <t>5259</t>
  </si>
  <si>
    <t>PHUB529466898</t>
  </si>
  <si>
    <t>SHEMIFLORA INV 125 TO 131</t>
  </si>
  <si>
    <t>106,592.00</t>
  </si>
  <si>
    <t>-6,555,409.49</t>
  </si>
  <si>
    <t>5260</t>
  </si>
  <si>
    <t>000218</t>
  </si>
  <si>
    <t>CHEQUE DEPOSIT 000218 SHAMSHEER KHAN AHAMED KHAN AHAMED  KHAN 402320117 CHQ NO ::000218</t>
  </si>
  <si>
    <t>89,310.25</t>
  </si>
  <si>
    <t>-6,466,099.24</t>
  </si>
  <si>
    <t>5261</t>
  </si>
  <si>
    <t>001369</t>
  </si>
  <si>
    <t>CHEQUE DEPOSIT 001369 MUHAMMAD,HAMEED,MUHAMMAD,,,FAREED, 203320145 CHQ NO ::001369</t>
  </si>
  <si>
    <t>13,069.00</t>
  </si>
  <si>
    <t>-6,453,030.24</t>
  </si>
  <si>
    <t>5262</t>
  </si>
  <si>
    <t>012735</t>
  </si>
  <si>
    <t>CHEQUE DEPOSIT 012735 SHAMSHEER KHAN AHAMED KHAN AHAMED  KHAN 102330106 CHQ NO ::012735</t>
  </si>
  <si>
    <t>-6,443,530.24</t>
  </si>
  <si>
    <t>5263</t>
  </si>
  <si>
    <t>004558</t>
  </si>
  <si>
    <t>CHEQUE DEPOSIT 004558 VISHAK     PANTHANGI 102310171 CHQ NO ::004558</t>
  </si>
  <si>
    <t>6,146.00</t>
  </si>
  <si>
    <t>-6,437,384.24</t>
  </si>
  <si>
    <t>5264</t>
  </si>
  <si>
    <t>000318</t>
  </si>
  <si>
    <t>CHEQUE DEPOSIT 000318 BASHEER PULIKKAL    IBRAHIM 503312046 CHQ NO ::000318</t>
  </si>
  <si>
    <t>16,595.79</t>
  </si>
  <si>
    <t>-6,420,788.45</t>
  </si>
  <si>
    <t>5265</t>
  </si>
  <si>
    <t>51276146435</t>
  </si>
  <si>
    <t>26389755298 MBTRF B/O NARAYANAN NADUVILMADOM DORASWAMY</t>
  </si>
  <si>
    <t>44,105.00</t>
  </si>
  <si>
    <t>-6,376,683.45</t>
  </si>
  <si>
    <t>5266</t>
  </si>
  <si>
    <t>012658</t>
  </si>
  <si>
    <t>CHEQUE DEPOSIT 012658 SHIELA MONTENEGRO    AURE 903420130 CHQ NO ::012658</t>
  </si>
  <si>
    <t>46,643.48</t>
  </si>
  <si>
    <t>-6,330,039.97</t>
  </si>
  <si>
    <t>5267</t>
  </si>
  <si>
    <t>000678</t>
  </si>
  <si>
    <t>CHEQUE DEPOSIT 000678 MUHAMMED JABIR SULAIMAN    VALIYAPEEDIKAYIL 603410365 CHQ NO ::000678</t>
  </si>
  <si>
    <t>79,374.15</t>
  </si>
  <si>
    <t>-6,250,665.82</t>
  </si>
  <si>
    <t>5268</t>
  </si>
  <si>
    <t>500343</t>
  </si>
  <si>
    <t>CHEQUE DEPOSIT 500343 MAHMUD ALI,,,,,KAZI SABBIR ALI KAZI, 205010141 CHQ NO ::500343</t>
  </si>
  <si>
    <t>217,069.00</t>
  </si>
  <si>
    <t>-6,033,596.82</t>
  </si>
  <si>
    <t>5269</t>
  </si>
  <si>
    <t>564725</t>
  </si>
  <si>
    <t>CHEQUE DEPOSIT 564725 DIL JAN MOHAMMAD   ALI 001530104 CHQ NO ::564725</t>
  </si>
  <si>
    <t>35,027.00</t>
  </si>
  <si>
    <t>-5,998,569.82</t>
  </si>
  <si>
    <t>5270</t>
  </si>
  <si>
    <t>CHEQUE DEPOSIT AL BARAKAH 104030136 CHQ NO ::000047</t>
  </si>
  <si>
    <t>273,148.25</t>
  </si>
  <si>
    <t>-5,725,421.57</t>
  </si>
  <si>
    <t>5271</t>
  </si>
  <si>
    <t>002062</t>
  </si>
  <si>
    <t>CHEQUE DEPOSIT 002062 VISHAK     PANTHANGI 102310171 CHQ NO ::002062</t>
  </si>
  <si>
    <t>101,233.00</t>
  </si>
  <si>
    <t>-5,624,188.57</t>
  </si>
  <si>
    <t>5272</t>
  </si>
  <si>
    <t>313838</t>
  </si>
  <si>
    <t>CHEQUE DEPOSIT 313838 HABIB UR REHMAN     MAHBOOB ALI 402411004 CHQ NO ::313838</t>
  </si>
  <si>
    <t>377,747.00</t>
  </si>
  <si>
    <t>-5,246,441.57</t>
  </si>
  <si>
    <t>5273</t>
  </si>
  <si>
    <t>107423</t>
  </si>
  <si>
    <t>CHEQUE DEPOSIT 107423 MAHMUD ALI,,,,,KAZI SABBIR ALI KAZI, 702410103 CHQ NO ::107423</t>
  </si>
  <si>
    <t>425,242.00</t>
  </si>
  <si>
    <t>-4,821,199.57</t>
  </si>
  <si>
    <t>5274</t>
  </si>
  <si>
    <t>798697</t>
  </si>
  <si>
    <t>CHEQUE DEPOSIT AL MEENA STEEL 104030136 CHQ NO ::798697</t>
  </si>
  <si>
    <t>19,472.00</t>
  </si>
  <si>
    <t>-4,801,727.57</t>
  </si>
  <si>
    <t>5275</t>
  </si>
  <si>
    <t>PHUB529477459</t>
  </si>
  <si>
    <t>529477459 B/O SITARAMAN RAMAMURTHY</t>
  </si>
  <si>
    <t>24,246.00</t>
  </si>
  <si>
    <t>-4,777,481.57</t>
  </si>
  <si>
    <t>5276</t>
  </si>
  <si>
    <t>000284</t>
  </si>
  <si>
    <t>NAVEED ANWAR</t>
  </si>
  <si>
    <t>CHEQUE DEPOSIT NAVEED ANWAR 703430137 CHQ NO ::000284</t>
  </si>
  <si>
    <t>159,804.25</t>
  </si>
  <si>
    <t>-4,617,677.32</t>
  </si>
  <si>
    <t>5277</t>
  </si>
  <si>
    <t>MANESH MATHEW MANKAVIL</t>
  </si>
  <si>
    <t>CHEQUE DEPOSIT MANESH MATHEW MANKAVIL 702610130 CHQ NO ::000098</t>
  </si>
  <si>
    <t>169,000.00</t>
  </si>
  <si>
    <t>-4,448,677.32</t>
  </si>
  <si>
    <t>5278</t>
  </si>
  <si>
    <t>013566</t>
  </si>
  <si>
    <t>CHEQUE DEPOSIT 013566 BASHEER PULIKKAL    IBRAHIM 903510114 CHQ NO ::013566</t>
  </si>
  <si>
    <t>-4,410,677.32</t>
  </si>
  <si>
    <t>5279</t>
  </si>
  <si>
    <t>002778</t>
  </si>
  <si>
    <t>CHEQUE DEPOSIT 002778 MUHAMMAD AKRAM NAZAR   MUHAMMAD 003810101 CHQ NO ::002778</t>
  </si>
  <si>
    <t>2,403.00</t>
  </si>
  <si>
    <t>-4,408,274.32</t>
  </si>
  <si>
    <t>5280</t>
  </si>
  <si>
    <t>51276425379</t>
  </si>
  <si>
    <t>26390076913 MBTRF B/O THE MEAT COUNTER SELL MEAT</t>
  </si>
  <si>
    <t>-4,373,274.32</t>
  </si>
  <si>
    <t>5281</t>
  </si>
  <si>
    <t>001372</t>
  </si>
  <si>
    <t>CHEQUE DEPOSIT 001372 MUHAMMAD,HAMEED,MUHAMMAD,,,FAREED, 203320145 CHQ NO ::001372</t>
  </si>
  <si>
    <t>34,699.00</t>
  </si>
  <si>
    <t>-4,338,575.32</t>
  </si>
  <si>
    <t>5282</t>
  </si>
  <si>
    <t>500574</t>
  </si>
  <si>
    <t>CHEQUE DEPOSIT 500574 MOHAMMED SHAREEF  KALLAN AYAMU  KALLAN 605010398 CHQ NO ::500574</t>
  </si>
  <si>
    <t>42,494.50</t>
  </si>
  <si>
    <t>-4,296,080.82</t>
  </si>
  <si>
    <t>5283</t>
  </si>
  <si>
    <t>000867</t>
  </si>
  <si>
    <t>CHEQUE DEPOSIT 000867 NAUFAL SEMAN ABDUL KAREEM   KALLITTA VALAPPIL 100810101 CHQ NO ::000867</t>
  </si>
  <si>
    <t>10,048.30</t>
  </si>
  <si>
    <t>-4,286,032.52</t>
  </si>
  <si>
    <t>5284</t>
  </si>
  <si>
    <t>102358</t>
  </si>
  <si>
    <t>CHEQUE DEPOSIT 102358 VISHAK     PANTHANGI 702410103 CHQ NO ::102358</t>
  </si>
  <si>
    <t>769,304.00</t>
  </si>
  <si>
    <t>-3,516,728.52</t>
  </si>
  <si>
    <t>5285</t>
  </si>
  <si>
    <t>741995</t>
  </si>
  <si>
    <t>CHEQUE DEPOSIT LASER MEAT 704020137 CHQ NO ::741995</t>
  </si>
  <si>
    <t>183,737.15</t>
  </si>
  <si>
    <t>-3,332,991.37</t>
  </si>
  <si>
    <t>5286</t>
  </si>
  <si>
    <t>PHUB529484610</t>
  </si>
  <si>
    <t>BPV739</t>
  </si>
  <si>
    <t>B/O FOCUS MOBILITY MEDICAL E TR LLC OPC</t>
  </si>
  <si>
    <t>16,726.25</t>
  </si>
  <si>
    <t>-3,316,265.12</t>
  </si>
  <si>
    <t>5287</t>
  </si>
  <si>
    <t>058728</t>
  </si>
  <si>
    <t>CHEQUE DEPOSIT 058728 MUHAMMADUNNI RARENKANDATH    ABDUL KADER 103512525 CHQ NO ::058728</t>
  </si>
  <si>
    <t>15,817.00</t>
  </si>
  <si>
    <t>-3,300,448.12</t>
  </si>
  <si>
    <t>5288</t>
  </si>
  <si>
    <t>PHUB529485648</t>
  </si>
  <si>
    <t>B/O_ASHISH KAM_NBAD_529485648_Ashish</t>
  </si>
  <si>
    <t>50,148.15</t>
  </si>
  <si>
    <t>-3,250,299.97</t>
  </si>
  <si>
    <t>5289</t>
  </si>
  <si>
    <t>51276785533</t>
  </si>
  <si>
    <t>2548235034 IBTRF B/O TRAVEL BEE TRAVEL AND HOLID SP LLC</t>
  </si>
  <si>
    <t>2,355.41</t>
  </si>
  <si>
    <t>-3,247,944.56</t>
  </si>
  <si>
    <t>5290</t>
  </si>
  <si>
    <t>100316</t>
  </si>
  <si>
    <t>CHEQUE DEPOSIT 100316 MUHAMMAD HAMEED MUHAMMAD   FAREED 002430117 CHQ NO ::100316</t>
  </si>
  <si>
    <t>-3,064,209.06</t>
  </si>
  <si>
    <t>5291</t>
  </si>
  <si>
    <t>012694</t>
  </si>
  <si>
    <t>CHEQUE DEPOSIT 012694 SHAMSHEER KHAN AHAMED KHAN AHAMED  KHAN 102330106 CHQ NO ::012694</t>
  </si>
  <si>
    <t>28,821.50</t>
  </si>
  <si>
    <t>-3,035,387.56</t>
  </si>
  <si>
    <t>5292</t>
  </si>
  <si>
    <t>606428</t>
  </si>
  <si>
    <t>CHEQUE DEPOSIT 606428 WILLY OLIVER     FRESNOSA 003510111 CHQ NO ::606428</t>
  </si>
  <si>
    <t>-2,985,387.56</t>
  </si>
  <si>
    <t>5293</t>
  </si>
  <si>
    <t>012697</t>
  </si>
  <si>
    <t>CHEQUE DEPOSIT 012697 SHAMSHEER KHAN AHAMED KHAN AHAMED  KHAN 102330106 CHQ NO ::012697</t>
  </si>
  <si>
    <t>32,848.75</t>
  </si>
  <si>
    <t>-2,952,538.81</t>
  </si>
  <si>
    <t>5294</t>
  </si>
  <si>
    <t>006560</t>
  </si>
  <si>
    <t>CHEQUE DEPOSIT 006560 JALAL AHMED,,,,,ABDUL HAQUE, 102310171 CHQ NO ::006560</t>
  </si>
  <si>
    <t>95,344.00</t>
  </si>
  <si>
    <t>-2,857,194.81</t>
  </si>
  <si>
    <t>5295</t>
  </si>
  <si>
    <t>500636</t>
  </si>
  <si>
    <t>CHEQUE DEPOSIT 500636 MOHAMMED SHAREEF  KALLAN AYAMU  KALLAN 605010398 CHQ NO ::500636</t>
  </si>
  <si>
    <t>73,095.50</t>
  </si>
  <si>
    <t>-2,784,099.31</t>
  </si>
  <si>
    <t>5296</t>
  </si>
  <si>
    <t>REF5620560007928</t>
  </si>
  <si>
    <t>-2,734,099.31</t>
  </si>
  <si>
    <t>5297</t>
  </si>
  <si>
    <t>REF 5620560007928</t>
  </si>
  <si>
    <t>19,090.34</t>
  </si>
  <si>
    <t>-2,715,008.97</t>
  </si>
  <si>
    <t>5298</t>
  </si>
  <si>
    <t>CHEQUE DEPOSIT 000046 RATHEESH KANNOLY    BALAKRISHNAN 602920102 CHQ NO ::000046</t>
  </si>
  <si>
    <t>209,846.06</t>
  </si>
  <si>
    <t>-2,505,162.91</t>
  </si>
  <si>
    <t>5299</t>
  </si>
  <si>
    <t>001252</t>
  </si>
  <si>
    <t>CHEQUE DEPOSIT 001252 MUHAMMAD,HAMEED,MUHAMMAD,,,FAREED, 203320145 CHQ NO ::001252</t>
  </si>
  <si>
    <t>13,807.00</t>
  </si>
  <si>
    <t>-2,491,355.91</t>
  </si>
  <si>
    <t>5300</t>
  </si>
  <si>
    <t>001373</t>
  </si>
  <si>
    <t>CHEQUE DEPOSIT 001373 MUHAMMAD,HAMEED,MUHAMMAD,,,FAREED, 203320145 CHQ NO ::001373</t>
  </si>
  <si>
    <t>37,797.00</t>
  </si>
  <si>
    <t>-2,453,558.91</t>
  </si>
  <si>
    <t>5301</t>
  </si>
  <si>
    <t>012698</t>
  </si>
  <si>
    <t>CHEQUE DEPOSIT 012698 SHAMSHEER KHAN AHAMED KHAN AHAMED  KHAN 102330106 CHQ NO ::012698</t>
  </si>
  <si>
    <t>26,502.50</t>
  </si>
  <si>
    <t>-2,427,056.41</t>
  </si>
  <si>
    <t>5302</t>
  </si>
  <si>
    <t>529494127 B/O ABDUL QAYYUM</t>
  </si>
  <si>
    <t>2,581.00</t>
  </si>
  <si>
    <t>-2,424,475.41</t>
  </si>
  <si>
    <t>5303</t>
  </si>
  <si>
    <t>928365</t>
  </si>
  <si>
    <t>CHEQUE DEPOSIT 928365 SHAMSHEER KHAN AHAMED KHAN AHAMED  KHAN 304421028 CHQ NO ::928365</t>
  </si>
  <si>
    <t>-2,386,475.41</t>
  </si>
  <si>
    <t>5304</t>
  </si>
  <si>
    <t>001171</t>
  </si>
  <si>
    <t>CHEQUE DEPOSIT 001171 BASHEER PULIKKAL    IBRAHIM 004710103 CHQ NO ::001171</t>
  </si>
  <si>
    <t>-2,357,026.91</t>
  </si>
  <si>
    <t>5305</t>
  </si>
  <si>
    <t>CHEQUE DEPOSIT 000040 MUHAMMAD HAMEED MUHAMMAD   FAREED 501130101 CHQ NO ::000040</t>
  </si>
  <si>
    <t>43,012.50</t>
  </si>
  <si>
    <t>-2,314,014.41</t>
  </si>
  <si>
    <t>5306</t>
  </si>
  <si>
    <t>002114</t>
  </si>
  <si>
    <t>CHEQUE DEPOSIT 002114 DIL JAN MOHAMMAD   ALI 004730105 CHQ NO ::002114</t>
  </si>
  <si>
    <t>40,555.00</t>
  </si>
  <si>
    <t>-2,273,459.41</t>
  </si>
  <si>
    <t>5307</t>
  </si>
  <si>
    <t>001370</t>
  </si>
  <si>
    <t>CHEQUE DEPOSIT 001370 MUHAMMAD,HAMEED,MUHAMMAD,,,FAREED, 203320145 CHQ NO ::001370</t>
  </si>
  <si>
    <t>28,269.00</t>
  </si>
  <si>
    <t>-2,245,190.41</t>
  </si>
  <si>
    <t>5308</t>
  </si>
  <si>
    <t>001832</t>
  </si>
  <si>
    <t>CHEQUE DEPOSIT 001832 MUHAMMAD HAMEED MUHAMMAD   FAREED 704020137 CHQ NO ::001832</t>
  </si>
  <si>
    <t>187,267.30</t>
  </si>
  <si>
    <t>-2,057,923.11</t>
  </si>
  <si>
    <t>5309</t>
  </si>
  <si>
    <t>2508271959195545</t>
  </si>
  <si>
    <t>CHQ RETRN:Amount in Words and Numbers Differ on Image/ Amount missing 704020137 CHQ NO ::001832</t>
  </si>
  <si>
    <t>5310</t>
  </si>
  <si>
    <t>PHUB529497140</t>
  </si>
  <si>
    <t>B/O_HALA NASR _ADIB_529497140_Transfe</t>
  </si>
  <si>
    <t>-2,153,279.91</t>
  </si>
  <si>
    <t>5311</t>
  </si>
  <si>
    <t>PHUB529497469</t>
  </si>
  <si>
    <t>BPV0018893</t>
  </si>
  <si>
    <t>B/O ALMADINA HYPERMARKET LLC-BRANCH 4</t>
  </si>
  <si>
    <t>211,933.00</t>
  </si>
  <si>
    <t>-1,941,346.91</t>
  </si>
  <si>
    <t>5312</t>
  </si>
  <si>
    <t>MOB2708252007128304412</t>
  </si>
  <si>
    <t>-1,938,146.91</t>
  </si>
  <si>
    <t>5313</t>
  </si>
  <si>
    <t>51277637083</t>
  </si>
  <si>
    <t>26391524685 MBTRF B/O AHMET NURNAZAROV</t>
  </si>
  <si>
    <t>68,007.50</t>
  </si>
  <si>
    <t>-1,870,139.41</t>
  </si>
  <si>
    <t>5314</t>
  </si>
  <si>
    <t>51277700671</t>
  </si>
  <si>
    <t>2548256331 IBTRF B/O ABHILASH EAPEN ISAAC</t>
  </si>
  <si>
    <t>6,329.25</t>
  </si>
  <si>
    <t>-1,863,810.16</t>
  </si>
  <si>
    <t>5315</t>
  </si>
  <si>
    <t>PHUB529502554</t>
  </si>
  <si>
    <t>529502554 B/O NASSER BARAKAT ELSAYED BARAKAT</t>
  </si>
  <si>
    <t>2,140.00</t>
  </si>
  <si>
    <t>-1,861,670.16</t>
  </si>
  <si>
    <t>5316</t>
  </si>
  <si>
    <t>51277780140</t>
  </si>
  <si>
    <t>-1,756,601.66</t>
  </si>
  <si>
    <t>5317</t>
  </si>
  <si>
    <t>51278052223</t>
  </si>
  <si>
    <t>26392020355 MBTRF B/O VELMURUGAN SELVAN PALANIAPAGOUNDER SELVAN</t>
  </si>
  <si>
    <t>83,990.00</t>
  </si>
  <si>
    <t>-1,672,611.66</t>
  </si>
  <si>
    <t>5318</t>
  </si>
  <si>
    <t>51278193763</t>
  </si>
  <si>
    <t>26392187070 MBTRF_B/O MOHAMMED SAWOOD DAMDA</t>
  </si>
  <si>
    <t>-1,672,349.16</t>
  </si>
  <si>
    <t>5319</t>
  </si>
  <si>
    <t>51278237163</t>
  </si>
  <si>
    <t>26392239213 MBTRF_B/O MOHAMMED SAWOOD DAMDA</t>
  </si>
  <si>
    <t>-1,672,086.66</t>
  </si>
  <si>
    <t>5320</t>
  </si>
  <si>
    <t>PHUB529515919</t>
  </si>
  <si>
    <t>529515919 B/O MOHAMMED HADEF MOHAMMED ALNUAIMI</t>
  </si>
  <si>
    <t>22,100.10</t>
  </si>
  <si>
    <t>-1,649,986.56</t>
  </si>
  <si>
    <t>5321</t>
  </si>
  <si>
    <t>PHUB529518603</t>
  </si>
  <si>
    <t>529518603 B/O SOUKAINA ELFADIL</t>
  </si>
  <si>
    <t>-1,609,986.56</t>
  </si>
  <si>
    <t>5322</t>
  </si>
  <si>
    <t>51278997526</t>
  </si>
  <si>
    <t>58,182.70</t>
  </si>
  <si>
    <t>-1,551,803.86</t>
  </si>
  <si>
    <t>5323</t>
  </si>
  <si>
    <t>51279064561</t>
  </si>
  <si>
    <t>2548285851 IBTRF B/O AJAY KUMAR</t>
  </si>
  <si>
    <t>31,665.00</t>
  </si>
  <si>
    <t>-1,520,138.86</t>
  </si>
  <si>
    <t>5324</t>
  </si>
  <si>
    <t>51279123145</t>
  </si>
  <si>
    <t>26393310977 MBTRF B/O MUHAMMAD MURTAZA</t>
  </si>
  <si>
    <t>-1,518,938.86</t>
  </si>
  <si>
    <t>5325</t>
  </si>
  <si>
    <t>51279179552</t>
  </si>
  <si>
    <t>26393373570 MBTRF B/O OSPREY MARI EQUIPMENTS TRADING LLC</t>
  </si>
  <si>
    <t>1,487.00</t>
  </si>
  <si>
    <t>-1,517,451.86</t>
  </si>
  <si>
    <t>5326</t>
  </si>
  <si>
    <t>529529522 B/O IHAB MAHER OWIS</t>
  </si>
  <si>
    <t>3,700.00</t>
  </si>
  <si>
    <t>-1,513,751.86</t>
  </si>
  <si>
    <t>5327</t>
  </si>
  <si>
    <t>PHUB529532412</t>
  </si>
  <si>
    <t>529532412 B/O FAIZAN FAYAZ SUFI</t>
  </si>
  <si>
    <t>-1,493,751.86</t>
  </si>
  <si>
    <t>5328</t>
  </si>
  <si>
    <t>PHUB529537604</t>
  </si>
  <si>
    <t>529537604 B/O MOHAMED HASAN IBRAHIM HASAN ALFARDA</t>
  </si>
  <si>
    <t>9,290.00</t>
  </si>
  <si>
    <t>-1,484,461.86</t>
  </si>
  <si>
    <t>5329</t>
  </si>
  <si>
    <t>51279799538</t>
  </si>
  <si>
    <t>26394133146 MBTRF B/O SHEIKH SHAUKAT ALI</t>
  </si>
  <si>
    <t>41,875.00</t>
  </si>
  <si>
    <t>-1,442,586.86</t>
  </si>
  <si>
    <t>5330</t>
  </si>
  <si>
    <t>PHUB529539392</t>
  </si>
  <si>
    <t>B/O_ESTABLISHMENT AB_529539392</t>
  </si>
  <si>
    <t>13,439.35</t>
  </si>
  <si>
    <t>-1,429,147.51</t>
  </si>
  <si>
    <t>5331</t>
  </si>
  <si>
    <t>PHUB529555742</t>
  </si>
  <si>
    <t>529555742 B/O WARAWUTH MANEEINT</t>
  </si>
  <si>
    <t>-1,417,597.51</t>
  </si>
  <si>
    <t>5332</t>
  </si>
  <si>
    <t>51281265501</t>
  </si>
  <si>
    <t>26395938353 MBTRF B/O XLINE INNOVATIVE TECHNICAL SERVICES</t>
  </si>
  <si>
    <t>11,815.75</t>
  </si>
  <si>
    <t>-1,405,781.76</t>
  </si>
  <si>
    <t>5333</t>
  </si>
  <si>
    <t>51281292047</t>
  </si>
  <si>
    <t>26395978660 MBTRF B/O XLINE INNOVATIVE TECHNICAL SERVICES</t>
  </si>
  <si>
    <t>-1,396,281.76</t>
  </si>
  <si>
    <t>5334</t>
  </si>
  <si>
    <t>28-Aug-2025</t>
  </si>
  <si>
    <t>529592839 B/O KHALID MOHAMED</t>
  </si>
  <si>
    <t>1,208.50</t>
  </si>
  <si>
    <t>-1,395,073.26</t>
  </si>
  <si>
    <t>5335</t>
  </si>
  <si>
    <t>PHUB529610494</t>
  </si>
  <si>
    <t>MOB2808250549468307612</t>
  </si>
  <si>
    <t>151,759.26</t>
  </si>
  <si>
    <t>-1,243,314.00</t>
  </si>
  <si>
    <t>5336</t>
  </si>
  <si>
    <t>PHUB529612839</t>
  </si>
  <si>
    <t>B/O_AL HAIL MA_NBFU_529612839_SALARY</t>
  </si>
  <si>
    <t>10,740.85</t>
  </si>
  <si>
    <t>-1,232,573.15</t>
  </si>
  <si>
    <t>5337</t>
  </si>
  <si>
    <t>20,369.65</t>
  </si>
  <si>
    <t>-1,212,203.50</t>
  </si>
  <si>
    <t>5338</t>
  </si>
  <si>
    <t>B/O_OIL MARKET_NBFU_529609234_OTHERS</t>
  </si>
  <si>
    <t>-477,003.50</t>
  </si>
  <si>
    <t>5339</t>
  </si>
  <si>
    <t>PHUB529615778</t>
  </si>
  <si>
    <t>B/O_MILTON - L_BARC_529615778_MILTON-</t>
  </si>
  <si>
    <t>52,486.25</t>
  </si>
  <si>
    <t>-424,517.25</t>
  </si>
  <si>
    <t>5340</t>
  </si>
  <si>
    <t>PHUB529629506</t>
  </si>
  <si>
    <t>529629506 B/O MUTHUKUMAR THANGAPANDY</t>
  </si>
  <si>
    <t>-402,317.25</t>
  </si>
  <si>
    <t>5341</t>
  </si>
  <si>
    <t>51284906015</t>
  </si>
  <si>
    <t>26400127874 MBTRF B/O DENNY PUTRA WIJAYA</t>
  </si>
  <si>
    <t>-377,317.25</t>
  </si>
  <si>
    <t>5342</t>
  </si>
  <si>
    <t>PHUB529636596</t>
  </si>
  <si>
    <t>529636596 B/O MUHAMMAD ASYRI NUGRAHA</t>
  </si>
  <si>
    <t>22,675.00</t>
  </si>
  <si>
    <t>-354,642.25</t>
  </si>
  <si>
    <t>5343</t>
  </si>
  <si>
    <t>PHUB529639981</t>
  </si>
  <si>
    <t>MOB2808250825108308122</t>
  </si>
  <si>
    <t>B/O CAKEOLOGY BAKERY AND CAFE SP LLC</t>
  </si>
  <si>
    <t>41,868.75</t>
  </si>
  <si>
    <t>-312,773.50</t>
  </si>
  <si>
    <t>5344</t>
  </si>
  <si>
    <t>PHUB529643974</t>
  </si>
  <si>
    <t>529643974 B/O CHANDRA MOHAN  SETTU</t>
  </si>
  <si>
    <t>9,200.00</t>
  </si>
  <si>
    <t>-303,573.50</t>
  </si>
  <si>
    <t>5345</t>
  </si>
  <si>
    <t>PHUB529652482</t>
  </si>
  <si>
    <t>B/O_SHAMSAN TR_BOML_529652482_ ADMIN</t>
  </si>
  <si>
    <t>36,801.00</t>
  </si>
  <si>
    <t>-266,772.50</t>
  </si>
  <si>
    <t>5346</t>
  </si>
  <si>
    <t>PHUB529653541</t>
  </si>
  <si>
    <t>529653541 B/O ALI MOHAMED IBRAHIM SALEM ALTENEIJI</t>
  </si>
  <si>
    <t>-246,772.50</t>
  </si>
  <si>
    <t>5347</t>
  </si>
  <si>
    <t>51285897620</t>
  </si>
  <si>
    <t>2548430145 IBTRF B/O PENTAGON INFORMATION TECHNOLOGY LLC</t>
  </si>
  <si>
    <t>-146,772.50</t>
  </si>
  <si>
    <t>5348</t>
  </si>
  <si>
    <t>51285921720</t>
  </si>
  <si>
    <t>2548431083 IBTRF B/O PENTAGON INFORMATION TECHNOLOGY LLC</t>
  </si>
  <si>
    <t>13,536.75</t>
  </si>
  <si>
    <t>-133,235.75</t>
  </si>
  <si>
    <t>5349</t>
  </si>
  <si>
    <t>51285997397</t>
  </si>
  <si>
    <t>2548433165 IBTRF B/O PENTAGON INFORMATION TECHNOLOGY LLC</t>
  </si>
  <si>
    <t>20,021.00</t>
  </si>
  <si>
    <t>-113,214.75</t>
  </si>
  <si>
    <t>5350</t>
  </si>
  <si>
    <t>PHUB529662166</t>
  </si>
  <si>
    <t>B/O_INDO POINT_BARB_529662166_SoloSto</t>
  </si>
  <si>
    <t>-39,674.25</t>
  </si>
  <si>
    <t>5351</t>
  </si>
  <si>
    <t>2508280919036172</t>
  </si>
  <si>
    <t>Musaffah Saniya AUH, 27TH AUG - Cash Collection TG</t>
  </si>
  <si>
    <t>510,325.75</t>
  </si>
  <si>
    <t>5352</t>
  </si>
  <si>
    <t>2508280919036209</t>
  </si>
  <si>
    <t>Baniyas AUH, 27TH AUG - Cash Collection TG</t>
  </si>
  <si>
    <t>1,010,325.75</t>
  </si>
  <si>
    <t>5353</t>
  </si>
  <si>
    <t>2508280919036218</t>
  </si>
  <si>
    <t>Old Shahama, 27TH AUG - Cash Collection TG</t>
  </si>
  <si>
    <t>1,240,325.75</t>
  </si>
  <si>
    <t>5354</t>
  </si>
  <si>
    <t>2508280919036227</t>
  </si>
  <si>
    <t>AlForshan Central Mall Khalifa City AUH, 27TH AUG - Cash Collection TG</t>
  </si>
  <si>
    <t>1,640,325.75</t>
  </si>
  <si>
    <t>5355</t>
  </si>
  <si>
    <t>2508280919036236</t>
  </si>
  <si>
    <t>Shamkha Mall Abu dhabi, 27TH AUG - Cash Collection TG</t>
  </si>
  <si>
    <t>1,860,325.75</t>
  </si>
  <si>
    <t>5356</t>
  </si>
  <si>
    <t>2508280919036243</t>
  </si>
  <si>
    <t>Musaffah Shabiya AUH, 27TH AUG - Cash Collection TG</t>
  </si>
  <si>
    <t>650,020.00</t>
  </si>
  <si>
    <t>2,510,345.75</t>
  </si>
  <si>
    <t>5357</t>
  </si>
  <si>
    <t>2508280919036246</t>
  </si>
  <si>
    <t>ICAD Musaffah AUH, 27TH AUG - Cash Collection TG</t>
  </si>
  <si>
    <t>2,860,345.75</t>
  </si>
  <si>
    <t>5358</t>
  </si>
  <si>
    <t>2508280919057102</t>
  </si>
  <si>
    <t>DEREI BLDNG AL QUAA AA, 27TH AUG - Cash Collection TG</t>
  </si>
  <si>
    <t>3,030,345.75</t>
  </si>
  <si>
    <t>5359</t>
  </si>
  <si>
    <t>2508280919057105</t>
  </si>
  <si>
    <t>Hamdan Abu Dhabi, 27TH AUG - Cash Collection TG</t>
  </si>
  <si>
    <t>1,160,000.00</t>
  </si>
  <si>
    <t>4,190,345.75</t>
  </si>
  <si>
    <t>5360</t>
  </si>
  <si>
    <t>2508280919057108</t>
  </si>
  <si>
    <t>Souk Br Al-Ain, 27TH AUG - Cash Collection TG</t>
  </si>
  <si>
    <t>4,510,345.75</t>
  </si>
  <si>
    <t>5361</t>
  </si>
  <si>
    <t>2508280919057113</t>
  </si>
  <si>
    <t>Al Ain (Clock Tower)1, 27TH AUG - Cash Collection TG</t>
  </si>
  <si>
    <t>5,260,345.75</t>
  </si>
  <si>
    <t>5362</t>
  </si>
  <si>
    <t>2508280919057120</t>
  </si>
  <si>
    <t>Sila Muroor Road AUH, 27TH AUG - Cash Collection TG</t>
  </si>
  <si>
    <t>5,620,345.75</t>
  </si>
  <si>
    <t>5363</t>
  </si>
  <si>
    <t>2508280919057123</t>
  </si>
  <si>
    <t>SANAYA ZAYED TOWN W/R, 27TH AUG - Cash Collection TG</t>
  </si>
  <si>
    <t>5,935,345.75</t>
  </si>
  <si>
    <t>5364</t>
  </si>
  <si>
    <t>2508280919057126</t>
  </si>
  <si>
    <t>Beda Zayed auh, 27TH AUG - Cash Collection TG</t>
  </si>
  <si>
    <t>6,495,345.75</t>
  </si>
  <si>
    <t>5365</t>
  </si>
  <si>
    <t>2508280919067129</t>
  </si>
  <si>
    <t>Ruwais AUH, 27TH AUG - Cash Collection TG</t>
  </si>
  <si>
    <t>6,775,345.75</t>
  </si>
  <si>
    <t>5366</t>
  </si>
  <si>
    <t>2508280919067138</t>
  </si>
  <si>
    <t>HAYER Al Ain1, 27TH AUG - Cash Collection TG</t>
  </si>
  <si>
    <t>6,995,345.75</t>
  </si>
  <si>
    <t>5367</t>
  </si>
  <si>
    <t>2508280919067153</t>
  </si>
  <si>
    <t>SWEIHAN  ALAIN, 27TH AUG - Cash Collection TG</t>
  </si>
  <si>
    <t>7,205,345.75</t>
  </si>
  <si>
    <t>5368</t>
  </si>
  <si>
    <t>2508280919067156</t>
  </si>
  <si>
    <t>AL FOAH MALL AL-AIN, 27TH AUG - Cash Collection TG</t>
  </si>
  <si>
    <t>7,705,345.75</t>
  </si>
  <si>
    <t>5369</t>
  </si>
  <si>
    <t>2508280919067163</t>
  </si>
  <si>
    <t>Gayathi Mall AUH, 27TH AUG - Cash Collection TG</t>
  </si>
  <si>
    <t>7,855,345.75</t>
  </si>
  <si>
    <t>5370</t>
  </si>
  <si>
    <t>2508280919067172</t>
  </si>
  <si>
    <t>Gayathi Mubarak Ashwan AUH, 27TH AUG - Cash Collection TG</t>
  </si>
  <si>
    <t>8,055,345.75</t>
  </si>
  <si>
    <t>5371</t>
  </si>
  <si>
    <t>2508280919067179</t>
  </si>
  <si>
    <t>AL MARFA MARKET WR, 27TH AUG - Cash Collection TG</t>
  </si>
  <si>
    <t>8,445,345.75</t>
  </si>
  <si>
    <t>5372</t>
  </si>
  <si>
    <t>2508280919067198</t>
  </si>
  <si>
    <t>Lulu Hyper Markete Sanaiya Al Ain, 27TH AUG - Cash Collection TG</t>
  </si>
  <si>
    <t>8,595,345.75</t>
  </si>
  <si>
    <t>5373</t>
  </si>
  <si>
    <t>2508280919067207</t>
  </si>
  <si>
    <t>Al Yahar Al Ain, 27TH AUG - Cash Collection TG</t>
  </si>
  <si>
    <t>9,135,345.75</t>
  </si>
  <si>
    <t>5374</t>
  </si>
  <si>
    <t>2508280919067222</t>
  </si>
  <si>
    <t>Boutik Mall al Reem island AUH, 27TH AUG - Cash Collection TG</t>
  </si>
  <si>
    <t>9,245,345.75</t>
  </si>
  <si>
    <t>5375</t>
  </si>
  <si>
    <t>2508280919067225</t>
  </si>
  <si>
    <t>TCA AUH, 27TH AUG - Cash Collection TG</t>
  </si>
  <si>
    <t>9,645,345.75</t>
  </si>
  <si>
    <t>5376</t>
  </si>
  <si>
    <t>2508280919067228</t>
  </si>
  <si>
    <t>Al Nahyan Street AUH, 27TH AUG - Cash Collection TG</t>
  </si>
  <si>
    <t>9,945,345.75</t>
  </si>
  <si>
    <t>5377</t>
  </si>
  <si>
    <t>2508280919067231</t>
  </si>
  <si>
    <t>B2B AUH, 27TH AUG - Cash Collection TG</t>
  </si>
  <si>
    <t>10,395,345.75</t>
  </si>
  <si>
    <t>5378</t>
  </si>
  <si>
    <t>2508280919067234</t>
  </si>
  <si>
    <t>Al Falah St Auh, 27TH AUG - Cash Collection TG</t>
  </si>
  <si>
    <t>10,625,345.75</t>
  </si>
  <si>
    <t>5379</t>
  </si>
  <si>
    <t>2508280919067257</t>
  </si>
  <si>
    <t>Al Wahda AUH, 27TH AUG - Cash Collection TG</t>
  </si>
  <si>
    <t>11,135,345.75</t>
  </si>
  <si>
    <t>5380</t>
  </si>
  <si>
    <t>2508280919077266</t>
  </si>
  <si>
    <t>Zayed 1st Street Electra AUH, 27TH AUG - Cash Collection TG</t>
  </si>
  <si>
    <t>11,215,345.75</t>
  </si>
  <si>
    <t>5381</t>
  </si>
  <si>
    <t>2508280919077283</t>
  </si>
  <si>
    <t>Bin Dhgher Tower Khalidya AUH, 27TH AUG - Cash Collection TG</t>
  </si>
  <si>
    <t>11,515,345.75</t>
  </si>
  <si>
    <t>5382</t>
  </si>
  <si>
    <t>2508280919077292</t>
  </si>
  <si>
    <t>Al Dhafra AUH, 27TH AUG - Cash Collection TG</t>
  </si>
  <si>
    <t>11,875,345.75</t>
  </si>
  <si>
    <t>5383</t>
  </si>
  <si>
    <t>2508280919108233</t>
  </si>
  <si>
    <t>NESTO HYPRMRKT AJM, 27TH AUG - Cash Collection TG</t>
  </si>
  <si>
    <t>12,195,345.75</t>
  </si>
  <si>
    <t>5384</t>
  </si>
  <si>
    <t>2508280919108338</t>
  </si>
  <si>
    <t>CITY CENTER AL ZAHIA SHJ, 27TH AUG - Cash Collection TG</t>
  </si>
  <si>
    <t>12,425,345.75</t>
  </si>
  <si>
    <t>5385</t>
  </si>
  <si>
    <t>2508280919108341</t>
  </si>
  <si>
    <t>MOE 1, 27TH AUG - Cash Collection TG</t>
  </si>
  <si>
    <t>1,500,125.00</t>
  </si>
  <si>
    <t>13,925,470.75</t>
  </si>
  <si>
    <t>5386</t>
  </si>
  <si>
    <t>2508280919108350</t>
  </si>
  <si>
    <t>NAIF RD, 27TH AUG - Cash Collection TG</t>
  </si>
  <si>
    <t>13,926,470.75</t>
  </si>
  <si>
    <t>5387</t>
  </si>
  <si>
    <t>2508280919108353</t>
  </si>
  <si>
    <t>FUJAIRAH, 27TH AUG - Cash Collection TG</t>
  </si>
  <si>
    <t>14,366,470.75</t>
  </si>
  <si>
    <t>5388</t>
  </si>
  <si>
    <t>2508280919118356</t>
  </si>
  <si>
    <t>MUWEILAH SHJ, 27TH AUG - Cash Collection TG</t>
  </si>
  <si>
    <t>14,816,470.75</t>
  </si>
  <si>
    <t>5389</t>
  </si>
  <si>
    <t>2508280919118373</t>
  </si>
  <si>
    <t>MEGA MALL SHARJAH BR 1, 27TH AUG - Cash Collection TG</t>
  </si>
  <si>
    <t>15,046,470.75</t>
  </si>
  <si>
    <t>5390</t>
  </si>
  <si>
    <t>2508280919118380</t>
  </si>
  <si>
    <t>UAQ, 27TH AUG - Cash Collection TG</t>
  </si>
  <si>
    <t>15,431,470.75</t>
  </si>
  <si>
    <t>5391</t>
  </si>
  <si>
    <t>2508280919118383</t>
  </si>
  <si>
    <t>AL RIGGA METRO STION DXB, 27TH AUG - Cash Collection TG</t>
  </si>
  <si>
    <t>1,250,000.00</t>
  </si>
  <si>
    <t>16,681,470.75</t>
  </si>
  <si>
    <t>5392</t>
  </si>
  <si>
    <t>2508280919118386</t>
  </si>
  <si>
    <t>ONYX TOWER 1, 27TH AUG - Cash Collection TG</t>
  </si>
  <si>
    <t>17,131,470.75</t>
  </si>
  <si>
    <t>5393</t>
  </si>
  <si>
    <t>2508280919118405</t>
  </si>
  <si>
    <t>AL MINA NESTO BR DXB, 27TH AUG - Cash Collection TG</t>
  </si>
  <si>
    <t>17,481,470.75</t>
  </si>
  <si>
    <t>5394</t>
  </si>
  <si>
    <t>2508280919118410</t>
  </si>
  <si>
    <t>CO OP SOCIETY SHJ 1, 27TH AUG - Cash Collection TG</t>
  </si>
  <si>
    <t>17,751,470.75</t>
  </si>
  <si>
    <t>5395</t>
  </si>
  <si>
    <t>2508280919118417</t>
  </si>
  <si>
    <t>KHAN SAHIB BLDG SHJ, 27TH AUG - Cash Collection TG</t>
  </si>
  <si>
    <t>18,051,470.75</t>
  </si>
  <si>
    <t>5396</t>
  </si>
  <si>
    <t>2508280919118420</t>
  </si>
  <si>
    <t>DEIRA 1, 27TH AUG - Cash Collection TG</t>
  </si>
  <si>
    <t>19,651,470.75</t>
  </si>
  <si>
    <t>5397</t>
  </si>
  <si>
    <t>2508280919118424</t>
  </si>
  <si>
    <t>BUR DUBAI, 27TH AUG - Cash Collection TG</t>
  </si>
  <si>
    <t>20,001,470.75</t>
  </si>
  <si>
    <t>5398</t>
  </si>
  <si>
    <t>2508280919118454</t>
  </si>
  <si>
    <t>SATWA 1, 27TH AUG - Cash Collection TG</t>
  </si>
  <si>
    <t>20,551,470.75</t>
  </si>
  <si>
    <t>5399</t>
  </si>
  <si>
    <t>2508280919118457</t>
  </si>
  <si>
    <t>AL NHDA RES TWRS  SHJ, 27TH AUG - Cash Collection TG</t>
  </si>
  <si>
    <t>20,901,470.75</t>
  </si>
  <si>
    <t>5400</t>
  </si>
  <si>
    <t>2508280919118476</t>
  </si>
  <si>
    <t>AL MADAM SHJ, 27TH AUG - Cash Collection TG</t>
  </si>
  <si>
    <t>21,251,470.75</t>
  </si>
  <si>
    <t>5401</t>
  </si>
  <si>
    <t>2508280919118485</t>
  </si>
  <si>
    <t>SAJA INDUSTRIAL SHJ 2, 27TH AUG - Cash Collection TG</t>
  </si>
  <si>
    <t>21,581,470.75</t>
  </si>
  <si>
    <t>5402</t>
  </si>
  <si>
    <t>2508280919118488</t>
  </si>
  <si>
    <t>IND AREA 3 SHJ, 27TH AUG - Cash Collection TG</t>
  </si>
  <si>
    <t>21,746,470.75</t>
  </si>
  <si>
    <t>5403</t>
  </si>
  <si>
    <t>2508280919118491</t>
  </si>
  <si>
    <t>KARAMA DUBAI, 27TH AUG - Cash Collection TG</t>
  </si>
  <si>
    <t>21,946,470.75</t>
  </si>
  <si>
    <t>5404</t>
  </si>
  <si>
    <t>2508280919128494</t>
  </si>
  <si>
    <t>22,246,470.75</t>
  </si>
  <si>
    <t>5405</t>
  </si>
  <si>
    <t>51286437155</t>
  </si>
  <si>
    <t>26401673727 MBTRF B/O MUNASLIV NATALIA RAMMANG</t>
  </si>
  <si>
    <t>22,248,170.75</t>
  </si>
  <si>
    <t>5406</t>
  </si>
  <si>
    <t>529673236 B/O ALI SULTAN HAMAD SULTAN ALKINDI</t>
  </si>
  <si>
    <t>22,251,170.75</t>
  </si>
  <si>
    <t>5407</t>
  </si>
  <si>
    <t>PHUB529674535</t>
  </si>
  <si>
    <t>B/O EMIRATES PODIATRY CENTER LLC SPC</t>
  </si>
  <si>
    <t>5.25</t>
  </si>
  <si>
    <t>22,251,176.00</t>
  </si>
  <si>
    <t>5408</t>
  </si>
  <si>
    <t>PHUB529677456</t>
  </si>
  <si>
    <t>FINESSE 28082025</t>
  </si>
  <si>
    <t>86,438.82</t>
  </si>
  <si>
    <t>22,164,737.18</t>
  </si>
  <si>
    <t>5409</t>
  </si>
  <si>
    <t>41,000.00</t>
  </si>
  <si>
    <t>22,205,737.18</t>
  </si>
  <si>
    <t>5410</t>
  </si>
  <si>
    <t>MOB2808250955298309255</t>
  </si>
  <si>
    <t>22,245,737.18</t>
  </si>
  <si>
    <t>5411</t>
  </si>
  <si>
    <t>PHUB529699808</t>
  </si>
  <si>
    <t>529699808 B/O MOHAMED ELDESOUKY MOHAMED ALY ABOUZ</t>
  </si>
  <si>
    <t>26.00</t>
  </si>
  <si>
    <t>22,245,763.18</t>
  </si>
  <si>
    <t>5412</t>
  </si>
  <si>
    <t>B/O_AHMAD MOUNIR ELJ_529711428</t>
  </si>
  <si>
    <t>23,500.00</t>
  </si>
  <si>
    <t>22,269,263.18</t>
  </si>
  <si>
    <t>5413</t>
  </si>
  <si>
    <t>PHUB529704172</t>
  </si>
  <si>
    <t>B/O_K AND J RE_ABIN_529704172_KJ SALA</t>
  </si>
  <si>
    <t>9,921.98</t>
  </si>
  <si>
    <t>22,279,185.16</t>
  </si>
  <si>
    <t>5414</t>
  </si>
  <si>
    <t>PHUB529705342</t>
  </si>
  <si>
    <t>529705342 B/O SOMSAK POMSANG</t>
  </si>
  <si>
    <t>22,297,585.16</t>
  </si>
  <si>
    <t>5415</t>
  </si>
  <si>
    <t>529713290</t>
  </si>
  <si>
    <t>5701010217423</t>
  </si>
  <si>
    <t>5701010217423_20250828_252408860636</t>
  </si>
  <si>
    <t>900.17</t>
  </si>
  <si>
    <t>22,296,684.99</t>
  </si>
  <si>
    <t>5416</t>
  </si>
  <si>
    <t>51287805760</t>
  </si>
  <si>
    <t>26402982784 MBTRF B/O DARMAWANGSA</t>
  </si>
  <si>
    <t>22,301,684.99</t>
  </si>
  <si>
    <t>5417</t>
  </si>
  <si>
    <t>MOB2808251015268309590</t>
  </si>
  <si>
    <t>16,967.02</t>
  </si>
  <si>
    <t>22,318,652.01</t>
  </si>
  <si>
    <t>5418</t>
  </si>
  <si>
    <t>PHUB529717629</t>
  </si>
  <si>
    <t>B/O_FAST CARE _ABIN_529717629_FC CAMP</t>
  </si>
  <si>
    <t>10,122.05</t>
  </si>
  <si>
    <t>22,328,774.06</t>
  </si>
  <si>
    <t>5419</t>
  </si>
  <si>
    <t>35,650.00</t>
  </si>
  <si>
    <t>22,364,424.06</t>
  </si>
  <si>
    <t>5420</t>
  </si>
  <si>
    <t>PHUB529724861</t>
  </si>
  <si>
    <t>MOB2808251028478309847</t>
  </si>
  <si>
    <t>B/O ROOT EXPRESS FOODSTUFFS TRADING LLC</t>
  </si>
  <si>
    <t>11,376.35</t>
  </si>
  <si>
    <t>22,375,800.41</t>
  </si>
  <si>
    <t>5421</t>
  </si>
  <si>
    <t>PHUB529725313</t>
  </si>
  <si>
    <t>529725313 B/O MOUZA SAIF SULTAN MUBARAK ALARYANI ALARYANI</t>
  </si>
  <si>
    <t>1,224.25</t>
  </si>
  <si>
    <t>22,377,024.66</t>
  </si>
  <si>
    <t>5422</t>
  </si>
  <si>
    <t>PHUB529726089</t>
  </si>
  <si>
    <t>MOB2808251031108309877</t>
  </si>
  <si>
    <t>22,476,024.66</t>
  </si>
  <si>
    <t>5423</t>
  </si>
  <si>
    <t>PHUB529728263</t>
  </si>
  <si>
    <t>6,116.32</t>
  </si>
  <si>
    <t>22,482,140.98</t>
  </si>
  <si>
    <t>5424</t>
  </si>
  <si>
    <t>51288461637</t>
  </si>
  <si>
    <t>26403624940 MBTRF B/O GOPALAKRISHNAN SUBRAMANIAN</t>
  </si>
  <si>
    <t>16,799.66</t>
  </si>
  <si>
    <t>22,498,940.64</t>
  </si>
  <si>
    <t>5425</t>
  </si>
  <si>
    <t>PHUB529733777</t>
  </si>
  <si>
    <t>NSAF3114</t>
  </si>
  <si>
    <t>B/O NORTH STAR SHIPPING AGENCY LLC</t>
  </si>
  <si>
    <t>28,825.00</t>
  </si>
  <si>
    <t>22,527,765.64</t>
  </si>
  <si>
    <t>5426</t>
  </si>
  <si>
    <t>PHUB529743509</t>
  </si>
  <si>
    <t>AUGUST 2025 PAYROLL</t>
  </si>
  <si>
    <t>117,448.27</t>
  </si>
  <si>
    <t>22,645,213.91</t>
  </si>
  <si>
    <t>5427</t>
  </si>
  <si>
    <t>51288995480</t>
  </si>
  <si>
    <t>26404137831 MBTRF B/O AL ARFEEN HEAVY EQUIP RNTAL TR LLC</t>
  </si>
  <si>
    <t>47,822.00</t>
  </si>
  <si>
    <t>22,693,035.91</t>
  </si>
  <si>
    <t>5428</t>
  </si>
  <si>
    <t>PHUB529746266</t>
  </si>
  <si>
    <t>MOB2808251100108310398</t>
  </si>
  <si>
    <t>B/O XIZI OTIS LIFTS &amp; ESCALATORS TRADIN</t>
  </si>
  <si>
    <t>22,729,836.41</t>
  </si>
  <si>
    <t>5429</t>
  </si>
  <si>
    <t>2,133.00</t>
  </si>
  <si>
    <t>22,731,969.41</t>
  </si>
  <si>
    <t>5430</t>
  </si>
  <si>
    <t>PHUB529754626</t>
  </si>
  <si>
    <t>WPS AUG</t>
  </si>
  <si>
    <t>B/O HYBRID XPERIENCE LASER LLC</t>
  </si>
  <si>
    <t>177,760.25</t>
  </si>
  <si>
    <t>22,909,729.66</t>
  </si>
  <si>
    <t>5431</t>
  </si>
  <si>
    <t>51289327290</t>
  </si>
  <si>
    <t>2548566861 IBTRF B/O VISWANADHAM VEMULA</t>
  </si>
  <si>
    <t>22,936,729.66</t>
  </si>
  <si>
    <t>5432</t>
  </si>
  <si>
    <t>PHUB529761605</t>
  </si>
  <si>
    <t>B/O_FOUGITO PORTAL_529761605</t>
  </si>
  <si>
    <t>34,593.38</t>
  </si>
  <si>
    <t>22,971,323.04</t>
  </si>
  <si>
    <t>5433</t>
  </si>
  <si>
    <t>67,095.10</t>
  </si>
  <si>
    <t>23,038,418.14</t>
  </si>
  <si>
    <t>5434</t>
  </si>
  <si>
    <t>23,110,418.14</t>
  </si>
  <si>
    <t>5435</t>
  </si>
  <si>
    <t>PHUB529779296</t>
  </si>
  <si>
    <t>B/O_NOOR ALAFA_BOML_529779296_ GOODS</t>
  </si>
  <si>
    <t>51,331.17</t>
  </si>
  <si>
    <t>23,161,749.31</t>
  </si>
  <si>
    <t>5436</t>
  </si>
  <si>
    <t>PHUB529780036</t>
  </si>
  <si>
    <t>LIGHT HOUSE</t>
  </si>
  <si>
    <t>3,624.98</t>
  </si>
  <si>
    <t>23,165,374.29</t>
  </si>
  <si>
    <t>5437</t>
  </si>
  <si>
    <t>2508281136197338</t>
  </si>
  <si>
    <t>BUY 50K EUR RATE 4.287 ALFARDAN EX</t>
  </si>
  <si>
    <t>214,350.00</t>
  </si>
  <si>
    <t>23,379,724.29</t>
  </si>
  <si>
    <t>5438</t>
  </si>
  <si>
    <t>2508281137255171</t>
  </si>
  <si>
    <t>BUY 50K USD RATE 3.676 ALFARDAN EX</t>
  </si>
  <si>
    <t>183,800.00</t>
  </si>
  <si>
    <t>23,563,524.29</t>
  </si>
  <si>
    <t>5439</t>
  </si>
  <si>
    <t>001143</t>
  </si>
  <si>
    <t>INHOUSE CHEQUE DEPOSIT 001143 GAFFUR PULIKKAL MOHAMED    MOHAMED PULIKKAL AL FARDAN EXCHANGE SP LLC CHQ NO ::001143</t>
  </si>
  <si>
    <t>23,567,837.04</t>
  </si>
  <si>
    <t>5440</t>
  </si>
  <si>
    <t>51290459932</t>
  </si>
  <si>
    <t>26405562011 MBTRF B/O AHMAD ALABED KHALIL ABU EID</t>
  </si>
  <si>
    <t>64,605.00</t>
  </si>
  <si>
    <t>23,632,442.04</t>
  </si>
  <si>
    <t>5441</t>
  </si>
  <si>
    <t>PHUB529809035</t>
  </si>
  <si>
    <t>B/O_SALAMA KHA_ADIB_529809035_Other m</t>
  </si>
  <si>
    <t>183,950.00</t>
  </si>
  <si>
    <t>23,816,392.04</t>
  </si>
  <si>
    <t>5442</t>
  </si>
  <si>
    <t>FARDAN280825</t>
  </si>
  <si>
    <t>166,554.00</t>
  </si>
  <si>
    <t>23,982,946.04</t>
  </si>
  <si>
    <t>5443</t>
  </si>
  <si>
    <t>73,100.60</t>
  </si>
  <si>
    <t>24,056,046.64</t>
  </si>
  <si>
    <t>5444</t>
  </si>
  <si>
    <t>PHUB529811766</t>
  </si>
  <si>
    <t>529811766 B/O BILAL AMJAD</t>
  </si>
  <si>
    <t>1,283.00</t>
  </si>
  <si>
    <t>24,057,329.64</t>
  </si>
  <si>
    <t>5445</t>
  </si>
  <si>
    <t>24,277.04</t>
  </si>
  <si>
    <t>24,081,606.68</t>
  </si>
  <si>
    <t>5446</t>
  </si>
  <si>
    <t>PHUB529812735</t>
  </si>
  <si>
    <t>B/O_AL FARDAN _EBIL_529812735_AUHADCB</t>
  </si>
  <si>
    <t>33,081,606.68</t>
  </si>
  <si>
    <t>5447</t>
  </si>
  <si>
    <t>PHUB529815958</t>
  </si>
  <si>
    <t>EMPLOYEE SALARY AUG 2025</t>
  </si>
  <si>
    <t>B/O GREEN EMPIRE TECHNICAL SERVICES</t>
  </si>
  <si>
    <t>17,200.00</t>
  </si>
  <si>
    <t>33,098,806.68</t>
  </si>
  <si>
    <t>5448</t>
  </si>
  <si>
    <t>INNOVATIVE 28082025</t>
  </si>
  <si>
    <t>TRF TO INNOVATIVE BYTE TECH SOLTN LLC SP</t>
  </si>
  <si>
    <t>33,096,706.68</t>
  </si>
  <si>
    <t>5449</t>
  </si>
  <si>
    <t>PHUB529816178</t>
  </si>
  <si>
    <t>FIRST FLIGHT 2808202</t>
  </si>
  <si>
    <t>TRF TO FIRST FLIGHT COURIER</t>
  </si>
  <si>
    <t>2,140.23</t>
  </si>
  <si>
    <t>33,094,566.45</t>
  </si>
  <si>
    <t>5450</t>
  </si>
  <si>
    <t>PHUB529816598</t>
  </si>
  <si>
    <t>529816598 B/O KARIMA BEN KOUDIA</t>
  </si>
  <si>
    <t>1,952.00</t>
  </si>
  <si>
    <t>33,096,518.45</t>
  </si>
  <si>
    <t>5451</t>
  </si>
  <si>
    <t>PHUB529818318</t>
  </si>
  <si>
    <t>IMD 28082025</t>
  </si>
  <si>
    <t>48,576,780.79</t>
  </si>
  <si>
    <t>-15,480,262.34</t>
  </si>
  <si>
    <t>5452</t>
  </si>
  <si>
    <t>311230</t>
  </si>
  <si>
    <t>INHOUSE CHEQUE DEPOSIT AL FARDAN EXCHANGE SP LLC CHQ NO ::311230</t>
  </si>
  <si>
    <t>1,374,685.90</t>
  </si>
  <si>
    <t>-14,105,576.44</t>
  </si>
  <si>
    <t>5453</t>
  </si>
  <si>
    <t>PHUB529831091</t>
  </si>
  <si>
    <t>TSPV8 25 258</t>
  </si>
  <si>
    <t>B/O TERMINAL SUBSEA SOLU.MRIN.SER.S.PRP</t>
  </si>
  <si>
    <t>158,322.01</t>
  </si>
  <si>
    <t>-13,947,254.43</t>
  </si>
  <si>
    <t>5454</t>
  </si>
  <si>
    <t>PHUB529829651</t>
  </si>
  <si>
    <t>529829651 B/O UMAIR KHAN</t>
  </si>
  <si>
    <t>22,042.20</t>
  </si>
  <si>
    <t>-13,925,212.23</t>
  </si>
  <si>
    <t>5455</t>
  </si>
  <si>
    <t>PHUB529832525</t>
  </si>
  <si>
    <t>B/O_INNOVO GEN_ABIN_529832525_PAYMENT</t>
  </si>
  <si>
    <t>216,520.70</t>
  </si>
  <si>
    <t>-13,708,691.53</t>
  </si>
  <si>
    <t>5456</t>
  </si>
  <si>
    <t>529834693 B/O MOHAMED HASAN IBRAHIM HASAN ALFARDA</t>
  </si>
  <si>
    <t>7,830.00</t>
  </si>
  <si>
    <t>-13,700,861.53</t>
  </si>
  <si>
    <t>5457</t>
  </si>
  <si>
    <t>529837656 B/O MOHAMMED ALI OBAID ALRUWAIDI ALDHAHERI</t>
  </si>
  <si>
    <t>642.25</t>
  </si>
  <si>
    <t>-13,700,219.28</t>
  </si>
  <si>
    <t>5458</t>
  </si>
  <si>
    <t>PHUB529842332</t>
  </si>
  <si>
    <t>B/O_ALLIANZ MI_NBFU_529842332_SALARY</t>
  </si>
  <si>
    <t>11,441.90</t>
  </si>
  <si>
    <t>-13,688,777.38</t>
  </si>
  <si>
    <t>5459</t>
  </si>
  <si>
    <t>PHUB529843981</t>
  </si>
  <si>
    <t>B/O_MR INDERRA_HSBC_529843981_AEV2808</t>
  </si>
  <si>
    <t>52,773.50</t>
  </si>
  <si>
    <t>-13,636,003.88</t>
  </si>
  <si>
    <t>5460</t>
  </si>
  <si>
    <t>68,826.25</t>
  </si>
  <si>
    <t>-13,567,177.63</t>
  </si>
  <si>
    <t>5461</t>
  </si>
  <si>
    <t>PHUB529850548</t>
  </si>
  <si>
    <t>ADCB CA 28082025</t>
  </si>
  <si>
    <t>3,400,000.00</t>
  </si>
  <si>
    <t>-10,167,177.63</t>
  </si>
  <si>
    <t>5462</t>
  </si>
  <si>
    <t>UEC 28082025</t>
  </si>
  <si>
    <t>3,843,989.77</t>
  </si>
  <si>
    <t>-14,011,167.40</t>
  </si>
  <si>
    <t>5463</t>
  </si>
  <si>
    <t>51292410473</t>
  </si>
  <si>
    <t>2548678131 IBTRF B/O RIZWAN HUSSAIN AND OR ARIFA HUSSAIN</t>
  </si>
  <si>
    <t>844.00</t>
  </si>
  <si>
    <t>-14,010,323.40</t>
  </si>
  <si>
    <t>5464</t>
  </si>
  <si>
    <t>INHOUSE CHEQUE DEPOSIT 000095 MOHAMMED KUNHI PUTHIYA PURAYIL MUSTHAFA KUPPURA AL FARDAN EXCHANGE SP LLC CHQ NO ::000095</t>
  </si>
  <si>
    <t>-13,984,323.40</t>
  </si>
  <si>
    <t>5465</t>
  </si>
  <si>
    <t>PHUB529854440</t>
  </si>
  <si>
    <t>B/O_AL THEEB E_EBIL_529854440_GOODS B</t>
  </si>
  <si>
    <t>17,075.75</t>
  </si>
  <si>
    <t>-13,967,247.65</t>
  </si>
  <si>
    <t>5466</t>
  </si>
  <si>
    <t>8,503.15</t>
  </si>
  <si>
    <t>-13,958,744.50</t>
  </si>
  <si>
    <t>5467</t>
  </si>
  <si>
    <t>003868</t>
  </si>
  <si>
    <t>INHOUSE CHEQUE DEPOSIT 003868 BADARUDEEN SHAMSUDEEN    SHAMSUDEEN AL FARDAN EXCHANGE SP LLC CHQ NO ::003868</t>
  </si>
  <si>
    <t>996,072.50</t>
  </si>
  <si>
    <t>-12,962,672.00</t>
  </si>
  <si>
    <t>5468</t>
  </si>
  <si>
    <t>51292904903</t>
  </si>
  <si>
    <t>26407972983 MBTRF B/O SHANMUGAM RAMESH</t>
  </si>
  <si>
    <t>47,816.00</t>
  </si>
  <si>
    <t>-12,914,856.00</t>
  </si>
  <si>
    <t>5469</t>
  </si>
  <si>
    <t>PHUB529862875</t>
  </si>
  <si>
    <t>AL FARDAN 2608</t>
  </si>
  <si>
    <t>B/O KANOO GROUP LLC</t>
  </si>
  <si>
    <t>344.40</t>
  </si>
  <si>
    <t>-12,914,511.60</t>
  </si>
  <si>
    <t>5470</t>
  </si>
  <si>
    <t>111,000.00</t>
  </si>
  <si>
    <t>-12,803,511.60</t>
  </si>
  <si>
    <t>5471</t>
  </si>
  <si>
    <t>PHUB529869464</t>
  </si>
  <si>
    <t>529869464 B/O Hbaich Meryem</t>
  </si>
  <si>
    <t>-12,803,111.60</t>
  </si>
  <si>
    <t>5472</t>
  </si>
  <si>
    <t>96,000.00</t>
  </si>
  <si>
    <t>-12,707,111.60</t>
  </si>
  <si>
    <t>5473</t>
  </si>
  <si>
    <t>PHUB529874160</t>
  </si>
  <si>
    <t>SALARY AUG 2025</t>
  </si>
  <si>
    <t>B/O L P LOGISTICS PLUS LLC</t>
  </si>
  <si>
    <t>260,007.50</t>
  </si>
  <si>
    <t>-12,447,104.10</t>
  </si>
  <si>
    <t>5474</t>
  </si>
  <si>
    <t>002070</t>
  </si>
  <si>
    <t>INHOUSE CHEQUE DEPOSIT 002070 MUHAMMAD RASHID KOONARI   PEZHUMTHARA AL FARDAN EXCHANGE SP LLC CHQ NO ::002070</t>
  </si>
  <si>
    <t>10,933.75</t>
  </si>
  <si>
    <t>-12,436,170.35</t>
  </si>
  <si>
    <t>5475</t>
  </si>
  <si>
    <t>PHUB529877324</t>
  </si>
  <si>
    <t>B/O_L.L.C ABEE_ADIB_529877324_Abeer T</t>
  </si>
  <si>
    <t>284,244.50</t>
  </si>
  <si>
    <t>-12,151,925.85</t>
  </si>
  <si>
    <t>5476</t>
  </si>
  <si>
    <t>PHUB529881025</t>
  </si>
  <si>
    <t>529881025 B/O ASLAM MANKADAVATH PUTHANVEETTIL</t>
  </si>
  <si>
    <t>-12,150,225.85</t>
  </si>
  <si>
    <t>5477</t>
  </si>
  <si>
    <t>PHUB529884760</t>
  </si>
  <si>
    <t>CA 28082025</t>
  </si>
  <si>
    <t>14,400,000.00</t>
  </si>
  <si>
    <t>2,249,774.15</t>
  </si>
  <si>
    <t>5478</t>
  </si>
  <si>
    <t>PHUB529885202</t>
  </si>
  <si>
    <t>USD BUY 28082025</t>
  </si>
  <si>
    <t>11,570,895.00</t>
  </si>
  <si>
    <t>-9,321,120.85</t>
  </si>
  <si>
    <t>5479</t>
  </si>
  <si>
    <t>-9,315,120.85</t>
  </si>
  <si>
    <t>5480</t>
  </si>
  <si>
    <t>51294135556</t>
  </si>
  <si>
    <t>26409230180 MBTRF B/O BELAL MOHAMED EBRAHIM AHMED</t>
  </si>
  <si>
    <t>-9,314,605.10</t>
  </si>
  <si>
    <t>5481</t>
  </si>
  <si>
    <t>PHUB529900737</t>
  </si>
  <si>
    <t>529900737 B/O SREEJITH KARUMATHIL SREENIVASAN</t>
  </si>
  <si>
    <t>-9,314,500.10</t>
  </si>
  <si>
    <t>5482</t>
  </si>
  <si>
    <t>PHUB529908453</t>
  </si>
  <si>
    <t>B/O_LA ROCHE P_BOML_529908453_ COMPEN</t>
  </si>
  <si>
    <t>32,552.50</t>
  </si>
  <si>
    <t>-9,281,947.60</t>
  </si>
  <si>
    <t>5483</t>
  </si>
  <si>
    <t>PHUB529912448</t>
  </si>
  <si>
    <t>B/O_KNOWN DESI_BOML_529912448_ SETTLE</t>
  </si>
  <si>
    <t>229,183.25</t>
  </si>
  <si>
    <t>-9,052,764.35</t>
  </si>
  <si>
    <t>5484</t>
  </si>
  <si>
    <t>B/O_OIL MARKET_NBFU_529908748_OTHERS</t>
  </si>
  <si>
    <t>698,440.00</t>
  </si>
  <si>
    <t>-8,354,324.35</t>
  </si>
  <si>
    <t>5485</t>
  </si>
  <si>
    <t>005771</t>
  </si>
  <si>
    <t>INHOUSE CHEQUE DEPOSIT 005771 JOBI,KAVUNGAL JOHNY,KAVUNGAL,,,JOHNY, AL FARDAN EXCHANGE SP LLC CHQ NO ::005771</t>
  </si>
  <si>
    <t>303,498.00</t>
  </si>
  <si>
    <t>-8,050,826.35</t>
  </si>
  <si>
    <t>5486</t>
  </si>
  <si>
    <t>2508281415436586</t>
  </si>
  <si>
    <t>Finance Disbursal-108L055252400002</t>
  </si>
  <si>
    <t>6,949,173.65</t>
  </si>
  <si>
    <t>5487</t>
  </si>
  <si>
    <t>001545</t>
  </si>
  <si>
    <t>INHOUSE CHEQUE DEPOSIT 001545 DIL JAN MOHAMMAD   ALI AL FARDAN EXCHANGE SP LLC CHQ NO ::001545</t>
  </si>
  <si>
    <t>197,765.54</t>
  </si>
  <si>
    <t>7,146,939.19</t>
  </si>
  <si>
    <t>5488</t>
  </si>
  <si>
    <t>PHUB529925708</t>
  </si>
  <si>
    <t>529925708 B/O DHEYAB  MOHAMED RASHED BINALIWAH ALYAMMAHI</t>
  </si>
  <si>
    <t>7,160,939.19</t>
  </si>
  <si>
    <t>5489</t>
  </si>
  <si>
    <t>PHUB529926408</t>
  </si>
  <si>
    <t>529926408 B/O MR PUTHETTU KURIAN MATHEW</t>
  </si>
  <si>
    <t>7,166,939.19</t>
  </si>
  <si>
    <t>5490</t>
  </si>
  <si>
    <t>PHUB529932129</t>
  </si>
  <si>
    <t>529932129 B/O DELICATES FIX and CLEAN L.L.C</t>
  </si>
  <si>
    <t>6,620.00</t>
  </si>
  <si>
    <t>7,173,559.19</t>
  </si>
  <si>
    <t>5491</t>
  </si>
  <si>
    <t>AL DAAM</t>
  </si>
  <si>
    <t>INHOUSE CHEQUE DEPOSIT AL DAAM AL FARDAN EXCHANGE SP LLC CHQ NO ::000062</t>
  </si>
  <si>
    <t>26,796.00</t>
  </si>
  <si>
    <t>7,200,355.19</t>
  </si>
  <si>
    <t>5492</t>
  </si>
  <si>
    <t>51295820059</t>
  </si>
  <si>
    <t>26410928543 MBTRF B/O ANCY ALWYN</t>
  </si>
  <si>
    <t>29,507.00</t>
  </si>
  <si>
    <t>7,229,862.19</t>
  </si>
  <si>
    <t>5493</t>
  </si>
  <si>
    <t>INHOUSE CHEQUE DEPOSIT 000096 SHAMSHEER KHAN AHAMED KHAN AHAMED  KHAN AL FARDAN EXCHANGE SP LLC CHQ NO ::000096</t>
  </si>
  <si>
    <t>7,340,142.69</t>
  </si>
  <si>
    <t>5494</t>
  </si>
  <si>
    <t>000384</t>
  </si>
  <si>
    <t>INHOUSE CHEQUE DEPOSIT 000384 SADIQ CHENOTH MADATHIL    BOMBAY AL FARDAN EXCHANGE SP LLC CHQ NO ::000384</t>
  </si>
  <si>
    <t>196,482.25</t>
  </si>
  <si>
    <t>7,536,624.94</t>
  </si>
  <si>
    <t>5495</t>
  </si>
  <si>
    <t>B/O_A/C. 19369_ADIB_529938239_Financi</t>
  </si>
  <si>
    <t>449,963.12</t>
  </si>
  <si>
    <t>7,986,588.06</t>
  </si>
  <si>
    <t>5496</t>
  </si>
  <si>
    <t>PHUB529943438</t>
  </si>
  <si>
    <t>MOB2808251450038315067</t>
  </si>
  <si>
    <t>B/O CAPTURED PHOTOGRAPHY</t>
  </si>
  <si>
    <t>7,990,614.31</t>
  </si>
  <si>
    <t>5497</t>
  </si>
  <si>
    <t>PHUB529949347</t>
  </si>
  <si>
    <t>B/O_DELICATES _BOML_529949347_ COMPEN</t>
  </si>
  <si>
    <t>38,907.00</t>
  </si>
  <si>
    <t>8,029,521.31</t>
  </si>
  <si>
    <t>5498</t>
  </si>
  <si>
    <t>PHUB529950772</t>
  </si>
  <si>
    <t>529950772 B/O AL NAHIYA GROUP</t>
  </si>
  <si>
    <t>25,756.25</t>
  </si>
  <si>
    <t>8,055,277.56</t>
  </si>
  <si>
    <t>5499</t>
  </si>
  <si>
    <t>51296429041</t>
  </si>
  <si>
    <t>2548810456 IBTRF B/O ARUN KUMAR TRIPATHI</t>
  </si>
  <si>
    <t>8,092,088.06</t>
  </si>
  <si>
    <t>5500</t>
  </si>
  <si>
    <t>51296503388</t>
  </si>
  <si>
    <t>2548812641 IBTRF B/O PACHERS BLINDS TRADING LLC</t>
  </si>
  <si>
    <t>39,813.00</t>
  </si>
  <si>
    <t>8,131,901.06</t>
  </si>
  <si>
    <t>5501</t>
  </si>
  <si>
    <t>PHUB529953187</t>
  </si>
  <si>
    <t>529953187 B/O AHMED MUBARAK SAEED BAL ABDA ALSHAMSI</t>
  </si>
  <si>
    <t>1,108.25</t>
  </si>
  <si>
    <t>8,133,009.31</t>
  </si>
  <si>
    <t>5502</t>
  </si>
  <si>
    <t>PHUB529953788</t>
  </si>
  <si>
    <t>529953788 B/O AHMED MUBARAK SAEED BAL ABDA ALSHAMSI</t>
  </si>
  <si>
    <t>4,933.00</t>
  </si>
  <si>
    <t>8,137,942.31</t>
  </si>
  <si>
    <t>5503</t>
  </si>
  <si>
    <t>51296753000</t>
  </si>
  <si>
    <t>26411885144 MBTRF B/O UNIQUE COURIER CARGO SERVICES LLC</t>
  </si>
  <si>
    <t>8,138,204.81</t>
  </si>
  <si>
    <t>5504</t>
  </si>
  <si>
    <t>51296813079</t>
  </si>
  <si>
    <t>26411939696 MBTRF B/O UNIQUE COURIER CARGO SERVICES LLC</t>
  </si>
  <si>
    <t>8,138,729.81</t>
  </si>
  <si>
    <t>5505</t>
  </si>
  <si>
    <t>51296858034</t>
  </si>
  <si>
    <t>26411988992 MBTRF B/O UNIQUE COURIER CARGO SERVICES LLC</t>
  </si>
  <si>
    <t>8,139,779.81</t>
  </si>
  <si>
    <t>5506</t>
  </si>
  <si>
    <t>PHUB529963158</t>
  </si>
  <si>
    <t>MOB2808251519298315510</t>
  </si>
  <si>
    <t>B/O GOLDEN WOOD DESIGN CRPNT WRK SP LLC</t>
  </si>
  <si>
    <t>105,711.75</t>
  </si>
  <si>
    <t>8,245,491.56</t>
  </si>
  <si>
    <t>5507</t>
  </si>
  <si>
    <t>PHUB529963470</t>
  </si>
  <si>
    <t>MOB2808251520188315522</t>
  </si>
  <si>
    <t>70,390.00</t>
  </si>
  <si>
    <t>8,315,881.56</t>
  </si>
  <si>
    <t>5508</t>
  </si>
  <si>
    <t>51297256918</t>
  </si>
  <si>
    <t>26412393059 MBTRF B/O MANASIK TRAVELS SP LLC</t>
  </si>
  <si>
    <t>3,865.75</t>
  </si>
  <si>
    <t>8,319,747.31</t>
  </si>
  <si>
    <t>5509</t>
  </si>
  <si>
    <t>251775926</t>
  </si>
  <si>
    <t>DD Issued In Favour Of ::YOUNG PRESIDENTS ORGANIZATION DD NO IS: 251775926</t>
  </si>
  <si>
    <t>8,227,924.21</t>
  </si>
  <si>
    <t>5510</t>
  </si>
  <si>
    <t>DEMAND DRAFT CHARGE (COMMERCIAL)</t>
  </si>
  <si>
    <t>8,227,819.21</t>
  </si>
  <si>
    <t>5511</t>
  </si>
  <si>
    <t>DD Liquidation::251775925 DTD 27 AUG 2025 DD NO IS: 251775925</t>
  </si>
  <si>
    <t>90,878.01</t>
  </si>
  <si>
    <t>8,318,697.22</t>
  </si>
  <si>
    <t>5512</t>
  </si>
  <si>
    <t>PHUB529971103</t>
  </si>
  <si>
    <t>4,563.28</t>
  </si>
  <si>
    <t>8,323,260.50</t>
  </si>
  <si>
    <t>5513</t>
  </si>
  <si>
    <t>386,506.19</t>
  </si>
  <si>
    <t>8,709,766.69</t>
  </si>
  <si>
    <t>5514</t>
  </si>
  <si>
    <t>8,714,292.94</t>
  </si>
  <si>
    <t>5515</t>
  </si>
  <si>
    <t>2,430,413.55</t>
  </si>
  <si>
    <t>11,144,706.49</t>
  </si>
  <si>
    <t>5516</t>
  </si>
  <si>
    <t>15,052.50</t>
  </si>
  <si>
    <t>11,159,758.99</t>
  </si>
  <si>
    <t>5517</t>
  </si>
  <si>
    <t>PHUB529993292</t>
  </si>
  <si>
    <t>B/O_LLC FIRST SPECIA_529993292</t>
  </si>
  <si>
    <t>11,160,758.99</t>
  </si>
  <si>
    <t>5518</t>
  </si>
  <si>
    <t>000116</t>
  </si>
  <si>
    <t>INHOUSE CHEQUE DEPOSIT 000116 REY JR OLATAN    POLICARPIO AL FARDAN EXCHANGE SP LLC CHQ NO ::000116</t>
  </si>
  <si>
    <t>11,195,758.99</t>
  </si>
  <si>
    <t>5519</t>
  </si>
  <si>
    <t>001897</t>
  </si>
  <si>
    <t>INHOUSE CHEQUE DEPOSIT 001897 BASHEER PULIKKAL    IBRAHIM AL FARDAN EXCHANGE SP LLC CHQ NO ::001897</t>
  </si>
  <si>
    <t>1,573,340.00</t>
  </si>
  <si>
    <t>12,769,098.99</t>
  </si>
  <si>
    <t>5520</t>
  </si>
  <si>
    <t>PHUB529999323</t>
  </si>
  <si>
    <t>37157</t>
  </si>
  <si>
    <t>17,457.43</t>
  </si>
  <si>
    <t>12,786,556.42</t>
  </si>
  <si>
    <t>5521</t>
  </si>
  <si>
    <t>193,817.30</t>
  </si>
  <si>
    <t>12,980,373.72</t>
  </si>
  <si>
    <t>5522</t>
  </si>
  <si>
    <t>000534</t>
  </si>
  <si>
    <t>INHOUSE CHEQUE DEPOSIT 000534 RIYAS KUNIYIL    KUNHABDULLA AL FARDAN EXCHANGE SP LLC CHQ NO ::000534</t>
  </si>
  <si>
    <t>20,338.25</t>
  </si>
  <si>
    <t>13,000,711.97</t>
  </si>
  <si>
    <t>5523</t>
  </si>
  <si>
    <t>004083</t>
  </si>
  <si>
    <t>INHOUSE CHEQUE DEPOSIT 004083 BASHEER PULIKKAL    IBRAHIM AL FARDAN EXCHANGE SP LLC CHQ NO ::004083</t>
  </si>
  <si>
    <t>41,714.50</t>
  </si>
  <si>
    <t>13,042,426.47</t>
  </si>
  <si>
    <t>5524</t>
  </si>
  <si>
    <t>PHUB530002485</t>
  </si>
  <si>
    <t>B/O_CUTTING ZA_ADIB_530002485_release</t>
  </si>
  <si>
    <t>13,060,856.97</t>
  </si>
  <si>
    <t>5525</t>
  </si>
  <si>
    <t>61,000.00</t>
  </si>
  <si>
    <t>13,121,856.97</t>
  </si>
  <si>
    <t>5526</t>
  </si>
  <si>
    <t>13,122,862.22</t>
  </si>
  <si>
    <t>5527</t>
  </si>
  <si>
    <t>PHUB530011412</t>
  </si>
  <si>
    <t>B/O_HOLIDAYS HOUSE F_530011412</t>
  </si>
  <si>
    <t>23,974.10</t>
  </si>
  <si>
    <t>13,146,836.32</t>
  </si>
  <si>
    <t>5528</t>
  </si>
  <si>
    <t>B/O_KHALID MAJ_MEBL_530012270_</t>
  </si>
  <si>
    <t>13,746,836.32</t>
  </si>
  <si>
    <t>5529</t>
  </si>
  <si>
    <t>PHUB530012486</t>
  </si>
  <si>
    <t>530012486 B/O ABDUL LATEEF LASHARI</t>
  </si>
  <si>
    <t>25.77</t>
  </si>
  <si>
    <t>13,746,862.09</t>
  </si>
  <si>
    <t>5530</t>
  </si>
  <si>
    <t>PHUB530012670</t>
  </si>
  <si>
    <t>530012670 B/O AHMED SAMIR EISSA KHODAIR</t>
  </si>
  <si>
    <t>13,748,662.09</t>
  </si>
  <si>
    <t>5531</t>
  </si>
  <si>
    <t>PHUB530014540</t>
  </si>
  <si>
    <t>530014540 B/O ABDUL LATEEF LASHARI</t>
  </si>
  <si>
    <t>2,552.23</t>
  </si>
  <si>
    <t>13,751,214.32</t>
  </si>
  <si>
    <t>5532</t>
  </si>
  <si>
    <t>PHUB530020205</t>
  </si>
  <si>
    <t>B/O_LLC FIRST SPECIA_530020205</t>
  </si>
  <si>
    <t>13,751,714.32</t>
  </si>
  <si>
    <t>5533</t>
  </si>
  <si>
    <t>PHUB530023033</t>
  </si>
  <si>
    <t>B/O_SOLUTIONS _NBAD_530023033_August</t>
  </si>
  <si>
    <t>289,013.70</t>
  </si>
  <si>
    <t>14,040,728.02</t>
  </si>
  <si>
    <t>5534</t>
  </si>
  <si>
    <t>PHUB530024236</t>
  </si>
  <si>
    <t>B/O_HOLIDAYS H_ADIB_530024236_SALARIE</t>
  </si>
  <si>
    <t>54,552.50</t>
  </si>
  <si>
    <t>14,095,280.52</t>
  </si>
  <si>
    <t>5535</t>
  </si>
  <si>
    <t>PHUB530027978</t>
  </si>
  <si>
    <t>530027978 B/O UNIVERSITY BOOK HOUSE</t>
  </si>
  <si>
    <t>3,918.20</t>
  </si>
  <si>
    <t>14,099,198.72</t>
  </si>
  <si>
    <t>5536</t>
  </si>
  <si>
    <t>PHUB530038087</t>
  </si>
  <si>
    <t>WPSAUG25</t>
  </si>
  <si>
    <t>B/O TENX DIGITAL MARKETING MANAGEMENT</t>
  </si>
  <si>
    <t>14,119,224.97</t>
  </si>
  <si>
    <t>5537</t>
  </si>
  <si>
    <t>51300401863</t>
  </si>
  <si>
    <t>26415671822 MBTRF B/O BHAVINKUMAR PRAVINKUMAR RAICHURA</t>
  </si>
  <si>
    <t>40,579.50</t>
  </si>
  <si>
    <t>14,159,804.47</t>
  </si>
  <si>
    <t>5538</t>
  </si>
  <si>
    <t>PHUB530044505</t>
  </si>
  <si>
    <t>WPSAUG2025</t>
  </si>
  <si>
    <t>8,026.25</t>
  </si>
  <si>
    <t>14,167,830.72</t>
  </si>
  <si>
    <t>5539</t>
  </si>
  <si>
    <t>PHUB530045134</t>
  </si>
  <si>
    <t>B/O_MANCHISTER_NBSH_530045134_EMPLOYE</t>
  </si>
  <si>
    <t>69,450.00</t>
  </si>
  <si>
    <t>14,237,280.72</t>
  </si>
  <si>
    <t>5540</t>
  </si>
  <si>
    <t>17,776.25</t>
  </si>
  <si>
    <t>14,255,056.97</t>
  </si>
  <si>
    <t>5541</t>
  </si>
  <si>
    <t>51300747267</t>
  </si>
  <si>
    <t>26416048614 MBTRF B/O AL ARFEEN HEAVY EQUIP RNTAL TR LLC</t>
  </si>
  <si>
    <t>16,214.50</t>
  </si>
  <si>
    <t>14,271,271.47</t>
  </si>
  <si>
    <t>5542</t>
  </si>
  <si>
    <t>PHUB530053527</t>
  </si>
  <si>
    <t>B/O_RUKN AL TA_NBSH_530053527_VAT</t>
  </si>
  <si>
    <t>28,219.00</t>
  </si>
  <si>
    <t>14,299,490.47</t>
  </si>
  <si>
    <t>5543</t>
  </si>
  <si>
    <t>CHEQUE DEPOSIT 000062 MUHAMMAD,HAMEED,MUHAMMAD,,,FAREED, 604130075 CHQ NO ::000062</t>
  </si>
  <si>
    <t>32,139.00</t>
  </si>
  <si>
    <t>14,331,629.47</t>
  </si>
  <si>
    <t>5544</t>
  </si>
  <si>
    <t>500510</t>
  </si>
  <si>
    <t>CHEQUE DEPOSIT 500510 DIL JAN MOHAMMAD   ALI 805030156 CHQ NO ::500510</t>
  </si>
  <si>
    <t>8,693.23</t>
  </si>
  <si>
    <t>14,340,322.70</t>
  </si>
  <si>
    <t>5545</t>
  </si>
  <si>
    <t>001152</t>
  </si>
  <si>
    <t>CHEQUE DEPOSIT 001152 SIRAJ MOHAMMED    PILAR 101110101 CHQ NO ::001152</t>
  </si>
  <si>
    <t>38,600.76</t>
  </si>
  <si>
    <t>14,378,923.46</t>
  </si>
  <si>
    <t>5546</t>
  </si>
  <si>
    <t>056733</t>
  </si>
  <si>
    <t>CHEQUE DEPOSIT 056733 MOHAMED MOHAMED ELSAYED   SALEM 603510179 CHQ NO ::056733</t>
  </si>
  <si>
    <t>22,270.20</t>
  </si>
  <si>
    <t>14,401,193.66</t>
  </si>
  <si>
    <t>5547</t>
  </si>
  <si>
    <t>000185</t>
  </si>
  <si>
    <t>CHEQUE DEPOSIT 000185 MUHAMMAD,HAMEED,MUHAMMAD,,,FAREED, 603830105 CHQ NO ::000185</t>
  </si>
  <si>
    <t>183,785.50</t>
  </si>
  <si>
    <t>14,584,979.16</t>
  </si>
  <si>
    <t>5548</t>
  </si>
  <si>
    <t>001674</t>
  </si>
  <si>
    <t>CHEQUE DEPOSIT 001674 SHAMSHEER KHAN AHAMED KHAN AHAMED  KHAN 104030136 CHQ NO ::001674</t>
  </si>
  <si>
    <t>269,208.31</t>
  </si>
  <si>
    <t>14,854,187.47</t>
  </si>
  <si>
    <t>5549</t>
  </si>
  <si>
    <t>CHEQUE DEPOSIT 000143 SHAMSHEER KHAN AHAMED KHAN AHAMED  KHAN 903320188 CHQ NO ::000143</t>
  </si>
  <si>
    <t>14,879,187.47</t>
  </si>
  <si>
    <t>5550</t>
  </si>
  <si>
    <t>511200</t>
  </si>
  <si>
    <t>CHEQUE DEPOSIT 511200 BASHEER PULIKKAL    IBRAHIM 001210101 CHQ NO ::511200</t>
  </si>
  <si>
    <t>888,153.01</t>
  </si>
  <si>
    <t>15,767,340.48</t>
  </si>
  <si>
    <t>5551</t>
  </si>
  <si>
    <t>CHEQUE DEPOSIT 000077 BRIJEESH,SASIDHARAN,,,,SASIDHARAN, 101110101 CHQ NO ::000077</t>
  </si>
  <si>
    <t>16,134,795.48</t>
  </si>
  <si>
    <t>5552</t>
  </si>
  <si>
    <t>355931</t>
  </si>
  <si>
    <t>CHEQUE DEPOSIT 355931 ABDUL BASHEER     GOLTHAMAJAL ISMAIL 603510179 CHQ NO ::355931</t>
  </si>
  <si>
    <t>66,174.25</t>
  </si>
  <si>
    <t>16,200,969.73</t>
  </si>
  <si>
    <t>5553</t>
  </si>
  <si>
    <t>000374</t>
  </si>
  <si>
    <t>CHEQUE DEPOSIT 000374 FARHAN ZAHEER     ZAHEER AHMAD 204011011 CHQ NO ::000374</t>
  </si>
  <si>
    <t>126,801.00</t>
  </si>
  <si>
    <t>16,327,770.73</t>
  </si>
  <si>
    <t>5554</t>
  </si>
  <si>
    <t>CHEQUE DEPOSIT 000163 SHAMSHEER KHAN AHAMED KHAN AHAMED  KHAN 703430137 CHQ NO ::000163</t>
  </si>
  <si>
    <t>304,523.00</t>
  </si>
  <si>
    <t>16,632,293.73</t>
  </si>
  <si>
    <t>5555</t>
  </si>
  <si>
    <t>001219</t>
  </si>
  <si>
    <t>CHEQUE DEPOSIT 001219 NAUFAL PITTU    MOIDEEN 603510179 CHQ NO ::001219</t>
  </si>
  <si>
    <t>563,204.80</t>
  </si>
  <si>
    <t>17,195,498.53</t>
  </si>
  <si>
    <t>5556</t>
  </si>
  <si>
    <t>500033</t>
  </si>
  <si>
    <t>PVT KHALID</t>
  </si>
  <si>
    <t>CHEQUE DEPOSIT PVT KHALID 905010128 CHQ NO ::500033</t>
  </si>
  <si>
    <t>1,293,107.91</t>
  </si>
  <si>
    <t>18,488,606.44</t>
  </si>
  <si>
    <t>5557</t>
  </si>
  <si>
    <t>36,853.00</t>
  </si>
  <si>
    <t>18,525,459.44</t>
  </si>
  <si>
    <t>5558</t>
  </si>
  <si>
    <t>100069</t>
  </si>
  <si>
    <t>CHEQUE DEPOSIT 100069 QAYUM KHAN SHAMAL   KHAN 802420101 CHQ NO ::100069</t>
  </si>
  <si>
    <t>43,073.00</t>
  </si>
  <si>
    <t>18,568,532.44</t>
  </si>
  <si>
    <t>5559</t>
  </si>
  <si>
    <t>001192</t>
  </si>
  <si>
    <t>CHEQUE DEPOSIT 001192 ABDULRAHMAN   SAEED  HAMMAM 101110101 CHQ NO ::001192</t>
  </si>
  <si>
    <t>100,981.75</t>
  </si>
  <si>
    <t>18,669,514.19</t>
  </si>
  <si>
    <t>5560</t>
  </si>
  <si>
    <t>283327</t>
  </si>
  <si>
    <t>CHEQUE DEPOSIT 283327 HABIB UR REHMAN     MAHBOOB ALI 402411004 CHQ NO ::283327</t>
  </si>
  <si>
    <t>25,874.00</t>
  </si>
  <si>
    <t>18,695,388.19</t>
  </si>
  <si>
    <t>5561</t>
  </si>
  <si>
    <t>000361</t>
  </si>
  <si>
    <t>CHEQUE DEPOSIT 000361 SHAHANAS SHIHABUDEEN    SHIHABUDEEN M 304012039 CHQ NO ::000361</t>
  </si>
  <si>
    <t>720.50</t>
  </si>
  <si>
    <t>18,696,108.69</t>
  </si>
  <si>
    <t>5562</t>
  </si>
  <si>
    <t>178944</t>
  </si>
  <si>
    <t>CHEQUE DEPOSIT 178944 ABDUL MUJEEB CHULLIYODAN KAYAKOOL IBRAHIM  KUTTY 302020120 CHQ NO ::178944</t>
  </si>
  <si>
    <t>200,555.00</t>
  </si>
  <si>
    <t>18,896,663.69</t>
  </si>
  <si>
    <t>5563</t>
  </si>
  <si>
    <t>000159</t>
  </si>
  <si>
    <t>CHEQUE DEPOSIT 000159 DIL JAN MOHAMMAD   ALI 502320103 CHQ NO ::000159</t>
  </si>
  <si>
    <t>194,290.88</t>
  </si>
  <si>
    <t>19,090,954.57</t>
  </si>
  <si>
    <t>5564</t>
  </si>
  <si>
    <t>500126</t>
  </si>
  <si>
    <t>CHEQUE DEPOSIT 500126 KARIM ASHRAF ZAKRIYA BAHGAT  SALEH 105011002 CHQ NO ::500126</t>
  </si>
  <si>
    <t>328,834.00</t>
  </si>
  <si>
    <t>19,419,788.57</t>
  </si>
  <si>
    <t>5565</t>
  </si>
  <si>
    <t>CHEQUE DEPOSIT 000006 ANANDHU SALIMON GOPAL ETTIYAPADAM   GOPALAN SALI 904010130 CHQ NO ::000006</t>
  </si>
  <si>
    <t>6,324.91</t>
  </si>
  <si>
    <t>19,426,113.48</t>
  </si>
  <si>
    <t>5566</t>
  </si>
  <si>
    <t>CHEQUE DEPOSIT 000103 MUHAMMAD HAMEED MUHAMMAD   FAREED 703320106 CHQ NO ::000103</t>
  </si>
  <si>
    <t>155,440.00</t>
  </si>
  <si>
    <t>19,581,553.48</t>
  </si>
  <si>
    <t>5567</t>
  </si>
  <si>
    <t>000053</t>
  </si>
  <si>
    <t>CHEQUE DEPOSIT 000053 BASHEER PULIKKAL    IBRAHIM 904010130 CHQ NO ::000053</t>
  </si>
  <si>
    <t>65,158.75</t>
  </si>
  <si>
    <t>19,646,712.23</t>
  </si>
  <si>
    <t>5568</t>
  </si>
  <si>
    <t>000829</t>
  </si>
  <si>
    <t>CHEQUE DEPOSIT 000829 SALEM KHALIFA JAMIL   ALJAFARI 802610160 CHQ NO ::000829</t>
  </si>
  <si>
    <t>4,529.40</t>
  </si>
  <si>
    <t>19,651,241.63</t>
  </si>
  <si>
    <t>5569</t>
  </si>
  <si>
    <t>511201</t>
  </si>
  <si>
    <t>CHEQUE DEPOSIT 511201 BASHEER PULIKKAL    IBRAHIM 001210101 CHQ NO ::511201</t>
  </si>
  <si>
    <t>1,984.50</t>
  </si>
  <si>
    <t>19,653,226.13</t>
  </si>
  <si>
    <t>5570</t>
  </si>
  <si>
    <t>PHUB530069598</t>
  </si>
  <si>
    <t>AL FARDAN.</t>
  </si>
  <si>
    <t>451,694.00</t>
  </si>
  <si>
    <t>20,104,920.13</t>
  </si>
  <si>
    <t>5571</t>
  </si>
  <si>
    <t>002206</t>
  </si>
  <si>
    <t>CHEQUE DEPOSIT 002206 MUHAMMAD HAMEED MUHAMMAD   FAREED 703430137 CHQ NO ::002206</t>
  </si>
  <si>
    <t>121,194.84</t>
  </si>
  <si>
    <t>20,226,114.97</t>
  </si>
  <si>
    <t>5572</t>
  </si>
  <si>
    <t>000126</t>
  </si>
  <si>
    <t>CHEQUE DEPOSIT 000126 SHAMSHEER KHAN AHAMED KHAN AHAMED  KHAN 004730105 CHQ NO ::000126</t>
  </si>
  <si>
    <t>369,171.00</t>
  </si>
  <si>
    <t>20,595,285.97</t>
  </si>
  <si>
    <t>5573</t>
  </si>
  <si>
    <t>PHUB530071325</t>
  </si>
  <si>
    <t>530071325 B/O AHMED SAID LOTFY SHAALAN</t>
  </si>
  <si>
    <t>19,165.30</t>
  </si>
  <si>
    <t>20,614,451.27</t>
  </si>
  <si>
    <t>5574</t>
  </si>
  <si>
    <t>085820</t>
  </si>
  <si>
    <t>CHEQUE DEPOSIT 085820 ABDUL BASHEER     GOLTHAMAJAL ISMAIL 603510179 CHQ NO ::085820</t>
  </si>
  <si>
    <t>207,864.75</t>
  </si>
  <si>
    <t>20,822,316.02</t>
  </si>
  <si>
    <t>5575</t>
  </si>
  <si>
    <t>355930</t>
  </si>
  <si>
    <t>CHEQUE DEPOSIT 355930 ABDUL BASHEER     GOLTHAMAJAL ISMAIL 603510179 CHQ NO ::355930</t>
  </si>
  <si>
    <t>99,037.75</t>
  </si>
  <si>
    <t>20,921,353.77</t>
  </si>
  <si>
    <t>5576</t>
  </si>
  <si>
    <t>000952</t>
  </si>
  <si>
    <t>CHEQUE DEPOSIT 000952 MUHAMMAD HAMEED MUHAMMAD   FAREED 604130075 CHQ NO ::000952</t>
  </si>
  <si>
    <t>38,452.73</t>
  </si>
  <si>
    <t>20,959,806.50</t>
  </si>
  <si>
    <t>5577</t>
  </si>
  <si>
    <t>000307</t>
  </si>
  <si>
    <t>CHEQUE DEPOSIT 000307 SHAMSHEER KHAN AHAMED KHAN AHAMED  KHAN 102330106 CHQ NO ::000307</t>
  </si>
  <si>
    <t>84,542.00</t>
  </si>
  <si>
    <t>21,044,348.50</t>
  </si>
  <si>
    <t>5578</t>
  </si>
  <si>
    <t>295897</t>
  </si>
  <si>
    <t>CHEQUE DEPOSIT 295897 MUHAMMAD,HAMEED,MUHAMMAD,,,FAREED, 002430117 CHQ NO ::295897</t>
  </si>
  <si>
    <t>21,191,389.00</t>
  </si>
  <si>
    <t>5579</t>
  </si>
  <si>
    <t>2508281822516908</t>
  </si>
  <si>
    <t>CHQ RETRN:ALT ON ITEM WO ENDORS 002430117 CHQ NO ::295897</t>
  </si>
  <si>
    <t>5580</t>
  </si>
  <si>
    <t>000149</t>
  </si>
  <si>
    <t>CHEQUE DEPOSIT 000149 MUHAMMED ALI SALAHUDEEN    SALAHUDEEN M 101110101 CHQ NO ::000149</t>
  </si>
  <si>
    <t>207,912.75</t>
  </si>
  <si>
    <t>21,252,261.25</t>
  </si>
  <si>
    <t>5581</t>
  </si>
  <si>
    <t>CHEQUE DEPOSIT 000015 SHAMSHEER KHAN AHAMED KHAN AHAMED  KHAN 503030102 CHQ NO ::000015</t>
  </si>
  <si>
    <t>21,273,278.75</t>
  </si>
  <si>
    <t>5582</t>
  </si>
  <si>
    <t>001673</t>
  </si>
  <si>
    <t>CHEQUE DEPOSIT 001673 SHAMSHEER KHAN AHAMED KHAN AHAMED  KHAN 104030136 CHQ NO ::001673</t>
  </si>
  <si>
    <t>264,900.00</t>
  </si>
  <si>
    <t>21,538,178.75</t>
  </si>
  <si>
    <t>5583</t>
  </si>
  <si>
    <t>001835</t>
  </si>
  <si>
    <t>CHEQUE DEPOSIT 001835 MUHAMMAD HAMEED MUHAMMAD   FAREED 704020137 CHQ NO ::001835</t>
  </si>
  <si>
    <t>21,725,446.05</t>
  </si>
  <si>
    <t>5584</t>
  </si>
  <si>
    <t>008291</t>
  </si>
  <si>
    <t>CHEQUE DEPOSIT 008291 SHAMSHEER KHAN AHAMED KHAN AHAMED  KHAN 304630121 CHQ NO ::008291</t>
  </si>
  <si>
    <t>165,276.00</t>
  </si>
  <si>
    <t>21,890,722.05</t>
  </si>
  <si>
    <t>5585</t>
  </si>
  <si>
    <t>FARDAN 5613100029496</t>
  </si>
  <si>
    <t>12,284.50</t>
  </si>
  <si>
    <t>21,903,006.55</t>
  </si>
  <si>
    <t>5586</t>
  </si>
  <si>
    <t>002275</t>
  </si>
  <si>
    <t>CHEQUE DEPOSIT 002275 MUHAMMAD HAMEED MUHAMMAD   FAREED 804030124 CHQ NO ::002275</t>
  </si>
  <si>
    <t>9,055.55</t>
  </si>
  <si>
    <t>21,912,062.10</t>
  </si>
  <si>
    <t>5587</t>
  </si>
  <si>
    <t>000316</t>
  </si>
  <si>
    <t>CHEQUE DEPOSIT 000316 SHAMSHEER KHAN AHAMED KHAN AHAMED  KHAN 102330106 CHQ NO ::000316</t>
  </si>
  <si>
    <t>238,875.00</t>
  </si>
  <si>
    <t>22,150,937.10</t>
  </si>
  <si>
    <t>5588</t>
  </si>
  <si>
    <t>001485</t>
  </si>
  <si>
    <t>CHEQUE DEPOSIT 001485 BASHEER PULIKKAL    IBRAHIM 102610161 CHQ NO ::001485</t>
  </si>
  <si>
    <t>9,108.28</t>
  </si>
  <si>
    <t>22,160,045.38</t>
  </si>
  <si>
    <t>5589</t>
  </si>
  <si>
    <t>101397</t>
  </si>
  <si>
    <t>CHEQUE DEPOSIT 101397 DIL JAN MOHAMMAD   ALI 002420097 CHQ NO ::101397</t>
  </si>
  <si>
    <t>82,394.25</t>
  </si>
  <si>
    <t>22,242,439.63</t>
  </si>
  <si>
    <t>5590</t>
  </si>
  <si>
    <t>515544</t>
  </si>
  <si>
    <t>CHEQUE DEPOSIT 515544 BRIJEESH,SASIDHARAN,,,,SASIDHARAN, 202210104 CHQ NO ::515544</t>
  </si>
  <si>
    <t>171,797.13</t>
  </si>
  <si>
    <t>22,414,236.76</t>
  </si>
  <si>
    <t>5591</t>
  </si>
  <si>
    <t>CHEQUE DEPOSIT 000044 ANANDHU SALIMON GOPAL ETTIYAPADAM   GOPALAN SALI 403310137 CHQ NO ::000044</t>
  </si>
  <si>
    <t>22,444,236.76</t>
  </si>
  <si>
    <t>5592</t>
  </si>
  <si>
    <t>500001</t>
  </si>
  <si>
    <t>CHEQUE DEPOSIT 500001 BASHEER PULIKKAL    IBRAHIM 905010140 CHQ NO ::500001</t>
  </si>
  <si>
    <t>39,444.00</t>
  </si>
  <si>
    <t>22,483,680.76</t>
  </si>
  <si>
    <t>5593</t>
  </si>
  <si>
    <t>12,089.15</t>
  </si>
  <si>
    <t>22,495,769.91</t>
  </si>
  <si>
    <t>5594</t>
  </si>
  <si>
    <t>100035</t>
  </si>
  <si>
    <t>CHEQUE DEPOSIT 100035 ANANDHU SALIMON GOPAL ETTIYAPADAM   GOPALAN SALI 902412031 CHQ NO ::100035</t>
  </si>
  <si>
    <t>22,575,769.91</t>
  </si>
  <si>
    <t>5595</t>
  </si>
  <si>
    <t>PHUB530089940</t>
  </si>
  <si>
    <t>530089940 B/O KHALED MOHAMED EL SAWY</t>
  </si>
  <si>
    <t>1,915.25</t>
  </si>
  <si>
    <t>22,577,685.16</t>
  </si>
  <si>
    <t>5596</t>
  </si>
  <si>
    <t>PHUB530090112</t>
  </si>
  <si>
    <t>4,255.00</t>
  </si>
  <si>
    <t>22,581,940.16</t>
  </si>
  <si>
    <t>5597</t>
  </si>
  <si>
    <t>PHUB530093310</t>
  </si>
  <si>
    <t>6,462.00</t>
  </si>
  <si>
    <t>22,588,402.16</t>
  </si>
  <si>
    <t>5598</t>
  </si>
  <si>
    <t>PHUB530095381</t>
  </si>
  <si>
    <t>15,040.00</t>
  </si>
  <si>
    <t>22,603,442.16</t>
  </si>
  <si>
    <t>5599</t>
  </si>
  <si>
    <t>2022508280003007</t>
  </si>
  <si>
    <t>BOML2508283213 2022508280003007</t>
  </si>
  <si>
    <t>23,603,442.16</t>
  </si>
  <si>
    <t>5600</t>
  </si>
  <si>
    <t>PHUB530107575</t>
  </si>
  <si>
    <t>3,580.00</t>
  </si>
  <si>
    <t>23,607,022.16</t>
  </si>
  <si>
    <t>5601</t>
  </si>
  <si>
    <t>51303698202</t>
  </si>
  <si>
    <t>26419432631 MBTRF B/O RABBAN AL KHALEEJ RES N CUISINE LLC</t>
  </si>
  <si>
    <t>49,315.00</t>
  </si>
  <si>
    <t>23,656,337.16</t>
  </si>
  <si>
    <t>5602</t>
  </si>
  <si>
    <t>PHUB530112566</t>
  </si>
  <si>
    <t>530112566 B/O ADIL EL BAHI</t>
  </si>
  <si>
    <t>21,758.00</t>
  </si>
  <si>
    <t>23,678,095.16</t>
  </si>
  <si>
    <t>5603</t>
  </si>
  <si>
    <t>51303984247</t>
  </si>
  <si>
    <t>26419766105 MBTRF B/O BUSHRA FARID KHAN</t>
  </si>
  <si>
    <t>25,500.00</t>
  </si>
  <si>
    <t>23,703,595.16</t>
  </si>
  <si>
    <t>5604</t>
  </si>
  <si>
    <t>51304209436</t>
  </si>
  <si>
    <t>26420039316 MBTRF B/O MANOJ KUMAR MURALIDHARAN NAIR</t>
  </si>
  <si>
    <t>23,720,595.16</t>
  </si>
  <si>
    <t>5605</t>
  </si>
  <si>
    <t>PHUB530121148</t>
  </si>
  <si>
    <t>NONE</t>
  </si>
  <si>
    <t>B/O ZUBINA TEXTILES AND FABRICS TRADING</t>
  </si>
  <si>
    <t>3,403.84</t>
  </si>
  <si>
    <t>23,723,999.00</t>
  </si>
  <si>
    <t>5606</t>
  </si>
  <si>
    <t>51304407803</t>
  </si>
  <si>
    <t>26420282459 MBTRF B/O SUBAIR ALUNGAL</t>
  </si>
  <si>
    <t>155,468.25</t>
  </si>
  <si>
    <t>23,879,467.25</t>
  </si>
  <si>
    <t>5607</t>
  </si>
  <si>
    <t>PHUB530128175</t>
  </si>
  <si>
    <t>AUGUST MONTH SALARY</t>
  </si>
  <si>
    <t>B/O SADHKA LADIES BEAUTY CENTER LLC SPC</t>
  </si>
  <si>
    <t>21,341.70</t>
  </si>
  <si>
    <t>23,900,808.95</t>
  </si>
  <si>
    <t>5608</t>
  </si>
  <si>
    <t>PHUB530131138</t>
  </si>
  <si>
    <t>530131138 B/O AHMED IBRAHIM MOHAMED ALMAAZMI</t>
  </si>
  <si>
    <t>23,905,108.95</t>
  </si>
  <si>
    <t>5609</t>
  </si>
  <si>
    <t>51304998930</t>
  </si>
  <si>
    <t>26421003009 MBTRF B/O MOUHCINE HOUIRI</t>
  </si>
  <si>
    <t>23,940,108.95</t>
  </si>
  <si>
    <t>5610</t>
  </si>
  <si>
    <t>PHUB530138816</t>
  </si>
  <si>
    <t>39,510.75</t>
  </si>
  <si>
    <t>23,979,619.70</t>
  </si>
  <si>
    <t>5611</t>
  </si>
  <si>
    <t>PHUB530148297</t>
  </si>
  <si>
    <t>530148297 B/O AHMED SAID LOTFY SHAALAN</t>
  </si>
  <si>
    <t>23,979,724.70</t>
  </si>
  <si>
    <t>5612</t>
  </si>
  <si>
    <t>51305844281</t>
  </si>
  <si>
    <t>26422018612 MBTRF B/O ALHAN ROWHANI</t>
  </si>
  <si>
    <t>24,079,724.70</t>
  </si>
  <si>
    <t>5613</t>
  </si>
  <si>
    <t>51305952737</t>
  </si>
  <si>
    <t>26422154387 MBTRF B/O ROSMA RASAILY</t>
  </si>
  <si>
    <t>24,080,624.70</t>
  </si>
  <si>
    <t>5614</t>
  </si>
  <si>
    <t>PHUB530151811</t>
  </si>
  <si>
    <t>530151811 B/O ALHAN ROWHANI</t>
  </si>
  <si>
    <t>24,130,624.70</t>
  </si>
  <si>
    <t>5615</t>
  </si>
  <si>
    <t>PHUB530160180</t>
  </si>
  <si>
    <t>530160180 B/O KHAMIS RASHED KHAMIS ALSUBOUSI</t>
  </si>
  <si>
    <t>10,241.00</t>
  </si>
  <si>
    <t>24,140,865.70</t>
  </si>
  <si>
    <t>5616</t>
  </si>
  <si>
    <t>51306531035</t>
  </si>
  <si>
    <t>2549100169 IBTRF B/O RIZWAN HUSSAIN AND OR ARIFA HUSSAIN</t>
  </si>
  <si>
    <t>24,146,865.70</t>
  </si>
  <si>
    <t>5617</t>
  </si>
  <si>
    <t>530164620 B/O WAEL AZIZ HASSAN MEHANNA</t>
  </si>
  <si>
    <t>4,500.00</t>
  </si>
  <si>
    <t>24,151,365.70</t>
  </si>
  <si>
    <t>5618</t>
  </si>
  <si>
    <t>51307030784</t>
  </si>
  <si>
    <t>26423488824 MBTRF B/O MOHAMED SALY T KUNJUMOHAMED</t>
  </si>
  <si>
    <t>106,168.00</t>
  </si>
  <si>
    <t>24,257,533.70</t>
  </si>
  <si>
    <t>5619</t>
  </si>
  <si>
    <t>PHUB530174129</t>
  </si>
  <si>
    <t>530174129 B/O Sara Abdelrazig Mohammed Khatir</t>
  </si>
  <si>
    <t>625.00</t>
  </si>
  <si>
    <t>24,258,158.70</t>
  </si>
  <si>
    <t>5620</t>
  </si>
  <si>
    <t>PHUB530200789</t>
  </si>
  <si>
    <t>530200789 B/O BGT Technology</t>
  </si>
  <si>
    <t>3,004.00</t>
  </si>
  <si>
    <t>24,261,162.70</t>
  </si>
  <si>
    <t>5621</t>
  </si>
  <si>
    <t>29-Aug-2025</t>
  </si>
  <si>
    <t>PHUB530243610</t>
  </si>
  <si>
    <t>B/O_NIRAV RAJE_NBAD_530243610_Transfe</t>
  </si>
  <si>
    <t>24,361,162.70</t>
  </si>
  <si>
    <t>5622</t>
  </si>
  <si>
    <t>24,381,962.70</t>
  </si>
  <si>
    <t>5623</t>
  </si>
  <si>
    <t>100,012.60</t>
  </si>
  <si>
    <t>24,481,975.30</t>
  </si>
  <si>
    <t>5624</t>
  </si>
  <si>
    <t>003BM60252400107</t>
  </si>
  <si>
    <t>B/O YES BANK LTD 252408865314</t>
  </si>
  <si>
    <t>2,023,636.00</t>
  </si>
  <si>
    <t>26,505,611.30</t>
  </si>
  <si>
    <t>5625</t>
  </si>
  <si>
    <t>26,514,611.30</t>
  </si>
  <si>
    <t>5626</t>
  </si>
  <si>
    <t>PHUB530271505</t>
  </si>
  <si>
    <t>530271505 B/O NADER AHMED KHALFAN BINJABARA ALMAR</t>
  </si>
  <si>
    <t>11,500.00</t>
  </si>
  <si>
    <t>26,526,111.30</t>
  </si>
  <si>
    <t>5627</t>
  </si>
  <si>
    <t>PHUB530276307</t>
  </si>
  <si>
    <t>MOB2908250832008324159</t>
  </si>
  <si>
    <t>B/O I CARE INTERNATIONAL GEN.MAINT.LLC</t>
  </si>
  <si>
    <t>33,385.00</t>
  </si>
  <si>
    <t>26,559,496.30</t>
  </si>
  <si>
    <t>5628</t>
  </si>
  <si>
    <t>26,561,799.55</t>
  </si>
  <si>
    <t>5629</t>
  </si>
  <si>
    <t>PHUB530319526</t>
  </si>
  <si>
    <t>SALARY AND WAGES AUG</t>
  </si>
  <si>
    <t>885,999.25</t>
  </si>
  <si>
    <t>27,447,798.80</t>
  </si>
  <si>
    <t>5630</t>
  </si>
  <si>
    <t>PHUB530325382</t>
  </si>
  <si>
    <t>B/O_CO SOLE PR_ADIB_530325382_payment</t>
  </si>
  <si>
    <t>91,911.00</t>
  </si>
  <si>
    <t>27,539,709.80</t>
  </si>
  <si>
    <t>5631</t>
  </si>
  <si>
    <t>51314544566</t>
  </si>
  <si>
    <t>26432100026 MBTRF B/O RANJEET KUMAR</t>
  </si>
  <si>
    <t>27,542,287.30</t>
  </si>
  <si>
    <t>5632</t>
  </si>
  <si>
    <t>39,000.00</t>
  </si>
  <si>
    <t>27,581,287.30</t>
  </si>
  <si>
    <t>5633</t>
  </si>
  <si>
    <t>2508290947034653</t>
  </si>
  <si>
    <t>M38 PLOT 48 SHOP 02 BIG MART MUSSAFAH, 28TH AUG - Cash Collection TG</t>
  </si>
  <si>
    <t>27,881,287.30</t>
  </si>
  <si>
    <t>5634</t>
  </si>
  <si>
    <t>2508290947034663</t>
  </si>
  <si>
    <t>Musaffah Saniya AUH, 28TH AUG - Cash Collection TG</t>
  </si>
  <si>
    <t>28,101,287.30</t>
  </si>
  <si>
    <t>5635</t>
  </si>
  <si>
    <t>2508290947044683</t>
  </si>
  <si>
    <t>Baniyas AUH, 28TH AUG - Cash Collection TG</t>
  </si>
  <si>
    <t>28,401,287.30</t>
  </si>
  <si>
    <t>5636</t>
  </si>
  <si>
    <t>2508290947044703</t>
  </si>
  <si>
    <t>AlForshan Central Mall Khalifa City AUH, 28TH AUG - Cash Collection TG</t>
  </si>
  <si>
    <t>28,701,287.30</t>
  </si>
  <si>
    <t>5637</t>
  </si>
  <si>
    <t>2508290947044712</t>
  </si>
  <si>
    <t>inside Bniyas Spike HyperMarkete AUH, 28TH AUG - Cash Collection TG</t>
  </si>
  <si>
    <t>28,921,287.30</t>
  </si>
  <si>
    <t>5638</t>
  </si>
  <si>
    <t>2508290947044727</t>
  </si>
  <si>
    <t>Musaffah Shabiya AUH, 28TH AUG - Cash Collection TG</t>
  </si>
  <si>
    <t>29,411,287.30</t>
  </si>
  <si>
    <t>5639</t>
  </si>
  <si>
    <t>2508290947044739</t>
  </si>
  <si>
    <t>Old Shahama, 28TH AUG - Cash Collection TG</t>
  </si>
  <si>
    <t>29,781,287.30</t>
  </si>
  <si>
    <t>5640</t>
  </si>
  <si>
    <t>2508290947044751</t>
  </si>
  <si>
    <t>Shamkha Mall Abu dhabi, 28TH AUG - Cash Collection TG</t>
  </si>
  <si>
    <t>30,086,287.30</t>
  </si>
  <si>
    <t>5641</t>
  </si>
  <si>
    <t>2508290947044777</t>
  </si>
  <si>
    <t>ICAD Musaffah AUH, 28TH AUG - Cash Collection TG</t>
  </si>
  <si>
    <t>30,601,287.30</t>
  </si>
  <si>
    <t>5642</t>
  </si>
  <si>
    <t>2508290947065150</t>
  </si>
  <si>
    <t>Souk Br Al-Ain, 28TH AUG - Cash Collection TG</t>
  </si>
  <si>
    <t>31,521,287.30</t>
  </si>
  <si>
    <t>5643</t>
  </si>
  <si>
    <t>2508290947065165</t>
  </si>
  <si>
    <t>Al Ain (Clock Tower)1, 28TH AUG - Cash Collection TG</t>
  </si>
  <si>
    <t>32,021,287.30</t>
  </si>
  <si>
    <t>5644</t>
  </si>
  <si>
    <t>2508290947065179</t>
  </si>
  <si>
    <t>Sila Muroor Road AUH, 28TH AUG - Cash Collection TG</t>
  </si>
  <si>
    <t>32,371,287.30</t>
  </si>
  <si>
    <t>5645</t>
  </si>
  <si>
    <t>2508290947065184</t>
  </si>
  <si>
    <t>Beda Zayed auh, 28TH AUG - Cash Collection TG</t>
  </si>
  <si>
    <t>32,691,287.30</t>
  </si>
  <si>
    <t>5646</t>
  </si>
  <si>
    <t>2508290947065208</t>
  </si>
  <si>
    <t>SANAYA ZAYED TOWN W/R, 28TH AUG - Cash Collection TG</t>
  </si>
  <si>
    <t>33,021,287.30</t>
  </si>
  <si>
    <t>5647</t>
  </si>
  <si>
    <t>2508290947065220</t>
  </si>
  <si>
    <t>Ruwais AUH, 28TH AUG - Cash Collection TG</t>
  </si>
  <si>
    <t>33,321,287.30</t>
  </si>
  <si>
    <t>5648</t>
  </si>
  <si>
    <t>2508290947065226</t>
  </si>
  <si>
    <t>HAYER Al Ain1, 28TH AUG - Cash Collection TG</t>
  </si>
  <si>
    <t>33,641,287.30</t>
  </si>
  <si>
    <t>5649</t>
  </si>
  <si>
    <t>2508290947065251</t>
  </si>
  <si>
    <t>SWEIHAN  ALAIN, 28TH AUG - Cash Collection TG</t>
  </si>
  <si>
    <t>33,951,287.30</t>
  </si>
  <si>
    <t>5650</t>
  </si>
  <si>
    <t>2508290947065254</t>
  </si>
  <si>
    <t>AL FOAH MALL AL-AIN, 28TH AUG - Cash Collection TG</t>
  </si>
  <si>
    <t>34,281,287.30</t>
  </si>
  <si>
    <t>5651</t>
  </si>
  <si>
    <t>2508290947065265</t>
  </si>
  <si>
    <t>Gayathi Mubarak Ashwan AUH, 28TH AUG - Cash Collection TG</t>
  </si>
  <si>
    <t>34,501,287.30</t>
  </si>
  <si>
    <t>5652</t>
  </si>
  <si>
    <t>2508290947065271</t>
  </si>
  <si>
    <t>Gayathi Mall AUH, 28TH AUG - Cash Collection TG</t>
  </si>
  <si>
    <t>34,901,287.30</t>
  </si>
  <si>
    <t>5653</t>
  </si>
  <si>
    <t>2508290947065281</t>
  </si>
  <si>
    <t>AL MARFA MARKET WR, 28TH AUG - Cash Collection TG</t>
  </si>
  <si>
    <t>35,201,287.30</t>
  </si>
  <si>
    <t>5654</t>
  </si>
  <si>
    <t>2508290947075319</t>
  </si>
  <si>
    <t>Lulu Hyper Markete Sanaiya Al Ain, 28TH AUG - Cash Collection TG</t>
  </si>
  <si>
    <t>35,511,287.30</t>
  </si>
  <si>
    <t>5655</t>
  </si>
  <si>
    <t>2508290947075335</t>
  </si>
  <si>
    <t>Al Yahar Al Ain, 28TH AUG - Cash Collection TG</t>
  </si>
  <si>
    <t>36,111,287.30</t>
  </si>
  <si>
    <t>5656</t>
  </si>
  <si>
    <t>2508290947075347</t>
  </si>
  <si>
    <t>DEREI BLDNG AL QUAA AA, 28TH AUG - Cash Collection TG</t>
  </si>
  <si>
    <t>36,471,287.30</t>
  </si>
  <si>
    <t>5657</t>
  </si>
  <si>
    <t>2508290947075360</t>
  </si>
  <si>
    <t>ange Boutik Mall al Reem island AUH, 28TH AUG - Cash Collection TG</t>
  </si>
  <si>
    <t>36,781,287.30</t>
  </si>
  <si>
    <t>5658</t>
  </si>
  <si>
    <t>2508290947075367</t>
  </si>
  <si>
    <t>ange TCA AUH, 28TH AUG - Cash Collection TG</t>
  </si>
  <si>
    <t>36,941,287.30</t>
  </si>
  <si>
    <t>5659</t>
  </si>
  <si>
    <t>2508290947075377</t>
  </si>
  <si>
    <t>ange Al Nahyan Street AUH, 28TH AUG - Cash Collection TG</t>
  </si>
  <si>
    <t>37,531,287.30</t>
  </si>
  <si>
    <t>5660</t>
  </si>
  <si>
    <t>2508290947075911</t>
  </si>
  <si>
    <t>ange Muroor AUH, 28TH AUG - Cash Collection TG</t>
  </si>
  <si>
    <t>37,981,287.30</t>
  </si>
  <si>
    <t>5661</t>
  </si>
  <si>
    <t>2508290947075956</t>
  </si>
  <si>
    <t>ange B2B AUH, 28TH AUG - Cash Collection TG</t>
  </si>
  <si>
    <t>38,201,287.30</t>
  </si>
  <si>
    <t>5662</t>
  </si>
  <si>
    <t>2508290947075962</t>
  </si>
  <si>
    <t>ange Al Falah St Auh, 28TH AUG - Cash Collection TG</t>
  </si>
  <si>
    <t>38,411,287.30</t>
  </si>
  <si>
    <t>5663</t>
  </si>
  <si>
    <t>2508290947075974</t>
  </si>
  <si>
    <t>ange Al Wahda AUH, 28TH AUG - Cash Collection TG</t>
  </si>
  <si>
    <t>38,911,287.30</t>
  </si>
  <si>
    <t>5664</t>
  </si>
  <si>
    <t>2508290947075986</t>
  </si>
  <si>
    <t>ange Zayed 1st Street Electra AUH, 28TH AUG - Cash Collection TG</t>
  </si>
  <si>
    <t>39,241,287.30</t>
  </si>
  <si>
    <t>5665</t>
  </si>
  <si>
    <t>2508290947075998</t>
  </si>
  <si>
    <t>ange Hamdan Abu Dhabi, 28TH AUG - Cash Collection TG</t>
  </si>
  <si>
    <t>39,971,287.30</t>
  </si>
  <si>
    <t>5666</t>
  </si>
  <si>
    <t>2508290947076013</t>
  </si>
  <si>
    <t>ange Bin Dhgher Tower Khalidya AUH, 28TH AUG - Cash Collection TG</t>
  </si>
  <si>
    <t>40,521,287.30</t>
  </si>
  <si>
    <t>5667</t>
  </si>
  <si>
    <t>2508290947116924</t>
  </si>
  <si>
    <t>SONAPUR CENTRAL DUBAI, 28TH AUG - Cash Collection TG</t>
  </si>
  <si>
    <t>40,701,287.30</t>
  </si>
  <si>
    <t>5668</t>
  </si>
  <si>
    <t>2508290947116964</t>
  </si>
  <si>
    <t>SAFYIA BUILDING HOR AL ANZ, 28TH AUG - Cash Collection TG</t>
  </si>
  <si>
    <t>41,201,287.30</t>
  </si>
  <si>
    <t>5669</t>
  </si>
  <si>
    <t>2508290947116976</t>
  </si>
  <si>
    <t>NESTO HYPRMRKT AJM, 28TH AUG - Cash Collection TG</t>
  </si>
  <si>
    <t>41,481,287.30</t>
  </si>
  <si>
    <t>5670</t>
  </si>
  <si>
    <t>2508290947126992</t>
  </si>
  <si>
    <t>GOLDLAND BRANCH DXB, 28TH AUG - Cash Collection TG</t>
  </si>
  <si>
    <t>1,060,000.00</t>
  </si>
  <si>
    <t>42,541,287.30</t>
  </si>
  <si>
    <t>5671</t>
  </si>
  <si>
    <t>2508290947126998</t>
  </si>
  <si>
    <t>CITY CENTER AL ZAHIA SHJ, 28TH AUG - Cash Collection TG</t>
  </si>
  <si>
    <t>43,161,287.30</t>
  </si>
  <si>
    <t>5672</t>
  </si>
  <si>
    <t>2508290947127004</t>
  </si>
  <si>
    <t>DUBAI HILLS ESTATE DUBAI, 28TH AUG - Cash Collection TG</t>
  </si>
  <si>
    <t>43,431,287.30</t>
  </si>
  <si>
    <t>5673</t>
  </si>
  <si>
    <t>2508290947127013</t>
  </si>
  <si>
    <t>CROWN MALL JABL A IND DXB 1, 28TH AUG - Cash Collection TG</t>
  </si>
  <si>
    <t>43,781,287.30</t>
  </si>
  <si>
    <t>5674</t>
  </si>
  <si>
    <t>2508290947127029</t>
  </si>
  <si>
    <t>NAIF RD, 28TH AUG - Cash Collection TG</t>
  </si>
  <si>
    <t>666,000.00</t>
  </si>
  <si>
    <t>44,447,287.30</t>
  </si>
  <si>
    <t>5675</t>
  </si>
  <si>
    <t>2508290947127032</t>
  </si>
  <si>
    <t>FUJAIRAH, 28TH AUG - Cash Collection TG</t>
  </si>
  <si>
    <t>44,917,287.30</t>
  </si>
  <si>
    <t>5676</t>
  </si>
  <si>
    <t>2508290947127044</t>
  </si>
  <si>
    <t>MUWEILAH SHJ, 28TH AUG - Cash Collection TG</t>
  </si>
  <si>
    <t>45,147,287.30</t>
  </si>
  <si>
    <t>5677</t>
  </si>
  <si>
    <t>2508290947127050</t>
  </si>
  <si>
    <t>MEGA MALL SHARJAH BR 1, 28TH AUG - Cash Collection TG</t>
  </si>
  <si>
    <t>45,457,287.30</t>
  </si>
  <si>
    <t>5678</t>
  </si>
  <si>
    <t>2508290947127062</t>
  </si>
  <si>
    <t>UAQ, 28TH AUG - Cash Collection TG</t>
  </si>
  <si>
    <t>45,722,287.30</t>
  </si>
  <si>
    <t>5679</t>
  </si>
  <si>
    <t>2508290947127090</t>
  </si>
  <si>
    <t>AL RIGGA METRO STION DXB, 28TH AUG - Cash Collection TG</t>
  </si>
  <si>
    <t>46,322,287.30</t>
  </si>
  <si>
    <t>5680</t>
  </si>
  <si>
    <t>2508290947127098</t>
  </si>
  <si>
    <t>ONYX TOWER 1, 28TH AUG - Cash Collection TG</t>
  </si>
  <si>
    <t>46,722,287.30</t>
  </si>
  <si>
    <t>5681</t>
  </si>
  <si>
    <t>2508290947127108</t>
  </si>
  <si>
    <t>AL MINA NESTO BR DXB, 28TH AUG - Cash Collection TG</t>
  </si>
  <si>
    <t>628,035.00</t>
  </si>
  <si>
    <t>47,350,322.30</t>
  </si>
  <si>
    <t>5682</t>
  </si>
  <si>
    <t>2508290947127114</t>
  </si>
  <si>
    <t>CO OP SOCIETY SHJ 1, 28TH AUG - Cash Collection TG</t>
  </si>
  <si>
    <t>175,255.00</t>
  </si>
  <si>
    <t>47,525,577.30</t>
  </si>
  <si>
    <t>5683</t>
  </si>
  <si>
    <t>2508290947127120</t>
  </si>
  <si>
    <t>KHAN SAHIB BLDG SHJ, 28TH AUG - Cash Collection TG</t>
  </si>
  <si>
    <t>47,925,577.30</t>
  </si>
  <si>
    <t>5684</t>
  </si>
  <si>
    <t>2508290947127126</t>
  </si>
  <si>
    <t>AL AMEED MALL, 28TH AUG - Cash Collection TG</t>
  </si>
  <si>
    <t>48,325,577.30</t>
  </si>
  <si>
    <t>5685</t>
  </si>
  <si>
    <t>2508290947127138</t>
  </si>
  <si>
    <t>DEIRA 1, 28TH AUG - Cash Collection TG</t>
  </si>
  <si>
    <t>61,325,577.30</t>
  </si>
  <si>
    <t>5686</t>
  </si>
  <si>
    <t>2508290947137156</t>
  </si>
  <si>
    <t>BUR DUBAI, 28TH AUG - Cash Collection TG</t>
  </si>
  <si>
    <t>61,905,577.30</t>
  </si>
  <si>
    <t>5687</t>
  </si>
  <si>
    <t>2508290947137166</t>
  </si>
  <si>
    <t>SATWA 1, 28TH AUG - Cash Collection TG</t>
  </si>
  <si>
    <t>62,175,577.30</t>
  </si>
  <si>
    <t>5688</t>
  </si>
  <si>
    <t>2508290947137194</t>
  </si>
  <si>
    <t>AL MADAM SHJ, 28TH AUG - Cash Collection TG</t>
  </si>
  <si>
    <t>62,485,577.30</t>
  </si>
  <si>
    <t>5689</t>
  </si>
  <si>
    <t>2508290947137200</t>
  </si>
  <si>
    <t>SAJA INDUSTRIAL SHJ 2, 28TH AUG - Cash Collection TG</t>
  </si>
  <si>
    <t>62,745,577.30</t>
  </si>
  <si>
    <t>5690</t>
  </si>
  <si>
    <t>2508290947137210</t>
  </si>
  <si>
    <t>IND AREA 3 SHJ, 28TH AUG - Cash Collection TG</t>
  </si>
  <si>
    <t>62,865,577.30</t>
  </si>
  <si>
    <t>5691</t>
  </si>
  <si>
    <t>2508290947137240</t>
  </si>
  <si>
    <t>KARAMA DUBAI, 28TH AUG - Cash Collection TG</t>
  </si>
  <si>
    <t>63,165,577.30</t>
  </si>
  <si>
    <t>5692</t>
  </si>
  <si>
    <t>PHUB530332250</t>
  </si>
  <si>
    <t>ADMIN SALARIES  AUGUST</t>
  </si>
  <si>
    <t>B/O SUPERNOVA GENERAL SECURITY GUARD SE</t>
  </si>
  <si>
    <t>23,000.00</t>
  </si>
  <si>
    <t>63,188,577.30</t>
  </si>
  <si>
    <t>5693</t>
  </si>
  <si>
    <t>PHUB530336595</t>
  </si>
  <si>
    <t>AFJ AUGUST 25</t>
  </si>
  <si>
    <t>144,548.00</t>
  </si>
  <si>
    <t>63,333,125.30</t>
  </si>
  <si>
    <t>5694</t>
  </si>
  <si>
    <t>21,102.50</t>
  </si>
  <si>
    <t>63,354,227.80</t>
  </si>
  <si>
    <t>5695</t>
  </si>
  <si>
    <t>160.65</t>
  </si>
  <si>
    <t>63,354,388.45</t>
  </si>
  <si>
    <t>5696</t>
  </si>
  <si>
    <t>10,310.00</t>
  </si>
  <si>
    <t>63,364,698.45</t>
  </si>
  <si>
    <t>5697</t>
  </si>
  <si>
    <t>PHUB530342546</t>
  </si>
  <si>
    <t>530342546 B/O NADER AHMED KHALFAN BINJABARA ALMAR</t>
  </si>
  <si>
    <t>63,374,698.45</t>
  </si>
  <si>
    <t>5698</t>
  </si>
  <si>
    <t>1,386,538.44</t>
  </si>
  <si>
    <t>64,761,236.89</t>
  </si>
  <si>
    <t>5699</t>
  </si>
  <si>
    <t>479.85</t>
  </si>
  <si>
    <t>64,761,716.74</t>
  </si>
  <si>
    <t>5700</t>
  </si>
  <si>
    <t>PHUB530350203</t>
  </si>
  <si>
    <t>530350203 B/O RYOJI SATO</t>
  </si>
  <si>
    <t>5,939.00</t>
  </si>
  <si>
    <t>64,767,655.74</t>
  </si>
  <si>
    <t>5701</t>
  </si>
  <si>
    <t>PHUB530357984</t>
  </si>
  <si>
    <t>SADDAM HUSAIN SAL</t>
  </si>
  <si>
    <t>5,810.50</t>
  </si>
  <si>
    <t>64,773,466.24</t>
  </si>
  <si>
    <t>5702</t>
  </si>
  <si>
    <t>PHUB530358147</t>
  </si>
  <si>
    <t>EOS EX2695</t>
  </si>
  <si>
    <t>TRF TO MRUDUSHA VATTOLIPARAMBIL MANOHAR</t>
  </si>
  <si>
    <t>6,785.00</t>
  </si>
  <si>
    <t>64,766,681.24</t>
  </si>
  <si>
    <t>5703</t>
  </si>
  <si>
    <t>SERVE U 29082025</t>
  </si>
  <si>
    <t>TRF TO SERVE U BUSINESS SERVICES FZE</t>
  </si>
  <si>
    <t>19,320.00</t>
  </si>
  <si>
    <t>64,747,361.24</t>
  </si>
  <si>
    <t>5704</t>
  </si>
  <si>
    <t>PHUB530368271</t>
  </si>
  <si>
    <t>530368271 B/O AILEEN MARIATEGUE VILLANUEVA</t>
  </si>
  <si>
    <t>4,542.50</t>
  </si>
  <si>
    <t>64,751,903.74</t>
  </si>
  <si>
    <t>5705</t>
  </si>
  <si>
    <t>PHUB530368972</t>
  </si>
  <si>
    <t>530368972 B/O AILEEN MARIATEGUE VILLANUEVA</t>
  </si>
  <si>
    <t>64,754,703.74</t>
  </si>
  <si>
    <t>5706</t>
  </si>
  <si>
    <t>51316582046</t>
  </si>
  <si>
    <t>26434125381 MBTRF B/O AXIMO TRAINING AND CONSULTANCY LLC</t>
  </si>
  <si>
    <t>64,766,303.74</t>
  </si>
  <si>
    <t>5707</t>
  </si>
  <si>
    <t>PHUB530398083</t>
  </si>
  <si>
    <t>B/O_MR ANDREI CIOBAN_530398083</t>
  </si>
  <si>
    <t>48,000.00</t>
  </si>
  <si>
    <t>64,814,303.74</t>
  </si>
  <si>
    <t>5708</t>
  </si>
  <si>
    <t>PHUB530400624</t>
  </si>
  <si>
    <t>AUG SALARY</t>
  </si>
  <si>
    <t>16,883.68</t>
  </si>
  <si>
    <t>64,831,187.42</t>
  </si>
  <si>
    <t>5709</t>
  </si>
  <si>
    <t>7,004.20</t>
  </si>
  <si>
    <t>64,838,191.62</t>
  </si>
  <si>
    <t>5710</t>
  </si>
  <si>
    <t>PHUB530404225</t>
  </si>
  <si>
    <t>B/O_AL SATARI _ADIB_530404225_TRF Spa</t>
  </si>
  <si>
    <t>65,238,191.62</t>
  </si>
  <si>
    <t>5711</t>
  </si>
  <si>
    <t>PHUB530405413</t>
  </si>
  <si>
    <t>B/O_SURAJ POKHAREL_530405413</t>
  </si>
  <si>
    <t>10,645.00</t>
  </si>
  <si>
    <t>65,248,836.62</t>
  </si>
  <si>
    <t>5712</t>
  </si>
  <si>
    <t>B/O_FUJAIRAH M_NBFU_530412031_PAYMENT</t>
  </si>
  <si>
    <t>134,925.00</t>
  </si>
  <si>
    <t>65,383,761.62</t>
  </si>
  <si>
    <t>5713</t>
  </si>
  <si>
    <t>PHUB530413553</t>
  </si>
  <si>
    <t>MOB2908251116048326680</t>
  </si>
  <si>
    <t>238,870.50</t>
  </si>
  <si>
    <t>65,622,632.12</t>
  </si>
  <si>
    <t>5714</t>
  </si>
  <si>
    <t>51317355386</t>
  </si>
  <si>
    <t>2549400538 IBTRF B/O NEIGHBORHOOD GENERAL CONT AND MAINT</t>
  </si>
  <si>
    <t>11,709.75</t>
  </si>
  <si>
    <t>65,634,341.87</t>
  </si>
  <si>
    <t>5715</t>
  </si>
  <si>
    <t>B/O_BASKAR SHANMUGAN_530417250</t>
  </si>
  <si>
    <t>65,669,341.87</t>
  </si>
  <si>
    <t>5716</t>
  </si>
  <si>
    <t>51317493796</t>
  </si>
  <si>
    <t>2549406532 IBTRF B/O LYON ENGINEERING CONSULTANTS</t>
  </si>
  <si>
    <t>65,769,341.87</t>
  </si>
  <si>
    <t>5717</t>
  </si>
  <si>
    <t>51317544378</t>
  </si>
  <si>
    <t>2549408518 IBTRF B/O LYON ENGINEERING CONSULTANTS</t>
  </si>
  <si>
    <t>65,783,341.87</t>
  </si>
  <si>
    <t>5718</t>
  </si>
  <si>
    <t>530426488 B/O YUSUF SALEH ABDULKARIM ALMARZOOQ</t>
  </si>
  <si>
    <t>65,788,341.87</t>
  </si>
  <si>
    <t>5719</t>
  </si>
  <si>
    <t>65,795,368.12</t>
  </si>
  <si>
    <t>5720</t>
  </si>
  <si>
    <t>PHUB530427573</t>
  </si>
  <si>
    <t>20250829</t>
  </si>
  <si>
    <t>B/O SUGANDH MGMNT CONS&amp;ECONOMIC STUDIES</t>
  </si>
  <si>
    <t>55,426.25</t>
  </si>
  <si>
    <t>65,850,794.37</t>
  </si>
  <si>
    <t>5721</t>
  </si>
  <si>
    <t>PHUB530428777</t>
  </si>
  <si>
    <t>SALARIES AUGUST 2025</t>
  </si>
  <si>
    <t>B/O SKIN III LTD DUBAI BRANCH</t>
  </si>
  <si>
    <t>399,049.00</t>
  </si>
  <si>
    <t>66,249,843.37</t>
  </si>
  <si>
    <t>5722</t>
  </si>
  <si>
    <t>PHUB530432551</t>
  </si>
  <si>
    <t>B/O_SAMA AL ABTIKAR _530432551</t>
  </si>
  <si>
    <t>66,256,569.62</t>
  </si>
  <si>
    <t>5723</t>
  </si>
  <si>
    <t>BPV000545</t>
  </si>
  <si>
    <t>66,314,069.62</t>
  </si>
  <si>
    <t>5724</t>
  </si>
  <si>
    <t>PHUB530439088</t>
  </si>
  <si>
    <t>B/O_Soteris Ni_NBAD_530439088_OAT</t>
  </si>
  <si>
    <t>336,285.00</t>
  </si>
  <si>
    <t>66,650,354.62</t>
  </si>
  <si>
    <t>5725</t>
  </si>
  <si>
    <t>51318404329</t>
  </si>
  <si>
    <t>26435913300 MBTRF B/O SUSAIAPPAN ROYAPPAN</t>
  </si>
  <si>
    <t>66,651,554.62</t>
  </si>
  <si>
    <t>5726</t>
  </si>
  <si>
    <t>PHUB530442545</t>
  </si>
  <si>
    <t>SALARY AUG 25</t>
  </si>
  <si>
    <t>7,200.00</t>
  </si>
  <si>
    <t>66,658,754.62</t>
  </si>
  <si>
    <t>5727</t>
  </si>
  <si>
    <t>PHUB530453030</t>
  </si>
  <si>
    <t>B/O_HAMED S M _NBSH_530453030_TOF - T</t>
  </si>
  <si>
    <t>29,453.00</t>
  </si>
  <si>
    <t>66,688,207.62</t>
  </si>
  <si>
    <t>5728</t>
  </si>
  <si>
    <t>PHUB530453047</t>
  </si>
  <si>
    <t>B/O_AL SATARI _NBSH_530453047_TRF SPA</t>
  </si>
  <si>
    <t>152,770.07</t>
  </si>
  <si>
    <t>66,840,977.69</t>
  </si>
  <si>
    <t>5729</t>
  </si>
  <si>
    <t>B/O_KHALID MAJ_MEBL_530449086_</t>
  </si>
  <si>
    <t>99,400.00</t>
  </si>
  <si>
    <t>66,940,377.69</t>
  </si>
  <si>
    <t>5730</t>
  </si>
  <si>
    <t>21,252.50</t>
  </si>
  <si>
    <t>66,961,630.19</t>
  </si>
  <si>
    <t>5731</t>
  </si>
  <si>
    <t>INHOUSE CHEQUE DEPOSIT 000081 ASGHAR     MOHAMMAD ALI AL FARDAN EXCHANGE SP LLC CHQ NO ::000081</t>
  </si>
  <si>
    <t>40,500.00</t>
  </si>
  <si>
    <t>67,002,130.19</t>
  </si>
  <si>
    <t>5732</t>
  </si>
  <si>
    <t>1,283.68</t>
  </si>
  <si>
    <t>67,003,413.87</t>
  </si>
  <si>
    <t>5733</t>
  </si>
  <si>
    <t>22,367.11</t>
  </si>
  <si>
    <t>67,025,780.98</t>
  </si>
  <si>
    <t>5734</t>
  </si>
  <si>
    <t>PHUB530457751</t>
  </si>
  <si>
    <t>B/O_ALLIANZ MI_NBFU_530457751_PAYMENT</t>
  </si>
  <si>
    <t>15,651.97</t>
  </si>
  <si>
    <t>67,041,432.95</t>
  </si>
  <si>
    <t>5735</t>
  </si>
  <si>
    <t>29,888.00</t>
  </si>
  <si>
    <t>67,071,320.95</t>
  </si>
  <si>
    <t>5736</t>
  </si>
  <si>
    <t>51318819195</t>
  </si>
  <si>
    <t>26436330353 MBTRF B/O AMIT KEWALRAMANEY AND OR SIMRAN</t>
  </si>
  <si>
    <t>67,079,320.95</t>
  </si>
  <si>
    <t>5737</t>
  </si>
  <si>
    <t>PHUB530459658</t>
  </si>
  <si>
    <t>B/O_STANFORD M_NBFU_530459658_SALARY</t>
  </si>
  <si>
    <t>40,543.13</t>
  </si>
  <si>
    <t>67,119,864.08</t>
  </si>
  <si>
    <t>5738</t>
  </si>
  <si>
    <t>PHUB530459967</t>
  </si>
  <si>
    <t>AFEX</t>
  </si>
  <si>
    <t>B/O CONNECTIONS (FZE)</t>
  </si>
  <si>
    <t>374,559.98</t>
  </si>
  <si>
    <t>67,494,424.06</t>
  </si>
  <si>
    <t>5739</t>
  </si>
  <si>
    <t>PHUB530475649</t>
  </si>
  <si>
    <t>2025082901</t>
  </si>
  <si>
    <t>B/O FOMO STAR CAFE L L C</t>
  </si>
  <si>
    <t>339,673.67</t>
  </si>
  <si>
    <t>67,834,097.73</t>
  </si>
  <si>
    <t>5740</t>
  </si>
  <si>
    <t>PHUB530460771</t>
  </si>
  <si>
    <t>530460771 B/O ABDUL LATEEF LASHARI</t>
  </si>
  <si>
    <t>67,836,675.23</t>
  </si>
  <si>
    <t>5741</t>
  </si>
  <si>
    <t>PHUB530476836</t>
  </si>
  <si>
    <t>2025082902</t>
  </si>
  <si>
    <t>154,014.05</t>
  </si>
  <si>
    <t>67,990,689.28</t>
  </si>
  <si>
    <t>5742</t>
  </si>
  <si>
    <t>PHUB530462110</t>
  </si>
  <si>
    <t>5620460016925</t>
  </si>
  <si>
    <t>30,371.00</t>
  </si>
  <si>
    <t>68,021,060.28</t>
  </si>
  <si>
    <t>5743</t>
  </si>
  <si>
    <t>PHUB530478519</t>
  </si>
  <si>
    <t>B/O_/009/004 S_NRAK_530478519_Allowan</t>
  </si>
  <si>
    <t>68,064,560.28</t>
  </si>
  <si>
    <t>5744</t>
  </si>
  <si>
    <t>PHUB530466506</t>
  </si>
  <si>
    <t>2025082903</t>
  </si>
  <si>
    <t>15,732.60</t>
  </si>
  <si>
    <t>68,080,292.88</t>
  </si>
  <si>
    <t>5745</t>
  </si>
  <si>
    <t>PHUB530467016</t>
  </si>
  <si>
    <t>530467016 B/O BASHAER SULTAN SAAD ABDULLA ISA ALISA</t>
  </si>
  <si>
    <t>389.00</t>
  </si>
  <si>
    <t>68,080,681.88</t>
  </si>
  <si>
    <t>5746</t>
  </si>
  <si>
    <t>PHUB530482339</t>
  </si>
  <si>
    <t>AL FARDAN  EXCHANGE</t>
  </si>
  <si>
    <t>B/O ADIRONDACK ARCHITECTURAL MODELS IND</t>
  </si>
  <si>
    <t>8,551.25</t>
  </si>
  <si>
    <t>68,089,233.13</t>
  </si>
  <si>
    <t>5747</t>
  </si>
  <si>
    <t>INHOUSE CHEQUE DEPOSIT 000044 ASGHAR     MOHAMMAD ALI AL FARDAN EXCHANGE SP LLC CHQ NO ::000044</t>
  </si>
  <si>
    <t>68,119,233.13</t>
  </si>
  <si>
    <t>5748</t>
  </si>
  <si>
    <t>INHOUSE CHEQUE DEPOSIT 000012 ASGHAR     MOHAMMAD ALI AL FARDAN EXCHANGE SP LLC CHQ NO ::000012</t>
  </si>
  <si>
    <t>68,159,733.13</t>
  </si>
  <si>
    <t>5749</t>
  </si>
  <si>
    <t>PHUB530468818</t>
  </si>
  <si>
    <t>LNTSALARYAUGUST</t>
  </si>
  <si>
    <t>58,250.50</t>
  </si>
  <si>
    <t>68,217,983.63</t>
  </si>
  <si>
    <t>5750</t>
  </si>
  <si>
    <t>PHUB530489922</t>
  </si>
  <si>
    <t>B/O_GULF DUNES_NBAD_530489922_Commiss</t>
  </si>
  <si>
    <t>3,773.70</t>
  </si>
  <si>
    <t>68,221,757.33</t>
  </si>
  <si>
    <t>5751</t>
  </si>
  <si>
    <t>PHUB530494239</t>
  </si>
  <si>
    <t>996854</t>
  </si>
  <si>
    <t>B/O ALNASR TECHNICAL TRD AGENCIES LLC</t>
  </si>
  <si>
    <t>2,205.25</t>
  </si>
  <si>
    <t>68,223,962.58</t>
  </si>
  <si>
    <t>5752</t>
  </si>
  <si>
    <t>PHUB530494299</t>
  </si>
  <si>
    <t>996852</t>
  </si>
  <si>
    <t>7,221.00</t>
  </si>
  <si>
    <t>68,231,183.58</t>
  </si>
  <si>
    <t>5753</t>
  </si>
  <si>
    <t>PHUB530499029</t>
  </si>
  <si>
    <t>530499029 B/O ALSHOUMOUKH INTERNATIONAL SERVICES LLC</t>
  </si>
  <si>
    <t>1,134.28</t>
  </si>
  <si>
    <t>68,232,317.86</t>
  </si>
  <si>
    <t>5754</t>
  </si>
  <si>
    <t>68,304,844.11</t>
  </si>
  <si>
    <t>5755</t>
  </si>
  <si>
    <t>PHUB530500115</t>
  </si>
  <si>
    <t>MOB2908251303498328680</t>
  </si>
  <si>
    <t>31,500.00</t>
  </si>
  <si>
    <t>68,336,344.11</t>
  </si>
  <si>
    <t>5756</t>
  </si>
  <si>
    <t>PHUB530511240</t>
  </si>
  <si>
    <t>B/O FOMO COUSINA RESTAURANT L L C</t>
  </si>
  <si>
    <t>162,213.91</t>
  </si>
  <si>
    <t>68,498,558.02</t>
  </si>
  <si>
    <t>5757</t>
  </si>
  <si>
    <t>PHUB530504733</t>
  </si>
  <si>
    <t>B/O_TRANS ARAB_NBAD_530504733_AL HAYA</t>
  </si>
  <si>
    <t>586,735.00</t>
  </si>
  <si>
    <t>69,085,293.02</t>
  </si>
  <si>
    <t>5758</t>
  </si>
  <si>
    <t>PHUB530505833</t>
  </si>
  <si>
    <t>IMD 29082025</t>
  </si>
  <si>
    <t>45,060,469.85</t>
  </si>
  <si>
    <t>24,024,823.17</t>
  </si>
  <si>
    <t>5759</t>
  </si>
  <si>
    <t>PHUB530513564</t>
  </si>
  <si>
    <t>25,463.60</t>
  </si>
  <si>
    <t>24,050,286.77</t>
  </si>
  <si>
    <t>5760</t>
  </si>
  <si>
    <t>5,793,137.83</t>
  </si>
  <si>
    <t>29,843,424.60</t>
  </si>
  <si>
    <t>5761</t>
  </si>
  <si>
    <t>PHUB530508231</t>
  </si>
  <si>
    <t>EVOCA 29082025</t>
  </si>
  <si>
    <t>O/W TRF 530508231</t>
  </si>
  <si>
    <t>10,641,363.60</t>
  </si>
  <si>
    <t>19,202,061.00</t>
  </si>
  <si>
    <t>5762</t>
  </si>
  <si>
    <t>CHCB530508231</t>
  </si>
  <si>
    <t>O/W PROCESSING CHARGE 530508231</t>
  </si>
  <si>
    <t>19,202,045.25</t>
  </si>
  <si>
    <t>5763</t>
  </si>
  <si>
    <t>CHRG530508231</t>
  </si>
  <si>
    <t>O/W CORR BK CHARGE 530508231</t>
  </si>
  <si>
    <t>19,202,044.20</t>
  </si>
  <si>
    <t>5764</t>
  </si>
  <si>
    <t>51321373465</t>
  </si>
  <si>
    <t>26439015977 MBTRF B/O JESS ESCANO GARCIA</t>
  </si>
  <si>
    <t>19,125.00</t>
  </si>
  <si>
    <t>19,221,169.20</t>
  </si>
  <si>
    <t>5765</t>
  </si>
  <si>
    <t>PHUB530523742</t>
  </si>
  <si>
    <t>CA 29082025</t>
  </si>
  <si>
    <t>42,500,000.00</t>
  </si>
  <si>
    <t>61,721,169.20</t>
  </si>
  <si>
    <t>5766</t>
  </si>
  <si>
    <t>PHUB530524161</t>
  </si>
  <si>
    <t>USD BUY 29082025</t>
  </si>
  <si>
    <t>34,161,690.00</t>
  </si>
  <si>
    <t>27,559,479.20</t>
  </si>
  <si>
    <t>5767</t>
  </si>
  <si>
    <t>PHUB530524926</t>
  </si>
  <si>
    <t>B/O_PACIFICA G_NBFU_530524926_OTHERS</t>
  </si>
  <si>
    <t>29,820.00</t>
  </si>
  <si>
    <t>27,589,299.20</t>
  </si>
  <si>
    <t>5768</t>
  </si>
  <si>
    <t>PHUB530526007</t>
  </si>
  <si>
    <t>925,375.75</t>
  </si>
  <si>
    <t>28,514,674.95</t>
  </si>
  <si>
    <t>5769</t>
  </si>
  <si>
    <t>530533328 B/O SHAHIN SALIM MYTHEENKUNJU SALEEMKUNJU</t>
  </si>
  <si>
    <t>397.00</t>
  </si>
  <si>
    <t>28,515,071.95</t>
  </si>
  <si>
    <t>5770</t>
  </si>
  <si>
    <t>PHUB530534140</t>
  </si>
  <si>
    <t>CHINA TO CANADA SHIPMENT</t>
  </si>
  <si>
    <t>5,196.71</t>
  </si>
  <si>
    <t>28,520,268.66</t>
  </si>
  <si>
    <t>5771</t>
  </si>
  <si>
    <t>PHUB530540345</t>
  </si>
  <si>
    <t>23,941.50</t>
  </si>
  <si>
    <t>28,544,210.16</t>
  </si>
  <si>
    <t>5772</t>
  </si>
  <si>
    <t>312,744.85</t>
  </si>
  <si>
    <t>28,856,955.01</t>
  </si>
  <si>
    <t>5773</t>
  </si>
  <si>
    <t>PHUB530548379</t>
  </si>
  <si>
    <t>B/O_NIRAV RAJE_NBAD_530548379_For FCN</t>
  </si>
  <si>
    <t>28,940,945.01</t>
  </si>
  <si>
    <t>5774</t>
  </si>
  <si>
    <t>51322927290</t>
  </si>
  <si>
    <t>2549592701 IBTRF B/O SAIF SULTAN SAIF ALAWANI ALNEAIMI</t>
  </si>
  <si>
    <t>9,388.50</t>
  </si>
  <si>
    <t>28,950,333.51</t>
  </si>
  <si>
    <t>5775</t>
  </si>
  <si>
    <t>PHUB530550540</t>
  </si>
  <si>
    <t>530550540 B/O SHIJITH LAL RAVEENDRAN RAVEENDRAN</t>
  </si>
  <si>
    <t>45,000.00</t>
  </si>
  <si>
    <t>28,995,333.51</t>
  </si>
  <si>
    <t>5776</t>
  </si>
  <si>
    <t>29,045,333.51</t>
  </si>
  <si>
    <t>5777</t>
  </si>
  <si>
    <t>PHUB530557567</t>
  </si>
  <si>
    <t>530557567 B/O WAEL KHALIFA ZAAL KHALIFA ALFALASI</t>
  </si>
  <si>
    <t>2,313.00</t>
  </si>
  <si>
    <t>29,047,646.51</t>
  </si>
  <si>
    <t>5778</t>
  </si>
  <si>
    <t>PHUB530561330</t>
  </si>
  <si>
    <t>B/O_SARAVANAN BALASU_530561330</t>
  </si>
  <si>
    <t>29,062,646.51</t>
  </si>
  <si>
    <t>5779</t>
  </si>
  <si>
    <t>51324023666</t>
  </si>
  <si>
    <t>26441872127 MBTRF B/O PRIYARANJAN PRASAD</t>
  </si>
  <si>
    <t>29,112,673.01</t>
  </si>
  <si>
    <t>5780</t>
  </si>
  <si>
    <t>PHUB530574853</t>
  </si>
  <si>
    <t>MOB2908251507158330400</t>
  </si>
  <si>
    <t>B/O HADIYA DENTAL CENTER LLC</t>
  </si>
  <si>
    <t>30,476.46</t>
  </si>
  <si>
    <t>29,143,149.47</t>
  </si>
  <si>
    <t>5781</t>
  </si>
  <si>
    <t>68,195.26</t>
  </si>
  <si>
    <t>29,211,344.73</t>
  </si>
  <si>
    <t>5782</t>
  </si>
  <si>
    <t>000480</t>
  </si>
  <si>
    <t>INHOUSE CHEQUE DEPOSIT 000480 NISSAR MANGADAN MOIDEEN   MANGADAN AL FARDAN EXCHANGE SP LLC CHQ NO ::000480</t>
  </si>
  <si>
    <t>104,848.30</t>
  </si>
  <si>
    <t>29,316,193.03</t>
  </si>
  <si>
    <t>5783</t>
  </si>
  <si>
    <t>PHUB530581289</t>
  </si>
  <si>
    <t>530581289 B/O ZAINAB EL OUALI</t>
  </si>
  <si>
    <t>2,021.00</t>
  </si>
  <si>
    <t>29,318,214.03</t>
  </si>
  <si>
    <t>5784</t>
  </si>
  <si>
    <t>51324413754</t>
  </si>
  <si>
    <t>26442287258 MBTRF B/O BOOM ENTERTAINMENT</t>
  </si>
  <si>
    <t>29,329,914.03</t>
  </si>
  <si>
    <t>5785</t>
  </si>
  <si>
    <t>PHUB530583996</t>
  </si>
  <si>
    <t>B/O_HARINARAYANA TUM_530583996</t>
  </si>
  <si>
    <t>29,349,914.03</t>
  </si>
  <si>
    <t>5786</t>
  </si>
  <si>
    <t>51324604152</t>
  </si>
  <si>
    <t>26442478282 MBTRF B/O SAMHA BUSINESS SERVICES</t>
  </si>
  <si>
    <t>15,231.50</t>
  </si>
  <si>
    <t>29,365,145.53</t>
  </si>
  <si>
    <t>5787</t>
  </si>
  <si>
    <t>MOB2908251528538330761</t>
  </si>
  <si>
    <t>2,807.63</t>
  </si>
  <si>
    <t>29,367,953.16</t>
  </si>
  <si>
    <t>5788</t>
  </si>
  <si>
    <t>51324773318</t>
  </si>
  <si>
    <t>26442661915 MBTRF B/O SAMHA BUSINESS SERVICES</t>
  </si>
  <si>
    <t>29,371,979.41</t>
  </si>
  <si>
    <t>5789</t>
  </si>
  <si>
    <t>PHUB530592936</t>
  </si>
  <si>
    <t>B/O_GENETRICS _BOML_530592936_ PAYMEN</t>
  </si>
  <si>
    <t>120,099.99</t>
  </si>
  <si>
    <t>29,492,079.40</t>
  </si>
  <si>
    <t>5790</t>
  </si>
  <si>
    <t>51324928254</t>
  </si>
  <si>
    <t>2549662076 IBTRF B/O BEAUTY TOUCH LADIES SALON</t>
  </si>
  <si>
    <t>5,826.25</t>
  </si>
  <si>
    <t>29,497,905.65</t>
  </si>
  <si>
    <t>5791</t>
  </si>
  <si>
    <t>PHUB530594963</t>
  </si>
  <si>
    <t>CB 29082025</t>
  </si>
  <si>
    <t>O/W TRF 530594963</t>
  </si>
  <si>
    <t>9,330,000.00</t>
  </si>
  <si>
    <t>20,167,905.65</t>
  </si>
  <si>
    <t>5792</t>
  </si>
  <si>
    <t>CHCB530594963</t>
  </si>
  <si>
    <t>O/W PROCESSING CHARGE 530594963</t>
  </si>
  <si>
    <t>20,167,889.90</t>
  </si>
  <si>
    <t>5793</t>
  </si>
  <si>
    <t>51325074559</t>
  </si>
  <si>
    <t>26442975579 MBTRF B/O KAMALAKANNAN MANGALAM SIVAPRAKASAM</t>
  </si>
  <si>
    <t>21,155.00</t>
  </si>
  <si>
    <t>20,189,044.90</t>
  </si>
  <si>
    <t>5794</t>
  </si>
  <si>
    <t>51325187632</t>
  </si>
  <si>
    <t>2549670227 IBTRF B/O ASHOK KUMAR NAYAK</t>
  </si>
  <si>
    <t>16,742.00</t>
  </si>
  <si>
    <t>20,205,786.90</t>
  </si>
  <si>
    <t>5795</t>
  </si>
  <si>
    <t>PHUB530611558</t>
  </si>
  <si>
    <t>B/O_1/MAYADEEN_DUIB_530611558_/REF/eg</t>
  </si>
  <si>
    <t>34,168.00</t>
  </si>
  <si>
    <t>20,239,954.90</t>
  </si>
  <si>
    <t>5796</t>
  </si>
  <si>
    <t>PHUB530617255</t>
  </si>
  <si>
    <t>B/O_LPFLEX BAS_EBIL_530617255_LPFLEX</t>
  </si>
  <si>
    <t>45,212.38</t>
  </si>
  <si>
    <t>20,285,167.28</t>
  </si>
  <si>
    <t>5797</t>
  </si>
  <si>
    <t>006783</t>
  </si>
  <si>
    <t>INHOUSE CHEQUE DEPOSIT 006783 DIL JAN MOHAMMAD   ALI AL FARDAN EXCHANGE SP LLC CHQ NO ::006783</t>
  </si>
  <si>
    <t>21,469.00</t>
  </si>
  <si>
    <t>20,306,636.28</t>
  </si>
  <si>
    <t>5798</t>
  </si>
  <si>
    <t>006966</t>
  </si>
  <si>
    <t>INHOUSE CHEQUE DEPOSIT 006966 MUHAMMAD AKRAM NAZAR   MUHAMMAD AL FARDAN EXCHANGE SP LLC CHQ NO ::006966</t>
  </si>
  <si>
    <t>71,221.00</t>
  </si>
  <si>
    <t>20,377,857.28</t>
  </si>
  <si>
    <t>5799</t>
  </si>
  <si>
    <t>005966</t>
  </si>
  <si>
    <t>INHOUSE CHEQUE DEPOSIT 005966 MOHAMED JHON,,,,,MUTHALIF, AL FARDAN EXCHANGE SP LLC CHQ NO ::005966</t>
  </si>
  <si>
    <t>20,402,423.18</t>
  </si>
  <si>
    <t>5800</t>
  </si>
  <si>
    <t>019362</t>
  </si>
  <si>
    <t>INHOUSE CHEQUE DEPOSIT 019362 MANU,JACOB,,,,JACOB, AL FARDAN EXCHANGE SP LLC CHQ NO ::019362</t>
  </si>
  <si>
    <t>89,605.10</t>
  </si>
  <si>
    <t>20,492,028.28</t>
  </si>
  <si>
    <t>5801</t>
  </si>
  <si>
    <t>PHUB530620673</t>
  </si>
  <si>
    <t>B/O_LPFLEX BAS_EBIL_530620673_LPFLEX</t>
  </si>
  <si>
    <t>46,560.38</t>
  </si>
  <si>
    <t>20,538,588.66</t>
  </si>
  <si>
    <t>5802</t>
  </si>
  <si>
    <t>51326251287</t>
  </si>
  <si>
    <t>26444219609 MBTRF B/O ABDUL AZIZ KHAMIS ALI F ALSHAMSI</t>
  </si>
  <si>
    <t>20,541,588.66</t>
  </si>
  <si>
    <t>5803</t>
  </si>
  <si>
    <t>21,852.50</t>
  </si>
  <si>
    <t>20,563,441.16</t>
  </si>
  <si>
    <t>5804</t>
  </si>
  <si>
    <t>PHUB530632252</t>
  </si>
  <si>
    <t>MOB2908251639358331873</t>
  </si>
  <si>
    <t>20,662,941.16</t>
  </si>
  <si>
    <t>5805</t>
  </si>
  <si>
    <t>PHUB530635208</t>
  </si>
  <si>
    <t>SHENZHEN TRA</t>
  </si>
  <si>
    <t>6,642.91</t>
  </si>
  <si>
    <t>20,669,584.07</t>
  </si>
  <si>
    <t>5806</t>
  </si>
  <si>
    <t>PHUB530635262</t>
  </si>
  <si>
    <t>B/O_FULL SERVI_NBAD_530635262_END OF</t>
  </si>
  <si>
    <t>22,210.15</t>
  </si>
  <si>
    <t>20,691,794.22</t>
  </si>
  <si>
    <t>5807</t>
  </si>
  <si>
    <t>51327203869</t>
  </si>
  <si>
    <t>26445227758 MBTRF B/O MANZOOR ALI</t>
  </si>
  <si>
    <t>41,797.75</t>
  </si>
  <si>
    <t>20,733,591.97</t>
  </si>
  <si>
    <t>5808</t>
  </si>
  <si>
    <t>51327515319</t>
  </si>
  <si>
    <t>2549750254 IBTRF B/O RAVINDRA PURUSHOTTAM GAVADE</t>
  </si>
  <si>
    <t>20,761,591.97</t>
  </si>
  <si>
    <t>5809</t>
  </si>
  <si>
    <t>PHUB530651701</t>
  </si>
  <si>
    <t>B/O_PLUS UAE R_BARB_530651701_PLUSUAE</t>
  </si>
  <si>
    <t>32,529.36</t>
  </si>
  <si>
    <t>20,794,121.33</t>
  </si>
  <si>
    <t>5810</t>
  </si>
  <si>
    <t>PHUB530660882</t>
  </si>
  <si>
    <t>B/O_SUNILA RAN_NBAD_530660882_</t>
  </si>
  <si>
    <t>20,949,121.33</t>
  </si>
  <si>
    <t>5811</t>
  </si>
  <si>
    <t>51328548321</t>
  </si>
  <si>
    <t>26446696072 MBTRF B/O JOSEPH MOULAY RACHID BENAMMOU</t>
  </si>
  <si>
    <t>86,229.00</t>
  </si>
  <si>
    <t>21,035,350.33</t>
  </si>
  <si>
    <t>5812</t>
  </si>
  <si>
    <t>51328803880</t>
  </si>
  <si>
    <t>26446988780 MBTRF B/O ZAHEER KUNHIMARAKKAR</t>
  </si>
  <si>
    <t>21,085,350.33</t>
  </si>
  <si>
    <t>5813</t>
  </si>
  <si>
    <t>51328877531</t>
  </si>
  <si>
    <t>26447068120 MBTRF B/O VICTOR PAUL GAINA</t>
  </si>
  <si>
    <t>8,761.00</t>
  </si>
  <si>
    <t>21,094,111.33</t>
  </si>
  <si>
    <t>5814</t>
  </si>
  <si>
    <t>PHUB530676918</t>
  </si>
  <si>
    <t>B/O_PLUS UAE R_BARB_530676918_Plus Mi</t>
  </si>
  <si>
    <t>9,279.85</t>
  </si>
  <si>
    <t>21,103,391.18</t>
  </si>
  <si>
    <t>5815</t>
  </si>
  <si>
    <t>PHUB530680318</t>
  </si>
  <si>
    <t>530680318 B/O FAIZAN FAYAZ SUFI</t>
  </si>
  <si>
    <t>21,138,391.18</t>
  </si>
  <si>
    <t>5816</t>
  </si>
  <si>
    <t>21,158,391.18</t>
  </si>
  <si>
    <t>5817</t>
  </si>
  <si>
    <t>PHUB530693240</t>
  </si>
  <si>
    <t>AL FARDAN290825</t>
  </si>
  <si>
    <t>B/O PARK AVENUE OFFICES FZCO</t>
  </si>
  <si>
    <t>197,135.18</t>
  </si>
  <si>
    <t>21,355,526.36</t>
  </si>
  <si>
    <t>5818</t>
  </si>
  <si>
    <t>51329729088</t>
  </si>
  <si>
    <t>26448062118 MBTRF B/O MANAL ALI MOHAMED ABDULLA AL SAYEGH</t>
  </si>
  <si>
    <t>3,660.25</t>
  </si>
  <si>
    <t>21,359,186.61</t>
  </si>
  <si>
    <t>5819</t>
  </si>
  <si>
    <t>PHUB530696809</t>
  </si>
  <si>
    <t>AL FARDAN 290825</t>
  </si>
  <si>
    <t>B/O MAYFAIR EXECUTIVE OFFICE FZCO</t>
  </si>
  <si>
    <t>27,064.75</t>
  </si>
  <si>
    <t>21,386,251.36</t>
  </si>
  <si>
    <t>5820</t>
  </si>
  <si>
    <t>001299</t>
  </si>
  <si>
    <t>CHEQUE DEPOSIT 001299 MUSHAHIRUDHEEN KUMMALI  SAIDALAVI  KUMMALI 204610111 CHQ NO ::001299</t>
  </si>
  <si>
    <t>21,586,251.36</t>
  </si>
  <si>
    <t>5821</t>
  </si>
  <si>
    <t>500010</t>
  </si>
  <si>
    <t>CHEQUE DEPOSIT 500010 SHAMSHEER KHAN AHAMED KHAN AHAMED  KHAN 205040166 CHQ NO ::500010</t>
  </si>
  <si>
    <t>49,972.00</t>
  </si>
  <si>
    <t>21,636,223.36</t>
  </si>
  <si>
    <t>5822</t>
  </si>
  <si>
    <t>CHEQUE DEPOSIT 000077 MUHAMMAD HAMEED MUHAMMAD   FAREED 603430129 CHQ NO ::000077</t>
  </si>
  <si>
    <t>364,582.00</t>
  </si>
  <si>
    <t>22,000,805.36</t>
  </si>
  <si>
    <t>5823</t>
  </si>
  <si>
    <t>PHUB530697124</t>
  </si>
  <si>
    <t>B/O_AYMAN YOUS_ADIB_530697124_Educati</t>
  </si>
  <si>
    <t>67,100.00</t>
  </si>
  <si>
    <t>22,067,905.36</t>
  </si>
  <si>
    <t>5824</t>
  </si>
  <si>
    <t>001711</t>
  </si>
  <si>
    <t>CHEQUE DEPOSIT 001711 SHAMSHEER KHAN AHAMED KHAN AHAMED  KHAN 804030157 CHQ NO ::001711</t>
  </si>
  <si>
    <t>14,283.23</t>
  </si>
  <si>
    <t>22,082,188.59</t>
  </si>
  <si>
    <t>5825</t>
  </si>
  <si>
    <t>CHEQUE DEPOSIT 001169 MUHAMMAD HAMEED MUHAMMAD   FAREED 804030157 CHQ NO ::001169</t>
  </si>
  <si>
    <t>22,090,214.84</t>
  </si>
  <si>
    <t>5826</t>
  </si>
  <si>
    <t>661275</t>
  </si>
  <si>
    <t>CHEQUE DEPOSIT 661275 SHAMSHEER KHAN AHAMED KHAN AHAMED  KHAN 104430123 CHQ NO ::661275</t>
  </si>
  <si>
    <t>370,870.00</t>
  </si>
  <si>
    <t>22,461,084.84</t>
  </si>
  <si>
    <t>5827</t>
  </si>
  <si>
    <t>002278</t>
  </si>
  <si>
    <t>CHEQUE DEPOSIT 002278 MUHAMMAD HAMEED MUHAMMAD   FAREED 804030124 CHQ NO ::002278</t>
  </si>
  <si>
    <t>25,168.19</t>
  </si>
  <si>
    <t>22,486,253.03</t>
  </si>
  <si>
    <t>5828</t>
  </si>
  <si>
    <t>978653</t>
  </si>
  <si>
    <t>CHEQUE DEPOSIT 978653 ABHIJITH SUNIL SUNIL   CHAKRAPANI 203514036 CHQ NO ::978653</t>
  </si>
  <si>
    <t>22,500,253.03</t>
  </si>
  <si>
    <t>5829</t>
  </si>
  <si>
    <t>7,240.86</t>
  </si>
  <si>
    <t>22,507,493.89</t>
  </si>
  <si>
    <t>5830</t>
  </si>
  <si>
    <t>19,761.64</t>
  </si>
  <si>
    <t>22,527,255.53</t>
  </si>
  <si>
    <t>5831</t>
  </si>
  <si>
    <t>50,469.17</t>
  </si>
  <si>
    <t>22,577,724.70</t>
  </si>
  <si>
    <t>5832</t>
  </si>
  <si>
    <t>CHEQUE DEPOSIT 000276 MOHAMED ELSAYED ELMENSHAWI    ELMENSHAWI 204011011 CHQ NO ::000276</t>
  </si>
  <si>
    <t>18,946.00</t>
  </si>
  <si>
    <t>22,596,670.70</t>
  </si>
  <si>
    <t>5833</t>
  </si>
  <si>
    <t>CHEQUE DEPOSIT 000508 MUHAMMAD HAMEED MUHAMMAD   FAREED 603430129 CHQ NO ::000508</t>
  </si>
  <si>
    <t>50,272.50</t>
  </si>
  <si>
    <t>22,646,943.20</t>
  </si>
  <si>
    <t>5834</t>
  </si>
  <si>
    <t>500107</t>
  </si>
  <si>
    <t>CHEQUE DEPOSIT 500107 MUHAMMAD RAHEEL QURESHI MUHAMMAD  NAZIR 105011002 CHQ NO ::500107</t>
  </si>
  <si>
    <t>9,374.00</t>
  </si>
  <si>
    <t>22,656,317.20</t>
  </si>
  <si>
    <t>5835</t>
  </si>
  <si>
    <t>000199</t>
  </si>
  <si>
    <t>CHEQUE DEPOSIT 000199 SHAMSHEER KHAN AHAMED KHAN AHAMED  KHAN 801120101 CHQ NO ::000199</t>
  </si>
  <si>
    <t>86,575.00</t>
  </si>
  <si>
    <t>22,742,892.20</t>
  </si>
  <si>
    <t>5836</t>
  </si>
  <si>
    <t>143770</t>
  </si>
  <si>
    <t>CHEQUE DEPOSIT 143770 JINKY PALMA    BERMUDEZ 603530160 CHQ NO ::143770</t>
  </si>
  <si>
    <t>8,715.75</t>
  </si>
  <si>
    <t>22,751,607.95</t>
  </si>
  <si>
    <t>5837</t>
  </si>
  <si>
    <t>007050</t>
  </si>
  <si>
    <t>CHEQUE DEPOSIT 007050 SHAHZAD TAZEEM    MUHAMMAD AMIN 703430137 CHQ NO ::007050</t>
  </si>
  <si>
    <t>1,215.25</t>
  </si>
  <si>
    <t>22,752,823.20</t>
  </si>
  <si>
    <t>5838</t>
  </si>
  <si>
    <t>CHEQUE DEPOSIT 000447 MUHAMMAD HAMEED MUHAMMAD   FAREED 603830105 CHQ NO ::000447</t>
  </si>
  <si>
    <t>23,002,059.45</t>
  </si>
  <si>
    <t>5839</t>
  </si>
  <si>
    <t>CHEQUE DEPOSIT 000020 SHAMSHEER KHAN AHAMED KHAN AHAMED  KHAN 603430129 CHQ NO ::000020</t>
  </si>
  <si>
    <t>18,674.50</t>
  </si>
  <si>
    <t>23,020,733.95</t>
  </si>
  <si>
    <t>5840</t>
  </si>
  <si>
    <t>500066</t>
  </si>
  <si>
    <t>CHEQUE DEPOSIT 500066 SHAMSHEER KHAN AHAMED KHAN AHAMED  KHAN 805030156 CHQ NO ::500066</t>
  </si>
  <si>
    <t>171,233.00</t>
  </si>
  <si>
    <t>23,191,966.95</t>
  </si>
  <si>
    <t>5841</t>
  </si>
  <si>
    <t>340847</t>
  </si>
  <si>
    <t>CHEQUE DEPOSIT 340847 SUNIL RAJAN    RAJAN 402620152 CHQ NO ::340847</t>
  </si>
  <si>
    <t>158,062.48</t>
  </si>
  <si>
    <t>23,350,029.43</t>
  </si>
  <si>
    <t>5842</t>
  </si>
  <si>
    <t>000386</t>
  </si>
  <si>
    <t>CHEQUE DEPOSIT 000386 SHAHZAD TAZEEM    MUHAMMAD AMIN 703430137 CHQ NO ::000386</t>
  </si>
  <si>
    <t>22,847.75</t>
  </si>
  <si>
    <t>23,372,877.18</t>
  </si>
  <si>
    <t>5843</t>
  </si>
  <si>
    <t>000574</t>
  </si>
  <si>
    <t>CHEQUE DEPOSIT 000574 ABDUL NIZAR PANIKKEVEETTIL    ABDULRAHMAN 403420384 CHQ NO ::000574</t>
  </si>
  <si>
    <t>142,832.00</t>
  </si>
  <si>
    <t>23,515,709.18</t>
  </si>
  <si>
    <t>5844</t>
  </si>
  <si>
    <t>005731</t>
  </si>
  <si>
    <t>CHEQUE DEPOSIT 005731 SHAHZAD TAZEEM    MUHAMMAD AMIN 704120112 CHQ NO ::005731</t>
  </si>
  <si>
    <t>1,490.25</t>
  </si>
  <si>
    <t>23,517,199.43</t>
  </si>
  <si>
    <t>5845</t>
  </si>
  <si>
    <t>011551</t>
  </si>
  <si>
    <t>CHEQUE DEPOSIT 011551 NISSAR MANGADAN MOIDEEN   MANGADAN 703811013 CHQ NO ::011551</t>
  </si>
  <si>
    <t>377,632.00</t>
  </si>
  <si>
    <t>23,894,831.43</t>
  </si>
  <si>
    <t>5846</t>
  </si>
  <si>
    <t>001841</t>
  </si>
  <si>
    <t>CHEQUE DEPOSIT 001841 SHAMSHEER KHAN AHAMED KHAN AHAMED  KHAN 204130077 CHQ NO ::001841</t>
  </si>
  <si>
    <t>6,048.31</t>
  </si>
  <si>
    <t>23,900,879.74</t>
  </si>
  <si>
    <t>5847</t>
  </si>
  <si>
    <t>CHEQUE DEPOSIT 000014 KAMRAN FAROOQ KHAN UMER  FAROOQ KHAN 904010130 CHQ NO ::000014</t>
  </si>
  <si>
    <t>128,330.00</t>
  </si>
  <si>
    <t>24,029,209.74</t>
  </si>
  <si>
    <t>5848</t>
  </si>
  <si>
    <t>CHEQUE DEPOSIT 000009 SHAMSHEER KHAN AHAMED KHAN AHAMED  KHAN 803320103 CHQ NO ::000009</t>
  </si>
  <si>
    <t>41,042.00</t>
  </si>
  <si>
    <t>24,070,251.74</t>
  </si>
  <si>
    <t>5849</t>
  </si>
  <si>
    <t>CHEQUE DEPOSIT 000007 ANANDHU SALIMON GOPAL ETTIYAPADAM   GOPALAN SALI 904010130 CHQ NO ::000007</t>
  </si>
  <si>
    <t>38,126.42</t>
  </si>
  <si>
    <t>24,108,378.16</t>
  </si>
  <si>
    <t>5850</t>
  </si>
  <si>
    <t>CHEQUE DEPOSIT 000219 MOHAMED EZZAT MOHAMED    ABDELMEGID 503312046 CHQ NO ::000219</t>
  </si>
  <si>
    <t>22,250.25</t>
  </si>
  <si>
    <t>24,130,628.41</t>
  </si>
  <si>
    <t>5851</t>
  </si>
  <si>
    <t>662561</t>
  </si>
  <si>
    <t>CHEQUE DEPOSIT 662561 ASGHAR     MOHAMMAD ALI 203514036 CHQ NO ::662561</t>
  </si>
  <si>
    <t>24,180,628.41</t>
  </si>
  <si>
    <t>5852</t>
  </si>
  <si>
    <t>001284</t>
  </si>
  <si>
    <t>CHEQUE DEPOSIT 001284 SHAHZAD TAZEEM    MUHAMMAD AMIN 703430137 CHQ NO ::001284</t>
  </si>
  <si>
    <t>78,294.75</t>
  </si>
  <si>
    <t>24,258,923.16</t>
  </si>
  <si>
    <t>5853</t>
  </si>
  <si>
    <t>000798</t>
  </si>
  <si>
    <t>CHEQUE DEPOSIT 000798 SAKTHIVEL,CHINNADURAI,,,,CHINNADURAI, 602920102 CHQ NO ::000798</t>
  </si>
  <si>
    <t>2,007.72</t>
  </si>
  <si>
    <t>24,260,930.88</t>
  </si>
  <si>
    <t>5854</t>
  </si>
  <si>
    <t>PHUB530704240</t>
  </si>
  <si>
    <t>WPS SIF CHGS 972741</t>
  </si>
  <si>
    <t>94.50</t>
  </si>
  <si>
    <t>24,261,025.38</t>
  </si>
  <si>
    <t>5855</t>
  </si>
  <si>
    <t>209749</t>
  </si>
  <si>
    <t>CHEQUE DEPOSIT 209749 BASHEER PULIKKAL    IBRAHIM 702410103 CHQ NO ::209749</t>
  </si>
  <si>
    <t>65,041.04</t>
  </si>
  <si>
    <t>24,326,066.42</t>
  </si>
  <si>
    <t>5856</t>
  </si>
  <si>
    <t>CHEQUE DEPOSIT 000355 MUHAMMAD HAMEED MUHAMMAD   FAREED 603830105 CHQ NO ::000355</t>
  </si>
  <si>
    <t>24,473,086.92</t>
  </si>
  <si>
    <t>5857</t>
  </si>
  <si>
    <t>100859</t>
  </si>
  <si>
    <t>CHEQUE DEPOSIT 100859 MUHAMMAD AKRAM NAZAR   MUHAMMAD 902410185 CHQ NO ::100859</t>
  </si>
  <si>
    <t>47,577.50</t>
  </si>
  <si>
    <t>24,520,664.42</t>
  </si>
  <si>
    <t>5858</t>
  </si>
  <si>
    <t>063310</t>
  </si>
  <si>
    <t>CHEQUE DEPOSIT 063310 MUHAMMAD HAMEED MUHAMMAD   FAREED 501130101 CHQ NO ::063310</t>
  </si>
  <si>
    <t>30,093.00</t>
  </si>
  <si>
    <t>24,550,757.42</t>
  </si>
  <si>
    <t>5859</t>
  </si>
  <si>
    <t>CHEQUE DEPOSIT 000093 DARLENE,,LANGREO,,,CARUMBA, 402320117 CHQ NO ::000093</t>
  </si>
  <si>
    <t>22,610.00</t>
  </si>
  <si>
    <t>24,573,367.42</t>
  </si>
  <si>
    <t>5860</t>
  </si>
  <si>
    <t>CHEQUE DEPOSIT 000071 BASHEER PULIKKAL    IBRAHIM 603511101 CHQ NO ::000071</t>
  </si>
  <si>
    <t>14,302.50</t>
  </si>
  <si>
    <t>24,587,669.92</t>
  </si>
  <si>
    <t>5861</t>
  </si>
  <si>
    <t>51330328183</t>
  </si>
  <si>
    <t>26448771583 MBTRF B/O VIJAY MADHUKAR PAGAR</t>
  </si>
  <si>
    <t>6,069.00</t>
  </si>
  <si>
    <t>24,593,738.92</t>
  </si>
  <si>
    <t>5862</t>
  </si>
  <si>
    <t>000237</t>
  </si>
  <si>
    <t>CHEQUE DEPOSIT 000237 MUHAMMAD HAMEED MUHAMMAD   FAREED 703430137 CHQ NO ::000237</t>
  </si>
  <si>
    <t>24,643,738.92</t>
  </si>
  <si>
    <t>5863</t>
  </si>
  <si>
    <t>007052</t>
  </si>
  <si>
    <t>CHEQUE DEPOSIT 007052 SHAHZAD TAZEEM    MUHAMMAD AMIN 703430137 CHQ NO ::007052</t>
  </si>
  <si>
    <t>47,336.75</t>
  </si>
  <si>
    <t>24,691,075.67</t>
  </si>
  <si>
    <t>5864</t>
  </si>
  <si>
    <t>500381</t>
  </si>
  <si>
    <t>CHEQUE DEPOSIT 500381 MUHAMMAD HAMEED MUHAMMAD   FAREED 705020147 CHQ NO ::500381</t>
  </si>
  <si>
    <t>192,061.18</t>
  </si>
  <si>
    <t>24,883,136.85</t>
  </si>
  <si>
    <t>5865</t>
  </si>
  <si>
    <t>CHEQUE DEPOSIT 000008 ANANDHU SALIMON GOPAL ETTIYAPADAM   GOPALAN SALI 904010130 CHQ NO ::000008</t>
  </si>
  <si>
    <t>24,893,163.10</t>
  </si>
  <si>
    <t>5866</t>
  </si>
  <si>
    <t>51330534756</t>
  </si>
  <si>
    <t>26449010637 MBTRF B/O SELVIN JEBA JOSE SATHIYA NESAN</t>
  </si>
  <si>
    <t>25,075.50</t>
  </si>
  <si>
    <t>24,918,238.60</t>
  </si>
  <si>
    <t>5867</t>
  </si>
  <si>
    <t>CHEQUE DEPOSIT 000045 MUHAMMAD HAMEED MUHAMMAD   FAREED 704020137 CHQ NO ::000045</t>
  </si>
  <si>
    <t>227,719.91</t>
  </si>
  <si>
    <t>25,145,958.51</t>
  </si>
  <si>
    <t>5868</t>
  </si>
  <si>
    <t>515637</t>
  </si>
  <si>
    <t>CHEQUE DEPOSIT 515637 JOJU KUNHIRAMAN THEKKE KARA THEKKE   KARA 202210104 CHQ NO ::515637</t>
  </si>
  <si>
    <t>8,700.00</t>
  </si>
  <si>
    <t>25,154,658.51</t>
  </si>
  <si>
    <t>5869</t>
  </si>
  <si>
    <t>CHEQUE DEPOSIT 000261 SHAHZAD TAZEEM    MUHAMMAD AMIN 703430137 CHQ NO ::000261</t>
  </si>
  <si>
    <t>4,695.75</t>
  </si>
  <si>
    <t>25,159,354.26</t>
  </si>
  <si>
    <t>5870</t>
  </si>
  <si>
    <t>500274</t>
  </si>
  <si>
    <t>CHEQUE DEPOSIT 500274 SHAMSHEER KHAN AHAMED KHAN AHAMED  KHAN 105020112 CHQ NO ::500274</t>
  </si>
  <si>
    <t>1,783,531.00</t>
  </si>
  <si>
    <t>26,942,885.26</t>
  </si>
  <si>
    <t>5871</t>
  </si>
  <si>
    <t>002122</t>
  </si>
  <si>
    <t>CHEQUE DEPOSIT 002122 SHAHZAD TAZEEM    MUHAMMAD AMIN 703430137 CHQ NO ::002122</t>
  </si>
  <si>
    <t>7,735.25</t>
  </si>
  <si>
    <t>26,950,620.51</t>
  </si>
  <si>
    <t>5872</t>
  </si>
  <si>
    <t>002781</t>
  </si>
  <si>
    <t>CHEQUE DEPOSIT 002781 MUHAMMAD HAMEED MUHAMMAD   FAREED 004220109 CHQ NO ::002781</t>
  </si>
  <si>
    <t>26,971,708.51</t>
  </si>
  <si>
    <t>5873</t>
  </si>
  <si>
    <t>982086</t>
  </si>
  <si>
    <t>CHEQUE DEPOSIT 982086 ASGHAR     MOHAMMAD ALI 703511205 CHQ NO ::982086</t>
  </si>
  <si>
    <t>33,700.00</t>
  </si>
  <si>
    <t>27,005,408.51</t>
  </si>
  <si>
    <t>5874</t>
  </si>
  <si>
    <t>CHEQUE DEPOSIT 000088 SHAHZAD TAZEEM    MUHAMMAD AMIN 703430137 CHQ NO ::000088</t>
  </si>
  <si>
    <t>33,946.00</t>
  </si>
  <si>
    <t>27,039,354.51</t>
  </si>
  <si>
    <t>5875</t>
  </si>
  <si>
    <t>027843</t>
  </si>
  <si>
    <t>CHEQUE DEPOSIT 027843 SHAHZAD TAZEEM    MUHAMMAD AMIN 703430137 CHQ NO ::027843</t>
  </si>
  <si>
    <t>12,538.75</t>
  </si>
  <si>
    <t>27,051,893.26</t>
  </si>
  <si>
    <t>5876</t>
  </si>
  <si>
    <t>CHEQUE DEPOSIT 000081 MUHAMMAD HAMEED MUHAMMAD   FAREED 203420119 CHQ NO ::000081</t>
  </si>
  <si>
    <t>394,549.86</t>
  </si>
  <si>
    <t>27,446,443.12</t>
  </si>
  <si>
    <t>5877</t>
  </si>
  <si>
    <t>239411</t>
  </si>
  <si>
    <t>CHEQUE DEPOSIT 239411 ABDUL NIZAR PANIKKEVEETTIL    ABDULRAHMAN 802420101 CHQ NO ::239411</t>
  </si>
  <si>
    <t>252,414.00</t>
  </si>
  <si>
    <t>27,698,857.12</t>
  </si>
  <si>
    <t>5878</t>
  </si>
  <si>
    <t>CHEQUE DEPOSIT 000053 MUHAMMAD HAMEED MUHAMMAD   FAREED 003420289 CHQ NO ::000053</t>
  </si>
  <si>
    <t>28,148,857.12</t>
  </si>
  <si>
    <t>5879</t>
  </si>
  <si>
    <t>820562</t>
  </si>
  <si>
    <t>CHEQUE DEPOSIT 820562 MUHAMMAD HAMEED MUHAMMAD   FAREED 104030136 CHQ NO ::820562</t>
  </si>
  <si>
    <t>99,258.50</t>
  </si>
  <si>
    <t>28,248,115.62</t>
  </si>
  <si>
    <t>5880</t>
  </si>
  <si>
    <t>000443</t>
  </si>
  <si>
    <t>CHEQUE DEPOSIT 000443 NISSAR MANGADAN MOIDEEN   MANGADAN 403411081 CHQ NO ::000443</t>
  </si>
  <si>
    <t>219,550.00</t>
  </si>
  <si>
    <t>28,467,665.62</t>
  </si>
  <si>
    <t>5881</t>
  </si>
  <si>
    <t>000473</t>
  </si>
  <si>
    <t>CHEQUE DEPOSIT 000473 NISSAR MANGADAN MOIDEEN   MANGADAN 603511101 CHQ NO ::000473</t>
  </si>
  <si>
    <t>110,499.00</t>
  </si>
  <si>
    <t>28,578,164.62</t>
  </si>
  <si>
    <t>5882</t>
  </si>
  <si>
    <t>000699</t>
  </si>
  <si>
    <t>CHEQUE DEPOSIT 000699 SHAHZAD TAZEEM    MUHAMMAD AMIN 703430137 CHQ NO ::000699</t>
  </si>
  <si>
    <t>15,416.75</t>
  </si>
  <si>
    <t>28,593,581.37</t>
  </si>
  <si>
    <t>5883</t>
  </si>
  <si>
    <t>CHEQUE DEPOSIT 000115 MUHAMMAD AKRAM NAZAR   MUHAMMAD 102120101 CHQ NO ::000115</t>
  </si>
  <si>
    <t>59,300.00</t>
  </si>
  <si>
    <t>28,652,881.37</t>
  </si>
  <si>
    <t>5884</t>
  </si>
  <si>
    <t>001298</t>
  </si>
  <si>
    <t>CHEQUE DEPOSIT 001298 MUSHAHIRUDHEEN KUMMALI  SAIDALAVI  KUMMALI 204610111 CHQ NO ::001298</t>
  </si>
  <si>
    <t>28,852,881.37</t>
  </si>
  <si>
    <t>5885</t>
  </si>
  <si>
    <t>001297</t>
  </si>
  <si>
    <t>CHEQUE DEPOSIT 001297 MUSHAHIRUDHEEN KUMMALI  SAIDALAVI  KUMMALI 204610111 CHQ NO ::001297</t>
  </si>
  <si>
    <t>29,052,881.37</t>
  </si>
  <si>
    <t>5886</t>
  </si>
  <si>
    <t>001272</t>
  </si>
  <si>
    <t>CHEQUE DEPOSIT 001272 MUSHAHIRUDHEEN KUMMALI  SAIDALAVI  KUMMALI 204610111 CHQ NO ::001272</t>
  </si>
  <si>
    <t>31,397.60</t>
  </si>
  <si>
    <t>29,084,278.97</t>
  </si>
  <si>
    <t>5887</t>
  </si>
  <si>
    <t>000741</t>
  </si>
  <si>
    <t>CHEQUE DEPOSIT 000741 MUHAMMAD HAMEED MUHAMMAD   FAREED 104030136 CHQ NO ::000741</t>
  </si>
  <si>
    <t>78,951.93</t>
  </si>
  <si>
    <t>29,163,230.90</t>
  </si>
  <si>
    <t>5888</t>
  </si>
  <si>
    <t>CHEQUE DEPOSIT 000060 SHAMSHEER KHAN AHAMED KHAN AHAMED  KHAN 004130114 CHQ NO ::000060</t>
  </si>
  <si>
    <t>105,625.75</t>
  </si>
  <si>
    <t>29,268,856.65</t>
  </si>
  <si>
    <t>5889</t>
  </si>
  <si>
    <t>547476</t>
  </si>
  <si>
    <t>CHEQUE DEPOSIT 547476 SHAMSHEER KHAN AHAMED KHAN AHAMED  KHAN 001530104 CHQ NO ::547476</t>
  </si>
  <si>
    <t>42,023.25</t>
  </si>
  <si>
    <t>29,310,879.90</t>
  </si>
  <si>
    <t>5890</t>
  </si>
  <si>
    <t>340542</t>
  </si>
  <si>
    <t>CHEQUE DEPOSIT 340542 SUNIL RAJAN    RAJAN 402620152 CHQ NO ::340542</t>
  </si>
  <si>
    <t>163,722.12</t>
  </si>
  <si>
    <t>29,474,602.02</t>
  </si>
  <si>
    <t>5891</t>
  </si>
  <si>
    <t>002478</t>
  </si>
  <si>
    <t>CHEQUE DEPOSIT 002478 SHAMSHEER KHAN AHAMED KHAN AHAMED  KHAN 802630140 CHQ NO ::002478</t>
  </si>
  <si>
    <t>24,789.56</t>
  </si>
  <si>
    <t>29,499,391.58</t>
  </si>
  <si>
    <t>5892</t>
  </si>
  <si>
    <t>001296</t>
  </si>
  <si>
    <t>CHEQUE DEPOSIT 001296 MUSHAHIRUDHEEN KUMMALI  SAIDALAVI  KUMMALI 204610111 CHQ NO ::001296</t>
  </si>
  <si>
    <t>29,699,391.58</t>
  </si>
  <si>
    <t>5893</t>
  </si>
  <si>
    <t>002333</t>
  </si>
  <si>
    <t>CHEQUE DEPOSIT 002333 MUHAMMAD,BILAL,,,,MUHAMMAD ILYAS, 903320188 CHQ NO ::002333</t>
  </si>
  <si>
    <t>29,703,671.58</t>
  </si>
  <si>
    <t>5894</t>
  </si>
  <si>
    <t>001304</t>
  </si>
  <si>
    <t>CHEQUE DEPOSIT 001304 MUSHAHIRUDHEEN KUMMALI  SAIDALAVI  KUMMALI 204610111 CHQ NO ::001304</t>
  </si>
  <si>
    <t>97,211.77</t>
  </si>
  <si>
    <t>29,800,883.35</t>
  </si>
  <si>
    <t>5895</t>
  </si>
  <si>
    <t>000162</t>
  </si>
  <si>
    <t>CHEQUE DEPOSIT 000162 NISSAR MANGADAN MOIDEEN   MANGADAN 204011011 CHQ NO ::000162</t>
  </si>
  <si>
    <t>19,645.00</t>
  </si>
  <si>
    <t>29,820,528.35</t>
  </si>
  <si>
    <t>5896</t>
  </si>
  <si>
    <t>000168</t>
  </si>
  <si>
    <t>CHEQUE DEPOSIT 000168 JAVERIA,SARWAR,MUHAMMAD,,,SARWAR, 804020112 CHQ NO ::000168</t>
  </si>
  <si>
    <t>26,703.00</t>
  </si>
  <si>
    <t>29,847,231.35</t>
  </si>
  <si>
    <t>5897</t>
  </si>
  <si>
    <t>PHUB530734225</t>
  </si>
  <si>
    <t>530734225 B/O MULTISCALE ALUMINIUM &amp; METAL INDUSTRIES LLC</t>
  </si>
  <si>
    <t>1,500.25</t>
  </si>
  <si>
    <t>29,848,731.60</t>
  </si>
  <si>
    <t>5898</t>
  </si>
  <si>
    <t>PHUB530735378</t>
  </si>
  <si>
    <t>B/O_MMG DIGITA_BOML_530735378_ COMPEN</t>
  </si>
  <si>
    <t>29,872,731.60</t>
  </si>
  <si>
    <t>5899</t>
  </si>
  <si>
    <t>PHUB530746228</t>
  </si>
  <si>
    <t>530746228 B/O ABDALLA MOHAMED ABDALLA MAZAL</t>
  </si>
  <si>
    <t>7,597.50</t>
  </si>
  <si>
    <t>29,880,329.10</t>
  </si>
  <si>
    <t>51332418557</t>
  </si>
  <si>
    <t>26451298304 MBTRF B/O SATHEESAN KOMBAN</t>
  </si>
  <si>
    <t>6,654.90</t>
  </si>
  <si>
    <t>29,886,984.00</t>
  </si>
  <si>
    <t>5901</t>
  </si>
  <si>
    <t>PHUB530747579</t>
  </si>
  <si>
    <t>B/O_SAEED SUHA_ADIB_530747579_Financi</t>
  </si>
  <si>
    <t>57,775.00</t>
  </si>
  <si>
    <t>29,944,759.00</t>
  </si>
  <si>
    <t>5902</t>
  </si>
  <si>
    <t>PHUB530750558</t>
  </si>
  <si>
    <t>530750558 B/O DONTHI BALAJI</t>
  </si>
  <si>
    <t>29,965,759.00</t>
  </si>
  <si>
    <t>5903</t>
  </si>
  <si>
    <t>51332843579</t>
  </si>
  <si>
    <t>26451814111 MBTRF B/O VINOD SUBHAYYAN ACHARY</t>
  </si>
  <si>
    <t>71,007.75</t>
  </si>
  <si>
    <t>30,036,766.75</t>
  </si>
  <si>
    <t>5904</t>
  </si>
  <si>
    <t>51332922787</t>
  </si>
  <si>
    <t>26451910905 MBTRF B/O M HUSAM MARASHI</t>
  </si>
  <si>
    <t>44,959.95</t>
  </si>
  <si>
    <t>30,081,726.70</t>
  </si>
  <si>
    <t>5905</t>
  </si>
  <si>
    <t>PHUB530757553</t>
  </si>
  <si>
    <t>56,826.59</t>
  </si>
  <si>
    <t>30,138,553.29</t>
  </si>
  <si>
    <t>5906</t>
  </si>
  <si>
    <t>51333083079</t>
  </si>
  <si>
    <t>26452114365 MBTRF B/O SURESH PARANANDI RAJENDRAN</t>
  </si>
  <si>
    <t>30,160,553.29</t>
  </si>
  <si>
    <t>5907</t>
  </si>
  <si>
    <t>51333306875</t>
  </si>
  <si>
    <t>26452385706 MBTRF B/O EOIN THOMAS BOLGER</t>
  </si>
  <si>
    <t>30,220,553.29</t>
  </si>
  <si>
    <t>5908</t>
  </si>
  <si>
    <t>51333315734</t>
  </si>
  <si>
    <t>26452396992 MBTRF B/O NAGESH RAMAN MENON</t>
  </si>
  <si>
    <t>30,260,553.29</t>
  </si>
  <si>
    <t>5909</t>
  </si>
  <si>
    <t>PHUB530763561</t>
  </si>
  <si>
    <t>B/O_ROBUST HOS_BOML_530763561_ GOODS</t>
  </si>
  <si>
    <t>34,902.94</t>
  </si>
  <si>
    <t>30,295,456.23</t>
  </si>
  <si>
    <t>5910</t>
  </si>
  <si>
    <t>51334823959</t>
  </si>
  <si>
    <t>26454274702 MBTRF B/O RAMESH MALAYAH</t>
  </si>
  <si>
    <t>30,333,456.23</t>
  </si>
  <si>
    <t>5911</t>
  </si>
  <si>
    <t>51335363403</t>
  </si>
  <si>
    <t>26454936170 MBTRF B/O GANESH THIRUGNANASAMBANDAM</t>
  </si>
  <si>
    <t>30,483,456.23</t>
  </si>
  <si>
    <t>5912</t>
  </si>
  <si>
    <t>51335595266</t>
  </si>
  <si>
    <t>26455214838 MBTRF B/O ALHAN ROWHANI</t>
  </si>
  <si>
    <t>30,583,456.23</t>
  </si>
  <si>
    <t>5913</t>
  </si>
  <si>
    <t>51336329985</t>
  </si>
  <si>
    <t>26456143480 MBTRF B/O ASWATHI VERAMBIL</t>
  </si>
  <si>
    <t>4,207.25</t>
  </si>
  <si>
    <t>30,587,663.48</t>
  </si>
  <si>
    <t>5914</t>
  </si>
  <si>
    <t>51336934425</t>
  </si>
  <si>
    <t>26456896593 MBTRF B/O ALTAMAYOUZ AGRICULTURAL</t>
  </si>
  <si>
    <t>75,716.34</t>
  </si>
  <si>
    <t>30,663,379.82</t>
  </si>
  <si>
    <t>5915</t>
  </si>
  <si>
    <t>30-Aug-2025</t>
  </si>
  <si>
    <t>2508300419451075</t>
  </si>
  <si>
    <t>Installment Recovery-108L055252330001</t>
  </si>
  <si>
    <t>47,641,169.67</t>
  </si>
  <si>
    <t>-16,977,789.85</t>
  </si>
  <si>
    <t>5916</t>
  </si>
  <si>
    <t>PHUB530862089</t>
  </si>
  <si>
    <t>B/O_ALHAN ROWH_NBAD_530862089_Exchang</t>
  </si>
  <si>
    <t>-16,917,789.85</t>
  </si>
  <si>
    <t>5917</t>
  </si>
  <si>
    <t>73,448.00</t>
  </si>
  <si>
    <t>-16,844,341.85</t>
  </si>
  <si>
    <t>5918</t>
  </si>
  <si>
    <t>-16,817,341.85</t>
  </si>
  <si>
    <t>5919</t>
  </si>
  <si>
    <t>17,725.20</t>
  </si>
  <si>
    <t>-16,799,616.65</t>
  </si>
  <si>
    <t>5920</t>
  </si>
  <si>
    <t>41,052.50</t>
  </si>
  <si>
    <t>-16,758,564.15</t>
  </si>
  <si>
    <t>5921</t>
  </si>
  <si>
    <t>PHUB530866606</t>
  </si>
  <si>
    <t>B/O_SINTRA MID_NBFU_530866606_RENTAL</t>
  </si>
  <si>
    <t>126,497.95</t>
  </si>
  <si>
    <t>-16,632,066.20</t>
  </si>
  <si>
    <t>5922</t>
  </si>
  <si>
    <t>51339359032</t>
  </si>
  <si>
    <t>26459751030 MBTRF B/O SOLOMON KURUVILLA P JOHN</t>
  </si>
  <si>
    <t>-16,582,066.20</t>
  </si>
  <si>
    <t>5923</t>
  </si>
  <si>
    <t>PHUB530878423</t>
  </si>
  <si>
    <t>B/O_1/GOVERMEN_DUIB_530878423_Refund</t>
  </si>
  <si>
    <t>7,560.02</t>
  </si>
  <si>
    <t>-16,574,506.18</t>
  </si>
  <si>
    <t>5924</t>
  </si>
  <si>
    <t>PHUB530879590</t>
  </si>
  <si>
    <t>530879590 B/O AFRA SAIF AHMED MOHAMED ALFAHIM</t>
  </si>
  <si>
    <t>-16,554,506.18</t>
  </si>
  <si>
    <t>5925</t>
  </si>
  <si>
    <t>530900969 B/O ABDUL QAYYUM</t>
  </si>
  <si>
    <t>-16,551,925.18</t>
  </si>
  <si>
    <t>5926</t>
  </si>
  <si>
    <t>51340785096</t>
  </si>
  <si>
    <t>26461354205 MBTRF B/O FREEZE MATE SALE OF ICE CRM SP LLC</t>
  </si>
  <si>
    <t>3,376.25</t>
  </si>
  <si>
    <t>-16,548,548.93</t>
  </si>
  <si>
    <t>5927</t>
  </si>
  <si>
    <t>2508300907222476</t>
  </si>
  <si>
    <t>Old Shahama, 29TH AUG - Cash Collection TG</t>
  </si>
  <si>
    <t>-16,398,548.93</t>
  </si>
  <si>
    <t>5928</t>
  </si>
  <si>
    <t>2508300907222513</t>
  </si>
  <si>
    <t>AlForshan Central Mall Khalifa City AUH, 29TH AUG - Cash Collection TG</t>
  </si>
  <si>
    <t>-16,113,548.93</t>
  </si>
  <si>
    <t>5929</t>
  </si>
  <si>
    <t>2508300907222526</t>
  </si>
  <si>
    <t>Musaffah Shabiya AUH, 29TH AUG - Cash Collection TG</t>
  </si>
  <si>
    <t>-15,413,548.93</t>
  </si>
  <si>
    <t>5930</t>
  </si>
  <si>
    <t>2508300907222540</t>
  </si>
  <si>
    <t>Musaffah Saniya AUH, 29TH AUG - Cash Collection TG</t>
  </si>
  <si>
    <t>-15,093,548.93</t>
  </si>
  <si>
    <t>5931</t>
  </si>
  <si>
    <t>2508300907222573</t>
  </si>
  <si>
    <t>Baniyas AUH, 29TH AUG - Cash Collection TG</t>
  </si>
  <si>
    <t>-14,733,548.93</t>
  </si>
  <si>
    <t>5932</t>
  </si>
  <si>
    <t>2508300907222604</t>
  </si>
  <si>
    <t>Shamkha Mall Abu dhabi, 29TH AUG - Cash Collection TG</t>
  </si>
  <si>
    <t>-14,363,548.93</t>
  </si>
  <si>
    <t>5933</t>
  </si>
  <si>
    <t>2508300907222611</t>
  </si>
  <si>
    <t>ICAD Musaffah AUH, 29TH AUG - Cash Collection TG</t>
  </si>
  <si>
    <t>-13,913,548.93</t>
  </si>
  <si>
    <t>5934</t>
  </si>
  <si>
    <t>2508300907253251</t>
  </si>
  <si>
    <t>HAYER Al Ain1, 29TH AUG - Cash Collection TG</t>
  </si>
  <si>
    <t>-13,663,548.93</t>
  </si>
  <si>
    <t>5935</t>
  </si>
  <si>
    <t>2508300907253261</t>
  </si>
  <si>
    <t>SWEIHAN  ALAIN, 29TH AUG - Cash Collection TG</t>
  </si>
  <si>
    <t>-13,433,548.93</t>
  </si>
  <si>
    <t>5936</t>
  </si>
  <si>
    <t>2508300907253267</t>
  </si>
  <si>
    <t>Al Yahar Al Ain, 29TH AUG - Cash Collection TG</t>
  </si>
  <si>
    <t>-13,113,548.93</t>
  </si>
  <si>
    <t>5937</t>
  </si>
  <si>
    <t>2508300907263273</t>
  </si>
  <si>
    <t>Boutik Mall al Reem island AUH, 29TH AUG - Cash Collection TG</t>
  </si>
  <si>
    <t>-12,803,548.93</t>
  </si>
  <si>
    <t>5938</t>
  </si>
  <si>
    <t>2508300907263279</t>
  </si>
  <si>
    <t>Muroor AUH, 29TH AUG - Cash Collection TG</t>
  </si>
  <si>
    <t>-12,603,548.93</t>
  </si>
  <si>
    <t>5939</t>
  </si>
  <si>
    <t>2508300907263287</t>
  </si>
  <si>
    <t>B2B AUH, 29TH AUG - Cash Collection TG</t>
  </si>
  <si>
    <t>-12,253,548.93</t>
  </si>
  <si>
    <t>5940</t>
  </si>
  <si>
    <t>2508300907263305</t>
  </si>
  <si>
    <t>Souk Br Al-Ain, 29TH AUG - Cash Collection TG</t>
  </si>
  <si>
    <t>-11,763,548.93</t>
  </si>
  <si>
    <t>5941</t>
  </si>
  <si>
    <t>2508300907263311</t>
  </si>
  <si>
    <t>Al Ain (Clock Tower)1, 29TH AUG - Cash Collection TG</t>
  </si>
  <si>
    <t>-11,363,548.93</t>
  </si>
  <si>
    <t>5942</t>
  </si>
  <si>
    <t>2508300907263314</t>
  </si>
  <si>
    <t>Sila Muroor Road AUH, 29TH AUG - Cash Collection TG</t>
  </si>
  <si>
    <t>-11,103,548.93</t>
  </si>
  <si>
    <t>5943</t>
  </si>
  <si>
    <t>2508300907263320</t>
  </si>
  <si>
    <t>SANAYA ZAYED TOWN W/R, 29TH AUG - Cash Collection TG</t>
  </si>
  <si>
    <t>197,000.00</t>
  </si>
  <si>
    <t>-10,906,548.93</t>
  </si>
  <si>
    <t>5944</t>
  </si>
  <si>
    <t>2508300907263332</t>
  </si>
  <si>
    <t>Ruwais AUH, 29TH AUG - Cash Collection TG</t>
  </si>
  <si>
    <t>415,000.00</t>
  </si>
  <si>
    <t>-10,491,548.93</t>
  </si>
  <si>
    <t>5945</t>
  </si>
  <si>
    <t>2508300907263344</t>
  </si>
  <si>
    <t>AL FOAH MALL AL-AIN, 29TH AUG - Cash Collection TG</t>
  </si>
  <si>
    <t>-10,031,548.93</t>
  </si>
  <si>
    <t>5946</t>
  </si>
  <si>
    <t>2508300907263370</t>
  </si>
  <si>
    <t>Al Nahyan Street AUH, 29TH AUG - Cash Collection TG</t>
  </si>
  <si>
    <t>-9,661,548.93</t>
  </si>
  <si>
    <t>5947</t>
  </si>
  <si>
    <t>2508300907263376</t>
  </si>
  <si>
    <t>Gayathi Mall AUH, 29TH AUG - Cash Collection TG</t>
  </si>
  <si>
    <t>-9,311,548.93</t>
  </si>
  <si>
    <t>5948</t>
  </si>
  <si>
    <t>2508300907263382</t>
  </si>
  <si>
    <t>AL MARFA MARKET WR, 29TH AUG - Cash Collection TG</t>
  </si>
  <si>
    <t>-9,101,548.93</t>
  </si>
  <si>
    <t>5949</t>
  </si>
  <si>
    <t>2508300907263395</t>
  </si>
  <si>
    <t>AL FARDAN EXCH DEREI BLDNG AL QUAA AA, 29TH AUG - Cash Collection TG</t>
  </si>
  <si>
    <t>-8,901,548.93</t>
  </si>
  <si>
    <t>5950</t>
  </si>
  <si>
    <t>2508300907263398</t>
  </si>
  <si>
    <t>TCA AUH, 29TH AUG - Cash Collection TG</t>
  </si>
  <si>
    <t>-8,751,548.93</t>
  </si>
  <si>
    <t>5951</t>
  </si>
  <si>
    <t>2508300907263410</t>
  </si>
  <si>
    <t>Al Falah St Auh, 29TH AUG - Cash Collection TG</t>
  </si>
  <si>
    <t>-8,491,548.93</t>
  </si>
  <si>
    <t>5952</t>
  </si>
  <si>
    <t>2508300907273416</t>
  </si>
  <si>
    <t>Al Wahda AUH, 29TH AUG - Cash Collection TG</t>
  </si>
  <si>
    <t>-7,781,548.93</t>
  </si>
  <si>
    <t>5953</t>
  </si>
  <si>
    <t>2508300907273422</t>
  </si>
  <si>
    <t>Zayed 1st Street Electra AUH, 29TH AUG - Cash Collection TG</t>
  </si>
  <si>
    <t>-7,581,548.93</t>
  </si>
  <si>
    <t>5954</t>
  </si>
  <si>
    <t>2508300907273431</t>
  </si>
  <si>
    <t>Hamdan Abu Dhabi, 29TH AUG - Cash Collection TG</t>
  </si>
  <si>
    <t>1,480,210.00</t>
  </si>
  <si>
    <t>-6,101,338.93</t>
  </si>
  <si>
    <t>5955</t>
  </si>
  <si>
    <t>2508300907273443</t>
  </si>
  <si>
    <t>Bin Dhgher Tower Khalidya AUH, 29TH AUG - Cash Collection TG</t>
  </si>
  <si>
    <t>-5,531,338.93</t>
  </si>
  <si>
    <t>5956</t>
  </si>
  <si>
    <t>2508300907273462</t>
  </si>
  <si>
    <t>Al Dhafra AUH, 29TH AUG - Cash Collection TG</t>
  </si>
  <si>
    <t>-5,166,338.93</t>
  </si>
  <si>
    <t>5957</t>
  </si>
  <si>
    <t>2508300907314646</t>
  </si>
  <si>
    <t>NESTO HYPRMRKT AJM, 29TH AUG - Cash Collection TG</t>
  </si>
  <si>
    <t>-4,876,338.93</t>
  </si>
  <si>
    <t>5958</t>
  </si>
  <si>
    <t>2508300907314658</t>
  </si>
  <si>
    <t>GOLDLAND BRANCH DXB, 29TH AUG - Cash Collection TG</t>
  </si>
  <si>
    <t>1,505,000.00</t>
  </si>
  <si>
    <t>-3,371,338.93</t>
  </si>
  <si>
    <t>5959</t>
  </si>
  <si>
    <t>2508300907314665</t>
  </si>
  <si>
    <t>CITY CENTER AL ZAHIA SHJ, 29TH AUG - Cash Collection TG</t>
  </si>
  <si>
    <t>-2,871,338.93</t>
  </si>
  <si>
    <t>5960</t>
  </si>
  <si>
    <t>2508300907314689</t>
  </si>
  <si>
    <t>DUBAI HILLS ESTATE DUBAI, 29TH AUG - Cash Collection TG</t>
  </si>
  <si>
    <t>-2,521,338.93</t>
  </si>
  <si>
    <t>5961</t>
  </si>
  <si>
    <t>2508300907314708</t>
  </si>
  <si>
    <t>MOE 1, 29TH AUG - Cash Collection TG</t>
  </si>
  <si>
    <t>2,100,060.00</t>
  </si>
  <si>
    <t>-421,278.93</t>
  </si>
  <si>
    <t>5962</t>
  </si>
  <si>
    <t>2508300907314717</t>
  </si>
  <si>
    <t>FUJAIRAH, 29TH AUG - Cash Collection TG</t>
  </si>
  <si>
    <t>-101,278.93</t>
  </si>
  <si>
    <t>5963</t>
  </si>
  <si>
    <t>2508300907314720</t>
  </si>
  <si>
    <t>MUWEILAH SHJ, 29TH AUG - Cash Collection TG</t>
  </si>
  <si>
    <t>218,721.07</t>
  </si>
  <si>
    <t>5964</t>
  </si>
  <si>
    <t>2508300907314749</t>
  </si>
  <si>
    <t>AL KHAN BMW SHJ, 29TH AUG - Cash Collection TG</t>
  </si>
  <si>
    <t>518,721.07</t>
  </si>
  <si>
    <t>5965</t>
  </si>
  <si>
    <t>2508300907314752</t>
  </si>
  <si>
    <t>MEGA MALL SHARJAH BR 1, 29TH AUG - Cash Collection TG</t>
  </si>
  <si>
    <t>828,721.07</t>
  </si>
  <si>
    <t>5966</t>
  </si>
  <si>
    <t>2508300907314764</t>
  </si>
  <si>
    <t>UAQ, 29TH AUG - Cash Collection TG</t>
  </si>
  <si>
    <t>1,148,721.07</t>
  </si>
  <si>
    <t>5967</t>
  </si>
  <si>
    <t>2508300907314770</t>
  </si>
  <si>
    <t>AL RIGGA METRO STION DXB, 29TH AUG - Cash Collection TG</t>
  </si>
  <si>
    <t>1,748,721.07</t>
  </si>
  <si>
    <t>5968</t>
  </si>
  <si>
    <t>2508300907314773</t>
  </si>
  <si>
    <t>CLOCK TOWER 1, 29TH AUG - Cash Collection TG</t>
  </si>
  <si>
    <t>1,878,721.07</t>
  </si>
  <si>
    <t>5969</t>
  </si>
  <si>
    <t>2508300907314795</t>
  </si>
  <si>
    <t>DUBAI MALL, 29TH AUG - Cash Collection TG</t>
  </si>
  <si>
    <t>2,678,721.07</t>
  </si>
  <si>
    <t>5970</t>
  </si>
  <si>
    <t>2508300907324801</t>
  </si>
  <si>
    <t>DMALL LG CSK53 TAXI AREA, 29TH AUG - Cash Collection TG</t>
  </si>
  <si>
    <t>3,278,721.07</t>
  </si>
  <si>
    <t>5971</t>
  </si>
  <si>
    <t>2508300907324807</t>
  </si>
  <si>
    <t>AL MINA NESTO BR DXB, 29TH AUG - Cash Collection TG</t>
  </si>
  <si>
    <t>3,828,721.07</t>
  </si>
  <si>
    <t>5972</t>
  </si>
  <si>
    <t>2508300907324813</t>
  </si>
  <si>
    <t>CO OP SOCIETY SHJ 1, 29TH AUG - Cash Collection TG</t>
  </si>
  <si>
    <t>3,988,721.07</t>
  </si>
  <si>
    <t>5973</t>
  </si>
  <si>
    <t>2508300907324819</t>
  </si>
  <si>
    <t>KHAN SAHIB BLDG SHJ, 29TH AUG - Cash Collection TG</t>
  </si>
  <si>
    <t>4,188,721.07</t>
  </si>
  <si>
    <t>5974</t>
  </si>
  <si>
    <t>2508300907324822</t>
  </si>
  <si>
    <t>DEIRA 1, 29TH AUG - Cash Collection TG</t>
  </si>
  <si>
    <t>600,050.00</t>
  </si>
  <si>
    <t>4,788,771.07</t>
  </si>
  <si>
    <t>5975</t>
  </si>
  <si>
    <t>2508300907324828</t>
  </si>
  <si>
    <t>BUR DUBAI, 29TH AUG - Cash Collection TG</t>
  </si>
  <si>
    <t>5,538,771.07</t>
  </si>
  <si>
    <t>5976</t>
  </si>
  <si>
    <t>2508300907324834</t>
  </si>
  <si>
    <t>AL NHDA RES TWRS  SHJ, 29TH AUG - Cash Collection TG</t>
  </si>
  <si>
    <t>5,918,771.07</t>
  </si>
  <si>
    <t>5977</t>
  </si>
  <si>
    <t>2508300907324840</t>
  </si>
  <si>
    <t>AL MADAM SHJ, 29TH AUG - Cash Collection TG</t>
  </si>
  <si>
    <t>6,068,771.07</t>
  </si>
  <si>
    <t>5978</t>
  </si>
  <si>
    <t>2508300907324858</t>
  </si>
  <si>
    <t>SAJA INDUSTRIAL SHJ 2, 29TH AUG - Cash Collection TG</t>
  </si>
  <si>
    <t>6,268,771.07</t>
  </si>
  <si>
    <t>5979</t>
  </si>
  <si>
    <t>2508300907324861</t>
  </si>
  <si>
    <t>IND AREA 3 SHJ, 29TH AUG - Cash Collection TG</t>
  </si>
  <si>
    <t>6,428,771.07</t>
  </si>
  <si>
    <t>5980</t>
  </si>
  <si>
    <t>2508300907324875</t>
  </si>
  <si>
    <t>DUBAI MALL LG UNIT171, 29TH AUG - Cash Collection TG</t>
  </si>
  <si>
    <t>6,728,771.07</t>
  </si>
  <si>
    <t>5981</t>
  </si>
  <si>
    <t>2508300907324886</t>
  </si>
  <si>
    <t>KARAMA DUBAI, 29TH AUG - Cash Collection TG</t>
  </si>
  <si>
    <t>7,578,771.07</t>
  </si>
  <si>
    <t>5982</t>
  </si>
  <si>
    <t>2508300907324900</t>
  </si>
  <si>
    <t>DIBBA FUJAIRAH, 29TH AUG - Cash Collection TG</t>
  </si>
  <si>
    <t>7,738,771.07</t>
  </si>
  <si>
    <t>5983</t>
  </si>
  <si>
    <t>51341026155</t>
  </si>
  <si>
    <t>2550055523 IBTRF B/O NEW FREEZE ICE CREAMS BRANCH</t>
  </si>
  <si>
    <t>5,226.25</t>
  </si>
  <si>
    <t>7,743,997.32</t>
  </si>
  <si>
    <t>5984</t>
  </si>
  <si>
    <t>51341151181</t>
  </si>
  <si>
    <t>26461776486 MBTRF B/O DESERT BREEZE GROCERY</t>
  </si>
  <si>
    <t>16,452.50</t>
  </si>
  <si>
    <t>7,760,449.82</t>
  </si>
  <si>
    <t>5985</t>
  </si>
  <si>
    <t>17,395.35</t>
  </si>
  <si>
    <t>7,777,845.17</t>
  </si>
  <si>
    <t>5986</t>
  </si>
  <si>
    <t>29,427.08</t>
  </si>
  <si>
    <t>7,807,272.25</t>
  </si>
  <si>
    <t>5987</t>
  </si>
  <si>
    <t>7,857,275.92</t>
  </si>
  <si>
    <t>5988</t>
  </si>
  <si>
    <t>PHUB530929838</t>
  </si>
  <si>
    <t>1,536.00</t>
  </si>
  <si>
    <t>7,858,811.92</t>
  </si>
  <si>
    <t>5989</t>
  </si>
  <si>
    <t>530936311 B/O NEXT MOVE SHIPPING SERVICES (FZE)</t>
  </si>
  <si>
    <t>4,262.16</t>
  </si>
  <si>
    <t>7,863,074.08</t>
  </si>
  <si>
    <t>5990</t>
  </si>
  <si>
    <t>PHUB530940521</t>
  </si>
  <si>
    <t>AL FARDAN AUG</t>
  </si>
  <si>
    <t>124,931.46</t>
  </si>
  <si>
    <t>7,988,005.54</t>
  </si>
  <si>
    <t>5991</t>
  </si>
  <si>
    <t>PHUB530940535</t>
  </si>
  <si>
    <t>AL FARDAN CORPO</t>
  </si>
  <si>
    <t>300,042.00</t>
  </si>
  <si>
    <t>8,288,047.54</t>
  </si>
  <si>
    <t>5992</t>
  </si>
  <si>
    <t>PHUB530940694</t>
  </si>
  <si>
    <t>530940694 B/O ABDUL LATEEF LASHARI</t>
  </si>
  <si>
    <t>8,290,625.04</t>
  </si>
  <si>
    <t>5993</t>
  </si>
  <si>
    <t>PHUB530948357</t>
  </si>
  <si>
    <t>B/O_PROPRIETORSHIP L_530948357</t>
  </si>
  <si>
    <t>2,204.20</t>
  </si>
  <si>
    <t>8,292,829.24</t>
  </si>
  <si>
    <t>5994</t>
  </si>
  <si>
    <t>PHUB530941931</t>
  </si>
  <si>
    <t>AUGUST SALARY</t>
  </si>
  <si>
    <t>B/O HATEEN LIGHTING EQUPMENT TRADING</t>
  </si>
  <si>
    <t>803.15</t>
  </si>
  <si>
    <t>8,293,632.39</t>
  </si>
  <si>
    <t>5995</t>
  </si>
  <si>
    <t>530942080 B/O SAIF HUMAID ALI SALEM ALDEREI</t>
  </si>
  <si>
    <t>39,177.00</t>
  </si>
  <si>
    <t>8,332,809.39</t>
  </si>
  <si>
    <t>5996</t>
  </si>
  <si>
    <t>PHUB530948597</t>
  </si>
  <si>
    <t>AUGUST SALARIES</t>
  </si>
  <si>
    <t>12,509.45</t>
  </si>
  <si>
    <t>8,345,318.84</t>
  </si>
  <si>
    <t>5997</t>
  </si>
  <si>
    <t>51341985225</t>
  </si>
  <si>
    <t>2550090059 IBTRF B/O RIGZONE EQUIPMENTS SPARE PARTS TRDG</t>
  </si>
  <si>
    <t>30,751.88</t>
  </si>
  <si>
    <t>8,376,070.72</t>
  </si>
  <si>
    <t>5998</t>
  </si>
  <si>
    <t>PHUB530943410</t>
  </si>
  <si>
    <t>6,003.15</t>
  </si>
  <si>
    <t>8,382,073.87</t>
  </si>
  <si>
    <t>5999</t>
  </si>
  <si>
    <t>530943665 B/O SAIF HUMAID ALI SALEM ALDEREI</t>
  </si>
  <si>
    <t>10,531.00</t>
  </si>
  <si>
    <t>8,392,604.87</t>
  </si>
  <si>
    <t>6000</t>
  </si>
  <si>
    <t>51342027628</t>
  </si>
  <si>
    <t>26462761337 MBTRF B/O ELAZAR YARON HAZAN</t>
  </si>
  <si>
    <t>8,411,104.87</t>
  </si>
  <si>
    <t>6001</t>
  </si>
  <si>
    <t>PHUB530950369</t>
  </si>
  <si>
    <t>19,674.32</t>
  </si>
  <si>
    <t>8,430,779.19</t>
  </si>
  <si>
    <t>6002</t>
  </si>
  <si>
    <t>PHUB530957611</t>
  </si>
  <si>
    <t>MOB3008251017108339546</t>
  </si>
  <si>
    <t>B/O NOOR AL HABAB TYPING SERVICES LLC</t>
  </si>
  <si>
    <t>8,440,779.19</t>
  </si>
  <si>
    <t>6003</t>
  </si>
  <si>
    <t>51342574774</t>
  </si>
  <si>
    <t>26463355464 MBTRF B/O AL SAQR TEXTILE TRADING LLC</t>
  </si>
  <si>
    <t>8,480,779.19</t>
  </si>
  <si>
    <t>6004</t>
  </si>
  <si>
    <t>PHUB530958771</t>
  </si>
  <si>
    <t>B/O_AL FARDAN _EBIL_530958771_AUHADCB</t>
  </si>
  <si>
    <t>30,480,779.19</t>
  </si>
  <si>
    <t>6005</t>
  </si>
  <si>
    <t>PHUB530967930</t>
  </si>
  <si>
    <t>IMD 30082025</t>
  </si>
  <si>
    <t>43,448,142.53</t>
  </si>
  <si>
    <t>-12,967,363.34</t>
  </si>
  <si>
    <t>6006</t>
  </si>
  <si>
    <t>PHUB530975653</t>
  </si>
  <si>
    <t>CA 30082025</t>
  </si>
  <si>
    <t>-967,363.34</t>
  </si>
  <si>
    <t>6007</t>
  </si>
  <si>
    <t>PHUB530983088</t>
  </si>
  <si>
    <t>-10,967,363.34</t>
  </si>
  <si>
    <t>6008</t>
  </si>
  <si>
    <t>40,702.50</t>
  </si>
  <si>
    <t>-10,926,660.84</t>
  </si>
  <si>
    <t>6009</t>
  </si>
  <si>
    <t>51343794498</t>
  </si>
  <si>
    <t>26464694010 MBTRF B/O SUBHASIS PATRA</t>
  </si>
  <si>
    <t>65,027.00</t>
  </si>
  <si>
    <t>-10,861,633.84</t>
  </si>
  <si>
    <t>6010</t>
  </si>
  <si>
    <t>000589</t>
  </si>
  <si>
    <t>INHOUSE CHEQUE DEPOSIT 000589 MUHAMMAD AKRAM NAZAR   MUHAMMAD AL FARDAN EXCHANGE SP LLC CHQ NO ::000589</t>
  </si>
  <si>
    <t>5,700.00</t>
  </si>
  <si>
    <t>-10,855,933.84</t>
  </si>
  <si>
    <t>6011</t>
  </si>
  <si>
    <t>PHUB531001470</t>
  </si>
  <si>
    <t>B/O_WANDERINGG_null_531001470_USA Gro</t>
  </si>
  <si>
    <t>92,039.25</t>
  </si>
  <si>
    <t>-10,763,894.59</t>
  </si>
  <si>
    <t>6012</t>
  </si>
  <si>
    <t>019364</t>
  </si>
  <si>
    <t>INHOUSE CHEQUE DEPOSIT 019364 RAMEES AZEEZ,SEERE VALAPPIL,AZEES,,,CHAPPAN, AL FARDAN EXCHANGE SP LLC CHQ NO ::019364</t>
  </si>
  <si>
    <t>6,927.50</t>
  </si>
  <si>
    <t>-10,756,967.09</t>
  </si>
  <si>
    <t>6013</t>
  </si>
  <si>
    <t>004572</t>
  </si>
  <si>
    <t>INHOUSE CHEQUE DEPOSIT 004572 UNNIKRISHNAN KADAMPALLIL PARAMESWARAN   NAIR AL FARDAN EXCHANGE SP LLC CHQ NO ::004572</t>
  </si>
  <si>
    <t>4,589.40</t>
  </si>
  <si>
    <t>-10,752,377.69</t>
  </si>
  <si>
    <t>6014</t>
  </si>
  <si>
    <t>PHUB531010519</t>
  </si>
  <si>
    <t>39,487.00</t>
  </si>
  <si>
    <t>-10,712,890.69</t>
  </si>
  <si>
    <t>6015</t>
  </si>
  <si>
    <t>PHUB531012490</t>
  </si>
  <si>
    <t>5620980001189</t>
  </si>
  <si>
    <t>B/O FAST CARE BLDG MAT TR LLC</t>
  </si>
  <si>
    <t>98,980.51</t>
  </si>
  <si>
    <t>-10,613,910.18</t>
  </si>
  <si>
    <t>6016</t>
  </si>
  <si>
    <t>51344564490</t>
  </si>
  <si>
    <t>2550189704 IBTRF B/O TARTIBAT MAINTENANCE AND DECOR WORK</t>
  </si>
  <si>
    <t>25,878.00</t>
  </si>
  <si>
    <t>-10,588,032.18</t>
  </si>
  <si>
    <t>6017</t>
  </si>
  <si>
    <t>PHUB531016052</t>
  </si>
  <si>
    <t>B/O_CUPOLA LAB_BOML_531016052_COMMISS</t>
  </si>
  <si>
    <t>17,055.65</t>
  </si>
  <si>
    <t>-10,570,976.53</t>
  </si>
  <si>
    <t>6018</t>
  </si>
  <si>
    <t>PHUB531023675</t>
  </si>
  <si>
    <t>B/O_EVEREST HO_BOML_531023675_ ADMIN</t>
  </si>
  <si>
    <t>-10,534,476.53</t>
  </si>
  <si>
    <t>6019</t>
  </si>
  <si>
    <t>51345147917</t>
  </si>
  <si>
    <t>26466177486 MBTRF B/O ULAGANATHAN ALAGARSAMY</t>
  </si>
  <si>
    <t>11,187.50</t>
  </si>
  <si>
    <t>-10,523,289.03</t>
  </si>
  <si>
    <t>6020</t>
  </si>
  <si>
    <t>-10,519,285.88</t>
  </si>
  <si>
    <t>6021</t>
  </si>
  <si>
    <t>PHUB531034349</t>
  </si>
  <si>
    <t>SAARY</t>
  </si>
  <si>
    <t>-10,515,281.68</t>
  </si>
  <si>
    <t>6022</t>
  </si>
  <si>
    <t>PHUB531035379</t>
  </si>
  <si>
    <t>-9,015,281.68</t>
  </si>
  <si>
    <t>6023</t>
  </si>
  <si>
    <t>PHUB531036156</t>
  </si>
  <si>
    <t>3633839</t>
  </si>
  <si>
    <t>B/O FLAVORS GRILL - FZE</t>
  </si>
  <si>
    <t>92,838.40</t>
  </si>
  <si>
    <t>-8,922,443.28</t>
  </si>
  <si>
    <t>6024</t>
  </si>
  <si>
    <t>PHUB531039284</t>
  </si>
  <si>
    <t>B/O_AYESHA ALI AZZI _531039284</t>
  </si>
  <si>
    <t>-8,921,443.28</t>
  </si>
  <si>
    <t>6025</t>
  </si>
  <si>
    <t>PHUB531048797</t>
  </si>
  <si>
    <t>531048797 B/O VALERIAN DALMAIDA</t>
  </si>
  <si>
    <t>25,090.00</t>
  </si>
  <si>
    <t>-8,896,353.28</t>
  </si>
  <si>
    <t>6026</t>
  </si>
  <si>
    <t>INHOUSE CHEQUE DEPOSIT 000073 BASHEER PULIKKAL    IBRAHIM AL FARDAN EXCHANGE SP LLC CHQ NO ::000073</t>
  </si>
  <si>
    <t>-8,821,353.28</t>
  </si>
  <si>
    <t>6027</t>
  </si>
  <si>
    <t>PHUB531049446</t>
  </si>
  <si>
    <t>531049446 B/O KAROOR PRADEEP MENON</t>
  </si>
  <si>
    <t>6,742.00</t>
  </si>
  <si>
    <t>-8,814,611.28</t>
  </si>
  <si>
    <t>6028</t>
  </si>
  <si>
    <t>PHUB531049966</t>
  </si>
  <si>
    <t>531049966 B/O KAROOR PRADEEP MENON</t>
  </si>
  <si>
    <t>-8,804,611.28</t>
  </si>
  <si>
    <t>6029</t>
  </si>
  <si>
    <t>51346279238</t>
  </si>
  <si>
    <t>26467385774 MBTRF B/O NARAYANAN NADUVILMADOM DORASWAMY</t>
  </si>
  <si>
    <t>36,755.00</t>
  </si>
  <si>
    <t>-8,767,856.28</t>
  </si>
  <si>
    <t>6030</t>
  </si>
  <si>
    <t>000121</t>
  </si>
  <si>
    <t>INHOUSE CHEQUE DEPOSIT 000121 NISSAR MANGADAN MOIDEEN   MANGADAN AL FARDAN EXCHANGE SP LLC CHQ NO ::000121</t>
  </si>
  <si>
    <t>-8,667,856.28</t>
  </si>
  <si>
    <t>6031</t>
  </si>
  <si>
    <t>002072</t>
  </si>
  <si>
    <t>INHOUSE CHEQUE DEPOSIT 002072 MUHAMMAD RASHID KOONARI   PEZHUMTHARA AL FARDAN EXCHANGE SP LLC CHQ NO ::002072</t>
  </si>
  <si>
    <t>40,864.00</t>
  </si>
  <si>
    <t>-8,626,992.28</t>
  </si>
  <si>
    <t>6032</t>
  </si>
  <si>
    <t>PHUB531054275</t>
  </si>
  <si>
    <t>214,272.50</t>
  </si>
  <si>
    <t>-8,412,719.78</t>
  </si>
  <si>
    <t>6033</t>
  </si>
  <si>
    <t>51346392222</t>
  </si>
  <si>
    <t>26467509311 MBTRF B/O ARUN  POTHAN RAJ VIJAYABHARATHI</t>
  </si>
  <si>
    <t>-8,312,719.78</t>
  </si>
  <si>
    <t>6034</t>
  </si>
  <si>
    <t>51346421618</t>
  </si>
  <si>
    <t>26467546020 MBTRF B/O ARUN  POTHAN RAJ VIJAYABHARATHI</t>
  </si>
  <si>
    <t>-8,287,719.78</t>
  </si>
  <si>
    <t>6035</t>
  </si>
  <si>
    <t>000456</t>
  </si>
  <si>
    <t>INHOUSE CHEQUE DEPOSIT 000456 SIRAJ MOHAMMED    PILAR AL FARDAN EXCHANGE SP LLC CHQ NO ::000456</t>
  </si>
  <si>
    <t>-8,037,719.78</t>
  </si>
  <si>
    <t>6036</t>
  </si>
  <si>
    <t>-8,033,719.78</t>
  </si>
  <si>
    <t>6037</t>
  </si>
  <si>
    <t>51346877657</t>
  </si>
  <si>
    <t>26468042786 MBTRF B/O AHMAD AMIN SADEQ MOHAMMAD RIZIK</t>
  </si>
  <si>
    <t>-7,993,719.78</t>
  </si>
  <si>
    <t>6038</t>
  </si>
  <si>
    <t>INHOUSE CHEQUE DEPOSIT 000446 DAISY,PEROZO,,,,BUENAOBRA, AL FARDAN EXCHANGE SP LLC CHQ NO ::000446</t>
  </si>
  <si>
    <t>32,509.00</t>
  </si>
  <si>
    <t>-7,961,210.78</t>
  </si>
  <si>
    <t>6039</t>
  </si>
  <si>
    <t>000067</t>
  </si>
  <si>
    <t>INHOUSE CHEQUE DEPOSIT 000067 SHAMSHEER KHAN AHAMED KHAN AHAMED  KHAN AL FARDAN EXCHANGE SP LLC CHQ NO ::000067</t>
  </si>
  <si>
    <t>22,023.10</t>
  </si>
  <si>
    <t>-7,939,187.68</t>
  </si>
  <si>
    <t>6040</t>
  </si>
  <si>
    <t>51347487704</t>
  </si>
  <si>
    <t>26468712269 MBTRF B/O AL QASAS BUILDINGS MATERIAL TR LLC</t>
  </si>
  <si>
    <t>31,006.10</t>
  </si>
  <si>
    <t>-7,908,181.58</t>
  </si>
  <si>
    <t>6041</t>
  </si>
  <si>
    <t>51347837152</t>
  </si>
  <si>
    <t>2550308031 IBTRF B/O PACHERS BLINDS TRADING LLC</t>
  </si>
  <si>
    <t>12,482.60</t>
  </si>
  <si>
    <t>-7,895,698.98</t>
  </si>
  <si>
    <t>6042</t>
  </si>
  <si>
    <t>30082504</t>
  </si>
  <si>
    <t>673,000.00</t>
  </si>
  <si>
    <t>-7,222,698.98</t>
  </si>
  <si>
    <t>6043</t>
  </si>
  <si>
    <t>INHOUSE CHEQUE DEPOSIT 000003 ABHIJITH SUNIL SUNIL   CHAKRAPANI AL FARDAN EXCHANGE SP LLC CHQ NO ::000003</t>
  </si>
  <si>
    <t>211,000.00</t>
  </si>
  <si>
    <t>-7,011,698.98</t>
  </si>
  <si>
    <t>6044</t>
  </si>
  <si>
    <t>003867</t>
  </si>
  <si>
    <t>INHOUSE CHEQUE DEPOSIT 003867 BADARUDEEN SHAMSUDEEN    SHAMSUDEEN AL FARDAN EXCHANGE SP LLC CHQ NO ::003867</t>
  </si>
  <si>
    <t>159,853.25</t>
  </si>
  <si>
    <t>-6,851,845.73</t>
  </si>
  <si>
    <t>6045</t>
  </si>
  <si>
    <t>51348154564</t>
  </si>
  <si>
    <t>26469456747 MBTRF B/O BUDI RUBIYANTO</t>
  </si>
  <si>
    <t>17,169.00</t>
  </si>
  <si>
    <t>-6,834,676.73</t>
  </si>
  <si>
    <t>6046</t>
  </si>
  <si>
    <t>51348543259</t>
  </si>
  <si>
    <t>26469886743 MBTRF B/O GALI REDDY TONTLA</t>
  </si>
  <si>
    <t>36,561.00</t>
  </si>
  <si>
    <t>-6,798,115.73</t>
  </si>
  <si>
    <t>6047</t>
  </si>
  <si>
    <t>PHUB531102315</t>
  </si>
  <si>
    <t>MOB3008251344378343219</t>
  </si>
  <si>
    <t>B/O MATSHS FLOWERS AND CHOCS BOUTIQUE</t>
  </si>
  <si>
    <t>11,026.00</t>
  </si>
  <si>
    <t>-6,787,089.73</t>
  </si>
  <si>
    <t>6048</t>
  </si>
  <si>
    <t>PHUB531102869</t>
  </si>
  <si>
    <t>B/O_HADI SUPRI_HSBC_531102869_AEV3008</t>
  </si>
  <si>
    <t>66,000.00</t>
  </si>
  <si>
    <t>-6,721,089.73</t>
  </si>
  <si>
    <t>6049</t>
  </si>
  <si>
    <t>20,109.86</t>
  </si>
  <si>
    <t>-6,700,979.87</t>
  </si>
  <si>
    <t>6050</t>
  </si>
  <si>
    <t>019363</t>
  </si>
  <si>
    <t>INHOUSE CHEQUE DEPOSIT 019363 RAMEES AZEEZ,SEERE VALAPPIL,AZEES,,,CHAPPAN, AL FARDAN EXCHANGE SP LLC CHQ NO ::019363</t>
  </si>
  <si>
    <t>53,770.13</t>
  </si>
  <si>
    <t>-6,647,209.74</t>
  </si>
  <si>
    <t>6051</t>
  </si>
  <si>
    <t>51349694207</t>
  </si>
  <si>
    <t>26471178488 MBTRF B/O MUHAMMAD MURTAZA</t>
  </si>
  <si>
    <t>-6,645,909.74</t>
  </si>
  <si>
    <t>6052</t>
  </si>
  <si>
    <t>51349695904</t>
  </si>
  <si>
    <t>26471182274 MBTRF B/O SUBAIR ALUNGAL</t>
  </si>
  <si>
    <t>20,903.33</t>
  </si>
  <si>
    <t>-6,625,006.41</t>
  </si>
  <si>
    <t>6053</t>
  </si>
  <si>
    <t>PHUB531127854</t>
  </si>
  <si>
    <t>0295</t>
  </si>
  <si>
    <t>B/O EON MARINE EQUIPMENT R AND M LLC</t>
  </si>
  <si>
    <t>50,052.50</t>
  </si>
  <si>
    <t>-6,574,953.91</t>
  </si>
  <si>
    <t>6054</t>
  </si>
  <si>
    <t>51350104476</t>
  </si>
  <si>
    <t>26471639573 MBTRF B/O AL MASAR AL MEHANI CONTRACTING</t>
  </si>
  <si>
    <t>10,744.00</t>
  </si>
  <si>
    <t>-6,564,209.91</t>
  </si>
  <si>
    <t>6055</t>
  </si>
  <si>
    <t>B/O_AL MILAD H_NBSH_531138047_REF 562</t>
  </si>
  <si>
    <t>65,219.00</t>
  </si>
  <si>
    <t>-6,498,990.91</t>
  </si>
  <si>
    <t>6056</t>
  </si>
  <si>
    <t>INHOUSE CHEQUE DEPOSIT 000005 NISSAR MANGADAN MOIDEEN   MANGADAN AL FARDAN EXCHANGE SP LLC CHQ NO ::000005</t>
  </si>
  <si>
    <t>174,422.00</t>
  </si>
  <si>
    <t>-6,324,568.91</t>
  </si>
  <si>
    <t>6057</t>
  </si>
  <si>
    <t>000404</t>
  </si>
  <si>
    <t>INHOUSE CHEQUE DEPOSIT 000404 ANJENETTE,MATEO,,,,ALEJANDRO, AL FARDAN EXCHANGE SP LLC CHQ NO ::000404</t>
  </si>
  <si>
    <t>28,242.00</t>
  </si>
  <si>
    <t>-6,296,326.91</t>
  </si>
  <si>
    <t>6058</t>
  </si>
  <si>
    <t>PHUB531157800</t>
  </si>
  <si>
    <t>MOB3008251535028344859</t>
  </si>
  <si>
    <t>B/O Noor Al Shafaq Electro M</t>
  </si>
  <si>
    <t>19,808.95</t>
  </si>
  <si>
    <t>-6,276,517.96</t>
  </si>
  <si>
    <t>6059</t>
  </si>
  <si>
    <t>30,320.25</t>
  </si>
  <si>
    <t>-6,246,197.71</t>
  </si>
  <si>
    <t>6060</t>
  </si>
  <si>
    <t>005774</t>
  </si>
  <si>
    <t>INHOUSE CHEQUE DEPOSIT 005774 JOBI KAVUNGAL,JOHNY KAVUNGAL,,,,JOHNY, AL FARDAN EXCHANGE SP LLC CHQ NO ::005774</t>
  </si>
  <si>
    <t>59,100.00</t>
  </si>
  <si>
    <t>-6,187,097.71</t>
  </si>
  <si>
    <t>6061</t>
  </si>
  <si>
    <t>PHUB531164226</t>
  </si>
  <si>
    <t>B/O_SKANDHA KU_SCBL_531164226_.</t>
  </si>
  <si>
    <t>20,938.70</t>
  </si>
  <si>
    <t>-6,166,159.01</t>
  </si>
  <si>
    <t>6062</t>
  </si>
  <si>
    <t>PHUB531164266</t>
  </si>
  <si>
    <t>B/O_HANAN KADD_ADIB_531164266_Educati</t>
  </si>
  <si>
    <t>62,274.50</t>
  </si>
  <si>
    <t>-6,103,884.51</t>
  </si>
  <si>
    <t>6063</t>
  </si>
  <si>
    <t>000517</t>
  </si>
  <si>
    <t>INHOUSE CHEQUE DEPOSIT 000517 ASHRAF FOULY YOUSSEF MOHAMED  ELASSAL AL FARDAN EXCHANGE SP LLC CHQ NO ::000517</t>
  </si>
  <si>
    <t>45,024.00</t>
  </si>
  <si>
    <t>-6,058,860.51</t>
  </si>
  <si>
    <t>6064</t>
  </si>
  <si>
    <t>PHUB531168111</t>
  </si>
  <si>
    <t>SAL AUG 3008</t>
  </si>
  <si>
    <t>53,026.25</t>
  </si>
  <si>
    <t>-6,005,834.26</t>
  </si>
  <si>
    <t>6065</t>
  </si>
  <si>
    <t>PHUB531170653</t>
  </si>
  <si>
    <t>B/O_SAAS PROPE_HSBC_531170653_AEH3008</t>
  </si>
  <si>
    <t>1,471.88</t>
  </si>
  <si>
    <t>-6,004,362.38</t>
  </si>
  <si>
    <t>6066</t>
  </si>
  <si>
    <t>PHUB531170953</t>
  </si>
  <si>
    <t>531170953 B/O SAEED SUHAIL HAMAD HAMROUR ALAMERI</t>
  </si>
  <si>
    <t>440.00</t>
  </si>
  <si>
    <t>-6,003,922.38</t>
  </si>
  <si>
    <t>6067</t>
  </si>
  <si>
    <t>51352304365</t>
  </si>
  <si>
    <t>26474137896 MBTRF B/O AL HASNAN GROCERY</t>
  </si>
  <si>
    <t>5,879.50</t>
  </si>
  <si>
    <t>-5,998,042.88</t>
  </si>
  <si>
    <t>6068</t>
  </si>
  <si>
    <t>22,427.50</t>
  </si>
  <si>
    <t>-5,975,615.38</t>
  </si>
  <si>
    <t>6069</t>
  </si>
  <si>
    <t>PHUB531176759</t>
  </si>
  <si>
    <t>LUXE0234</t>
  </si>
  <si>
    <t>B/O LUXE SHORTLET HOLIDAY HM RNT LLC</t>
  </si>
  <si>
    <t>45,078.75</t>
  </si>
  <si>
    <t>-5,930,536.63</t>
  </si>
  <si>
    <t>6070</t>
  </si>
  <si>
    <t>PHUB531180830</t>
  </si>
  <si>
    <t>B/O_ATLASI SHI_MEBL_531180830_fardan</t>
  </si>
  <si>
    <t>46,325.00</t>
  </si>
  <si>
    <t>-5,884,211.63</t>
  </si>
  <si>
    <t>6071</t>
  </si>
  <si>
    <t>B/O_/011/000 S_NRAK_531182224_Own Acc</t>
  </si>
  <si>
    <t>458,933.50</t>
  </si>
  <si>
    <t>-5,425,278.13</t>
  </si>
  <si>
    <t>6072</t>
  </si>
  <si>
    <t>PHUB531186099</t>
  </si>
  <si>
    <t>531186099 B/O MASHAIL HAMAD SAEED ALRIYAMI</t>
  </si>
  <si>
    <t>5,126.25</t>
  </si>
  <si>
    <t>-5,420,151.88</t>
  </si>
  <si>
    <t>6073</t>
  </si>
  <si>
    <t>9,243.00</t>
  </si>
  <si>
    <t>-5,410,908.88</t>
  </si>
  <si>
    <t>6074</t>
  </si>
  <si>
    <t>51354141879</t>
  </si>
  <si>
    <t>26476241287 MBTRF B/O ARSLAN AHMAD</t>
  </si>
  <si>
    <t>-5,408,808.88</t>
  </si>
  <si>
    <t>6075</t>
  </si>
  <si>
    <t>PHUB531211329</t>
  </si>
  <si>
    <t>WPS SALARIES AUG 2025</t>
  </si>
  <si>
    <t>13,950.00</t>
  </si>
  <si>
    <t>-5,394,858.88</t>
  </si>
  <si>
    <t>6076</t>
  </si>
  <si>
    <t>CHEQUE DEPOSIT 000036 KABEER MUKKADEKAD VALAPPIL   KOYUNNI 805740101 CHQ NO ::000036</t>
  </si>
  <si>
    <t>13,741.00</t>
  </si>
  <si>
    <t>-5,381,117.88</t>
  </si>
  <si>
    <t>6077</t>
  </si>
  <si>
    <t>51355133980</t>
  </si>
  <si>
    <t>26477400079 MBTRF B/O EXTREME ANGLERS MARINE EQUIPMENTS</t>
  </si>
  <si>
    <t>10,244.83</t>
  </si>
  <si>
    <t>-5,370,873.05</t>
  </si>
  <si>
    <t>6078</t>
  </si>
  <si>
    <t>000264</t>
  </si>
  <si>
    <t>CHEQUE DEPOSIT 000264 MUHAMMAD HAMEED MUHAMMAD   FAREED 703820101 CHQ NO ::000264</t>
  </si>
  <si>
    <t>628,849.00</t>
  </si>
  <si>
    <t>-4,742,024.05</t>
  </si>
  <si>
    <t>6079</t>
  </si>
  <si>
    <t>500290</t>
  </si>
  <si>
    <t>CHEQUE DEPOSIT 500290 NISSAR MANGADAN MOIDEEN   MANGADAN 105011002 CHQ NO ::500290</t>
  </si>
  <si>
    <t>95,585.00</t>
  </si>
  <si>
    <t>-4,646,439.05</t>
  </si>
  <si>
    <t>6080</t>
  </si>
  <si>
    <t>CHEQUE DEPOSIT 000009 BASHEER PULIKKAL    IBRAHIM 304012039 CHQ NO ::000009</t>
  </si>
  <si>
    <t>25,232.00</t>
  </si>
  <si>
    <t>-4,621,207.05</t>
  </si>
  <si>
    <t>6081</t>
  </si>
  <si>
    <t>CHEQUE DEPOSIT 000005 SHAMSHEER KHAN AHAMED KHAN AHAMED  KHAN 102631612 CHQ NO ::000005</t>
  </si>
  <si>
    <t>-4,591,207.05</t>
  </si>
  <si>
    <t>6082</t>
  </si>
  <si>
    <t>51355177431</t>
  </si>
  <si>
    <t>26477452692 MBTRF B/O SANTHANA KRISHNAN THANGARAJU PILLAI</t>
  </si>
  <si>
    <t>8,415.00</t>
  </si>
  <si>
    <t>-4,582,792.05</t>
  </si>
  <si>
    <t>6083</t>
  </si>
  <si>
    <t>CHEQUE DEPOSIT 000013 SHAMSHEER KHAN AHAMED KHAN AHAMED  KHAN 804030124 CHQ NO ::000013</t>
  </si>
  <si>
    <t>496.50</t>
  </si>
  <si>
    <t>-4,582,295.55</t>
  </si>
  <si>
    <t>6084</t>
  </si>
  <si>
    <t>CHEQUE DEPOSIT 000374 MUHAMMAD HAMEED MUHAMMAD   FAREED 203320145 CHQ NO ::000374</t>
  </si>
  <si>
    <t>323,296.00</t>
  </si>
  <si>
    <t>-4,258,999.55</t>
  </si>
  <si>
    <t>6085</t>
  </si>
  <si>
    <t>003070</t>
  </si>
  <si>
    <t>CHEQUE DEPOSIT 003070 DIL JAN MOHAMMAD   ALI 202640150 CHQ NO ::003070</t>
  </si>
  <si>
    <t>-4,239,499.55</t>
  </si>
  <si>
    <t>6086</t>
  </si>
  <si>
    <t>51355509930</t>
  </si>
  <si>
    <t>26477836531 MBTRF B/O BHUPINDER SINGH</t>
  </si>
  <si>
    <t>43,867.84</t>
  </si>
  <si>
    <t>-4,195,631.71</t>
  </si>
  <si>
    <t>6087</t>
  </si>
  <si>
    <t>CHEQUE DEPOSIT 000097 JILU JALEEL     ABDUL JALEEL 304012039 CHQ NO ::000097</t>
  </si>
  <si>
    <t>20,027.00</t>
  </si>
  <si>
    <t>-4,175,604.71</t>
  </si>
  <si>
    <t>6088</t>
  </si>
  <si>
    <t>685432</t>
  </si>
  <si>
    <t>CHEQUE DEPOSIT 685432 MUHAMMAD AKRAM NAZAR   MUHAMMAD 304012039 CHQ NO ::685432</t>
  </si>
  <si>
    <t>251,661.75</t>
  </si>
  <si>
    <t>-3,923,942.96</t>
  </si>
  <si>
    <t>6089</t>
  </si>
  <si>
    <t>007800</t>
  </si>
  <si>
    <t>CHEQUE DEPOSIT 007800 AATIB,KHAN NABAB,,,,ALI KHAN, 502620137 CHQ NO ::007800</t>
  </si>
  <si>
    <t>880,095.58</t>
  </si>
  <si>
    <t>-3,043,847.38</t>
  </si>
  <si>
    <t>6090</t>
  </si>
  <si>
    <t>103748</t>
  </si>
  <si>
    <t>CHEQUE DEPOSIT 103748 SRIDHAR,SURGI,NARSAIAH,,,SURGI, 702410103 CHQ NO ::103748</t>
  </si>
  <si>
    <t>-2,978,847.38</t>
  </si>
  <si>
    <t>6091</t>
  </si>
  <si>
    <t>000351</t>
  </si>
  <si>
    <t>CHEQUE DEPOSIT 000351 MUHAMMAD HAMEED MUHAMMAD   FAREED 703820101 CHQ NO ::000351</t>
  </si>
  <si>
    <t>274,778.00</t>
  </si>
  <si>
    <t>-2,704,069.38</t>
  </si>
  <si>
    <t>6092</t>
  </si>
  <si>
    <t>000238</t>
  </si>
  <si>
    <t>CHEQUE DEPOSIT 000238 MUHAMMAD,HAMEED,MUHAMMAD,,,FAREED, 703430137 CHQ NO ::000238</t>
  </si>
  <si>
    <t>51,578.00</t>
  </si>
  <si>
    <t>-2,652,491.38</t>
  </si>
  <si>
    <t>6093</t>
  </si>
  <si>
    <t>CHEQUE DEPOSIT 000673 BIJITH THUNDIPARAMBIL,VINOD VINOD,THUNDIPARAMBIL,, 703820101 CHQ NO ::000673</t>
  </si>
  <si>
    <t>-2,617,491.38</t>
  </si>
  <si>
    <t>6094</t>
  </si>
  <si>
    <t>CHEQUE DEPOSIT 000136 MUHAMMAD,HAMEED,MUHAMMAD,,,FAREED, 102120101 CHQ NO ::000136</t>
  </si>
  <si>
    <t>-2,602,491.38</t>
  </si>
  <si>
    <t>6095</t>
  </si>
  <si>
    <t>140586</t>
  </si>
  <si>
    <t>CHEQUE DEPOSIT 140586 IMRAN KHAN SALIM   KHAN 403521119 CHQ NO ::140586</t>
  </si>
  <si>
    <t>16,468.30</t>
  </si>
  <si>
    <t>-2,586,023.08</t>
  </si>
  <si>
    <t>6096</t>
  </si>
  <si>
    <t>002279</t>
  </si>
  <si>
    <t>CHEQUE DEPOSIT 002279 MUHAMMAD HAMEED MUHAMMAD   FAREED 804030124 CHQ NO ::002279</t>
  </si>
  <si>
    <t>50,388.00</t>
  </si>
  <si>
    <t>-2,535,635.08</t>
  </si>
  <si>
    <t>6097</t>
  </si>
  <si>
    <t>103759</t>
  </si>
  <si>
    <t>CHEQUE DEPOSIT 103759 SRIDHAR SURGI NARSAIAH   SURGI 702410103 CHQ NO ::103759</t>
  </si>
  <si>
    <t>11,549.70</t>
  </si>
  <si>
    <t>-2,524,085.38</t>
  </si>
  <si>
    <t>6098</t>
  </si>
  <si>
    <t>CHEQUE DEPOSIT 000352 MUHAMMAD HAMEED MUHAMMAD   FAREED 703820101 CHQ NO ::000352</t>
  </si>
  <si>
    <t>264,606.00</t>
  </si>
  <si>
    <t>-2,259,479.38</t>
  </si>
  <si>
    <t>6099</t>
  </si>
  <si>
    <t>014780</t>
  </si>
  <si>
    <t>CHEQUE DEPOSIT 014780 MUHAMMAD AKRAM NAZAR   MUHAMMAD 102310030 CHQ NO ::014780</t>
  </si>
  <si>
    <t>1,959.75</t>
  </si>
  <si>
    <t>-2,257,519.63</t>
  </si>
  <si>
    <t>6100</t>
  </si>
  <si>
    <t>201622</t>
  </si>
  <si>
    <t>CHEQUE DEPOSIT 201622 DIL JAN MOHAMMAD   ALI 302430107 CHQ NO ::201622</t>
  </si>
  <si>
    <t>29,626.25</t>
  </si>
  <si>
    <t>-2,227,893.38</t>
  </si>
  <si>
    <t>6101</t>
  </si>
  <si>
    <t>103760</t>
  </si>
  <si>
    <t>CHEQUE DEPOSIT 103760 SRIDHAR,SURGI,NARSAIAH,,,SURGI, 702410103 CHQ NO ::103760</t>
  </si>
  <si>
    <t>12,912.05</t>
  </si>
  <si>
    <t>-2,214,981.33</t>
  </si>
  <si>
    <t>6102</t>
  </si>
  <si>
    <t>007799</t>
  </si>
  <si>
    <t>CHEQUE DEPOSIT 007799 AATIB,KHAN NABAB,,,,ALI KHAN, 502620137 CHQ NO ::007799</t>
  </si>
  <si>
    <t>-2,174,955.08</t>
  </si>
  <si>
    <t>6103</t>
  </si>
  <si>
    <t>036369</t>
  </si>
  <si>
    <t>CHEQUE DEPOSIT 036369 BASHEER PULIKKAL    IBRAHIM 004410124 CHQ NO ::036369</t>
  </si>
  <si>
    <t>113,999.00</t>
  </si>
  <si>
    <t>-2,060,956.08</t>
  </si>
  <si>
    <t>6104</t>
  </si>
  <si>
    <t>CHEQUE DEPOSIT 000048 MUHAMMAD,HAMEED,MUHAMMAD,,,FAREED, 704020137 CHQ NO ::000048</t>
  </si>
  <si>
    <t>-2,019,158.33</t>
  </si>
  <si>
    <t>6105</t>
  </si>
  <si>
    <t>103758</t>
  </si>
  <si>
    <t>CHEQUE DEPOSIT 103758 SRIDHAR SURGI NARSAIAH   SURGI 702410103 CHQ NO ::103758</t>
  </si>
  <si>
    <t>39,933.65</t>
  </si>
  <si>
    <t>-1,979,224.68</t>
  </si>
  <si>
    <t>6106</t>
  </si>
  <si>
    <t>103650</t>
  </si>
  <si>
    <t>CHEQUE DEPOSIT 103650 BASHEER PULIKKAL    IBRAHIM 503511201 CHQ NO ::103650</t>
  </si>
  <si>
    <t>33,600.00</t>
  </si>
  <si>
    <t>-1,945,624.68</t>
  </si>
  <si>
    <t>6107</t>
  </si>
  <si>
    <t>CHEQUE DEPOSIT 000153 BASHEER PULIKKAL    IBRAHIM 101110101 CHQ NO ::000153</t>
  </si>
  <si>
    <t>3,143.00</t>
  </si>
  <si>
    <t>-1,942,481.68</t>
  </si>
  <si>
    <t>6108</t>
  </si>
  <si>
    <t>982087</t>
  </si>
  <si>
    <t>CHEQUE DEPOSIT 982087 ABHIJITH SUNIL SUNIL   CHAKRAPANI 703511205 CHQ NO ::982087</t>
  </si>
  <si>
    <t>-1,892,481.68</t>
  </si>
  <si>
    <t>6109</t>
  </si>
  <si>
    <t>CHEQUE DEPOSIT 000054 MUHAMMAD,HAMEED,MUHAMMAD,,,FAREED, 104030136 CHQ NO ::000054</t>
  </si>
  <si>
    <t>-1,672,481.68</t>
  </si>
  <si>
    <t>6110</t>
  </si>
  <si>
    <t>PHUB531239997</t>
  </si>
  <si>
    <t>2025 AUG 0044</t>
  </si>
  <si>
    <t>35,378.00</t>
  </si>
  <si>
    <t>-1,637,103.68</t>
  </si>
  <si>
    <t>6111</t>
  </si>
  <si>
    <t>PHUB531240001</t>
  </si>
  <si>
    <t>2025 AUG 0043</t>
  </si>
  <si>
    <t>4,994.30</t>
  </si>
  <si>
    <t>-1,632,109.38</t>
  </si>
  <si>
    <t>6112</t>
  </si>
  <si>
    <t>PHUB531240002</t>
  </si>
  <si>
    <t>2025 AUG 0041</t>
  </si>
  <si>
    <t>39,056.40</t>
  </si>
  <si>
    <t>-1,593,052.98</t>
  </si>
  <si>
    <t>6113</t>
  </si>
  <si>
    <t>PHUB531240006</t>
  </si>
  <si>
    <t>2025 AUG 0040</t>
  </si>
  <si>
    <t>23,314.30</t>
  </si>
  <si>
    <t>-1,569,738.68</t>
  </si>
  <si>
    <t>6114</t>
  </si>
  <si>
    <t>CHEQUE DEPOSIT 000011 ABDU SALAM THOTTUNGA PARAMBIL YOOSAF   THOTTUNGA 703820101 CHQ NO ::000011</t>
  </si>
  <si>
    <t>51,520.00</t>
  </si>
  <si>
    <t>-1,518,218.68</t>
  </si>
  <si>
    <t>6115</t>
  </si>
  <si>
    <t>000687</t>
  </si>
  <si>
    <t>CHEQUE DEPOSIT 000687 UNNIKRISHNAN KADAMPALLIL PARAMESWARAN   NAIR 503312046 CHQ NO ::000687</t>
  </si>
  <si>
    <t>121,408.37</t>
  </si>
  <si>
    <t>-1,396,810.31</t>
  </si>
  <si>
    <t>6116</t>
  </si>
  <si>
    <t>000188</t>
  </si>
  <si>
    <t>CHEQUE DEPOSIT 000188 BASHEER PULIKKAL    IBRAHIM 703320106 CHQ NO ::000188</t>
  </si>
  <si>
    <t>-1,392,810.31</t>
  </si>
  <si>
    <t>6117</t>
  </si>
  <si>
    <t>CHEQUE DEPOSIT 000048 SHAMSHEER KHAN AHAMED KHAN AHAMED  KHAN 703320117 CHQ NO ::000048</t>
  </si>
  <si>
    <t>92,078.75</t>
  </si>
  <si>
    <t>-1,300,731.56</t>
  </si>
  <si>
    <t>6118</t>
  </si>
  <si>
    <t>CHEQUE DEPOSIT 000010 SHAMSHEER KHAN AHAMED KHAN AHAMED  KHAN 803320103 CHQ NO ::000010</t>
  </si>
  <si>
    <t>-1,270,731.56</t>
  </si>
  <si>
    <t>6119</t>
  </si>
  <si>
    <t>CHEQUE DEPOSIT 000375 MUHAMMAD HAMEED MUHAMMAD   FAREED 203320145 CHQ NO ::000375</t>
  </si>
  <si>
    <t>246,430.00</t>
  </si>
  <si>
    <t>-1,024,301.56</t>
  </si>
  <si>
    <t>6120</t>
  </si>
  <si>
    <t>CHEQUE DEPOSIT 000001 BASHEER PULIKKAL    IBRAHIM 802610160 CHQ NO ::000001</t>
  </si>
  <si>
    <t>-954,301.56</t>
  </si>
  <si>
    <t>6121</t>
  </si>
  <si>
    <t>CHEQUE DEPOSIT 000002 FARHAN ALI SHAN ABDUL WAZIR   ALI 502610103 CHQ NO ::000002</t>
  </si>
  <si>
    <t>-754,301.56</t>
  </si>
  <si>
    <t>6122</t>
  </si>
  <si>
    <t>000362</t>
  </si>
  <si>
    <t>CHEQUE DEPOSIT 000362 SHAHANAS SHIHABUDEEN    SHIHABUDEEN M 304012039 CHQ NO ::000362</t>
  </si>
  <si>
    <t>46,956.25</t>
  </si>
  <si>
    <t>-707,345.31</t>
  </si>
  <si>
    <t>6123</t>
  </si>
  <si>
    <t>002334</t>
  </si>
  <si>
    <t>CHEQUE DEPOSIT 002334 MUHAMMAD,BILAL,,,,MUHAMMAD ILYAS, 903320188 CHQ NO ::002334</t>
  </si>
  <si>
    <t>-705,953.31</t>
  </si>
  <si>
    <t>6124</t>
  </si>
  <si>
    <t>CHEQUE DEPOSIT 000039 MUHAMMAD,HAMEED,MUHAMMAD,,,FAREED, 603420117 CHQ NO ::000039</t>
  </si>
  <si>
    <t>99,672.50</t>
  </si>
  <si>
    <t>-606,280.81</t>
  </si>
  <si>
    <t>6125</t>
  </si>
  <si>
    <t>002254</t>
  </si>
  <si>
    <t>CHEQUE DEPOSIT 002254 SHAMSHEER KHAN AHAMED KHAN AHAMED  KHAN 804030124 CHQ NO ::002254</t>
  </si>
  <si>
    <t>-306,280.81</t>
  </si>
  <si>
    <t>6126</t>
  </si>
  <si>
    <t>002418</t>
  </si>
  <si>
    <t>CHEQUE DEPOSIT 002418 AATIB,KHAN NABAB,,,,ALI KHAN, 704120112 CHQ NO ::002418</t>
  </si>
  <si>
    <t>47,503.68</t>
  </si>
  <si>
    <t>-258,777.13</t>
  </si>
  <si>
    <t>6127</t>
  </si>
  <si>
    <t>CHEQUE DEPOSIT 000009 SIRAJ MOHAMMED    PILAR 302070170 CHQ NO ::000009</t>
  </si>
  <si>
    <t>6,030.00</t>
  </si>
  <si>
    <t>-252,747.13</t>
  </si>
  <si>
    <t>6128</t>
  </si>
  <si>
    <t>CHEQUE DEPOSIT 000009 BASHEER PULIKKAL    IBRAHIM 502010101 CHQ NO ::000009</t>
  </si>
  <si>
    <t>-202,747.13</t>
  </si>
  <si>
    <t>6129</t>
  </si>
  <si>
    <t>CHEQUE DEPOSIT 000109 BASHEER PULIKKAL    IBRAHIM 003510111 CHQ NO ::000109</t>
  </si>
  <si>
    <t>126,000.00</t>
  </si>
  <si>
    <t>-76,747.13</t>
  </si>
  <si>
    <t>6130</t>
  </si>
  <si>
    <t>CHEQUE DEPOSIT 000353 MUHAMMAD HAMEED MUHAMMAD   FAREED 703820101 CHQ NO ::000353</t>
  </si>
  <si>
    <t>267,928.00</t>
  </si>
  <si>
    <t>191,180.87</t>
  </si>
  <si>
    <t>6131</t>
  </si>
  <si>
    <t>003180</t>
  </si>
  <si>
    <t>CHEQUE DEPOSIT 003180 MEHARUF KATHICHAL PUTHIYAPURAYIL ABOOBACKER  KANIY 703310105 CHQ NO ::003180</t>
  </si>
  <si>
    <t>19,597.25</t>
  </si>
  <si>
    <t>210,778.12</t>
  </si>
  <si>
    <t>6132</t>
  </si>
  <si>
    <t>595298</t>
  </si>
  <si>
    <t>CHEQUE DEPOSIT 595298 SHAMSHEER KHAN AHAMED KHAN AHAMED  KHAN 001430152 CHQ NO ::595298</t>
  </si>
  <si>
    <t>221,804.62</t>
  </si>
  <si>
    <t>6133</t>
  </si>
  <si>
    <t>PHUB531269478</t>
  </si>
  <si>
    <t>17,668.00</t>
  </si>
  <si>
    <t>239,472.62</t>
  </si>
  <si>
    <t>6134</t>
  </si>
  <si>
    <t>51357740817</t>
  </si>
  <si>
    <t>26480536582 MBTRF B/O MASIOR RAHAMAN SIDDIQUE</t>
  </si>
  <si>
    <t>249,472.62</t>
  </si>
  <si>
    <t>6135</t>
  </si>
  <si>
    <t>PHUB531273213</t>
  </si>
  <si>
    <t>MOB3008251950058348372</t>
  </si>
  <si>
    <t>B/O TAMKEN TRAINING CENTER L L C</t>
  </si>
  <si>
    <t>58,372.00</t>
  </si>
  <si>
    <t>307,844.62</t>
  </si>
  <si>
    <t>6136</t>
  </si>
  <si>
    <t>PHUB531275178</t>
  </si>
  <si>
    <t>MOB3008251953458348423</t>
  </si>
  <si>
    <t>343,494.62</t>
  </si>
  <si>
    <t>6137</t>
  </si>
  <si>
    <t>51357940081</t>
  </si>
  <si>
    <t>26480774547 MBTRF B/O HASANUR SHAHID</t>
  </si>
  <si>
    <t>443,494.62</t>
  </si>
  <si>
    <t>6138</t>
  </si>
  <si>
    <t>51357963693</t>
  </si>
  <si>
    <t>2550573751 IBTRF B/O NEXT MOVE SHIPPING SERVICES LLC</t>
  </si>
  <si>
    <t>10,534.25</t>
  </si>
  <si>
    <t>454,028.87</t>
  </si>
  <si>
    <t>6139</t>
  </si>
  <si>
    <t>PHUB531284066</t>
  </si>
  <si>
    <t>531284066 B/O AYSHA MOHAMMED ALI SALEM ALMARRI</t>
  </si>
  <si>
    <t>456,528.87</t>
  </si>
  <si>
    <t>6140</t>
  </si>
  <si>
    <t>2508302021317638</t>
  </si>
  <si>
    <t>OW DEPOSIT CHQ 103747 Account 252471020001</t>
  </si>
  <si>
    <t>996,528.87</t>
  </si>
  <si>
    <t>6141</t>
  </si>
  <si>
    <t>51358734641</t>
  </si>
  <si>
    <t>26481753535 MBTRF B/O THIRAVIAM SURIAKUMAR</t>
  </si>
  <si>
    <t>64,778.00</t>
  </si>
  <si>
    <t>1,061,306.87</t>
  </si>
  <si>
    <t>6142</t>
  </si>
  <si>
    <t>51359469591</t>
  </si>
  <si>
    <t>26482668097 MBTRF B/O AHMED FARRAG ALI KHALEEL ALALWI</t>
  </si>
  <si>
    <t>4,207.00</t>
  </si>
  <si>
    <t>1,065,513.87</t>
  </si>
  <si>
    <t>6143</t>
  </si>
  <si>
    <t>51359847318</t>
  </si>
  <si>
    <t>2550610453 IBTRF B/O RANJIT KEDIA</t>
  </si>
  <si>
    <t>1,125,513.87</t>
  </si>
  <si>
    <t>6144</t>
  </si>
  <si>
    <t>PHUB531316626</t>
  </si>
  <si>
    <t>531316626 B/O SUHAIL MUSABBEH SALEM RASHED ALSHAMSI</t>
  </si>
  <si>
    <t>1,134,213.87</t>
  </si>
  <si>
    <t>6145</t>
  </si>
  <si>
    <t>51360409484</t>
  </si>
  <si>
    <t>26483839091 MBTRF B/O MOHAMMED SUJAN</t>
  </si>
  <si>
    <t>53,900.00</t>
  </si>
  <si>
    <t>1,188,113.87</t>
  </si>
  <si>
    <t>6146</t>
  </si>
  <si>
    <t>PHUB531324133</t>
  </si>
  <si>
    <t>531324133 B/O AHMED SAID LOTFY SHAALAN</t>
  </si>
  <si>
    <t>7,384.75</t>
  </si>
  <si>
    <t>1,195,498.62</t>
  </si>
  <si>
    <t>6147</t>
  </si>
  <si>
    <t>51361266502</t>
  </si>
  <si>
    <t>26484910256 MBTRF B/O ROSE RANJIT</t>
  </si>
  <si>
    <t>6,445.77</t>
  </si>
  <si>
    <t>1,201,944.39</t>
  </si>
  <si>
    <t>6148</t>
  </si>
  <si>
    <t>PHUB531341733</t>
  </si>
  <si>
    <t>531341733 B/O FATIHA ABOURIGUE</t>
  </si>
  <si>
    <t>1,205,944.39</t>
  </si>
  <si>
    <t>6149</t>
  </si>
  <si>
    <t>51362666035</t>
  </si>
  <si>
    <t>26486678344 MBTRF B/O AFSAR SHERIF MULAKKAL UMMER</t>
  </si>
  <si>
    <t>1,230,944.39</t>
  </si>
  <si>
    <t>6150</t>
  </si>
  <si>
    <t>2508310012248832</t>
  </si>
  <si>
    <t>7,458,644.61</t>
  </si>
  <si>
    <t>-6,227,700.22</t>
  </si>
  <si>
    <t>6151</t>
  </si>
  <si>
    <t>51363454578</t>
  </si>
  <si>
    <t>26487677441 MBTRF B/O NEW FREEZE ICE CREAMS BRANCH</t>
  </si>
  <si>
    <t>11,326.25</t>
  </si>
  <si>
    <t>-6,216,373.97</t>
  </si>
  <si>
    <t>6152</t>
  </si>
  <si>
    <t>PHUB531367171</t>
  </si>
  <si>
    <t>MOB3108250138088351033</t>
  </si>
  <si>
    <t>B/O LEGALINTRO LEGAL CONSULTANTS FZ LLC</t>
  </si>
  <si>
    <t>3,024.25</t>
  </si>
  <si>
    <t>-6,213,349.72</t>
  </si>
  <si>
    <t>6153</t>
  </si>
  <si>
    <t>51363640109</t>
  </si>
  <si>
    <t>26487912976 MBTRF B/O FREEZE MATE SALE OF ICE CRM SP LLC</t>
  </si>
  <si>
    <t>-6,210,923.47</t>
  </si>
  <si>
    <t>6154</t>
  </si>
  <si>
    <t>PHUB531377034</t>
  </si>
  <si>
    <t>531377034 B/O ABDUL LATEEF LASHARI</t>
  </si>
  <si>
    <t>-6,208,345.97</t>
  </si>
  <si>
    <t>6155</t>
  </si>
  <si>
    <t>PHUB531402274</t>
  </si>
  <si>
    <t>8.1 AUG 2025</t>
  </si>
  <si>
    <t>14,160.00</t>
  </si>
  <si>
    <t>-6,194,185.97</t>
  </si>
  <si>
    <t>6156</t>
  </si>
  <si>
    <t>PHUB531405932</t>
  </si>
  <si>
    <t>531405932 B/O RAJESH KUMAR KEDARI</t>
  </si>
  <si>
    <t>3,550.00</t>
  </si>
  <si>
    <t>-6,190,635.97</t>
  </si>
  <si>
    <t>6157</t>
  </si>
  <si>
    <t>PHUB531412497</t>
  </si>
  <si>
    <t>MOB3108251037298351936</t>
  </si>
  <si>
    <t>94,720.99</t>
  </si>
  <si>
    <t>-6,095,914.98</t>
  </si>
  <si>
    <t>6158</t>
  </si>
  <si>
    <t>PHUB531420839</t>
  </si>
  <si>
    <t>531420839 B/O IBRAHIM FALAH HAMOOD ALQAHTANI</t>
  </si>
  <si>
    <t>805.25</t>
  </si>
  <si>
    <t>-6,095,109.73</t>
  </si>
  <si>
    <t>6159</t>
  </si>
  <si>
    <t>PHUB531427202</t>
  </si>
  <si>
    <t>531427202 B/O MOHAMMED AYED MOHAMMED AL AHBABI</t>
  </si>
  <si>
    <t>33,000.00</t>
  </si>
  <si>
    <t>-6,062,109.73</t>
  </si>
  <si>
    <t>6160</t>
  </si>
  <si>
    <t>51368742306</t>
  </si>
  <si>
    <t>26494061415 MBTRF B/O AYLA ELECTRICAL SLTION SRV LLC SPC</t>
  </si>
  <si>
    <t>-6,032,109.73</t>
  </si>
  <si>
    <t>6161</t>
  </si>
  <si>
    <t>51368797949</t>
  </si>
  <si>
    <t>26494121226 MBTRF B/O SHERIN MARY PRASANNA</t>
  </si>
  <si>
    <t>-6,007,109.73</t>
  </si>
  <si>
    <t>6162</t>
  </si>
  <si>
    <t>51368805167</t>
  </si>
  <si>
    <t>26494125828 MBTRF B/O PRASANNA MARIAPPAN</t>
  </si>
  <si>
    <t>187,761.25</t>
  </si>
  <si>
    <t>-5,819,348.48</t>
  </si>
  <si>
    <t>6163</t>
  </si>
  <si>
    <t>51368961204</t>
  </si>
  <si>
    <t>26494316249 MBTRF B/O VENKATESH DURAISAMY MAHENDRAN</t>
  </si>
  <si>
    <t>8,387.75</t>
  </si>
  <si>
    <t>-5,810,960.73</t>
  </si>
  <si>
    <t>6164</t>
  </si>
  <si>
    <t>51369026297</t>
  </si>
  <si>
    <t>26494394573 MBTRF B/O AHMED FARRAG ALI KHALEEL ALALWI</t>
  </si>
  <si>
    <t>-5,809,805.73</t>
  </si>
  <si>
    <t>6165</t>
  </si>
  <si>
    <t>51369220420</t>
  </si>
  <si>
    <t>2550817613 IBTRF B/O AL MAAMOURA AGRICULTURAL NURSERIES</t>
  </si>
  <si>
    <t>-5,807,800.48</t>
  </si>
  <si>
    <t>6166</t>
  </si>
  <si>
    <t>PHUB531450590</t>
  </si>
  <si>
    <t>531450590 B/O MOHAMED HASAN IBRAHIM HASAN ALFARDA</t>
  </si>
  <si>
    <t>-5,805,700.48</t>
  </si>
  <si>
    <t>6167</t>
  </si>
  <si>
    <t>51370405226</t>
  </si>
  <si>
    <t>26496066751 MBTRF B/O ALHAN ROWHANI</t>
  </si>
  <si>
    <t>-5,767,700.48</t>
  </si>
  <si>
    <t>6168</t>
  </si>
  <si>
    <t>51370506654</t>
  </si>
  <si>
    <t>26496197445 MBTRF B/O WALAA ALHENAWI DESIGN</t>
  </si>
  <si>
    <t>80,732.00</t>
  </si>
  <si>
    <t>-5,686,968.48</t>
  </si>
  <si>
    <t>6169</t>
  </si>
  <si>
    <t>PHUB531469174</t>
  </si>
  <si>
    <t>531469174 B/O MOHAMED GAMIL ABDELAZIM GOMAA</t>
  </si>
  <si>
    <t>36,796.75</t>
  </si>
  <si>
    <t>-5,650,171.73</t>
  </si>
  <si>
    <t>6170</t>
  </si>
  <si>
    <t>PHUB531475700</t>
  </si>
  <si>
    <t>531475700 B/O OBAID RASHED OBAID ALSHAMSI</t>
  </si>
  <si>
    <t>7,300.00</t>
  </si>
  <si>
    <t>-5,642,871.73</t>
  </si>
  <si>
    <t>6171</t>
  </si>
  <si>
    <t>PHUB531479279</t>
  </si>
  <si>
    <t>531479279 B/O MAHMOD ABDALA M AYYAD</t>
  </si>
  <si>
    <t>-5,635,049.73</t>
  </si>
  <si>
    <t>6172</t>
  </si>
  <si>
    <t>51371948852</t>
  </si>
  <si>
    <t>26497941620 MBTRF B/O MANAL ALI ALSAYEGH</t>
  </si>
  <si>
    <t>-5,634,049.73</t>
  </si>
  <si>
    <t>6173</t>
  </si>
  <si>
    <t>51372069762</t>
  </si>
  <si>
    <t>26498088400 MBTRF B/O LINNETT OURI WAMALWA</t>
  </si>
  <si>
    <t>-5,633,149.73</t>
  </si>
  <si>
    <t>6174</t>
  </si>
  <si>
    <t>PHUB531493609</t>
  </si>
  <si>
    <t>MOB3108251504158353843</t>
  </si>
  <si>
    <t>-5,621,123.48</t>
  </si>
  <si>
    <t>6175</t>
  </si>
  <si>
    <t>PHUB531494746</t>
  </si>
  <si>
    <t>B/O_AMIT HOODA_531494746</t>
  </si>
  <si>
    <t>-5,591,123.48</t>
  </si>
  <si>
    <t>6176</t>
  </si>
  <si>
    <t>51372317759</t>
  </si>
  <si>
    <t>26498396669 MBTRF B/O DINUSHA MADUSHAN KATIPE ARACHCHI</t>
  </si>
  <si>
    <t>3,750.00</t>
  </si>
  <si>
    <t>-5,587,373.48</t>
  </si>
  <si>
    <t>6177</t>
  </si>
  <si>
    <t>51372340287</t>
  </si>
  <si>
    <t>2550896771 IBTRF B/O ACCVAT TAX CONSULTANCY</t>
  </si>
  <si>
    <t>38,426.25</t>
  </si>
  <si>
    <t>-5,548,947.23</t>
  </si>
  <si>
    <t>6178</t>
  </si>
  <si>
    <t>51372532171</t>
  </si>
  <si>
    <t>26498650240 MBTRF B/O T N W OPTIMAL INNOVATION LLC SPC</t>
  </si>
  <si>
    <t>45,675.75</t>
  </si>
  <si>
    <t>-5,503,271.48</t>
  </si>
  <si>
    <t>6179</t>
  </si>
  <si>
    <t>PHUB531498787</t>
  </si>
  <si>
    <t>B/O_PERANANTA GINTIN_531498787</t>
  </si>
  <si>
    <t>-5,458,271.48</t>
  </si>
  <si>
    <t>6180</t>
  </si>
  <si>
    <t>PHUB531504282</t>
  </si>
  <si>
    <t>B/O_PERANANTA GINTIN_531504282</t>
  </si>
  <si>
    <t>-5,423,271.48</t>
  </si>
  <si>
    <t>6181</t>
  </si>
  <si>
    <t>51373275688</t>
  </si>
  <si>
    <t>26499544883 MBTRF B/O DOMESHKUMAR SHANMUGAM</t>
  </si>
  <si>
    <t>-5,273,271.48</t>
  </si>
  <si>
    <t>6182</t>
  </si>
  <si>
    <t>51374588027</t>
  </si>
  <si>
    <t>26501150593 MBTRF B/O SUBHASISH BANDYOPADHYAY</t>
  </si>
  <si>
    <t>-5,231,271.48</t>
  </si>
  <si>
    <t>6183</t>
  </si>
  <si>
    <t>51374647823</t>
  </si>
  <si>
    <t>26501224812 MBTRF B/O MATHEW CHAINDITHAIPIL THOMAS</t>
  </si>
  <si>
    <t>-5,226,244.98</t>
  </si>
  <si>
    <t>6184</t>
  </si>
  <si>
    <t>51375135343</t>
  </si>
  <si>
    <t>26501818904 MBTRF B/O EDWIN KALLUKALAM GEORGE</t>
  </si>
  <si>
    <t>41,667.00</t>
  </si>
  <si>
    <t>-5,184,577.98</t>
  </si>
  <si>
    <t>6185</t>
  </si>
  <si>
    <t>51375237464</t>
  </si>
  <si>
    <t>26501946288 MBTRF B/O MOHAMMAD IBRAHIM IBRAHIM DABOUR</t>
  </si>
  <si>
    <t>63,174.90</t>
  </si>
  <si>
    <t>-5,121,403.08</t>
  </si>
  <si>
    <t>6186</t>
  </si>
  <si>
    <t>PHUB531542481</t>
  </si>
  <si>
    <t>531542481 B/O SASIKUMAR KATHIRESAN KATHIRESAN</t>
  </si>
  <si>
    <t>12,569.00</t>
  </si>
  <si>
    <t>-5,108,834.08</t>
  </si>
  <si>
    <t>6187</t>
  </si>
  <si>
    <t>51375648976</t>
  </si>
  <si>
    <t>26502453585 MBTRF B/O MOHAMMED SUJAN</t>
  </si>
  <si>
    <t>-5,063,834.08</t>
  </si>
  <si>
    <t>6188</t>
  </si>
  <si>
    <t>PHUB531550926</t>
  </si>
  <si>
    <t>SALARY2025AUG</t>
  </si>
  <si>
    <t>-5,058,834.08</t>
  </si>
  <si>
    <t>6189</t>
  </si>
  <si>
    <t>PHUB531561162</t>
  </si>
  <si>
    <t>531561162 B/O SREEJITH KARUMATHIL SREENIVASAN</t>
  </si>
  <si>
    <t>-5,054,334.08</t>
  </si>
  <si>
    <t>6190</t>
  </si>
  <si>
    <t>51376915706</t>
  </si>
  <si>
    <t>26504017307 MBTRF B/O SOUMYA SARIN</t>
  </si>
  <si>
    <t>12,568.31</t>
  </si>
  <si>
    <t>-5,041,765.77</t>
  </si>
  <si>
    <t>6191</t>
  </si>
  <si>
    <t>51377763936</t>
  </si>
  <si>
    <t>26505083583 MBTRF B/O MOSTAFA ABDELRAHMAN M M ISMAIL</t>
  </si>
  <si>
    <t>18,600.75</t>
  </si>
  <si>
    <t>-5,023,165.02</t>
  </si>
  <si>
    <t>6192</t>
  </si>
  <si>
    <t>51378018128</t>
  </si>
  <si>
    <t>2551027097 IBTRF B/O NATIONAL FLOWERS LLC SPC</t>
  </si>
  <si>
    <t>71,204.00</t>
  </si>
  <si>
    <t>-4,951,961.02</t>
  </si>
  <si>
    <t>6193</t>
  </si>
  <si>
    <t>51378066216</t>
  </si>
  <si>
    <t>2551028391 IBTRF B/O NATIONAL FLOWERS LLC SPC</t>
  </si>
  <si>
    <t>-4,851,961.02</t>
  </si>
  <si>
    <t>6194</t>
  </si>
  <si>
    <t>51378469965</t>
  </si>
  <si>
    <t>26505963046 MBTRF B/O GAUTAM</t>
  </si>
  <si>
    <t>41,781.00</t>
  </si>
  <si>
    <t>-4,810,180.02</t>
  </si>
  <si>
    <t>6195</t>
  </si>
  <si>
    <t>PHUB531608714</t>
  </si>
  <si>
    <t>B/O_SUPPORTS HUB TYP_531608714</t>
  </si>
  <si>
    <t>5,490.00</t>
  </si>
  <si>
    <t>-4,804,690.02</t>
  </si>
  <si>
    <t>6196</t>
  </si>
  <si>
    <t>PHUB531608957</t>
  </si>
  <si>
    <t>B/O_SUPPORTS HUB TYP_531608957</t>
  </si>
  <si>
    <t>6,435.00</t>
  </si>
  <si>
    <t>-4,798,255.02</t>
  </si>
  <si>
    <t>6197</t>
  </si>
  <si>
    <t>51379443247</t>
  </si>
  <si>
    <t>26507187944 MBTRF B/O SAFA COMMUNICATION NTWRK SRV LLC</t>
  </si>
  <si>
    <t>-4,797,992.02</t>
  </si>
  <si>
    <t>6198</t>
  </si>
  <si>
    <t>01-Sep-2025</t>
  </si>
  <si>
    <t>2508312240074985</t>
  </si>
  <si>
    <t>Debit Interest Capitalized</t>
  </si>
  <si>
    <t>12,654.62</t>
  </si>
  <si>
    <t>This is a system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</si>
</sst>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1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</cellStyleXfs>
  <cellXfs count="112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40" fontId="0" fillId="0" borderId="0" xfId="0" applyNumberFormat="1"/>
    <xf numFmtId="164" fontId="0" fillId="0" borderId="0" xfId="0" applyNumberFormat="1"/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/>
    <xf numFmtId="43" fontId="0" fillId="0" borderId="0" xfId="1" applyFont="1"/>
    <xf numFmtId="0" fontId="3" fillId="2" borderId="1" xfId="2" applyFont="1" applyFill="1" applyBorder="1" applyAlignment="1">
      <alignment horizontal="left"/>
    </xf>
    <xf numFmtId="14" fontId="3" fillId="2" borderId="1" xfId="2" applyNumberFormat="1" applyFont="1" applyFill="1" applyBorder="1" applyAlignment="1">
      <alignment horizontal="left"/>
    </xf>
    <xf numFmtId="1" fontId="3" fillId="2" borderId="1" xfId="2" applyNumberFormat="1" applyFont="1" applyFill="1" applyBorder="1" applyAlignment="1">
      <alignment horizontal="left"/>
    </xf>
    <xf numFmtId="0" fontId="3" fillId="2" borderId="1" xfId="2" applyFont="1" applyFill="1" applyBorder="1"/>
    <xf numFmtId="1" fontId="3" fillId="2" borderId="1" xfId="2" applyNumberFormat="1" applyFont="1" applyFill="1" applyBorder="1" applyAlignment="1">
      <alignment horizontal="center"/>
    </xf>
    <xf numFmtId="1" fontId="3" fillId="2" borderId="1" xfId="2" applyNumberFormat="1" applyFont="1" applyFill="1" applyBorder="1"/>
    <xf numFmtId="0" fontId="4" fillId="2" borderId="1" xfId="2" applyFont="1" applyFill="1" applyBorder="1"/>
    <xf numFmtId="1" fontId="4" fillId="2" borderId="1" xfId="3" applyNumberFormat="1" applyFont="1" applyFill="1" applyBorder="1" applyAlignment="1">
      <alignment horizontal="left" vertical="top" wrapText="1"/>
    </xf>
    <xf numFmtId="14" fontId="4" fillId="2" borderId="1" xfId="3" applyNumberFormat="1" applyFont="1" applyFill="1" applyBorder="1" applyAlignment="1">
      <alignment horizontal="left" vertical="top" wrapText="1"/>
    </xf>
    <xf numFmtId="1" fontId="4" fillId="2" borderId="1" xfId="3" applyNumberFormat="1" applyFont="1" applyFill="1" applyBorder="1" applyAlignment="1">
      <alignment horizontal="center" vertical="top" wrapText="1"/>
    </xf>
    <xf numFmtId="1" fontId="4" fillId="2" borderId="1" xfId="2" applyNumberFormat="1" applyFont="1" applyFill="1" applyBorder="1" applyAlignment="1">
      <alignment horizontal="center"/>
    </xf>
    <xf numFmtId="1" fontId="4" fillId="2" borderId="1" xfId="3" applyNumberFormat="1" applyFont="1" applyFill="1" applyBorder="1" applyAlignment="1">
      <alignment vertical="top" wrapText="1"/>
    </xf>
    <xf numFmtId="43" fontId="4" fillId="2" borderId="1" xfId="1" applyFont="1" applyFill="1" applyBorder="1" applyAlignment="1">
      <alignment wrapText="1"/>
    </xf>
    <xf numFmtId="0" fontId="4" fillId="2" borderId="1" xfId="4" applyFont="1" applyFill="1" applyBorder="1"/>
    <xf numFmtId="1" fontId="4" fillId="2" borderId="1" xfId="4" applyNumberFormat="1" applyFont="1" applyFill="1" applyBorder="1" applyAlignment="1">
      <alignment horizontal="left"/>
    </xf>
    <xf numFmtId="14" fontId="4" fillId="2" borderId="1" xfId="4" applyNumberFormat="1" applyFont="1" applyFill="1" applyBorder="1" applyAlignment="1">
      <alignment horizontal="left"/>
    </xf>
    <xf numFmtId="1" fontId="4" fillId="2" borderId="1" xfId="4" applyNumberFormat="1" applyFont="1" applyFill="1" applyBorder="1" applyAlignment="1">
      <alignment horizontal="center"/>
    </xf>
    <xf numFmtId="1" fontId="4" fillId="2" borderId="1" xfId="4" applyNumberFormat="1" applyFont="1" applyFill="1" applyBorder="1"/>
    <xf numFmtId="43" fontId="4" fillId="2" borderId="1" xfId="1" applyFont="1" applyFill="1" applyBorder="1" applyAlignment="1"/>
    <xf numFmtId="1" fontId="4" fillId="2" borderId="1" xfId="5" applyNumberFormat="1" applyFont="1" applyFill="1" applyBorder="1" applyAlignment="1">
      <alignment horizontal="left"/>
    </xf>
    <xf numFmtId="1" fontId="4" fillId="2" borderId="1" xfId="5" applyNumberFormat="1" applyFont="1" applyFill="1" applyBorder="1" applyAlignment="1">
      <alignment horizontal="center"/>
    </xf>
    <xf numFmtId="1" fontId="4" fillId="2" borderId="1" xfId="5" applyNumberFormat="1" applyFont="1" applyFill="1" applyBorder="1"/>
    <xf numFmtId="1" fontId="4" fillId="2" borderId="1" xfId="4" applyNumberFormat="1" applyFont="1" applyFill="1" applyBorder="1" applyAlignment="1">
      <alignment wrapText="1"/>
    </xf>
    <xf numFmtId="1" fontId="4" fillId="2" borderId="1" xfId="2" applyNumberFormat="1" applyFont="1" applyFill="1" applyBorder="1"/>
    <xf numFmtId="1" fontId="4" fillId="2" borderId="1" xfId="2" applyNumberFormat="1" applyFont="1" applyFill="1" applyBorder="1" applyAlignment="1">
      <alignment horizontal="left"/>
    </xf>
    <xf numFmtId="1" fontId="4" fillId="2" borderId="1" xfId="2" applyNumberFormat="1" applyFont="1" applyFill="1" applyBorder="1" applyAlignment="1">
      <alignment horizontal="left" vertical="top" wrapText="1"/>
    </xf>
    <xf numFmtId="1" fontId="4" fillId="2" borderId="1" xfId="2" applyNumberFormat="1" applyFont="1" applyFill="1" applyBorder="1" applyAlignment="1">
      <alignment horizontal="center" vertical="top" wrapText="1"/>
    </xf>
    <xf numFmtId="1" fontId="4" fillId="2" borderId="1" xfId="2" applyNumberFormat="1" applyFont="1" applyFill="1" applyBorder="1" applyAlignment="1">
      <alignment vertical="top" wrapText="1"/>
    </xf>
    <xf numFmtId="0" fontId="0" fillId="0" borderId="1" xfId="0" applyBorder="1"/>
    <xf numFmtId="2" fontId="0" fillId="0" borderId="0" xfId="0" applyNumberFormat="1"/>
    <xf numFmtId="0" fontId="4" fillId="2" borderId="1" xfId="0" applyFont="1" applyFill="1" applyBorder="1"/>
    <xf numFmtId="1" fontId="4" fillId="2" borderId="1" xfId="0" applyNumberFormat="1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/>
    <xf numFmtId="0" fontId="4" fillId="2" borderId="1" xfId="0" applyFont="1" applyFill="1" applyBorder="1" applyAlignment="1">
      <alignment vertical="top" wrapText="1"/>
    </xf>
    <xf numFmtId="1" fontId="4" fillId="2" borderId="1" xfId="0" applyNumberFormat="1" applyFont="1" applyFill="1" applyBorder="1" applyAlignment="1">
      <alignment horizontal="left" vertical="top" wrapText="1"/>
    </xf>
    <xf numFmtId="14" fontId="4" fillId="2" borderId="1" xfId="0" applyNumberFormat="1" applyFont="1" applyFill="1" applyBorder="1" applyAlignment="1">
      <alignment horizontal="left" vertical="top" wrapText="1"/>
    </xf>
    <xf numFmtId="1" fontId="4" fillId="2" borderId="1" xfId="0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1" fontId="4" fillId="2" borderId="1" xfId="6" applyNumberFormat="1" applyFont="1" applyFill="1" applyBorder="1"/>
    <xf numFmtId="0" fontId="4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 vertical="top" wrapText="1"/>
    </xf>
    <xf numFmtId="0" fontId="5" fillId="0" borderId="1" xfId="0" applyFont="1" applyBorder="1"/>
    <xf numFmtId="14" fontId="0" fillId="0" borderId="1" xfId="0" applyNumberFormat="1" applyBorder="1"/>
    <xf numFmtId="43" fontId="0" fillId="0" borderId="1" xfId="1" applyFont="1" applyBorder="1"/>
    <xf numFmtId="0" fontId="5" fillId="3" borderId="1" xfId="0" applyFont="1" applyFill="1" applyBorder="1"/>
    <xf numFmtId="0" fontId="6" fillId="3" borderId="1" xfId="0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43" fontId="0" fillId="3" borderId="1" xfId="1" applyFont="1" applyFill="1" applyBorder="1" applyAlignment="1"/>
    <xf numFmtId="43" fontId="6" fillId="3" borderId="1" xfId="1" applyFont="1" applyFill="1" applyBorder="1" applyAlignment="1"/>
    <xf numFmtId="43" fontId="0" fillId="3" borderId="0" xfId="1" applyFont="1" applyFill="1"/>
    <xf numFmtId="43" fontId="0" fillId="0" borderId="0" xfId="0" applyNumberFormat="1"/>
    <xf numFmtId="0" fontId="7" fillId="0" borderId="1" xfId="0" applyFont="1" applyBorder="1"/>
    <xf numFmtId="14" fontId="7" fillId="0" borderId="1" xfId="0" applyNumberFormat="1" applyFont="1" applyBorder="1"/>
    <xf numFmtId="1" fontId="7" fillId="0" borderId="1" xfId="0" applyNumberFormat="1" applyFont="1" applyBorder="1" applyAlignment="1">
      <alignment horizontal="left"/>
    </xf>
    <xf numFmtId="43" fontId="7" fillId="0" borderId="1" xfId="1" applyFont="1" applyBorder="1" applyAlignment="1"/>
    <xf numFmtId="1" fontId="0" fillId="0" borderId="1" xfId="0" applyNumberFormat="1" applyBorder="1"/>
    <xf numFmtId="43" fontId="0" fillId="0" borderId="1" xfId="1" applyFont="1" applyBorder="1" applyAlignment="1"/>
    <xf numFmtId="15" fontId="0" fillId="0" borderId="1" xfId="0" applyNumberFormat="1" applyBorder="1"/>
    <xf numFmtId="43" fontId="0" fillId="3" borderId="1" xfId="1" applyFont="1" applyFill="1" applyBorder="1"/>
    <xf numFmtId="0" fontId="0" fillId="0" borderId="1" xfId="0" applyBorder="1" applyAlignment="1">
      <alignment horizontal="left"/>
    </xf>
    <xf numFmtId="49" fontId="8" fillId="4" borderId="1" xfId="0" applyNumberFormat="1" applyFont="1" applyFill="1" applyBorder="1" applyAlignment="1">
      <alignment horizontal="left" vertical="top" wrapText="1"/>
    </xf>
    <xf numFmtId="14" fontId="8" fillId="4" borderId="1" xfId="0" applyNumberFormat="1" applyFont="1" applyFill="1" applyBorder="1" applyAlignment="1">
      <alignment horizontal="left" vertical="top" wrapText="1"/>
    </xf>
    <xf numFmtId="43" fontId="8" fillId="4" borderId="1" xfId="1" applyFont="1" applyFill="1" applyBorder="1" applyAlignment="1">
      <alignment horizontal="right" wrapText="1"/>
    </xf>
    <xf numFmtId="43" fontId="4" fillId="2" borderId="1" xfId="1" applyFont="1" applyFill="1" applyBorder="1"/>
    <xf numFmtId="43" fontId="4" fillId="2" borderId="1" xfId="1" applyFont="1" applyFill="1" applyBorder="1" applyAlignment="1">
      <alignment horizontal="right" wrapText="1"/>
    </xf>
    <xf numFmtId="1" fontId="4" fillId="5" borderId="1" xfId="0" applyNumberFormat="1" applyFont="1" applyFill="1" applyBorder="1" applyAlignment="1">
      <alignment horizontal="left" vertical="top" wrapText="1"/>
    </xf>
    <xf numFmtId="14" fontId="4" fillId="5" borderId="1" xfId="0" applyNumberFormat="1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43" fontId="4" fillId="5" borderId="1" xfId="1" applyFont="1" applyFill="1" applyBorder="1" applyAlignment="1">
      <alignment horizontal="right" wrapText="1"/>
    </xf>
    <xf numFmtId="43" fontId="4" fillId="2" borderId="1" xfId="1" applyFont="1" applyFill="1" applyBorder="1" applyAlignment="1">
      <alignment horizontal="center" wrapText="1"/>
    </xf>
    <xf numFmtId="165" fontId="0" fillId="0" borderId="0" xfId="6" applyFont="1"/>
    <xf numFmtId="1" fontId="0" fillId="0" borderId="1" xfId="0" applyNumberFormat="1" applyBorder="1" applyAlignment="1">
      <alignment horizontal="left"/>
    </xf>
    <xf numFmtId="40" fontId="0" fillId="0" borderId="1" xfId="0" applyNumberFormat="1" applyBorder="1"/>
    <xf numFmtId="43" fontId="6" fillId="0" borderId="1" xfId="1" applyFont="1" applyBorder="1"/>
    <xf numFmtId="40" fontId="2" fillId="0" borderId="1" xfId="0" applyNumberFormat="1" applyFont="1" applyBorder="1"/>
    <xf numFmtId="1" fontId="0" fillId="3" borderId="1" xfId="0" applyNumberFormat="1" applyFill="1" applyBorder="1"/>
    <xf numFmtId="0" fontId="4" fillId="6" borderId="2" xfId="0" applyFont="1" applyFill="1" applyBorder="1"/>
    <xf numFmtId="14" fontId="4" fillId="6" borderId="2" xfId="0" applyNumberFormat="1" applyFont="1" applyFill="1" applyBorder="1"/>
    <xf numFmtId="1" fontId="4" fillId="6" borderId="2" xfId="0" applyNumberFormat="1" applyFont="1" applyFill="1" applyBorder="1" applyAlignment="1">
      <alignment horizontal="left"/>
    </xf>
    <xf numFmtId="43" fontId="4" fillId="6" borderId="2" xfId="1" applyFont="1" applyFill="1" applyBorder="1"/>
    <xf numFmtId="43" fontId="0" fillId="0" borderId="0" xfId="1" applyFont="1" applyAlignment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14" fontId="4" fillId="2" borderId="0" xfId="0" applyNumberFormat="1" applyFont="1" applyFill="1"/>
    <xf numFmtId="1" fontId="4" fillId="2" borderId="0" xfId="0" applyNumberFormat="1" applyFont="1" applyFill="1"/>
    <xf numFmtId="43" fontId="4" fillId="2" borderId="0" xfId="1" applyFont="1" applyFill="1" applyAlignment="1"/>
    <xf numFmtId="0" fontId="4" fillId="2" borderId="0" xfId="2" applyFont="1" applyFill="1"/>
    <xf numFmtId="1" fontId="4" fillId="2" borderId="0" xfId="2" applyNumberFormat="1" applyFont="1" applyFill="1"/>
    <xf numFmtId="14" fontId="4" fillId="2" borderId="0" xfId="2" applyNumberFormat="1" applyFont="1" applyFill="1" applyAlignment="1">
      <alignment horizontal="left"/>
    </xf>
    <xf numFmtId="1" fontId="4" fillId="2" borderId="0" xfId="2" applyNumberFormat="1" applyFont="1" applyFill="1" applyAlignment="1">
      <alignment horizontal="center"/>
    </xf>
    <xf numFmtId="17" fontId="0" fillId="0" borderId="0" xfId="1" applyNumberFormat="1" applyFont="1"/>
    <xf numFmtId="49" fontId="12" fillId="4" borderId="0" xfId="0" applyNumberFormat="1" applyFont="1" applyFill="1" applyAlignment="1">
      <alignment horizontal="center" vertical="center" wrapText="1"/>
    </xf>
    <xf numFmtId="0" fontId="0" fillId="0" borderId="0" xfId="0"/>
    <xf numFmtId="49" fontId="12" fillId="4" borderId="0" xfId="0" applyNumberFormat="1" applyFont="1" applyFill="1" applyAlignment="1">
      <alignment horizontal="right" wrapText="1"/>
    </xf>
    <xf numFmtId="0" fontId="12" fillId="4" borderId="3" xfId="0" applyFont="1" applyFill="1" applyBorder="1" applyAlignment="1">
      <alignment horizontal="left" vertical="top" wrapText="1"/>
    </xf>
    <xf numFmtId="49" fontId="13" fillId="4" borderId="3" xfId="0" applyNumberFormat="1" applyFont="1" applyFill="1" applyBorder="1" applyAlignment="1">
      <alignment horizontal="left" vertical="top" wrapText="1"/>
    </xf>
    <xf numFmtId="2" fontId="13" fillId="4" borderId="3" xfId="0" applyNumberFormat="1" applyFont="1" applyFill="1" applyBorder="1" applyAlignment="1">
      <alignment horizontal="right" wrapText="1"/>
    </xf>
    <xf numFmtId="49" fontId="13" fillId="4" borderId="0" xfId="0" applyNumberFormat="1" applyFont="1" applyFill="1" applyAlignment="1">
      <alignment horizontal="left" vertical="top" wrapText="1"/>
    </xf>
  </cellXfs>
  <cellStyles count="7">
    <cellStyle name="Comma" xfId="1" builtinId="3"/>
    <cellStyle name="Comma 2" xfId="6" xr:uid="{8E181D04-E7F4-420A-B1E7-282DB815AEA8}"/>
    <cellStyle name="Normal" xfId="0" builtinId="0"/>
    <cellStyle name="Normal 2" xfId="2" xr:uid="{B79C171E-4C2A-42D8-931E-FF78D9D14BAC}"/>
    <cellStyle name="Normal 2 2" xfId="5" xr:uid="{FEC1ECEB-43F7-4796-9D3A-C4E9ABB38C0E}"/>
    <cellStyle name="Normal 2 3" xfId="4" xr:uid="{7347492D-B8D6-4F1F-A4DD-06A119219E1B}"/>
    <cellStyle name="Normal 4" xfId="3" xr:uid="{2BA4A802-ADC3-491A-A086-67DF1387A1A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C9F4-463F-4EA2-B5D8-BE785EE16C7F}">
  <dimension ref="A4:I6209"/>
  <sheetViews>
    <sheetView tabSelected="1" workbookViewId="0">
      <selection sqref="A1:XFD1048576"/>
    </sheetView>
  </sheetViews>
  <sheetFormatPr defaultRowHeight="14.4" x14ac:dyDescent="0.3"/>
  <cols>
    <col min="1" max="1" width="7.77734375" customWidth="1"/>
    <col min="2" max="3" width="13.6640625" customWidth="1"/>
    <col min="4" max="4" width="21.44140625" customWidth="1"/>
    <col min="5" max="5" width="31.6640625" customWidth="1"/>
    <col min="6" max="6" width="31.21875" customWidth="1"/>
    <col min="7" max="25" width="21.44140625" customWidth="1"/>
    <col min="257" max="257" width="7.77734375" customWidth="1"/>
    <col min="258" max="259" width="13.6640625" customWidth="1"/>
    <col min="260" max="260" width="21.44140625" customWidth="1"/>
    <col min="261" max="261" width="31.6640625" customWidth="1"/>
    <col min="262" max="262" width="31.21875" customWidth="1"/>
    <col min="263" max="281" width="21.44140625" customWidth="1"/>
    <col min="513" max="513" width="7.77734375" customWidth="1"/>
    <col min="514" max="515" width="13.6640625" customWidth="1"/>
    <col min="516" max="516" width="21.44140625" customWidth="1"/>
    <col min="517" max="517" width="31.6640625" customWidth="1"/>
    <col min="518" max="518" width="31.21875" customWidth="1"/>
    <col min="519" max="537" width="21.44140625" customWidth="1"/>
    <col min="769" max="769" width="7.77734375" customWidth="1"/>
    <col min="770" max="771" width="13.6640625" customWidth="1"/>
    <col min="772" max="772" width="21.44140625" customWidth="1"/>
    <col min="773" max="773" width="31.6640625" customWidth="1"/>
    <col min="774" max="774" width="31.21875" customWidth="1"/>
    <col min="775" max="793" width="21.44140625" customWidth="1"/>
    <col min="1025" max="1025" width="7.77734375" customWidth="1"/>
    <col min="1026" max="1027" width="13.6640625" customWidth="1"/>
    <col min="1028" max="1028" width="21.44140625" customWidth="1"/>
    <col min="1029" max="1029" width="31.6640625" customWidth="1"/>
    <col min="1030" max="1030" width="31.21875" customWidth="1"/>
    <col min="1031" max="1049" width="21.44140625" customWidth="1"/>
    <col min="1281" max="1281" width="7.77734375" customWidth="1"/>
    <col min="1282" max="1283" width="13.6640625" customWidth="1"/>
    <col min="1284" max="1284" width="21.44140625" customWidth="1"/>
    <col min="1285" max="1285" width="31.6640625" customWidth="1"/>
    <col min="1286" max="1286" width="31.21875" customWidth="1"/>
    <col min="1287" max="1305" width="21.44140625" customWidth="1"/>
    <col min="1537" max="1537" width="7.77734375" customWidth="1"/>
    <col min="1538" max="1539" width="13.6640625" customWidth="1"/>
    <col min="1540" max="1540" width="21.44140625" customWidth="1"/>
    <col min="1541" max="1541" width="31.6640625" customWidth="1"/>
    <col min="1542" max="1542" width="31.21875" customWidth="1"/>
    <col min="1543" max="1561" width="21.44140625" customWidth="1"/>
    <col min="1793" max="1793" width="7.77734375" customWidth="1"/>
    <col min="1794" max="1795" width="13.6640625" customWidth="1"/>
    <col min="1796" max="1796" width="21.44140625" customWidth="1"/>
    <col min="1797" max="1797" width="31.6640625" customWidth="1"/>
    <col min="1798" max="1798" width="31.21875" customWidth="1"/>
    <col min="1799" max="1817" width="21.44140625" customWidth="1"/>
    <col min="2049" max="2049" width="7.77734375" customWidth="1"/>
    <col min="2050" max="2051" width="13.6640625" customWidth="1"/>
    <col min="2052" max="2052" width="21.44140625" customWidth="1"/>
    <col min="2053" max="2053" width="31.6640625" customWidth="1"/>
    <col min="2054" max="2054" width="31.21875" customWidth="1"/>
    <col min="2055" max="2073" width="21.44140625" customWidth="1"/>
    <col min="2305" max="2305" width="7.77734375" customWidth="1"/>
    <col min="2306" max="2307" width="13.6640625" customWidth="1"/>
    <col min="2308" max="2308" width="21.44140625" customWidth="1"/>
    <col min="2309" max="2309" width="31.6640625" customWidth="1"/>
    <col min="2310" max="2310" width="31.21875" customWidth="1"/>
    <col min="2311" max="2329" width="21.44140625" customWidth="1"/>
    <col min="2561" max="2561" width="7.77734375" customWidth="1"/>
    <col min="2562" max="2563" width="13.6640625" customWidth="1"/>
    <col min="2564" max="2564" width="21.44140625" customWidth="1"/>
    <col min="2565" max="2565" width="31.6640625" customWidth="1"/>
    <col min="2566" max="2566" width="31.21875" customWidth="1"/>
    <col min="2567" max="2585" width="21.44140625" customWidth="1"/>
    <col min="2817" max="2817" width="7.77734375" customWidth="1"/>
    <col min="2818" max="2819" width="13.6640625" customWidth="1"/>
    <col min="2820" max="2820" width="21.44140625" customWidth="1"/>
    <col min="2821" max="2821" width="31.6640625" customWidth="1"/>
    <col min="2822" max="2822" width="31.21875" customWidth="1"/>
    <col min="2823" max="2841" width="21.44140625" customWidth="1"/>
    <col min="3073" max="3073" width="7.77734375" customWidth="1"/>
    <col min="3074" max="3075" width="13.6640625" customWidth="1"/>
    <col min="3076" max="3076" width="21.44140625" customWidth="1"/>
    <col min="3077" max="3077" width="31.6640625" customWidth="1"/>
    <col min="3078" max="3078" width="31.21875" customWidth="1"/>
    <col min="3079" max="3097" width="21.44140625" customWidth="1"/>
    <col min="3329" max="3329" width="7.77734375" customWidth="1"/>
    <col min="3330" max="3331" width="13.6640625" customWidth="1"/>
    <col min="3332" max="3332" width="21.44140625" customWidth="1"/>
    <col min="3333" max="3333" width="31.6640625" customWidth="1"/>
    <col min="3334" max="3334" width="31.21875" customWidth="1"/>
    <col min="3335" max="3353" width="21.44140625" customWidth="1"/>
    <col min="3585" max="3585" width="7.77734375" customWidth="1"/>
    <col min="3586" max="3587" width="13.6640625" customWidth="1"/>
    <col min="3588" max="3588" width="21.44140625" customWidth="1"/>
    <col min="3589" max="3589" width="31.6640625" customWidth="1"/>
    <col min="3590" max="3590" width="31.21875" customWidth="1"/>
    <col min="3591" max="3609" width="21.44140625" customWidth="1"/>
    <col min="3841" max="3841" width="7.77734375" customWidth="1"/>
    <col min="3842" max="3843" width="13.6640625" customWidth="1"/>
    <col min="3844" max="3844" width="21.44140625" customWidth="1"/>
    <col min="3845" max="3845" width="31.6640625" customWidth="1"/>
    <col min="3846" max="3846" width="31.21875" customWidth="1"/>
    <col min="3847" max="3865" width="21.44140625" customWidth="1"/>
    <col min="4097" max="4097" width="7.77734375" customWidth="1"/>
    <col min="4098" max="4099" width="13.6640625" customWidth="1"/>
    <col min="4100" max="4100" width="21.44140625" customWidth="1"/>
    <col min="4101" max="4101" width="31.6640625" customWidth="1"/>
    <col min="4102" max="4102" width="31.21875" customWidth="1"/>
    <col min="4103" max="4121" width="21.44140625" customWidth="1"/>
    <col min="4353" max="4353" width="7.77734375" customWidth="1"/>
    <col min="4354" max="4355" width="13.6640625" customWidth="1"/>
    <col min="4356" max="4356" width="21.44140625" customWidth="1"/>
    <col min="4357" max="4357" width="31.6640625" customWidth="1"/>
    <col min="4358" max="4358" width="31.21875" customWidth="1"/>
    <col min="4359" max="4377" width="21.44140625" customWidth="1"/>
    <col min="4609" max="4609" width="7.77734375" customWidth="1"/>
    <col min="4610" max="4611" width="13.6640625" customWidth="1"/>
    <col min="4612" max="4612" width="21.44140625" customWidth="1"/>
    <col min="4613" max="4613" width="31.6640625" customWidth="1"/>
    <col min="4614" max="4614" width="31.21875" customWidth="1"/>
    <col min="4615" max="4633" width="21.44140625" customWidth="1"/>
    <col min="4865" max="4865" width="7.77734375" customWidth="1"/>
    <col min="4866" max="4867" width="13.6640625" customWidth="1"/>
    <col min="4868" max="4868" width="21.44140625" customWidth="1"/>
    <col min="4869" max="4869" width="31.6640625" customWidth="1"/>
    <col min="4870" max="4870" width="31.21875" customWidth="1"/>
    <col min="4871" max="4889" width="21.44140625" customWidth="1"/>
    <col min="5121" max="5121" width="7.77734375" customWidth="1"/>
    <col min="5122" max="5123" width="13.6640625" customWidth="1"/>
    <col min="5124" max="5124" width="21.44140625" customWidth="1"/>
    <col min="5125" max="5125" width="31.6640625" customWidth="1"/>
    <col min="5126" max="5126" width="31.21875" customWidth="1"/>
    <col min="5127" max="5145" width="21.44140625" customWidth="1"/>
    <col min="5377" max="5377" width="7.77734375" customWidth="1"/>
    <col min="5378" max="5379" width="13.6640625" customWidth="1"/>
    <col min="5380" max="5380" width="21.44140625" customWidth="1"/>
    <col min="5381" max="5381" width="31.6640625" customWidth="1"/>
    <col min="5382" max="5382" width="31.21875" customWidth="1"/>
    <col min="5383" max="5401" width="21.44140625" customWidth="1"/>
    <col min="5633" max="5633" width="7.77734375" customWidth="1"/>
    <col min="5634" max="5635" width="13.6640625" customWidth="1"/>
    <col min="5636" max="5636" width="21.44140625" customWidth="1"/>
    <col min="5637" max="5637" width="31.6640625" customWidth="1"/>
    <col min="5638" max="5638" width="31.21875" customWidth="1"/>
    <col min="5639" max="5657" width="21.44140625" customWidth="1"/>
    <col min="5889" max="5889" width="7.77734375" customWidth="1"/>
    <col min="5890" max="5891" width="13.6640625" customWidth="1"/>
    <col min="5892" max="5892" width="21.44140625" customWidth="1"/>
    <col min="5893" max="5893" width="31.6640625" customWidth="1"/>
    <col min="5894" max="5894" width="31.21875" customWidth="1"/>
    <col min="5895" max="5913" width="21.44140625" customWidth="1"/>
    <col min="6145" max="6145" width="7.77734375" customWidth="1"/>
    <col min="6146" max="6147" width="13.6640625" customWidth="1"/>
    <col min="6148" max="6148" width="21.44140625" customWidth="1"/>
    <col min="6149" max="6149" width="31.6640625" customWidth="1"/>
    <col min="6150" max="6150" width="31.21875" customWidth="1"/>
    <col min="6151" max="6169" width="21.44140625" customWidth="1"/>
    <col min="6401" max="6401" width="7.77734375" customWidth="1"/>
    <col min="6402" max="6403" width="13.6640625" customWidth="1"/>
    <col min="6404" max="6404" width="21.44140625" customWidth="1"/>
    <col min="6405" max="6405" width="31.6640625" customWidth="1"/>
    <col min="6406" max="6406" width="31.21875" customWidth="1"/>
    <col min="6407" max="6425" width="21.44140625" customWidth="1"/>
    <col min="6657" max="6657" width="7.77734375" customWidth="1"/>
    <col min="6658" max="6659" width="13.6640625" customWidth="1"/>
    <col min="6660" max="6660" width="21.44140625" customWidth="1"/>
    <col min="6661" max="6661" width="31.6640625" customWidth="1"/>
    <col min="6662" max="6662" width="31.21875" customWidth="1"/>
    <col min="6663" max="6681" width="21.44140625" customWidth="1"/>
    <col min="6913" max="6913" width="7.77734375" customWidth="1"/>
    <col min="6914" max="6915" width="13.6640625" customWidth="1"/>
    <col min="6916" max="6916" width="21.44140625" customWidth="1"/>
    <col min="6917" max="6917" width="31.6640625" customWidth="1"/>
    <col min="6918" max="6918" width="31.21875" customWidth="1"/>
    <col min="6919" max="6937" width="21.44140625" customWidth="1"/>
    <col min="7169" max="7169" width="7.77734375" customWidth="1"/>
    <col min="7170" max="7171" width="13.6640625" customWidth="1"/>
    <col min="7172" max="7172" width="21.44140625" customWidth="1"/>
    <col min="7173" max="7173" width="31.6640625" customWidth="1"/>
    <col min="7174" max="7174" width="31.21875" customWidth="1"/>
    <col min="7175" max="7193" width="21.44140625" customWidth="1"/>
    <col min="7425" max="7425" width="7.77734375" customWidth="1"/>
    <col min="7426" max="7427" width="13.6640625" customWidth="1"/>
    <col min="7428" max="7428" width="21.44140625" customWidth="1"/>
    <col min="7429" max="7429" width="31.6640625" customWidth="1"/>
    <col min="7430" max="7430" width="31.21875" customWidth="1"/>
    <col min="7431" max="7449" width="21.44140625" customWidth="1"/>
    <col min="7681" max="7681" width="7.77734375" customWidth="1"/>
    <col min="7682" max="7683" width="13.6640625" customWidth="1"/>
    <col min="7684" max="7684" width="21.44140625" customWidth="1"/>
    <col min="7685" max="7685" width="31.6640625" customWidth="1"/>
    <col min="7686" max="7686" width="31.21875" customWidth="1"/>
    <col min="7687" max="7705" width="21.44140625" customWidth="1"/>
    <col min="7937" max="7937" width="7.77734375" customWidth="1"/>
    <col min="7938" max="7939" width="13.6640625" customWidth="1"/>
    <col min="7940" max="7940" width="21.44140625" customWidth="1"/>
    <col min="7941" max="7941" width="31.6640625" customWidth="1"/>
    <col min="7942" max="7942" width="31.21875" customWidth="1"/>
    <col min="7943" max="7961" width="21.44140625" customWidth="1"/>
    <col min="8193" max="8193" width="7.77734375" customWidth="1"/>
    <col min="8194" max="8195" width="13.6640625" customWidth="1"/>
    <col min="8196" max="8196" width="21.44140625" customWidth="1"/>
    <col min="8197" max="8197" width="31.6640625" customWidth="1"/>
    <col min="8198" max="8198" width="31.21875" customWidth="1"/>
    <col min="8199" max="8217" width="21.44140625" customWidth="1"/>
    <col min="8449" max="8449" width="7.77734375" customWidth="1"/>
    <col min="8450" max="8451" width="13.6640625" customWidth="1"/>
    <col min="8452" max="8452" width="21.44140625" customWidth="1"/>
    <col min="8453" max="8453" width="31.6640625" customWidth="1"/>
    <col min="8454" max="8454" width="31.21875" customWidth="1"/>
    <col min="8455" max="8473" width="21.44140625" customWidth="1"/>
    <col min="8705" max="8705" width="7.77734375" customWidth="1"/>
    <col min="8706" max="8707" width="13.6640625" customWidth="1"/>
    <col min="8708" max="8708" width="21.44140625" customWidth="1"/>
    <col min="8709" max="8709" width="31.6640625" customWidth="1"/>
    <col min="8710" max="8710" width="31.21875" customWidth="1"/>
    <col min="8711" max="8729" width="21.44140625" customWidth="1"/>
    <col min="8961" max="8961" width="7.77734375" customWidth="1"/>
    <col min="8962" max="8963" width="13.6640625" customWidth="1"/>
    <col min="8964" max="8964" width="21.44140625" customWidth="1"/>
    <col min="8965" max="8965" width="31.6640625" customWidth="1"/>
    <col min="8966" max="8966" width="31.21875" customWidth="1"/>
    <col min="8967" max="8985" width="21.44140625" customWidth="1"/>
    <col min="9217" max="9217" width="7.77734375" customWidth="1"/>
    <col min="9218" max="9219" width="13.6640625" customWidth="1"/>
    <col min="9220" max="9220" width="21.44140625" customWidth="1"/>
    <col min="9221" max="9221" width="31.6640625" customWidth="1"/>
    <col min="9222" max="9222" width="31.21875" customWidth="1"/>
    <col min="9223" max="9241" width="21.44140625" customWidth="1"/>
    <col min="9473" max="9473" width="7.77734375" customWidth="1"/>
    <col min="9474" max="9475" width="13.6640625" customWidth="1"/>
    <col min="9476" max="9476" width="21.44140625" customWidth="1"/>
    <col min="9477" max="9477" width="31.6640625" customWidth="1"/>
    <col min="9478" max="9478" width="31.21875" customWidth="1"/>
    <col min="9479" max="9497" width="21.44140625" customWidth="1"/>
    <col min="9729" max="9729" width="7.77734375" customWidth="1"/>
    <col min="9730" max="9731" width="13.6640625" customWidth="1"/>
    <col min="9732" max="9732" width="21.44140625" customWidth="1"/>
    <col min="9733" max="9733" width="31.6640625" customWidth="1"/>
    <col min="9734" max="9734" width="31.21875" customWidth="1"/>
    <col min="9735" max="9753" width="21.44140625" customWidth="1"/>
    <col min="9985" max="9985" width="7.77734375" customWidth="1"/>
    <col min="9986" max="9987" width="13.6640625" customWidth="1"/>
    <col min="9988" max="9988" width="21.44140625" customWidth="1"/>
    <col min="9989" max="9989" width="31.6640625" customWidth="1"/>
    <col min="9990" max="9990" width="31.21875" customWidth="1"/>
    <col min="9991" max="10009" width="21.44140625" customWidth="1"/>
    <col min="10241" max="10241" width="7.77734375" customWidth="1"/>
    <col min="10242" max="10243" width="13.6640625" customWidth="1"/>
    <col min="10244" max="10244" width="21.44140625" customWidth="1"/>
    <col min="10245" max="10245" width="31.6640625" customWidth="1"/>
    <col min="10246" max="10246" width="31.21875" customWidth="1"/>
    <col min="10247" max="10265" width="21.44140625" customWidth="1"/>
    <col min="10497" max="10497" width="7.77734375" customWidth="1"/>
    <col min="10498" max="10499" width="13.6640625" customWidth="1"/>
    <col min="10500" max="10500" width="21.44140625" customWidth="1"/>
    <col min="10501" max="10501" width="31.6640625" customWidth="1"/>
    <col min="10502" max="10502" width="31.21875" customWidth="1"/>
    <col min="10503" max="10521" width="21.44140625" customWidth="1"/>
    <col min="10753" max="10753" width="7.77734375" customWidth="1"/>
    <col min="10754" max="10755" width="13.6640625" customWidth="1"/>
    <col min="10756" max="10756" width="21.44140625" customWidth="1"/>
    <col min="10757" max="10757" width="31.6640625" customWidth="1"/>
    <col min="10758" max="10758" width="31.21875" customWidth="1"/>
    <col min="10759" max="10777" width="21.44140625" customWidth="1"/>
    <col min="11009" max="11009" width="7.77734375" customWidth="1"/>
    <col min="11010" max="11011" width="13.6640625" customWidth="1"/>
    <col min="11012" max="11012" width="21.44140625" customWidth="1"/>
    <col min="11013" max="11013" width="31.6640625" customWidth="1"/>
    <col min="11014" max="11014" width="31.21875" customWidth="1"/>
    <col min="11015" max="11033" width="21.44140625" customWidth="1"/>
    <col min="11265" max="11265" width="7.77734375" customWidth="1"/>
    <col min="11266" max="11267" width="13.6640625" customWidth="1"/>
    <col min="11268" max="11268" width="21.44140625" customWidth="1"/>
    <col min="11269" max="11269" width="31.6640625" customWidth="1"/>
    <col min="11270" max="11270" width="31.21875" customWidth="1"/>
    <col min="11271" max="11289" width="21.44140625" customWidth="1"/>
    <col min="11521" max="11521" width="7.77734375" customWidth="1"/>
    <col min="11522" max="11523" width="13.6640625" customWidth="1"/>
    <col min="11524" max="11524" width="21.44140625" customWidth="1"/>
    <col min="11525" max="11525" width="31.6640625" customWidth="1"/>
    <col min="11526" max="11526" width="31.21875" customWidth="1"/>
    <col min="11527" max="11545" width="21.44140625" customWidth="1"/>
    <col min="11777" max="11777" width="7.77734375" customWidth="1"/>
    <col min="11778" max="11779" width="13.6640625" customWidth="1"/>
    <col min="11780" max="11780" width="21.44140625" customWidth="1"/>
    <col min="11781" max="11781" width="31.6640625" customWidth="1"/>
    <col min="11782" max="11782" width="31.21875" customWidth="1"/>
    <col min="11783" max="11801" width="21.44140625" customWidth="1"/>
    <col min="12033" max="12033" width="7.77734375" customWidth="1"/>
    <col min="12034" max="12035" width="13.6640625" customWidth="1"/>
    <col min="12036" max="12036" width="21.44140625" customWidth="1"/>
    <col min="12037" max="12037" width="31.6640625" customWidth="1"/>
    <col min="12038" max="12038" width="31.21875" customWidth="1"/>
    <col min="12039" max="12057" width="21.44140625" customWidth="1"/>
    <col min="12289" max="12289" width="7.77734375" customWidth="1"/>
    <col min="12290" max="12291" width="13.6640625" customWidth="1"/>
    <col min="12292" max="12292" width="21.44140625" customWidth="1"/>
    <col min="12293" max="12293" width="31.6640625" customWidth="1"/>
    <col min="12294" max="12294" width="31.21875" customWidth="1"/>
    <col min="12295" max="12313" width="21.44140625" customWidth="1"/>
    <col min="12545" max="12545" width="7.77734375" customWidth="1"/>
    <col min="12546" max="12547" width="13.6640625" customWidth="1"/>
    <col min="12548" max="12548" width="21.44140625" customWidth="1"/>
    <col min="12549" max="12549" width="31.6640625" customWidth="1"/>
    <col min="12550" max="12550" width="31.21875" customWidth="1"/>
    <col min="12551" max="12569" width="21.44140625" customWidth="1"/>
    <col min="12801" max="12801" width="7.77734375" customWidth="1"/>
    <col min="12802" max="12803" width="13.6640625" customWidth="1"/>
    <col min="12804" max="12804" width="21.44140625" customWidth="1"/>
    <col min="12805" max="12805" width="31.6640625" customWidth="1"/>
    <col min="12806" max="12806" width="31.21875" customWidth="1"/>
    <col min="12807" max="12825" width="21.44140625" customWidth="1"/>
    <col min="13057" max="13057" width="7.77734375" customWidth="1"/>
    <col min="13058" max="13059" width="13.6640625" customWidth="1"/>
    <col min="13060" max="13060" width="21.44140625" customWidth="1"/>
    <col min="13061" max="13061" width="31.6640625" customWidth="1"/>
    <col min="13062" max="13062" width="31.21875" customWidth="1"/>
    <col min="13063" max="13081" width="21.44140625" customWidth="1"/>
    <col min="13313" max="13313" width="7.77734375" customWidth="1"/>
    <col min="13314" max="13315" width="13.6640625" customWidth="1"/>
    <col min="13316" max="13316" width="21.44140625" customWidth="1"/>
    <col min="13317" max="13317" width="31.6640625" customWidth="1"/>
    <col min="13318" max="13318" width="31.21875" customWidth="1"/>
    <col min="13319" max="13337" width="21.44140625" customWidth="1"/>
    <col min="13569" max="13569" width="7.77734375" customWidth="1"/>
    <col min="13570" max="13571" width="13.6640625" customWidth="1"/>
    <col min="13572" max="13572" width="21.44140625" customWidth="1"/>
    <col min="13573" max="13573" width="31.6640625" customWidth="1"/>
    <col min="13574" max="13574" width="31.21875" customWidth="1"/>
    <col min="13575" max="13593" width="21.44140625" customWidth="1"/>
    <col min="13825" max="13825" width="7.77734375" customWidth="1"/>
    <col min="13826" max="13827" width="13.6640625" customWidth="1"/>
    <col min="13828" max="13828" width="21.44140625" customWidth="1"/>
    <col min="13829" max="13829" width="31.6640625" customWidth="1"/>
    <col min="13830" max="13830" width="31.21875" customWidth="1"/>
    <col min="13831" max="13849" width="21.44140625" customWidth="1"/>
    <col min="14081" max="14081" width="7.77734375" customWidth="1"/>
    <col min="14082" max="14083" width="13.6640625" customWidth="1"/>
    <col min="14084" max="14084" width="21.44140625" customWidth="1"/>
    <col min="14085" max="14085" width="31.6640625" customWidth="1"/>
    <col min="14086" max="14086" width="31.21875" customWidth="1"/>
    <col min="14087" max="14105" width="21.44140625" customWidth="1"/>
    <col min="14337" max="14337" width="7.77734375" customWidth="1"/>
    <col min="14338" max="14339" width="13.6640625" customWidth="1"/>
    <col min="14340" max="14340" width="21.44140625" customWidth="1"/>
    <col min="14341" max="14341" width="31.6640625" customWidth="1"/>
    <col min="14342" max="14342" width="31.21875" customWidth="1"/>
    <col min="14343" max="14361" width="21.44140625" customWidth="1"/>
    <col min="14593" max="14593" width="7.77734375" customWidth="1"/>
    <col min="14594" max="14595" width="13.6640625" customWidth="1"/>
    <col min="14596" max="14596" width="21.44140625" customWidth="1"/>
    <col min="14597" max="14597" width="31.6640625" customWidth="1"/>
    <col min="14598" max="14598" width="31.21875" customWidth="1"/>
    <col min="14599" max="14617" width="21.44140625" customWidth="1"/>
    <col min="14849" max="14849" width="7.77734375" customWidth="1"/>
    <col min="14850" max="14851" width="13.6640625" customWidth="1"/>
    <col min="14852" max="14852" width="21.44140625" customWidth="1"/>
    <col min="14853" max="14853" width="31.6640625" customWidth="1"/>
    <col min="14854" max="14854" width="31.21875" customWidth="1"/>
    <col min="14855" max="14873" width="21.44140625" customWidth="1"/>
    <col min="15105" max="15105" width="7.77734375" customWidth="1"/>
    <col min="15106" max="15107" width="13.6640625" customWidth="1"/>
    <col min="15108" max="15108" width="21.44140625" customWidth="1"/>
    <col min="15109" max="15109" width="31.6640625" customWidth="1"/>
    <col min="15110" max="15110" width="31.21875" customWidth="1"/>
    <col min="15111" max="15129" width="21.44140625" customWidth="1"/>
    <col min="15361" max="15361" width="7.77734375" customWidth="1"/>
    <col min="15362" max="15363" width="13.6640625" customWidth="1"/>
    <col min="15364" max="15364" width="21.44140625" customWidth="1"/>
    <col min="15365" max="15365" width="31.6640625" customWidth="1"/>
    <col min="15366" max="15366" width="31.21875" customWidth="1"/>
    <col min="15367" max="15385" width="21.44140625" customWidth="1"/>
    <col min="15617" max="15617" width="7.77734375" customWidth="1"/>
    <col min="15618" max="15619" width="13.6640625" customWidth="1"/>
    <col min="15620" max="15620" width="21.44140625" customWidth="1"/>
    <col min="15621" max="15621" width="31.6640625" customWidth="1"/>
    <col min="15622" max="15622" width="31.21875" customWidth="1"/>
    <col min="15623" max="15641" width="21.44140625" customWidth="1"/>
    <col min="15873" max="15873" width="7.77734375" customWidth="1"/>
    <col min="15874" max="15875" width="13.6640625" customWidth="1"/>
    <col min="15876" max="15876" width="21.44140625" customWidth="1"/>
    <col min="15877" max="15877" width="31.6640625" customWidth="1"/>
    <col min="15878" max="15878" width="31.21875" customWidth="1"/>
    <col min="15879" max="15897" width="21.44140625" customWidth="1"/>
    <col min="16129" max="16129" width="7.77734375" customWidth="1"/>
    <col min="16130" max="16131" width="13.6640625" customWidth="1"/>
    <col min="16132" max="16132" width="21.44140625" customWidth="1"/>
    <col min="16133" max="16133" width="31.6640625" customWidth="1"/>
    <col min="16134" max="16134" width="31.21875" customWidth="1"/>
    <col min="16135" max="16153" width="21.44140625" customWidth="1"/>
  </cols>
  <sheetData>
    <row r="4" spans="1:9" x14ac:dyDescent="0.3">
      <c r="A4" s="105" t="s">
        <v>6230</v>
      </c>
      <c r="B4" s="106"/>
      <c r="C4" s="106"/>
      <c r="D4" s="106"/>
      <c r="E4" s="106"/>
      <c r="F4" s="106"/>
      <c r="G4" s="106"/>
      <c r="H4" s="106"/>
      <c r="I4" s="106"/>
    </row>
    <row r="5" spans="1:9" x14ac:dyDescent="0.3">
      <c r="A5" s="107"/>
      <c r="B5" s="106"/>
      <c r="C5" s="106"/>
      <c r="D5" s="106"/>
      <c r="E5" s="106"/>
      <c r="F5" s="106"/>
      <c r="G5" s="106"/>
      <c r="H5" s="106"/>
      <c r="I5" s="106"/>
    </row>
    <row r="6" spans="1:9" x14ac:dyDescent="0.3">
      <c r="A6" s="108" t="s">
        <v>6237</v>
      </c>
      <c r="B6" s="108" t="s">
        <v>6238</v>
      </c>
      <c r="C6" s="108" t="s">
        <v>6239</v>
      </c>
      <c r="D6" s="108" t="s">
        <v>6240</v>
      </c>
      <c r="E6" s="108" t="s">
        <v>6241</v>
      </c>
      <c r="F6" s="108" t="s">
        <v>0</v>
      </c>
      <c r="G6" s="108" t="s">
        <v>6242</v>
      </c>
      <c r="H6" s="108" t="s">
        <v>6243</v>
      </c>
      <c r="I6" s="108" t="s">
        <v>6244</v>
      </c>
    </row>
    <row r="7" spans="1:9" ht="25.2" x14ac:dyDescent="0.3">
      <c r="A7" s="109" t="s">
        <v>5569</v>
      </c>
      <c r="B7" s="109" t="s">
        <v>6245</v>
      </c>
      <c r="C7" s="109" t="s">
        <v>6245</v>
      </c>
      <c r="D7" s="109" t="s">
        <v>6246</v>
      </c>
      <c r="E7" s="109" t="s">
        <v>5558</v>
      </c>
      <c r="F7" s="109" t="s">
        <v>6247</v>
      </c>
      <c r="G7" s="110" t="s">
        <v>6248</v>
      </c>
      <c r="H7" s="110" t="s">
        <v>6249</v>
      </c>
      <c r="I7" s="110" t="s">
        <v>6250</v>
      </c>
    </row>
    <row r="8" spans="1:9" ht="25.2" x14ac:dyDescent="0.3">
      <c r="A8" s="109" t="s">
        <v>5772</v>
      </c>
      <c r="B8" s="109" t="s">
        <v>6245</v>
      </c>
      <c r="C8" s="109" t="s">
        <v>6245</v>
      </c>
      <c r="D8" s="109" t="s">
        <v>6251</v>
      </c>
      <c r="E8" s="109" t="s">
        <v>5558</v>
      </c>
      <c r="F8" s="109" t="s">
        <v>6252</v>
      </c>
      <c r="G8" s="110" t="s">
        <v>6248</v>
      </c>
      <c r="H8" s="110" t="s">
        <v>6253</v>
      </c>
      <c r="I8" s="110" t="s">
        <v>6254</v>
      </c>
    </row>
    <row r="9" spans="1:9" ht="25.2" x14ac:dyDescent="0.3">
      <c r="A9" s="109" t="s">
        <v>6255</v>
      </c>
      <c r="B9" s="109" t="s">
        <v>6245</v>
      </c>
      <c r="C9" s="109" t="s">
        <v>6245</v>
      </c>
      <c r="D9" s="109" t="s">
        <v>1528</v>
      </c>
      <c r="E9" s="109" t="s">
        <v>5854</v>
      </c>
      <c r="F9" s="109" t="s">
        <v>6256</v>
      </c>
      <c r="G9" s="110" t="s">
        <v>6248</v>
      </c>
      <c r="H9" s="110" t="s">
        <v>6257</v>
      </c>
      <c r="I9" s="110" t="s">
        <v>6258</v>
      </c>
    </row>
    <row r="10" spans="1:9" ht="37.799999999999997" x14ac:dyDescent="0.3">
      <c r="A10" s="109" t="s">
        <v>6259</v>
      </c>
      <c r="B10" s="109" t="s">
        <v>6245</v>
      </c>
      <c r="C10" s="109" t="s">
        <v>6245</v>
      </c>
      <c r="D10" s="109" t="s">
        <v>6260</v>
      </c>
      <c r="E10" s="109" t="s">
        <v>5558</v>
      </c>
      <c r="F10" s="109" t="s">
        <v>6261</v>
      </c>
      <c r="G10" s="110" t="s">
        <v>6248</v>
      </c>
      <c r="H10" s="110" t="s">
        <v>6262</v>
      </c>
      <c r="I10" s="110" t="s">
        <v>6263</v>
      </c>
    </row>
    <row r="11" spans="1:9" x14ac:dyDescent="0.3">
      <c r="A11" s="109" t="s">
        <v>6264</v>
      </c>
      <c r="B11" s="109" t="s">
        <v>6245</v>
      </c>
      <c r="C11" s="109" t="s">
        <v>6245</v>
      </c>
      <c r="D11" s="109" t="s">
        <v>6265</v>
      </c>
      <c r="E11" s="109" t="s">
        <v>6266</v>
      </c>
      <c r="F11" s="109" t="s">
        <v>6267</v>
      </c>
      <c r="G11" s="110" t="s">
        <v>6248</v>
      </c>
      <c r="H11" s="110" t="s">
        <v>6268</v>
      </c>
      <c r="I11" s="110" t="s">
        <v>6269</v>
      </c>
    </row>
    <row r="12" spans="1:9" ht="25.2" x14ac:dyDescent="0.3">
      <c r="A12" s="109" t="s">
        <v>6270</v>
      </c>
      <c r="B12" s="109" t="s">
        <v>6245</v>
      </c>
      <c r="C12" s="109" t="s">
        <v>6245</v>
      </c>
      <c r="D12" s="109" t="s">
        <v>6271</v>
      </c>
      <c r="E12" s="109" t="s">
        <v>5558</v>
      </c>
      <c r="F12" s="109" t="s">
        <v>6272</v>
      </c>
      <c r="G12" s="110" t="s">
        <v>6248</v>
      </c>
      <c r="H12" s="110" t="s">
        <v>6273</v>
      </c>
      <c r="I12" s="110" t="s">
        <v>6274</v>
      </c>
    </row>
    <row r="13" spans="1:9" ht="25.2" x14ac:dyDescent="0.3">
      <c r="A13" s="109" t="s">
        <v>6275</v>
      </c>
      <c r="B13" s="109" t="s">
        <v>6245</v>
      </c>
      <c r="C13" s="109" t="s">
        <v>6245</v>
      </c>
      <c r="D13" s="109" t="s">
        <v>6276</v>
      </c>
      <c r="E13" s="109" t="s">
        <v>5558</v>
      </c>
      <c r="F13" s="109" t="s">
        <v>6277</v>
      </c>
      <c r="G13" s="110" t="s">
        <v>6248</v>
      </c>
      <c r="H13" s="110" t="s">
        <v>6278</v>
      </c>
      <c r="I13" s="110" t="s">
        <v>6279</v>
      </c>
    </row>
    <row r="14" spans="1:9" ht="37.799999999999997" x14ac:dyDescent="0.3">
      <c r="A14" s="109" t="s">
        <v>6280</v>
      </c>
      <c r="B14" s="109" t="s">
        <v>6245</v>
      </c>
      <c r="C14" s="109" t="s">
        <v>6245</v>
      </c>
      <c r="D14" s="109" t="s">
        <v>6281</v>
      </c>
      <c r="E14" s="109" t="s">
        <v>5558</v>
      </c>
      <c r="F14" s="109" t="s">
        <v>6282</v>
      </c>
      <c r="G14" s="110" t="s">
        <v>6248</v>
      </c>
      <c r="H14" s="110" t="s">
        <v>6283</v>
      </c>
      <c r="I14" s="110" t="s">
        <v>6284</v>
      </c>
    </row>
    <row r="15" spans="1:9" ht="25.2" x14ac:dyDescent="0.3">
      <c r="A15" s="109" t="s">
        <v>6285</v>
      </c>
      <c r="B15" s="109" t="s">
        <v>6232</v>
      </c>
      <c r="C15" s="109" t="s">
        <v>6245</v>
      </c>
      <c r="D15" s="109" t="s">
        <v>6286</v>
      </c>
      <c r="E15" s="109" t="s">
        <v>6287</v>
      </c>
      <c r="F15" s="109" t="s">
        <v>6288</v>
      </c>
      <c r="G15" s="110" t="s">
        <v>6248</v>
      </c>
      <c r="H15" s="110" t="s">
        <v>6289</v>
      </c>
      <c r="I15" s="110" t="s">
        <v>6290</v>
      </c>
    </row>
    <row r="16" spans="1:9" ht="25.2" x14ac:dyDescent="0.3">
      <c r="A16" s="109" t="s">
        <v>6291</v>
      </c>
      <c r="B16" s="109" t="s">
        <v>6232</v>
      </c>
      <c r="C16" s="109" t="s">
        <v>6245</v>
      </c>
      <c r="D16" s="109" t="s">
        <v>6292</v>
      </c>
      <c r="E16" s="109" t="s">
        <v>6293</v>
      </c>
      <c r="F16" s="109" t="s">
        <v>6288</v>
      </c>
      <c r="G16" s="110" t="s">
        <v>6248</v>
      </c>
      <c r="H16" s="110" t="s">
        <v>6294</v>
      </c>
      <c r="I16" s="110" t="s">
        <v>6295</v>
      </c>
    </row>
    <row r="17" spans="1:9" ht="25.2" x14ac:dyDescent="0.3">
      <c r="A17" s="109" t="s">
        <v>6296</v>
      </c>
      <c r="B17" s="109" t="s">
        <v>6232</v>
      </c>
      <c r="C17" s="109" t="s">
        <v>6245</v>
      </c>
      <c r="D17" s="109" t="s">
        <v>6297</v>
      </c>
      <c r="E17" s="109" t="s">
        <v>6298</v>
      </c>
      <c r="F17" s="109" t="s">
        <v>6288</v>
      </c>
      <c r="G17" s="110" t="s">
        <v>6248</v>
      </c>
      <c r="H17" s="110" t="s">
        <v>6299</v>
      </c>
      <c r="I17" s="110" t="s">
        <v>6300</v>
      </c>
    </row>
    <row r="18" spans="1:9" ht="25.2" x14ac:dyDescent="0.3">
      <c r="A18" s="109" t="s">
        <v>6301</v>
      </c>
      <c r="B18" s="109" t="s">
        <v>6232</v>
      </c>
      <c r="C18" s="109" t="s">
        <v>6245</v>
      </c>
      <c r="D18" s="109" t="s">
        <v>6302</v>
      </c>
      <c r="E18" s="109" t="s">
        <v>6303</v>
      </c>
      <c r="F18" s="109" t="s">
        <v>6304</v>
      </c>
      <c r="G18" s="110" t="s">
        <v>6305</v>
      </c>
      <c r="H18" s="110" t="s">
        <v>6248</v>
      </c>
      <c r="I18" s="110" t="s">
        <v>6306</v>
      </c>
    </row>
    <row r="19" spans="1:9" ht="25.2" x14ac:dyDescent="0.3">
      <c r="A19" s="109" t="s">
        <v>6307</v>
      </c>
      <c r="B19" s="109" t="s">
        <v>6232</v>
      </c>
      <c r="C19" s="109" t="s">
        <v>6245</v>
      </c>
      <c r="D19" s="109" t="s">
        <v>6308</v>
      </c>
      <c r="E19" s="109" t="s">
        <v>5558</v>
      </c>
      <c r="F19" s="109" t="s">
        <v>6309</v>
      </c>
      <c r="G19" s="110" t="s">
        <v>6248</v>
      </c>
      <c r="H19" s="110" t="s">
        <v>6310</v>
      </c>
      <c r="I19" s="110" t="s">
        <v>6311</v>
      </c>
    </row>
    <row r="20" spans="1:9" ht="25.2" x14ac:dyDescent="0.3">
      <c r="A20" s="109" t="s">
        <v>6312</v>
      </c>
      <c r="B20" s="109" t="s">
        <v>6232</v>
      </c>
      <c r="C20" s="109" t="s">
        <v>6245</v>
      </c>
      <c r="D20" s="109" t="s">
        <v>6313</v>
      </c>
      <c r="E20" s="109" t="s">
        <v>5558</v>
      </c>
      <c r="F20" s="109" t="s">
        <v>6314</v>
      </c>
      <c r="G20" s="110" t="s">
        <v>6248</v>
      </c>
      <c r="H20" s="110" t="s">
        <v>6315</v>
      </c>
      <c r="I20" s="110" t="s">
        <v>6316</v>
      </c>
    </row>
    <row r="21" spans="1:9" ht="25.2" x14ac:dyDescent="0.3">
      <c r="A21" s="109" t="s">
        <v>6317</v>
      </c>
      <c r="B21" s="109" t="s">
        <v>6232</v>
      </c>
      <c r="C21" s="109" t="s">
        <v>6232</v>
      </c>
      <c r="D21" s="109" t="s">
        <v>6318</v>
      </c>
      <c r="E21" s="109" t="s">
        <v>5558</v>
      </c>
      <c r="F21" s="109" t="s">
        <v>6319</v>
      </c>
      <c r="G21" s="110" t="s">
        <v>6320</v>
      </c>
      <c r="H21" s="110" t="s">
        <v>6248</v>
      </c>
      <c r="I21" s="110" t="s">
        <v>6321</v>
      </c>
    </row>
    <row r="22" spans="1:9" ht="25.2" x14ac:dyDescent="0.3">
      <c r="A22" s="109" t="s">
        <v>6322</v>
      </c>
      <c r="B22" s="109" t="s">
        <v>6232</v>
      </c>
      <c r="C22" s="109" t="s">
        <v>6232</v>
      </c>
      <c r="D22" s="109" t="s">
        <v>6323</v>
      </c>
      <c r="E22" s="109" t="s">
        <v>6324</v>
      </c>
      <c r="F22" s="109" t="s">
        <v>6325</v>
      </c>
      <c r="G22" s="110" t="s">
        <v>6248</v>
      </c>
      <c r="H22" s="110" t="s">
        <v>6326</v>
      </c>
      <c r="I22" s="110" t="s">
        <v>6327</v>
      </c>
    </row>
    <row r="23" spans="1:9" ht="25.2" x14ac:dyDescent="0.3">
      <c r="A23" s="109" t="s">
        <v>6328</v>
      </c>
      <c r="B23" s="109" t="s">
        <v>6232</v>
      </c>
      <c r="C23" s="109" t="s">
        <v>6232</v>
      </c>
      <c r="D23" s="109" t="s">
        <v>6329</v>
      </c>
      <c r="E23" s="109" t="s">
        <v>6330</v>
      </c>
      <c r="F23" s="109" t="s">
        <v>6325</v>
      </c>
      <c r="G23" s="110" t="s">
        <v>6248</v>
      </c>
      <c r="H23" s="110" t="s">
        <v>6331</v>
      </c>
      <c r="I23" s="110" t="s">
        <v>6332</v>
      </c>
    </row>
    <row r="24" spans="1:9" ht="25.2" x14ac:dyDescent="0.3">
      <c r="A24" s="109" t="s">
        <v>6333</v>
      </c>
      <c r="B24" s="109" t="s">
        <v>6232</v>
      </c>
      <c r="C24" s="109" t="s">
        <v>6232</v>
      </c>
      <c r="D24" s="109" t="s">
        <v>6334</v>
      </c>
      <c r="E24" s="109" t="s">
        <v>5558</v>
      </c>
      <c r="F24" s="109" t="s">
        <v>6335</v>
      </c>
      <c r="G24" s="110" t="s">
        <v>6248</v>
      </c>
      <c r="H24" s="110" t="s">
        <v>6336</v>
      </c>
      <c r="I24" s="110" t="s">
        <v>6337</v>
      </c>
    </row>
    <row r="25" spans="1:9" ht="37.799999999999997" x14ac:dyDescent="0.3">
      <c r="A25" s="109" t="s">
        <v>6338</v>
      </c>
      <c r="B25" s="109" t="s">
        <v>6232</v>
      </c>
      <c r="C25" s="109" t="s">
        <v>6232</v>
      </c>
      <c r="D25" s="109" t="s">
        <v>6339</v>
      </c>
      <c r="E25" s="109" t="s">
        <v>5558</v>
      </c>
      <c r="F25" s="109" t="s">
        <v>6340</v>
      </c>
      <c r="G25" s="110" t="s">
        <v>6248</v>
      </c>
      <c r="H25" s="110" t="s">
        <v>6341</v>
      </c>
      <c r="I25" s="110" t="s">
        <v>6342</v>
      </c>
    </row>
    <row r="26" spans="1:9" ht="25.2" x14ac:dyDescent="0.3">
      <c r="A26" s="109" t="s">
        <v>6343</v>
      </c>
      <c r="B26" s="109" t="s">
        <v>6232</v>
      </c>
      <c r="C26" s="109" t="s">
        <v>6232</v>
      </c>
      <c r="D26" s="109" t="s">
        <v>6344</v>
      </c>
      <c r="E26" s="109" t="s">
        <v>5558</v>
      </c>
      <c r="F26" s="109" t="s">
        <v>6345</v>
      </c>
      <c r="G26" s="110" t="s">
        <v>6248</v>
      </c>
      <c r="H26" s="110" t="s">
        <v>6346</v>
      </c>
      <c r="I26" s="110" t="s">
        <v>6347</v>
      </c>
    </row>
    <row r="27" spans="1:9" ht="25.2" x14ac:dyDescent="0.3">
      <c r="A27" s="109" t="s">
        <v>6348</v>
      </c>
      <c r="B27" s="109" t="s">
        <v>6232</v>
      </c>
      <c r="C27" s="109" t="s">
        <v>6232</v>
      </c>
      <c r="D27" s="109" t="s">
        <v>6349</v>
      </c>
      <c r="E27" s="109" t="s">
        <v>6350</v>
      </c>
      <c r="F27" s="109" t="s">
        <v>6351</v>
      </c>
      <c r="G27" s="110" t="s">
        <v>6248</v>
      </c>
      <c r="H27" s="110" t="s">
        <v>6352</v>
      </c>
      <c r="I27" s="110" t="s">
        <v>6353</v>
      </c>
    </row>
    <row r="28" spans="1:9" ht="37.799999999999997" x14ac:dyDescent="0.3">
      <c r="A28" s="109" t="s">
        <v>6354</v>
      </c>
      <c r="B28" s="109" t="s">
        <v>6232</v>
      </c>
      <c r="C28" s="109" t="s">
        <v>6232</v>
      </c>
      <c r="D28" s="109" t="s">
        <v>6355</v>
      </c>
      <c r="E28" s="109" t="s">
        <v>5558</v>
      </c>
      <c r="F28" s="109" t="s">
        <v>6356</v>
      </c>
      <c r="G28" s="110" t="s">
        <v>6248</v>
      </c>
      <c r="H28" s="110" t="s">
        <v>6357</v>
      </c>
      <c r="I28" s="110" t="s">
        <v>6358</v>
      </c>
    </row>
    <row r="29" spans="1:9" ht="25.2" x14ac:dyDescent="0.3">
      <c r="A29" s="109" t="s">
        <v>6359</v>
      </c>
      <c r="B29" s="109" t="s">
        <v>6232</v>
      </c>
      <c r="C29" s="109" t="s">
        <v>6232</v>
      </c>
      <c r="D29" s="109" t="s">
        <v>6255</v>
      </c>
      <c r="E29" s="109" t="s">
        <v>5558</v>
      </c>
      <c r="F29" s="109" t="s">
        <v>2258</v>
      </c>
      <c r="G29" s="110" t="s">
        <v>6248</v>
      </c>
      <c r="H29" s="110" t="s">
        <v>6360</v>
      </c>
      <c r="I29" s="110" t="s">
        <v>6361</v>
      </c>
    </row>
    <row r="30" spans="1:9" ht="25.2" x14ac:dyDescent="0.3">
      <c r="A30" s="109" t="s">
        <v>6362</v>
      </c>
      <c r="B30" s="109" t="s">
        <v>6232</v>
      </c>
      <c r="C30" s="109" t="s">
        <v>6232</v>
      </c>
      <c r="D30" s="109" t="s">
        <v>6264</v>
      </c>
      <c r="E30" s="109" t="s">
        <v>5558</v>
      </c>
      <c r="F30" s="109" t="s">
        <v>2258</v>
      </c>
      <c r="G30" s="110" t="s">
        <v>6248</v>
      </c>
      <c r="H30" s="110" t="s">
        <v>6363</v>
      </c>
      <c r="I30" s="110" t="s">
        <v>6364</v>
      </c>
    </row>
    <row r="31" spans="1:9" ht="25.2" x14ac:dyDescent="0.3">
      <c r="A31" s="109" t="s">
        <v>6365</v>
      </c>
      <c r="B31" s="109" t="s">
        <v>6232</v>
      </c>
      <c r="C31" s="109" t="s">
        <v>6232</v>
      </c>
      <c r="D31" s="109" t="s">
        <v>6366</v>
      </c>
      <c r="E31" s="109" t="s">
        <v>6367</v>
      </c>
      <c r="F31" s="109" t="s">
        <v>6368</v>
      </c>
      <c r="G31" s="110" t="s">
        <v>6369</v>
      </c>
      <c r="H31" s="110" t="s">
        <v>6248</v>
      </c>
      <c r="I31" s="110" t="s">
        <v>6370</v>
      </c>
    </row>
    <row r="32" spans="1:9" ht="25.2" x14ac:dyDescent="0.3">
      <c r="A32" s="109" t="s">
        <v>6371</v>
      </c>
      <c r="B32" s="109" t="s">
        <v>6232</v>
      </c>
      <c r="C32" s="109" t="s">
        <v>6232</v>
      </c>
      <c r="D32" s="109" t="s">
        <v>6372</v>
      </c>
      <c r="E32" s="109" t="s">
        <v>5558</v>
      </c>
      <c r="F32" s="109" t="s">
        <v>6373</v>
      </c>
      <c r="G32" s="110" t="s">
        <v>6248</v>
      </c>
      <c r="H32" s="110" t="s">
        <v>6374</v>
      </c>
      <c r="I32" s="110" t="s">
        <v>6375</v>
      </c>
    </row>
    <row r="33" spans="1:9" ht="25.2" x14ac:dyDescent="0.3">
      <c r="A33" s="109" t="s">
        <v>6376</v>
      </c>
      <c r="B33" s="109" t="s">
        <v>6232</v>
      </c>
      <c r="C33" s="109" t="s">
        <v>6232</v>
      </c>
      <c r="D33" s="109" t="s">
        <v>6377</v>
      </c>
      <c r="E33" s="109" t="s">
        <v>5558</v>
      </c>
      <c r="F33" s="109" t="s">
        <v>6378</v>
      </c>
      <c r="G33" s="110" t="s">
        <v>6248</v>
      </c>
      <c r="H33" s="110" t="s">
        <v>6379</v>
      </c>
      <c r="I33" s="110" t="s">
        <v>6380</v>
      </c>
    </row>
    <row r="34" spans="1:9" ht="25.2" x14ac:dyDescent="0.3">
      <c r="A34" s="109" t="s">
        <v>6381</v>
      </c>
      <c r="B34" s="109" t="s">
        <v>6232</v>
      </c>
      <c r="C34" s="109" t="s">
        <v>6232</v>
      </c>
      <c r="D34" s="109" t="s">
        <v>6382</v>
      </c>
      <c r="E34" s="109" t="s">
        <v>5558</v>
      </c>
      <c r="F34" s="109" t="s">
        <v>6383</v>
      </c>
      <c r="G34" s="110" t="s">
        <v>6248</v>
      </c>
      <c r="H34" s="110" t="s">
        <v>6384</v>
      </c>
      <c r="I34" s="110" t="s">
        <v>6385</v>
      </c>
    </row>
    <row r="35" spans="1:9" ht="25.2" x14ac:dyDescent="0.3">
      <c r="A35" s="109" t="s">
        <v>6386</v>
      </c>
      <c r="B35" s="109" t="s">
        <v>6232</v>
      </c>
      <c r="C35" s="109" t="s">
        <v>6232</v>
      </c>
      <c r="D35" s="109" t="s">
        <v>6387</v>
      </c>
      <c r="E35" s="109" t="s">
        <v>5558</v>
      </c>
      <c r="F35" s="109" t="s">
        <v>6388</v>
      </c>
      <c r="G35" s="110" t="s">
        <v>6248</v>
      </c>
      <c r="H35" s="110" t="s">
        <v>6389</v>
      </c>
      <c r="I35" s="110" t="s">
        <v>6390</v>
      </c>
    </row>
    <row r="36" spans="1:9" ht="25.2" x14ac:dyDescent="0.3">
      <c r="A36" s="109" t="s">
        <v>6391</v>
      </c>
      <c r="B36" s="109" t="s">
        <v>6232</v>
      </c>
      <c r="C36" s="109" t="s">
        <v>6232</v>
      </c>
      <c r="D36" s="109" t="s">
        <v>6392</v>
      </c>
      <c r="E36" s="109" t="s">
        <v>5558</v>
      </c>
      <c r="F36" s="109" t="s">
        <v>6388</v>
      </c>
      <c r="G36" s="110" t="s">
        <v>6248</v>
      </c>
      <c r="H36" s="110" t="s">
        <v>6393</v>
      </c>
      <c r="I36" s="110" t="s">
        <v>6394</v>
      </c>
    </row>
    <row r="37" spans="1:9" ht="25.2" x14ac:dyDescent="0.3">
      <c r="A37" s="109" t="s">
        <v>6395</v>
      </c>
      <c r="B37" s="109" t="s">
        <v>6232</v>
      </c>
      <c r="C37" s="109" t="s">
        <v>6232</v>
      </c>
      <c r="D37" s="109" t="s">
        <v>6396</v>
      </c>
      <c r="E37" s="109" t="s">
        <v>5558</v>
      </c>
      <c r="F37" s="109" t="s">
        <v>6397</v>
      </c>
      <c r="G37" s="110" t="s">
        <v>6248</v>
      </c>
      <c r="H37" s="110" t="s">
        <v>6398</v>
      </c>
      <c r="I37" s="110" t="s">
        <v>6399</v>
      </c>
    </row>
    <row r="38" spans="1:9" ht="25.2" x14ac:dyDescent="0.3">
      <c r="A38" s="109" t="s">
        <v>6400</v>
      </c>
      <c r="B38" s="109" t="s">
        <v>6232</v>
      </c>
      <c r="C38" s="109" t="s">
        <v>6232</v>
      </c>
      <c r="D38" s="109" t="s">
        <v>6401</v>
      </c>
      <c r="E38" s="109" t="s">
        <v>5558</v>
      </c>
      <c r="F38" s="109" t="s">
        <v>6402</v>
      </c>
      <c r="G38" s="110" t="s">
        <v>6248</v>
      </c>
      <c r="H38" s="110" t="s">
        <v>6403</v>
      </c>
      <c r="I38" s="110" t="s">
        <v>6404</v>
      </c>
    </row>
    <row r="39" spans="1:9" ht="25.2" x14ac:dyDescent="0.3">
      <c r="A39" s="109" t="s">
        <v>6405</v>
      </c>
      <c r="B39" s="109" t="s">
        <v>6232</v>
      </c>
      <c r="C39" s="109" t="s">
        <v>6232</v>
      </c>
      <c r="D39" s="109" t="s">
        <v>6406</v>
      </c>
      <c r="E39" s="109" t="s">
        <v>5558</v>
      </c>
      <c r="F39" s="109" t="s">
        <v>6407</v>
      </c>
      <c r="G39" s="110" t="s">
        <v>6248</v>
      </c>
      <c r="H39" s="110" t="s">
        <v>6408</v>
      </c>
      <c r="I39" s="110" t="s">
        <v>6409</v>
      </c>
    </row>
    <row r="40" spans="1:9" ht="25.2" x14ac:dyDescent="0.3">
      <c r="A40" s="109" t="s">
        <v>6410</v>
      </c>
      <c r="B40" s="109" t="s">
        <v>6232</v>
      </c>
      <c r="C40" s="109" t="s">
        <v>6232</v>
      </c>
      <c r="D40" s="109" t="s">
        <v>6411</v>
      </c>
      <c r="E40" s="109" t="s">
        <v>5558</v>
      </c>
      <c r="F40" s="109" t="s">
        <v>6412</v>
      </c>
      <c r="G40" s="110" t="s">
        <v>6248</v>
      </c>
      <c r="H40" s="110" t="s">
        <v>6413</v>
      </c>
      <c r="I40" s="110" t="s">
        <v>6414</v>
      </c>
    </row>
    <row r="41" spans="1:9" ht="25.2" x14ac:dyDescent="0.3">
      <c r="A41" s="109" t="s">
        <v>6415</v>
      </c>
      <c r="B41" s="109" t="s">
        <v>6232</v>
      </c>
      <c r="C41" s="109" t="s">
        <v>6232</v>
      </c>
      <c r="D41" s="109" t="s">
        <v>6416</v>
      </c>
      <c r="E41" s="109" t="s">
        <v>5558</v>
      </c>
      <c r="F41" s="109" t="s">
        <v>6417</v>
      </c>
      <c r="G41" s="110" t="s">
        <v>6248</v>
      </c>
      <c r="H41" s="110" t="s">
        <v>6418</v>
      </c>
      <c r="I41" s="110" t="s">
        <v>6419</v>
      </c>
    </row>
    <row r="42" spans="1:9" ht="25.2" x14ac:dyDescent="0.3">
      <c r="A42" s="109" t="s">
        <v>6420</v>
      </c>
      <c r="B42" s="109" t="s">
        <v>6232</v>
      </c>
      <c r="C42" s="109" t="s">
        <v>6232</v>
      </c>
      <c r="D42" s="109" t="s">
        <v>6421</v>
      </c>
      <c r="E42" s="109" t="s">
        <v>5558</v>
      </c>
      <c r="F42" s="109" t="s">
        <v>6422</v>
      </c>
      <c r="G42" s="110" t="s">
        <v>6248</v>
      </c>
      <c r="H42" s="110" t="s">
        <v>6423</v>
      </c>
      <c r="I42" s="110" t="s">
        <v>6424</v>
      </c>
    </row>
    <row r="43" spans="1:9" ht="25.2" x14ac:dyDescent="0.3">
      <c r="A43" s="109" t="s">
        <v>6425</v>
      </c>
      <c r="B43" s="109" t="s">
        <v>6232</v>
      </c>
      <c r="C43" s="109" t="s">
        <v>6232</v>
      </c>
      <c r="D43" s="109" t="s">
        <v>6426</v>
      </c>
      <c r="E43" s="109" t="s">
        <v>5558</v>
      </c>
      <c r="F43" s="109" t="s">
        <v>6427</v>
      </c>
      <c r="G43" s="110" t="s">
        <v>6248</v>
      </c>
      <c r="H43" s="110" t="s">
        <v>6428</v>
      </c>
      <c r="I43" s="110" t="s">
        <v>6429</v>
      </c>
    </row>
    <row r="44" spans="1:9" ht="25.2" x14ac:dyDescent="0.3">
      <c r="A44" s="109" t="s">
        <v>6430</v>
      </c>
      <c r="B44" s="109" t="s">
        <v>6232</v>
      </c>
      <c r="C44" s="109" t="s">
        <v>6232</v>
      </c>
      <c r="D44" s="109" t="s">
        <v>6431</v>
      </c>
      <c r="E44" s="109" t="s">
        <v>5558</v>
      </c>
      <c r="F44" s="109" t="s">
        <v>6432</v>
      </c>
      <c r="G44" s="110" t="s">
        <v>6248</v>
      </c>
      <c r="H44" s="110" t="s">
        <v>6433</v>
      </c>
      <c r="I44" s="110" t="s">
        <v>6434</v>
      </c>
    </row>
    <row r="45" spans="1:9" ht="25.2" x14ac:dyDescent="0.3">
      <c r="A45" s="109" t="s">
        <v>6435</v>
      </c>
      <c r="B45" s="109" t="s">
        <v>6232</v>
      </c>
      <c r="C45" s="109" t="s">
        <v>6232</v>
      </c>
      <c r="D45" s="109" t="s">
        <v>6436</v>
      </c>
      <c r="E45" s="109" t="s">
        <v>5558</v>
      </c>
      <c r="F45" s="109" t="s">
        <v>6437</v>
      </c>
      <c r="G45" s="110" t="s">
        <v>6248</v>
      </c>
      <c r="H45" s="110" t="s">
        <v>6438</v>
      </c>
      <c r="I45" s="110" t="s">
        <v>6439</v>
      </c>
    </row>
    <row r="46" spans="1:9" ht="25.2" x14ac:dyDescent="0.3">
      <c r="A46" s="109" t="s">
        <v>6440</v>
      </c>
      <c r="B46" s="109" t="s">
        <v>6232</v>
      </c>
      <c r="C46" s="109" t="s">
        <v>6232</v>
      </c>
      <c r="D46" s="109" t="s">
        <v>6441</v>
      </c>
      <c r="E46" s="109" t="s">
        <v>5558</v>
      </c>
      <c r="F46" s="109" t="s">
        <v>6442</v>
      </c>
      <c r="G46" s="110" t="s">
        <v>6248</v>
      </c>
      <c r="H46" s="110" t="s">
        <v>6433</v>
      </c>
      <c r="I46" s="110" t="s">
        <v>6443</v>
      </c>
    </row>
    <row r="47" spans="1:9" ht="25.2" x14ac:dyDescent="0.3">
      <c r="A47" s="109" t="s">
        <v>6444</v>
      </c>
      <c r="B47" s="109" t="s">
        <v>6232</v>
      </c>
      <c r="C47" s="109" t="s">
        <v>6232</v>
      </c>
      <c r="D47" s="109" t="s">
        <v>6445</v>
      </c>
      <c r="E47" s="109" t="s">
        <v>5558</v>
      </c>
      <c r="F47" s="109" t="s">
        <v>6446</v>
      </c>
      <c r="G47" s="110" t="s">
        <v>6248</v>
      </c>
      <c r="H47" s="110" t="s">
        <v>6398</v>
      </c>
      <c r="I47" s="110" t="s">
        <v>6447</v>
      </c>
    </row>
    <row r="48" spans="1:9" ht="25.2" x14ac:dyDescent="0.3">
      <c r="A48" s="109" t="s">
        <v>6448</v>
      </c>
      <c r="B48" s="109" t="s">
        <v>6232</v>
      </c>
      <c r="C48" s="109" t="s">
        <v>6232</v>
      </c>
      <c r="D48" s="109" t="s">
        <v>6449</v>
      </c>
      <c r="E48" s="109" t="s">
        <v>5558</v>
      </c>
      <c r="F48" s="109" t="s">
        <v>6450</v>
      </c>
      <c r="G48" s="110" t="s">
        <v>6248</v>
      </c>
      <c r="H48" s="110" t="s">
        <v>6451</v>
      </c>
      <c r="I48" s="110" t="s">
        <v>6452</v>
      </c>
    </row>
    <row r="49" spans="1:9" ht="25.2" x14ac:dyDescent="0.3">
      <c r="A49" s="109" t="s">
        <v>6453</v>
      </c>
      <c r="B49" s="109" t="s">
        <v>6232</v>
      </c>
      <c r="C49" s="109" t="s">
        <v>6232</v>
      </c>
      <c r="D49" s="109" t="s">
        <v>6454</v>
      </c>
      <c r="E49" s="109" t="s">
        <v>5558</v>
      </c>
      <c r="F49" s="109" t="s">
        <v>6455</v>
      </c>
      <c r="G49" s="110" t="s">
        <v>6248</v>
      </c>
      <c r="H49" s="110" t="s">
        <v>6413</v>
      </c>
      <c r="I49" s="110" t="s">
        <v>6456</v>
      </c>
    </row>
    <row r="50" spans="1:9" ht="25.2" x14ac:dyDescent="0.3">
      <c r="A50" s="109" t="s">
        <v>6457</v>
      </c>
      <c r="B50" s="109" t="s">
        <v>6232</v>
      </c>
      <c r="C50" s="109" t="s">
        <v>6232</v>
      </c>
      <c r="D50" s="109" t="s">
        <v>6458</v>
      </c>
      <c r="E50" s="109" t="s">
        <v>5558</v>
      </c>
      <c r="F50" s="109" t="s">
        <v>6459</v>
      </c>
      <c r="G50" s="110" t="s">
        <v>6248</v>
      </c>
      <c r="H50" s="110" t="s">
        <v>6460</v>
      </c>
      <c r="I50" s="110" t="s">
        <v>6461</v>
      </c>
    </row>
    <row r="51" spans="1:9" ht="25.2" x14ac:dyDescent="0.3">
      <c r="A51" s="109" t="s">
        <v>6462</v>
      </c>
      <c r="B51" s="109" t="s">
        <v>6232</v>
      </c>
      <c r="C51" s="109" t="s">
        <v>6232</v>
      </c>
      <c r="D51" s="109" t="s">
        <v>6463</v>
      </c>
      <c r="E51" s="109" t="s">
        <v>5558</v>
      </c>
      <c r="F51" s="109" t="s">
        <v>6464</v>
      </c>
      <c r="G51" s="110" t="s">
        <v>6248</v>
      </c>
      <c r="H51" s="110" t="s">
        <v>6418</v>
      </c>
      <c r="I51" s="110" t="s">
        <v>6465</v>
      </c>
    </row>
    <row r="52" spans="1:9" ht="25.2" x14ac:dyDescent="0.3">
      <c r="A52" s="109" t="s">
        <v>6466</v>
      </c>
      <c r="B52" s="109" t="s">
        <v>6232</v>
      </c>
      <c r="C52" s="109" t="s">
        <v>6232</v>
      </c>
      <c r="D52" s="109" t="s">
        <v>6467</v>
      </c>
      <c r="E52" s="109" t="s">
        <v>5558</v>
      </c>
      <c r="F52" s="109" t="s">
        <v>6468</v>
      </c>
      <c r="G52" s="110" t="s">
        <v>6248</v>
      </c>
      <c r="H52" s="110" t="s">
        <v>6469</v>
      </c>
      <c r="I52" s="110" t="s">
        <v>6470</v>
      </c>
    </row>
    <row r="53" spans="1:9" ht="25.2" x14ac:dyDescent="0.3">
      <c r="A53" s="109" t="s">
        <v>6471</v>
      </c>
      <c r="B53" s="109" t="s">
        <v>6232</v>
      </c>
      <c r="C53" s="109" t="s">
        <v>6232</v>
      </c>
      <c r="D53" s="109" t="s">
        <v>6472</v>
      </c>
      <c r="E53" s="109" t="s">
        <v>5558</v>
      </c>
      <c r="F53" s="109" t="s">
        <v>6473</v>
      </c>
      <c r="G53" s="110" t="s">
        <v>6248</v>
      </c>
      <c r="H53" s="110" t="s">
        <v>6474</v>
      </c>
      <c r="I53" s="110" t="s">
        <v>6475</v>
      </c>
    </row>
    <row r="54" spans="1:9" ht="25.2" x14ac:dyDescent="0.3">
      <c r="A54" s="109" t="s">
        <v>6476</v>
      </c>
      <c r="B54" s="109" t="s">
        <v>6232</v>
      </c>
      <c r="C54" s="109" t="s">
        <v>6232</v>
      </c>
      <c r="D54" s="109" t="s">
        <v>6477</v>
      </c>
      <c r="E54" s="109" t="s">
        <v>5558</v>
      </c>
      <c r="F54" s="109" t="s">
        <v>6478</v>
      </c>
      <c r="G54" s="110" t="s">
        <v>6248</v>
      </c>
      <c r="H54" s="110" t="s">
        <v>6479</v>
      </c>
      <c r="I54" s="110" t="s">
        <v>6480</v>
      </c>
    </row>
    <row r="55" spans="1:9" ht="25.2" x14ac:dyDescent="0.3">
      <c r="A55" s="109" t="s">
        <v>6481</v>
      </c>
      <c r="B55" s="109" t="s">
        <v>6232</v>
      </c>
      <c r="C55" s="109" t="s">
        <v>6232</v>
      </c>
      <c r="D55" s="109" t="s">
        <v>6482</v>
      </c>
      <c r="E55" s="109" t="s">
        <v>5558</v>
      </c>
      <c r="F55" s="109" t="s">
        <v>6483</v>
      </c>
      <c r="G55" s="110" t="s">
        <v>6248</v>
      </c>
      <c r="H55" s="110" t="s">
        <v>6484</v>
      </c>
      <c r="I55" s="110" t="s">
        <v>6485</v>
      </c>
    </row>
    <row r="56" spans="1:9" ht="25.2" x14ac:dyDescent="0.3">
      <c r="A56" s="109" t="s">
        <v>6486</v>
      </c>
      <c r="B56" s="109" t="s">
        <v>6232</v>
      </c>
      <c r="C56" s="109" t="s">
        <v>6232</v>
      </c>
      <c r="D56" s="109" t="s">
        <v>6487</v>
      </c>
      <c r="E56" s="109" t="s">
        <v>5558</v>
      </c>
      <c r="F56" s="109" t="s">
        <v>6488</v>
      </c>
      <c r="G56" s="110" t="s">
        <v>6248</v>
      </c>
      <c r="H56" s="110" t="s">
        <v>6489</v>
      </c>
      <c r="I56" s="110" t="s">
        <v>6490</v>
      </c>
    </row>
    <row r="57" spans="1:9" ht="25.2" x14ac:dyDescent="0.3">
      <c r="A57" s="109" t="s">
        <v>6491</v>
      </c>
      <c r="B57" s="109" t="s">
        <v>6232</v>
      </c>
      <c r="C57" s="109" t="s">
        <v>6232</v>
      </c>
      <c r="D57" s="109" t="s">
        <v>6492</v>
      </c>
      <c r="E57" s="109" t="s">
        <v>5558</v>
      </c>
      <c r="F57" s="109" t="s">
        <v>6493</v>
      </c>
      <c r="G57" s="110" t="s">
        <v>6248</v>
      </c>
      <c r="H57" s="110" t="s">
        <v>6494</v>
      </c>
      <c r="I57" s="110" t="s">
        <v>6495</v>
      </c>
    </row>
    <row r="58" spans="1:9" ht="25.2" x14ac:dyDescent="0.3">
      <c r="A58" s="109" t="s">
        <v>6496</v>
      </c>
      <c r="B58" s="109" t="s">
        <v>6232</v>
      </c>
      <c r="C58" s="109" t="s">
        <v>6232</v>
      </c>
      <c r="D58" s="109" t="s">
        <v>6497</v>
      </c>
      <c r="E58" s="109" t="s">
        <v>5558</v>
      </c>
      <c r="F58" s="109" t="s">
        <v>6498</v>
      </c>
      <c r="G58" s="110" t="s">
        <v>6248</v>
      </c>
      <c r="H58" s="110" t="s">
        <v>6433</v>
      </c>
      <c r="I58" s="110" t="s">
        <v>6499</v>
      </c>
    </row>
    <row r="59" spans="1:9" ht="25.2" x14ac:dyDescent="0.3">
      <c r="A59" s="109" t="s">
        <v>6500</v>
      </c>
      <c r="B59" s="109" t="s">
        <v>6232</v>
      </c>
      <c r="C59" s="109" t="s">
        <v>6232</v>
      </c>
      <c r="D59" s="109" t="s">
        <v>6501</v>
      </c>
      <c r="E59" s="109" t="s">
        <v>5558</v>
      </c>
      <c r="F59" s="109" t="s">
        <v>6502</v>
      </c>
      <c r="G59" s="110" t="s">
        <v>6248</v>
      </c>
      <c r="H59" s="110" t="s">
        <v>6433</v>
      </c>
      <c r="I59" s="110" t="s">
        <v>6503</v>
      </c>
    </row>
    <row r="60" spans="1:9" ht="25.2" x14ac:dyDescent="0.3">
      <c r="A60" s="109" t="s">
        <v>6504</v>
      </c>
      <c r="B60" s="109" t="s">
        <v>6232</v>
      </c>
      <c r="C60" s="109" t="s">
        <v>6232</v>
      </c>
      <c r="D60" s="109" t="s">
        <v>6505</v>
      </c>
      <c r="E60" s="109" t="s">
        <v>5558</v>
      </c>
      <c r="F60" s="109" t="s">
        <v>6506</v>
      </c>
      <c r="G60" s="110" t="s">
        <v>6248</v>
      </c>
      <c r="H60" s="110" t="s">
        <v>6507</v>
      </c>
      <c r="I60" s="110" t="s">
        <v>6508</v>
      </c>
    </row>
    <row r="61" spans="1:9" ht="25.2" x14ac:dyDescent="0.3">
      <c r="A61" s="109" t="s">
        <v>6509</v>
      </c>
      <c r="B61" s="109" t="s">
        <v>6232</v>
      </c>
      <c r="C61" s="109" t="s">
        <v>6232</v>
      </c>
      <c r="D61" s="109" t="s">
        <v>6510</v>
      </c>
      <c r="E61" s="109" t="s">
        <v>5558</v>
      </c>
      <c r="F61" s="109" t="s">
        <v>6511</v>
      </c>
      <c r="G61" s="110" t="s">
        <v>6248</v>
      </c>
      <c r="H61" s="110" t="s">
        <v>6512</v>
      </c>
      <c r="I61" s="110" t="s">
        <v>6513</v>
      </c>
    </row>
    <row r="62" spans="1:9" ht="25.2" x14ac:dyDescent="0.3">
      <c r="A62" s="109" t="s">
        <v>6514</v>
      </c>
      <c r="B62" s="109" t="s">
        <v>6232</v>
      </c>
      <c r="C62" s="109" t="s">
        <v>6232</v>
      </c>
      <c r="D62" s="109" t="s">
        <v>6515</v>
      </c>
      <c r="E62" s="109" t="s">
        <v>5558</v>
      </c>
      <c r="F62" s="109" t="s">
        <v>6516</v>
      </c>
      <c r="G62" s="110" t="s">
        <v>6248</v>
      </c>
      <c r="H62" s="110" t="s">
        <v>6517</v>
      </c>
      <c r="I62" s="110" t="s">
        <v>6518</v>
      </c>
    </row>
    <row r="63" spans="1:9" ht="25.2" x14ac:dyDescent="0.3">
      <c r="A63" s="109" t="s">
        <v>6519</v>
      </c>
      <c r="B63" s="109" t="s">
        <v>6232</v>
      </c>
      <c r="C63" s="109" t="s">
        <v>6232</v>
      </c>
      <c r="D63" s="109" t="s">
        <v>6520</v>
      </c>
      <c r="E63" s="109" t="s">
        <v>5558</v>
      </c>
      <c r="F63" s="109" t="s">
        <v>6521</v>
      </c>
      <c r="G63" s="110" t="s">
        <v>6248</v>
      </c>
      <c r="H63" s="110" t="s">
        <v>6433</v>
      </c>
      <c r="I63" s="110" t="s">
        <v>6522</v>
      </c>
    </row>
    <row r="64" spans="1:9" ht="25.2" x14ac:dyDescent="0.3">
      <c r="A64" s="109" t="s">
        <v>6523</v>
      </c>
      <c r="B64" s="109" t="s">
        <v>6232</v>
      </c>
      <c r="C64" s="109" t="s">
        <v>6232</v>
      </c>
      <c r="D64" s="109" t="s">
        <v>6524</v>
      </c>
      <c r="E64" s="109" t="s">
        <v>5558</v>
      </c>
      <c r="F64" s="109" t="s">
        <v>6525</v>
      </c>
      <c r="G64" s="110" t="s">
        <v>6248</v>
      </c>
      <c r="H64" s="110" t="s">
        <v>6526</v>
      </c>
      <c r="I64" s="110" t="s">
        <v>6527</v>
      </c>
    </row>
    <row r="65" spans="1:9" ht="25.2" x14ac:dyDescent="0.3">
      <c r="A65" s="109" t="s">
        <v>6528</v>
      </c>
      <c r="B65" s="109" t="s">
        <v>6232</v>
      </c>
      <c r="C65" s="109" t="s">
        <v>6232</v>
      </c>
      <c r="D65" s="109" t="s">
        <v>6529</v>
      </c>
      <c r="E65" s="109" t="s">
        <v>5558</v>
      </c>
      <c r="F65" s="109" t="s">
        <v>6530</v>
      </c>
      <c r="G65" s="110" t="s">
        <v>6248</v>
      </c>
      <c r="H65" s="110" t="s">
        <v>6460</v>
      </c>
      <c r="I65" s="110" t="s">
        <v>6531</v>
      </c>
    </row>
    <row r="66" spans="1:9" ht="37.799999999999997" x14ac:dyDescent="0.3">
      <c r="A66" s="109" t="s">
        <v>6532</v>
      </c>
      <c r="B66" s="109" t="s">
        <v>6232</v>
      </c>
      <c r="C66" s="109" t="s">
        <v>6232</v>
      </c>
      <c r="D66" s="109" t="s">
        <v>6533</v>
      </c>
      <c r="E66" s="109" t="s">
        <v>5558</v>
      </c>
      <c r="F66" s="109" t="s">
        <v>6534</v>
      </c>
      <c r="G66" s="110" t="s">
        <v>6248</v>
      </c>
      <c r="H66" s="110" t="s">
        <v>6374</v>
      </c>
      <c r="I66" s="110" t="s">
        <v>6535</v>
      </c>
    </row>
    <row r="67" spans="1:9" ht="25.2" x14ac:dyDescent="0.3">
      <c r="A67" s="109" t="s">
        <v>6536</v>
      </c>
      <c r="B67" s="109" t="s">
        <v>6232</v>
      </c>
      <c r="C67" s="109" t="s">
        <v>6232</v>
      </c>
      <c r="D67" s="109" t="s">
        <v>6537</v>
      </c>
      <c r="E67" s="109" t="s">
        <v>5558</v>
      </c>
      <c r="F67" s="109" t="s">
        <v>6538</v>
      </c>
      <c r="G67" s="110" t="s">
        <v>6248</v>
      </c>
      <c r="H67" s="110" t="s">
        <v>6507</v>
      </c>
      <c r="I67" s="110" t="s">
        <v>6539</v>
      </c>
    </row>
    <row r="68" spans="1:9" ht="25.2" x14ac:dyDescent="0.3">
      <c r="A68" s="109" t="s">
        <v>6540</v>
      </c>
      <c r="B68" s="109" t="s">
        <v>6232</v>
      </c>
      <c r="C68" s="109" t="s">
        <v>6232</v>
      </c>
      <c r="D68" s="109" t="s">
        <v>6541</v>
      </c>
      <c r="E68" s="109" t="s">
        <v>5558</v>
      </c>
      <c r="F68" s="109" t="s">
        <v>6542</v>
      </c>
      <c r="G68" s="110" t="s">
        <v>6248</v>
      </c>
      <c r="H68" s="110" t="s">
        <v>6543</v>
      </c>
      <c r="I68" s="110" t="s">
        <v>6544</v>
      </c>
    </row>
    <row r="69" spans="1:9" ht="25.2" x14ac:dyDescent="0.3">
      <c r="A69" s="109" t="s">
        <v>6545</v>
      </c>
      <c r="B69" s="109" t="s">
        <v>6232</v>
      </c>
      <c r="C69" s="109" t="s">
        <v>6232</v>
      </c>
      <c r="D69" s="109" t="s">
        <v>6546</v>
      </c>
      <c r="E69" s="109" t="s">
        <v>5558</v>
      </c>
      <c r="F69" s="109" t="s">
        <v>6547</v>
      </c>
      <c r="G69" s="110" t="s">
        <v>6248</v>
      </c>
      <c r="H69" s="110" t="s">
        <v>6460</v>
      </c>
      <c r="I69" s="110" t="s">
        <v>6548</v>
      </c>
    </row>
    <row r="70" spans="1:9" ht="25.2" x14ac:dyDescent="0.3">
      <c r="A70" s="109" t="s">
        <v>6549</v>
      </c>
      <c r="B70" s="109" t="s">
        <v>6232</v>
      </c>
      <c r="C70" s="109" t="s">
        <v>6232</v>
      </c>
      <c r="D70" s="109" t="s">
        <v>6550</v>
      </c>
      <c r="E70" s="109" t="s">
        <v>5558</v>
      </c>
      <c r="F70" s="109" t="s">
        <v>6551</v>
      </c>
      <c r="G70" s="110" t="s">
        <v>6248</v>
      </c>
      <c r="H70" s="110" t="s">
        <v>6552</v>
      </c>
      <c r="I70" s="110" t="s">
        <v>6553</v>
      </c>
    </row>
    <row r="71" spans="1:9" ht="25.2" x14ac:dyDescent="0.3">
      <c r="A71" s="109" t="s">
        <v>6554</v>
      </c>
      <c r="B71" s="109" t="s">
        <v>6232</v>
      </c>
      <c r="C71" s="109" t="s">
        <v>6232</v>
      </c>
      <c r="D71" s="109" t="s">
        <v>6555</v>
      </c>
      <c r="E71" s="109" t="s">
        <v>5558</v>
      </c>
      <c r="F71" s="109" t="s">
        <v>6556</v>
      </c>
      <c r="G71" s="110" t="s">
        <v>6248</v>
      </c>
      <c r="H71" s="110" t="s">
        <v>6557</v>
      </c>
      <c r="I71" s="110" t="s">
        <v>6558</v>
      </c>
    </row>
    <row r="72" spans="1:9" ht="25.2" x14ac:dyDescent="0.3">
      <c r="A72" s="109" t="s">
        <v>6559</v>
      </c>
      <c r="B72" s="109" t="s">
        <v>6232</v>
      </c>
      <c r="C72" s="109" t="s">
        <v>6232</v>
      </c>
      <c r="D72" s="109" t="s">
        <v>6560</v>
      </c>
      <c r="E72" s="109" t="s">
        <v>5558</v>
      </c>
      <c r="F72" s="109" t="s">
        <v>6561</v>
      </c>
      <c r="G72" s="110" t="s">
        <v>6248</v>
      </c>
      <c r="H72" s="110" t="s">
        <v>6408</v>
      </c>
      <c r="I72" s="110" t="s">
        <v>6562</v>
      </c>
    </row>
    <row r="73" spans="1:9" ht="25.2" x14ac:dyDescent="0.3">
      <c r="A73" s="109" t="s">
        <v>6563</v>
      </c>
      <c r="B73" s="109" t="s">
        <v>6232</v>
      </c>
      <c r="C73" s="109" t="s">
        <v>6232</v>
      </c>
      <c r="D73" s="109" t="s">
        <v>6564</v>
      </c>
      <c r="E73" s="109" t="s">
        <v>5558</v>
      </c>
      <c r="F73" s="109" t="s">
        <v>6565</v>
      </c>
      <c r="G73" s="110" t="s">
        <v>6248</v>
      </c>
      <c r="H73" s="110" t="s">
        <v>6460</v>
      </c>
      <c r="I73" s="110" t="s">
        <v>6566</v>
      </c>
    </row>
    <row r="74" spans="1:9" ht="25.2" x14ac:dyDescent="0.3">
      <c r="A74" s="109" t="s">
        <v>6567</v>
      </c>
      <c r="B74" s="109" t="s">
        <v>6232</v>
      </c>
      <c r="C74" s="109" t="s">
        <v>6232</v>
      </c>
      <c r="D74" s="109" t="s">
        <v>6568</v>
      </c>
      <c r="E74" s="109" t="s">
        <v>5558</v>
      </c>
      <c r="F74" s="109" t="s">
        <v>6569</v>
      </c>
      <c r="G74" s="110" t="s">
        <v>6248</v>
      </c>
      <c r="H74" s="110" t="s">
        <v>6570</v>
      </c>
      <c r="I74" s="110" t="s">
        <v>6571</v>
      </c>
    </row>
    <row r="75" spans="1:9" ht="25.2" x14ac:dyDescent="0.3">
      <c r="A75" s="109" t="s">
        <v>6572</v>
      </c>
      <c r="B75" s="109" t="s">
        <v>6232</v>
      </c>
      <c r="C75" s="109" t="s">
        <v>6232</v>
      </c>
      <c r="D75" s="109" t="s">
        <v>6573</v>
      </c>
      <c r="E75" s="109" t="s">
        <v>5558</v>
      </c>
      <c r="F75" s="109" t="s">
        <v>6574</v>
      </c>
      <c r="G75" s="110" t="s">
        <v>6248</v>
      </c>
      <c r="H75" s="110" t="s">
        <v>6575</v>
      </c>
      <c r="I75" s="110" t="s">
        <v>6576</v>
      </c>
    </row>
    <row r="76" spans="1:9" ht="37.799999999999997" x14ac:dyDescent="0.3">
      <c r="A76" s="109" t="s">
        <v>6577</v>
      </c>
      <c r="B76" s="109" t="s">
        <v>6232</v>
      </c>
      <c r="C76" s="109" t="s">
        <v>6232</v>
      </c>
      <c r="D76" s="109" t="s">
        <v>6578</v>
      </c>
      <c r="E76" s="109" t="s">
        <v>5558</v>
      </c>
      <c r="F76" s="109" t="s">
        <v>6579</v>
      </c>
      <c r="G76" s="110" t="s">
        <v>6248</v>
      </c>
      <c r="H76" s="110" t="s">
        <v>6403</v>
      </c>
      <c r="I76" s="110" t="s">
        <v>6580</v>
      </c>
    </row>
    <row r="77" spans="1:9" ht="37.799999999999997" x14ac:dyDescent="0.3">
      <c r="A77" s="109" t="s">
        <v>6581</v>
      </c>
      <c r="B77" s="109" t="s">
        <v>6232</v>
      </c>
      <c r="C77" s="109" t="s">
        <v>6232</v>
      </c>
      <c r="D77" s="109" t="s">
        <v>6582</v>
      </c>
      <c r="E77" s="109" t="s">
        <v>5558</v>
      </c>
      <c r="F77" s="109" t="s">
        <v>6583</v>
      </c>
      <c r="G77" s="110" t="s">
        <v>6248</v>
      </c>
      <c r="H77" s="110" t="s">
        <v>6584</v>
      </c>
      <c r="I77" s="110" t="s">
        <v>6585</v>
      </c>
    </row>
    <row r="78" spans="1:9" ht="37.799999999999997" x14ac:dyDescent="0.3">
      <c r="A78" s="109" t="s">
        <v>6586</v>
      </c>
      <c r="B78" s="109" t="s">
        <v>6232</v>
      </c>
      <c r="C78" s="109" t="s">
        <v>6232</v>
      </c>
      <c r="D78" s="109" t="s">
        <v>6587</v>
      </c>
      <c r="E78" s="109" t="s">
        <v>5558</v>
      </c>
      <c r="F78" s="109" t="s">
        <v>6588</v>
      </c>
      <c r="G78" s="110" t="s">
        <v>6248</v>
      </c>
      <c r="H78" s="110" t="s">
        <v>6552</v>
      </c>
      <c r="I78" s="110" t="s">
        <v>6589</v>
      </c>
    </row>
    <row r="79" spans="1:9" ht="25.2" x14ac:dyDescent="0.3">
      <c r="A79" s="109" t="s">
        <v>6590</v>
      </c>
      <c r="B79" s="109" t="s">
        <v>6232</v>
      </c>
      <c r="C79" s="109" t="s">
        <v>6232</v>
      </c>
      <c r="D79" s="109" t="s">
        <v>6591</v>
      </c>
      <c r="E79" s="109" t="s">
        <v>5558</v>
      </c>
      <c r="F79" s="109" t="s">
        <v>6592</v>
      </c>
      <c r="G79" s="110" t="s">
        <v>6248</v>
      </c>
      <c r="H79" s="110" t="s">
        <v>6517</v>
      </c>
      <c r="I79" s="110" t="s">
        <v>6593</v>
      </c>
    </row>
    <row r="80" spans="1:9" ht="25.2" x14ac:dyDescent="0.3">
      <c r="A80" s="109" t="s">
        <v>6594</v>
      </c>
      <c r="B80" s="109" t="s">
        <v>6232</v>
      </c>
      <c r="C80" s="109" t="s">
        <v>6232</v>
      </c>
      <c r="D80" s="109" t="s">
        <v>6595</v>
      </c>
      <c r="E80" s="109" t="s">
        <v>5558</v>
      </c>
      <c r="F80" s="109" t="s">
        <v>6596</v>
      </c>
      <c r="G80" s="110" t="s">
        <v>6248</v>
      </c>
      <c r="H80" s="110" t="s">
        <v>6474</v>
      </c>
      <c r="I80" s="110" t="s">
        <v>6597</v>
      </c>
    </row>
    <row r="81" spans="1:9" ht="25.2" x14ac:dyDescent="0.3">
      <c r="A81" s="109" t="s">
        <v>6598</v>
      </c>
      <c r="B81" s="109" t="s">
        <v>6232</v>
      </c>
      <c r="C81" s="109" t="s">
        <v>6232</v>
      </c>
      <c r="D81" s="109" t="s">
        <v>6599</v>
      </c>
      <c r="E81" s="109" t="s">
        <v>5558</v>
      </c>
      <c r="F81" s="109" t="s">
        <v>6600</v>
      </c>
      <c r="G81" s="110" t="s">
        <v>6248</v>
      </c>
      <c r="H81" s="110" t="s">
        <v>6601</v>
      </c>
      <c r="I81" s="110" t="s">
        <v>6602</v>
      </c>
    </row>
    <row r="82" spans="1:9" ht="25.2" x14ac:dyDescent="0.3">
      <c r="A82" s="109" t="s">
        <v>6603</v>
      </c>
      <c r="B82" s="109" t="s">
        <v>6232</v>
      </c>
      <c r="C82" s="109" t="s">
        <v>6232</v>
      </c>
      <c r="D82" s="109" t="s">
        <v>6604</v>
      </c>
      <c r="E82" s="109" t="s">
        <v>5558</v>
      </c>
      <c r="F82" s="109" t="s">
        <v>6605</v>
      </c>
      <c r="G82" s="110" t="s">
        <v>6248</v>
      </c>
      <c r="H82" s="110" t="s">
        <v>6606</v>
      </c>
      <c r="I82" s="110" t="s">
        <v>6607</v>
      </c>
    </row>
    <row r="83" spans="1:9" ht="25.2" x14ac:dyDescent="0.3">
      <c r="A83" s="109" t="s">
        <v>6608</v>
      </c>
      <c r="B83" s="109" t="s">
        <v>6232</v>
      </c>
      <c r="C83" s="109" t="s">
        <v>6232</v>
      </c>
      <c r="D83" s="109" t="s">
        <v>6609</v>
      </c>
      <c r="E83" s="109" t="s">
        <v>5558</v>
      </c>
      <c r="F83" s="109" t="s">
        <v>6610</v>
      </c>
      <c r="G83" s="110" t="s">
        <v>6248</v>
      </c>
      <c r="H83" s="110" t="s">
        <v>6474</v>
      </c>
      <c r="I83" s="110" t="s">
        <v>6611</v>
      </c>
    </row>
    <row r="84" spans="1:9" ht="25.2" x14ac:dyDescent="0.3">
      <c r="A84" s="109" t="s">
        <v>6612</v>
      </c>
      <c r="B84" s="109" t="s">
        <v>6232</v>
      </c>
      <c r="C84" s="109" t="s">
        <v>6232</v>
      </c>
      <c r="D84" s="109" t="s">
        <v>6613</v>
      </c>
      <c r="E84" s="109" t="s">
        <v>5558</v>
      </c>
      <c r="F84" s="109" t="s">
        <v>6614</v>
      </c>
      <c r="G84" s="110" t="s">
        <v>6248</v>
      </c>
      <c r="H84" s="110" t="s">
        <v>6615</v>
      </c>
      <c r="I84" s="110" t="s">
        <v>6616</v>
      </c>
    </row>
    <row r="85" spans="1:9" ht="25.2" x14ac:dyDescent="0.3">
      <c r="A85" s="109" t="s">
        <v>6617</v>
      </c>
      <c r="B85" s="109" t="s">
        <v>6232</v>
      </c>
      <c r="C85" s="109" t="s">
        <v>6232</v>
      </c>
      <c r="D85" s="109" t="s">
        <v>6618</v>
      </c>
      <c r="E85" s="109" t="s">
        <v>5558</v>
      </c>
      <c r="F85" s="109" t="s">
        <v>6619</v>
      </c>
      <c r="G85" s="110" t="s">
        <v>6248</v>
      </c>
      <c r="H85" s="110" t="s">
        <v>6620</v>
      </c>
      <c r="I85" s="110" t="s">
        <v>6621</v>
      </c>
    </row>
    <row r="86" spans="1:9" ht="25.2" x14ac:dyDescent="0.3">
      <c r="A86" s="109" t="s">
        <v>6622</v>
      </c>
      <c r="B86" s="109" t="s">
        <v>6232</v>
      </c>
      <c r="C86" s="109" t="s">
        <v>6232</v>
      </c>
      <c r="D86" s="109" t="s">
        <v>6623</v>
      </c>
      <c r="E86" s="109" t="s">
        <v>5558</v>
      </c>
      <c r="F86" s="109" t="s">
        <v>6624</v>
      </c>
      <c r="G86" s="110" t="s">
        <v>6248</v>
      </c>
      <c r="H86" s="110" t="s">
        <v>6625</v>
      </c>
      <c r="I86" s="110" t="s">
        <v>6626</v>
      </c>
    </row>
    <row r="87" spans="1:9" ht="37.799999999999997" x14ac:dyDescent="0.3">
      <c r="A87" s="109" t="s">
        <v>6627</v>
      </c>
      <c r="B87" s="109" t="s">
        <v>6232</v>
      </c>
      <c r="C87" s="109" t="s">
        <v>6232</v>
      </c>
      <c r="D87" s="109" t="s">
        <v>6628</v>
      </c>
      <c r="E87" s="109" t="s">
        <v>5558</v>
      </c>
      <c r="F87" s="109" t="s">
        <v>6629</v>
      </c>
      <c r="G87" s="110" t="s">
        <v>6248</v>
      </c>
      <c r="H87" s="110" t="s">
        <v>6433</v>
      </c>
      <c r="I87" s="110" t="s">
        <v>6630</v>
      </c>
    </row>
    <row r="88" spans="1:9" ht="25.2" x14ac:dyDescent="0.3">
      <c r="A88" s="109" t="s">
        <v>6631</v>
      </c>
      <c r="B88" s="109" t="s">
        <v>6232</v>
      </c>
      <c r="C88" s="109" t="s">
        <v>6232</v>
      </c>
      <c r="D88" s="109" t="s">
        <v>6632</v>
      </c>
      <c r="E88" s="109" t="s">
        <v>5558</v>
      </c>
      <c r="F88" s="109" t="s">
        <v>6633</v>
      </c>
      <c r="G88" s="110" t="s">
        <v>6248</v>
      </c>
      <c r="H88" s="110" t="s">
        <v>6634</v>
      </c>
      <c r="I88" s="110" t="s">
        <v>6635</v>
      </c>
    </row>
    <row r="89" spans="1:9" ht="25.2" x14ac:dyDescent="0.3">
      <c r="A89" s="109" t="s">
        <v>6636</v>
      </c>
      <c r="B89" s="109" t="s">
        <v>6232</v>
      </c>
      <c r="C89" s="109" t="s">
        <v>6232</v>
      </c>
      <c r="D89" s="109" t="s">
        <v>6637</v>
      </c>
      <c r="E89" s="109" t="s">
        <v>5558</v>
      </c>
      <c r="F89" s="109" t="s">
        <v>6638</v>
      </c>
      <c r="G89" s="110" t="s">
        <v>6248</v>
      </c>
      <c r="H89" s="110" t="s">
        <v>6639</v>
      </c>
      <c r="I89" s="110" t="s">
        <v>6640</v>
      </c>
    </row>
    <row r="90" spans="1:9" ht="25.2" x14ac:dyDescent="0.3">
      <c r="A90" s="109" t="s">
        <v>6641</v>
      </c>
      <c r="B90" s="109" t="s">
        <v>6232</v>
      </c>
      <c r="C90" s="109" t="s">
        <v>6232</v>
      </c>
      <c r="D90" s="109" t="s">
        <v>6642</v>
      </c>
      <c r="E90" s="109" t="s">
        <v>5558</v>
      </c>
      <c r="F90" s="109" t="s">
        <v>6561</v>
      </c>
      <c r="G90" s="110" t="s">
        <v>6248</v>
      </c>
      <c r="H90" s="110" t="s">
        <v>6643</v>
      </c>
      <c r="I90" s="110" t="s">
        <v>6644</v>
      </c>
    </row>
    <row r="91" spans="1:9" ht="25.2" x14ac:dyDescent="0.3">
      <c r="A91" s="109" t="s">
        <v>6645</v>
      </c>
      <c r="B91" s="109" t="s">
        <v>6232</v>
      </c>
      <c r="C91" s="109" t="s">
        <v>6232</v>
      </c>
      <c r="D91" s="109" t="s">
        <v>6646</v>
      </c>
      <c r="E91" s="109" t="s">
        <v>5558</v>
      </c>
      <c r="F91" s="109" t="s">
        <v>6647</v>
      </c>
      <c r="G91" s="110" t="s">
        <v>6248</v>
      </c>
      <c r="H91" s="110" t="s">
        <v>6428</v>
      </c>
      <c r="I91" s="110" t="s">
        <v>6648</v>
      </c>
    </row>
    <row r="92" spans="1:9" ht="25.2" x14ac:dyDescent="0.3">
      <c r="A92" s="109" t="s">
        <v>6649</v>
      </c>
      <c r="B92" s="109" t="s">
        <v>6232</v>
      </c>
      <c r="C92" s="109" t="s">
        <v>6232</v>
      </c>
      <c r="D92" s="109" t="s">
        <v>6650</v>
      </c>
      <c r="E92" s="109" t="s">
        <v>5558</v>
      </c>
      <c r="F92" s="109" t="s">
        <v>6651</v>
      </c>
      <c r="G92" s="110" t="s">
        <v>6248</v>
      </c>
      <c r="H92" s="110" t="s">
        <v>6652</v>
      </c>
      <c r="I92" s="110" t="s">
        <v>6653</v>
      </c>
    </row>
    <row r="93" spans="1:9" ht="25.2" x14ac:dyDescent="0.3">
      <c r="A93" s="109" t="s">
        <v>6654</v>
      </c>
      <c r="B93" s="109" t="s">
        <v>6232</v>
      </c>
      <c r="C93" s="109" t="s">
        <v>6232</v>
      </c>
      <c r="D93" s="109" t="s">
        <v>5569</v>
      </c>
      <c r="E93" s="109" t="s">
        <v>5558</v>
      </c>
      <c r="F93" s="109" t="s">
        <v>2258</v>
      </c>
      <c r="G93" s="110" t="s">
        <v>6248</v>
      </c>
      <c r="H93" s="110" t="s">
        <v>6655</v>
      </c>
      <c r="I93" s="110" t="s">
        <v>6656</v>
      </c>
    </row>
    <row r="94" spans="1:9" ht="25.2" x14ac:dyDescent="0.3">
      <c r="A94" s="109" t="s">
        <v>6657</v>
      </c>
      <c r="B94" s="109" t="s">
        <v>6232</v>
      </c>
      <c r="C94" s="109" t="s">
        <v>6232</v>
      </c>
      <c r="D94" s="109" t="s">
        <v>6658</v>
      </c>
      <c r="E94" s="109" t="s">
        <v>5558</v>
      </c>
      <c r="F94" s="109" t="s">
        <v>6659</v>
      </c>
      <c r="G94" s="110" t="s">
        <v>6248</v>
      </c>
      <c r="H94" s="110" t="s">
        <v>6660</v>
      </c>
      <c r="I94" s="110" t="s">
        <v>6661</v>
      </c>
    </row>
    <row r="95" spans="1:9" ht="25.2" x14ac:dyDescent="0.3">
      <c r="A95" s="109" t="s">
        <v>6662</v>
      </c>
      <c r="B95" s="109" t="s">
        <v>6232</v>
      </c>
      <c r="C95" s="109" t="s">
        <v>6232</v>
      </c>
      <c r="D95" s="109" t="s">
        <v>5569</v>
      </c>
      <c r="E95" s="109" t="s">
        <v>5558</v>
      </c>
      <c r="F95" s="109" t="s">
        <v>2258</v>
      </c>
      <c r="G95" s="110" t="s">
        <v>6248</v>
      </c>
      <c r="H95" s="110" t="s">
        <v>6663</v>
      </c>
      <c r="I95" s="110" t="s">
        <v>6664</v>
      </c>
    </row>
    <row r="96" spans="1:9" ht="25.2" x14ac:dyDescent="0.3">
      <c r="A96" s="109" t="s">
        <v>6665</v>
      </c>
      <c r="B96" s="109" t="s">
        <v>6232</v>
      </c>
      <c r="C96" s="109" t="s">
        <v>6232</v>
      </c>
      <c r="D96" s="109" t="s">
        <v>5569</v>
      </c>
      <c r="E96" s="109" t="s">
        <v>5558</v>
      </c>
      <c r="F96" s="109" t="s">
        <v>2258</v>
      </c>
      <c r="G96" s="110" t="s">
        <v>6248</v>
      </c>
      <c r="H96" s="110" t="s">
        <v>6666</v>
      </c>
      <c r="I96" s="110" t="s">
        <v>6667</v>
      </c>
    </row>
    <row r="97" spans="1:9" ht="25.2" x14ac:dyDescent="0.3">
      <c r="A97" s="109" t="s">
        <v>6668</v>
      </c>
      <c r="B97" s="109" t="s">
        <v>6232</v>
      </c>
      <c r="C97" s="109" t="s">
        <v>6232</v>
      </c>
      <c r="D97" s="109" t="s">
        <v>178</v>
      </c>
      <c r="E97" s="109" t="s">
        <v>5558</v>
      </c>
      <c r="F97" s="109" t="s">
        <v>6669</v>
      </c>
      <c r="G97" s="110" t="s">
        <v>6248</v>
      </c>
      <c r="H97" s="110" t="s">
        <v>6670</v>
      </c>
      <c r="I97" s="110" t="s">
        <v>6671</v>
      </c>
    </row>
    <row r="98" spans="1:9" ht="25.2" x14ac:dyDescent="0.3">
      <c r="A98" s="109" t="s">
        <v>6672</v>
      </c>
      <c r="B98" s="109" t="s">
        <v>6232</v>
      </c>
      <c r="C98" s="109" t="s">
        <v>6232</v>
      </c>
      <c r="D98" s="109" t="s">
        <v>179</v>
      </c>
      <c r="E98" s="109" t="s">
        <v>5558</v>
      </c>
      <c r="F98" s="109" t="s">
        <v>6673</v>
      </c>
      <c r="G98" s="110" t="s">
        <v>6248</v>
      </c>
      <c r="H98" s="110" t="s">
        <v>6674</v>
      </c>
      <c r="I98" s="110" t="s">
        <v>6675</v>
      </c>
    </row>
    <row r="99" spans="1:9" ht="25.2" x14ac:dyDescent="0.3">
      <c r="A99" s="109" t="s">
        <v>6676</v>
      </c>
      <c r="B99" s="109" t="s">
        <v>6232</v>
      </c>
      <c r="C99" s="109" t="s">
        <v>6232</v>
      </c>
      <c r="D99" s="109" t="s">
        <v>6677</v>
      </c>
      <c r="E99" s="109" t="s">
        <v>5558</v>
      </c>
      <c r="F99" s="109" t="s">
        <v>6678</v>
      </c>
      <c r="G99" s="110" t="s">
        <v>6248</v>
      </c>
      <c r="H99" s="110" t="s">
        <v>6679</v>
      </c>
      <c r="I99" s="110" t="s">
        <v>6680</v>
      </c>
    </row>
    <row r="100" spans="1:9" ht="37.799999999999997" x14ac:dyDescent="0.3">
      <c r="A100" s="109" t="s">
        <v>6681</v>
      </c>
      <c r="B100" s="109" t="s">
        <v>6232</v>
      </c>
      <c r="C100" s="109" t="s">
        <v>6232</v>
      </c>
      <c r="D100" s="109" t="s">
        <v>6682</v>
      </c>
      <c r="E100" s="109" t="s">
        <v>5558</v>
      </c>
      <c r="F100" s="109" t="s">
        <v>6683</v>
      </c>
      <c r="G100" s="110" t="s">
        <v>6248</v>
      </c>
      <c r="H100" s="110" t="s">
        <v>6684</v>
      </c>
      <c r="I100" s="110" t="s">
        <v>6685</v>
      </c>
    </row>
    <row r="101" spans="1:9" ht="25.2" x14ac:dyDescent="0.3">
      <c r="A101" s="109" t="s">
        <v>6686</v>
      </c>
      <c r="B101" s="109" t="s">
        <v>6232</v>
      </c>
      <c r="C101" s="109" t="s">
        <v>6232</v>
      </c>
      <c r="D101" s="109" t="s">
        <v>6687</v>
      </c>
      <c r="E101" s="109" t="s">
        <v>5558</v>
      </c>
      <c r="F101" s="109" t="s">
        <v>6688</v>
      </c>
      <c r="G101" s="110" t="s">
        <v>6248</v>
      </c>
      <c r="H101" s="110" t="s">
        <v>6689</v>
      </c>
      <c r="I101" s="110" t="s">
        <v>6690</v>
      </c>
    </row>
    <row r="102" spans="1:9" ht="25.2" x14ac:dyDescent="0.3">
      <c r="A102" s="109" t="s">
        <v>6691</v>
      </c>
      <c r="B102" s="109" t="s">
        <v>6232</v>
      </c>
      <c r="C102" s="109" t="s">
        <v>6232</v>
      </c>
      <c r="D102" s="109" t="s">
        <v>5569</v>
      </c>
      <c r="E102" s="109" t="s">
        <v>5558</v>
      </c>
      <c r="F102" s="109" t="s">
        <v>2258</v>
      </c>
      <c r="G102" s="110" t="s">
        <v>6248</v>
      </c>
      <c r="H102" s="110" t="s">
        <v>6692</v>
      </c>
      <c r="I102" s="110" t="s">
        <v>6693</v>
      </c>
    </row>
    <row r="103" spans="1:9" ht="25.2" x14ac:dyDescent="0.3">
      <c r="A103" s="109" t="s">
        <v>6694</v>
      </c>
      <c r="B103" s="109" t="s">
        <v>6232</v>
      </c>
      <c r="C103" s="109" t="s">
        <v>6232</v>
      </c>
      <c r="D103" s="109" t="s">
        <v>6695</v>
      </c>
      <c r="E103" s="109" t="s">
        <v>5558</v>
      </c>
      <c r="F103" s="109" t="s">
        <v>6696</v>
      </c>
      <c r="G103" s="110" t="s">
        <v>6697</v>
      </c>
      <c r="H103" s="110" t="s">
        <v>6248</v>
      </c>
      <c r="I103" s="110" t="s">
        <v>6698</v>
      </c>
    </row>
    <row r="104" spans="1:9" ht="25.2" x14ac:dyDescent="0.3">
      <c r="A104" s="109" t="s">
        <v>6699</v>
      </c>
      <c r="B104" s="109" t="s">
        <v>6232</v>
      </c>
      <c r="C104" s="109" t="s">
        <v>6232</v>
      </c>
      <c r="D104" s="109" t="s">
        <v>6700</v>
      </c>
      <c r="E104" s="109" t="s">
        <v>6701</v>
      </c>
      <c r="F104" s="109" t="s">
        <v>6702</v>
      </c>
      <c r="G104" s="110" t="s">
        <v>6248</v>
      </c>
      <c r="H104" s="110" t="s">
        <v>6703</v>
      </c>
      <c r="I104" s="110" t="s">
        <v>6704</v>
      </c>
    </row>
    <row r="105" spans="1:9" ht="25.2" x14ac:dyDescent="0.3">
      <c r="A105" s="109" t="s">
        <v>6705</v>
      </c>
      <c r="B105" s="109" t="s">
        <v>6232</v>
      </c>
      <c r="C105" s="109" t="s">
        <v>6232</v>
      </c>
      <c r="D105" s="109" t="s">
        <v>5569</v>
      </c>
      <c r="E105" s="109" t="s">
        <v>5558</v>
      </c>
      <c r="F105" s="109" t="s">
        <v>2258</v>
      </c>
      <c r="G105" s="110" t="s">
        <v>6248</v>
      </c>
      <c r="H105" s="110" t="s">
        <v>6706</v>
      </c>
      <c r="I105" s="110" t="s">
        <v>6707</v>
      </c>
    </row>
    <row r="106" spans="1:9" ht="37.799999999999997" x14ac:dyDescent="0.3">
      <c r="A106" s="109" t="s">
        <v>6708</v>
      </c>
      <c r="B106" s="109" t="s">
        <v>6232</v>
      </c>
      <c r="C106" s="109" t="s">
        <v>6232</v>
      </c>
      <c r="D106" s="109" t="s">
        <v>6709</v>
      </c>
      <c r="E106" s="109" t="s">
        <v>5558</v>
      </c>
      <c r="F106" s="109" t="s">
        <v>6710</v>
      </c>
      <c r="G106" s="110" t="s">
        <v>6248</v>
      </c>
      <c r="H106" s="110" t="s">
        <v>6711</v>
      </c>
      <c r="I106" s="110" t="s">
        <v>6712</v>
      </c>
    </row>
    <row r="107" spans="1:9" ht="25.2" x14ac:dyDescent="0.3">
      <c r="A107" s="109" t="s">
        <v>6713</v>
      </c>
      <c r="B107" s="109" t="s">
        <v>6232</v>
      </c>
      <c r="C107" s="109" t="s">
        <v>6232</v>
      </c>
      <c r="D107" s="109" t="s">
        <v>6714</v>
      </c>
      <c r="E107" s="109" t="s">
        <v>5558</v>
      </c>
      <c r="F107" s="109" t="s">
        <v>6715</v>
      </c>
      <c r="G107" s="110" t="s">
        <v>6248</v>
      </c>
      <c r="H107" s="110" t="s">
        <v>6716</v>
      </c>
      <c r="I107" s="110" t="s">
        <v>6717</v>
      </c>
    </row>
    <row r="108" spans="1:9" ht="25.2" x14ac:dyDescent="0.3">
      <c r="A108" s="109" t="s">
        <v>6718</v>
      </c>
      <c r="B108" s="109" t="s">
        <v>6232</v>
      </c>
      <c r="C108" s="109" t="s">
        <v>6232</v>
      </c>
      <c r="D108" s="109" t="s">
        <v>6719</v>
      </c>
      <c r="E108" s="109" t="s">
        <v>5558</v>
      </c>
      <c r="F108" s="109" t="s">
        <v>6696</v>
      </c>
      <c r="G108" s="110" t="s">
        <v>6720</v>
      </c>
      <c r="H108" s="110" t="s">
        <v>6248</v>
      </c>
      <c r="I108" s="110" t="s">
        <v>6721</v>
      </c>
    </row>
    <row r="109" spans="1:9" ht="25.2" x14ac:dyDescent="0.3">
      <c r="A109" s="109" t="s">
        <v>6722</v>
      </c>
      <c r="B109" s="109" t="s">
        <v>6232</v>
      </c>
      <c r="C109" s="109" t="s">
        <v>6232</v>
      </c>
      <c r="D109" s="109" t="s">
        <v>6723</v>
      </c>
      <c r="E109" s="109" t="s">
        <v>5558</v>
      </c>
      <c r="F109" s="109" t="s">
        <v>6724</v>
      </c>
      <c r="G109" s="110" t="s">
        <v>6248</v>
      </c>
      <c r="H109" s="110" t="s">
        <v>6689</v>
      </c>
      <c r="I109" s="110" t="s">
        <v>6725</v>
      </c>
    </row>
    <row r="110" spans="1:9" ht="25.2" x14ac:dyDescent="0.3">
      <c r="A110" s="109" t="s">
        <v>6726</v>
      </c>
      <c r="B110" s="109" t="s">
        <v>6232</v>
      </c>
      <c r="C110" s="109" t="s">
        <v>6232</v>
      </c>
      <c r="D110" s="109" t="s">
        <v>6727</v>
      </c>
      <c r="E110" s="109" t="s">
        <v>6728</v>
      </c>
      <c r="F110" s="109" t="s">
        <v>6729</v>
      </c>
      <c r="G110" s="110" t="s">
        <v>6248</v>
      </c>
      <c r="H110" s="110" t="s">
        <v>6730</v>
      </c>
      <c r="I110" s="110" t="s">
        <v>6731</v>
      </c>
    </row>
    <row r="111" spans="1:9" ht="25.2" x14ac:dyDescent="0.3">
      <c r="A111" s="109" t="s">
        <v>6732</v>
      </c>
      <c r="B111" s="109" t="s">
        <v>6232</v>
      </c>
      <c r="C111" s="109" t="s">
        <v>6232</v>
      </c>
      <c r="D111" s="109" t="s">
        <v>6733</v>
      </c>
      <c r="E111" s="109" t="s">
        <v>6734</v>
      </c>
      <c r="F111" s="109" t="s">
        <v>6729</v>
      </c>
      <c r="G111" s="110" t="s">
        <v>6248</v>
      </c>
      <c r="H111" s="110" t="s">
        <v>6735</v>
      </c>
      <c r="I111" s="110" t="s">
        <v>6736</v>
      </c>
    </row>
    <row r="112" spans="1:9" ht="25.2" x14ac:dyDescent="0.3">
      <c r="A112" s="109" t="s">
        <v>6737</v>
      </c>
      <c r="B112" s="109" t="s">
        <v>6232</v>
      </c>
      <c r="C112" s="109" t="s">
        <v>6232</v>
      </c>
      <c r="D112" s="109" t="s">
        <v>5569</v>
      </c>
      <c r="E112" s="109" t="s">
        <v>5558</v>
      </c>
      <c r="F112" s="109" t="s">
        <v>2258</v>
      </c>
      <c r="G112" s="110" t="s">
        <v>6248</v>
      </c>
      <c r="H112" s="110" t="s">
        <v>6738</v>
      </c>
      <c r="I112" s="110" t="s">
        <v>6739</v>
      </c>
    </row>
    <row r="113" spans="1:9" ht="25.2" x14ac:dyDescent="0.3">
      <c r="A113" s="109" t="s">
        <v>6740</v>
      </c>
      <c r="B113" s="109" t="s">
        <v>6232</v>
      </c>
      <c r="C113" s="109" t="s">
        <v>6232</v>
      </c>
      <c r="D113" s="109" t="s">
        <v>6741</v>
      </c>
      <c r="E113" s="109" t="s">
        <v>5558</v>
      </c>
      <c r="F113" s="109" t="s">
        <v>6742</v>
      </c>
      <c r="G113" s="110" t="s">
        <v>6248</v>
      </c>
      <c r="H113" s="110" t="s">
        <v>6743</v>
      </c>
      <c r="I113" s="110" t="s">
        <v>6744</v>
      </c>
    </row>
    <row r="114" spans="1:9" ht="25.2" x14ac:dyDescent="0.3">
      <c r="A114" s="109" t="s">
        <v>6745</v>
      </c>
      <c r="B114" s="109" t="s">
        <v>6232</v>
      </c>
      <c r="C114" s="109" t="s">
        <v>6232</v>
      </c>
      <c r="D114" s="109" t="s">
        <v>6746</v>
      </c>
      <c r="E114" s="109" t="s">
        <v>6747</v>
      </c>
      <c r="F114" s="109" t="s">
        <v>6729</v>
      </c>
      <c r="G114" s="110" t="s">
        <v>6248</v>
      </c>
      <c r="H114" s="110" t="s">
        <v>6748</v>
      </c>
      <c r="I114" s="110" t="s">
        <v>6749</v>
      </c>
    </row>
    <row r="115" spans="1:9" ht="25.2" x14ac:dyDescent="0.3">
      <c r="A115" s="109" t="s">
        <v>6750</v>
      </c>
      <c r="B115" s="109" t="s">
        <v>6232</v>
      </c>
      <c r="C115" s="109" t="s">
        <v>6232</v>
      </c>
      <c r="D115" s="109" t="s">
        <v>6751</v>
      </c>
      <c r="E115" s="109" t="s">
        <v>5558</v>
      </c>
      <c r="F115" s="109" t="s">
        <v>6752</v>
      </c>
      <c r="G115" s="110" t="s">
        <v>6248</v>
      </c>
      <c r="H115" s="110" t="s">
        <v>6753</v>
      </c>
      <c r="I115" s="110" t="s">
        <v>6754</v>
      </c>
    </row>
    <row r="116" spans="1:9" ht="25.2" x14ac:dyDescent="0.3">
      <c r="A116" s="109" t="s">
        <v>6755</v>
      </c>
      <c r="B116" s="109" t="s">
        <v>6232</v>
      </c>
      <c r="C116" s="109" t="s">
        <v>6232</v>
      </c>
      <c r="D116" s="109" t="s">
        <v>6756</v>
      </c>
      <c r="E116" s="109" t="s">
        <v>6757</v>
      </c>
      <c r="F116" s="109" t="s">
        <v>6729</v>
      </c>
      <c r="G116" s="110" t="s">
        <v>6248</v>
      </c>
      <c r="H116" s="110" t="s">
        <v>6758</v>
      </c>
      <c r="I116" s="110" t="s">
        <v>6759</v>
      </c>
    </row>
    <row r="117" spans="1:9" ht="37.799999999999997" x14ac:dyDescent="0.3">
      <c r="A117" s="109" t="s">
        <v>6760</v>
      </c>
      <c r="B117" s="109" t="s">
        <v>6232</v>
      </c>
      <c r="C117" s="109" t="s">
        <v>6232</v>
      </c>
      <c r="D117" s="109" t="s">
        <v>6761</v>
      </c>
      <c r="E117" s="109" t="s">
        <v>5558</v>
      </c>
      <c r="F117" s="109" t="s">
        <v>6762</v>
      </c>
      <c r="G117" s="110" t="s">
        <v>6248</v>
      </c>
      <c r="H117" s="110" t="s">
        <v>6763</v>
      </c>
      <c r="I117" s="110" t="s">
        <v>6764</v>
      </c>
    </row>
    <row r="118" spans="1:9" ht="25.2" x14ac:dyDescent="0.3">
      <c r="A118" s="109" t="s">
        <v>6765</v>
      </c>
      <c r="B118" s="109" t="s">
        <v>6232</v>
      </c>
      <c r="C118" s="109" t="s">
        <v>6232</v>
      </c>
      <c r="D118" s="109" t="s">
        <v>6766</v>
      </c>
      <c r="E118" s="109" t="s">
        <v>6767</v>
      </c>
      <c r="F118" s="109" t="s">
        <v>6768</v>
      </c>
      <c r="G118" s="110" t="s">
        <v>6248</v>
      </c>
      <c r="H118" s="110" t="s">
        <v>6769</v>
      </c>
      <c r="I118" s="110" t="s">
        <v>6770</v>
      </c>
    </row>
    <row r="119" spans="1:9" ht="25.2" x14ac:dyDescent="0.3">
      <c r="A119" s="109" t="s">
        <v>6771</v>
      </c>
      <c r="B119" s="109" t="s">
        <v>6232</v>
      </c>
      <c r="C119" s="109" t="s">
        <v>6232</v>
      </c>
      <c r="D119" s="109" t="s">
        <v>6772</v>
      </c>
      <c r="E119" s="109" t="s">
        <v>6773</v>
      </c>
      <c r="F119" s="109" t="s">
        <v>6768</v>
      </c>
      <c r="G119" s="110" t="s">
        <v>6248</v>
      </c>
      <c r="H119" s="110" t="s">
        <v>6774</v>
      </c>
      <c r="I119" s="110" t="s">
        <v>6775</v>
      </c>
    </row>
    <row r="120" spans="1:9" ht="25.2" x14ac:dyDescent="0.3">
      <c r="A120" s="109" t="s">
        <v>6776</v>
      </c>
      <c r="B120" s="109" t="s">
        <v>6232</v>
      </c>
      <c r="C120" s="109" t="s">
        <v>6232</v>
      </c>
      <c r="D120" s="109" t="s">
        <v>6777</v>
      </c>
      <c r="E120" s="109" t="s">
        <v>6778</v>
      </c>
      <c r="F120" s="109" t="s">
        <v>6779</v>
      </c>
      <c r="G120" s="110" t="s">
        <v>6248</v>
      </c>
      <c r="H120" s="110" t="s">
        <v>6780</v>
      </c>
      <c r="I120" s="110" t="s">
        <v>6781</v>
      </c>
    </row>
    <row r="121" spans="1:9" ht="37.799999999999997" x14ac:dyDescent="0.3">
      <c r="A121" s="109" t="s">
        <v>6782</v>
      </c>
      <c r="B121" s="109" t="s">
        <v>6232</v>
      </c>
      <c r="C121" s="109" t="s">
        <v>6232</v>
      </c>
      <c r="D121" s="109" t="s">
        <v>6783</v>
      </c>
      <c r="E121" s="109" t="s">
        <v>5558</v>
      </c>
      <c r="F121" s="109" t="s">
        <v>6784</v>
      </c>
      <c r="G121" s="110" t="s">
        <v>6248</v>
      </c>
      <c r="H121" s="110" t="s">
        <v>6785</v>
      </c>
      <c r="I121" s="110" t="s">
        <v>6786</v>
      </c>
    </row>
    <row r="122" spans="1:9" ht="25.2" x14ac:dyDescent="0.3">
      <c r="A122" s="109" t="s">
        <v>6787</v>
      </c>
      <c r="B122" s="109" t="s">
        <v>6232</v>
      </c>
      <c r="C122" s="109" t="s">
        <v>6232</v>
      </c>
      <c r="D122" s="109" t="s">
        <v>6788</v>
      </c>
      <c r="E122" s="109" t="s">
        <v>6789</v>
      </c>
      <c r="F122" s="109" t="s">
        <v>6768</v>
      </c>
      <c r="G122" s="110" t="s">
        <v>6248</v>
      </c>
      <c r="H122" s="110" t="s">
        <v>6790</v>
      </c>
      <c r="I122" s="110" t="s">
        <v>6791</v>
      </c>
    </row>
    <row r="123" spans="1:9" ht="25.2" x14ac:dyDescent="0.3">
      <c r="A123" s="109" t="s">
        <v>6792</v>
      </c>
      <c r="B123" s="109" t="s">
        <v>6232</v>
      </c>
      <c r="C123" s="109" t="s">
        <v>6232</v>
      </c>
      <c r="D123" s="109" t="s">
        <v>5569</v>
      </c>
      <c r="E123" s="109" t="s">
        <v>5558</v>
      </c>
      <c r="F123" s="109" t="s">
        <v>2258</v>
      </c>
      <c r="G123" s="110" t="s">
        <v>6248</v>
      </c>
      <c r="H123" s="110" t="s">
        <v>6793</v>
      </c>
      <c r="I123" s="110" t="s">
        <v>6794</v>
      </c>
    </row>
    <row r="124" spans="1:9" ht="25.2" x14ac:dyDescent="0.3">
      <c r="A124" s="109" t="s">
        <v>6795</v>
      </c>
      <c r="B124" s="109" t="s">
        <v>6232</v>
      </c>
      <c r="C124" s="109" t="s">
        <v>6232</v>
      </c>
      <c r="D124" s="109" t="s">
        <v>5569</v>
      </c>
      <c r="E124" s="109" t="s">
        <v>5558</v>
      </c>
      <c r="F124" s="109" t="s">
        <v>2258</v>
      </c>
      <c r="G124" s="110" t="s">
        <v>6248</v>
      </c>
      <c r="H124" s="110" t="s">
        <v>6796</v>
      </c>
      <c r="I124" s="110" t="s">
        <v>6797</v>
      </c>
    </row>
    <row r="125" spans="1:9" ht="25.2" x14ac:dyDescent="0.3">
      <c r="A125" s="109" t="s">
        <v>6798</v>
      </c>
      <c r="B125" s="109" t="s">
        <v>6232</v>
      </c>
      <c r="C125" s="109" t="s">
        <v>6232</v>
      </c>
      <c r="D125" s="109" t="s">
        <v>6799</v>
      </c>
      <c r="E125" s="109" t="s">
        <v>6800</v>
      </c>
      <c r="F125" s="109" t="s">
        <v>6768</v>
      </c>
      <c r="G125" s="110" t="s">
        <v>6248</v>
      </c>
      <c r="H125" s="110" t="s">
        <v>6801</v>
      </c>
      <c r="I125" s="110" t="s">
        <v>6802</v>
      </c>
    </row>
    <row r="126" spans="1:9" ht="25.2" x14ac:dyDescent="0.3">
      <c r="A126" s="109" t="s">
        <v>6803</v>
      </c>
      <c r="B126" s="109" t="s">
        <v>6232</v>
      </c>
      <c r="C126" s="109" t="s">
        <v>6232</v>
      </c>
      <c r="D126" s="109" t="s">
        <v>6804</v>
      </c>
      <c r="E126" s="109" t="s">
        <v>5558</v>
      </c>
      <c r="F126" s="109" t="s">
        <v>6805</v>
      </c>
      <c r="G126" s="110" t="s">
        <v>6248</v>
      </c>
      <c r="H126" s="110" t="s">
        <v>6806</v>
      </c>
      <c r="I126" s="110" t="s">
        <v>6807</v>
      </c>
    </row>
    <row r="127" spans="1:9" ht="25.2" x14ac:dyDescent="0.3">
      <c r="A127" s="109" t="s">
        <v>6808</v>
      </c>
      <c r="B127" s="109" t="s">
        <v>6232</v>
      </c>
      <c r="C127" s="109" t="s">
        <v>6232</v>
      </c>
      <c r="D127" s="109" t="s">
        <v>6809</v>
      </c>
      <c r="E127" s="109" t="s">
        <v>6810</v>
      </c>
      <c r="F127" s="109" t="s">
        <v>6768</v>
      </c>
      <c r="G127" s="110" t="s">
        <v>6248</v>
      </c>
      <c r="H127" s="110" t="s">
        <v>6811</v>
      </c>
      <c r="I127" s="110" t="s">
        <v>6812</v>
      </c>
    </row>
    <row r="128" spans="1:9" ht="25.2" x14ac:dyDescent="0.3">
      <c r="A128" s="109" t="s">
        <v>6813</v>
      </c>
      <c r="B128" s="109" t="s">
        <v>6232</v>
      </c>
      <c r="C128" s="109" t="s">
        <v>6232</v>
      </c>
      <c r="D128" s="109" t="s">
        <v>6814</v>
      </c>
      <c r="E128" s="109" t="s">
        <v>5558</v>
      </c>
      <c r="F128" s="109" t="s">
        <v>6815</v>
      </c>
      <c r="G128" s="110" t="s">
        <v>6248</v>
      </c>
      <c r="H128" s="110" t="s">
        <v>6816</v>
      </c>
      <c r="I128" s="110" t="s">
        <v>6817</v>
      </c>
    </row>
    <row r="129" spans="1:9" ht="25.2" x14ac:dyDescent="0.3">
      <c r="A129" s="109" t="s">
        <v>6818</v>
      </c>
      <c r="B129" s="109" t="s">
        <v>6232</v>
      </c>
      <c r="C129" s="109" t="s">
        <v>6232</v>
      </c>
      <c r="D129" s="109" t="s">
        <v>5569</v>
      </c>
      <c r="E129" s="109" t="s">
        <v>5558</v>
      </c>
      <c r="F129" s="109" t="s">
        <v>2258</v>
      </c>
      <c r="G129" s="110" t="s">
        <v>6248</v>
      </c>
      <c r="H129" s="110" t="s">
        <v>6819</v>
      </c>
      <c r="I129" s="110" t="s">
        <v>6820</v>
      </c>
    </row>
    <row r="130" spans="1:9" ht="25.2" x14ac:dyDescent="0.3">
      <c r="A130" s="109" t="s">
        <v>6821</v>
      </c>
      <c r="B130" s="109" t="s">
        <v>6232</v>
      </c>
      <c r="C130" s="109" t="s">
        <v>6232</v>
      </c>
      <c r="D130" s="109" t="s">
        <v>6822</v>
      </c>
      <c r="E130" s="109" t="s">
        <v>5558</v>
      </c>
      <c r="F130" s="109" t="s">
        <v>6823</v>
      </c>
      <c r="G130" s="110" t="s">
        <v>6248</v>
      </c>
      <c r="H130" s="110" t="s">
        <v>6824</v>
      </c>
      <c r="I130" s="110" t="s">
        <v>6825</v>
      </c>
    </row>
    <row r="131" spans="1:9" ht="25.2" x14ac:dyDescent="0.3">
      <c r="A131" s="109" t="s">
        <v>6826</v>
      </c>
      <c r="B131" s="109" t="s">
        <v>6232</v>
      </c>
      <c r="C131" s="109" t="s">
        <v>6232</v>
      </c>
      <c r="D131" s="109" t="s">
        <v>5569</v>
      </c>
      <c r="E131" s="109" t="s">
        <v>5558</v>
      </c>
      <c r="F131" s="109" t="s">
        <v>2258</v>
      </c>
      <c r="G131" s="110" t="s">
        <v>6248</v>
      </c>
      <c r="H131" s="110" t="s">
        <v>6827</v>
      </c>
      <c r="I131" s="110" t="s">
        <v>6828</v>
      </c>
    </row>
    <row r="132" spans="1:9" ht="25.2" x14ac:dyDescent="0.3">
      <c r="A132" s="109" t="s">
        <v>6829</v>
      </c>
      <c r="B132" s="109" t="s">
        <v>6232</v>
      </c>
      <c r="C132" s="109" t="s">
        <v>6232</v>
      </c>
      <c r="D132" s="109" t="s">
        <v>6830</v>
      </c>
      <c r="E132" s="109" t="s">
        <v>5558</v>
      </c>
      <c r="F132" s="109" t="s">
        <v>6831</v>
      </c>
      <c r="G132" s="110" t="s">
        <v>6248</v>
      </c>
      <c r="H132" s="110" t="s">
        <v>6832</v>
      </c>
      <c r="I132" s="110" t="s">
        <v>6833</v>
      </c>
    </row>
    <row r="133" spans="1:9" ht="25.2" x14ac:dyDescent="0.3">
      <c r="A133" s="109" t="s">
        <v>6834</v>
      </c>
      <c r="B133" s="109" t="s">
        <v>6232</v>
      </c>
      <c r="C133" s="109" t="s">
        <v>6232</v>
      </c>
      <c r="D133" s="109" t="s">
        <v>6835</v>
      </c>
      <c r="E133" s="109" t="s">
        <v>6836</v>
      </c>
      <c r="F133" s="109" t="s">
        <v>6837</v>
      </c>
      <c r="G133" s="110" t="s">
        <v>6248</v>
      </c>
      <c r="H133" s="110" t="s">
        <v>6838</v>
      </c>
      <c r="I133" s="110" t="s">
        <v>6839</v>
      </c>
    </row>
    <row r="134" spans="1:9" ht="25.2" x14ac:dyDescent="0.3">
      <c r="A134" s="109" t="s">
        <v>6840</v>
      </c>
      <c r="B134" s="109" t="s">
        <v>6232</v>
      </c>
      <c r="C134" s="109" t="s">
        <v>6232</v>
      </c>
      <c r="D134" s="109" t="s">
        <v>6841</v>
      </c>
      <c r="E134" s="109" t="s">
        <v>5558</v>
      </c>
      <c r="F134" s="109" t="s">
        <v>6842</v>
      </c>
      <c r="G134" s="110" t="s">
        <v>6248</v>
      </c>
      <c r="H134" s="110" t="s">
        <v>6843</v>
      </c>
      <c r="I134" s="110" t="s">
        <v>6844</v>
      </c>
    </row>
    <row r="135" spans="1:9" ht="25.2" x14ac:dyDescent="0.3">
      <c r="A135" s="109" t="s">
        <v>6845</v>
      </c>
      <c r="B135" s="109" t="s">
        <v>6232</v>
      </c>
      <c r="C135" s="109" t="s">
        <v>6232</v>
      </c>
      <c r="D135" s="109" t="s">
        <v>6846</v>
      </c>
      <c r="E135" s="109" t="s">
        <v>6778</v>
      </c>
      <c r="F135" s="109" t="s">
        <v>6847</v>
      </c>
      <c r="G135" s="110" t="s">
        <v>6248</v>
      </c>
      <c r="H135" s="110" t="s">
        <v>6848</v>
      </c>
      <c r="I135" s="110" t="s">
        <v>6849</v>
      </c>
    </row>
    <row r="136" spans="1:9" ht="37.799999999999997" x14ac:dyDescent="0.3">
      <c r="A136" s="109" t="s">
        <v>6850</v>
      </c>
      <c r="B136" s="109" t="s">
        <v>6232</v>
      </c>
      <c r="C136" s="109" t="s">
        <v>6232</v>
      </c>
      <c r="D136" s="109" t="s">
        <v>6851</v>
      </c>
      <c r="E136" s="109" t="s">
        <v>5558</v>
      </c>
      <c r="F136" s="109" t="s">
        <v>6852</v>
      </c>
      <c r="G136" s="110" t="s">
        <v>6248</v>
      </c>
      <c r="H136" s="110" t="s">
        <v>6853</v>
      </c>
      <c r="I136" s="110" t="s">
        <v>6854</v>
      </c>
    </row>
    <row r="137" spans="1:9" ht="37.799999999999997" x14ac:dyDescent="0.3">
      <c r="A137" s="109" t="s">
        <v>6855</v>
      </c>
      <c r="B137" s="109" t="s">
        <v>6232</v>
      </c>
      <c r="C137" s="109" t="s">
        <v>6232</v>
      </c>
      <c r="D137" s="109" t="s">
        <v>6856</v>
      </c>
      <c r="E137" s="109" t="s">
        <v>5558</v>
      </c>
      <c r="F137" s="109" t="s">
        <v>6857</v>
      </c>
      <c r="G137" s="110" t="s">
        <v>6248</v>
      </c>
      <c r="H137" s="110" t="s">
        <v>6858</v>
      </c>
      <c r="I137" s="110" t="s">
        <v>6859</v>
      </c>
    </row>
    <row r="138" spans="1:9" ht="25.2" x14ac:dyDescent="0.3">
      <c r="A138" s="109" t="s">
        <v>6860</v>
      </c>
      <c r="B138" s="109" t="s">
        <v>6232</v>
      </c>
      <c r="C138" s="109" t="s">
        <v>6232</v>
      </c>
      <c r="D138" s="109" t="s">
        <v>6861</v>
      </c>
      <c r="E138" s="109" t="s">
        <v>6862</v>
      </c>
      <c r="F138" s="109" t="s">
        <v>6863</v>
      </c>
      <c r="G138" s="110" t="s">
        <v>6248</v>
      </c>
      <c r="H138" s="110" t="s">
        <v>6864</v>
      </c>
      <c r="I138" s="110" t="s">
        <v>6865</v>
      </c>
    </row>
    <row r="139" spans="1:9" ht="25.2" x14ac:dyDescent="0.3">
      <c r="A139" s="109" t="s">
        <v>6866</v>
      </c>
      <c r="B139" s="109" t="s">
        <v>6232</v>
      </c>
      <c r="C139" s="109" t="s">
        <v>6232</v>
      </c>
      <c r="D139" s="109" t="s">
        <v>376</v>
      </c>
      <c r="E139" s="109" t="s">
        <v>5558</v>
      </c>
      <c r="F139" s="109" t="s">
        <v>6867</v>
      </c>
      <c r="G139" s="110" t="s">
        <v>6248</v>
      </c>
      <c r="H139" s="110" t="s">
        <v>6868</v>
      </c>
      <c r="I139" s="110" t="s">
        <v>6869</v>
      </c>
    </row>
    <row r="140" spans="1:9" ht="25.2" x14ac:dyDescent="0.3">
      <c r="A140" s="109" t="s">
        <v>6870</v>
      </c>
      <c r="B140" s="109" t="s">
        <v>6232</v>
      </c>
      <c r="C140" s="109" t="s">
        <v>6232</v>
      </c>
      <c r="D140" s="109" t="s">
        <v>6871</v>
      </c>
      <c r="E140" s="109" t="s">
        <v>5558</v>
      </c>
      <c r="F140" s="109" t="s">
        <v>6872</v>
      </c>
      <c r="G140" s="110" t="s">
        <v>6248</v>
      </c>
      <c r="H140" s="110" t="s">
        <v>6873</v>
      </c>
      <c r="I140" s="110" t="s">
        <v>6874</v>
      </c>
    </row>
    <row r="141" spans="1:9" ht="25.2" x14ac:dyDescent="0.3">
      <c r="A141" s="109" t="s">
        <v>6875</v>
      </c>
      <c r="B141" s="109" t="s">
        <v>6232</v>
      </c>
      <c r="C141" s="109" t="s">
        <v>6232</v>
      </c>
      <c r="D141" s="109" t="s">
        <v>6876</v>
      </c>
      <c r="E141" s="109" t="s">
        <v>6877</v>
      </c>
      <c r="F141" s="109" t="s">
        <v>6878</v>
      </c>
      <c r="G141" s="110" t="s">
        <v>6879</v>
      </c>
      <c r="H141" s="110" t="s">
        <v>6248</v>
      </c>
      <c r="I141" s="110" t="s">
        <v>6880</v>
      </c>
    </row>
    <row r="142" spans="1:9" ht="25.2" x14ac:dyDescent="0.3">
      <c r="A142" s="109" t="s">
        <v>6881</v>
      </c>
      <c r="B142" s="109" t="s">
        <v>6232</v>
      </c>
      <c r="C142" s="109" t="s">
        <v>6232</v>
      </c>
      <c r="D142" s="109" t="s">
        <v>6882</v>
      </c>
      <c r="E142" s="109" t="s">
        <v>5558</v>
      </c>
      <c r="F142" s="109" t="s">
        <v>203</v>
      </c>
      <c r="G142" s="110" t="s">
        <v>6248</v>
      </c>
      <c r="H142" s="110" t="s">
        <v>6883</v>
      </c>
      <c r="I142" s="110" t="s">
        <v>6884</v>
      </c>
    </row>
    <row r="143" spans="1:9" ht="25.2" x14ac:dyDescent="0.3">
      <c r="A143" s="109" t="s">
        <v>6885</v>
      </c>
      <c r="B143" s="109" t="s">
        <v>6232</v>
      </c>
      <c r="C143" s="109" t="s">
        <v>6232</v>
      </c>
      <c r="D143" s="109" t="s">
        <v>6886</v>
      </c>
      <c r="E143" s="109" t="s">
        <v>6887</v>
      </c>
      <c r="F143" s="109" t="s">
        <v>6888</v>
      </c>
      <c r="G143" s="110" t="s">
        <v>6248</v>
      </c>
      <c r="H143" s="110" t="s">
        <v>6889</v>
      </c>
      <c r="I143" s="110" t="s">
        <v>6890</v>
      </c>
    </row>
    <row r="144" spans="1:9" ht="37.799999999999997" x14ac:dyDescent="0.3">
      <c r="A144" s="109" t="s">
        <v>6891</v>
      </c>
      <c r="B144" s="109" t="s">
        <v>6232</v>
      </c>
      <c r="C144" s="109" t="s">
        <v>6232</v>
      </c>
      <c r="D144" s="109" t="s">
        <v>375</v>
      </c>
      <c r="E144" s="109" t="s">
        <v>5558</v>
      </c>
      <c r="F144" s="109" t="s">
        <v>6892</v>
      </c>
      <c r="G144" s="110" t="s">
        <v>6248</v>
      </c>
      <c r="H144" s="110" t="s">
        <v>6893</v>
      </c>
      <c r="I144" s="110" t="s">
        <v>6894</v>
      </c>
    </row>
    <row r="145" spans="1:9" ht="25.2" x14ac:dyDescent="0.3">
      <c r="A145" s="109" t="s">
        <v>6895</v>
      </c>
      <c r="B145" s="109" t="s">
        <v>6232</v>
      </c>
      <c r="C145" s="109" t="s">
        <v>6232</v>
      </c>
      <c r="D145" s="109" t="s">
        <v>6896</v>
      </c>
      <c r="E145" s="109" t="s">
        <v>5558</v>
      </c>
      <c r="F145" s="109" t="s">
        <v>6897</v>
      </c>
      <c r="G145" s="110" t="s">
        <v>6248</v>
      </c>
      <c r="H145" s="110" t="s">
        <v>6898</v>
      </c>
      <c r="I145" s="110" t="s">
        <v>6899</v>
      </c>
    </row>
    <row r="146" spans="1:9" ht="37.799999999999997" x14ac:dyDescent="0.3">
      <c r="A146" s="109" t="s">
        <v>6900</v>
      </c>
      <c r="B146" s="109" t="s">
        <v>6232</v>
      </c>
      <c r="C146" s="109" t="s">
        <v>6232</v>
      </c>
      <c r="D146" s="109" t="s">
        <v>6901</v>
      </c>
      <c r="E146" s="109" t="s">
        <v>5558</v>
      </c>
      <c r="F146" s="109" t="s">
        <v>6902</v>
      </c>
      <c r="G146" s="110" t="s">
        <v>6248</v>
      </c>
      <c r="H146" s="110" t="s">
        <v>6903</v>
      </c>
      <c r="I146" s="110" t="s">
        <v>6904</v>
      </c>
    </row>
    <row r="147" spans="1:9" ht="25.2" x14ac:dyDescent="0.3">
      <c r="A147" s="109" t="s">
        <v>6905</v>
      </c>
      <c r="B147" s="109" t="s">
        <v>6232</v>
      </c>
      <c r="C147" s="109" t="s">
        <v>6232</v>
      </c>
      <c r="D147" s="109" t="s">
        <v>6906</v>
      </c>
      <c r="E147" s="109" t="s">
        <v>5558</v>
      </c>
      <c r="F147" s="109" t="s">
        <v>157</v>
      </c>
      <c r="G147" s="110" t="s">
        <v>6248</v>
      </c>
      <c r="H147" s="110" t="s">
        <v>6907</v>
      </c>
      <c r="I147" s="110" t="s">
        <v>6908</v>
      </c>
    </row>
    <row r="148" spans="1:9" ht="25.2" x14ac:dyDescent="0.3">
      <c r="A148" s="109" t="s">
        <v>6909</v>
      </c>
      <c r="B148" s="109" t="s">
        <v>6232</v>
      </c>
      <c r="C148" s="109" t="s">
        <v>6232</v>
      </c>
      <c r="D148" s="109" t="s">
        <v>5569</v>
      </c>
      <c r="E148" s="109" t="s">
        <v>5558</v>
      </c>
      <c r="F148" s="109" t="s">
        <v>2258</v>
      </c>
      <c r="G148" s="110" t="s">
        <v>6248</v>
      </c>
      <c r="H148" s="110" t="s">
        <v>6910</v>
      </c>
      <c r="I148" s="110" t="s">
        <v>6911</v>
      </c>
    </row>
    <row r="149" spans="1:9" ht="63" x14ac:dyDescent="0.3">
      <c r="A149" s="109" t="s">
        <v>6912</v>
      </c>
      <c r="B149" s="109" t="s">
        <v>6232</v>
      </c>
      <c r="C149" s="109" t="s">
        <v>6232</v>
      </c>
      <c r="D149" s="109" t="s">
        <v>6913</v>
      </c>
      <c r="E149" s="109" t="s">
        <v>6914</v>
      </c>
      <c r="F149" s="109" t="s">
        <v>6915</v>
      </c>
      <c r="G149" s="110" t="s">
        <v>6248</v>
      </c>
      <c r="H149" s="110" t="s">
        <v>6916</v>
      </c>
      <c r="I149" s="110" t="s">
        <v>6917</v>
      </c>
    </row>
    <row r="150" spans="1:9" ht="37.799999999999997" x14ac:dyDescent="0.3">
      <c r="A150" s="109" t="s">
        <v>6918</v>
      </c>
      <c r="B150" s="109" t="s">
        <v>6232</v>
      </c>
      <c r="C150" s="109" t="s">
        <v>6232</v>
      </c>
      <c r="D150" s="109" t="s">
        <v>6919</v>
      </c>
      <c r="E150" s="109" t="s">
        <v>5558</v>
      </c>
      <c r="F150" s="109" t="s">
        <v>6920</v>
      </c>
      <c r="G150" s="110" t="s">
        <v>6248</v>
      </c>
      <c r="H150" s="110" t="s">
        <v>6921</v>
      </c>
      <c r="I150" s="110" t="s">
        <v>6922</v>
      </c>
    </row>
    <row r="151" spans="1:9" ht="37.799999999999997" x14ac:dyDescent="0.3">
      <c r="A151" s="109" t="s">
        <v>6923</v>
      </c>
      <c r="B151" s="109" t="s">
        <v>6232</v>
      </c>
      <c r="C151" s="109" t="s">
        <v>6232</v>
      </c>
      <c r="D151" s="109" t="s">
        <v>6924</v>
      </c>
      <c r="E151" s="109" t="s">
        <v>5558</v>
      </c>
      <c r="F151" s="109" t="s">
        <v>6925</v>
      </c>
      <c r="G151" s="110" t="s">
        <v>6248</v>
      </c>
      <c r="H151" s="110" t="s">
        <v>6926</v>
      </c>
      <c r="I151" s="110" t="s">
        <v>6927</v>
      </c>
    </row>
    <row r="152" spans="1:9" ht="37.799999999999997" x14ac:dyDescent="0.3">
      <c r="A152" s="109" t="s">
        <v>6928</v>
      </c>
      <c r="B152" s="109" t="s">
        <v>6232</v>
      </c>
      <c r="C152" s="109" t="s">
        <v>6232</v>
      </c>
      <c r="D152" s="109" t="s">
        <v>895</v>
      </c>
      <c r="E152" s="109" t="s">
        <v>5558</v>
      </c>
      <c r="F152" s="109" t="s">
        <v>6929</v>
      </c>
      <c r="G152" s="110" t="s">
        <v>6248</v>
      </c>
      <c r="H152" s="110" t="s">
        <v>6930</v>
      </c>
      <c r="I152" s="110" t="s">
        <v>6931</v>
      </c>
    </row>
    <row r="153" spans="1:9" ht="37.799999999999997" x14ac:dyDescent="0.3">
      <c r="A153" s="109" t="s">
        <v>6932</v>
      </c>
      <c r="B153" s="109" t="s">
        <v>6232</v>
      </c>
      <c r="C153" s="109" t="s">
        <v>6232</v>
      </c>
      <c r="D153" s="109" t="s">
        <v>6933</v>
      </c>
      <c r="E153" s="109" t="s">
        <v>5558</v>
      </c>
      <c r="F153" s="109" t="s">
        <v>6934</v>
      </c>
      <c r="G153" s="110" t="s">
        <v>6248</v>
      </c>
      <c r="H153" s="110" t="s">
        <v>6935</v>
      </c>
      <c r="I153" s="110" t="s">
        <v>6936</v>
      </c>
    </row>
    <row r="154" spans="1:9" ht="37.799999999999997" x14ac:dyDescent="0.3">
      <c r="A154" s="109" t="s">
        <v>6937</v>
      </c>
      <c r="B154" s="109" t="s">
        <v>6232</v>
      </c>
      <c r="C154" s="109" t="s">
        <v>6232</v>
      </c>
      <c r="D154" s="109" t="s">
        <v>6938</v>
      </c>
      <c r="E154" s="109" t="s">
        <v>5558</v>
      </c>
      <c r="F154" s="109" t="s">
        <v>6939</v>
      </c>
      <c r="G154" s="110" t="s">
        <v>6248</v>
      </c>
      <c r="H154" s="110" t="s">
        <v>6940</v>
      </c>
      <c r="I154" s="110" t="s">
        <v>6941</v>
      </c>
    </row>
    <row r="155" spans="1:9" ht="37.799999999999997" x14ac:dyDescent="0.3">
      <c r="A155" s="109" t="s">
        <v>6942</v>
      </c>
      <c r="B155" s="109" t="s">
        <v>6232</v>
      </c>
      <c r="C155" s="109" t="s">
        <v>6232</v>
      </c>
      <c r="D155" s="109" t="s">
        <v>6943</v>
      </c>
      <c r="E155" s="109" t="s">
        <v>5558</v>
      </c>
      <c r="F155" s="109" t="s">
        <v>6944</v>
      </c>
      <c r="G155" s="110" t="s">
        <v>6248</v>
      </c>
      <c r="H155" s="110" t="s">
        <v>6945</v>
      </c>
      <c r="I155" s="110" t="s">
        <v>6946</v>
      </c>
    </row>
    <row r="156" spans="1:9" ht="63" x14ac:dyDescent="0.3">
      <c r="A156" s="109" t="s">
        <v>6947</v>
      </c>
      <c r="B156" s="109" t="s">
        <v>6232</v>
      </c>
      <c r="C156" s="109" t="s">
        <v>6232</v>
      </c>
      <c r="D156" s="109" t="s">
        <v>6948</v>
      </c>
      <c r="E156" s="109" t="s">
        <v>6948</v>
      </c>
      <c r="F156" s="109" t="s">
        <v>6949</v>
      </c>
      <c r="G156" s="110" t="s">
        <v>6248</v>
      </c>
      <c r="H156" s="110" t="s">
        <v>6950</v>
      </c>
      <c r="I156" s="110" t="s">
        <v>6951</v>
      </c>
    </row>
    <row r="157" spans="1:9" ht="25.2" x14ac:dyDescent="0.3">
      <c r="A157" s="109" t="s">
        <v>6952</v>
      </c>
      <c r="B157" s="109" t="s">
        <v>6232</v>
      </c>
      <c r="C157" s="109" t="s">
        <v>6232</v>
      </c>
      <c r="D157" s="109" t="s">
        <v>6953</v>
      </c>
      <c r="E157" s="109" t="s">
        <v>5558</v>
      </c>
      <c r="F157" s="109" t="s">
        <v>6954</v>
      </c>
      <c r="G157" s="110" t="s">
        <v>6248</v>
      </c>
      <c r="H157" s="110" t="s">
        <v>6955</v>
      </c>
      <c r="I157" s="110" t="s">
        <v>6956</v>
      </c>
    </row>
    <row r="158" spans="1:9" ht="25.2" x14ac:dyDescent="0.3">
      <c r="A158" s="109" t="s">
        <v>6957</v>
      </c>
      <c r="B158" s="109" t="s">
        <v>6232</v>
      </c>
      <c r="C158" s="109" t="s">
        <v>6232</v>
      </c>
      <c r="D158" s="109" t="s">
        <v>6958</v>
      </c>
      <c r="E158" s="109" t="s">
        <v>5558</v>
      </c>
      <c r="F158" s="109" t="s">
        <v>6959</v>
      </c>
      <c r="G158" s="110" t="s">
        <v>6248</v>
      </c>
      <c r="H158" s="110" t="s">
        <v>6960</v>
      </c>
      <c r="I158" s="110" t="s">
        <v>6961</v>
      </c>
    </row>
    <row r="159" spans="1:9" ht="25.2" x14ac:dyDescent="0.3">
      <c r="A159" s="109" t="s">
        <v>6962</v>
      </c>
      <c r="B159" s="109" t="s">
        <v>6232</v>
      </c>
      <c r="C159" s="109" t="s">
        <v>6232</v>
      </c>
      <c r="D159" s="109" t="s">
        <v>3842</v>
      </c>
      <c r="E159" s="109" t="s">
        <v>5558</v>
      </c>
      <c r="F159" s="109" t="s">
        <v>6963</v>
      </c>
      <c r="G159" s="110" t="s">
        <v>6248</v>
      </c>
      <c r="H159" s="110" t="s">
        <v>6964</v>
      </c>
      <c r="I159" s="110" t="s">
        <v>6965</v>
      </c>
    </row>
    <row r="160" spans="1:9" ht="25.2" x14ac:dyDescent="0.3">
      <c r="A160" s="109" t="s">
        <v>6966</v>
      </c>
      <c r="B160" s="109" t="s">
        <v>6232</v>
      </c>
      <c r="C160" s="109" t="s">
        <v>6232</v>
      </c>
      <c r="D160" s="109" t="s">
        <v>6967</v>
      </c>
      <c r="E160" s="109" t="s">
        <v>5558</v>
      </c>
      <c r="F160" s="109" t="s">
        <v>6959</v>
      </c>
      <c r="G160" s="110" t="s">
        <v>6248</v>
      </c>
      <c r="H160" s="110" t="s">
        <v>6968</v>
      </c>
      <c r="I160" s="110" t="s">
        <v>6969</v>
      </c>
    </row>
    <row r="161" spans="1:9" ht="25.2" x14ac:dyDescent="0.3">
      <c r="A161" s="109" t="s">
        <v>6970</v>
      </c>
      <c r="B161" s="109" t="s">
        <v>6232</v>
      </c>
      <c r="C161" s="109" t="s">
        <v>6232</v>
      </c>
      <c r="D161" s="109" t="s">
        <v>6971</v>
      </c>
      <c r="E161" s="109" t="s">
        <v>6972</v>
      </c>
      <c r="F161" s="109" t="s">
        <v>6973</v>
      </c>
      <c r="G161" s="110" t="s">
        <v>6248</v>
      </c>
      <c r="H161" s="110" t="s">
        <v>6974</v>
      </c>
      <c r="I161" s="110" t="s">
        <v>6975</v>
      </c>
    </row>
    <row r="162" spans="1:9" ht="63" x14ac:dyDescent="0.3">
      <c r="A162" s="109" t="s">
        <v>6976</v>
      </c>
      <c r="B162" s="109" t="s">
        <v>6232</v>
      </c>
      <c r="C162" s="109" t="s">
        <v>6232</v>
      </c>
      <c r="D162" s="109" t="s">
        <v>6977</v>
      </c>
      <c r="E162" s="109" t="s">
        <v>6977</v>
      </c>
      <c r="F162" s="109" t="s">
        <v>6978</v>
      </c>
      <c r="G162" s="110" t="s">
        <v>6248</v>
      </c>
      <c r="H162" s="110" t="s">
        <v>6883</v>
      </c>
      <c r="I162" s="110" t="s">
        <v>6979</v>
      </c>
    </row>
    <row r="163" spans="1:9" ht="63" x14ac:dyDescent="0.3">
      <c r="A163" s="109" t="s">
        <v>6980</v>
      </c>
      <c r="B163" s="109" t="s">
        <v>6232</v>
      </c>
      <c r="C163" s="109" t="s">
        <v>6232</v>
      </c>
      <c r="D163" s="109" t="s">
        <v>6115</v>
      </c>
      <c r="E163" s="109" t="s">
        <v>6115</v>
      </c>
      <c r="F163" s="109" t="s">
        <v>6981</v>
      </c>
      <c r="G163" s="110" t="s">
        <v>6248</v>
      </c>
      <c r="H163" s="110" t="s">
        <v>6689</v>
      </c>
      <c r="I163" s="110" t="s">
        <v>6982</v>
      </c>
    </row>
    <row r="164" spans="1:9" ht="25.2" x14ac:dyDescent="0.3">
      <c r="A164" s="109" t="s">
        <v>6983</v>
      </c>
      <c r="B164" s="109" t="s">
        <v>6232</v>
      </c>
      <c r="C164" s="109" t="s">
        <v>6232</v>
      </c>
      <c r="D164" s="109" t="s">
        <v>6984</v>
      </c>
      <c r="E164" s="109" t="s">
        <v>6985</v>
      </c>
      <c r="F164" s="109" t="s">
        <v>6986</v>
      </c>
      <c r="G164" s="110" t="s">
        <v>6248</v>
      </c>
      <c r="H164" s="110" t="s">
        <v>6987</v>
      </c>
      <c r="I164" s="110" t="s">
        <v>6988</v>
      </c>
    </row>
    <row r="165" spans="1:9" ht="37.799999999999997" x14ac:dyDescent="0.3">
      <c r="A165" s="109" t="s">
        <v>6989</v>
      </c>
      <c r="B165" s="109" t="s">
        <v>6232</v>
      </c>
      <c r="C165" s="109" t="s">
        <v>6232</v>
      </c>
      <c r="D165" s="109" t="s">
        <v>6990</v>
      </c>
      <c r="E165" s="109" t="s">
        <v>5558</v>
      </c>
      <c r="F165" s="109" t="s">
        <v>6991</v>
      </c>
      <c r="G165" s="110" t="s">
        <v>6248</v>
      </c>
      <c r="H165" s="110" t="s">
        <v>6992</v>
      </c>
      <c r="I165" s="110" t="s">
        <v>6993</v>
      </c>
    </row>
    <row r="166" spans="1:9" ht="37.799999999999997" x14ac:dyDescent="0.3">
      <c r="A166" s="109" t="s">
        <v>6994</v>
      </c>
      <c r="B166" s="109" t="s">
        <v>6232</v>
      </c>
      <c r="C166" s="109" t="s">
        <v>6232</v>
      </c>
      <c r="D166" s="109" t="s">
        <v>6995</v>
      </c>
      <c r="E166" s="109" t="s">
        <v>5558</v>
      </c>
      <c r="F166" s="109" t="s">
        <v>6996</v>
      </c>
      <c r="G166" s="110" t="s">
        <v>6248</v>
      </c>
      <c r="H166" s="110" t="s">
        <v>6997</v>
      </c>
      <c r="I166" s="110" t="s">
        <v>6998</v>
      </c>
    </row>
    <row r="167" spans="1:9" ht="25.2" x14ac:dyDescent="0.3">
      <c r="A167" s="109" t="s">
        <v>6999</v>
      </c>
      <c r="B167" s="109" t="s">
        <v>6232</v>
      </c>
      <c r="C167" s="109" t="s">
        <v>6232</v>
      </c>
      <c r="D167" s="109" t="s">
        <v>7000</v>
      </c>
      <c r="E167" s="109" t="s">
        <v>7001</v>
      </c>
      <c r="F167" s="109" t="s">
        <v>7002</v>
      </c>
      <c r="G167" s="110" t="s">
        <v>6248</v>
      </c>
      <c r="H167" s="110" t="s">
        <v>7003</v>
      </c>
      <c r="I167" s="110" t="s">
        <v>7004</v>
      </c>
    </row>
    <row r="168" spans="1:9" ht="25.2" x14ac:dyDescent="0.3">
      <c r="A168" s="109" t="s">
        <v>7005</v>
      </c>
      <c r="B168" s="109" t="s">
        <v>6232</v>
      </c>
      <c r="C168" s="109" t="s">
        <v>6232</v>
      </c>
      <c r="D168" s="109" t="s">
        <v>177</v>
      </c>
      <c r="E168" s="109" t="s">
        <v>7006</v>
      </c>
      <c r="F168" s="109" t="s">
        <v>7007</v>
      </c>
      <c r="G168" s="110" t="s">
        <v>6248</v>
      </c>
      <c r="H168" s="110" t="s">
        <v>7008</v>
      </c>
      <c r="I168" s="110" t="s">
        <v>7009</v>
      </c>
    </row>
    <row r="169" spans="1:9" ht="37.799999999999997" x14ac:dyDescent="0.3">
      <c r="A169" s="109" t="s">
        <v>7010</v>
      </c>
      <c r="B169" s="109" t="s">
        <v>6232</v>
      </c>
      <c r="C169" s="109" t="s">
        <v>6232</v>
      </c>
      <c r="D169" s="109" t="s">
        <v>7011</v>
      </c>
      <c r="E169" s="109" t="s">
        <v>5558</v>
      </c>
      <c r="F169" s="109" t="s">
        <v>7012</v>
      </c>
      <c r="G169" s="110" t="s">
        <v>6248</v>
      </c>
      <c r="H169" s="110" t="s">
        <v>7013</v>
      </c>
      <c r="I169" s="110" t="s">
        <v>7014</v>
      </c>
    </row>
    <row r="170" spans="1:9" ht="25.2" x14ac:dyDescent="0.3">
      <c r="A170" s="109" t="s">
        <v>7015</v>
      </c>
      <c r="B170" s="109" t="s">
        <v>6232</v>
      </c>
      <c r="C170" s="109" t="s">
        <v>6232</v>
      </c>
      <c r="D170" s="109" t="s">
        <v>7016</v>
      </c>
      <c r="E170" s="109" t="s">
        <v>7017</v>
      </c>
      <c r="F170" s="109" t="s">
        <v>7018</v>
      </c>
      <c r="G170" s="110" t="s">
        <v>6248</v>
      </c>
      <c r="H170" s="110" t="s">
        <v>7019</v>
      </c>
      <c r="I170" s="110" t="s">
        <v>7020</v>
      </c>
    </row>
    <row r="171" spans="1:9" ht="75.599999999999994" x14ac:dyDescent="0.3">
      <c r="A171" s="109" t="s">
        <v>7021</v>
      </c>
      <c r="B171" s="109" t="s">
        <v>6232</v>
      </c>
      <c r="C171" s="109" t="s">
        <v>6232</v>
      </c>
      <c r="D171" s="109" t="s">
        <v>7022</v>
      </c>
      <c r="E171" s="109" t="s">
        <v>7022</v>
      </c>
      <c r="F171" s="109" t="s">
        <v>7023</v>
      </c>
      <c r="G171" s="110" t="s">
        <v>6248</v>
      </c>
      <c r="H171" s="110" t="s">
        <v>7024</v>
      </c>
      <c r="I171" s="110" t="s">
        <v>7025</v>
      </c>
    </row>
    <row r="172" spans="1:9" ht="37.799999999999997" x14ac:dyDescent="0.3">
      <c r="A172" s="109" t="s">
        <v>7026</v>
      </c>
      <c r="B172" s="109" t="s">
        <v>6232</v>
      </c>
      <c r="C172" s="109" t="s">
        <v>6232</v>
      </c>
      <c r="D172" s="109" t="s">
        <v>7027</v>
      </c>
      <c r="E172" s="109" t="s">
        <v>5558</v>
      </c>
      <c r="F172" s="109" t="s">
        <v>7028</v>
      </c>
      <c r="G172" s="110" t="s">
        <v>6248</v>
      </c>
      <c r="H172" s="110" t="s">
        <v>7029</v>
      </c>
      <c r="I172" s="110" t="s">
        <v>7030</v>
      </c>
    </row>
    <row r="173" spans="1:9" ht="37.799999999999997" x14ac:dyDescent="0.3">
      <c r="A173" s="109" t="s">
        <v>7031</v>
      </c>
      <c r="B173" s="109" t="s">
        <v>6232</v>
      </c>
      <c r="C173" s="109" t="s">
        <v>6232</v>
      </c>
      <c r="D173" s="109" t="s">
        <v>7032</v>
      </c>
      <c r="E173" s="109" t="s">
        <v>5558</v>
      </c>
      <c r="F173" s="109" t="s">
        <v>7033</v>
      </c>
      <c r="G173" s="110" t="s">
        <v>6248</v>
      </c>
      <c r="H173" s="110" t="s">
        <v>7034</v>
      </c>
      <c r="I173" s="110" t="s">
        <v>7035</v>
      </c>
    </row>
    <row r="174" spans="1:9" ht="25.2" x14ac:dyDescent="0.3">
      <c r="A174" s="109" t="s">
        <v>7036</v>
      </c>
      <c r="B174" s="109" t="s">
        <v>6232</v>
      </c>
      <c r="C174" s="109" t="s">
        <v>6232</v>
      </c>
      <c r="D174" s="109" t="s">
        <v>7037</v>
      </c>
      <c r="E174" s="109" t="s">
        <v>7038</v>
      </c>
      <c r="F174" s="109" t="s">
        <v>7039</v>
      </c>
      <c r="G174" s="110" t="s">
        <v>6248</v>
      </c>
      <c r="H174" s="110" t="s">
        <v>7040</v>
      </c>
      <c r="I174" s="110" t="s">
        <v>7041</v>
      </c>
    </row>
    <row r="175" spans="1:9" ht="25.2" x14ac:dyDescent="0.3">
      <c r="A175" s="109" t="s">
        <v>7042</v>
      </c>
      <c r="B175" s="109" t="s">
        <v>6232</v>
      </c>
      <c r="C175" s="109" t="s">
        <v>6232</v>
      </c>
      <c r="D175" s="109" t="s">
        <v>7043</v>
      </c>
      <c r="E175" s="109" t="s">
        <v>7044</v>
      </c>
      <c r="F175" s="109" t="s">
        <v>7045</v>
      </c>
      <c r="G175" s="110" t="s">
        <v>7046</v>
      </c>
      <c r="H175" s="110" t="s">
        <v>6248</v>
      </c>
      <c r="I175" s="110" t="s">
        <v>7047</v>
      </c>
    </row>
    <row r="176" spans="1:9" ht="25.2" x14ac:dyDescent="0.3">
      <c r="A176" s="109" t="s">
        <v>7048</v>
      </c>
      <c r="B176" s="109" t="s">
        <v>6232</v>
      </c>
      <c r="C176" s="109" t="s">
        <v>6232</v>
      </c>
      <c r="D176" s="109" t="s">
        <v>7049</v>
      </c>
      <c r="E176" s="109" t="s">
        <v>7050</v>
      </c>
      <c r="F176" s="109" t="s">
        <v>7051</v>
      </c>
      <c r="G176" s="110" t="s">
        <v>6248</v>
      </c>
      <c r="H176" s="110" t="s">
        <v>7052</v>
      </c>
      <c r="I176" s="110" t="s">
        <v>7053</v>
      </c>
    </row>
    <row r="177" spans="1:9" ht="25.2" x14ac:dyDescent="0.3">
      <c r="A177" s="109" t="s">
        <v>7054</v>
      </c>
      <c r="B177" s="109" t="s">
        <v>6232</v>
      </c>
      <c r="C177" s="109" t="s">
        <v>6232</v>
      </c>
      <c r="D177" s="109" t="s">
        <v>7055</v>
      </c>
      <c r="E177" s="109" t="s">
        <v>5558</v>
      </c>
      <c r="F177" s="109" t="s">
        <v>7056</v>
      </c>
      <c r="G177" s="110" t="s">
        <v>6248</v>
      </c>
      <c r="H177" s="110" t="s">
        <v>7057</v>
      </c>
      <c r="I177" s="110" t="s">
        <v>7058</v>
      </c>
    </row>
    <row r="178" spans="1:9" ht="25.2" x14ac:dyDescent="0.3">
      <c r="A178" s="109" t="s">
        <v>7059</v>
      </c>
      <c r="B178" s="109" t="s">
        <v>6232</v>
      </c>
      <c r="C178" s="109" t="s">
        <v>6232</v>
      </c>
      <c r="D178" s="109" t="s">
        <v>7060</v>
      </c>
      <c r="E178" s="109" t="s">
        <v>5558</v>
      </c>
      <c r="F178" s="109" t="s">
        <v>7061</v>
      </c>
      <c r="G178" s="110" t="s">
        <v>6248</v>
      </c>
      <c r="H178" s="110" t="s">
        <v>7062</v>
      </c>
      <c r="I178" s="110" t="s">
        <v>7063</v>
      </c>
    </row>
    <row r="179" spans="1:9" ht="25.2" x14ac:dyDescent="0.3">
      <c r="A179" s="109" t="s">
        <v>7064</v>
      </c>
      <c r="B179" s="109" t="s">
        <v>6232</v>
      </c>
      <c r="C179" s="109" t="s">
        <v>6232</v>
      </c>
      <c r="D179" s="109" t="s">
        <v>5569</v>
      </c>
      <c r="E179" s="109" t="s">
        <v>5558</v>
      </c>
      <c r="F179" s="109" t="s">
        <v>2258</v>
      </c>
      <c r="G179" s="110" t="s">
        <v>6248</v>
      </c>
      <c r="H179" s="110" t="s">
        <v>7065</v>
      </c>
      <c r="I179" s="110" t="s">
        <v>7066</v>
      </c>
    </row>
    <row r="180" spans="1:9" ht="25.2" x14ac:dyDescent="0.3">
      <c r="A180" s="109" t="s">
        <v>7067</v>
      </c>
      <c r="B180" s="109" t="s">
        <v>6232</v>
      </c>
      <c r="C180" s="109" t="s">
        <v>6232</v>
      </c>
      <c r="D180" s="109" t="s">
        <v>5569</v>
      </c>
      <c r="E180" s="109" t="s">
        <v>5558</v>
      </c>
      <c r="F180" s="109" t="s">
        <v>2258</v>
      </c>
      <c r="G180" s="110" t="s">
        <v>6248</v>
      </c>
      <c r="H180" s="110" t="s">
        <v>7068</v>
      </c>
      <c r="I180" s="110" t="s">
        <v>7069</v>
      </c>
    </row>
    <row r="181" spans="1:9" ht="25.2" x14ac:dyDescent="0.3">
      <c r="A181" s="109" t="s">
        <v>7070</v>
      </c>
      <c r="B181" s="109" t="s">
        <v>6232</v>
      </c>
      <c r="C181" s="109" t="s">
        <v>6232</v>
      </c>
      <c r="D181" s="109" t="s">
        <v>7071</v>
      </c>
      <c r="E181" s="109" t="s">
        <v>5558</v>
      </c>
      <c r="F181" s="109" t="s">
        <v>7072</v>
      </c>
      <c r="G181" s="110" t="s">
        <v>6248</v>
      </c>
      <c r="H181" s="110" t="s">
        <v>7073</v>
      </c>
      <c r="I181" s="110" t="s">
        <v>7074</v>
      </c>
    </row>
    <row r="182" spans="1:9" ht="37.799999999999997" x14ac:dyDescent="0.3">
      <c r="A182" s="109" t="s">
        <v>7075</v>
      </c>
      <c r="B182" s="109" t="s">
        <v>6232</v>
      </c>
      <c r="C182" s="109" t="s">
        <v>6232</v>
      </c>
      <c r="D182" s="109" t="s">
        <v>7076</v>
      </c>
      <c r="E182" s="109" t="s">
        <v>5558</v>
      </c>
      <c r="F182" s="109" t="s">
        <v>7077</v>
      </c>
      <c r="G182" s="110" t="s">
        <v>6248</v>
      </c>
      <c r="H182" s="110" t="s">
        <v>7078</v>
      </c>
      <c r="I182" s="110" t="s">
        <v>7079</v>
      </c>
    </row>
    <row r="183" spans="1:9" ht="37.799999999999997" x14ac:dyDescent="0.3">
      <c r="A183" s="109" t="s">
        <v>7080</v>
      </c>
      <c r="B183" s="109" t="s">
        <v>6232</v>
      </c>
      <c r="C183" s="109" t="s">
        <v>6232</v>
      </c>
      <c r="D183" s="109" t="s">
        <v>7081</v>
      </c>
      <c r="E183" s="109" t="s">
        <v>5558</v>
      </c>
      <c r="F183" s="109" t="s">
        <v>7082</v>
      </c>
      <c r="G183" s="110" t="s">
        <v>6248</v>
      </c>
      <c r="H183" s="110" t="s">
        <v>7083</v>
      </c>
      <c r="I183" s="110" t="s">
        <v>7084</v>
      </c>
    </row>
    <row r="184" spans="1:9" ht="25.2" x14ac:dyDescent="0.3">
      <c r="A184" s="109" t="s">
        <v>7085</v>
      </c>
      <c r="B184" s="109" t="s">
        <v>6232</v>
      </c>
      <c r="C184" s="109" t="s">
        <v>6232</v>
      </c>
      <c r="D184" s="109" t="s">
        <v>7086</v>
      </c>
      <c r="E184" s="109" t="s">
        <v>7087</v>
      </c>
      <c r="F184" s="109" t="s">
        <v>7088</v>
      </c>
      <c r="G184" s="110" t="s">
        <v>6248</v>
      </c>
      <c r="H184" s="110" t="s">
        <v>7089</v>
      </c>
      <c r="I184" s="110" t="s">
        <v>7090</v>
      </c>
    </row>
    <row r="185" spans="1:9" ht="25.2" x14ac:dyDescent="0.3">
      <c r="A185" s="109" t="s">
        <v>7091</v>
      </c>
      <c r="B185" s="109" t="s">
        <v>6232</v>
      </c>
      <c r="C185" s="109" t="s">
        <v>6232</v>
      </c>
      <c r="D185" s="109" t="s">
        <v>7092</v>
      </c>
      <c r="E185" s="109" t="s">
        <v>5558</v>
      </c>
      <c r="F185" s="109" t="s">
        <v>7093</v>
      </c>
      <c r="G185" s="110" t="s">
        <v>6248</v>
      </c>
      <c r="H185" s="110" t="s">
        <v>7094</v>
      </c>
      <c r="I185" s="110" t="s">
        <v>7095</v>
      </c>
    </row>
    <row r="186" spans="1:9" ht="37.799999999999997" x14ac:dyDescent="0.3">
      <c r="A186" s="109" t="s">
        <v>7096</v>
      </c>
      <c r="B186" s="109" t="s">
        <v>6232</v>
      </c>
      <c r="C186" s="109" t="s">
        <v>6232</v>
      </c>
      <c r="D186" s="109" t="s">
        <v>7097</v>
      </c>
      <c r="E186" s="109" t="s">
        <v>5558</v>
      </c>
      <c r="F186" s="109" t="s">
        <v>7098</v>
      </c>
      <c r="G186" s="110" t="s">
        <v>6248</v>
      </c>
      <c r="H186" s="110" t="s">
        <v>7099</v>
      </c>
      <c r="I186" s="110" t="s">
        <v>7100</v>
      </c>
    </row>
    <row r="187" spans="1:9" ht="37.799999999999997" x14ac:dyDescent="0.3">
      <c r="A187" s="109" t="s">
        <v>7101</v>
      </c>
      <c r="B187" s="109" t="s">
        <v>6232</v>
      </c>
      <c r="C187" s="109" t="s">
        <v>6232</v>
      </c>
      <c r="D187" s="109" t="s">
        <v>7102</v>
      </c>
      <c r="E187" s="109" t="s">
        <v>5558</v>
      </c>
      <c r="F187" s="109" t="s">
        <v>7103</v>
      </c>
      <c r="G187" s="110" t="s">
        <v>6248</v>
      </c>
      <c r="H187" s="110" t="s">
        <v>7104</v>
      </c>
      <c r="I187" s="110" t="s">
        <v>7105</v>
      </c>
    </row>
    <row r="188" spans="1:9" ht="25.2" x14ac:dyDescent="0.3">
      <c r="A188" s="109" t="s">
        <v>7106</v>
      </c>
      <c r="B188" s="109" t="s">
        <v>6232</v>
      </c>
      <c r="C188" s="109" t="s">
        <v>6232</v>
      </c>
      <c r="D188" s="109" t="s">
        <v>5569</v>
      </c>
      <c r="E188" s="109" t="s">
        <v>5558</v>
      </c>
      <c r="F188" s="109" t="s">
        <v>2258</v>
      </c>
      <c r="G188" s="110" t="s">
        <v>6248</v>
      </c>
      <c r="H188" s="110" t="s">
        <v>7107</v>
      </c>
      <c r="I188" s="110" t="s">
        <v>7108</v>
      </c>
    </row>
    <row r="189" spans="1:9" ht="25.2" x14ac:dyDescent="0.3">
      <c r="A189" s="109" t="s">
        <v>7109</v>
      </c>
      <c r="B189" s="109" t="s">
        <v>6232</v>
      </c>
      <c r="C189" s="109" t="s">
        <v>6232</v>
      </c>
      <c r="D189" s="109" t="s">
        <v>7110</v>
      </c>
      <c r="E189" s="109" t="s">
        <v>7111</v>
      </c>
      <c r="F189" s="109" t="s">
        <v>7112</v>
      </c>
      <c r="G189" s="110" t="s">
        <v>6248</v>
      </c>
      <c r="H189" s="110" t="s">
        <v>7113</v>
      </c>
      <c r="I189" s="110" t="s">
        <v>7114</v>
      </c>
    </row>
    <row r="190" spans="1:9" ht="25.2" x14ac:dyDescent="0.3">
      <c r="A190" s="109" t="s">
        <v>7115</v>
      </c>
      <c r="B190" s="109" t="s">
        <v>6232</v>
      </c>
      <c r="C190" s="109" t="s">
        <v>6232</v>
      </c>
      <c r="D190" s="109" t="s">
        <v>7116</v>
      </c>
      <c r="E190" s="109" t="s">
        <v>5558</v>
      </c>
      <c r="F190" s="109" t="s">
        <v>7117</v>
      </c>
      <c r="G190" s="110" t="s">
        <v>6248</v>
      </c>
      <c r="H190" s="110" t="s">
        <v>7118</v>
      </c>
      <c r="I190" s="110" t="s">
        <v>7119</v>
      </c>
    </row>
    <row r="191" spans="1:9" ht="25.2" x14ac:dyDescent="0.3">
      <c r="A191" s="109" t="s">
        <v>7120</v>
      </c>
      <c r="B191" s="109" t="s">
        <v>6232</v>
      </c>
      <c r="C191" s="109" t="s">
        <v>6232</v>
      </c>
      <c r="D191" s="109" t="s">
        <v>7121</v>
      </c>
      <c r="E191" s="109" t="s">
        <v>7122</v>
      </c>
      <c r="F191" s="109" t="s">
        <v>7123</v>
      </c>
      <c r="G191" s="110" t="s">
        <v>6248</v>
      </c>
      <c r="H191" s="110" t="s">
        <v>6369</v>
      </c>
      <c r="I191" s="110" t="s">
        <v>7124</v>
      </c>
    </row>
    <row r="192" spans="1:9" ht="37.799999999999997" x14ac:dyDescent="0.3">
      <c r="A192" s="109" t="s">
        <v>7125</v>
      </c>
      <c r="B192" s="109" t="s">
        <v>6232</v>
      </c>
      <c r="C192" s="109" t="s">
        <v>6232</v>
      </c>
      <c r="D192" s="109" t="s">
        <v>7126</v>
      </c>
      <c r="E192" s="109" t="s">
        <v>5558</v>
      </c>
      <c r="F192" s="109" t="s">
        <v>7127</v>
      </c>
      <c r="G192" s="110" t="s">
        <v>6248</v>
      </c>
      <c r="H192" s="110" t="s">
        <v>7128</v>
      </c>
      <c r="I192" s="110" t="s">
        <v>7129</v>
      </c>
    </row>
    <row r="193" spans="1:9" ht="25.2" x14ac:dyDescent="0.3">
      <c r="A193" s="109" t="s">
        <v>7130</v>
      </c>
      <c r="B193" s="109" t="s">
        <v>6232</v>
      </c>
      <c r="C193" s="109" t="s">
        <v>6232</v>
      </c>
      <c r="D193" s="109" t="s">
        <v>5569</v>
      </c>
      <c r="E193" s="109" t="s">
        <v>5558</v>
      </c>
      <c r="F193" s="109" t="s">
        <v>2258</v>
      </c>
      <c r="G193" s="110" t="s">
        <v>6248</v>
      </c>
      <c r="H193" s="110" t="s">
        <v>7131</v>
      </c>
      <c r="I193" s="110" t="s">
        <v>7132</v>
      </c>
    </row>
    <row r="194" spans="1:9" ht="25.2" x14ac:dyDescent="0.3">
      <c r="A194" s="109" t="s">
        <v>7133</v>
      </c>
      <c r="B194" s="109" t="s">
        <v>6232</v>
      </c>
      <c r="C194" s="109" t="s">
        <v>6232</v>
      </c>
      <c r="D194" s="109" t="s">
        <v>7134</v>
      </c>
      <c r="E194" s="109" t="s">
        <v>5558</v>
      </c>
      <c r="F194" s="109" t="s">
        <v>7135</v>
      </c>
      <c r="G194" s="110" t="s">
        <v>6248</v>
      </c>
      <c r="H194" s="110" t="s">
        <v>7136</v>
      </c>
      <c r="I194" s="110" t="s">
        <v>7137</v>
      </c>
    </row>
    <row r="195" spans="1:9" ht="25.2" x14ac:dyDescent="0.3">
      <c r="A195" s="109" t="s">
        <v>7138</v>
      </c>
      <c r="B195" s="109" t="s">
        <v>6232</v>
      </c>
      <c r="C195" s="109" t="s">
        <v>6232</v>
      </c>
      <c r="D195" s="109" t="s">
        <v>7139</v>
      </c>
      <c r="E195" s="109" t="s">
        <v>5558</v>
      </c>
      <c r="F195" s="109" t="s">
        <v>7140</v>
      </c>
      <c r="G195" s="110" t="s">
        <v>6248</v>
      </c>
      <c r="H195" s="110" t="s">
        <v>7141</v>
      </c>
      <c r="I195" s="110" t="s">
        <v>7142</v>
      </c>
    </row>
    <row r="196" spans="1:9" ht="25.2" x14ac:dyDescent="0.3">
      <c r="A196" s="109" t="s">
        <v>7143</v>
      </c>
      <c r="B196" s="109" t="s">
        <v>6232</v>
      </c>
      <c r="C196" s="109" t="s">
        <v>6232</v>
      </c>
      <c r="D196" s="109" t="s">
        <v>7144</v>
      </c>
      <c r="E196" s="109" t="s">
        <v>5558</v>
      </c>
      <c r="F196" s="109" t="s">
        <v>7145</v>
      </c>
      <c r="G196" s="110" t="s">
        <v>6248</v>
      </c>
      <c r="H196" s="110" t="s">
        <v>7146</v>
      </c>
      <c r="I196" s="110" t="s">
        <v>7147</v>
      </c>
    </row>
    <row r="197" spans="1:9" ht="25.2" x14ac:dyDescent="0.3">
      <c r="A197" s="109" t="s">
        <v>7148</v>
      </c>
      <c r="B197" s="109" t="s">
        <v>6232</v>
      </c>
      <c r="C197" s="109" t="s">
        <v>6232</v>
      </c>
      <c r="D197" s="109" t="s">
        <v>7149</v>
      </c>
      <c r="E197" s="109" t="s">
        <v>7150</v>
      </c>
      <c r="F197" s="109" t="s">
        <v>7151</v>
      </c>
      <c r="G197" s="110" t="s">
        <v>6248</v>
      </c>
      <c r="H197" s="110" t="s">
        <v>7152</v>
      </c>
      <c r="I197" s="110" t="s">
        <v>7153</v>
      </c>
    </row>
    <row r="198" spans="1:9" ht="25.2" x14ac:dyDescent="0.3">
      <c r="A198" s="109" t="s">
        <v>7154</v>
      </c>
      <c r="B198" s="109" t="s">
        <v>6232</v>
      </c>
      <c r="C198" s="109" t="s">
        <v>6232</v>
      </c>
      <c r="D198" s="109" t="s">
        <v>7155</v>
      </c>
      <c r="E198" s="109" t="s">
        <v>5558</v>
      </c>
      <c r="F198" s="109" t="s">
        <v>7156</v>
      </c>
      <c r="G198" s="110" t="s">
        <v>6248</v>
      </c>
      <c r="H198" s="110" t="s">
        <v>7157</v>
      </c>
      <c r="I198" s="110" t="s">
        <v>7158</v>
      </c>
    </row>
    <row r="199" spans="1:9" ht="25.2" x14ac:dyDescent="0.3">
      <c r="A199" s="109" t="s">
        <v>7159</v>
      </c>
      <c r="B199" s="109" t="s">
        <v>6232</v>
      </c>
      <c r="C199" s="109" t="s">
        <v>6232</v>
      </c>
      <c r="D199" s="109" t="s">
        <v>7160</v>
      </c>
      <c r="E199" s="109" t="s">
        <v>5558</v>
      </c>
      <c r="F199" s="109" t="s">
        <v>7161</v>
      </c>
      <c r="G199" s="110" t="s">
        <v>6248</v>
      </c>
      <c r="H199" s="110" t="s">
        <v>7162</v>
      </c>
      <c r="I199" s="110" t="s">
        <v>7163</v>
      </c>
    </row>
    <row r="200" spans="1:9" ht="25.2" x14ac:dyDescent="0.3">
      <c r="A200" s="109" t="s">
        <v>7164</v>
      </c>
      <c r="B200" s="109" t="s">
        <v>6232</v>
      </c>
      <c r="C200" s="109" t="s">
        <v>6232</v>
      </c>
      <c r="D200" s="109" t="s">
        <v>7165</v>
      </c>
      <c r="E200" s="109" t="s">
        <v>7166</v>
      </c>
      <c r="F200" s="109" t="s">
        <v>7167</v>
      </c>
      <c r="G200" s="110" t="s">
        <v>6248</v>
      </c>
      <c r="H200" s="110" t="s">
        <v>7168</v>
      </c>
      <c r="I200" s="110" t="s">
        <v>7169</v>
      </c>
    </row>
    <row r="201" spans="1:9" ht="25.2" x14ac:dyDescent="0.3">
      <c r="A201" s="109" t="s">
        <v>7170</v>
      </c>
      <c r="B201" s="109" t="s">
        <v>6232</v>
      </c>
      <c r="C201" s="109" t="s">
        <v>6232</v>
      </c>
      <c r="D201" s="109" t="s">
        <v>7171</v>
      </c>
      <c r="E201" s="109" t="s">
        <v>5558</v>
      </c>
      <c r="F201" s="109" t="s">
        <v>7172</v>
      </c>
      <c r="G201" s="110" t="s">
        <v>6248</v>
      </c>
      <c r="H201" s="110" t="s">
        <v>7173</v>
      </c>
      <c r="I201" s="110" t="s">
        <v>7174</v>
      </c>
    </row>
    <row r="202" spans="1:9" ht="25.2" x14ac:dyDescent="0.3">
      <c r="A202" s="109" t="s">
        <v>7175</v>
      </c>
      <c r="B202" s="109" t="s">
        <v>6232</v>
      </c>
      <c r="C202" s="109" t="s">
        <v>6232</v>
      </c>
      <c r="D202" s="109" t="s">
        <v>5569</v>
      </c>
      <c r="E202" s="109" t="s">
        <v>5558</v>
      </c>
      <c r="F202" s="109" t="s">
        <v>2258</v>
      </c>
      <c r="G202" s="110" t="s">
        <v>6248</v>
      </c>
      <c r="H202" s="110" t="s">
        <v>7176</v>
      </c>
      <c r="I202" s="110" t="s">
        <v>7177</v>
      </c>
    </row>
    <row r="203" spans="1:9" ht="25.2" x14ac:dyDescent="0.3">
      <c r="A203" s="109" t="s">
        <v>7178</v>
      </c>
      <c r="B203" s="109" t="s">
        <v>6232</v>
      </c>
      <c r="C203" s="109" t="s">
        <v>6232</v>
      </c>
      <c r="D203" s="109" t="s">
        <v>7179</v>
      </c>
      <c r="E203" s="109" t="s">
        <v>7180</v>
      </c>
      <c r="F203" s="109" t="s">
        <v>7181</v>
      </c>
      <c r="G203" s="110" t="s">
        <v>6369</v>
      </c>
      <c r="H203" s="110" t="s">
        <v>6248</v>
      </c>
      <c r="I203" s="110" t="s">
        <v>7182</v>
      </c>
    </row>
    <row r="204" spans="1:9" ht="25.2" x14ac:dyDescent="0.3">
      <c r="A204" s="109" t="s">
        <v>7183</v>
      </c>
      <c r="B204" s="109" t="s">
        <v>6232</v>
      </c>
      <c r="C204" s="109" t="s">
        <v>6232</v>
      </c>
      <c r="D204" s="109" t="s">
        <v>7184</v>
      </c>
      <c r="E204" s="109" t="s">
        <v>7185</v>
      </c>
      <c r="F204" s="109" t="s">
        <v>7186</v>
      </c>
      <c r="G204" s="110" t="s">
        <v>6248</v>
      </c>
      <c r="H204" s="110" t="s">
        <v>7187</v>
      </c>
      <c r="I204" s="110" t="s">
        <v>7188</v>
      </c>
    </row>
    <row r="205" spans="1:9" ht="25.2" x14ac:dyDescent="0.3">
      <c r="A205" s="109" t="s">
        <v>7189</v>
      </c>
      <c r="B205" s="109" t="s">
        <v>6232</v>
      </c>
      <c r="C205" s="109" t="s">
        <v>6232</v>
      </c>
      <c r="D205" s="109" t="s">
        <v>655</v>
      </c>
      <c r="E205" s="109" t="s">
        <v>7190</v>
      </c>
      <c r="F205" s="109" t="s">
        <v>7191</v>
      </c>
      <c r="G205" s="110" t="s">
        <v>6248</v>
      </c>
      <c r="H205" s="110" t="s">
        <v>7192</v>
      </c>
      <c r="I205" s="110" t="s">
        <v>7193</v>
      </c>
    </row>
    <row r="206" spans="1:9" ht="25.2" x14ac:dyDescent="0.3">
      <c r="A206" s="109" t="s">
        <v>7194</v>
      </c>
      <c r="B206" s="109" t="s">
        <v>6232</v>
      </c>
      <c r="C206" s="109" t="s">
        <v>6232</v>
      </c>
      <c r="D206" s="109" t="s">
        <v>7195</v>
      </c>
      <c r="E206" s="109" t="s">
        <v>7196</v>
      </c>
      <c r="F206" s="109" t="s">
        <v>5777</v>
      </c>
      <c r="G206" s="110" t="s">
        <v>6248</v>
      </c>
      <c r="H206" s="110" t="s">
        <v>7197</v>
      </c>
      <c r="I206" s="110" t="s">
        <v>7198</v>
      </c>
    </row>
    <row r="207" spans="1:9" ht="25.2" x14ac:dyDescent="0.3">
      <c r="A207" s="109" t="s">
        <v>7199</v>
      </c>
      <c r="B207" s="109" t="s">
        <v>6232</v>
      </c>
      <c r="C207" s="109" t="s">
        <v>6232</v>
      </c>
      <c r="D207" s="109" t="s">
        <v>7200</v>
      </c>
      <c r="E207" s="109" t="s">
        <v>7201</v>
      </c>
      <c r="F207" s="109" t="s">
        <v>7202</v>
      </c>
      <c r="G207" s="110" t="s">
        <v>6248</v>
      </c>
      <c r="H207" s="110" t="s">
        <v>7203</v>
      </c>
      <c r="I207" s="110" t="s">
        <v>7204</v>
      </c>
    </row>
    <row r="208" spans="1:9" ht="37.799999999999997" x14ac:dyDescent="0.3">
      <c r="A208" s="109" t="s">
        <v>7205</v>
      </c>
      <c r="B208" s="109" t="s">
        <v>6232</v>
      </c>
      <c r="C208" s="109" t="s">
        <v>6232</v>
      </c>
      <c r="D208" s="109" t="s">
        <v>7206</v>
      </c>
      <c r="E208" s="109" t="s">
        <v>5558</v>
      </c>
      <c r="F208" s="109" t="s">
        <v>7207</v>
      </c>
      <c r="G208" s="110" t="s">
        <v>6248</v>
      </c>
      <c r="H208" s="110" t="s">
        <v>7208</v>
      </c>
      <c r="I208" s="110" t="s">
        <v>7209</v>
      </c>
    </row>
    <row r="209" spans="1:9" ht="37.799999999999997" x14ac:dyDescent="0.3">
      <c r="A209" s="109" t="s">
        <v>7210</v>
      </c>
      <c r="B209" s="109" t="s">
        <v>6232</v>
      </c>
      <c r="C209" s="109" t="s">
        <v>6232</v>
      </c>
      <c r="D209" s="109" t="s">
        <v>7211</v>
      </c>
      <c r="E209" s="109" t="s">
        <v>5558</v>
      </c>
      <c r="F209" s="109" t="s">
        <v>7212</v>
      </c>
      <c r="G209" s="110" t="s">
        <v>6248</v>
      </c>
      <c r="H209" s="110" t="s">
        <v>7213</v>
      </c>
      <c r="I209" s="110" t="s">
        <v>7214</v>
      </c>
    </row>
    <row r="210" spans="1:9" ht="25.2" x14ac:dyDescent="0.3">
      <c r="A210" s="109" t="s">
        <v>7215</v>
      </c>
      <c r="B210" s="109" t="s">
        <v>6232</v>
      </c>
      <c r="C210" s="109" t="s">
        <v>6232</v>
      </c>
      <c r="D210" s="109" t="s">
        <v>5569</v>
      </c>
      <c r="E210" s="109" t="s">
        <v>5558</v>
      </c>
      <c r="F210" s="109" t="s">
        <v>2258</v>
      </c>
      <c r="G210" s="110" t="s">
        <v>6248</v>
      </c>
      <c r="H210" s="110" t="s">
        <v>7216</v>
      </c>
      <c r="I210" s="110" t="s">
        <v>7217</v>
      </c>
    </row>
    <row r="211" spans="1:9" ht="37.799999999999997" x14ac:dyDescent="0.3">
      <c r="A211" s="109" t="s">
        <v>7218</v>
      </c>
      <c r="B211" s="109" t="s">
        <v>6232</v>
      </c>
      <c r="C211" s="109" t="s">
        <v>6232</v>
      </c>
      <c r="D211" s="109" t="s">
        <v>7219</v>
      </c>
      <c r="E211" s="109" t="s">
        <v>5558</v>
      </c>
      <c r="F211" s="109" t="s">
        <v>7220</v>
      </c>
      <c r="G211" s="110" t="s">
        <v>6248</v>
      </c>
      <c r="H211" s="110" t="s">
        <v>7221</v>
      </c>
      <c r="I211" s="110" t="s">
        <v>7222</v>
      </c>
    </row>
    <row r="212" spans="1:9" ht="25.2" x14ac:dyDescent="0.3">
      <c r="A212" s="109" t="s">
        <v>7223</v>
      </c>
      <c r="B212" s="109" t="s">
        <v>6232</v>
      </c>
      <c r="C212" s="109" t="s">
        <v>6232</v>
      </c>
      <c r="D212" s="109" t="s">
        <v>7224</v>
      </c>
      <c r="E212" s="109" t="s">
        <v>5558</v>
      </c>
      <c r="F212" s="109" t="s">
        <v>7225</v>
      </c>
      <c r="G212" s="110" t="s">
        <v>6248</v>
      </c>
      <c r="H212" s="110" t="s">
        <v>7226</v>
      </c>
      <c r="I212" s="110" t="s">
        <v>7227</v>
      </c>
    </row>
    <row r="213" spans="1:9" ht="25.2" x14ac:dyDescent="0.3">
      <c r="A213" s="109" t="s">
        <v>7228</v>
      </c>
      <c r="B213" s="109" t="s">
        <v>6232</v>
      </c>
      <c r="C213" s="109" t="s">
        <v>6232</v>
      </c>
      <c r="D213" s="109" t="s">
        <v>7229</v>
      </c>
      <c r="E213" s="109" t="s">
        <v>5558</v>
      </c>
      <c r="F213" s="109" t="s">
        <v>7230</v>
      </c>
      <c r="G213" s="110" t="s">
        <v>6248</v>
      </c>
      <c r="H213" s="110" t="s">
        <v>7231</v>
      </c>
      <c r="I213" s="110" t="s">
        <v>7232</v>
      </c>
    </row>
    <row r="214" spans="1:9" ht="25.2" x14ac:dyDescent="0.3">
      <c r="A214" s="109" t="s">
        <v>7233</v>
      </c>
      <c r="B214" s="109" t="s">
        <v>6232</v>
      </c>
      <c r="C214" s="109" t="s">
        <v>6232</v>
      </c>
      <c r="D214" s="109" t="s">
        <v>7234</v>
      </c>
      <c r="E214" s="109" t="s">
        <v>7235</v>
      </c>
      <c r="F214" s="109" t="s">
        <v>7236</v>
      </c>
      <c r="G214" s="110" t="s">
        <v>6248</v>
      </c>
      <c r="H214" s="110" t="s">
        <v>7237</v>
      </c>
      <c r="I214" s="110" t="s">
        <v>7238</v>
      </c>
    </row>
    <row r="215" spans="1:9" ht="25.2" x14ac:dyDescent="0.3">
      <c r="A215" s="109" t="s">
        <v>7239</v>
      </c>
      <c r="B215" s="109" t="s">
        <v>6232</v>
      </c>
      <c r="C215" s="109" t="s">
        <v>6232</v>
      </c>
      <c r="D215" s="109" t="s">
        <v>7240</v>
      </c>
      <c r="E215" s="109" t="s">
        <v>7241</v>
      </c>
      <c r="F215" s="109" t="s">
        <v>7242</v>
      </c>
      <c r="G215" s="110" t="s">
        <v>7243</v>
      </c>
      <c r="H215" s="110" t="s">
        <v>6248</v>
      </c>
      <c r="I215" s="110" t="s">
        <v>7244</v>
      </c>
    </row>
    <row r="216" spans="1:9" ht="25.2" x14ac:dyDescent="0.3">
      <c r="A216" s="109" t="s">
        <v>7245</v>
      </c>
      <c r="B216" s="109" t="s">
        <v>6232</v>
      </c>
      <c r="C216" s="109" t="s">
        <v>6232</v>
      </c>
      <c r="D216" s="109" t="s">
        <v>7246</v>
      </c>
      <c r="E216" s="109" t="s">
        <v>7247</v>
      </c>
      <c r="F216" s="109" t="s">
        <v>7248</v>
      </c>
      <c r="G216" s="110" t="s">
        <v>7249</v>
      </c>
      <c r="H216" s="110" t="s">
        <v>6248</v>
      </c>
      <c r="I216" s="110" t="s">
        <v>7250</v>
      </c>
    </row>
    <row r="217" spans="1:9" ht="25.2" x14ac:dyDescent="0.3">
      <c r="A217" s="109" t="s">
        <v>7251</v>
      </c>
      <c r="B217" s="109" t="s">
        <v>6232</v>
      </c>
      <c r="C217" s="109" t="s">
        <v>6232</v>
      </c>
      <c r="D217" s="109" t="s">
        <v>7252</v>
      </c>
      <c r="E217" s="109" t="s">
        <v>7247</v>
      </c>
      <c r="F217" s="109" t="s">
        <v>7253</v>
      </c>
      <c r="G217" s="110" t="s">
        <v>7254</v>
      </c>
      <c r="H217" s="110" t="s">
        <v>6248</v>
      </c>
      <c r="I217" s="110" t="s">
        <v>7255</v>
      </c>
    </row>
    <row r="218" spans="1:9" ht="25.2" x14ac:dyDescent="0.3">
      <c r="A218" s="109" t="s">
        <v>7256</v>
      </c>
      <c r="B218" s="109" t="s">
        <v>6232</v>
      </c>
      <c r="C218" s="109" t="s">
        <v>6232</v>
      </c>
      <c r="D218" s="109" t="s">
        <v>7257</v>
      </c>
      <c r="E218" s="109" t="s">
        <v>5558</v>
      </c>
      <c r="F218" s="109" t="s">
        <v>7258</v>
      </c>
      <c r="G218" s="110" t="s">
        <v>6248</v>
      </c>
      <c r="H218" s="110" t="s">
        <v>7259</v>
      </c>
      <c r="I218" s="110" t="s">
        <v>7260</v>
      </c>
    </row>
    <row r="219" spans="1:9" ht="25.2" x14ac:dyDescent="0.3">
      <c r="A219" s="109" t="s">
        <v>7261</v>
      </c>
      <c r="B219" s="109" t="s">
        <v>6232</v>
      </c>
      <c r="C219" s="109" t="s">
        <v>6232</v>
      </c>
      <c r="D219" s="109" t="s">
        <v>7262</v>
      </c>
      <c r="E219" s="109" t="s">
        <v>5932</v>
      </c>
      <c r="F219" s="109" t="s">
        <v>7263</v>
      </c>
      <c r="G219" s="110" t="s">
        <v>6248</v>
      </c>
      <c r="H219" s="110" t="s">
        <v>7264</v>
      </c>
      <c r="I219" s="110" t="s">
        <v>7265</v>
      </c>
    </row>
    <row r="220" spans="1:9" ht="88.2" x14ac:dyDescent="0.3">
      <c r="A220" s="109" t="s">
        <v>7266</v>
      </c>
      <c r="B220" s="109" t="s">
        <v>6232</v>
      </c>
      <c r="C220" s="109" t="s">
        <v>6232</v>
      </c>
      <c r="D220" s="109" t="s">
        <v>7267</v>
      </c>
      <c r="E220" s="109" t="s">
        <v>7267</v>
      </c>
      <c r="F220" s="109" t="s">
        <v>7268</v>
      </c>
      <c r="G220" s="110" t="s">
        <v>6248</v>
      </c>
      <c r="H220" s="110" t="s">
        <v>7269</v>
      </c>
      <c r="I220" s="110" t="s">
        <v>7270</v>
      </c>
    </row>
    <row r="221" spans="1:9" ht="25.2" x14ac:dyDescent="0.3">
      <c r="A221" s="109" t="s">
        <v>7271</v>
      </c>
      <c r="B221" s="109" t="s">
        <v>6232</v>
      </c>
      <c r="C221" s="109" t="s">
        <v>6232</v>
      </c>
      <c r="D221" s="109" t="s">
        <v>7272</v>
      </c>
      <c r="E221" s="109" t="s">
        <v>5558</v>
      </c>
      <c r="F221" s="109" t="s">
        <v>7273</v>
      </c>
      <c r="G221" s="110" t="s">
        <v>6248</v>
      </c>
      <c r="H221" s="110" t="s">
        <v>7274</v>
      </c>
      <c r="I221" s="110" t="s">
        <v>7275</v>
      </c>
    </row>
    <row r="222" spans="1:9" ht="25.2" x14ac:dyDescent="0.3">
      <c r="A222" s="109" t="s">
        <v>7276</v>
      </c>
      <c r="B222" s="109" t="s">
        <v>6232</v>
      </c>
      <c r="C222" s="109" t="s">
        <v>6232</v>
      </c>
      <c r="D222" s="109" t="s">
        <v>7277</v>
      </c>
      <c r="E222" s="109" t="s">
        <v>5558</v>
      </c>
      <c r="F222" s="109" t="s">
        <v>7278</v>
      </c>
      <c r="G222" s="110" t="s">
        <v>6248</v>
      </c>
      <c r="H222" s="110" t="s">
        <v>6883</v>
      </c>
      <c r="I222" s="110" t="s">
        <v>7279</v>
      </c>
    </row>
    <row r="223" spans="1:9" ht="25.2" x14ac:dyDescent="0.3">
      <c r="A223" s="109" t="s">
        <v>7280</v>
      </c>
      <c r="B223" s="109" t="s">
        <v>6232</v>
      </c>
      <c r="C223" s="109" t="s">
        <v>6232</v>
      </c>
      <c r="D223" s="109" t="s">
        <v>7281</v>
      </c>
      <c r="E223" s="109" t="s">
        <v>7282</v>
      </c>
      <c r="F223" s="109" t="s">
        <v>7283</v>
      </c>
      <c r="G223" s="110" t="s">
        <v>6248</v>
      </c>
      <c r="H223" s="110" t="s">
        <v>7284</v>
      </c>
      <c r="I223" s="110" t="s">
        <v>7285</v>
      </c>
    </row>
    <row r="224" spans="1:9" ht="37.799999999999997" x14ac:dyDescent="0.3">
      <c r="A224" s="109" t="s">
        <v>7286</v>
      </c>
      <c r="B224" s="109" t="s">
        <v>6232</v>
      </c>
      <c r="C224" s="109" t="s">
        <v>6232</v>
      </c>
      <c r="D224" s="109" t="s">
        <v>7287</v>
      </c>
      <c r="E224" s="109" t="s">
        <v>5558</v>
      </c>
      <c r="F224" s="109" t="s">
        <v>7288</v>
      </c>
      <c r="G224" s="110" t="s">
        <v>6248</v>
      </c>
      <c r="H224" s="110" t="s">
        <v>7289</v>
      </c>
      <c r="I224" s="110" t="s">
        <v>7290</v>
      </c>
    </row>
    <row r="225" spans="1:9" ht="37.799999999999997" x14ac:dyDescent="0.3">
      <c r="A225" s="109" t="s">
        <v>7291</v>
      </c>
      <c r="B225" s="109" t="s">
        <v>6232</v>
      </c>
      <c r="C225" s="109" t="s">
        <v>6232</v>
      </c>
      <c r="D225" s="109" t="s">
        <v>7292</v>
      </c>
      <c r="E225" s="109" t="s">
        <v>5558</v>
      </c>
      <c r="F225" s="109" t="s">
        <v>7293</v>
      </c>
      <c r="G225" s="110" t="s">
        <v>6248</v>
      </c>
      <c r="H225" s="110" t="s">
        <v>6716</v>
      </c>
      <c r="I225" s="110" t="s">
        <v>7294</v>
      </c>
    </row>
    <row r="226" spans="1:9" ht="37.799999999999997" x14ac:dyDescent="0.3">
      <c r="A226" s="109" t="s">
        <v>7295</v>
      </c>
      <c r="B226" s="109" t="s">
        <v>6232</v>
      </c>
      <c r="C226" s="109" t="s">
        <v>6232</v>
      </c>
      <c r="D226" s="109" t="s">
        <v>381</v>
      </c>
      <c r="E226" s="109" t="s">
        <v>5558</v>
      </c>
      <c r="F226" s="109" t="s">
        <v>7296</v>
      </c>
      <c r="G226" s="110" t="s">
        <v>6248</v>
      </c>
      <c r="H226" s="110" t="s">
        <v>7297</v>
      </c>
      <c r="I226" s="110" t="s">
        <v>7298</v>
      </c>
    </row>
    <row r="227" spans="1:9" ht="25.2" x14ac:dyDescent="0.3">
      <c r="A227" s="109" t="s">
        <v>7299</v>
      </c>
      <c r="B227" s="109" t="s">
        <v>6232</v>
      </c>
      <c r="C227" s="109" t="s">
        <v>6232</v>
      </c>
      <c r="D227" s="109" t="s">
        <v>192</v>
      </c>
      <c r="E227" s="109" t="s">
        <v>5558</v>
      </c>
      <c r="F227" s="109" t="s">
        <v>7300</v>
      </c>
      <c r="G227" s="110" t="s">
        <v>6248</v>
      </c>
      <c r="H227" s="110" t="s">
        <v>7301</v>
      </c>
      <c r="I227" s="110" t="s">
        <v>7302</v>
      </c>
    </row>
    <row r="228" spans="1:9" ht="63" x14ac:dyDescent="0.3">
      <c r="A228" s="109" t="s">
        <v>7303</v>
      </c>
      <c r="B228" s="109" t="s">
        <v>6232</v>
      </c>
      <c r="C228" s="109" t="s">
        <v>6232</v>
      </c>
      <c r="D228" s="109" t="s">
        <v>7304</v>
      </c>
      <c r="E228" s="109" t="s">
        <v>7304</v>
      </c>
      <c r="F228" s="109" t="s">
        <v>7305</v>
      </c>
      <c r="G228" s="110" t="s">
        <v>6248</v>
      </c>
      <c r="H228" s="110" t="s">
        <v>7306</v>
      </c>
      <c r="I228" s="110" t="s">
        <v>7307</v>
      </c>
    </row>
    <row r="229" spans="1:9" ht="63" x14ac:dyDescent="0.3">
      <c r="A229" s="109" t="s">
        <v>7308</v>
      </c>
      <c r="B229" s="109" t="s">
        <v>6232</v>
      </c>
      <c r="C229" s="109" t="s">
        <v>6232</v>
      </c>
      <c r="D229" s="109" t="s">
        <v>7309</v>
      </c>
      <c r="E229" s="109" t="s">
        <v>7309</v>
      </c>
      <c r="F229" s="109" t="s">
        <v>7310</v>
      </c>
      <c r="G229" s="110" t="s">
        <v>6248</v>
      </c>
      <c r="H229" s="110" t="s">
        <v>7311</v>
      </c>
      <c r="I229" s="110" t="s">
        <v>7312</v>
      </c>
    </row>
    <row r="230" spans="1:9" ht="63" x14ac:dyDescent="0.3">
      <c r="A230" s="109" t="s">
        <v>7313</v>
      </c>
      <c r="B230" s="109" t="s">
        <v>6232</v>
      </c>
      <c r="C230" s="109" t="s">
        <v>6232</v>
      </c>
      <c r="D230" s="109" t="s">
        <v>7314</v>
      </c>
      <c r="E230" s="109" t="s">
        <v>7314</v>
      </c>
      <c r="F230" s="109" t="s">
        <v>7315</v>
      </c>
      <c r="G230" s="110" t="s">
        <v>6248</v>
      </c>
      <c r="H230" s="110" t="s">
        <v>7316</v>
      </c>
      <c r="I230" s="110" t="s">
        <v>7317</v>
      </c>
    </row>
    <row r="231" spans="1:9" ht="25.2" x14ac:dyDescent="0.3">
      <c r="A231" s="109" t="s">
        <v>7318</v>
      </c>
      <c r="B231" s="109" t="s">
        <v>6232</v>
      </c>
      <c r="C231" s="109" t="s">
        <v>6232</v>
      </c>
      <c r="D231" s="109" t="s">
        <v>7319</v>
      </c>
      <c r="E231" s="109" t="s">
        <v>5558</v>
      </c>
      <c r="F231" s="109" t="s">
        <v>7320</v>
      </c>
      <c r="G231" s="110" t="s">
        <v>6248</v>
      </c>
      <c r="H231" s="110" t="s">
        <v>7321</v>
      </c>
      <c r="I231" s="110" t="s">
        <v>7322</v>
      </c>
    </row>
    <row r="232" spans="1:9" ht="63" x14ac:dyDescent="0.3">
      <c r="A232" s="109" t="s">
        <v>7323</v>
      </c>
      <c r="B232" s="109" t="s">
        <v>6232</v>
      </c>
      <c r="C232" s="109" t="s">
        <v>6232</v>
      </c>
      <c r="D232" s="109" t="s">
        <v>7324</v>
      </c>
      <c r="E232" s="109" t="s">
        <v>7324</v>
      </c>
      <c r="F232" s="109" t="s">
        <v>7325</v>
      </c>
      <c r="G232" s="110" t="s">
        <v>6248</v>
      </c>
      <c r="H232" s="110" t="s">
        <v>7326</v>
      </c>
      <c r="I232" s="110" t="s">
        <v>7327</v>
      </c>
    </row>
    <row r="233" spans="1:9" ht="37.799999999999997" x14ac:dyDescent="0.3">
      <c r="A233" s="109" t="s">
        <v>7328</v>
      </c>
      <c r="B233" s="109" t="s">
        <v>6232</v>
      </c>
      <c r="C233" s="109" t="s">
        <v>6232</v>
      </c>
      <c r="D233" s="109" t="s">
        <v>7329</v>
      </c>
      <c r="E233" s="109" t="s">
        <v>5558</v>
      </c>
      <c r="F233" s="109" t="s">
        <v>7330</v>
      </c>
      <c r="G233" s="110" t="s">
        <v>6248</v>
      </c>
      <c r="H233" s="110" t="s">
        <v>6689</v>
      </c>
      <c r="I233" s="110" t="s">
        <v>7331</v>
      </c>
    </row>
    <row r="234" spans="1:9" ht="63" x14ac:dyDescent="0.3">
      <c r="A234" s="109" t="s">
        <v>7332</v>
      </c>
      <c r="B234" s="109" t="s">
        <v>6232</v>
      </c>
      <c r="C234" s="109" t="s">
        <v>6232</v>
      </c>
      <c r="D234" s="109" t="s">
        <v>7333</v>
      </c>
      <c r="E234" s="109" t="s">
        <v>7333</v>
      </c>
      <c r="F234" s="109" t="s">
        <v>7334</v>
      </c>
      <c r="G234" s="110" t="s">
        <v>6248</v>
      </c>
      <c r="H234" s="110" t="s">
        <v>7321</v>
      </c>
      <c r="I234" s="110" t="s">
        <v>7335</v>
      </c>
    </row>
    <row r="235" spans="1:9" ht="37.799999999999997" x14ac:dyDescent="0.3">
      <c r="A235" s="109" t="s">
        <v>7336</v>
      </c>
      <c r="B235" s="109" t="s">
        <v>6232</v>
      </c>
      <c r="C235" s="109" t="s">
        <v>6232</v>
      </c>
      <c r="D235" s="109" t="s">
        <v>7337</v>
      </c>
      <c r="E235" s="109" t="s">
        <v>5558</v>
      </c>
      <c r="F235" s="109" t="s">
        <v>7338</v>
      </c>
      <c r="G235" s="110" t="s">
        <v>6248</v>
      </c>
      <c r="H235" s="110" t="s">
        <v>7339</v>
      </c>
      <c r="I235" s="110" t="s">
        <v>7340</v>
      </c>
    </row>
    <row r="236" spans="1:9" ht="63" x14ac:dyDescent="0.3">
      <c r="A236" s="109" t="s">
        <v>7341</v>
      </c>
      <c r="B236" s="109" t="s">
        <v>6232</v>
      </c>
      <c r="C236" s="109" t="s">
        <v>6232</v>
      </c>
      <c r="D236" s="109" t="s">
        <v>7342</v>
      </c>
      <c r="E236" s="109" t="s">
        <v>7342</v>
      </c>
      <c r="F236" s="109" t="s">
        <v>7343</v>
      </c>
      <c r="G236" s="110" t="s">
        <v>6248</v>
      </c>
      <c r="H236" s="110" t="s">
        <v>7344</v>
      </c>
      <c r="I236" s="110" t="s">
        <v>7345</v>
      </c>
    </row>
    <row r="237" spans="1:9" ht="63" x14ac:dyDescent="0.3">
      <c r="A237" s="109" t="s">
        <v>7346</v>
      </c>
      <c r="B237" s="109" t="s">
        <v>6232</v>
      </c>
      <c r="C237" s="109" t="s">
        <v>6232</v>
      </c>
      <c r="D237" s="109" t="s">
        <v>7347</v>
      </c>
      <c r="E237" s="109" t="s">
        <v>7347</v>
      </c>
      <c r="F237" s="109" t="s">
        <v>7348</v>
      </c>
      <c r="G237" s="110" t="s">
        <v>6248</v>
      </c>
      <c r="H237" s="110" t="s">
        <v>7349</v>
      </c>
      <c r="I237" s="110" t="s">
        <v>7350</v>
      </c>
    </row>
    <row r="238" spans="1:9" ht="25.2" x14ac:dyDescent="0.3">
      <c r="A238" s="109" t="s">
        <v>7351</v>
      </c>
      <c r="B238" s="109" t="s">
        <v>6232</v>
      </c>
      <c r="C238" s="109" t="s">
        <v>6232</v>
      </c>
      <c r="D238" s="109" t="s">
        <v>7352</v>
      </c>
      <c r="E238" s="109" t="s">
        <v>5558</v>
      </c>
      <c r="F238" s="109" t="s">
        <v>7353</v>
      </c>
      <c r="G238" s="110" t="s">
        <v>6248</v>
      </c>
      <c r="H238" s="110" t="s">
        <v>7354</v>
      </c>
      <c r="I238" s="110" t="s">
        <v>7355</v>
      </c>
    </row>
    <row r="239" spans="1:9" ht="25.2" x14ac:dyDescent="0.3">
      <c r="A239" s="109" t="s">
        <v>7356</v>
      </c>
      <c r="B239" s="109" t="s">
        <v>6232</v>
      </c>
      <c r="C239" s="109" t="s">
        <v>6232</v>
      </c>
      <c r="D239" s="109" t="s">
        <v>7357</v>
      </c>
      <c r="E239" s="109" t="s">
        <v>5558</v>
      </c>
      <c r="F239" s="109" t="s">
        <v>7358</v>
      </c>
      <c r="G239" s="110" t="s">
        <v>6248</v>
      </c>
      <c r="H239" s="110" t="s">
        <v>7359</v>
      </c>
      <c r="I239" s="110" t="s">
        <v>7360</v>
      </c>
    </row>
    <row r="240" spans="1:9" ht="50.4" x14ac:dyDescent="0.3">
      <c r="A240" s="109" t="s">
        <v>7361</v>
      </c>
      <c r="B240" s="109" t="s">
        <v>6232</v>
      </c>
      <c r="C240" s="109" t="s">
        <v>6232</v>
      </c>
      <c r="D240" s="109" t="s">
        <v>7362</v>
      </c>
      <c r="E240" s="109" t="s">
        <v>5558</v>
      </c>
      <c r="F240" s="109" t="s">
        <v>7363</v>
      </c>
      <c r="G240" s="110" t="s">
        <v>6248</v>
      </c>
      <c r="H240" s="110" t="s">
        <v>7364</v>
      </c>
      <c r="I240" s="110" t="s">
        <v>7365</v>
      </c>
    </row>
    <row r="241" spans="1:9" ht="25.2" x14ac:dyDescent="0.3">
      <c r="A241" s="109" t="s">
        <v>7366</v>
      </c>
      <c r="B241" s="109" t="s">
        <v>6232</v>
      </c>
      <c r="C241" s="109" t="s">
        <v>6232</v>
      </c>
      <c r="D241" s="109" t="s">
        <v>7367</v>
      </c>
      <c r="E241" s="109" t="s">
        <v>5558</v>
      </c>
      <c r="F241" s="109" t="s">
        <v>7368</v>
      </c>
      <c r="G241" s="110" t="s">
        <v>6248</v>
      </c>
      <c r="H241" s="110" t="s">
        <v>7369</v>
      </c>
      <c r="I241" s="110" t="s">
        <v>7370</v>
      </c>
    </row>
    <row r="242" spans="1:9" ht="25.2" x14ac:dyDescent="0.3">
      <c r="A242" s="109" t="s">
        <v>7371</v>
      </c>
      <c r="B242" s="109" t="s">
        <v>6232</v>
      </c>
      <c r="C242" s="109" t="s">
        <v>6232</v>
      </c>
      <c r="D242" s="109" t="s">
        <v>7372</v>
      </c>
      <c r="E242" s="109" t="s">
        <v>7373</v>
      </c>
      <c r="F242" s="109" t="s">
        <v>7374</v>
      </c>
      <c r="G242" s="110" t="s">
        <v>6248</v>
      </c>
      <c r="H242" s="110" t="s">
        <v>7375</v>
      </c>
      <c r="I242" s="110" t="s">
        <v>7376</v>
      </c>
    </row>
    <row r="243" spans="1:9" ht="63" x14ac:dyDescent="0.3">
      <c r="A243" s="109" t="s">
        <v>7377</v>
      </c>
      <c r="B243" s="109" t="s">
        <v>6232</v>
      </c>
      <c r="C243" s="109" t="s">
        <v>6232</v>
      </c>
      <c r="D243" s="109" t="s">
        <v>7378</v>
      </c>
      <c r="E243" s="109" t="s">
        <v>7378</v>
      </c>
      <c r="F243" s="109" t="s">
        <v>7379</v>
      </c>
      <c r="G243" s="110" t="s">
        <v>6248</v>
      </c>
      <c r="H243" s="110" t="s">
        <v>7380</v>
      </c>
      <c r="I243" s="110" t="s">
        <v>7381</v>
      </c>
    </row>
    <row r="244" spans="1:9" ht="25.2" x14ac:dyDescent="0.3">
      <c r="A244" s="109" t="s">
        <v>7382</v>
      </c>
      <c r="B244" s="109" t="s">
        <v>6232</v>
      </c>
      <c r="C244" s="109" t="s">
        <v>6232</v>
      </c>
      <c r="D244" s="109" t="s">
        <v>7383</v>
      </c>
      <c r="E244" s="109" t="s">
        <v>5558</v>
      </c>
      <c r="F244" s="109" t="s">
        <v>7384</v>
      </c>
      <c r="G244" s="110" t="s">
        <v>6248</v>
      </c>
      <c r="H244" s="110" t="s">
        <v>7221</v>
      </c>
      <c r="I244" s="110" t="s">
        <v>7385</v>
      </c>
    </row>
    <row r="245" spans="1:9" ht="37.799999999999997" x14ac:dyDescent="0.3">
      <c r="A245" s="109" t="s">
        <v>7386</v>
      </c>
      <c r="B245" s="109" t="s">
        <v>6232</v>
      </c>
      <c r="C245" s="109" t="s">
        <v>6232</v>
      </c>
      <c r="D245" s="109" t="s">
        <v>7387</v>
      </c>
      <c r="E245" s="109" t="s">
        <v>5558</v>
      </c>
      <c r="F245" s="109" t="s">
        <v>7388</v>
      </c>
      <c r="G245" s="110" t="s">
        <v>6248</v>
      </c>
      <c r="H245" s="110" t="s">
        <v>7389</v>
      </c>
      <c r="I245" s="110" t="s">
        <v>7390</v>
      </c>
    </row>
    <row r="246" spans="1:9" ht="37.799999999999997" x14ac:dyDescent="0.3">
      <c r="A246" s="109" t="s">
        <v>7391</v>
      </c>
      <c r="B246" s="109" t="s">
        <v>6232</v>
      </c>
      <c r="C246" s="109" t="s">
        <v>6232</v>
      </c>
      <c r="D246" s="109" t="s">
        <v>7392</v>
      </c>
      <c r="E246" s="109" t="s">
        <v>7393</v>
      </c>
      <c r="F246" s="109" t="s">
        <v>7394</v>
      </c>
      <c r="G246" s="110" t="s">
        <v>6248</v>
      </c>
      <c r="H246" s="110" t="s">
        <v>7395</v>
      </c>
      <c r="I246" s="110" t="s">
        <v>7396</v>
      </c>
    </row>
    <row r="247" spans="1:9" ht="37.799999999999997" x14ac:dyDescent="0.3">
      <c r="A247" s="109" t="s">
        <v>7397</v>
      </c>
      <c r="B247" s="109" t="s">
        <v>6232</v>
      </c>
      <c r="C247" s="109" t="s">
        <v>6232</v>
      </c>
      <c r="D247" s="109" t="s">
        <v>7398</v>
      </c>
      <c r="E247" s="109" t="s">
        <v>5558</v>
      </c>
      <c r="F247" s="109" t="s">
        <v>7399</v>
      </c>
      <c r="G247" s="110" t="s">
        <v>6248</v>
      </c>
      <c r="H247" s="110" t="s">
        <v>6278</v>
      </c>
      <c r="I247" s="110" t="s">
        <v>7400</v>
      </c>
    </row>
    <row r="248" spans="1:9" ht="50.4" x14ac:dyDescent="0.3">
      <c r="A248" s="109" t="s">
        <v>7401</v>
      </c>
      <c r="B248" s="109" t="s">
        <v>6232</v>
      </c>
      <c r="C248" s="109" t="s">
        <v>6232</v>
      </c>
      <c r="D248" s="109" t="s">
        <v>7402</v>
      </c>
      <c r="E248" s="109" t="s">
        <v>7402</v>
      </c>
      <c r="F248" s="109" t="s">
        <v>7403</v>
      </c>
      <c r="G248" s="110" t="s">
        <v>6248</v>
      </c>
      <c r="H248" s="110" t="s">
        <v>7404</v>
      </c>
      <c r="I248" s="110" t="s">
        <v>7405</v>
      </c>
    </row>
    <row r="249" spans="1:9" ht="50.4" x14ac:dyDescent="0.3">
      <c r="A249" s="109" t="s">
        <v>7406</v>
      </c>
      <c r="B249" s="109" t="s">
        <v>6232</v>
      </c>
      <c r="C249" s="109" t="s">
        <v>6232</v>
      </c>
      <c r="D249" s="109" t="s">
        <v>7407</v>
      </c>
      <c r="E249" s="109" t="s">
        <v>7407</v>
      </c>
      <c r="F249" s="109" t="s">
        <v>7408</v>
      </c>
      <c r="G249" s="110" t="s">
        <v>6248</v>
      </c>
      <c r="H249" s="110" t="s">
        <v>7409</v>
      </c>
      <c r="I249" s="110" t="s">
        <v>7410</v>
      </c>
    </row>
    <row r="250" spans="1:9" ht="50.4" x14ac:dyDescent="0.3">
      <c r="A250" s="109" t="s">
        <v>7411</v>
      </c>
      <c r="B250" s="109" t="s">
        <v>6232</v>
      </c>
      <c r="C250" s="109" t="s">
        <v>6232</v>
      </c>
      <c r="D250" s="109" t="s">
        <v>7412</v>
      </c>
      <c r="E250" s="109" t="s">
        <v>7412</v>
      </c>
      <c r="F250" s="109" t="s">
        <v>7413</v>
      </c>
      <c r="G250" s="110" t="s">
        <v>6248</v>
      </c>
      <c r="H250" s="110" t="s">
        <v>7414</v>
      </c>
      <c r="I250" s="110" t="s">
        <v>7415</v>
      </c>
    </row>
    <row r="251" spans="1:9" ht="50.4" x14ac:dyDescent="0.3">
      <c r="A251" s="109" t="s">
        <v>7416</v>
      </c>
      <c r="B251" s="109" t="s">
        <v>6232</v>
      </c>
      <c r="C251" s="109" t="s">
        <v>6232</v>
      </c>
      <c r="D251" s="109" t="s">
        <v>7417</v>
      </c>
      <c r="E251" s="109" t="s">
        <v>7417</v>
      </c>
      <c r="F251" s="109" t="s">
        <v>7418</v>
      </c>
      <c r="G251" s="110" t="s">
        <v>6248</v>
      </c>
      <c r="H251" s="110" t="s">
        <v>7221</v>
      </c>
      <c r="I251" s="110" t="s">
        <v>7419</v>
      </c>
    </row>
    <row r="252" spans="1:9" ht="25.2" x14ac:dyDescent="0.3">
      <c r="A252" s="109" t="s">
        <v>7420</v>
      </c>
      <c r="B252" s="109" t="s">
        <v>6232</v>
      </c>
      <c r="C252" s="109" t="s">
        <v>6232</v>
      </c>
      <c r="D252" s="109" t="s">
        <v>7421</v>
      </c>
      <c r="E252" s="109" t="s">
        <v>5558</v>
      </c>
      <c r="F252" s="109" t="s">
        <v>7422</v>
      </c>
      <c r="G252" s="110" t="s">
        <v>6248</v>
      </c>
      <c r="H252" s="110" t="s">
        <v>7423</v>
      </c>
      <c r="I252" s="110" t="s">
        <v>7424</v>
      </c>
    </row>
    <row r="253" spans="1:9" ht="25.2" x14ac:dyDescent="0.3">
      <c r="A253" s="109" t="s">
        <v>7425</v>
      </c>
      <c r="B253" s="109" t="s">
        <v>6232</v>
      </c>
      <c r="C253" s="109" t="s">
        <v>6232</v>
      </c>
      <c r="D253" s="109" t="s">
        <v>7426</v>
      </c>
      <c r="E253" s="109" t="s">
        <v>7427</v>
      </c>
      <c r="F253" s="109" t="s">
        <v>5783</v>
      </c>
      <c r="G253" s="110" t="s">
        <v>6248</v>
      </c>
      <c r="H253" s="110" t="s">
        <v>7428</v>
      </c>
      <c r="I253" s="110" t="s">
        <v>7429</v>
      </c>
    </row>
    <row r="254" spans="1:9" ht="25.2" x14ac:dyDescent="0.3">
      <c r="A254" s="109" t="s">
        <v>7430</v>
      </c>
      <c r="B254" s="109" t="s">
        <v>6232</v>
      </c>
      <c r="C254" s="109" t="s">
        <v>6232</v>
      </c>
      <c r="D254" s="109" t="s">
        <v>7431</v>
      </c>
      <c r="E254" s="109" t="s">
        <v>7432</v>
      </c>
      <c r="F254" s="109" t="s">
        <v>5783</v>
      </c>
      <c r="G254" s="110" t="s">
        <v>6248</v>
      </c>
      <c r="H254" s="110" t="s">
        <v>7433</v>
      </c>
      <c r="I254" s="110" t="s">
        <v>7434</v>
      </c>
    </row>
    <row r="255" spans="1:9" ht="50.4" x14ac:dyDescent="0.3">
      <c r="A255" s="109" t="s">
        <v>7435</v>
      </c>
      <c r="B255" s="109" t="s">
        <v>6232</v>
      </c>
      <c r="C255" s="109" t="s">
        <v>6232</v>
      </c>
      <c r="D255" s="109" t="s">
        <v>7436</v>
      </c>
      <c r="E255" s="109" t="s">
        <v>7436</v>
      </c>
      <c r="F255" s="109" t="s">
        <v>7437</v>
      </c>
      <c r="G255" s="110" t="s">
        <v>6248</v>
      </c>
      <c r="H255" s="110" t="s">
        <v>7438</v>
      </c>
      <c r="I255" s="110" t="s">
        <v>7439</v>
      </c>
    </row>
    <row r="256" spans="1:9" ht="50.4" x14ac:dyDescent="0.3">
      <c r="A256" s="109" t="s">
        <v>7440</v>
      </c>
      <c r="B256" s="109" t="s">
        <v>6232</v>
      </c>
      <c r="C256" s="109" t="s">
        <v>6232</v>
      </c>
      <c r="D256" s="109" t="s">
        <v>7441</v>
      </c>
      <c r="E256" s="109" t="s">
        <v>7441</v>
      </c>
      <c r="F256" s="109" t="s">
        <v>7442</v>
      </c>
      <c r="G256" s="110" t="s">
        <v>6248</v>
      </c>
      <c r="H256" s="110" t="s">
        <v>7443</v>
      </c>
      <c r="I256" s="110" t="s">
        <v>7444</v>
      </c>
    </row>
    <row r="257" spans="1:9" ht="50.4" x14ac:dyDescent="0.3">
      <c r="A257" s="109" t="s">
        <v>7445</v>
      </c>
      <c r="B257" s="109" t="s">
        <v>6232</v>
      </c>
      <c r="C257" s="109" t="s">
        <v>6232</v>
      </c>
      <c r="D257" s="109" t="s">
        <v>7446</v>
      </c>
      <c r="E257" s="109" t="s">
        <v>7446</v>
      </c>
      <c r="F257" s="109" t="s">
        <v>7447</v>
      </c>
      <c r="G257" s="110" t="s">
        <v>6248</v>
      </c>
      <c r="H257" s="110" t="s">
        <v>7448</v>
      </c>
      <c r="I257" s="110" t="s">
        <v>7449</v>
      </c>
    </row>
    <row r="258" spans="1:9" ht="50.4" x14ac:dyDescent="0.3">
      <c r="A258" s="109" t="s">
        <v>7450</v>
      </c>
      <c r="B258" s="109" t="s">
        <v>6232</v>
      </c>
      <c r="C258" s="109" t="s">
        <v>6232</v>
      </c>
      <c r="D258" s="109" t="s">
        <v>7451</v>
      </c>
      <c r="E258" s="109" t="s">
        <v>7451</v>
      </c>
      <c r="F258" s="109" t="s">
        <v>7452</v>
      </c>
      <c r="G258" s="110" t="s">
        <v>6248</v>
      </c>
      <c r="H258" s="110" t="s">
        <v>7453</v>
      </c>
      <c r="I258" s="110" t="s">
        <v>7454</v>
      </c>
    </row>
    <row r="259" spans="1:9" ht="50.4" x14ac:dyDescent="0.3">
      <c r="A259" s="109" t="s">
        <v>7455</v>
      </c>
      <c r="B259" s="109" t="s">
        <v>6232</v>
      </c>
      <c r="C259" s="109" t="s">
        <v>6232</v>
      </c>
      <c r="D259" s="109" t="s">
        <v>7456</v>
      </c>
      <c r="E259" s="109" t="s">
        <v>7456</v>
      </c>
      <c r="F259" s="109" t="s">
        <v>7457</v>
      </c>
      <c r="G259" s="110" t="s">
        <v>6248</v>
      </c>
      <c r="H259" s="110" t="s">
        <v>7458</v>
      </c>
      <c r="I259" s="110" t="s">
        <v>7459</v>
      </c>
    </row>
    <row r="260" spans="1:9" ht="50.4" x14ac:dyDescent="0.3">
      <c r="A260" s="109" t="s">
        <v>7460</v>
      </c>
      <c r="B260" s="109" t="s">
        <v>6232</v>
      </c>
      <c r="C260" s="109" t="s">
        <v>6232</v>
      </c>
      <c r="D260" s="109" t="s">
        <v>7461</v>
      </c>
      <c r="E260" s="109" t="s">
        <v>7461</v>
      </c>
      <c r="F260" s="109" t="s">
        <v>7462</v>
      </c>
      <c r="G260" s="110" t="s">
        <v>6248</v>
      </c>
      <c r="H260" s="110" t="s">
        <v>7463</v>
      </c>
      <c r="I260" s="110" t="s">
        <v>7464</v>
      </c>
    </row>
    <row r="261" spans="1:9" ht="25.2" x14ac:dyDescent="0.3">
      <c r="A261" s="109" t="s">
        <v>7465</v>
      </c>
      <c r="B261" s="109" t="s">
        <v>6232</v>
      </c>
      <c r="C261" s="109" t="s">
        <v>6232</v>
      </c>
      <c r="D261" s="109" t="s">
        <v>7466</v>
      </c>
      <c r="E261" s="109" t="s">
        <v>7467</v>
      </c>
      <c r="F261" s="109" t="s">
        <v>7468</v>
      </c>
      <c r="G261" s="110" t="s">
        <v>6248</v>
      </c>
      <c r="H261" s="110" t="s">
        <v>7469</v>
      </c>
      <c r="I261" s="110" t="s">
        <v>7470</v>
      </c>
    </row>
    <row r="262" spans="1:9" ht="50.4" x14ac:dyDescent="0.3">
      <c r="A262" s="109" t="s">
        <v>7471</v>
      </c>
      <c r="B262" s="109" t="s">
        <v>6232</v>
      </c>
      <c r="C262" s="109" t="s">
        <v>6232</v>
      </c>
      <c r="D262" s="109" t="s">
        <v>7472</v>
      </c>
      <c r="E262" s="109" t="s">
        <v>7472</v>
      </c>
      <c r="F262" s="109" t="s">
        <v>7473</v>
      </c>
      <c r="G262" s="110" t="s">
        <v>6248</v>
      </c>
      <c r="H262" s="110" t="s">
        <v>7474</v>
      </c>
      <c r="I262" s="110" t="s">
        <v>7475</v>
      </c>
    </row>
    <row r="263" spans="1:9" ht="25.2" x14ac:dyDescent="0.3">
      <c r="A263" s="109" t="s">
        <v>7476</v>
      </c>
      <c r="B263" s="109" t="s">
        <v>6232</v>
      </c>
      <c r="C263" s="109" t="s">
        <v>6232</v>
      </c>
      <c r="D263" s="109" t="s">
        <v>7477</v>
      </c>
      <c r="E263" s="109" t="s">
        <v>7478</v>
      </c>
      <c r="F263" s="109" t="s">
        <v>7479</v>
      </c>
      <c r="G263" s="110" t="s">
        <v>6248</v>
      </c>
      <c r="H263" s="110" t="s">
        <v>7480</v>
      </c>
      <c r="I263" s="110" t="s">
        <v>7481</v>
      </c>
    </row>
    <row r="264" spans="1:9" ht="50.4" x14ac:dyDescent="0.3">
      <c r="A264" s="109" t="s">
        <v>7482</v>
      </c>
      <c r="B264" s="109" t="s">
        <v>6232</v>
      </c>
      <c r="C264" s="109" t="s">
        <v>6232</v>
      </c>
      <c r="D264" s="109" t="s">
        <v>7483</v>
      </c>
      <c r="E264" s="109" t="s">
        <v>7483</v>
      </c>
      <c r="F264" s="109" t="s">
        <v>7484</v>
      </c>
      <c r="G264" s="110" t="s">
        <v>6248</v>
      </c>
      <c r="H264" s="110" t="s">
        <v>7485</v>
      </c>
      <c r="I264" s="110" t="s">
        <v>7486</v>
      </c>
    </row>
    <row r="265" spans="1:9" ht="50.4" x14ac:dyDescent="0.3">
      <c r="A265" s="109" t="s">
        <v>7487</v>
      </c>
      <c r="B265" s="109" t="s">
        <v>6232</v>
      </c>
      <c r="C265" s="109" t="s">
        <v>6232</v>
      </c>
      <c r="D265" s="109" t="s">
        <v>7488</v>
      </c>
      <c r="E265" s="109" t="s">
        <v>7488</v>
      </c>
      <c r="F265" s="109" t="s">
        <v>7489</v>
      </c>
      <c r="G265" s="110" t="s">
        <v>6248</v>
      </c>
      <c r="H265" s="110" t="s">
        <v>7490</v>
      </c>
      <c r="I265" s="110" t="s">
        <v>7491</v>
      </c>
    </row>
    <row r="266" spans="1:9" ht="50.4" x14ac:dyDescent="0.3">
      <c r="A266" s="109" t="s">
        <v>7492</v>
      </c>
      <c r="B266" s="109" t="s">
        <v>6232</v>
      </c>
      <c r="C266" s="109" t="s">
        <v>6232</v>
      </c>
      <c r="D266" s="109" t="s">
        <v>7493</v>
      </c>
      <c r="E266" s="109" t="s">
        <v>7493</v>
      </c>
      <c r="F266" s="109" t="s">
        <v>7494</v>
      </c>
      <c r="G266" s="110" t="s">
        <v>6248</v>
      </c>
      <c r="H266" s="110" t="s">
        <v>7495</v>
      </c>
      <c r="I266" s="110" t="s">
        <v>7496</v>
      </c>
    </row>
    <row r="267" spans="1:9" ht="50.4" x14ac:dyDescent="0.3">
      <c r="A267" s="109" t="s">
        <v>7497</v>
      </c>
      <c r="B267" s="109" t="s">
        <v>6232</v>
      </c>
      <c r="C267" s="109" t="s">
        <v>6232</v>
      </c>
      <c r="D267" s="109" t="s">
        <v>7498</v>
      </c>
      <c r="E267" s="109" t="s">
        <v>7498</v>
      </c>
      <c r="F267" s="109" t="s">
        <v>7499</v>
      </c>
      <c r="G267" s="110" t="s">
        <v>6248</v>
      </c>
      <c r="H267" s="110" t="s">
        <v>7500</v>
      </c>
      <c r="I267" s="110" t="s">
        <v>7501</v>
      </c>
    </row>
    <row r="268" spans="1:9" ht="37.799999999999997" x14ac:dyDescent="0.3">
      <c r="A268" s="109" t="s">
        <v>7502</v>
      </c>
      <c r="B268" s="109" t="s">
        <v>6232</v>
      </c>
      <c r="C268" s="109" t="s">
        <v>6232</v>
      </c>
      <c r="D268" s="109" t="s">
        <v>6977</v>
      </c>
      <c r="E268" s="109" t="s">
        <v>6977</v>
      </c>
      <c r="F268" s="109" t="s">
        <v>7503</v>
      </c>
      <c r="G268" s="110" t="s">
        <v>6248</v>
      </c>
      <c r="H268" s="110" t="s">
        <v>7504</v>
      </c>
      <c r="I268" s="110" t="s">
        <v>7505</v>
      </c>
    </row>
    <row r="269" spans="1:9" ht="50.4" x14ac:dyDescent="0.3">
      <c r="A269" s="109" t="s">
        <v>7506</v>
      </c>
      <c r="B269" s="109" t="s">
        <v>6232</v>
      </c>
      <c r="C269" s="109" t="s">
        <v>6232</v>
      </c>
      <c r="D269" s="109" t="s">
        <v>7507</v>
      </c>
      <c r="E269" s="109" t="s">
        <v>7507</v>
      </c>
      <c r="F269" s="109" t="s">
        <v>7508</v>
      </c>
      <c r="G269" s="110" t="s">
        <v>6248</v>
      </c>
      <c r="H269" s="110" t="s">
        <v>7509</v>
      </c>
      <c r="I269" s="110" t="s">
        <v>7510</v>
      </c>
    </row>
    <row r="270" spans="1:9" ht="50.4" x14ac:dyDescent="0.3">
      <c r="A270" s="109" t="s">
        <v>7511</v>
      </c>
      <c r="B270" s="109" t="s">
        <v>6232</v>
      </c>
      <c r="C270" s="109" t="s">
        <v>6232</v>
      </c>
      <c r="D270" s="109" t="s">
        <v>7512</v>
      </c>
      <c r="E270" s="109" t="s">
        <v>7512</v>
      </c>
      <c r="F270" s="109" t="s">
        <v>7513</v>
      </c>
      <c r="G270" s="110" t="s">
        <v>6248</v>
      </c>
      <c r="H270" s="110" t="s">
        <v>7514</v>
      </c>
      <c r="I270" s="110" t="s">
        <v>7515</v>
      </c>
    </row>
    <row r="271" spans="1:9" ht="50.4" x14ac:dyDescent="0.3">
      <c r="A271" s="109" t="s">
        <v>7516</v>
      </c>
      <c r="B271" s="109" t="s">
        <v>6232</v>
      </c>
      <c r="C271" s="109" t="s">
        <v>6232</v>
      </c>
      <c r="D271" s="109" t="s">
        <v>7517</v>
      </c>
      <c r="E271" s="109" t="s">
        <v>7517</v>
      </c>
      <c r="F271" s="109" t="s">
        <v>7518</v>
      </c>
      <c r="G271" s="110" t="s">
        <v>6248</v>
      </c>
      <c r="H271" s="110" t="s">
        <v>7519</v>
      </c>
      <c r="I271" s="110" t="s">
        <v>7520</v>
      </c>
    </row>
    <row r="272" spans="1:9" ht="25.2" x14ac:dyDescent="0.3">
      <c r="A272" s="109" t="s">
        <v>7521</v>
      </c>
      <c r="B272" s="109" t="s">
        <v>6232</v>
      </c>
      <c r="C272" s="109" t="s">
        <v>6232</v>
      </c>
      <c r="D272" s="109" t="s">
        <v>5569</v>
      </c>
      <c r="E272" s="109" t="s">
        <v>5558</v>
      </c>
      <c r="F272" s="109" t="s">
        <v>2258</v>
      </c>
      <c r="G272" s="110" t="s">
        <v>6248</v>
      </c>
      <c r="H272" s="110" t="s">
        <v>7522</v>
      </c>
      <c r="I272" s="110" t="s">
        <v>7523</v>
      </c>
    </row>
    <row r="273" spans="1:9" ht="50.4" x14ac:dyDescent="0.3">
      <c r="A273" s="109" t="s">
        <v>7524</v>
      </c>
      <c r="B273" s="109" t="s">
        <v>6232</v>
      </c>
      <c r="C273" s="109" t="s">
        <v>6232</v>
      </c>
      <c r="D273" s="109" t="s">
        <v>7525</v>
      </c>
      <c r="E273" s="109" t="s">
        <v>7525</v>
      </c>
      <c r="F273" s="109" t="s">
        <v>7526</v>
      </c>
      <c r="G273" s="110" t="s">
        <v>6248</v>
      </c>
      <c r="H273" s="110" t="s">
        <v>7527</v>
      </c>
      <c r="I273" s="110" t="s">
        <v>7528</v>
      </c>
    </row>
    <row r="274" spans="1:9" ht="50.4" x14ac:dyDescent="0.3">
      <c r="A274" s="109" t="s">
        <v>7529</v>
      </c>
      <c r="B274" s="109" t="s">
        <v>6232</v>
      </c>
      <c r="C274" s="109" t="s">
        <v>6232</v>
      </c>
      <c r="D274" s="109" t="s">
        <v>7530</v>
      </c>
      <c r="E274" s="109" t="s">
        <v>7530</v>
      </c>
      <c r="F274" s="109" t="s">
        <v>7531</v>
      </c>
      <c r="G274" s="110" t="s">
        <v>6248</v>
      </c>
      <c r="H274" s="110" t="s">
        <v>7532</v>
      </c>
      <c r="I274" s="110" t="s">
        <v>7533</v>
      </c>
    </row>
    <row r="275" spans="1:9" ht="50.4" x14ac:dyDescent="0.3">
      <c r="A275" s="109" t="s">
        <v>7534</v>
      </c>
      <c r="B275" s="109" t="s">
        <v>6232</v>
      </c>
      <c r="C275" s="109" t="s">
        <v>6232</v>
      </c>
      <c r="D275" s="109" t="s">
        <v>7535</v>
      </c>
      <c r="E275" s="109" t="s">
        <v>7535</v>
      </c>
      <c r="F275" s="109" t="s">
        <v>7536</v>
      </c>
      <c r="G275" s="110" t="s">
        <v>6248</v>
      </c>
      <c r="H275" s="110" t="s">
        <v>7537</v>
      </c>
      <c r="I275" s="110" t="s">
        <v>7538</v>
      </c>
    </row>
    <row r="276" spans="1:9" ht="50.4" x14ac:dyDescent="0.3">
      <c r="A276" s="109" t="s">
        <v>7539</v>
      </c>
      <c r="B276" s="109" t="s">
        <v>6232</v>
      </c>
      <c r="C276" s="109" t="s">
        <v>6232</v>
      </c>
      <c r="D276" s="109" t="s">
        <v>7540</v>
      </c>
      <c r="E276" s="109" t="s">
        <v>7540</v>
      </c>
      <c r="F276" s="109" t="s">
        <v>7541</v>
      </c>
      <c r="G276" s="110" t="s">
        <v>6248</v>
      </c>
      <c r="H276" s="110" t="s">
        <v>7542</v>
      </c>
      <c r="I276" s="110" t="s">
        <v>7543</v>
      </c>
    </row>
    <row r="277" spans="1:9" ht="50.4" x14ac:dyDescent="0.3">
      <c r="A277" s="109" t="s">
        <v>7544</v>
      </c>
      <c r="B277" s="109" t="s">
        <v>6232</v>
      </c>
      <c r="C277" s="109" t="s">
        <v>6232</v>
      </c>
      <c r="D277" s="109" t="s">
        <v>7545</v>
      </c>
      <c r="E277" s="109" t="s">
        <v>7545</v>
      </c>
      <c r="F277" s="109" t="s">
        <v>7546</v>
      </c>
      <c r="G277" s="110" t="s">
        <v>6248</v>
      </c>
      <c r="H277" s="110" t="s">
        <v>7547</v>
      </c>
      <c r="I277" s="110" t="s">
        <v>7548</v>
      </c>
    </row>
    <row r="278" spans="1:9" ht="37.799999999999997" x14ac:dyDescent="0.3">
      <c r="A278" s="109" t="s">
        <v>7549</v>
      </c>
      <c r="B278" s="109" t="s">
        <v>6232</v>
      </c>
      <c r="C278" s="109" t="s">
        <v>6232</v>
      </c>
      <c r="D278" s="109" t="s">
        <v>7550</v>
      </c>
      <c r="E278" s="109" t="s">
        <v>7550</v>
      </c>
      <c r="F278" s="109" t="s">
        <v>7551</v>
      </c>
      <c r="G278" s="110" t="s">
        <v>6248</v>
      </c>
      <c r="H278" s="110" t="s">
        <v>7552</v>
      </c>
      <c r="I278" s="110" t="s">
        <v>7553</v>
      </c>
    </row>
    <row r="279" spans="1:9" ht="50.4" x14ac:dyDescent="0.3">
      <c r="A279" s="109" t="s">
        <v>7554</v>
      </c>
      <c r="B279" s="109" t="s">
        <v>6232</v>
      </c>
      <c r="C279" s="109" t="s">
        <v>6232</v>
      </c>
      <c r="D279" s="109" t="s">
        <v>7555</v>
      </c>
      <c r="E279" s="109" t="s">
        <v>7555</v>
      </c>
      <c r="F279" s="109" t="s">
        <v>7556</v>
      </c>
      <c r="G279" s="110" t="s">
        <v>6248</v>
      </c>
      <c r="H279" s="110" t="s">
        <v>7557</v>
      </c>
      <c r="I279" s="110" t="s">
        <v>7558</v>
      </c>
    </row>
    <row r="280" spans="1:9" ht="37.799999999999997" x14ac:dyDescent="0.3">
      <c r="A280" s="109" t="s">
        <v>7559</v>
      </c>
      <c r="B280" s="109" t="s">
        <v>6232</v>
      </c>
      <c r="C280" s="109" t="s">
        <v>6232</v>
      </c>
      <c r="D280" s="109" t="s">
        <v>7560</v>
      </c>
      <c r="E280" s="109" t="s">
        <v>5558</v>
      </c>
      <c r="F280" s="109" t="s">
        <v>7561</v>
      </c>
      <c r="G280" s="110" t="s">
        <v>6248</v>
      </c>
      <c r="H280" s="110" t="s">
        <v>6689</v>
      </c>
      <c r="I280" s="110" t="s">
        <v>7562</v>
      </c>
    </row>
    <row r="281" spans="1:9" ht="50.4" x14ac:dyDescent="0.3">
      <c r="A281" s="109" t="s">
        <v>7563</v>
      </c>
      <c r="B281" s="109" t="s">
        <v>6232</v>
      </c>
      <c r="C281" s="109" t="s">
        <v>6232</v>
      </c>
      <c r="D281" s="109" t="s">
        <v>7564</v>
      </c>
      <c r="E281" s="109" t="s">
        <v>7564</v>
      </c>
      <c r="F281" s="109" t="s">
        <v>7565</v>
      </c>
      <c r="G281" s="110" t="s">
        <v>6248</v>
      </c>
      <c r="H281" s="110" t="s">
        <v>7566</v>
      </c>
      <c r="I281" s="110" t="s">
        <v>7567</v>
      </c>
    </row>
    <row r="282" spans="1:9" ht="37.799999999999997" x14ac:dyDescent="0.3">
      <c r="A282" s="109" t="s">
        <v>7568</v>
      </c>
      <c r="B282" s="109" t="s">
        <v>6232</v>
      </c>
      <c r="C282" s="109" t="s">
        <v>6232</v>
      </c>
      <c r="D282" s="109" t="s">
        <v>7569</v>
      </c>
      <c r="E282" s="109" t="s">
        <v>7570</v>
      </c>
      <c r="F282" s="109" t="s">
        <v>7571</v>
      </c>
      <c r="G282" s="110" t="s">
        <v>6248</v>
      </c>
      <c r="H282" s="110" t="s">
        <v>7572</v>
      </c>
      <c r="I282" s="110" t="s">
        <v>7573</v>
      </c>
    </row>
    <row r="283" spans="1:9" ht="50.4" x14ac:dyDescent="0.3">
      <c r="A283" s="109" t="s">
        <v>7574</v>
      </c>
      <c r="B283" s="109" t="s">
        <v>6232</v>
      </c>
      <c r="C283" s="109" t="s">
        <v>6232</v>
      </c>
      <c r="D283" s="109" t="s">
        <v>7575</v>
      </c>
      <c r="E283" s="109" t="s">
        <v>7575</v>
      </c>
      <c r="F283" s="109" t="s">
        <v>7576</v>
      </c>
      <c r="G283" s="110" t="s">
        <v>6248</v>
      </c>
      <c r="H283" s="110" t="s">
        <v>6634</v>
      </c>
      <c r="I283" s="110" t="s">
        <v>7577</v>
      </c>
    </row>
    <row r="284" spans="1:9" ht="37.799999999999997" x14ac:dyDescent="0.3">
      <c r="A284" s="109" t="s">
        <v>7578</v>
      </c>
      <c r="B284" s="109" t="s">
        <v>6232</v>
      </c>
      <c r="C284" s="109" t="s">
        <v>6232</v>
      </c>
      <c r="D284" s="109" t="s">
        <v>7579</v>
      </c>
      <c r="E284" s="109" t="s">
        <v>7580</v>
      </c>
      <c r="F284" s="109" t="s">
        <v>7581</v>
      </c>
      <c r="G284" s="110" t="s">
        <v>6248</v>
      </c>
      <c r="H284" s="110" t="s">
        <v>7582</v>
      </c>
      <c r="I284" s="110" t="s">
        <v>7583</v>
      </c>
    </row>
    <row r="285" spans="1:9" ht="50.4" x14ac:dyDescent="0.3">
      <c r="A285" s="109" t="s">
        <v>7584</v>
      </c>
      <c r="B285" s="109" t="s">
        <v>6232</v>
      </c>
      <c r="C285" s="109" t="s">
        <v>6232</v>
      </c>
      <c r="D285" s="109" t="s">
        <v>7585</v>
      </c>
      <c r="E285" s="109" t="s">
        <v>7585</v>
      </c>
      <c r="F285" s="109" t="s">
        <v>7586</v>
      </c>
      <c r="G285" s="110" t="s">
        <v>6248</v>
      </c>
      <c r="H285" s="110" t="s">
        <v>7587</v>
      </c>
      <c r="I285" s="110" t="s">
        <v>7588</v>
      </c>
    </row>
    <row r="286" spans="1:9" ht="50.4" x14ac:dyDescent="0.3">
      <c r="A286" s="109" t="s">
        <v>7589</v>
      </c>
      <c r="B286" s="109" t="s">
        <v>6232</v>
      </c>
      <c r="C286" s="109" t="s">
        <v>6232</v>
      </c>
      <c r="D286" s="109" t="s">
        <v>7590</v>
      </c>
      <c r="E286" s="109" t="s">
        <v>7590</v>
      </c>
      <c r="F286" s="109" t="s">
        <v>7591</v>
      </c>
      <c r="G286" s="110" t="s">
        <v>6248</v>
      </c>
      <c r="H286" s="110" t="s">
        <v>7592</v>
      </c>
      <c r="I286" s="110" t="s">
        <v>7593</v>
      </c>
    </row>
    <row r="287" spans="1:9" ht="50.4" x14ac:dyDescent="0.3">
      <c r="A287" s="109" t="s">
        <v>7594</v>
      </c>
      <c r="B287" s="109" t="s">
        <v>6232</v>
      </c>
      <c r="C287" s="109" t="s">
        <v>6232</v>
      </c>
      <c r="D287" s="109" t="s">
        <v>7595</v>
      </c>
      <c r="E287" s="109" t="s">
        <v>7595</v>
      </c>
      <c r="F287" s="109" t="s">
        <v>7596</v>
      </c>
      <c r="G287" s="110" t="s">
        <v>6248</v>
      </c>
      <c r="H287" s="110" t="s">
        <v>7597</v>
      </c>
      <c r="I287" s="110" t="s">
        <v>7598</v>
      </c>
    </row>
    <row r="288" spans="1:9" ht="50.4" x14ac:dyDescent="0.3">
      <c r="A288" s="109" t="s">
        <v>7599</v>
      </c>
      <c r="B288" s="109" t="s">
        <v>6232</v>
      </c>
      <c r="C288" s="109" t="s">
        <v>6232</v>
      </c>
      <c r="D288" s="109" t="s">
        <v>7600</v>
      </c>
      <c r="E288" s="109" t="s">
        <v>7600</v>
      </c>
      <c r="F288" s="109" t="s">
        <v>7601</v>
      </c>
      <c r="G288" s="110" t="s">
        <v>6248</v>
      </c>
      <c r="H288" s="110" t="s">
        <v>7602</v>
      </c>
      <c r="I288" s="110" t="s">
        <v>7603</v>
      </c>
    </row>
    <row r="289" spans="1:9" ht="50.4" x14ac:dyDescent="0.3">
      <c r="A289" s="109" t="s">
        <v>7604</v>
      </c>
      <c r="B289" s="109" t="s">
        <v>6232</v>
      </c>
      <c r="C289" s="109" t="s">
        <v>6232</v>
      </c>
      <c r="D289" s="109" t="s">
        <v>7605</v>
      </c>
      <c r="E289" s="109" t="s">
        <v>7605</v>
      </c>
      <c r="F289" s="109" t="s">
        <v>7606</v>
      </c>
      <c r="G289" s="110" t="s">
        <v>6248</v>
      </c>
      <c r="H289" s="110" t="s">
        <v>7607</v>
      </c>
      <c r="I289" s="110" t="s">
        <v>7608</v>
      </c>
    </row>
    <row r="290" spans="1:9" ht="25.2" x14ac:dyDescent="0.3">
      <c r="A290" s="109" t="s">
        <v>7609</v>
      </c>
      <c r="B290" s="109" t="s">
        <v>6232</v>
      </c>
      <c r="C290" s="109" t="s">
        <v>6232</v>
      </c>
      <c r="D290" s="109" t="s">
        <v>7610</v>
      </c>
      <c r="E290" s="109" t="s">
        <v>7611</v>
      </c>
      <c r="F290" s="109" t="s">
        <v>7612</v>
      </c>
      <c r="G290" s="110" t="s">
        <v>6248</v>
      </c>
      <c r="H290" s="110" t="s">
        <v>7613</v>
      </c>
      <c r="I290" s="110" t="s">
        <v>7614</v>
      </c>
    </row>
    <row r="291" spans="1:9" ht="25.2" x14ac:dyDescent="0.3">
      <c r="A291" s="109" t="s">
        <v>7615</v>
      </c>
      <c r="B291" s="109" t="s">
        <v>6232</v>
      </c>
      <c r="C291" s="109" t="s">
        <v>6232</v>
      </c>
      <c r="D291" s="109" t="s">
        <v>7616</v>
      </c>
      <c r="E291" s="109" t="s">
        <v>7617</v>
      </c>
      <c r="F291" s="109" t="s">
        <v>7618</v>
      </c>
      <c r="G291" s="110" t="s">
        <v>6248</v>
      </c>
      <c r="H291" s="110" t="s">
        <v>7619</v>
      </c>
      <c r="I291" s="110" t="s">
        <v>7620</v>
      </c>
    </row>
    <row r="292" spans="1:9" ht="50.4" x14ac:dyDescent="0.3">
      <c r="A292" s="109" t="s">
        <v>7621</v>
      </c>
      <c r="B292" s="109" t="s">
        <v>6232</v>
      </c>
      <c r="C292" s="109" t="s">
        <v>6232</v>
      </c>
      <c r="D292" s="109" t="s">
        <v>7622</v>
      </c>
      <c r="E292" s="109" t="s">
        <v>7622</v>
      </c>
      <c r="F292" s="109" t="s">
        <v>7623</v>
      </c>
      <c r="G292" s="110" t="s">
        <v>6248</v>
      </c>
      <c r="H292" s="110" t="s">
        <v>7624</v>
      </c>
      <c r="I292" s="110" t="s">
        <v>7625</v>
      </c>
    </row>
    <row r="293" spans="1:9" ht="50.4" x14ac:dyDescent="0.3">
      <c r="A293" s="109" t="s">
        <v>7626</v>
      </c>
      <c r="B293" s="109" t="s">
        <v>6232</v>
      </c>
      <c r="C293" s="109" t="s">
        <v>6232</v>
      </c>
      <c r="D293" s="109" t="s">
        <v>7627</v>
      </c>
      <c r="E293" s="109" t="s">
        <v>7627</v>
      </c>
      <c r="F293" s="109" t="s">
        <v>7628</v>
      </c>
      <c r="G293" s="110" t="s">
        <v>6248</v>
      </c>
      <c r="H293" s="110" t="s">
        <v>7629</v>
      </c>
      <c r="I293" s="110" t="s">
        <v>7630</v>
      </c>
    </row>
    <row r="294" spans="1:9" ht="50.4" x14ac:dyDescent="0.3">
      <c r="A294" s="109" t="s">
        <v>7631</v>
      </c>
      <c r="B294" s="109" t="s">
        <v>6232</v>
      </c>
      <c r="C294" s="109" t="s">
        <v>6232</v>
      </c>
      <c r="D294" s="109" t="s">
        <v>5989</v>
      </c>
      <c r="E294" s="109" t="s">
        <v>5989</v>
      </c>
      <c r="F294" s="109" t="s">
        <v>7632</v>
      </c>
      <c r="G294" s="110" t="s">
        <v>6248</v>
      </c>
      <c r="H294" s="110" t="s">
        <v>7633</v>
      </c>
      <c r="I294" s="110" t="s">
        <v>7634</v>
      </c>
    </row>
    <row r="295" spans="1:9" ht="50.4" x14ac:dyDescent="0.3">
      <c r="A295" s="109" t="s">
        <v>7635</v>
      </c>
      <c r="B295" s="109" t="s">
        <v>6232</v>
      </c>
      <c r="C295" s="109" t="s">
        <v>6232</v>
      </c>
      <c r="D295" s="109" t="s">
        <v>7636</v>
      </c>
      <c r="E295" s="109" t="s">
        <v>7636</v>
      </c>
      <c r="F295" s="109" t="s">
        <v>7637</v>
      </c>
      <c r="G295" s="110" t="s">
        <v>6248</v>
      </c>
      <c r="H295" s="110" t="s">
        <v>7638</v>
      </c>
      <c r="I295" s="110" t="s">
        <v>7639</v>
      </c>
    </row>
    <row r="296" spans="1:9" ht="50.4" x14ac:dyDescent="0.3">
      <c r="A296" s="109" t="s">
        <v>7640</v>
      </c>
      <c r="B296" s="109" t="s">
        <v>6232</v>
      </c>
      <c r="C296" s="109" t="s">
        <v>6232</v>
      </c>
      <c r="D296" s="109" t="s">
        <v>7641</v>
      </c>
      <c r="E296" s="109" t="s">
        <v>7641</v>
      </c>
      <c r="F296" s="109" t="s">
        <v>7642</v>
      </c>
      <c r="G296" s="110" t="s">
        <v>6248</v>
      </c>
      <c r="H296" s="110" t="s">
        <v>7643</v>
      </c>
      <c r="I296" s="110" t="s">
        <v>7644</v>
      </c>
    </row>
    <row r="297" spans="1:9" ht="50.4" x14ac:dyDescent="0.3">
      <c r="A297" s="109" t="s">
        <v>7645</v>
      </c>
      <c r="B297" s="109" t="s">
        <v>6232</v>
      </c>
      <c r="C297" s="109" t="s">
        <v>6232</v>
      </c>
      <c r="D297" s="109" t="s">
        <v>7646</v>
      </c>
      <c r="E297" s="109" t="s">
        <v>7646</v>
      </c>
      <c r="F297" s="109" t="s">
        <v>7647</v>
      </c>
      <c r="G297" s="110" t="s">
        <v>6248</v>
      </c>
      <c r="H297" s="110" t="s">
        <v>7648</v>
      </c>
      <c r="I297" s="110" t="s">
        <v>7649</v>
      </c>
    </row>
    <row r="298" spans="1:9" ht="50.4" x14ac:dyDescent="0.3">
      <c r="A298" s="109" t="s">
        <v>7650</v>
      </c>
      <c r="B298" s="109" t="s">
        <v>6232</v>
      </c>
      <c r="C298" s="109" t="s">
        <v>6232</v>
      </c>
      <c r="D298" s="109" t="s">
        <v>7651</v>
      </c>
      <c r="E298" s="109" t="s">
        <v>7651</v>
      </c>
      <c r="F298" s="109" t="s">
        <v>7652</v>
      </c>
      <c r="G298" s="110" t="s">
        <v>6248</v>
      </c>
      <c r="H298" s="110" t="s">
        <v>7653</v>
      </c>
      <c r="I298" s="110" t="s">
        <v>7654</v>
      </c>
    </row>
    <row r="299" spans="1:9" ht="50.4" x14ac:dyDescent="0.3">
      <c r="A299" s="109" t="s">
        <v>7655</v>
      </c>
      <c r="B299" s="109" t="s">
        <v>6232</v>
      </c>
      <c r="C299" s="109" t="s">
        <v>6232</v>
      </c>
      <c r="D299" s="109" t="s">
        <v>6131</v>
      </c>
      <c r="E299" s="109" t="s">
        <v>6131</v>
      </c>
      <c r="F299" s="109" t="s">
        <v>7656</v>
      </c>
      <c r="G299" s="110" t="s">
        <v>6248</v>
      </c>
      <c r="H299" s="110" t="s">
        <v>7657</v>
      </c>
      <c r="I299" s="110" t="s">
        <v>7658</v>
      </c>
    </row>
    <row r="300" spans="1:9" ht="25.2" x14ac:dyDescent="0.3">
      <c r="A300" s="109" t="s">
        <v>7659</v>
      </c>
      <c r="B300" s="109" t="s">
        <v>6232</v>
      </c>
      <c r="C300" s="109" t="s">
        <v>6232</v>
      </c>
      <c r="D300" s="109" t="s">
        <v>7660</v>
      </c>
      <c r="E300" s="109" t="s">
        <v>5558</v>
      </c>
      <c r="F300" s="109" t="s">
        <v>7661</v>
      </c>
      <c r="G300" s="110" t="s">
        <v>6248</v>
      </c>
      <c r="H300" s="110" t="s">
        <v>6716</v>
      </c>
      <c r="I300" s="110" t="s">
        <v>7662</v>
      </c>
    </row>
    <row r="301" spans="1:9" ht="50.4" x14ac:dyDescent="0.3">
      <c r="A301" s="109" t="s">
        <v>7663</v>
      </c>
      <c r="B301" s="109" t="s">
        <v>6232</v>
      </c>
      <c r="C301" s="109" t="s">
        <v>6232</v>
      </c>
      <c r="D301" s="109" t="s">
        <v>7664</v>
      </c>
      <c r="E301" s="109" t="s">
        <v>7664</v>
      </c>
      <c r="F301" s="109" t="s">
        <v>7665</v>
      </c>
      <c r="G301" s="110" t="s">
        <v>6248</v>
      </c>
      <c r="H301" s="110" t="s">
        <v>7666</v>
      </c>
      <c r="I301" s="110" t="s">
        <v>7667</v>
      </c>
    </row>
    <row r="302" spans="1:9" ht="50.4" x14ac:dyDescent="0.3">
      <c r="A302" s="109" t="s">
        <v>7668</v>
      </c>
      <c r="B302" s="109" t="s">
        <v>6232</v>
      </c>
      <c r="C302" s="109" t="s">
        <v>6232</v>
      </c>
      <c r="D302" s="109" t="s">
        <v>7669</v>
      </c>
      <c r="E302" s="109" t="s">
        <v>7669</v>
      </c>
      <c r="F302" s="109" t="s">
        <v>7670</v>
      </c>
      <c r="G302" s="110" t="s">
        <v>6248</v>
      </c>
      <c r="H302" s="110" t="s">
        <v>7671</v>
      </c>
      <c r="I302" s="110" t="s">
        <v>7672</v>
      </c>
    </row>
    <row r="303" spans="1:9" ht="50.4" x14ac:dyDescent="0.3">
      <c r="A303" s="109" t="s">
        <v>7673</v>
      </c>
      <c r="B303" s="109" t="s">
        <v>6232</v>
      </c>
      <c r="C303" s="109" t="s">
        <v>6232</v>
      </c>
      <c r="D303" s="109" t="s">
        <v>7674</v>
      </c>
      <c r="E303" s="109" t="s">
        <v>7674</v>
      </c>
      <c r="F303" s="109" t="s">
        <v>7675</v>
      </c>
      <c r="G303" s="110" t="s">
        <v>6248</v>
      </c>
      <c r="H303" s="110" t="s">
        <v>7676</v>
      </c>
      <c r="I303" s="110" t="s">
        <v>7677</v>
      </c>
    </row>
    <row r="304" spans="1:9" ht="50.4" x14ac:dyDescent="0.3">
      <c r="A304" s="109" t="s">
        <v>6235</v>
      </c>
      <c r="B304" s="109" t="s">
        <v>6232</v>
      </c>
      <c r="C304" s="109" t="s">
        <v>6232</v>
      </c>
      <c r="D304" s="109" t="s">
        <v>7678</v>
      </c>
      <c r="E304" s="109" t="s">
        <v>7678</v>
      </c>
      <c r="F304" s="109" t="s">
        <v>7679</v>
      </c>
      <c r="G304" s="110" t="s">
        <v>6248</v>
      </c>
      <c r="H304" s="110" t="s">
        <v>7680</v>
      </c>
      <c r="I304" s="110" t="s">
        <v>7681</v>
      </c>
    </row>
    <row r="305" spans="1:9" ht="50.4" x14ac:dyDescent="0.3">
      <c r="A305" s="109" t="s">
        <v>7682</v>
      </c>
      <c r="B305" s="109" t="s">
        <v>6232</v>
      </c>
      <c r="C305" s="109" t="s">
        <v>6232</v>
      </c>
      <c r="D305" s="109" t="s">
        <v>7683</v>
      </c>
      <c r="E305" s="109" t="s">
        <v>7683</v>
      </c>
      <c r="F305" s="109" t="s">
        <v>7684</v>
      </c>
      <c r="G305" s="110" t="s">
        <v>6248</v>
      </c>
      <c r="H305" s="110" t="s">
        <v>7685</v>
      </c>
      <c r="I305" s="110" t="s">
        <v>7686</v>
      </c>
    </row>
    <row r="306" spans="1:9" ht="50.4" x14ac:dyDescent="0.3">
      <c r="A306" s="109" t="s">
        <v>7687</v>
      </c>
      <c r="B306" s="109" t="s">
        <v>6232</v>
      </c>
      <c r="C306" s="109" t="s">
        <v>6232</v>
      </c>
      <c r="D306" s="109" t="s">
        <v>7688</v>
      </c>
      <c r="E306" s="109" t="s">
        <v>7688</v>
      </c>
      <c r="F306" s="109" t="s">
        <v>7689</v>
      </c>
      <c r="G306" s="110" t="s">
        <v>6248</v>
      </c>
      <c r="H306" s="110" t="s">
        <v>7690</v>
      </c>
      <c r="I306" s="110" t="s">
        <v>7691</v>
      </c>
    </row>
    <row r="307" spans="1:9" ht="50.4" x14ac:dyDescent="0.3">
      <c r="A307" s="109" t="s">
        <v>7692</v>
      </c>
      <c r="B307" s="109" t="s">
        <v>6232</v>
      </c>
      <c r="C307" s="109" t="s">
        <v>6232</v>
      </c>
      <c r="D307" s="109" t="s">
        <v>7693</v>
      </c>
      <c r="E307" s="109" t="s">
        <v>7693</v>
      </c>
      <c r="F307" s="109" t="s">
        <v>7694</v>
      </c>
      <c r="G307" s="110" t="s">
        <v>6248</v>
      </c>
      <c r="H307" s="110" t="s">
        <v>7695</v>
      </c>
      <c r="I307" s="110" t="s">
        <v>7696</v>
      </c>
    </row>
    <row r="308" spans="1:9" ht="50.4" x14ac:dyDescent="0.3">
      <c r="A308" s="109" t="s">
        <v>7697</v>
      </c>
      <c r="B308" s="109" t="s">
        <v>6232</v>
      </c>
      <c r="C308" s="109" t="s">
        <v>6232</v>
      </c>
      <c r="D308" s="109" t="s">
        <v>7698</v>
      </c>
      <c r="E308" s="109" t="s">
        <v>7698</v>
      </c>
      <c r="F308" s="109" t="s">
        <v>7699</v>
      </c>
      <c r="G308" s="110" t="s">
        <v>6248</v>
      </c>
      <c r="H308" s="110" t="s">
        <v>7700</v>
      </c>
      <c r="I308" s="110" t="s">
        <v>7701</v>
      </c>
    </row>
    <row r="309" spans="1:9" ht="50.4" x14ac:dyDescent="0.3">
      <c r="A309" s="109" t="s">
        <v>7702</v>
      </c>
      <c r="B309" s="109" t="s">
        <v>6232</v>
      </c>
      <c r="C309" s="109" t="s">
        <v>6232</v>
      </c>
      <c r="D309" s="109" t="s">
        <v>7703</v>
      </c>
      <c r="E309" s="109" t="s">
        <v>7703</v>
      </c>
      <c r="F309" s="109" t="s">
        <v>7704</v>
      </c>
      <c r="G309" s="110" t="s">
        <v>6248</v>
      </c>
      <c r="H309" s="110" t="s">
        <v>7705</v>
      </c>
      <c r="I309" s="110" t="s">
        <v>7706</v>
      </c>
    </row>
    <row r="310" spans="1:9" ht="25.2" x14ac:dyDescent="0.3">
      <c r="A310" s="109" t="s">
        <v>7707</v>
      </c>
      <c r="B310" s="109" t="s">
        <v>6232</v>
      </c>
      <c r="C310" s="109" t="s">
        <v>6232</v>
      </c>
      <c r="D310" s="109" t="s">
        <v>7708</v>
      </c>
      <c r="E310" s="109" t="s">
        <v>5558</v>
      </c>
      <c r="F310" s="109" t="s">
        <v>7709</v>
      </c>
      <c r="G310" s="110" t="s">
        <v>6248</v>
      </c>
      <c r="H310" s="110" t="s">
        <v>6716</v>
      </c>
      <c r="I310" s="110" t="s">
        <v>7710</v>
      </c>
    </row>
    <row r="311" spans="1:9" ht="37.799999999999997" x14ac:dyDescent="0.3">
      <c r="A311" s="109" t="s">
        <v>7711</v>
      </c>
      <c r="B311" s="109" t="s">
        <v>6232</v>
      </c>
      <c r="C311" s="109" t="s">
        <v>6232</v>
      </c>
      <c r="D311" s="109" t="s">
        <v>7712</v>
      </c>
      <c r="E311" s="109" t="s">
        <v>5558</v>
      </c>
      <c r="F311" s="109" t="s">
        <v>7713</v>
      </c>
      <c r="G311" s="110" t="s">
        <v>6248</v>
      </c>
      <c r="H311" s="110" t="s">
        <v>7714</v>
      </c>
      <c r="I311" s="110" t="s">
        <v>7715</v>
      </c>
    </row>
    <row r="312" spans="1:9" ht="25.2" x14ac:dyDescent="0.3">
      <c r="A312" s="109" t="s">
        <v>7716</v>
      </c>
      <c r="B312" s="109" t="s">
        <v>6232</v>
      </c>
      <c r="C312" s="109" t="s">
        <v>6232</v>
      </c>
      <c r="D312" s="109" t="s">
        <v>7717</v>
      </c>
      <c r="E312" s="109" t="s">
        <v>5558</v>
      </c>
      <c r="F312" s="109" t="s">
        <v>7718</v>
      </c>
      <c r="G312" s="110" t="s">
        <v>6248</v>
      </c>
      <c r="H312" s="110" t="s">
        <v>7719</v>
      </c>
      <c r="I312" s="110" t="s">
        <v>7720</v>
      </c>
    </row>
    <row r="313" spans="1:9" ht="25.2" x14ac:dyDescent="0.3">
      <c r="A313" s="109" t="s">
        <v>7721</v>
      </c>
      <c r="B313" s="109" t="s">
        <v>6232</v>
      </c>
      <c r="C313" s="109" t="s">
        <v>6232</v>
      </c>
      <c r="D313" s="109" t="s">
        <v>7722</v>
      </c>
      <c r="E313" s="109" t="s">
        <v>7373</v>
      </c>
      <c r="F313" s="109" t="s">
        <v>7723</v>
      </c>
      <c r="G313" s="110" t="s">
        <v>6248</v>
      </c>
      <c r="H313" s="110" t="s">
        <v>7724</v>
      </c>
      <c r="I313" s="110" t="s">
        <v>7725</v>
      </c>
    </row>
    <row r="314" spans="1:9" ht="25.2" x14ac:dyDescent="0.3">
      <c r="A314" s="109" t="s">
        <v>7726</v>
      </c>
      <c r="B314" s="109" t="s">
        <v>6232</v>
      </c>
      <c r="C314" s="109" t="s">
        <v>6232</v>
      </c>
      <c r="D314" s="109" t="s">
        <v>7727</v>
      </c>
      <c r="E314" s="109" t="s">
        <v>5558</v>
      </c>
      <c r="F314" s="109" t="s">
        <v>7728</v>
      </c>
      <c r="G314" s="110" t="s">
        <v>6248</v>
      </c>
      <c r="H314" s="110" t="s">
        <v>7729</v>
      </c>
      <c r="I314" s="110" t="s">
        <v>7730</v>
      </c>
    </row>
    <row r="315" spans="1:9" ht="25.2" x14ac:dyDescent="0.3">
      <c r="A315" s="109" t="s">
        <v>7731</v>
      </c>
      <c r="B315" s="109" t="s">
        <v>6232</v>
      </c>
      <c r="C315" s="109" t="s">
        <v>6232</v>
      </c>
      <c r="D315" s="109" t="s">
        <v>7732</v>
      </c>
      <c r="E315" s="109" t="s">
        <v>7733</v>
      </c>
      <c r="F315" s="109" t="s">
        <v>7734</v>
      </c>
      <c r="G315" s="110" t="s">
        <v>6248</v>
      </c>
      <c r="H315" s="110" t="s">
        <v>7735</v>
      </c>
      <c r="I315" s="110" t="s">
        <v>7736</v>
      </c>
    </row>
    <row r="316" spans="1:9" ht="25.2" x14ac:dyDescent="0.3">
      <c r="A316" s="109" t="s">
        <v>7737</v>
      </c>
      <c r="B316" s="109" t="s">
        <v>6232</v>
      </c>
      <c r="C316" s="109" t="s">
        <v>6232</v>
      </c>
      <c r="D316" s="109" t="s">
        <v>7738</v>
      </c>
      <c r="E316" s="109" t="s">
        <v>5558</v>
      </c>
      <c r="F316" s="109" t="s">
        <v>7739</v>
      </c>
      <c r="G316" s="110" t="s">
        <v>6248</v>
      </c>
      <c r="H316" s="110" t="s">
        <v>7740</v>
      </c>
      <c r="I316" s="110" t="s">
        <v>7741</v>
      </c>
    </row>
    <row r="317" spans="1:9" ht="25.2" x14ac:dyDescent="0.3">
      <c r="A317" s="109" t="s">
        <v>7742</v>
      </c>
      <c r="B317" s="109" t="s">
        <v>7743</v>
      </c>
      <c r="C317" s="109" t="s">
        <v>7743</v>
      </c>
      <c r="D317" s="109" t="s">
        <v>7744</v>
      </c>
      <c r="E317" s="109" t="s">
        <v>5558</v>
      </c>
      <c r="F317" s="109" t="s">
        <v>7745</v>
      </c>
      <c r="G317" s="110" t="s">
        <v>6248</v>
      </c>
      <c r="H317" s="110" t="s">
        <v>7339</v>
      </c>
      <c r="I317" s="110" t="s">
        <v>7746</v>
      </c>
    </row>
    <row r="318" spans="1:9" ht="37.799999999999997" x14ac:dyDescent="0.3">
      <c r="A318" s="109" t="s">
        <v>7747</v>
      </c>
      <c r="B318" s="109" t="s">
        <v>7743</v>
      </c>
      <c r="C318" s="109" t="s">
        <v>7743</v>
      </c>
      <c r="D318" s="109" t="s">
        <v>7748</v>
      </c>
      <c r="E318" s="109" t="s">
        <v>5558</v>
      </c>
      <c r="F318" s="109" t="s">
        <v>7749</v>
      </c>
      <c r="G318" s="110" t="s">
        <v>6248</v>
      </c>
      <c r="H318" s="110" t="s">
        <v>7750</v>
      </c>
      <c r="I318" s="110" t="s">
        <v>7751</v>
      </c>
    </row>
    <row r="319" spans="1:9" ht="37.799999999999997" x14ac:dyDescent="0.3">
      <c r="A319" s="109" t="s">
        <v>7752</v>
      </c>
      <c r="B319" s="109" t="s">
        <v>7743</v>
      </c>
      <c r="C319" s="109" t="s">
        <v>7743</v>
      </c>
      <c r="D319" s="109" t="s">
        <v>7753</v>
      </c>
      <c r="E319" s="109" t="s">
        <v>5558</v>
      </c>
      <c r="F319" s="109" t="s">
        <v>7754</v>
      </c>
      <c r="G319" s="110" t="s">
        <v>6248</v>
      </c>
      <c r="H319" s="110" t="s">
        <v>7755</v>
      </c>
      <c r="I319" s="110" t="s">
        <v>7756</v>
      </c>
    </row>
    <row r="320" spans="1:9" ht="37.799999999999997" x14ac:dyDescent="0.3">
      <c r="A320" s="109" t="s">
        <v>7757</v>
      </c>
      <c r="B320" s="109" t="s">
        <v>7743</v>
      </c>
      <c r="C320" s="109" t="s">
        <v>7743</v>
      </c>
      <c r="D320" s="109" t="s">
        <v>7758</v>
      </c>
      <c r="E320" s="109" t="s">
        <v>5558</v>
      </c>
      <c r="F320" s="109" t="s">
        <v>7759</v>
      </c>
      <c r="G320" s="110" t="s">
        <v>6248</v>
      </c>
      <c r="H320" s="110" t="s">
        <v>7760</v>
      </c>
      <c r="I320" s="110" t="s">
        <v>7761</v>
      </c>
    </row>
    <row r="321" spans="1:9" ht="37.799999999999997" x14ac:dyDescent="0.3">
      <c r="A321" s="109" t="s">
        <v>7762</v>
      </c>
      <c r="B321" s="109" t="s">
        <v>7743</v>
      </c>
      <c r="C321" s="109" t="s">
        <v>7743</v>
      </c>
      <c r="D321" s="109" t="s">
        <v>406</v>
      </c>
      <c r="E321" s="109" t="s">
        <v>5558</v>
      </c>
      <c r="F321" s="109" t="s">
        <v>7763</v>
      </c>
      <c r="G321" s="110" t="s">
        <v>6248</v>
      </c>
      <c r="H321" s="110" t="s">
        <v>6584</v>
      </c>
      <c r="I321" s="110" t="s">
        <v>7764</v>
      </c>
    </row>
    <row r="322" spans="1:9" ht="25.2" x14ac:dyDescent="0.3">
      <c r="A322" s="109" t="s">
        <v>7765</v>
      </c>
      <c r="B322" s="109" t="s">
        <v>7743</v>
      </c>
      <c r="C322" s="109" t="s">
        <v>7743</v>
      </c>
      <c r="D322" s="109" t="s">
        <v>5569</v>
      </c>
      <c r="E322" s="109" t="s">
        <v>5558</v>
      </c>
      <c r="F322" s="109" t="s">
        <v>2258</v>
      </c>
      <c r="G322" s="110" t="s">
        <v>6248</v>
      </c>
      <c r="H322" s="110" t="s">
        <v>7766</v>
      </c>
      <c r="I322" s="110" t="s">
        <v>7767</v>
      </c>
    </row>
    <row r="323" spans="1:9" ht="25.2" x14ac:dyDescent="0.3">
      <c r="A323" s="109" t="s">
        <v>7768</v>
      </c>
      <c r="B323" s="109" t="s">
        <v>7743</v>
      </c>
      <c r="C323" s="109" t="s">
        <v>7743</v>
      </c>
      <c r="D323" s="109" t="s">
        <v>5569</v>
      </c>
      <c r="E323" s="109" t="s">
        <v>5558</v>
      </c>
      <c r="F323" s="109" t="s">
        <v>2258</v>
      </c>
      <c r="G323" s="110" t="s">
        <v>6248</v>
      </c>
      <c r="H323" s="110" t="s">
        <v>7769</v>
      </c>
      <c r="I323" s="110" t="s">
        <v>7770</v>
      </c>
    </row>
    <row r="324" spans="1:9" ht="25.2" x14ac:dyDescent="0.3">
      <c r="A324" s="109" t="s">
        <v>7771</v>
      </c>
      <c r="B324" s="109" t="s">
        <v>7743</v>
      </c>
      <c r="C324" s="109" t="s">
        <v>7743</v>
      </c>
      <c r="D324" s="109" t="s">
        <v>5569</v>
      </c>
      <c r="E324" s="109" t="s">
        <v>5558</v>
      </c>
      <c r="F324" s="109" t="s">
        <v>2258</v>
      </c>
      <c r="G324" s="110" t="s">
        <v>6248</v>
      </c>
      <c r="H324" s="110" t="s">
        <v>7772</v>
      </c>
      <c r="I324" s="110" t="s">
        <v>7773</v>
      </c>
    </row>
    <row r="325" spans="1:9" ht="25.2" x14ac:dyDescent="0.3">
      <c r="A325" s="109" t="s">
        <v>7774</v>
      </c>
      <c r="B325" s="109" t="s">
        <v>7743</v>
      </c>
      <c r="C325" s="109" t="s">
        <v>7743</v>
      </c>
      <c r="D325" s="109" t="s">
        <v>5569</v>
      </c>
      <c r="E325" s="109" t="s">
        <v>5558</v>
      </c>
      <c r="F325" s="109" t="s">
        <v>2258</v>
      </c>
      <c r="G325" s="110" t="s">
        <v>6248</v>
      </c>
      <c r="H325" s="110" t="s">
        <v>7775</v>
      </c>
      <c r="I325" s="110" t="s">
        <v>7776</v>
      </c>
    </row>
    <row r="326" spans="1:9" ht="25.2" x14ac:dyDescent="0.3">
      <c r="A326" s="109" t="s">
        <v>7777</v>
      </c>
      <c r="B326" s="109" t="s">
        <v>7743</v>
      </c>
      <c r="C326" s="109" t="s">
        <v>7743</v>
      </c>
      <c r="D326" s="109" t="s">
        <v>5569</v>
      </c>
      <c r="E326" s="109" t="s">
        <v>5558</v>
      </c>
      <c r="F326" s="109" t="s">
        <v>2258</v>
      </c>
      <c r="G326" s="110" t="s">
        <v>6248</v>
      </c>
      <c r="H326" s="110" t="s">
        <v>7778</v>
      </c>
      <c r="I326" s="110" t="s">
        <v>7779</v>
      </c>
    </row>
    <row r="327" spans="1:9" ht="37.799999999999997" x14ac:dyDescent="0.3">
      <c r="A327" s="109" t="s">
        <v>7780</v>
      </c>
      <c r="B327" s="109" t="s">
        <v>7743</v>
      </c>
      <c r="C327" s="109" t="s">
        <v>7743</v>
      </c>
      <c r="D327" s="109" t="s">
        <v>7781</v>
      </c>
      <c r="E327" s="109" t="s">
        <v>5558</v>
      </c>
      <c r="F327" s="109" t="s">
        <v>7782</v>
      </c>
      <c r="G327" s="110" t="s">
        <v>6248</v>
      </c>
      <c r="H327" s="110" t="s">
        <v>7783</v>
      </c>
      <c r="I327" s="110" t="s">
        <v>7784</v>
      </c>
    </row>
    <row r="328" spans="1:9" ht="25.2" x14ac:dyDescent="0.3">
      <c r="A328" s="109" t="s">
        <v>7785</v>
      </c>
      <c r="B328" s="109" t="s">
        <v>7743</v>
      </c>
      <c r="C328" s="109" t="s">
        <v>7743</v>
      </c>
      <c r="D328" s="109" t="s">
        <v>7786</v>
      </c>
      <c r="E328" s="109" t="s">
        <v>5558</v>
      </c>
      <c r="F328" s="109" t="s">
        <v>7787</v>
      </c>
      <c r="G328" s="110" t="s">
        <v>6248</v>
      </c>
      <c r="H328" s="110" t="s">
        <v>6507</v>
      </c>
      <c r="I328" s="110" t="s">
        <v>7788</v>
      </c>
    </row>
    <row r="329" spans="1:9" ht="37.799999999999997" x14ac:dyDescent="0.3">
      <c r="A329" s="109" t="s">
        <v>7789</v>
      </c>
      <c r="B329" s="109" t="s">
        <v>7743</v>
      </c>
      <c r="C329" s="109" t="s">
        <v>7743</v>
      </c>
      <c r="D329" s="109" t="s">
        <v>7790</v>
      </c>
      <c r="E329" s="109" t="s">
        <v>5558</v>
      </c>
      <c r="F329" s="109" t="s">
        <v>7791</v>
      </c>
      <c r="G329" s="110" t="s">
        <v>6248</v>
      </c>
      <c r="H329" s="110" t="s">
        <v>6507</v>
      </c>
      <c r="I329" s="110" t="s">
        <v>7792</v>
      </c>
    </row>
    <row r="330" spans="1:9" ht="25.2" x14ac:dyDescent="0.3">
      <c r="A330" s="109" t="s">
        <v>7793</v>
      </c>
      <c r="B330" s="109" t="s">
        <v>7743</v>
      </c>
      <c r="C330" s="109" t="s">
        <v>7743</v>
      </c>
      <c r="D330" s="109" t="s">
        <v>7794</v>
      </c>
      <c r="E330" s="109" t="s">
        <v>5558</v>
      </c>
      <c r="F330" s="109" t="s">
        <v>7795</v>
      </c>
      <c r="G330" s="110" t="s">
        <v>6248</v>
      </c>
      <c r="H330" s="110" t="s">
        <v>6474</v>
      </c>
      <c r="I330" s="110" t="s">
        <v>7796</v>
      </c>
    </row>
    <row r="331" spans="1:9" ht="25.2" x14ac:dyDescent="0.3">
      <c r="A331" s="109" t="s">
        <v>7797</v>
      </c>
      <c r="B331" s="109" t="s">
        <v>7743</v>
      </c>
      <c r="C331" s="109" t="s">
        <v>7743</v>
      </c>
      <c r="D331" s="109" t="s">
        <v>7798</v>
      </c>
      <c r="E331" s="109" t="s">
        <v>5558</v>
      </c>
      <c r="F331" s="109" t="s">
        <v>7799</v>
      </c>
      <c r="G331" s="110" t="s">
        <v>6248</v>
      </c>
      <c r="H331" s="110" t="s">
        <v>6398</v>
      </c>
      <c r="I331" s="110" t="s">
        <v>7800</v>
      </c>
    </row>
    <row r="332" spans="1:9" ht="25.2" x14ac:dyDescent="0.3">
      <c r="A332" s="109" t="s">
        <v>7801</v>
      </c>
      <c r="B332" s="109" t="s">
        <v>7743</v>
      </c>
      <c r="C332" s="109" t="s">
        <v>7743</v>
      </c>
      <c r="D332" s="109" t="s">
        <v>7802</v>
      </c>
      <c r="E332" s="109" t="s">
        <v>5558</v>
      </c>
      <c r="F332" s="109" t="s">
        <v>7803</v>
      </c>
      <c r="G332" s="110" t="s">
        <v>6248</v>
      </c>
      <c r="H332" s="110" t="s">
        <v>6575</v>
      </c>
      <c r="I332" s="110" t="s">
        <v>7804</v>
      </c>
    </row>
    <row r="333" spans="1:9" ht="25.2" x14ac:dyDescent="0.3">
      <c r="A333" s="109" t="s">
        <v>7805</v>
      </c>
      <c r="B333" s="109" t="s">
        <v>7743</v>
      </c>
      <c r="C333" s="109" t="s">
        <v>7743</v>
      </c>
      <c r="D333" s="109" t="s">
        <v>7806</v>
      </c>
      <c r="E333" s="109" t="s">
        <v>5558</v>
      </c>
      <c r="F333" s="109" t="s">
        <v>7807</v>
      </c>
      <c r="G333" s="110" t="s">
        <v>6248</v>
      </c>
      <c r="H333" s="110" t="s">
        <v>7808</v>
      </c>
      <c r="I333" s="110" t="s">
        <v>7809</v>
      </c>
    </row>
    <row r="334" spans="1:9" ht="25.2" x14ac:dyDescent="0.3">
      <c r="A334" s="109" t="s">
        <v>7810</v>
      </c>
      <c r="B334" s="109" t="s">
        <v>7743</v>
      </c>
      <c r="C334" s="109" t="s">
        <v>7743</v>
      </c>
      <c r="D334" s="109" t="s">
        <v>7811</v>
      </c>
      <c r="E334" s="109" t="s">
        <v>5558</v>
      </c>
      <c r="F334" s="109" t="s">
        <v>7812</v>
      </c>
      <c r="G334" s="110" t="s">
        <v>6248</v>
      </c>
      <c r="H334" s="110" t="s">
        <v>6543</v>
      </c>
      <c r="I334" s="110" t="s">
        <v>7813</v>
      </c>
    </row>
    <row r="335" spans="1:9" ht="37.799999999999997" x14ac:dyDescent="0.3">
      <c r="A335" s="109" t="s">
        <v>7814</v>
      </c>
      <c r="B335" s="109" t="s">
        <v>7743</v>
      </c>
      <c r="C335" s="109" t="s">
        <v>7743</v>
      </c>
      <c r="D335" s="109" t="s">
        <v>7815</v>
      </c>
      <c r="E335" s="109" t="s">
        <v>5558</v>
      </c>
      <c r="F335" s="109" t="s">
        <v>7816</v>
      </c>
      <c r="G335" s="110" t="s">
        <v>6248</v>
      </c>
      <c r="H335" s="110" t="s">
        <v>7817</v>
      </c>
      <c r="I335" s="110" t="s">
        <v>7818</v>
      </c>
    </row>
    <row r="336" spans="1:9" ht="25.2" x14ac:dyDescent="0.3">
      <c r="A336" s="109" t="s">
        <v>7819</v>
      </c>
      <c r="B336" s="109" t="s">
        <v>7743</v>
      </c>
      <c r="C336" s="109" t="s">
        <v>7743</v>
      </c>
      <c r="D336" s="109" t="s">
        <v>7820</v>
      </c>
      <c r="E336" s="109" t="s">
        <v>5558</v>
      </c>
      <c r="F336" s="109" t="s">
        <v>7821</v>
      </c>
      <c r="G336" s="110" t="s">
        <v>6248</v>
      </c>
      <c r="H336" s="110" t="s">
        <v>7817</v>
      </c>
      <c r="I336" s="110" t="s">
        <v>7822</v>
      </c>
    </row>
    <row r="337" spans="1:9" ht="25.2" x14ac:dyDescent="0.3">
      <c r="A337" s="109" t="s">
        <v>7823</v>
      </c>
      <c r="B337" s="109" t="s">
        <v>7743</v>
      </c>
      <c r="C337" s="109" t="s">
        <v>7743</v>
      </c>
      <c r="D337" s="109" t="s">
        <v>7824</v>
      </c>
      <c r="E337" s="109" t="s">
        <v>5558</v>
      </c>
      <c r="F337" s="109" t="s">
        <v>7825</v>
      </c>
      <c r="G337" s="110" t="s">
        <v>6248</v>
      </c>
      <c r="H337" s="110" t="s">
        <v>6398</v>
      </c>
      <c r="I337" s="110" t="s">
        <v>7826</v>
      </c>
    </row>
    <row r="338" spans="1:9" ht="37.799999999999997" x14ac:dyDescent="0.3">
      <c r="A338" s="109" t="s">
        <v>7827</v>
      </c>
      <c r="B338" s="109" t="s">
        <v>7743</v>
      </c>
      <c r="C338" s="109" t="s">
        <v>7743</v>
      </c>
      <c r="D338" s="109" t="s">
        <v>7828</v>
      </c>
      <c r="E338" s="109" t="s">
        <v>5558</v>
      </c>
      <c r="F338" s="109" t="s">
        <v>7829</v>
      </c>
      <c r="G338" s="110" t="s">
        <v>6248</v>
      </c>
      <c r="H338" s="110" t="s">
        <v>7830</v>
      </c>
      <c r="I338" s="110" t="s">
        <v>7831</v>
      </c>
    </row>
    <row r="339" spans="1:9" ht="25.2" x14ac:dyDescent="0.3">
      <c r="A339" s="109" t="s">
        <v>7832</v>
      </c>
      <c r="B339" s="109" t="s">
        <v>7743</v>
      </c>
      <c r="C339" s="109" t="s">
        <v>7743</v>
      </c>
      <c r="D339" s="109" t="s">
        <v>7833</v>
      </c>
      <c r="E339" s="109" t="s">
        <v>5558</v>
      </c>
      <c r="F339" s="109" t="s">
        <v>7834</v>
      </c>
      <c r="G339" s="110" t="s">
        <v>6248</v>
      </c>
      <c r="H339" s="110" t="s">
        <v>6433</v>
      </c>
      <c r="I339" s="110" t="s">
        <v>7835</v>
      </c>
    </row>
    <row r="340" spans="1:9" ht="37.799999999999997" x14ac:dyDescent="0.3">
      <c r="A340" s="109" t="s">
        <v>7836</v>
      </c>
      <c r="B340" s="109" t="s">
        <v>7743</v>
      </c>
      <c r="C340" s="109" t="s">
        <v>7743</v>
      </c>
      <c r="D340" s="109" t="s">
        <v>7837</v>
      </c>
      <c r="E340" s="109" t="s">
        <v>5558</v>
      </c>
      <c r="F340" s="109" t="s">
        <v>7838</v>
      </c>
      <c r="G340" s="110" t="s">
        <v>6248</v>
      </c>
      <c r="H340" s="110" t="s">
        <v>7817</v>
      </c>
      <c r="I340" s="110" t="s">
        <v>7839</v>
      </c>
    </row>
    <row r="341" spans="1:9" ht="37.799999999999997" x14ac:dyDescent="0.3">
      <c r="A341" s="109" t="s">
        <v>7840</v>
      </c>
      <c r="B341" s="109" t="s">
        <v>7743</v>
      </c>
      <c r="C341" s="109" t="s">
        <v>7743</v>
      </c>
      <c r="D341" s="109" t="s">
        <v>7841</v>
      </c>
      <c r="E341" s="109" t="s">
        <v>5558</v>
      </c>
      <c r="F341" s="109" t="s">
        <v>7842</v>
      </c>
      <c r="G341" s="110" t="s">
        <v>6248</v>
      </c>
      <c r="H341" s="110" t="s">
        <v>6634</v>
      </c>
      <c r="I341" s="110" t="s">
        <v>7843</v>
      </c>
    </row>
    <row r="342" spans="1:9" ht="25.2" x14ac:dyDescent="0.3">
      <c r="A342" s="109" t="s">
        <v>7844</v>
      </c>
      <c r="B342" s="109" t="s">
        <v>7743</v>
      </c>
      <c r="C342" s="109" t="s">
        <v>7743</v>
      </c>
      <c r="D342" s="109" t="s">
        <v>7845</v>
      </c>
      <c r="E342" s="109" t="s">
        <v>5558</v>
      </c>
      <c r="F342" s="109" t="s">
        <v>7846</v>
      </c>
      <c r="G342" s="110" t="s">
        <v>6248</v>
      </c>
      <c r="H342" s="110" t="s">
        <v>6403</v>
      </c>
      <c r="I342" s="110" t="s">
        <v>7847</v>
      </c>
    </row>
    <row r="343" spans="1:9" ht="25.2" x14ac:dyDescent="0.3">
      <c r="A343" s="109" t="s">
        <v>7848</v>
      </c>
      <c r="B343" s="109" t="s">
        <v>7743</v>
      </c>
      <c r="C343" s="109" t="s">
        <v>7743</v>
      </c>
      <c r="D343" s="109" t="s">
        <v>7849</v>
      </c>
      <c r="E343" s="109" t="s">
        <v>5558</v>
      </c>
      <c r="F343" s="109" t="s">
        <v>7850</v>
      </c>
      <c r="G343" s="110" t="s">
        <v>6248</v>
      </c>
      <c r="H343" s="110" t="s">
        <v>6517</v>
      </c>
      <c r="I343" s="110" t="s">
        <v>7851</v>
      </c>
    </row>
    <row r="344" spans="1:9" ht="25.2" x14ac:dyDescent="0.3">
      <c r="A344" s="109" t="s">
        <v>7852</v>
      </c>
      <c r="B344" s="109" t="s">
        <v>7743</v>
      </c>
      <c r="C344" s="109" t="s">
        <v>7743</v>
      </c>
      <c r="D344" s="109" t="s">
        <v>7853</v>
      </c>
      <c r="E344" s="109" t="s">
        <v>5558</v>
      </c>
      <c r="F344" s="109" t="s">
        <v>7854</v>
      </c>
      <c r="G344" s="110" t="s">
        <v>6248</v>
      </c>
      <c r="H344" s="110" t="s">
        <v>6634</v>
      </c>
      <c r="I344" s="110" t="s">
        <v>7855</v>
      </c>
    </row>
    <row r="345" spans="1:9" ht="25.2" x14ac:dyDescent="0.3">
      <c r="A345" s="109" t="s">
        <v>7856</v>
      </c>
      <c r="B345" s="109" t="s">
        <v>7743</v>
      </c>
      <c r="C345" s="109" t="s">
        <v>7743</v>
      </c>
      <c r="D345" s="109" t="s">
        <v>7857</v>
      </c>
      <c r="E345" s="109" t="s">
        <v>5558</v>
      </c>
      <c r="F345" s="109" t="s">
        <v>7858</v>
      </c>
      <c r="G345" s="110" t="s">
        <v>6248</v>
      </c>
      <c r="H345" s="110" t="s">
        <v>7830</v>
      </c>
      <c r="I345" s="110" t="s">
        <v>7859</v>
      </c>
    </row>
    <row r="346" spans="1:9" ht="25.2" x14ac:dyDescent="0.3">
      <c r="A346" s="109" t="s">
        <v>7860</v>
      </c>
      <c r="B346" s="109" t="s">
        <v>7743</v>
      </c>
      <c r="C346" s="109" t="s">
        <v>7743</v>
      </c>
      <c r="D346" s="109" t="s">
        <v>7861</v>
      </c>
      <c r="E346" s="109" t="s">
        <v>5558</v>
      </c>
      <c r="F346" s="109" t="s">
        <v>7862</v>
      </c>
      <c r="G346" s="110" t="s">
        <v>6248</v>
      </c>
      <c r="H346" s="110" t="s">
        <v>7863</v>
      </c>
      <c r="I346" s="110" t="s">
        <v>7864</v>
      </c>
    </row>
    <row r="347" spans="1:9" ht="37.799999999999997" x14ac:dyDescent="0.3">
      <c r="A347" s="109" t="s">
        <v>7865</v>
      </c>
      <c r="B347" s="109" t="s">
        <v>7743</v>
      </c>
      <c r="C347" s="109" t="s">
        <v>7743</v>
      </c>
      <c r="D347" s="109" t="s">
        <v>7866</v>
      </c>
      <c r="E347" s="109" t="s">
        <v>5558</v>
      </c>
      <c r="F347" s="109" t="s">
        <v>7867</v>
      </c>
      <c r="G347" s="110" t="s">
        <v>6248</v>
      </c>
      <c r="H347" s="110" t="s">
        <v>6575</v>
      </c>
      <c r="I347" s="110" t="s">
        <v>7868</v>
      </c>
    </row>
    <row r="348" spans="1:9" ht="25.2" x14ac:dyDescent="0.3">
      <c r="A348" s="109" t="s">
        <v>7869</v>
      </c>
      <c r="B348" s="109" t="s">
        <v>7743</v>
      </c>
      <c r="C348" s="109" t="s">
        <v>7743</v>
      </c>
      <c r="D348" s="109" t="s">
        <v>7870</v>
      </c>
      <c r="E348" s="109" t="s">
        <v>5558</v>
      </c>
      <c r="F348" s="109" t="s">
        <v>7871</v>
      </c>
      <c r="G348" s="110" t="s">
        <v>6248</v>
      </c>
      <c r="H348" s="110" t="s">
        <v>6384</v>
      </c>
      <c r="I348" s="110" t="s">
        <v>7872</v>
      </c>
    </row>
    <row r="349" spans="1:9" ht="37.799999999999997" x14ac:dyDescent="0.3">
      <c r="A349" s="109" t="s">
        <v>7873</v>
      </c>
      <c r="B349" s="109" t="s">
        <v>7743</v>
      </c>
      <c r="C349" s="109" t="s">
        <v>7743</v>
      </c>
      <c r="D349" s="109" t="s">
        <v>7874</v>
      </c>
      <c r="E349" s="109" t="s">
        <v>5558</v>
      </c>
      <c r="F349" s="109" t="s">
        <v>7875</v>
      </c>
      <c r="G349" s="110" t="s">
        <v>6248</v>
      </c>
      <c r="H349" s="110" t="s">
        <v>6413</v>
      </c>
      <c r="I349" s="110" t="s">
        <v>7876</v>
      </c>
    </row>
    <row r="350" spans="1:9" ht="25.2" x14ac:dyDescent="0.3">
      <c r="A350" s="109" t="s">
        <v>7877</v>
      </c>
      <c r="B350" s="109" t="s">
        <v>7743</v>
      </c>
      <c r="C350" s="109" t="s">
        <v>7743</v>
      </c>
      <c r="D350" s="109" t="s">
        <v>7878</v>
      </c>
      <c r="E350" s="109" t="s">
        <v>5558</v>
      </c>
      <c r="F350" s="109" t="s">
        <v>7879</v>
      </c>
      <c r="G350" s="110" t="s">
        <v>6248</v>
      </c>
      <c r="H350" s="110" t="s">
        <v>6398</v>
      </c>
      <c r="I350" s="110" t="s">
        <v>7880</v>
      </c>
    </row>
    <row r="351" spans="1:9" ht="25.2" x14ac:dyDescent="0.3">
      <c r="A351" s="109" t="s">
        <v>7881</v>
      </c>
      <c r="B351" s="109" t="s">
        <v>7743</v>
      </c>
      <c r="C351" s="109" t="s">
        <v>7743</v>
      </c>
      <c r="D351" s="109" t="s">
        <v>7882</v>
      </c>
      <c r="E351" s="109" t="s">
        <v>5558</v>
      </c>
      <c r="F351" s="109" t="s">
        <v>7883</v>
      </c>
      <c r="G351" s="110" t="s">
        <v>6248</v>
      </c>
      <c r="H351" s="110" t="s">
        <v>7884</v>
      </c>
      <c r="I351" s="110" t="s">
        <v>7885</v>
      </c>
    </row>
    <row r="352" spans="1:9" ht="25.2" x14ac:dyDescent="0.3">
      <c r="A352" s="109" t="s">
        <v>7886</v>
      </c>
      <c r="B352" s="109" t="s">
        <v>7743</v>
      </c>
      <c r="C352" s="109" t="s">
        <v>7743</v>
      </c>
      <c r="D352" s="109" t="s">
        <v>7887</v>
      </c>
      <c r="E352" s="109" t="s">
        <v>5558</v>
      </c>
      <c r="F352" s="109" t="s">
        <v>7888</v>
      </c>
      <c r="G352" s="110" t="s">
        <v>6248</v>
      </c>
      <c r="H352" s="110" t="s">
        <v>7889</v>
      </c>
      <c r="I352" s="110" t="s">
        <v>7890</v>
      </c>
    </row>
    <row r="353" spans="1:9" ht="25.2" x14ac:dyDescent="0.3">
      <c r="A353" s="109" t="s">
        <v>7891</v>
      </c>
      <c r="B353" s="109" t="s">
        <v>7743</v>
      </c>
      <c r="C353" s="109" t="s">
        <v>7743</v>
      </c>
      <c r="D353" s="109" t="s">
        <v>7892</v>
      </c>
      <c r="E353" s="109" t="s">
        <v>5558</v>
      </c>
      <c r="F353" s="109" t="s">
        <v>7893</v>
      </c>
      <c r="G353" s="110" t="s">
        <v>6248</v>
      </c>
      <c r="H353" s="110" t="s">
        <v>6484</v>
      </c>
      <c r="I353" s="110" t="s">
        <v>7894</v>
      </c>
    </row>
    <row r="354" spans="1:9" ht="25.2" x14ac:dyDescent="0.3">
      <c r="A354" s="109" t="s">
        <v>7895</v>
      </c>
      <c r="B354" s="109" t="s">
        <v>7743</v>
      </c>
      <c r="C354" s="109" t="s">
        <v>7743</v>
      </c>
      <c r="D354" s="109" t="s">
        <v>7896</v>
      </c>
      <c r="E354" s="109" t="s">
        <v>5558</v>
      </c>
      <c r="F354" s="109" t="s">
        <v>7897</v>
      </c>
      <c r="G354" s="110" t="s">
        <v>6248</v>
      </c>
      <c r="H354" s="110" t="s">
        <v>7898</v>
      </c>
      <c r="I354" s="110" t="s">
        <v>7899</v>
      </c>
    </row>
    <row r="355" spans="1:9" ht="25.2" x14ac:dyDescent="0.3">
      <c r="A355" s="109" t="s">
        <v>7900</v>
      </c>
      <c r="B355" s="109" t="s">
        <v>7743</v>
      </c>
      <c r="C355" s="109" t="s">
        <v>7743</v>
      </c>
      <c r="D355" s="109" t="s">
        <v>7901</v>
      </c>
      <c r="E355" s="109" t="s">
        <v>5558</v>
      </c>
      <c r="F355" s="109" t="s">
        <v>7902</v>
      </c>
      <c r="G355" s="110" t="s">
        <v>6248</v>
      </c>
      <c r="H355" s="110" t="s">
        <v>7830</v>
      </c>
      <c r="I355" s="110" t="s">
        <v>7903</v>
      </c>
    </row>
    <row r="356" spans="1:9" ht="37.799999999999997" x14ac:dyDescent="0.3">
      <c r="A356" s="109" t="s">
        <v>7904</v>
      </c>
      <c r="B356" s="109" t="s">
        <v>7743</v>
      </c>
      <c r="C356" s="109" t="s">
        <v>7743</v>
      </c>
      <c r="D356" s="109" t="s">
        <v>7905</v>
      </c>
      <c r="E356" s="109" t="s">
        <v>5558</v>
      </c>
      <c r="F356" s="109" t="s">
        <v>7906</v>
      </c>
      <c r="G356" s="110" t="s">
        <v>6248</v>
      </c>
      <c r="H356" s="110" t="s">
        <v>7907</v>
      </c>
      <c r="I356" s="110" t="s">
        <v>7908</v>
      </c>
    </row>
    <row r="357" spans="1:9" ht="37.799999999999997" x14ac:dyDescent="0.3">
      <c r="A357" s="109" t="s">
        <v>7909</v>
      </c>
      <c r="B357" s="109" t="s">
        <v>7743</v>
      </c>
      <c r="C357" s="109" t="s">
        <v>7743</v>
      </c>
      <c r="D357" s="109" t="s">
        <v>7910</v>
      </c>
      <c r="E357" s="109" t="s">
        <v>5558</v>
      </c>
      <c r="F357" s="109" t="s">
        <v>7911</v>
      </c>
      <c r="G357" s="110" t="s">
        <v>6248</v>
      </c>
      <c r="H357" s="110" t="s">
        <v>6479</v>
      </c>
      <c r="I357" s="110" t="s">
        <v>7912</v>
      </c>
    </row>
    <row r="358" spans="1:9" ht="25.2" x14ac:dyDescent="0.3">
      <c r="A358" s="109" t="s">
        <v>7913</v>
      </c>
      <c r="B358" s="109" t="s">
        <v>7743</v>
      </c>
      <c r="C358" s="109" t="s">
        <v>7743</v>
      </c>
      <c r="D358" s="109" t="s">
        <v>7914</v>
      </c>
      <c r="E358" s="109" t="s">
        <v>5558</v>
      </c>
      <c r="F358" s="109" t="s">
        <v>7915</v>
      </c>
      <c r="G358" s="110" t="s">
        <v>6248</v>
      </c>
      <c r="H358" s="110" t="s">
        <v>6413</v>
      </c>
      <c r="I358" s="110" t="s">
        <v>7916</v>
      </c>
    </row>
    <row r="359" spans="1:9" ht="25.2" x14ac:dyDescent="0.3">
      <c r="A359" s="109" t="s">
        <v>7917</v>
      </c>
      <c r="B359" s="109" t="s">
        <v>7743</v>
      </c>
      <c r="C359" s="109" t="s">
        <v>7743</v>
      </c>
      <c r="D359" s="109" t="s">
        <v>7918</v>
      </c>
      <c r="E359" s="109" t="s">
        <v>5558</v>
      </c>
      <c r="F359" s="109" t="s">
        <v>7919</v>
      </c>
      <c r="G359" s="110" t="s">
        <v>6248</v>
      </c>
      <c r="H359" s="110" t="s">
        <v>7920</v>
      </c>
      <c r="I359" s="110" t="s">
        <v>7921</v>
      </c>
    </row>
    <row r="360" spans="1:9" ht="25.2" x14ac:dyDescent="0.3">
      <c r="A360" s="109" t="s">
        <v>7922</v>
      </c>
      <c r="B360" s="109" t="s">
        <v>7743</v>
      </c>
      <c r="C360" s="109" t="s">
        <v>7743</v>
      </c>
      <c r="D360" s="109" t="s">
        <v>7923</v>
      </c>
      <c r="E360" s="109" t="s">
        <v>5558</v>
      </c>
      <c r="F360" s="109" t="s">
        <v>7924</v>
      </c>
      <c r="G360" s="110" t="s">
        <v>6248</v>
      </c>
      <c r="H360" s="110" t="s">
        <v>7817</v>
      </c>
      <c r="I360" s="110" t="s">
        <v>7925</v>
      </c>
    </row>
    <row r="361" spans="1:9" ht="37.799999999999997" x14ac:dyDescent="0.3">
      <c r="A361" s="109" t="s">
        <v>7926</v>
      </c>
      <c r="B361" s="109" t="s">
        <v>7743</v>
      </c>
      <c r="C361" s="109" t="s">
        <v>7743</v>
      </c>
      <c r="D361" s="109" t="s">
        <v>7927</v>
      </c>
      <c r="E361" s="109" t="s">
        <v>5558</v>
      </c>
      <c r="F361" s="109" t="s">
        <v>7928</v>
      </c>
      <c r="G361" s="110" t="s">
        <v>6248</v>
      </c>
      <c r="H361" s="110" t="s">
        <v>7929</v>
      </c>
      <c r="I361" s="110" t="s">
        <v>7930</v>
      </c>
    </row>
    <row r="362" spans="1:9" ht="37.799999999999997" x14ac:dyDescent="0.3">
      <c r="A362" s="109" t="s">
        <v>7931</v>
      </c>
      <c r="B362" s="109" t="s">
        <v>7743</v>
      </c>
      <c r="C362" s="109" t="s">
        <v>7743</v>
      </c>
      <c r="D362" s="109" t="s">
        <v>7932</v>
      </c>
      <c r="E362" s="109" t="s">
        <v>5558</v>
      </c>
      <c r="F362" s="109" t="s">
        <v>7933</v>
      </c>
      <c r="G362" s="110" t="s">
        <v>6248</v>
      </c>
      <c r="H362" s="110" t="s">
        <v>6433</v>
      </c>
      <c r="I362" s="110" t="s">
        <v>7934</v>
      </c>
    </row>
    <row r="363" spans="1:9" ht="37.799999999999997" x14ac:dyDescent="0.3">
      <c r="A363" s="109" t="s">
        <v>7935</v>
      </c>
      <c r="B363" s="109" t="s">
        <v>7743</v>
      </c>
      <c r="C363" s="109" t="s">
        <v>7743</v>
      </c>
      <c r="D363" s="109" t="s">
        <v>7936</v>
      </c>
      <c r="E363" s="109" t="s">
        <v>5558</v>
      </c>
      <c r="F363" s="109" t="s">
        <v>7937</v>
      </c>
      <c r="G363" s="110" t="s">
        <v>6248</v>
      </c>
      <c r="H363" s="110" t="s">
        <v>6643</v>
      </c>
      <c r="I363" s="110" t="s">
        <v>7938</v>
      </c>
    </row>
    <row r="364" spans="1:9" ht="25.2" x14ac:dyDescent="0.3">
      <c r="A364" s="109" t="s">
        <v>7939</v>
      </c>
      <c r="B364" s="109" t="s">
        <v>7743</v>
      </c>
      <c r="C364" s="109" t="s">
        <v>7743</v>
      </c>
      <c r="D364" s="109" t="s">
        <v>7940</v>
      </c>
      <c r="E364" s="109" t="s">
        <v>5558</v>
      </c>
      <c r="F364" s="109" t="s">
        <v>7941</v>
      </c>
      <c r="G364" s="110" t="s">
        <v>6248</v>
      </c>
      <c r="H364" s="110" t="s">
        <v>7942</v>
      </c>
      <c r="I364" s="110" t="s">
        <v>7943</v>
      </c>
    </row>
    <row r="365" spans="1:9" ht="25.2" x14ac:dyDescent="0.3">
      <c r="A365" s="109" t="s">
        <v>7944</v>
      </c>
      <c r="B365" s="109" t="s">
        <v>7743</v>
      </c>
      <c r="C365" s="109" t="s">
        <v>7743</v>
      </c>
      <c r="D365" s="109" t="s">
        <v>7945</v>
      </c>
      <c r="E365" s="109" t="s">
        <v>5558</v>
      </c>
      <c r="F365" s="109" t="s">
        <v>7946</v>
      </c>
      <c r="G365" s="110" t="s">
        <v>6248</v>
      </c>
      <c r="H365" s="110" t="s">
        <v>7947</v>
      </c>
      <c r="I365" s="110" t="s">
        <v>7948</v>
      </c>
    </row>
    <row r="366" spans="1:9" ht="25.2" x14ac:dyDescent="0.3">
      <c r="A366" s="109" t="s">
        <v>7949</v>
      </c>
      <c r="B366" s="109" t="s">
        <v>7743</v>
      </c>
      <c r="C366" s="109" t="s">
        <v>7743</v>
      </c>
      <c r="D366" s="109" t="s">
        <v>7950</v>
      </c>
      <c r="E366" s="109" t="s">
        <v>5558</v>
      </c>
      <c r="F366" s="109" t="s">
        <v>7951</v>
      </c>
      <c r="G366" s="110" t="s">
        <v>6248</v>
      </c>
      <c r="H366" s="110" t="s">
        <v>7952</v>
      </c>
      <c r="I366" s="110" t="s">
        <v>7953</v>
      </c>
    </row>
    <row r="367" spans="1:9" ht="37.799999999999997" x14ac:dyDescent="0.3">
      <c r="A367" s="109" t="s">
        <v>7954</v>
      </c>
      <c r="B367" s="109" t="s">
        <v>7743</v>
      </c>
      <c r="C367" s="109" t="s">
        <v>7743</v>
      </c>
      <c r="D367" s="109" t="s">
        <v>7955</v>
      </c>
      <c r="E367" s="109" t="s">
        <v>5558</v>
      </c>
      <c r="F367" s="109" t="s">
        <v>7956</v>
      </c>
      <c r="G367" s="110" t="s">
        <v>6248</v>
      </c>
      <c r="H367" s="110" t="s">
        <v>6575</v>
      </c>
      <c r="I367" s="110" t="s">
        <v>7957</v>
      </c>
    </row>
    <row r="368" spans="1:9" ht="25.2" x14ac:dyDescent="0.3">
      <c r="A368" s="109" t="s">
        <v>7958</v>
      </c>
      <c r="B368" s="109" t="s">
        <v>7743</v>
      </c>
      <c r="C368" s="109" t="s">
        <v>7743</v>
      </c>
      <c r="D368" s="109" t="s">
        <v>7959</v>
      </c>
      <c r="E368" s="109" t="s">
        <v>5558</v>
      </c>
      <c r="F368" s="109" t="s">
        <v>7960</v>
      </c>
      <c r="G368" s="110" t="s">
        <v>6248</v>
      </c>
      <c r="H368" s="110" t="s">
        <v>7961</v>
      </c>
      <c r="I368" s="110" t="s">
        <v>7962</v>
      </c>
    </row>
    <row r="369" spans="1:9" ht="25.2" x14ac:dyDescent="0.3">
      <c r="A369" s="109" t="s">
        <v>7963</v>
      </c>
      <c r="B369" s="109" t="s">
        <v>7743</v>
      </c>
      <c r="C369" s="109" t="s">
        <v>7743</v>
      </c>
      <c r="D369" s="109" t="s">
        <v>7964</v>
      </c>
      <c r="E369" s="109" t="s">
        <v>5558</v>
      </c>
      <c r="F369" s="109" t="s">
        <v>7965</v>
      </c>
      <c r="G369" s="110" t="s">
        <v>6248</v>
      </c>
      <c r="H369" s="110" t="s">
        <v>6489</v>
      </c>
      <c r="I369" s="110" t="s">
        <v>7966</v>
      </c>
    </row>
    <row r="370" spans="1:9" ht="37.799999999999997" x14ac:dyDescent="0.3">
      <c r="A370" s="109" t="s">
        <v>7967</v>
      </c>
      <c r="B370" s="109" t="s">
        <v>7743</v>
      </c>
      <c r="C370" s="109" t="s">
        <v>7743</v>
      </c>
      <c r="D370" s="109" t="s">
        <v>7968</v>
      </c>
      <c r="E370" s="109" t="s">
        <v>5558</v>
      </c>
      <c r="F370" s="109" t="s">
        <v>7969</v>
      </c>
      <c r="G370" s="110" t="s">
        <v>6248</v>
      </c>
      <c r="H370" s="110" t="s">
        <v>7970</v>
      </c>
      <c r="I370" s="110" t="s">
        <v>7971</v>
      </c>
    </row>
    <row r="371" spans="1:9" ht="25.2" x14ac:dyDescent="0.3">
      <c r="A371" s="109" t="s">
        <v>7972</v>
      </c>
      <c r="B371" s="109" t="s">
        <v>7743</v>
      </c>
      <c r="C371" s="109" t="s">
        <v>7743</v>
      </c>
      <c r="D371" s="109" t="s">
        <v>7973</v>
      </c>
      <c r="E371" s="109" t="s">
        <v>5558</v>
      </c>
      <c r="F371" s="109" t="s">
        <v>7974</v>
      </c>
      <c r="G371" s="110" t="s">
        <v>6248</v>
      </c>
      <c r="H371" s="110" t="s">
        <v>7592</v>
      </c>
      <c r="I371" s="110" t="s">
        <v>7975</v>
      </c>
    </row>
    <row r="372" spans="1:9" ht="25.2" x14ac:dyDescent="0.3">
      <c r="A372" s="109" t="s">
        <v>7976</v>
      </c>
      <c r="B372" s="109" t="s">
        <v>7743</v>
      </c>
      <c r="C372" s="109" t="s">
        <v>7743</v>
      </c>
      <c r="D372" s="109" t="s">
        <v>7977</v>
      </c>
      <c r="E372" s="109" t="s">
        <v>5558</v>
      </c>
      <c r="F372" s="109" t="s">
        <v>7978</v>
      </c>
      <c r="G372" s="110" t="s">
        <v>6248</v>
      </c>
      <c r="H372" s="110" t="s">
        <v>6398</v>
      </c>
      <c r="I372" s="110" t="s">
        <v>7979</v>
      </c>
    </row>
    <row r="373" spans="1:9" ht="25.2" x14ac:dyDescent="0.3">
      <c r="A373" s="109" t="s">
        <v>7980</v>
      </c>
      <c r="B373" s="109" t="s">
        <v>7743</v>
      </c>
      <c r="C373" s="109" t="s">
        <v>7743</v>
      </c>
      <c r="D373" s="109" t="s">
        <v>7981</v>
      </c>
      <c r="E373" s="109" t="s">
        <v>5558</v>
      </c>
      <c r="F373" s="109" t="s">
        <v>7982</v>
      </c>
      <c r="G373" s="110" t="s">
        <v>6248</v>
      </c>
      <c r="H373" s="110" t="s">
        <v>7889</v>
      </c>
      <c r="I373" s="110" t="s">
        <v>7983</v>
      </c>
    </row>
    <row r="374" spans="1:9" ht="25.2" x14ac:dyDescent="0.3">
      <c r="A374" s="109" t="s">
        <v>7984</v>
      </c>
      <c r="B374" s="109" t="s">
        <v>7743</v>
      </c>
      <c r="C374" s="109" t="s">
        <v>7743</v>
      </c>
      <c r="D374" s="109" t="s">
        <v>7985</v>
      </c>
      <c r="E374" s="109" t="s">
        <v>5558</v>
      </c>
      <c r="F374" s="109" t="s">
        <v>7986</v>
      </c>
      <c r="G374" s="110" t="s">
        <v>6248</v>
      </c>
      <c r="H374" s="110" t="s">
        <v>7987</v>
      </c>
      <c r="I374" s="110" t="s">
        <v>7988</v>
      </c>
    </row>
    <row r="375" spans="1:9" ht="25.2" x14ac:dyDescent="0.3">
      <c r="A375" s="109" t="s">
        <v>7989</v>
      </c>
      <c r="B375" s="109" t="s">
        <v>7743</v>
      </c>
      <c r="C375" s="109" t="s">
        <v>7743</v>
      </c>
      <c r="D375" s="109" t="s">
        <v>7990</v>
      </c>
      <c r="E375" s="109" t="s">
        <v>5558</v>
      </c>
      <c r="F375" s="109" t="s">
        <v>7991</v>
      </c>
      <c r="G375" s="110" t="s">
        <v>6248</v>
      </c>
      <c r="H375" s="110" t="s">
        <v>7992</v>
      </c>
      <c r="I375" s="110" t="s">
        <v>7993</v>
      </c>
    </row>
    <row r="376" spans="1:9" ht="25.2" x14ac:dyDescent="0.3">
      <c r="A376" s="109" t="s">
        <v>7994</v>
      </c>
      <c r="B376" s="109" t="s">
        <v>7743</v>
      </c>
      <c r="C376" s="109" t="s">
        <v>7743</v>
      </c>
      <c r="D376" s="109" t="s">
        <v>7995</v>
      </c>
      <c r="E376" s="109" t="s">
        <v>5558</v>
      </c>
      <c r="F376" s="109" t="s">
        <v>7996</v>
      </c>
      <c r="G376" s="110" t="s">
        <v>6248</v>
      </c>
      <c r="H376" s="110" t="s">
        <v>7907</v>
      </c>
      <c r="I376" s="110" t="s">
        <v>7997</v>
      </c>
    </row>
    <row r="377" spans="1:9" ht="37.799999999999997" x14ac:dyDescent="0.3">
      <c r="A377" s="109" t="s">
        <v>7998</v>
      </c>
      <c r="B377" s="109" t="s">
        <v>7743</v>
      </c>
      <c r="C377" s="109" t="s">
        <v>7743</v>
      </c>
      <c r="D377" s="109" t="s">
        <v>7999</v>
      </c>
      <c r="E377" s="109" t="s">
        <v>5558</v>
      </c>
      <c r="F377" s="109" t="s">
        <v>8000</v>
      </c>
      <c r="G377" s="110" t="s">
        <v>6248</v>
      </c>
      <c r="H377" s="110" t="s">
        <v>6398</v>
      </c>
      <c r="I377" s="110" t="s">
        <v>8001</v>
      </c>
    </row>
    <row r="378" spans="1:9" ht="25.2" x14ac:dyDescent="0.3">
      <c r="A378" s="109" t="s">
        <v>8002</v>
      </c>
      <c r="B378" s="109" t="s">
        <v>7743</v>
      </c>
      <c r="C378" s="109" t="s">
        <v>7743</v>
      </c>
      <c r="D378" s="109" t="s">
        <v>8003</v>
      </c>
      <c r="E378" s="109" t="s">
        <v>5558</v>
      </c>
      <c r="F378" s="109" t="s">
        <v>8004</v>
      </c>
      <c r="G378" s="110" t="s">
        <v>6248</v>
      </c>
      <c r="H378" s="110" t="s">
        <v>6639</v>
      </c>
      <c r="I378" s="110" t="s">
        <v>8005</v>
      </c>
    </row>
    <row r="379" spans="1:9" ht="37.799999999999997" x14ac:dyDescent="0.3">
      <c r="A379" s="109" t="s">
        <v>8006</v>
      </c>
      <c r="B379" s="109" t="s">
        <v>7743</v>
      </c>
      <c r="C379" s="109" t="s">
        <v>7743</v>
      </c>
      <c r="D379" s="109" t="s">
        <v>8007</v>
      </c>
      <c r="E379" s="109" t="s">
        <v>5558</v>
      </c>
      <c r="F379" s="109" t="s">
        <v>8008</v>
      </c>
      <c r="G379" s="110" t="s">
        <v>6248</v>
      </c>
      <c r="H379" s="110" t="s">
        <v>6575</v>
      </c>
      <c r="I379" s="110" t="s">
        <v>8009</v>
      </c>
    </row>
    <row r="380" spans="1:9" ht="25.2" x14ac:dyDescent="0.3">
      <c r="A380" s="109" t="s">
        <v>8010</v>
      </c>
      <c r="B380" s="109" t="s">
        <v>7743</v>
      </c>
      <c r="C380" s="109" t="s">
        <v>7743</v>
      </c>
      <c r="D380" s="109" t="s">
        <v>8011</v>
      </c>
      <c r="E380" s="109" t="s">
        <v>5558</v>
      </c>
      <c r="F380" s="109" t="s">
        <v>8012</v>
      </c>
      <c r="G380" s="110" t="s">
        <v>6248</v>
      </c>
      <c r="H380" s="110" t="s">
        <v>6418</v>
      </c>
      <c r="I380" s="110" t="s">
        <v>8013</v>
      </c>
    </row>
    <row r="381" spans="1:9" ht="25.2" x14ac:dyDescent="0.3">
      <c r="A381" s="109" t="s">
        <v>8014</v>
      </c>
      <c r="B381" s="109" t="s">
        <v>7743</v>
      </c>
      <c r="C381" s="109" t="s">
        <v>7743</v>
      </c>
      <c r="D381" s="109" t="s">
        <v>8015</v>
      </c>
      <c r="E381" s="109" t="s">
        <v>5558</v>
      </c>
      <c r="F381" s="109" t="s">
        <v>8016</v>
      </c>
      <c r="G381" s="110" t="s">
        <v>6248</v>
      </c>
      <c r="H381" s="110" t="s">
        <v>6369</v>
      </c>
      <c r="I381" s="110" t="s">
        <v>8017</v>
      </c>
    </row>
    <row r="382" spans="1:9" ht="37.799999999999997" x14ac:dyDescent="0.3">
      <c r="A382" s="109" t="s">
        <v>8018</v>
      </c>
      <c r="B382" s="109" t="s">
        <v>7743</v>
      </c>
      <c r="C382" s="109" t="s">
        <v>7743</v>
      </c>
      <c r="D382" s="109" t="s">
        <v>8019</v>
      </c>
      <c r="E382" s="109" t="s">
        <v>5558</v>
      </c>
      <c r="F382" s="109" t="s">
        <v>8020</v>
      </c>
      <c r="G382" s="110" t="s">
        <v>6248</v>
      </c>
      <c r="H382" s="110" t="s">
        <v>8021</v>
      </c>
      <c r="I382" s="110" t="s">
        <v>8022</v>
      </c>
    </row>
    <row r="383" spans="1:9" ht="25.2" x14ac:dyDescent="0.3">
      <c r="A383" s="109" t="s">
        <v>8023</v>
      </c>
      <c r="B383" s="109" t="s">
        <v>7743</v>
      </c>
      <c r="C383" s="109" t="s">
        <v>7743</v>
      </c>
      <c r="D383" s="109" t="s">
        <v>8024</v>
      </c>
      <c r="E383" s="109" t="s">
        <v>5558</v>
      </c>
      <c r="F383" s="109" t="s">
        <v>8025</v>
      </c>
      <c r="G383" s="110" t="s">
        <v>6248</v>
      </c>
      <c r="H383" s="110" t="s">
        <v>8026</v>
      </c>
      <c r="I383" s="110" t="s">
        <v>8027</v>
      </c>
    </row>
    <row r="384" spans="1:9" ht="25.2" x14ac:dyDescent="0.3">
      <c r="A384" s="109" t="s">
        <v>8028</v>
      </c>
      <c r="B384" s="109" t="s">
        <v>7743</v>
      </c>
      <c r="C384" s="109" t="s">
        <v>7743</v>
      </c>
      <c r="D384" s="109" t="s">
        <v>8029</v>
      </c>
      <c r="E384" s="109" t="s">
        <v>5558</v>
      </c>
      <c r="F384" s="109" t="s">
        <v>6696</v>
      </c>
      <c r="G384" s="110" t="s">
        <v>8030</v>
      </c>
      <c r="H384" s="110" t="s">
        <v>6248</v>
      </c>
      <c r="I384" s="110" t="s">
        <v>8031</v>
      </c>
    </row>
    <row r="385" spans="1:9" ht="25.2" x14ac:dyDescent="0.3">
      <c r="A385" s="109" t="s">
        <v>8032</v>
      </c>
      <c r="B385" s="109" t="s">
        <v>7743</v>
      </c>
      <c r="C385" s="109" t="s">
        <v>7743</v>
      </c>
      <c r="D385" s="109" t="s">
        <v>8033</v>
      </c>
      <c r="E385" s="109" t="s">
        <v>5558</v>
      </c>
      <c r="F385" s="109" t="s">
        <v>8034</v>
      </c>
      <c r="G385" s="110" t="s">
        <v>6248</v>
      </c>
      <c r="H385" s="110" t="s">
        <v>6689</v>
      </c>
      <c r="I385" s="110" t="s">
        <v>8035</v>
      </c>
    </row>
    <row r="386" spans="1:9" ht="25.2" x14ac:dyDescent="0.3">
      <c r="A386" s="109" t="s">
        <v>8036</v>
      </c>
      <c r="B386" s="109" t="s">
        <v>7743</v>
      </c>
      <c r="C386" s="109" t="s">
        <v>7743</v>
      </c>
      <c r="D386" s="109" t="s">
        <v>8037</v>
      </c>
      <c r="E386" s="109" t="s">
        <v>5932</v>
      </c>
      <c r="F386" s="109" t="s">
        <v>8038</v>
      </c>
      <c r="G386" s="110" t="s">
        <v>6248</v>
      </c>
      <c r="H386" s="110" t="s">
        <v>8039</v>
      </c>
      <c r="I386" s="110" t="s">
        <v>8040</v>
      </c>
    </row>
    <row r="387" spans="1:9" ht="25.2" x14ac:dyDescent="0.3">
      <c r="A387" s="109" t="s">
        <v>8041</v>
      </c>
      <c r="B387" s="109" t="s">
        <v>7743</v>
      </c>
      <c r="C387" s="109" t="s">
        <v>7743</v>
      </c>
      <c r="D387" s="109" t="s">
        <v>8042</v>
      </c>
      <c r="E387" s="109" t="s">
        <v>5932</v>
      </c>
      <c r="F387" s="109" t="s">
        <v>8038</v>
      </c>
      <c r="G387" s="110" t="s">
        <v>6248</v>
      </c>
      <c r="H387" s="110" t="s">
        <v>8043</v>
      </c>
      <c r="I387" s="110" t="s">
        <v>8044</v>
      </c>
    </row>
    <row r="388" spans="1:9" ht="25.2" x14ac:dyDescent="0.3">
      <c r="A388" s="109" t="s">
        <v>8045</v>
      </c>
      <c r="B388" s="109" t="s">
        <v>7743</v>
      </c>
      <c r="C388" s="109" t="s">
        <v>7743</v>
      </c>
      <c r="D388" s="109" t="s">
        <v>8046</v>
      </c>
      <c r="E388" s="109" t="s">
        <v>7201</v>
      </c>
      <c r="F388" s="109" t="s">
        <v>7202</v>
      </c>
      <c r="G388" s="110" t="s">
        <v>6248</v>
      </c>
      <c r="H388" s="110" t="s">
        <v>8047</v>
      </c>
      <c r="I388" s="110" t="s">
        <v>8048</v>
      </c>
    </row>
    <row r="389" spans="1:9" ht="25.2" x14ac:dyDescent="0.3">
      <c r="A389" s="109" t="s">
        <v>8049</v>
      </c>
      <c r="B389" s="109" t="s">
        <v>7743</v>
      </c>
      <c r="C389" s="109" t="s">
        <v>7743</v>
      </c>
      <c r="D389" s="109" t="s">
        <v>8050</v>
      </c>
      <c r="E389" s="109" t="s">
        <v>5558</v>
      </c>
      <c r="F389" s="109" t="s">
        <v>8051</v>
      </c>
      <c r="G389" s="110" t="s">
        <v>6248</v>
      </c>
      <c r="H389" s="110" t="s">
        <v>8052</v>
      </c>
      <c r="I389" s="110" t="s">
        <v>8053</v>
      </c>
    </row>
    <row r="390" spans="1:9" ht="37.799999999999997" x14ac:dyDescent="0.3">
      <c r="A390" s="109" t="s">
        <v>8054</v>
      </c>
      <c r="B390" s="109" t="s">
        <v>7743</v>
      </c>
      <c r="C390" s="109" t="s">
        <v>7743</v>
      </c>
      <c r="D390" s="109" t="s">
        <v>8055</v>
      </c>
      <c r="E390" s="109" t="s">
        <v>5558</v>
      </c>
      <c r="F390" s="109" t="s">
        <v>8056</v>
      </c>
      <c r="G390" s="110" t="s">
        <v>6248</v>
      </c>
      <c r="H390" s="110" t="s">
        <v>8057</v>
      </c>
      <c r="I390" s="110" t="s">
        <v>8058</v>
      </c>
    </row>
    <row r="391" spans="1:9" ht="25.2" x14ac:dyDescent="0.3">
      <c r="A391" s="109" t="s">
        <v>8059</v>
      </c>
      <c r="B391" s="109" t="s">
        <v>7743</v>
      </c>
      <c r="C391" s="109" t="s">
        <v>7743</v>
      </c>
      <c r="D391" s="109" t="s">
        <v>8060</v>
      </c>
      <c r="E391" s="109" t="s">
        <v>5558</v>
      </c>
      <c r="F391" s="109" t="s">
        <v>8061</v>
      </c>
      <c r="G391" s="110" t="s">
        <v>6248</v>
      </c>
      <c r="H391" s="110" t="s">
        <v>8062</v>
      </c>
      <c r="I391" s="110" t="s">
        <v>8063</v>
      </c>
    </row>
    <row r="392" spans="1:9" ht="25.2" x14ac:dyDescent="0.3">
      <c r="A392" s="109" t="s">
        <v>8064</v>
      </c>
      <c r="B392" s="109" t="s">
        <v>7743</v>
      </c>
      <c r="C392" s="109" t="s">
        <v>7743</v>
      </c>
      <c r="D392" s="109" t="s">
        <v>8065</v>
      </c>
      <c r="E392" s="109" t="s">
        <v>8066</v>
      </c>
      <c r="F392" s="109" t="s">
        <v>8067</v>
      </c>
      <c r="G392" s="110" t="s">
        <v>6248</v>
      </c>
      <c r="H392" s="110" t="s">
        <v>8068</v>
      </c>
      <c r="I392" s="110" t="s">
        <v>8069</v>
      </c>
    </row>
    <row r="393" spans="1:9" ht="37.799999999999997" x14ac:dyDescent="0.3">
      <c r="A393" s="109" t="s">
        <v>8070</v>
      </c>
      <c r="B393" s="109" t="s">
        <v>7743</v>
      </c>
      <c r="C393" s="109" t="s">
        <v>7743</v>
      </c>
      <c r="D393" s="109" t="s">
        <v>8071</v>
      </c>
      <c r="E393" s="109" t="s">
        <v>5558</v>
      </c>
      <c r="F393" s="109" t="s">
        <v>8072</v>
      </c>
      <c r="G393" s="110" t="s">
        <v>6248</v>
      </c>
      <c r="H393" s="110" t="s">
        <v>8073</v>
      </c>
      <c r="I393" s="110" t="s">
        <v>8074</v>
      </c>
    </row>
    <row r="394" spans="1:9" ht="25.2" x14ac:dyDescent="0.3">
      <c r="A394" s="109" t="s">
        <v>8075</v>
      </c>
      <c r="B394" s="109" t="s">
        <v>7743</v>
      </c>
      <c r="C394" s="109" t="s">
        <v>7743</v>
      </c>
      <c r="D394" s="109" t="s">
        <v>5569</v>
      </c>
      <c r="E394" s="109" t="s">
        <v>5558</v>
      </c>
      <c r="F394" s="109" t="s">
        <v>2258</v>
      </c>
      <c r="G394" s="110" t="s">
        <v>6248</v>
      </c>
      <c r="H394" s="110" t="s">
        <v>8076</v>
      </c>
      <c r="I394" s="110" t="s">
        <v>8077</v>
      </c>
    </row>
    <row r="395" spans="1:9" ht="37.799999999999997" x14ac:dyDescent="0.3">
      <c r="A395" s="109" t="s">
        <v>8078</v>
      </c>
      <c r="B395" s="109" t="s">
        <v>7743</v>
      </c>
      <c r="C395" s="109" t="s">
        <v>7743</v>
      </c>
      <c r="D395" s="109" t="s">
        <v>8079</v>
      </c>
      <c r="E395" s="109" t="s">
        <v>5558</v>
      </c>
      <c r="F395" s="109" t="s">
        <v>8080</v>
      </c>
      <c r="G395" s="110" t="s">
        <v>6248</v>
      </c>
      <c r="H395" s="110" t="s">
        <v>8081</v>
      </c>
      <c r="I395" s="110" t="s">
        <v>8082</v>
      </c>
    </row>
    <row r="396" spans="1:9" ht="37.799999999999997" x14ac:dyDescent="0.3">
      <c r="A396" s="109" t="s">
        <v>8083</v>
      </c>
      <c r="B396" s="109" t="s">
        <v>7743</v>
      </c>
      <c r="C396" s="109" t="s">
        <v>7743</v>
      </c>
      <c r="D396" s="109" t="s">
        <v>8084</v>
      </c>
      <c r="E396" s="109" t="s">
        <v>5558</v>
      </c>
      <c r="F396" s="109" t="s">
        <v>8085</v>
      </c>
      <c r="G396" s="110" t="s">
        <v>6248</v>
      </c>
      <c r="H396" s="110" t="s">
        <v>6346</v>
      </c>
      <c r="I396" s="110" t="s">
        <v>8086</v>
      </c>
    </row>
    <row r="397" spans="1:9" ht="25.2" x14ac:dyDescent="0.3">
      <c r="A397" s="109" t="s">
        <v>8087</v>
      </c>
      <c r="B397" s="109" t="s">
        <v>7743</v>
      </c>
      <c r="C397" s="109" t="s">
        <v>7743</v>
      </c>
      <c r="D397" s="109" t="s">
        <v>504</v>
      </c>
      <c r="E397" s="109" t="s">
        <v>5558</v>
      </c>
      <c r="F397" s="109" t="s">
        <v>8088</v>
      </c>
      <c r="G397" s="110" t="s">
        <v>6248</v>
      </c>
      <c r="H397" s="110" t="s">
        <v>8089</v>
      </c>
      <c r="I397" s="110" t="s">
        <v>8090</v>
      </c>
    </row>
    <row r="398" spans="1:9" ht="25.2" x14ac:dyDescent="0.3">
      <c r="A398" s="109" t="s">
        <v>8091</v>
      </c>
      <c r="B398" s="109" t="s">
        <v>7743</v>
      </c>
      <c r="C398" s="109" t="s">
        <v>7743</v>
      </c>
      <c r="D398" s="109" t="s">
        <v>8092</v>
      </c>
      <c r="E398" s="109" t="s">
        <v>8093</v>
      </c>
      <c r="F398" s="109" t="s">
        <v>8094</v>
      </c>
      <c r="G398" s="110" t="s">
        <v>6248</v>
      </c>
      <c r="H398" s="110" t="s">
        <v>8095</v>
      </c>
      <c r="I398" s="110" t="s">
        <v>8096</v>
      </c>
    </row>
    <row r="399" spans="1:9" ht="37.799999999999997" x14ac:dyDescent="0.3">
      <c r="A399" s="109" t="s">
        <v>8097</v>
      </c>
      <c r="B399" s="109" t="s">
        <v>7743</v>
      </c>
      <c r="C399" s="109" t="s">
        <v>7743</v>
      </c>
      <c r="D399" s="109" t="s">
        <v>8098</v>
      </c>
      <c r="E399" s="109" t="s">
        <v>5558</v>
      </c>
      <c r="F399" s="109" t="s">
        <v>8099</v>
      </c>
      <c r="G399" s="110" t="s">
        <v>6248</v>
      </c>
      <c r="H399" s="110" t="s">
        <v>6341</v>
      </c>
      <c r="I399" s="110" t="s">
        <v>8100</v>
      </c>
    </row>
    <row r="400" spans="1:9" ht="37.799999999999997" x14ac:dyDescent="0.3">
      <c r="A400" s="109" t="s">
        <v>8101</v>
      </c>
      <c r="B400" s="109" t="s">
        <v>7743</v>
      </c>
      <c r="C400" s="109" t="s">
        <v>7743</v>
      </c>
      <c r="D400" s="109" t="s">
        <v>8102</v>
      </c>
      <c r="E400" s="109" t="s">
        <v>5558</v>
      </c>
      <c r="F400" s="109" t="s">
        <v>8103</v>
      </c>
      <c r="G400" s="110" t="s">
        <v>6248</v>
      </c>
      <c r="H400" s="110" t="s">
        <v>8104</v>
      </c>
      <c r="I400" s="110" t="s">
        <v>8105</v>
      </c>
    </row>
    <row r="401" spans="1:9" ht="25.2" x14ac:dyDescent="0.3">
      <c r="A401" s="109" t="s">
        <v>8106</v>
      </c>
      <c r="B401" s="109" t="s">
        <v>7743</v>
      </c>
      <c r="C401" s="109" t="s">
        <v>7743</v>
      </c>
      <c r="D401" s="109" t="s">
        <v>8107</v>
      </c>
      <c r="E401" s="109" t="s">
        <v>5558</v>
      </c>
      <c r="F401" s="109" t="s">
        <v>8108</v>
      </c>
      <c r="G401" s="110" t="s">
        <v>6248</v>
      </c>
      <c r="H401" s="110" t="s">
        <v>8109</v>
      </c>
      <c r="I401" s="110" t="s">
        <v>8110</v>
      </c>
    </row>
    <row r="402" spans="1:9" ht="25.2" x14ac:dyDescent="0.3">
      <c r="A402" s="109" t="s">
        <v>8111</v>
      </c>
      <c r="B402" s="109" t="s">
        <v>7743</v>
      </c>
      <c r="C402" s="109" t="s">
        <v>7743</v>
      </c>
      <c r="D402" s="109" t="s">
        <v>372</v>
      </c>
      <c r="E402" s="109" t="s">
        <v>5558</v>
      </c>
      <c r="F402" s="109" t="s">
        <v>8112</v>
      </c>
      <c r="G402" s="110" t="s">
        <v>6248</v>
      </c>
      <c r="H402" s="110" t="s">
        <v>8113</v>
      </c>
      <c r="I402" s="110" t="s">
        <v>8114</v>
      </c>
    </row>
    <row r="403" spans="1:9" ht="25.2" x14ac:dyDescent="0.3">
      <c r="A403" s="109" t="s">
        <v>8115</v>
      </c>
      <c r="B403" s="109" t="s">
        <v>7743</v>
      </c>
      <c r="C403" s="109" t="s">
        <v>7743</v>
      </c>
      <c r="D403" s="109" t="s">
        <v>5569</v>
      </c>
      <c r="E403" s="109" t="s">
        <v>5558</v>
      </c>
      <c r="F403" s="109" t="s">
        <v>2258</v>
      </c>
      <c r="G403" s="110" t="s">
        <v>6248</v>
      </c>
      <c r="H403" s="110" t="s">
        <v>8116</v>
      </c>
      <c r="I403" s="110" t="s">
        <v>8117</v>
      </c>
    </row>
    <row r="404" spans="1:9" ht="25.2" x14ac:dyDescent="0.3">
      <c r="A404" s="109" t="s">
        <v>8118</v>
      </c>
      <c r="B404" s="109" t="s">
        <v>7743</v>
      </c>
      <c r="C404" s="109" t="s">
        <v>7743</v>
      </c>
      <c r="D404" s="109" t="s">
        <v>8119</v>
      </c>
      <c r="E404" s="109" t="s">
        <v>5558</v>
      </c>
      <c r="F404" s="109" t="s">
        <v>8120</v>
      </c>
      <c r="G404" s="110" t="s">
        <v>6248</v>
      </c>
      <c r="H404" s="110" t="s">
        <v>8121</v>
      </c>
      <c r="I404" s="110" t="s">
        <v>8122</v>
      </c>
    </row>
    <row r="405" spans="1:9" ht="25.2" x14ac:dyDescent="0.3">
      <c r="A405" s="109" t="s">
        <v>8123</v>
      </c>
      <c r="B405" s="109" t="s">
        <v>7743</v>
      </c>
      <c r="C405" s="109" t="s">
        <v>7743</v>
      </c>
      <c r="D405" s="109" t="s">
        <v>8124</v>
      </c>
      <c r="E405" s="109" t="s">
        <v>8125</v>
      </c>
      <c r="F405" s="109" t="s">
        <v>8126</v>
      </c>
      <c r="G405" s="110" t="s">
        <v>6248</v>
      </c>
      <c r="H405" s="110" t="s">
        <v>8127</v>
      </c>
      <c r="I405" s="110" t="s">
        <v>8128</v>
      </c>
    </row>
    <row r="406" spans="1:9" ht="25.2" x14ac:dyDescent="0.3">
      <c r="A406" s="109" t="s">
        <v>8129</v>
      </c>
      <c r="B406" s="109" t="s">
        <v>7743</v>
      </c>
      <c r="C406" s="109" t="s">
        <v>7743</v>
      </c>
      <c r="D406" s="109" t="s">
        <v>8130</v>
      </c>
      <c r="E406" s="109" t="s">
        <v>5558</v>
      </c>
      <c r="F406" s="109" t="s">
        <v>8131</v>
      </c>
      <c r="G406" s="110" t="s">
        <v>6248</v>
      </c>
      <c r="H406" s="110" t="s">
        <v>7480</v>
      </c>
      <c r="I406" s="110" t="s">
        <v>8132</v>
      </c>
    </row>
    <row r="407" spans="1:9" ht="25.2" x14ac:dyDescent="0.3">
      <c r="A407" s="109" t="s">
        <v>8133</v>
      </c>
      <c r="B407" s="109" t="s">
        <v>7743</v>
      </c>
      <c r="C407" s="109" t="s">
        <v>7743</v>
      </c>
      <c r="D407" s="109" t="s">
        <v>8134</v>
      </c>
      <c r="E407" s="109" t="s">
        <v>8135</v>
      </c>
      <c r="F407" s="109" t="s">
        <v>6878</v>
      </c>
      <c r="G407" s="110" t="s">
        <v>8136</v>
      </c>
      <c r="H407" s="110" t="s">
        <v>6248</v>
      </c>
      <c r="I407" s="110" t="s">
        <v>8137</v>
      </c>
    </row>
    <row r="408" spans="1:9" ht="63" x14ac:dyDescent="0.3">
      <c r="A408" s="109" t="s">
        <v>8138</v>
      </c>
      <c r="B408" s="109" t="s">
        <v>7743</v>
      </c>
      <c r="C408" s="109" t="s">
        <v>7743</v>
      </c>
      <c r="D408" s="109" t="s">
        <v>8139</v>
      </c>
      <c r="E408" s="109" t="s">
        <v>8139</v>
      </c>
      <c r="F408" s="109" t="s">
        <v>8140</v>
      </c>
      <c r="G408" s="110" t="s">
        <v>6248</v>
      </c>
      <c r="H408" s="110" t="s">
        <v>6689</v>
      </c>
      <c r="I408" s="110" t="s">
        <v>8141</v>
      </c>
    </row>
    <row r="409" spans="1:9" ht="25.2" x14ac:dyDescent="0.3">
      <c r="A409" s="109" t="s">
        <v>8142</v>
      </c>
      <c r="B409" s="109" t="s">
        <v>7743</v>
      </c>
      <c r="C409" s="109" t="s">
        <v>7743</v>
      </c>
      <c r="D409" s="109" t="s">
        <v>8143</v>
      </c>
      <c r="E409" s="109" t="s">
        <v>5558</v>
      </c>
      <c r="F409" s="109" t="s">
        <v>8144</v>
      </c>
      <c r="G409" s="110" t="s">
        <v>6248</v>
      </c>
      <c r="H409" s="110" t="s">
        <v>6689</v>
      </c>
      <c r="I409" s="110" t="s">
        <v>8145</v>
      </c>
    </row>
    <row r="410" spans="1:9" ht="25.2" x14ac:dyDescent="0.3">
      <c r="A410" s="109" t="s">
        <v>8146</v>
      </c>
      <c r="B410" s="109" t="s">
        <v>7743</v>
      </c>
      <c r="C410" s="109" t="s">
        <v>7743</v>
      </c>
      <c r="D410" s="109" t="s">
        <v>805</v>
      </c>
      <c r="E410" s="109" t="s">
        <v>8147</v>
      </c>
      <c r="F410" s="109" t="s">
        <v>8148</v>
      </c>
      <c r="G410" s="110" t="s">
        <v>8149</v>
      </c>
      <c r="H410" s="110" t="s">
        <v>6248</v>
      </c>
      <c r="I410" s="110" t="s">
        <v>8150</v>
      </c>
    </row>
    <row r="411" spans="1:9" ht="25.2" x14ac:dyDescent="0.3">
      <c r="A411" s="109" t="s">
        <v>8151</v>
      </c>
      <c r="B411" s="109" t="s">
        <v>7743</v>
      </c>
      <c r="C411" s="109" t="s">
        <v>7743</v>
      </c>
      <c r="D411" s="109" t="s">
        <v>8152</v>
      </c>
      <c r="E411" s="109" t="s">
        <v>5558</v>
      </c>
      <c r="F411" s="109" t="s">
        <v>8153</v>
      </c>
      <c r="G411" s="110" t="s">
        <v>6248</v>
      </c>
      <c r="H411" s="110" t="s">
        <v>8154</v>
      </c>
      <c r="I411" s="110" t="s">
        <v>8155</v>
      </c>
    </row>
    <row r="412" spans="1:9" ht="25.2" x14ac:dyDescent="0.3">
      <c r="A412" s="109" t="s">
        <v>8156</v>
      </c>
      <c r="B412" s="109" t="s">
        <v>7743</v>
      </c>
      <c r="C412" s="109" t="s">
        <v>7743</v>
      </c>
      <c r="D412" s="109" t="s">
        <v>8157</v>
      </c>
      <c r="E412" s="109" t="s">
        <v>6713</v>
      </c>
      <c r="F412" s="109" t="s">
        <v>8158</v>
      </c>
      <c r="G412" s="110" t="s">
        <v>6248</v>
      </c>
      <c r="H412" s="110" t="s">
        <v>8159</v>
      </c>
      <c r="I412" s="110" t="s">
        <v>8160</v>
      </c>
    </row>
    <row r="413" spans="1:9" ht="25.2" x14ac:dyDescent="0.3">
      <c r="A413" s="109" t="s">
        <v>8161</v>
      </c>
      <c r="B413" s="109" t="s">
        <v>7743</v>
      </c>
      <c r="C413" s="109" t="s">
        <v>7743</v>
      </c>
      <c r="D413" s="109" t="s">
        <v>8162</v>
      </c>
      <c r="E413" s="109" t="s">
        <v>5558</v>
      </c>
      <c r="F413" s="109" t="s">
        <v>8163</v>
      </c>
      <c r="G413" s="110" t="s">
        <v>6248</v>
      </c>
      <c r="H413" s="110" t="s">
        <v>8164</v>
      </c>
      <c r="I413" s="110" t="s">
        <v>8165</v>
      </c>
    </row>
    <row r="414" spans="1:9" ht="25.2" x14ac:dyDescent="0.3">
      <c r="A414" s="109" t="s">
        <v>8166</v>
      </c>
      <c r="B414" s="109" t="s">
        <v>7743</v>
      </c>
      <c r="C414" s="109" t="s">
        <v>7743</v>
      </c>
      <c r="D414" s="109" t="s">
        <v>8167</v>
      </c>
      <c r="E414" s="109" t="s">
        <v>5932</v>
      </c>
      <c r="F414" s="109" t="s">
        <v>8038</v>
      </c>
      <c r="G414" s="110" t="s">
        <v>6248</v>
      </c>
      <c r="H414" s="110" t="s">
        <v>8168</v>
      </c>
      <c r="I414" s="110" t="s">
        <v>8169</v>
      </c>
    </row>
    <row r="415" spans="1:9" ht="25.2" x14ac:dyDescent="0.3">
      <c r="A415" s="109" t="s">
        <v>8170</v>
      </c>
      <c r="B415" s="109" t="s">
        <v>7743</v>
      </c>
      <c r="C415" s="109" t="s">
        <v>7743</v>
      </c>
      <c r="D415" s="109" t="s">
        <v>8171</v>
      </c>
      <c r="E415" s="109" t="s">
        <v>8172</v>
      </c>
      <c r="F415" s="109" t="s">
        <v>8173</v>
      </c>
      <c r="G415" s="110" t="s">
        <v>6248</v>
      </c>
      <c r="H415" s="110" t="s">
        <v>8174</v>
      </c>
      <c r="I415" s="110" t="s">
        <v>8175</v>
      </c>
    </row>
    <row r="416" spans="1:9" ht="25.2" x14ac:dyDescent="0.3">
      <c r="A416" s="109" t="s">
        <v>8176</v>
      </c>
      <c r="B416" s="109" t="s">
        <v>7743</v>
      </c>
      <c r="C416" s="109" t="s">
        <v>7743</v>
      </c>
      <c r="D416" s="109" t="s">
        <v>8177</v>
      </c>
      <c r="E416" s="109" t="s">
        <v>8178</v>
      </c>
      <c r="F416" s="109" t="s">
        <v>8179</v>
      </c>
      <c r="G416" s="110" t="s">
        <v>6248</v>
      </c>
      <c r="H416" s="110" t="s">
        <v>8180</v>
      </c>
      <c r="I416" s="110" t="s">
        <v>8181</v>
      </c>
    </row>
    <row r="417" spans="1:9" ht="25.2" x14ac:dyDescent="0.3">
      <c r="A417" s="109" t="s">
        <v>8182</v>
      </c>
      <c r="B417" s="109" t="s">
        <v>7743</v>
      </c>
      <c r="C417" s="109" t="s">
        <v>7743</v>
      </c>
      <c r="D417" s="109" t="s">
        <v>8183</v>
      </c>
      <c r="E417" s="109" t="s">
        <v>5558</v>
      </c>
      <c r="F417" s="109" t="s">
        <v>8184</v>
      </c>
      <c r="G417" s="110" t="s">
        <v>6248</v>
      </c>
      <c r="H417" s="110" t="s">
        <v>8185</v>
      </c>
      <c r="I417" s="110" t="s">
        <v>8186</v>
      </c>
    </row>
    <row r="418" spans="1:9" ht="25.2" x14ac:dyDescent="0.3">
      <c r="A418" s="109" t="s">
        <v>8187</v>
      </c>
      <c r="B418" s="109" t="s">
        <v>7743</v>
      </c>
      <c r="C418" s="109" t="s">
        <v>7743</v>
      </c>
      <c r="D418" s="109" t="s">
        <v>8188</v>
      </c>
      <c r="E418" s="109" t="s">
        <v>8189</v>
      </c>
      <c r="F418" s="109" t="s">
        <v>8190</v>
      </c>
      <c r="G418" s="110" t="s">
        <v>6248</v>
      </c>
      <c r="H418" s="110" t="s">
        <v>8191</v>
      </c>
      <c r="I418" s="110" t="s">
        <v>8192</v>
      </c>
    </row>
    <row r="419" spans="1:9" ht="25.2" x14ac:dyDescent="0.3">
      <c r="A419" s="109" t="s">
        <v>8193</v>
      </c>
      <c r="B419" s="109" t="s">
        <v>7743</v>
      </c>
      <c r="C419" s="109" t="s">
        <v>7743</v>
      </c>
      <c r="D419" s="109" t="s">
        <v>8194</v>
      </c>
      <c r="E419" s="109" t="s">
        <v>5558</v>
      </c>
      <c r="F419" s="109" t="s">
        <v>8195</v>
      </c>
      <c r="G419" s="110" t="s">
        <v>6248</v>
      </c>
      <c r="H419" s="110" t="s">
        <v>6341</v>
      </c>
      <c r="I419" s="110" t="s">
        <v>8196</v>
      </c>
    </row>
    <row r="420" spans="1:9" ht="25.2" x14ac:dyDescent="0.3">
      <c r="A420" s="109" t="s">
        <v>8197</v>
      </c>
      <c r="B420" s="109" t="s">
        <v>7743</v>
      </c>
      <c r="C420" s="109" t="s">
        <v>7743</v>
      </c>
      <c r="D420" s="109" t="s">
        <v>8198</v>
      </c>
      <c r="E420" s="109" t="s">
        <v>5558</v>
      </c>
      <c r="F420" s="109" t="s">
        <v>8199</v>
      </c>
      <c r="G420" s="110" t="s">
        <v>6248</v>
      </c>
      <c r="H420" s="110" t="s">
        <v>8200</v>
      </c>
      <c r="I420" s="110" t="s">
        <v>8201</v>
      </c>
    </row>
    <row r="421" spans="1:9" ht="25.2" x14ac:dyDescent="0.3">
      <c r="A421" s="109" t="s">
        <v>8202</v>
      </c>
      <c r="B421" s="109" t="s">
        <v>7743</v>
      </c>
      <c r="C421" s="109" t="s">
        <v>7743</v>
      </c>
      <c r="D421" s="109" t="s">
        <v>5569</v>
      </c>
      <c r="E421" s="109" t="s">
        <v>5558</v>
      </c>
      <c r="F421" s="109" t="s">
        <v>2258</v>
      </c>
      <c r="G421" s="110" t="s">
        <v>6248</v>
      </c>
      <c r="H421" s="110" t="s">
        <v>8185</v>
      </c>
      <c r="I421" s="110" t="s">
        <v>8203</v>
      </c>
    </row>
    <row r="422" spans="1:9" ht="25.2" x14ac:dyDescent="0.3">
      <c r="A422" s="109" t="s">
        <v>8204</v>
      </c>
      <c r="B422" s="109" t="s">
        <v>7743</v>
      </c>
      <c r="C422" s="109" t="s">
        <v>7743</v>
      </c>
      <c r="D422" s="109" t="s">
        <v>8205</v>
      </c>
      <c r="E422" s="109" t="s">
        <v>8206</v>
      </c>
      <c r="F422" s="109" t="s">
        <v>8207</v>
      </c>
      <c r="G422" s="110" t="s">
        <v>6248</v>
      </c>
      <c r="H422" s="110" t="s">
        <v>8208</v>
      </c>
      <c r="I422" s="110" t="s">
        <v>8209</v>
      </c>
    </row>
    <row r="423" spans="1:9" ht="25.2" x14ac:dyDescent="0.3">
      <c r="A423" s="109" t="s">
        <v>8210</v>
      </c>
      <c r="B423" s="109" t="s">
        <v>7743</v>
      </c>
      <c r="C423" s="109" t="s">
        <v>7743</v>
      </c>
      <c r="D423" s="109" t="s">
        <v>8211</v>
      </c>
      <c r="E423" s="109" t="s">
        <v>8212</v>
      </c>
      <c r="F423" s="109" t="s">
        <v>8207</v>
      </c>
      <c r="G423" s="110" t="s">
        <v>6248</v>
      </c>
      <c r="H423" s="110" t="s">
        <v>8213</v>
      </c>
      <c r="I423" s="110" t="s">
        <v>8214</v>
      </c>
    </row>
    <row r="424" spans="1:9" ht="63" x14ac:dyDescent="0.3">
      <c r="A424" s="109" t="s">
        <v>8215</v>
      </c>
      <c r="B424" s="109" t="s">
        <v>7743</v>
      </c>
      <c r="C424" s="109" t="s">
        <v>7743</v>
      </c>
      <c r="D424" s="109" t="s">
        <v>8216</v>
      </c>
      <c r="E424" s="109" t="s">
        <v>8216</v>
      </c>
      <c r="F424" s="109" t="s">
        <v>8217</v>
      </c>
      <c r="G424" s="110" t="s">
        <v>6248</v>
      </c>
      <c r="H424" s="110" t="s">
        <v>8218</v>
      </c>
      <c r="I424" s="110" t="s">
        <v>8219</v>
      </c>
    </row>
    <row r="425" spans="1:9" ht="25.2" x14ac:dyDescent="0.3">
      <c r="A425" s="109" t="s">
        <v>8220</v>
      </c>
      <c r="B425" s="109" t="s">
        <v>7743</v>
      </c>
      <c r="C425" s="109" t="s">
        <v>7743</v>
      </c>
      <c r="D425" s="109" t="s">
        <v>8221</v>
      </c>
      <c r="E425" s="109" t="s">
        <v>5932</v>
      </c>
      <c r="F425" s="109" t="s">
        <v>8038</v>
      </c>
      <c r="G425" s="110" t="s">
        <v>6248</v>
      </c>
      <c r="H425" s="110" t="s">
        <v>8222</v>
      </c>
      <c r="I425" s="110" t="s">
        <v>8223</v>
      </c>
    </row>
    <row r="426" spans="1:9" ht="63" x14ac:dyDescent="0.3">
      <c r="A426" s="109" t="s">
        <v>8224</v>
      </c>
      <c r="B426" s="109" t="s">
        <v>7743</v>
      </c>
      <c r="C426" s="109" t="s">
        <v>7743</v>
      </c>
      <c r="D426" s="109" t="s">
        <v>8225</v>
      </c>
      <c r="E426" s="109" t="s">
        <v>8225</v>
      </c>
      <c r="F426" s="109" t="s">
        <v>8226</v>
      </c>
      <c r="G426" s="110" t="s">
        <v>6248</v>
      </c>
      <c r="H426" s="110" t="s">
        <v>8227</v>
      </c>
      <c r="I426" s="110" t="s">
        <v>8228</v>
      </c>
    </row>
    <row r="427" spans="1:9" ht="25.2" x14ac:dyDescent="0.3">
      <c r="A427" s="109" t="s">
        <v>8229</v>
      </c>
      <c r="B427" s="109" t="s">
        <v>7743</v>
      </c>
      <c r="C427" s="109" t="s">
        <v>7743</v>
      </c>
      <c r="D427" s="109" t="s">
        <v>8230</v>
      </c>
      <c r="E427" s="109" t="s">
        <v>8231</v>
      </c>
      <c r="F427" s="109" t="s">
        <v>8207</v>
      </c>
      <c r="G427" s="110" t="s">
        <v>6248</v>
      </c>
      <c r="H427" s="110" t="s">
        <v>8232</v>
      </c>
      <c r="I427" s="110" t="s">
        <v>8233</v>
      </c>
    </row>
    <row r="428" spans="1:9" ht="25.2" x14ac:dyDescent="0.3">
      <c r="A428" s="109" t="s">
        <v>8234</v>
      </c>
      <c r="B428" s="109" t="s">
        <v>7743</v>
      </c>
      <c r="C428" s="109" t="s">
        <v>7743</v>
      </c>
      <c r="D428" s="109" t="s">
        <v>8235</v>
      </c>
      <c r="E428" s="109" t="s">
        <v>5558</v>
      </c>
      <c r="F428" s="109" t="s">
        <v>8236</v>
      </c>
      <c r="G428" s="110" t="s">
        <v>6248</v>
      </c>
      <c r="H428" s="110" t="s">
        <v>8237</v>
      </c>
      <c r="I428" s="110" t="s">
        <v>8238</v>
      </c>
    </row>
    <row r="429" spans="1:9" ht="25.2" x14ac:dyDescent="0.3">
      <c r="A429" s="109" t="s">
        <v>8239</v>
      </c>
      <c r="B429" s="109" t="s">
        <v>7743</v>
      </c>
      <c r="C429" s="109" t="s">
        <v>7743</v>
      </c>
      <c r="D429" s="109" t="s">
        <v>8240</v>
      </c>
      <c r="E429" s="109" t="s">
        <v>5558</v>
      </c>
      <c r="F429" s="109" t="s">
        <v>8241</v>
      </c>
      <c r="G429" s="110" t="s">
        <v>6248</v>
      </c>
      <c r="H429" s="110" t="s">
        <v>8242</v>
      </c>
      <c r="I429" s="110" t="s">
        <v>8243</v>
      </c>
    </row>
    <row r="430" spans="1:9" ht="37.799999999999997" x14ac:dyDescent="0.3">
      <c r="A430" s="109" t="s">
        <v>8244</v>
      </c>
      <c r="B430" s="109" t="s">
        <v>7743</v>
      </c>
      <c r="C430" s="109" t="s">
        <v>7743</v>
      </c>
      <c r="D430" s="109" t="s">
        <v>8245</v>
      </c>
      <c r="E430" s="109" t="s">
        <v>5558</v>
      </c>
      <c r="F430" s="109" t="s">
        <v>8246</v>
      </c>
      <c r="G430" s="110" t="s">
        <v>6248</v>
      </c>
      <c r="H430" s="110" t="s">
        <v>8247</v>
      </c>
      <c r="I430" s="110" t="s">
        <v>8248</v>
      </c>
    </row>
    <row r="431" spans="1:9" ht="63" x14ac:dyDescent="0.3">
      <c r="A431" s="109" t="s">
        <v>8249</v>
      </c>
      <c r="B431" s="109" t="s">
        <v>7743</v>
      </c>
      <c r="C431" s="109" t="s">
        <v>7743</v>
      </c>
      <c r="D431" s="109" t="s">
        <v>8250</v>
      </c>
      <c r="E431" s="109" t="s">
        <v>8250</v>
      </c>
      <c r="F431" s="109" t="s">
        <v>8251</v>
      </c>
      <c r="G431" s="110" t="s">
        <v>6248</v>
      </c>
      <c r="H431" s="110" t="s">
        <v>8252</v>
      </c>
      <c r="I431" s="110" t="s">
        <v>8253</v>
      </c>
    </row>
    <row r="432" spans="1:9" ht="63" x14ac:dyDescent="0.3">
      <c r="A432" s="109" t="s">
        <v>8254</v>
      </c>
      <c r="B432" s="109" t="s">
        <v>7743</v>
      </c>
      <c r="C432" s="109" t="s">
        <v>7743</v>
      </c>
      <c r="D432" s="109" t="s">
        <v>8255</v>
      </c>
      <c r="E432" s="109" t="s">
        <v>8255</v>
      </c>
      <c r="F432" s="109" t="s">
        <v>8256</v>
      </c>
      <c r="G432" s="110" t="s">
        <v>6248</v>
      </c>
      <c r="H432" s="110" t="s">
        <v>8257</v>
      </c>
      <c r="I432" s="110" t="s">
        <v>8258</v>
      </c>
    </row>
    <row r="433" spans="1:9" ht="50.4" x14ac:dyDescent="0.3">
      <c r="A433" s="109" t="s">
        <v>8259</v>
      </c>
      <c r="B433" s="109" t="s">
        <v>7743</v>
      </c>
      <c r="C433" s="109" t="s">
        <v>7743</v>
      </c>
      <c r="D433" s="109" t="s">
        <v>6115</v>
      </c>
      <c r="E433" s="109" t="s">
        <v>6115</v>
      </c>
      <c r="F433" s="109" t="s">
        <v>8260</v>
      </c>
      <c r="G433" s="110" t="s">
        <v>6248</v>
      </c>
      <c r="H433" s="110" t="s">
        <v>8261</v>
      </c>
      <c r="I433" s="110" t="s">
        <v>8262</v>
      </c>
    </row>
    <row r="434" spans="1:9" ht="25.2" x14ac:dyDescent="0.3">
      <c r="A434" s="109" t="s">
        <v>8263</v>
      </c>
      <c r="B434" s="109" t="s">
        <v>7743</v>
      </c>
      <c r="C434" s="109" t="s">
        <v>7743</v>
      </c>
      <c r="D434" s="109" t="s">
        <v>8264</v>
      </c>
      <c r="E434" s="109" t="s">
        <v>5558</v>
      </c>
      <c r="F434" s="109" t="s">
        <v>8265</v>
      </c>
      <c r="G434" s="110" t="s">
        <v>6248</v>
      </c>
      <c r="H434" s="110" t="s">
        <v>8266</v>
      </c>
      <c r="I434" s="110" t="s">
        <v>8267</v>
      </c>
    </row>
    <row r="435" spans="1:9" ht="25.2" x14ac:dyDescent="0.3">
      <c r="A435" s="109" t="s">
        <v>8268</v>
      </c>
      <c r="B435" s="109" t="s">
        <v>7743</v>
      </c>
      <c r="C435" s="109" t="s">
        <v>7743</v>
      </c>
      <c r="D435" s="109" t="s">
        <v>5569</v>
      </c>
      <c r="E435" s="109" t="s">
        <v>5558</v>
      </c>
      <c r="F435" s="109" t="s">
        <v>2258</v>
      </c>
      <c r="G435" s="110" t="s">
        <v>6248</v>
      </c>
      <c r="H435" s="110" t="s">
        <v>8269</v>
      </c>
      <c r="I435" s="110" t="s">
        <v>8270</v>
      </c>
    </row>
    <row r="436" spans="1:9" ht="25.2" x14ac:dyDescent="0.3">
      <c r="A436" s="109" t="s">
        <v>8271</v>
      </c>
      <c r="B436" s="109" t="s">
        <v>7743</v>
      </c>
      <c r="C436" s="109" t="s">
        <v>7743</v>
      </c>
      <c r="D436" s="109" t="s">
        <v>8272</v>
      </c>
      <c r="E436" s="109" t="s">
        <v>8273</v>
      </c>
      <c r="F436" s="109" t="s">
        <v>8274</v>
      </c>
      <c r="G436" s="110" t="s">
        <v>6248</v>
      </c>
      <c r="H436" s="110" t="s">
        <v>8275</v>
      </c>
      <c r="I436" s="110" t="s">
        <v>8276</v>
      </c>
    </row>
    <row r="437" spans="1:9" ht="25.2" x14ac:dyDescent="0.3">
      <c r="A437" s="109" t="s">
        <v>8277</v>
      </c>
      <c r="B437" s="109" t="s">
        <v>7743</v>
      </c>
      <c r="C437" s="109" t="s">
        <v>7743</v>
      </c>
      <c r="D437" s="109" t="s">
        <v>8278</v>
      </c>
      <c r="E437" s="109" t="s">
        <v>5558</v>
      </c>
      <c r="F437" s="109" t="s">
        <v>8279</v>
      </c>
      <c r="G437" s="110" t="s">
        <v>6248</v>
      </c>
      <c r="H437" s="110" t="s">
        <v>8280</v>
      </c>
      <c r="I437" s="110" t="s">
        <v>8281</v>
      </c>
    </row>
    <row r="438" spans="1:9" ht="25.2" x14ac:dyDescent="0.3">
      <c r="A438" s="109" t="s">
        <v>8282</v>
      </c>
      <c r="B438" s="109" t="s">
        <v>7743</v>
      </c>
      <c r="C438" s="109" t="s">
        <v>7743</v>
      </c>
      <c r="D438" s="109" t="s">
        <v>8283</v>
      </c>
      <c r="E438" s="109" t="s">
        <v>5558</v>
      </c>
      <c r="F438" s="109" t="s">
        <v>8284</v>
      </c>
      <c r="G438" s="110" t="s">
        <v>6248</v>
      </c>
      <c r="H438" s="110" t="s">
        <v>8285</v>
      </c>
      <c r="I438" s="110" t="s">
        <v>8286</v>
      </c>
    </row>
    <row r="439" spans="1:9" ht="25.2" x14ac:dyDescent="0.3">
      <c r="A439" s="109" t="s">
        <v>8287</v>
      </c>
      <c r="B439" s="109" t="s">
        <v>7743</v>
      </c>
      <c r="C439" s="109" t="s">
        <v>7743</v>
      </c>
      <c r="D439" s="109" t="s">
        <v>8288</v>
      </c>
      <c r="E439" s="109" t="s">
        <v>5558</v>
      </c>
      <c r="F439" s="109" t="s">
        <v>8289</v>
      </c>
      <c r="G439" s="110" t="s">
        <v>6248</v>
      </c>
      <c r="H439" s="110" t="s">
        <v>8290</v>
      </c>
      <c r="I439" s="110" t="s">
        <v>8291</v>
      </c>
    </row>
    <row r="440" spans="1:9" ht="25.2" x14ac:dyDescent="0.3">
      <c r="A440" s="109" t="s">
        <v>8292</v>
      </c>
      <c r="B440" s="109" t="s">
        <v>7743</v>
      </c>
      <c r="C440" s="109" t="s">
        <v>7743</v>
      </c>
      <c r="D440" s="109" t="s">
        <v>8293</v>
      </c>
      <c r="E440" s="109" t="s">
        <v>5558</v>
      </c>
      <c r="F440" s="109" t="s">
        <v>8294</v>
      </c>
      <c r="G440" s="110" t="s">
        <v>6248</v>
      </c>
      <c r="H440" s="110" t="s">
        <v>8295</v>
      </c>
      <c r="I440" s="110" t="s">
        <v>8296</v>
      </c>
    </row>
    <row r="441" spans="1:9" ht="25.2" x14ac:dyDescent="0.3">
      <c r="A441" s="109" t="s">
        <v>8297</v>
      </c>
      <c r="B441" s="109" t="s">
        <v>7743</v>
      </c>
      <c r="C441" s="109" t="s">
        <v>7743</v>
      </c>
      <c r="D441" s="109" t="s">
        <v>8298</v>
      </c>
      <c r="E441" s="109" t="s">
        <v>5558</v>
      </c>
      <c r="F441" s="109" t="s">
        <v>8299</v>
      </c>
      <c r="G441" s="110" t="s">
        <v>6248</v>
      </c>
      <c r="H441" s="110" t="s">
        <v>8300</v>
      </c>
      <c r="I441" s="110" t="s">
        <v>8301</v>
      </c>
    </row>
    <row r="442" spans="1:9" ht="25.2" x14ac:dyDescent="0.3">
      <c r="A442" s="109" t="s">
        <v>8302</v>
      </c>
      <c r="B442" s="109" t="s">
        <v>7743</v>
      </c>
      <c r="C442" s="109" t="s">
        <v>7743</v>
      </c>
      <c r="D442" s="109" t="s">
        <v>8303</v>
      </c>
      <c r="E442" s="109" t="s">
        <v>5558</v>
      </c>
      <c r="F442" s="109" t="s">
        <v>8304</v>
      </c>
      <c r="G442" s="110" t="s">
        <v>6248</v>
      </c>
      <c r="H442" s="110" t="s">
        <v>7249</v>
      </c>
      <c r="I442" s="110" t="s">
        <v>8305</v>
      </c>
    </row>
    <row r="443" spans="1:9" ht="25.2" x14ac:dyDescent="0.3">
      <c r="A443" s="109" t="s">
        <v>8306</v>
      </c>
      <c r="B443" s="109" t="s">
        <v>7743</v>
      </c>
      <c r="C443" s="109" t="s">
        <v>7743</v>
      </c>
      <c r="D443" s="109" t="s">
        <v>8307</v>
      </c>
      <c r="E443" s="109" t="s">
        <v>8308</v>
      </c>
      <c r="F443" s="109" t="s">
        <v>8309</v>
      </c>
      <c r="G443" s="110" t="s">
        <v>6248</v>
      </c>
      <c r="H443" s="110" t="s">
        <v>8310</v>
      </c>
      <c r="I443" s="110" t="s">
        <v>8311</v>
      </c>
    </row>
    <row r="444" spans="1:9" ht="25.2" x14ac:dyDescent="0.3">
      <c r="A444" s="109" t="s">
        <v>8312</v>
      </c>
      <c r="B444" s="109" t="s">
        <v>7743</v>
      </c>
      <c r="C444" s="109" t="s">
        <v>7743</v>
      </c>
      <c r="D444" s="109" t="s">
        <v>8313</v>
      </c>
      <c r="E444" s="109" t="s">
        <v>8314</v>
      </c>
      <c r="F444" s="109" t="s">
        <v>8315</v>
      </c>
      <c r="G444" s="110" t="s">
        <v>6248</v>
      </c>
      <c r="H444" s="110" t="s">
        <v>8316</v>
      </c>
      <c r="I444" s="110" t="s">
        <v>8317</v>
      </c>
    </row>
    <row r="445" spans="1:9" ht="25.2" x14ac:dyDescent="0.3">
      <c r="A445" s="109" t="s">
        <v>8318</v>
      </c>
      <c r="B445" s="109" t="s">
        <v>7743</v>
      </c>
      <c r="C445" s="109" t="s">
        <v>7743</v>
      </c>
      <c r="D445" s="109" t="s">
        <v>8319</v>
      </c>
      <c r="E445" s="109" t="s">
        <v>8320</v>
      </c>
      <c r="F445" s="109" t="s">
        <v>8321</v>
      </c>
      <c r="G445" s="110" t="s">
        <v>6248</v>
      </c>
      <c r="H445" s="110" t="s">
        <v>8322</v>
      </c>
      <c r="I445" s="110" t="s">
        <v>8323</v>
      </c>
    </row>
    <row r="446" spans="1:9" ht="25.2" x14ac:dyDescent="0.3">
      <c r="A446" s="109" t="s">
        <v>8324</v>
      </c>
      <c r="B446" s="109" t="s">
        <v>7743</v>
      </c>
      <c r="C446" s="109" t="s">
        <v>7743</v>
      </c>
      <c r="D446" s="109" t="s">
        <v>8325</v>
      </c>
      <c r="E446" s="109" t="s">
        <v>8326</v>
      </c>
      <c r="F446" s="109" t="s">
        <v>8327</v>
      </c>
      <c r="G446" s="110" t="s">
        <v>6248</v>
      </c>
      <c r="H446" s="110" t="s">
        <v>8328</v>
      </c>
      <c r="I446" s="110" t="s">
        <v>8329</v>
      </c>
    </row>
    <row r="447" spans="1:9" ht="25.2" x14ac:dyDescent="0.3">
      <c r="A447" s="109" t="s">
        <v>8330</v>
      </c>
      <c r="B447" s="109" t="s">
        <v>7743</v>
      </c>
      <c r="C447" s="109" t="s">
        <v>7743</v>
      </c>
      <c r="D447" s="109" t="s">
        <v>5569</v>
      </c>
      <c r="E447" s="109" t="s">
        <v>5558</v>
      </c>
      <c r="F447" s="109" t="s">
        <v>2258</v>
      </c>
      <c r="G447" s="110" t="s">
        <v>6248</v>
      </c>
      <c r="H447" s="110" t="s">
        <v>8331</v>
      </c>
      <c r="I447" s="110" t="s">
        <v>8332</v>
      </c>
    </row>
    <row r="448" spans="1:9" ht="37.799999999999997" x14ac:dyDescent="0.3">
      <c r="A448" s="109" t="s">
        <v>8333</v>
      </c>
      <c r="B448" s="109" t="s">
        <v>7743</v>
      </c>
      <c r="C448" s="109" t="s">
        <v>7743</v>
      </c>
      <c r="D448" s="109" t="s">
        <v>8334</v>
      </c>
      <c r="E448" s="109" t="s">
        <v>5558</v>
      </c>
      <c r="F448" s="109" t="s">
        <v>8335</v>
      </c>
      <c r="G448" s="110" t="s">
        <v>6248</v>
      </c>
      <c r="H448" s="110" t="s">
        <v>8336</v>
      </c>
      <c r="I448" s="110" t="s">
        <v>8337</v>
      </c>
    </row>
    <row r="449" spans="1:9" ht="25.2" x14ac:dyDescent="0.3">
      <c r="A449" s="109" t="s">
        <v>8338</v>
      </c>
      <c r="B449" s="109" t="s">
        <v>7743</v>
      </c>
      <c r="C449" s="109" t="s">
        <v>7743</v>
      </c>
      <c r="D449" s="109" t="s">
        <v>8339</v>
      </c>
      <c r="E449" s="109" t="s">
        <v>8340</v>
      </c>
      <c r="F449" s="109" t="s">
        <v>8341</v>
      </c>
      <c r="G449" s="110" t="s">
        <v>6248</v>
      </c>
      <c r="H449" s="110" t="s">
        <v>8342</v>
      </c>
      <c r="I449" s="110" t="s">
        <v>8343</v>
      </c>
    </row>
    <row r="450" spans="1:9" ht="25.2" x14ac:dyDescent="0.3">
      <c r="A450" s="109" t="s">
        <v>8344</v>
      </c>
      <c r="B450" s="109" t="s">
        <v>7743</v>
      </c>
      <c r="C450" s="109" t="s">
        <v>7743</v>
      </c>
      <c r="D450" s="109" t="s">
        <v>8345</v>
      </c>
      <c r="E450" s="109" t="s">
        <v>8346</v>
      </c>
      <c r="F450" s="109" t="s">
        <v>8347</v>
      </c>
      <c r="G450" s="110" t="s">
        <v>6248</v>
      </c>
      <c r="H450" s="110" t="s">
        <v>8348</v>
      </c>
      <c r="I450" s="110" t="s">
        <v>8349</v>
      </c>
    </row>
    <row r="451" spans="1:9" ht="25.2" x14ac:dyDescent="0.3">
      <c r="A451" s="109" t="s">
        <v>8350</v>
      </c>
      <c r="B451" s="109" t="s">
        <v>7743</v>
      </c>
      <c r="C451" s="109" t="s">
        <v>7743</v>
      </c>
      <c r="D451" s="109" t="s">
        <v>8351</v>
      </c>
      <c r="E451" s="109" t="s">
        <v>8352</v>
      </c>
      <c r="F451" s="109" t="s">
        <v>8353</v>
      </c>
      <c r="G451" s="110" t="s">
        <v>6248</v>
      </c>
      <c r="H451" s="110" t="s">
        <v>8354</v>
      </c>
      <c r="I451" s="110" t="s">
        <v>8355</v>
      </c>
    </row>
    <row r="452" spans="1:9" ht="50.4" x14ac:dyDescent="0.3">
      <c r="A452" s="109" t="s">
        <v>8356</v>
      </c>
      <c r="B452" s="109" t="s">
        <v>7743</v>
      </c>
      <c r="C452" s="109" t="s">
        <v>7743</v>
      </c>
      <c r="D452" s="109" t="s">
        <v>8357</v>
      </c>
      <c r="E452" s="109" t="s">
        <v>8357</v>
      </c>
      <c r="F452" s="109" t="s">
        <v>8358</v>
      </c>
      <c r="G452" s="110" t="s">
        <v>6248</v>
      </c>
      <c r="H452" s="110" t="s">
        <v>8359</v>
      </c>
      <c r="I452" s="110" t="s">
        <v>8360</v>
      </c>
    </row>
    <row r="453" spans="1:9" ht="50.4" x14ac:dyDescent="0.3">
      <c r="A453" s="109" t="s">
        <v>8361</v>
      </c>
      <c r="B453" s="109" t="s">
        <v>7743</v>
      </c>
      <c r="C453" s="109" t="s">
        <v>7743</v>
      </c>
      <c r="D453" s="109" t="s">
        <v>6190</v>
      </c>
      <c r="E453" s="109" t="s">
        <v>6190</v>
      </c>
      <c r="F453" s="109" t="s">
        <v>8362</v>
      </c>
      <c r="G453" s="110" t="s">
        <v>6248</v>
      </c>
      <c r="H453" s="110" t="s">
        <v>8363</v>
      </c>
      <c r="I453" s="110" t="s">
        <v>8364</v>
      </c>
    </row>
    <row r="454" spans="1:9" ht="63" x14ac:dyDescent="0.3">
      <c r="A454" s="109" t="s">
        <v>8365</v>
      </c>
      <c r="B454" s="109" t="s">
        <v>7743</v>
      </c>
      <c r="C454" s="109" t="s">
        <v>7743</v>
      </c>
      <c r="D454" s="109" t="s">
        <v>8366</v>
      </c>
      <c r="E454" s="109" t="s">
        <v>8366</v>
      </c>
      <c r="F454" s="109" t="s">
        <v>8367</v>
      </c>
      <c r="G454" s="110" t="s">
        <v>6248</v>
      </c>
      <c r="H454" s="110" t="s">
        <v>8368</v>
      </c>
      <c r="I454" s="110" t="s">
        <v>8369</v>
      </c>
    </row>
    <row r="455" spans="1:9" ht="50.4" x14ac:dyDescent="0.3">
      <c r="A455" s="109" t="s">
        <v>8370</v>
      </c>
      <c r="B455" s="109" t="s">
        <v>7743</v>
      </c>
      <c r="C455" s="109" t="s">
        <v>7743</v>
      </c>
      <c r="D455" s="109" t="s">
        <v>8371</v>
      </c>
      <c r="E455" s="109" t="s">
        <v>8371</v>
      </c>
      <c r="F455" s="109" t="s">
        <v>8372</v>
      </c>
      <c r="G455" s="110" t="s">
        <v>6248</v>
      </c>
      <c r="H455" s="110" t="s">
        <v>8373</v>
      </c>
      <c r="I455" s="110" t="s">
        <v>8374</v>
      </c>
    </row>
    <row r="456" spans="1:9" ht="50.4" x14ac:dyDescent="0.3">
      <c r="A456" s="109" t="s">
        <v>8375</v>
      </c>
      <c r="B456" s="109" t="s">
        <v>7743</v>
      </c>
      <c r="C456" s="109" t="s">
        <v>7743</v>
      </c>
      <c r="D456" s="109" t="s">
        <v>8376</v>
      </c>
      <c r="E456" s="109" t="s">
        <v>8376</v>
      </c>
      <c r="F456" s="109" t="s">
        <v>8377</v>
      </c>
      <c r="G456" s="110" t="s">
        <v>6248</v>
      </c>
      <c r="H456" s="110" t="s">
        <v>8378</v>
      </c>
      <c r="I456" s="110" t="s">
        <v>8379</v>
      </c>
    </row>
    <row r="457" spans="1:9" ht="50.4" x14ac:dyDescent="0.3">
      <c r="A457" s="109" t="s">
        <v>8380</v>
      </c>
      <c r="B457" s="109" t="s">
        <v>7743</v>
      </c>
      <c r="C457" s="109" t="s">
        <v>7743</v>
      </c>
      <c r="D457" s="109" t="s">
        <v>8381</v>
      </c>
      <c r="E457" s="109" t="s">
        <v>8381</v>
      </c>
      <c r="F457" s="109" t="s">
        <v>8382</v>
      </c>
      <c r="G457" s="110" t="s">
        <v>6248</v>
      </c>
      <c r="H457" s="110" t="s">
        <v>8383</v>
      </c>
      <c r="I457" s="110" t="s">
        <v>8384</v>
      </c>
    </row>
    <row r="458" spans="1:9" ht="50.4" x14ac:dyDescent="0.3">
      <c r="A458" s="109" t="s">
        <v>8385</v>
      </c>
      <c r="B458" s="109" t="s">
        <v>7743</v>
      </c>
      <c r="C458" s="109" t="s">
        <v>7743</v>
      </c>
      <c r="D458" s="109" t="s">
        <v>8386</v>
      </c>
      <c r="E458" s="109" t="s">
        <v>8386</v>
      </c>
      <c r="F458" s="109" t="s">
        <v>8387</v>
      </c>
      <c r="G458" s="110" t="s">
        <v>6248</v>
      </c>
      <c r="H458" s="110" t="s">
        <v>6494</v>
      </c>
      <c r="I458" s="110" t="s">
        <v>8388</v>
      </c>
    </row>
    <row r="459" spans="1:9" ht="63" x14ac:dyDescent="0.3">
      <c r="A459" s="109" t="s">
        <v>8389</v>
      </c>
      <c r="B459" s="109" t="s">
        <v>7743</v>
      </c>
      <c r="C459" s="109" t="s">
        <v>7743</v>
      </c>
      <c r="D459" s="109" t="s">
        <v>8390</v>
      </c>
      <c r="E459" s="109" t="s">
        <v>8390</v>
      </c>
      <c r="F459" s="109" t="s">
        <v>8391</v>
      </c>
      <c r="G459" s="110" t="s">
        <v>6248</v>
      </c>
      <c r="H459" s="110" t="s">
        <v>8392</v>
      </c>
      <c r="I459" s="110" t="s">
        <v>8393</v>
      </c>
    </row>
    <row r="460" spans="1:9" ht="37.799999999999997" x14ac:dyDescent="0.3">
      <c r="A460" s="109" t="s">
        <v>8394</v>
      </c>
      <c r="B460" s="109" t="s">
        <v>7743</v>
      </c>
      <c r="C460" s="109" t="s">
        <v>7743</v>
      </c>
      <c r="D460" s="109" t="s">
        <v>8395</v>
      </c>
      <c r="E460" s="109" t="s">
        <v>8395</v>
      </c>
      <c r="F460" s="109" t="s">
        <v>8396</v>
      </c>
      <c r="G460" s="110" t="s">
        <v>6248</v>
      </c>
      <c r="H460" s="110" t="s">
        <v>8397</v>
      </c>
      <c r="I460" s="110" t="s">
        <v>8398</v>
      </c>
    </row>
    <row r="461" spans="1:9" ht="37.799999999999997" x14ac:dyDescent="0.3">
      <c r="A461" s="109" t="s">
        <v>8399</v>
      </c>
      <c r="B461" s="109" t="s">
        <v>7743</v>
      </c>
      <c r="C461" s="109" t="s">
        <v>7743</v>
      </c>
      <c r="D461" s="109" t="s">
        <v>8400</v>
      </c>
      <c r="E461" s="109" t="s">
        <v>8400</v>
      </c>
      <c r="F461" s="109" t="s">
        <v>8401</v>
      </c>
      <c r="G461" s="110" t="s">
        <v>6248</v>
      </c>
      <c r="H461" s="110" t="s">
        <v>8402</v>
      </c>
      <c r="I461" s="110" t="s">
        <v>8403</v>
      </c>
    </row>
    <row r="462" spans="1:9" ht="50.4" x14ac:dyDescent="0.3">
      <c r="A462" s="109" t="s">
        <v>8404</v>
      </c>
      <c r="B462" s="109" t="s">
        <v>7743</v>
      </c>
      <c r="C462" s="109" t="s">
        <v>7743</v>
      </c>
      <c r="D462" s="109" t="s">
        <v>8405</v>
      </c>
      <c r="E462" s="109" t="s">
        <v>8405</v>
      </c>
      <c r="F462" s="109" t="s">
        <v>8406</v>
      </c>
      <c r="G462" s="110" t="s">
        <v>6248</v>
      </c>
      <c r="H462" s="110" t="s">
        <v>8407</v>
      </c>
      <c r="I462" s="110" t="s">
        <v>8408</v>
      </c>
    </row>
    <row r="463" spans="1:9" ht="37.799999999999997" x14ac:dyDescent="0.3">
      <c r="A463" s="109" t="s">
        <v>8409</v>
      </c>
      <c r="B463" s="109" t="s">
        <v>7743</v>
      </c>
      <c r="C463" s="109" t="s">
        <v>7743</v>
      </c>
      <c r="D463" s="109" t="s">
        <v>8410</v>
      </c>
      <c r="E463" s="109" t="s">
        <v>8410</v>
      </c>
      <c r="F463" s="109" t="s">
        <v>8411</v>
      </c>
      <c r="G463" s="110" t="s">
        <v>6248</v>
      </c>
      <c r="H463" s="110" t="s">
        <v>8412</v>
      </c>
      <c r="I463" s="110" t="s">
        <v>8413</v>
      </c>
    </row>
    <row r="464" spans="1:9" ht="50.4" x14ac:dyDescent="0.3">
      <c r="A464" s="109" t="s">
        <v>8414</v>
      </c>
      <c r="B464" s="109" t="s">
        <v>7743</v>
      </c>
      <c r="C464" s="109" t="s">
        <v>7743</v>
      </c>
      <c r="D464" s="109" t="s">
        <v>8415</v>
      </c>
      <c r="E464" s="109" t="s">
        <v>8415</v>
      </c>
      <c r="F464" s="109" t="s">
        <v>8416</v>
      </c>
      <c r="G464" s="110" t="s">
        <v>6248</v>
      </c>
      <c r="H464" s="110" t="s">
        <v>8417</v>
      </c>
      <c r="I464" s="110" t="s">
        <v>8418</v>
      </c>
    </row>
    <row r="465" spans="1:9" ht="50.4" x14ac:dyDescent="0.3">
      <c r="A465" s="109" t="s">
        <v>8419</v>
      </c>
      <c r="B465" s="109" t="s">
        <v>7743</v>
      </c>
      <c r="C465" s="109" t="s">
        <v>7743</v>
      </c>
      <c r="D465" s="109" t="s">
        <v>8420</v>
      </c>
      <c r="E465" s="109" t="s">
        <v>8420</v>
      </c>
      <c r="F465" s="109" t="s">
        <v>8421</v>
      </c>
      <c r="G465" s="110" t="s">
        <v>6248</v>
      </c>
      <c r="H465" s="110" t="s">
        <v>8422</v>
      </c>
      <c r="I465" s="110" t="s">
        <v>8423</v>
      </c>
    </row>
    <row r="466" spans="1:9" ht="50.4" x14ac:dyDescent="0.3">
      <c r="A466" s="109" t="s">
        <v>8424</v>
      </c>
      <c r="B466" s="109" t="s">
        <v>7743</v>
      </c>
      <c r="C466" s="109" t="s">
        <v>7743</v>
      </c>
      <c r="D466" s="109" t="s">
        <v>7472</v>
      </c>
      <c r="E466" s="109" t="s">
        <v>7472</v>
      </c>
      <c r="F466" s="109" t="s">
        <v>8425</v>
      </c>
      <c r="G466" s="110" t="s">
        <v>6248</v>
      </c>
      <c r="H466" s="110" t="s">
        <v>8426</v>
      </c>
      <c r="I466" s="110" t="s">
        <v>8427</v>
      </c>
    </row>
    <row r="467" spans="1:9" ht="50.4" x14ac:dyDescent="0.3">
      <c r="A467" s="109" t="s">
        <v>8428</v>
      </c>
      <c r="B467" s="109" t="s">
        <v>7743</v>
      </c>
      <c r="C467" s="109" t="s">
        <v>7743</v>
      </c>
      <c r="D467" s="109" t="s">
        <v>8429</v>
      </c>
      <c r="E467" s="109" t="s">
        <v>8429</v>
      </c>
      <c r="F467" s="109" t="s">
        <v>8430</v>
      </c>
      <c r="G467" s="110" t="s">
        <v>6248</v>
      </c>
      <c r="H467" s="110" t="s">
        <v>6883</v>
      </c>
      <c r="I467" s="110" t="s">
        <v>8431</v>
      </c>
    </row>
    <row r="468" spans="1:9" ht="50.4" x14ac:dyDescent="0.3">
      <c r="A468" s="109" t="s">
        <v>8432</v>
      </c>
      <c r="B468" s="109" t="s">
        <v>7743</v>
      </c>
      <c r="C468" s="109" t="s">
        <v>7743</v>
      </c>
      <c r="D468" s="109" t="s">
        <v>8433</v>
      </c>
      <c r="E468" s="109" t="s">
        <v>8433</v>
      </c>
      <c r="F468" s="109" t="s">
        <v>8434</v>
      </c>
      <c r="G468" s="110" t="s">
        <v>6248</v>
      </c>
      <c r="H468" s="110" t="s">
        <v>8435</v>
      </c>
      <c r="I468" s="110" t="s">
        <v>8436</v>
      </c>
    </row>
    <row r="469" spans="1:9" ht="50.4" x14ac:dyDescent="0.3">
      <c r="A469" s="109" t="s">
        <v>8437</v>
      </c>
      <c r="B469" s="109" t="s">
        <v>7743</v>
      </c>
      <c r="C469" s="109" t="s">
        <v>7743</v>
      </c>
      <c r="D469" s="109" t="s">
        <v>8438</v>
      </c>
      <c r="E469" s="109" t="s">
        <v>8438</v>
      </c>
      <c r="F469" s="109" t="s">
        <v>8439</v>
      </c>
      <c r="G469" s="110" t="s">
        <v>6248</v>
      </c>
      <c r="H469" s="110" t="s">
        <v>8440</v>
      </c>
      <c r="I469" s="110" t="s">
        <v>8441</v>
      </c>
    </row>
    <row r="470" spans="1:9" ht="63" x14ac:dyDescent="0.3">
      <c r="A470" s="109" t="s">
        <v>8442</v>
      </c>
      <c r="B470" s="109" t="s">
        <v>7743</v>
      </c>
      <c r="C470" s="109" t="s">
        <v>7743</v>
      </c>
      <c r="D470" s="109" t="s">
        <v>8443</v>
      </c>
      <c r="E470" s="109" t="s">
        <v>8443</v>
      </c>
      <c r="F470" s="109" t="s">
        <v>8444</v>
      </c>
      <c r="G470" s="110" t="s">
        <v>6248</v>
      </c>
      <c r="H470" s="110" t="s">
        <v>8445</v>
      </c>
      <c r="I470" s="110" t="s">
        <v>8446</v>
      </c>
    </row>
    <row r="471" spans="1:9" ht="50.4" x14ac:dyDescent="0.3">
      <c r="A471" s="109" t="s">
        <v>8447</v>
      </c>
      <c r="B471" s="109" t="s">
        <v>7743</v>
      </c>
      <c r="C471" s="109" t="s">
        <v>7743</v>
      </c>
      <c r="D471" s="109" t="s">
        <v>8448</v>
      </c>
      <c r="E471" s="109" t="s">
        <v>8448</v>
      </c>
      <c r="F471" s="109" t="s">
        <v>8449</v>
      </c>
      <c r="G471" s="110" t="s">
        <v>6248</v>
      </c>
      <c r="H471" s="110" t="s">
        <v>8450</v>
      </c>
      <c r="I471" s="110" t="s">
        <v>8451</v>
      </c>
    </row>
    <row r="472" spans="1:9" ht="25.2" x14ac:dyDescent="0.3">
      <c r="A472" s="109" t="s">
        <v>8452</v>
      </c>
      <c r="B472" s="109" t="s">
        <v>7743</v>
      </c>
      <c r="C472" s="109" t="s">
        <v>7743</v>
      </c>
      <c r="D472" s="109" t="s">
        <v>8453</v>
      </c>
      <c r="E472" s="109" t="s">
        <v>5558</v>
      </c>
      <c r="F472" s="109" t="s">
        <v>8454</v>
      </c>
      <c r="G472" s="110" t="s">
        <v>6248</v>
      </c>
      <c r="H472" s="110" t="s">
        <v>6310</v>
      </c>
      <c r="I472" s="110" t="s">
        <v>8455</v>
      </c>
    </row>
    <row r="473" spans="1:9" ht="25.2" x14ac:dyDescent="0.3">
      <c r="A473" s="109" t="s">
        <v>8456</v>
      </c>
      <c r="B473" s="109" t="s">
        <v>7743</v>
      </c>
      <c r="C473" s="109" t="s">
        <v>7743</v>
      </c>
      <c r="D473" s="109" t="s">
        <v>8457</v>
      </c>
      <c r="E473" s="109" t="s">
        <v>5558</v>
      </c>
      <c r="F473" s="109" t="s">
        <v>8458</v>
      </c>
      <c r="G473" s="110" t="s">
        <v>6248</v>
      </c>
      <c r="H473" s="110" t="s">
        <v>8459</v>
      </c>
      <c r="I473" s="110" t="s">
        <v>8460</v>
      </c>
    </row>
    <row r="474" spans="1:9" ht="25.2" x14ac:dyDescent="0.3">
      <c r="A474" s="109" t="s">
        <v>8461</v>
      </c>
      <c r="B474" s="109" t="s">
        <v>7743</v>
      </c>
      <c r="C474" s="109" t="s">
        <v>7743</v>
      </c>
      <c r="D474" s="109" t="s">
        <v>8462</v>
      </c>
      <c r="E474" s="109" t="s">
        <v>5558</v>
      </c>
      <c r="F474" s="109" t="s">
        <v>8463</v>
      </c>
      <c r="G474" s="110" t="s">
        <v>6248</v>
      </c>
      <c r="H474" s="110" t="s">
        <v>8464</v>
      </c>
      <c r="I474" s="110" t="s">
        <v>8465</v>
      </c>
    </row>
    <row r="475" spans="1:9" ht="25.2" x14ac:dyDescent="0.3">
      <c r="A475" s="109" t="s">
        <v>8466</v>
      </c>
      <c r="B475" s="109" t="s">
        <v>7743</v>
      </c>
      <c r="C475" s="109" t="s">
        <v>7743</v>
      </c>
      <c r="D475" s="109" t="s">
        <v>8467</v>
      </c>
      <c r="E475" s="109" t="s">
        <v>8468</v>
      </c>
      <c r="F475" s="109" t="s">
        <v>8469</v>
      </c>
      <c r="G475" s="110" t="s">
        <v>6248</v>
      </c>
      <c r="H475" s="110" t="s">
        <v>8470</v>
      </c>
      <c r="I475" s="110" t="s">
        <v>8471</v>
      </c>
    </row>
    <row r="476" spans="1:9" ht="50.4" x14ac:dyDescent="0.3">
      <c r="A476" s="109" t="s">
        <v>8472</v>
      </c>
      <c r="B476" s="109" t="s">
        <v>7743</v>
      </c>
      <c r="C476" s="109" t="s">
        <v>7743</v>
      </c>
      <c r="D476" s="109" t="s">
        <v>8473</v>
      </c>
      <c r="E476" s="109" t="s">
        <v>8473</v>
      </c>
      <c r="F476" s="109" t="s">
        <v>8474</v>
      </c>
      <c r="G476" s="110" t="s">
        <v>6248</v>
      </c>
      <c r="H476" s="110" t="s">
        <v>8475</v>
      </c>
      <c r="I476" s="110" t="s">
        <v>8476</v>
      </c>
    </row>
    <row r="477" spans="1:9" ht="37.799999999999997" x14ac:dyDescent="0.3">
      <c r="A477" s="109" t="s">
        <v>8477</v>
      </c>
      <c r="B477" s="109" t="s">
        <v>7743</v>
      </c>
      <c r="C477" s="109" t="s">
        <v>7743</v>
      </c>
      <c r="D477" s="109" t="s">
        <v>8478</v>
      </c>
      <c r="E477" s="109" t="s">
        <v>8478</v>
      </c>
      <c r="F477" s="109" t="s">
        <v>8479</v>
      </c>
      <c r="G477" s="110" t="s">
        <v>6248</v>
      </c>
      <c r="H477" s="110" t="s">
        <v>7504</v>
      </c>
      <c r="I477" s="110" t="s">
        <v>8480</v>
      </c>
    </row>
    <row r="478" spans="1:9" ht="50.4" x14ac:dyDescent="0.3">
      <c r="A478" s="109" t="s">
        <v>8481</v>
      </c>
      <c r="B478" s="109" t="s">
        <v>7743</v>
      </c>
      <c r="C478" s="109" t="s">
        <v>7743</v>
      </c>
      <c r="D478" s="109" t="s">
        <v>8482</v>
      </c>
      <c r="E478" s="109" t="s">
        <v>8482</v>
      </c>
      <c r="F478" s="109" t="s">
        <v>8483</v>
      </c>
      <c r="G478" s="110" t="s">
        <v>6248</v>
      </c>
      <c r="H478" s="110" t="s">
        <v>8484</v>
      </c>
      <c r="I478" s="110" t="s">
        <v>8485</v>
      </c>
    </row>
    <row r="479" spans="1:9" ht="50.4" x14ac:dyDescent="0.3">
      <c r="A479" s="109" t="s">
        <v>8486</v>
      </c>
      <c r="B479" s="109" t="s">
        <v>7743</v>
      </c>
      <c r="C479" s="109" t="s">
        <v>7743</v>
      </c>
      <c r="D479" s="109" t="s">
        <v>8487</v>
      </c>
      <c r="E479" s="109" t="s">
        <v>8487</v>
      </c>
      <c r="F479" s="109" t="s">
        <v>8488</v>
      </c>
      <c r="G479" s="110" t="s">
        <v>6248</v>
      </c>
      <c r="H479" s="110" t="s">
        <v>6689</v>
      </c>
      <c r="I479" s="110" t="s">
        <v>8489</v>
      </c>
    </row>
    <row r="480" spans="1:9" ht="37.799999999999997" x14ac:dyDescent="0.3">
      <c r="A480" s="109" t="s">
        <v>8490</v>
      </c>
      <c r="B480" s="109" t="s">
        <v>7743</v>
      </c>
      <c r="C480" s="109" t="s">
        <v>7743</v>
      </c>
      <c r="D480" s="109" t="s">
        <v>8491</v>
      </c>
      <c r="E480" s="109" t="s">
        <v>8492</v>
      </c>
      <c r="F480" s="109" t="s">
        <v>8493</v>
      </c>
      <c r="G480" s="110" t="s">
        <v>6248</v>
      </c>
      <c r="H480" s="110" t="s">
        <v>8494</v>
      </c>
      <c r="I480" s="110" t="s">
        <v>8495</v>
      </c>
    </row>
    <row r="481" spans="1:9" ht="37.799999999999997" x14ac:dyDescent="0.3">
      <c r="A481" s="109" t="s">
        <v>8496</v>
      </c>
      <c r="B481" s="109" t="s">
        <v>7743</v>
      </c>
      <c r="C481" s="109" t="s">
        <v>7743</v>
      </c>
      <c r="D481" s="109" t="s">
        <v>8497</v>
      </c>
      <c r="E481" s="109" t="s">
        <v>5558</v>
      </c>
      <c r="F481" s="109" t="s">
        <v>8498</v>
      </c>
      <c r="G481" s="110" t="s">
        <v>6248</v>
      </c>
      <c r="H481" s="110" t="s">
        <v>8499</v>
      </c>
      <c r="I481" s="110" t="s">
        <v>8500</v>
      </c>
    </row>
    <row r="482" spans="1:9" ht="50.4" x14ac:dyDescent="0.3">
      <c r="A482" s="109" t="s">
        <v>8501</v>
      </c>
      <c r="B482" s="109" t="s">
        <v>7743</v>
      </c>
      <c r="C482" s="109" t="s">
        <v>7743</v>
      </c>
      <c r="D482" s="109" t="s">
        <v>8502</v>
      </c>
      <c r="E482" s="109" t="s">
        <v>8502</v>
      </c>
      <c r="F482" s="109" t="s">
        <v>8503</v>
      </c>
      <c r="G482" s="110" t="s">
        <v>6248</v>
      </c>
      <c r="H482" s="110" t="s">
        <v>8504</v>
      </c>
      <c r="I482" s="110" t="s">
        <v>8505</v>
      </c>
    </row>
    <row r="483" spans="1:9" ht="50.4" x14ac:dyDescent="0.3">
      <c r="A483" s="109" t="s">
        <v>8506</v>
      </c>
      <c r="B483" s="109" t="s">
        <v>7743</v>
      </c>
      <c r="C483" s="109" t="s">
        <v>7743</v>
      </c>
      <c r="D483" s="109" t="s">
        <v>8507</v>
      </c>
      <c r="E483" s="109" t="s">
        <v>8507</v>
      </c>
      <c r="F483" s="109" t="s">
        <v>8508</v>
      </c>
      <c r="G483" s="110" t="s">
        <v>6248</v>
      </c>
      <c r="H483" s="110" t="s">
        <v>6883</v>
      </c>
      <c r="I483" s="110" t="s">
        <v>8509</v>
      </c>
    </row>
    <row r="484" spans="1:9" ht="25.2" x14ac:dyDescent="0.3">
      <c r="A484" s="109" t="s">
        <v>8510</v>
      </c>
      <c r="B484" s="109" t="s">
        <v>7743</v>
      </c>
      <c r="C484" s="109" t="s">
        <v>7743</v>
      </c>
      <c r="D484" s="109" t="s">
        <v>7441</v>
      </c>
      <c r="E484" s="109" t="s">
        <v>8511</v>
      </c>
      <c r="F484" s="109" t="s">
        <v>8512</v>
      </c>
      <c r="G484" s="110" t="s">
        <v>6248</v>
      </c>
      <c r="H484" s="110" t="s">
        <v>8513</v>
      </c>
      <c r="I484" s="110" t="s">
        <v>8514</v>
      </c>
    </row>
    <row r="485" spans="1:9" ht="50.4" x14ac:dyDescent="0.3">
      <c r="A485" s="109" t="s">
        <v>8515</v>
      </c>
      <c r="B485" s="109" t="s">
        <v>7743</v>
      </c>
      <c r="C485" s="109" t="s">
        <v>7743</v>
      </c>
      <c r="D485" s="109" t="s">
        <v>8516</v>
      </c>
      <c r="E485" s="109" t="s">
        <v>8516</v>
      </c>
      <c r="F485" s="109" t="s">
        <v>8517</v>
      </c>
      <c r="G485" s="110" t="s">
        <v>6248</v>
      </c>
      <c r="H485" s="110" t="s">
        <v>8484</v>
      </c>
      <c r="I485" s="110" t="s">
        <v>8518</v>
      </c>
    </row>
    <row r="486" spans="1:9" ht="50.4" x14ac:dyDescent="0.3">
      <c r="A486" s="109" t="s">
        <v>8519</v>
      </c>
      <c r="B486" s="109" t="s">
        <v>7743</v>
      </c>
      <c r="C486" s="109" t="s">
        <v>7743</v>
      </c>
      <c r="D486" s="109" t="s">
        <v>5999</v>
      </c>
      <c r="E486" s="109" t="s">
        <v>5999</v>
      </c>
      <c r="F486" s="109" t="s">
        <v>8520</v>
      </c>
      <c r="G486" s="110" t="s">
        <v>6248</v>
      </c>
      <c r="H486" s="110" t="s">
        <v>8521</v>
      </c>
      <c r="I486" s="110" t="s">
        <v>8522</v>
      </c>
    </row>
    <row r="487" spans="1:9" ht="50.4" x14ac:dyDescent="0.3">
      <c r="A487" s="109" t="s">
        <v>8523</v>
      </c>
      <c r="B487" s="109" t="s">
        <v>7743</v>
      </c>
      <c r="C487" s="109" t="s">
        <v>7743</v>
      </c>
      <c r="D487" s="109" t="s">
        <v>8524</v>
      </c>
      <c r="E487" s="109" t="s">
        <v>8524</v>
      </c>
      <c r="F487" s="109" t="s">
        <v>8525</v>
      </c>
      <c r="G487" s="110" t="s">
        <v>6248</v>
      </c>
      <c r="H487" s="110" t="s">
        <v>8526</v>
      </c>
      <c r="I487" s="110" t="s">
        <v>8527</v>
      </c>
    </row>
    <row r="488" spans="1:9" ht="50.4" x14ac:dyDescent="0.3">
      <c r="A488" s="109" t="s">
        <v>8528</v>
      </c>
      <c r="B488" s="109" t="s">
        <v>7743</v>
      </c>
      <c r="C488" s="109" t="s">
        <v>7743</v>
      </c>
      <c r="D488" s="109" t="s">
        <v>8529</v>
      </c>
      <c r="E488" s="109" t="s">
        <v>8529</v>
      </c>
      <c r="F488" s="109" t="s">
        <v>8530</v>
      </c>
      <c r="G488" s="110" t="s">
        <v>6248</v>
      </c>
      <c r="H488" s="110" t="s">
        <v>7504</v>
      </c>
      <c r="I488" s="110" t="s">
        <v>8531</v>
      </c>
    </row>
    <row r="489" spans="1:9" ht="25.2" x14ac:dyDescent="0.3">
      <c r="A489" s="109" t="s">
        <v>8532</v>
      </c>
      <c r="B489" s="109" t="s">
        <v>7743</v>
      </c>
      <c r="C489" s="109" t="s">
        <v>7743</v>
      </c>
      <c r="D489" s="109" t="s">
        <v>8533</v>
      </c>
      <c r="E489" s="109" t="s">
        <v>8534</v>
      </c>
      <c r="F489" s="109" t="s">
        <v>8535</v>
      </c>
      <c r="G489" s="110" t="s">
        <v>6248</v>
      </c>
      <c r="H489" s="110" t="s">
        <v>8536</v>
      </c>
      <c r="I489" s="110" t="s">
        <v>8537</v>
      </c>
    </row>
    <row r="490" spans="1:9" ht="50.4" x14ac:dyDescent="0.3">
      <c r="A490" s="109" t="s">
        <v>8538</v>
      </c>
      <c r="B490" s="109" t="s">
        <v>7743</v>
      </c>
      <c r="C490" s="109" t="s">
        <v>7743</v>
      </c>
      <c r="D490" s="109" t="s">
        <v>8539</v>
      </c>
      <c r="E490" s="109" t="s">
        <v>8539</v>
      </c>
      <c r="F490" s="109" t="s">
        <v>8540</v>
      </c>
      <c r="G490" s="110" t="s">
        <v>6248</v>
      </c>
      <c r="H490" s="110" t="s">
        <v>8541</v>
      </c>
      <c r="I490" s="110" t="s">
        <v>8542</v>
      </c>
    </row>
    <row r="491" spans="1:9" ht="25.2" x14ac:dyDescent="0.3">
      <c r="A491" s="109" t="s">
        <v>8543</v>
      </c>
      <c r="B491" s="109" t="s">
        <v>7743</v>
      </c>
      <c r="C491" s="109" t="s">
        <v>7743</v>
      </c>
      <c r="D491" s="109" t="s">
        <v>8544</v>
      </c>
      <c r="E491" s="109" t="s">
        <v>5558</v>
      </c>
      <c r="F491" s="109" t="s">
        <v>8545</v>
      </c>
      <c r="G491" s="110" t="s">
        <v>6248</v>
      </c>
      <c r="H491" s="110" t="s">
        <v>8546</v>
      </c>
      <c r="I491" s="110" t="s">
        <v>8547</v>
      </c>
    </row>
    <row r="492" spans="1:9" ht="37.799999999999997" x14ac:dyDescent="0.3">
      <c r="A492" s="109" t="s">
        <v>8548</v>
      </c>
      <c r="B492" s="109" t="s">
        <v>7743</v>
      </c>
      <c r="C492" s="109" t="s">
        <v>7743</v>
      </c>
      <c r="D492" s="109" t="s">
        <v>8549</v>
      </c>
      <c r="E492" s="109" t="s">
        <v>5558</v>
      </c>
      <c r="F492" s="109" t="s">
        <v>8550</v>
      </c>
      <c r="G492" s="110" t="s">
        <v>6248</v>
      </c>
      <c r="H492" s="110" t="s">
        <v>7094</v>
      </c>
      <c r="I492" s="110" t="s">
        <v>8551</v>
      </c>
    </row>
    <row r="493" spans="1:9" ht="25.2" x14ac:dyDescent="0.3">
      <c r="A493" s="109" t="s">
        <v>8552</v>
      </c>
      <c r="B493" s="109" t="s">
        <v>7743</v>
      </c>
      <c r="C493" s="109" t="s">
        <v>7743</v>
      </c>
      <c r="D493" s="109" t="s">
        <v>8553</v>
      </c>
      <c r="E493" s="109" t="s">
        <v>5558</v>
      </c>
      <c r="F493" s="109" t="s">
        <v>8554</v>
      </c>
      <c r="G493" s="110" t="s">
        <v>6248</v>
      </c>
      <c r="H493" s="110" t="s">
        <v>8555</v>
      </c>
      <c r="I493" s="110" t="s">
        <v>8556</v>
      </c>
    </row>
    <row r="494" spans="1:9" ht="37.799999999999997" x14ac:dyDescent="0.3">
      <c r="A494" s="109" t="s">
        <v>8557</v>
      </c>
      <c r="B494" s="109" t="s">
        <v>7743</v>
      </c>
      <c r="C494" s="109" t="s">
        <v>7743</v>
      </c>
      <c r="D494" s="109" t="s">
        <v>8558</v>
      </c>
      <c r="E494" s="109" t="s">
        <v>5558</v>
      </c>
      <c r="F494" s="109" t="s">
        <v>8559</v>
      </c>
      <c r="G494" s="110" t="s">
        <v>6248</v>
      </c>
      <c r="H494" s="110" t="s">
        <v>8560</v>
      </c>
      <c r="I494" s="110" t="s">
        <v>8561</v>
      </c>
    </row>
    <row r="495" spans="1:9" ht="25.2" x14ac:dyDescent="0.3">
      <c r="A495" s="109" t="s">
        <v>8562</v>
      </c>
      <c r="B495" s="109" t="s">
        <v>7743</v>
      </c>
      <c r="C495" s="109" t="s">
        <v>7743</v>
      </c>
      <c r="D495" s="109" t="s">
        <v>8563</v>
      </c>
      <c r="E495" s="109" t="s">
        <v>5558</v>
      </c>
      <c r="F495" s="109" t="s">
        <v>8564</v>
      </c>
      <c r="G495" s="110" t="s">
        <v>6248</v>
      </c>
      <c r="H495" s="110" t="s">
        <v>6341</v>
      </c>
      <c r="I495" s="110" t="s">
        <v>8565</v>
      </c>
    </row>
    <row r="496" spans="1:9" ht="37.799999999999997" x14ac:dyDescent="0.3">
      <c r="A496" s="109" t="s">
        <v>8566</v>
      </c>
      <c r="B496" s="109" t="s">
        <v>7743</v>
      </c>
      <c r="C496" s="109" t="s">
        <v>7743</v>
      </c>
      <c r="D496" s="109" t="s">
        <v>8567</v>
      </c>
      <c r="E496" s="109" t="s">
        <v>5558</v>
      </c>
      <c r="F496" s="109" t="s">
        <v>8568</v>
      </c>
      <c r="G496" s="110" t="s">
        <v>6248</v>
      </c>
      <c r="H496" s="110" t="s">
        <v>8569</v>
      </c>
      <c r="I496" s="110" t="s">
        <v>8570</v>
      </c>
    </row>
    <row r="497" spans="1:9" ht="25.2" x14ac:dyDescent="0.3">
      <c r="A497" s="109" t="s">
        <v>8571</v>
      </c>
      <c r="B497" s="109" t="s">
        <v>7743</v>
      </c>
      <c r="C497" s="109" t="s">
        <v>7743</v>
      </c>
      <c r="D497" s="109" t="s">
        <v>8572</v>
      </c>
      <c r="E497" s="109" t="s">
        <v>5558</v>
      </c>
      <c r="F497" s="109" t="s">
        <v>8573</v>
      </c>
      <c r="G497" s="110" t="s">
        <v>6248</v>
      </c>
      <c r="H497" s="110" t="s">
        <v>7321</v>
      </c>
      <c r="I497" s="110" t="s">
        <v>8574</v>
      </c>
    </row>
    <row r="498" spans="1:9" ht="25.2" x14ac:dyDescent="0.3">
      <c r="A498" s="109" t="s">
        <v>8575</v>
      </c>
      <c r="B498" s="109" t="s">
        <v>7743</v>
      </c>
      <c r="C498" s="109" t="s">
        <v>7743</v>
      </c>
      <c r="D498" s="109" t="s">
        <v>8576</v>
      </c>
      <c r="E498" s="109" t="s">
        <v>5558</v>
      </c>
      <c r="F498" s="109" t="s">
        <v>8577</v>
      </c>
      <c r="G498" s="110" t="s">
        <v>6248</v>
      </c>
      <c r="H498" s="110" t="s">
        <v>7321</v>
      </c>
      <c r="I498" s="110" t="s">
        <v>8578</v>
      </c>
    </row>
    <row r="499" spans="1:9" ht="25.2" x14ac:dyDescent="0.3">
      <c r="A499" s="109" t="s">
        <v>8579</v>
      </c>
      <c r="B499" s="109" t="s">
        <v>7743</v>
      </c>
      <c r="C499" s="109" t="s">
        <v>7743</v>
      </c>
      <c r="D499" s="109" t="s">
        <v>8580</v>
      </c>
      <c r="E499" s="109" t="s">
        <v>8581</v>
      </c>
      <c r="F499" s="109" t="s">
        <v>8582</v>
      </c>
      <c r="G499" s="110" t="s">
        <v>6248</v>
      </c>
      <c r="H499" s="110" t="s">
        <v>8583</v>
      </c>
      <c r="I499" s="110" t="s">
        <v>8584</v>
      </c>
    </row>
    <row r="500" spans="1:9" ht="25.2" x14ac:dyDescent="0.3">
      <c r="A500" s="109" t="s">
        <v>8585</v>
      </c>
      <c r="B500" s="109" t="s">
        <v>7743</v>
      </c>
      <c r="C500" s="109" t="s">
        <v>7743</v>
      </c>
      <c r="D500" s="109" t="s">
        <v>8586</v>
      </c>
      <c r="E500" s="109" t="s">
        <v>5558</v>
      </c>
      <c r="F500" s="109" t="s">
        <v>8587</v>
      </c>
      <c r="G500" s="110" t="s">
        <v>6248</v>
      </c>
      <c r="H500" s="110" t="s">
        <v>8588</v>
      </c>
      <c r="I500" s="110" t="s">
        <v>8589</v>
      </c>
    </row>
    <row r="501" spans="1:9" ht="37.799999999999997" x14ac:dyDescent="0.3">
      <c r="A501" s="109" t="s">
        <v>8590</v>
      </c>
      <c r="B501" s="109" t="s">
        <v>7743</v>
      </c>
      <c r="C501" s="109" t="s">
        <v>7743</v>
      </c>
      <c r="D501" s="109" t="s">
        <v>8591</v>
      </c>
      <c r="E501" s="109" t="s">
        <v>5558</v>
      </c>
      <c r="F501" s="109" t="s">
        <v>8592</v>
      </c>
      <c r="G501" s="110" t="s">
        <v>6248</v>
      </c>
      <c r="H501" s="110" t="s">
        <v>8593</v>
      </c>
      <c r="I501" s="110" t="s">
        <v>8594</v>
      </c>
    </row>
    <row r="502" spans="1:9" ht="25.2" x14ac:dyDescent="0.3">
      <c r="A502" s="109" t="s">
        <v>8595</v>
      </c>
      <c r="B502" s="109" t="s">
        <v>7743</v>
      </c>
      <c r="C502" s="109" t="s">
        <v>7743</v>
      </c>
      <c r="D502" s="109" t="s">
        <v>8596</v>
      </c>
      <c r="E502" s="109" t="s">
        <v>5558</v>
      </c>
      <c r="F502" s="109" t="s">
        <v>8597</v>
      </c>
      <c r="G502" s="110" t="s">
        <v>6248</v>
      </c>
      <c r="H502" s="110" t="s">
        <v>8598</v>
      </c>
      <c r="I502" s="110" t="s">
        <v>8599</v>
      </c>
    </row>
    <row r="503" spans="1:9" ht="25.2" x14ac:dyDescent="0.3">
      <c r="A503" s="109" t="s">
        <v>8600</v>
      </c>
      <c r="B503" s="109" t="s">
        <v>7743</v>
      </c>
      <c r="C503" s="109" t="s">
        <v>7743</v>
      </c>
      <c r="D503" s="109" t="s">
        <v>8601</v>
      </c>
      <c r="E503" s="109" t="s">
        <v>5558</v>
      </c>
      <c r="F503" s="109" t="s">
        <v>8602</v>
      </c>
      <c r="G503" s="110" t="s">
        <v>6248</v>
      </c>
      <c r="H503" s="110" t="s">
        <v>8603</v>
      </c>
      <c r="I503" s="110" t="s">
        <v>8604</v>
      </c>
    </row>
    <row r="504" spans="1:9" ht="37.799999999999997" x14ac:dyDescent="0.3">
      <c r="A504" s="109" t="s">
        <v>8605</v>
      </c>
      <c r="B504" s="109" t="s">
        <v>7743</v>
      </c>
      <c r="C504" s="109" t="s">
        <v>7743</v>
      </c>
      <c r="D504" s="109" t="s">
        <v>8606</v>
      </c>
      <c r="E504" s="109" t="s">
        <v>5558</v>
      </c>
      <c r="F504" s="109" t="s">
        <v>8607</v>
      </c>
      <c r="G504" s="110" t="s">
        <v>6248</v>
      </c>
      <c r="H504" s="110" t="s">
        <v>6689</v>
      </c>
      <c r="I504" s="110" t="s">
        <v>8608</v>
      </c>
    </row>
    <row r="505" spans="1:9" ht="37.799999999999997" x14ac:dyDescent="0.3">
      <c r="A505" s="109" t="s">
        <v>8609</v>
      </c>
      <c r="B505" s="109" t="s">
        <v>7743</v>
      </c>
      <c r="C505" s="109" t="s">
        <v>7743</v>
      </c>
      <c r="D505" s="109" t="s">
        <v>8610</v>
      </c>
      <c r="E505" s="109" t="s">
        <v>5558</v>
      </c>
      <c r="F505" s="109" t="s">
        <v>8611</v>
      </c>
      <c r="G505" s="110" t="s">
        <v>6248</v>
      </c>
      <c r="H505" s="110" t="s">
        <v>8612</v>
      </c>
      <c r="I505" s="110" t="s">
        <v>8613</v>
      </c>
    </row>
    <row r="506" spans="1:9" ht="25.2" x14ac:dyDescent="0.3">
      <c r="A506" s="109" t="s">
        <v>8614</v>
      </c>
      <c r="B506" s="109" t="s">
        <v>8615</v>
      </c>
      <c r="C506" s="109" t="s">
        <v>7743</v>
      </c>
      <c r="D506" s="109" t="s">
        <v>8616</v>
      </c>
      <c r="E506" s="109" t="s">
        <v>5558</v>
      </c>
      <c r="F506" s="109" t="s">
        <v>8617</v>
      </c>
      <c r="G506" s="110" t="s">
        <v>6248</v>
      </c>
      <c r="H506" s="110" t="s">
        <v>8618</v>
      </c>
      <c r="I506" s="110" t="s">
        <v>8619</v>
      </c>
    </row>
    <row r="507" spans="1:9" ht="25.2" x14ac:dyDescent="0.3">
      <c r="A507" s="109" t="s">
        <v>8620</v>
      </c>
      <c r="B507" s="109" t="s">
        <v>8615</v>
      </c>
      <c r="C507" s="109" t="s">
        <v>8615</v>
      </c>
      <c r="D507" s="109" t="s">
        <v>8621</v>
      </c>
      <c r="E507" s="109" t="s">
        <v>5558</v>
      </c>
      <c r="F507" s="109" t="s">
        <v>8622</v>
      </c>
      <c r="G507" s="110" t="s">
        <v>6248</v>
      </c>
      <c r="H507" s="110" t="s">
        <v>8623</v>
      </c>
      <c r="I507" s="110" t="s">
        <v>8624</v>
      </c>
    </row>
    <row r="508" spans="1:9" ht="25.2" x14ac:dyDescent="0.3">
      <c r="A508" s="109" t="s">
        <v>8625</v>
      </c>
      <c r="B508" s="109" t="s">
        <v>8615</v>
      </c>
      <c r="C508" s="109" t="s">
        <v>8615</v>
      </c>
      <c r="D508" s="109" t="s">
        <v>8626</v>
      </c>
      <c r="E508" s="109" t="s">
        <v>5558</v>
      </c>
      <c r="F508" s="109" t="s">
        <v>8627</v>
      </c>
      <c r="G508" s="110" t="s">
        <v>6248</v>
      </c>
      <c r="H508" s="110" t="s">
        <v>8628</v>
      </c>
      <c r="I508" s="110" t="s">
        <v>8629</v>
      </c>
    </row>
    <row r="509" spans="1:9" ht="25.2" x14ac:dyDescent="0.3">
      <c r="A509" s="109" t="s">
        <v>8630</v>
      </c>
      <c r="B509" s="109" t="s">
        <v>8615</v>
      </c>
      <c r="C509" s="109" t="s">
        <v>8615</v>
      </c>
      <c r="D509" s="109" t="s">
        <v>8631</v>
      </c>
      <c r="E509" s="109" t="s">
        <v>5558</v>
      </c>
      <c r="F509" s="109" t="s">
        <v>8632</v>
      </c>
      <c r="G509" s="110" t="s">
        <v>6248</v>
      </c>
      <c r="H509" s="110" t="s">
        <v>8633</v>
      </c>
      <c r="I509" s="110" t="s">
        <v>8634</v>
      </c>
    </row>
    <row r="510" spans="1:9" ht="37.799999999999997" x14ac:dyDescent="0.3">
      <c r="A510" s="109" t="s">
        <v>8635</v>
      </c>
      <c r="B510" s="109" t="s">
        <v>8615</v>
      </c>
      <c r="C510" s="109" t="s">
        <v>8615</v>
      </c>
      <c r="D510" s="109" t="s">
        <v>8636</v>
      </c>
      <c r="E510" s="109" t="s">
        <v>5558</v>
      </c>
      <c r="F510" s="109" t="s">
        <v>8637</v>
      </c>
      <c r="G510" s="110" t="s">
        <v>6248</v>
      </c>
      <c r="H510" s="110" t="s">
        <v>8638</v>
      </c>
      <c r="I510" s="110" t="s">
        <v>8639</v>
      </c>
    </row>
    <row r="511" spans="1:9" ht="25.2" x14ac:dyDescent="0.3">
      <c r="A511" s="109" t="s">
        <v>8640</v>
      </c>
      <c r="B511" s="109" t="s">
        <v>8615</v>
      </c>
      <c r="C511" s="109" t="s">
        <v>8615</v>
      </c>
      <c r="D511" s="109" t="s">
        <v>496</v>
      </c>
      <c r="E511" s="109" t="s">
        <v>5558</v>
      </c>
      <c r="F511" s="109" t="s">
        <v>8641</v>
      </c>
      <c r="G511" s="110" t="s">
        <v>6248</v>
      </c>
      <c r="H511" s="110" t="s">
        <v>8642</v>
      </c>
      <c r="I511" s="110" t="s">
        <v>8643</v>
      </c>
    </row>
    <row r="512" spans="1:9" ht="25.2" x14ac:dyDescent="0.3">
      <c r="A512" s="109" t="s">
        <v>8644</v>
      </c>
      <c r="B512" s="109" t="s">
        <v>8615</v>
      </c>
      <c r="C512" s="109" t="s">
        <v>8615</v>
      </c>
      <c r="D512" s="109" t="s">
        <v>8645</v>
      </c>
      <c r="E512" s="109" t="s">
        <v>5558</v>
      </c>
      <c r="F512" s="109" t="s">
        <v>8646</v>
      </c>
      <c r="G512" s="110" t="s">
        <v>6248</v>
      </c>
      <c r="H512" s="110" t="s">
        <v>8647</v>
      </c>
      <c r="I512" s="110" t="s">
        <v>8648</v>
      </c>
    </row>
    <row r="513" spans="1:9" ht="25.2" x14ac:dyDescent="0.3">
      <c r="A513" s="109" t="s">
        <v>8649</v>
      </c>
      <c r="B513" s="109" t="s">
        <v>8615</v>
      </c>
      <c r="C513" s="109" t="s">
        <v>8615</v>
      </c>
      <c r="D513" s="109" t="s">
        <v>8650</v>
      </c>
      <c r="E513" s="109" t="s">
        <v>5558</v>
      </c>
      <c r="F513" s="109" t="s">
        <v>8651</v>
      </c>
      <c r="G513" s="110" t="s">
        <v>6248</v>
      </c>
      <c r="H513" s="110" t="s">
        <v>7062</v>
      </c>
      <c r="I513" s="110" t="s">
        <v>8652</v>
      </c>
    </row>
    <row r="514" spans="1:9" ht="25.2" x14ac:dyDescent="0.3">
      <c r="A514" s="109" t="s">
        <v>8653</v>
      </c>
      <c r="B514" s="109" t="s">
        <v>8615</v>
      </c>
      <c r="C514" s="109" t="s">
        <v>8615</v>
      </c>
      <c r="D514" s="109" t="s">
        <v>8654</v>
      </c>
      <c r="E514" s="109" t="s">
        <v>5558</v>
      </c>
      <c r="F514" s="109" t="s">
        <v>8655</v>
      </c>
      <c r="G514" s="110" t="s">
        <v>6248</v>
      </c>
      <c r="H514" s="110" t="s">
        <v>8656</v>
      </c>
      <c r="I514" s="110" t="s">
        <v>8657</v>
      </c>
    </row>
    <row r="515" spans="1:9" ht="25.2" x14ac:dyDescent="0.3">
      <c r="A515" s="109" t="s">
        <v>8658</v>
      </c>
      <c r="B515" s="109" t="s">
        <v>8615</v>
      </c>
      <c r="C515" s="109" t="s">
        <v>8615</v>
      </c>
      <c r="D515" s="109" t="s">
        <v>8659</v>
      </c>
      <c r="E515" s="109" t="s">
        <v>5558</v>
      </c>
      <c r="F515" s="109" t="s">
        <v>8660</v>
      </c>
      <c r="G515" s="110" t="s">
        <v>6248</v>
      </c>
      <c r="H515" s="110" t="s">
        <v>6352</v>
      </c>
      <c r="I515" s="110" t="s">
        <v>8661</v>
      </c>
    </row>
    <row r="516" spans="1:9" ht="25.2" x14ac:dyDescent="0.3">
      <c r="A516" s="109" t="s">
        <v>8662</v>
      </c>
      <c r="B516" s="109" t="s">
        <v>8615</v>
      </c>
      <c r="C516" s="109" t="s">
        <v>8615</v>
      </c>
      <c r="D516" s="109" t="s">
        <v>8663</v>
      </c>
      <c r="E516" s="109" t="s">
        <v>5558</v>
      </c>
      <c r="F516" s="109" t="s">
        <v>8664</v>
      </c>
      <c r="G516" s="110" t="s">
        <v>6248</v>
      </c>
      <c r="H516" s="110" t="s">
        <v>6310</v>
      </c>
      <c r="I516" s="110" t="s">
        <v>8665</v>
      </c>
    </row>
    <row r="517" spans="1:9" ht="37.799999999999997" x14ac:dyDescent="0.3">
      <c r="A517" s="109" t="s">
        <v>8666</v>
      </c>
      <c r="B517" s="109" t="s">
        <v>8615</v>
      </c>
      <c r="C517" s="109" t="s">
        <v>8615</v>
      </c>
      <c r="D517" s="109" t="s">
        <v>8667</v>
      </c>
      <c r="E517" s="109" t="s">
        <v>5558</v>
      </c>
      <c r="F517" s="109" t="s">
        <v>8668</v>
      </c>
      <c r="G517" s="110" t="s">
        <v>6248</v>
      </c>
      <c r="H517" s="110" t="s">
        <v>7062</v>
      </c>
      <c r="I517" s="110" t="s">
        <v>8669</v>
      </c>
    </row>
    <row r="518" spans="1:9" ht="25.2" x14ac:dyDescent="0.3">
      <c r="A518" s="109" t="s">
        <v>8670</v>
      </c>
      <c r="B518" s="109" t="s">
        <v>8615</v>
      </c>
      <c r="C518" s="109" t="s">
        <v>8615</v>
      </c>
      <c r="D518" s="109" t="s">
        <v>8671</v>
      </c>
      <c r="E518" s="109" t="s">
        <v>5558</v>
      </c>
      <c r="F518" s="109" t="s">
        <v>8672</v>
      </c>
      <c r="G518" s="110" t="s">
        <v>6248</v>
      </c>
      <c r="H518" s="110" t="s">
        <v>8185</v>
      </c>
      <c r="I518" s="110" t="s">
        <v>8673</v>
      </c>
    </row>
    <row r="519" spans="1:9" ht="25.2" x14ac:dyDescent="0.3">
      <c r="A519" s="109" t="s">
        <v>8674</v>
      </c>
      <c r="B519" s="109" t="s">
        <v>8615</v>
      </c>
      <c r="C519" s="109" t="s">
        <v>8615</v>
      </c>
      <c r="D519" s="109" t="s">
        <v>8675</v>
      </c>
      <c r="E519" s="109" t="s">
        <v>5558</v>
      </c>
      <c r="F519" s="109" t="s">
        <v>8676</v>
      </c>
      <c r="G519" s="110" t="s">
        <v>6248</v>
      </c>
      <c r="H519" s="110" t="s">
        <v>8677</v>
      </c>
      <c r="I519" s="110" t="s">
        <v>8678</v>
      </c>
    </row>
    <row r="520" spans="1:9" ht="37.799999999999997" x14ac:dyDescent="0.3">
      <c r="A520" s="109" t="s">
        <v>8679</v>
      </c>
      <c r="B520" s="109" t="s">
        <v>8615</v>
      </c>
      <c r="C520" s="109" t="s">
        <v>8615</v>
      </c>
      <c r="D520" s="109" t="s">
        <v>8680</v>
      </c>
      <c r="E520" s="109" t="s">
        <v>5558</v>
      </c>
      <c r="F520" s="109" t="s">
        <v>8681</v>
      </c>
      <c r="G520" s="110" t="s">
        <v>6248</v>
      </c>
      <c r="H520" s="110" t="s">
        <v>8682</v>
      </c>
      <c r="I520" s="110" t="s">
        <v>8683</v>
      </c>
    </row>
    <row r="521" spans="1:9" ht="37.799999999999997" x14ac:dyDescent="0.3">
      <c r="A521" s="109" t="s">
        <v>8684</v>
      </c>
      <c r="B521" s="109" t="s">
        <v>8615</v>
      </c>
      <c r="C521" s="109" t="s">
        <v>8615</v>
      </c>
      <c r="D521" s="109" t="s">
        <v>8685</v>
      </c>
      <c r="E521" s="109" t="s">
        <v>5558</v>
      </c>
      <c r="F521" s="109" t="s">
        <v>8686</v>
      </c>
      <c r="G521" s="110" t="s">
        <v>6248</v>
      </c>
      <c r="H521" s="110" t="s">
        <v>8687</v>
      </c>
      <c r="I521" s="110" t="s">
        <v>8688</v>
      </c>
    </row>
    <row r="522" spans="1:9" ht="37.799999999999997" x14ac:dyDescent="0.3">
      <c r="A522" s="109" t="s">
        <v>8689</v>
      </c>
      <c r="B522" s="109" t="s">
        <v>8615</v>
      </c>
      <c r="C522" s="109" t="s">
        <v>8615</v>
      </c>
      <c r="D522" s="109" t="s">
        <v>8690</v>
      </c>
      <c r="E522" s="109" t="s">
        <v>5558</v>
      </c>
      <c r="F522" s="109" t="s">
        <v>8691</v>
      </c>
      <c r="G522" s="110" t="s">
        <v>6248</v>
      </c>
      <c r="H522" s="110" t="s">
        <v>8692</v>
      </c>
      <c r="I522" s="110" t="s">
        <v>8693</v>
      </c>
    </row>
    <row r="523" spans="1:9" ht="37.799999999999997" x14ac:dyDescent="0.3">
      <c r="A523" s="109" t="s">
        <v>8694</v>
      </c>
      <c r="B523" s="109" t="s">
        <v>8615</v>
      </c>
      <c r="C523" s="109" t="s">
        <v>8615</v>
      </c>
      <c r="D523" s="109" t="s">
        <v>8695</v>
      </c>
      <c r="E523" s="109" t="s">
        <v>5558</v>
      </c>
      <c r="F523" s="109" t="s">
        <v>8696</v>
      </c>
      <c r="G523" s="110" t="s">
        <v>6248</v>
      </c>
      <c r="H523" s="110" t="s">
        <v>8697</v>
      </c>
      <c r="I523" s="110" t="s">
        <v>8698</v>
      </c>
    </row>
    <row r="524" spans="1:9" ht="25.2" x14ac:dyDescent="0.3">
      <c r="A524" s="109" t="s">
        <v>8699</v>
      </c>
      <c r="B524" s="109" t="s">
        <v>8615</v>
      </c>
      <c r="C524" s="109" t="s">
        <v>8615</v>
      </c>
      <c r="D524" s="109" t="s">
        <v>8700</v>
      </c>
      <c r="E524" s="109" t="s">
        <v>5558</v>
      </c>
      <c r="F524" s="109" t="s">
        <v>8701</v>
      </c>
      <c r="G524" s="110" t="s">
        <v>6248</v>
      </c>
      <c r="H524" s="110" t="s">
        <v>8702</v>
      </c>
      <c r="I524" s="110" t="s">
        <v>8703</v>
      </c>
    </row>
    <row r="525" spans="1:9" ht="25.2" x14ac:dyDescent="0.3">
      <c r="A525" s="109" t="s">
        <v>8704</v>
      </c>
      <c r="B525" s="109" t="s">
        <v>8615</v>
      </c>
      <c r="C525" s="109" t="s">
        <v>8615</v>
      </c>
      <c r="D525" s="109" t="s">
        <v>8705</v>
      </c>
      <c r="E525" s="109" t="s">
        <v>8706</v>
      </c>
      <c r="F525" s="109" t="s">
        <v>8707</v>
      </c>
      <c r="G525" s="110" t="s">
        <v>6248</v>
      </c>
      <c r="H525" s="110" t="s">
        <v>8708</v>
      </c>
      <c r="I525" s="110" t="s">
        <v>8709</v>
      </c>
    </row>
    <row r="526" spans="1:9" ht="37.799999999999997" x14ac:dyDescent="0.3">
      <c r="A526" s="109" t="s">
        <v>8710</v>
      </c>
      <c r="B526" s="109" t="s">
        <v>8615</v>
      </c>
      <c r="C526" s="109" t="s">
        <v>8615</v>
      </c>
      <c r="D526" s="109" t="s">
        <v>8711</v>
      </c>
      <c r="E526" s="109" t="s">
        <v>5558</v>
      </c>
      <c r="F526" s="109" t="s">
        <v>8712</v>
      </c>
      <c r="G526" s="110" t="s">
        <v>6248</v>
      </c>
      <c r="H526" s="110" t="s">
        <v>8713</v>
      </c>
      <c r="I526" s="110" t="s">
        <v>8714</v>
      </c>
    </row>
    <row r="527" spans="1:9" ht="25.2" x14ac:dyDescent="0.3">
      <c r="A527" s="109" t="s">
        <v>8715</v>
      </c>
      <c r="B527" s="109" t="s">
        <v>8615</v>
      </c>
      <c r="C527" s="109" t="s">
        <v>8615</v>
      </c>
      <c r="D527" s="109" t="s">
        <v>8716</v>
      </c>
      <c r="E527" s="109" t="s">
        <v>5558</v>
      </c>
      <c r="F527" s="109" t="s">
        <v>8717</v>
      </c>
      <c r="G527" s="110" t="s">
        <v>6248</v>
      </c>
      <c r="H527" s="110" t="s">
        <v>8718</v>
      </c>
      <c r="I527" s="110" t="s">
        <v>8719</v>
      </c>
    </row>
    <row r="528" spans="1:9" ht="25.2" x14ac:dyDescent="0.3">
      <c r="A528" s="109" t="s">
        <v>8720</v>
      </c>
      <c r="B528" s="109" t="s">
        <v>8615</v>
      </c>
      <c r="C528" s="109" t="s">
        <v>8615</v>
      </c>
      <c r="D528" s="109" t="s">
        <v>8721</v>
      </c>
      <c r="E528" s="109" t="s">
        <v>5558</v>
      </c>
      <c r="F528" s="109" t="s">
        <v>8722</v>
      </c>
      <c r="G528" s="110" t="s">
        <v>6248</v>
      </c>
      <c r="H528" s="110" t="s">
        <v>8723</v>
      </c>
      <c r="I528" s="110" t="s">
        <v>8724</v>
      </c>
    </row>
    <row r="529" spans="1:9" ht="25.2" x14ac:dyDescent="0.3">
      <c r="A529" s="109" t="s">
        <v>8725</v>
      </c>
      <c r="B529" s="109" t="s">
        <v>8615</v>
      </c>
      <c r="C529" s="109" t="s">
        <v>8615</v>
      </c>
      <c r="D529" s="109" t="s">
        <v>8726</v>
      </c>
      <c r="E529" s="109" t="s">
        <v>5558</v>
      </c>
      <c r="F529" s="109" t="s">
        <v>8727</v>
      </c>
      <c r="G529" s="110" t="s">
        <v>6248</v>
      </c>
      <c r="H529" s="110" t="s">
        <v>7221</v>
      </c>
      <c r="I529" s="110" t="s">
        <v>8728</v>
      </c>
    </row>
    <row r="530" spans="1:9" ht="37.799999999999997" x14ac:dyDescent="0.3">
      <c r="A530" s="109" t="s">
        <v>8729</v>
      </c>
      <c r="B530" s="109" t="s">
        <v>8615</v>
      </c>
      <c r="C530" s="109" t="s">
        <v>8615</v>
      </c>
      <c r="D530" s="109" t="s">
        <v>8730</v>
      </c>
      <c r="E530" s="109" t="s">
        <v>5558</v>
      </c>
      <c r="F530" s="109" t="s">
        <v>8731</v>
      </c>
      <c r="G530" s="110" t="s">
        <v>6248</v>
      </c>
      <c r="H530" s="110" t="s">
        <v>6689</v>
      </c>
      <c r="I530" s="110" t="s">
        <v>8732</v>
      </c>
    </row>
    <row r="531" spans="1:9" ht="37.799999999999997" x14ac:dyDescent="0.3">
      <c r="A531" s="109" t="s">
        <v>8733</v>
      </c>
      <c r="B531" s="109" t="s">
        <v>8615</v>
      </c>
      <c r="C531" s="109" t="s">
        <v>8615</v>
      </c>
      <c r="D531" s="109" t="s">
        <v>8734</v>
      </c>
      <c r="E531" s="109" t="s">
        <v>5558</v>
      </c>
      <c r="F531" s="109" t="s">
        <v>8735</v>
      </c>
      <c r="G531" s="110" t="s">
        <v>6248</v>
      </c>
      <c r="H531" s="110" t="s">
        <v>8736</v>
      </c>
      <c r="I531" s="110" t="s">
        <v>8737</v>
      </c>
    </row>
    <row r="532" spans="1:9" ht="37.799999999999997" x14ac:dyDescent="0.3">
      <c r="A532" s="109" t="s">
        <v>8738</v>
      </c>
      <c r="B532" s="109" t="s">
        <v>8615</v>
      </c>
      <c r="C532" s="109" t="s">
        <v>8615</v>
      </c>
      <c r="D532" s="109" t="s">
        <v>8739</v>
      </c>
      <c r="E532" s="109" t="s">
        <v>5558</v>
      </c>
      <c r="F532" s="109" t="s">
        <v>8740</v>
      </c>
      <c r="G532" s="110" t="s">
        <v>6248</v>
      </c>
      <c r="H532" s="110" t="s">
        <v>8741</v>
      </c>
      <c r="I532" s="110" t="s">
        <v>8742</v>
      </c>
    </row>
    <row r="533" spans="1:9" ht="37.799999999999997" x14ac:dyDescent="0.3">
      <c r="A533" s="109" t="s">
        <v>8743</v>
      </c>
      <c r="B533" s="109" t="s">
        <v>8615</v>
      </c>
      <c r="C533" s="109" t="s">
        <v>8615</v>
      </c>
      <c r="D533" s="109" t="s">
        <v>8744</v>
      </c>
      <c r="E533" s="109" t="s">
        <v>5558</v>
      </c>
      <c r="F533" s="109" t="s">
        <v>8745</v>
      </c>
      <c r="G533" s="110" t="s">
        <v>6248</v>
      </c>
      <c r="H533" s="110" t="s">
        <v>8746</v>
      </c>
      <c r="I533" s="110" t="s">
        <v>8747</v>
      </c>
    </row>
    <row r="534" spans="1:9" ht="25.2" x14ac:dyDescent="0.3">
      <c r="A534" s="109" t="s">
        <v>8748</v>
      </c>
      <c r="B534" s="109" t="s">
        <v>8615</v>
      </c>
      <c r="C534" s="109" t="s">
        <v>8615</v>
      </c>
      <c r="D534" s="109" t="s">
        <v>8749</v>
      </c>
      <c r="E534" s="109" t="s">
        <v>5558</v>
      </c>
      <c r="F534" s="109" t="s">
        <v>8750</v>
      </c>
      <c r="G534" s="110" t="s">
        <v>6248</v>
      </c>
      <c r="H534" s="110" t="s">
        <v>8751</v>
      </c>
      <c r="I534" s="110" t="s">
        <v>8752</v>
      </c>
    </row>
    <row r="535" spans="1:9" ht="37.799999999999997" x14ac:dyDescent="0.3">
      <c r="A535" s="109" t="s">
        <v>8753</v>
      </c>
      <c r="B535" s="109" t="s">
        <v>8615</v>
      </c>
      <c r="C535" s="109" t="s">
        <v>8615</v>
      </c>
      <c r="D535" s="109" t="s">
        <v>8754</v>
      </c>
      <c r="E535" s="109" t="s">
        <v>5558</v>
      </c>
      <c r="F535" s="109" t="s">
        <v>8755</v>
      </c>
      <c r="G535" s="110" t="s">
        <v>6248</v>
      </c>
      <c r="H535" s="110" t="s">
        <v>8756</v>
      </c>
      <c r="I535" s="110" t="s">
        <v>8757</v>
      </c>
    </row>
    <row r="536" spans="1:9" ht="25.2" x14ac:dyDescent="0.3">
      <c r="A536" s="109" t="s">
        <v>8758</v>
      </c>
      <c r="B536" s="109" t="s">
        <v>8615</v>
      </c>
      <c r="C536" s="109" t="s">
        <v>8615</v>
      </c>
      <c r="D536" s="109" t="s">
        <v>8759</v>
      </c>
      <c r="E536" s="109" t="s">
        <v>5558</v>
      </c>
      <c r="F536" s="109" t="s">
        <v>8760</v>
      </c>
      <c r="G536" s="110" t="s">
        <v>6248</v>
      </c>
      <c r="H536" s="110" t="s">
        <v>7480</v>
      </c>
      <c r="I536" s="110" t="s">
        <v>8761</v>
      </c>
    </row>
    <row r="537" spans="1:9" ht="37.799999999999997" x14ac:dyDescent="0.3">
      <c r="A537" s="109" t="s">
        <v>8762</v>
      </c>
      <c r="B537" s="109" t="s">
        <v>8615</v>
      </c>
      <c r="C537" s="109" t="s">
        <v>8615</v>
      </c>
      <c r="D537" s="109" t="s">
        <v>8763</v>
      </c>
      <c r="E537" s="109" t="s">
        <v>5558</v>
      </c>
      <c r="F537" s="109" t="s">
        <v>8764</v>
      </c>
      <c r="G537" s="110" t="s">
        <v>6248</v>
      </c>
      <c r="H537" s="110" t="s">
        <v>8765</v>
      </c>
      <c r="I537" s="110" t="s">
        <v>8766</v>
      </c>
    </row>
    <row r="538" spans="1:9" ht="37.799999999999997" x14ac:dyDescent="0.3">
      <c r="A538" s="109" t="s">
        <v>8767</v>
      </c>
      <c r="B538" s="109" t="s">
        <v>8615</v>
      </c>
      <c r="C538" s="109" t="s">
        <v>8615</v>
      </c>
      <c r="D538" s="109" t="s">
        <v>8768</v>
      </c>
      <c r="E538" s="109" t="s">
        <v>5558</v>
      </c>
      <c r="F538" s="109" t="s">
        <v>8769</v>
      </c>
      <c r="G538" s="110" t="s">
        <v>6248</v>
      </c>
      <c r="H538" s="110" t="s">
        <v>8770</v>
      </c>
      <c r="I538" s="110" t="s">
        <v>8771</v>
      </c>
    </row>
    <row r="539" spans="1:9" ht="25.2" x14ac:dyDescent="0.3">
      <c r="A539" s="109" t="s">
        <v>8772</v>
      </c>
      <c r="B539" s="109" t="s">
        <v>8615</v>
      </c>
      <c r="C539" s="109" t="s">
        <v>8615</v>
      </c>
      <c r="D539" s="109" t="s">
        <v>8773</v>
      </c>
      <c r="E539" s="109" t="s">
        <v>5558</v>
      </c>
      <c r="F539" s="109" t="s">
        <v>8774</v>
      </c>
      <c r="G539" s="110" t="s">
        <v>6248</v>
      </c>
      <c r="H539" s="110" t="s">
        <v>8775</v>
      </c>
      <c r="I539" s="110" t="s">
        <v>8776</v>
      </c>
    </row>
    <row r="540" spans="1:9" ht="25.2" x14ac:dyDescent="0.3">
      <c r="A540" s="109" t="s">
        <v>8777</v>
      </c>
      <c r="B540" s="109" t="s">
        <v>8615</v>
      </c>
      <c r="C540" s="109" t="s">
        <v>8615</v>
      </c>
      <c r="D540" s="109" t="s">
        <v>8778</v>
      </c>
      <c r="E540" s="109" t="s">
        <v>5558</v>
      </c>
      <c r="F540" s="109" t="s">
        <v>8779</v>
      </c>
      <c r="G540" s="110" t="s">
        <v>6248</v>
      </c>
      <c r="H540" s="110" t="s">
        <v>6310</v>
      </c>
      <c r="I540" s="110" t="s">
        <v>8780</v>
      </c>
    </row>
    <row r="541" spans="1:9" ht="25.2" x14ac:dyDescent="0.3">
      <c r="A541" s="109" t="s">
        <v>8781</v>
      </c>
      <c r="B541" s="109" t="s">
        <v>8615</v>
      </c>
      <c r="C541" s="109" t="s">
        <v>8615</v>
      </c>
      <c r="D541" s="109" t="s">
        <v>8782</v>
      </c>
      <c r="E541" s="109" t="s">
        <v>5558</v>
      </c>
      <c r="F541" s="109" t="s">
        <v>8783</v>
      </c>
      <c r="G541" s="110" t="s">
        <v>6248</v>
      </c>
      <c r="H541" s="110" t="s">
        <v>8784</v>
      </c>
      <c r="I541" s="110" t="s">
        <v>8785</v>
      </c>
    </row>
    <row r="542" spans="1:9" ht="37.799999999999997" x14ac:dyDescent="0.3">
      <c r="A542" s="109" t="s">
        <v>8786</v>
      </c>
      <c r="B542" s="109" t="s">
        <v>8615</v>
      </c>
      <c r="C542" s="109" t="s">
        <v>8615</v>
      </c>
      <c r="D542" s="109" t="s">
        <v>8787</v>
      </c>
      <c r="E542" s="109" t="s">
        <v>5558</v>
      </c>
      <c r="F542" s="109" t="s">
        <v>8788</v>
      </c>
      <c r="G542" s="110" t="s">
        <v>6248</v>
      </c>
      <c r="H542" s="110" t="s">
        <v>6883</v>
      </c>
      <c r="I542" s="110" t="s">
        <v>8789</v>
      </c>
    </row>
    <row r="543" spans="1:9" ht="37.799999999999997" x14ac:dyDescent="0.3">
      <c r="A543" s="109" t="s">
        <v>8790</v>
      </c>
      <c r="B543" s="109" t="s">
        <v>8615</v>
      </c>
      <c r="C543" s="109" t="s">
        <v>8615</v>
      </c>
      <c r="D543" s="109" t="s">
        <v>8791</v>
      </c>
      <c r="E543" s="109" t="s">
        <v>5558</v>
      </c>
      <c r="F543" s="109" t="s">
        <v>8792</v>
      </c>
      <c r="G543" s="110" t="s">
        <v>6248</v>
      </c>
      <c r="H543" s="110" t="s">
        <v>7221</v>
      </c>
      <c r="I543" s="110" t="s">
        <v>8793</v>
      </c>
    </row>
    <row r="544" spans="1:9" ht="25.2" x14ac:dyDescent="0.3">
      <c r="A544" s="109" t="s">
        <v>8794</v>
      </c>
      <c r="B544" s="109" t="s">
        <v>8615</v>
      </c>
      <c r="C544" s="109" t="s">
        <v>8615</v>
      </c>
      <c r="D544" s="109" t="s">
        <v>8795</v>
      </c>
      <c r="E544" s="109" t="s">
        <v>8796</v>
      </c>
      <c r="F544" s="109" t="s">
        <v>8797</v>
      </c>
      <c r="G544" s="110" t="s">
        <v>6248</v>
      </c>
      <c r="H544" s="110" t="s">
        <v>8798</v>
      </c>
      <c r="I544" s="110" t="s">
        <v>8799</v>
      </c>
    </row>
    <row r="545" spans="1:9" ht="25.2" x14ac:dyDescent="0.3">
      <c r="A545" s="109" t="s">
        <v>8800</v>
      </c>
      <c r="B545" s="109" t="s">
        <v>8615</v>
      </c>
      <c r="C545" s="109" t="s">
        <v>8615</v>
      </c>
      <c r="D545" s="109" t="s">
        <v>8801</v>
      </c>
      <c r="E545" s="109" t="s">
        <v>5558</v>
      </c>
      <c r="F545" s="109" t="s">
        <v>8802</v>
      </c>
      <c r="G545" s="110" t="s">
        <v>6248</v>
      </c>
      <c r="H545" s="110" t="s">
        <v>6883</v>
      </c>
      <c r="I545" s="110" t="s">
        <v>8803</v>
      </c>
    </row>
    <row r="546" spans="1:9" ht="37.799999999999997" x14ac:dyDescent="0.3">
      <c r="A546" s="109" t="s">
        <v>8804</v>
      </c>
      <c r="B546" s="109" t="s">
        <v>8615</v>
      </c>
      <c r="C546" s="109" t="s">
        <v>8615</v>
      </c>
      <c r="D546" s="109" t="s">
        <v>8805</v>
      </c>
      <c r="E546" s="109" t="s">
        <v>5558</v>
      </c>
      <c r="F546" s="109" t="s">
        <v>8806</v>
      </c>
      <c r="G546" s="110" t="s">
        <v>6248</v>
      </c>
      <c r="H546" s="110" t="s">
        <v>7504</v>
      </c>
      <c r="I546" s="110" t="s">
        <v>8807</v>
      </c>
    </row>
    <row r="547" spans="1:9" ht="37.799999999999997" x14ac:dyDescent="0.3">
      <c r="A547" s="109" t="s">
        <v>8808</v>
      </c>
      <c r="B547" s="109" t="s">
        <v>8615</v>
      </c>
      <c r="C547" s="109" t="s">
        <v>8615</v>
      </c>
      <c r="D547" s="109" t="s">
        <v>8809</v>
      </c>
      <c r="E547" s="109" t="s">
        <v>5558</v>
      </c>
      <c r="F547" s="109" t="s">
        <v>8810</v>
      </c>
      <c r="G547" s="110" t="s">
        <v>6248</v>
      </c>
      <c r="H547" s="110" t="s">
        <v>7480</v>
      </c>
      <c r="I547" s="110" t="s">
        <v>8811</v>
      </c>
    </row>
    <row r="548" spans="1:9" ht="25.2" x14ac:dyDescent="0.3">
      <c r="A548" s="109" t="s">
        <v>8812</v>
      </c>
      <c r="B548" s="109" t="s">
        <v>8615</v>
      </c>
      <c r="C548" s="109" t="s">
        <v>8615</v>
      </c>
      <c r="D548" s="109" t="s">
        <v>8813</v>
      </c>
      <c r="E548" s="109" t="s">
        <v>5558</v>
      </c>
      <c r="F548" s="109" t="s">
        <v>8814</v>
      </c>
      <c r="G548" s="110" t="s">
        <v>6248</v>
      </c>
      <c r="H548" s="110" t="s">
        <v>8815</v>
      </c>
      <c r="I548" s="110" t="s">
        <v>8816</v>
      </c>
    </row>
    <row r="549" spans="1:9" ht="25.2" x14ac:dyDescent="0.3">
      <c r="A549" s="109" t="s">
        <v>8817</v>
      </c>
      <c r="B549" s="109" t="s">
        <v>8615</v>
      </c>
      <c r="C549" s="109" t="s">
        <v>8615</v>
      </c>
      <c r="D549" s="109" t="s">
        <v>8818</v>
      </c>
      <c r="E549" s="109" t="s">
        <v>5558</v>
      </c>
      <c r="F549" s="109" t="s">
        <v>8819</v>
      </c>
      <c r="G549" s="110" t="s">
        <v>6248</v>
      </c>
      <c r="H549" s="110" t="s">
        <v>8820</v>
      </c>
      <c r="I549" s="110" t="s">
        <v>8821</v>
      </c>
    </row>
    <row r="550" spans="1:9" ht="37.799999999999997" x14ac:dyDescent="0.3">
      <c r="A550" s="109" t="s">
        <v>8822</v>
      </c>
      <c r="B550" s="109" t="s">
        <v>8615</v>
      </c>
      <c r="C550" s="109" t="s">
        <v>8615</v>
      </c>
      <c r="D550" s="109" t="s">
        <v>8823</v>
      </c>
      <c r="E550" s="109" t="s">
        <v>5558</v>
      </c>
      <c r="F550" s="109" t="s">
        <v>8824</v>
      </c>
      <c r="G550" s="110" t="s">
        <v>6248</v>
      </c>
      <c r="H550" s="110" t="s">
        <v>8825</v>
      </c>
      <c r="I550" s="110" t="s">
        <v>8826</v>
      </c>
    </row>
    <row r="551" spans="1:9" ht="25.2" x14ac:dyDescent="0.3">
      <c r="A551" s="109" t="s">
        <v>8827</v>
      </c>
      <c r="B551" s="109" t="s">
        <v>8615</v>
      </c>
      <c r="C551" s="109" t="s">
        <v>8615</v>
      </c>
      <c r="D551" s="109" t="s">
        <v>8828</v>
      </c>
      <c r="E551" s="109" t="s">
        <v>2258</v>
      </c>
      <c r="F551" s="109" t="s">
        <v>6986</v>
      </c>
      <c r="G551" s="110" t="s">
        <v>6248</v>
      </c>
      <c r="H551" s="110" t="s">
        <v>8829</v>
      </c>
      <c r="I551" s="110" t="s">
        <v>8830</v>
      </c>
    </row>
    <row r="552" spans="1:9" ht="37.799999999999997" x14ac:dyDescent="0.3">
      <c r="A552" s="109" t="s">
        <v>8831</v>
      </c>
      <c r="B552" s="109" t="s">
        <v>8615</v>
      </c>
      <c r="C552" s="109" t="s">
        <v>8615</v>
      </c>
      <c r="D552" s="109" t="s">
        <v>8832</v>
      </c>
      <c r="E552" s="109" t="s">
        <v>5558</v>
      </c>
      <c r="F552" s="109" t="s">
        <v>8833</v>
      </c>
      <c r="G552" s="110" t="s">
        <v>6248</v>
      </c>
      <c r="H552" s="110" t="s">
        <v>8834</v>
      </c>
      <c r="I552" s="110" t="s">
        <v>8835</v>
      </c>
    </row>
    <row r="553" spans="1:9" ht="25.2" x14ac:dyDescent="0.3">
      <c r="A553" s="109" t="s">
        <v>8836</v>
      </c>
      <c r="B553" s="109" t="s">
        <v>8615</v>
      </c>
      <c r="C553" s="109" t="s">
        <v>8615</v>
      </c>
      <c r="D553" s="109" t="s">
        <v>610</v>
      </c>
      <c r="E553" s="109" t="s">
        <v>5558</v>
      </c>
      <c r="F553" s="109" t="s">
        <v>8837</v>
      </c>
      <c r="G553" s="110" t="s">
        <v>6248</v>
      </c>
      <c r="H553" s="110" t="s">
        <v>8838</v>
      </c>
      <c r="I553" s="110" t="s">
        <v>8839</v>
      </c>
    </row>
    <row r="554" spans="1:9" ht="25.2" x14ac:dyDescent="0.3">
      <c r="A554" s="109" t="s">
        <v>8840</v>
      </c>
      <c r="B554" s="109" t="s">
        <v>8841</v>
      </c>
      <c r="C554" s="109" t="s">
        <v>8615</v>
      </c>
      <c r="D554" s="109" t="s">
        <v>8842</v>
      </c>
      <c r="E554" s="109" t="s">
        <v>5558</v>
      </c>
      <c r="F554" s="109" t="s">
        <v>8843</v>
      </c>
      <c r="G554" s="110" t="s">
        <v>6248</v>
      </c>
      <c r="H554" s="110" t="s">
        <v>7592</v>
      </c>
      <c r="I554" s="110" t="s">
        <v>8844</v>
      </c>
    </row>
    <row r="555" spans="1:9" ht="25.2" x14ac:dyDescent="0.3">
      <c r="A555" s="109" t="s">
        <v>8845</v>
      </c>
      <c r="B555" s="109" t="s">
        <v>8841</v>
      </c>
      <c r="C555" s="109" t="s">
        <v>8615</v>
      </c>
      <c r="D555" s="109" t="s">
        <v>8846</v>
      </c>
      <c r="E555" s="109" t="s">
        <v>5558</v>
      </c>
      <c r="F555" s="109" t="s">
        <v>8847</v>
      </c>
      <c r="G555" s="110" t="s">
        <v>6248</v>
      </c>
      <c r="H555" s="110" t="s">
        <v>6883</v>
      </c>
      <c r="I555" s="110" t="s">
        <v>8848</v>
      </c>
    </row>
    <row r="556" spans="1:9" ht="25.2" x14ac:dyDescent="0.3">
      <c r="A556" s="109" t="s">
        <v>8849</v>
      </c>
      <c r="B556" s="109" t="s">
        <v>8841</v>
      </c>
      <c r="C556" s="109" t="s">
        <v>8615</v>
      </c>
      <c r="D556" s="109" t="s">
        <v>8850</v>
      </c>
      <c r="E556" s="109" t="s">
        <v>8851</v>
      </c>
      <c r="F556" s="109" t="s">
        <v>8852</v>
      </c>
      <c r="G556" s="110" t="s">
        <v>6248</v>
      </c>
      <c r="H556" s="110" t="s">
        <v>8853</v>
      </c>
      <c r="I556" s="110" t="s">
        <v>8854</v>
      </c>
    </row>
    <row r="557" spans="1:9" ht="25.2" x14ac:dyDescent="0.3">
      <c r="A557" s="109" t="s">
        <v>8855</v>
      </c>
      <c r="B557" s="109" t="s">
        <v>8841</v>
      </c>
      <c r="C557" s="109" t="s">
        <v>8841</v>
      </c>
      <c r="D557" s="109" t="s">
        <v>8856</v>
      </c>
      <c r="E557" s="109" t="s">
        <v>8857</v>
      </c>
      <c r="F557" s="109" t="s">
        <v>8858</v>
      </c>
      <c r="G557" s="110" t="s">
        <v>6248</v>
      </c>
      <c r="H557" s="110" t="s">
        <v>8859</v>
      </c>
      <c r="I557" s="110" t="s">
        <v>8860</v>
      </c>
    </row>
    <row r="558" spans="1:9" ht="25.2" x14ac:dyDescent="0.3">
      <c r="A558" s="109" t="s">
        <v>8861</v>
      </c>
      <c r="B558" s="109" t="s">
        <v>8841</v>
      </c>
      <c r="C558" s="109" t="s">
        <v>8841</v>
      </c>
      <c r="D558" s="109" t="s">
        <v>8862</v>
      </c>
      <c r="E558" s="109" t="s">
        <v>5558</v>
      </c>
      <c r="F558" s="109" t="s">
        <v>8863</v>
      </c>
      <c r="G558" s="110" t="s">
        <v>8864</v>
      </c>
      <c r="H558" s="110" t="s">
        <v>6248</v>
      </c>
      <c r="I558" s="110" t="s">
        <v>8865</v>
      </c>
    </row>
    <row r="559" spans="1:9" ht="37.799999999999997" x14ac:dyDescent="0.3">
      <c r="A559" s="109" t="s">
        <v>8866</v>
      </c>
      <c r="B559" s="109" t="s">
        <v>8841</v>
      </c>
      <c r="C559" s="109" t="s">
        <v>8841</v>
      </c>
      <c r="D559" s="109" t="s">
        <v>620</v>
      </c>
      <c r="E559" s="109" t="s">
        <v>5558</v>
      </c>
      <c r="F559" s="109" t="s">
        <v>8867</v>
      </c>
      <c r="G559" s="110" t="s">
        <v>6248</v>
      </c>
      <c r="H559" s="110" t="s">
        <v>8868</v>
      </c>
      <c r="I559" s="110" t="s">
        <v>8869</v>
      </c>
    </row>
    <row r="560" spans="1:9" ht="25.2" x14ac:dyDescent="0.3">
      <c r="A560" s="109" t="s">
        <v>8870</v>
      </c>
      <c r="B560" s="109" t="s">
        <v>8841</v>
      </c>
      <c r="C560" s="109" t="s">
        <v>8841</v>
      </c>
      <c r="D560" s="109" t="s">
        <v>618</v>
      </c>
      <c r="E560" s="109" t="s">
        <v>5558</v>
      </c>
      <c r="F560" s="109" t="s">
        <v>8871</v>
      </c>
      <c r="G560" s="110" t="s">
        <v>6248</v>
      </c>
      <c r="H560" s="110" t="s">
        <v>8872</v>
      </c>
      <c r="I560" s="110" t="s">
        <v>8873</v>
      </c>
    </row>
    <row r="561" spans="1:9" ht="25.2" x14ac:dyDescent="0.3">
      <c r="A561" s="109" t="s">
        <v>8874</v>
      </c>
      <c r="B561" s="109" t="s">
        <v>8841</v>
      </c>
      <c r="C561" s="109" t="s">
        <v>8841</v>
      </c>
      <c r="D561" s="109" t="s">
        <v>8875</v>
      </c>
      <c r="E561" s="109" t="s">
        <v>5558</v>
      </c>
      <c r="F561" s="109" t="s">
        <v>8876</v>
      </c>
      <c r="G561" s="110" t="s">
        <v>6248</v>
      </c>
      <c r="H561" s="110" t="s">
        <v>8877</v>
      </c>
      <c r="I561" s="110" t="s">
        <v>8878</v>
      </c>
    </row>
    <row r="562" spans="1:9" ht="37.799999999999997" x14ac:dyDescent="0.3">
      <c r="A562" s="109" t="s">
        <v>8879</v>
      </c>
      <c r="B562" s="109" t="s">
        <v>8841</v>
      </c>
      <c r="C562" s="109" t="s">
        <v>8841</v>
      </c>
      <c r="D562" s="109" t="s">
        <v>8880</v>
      </c>
      <c r="E562" s="109" t="s">
        <v>5558</v>
      </c>
      <c r="F562" s="109" t="s">
        <v>8881</v>
      </c>
      <c r="G562" s="110" t="s">
        <v>6248</v>
      </c>
      <c r="H562" s="110" t="s">
        <v>8882</v>
      </c>
      <c r="I562" s="110" t="s">
        <v>8883</v>
      </c>
    </row>
    <row r="563" spans="1:9" ht="25.2" x14ac:dyDescent="0.3">
      <c r="A563" s="109" t="s">
        <v>8884</v>
      </c>
      <c r="B563" s="109" t="s">
        <v>8841</v>
      </c>
      <c r="C563" s="109" t="s">
        <v>8841</v>
      </c>
      <c r="D563" s="109" t="s">
        <v>8885</v>
      </c>
      <c r="E563" s="109" t="s">
        <v>5558</v>
      </c>
      <c r="F563" s="109" t="s">
        <v>8886</v>
      </c>
      <c r="G563" s="110" t="s">
        <v>6248</v>
      </c>
      <c r="H563" s="110" t="s">
        <v>7760</v>
      </c>
      <c r="I563" s="110" t="s">
        <v>8887</v>
      </c>
    </row>
    <row r="564" spans="1:9" ht="25.2" x14ac:dyDescent="0.3">
      <c r="A564" s="109" t="s">
        <v>8888</v>
      </c>
      <c r="B564" s="109" t="s">
        <v>8841</v>
      </c>
      <c r="C564" s="109" t="s">
        <v>8841</v>
      </c>
      <c r="D564" s="109" t="s">
        <v>8889</v>
      </c>
      <c r="E564" s="109" t="s">
        <v>5558</v>
      </c>
      <c r="F564" s="109" t="s">
        <v>8890</v>
      </c>
      <c r="G564" s="110" t="s">
        <v>6248</v>
      </c>
      <c r="H564" s="110" t="s">
        <v>8891</v>
      </c>
      <c r="I564" s="110" t="s">
        <v>8892</v>
      </c>
    </row>
    <row r="565" spans="1:9" ht="25.2" x14ac:dyDescent="0.3">
      <c r="A565" s="109" t="s">
        <v>8893</v>
      </c>
      <c r="B565" s="109" t="s">
        <v>8841</v>
      </c>
      <c r="C565" s="109" t="s">
        <v>8841</v>
      </c>
      <c r="D565" s="109" t="s">
        <v>1755</v>
      </c>
      <c r="E565" s="109" t="s">
        <v>5558</v>
      </c>
      <c r="F565" s="109" t="s">
        <v>8894</v>
      </c>
      <c r="G565" s="110" t="s">
        <v>6248</v>
      </c>
      <c r="H565" s="110" t="s">
        <v>8895</v>
      </c>
      <c r="I565" s="110" t="s">
        <v>8896</v>
      </c>
    </row>
    <row r="566" spans="1:9" ht="25.2" x14ac:dyDescent="0.3">
      <c r="A566" s="109" t="s">
        <v>8897</v>
      </c>
      <c r="B566" s="109" t="s">
        <v>8841</v>
      </c>
      <c r="C566" s="109" t="s">
        <v>8841</v>
      </c>
      <c r="D566" s="109" t="s">
        <v>8898</v>
      </c>
      <c r="E566" s="109" t="s">
        <v>5558</v>
      </c>
      <c r="F566" s="109" t="s">
        <v>8899</v>
      </c>
      <c r="G566" s="110" t="s">
        <v>6248</v>
      </c>
      <c r="H566" s="110" t="s">
        <v>8900</v>
      </c>
      <c r="I566" s="110" t="s">
        <v>8901</v>
      </c>
    </row>
    <row r="567" spans="1:9" ht="25.2" x14ac:dyDescent="0.3">
      <c r="A567" s="109" t="s">
        <v>8902</v>
      </c>
      <c r="B567" s="109" t="s">
        <v>8841</v>
      </c>
      <c r="C567" s="109" t="s">
        <v>8841</v>
      </c>
      <c r="D567" s="109" t="s">
        <v>8903</v>
      </c>
      <c r="E567" s="109" t="s">
        <v>5558</v>
      </c>
      <c r="F567" s="109" t="s">
        <v>8904</v>
      </c>
      <c r="G567" s="110" t="s">
        <v>6248</v>
      </c>
      <c r="H567" s="110" t="s">
        <v>8905</v>
      </c>
      <c r="I567" s="110" t="s">
        <v>8906</v>
      </c>
    </row>
    <row r="568" spans="1:9" ht="37.799999999999997" x14ac:dyDescent="0.3">
      <c r="A568" s="109" t="s">
        <v>8907</v>
      </c>
      <c r="B568" s="109" t="s">
        <v>8841</v>
      </c>
      <c r="C568" s="109" t="s">
        <v>8841</v>
      </c>
      <c r="D568" s="109" t="s">
        <v>8908</v>
      </c>
      <c r="E568" s="109" t="s">
        <v>5558</v>
      </c>
      <c r="F568" s="109" t="s">
        <v>8909</v>
      </c>
      <c r="G568" s="110" t="s">
        <v>6248</v>
      </c>
      <c r="H568" s="110" t="s">
        <v>8910</v>
      </c>
      <c r="I568" s="110" t="s">
        <v>8911</v>
      </c>
    </row>
    <row r="569" spans="1:9" ht="25.2" x14ac:dyDescent="0.3">
      <c r="A569" s="109" t="s">
        <v>8912</v>
      </c>
      <c r="B569" s="109" t="s">
        <v>8841</v>
      </c>
      <c r="C569" s="109" t="s">
        <v>8841</v>
      </c>
      <c r="D569" s="109" t="s">
        <v>8913</v>
      </c>
      <c r="E569" s="109" t="s">
        <v>8389</v>
      </c>
      <c r="F569" s="109" t="s">
        <v>8914</v>
      </c>
      <c r="G569" s="110" t="s">
        <v>6248</v>
      </c>
      <c r="H569" s="110" t="s">
        <v>7146</v>
      </c>
      <c r="I569" s="110" t="s">
        <v>8915</v>
      </c>
    </row>
    <row r="570" spans="1:9" ht="25.2" x14ac:dyDescent="0.3">
      <c r="A570" s="109" t="s">
        <v>8916</v>
      </c>
      <c r="B570" s="109" t="s">
        <v>8841</v>
      </c>
      <c r="C570" s="109" t="s">
        <v>8841</v>
      </c>
      <c r="D570" s="109" t="s">
        <v>8917</v>
      </c>
      <c r="E570" s="109" t="s">
        <v>5558</v>
      </c>
      <c r="F570" s="109" t="s">
        <v>8918</v>
      </c>
      <c r="G570" s="110" t="s">
        <v>6248</v>
      </c>
      <c r="H570" s="110" t="s">
        <v>8919</v>
      </c>
      <c r="I570" s="110" t="s">
        <v>8920</v>
      </c>
    </row>
    <row r="571" spans="1:9" ht="25.2" x14ac:dyDescent="0.3">
      <c r="A571" s="109" t="s">
        <v>8921</v>
      </c>
      <c r="B571" s="109" t="s">
        <v>8841</v>
      </c>
      <c r="C571" s="109" t="s">
        <v>8841</v>
      </c>
      <c r="D571" s="109" t="s">
        <v>5569</v>
      </c>
      <c r="E571" s="109" t="s">
        <v>5558</v>
      </c>
      <c r="F571" s="109" t="s">
        <v>2258</v>
      </c>
      <c r="G571" s="110" t="s">
        <v>6248</v>
      </c>
      <c r="H571" s="110" t="s">
        <v>8922</v>
      </c>
      <c r="I571" s="110" t="s">
        <v>8923</v>
      </c>
    </row>
    <row r="572" spans="1:9" ht="37.799999999999997" x14ac:dyDescent="0.3">
      <c r="A572" s="109" t="s">
        <v>8924</v>
      </c>
      <c r="B572" s="109" t="s">
        <v>8841</v>
      </c>
      <c r="C572" s="109" t="s">
        <v>8841</v>
      </c>
      <c r="D572" s="109" t="s">
        <v>8925</v>
      </c>
      <c r="E572" s="109" t="s">
        <v>5558</v>
      </c>
      <c r="F572" s="109" t="s">
        <v>8926</v>
      </c>
      <c r="G572" s="110" t="s">
        <v>6248</v>
      </c>
      <c r="H572" s="110" t="s">
        <v>8927</v>
      </c>
      <c r="I572" s="110" t="s">
        <v>8928</v>
      </c>
    </row>
    <row r="573" spans="1:9" ht="25.2" x14ac:dyDescent="0.3">
      <c r="A573" s="109" t="s">
        <v>8929</v>
      </c>
      <c r="B573" s="109" t="s">
        <v>8841</v>
      </c>
      <c r="C573" s="109" t="s">
        <v>8841</v>
      </c>
      <c r="D573" s="109" t="s">
        <v>8930</v>
      </c>
      <c r="E573" s="109" t="s">
        <v>5558</v>
      </c>
      <c r="F573" s="109" t="s">
        <v>8931</v>
      </c>
      <c r="G573" s="110" t="s">
        <v>6248</v>
      </c>
      <c r="H573" s="110" t="s">
        <v>8932</v>
      </c>
      <c r="I573" s="110" t="s">
        <v>8933</v>
      </c>
    </row>
    <row r="574" spans="1:9" ht="25.2" x14ac:dyDescent="0.3">
      <c r="A574" s="109" t="s">
        <v>8934</v>
      </c>
      <c r="B574" s="109" t="s">
        <v>8841</v>
      </c>
      <c r="C574" s="109" t="s">
        <v>8841</v>
      </c>
      <c r="D574" s="109" t="s">
        <v>5569</v>
      </c>
      <c r="E574" s="109" t="s">
        <v>5558</v>
      </c>
      <c r="F574" s="109" t="s">
        <v>2258</v>
      </c>
      <c r="G574" s="110" t="s">
        <v>6248</v>
      </c>
      <c r="H574" s="110" t="s">
        <v>8756</v>
      </c>
      <c r="I574" s="110" t="s">
        <v>8935</v>
      </c>
    </row>
    <row r="575" spans="1:9" ht="25.2" x14ac:dyDescent="0.3">
      <c r="A575" s="109" t="s">
        <v>8936</v>
      </c>
      <c r="B575" s="109" t="s">
        <v>8841</v>
      </c>
      <c r="C575" s="109" t="s">
        <v>8841</v>
      </c>
      <c r="D575" s="109" t="s">
        <v>8937</v>
      </c>
      <c r="E575" s="109" t="s">
        <v>8938</v>
      </c>
      <c r="F575" s="109" t="s">
        <v>6368</v>
      </c>
      <c r="G575" s="110" t="s">
        <v>8939</v>
      </c>
      <c r="H575" s="110" t="s">
        <v>6248</v>
      </c>
      <c r="I575" s="110" t="s">
        <v>8940</v>
      </c>
    </row>
    <row r="576" spans="1:9" ht="37.799999999999997" x14ac:dyDescent="0.3">
      <c r="A576" s="109" t="s">
        <v>8941</v>
      </c>
      <c r="B576" s="109" t="s">
        <v>8841</v>
      </c>
      <c r="C576" s="109" t="s">
        <v>8841</v>
      </c>
      <c r="D576" s="109" t="s">
        <v>8942</v>
      </c>
      <c r="E576" s="109" t="s">
        <v>5558</v>
      </c>
      <c r="F576" s="109" t="s">
        <v>8943</v>
      </c>
      <c r="G576" s="110" t="s">
        <v>6248</v>
      </c>
      <c r="H576" s="110" t="s">
        <v>6489</v>
      </c>
      <c r="I576" s="110" t="s">
        <v>8944</v>
      </c>
    </row>
    <row r="577" spans="1:9" ht="25.2" x14ac:dyDescent="0.3">
      <c r="A577" s="109" t="s">
        <v>8945</v>
      </c>
      <c r="B577" s="109" t="s">
        <v>8841</v>
      </c>
      <c r="C577" s="109" t="s">
        <v>8841</v>
      </c>
      <c r="D577" s="109" t="s">
        <v>8946</v>
      </c>
      <c r="E577" s="109" t="s">
        <v>5558</v>
      </c>
      <c r="F577" s="109" t="s">
        <v>8947</v>
      </c>
      <c r="G577" s="110" t="s">
        <v>6248</v>
      </c>
      <c r="H577" s="110" t="s">
        <v>7592</v>
      </c>
      <c r="I577" s="110" t="s">
        <v>8948</v>
      </c>
    </row>
    <row r="578" spans="1:9" ht="37.799999999999997" x14ac:dyDescent="0.3">
      <c r="A578" s="109" t="s">
        <v>8949</v>
      </c>
      <c r="B578" s="109" t="s">
        <v>8841</v>
      </c>
      <c r="C578" s="109" t="s">
        <v>8841</v>
      </c>
      <c r="D578" s="109" t="s">
        <v>8950</v>
      </c>
      <c r="E578" s="109" t="s">
        <v>5558</v>
      </c>
      <c r="F578" s="109" t="s">
        <v>8951</v>
      </c>
      <c r="G578" s="110" t="s">
        <v>6248</v>
      </c>
      <c r="H578" s="110" t="s">
        <v>7898</v>
      </c>
      <c r="I578" s="110" t="s">
        <v>8952</v>
      </c>
    </row>
    <row r="579" spans="1:9" ht="25.2" x14ac:dyDescent="0.3">
      <c r="A579" s="109" t="s">
        <v>8953</v>
      </c>
      <c r="B579" s="109" t="s">
        <v>8841</v>
      </c>
      <c r="C579" s="109" t="s">
        <v>8841</v>
      </c>
      <c r="D579" s="109" t="s">
        <v>8954</v>
      </c>
      <c r="E579" s="109" t="s">
        <v>5558</v>
      </c>
      <c r="F579" s="109" t="s">
        <v>8955</v>
      </c>
      <c r="G579" s="110" t="s">
        <v>6248</v>
      </c>
      <c r="H579" s="110" t="s">
        <v>8956</v>
      </c>
      <c r="I579" s="110" t="s">
        <v>8957</v>
      </c>
    </row>
    <row r="580" spans="1:9" ht="37.799999999999997" x14ac:dyDescent="0.3">
      <c r="A580" s="109" t="s">
        <v>8958</v>
      </c>
      <c r="B580" s="109" t="s">
        <v>8841</v>
      </c>
      <c r="C580" s="109" t="s">
        <v>8841</v>
      </c>
      <c r="D580" s="109" t="s">
        <v>8959</v>
      </c>
      <c r="E580" s="109" t="s">
        <v>5558</v>
      </c>
      <c r="F580" s="109" t="s">
        <v>8960</v>
      </c>
      <c r="G580" s="110" t="s">
        <v>6248</v>
      </c>
      <c r="H580" s="110" t="s">
        <v>8961</v>
      </c>
      <c r="I580" s="110" t="s">
        <v>8962</v>
      </c>
    </row>
    <row r="581" spans="1:9" ht="25.2" x14ac:dyDescent="0.3">
      <c r="A581" s="109" t="s">
        <v>8963</v>
      </c>
      <c r="B581" s="109" t="s">
        <v>8841</v>
      </c>
      <c r="C581" s="109" t="s">
        <v>8841</v>
      </c>
      <c r="D581" s="109" t="s">
        <v>8964</v>
      </c>
      <c r="E581" s="109" t="s">
        <v>5558</v>
      </c>
      <c r="F581" s="109" t="s">
        <v>8965</v>
      </c>
      <c r="G581" s="110" t="s">
        <v>6248</v>
      </c>
      <c r="H581" s="110" t="s">
        <v>8966</v>
      </c>
      <c r="I581" s="110" t="s">
        <v>8967</v>
      </c>
    </row>
    <row r="582" spans="1:9" ht="25.2" x14ac:dyDescent="0.3">
      <c r="A582" s="109" t="s">
        <v>8968</v>
      </c>
      <c r="B582" s="109" t="s">
        <v>8841</v>
      </c>
      <c r="C582" s="109" t="s">
        <v>8841</v>
      </c>
      <c r="D582" s="109" t="s">
        <v>8969</v>
      </c>
      <c r="E582" s="109" t="s">
        <v>5558</v>
      </c>
      <c r="F582" s="109" t="s">
        <v>8970</v>
      </c>
      <c r="G582" s="110" t="s">
        <v>6248</v>
      </c>
      <c r="H582" s="110" t="s">
        <v>6517</v>
      </c>
      <c r="I582" s="110" t="s">
        <v>8971</v>
      </c>
    </row>
    <row r="583" spans="1:9" ht="25.2" x14ac:dyDescent="0.3">
      <c r="A583" s="109" t="s">
        <v>8972</v>
      </c>
      <c r="B583" s="109" t="s">
        <v>8841</v>
      </c>
      <c r="C583" s="109" t="s">
        <v>8841</v>
      </c>
      <c r="D583" s="109" t="s">
        <v>8973</v>
      </c>
      <c r="E583" s="109" t="s">
        <v>5558</v>
      </c>
      <c r="F583" s="109" t="s">
        <v>8974</v>
      </c>
      <c r="G583" s="110" t="s">
        <v>6248</v>
      </c>
      <c r="H583" s="110" t="s">
        <v>8975</v>
      </c>
      <c r="I583" s="110" t="s">
        <v>8976</v>
      </c>
    </row>
    <row r="584" spans="1:9" ht="37.799999999999997" x14ac:dyDescent="0.3">
      <c r="A584" s="109" t="s">
        <v>8977</v>
      </c>
      <c r="B584" s="109" t="s">
        <v>8841</v>
      </c>
      <c r="C584" s="109" t="s">
        <v>8841</v>
      </c>
      <c r="D584" s="109" t="s">
        <v>8978</v>
      </c>
      <c r="E584" s="109" t="s">
        <v>5558</v>
      </c>
      <c r="F584" s="109" t="s">
        <v>8979</v>
      </c>
      <c r="G584" s="110" t="s">
        <v>6248</v>
      </c>
      <c r="H584" s="110" t="s">
        <v>8905</v>
      </c>
      <c r="I584" s="110" t="s">
        <v>8980</v>
      </c>
    </row>
    <row r="585" spans="1:9" ht="25.2" x14ac:dyDescent="0.3">
      <c r="A585" s="109" t="s">
        <v>8981</v>
      </c>
      <c r="B585" s="109" t="s">
        <v>8841</v>
      </c>
      <c r="C585" s="109" t="s">
        <v>8841</v>
      </c>
      <c r="D585" s="109" t="s">
        <v>8982</v>
      </c>
      <c r="E585" s="109" t="s">
        <v>5558</v>
      </c>
      <c r="F585" s="109" t="s">
        <v>8983</v>
      </c>
      <c r="G585" s="110" t="s">
        <v>6248</v>
      </c>
      <c r="H585" s="110" t="s">
        <v>8984</v>
      </c>
      <c r="I585" s="110" t="s">
        <v>8985</v>
      </c>
    </row>
    <row r="586" spans="1:9" ht="37.799999999999997" x14ac:dyDescent="0.3">
      <c r="A586" s="109" t="s">
        <v>8986</v>
      </c>
      <c r="B586" s="109" t="s">
        <v>8841</v>
      </c>
      <c r="C586" s="109" t="s">
        <v>8841</v>
      </c>
      <c r="D586" s="109" t="s">
        <v>8987</v>
      </c>
      <c r="E586" s="109" t="s">
        <v>5558</v>
      </c>
      <c r="F586" s="109" t="s">
        <v>8988</v>
      </c>
      <c r="G586" s="110" t="s">
        <v>6248</v>
      </c>
      <c r="H586" s="110" t="s">
        <v>6570</v>
      </c>
      <c r="I586" s="110" t="s">
        <v>8989</v>
      </c>
    </row>
    <row r="587" spans="1:9" ht="25.2" x14ac:dyDescent="0.3">
      <c r="A587" s="109" t="s">
        <v>8990</v>
      </c>
      <c r="B587" s="109" t="s">
        <v>8841</v>
      </c>
      <c r="C587" s="109" t="s">
        <v>8841</v>
      </c>
      <c r="D587" s="109" t="s">
        <v>8991</v>
      </c>
      <c r="E587" s="109" t="s">
        <v>5558</v>
      </c>
      <c r="F587" s="109" t="s">
        <v>8992</v>
      </c>
      <c r="G587" s="110" t="s">
        <v>6248</v>
      </c>
      <c r="H587" s="110" t="s">
        <v>6398</v>
      </c>
      <c r="I587" s="110" t="s">
        <v>8993</v>
      </c>
    </row>
    <row r="588" spans="1:9" ht="37.799999999999997" x14ac:dyDescent="0.3">
      <c r="A588" s="109" t="s">
        <v>8994</v>
      </c>
      <c r="B588" s="109" t="s">
        <v>8841</v>
      </c>
      <c r="C588" s="109" t="s">
        <v>8841</v>
      </c>
      <c r="D588" s="109" t="s">
        <v>8995</v>
      </c>
      <c r="E588" s="109" t="s">
        <v>5558</v>
      </c>
      <c r="F588" s="109" t="s">
        <v>8996</v>
      </c>
      <c r="G588" s="110" t="s">
        <v>6248</v>
      </c>
      <c r="H588" s="110" t="s">
        <v>7817</v>
      </c>
      <c r="I588" s="110" t="s">
        <v>8997</v>
      </c>
    </row>
    <row r="589" spans="1:9" ht="25.2" x14ac:dyDescent="0.3">
      <c r="A589" s="109" t="s">
        <v>8998</v>
      </c>
      <c r="B589" s="109" t="s">
        <v>8841</v>
      </c>
      <c r="C589" s="109" t="s">
        <v>8841</v>
      </c>
      <c r="D589" s="109" t="s">
        <v>8999</v>
      </c>
      <c r="E589" s="109" t="s">
        <v>5558</v>
      </c>
      <c r="F589" s="109" t="s">
        <v>9000</v>
      </c>
      <c r="G589" s="110" t="s">
        <v>6248</v>
      </c>
      <c r="H589" s="110" t="s">
        <v>7817</v>
      </c>
      <c r="I589" s="110" t="s">
        <v>9001</v>
      </c>
    </row>
    <row r="590" spans="1:9" ht="25.2" x14ac:dyDescent="0.3">
      <c r="A590" s="109" t="s">
        <v>9002</v>
      </c>
      <c r="B590" s="109" t="s">
        <v>8841</v>
      </c>
      <c r="C590" s="109" t="s">
        <v>8841</v>
      </c>
      <c r="D590" s="109" t="s">
        <v>9003</v>
      </c>
      <c r="E590" s="109" t="s">
        <v>5558</v>
      </c>
      <c r="F590" s="109" t="s">
        <v>9004</v>
      </c>
      <c r="G590" s="110" t="s">
        <v>6248</v>
      </c>
      <c r="H590" s="110" t="s">
        <v>9005</v>
      </c>
      <c r="I590" s="110" t="s">
        <v>9006</v>
      </c>
    </row>
    <row r="591" spans="1:9" ht="25.2" x14ac:dyDescent="0.3">
      <c r="A591" s="109" t="s">
        <v>9007</v>
      </c>
      <c r="B591" s="109" t="s">
        <v>8841</v>
      </c>
      <c r="C591" s="109" t="s">
        <v>8841</v>
      </c>
      <c r="D591" s="109" t="s">
        <v>9008</v>
      </c>
      <c r="E591" s="109" t="s">
        <v>5558</v>
      </c>
      <c r="F591" s="109" t="s">
        <v>9009</v>
      </c>
      <c r="G591" s="110" t="s">
        <v>6248</v>
      </c>
      <c r="H591" s="110" t="s">
        <v>7592</v>
      </c>
      <c r="I591" s="110" t="s">
        <v>9010</v>
      </c>
    </row>
    <row r="592" spans="1:9" ht="25.2" x14ac:dyDescent="0.3">
      <c r="A592" s="109" t="s">
        <v>9011</v>
      </c>
      <c r="B592" s="109" t="s">
        <v>8841</v>
      </c>
      <c r="C592" s="109" t="s">
        <v>8841</v>
      </c>
      <c r="D592" s="109" t="s">
        <v>9012</v>
      </c>
      <c r="E592" s="109" t="s">
        <v>5558</v>
      </c>
      <c r="F592" s="109" t="s">
        <v>9013</v>
      </c>
      <c r="G592" s="110" t="s">
        <v>6248</v>
      </c>
      <c r="H592" s="110" t="s">
        <v>7817</v>
      </c>
      <c r="I592" s="110" t="s">
        <v>9014</v>
      </c>
    </row>
    <row r="593" spans="1:9" ht="37.799999999999997" x14ac:dyDescent="0.3">
      <c r="A593" s="109" t="s">
        <v>9015</v>
      </c>
      <c r="B593" s="109" t="s">
        <v>8841</v>
      </c>
      <c r="C593" s="109" t="s">
        <v>8841</v>
      </c>
      <c r="D593" s="109" t="s">
        <v>9016</v>
      </c>
      <c r="E593" s="109" t="s">
        <v>5558</v>
      </c>
      <c r="F593" s="109" t="s">
        <v>9017</v>
      </c>
      <c r="G593" s="110" t="s">
        <v>6248</v>
      </c>
      <c r="H593" s="110" t="s">
        <v>9018</v>
      </c>
      <c r="I593" s="110" t="s">
        <v>9019</v>
      </c>
    </row>
    <row r="594" spans="1:9" ht="25.2" x14ac:dyDescent="0.3">
      <c r="A594" s="109" t="s">
        <v>9020</v>
      </c>
      <c r="B594" s="109" t="s">
        <v>8841</v>
      </c>
      <c r="C594" s="109" t="s">
        <v>8841</v>
      </c>
      <c r="D594" s="109" t="s">
        <v>9021</v>
      </c>
      <c r="E594" s="109" t="s">
        <v>5558</v>
      </c>
      <c r="F594" s="109" t="s">
        <v>9022</v>
      </c>
      <c r="G594" s="110" t="s">
        <v>6248</v>
      </c>
      <c r="H594" s="110" t="s">
        <v>9023</v>
      </c>
      <c r="I594" s="110" t="s">
        <v>9024</v>
      </c>
    </row>
    <row r="595" spans="1:9" ht="37.799999999999997" x14ac:dyDescent="0.3">
      <c r="A595" s="109" t="s">
        <v>9025</v>
      </c>
      <c r="B595" s="109" t="s">
        <v>8841</v>
      </c>
      <c r="C595" s="109" t="s">
        <v>8841</v>
      </c>
      <c r="D595" s="109" t="s">
        <v>9026</v>
      </c>
      <c r="E595" s="109" t="s">
        <v>5558</v>
      </c>
      <c r="F595" s="109" t="s">
        <v>9027</v>
      </c>
      <c r="G595" s="110" t="s">
        <v>6248</v>
      </c>
      <c r="H595" s="110" t="s">
        <v>8445</v>
      </c>
      <c r="I595" s="110" t="s">
        <v>9028</v>
      </c>
    </row>
    <row r="596" spans="1:9" ht="25.2" x14ac:dyDescent="0.3">
      <c r="A596" s="109" t="s">
        <v>9029</v>
      </c>
      <c r="B596" s="109" t="s">
        <v>8841</v>
      </c>
      <c r="C596" s="109" t="s">
        <v>8841</v>
      </c>
      <c r="D596" s="109" t="s">
        <v>9030</v>
      </c>
      <c r="E596" s="109" t="s">
        <v>5558</v>
      </c>
      <c r="F596" s="109" t="s">
        <v>9031</v>
      </c>
      <c r="G596" s="110" t="s">
        <v>6248</v>
      </c>
      <c r="H596" s="110" t="s">
        <v>9032</v>
      </c>
      <c r="I596" s="110" t="s">
        <v>9033</v>
      </c>
    </row>
    <row r="597" spans="1:9" ht="25.2" x14ac:dyDescent="0.3">
      <c r="A597" s="109" t="s">
        <v>9034</v>
      </c>
      <c r="B597" s="109" t="s">
        <v>8841</v>
      </c>
      <c r="C597" s="109" t="s">
        <v>8841</v>
      </c>
      <c r="D597" s="109" t="s">
        <v>9035</v>
      </c>
      <c r="E597" s="109" t="s">
        <v>5558</v>
      </c>
      <c r="F597" s="109" t="s">
        <v>9036</v>
      </c>
      <c r="G597" s="110" t="s">
        <v>6248</v>
      </c>
      <c r="H597" s="110" t="s">
        <v>9037</v>
      </c>
      <c r="I597" s="110" t="s">
        <v>9038</v>
      </c>
    </row>
    <row r="598" spans="1:9" ht="25.2" x14ac:dyDescent="0.3">
      <c r="A598" s="109" t="s">
        <v>9039</v>
      </c>
      <c r="B598" s="109" t="s">
        <v>8841</v>
      </c>
      <c r="C598" s="109" t="s">
        <v>8841</v>
      </c>
      <c r="D598" s="109" t="s">
        <v>9040</v>
      </c>
      <c r="E598" s="109" t="s">
        <v>5558</v>
      </c>
      <c r="F598" s="109" t="s">
        <v>9041</v>
      </c>
      <c r="G598" s="110" t="s">
        <v>6248</v>
      </c>
      <c r="H598" s="110" t="s">
        <v>6413</v>
      </c>
      <c r="I598" s="110" t="s">
        <v>9042</v>
      </c>
    </row>
    <row r="599" spans="1:9" ht="37.799999999999997" x14ac:dyDescent="0.3">
      <c r="A599" s="109" t="s">
        <v>9043</v>
      </c>
      <c r="B599" s="109" t="s">
        <v>8841</v>
      </c>
      <c r="C599" s="109" t="s">
        <v>8841</v>
      </c>
      <c r="D599" s="109" t="s">
        <v>9044</v>
      </c>
      <c r="E599" s="109" t="s">
        <v>5558</v>
      </c>
      <c r="F599" s="109" t="s">
        <v>9045</v>
      </c>
      <c r="G599" s="110" t="s">
        <v>6248</v>
      </c>
      <c r="H599" s="110" t="s">
        <v>6413</v>
      </c>
      <c r="I599" s="110" t="s">
        <v>9046</v>
      </c>
    </row>
    <row r="600" spans="1:9" ht="37.799999999999997" x14ac:dyDescent="0.3">
      <c r="A600" s="109" t="s">
        <v>9047</v>
      </c>
      <c r="B600" s="109" t="s">
        <v>8841</v>
      </c>
      <c r="C600" s="109" t="s">
        <v>8841</v>
      </c>
      <c r="D600" s="109" t="s">
        <v>9048</v>
      </c>
      <c r="E600" s="109" t="s">
        <v>5558</v>
      </c>
      <c r="F600" s="109" t="s">
        <v>9049</v>
      </c>
      <c r="G600" s="110" t="s">
        <v>6248</v>
      </c>
      <c r="H600" s="110" t="s">
        <v>6413</v>
      </c>
      <c r="I600" s="110" t="s">
        <v>9050</v>
      </c>
    </row>
    <row r="601" spans="1:9" ht="25.2" x14ac:dyDescent="0.3">
      <c r="A601" s="109" t="s">
        <v>9051</v>
      </c>
      <c r="B601" s="109" t="s">
        <v>8841</v>
      </c>
      <c r="C601" s="109" t="s">
        <v>8841</v>
      </c>
      <c r="D601" s="109" t="s">
        <v>9052</v>
      </c>
      <c r="E601" s="109" t="s">
        <v>5558</v>
      </c>
      <c r="F601" s="109" t="s">
        <v>9053</v>
      </c>
      <c r="G601" s="110" t="s">
        <v>6248</v>
      </c>
      <c r="H601" s="110" t="s">
        <v>6418</v>
      </c>
      <c r="I601" s="110" t="s">
        <v>9054</v>
      </c>
    </row>
    <row r="602" spans="1:9" ht="25.2" x14ac:dyDescent="0.3">
      <c r="A602" s="109" t="s">
        <v>9055</v>
      </c>
      <c r="B602" s="109" t="s">
        <v>8841</v>
      </c>
      <c r="C602" s="109" t="s">
        <v>8841</v>
      </c>
      <c r="D602" s="109" t="s">
        <v>9056</v>
      </c>
      <c r="E602" s="109" t="s">
        <v>5558</v>
      </c>
      <c r="F602" s="109" t="s">
        <v>9057</v>
      </c>
      <c r="G602" s="110" t="s">
        <v>6248</v>
      </c>
      <c r="H602" s="110" t="s">
        <v>6398</v>
      </c>
      <c r="I602" s="110" t="s">
        <v>9058</v>
      </c>
    </row>
    <row r="603" spans="1:9" ht="25.2" x14ac:dyDescent="0.3">
      <c r="A603" s="109" t="s">
        <v>9059</v>
      </c>
      <c r="B603" s="109" t="s">
        <v>8841</v>
      </c>
      <c r="C603" s="109" t="s">
        <v>8841</v>
      </c>
      <c r="D603" s="109" t="s">
        <v>9060</v>
      </c>
      <c r="E603" s="109" t="s">
        <v>5558</v>
      </c>
      <c r="F603" s="109" t="s">
        <v>9061</v>
      </c>
      <c r="G603" s="110" t="s">
        <v>6248</v>
      </c>
      <c r="H603" s="110" t="s">
        <v>6479</v>
      </c>
      <c r="I603" s="110" t="s">
        <v>9062</v>
      </c>
    </row>
    <row r="604" spans="1:9" ht="37.799999999999997" x14ac:dyDescent="0.3">
      <c r="A604" s="109" t="s">
        <v>9063</v>
      </c>
      <c r="B604" s="109" t="s">
        <v>8841</v>
      </c>
      <c r="C604" s="109" t="s">
        <v>8841</v>
      </c>
      <c r="D604" s="109" t="s">
        <v>9064</v>
      </c>
      <c r="E604" s="109" t="s">
        <v>5558</v>
      </c>
      <c r="F604" s="109" t="s">
        <v>9065</v>
      </c>
      <c r="G604" s="110" t="s">
        <v>6248</v>
      </c>
      <c r="H604" s="110" t="s">
        <v>9066</v>
      </c>
      <c r="I604" s="110" t="s">
        <v>9067</v>
      </c>
    </row>
    <row r="605" spans="1:9" ht="25.2" x14ac:dyDescent="0.3">
      <c r="A605" s="109" t="s">
        <v>9068</v>
      </c>
      <c r="B605" s="109" t="s">
        <v>8841</v>
      </c>
      <c r="C605" s="109" t="s">
        <v>8841</v>
      </c>
      <c r="D605" s="109" t="s">
        <v>9069</v>
      </c>
      <c r="E605" s="109" t="s">
        <v>5558</v>
      </c>
      <c r="F605" s="109" t="s">
        <v>9070</v>
      </c>
      <c r="G605" s="110" t="s">
        <v>6248</v>
      </c>
      <c r="H605" s="110" t="s">
        <v>9071</v>
      </c>
      <c r="I605" s="110" t="s">
        <v>9072</v>
      </c>
    </row>
    <row r="606" spans="1:9" ht="25.2" x14ac:dyDescent="0.3">
      <c r="A606" s="109" t="s">
        <v>9073</v>
      </c>
      <c r="B606" s="109" t="s">
        <v>8841</v>
      </c>
      <c r="C606" s="109" t="s">
        <v>8841</v>
      </c>
      <c r="D606" s="109" t="s">
        <v>9074</v>
      </c>
      <c r="E606" s="109" t="s">
        <v>5558</v>
      </c>
      <c r="F606" s="109" t="s">
        <v>9075</v>
      </c>
      <c r="G606" s="110" t="s">
        <v>6248</v>
      </c>
      <c r="H606" s="110" t="s">
        <v>6606</v>
      </c>
      <c r="I606" s="110" t="s">
        <v>9076</v>
      </c>
    </row>
    <row r="607" spans="1:9" ht="25.2" x14ac:dyDescent="0.3">
      <c r="A607" s="109" t="s">
        <v>9077</v>
      </c>
      <c r="B607" s="109" t="s">
        <v>8841</v>
      </c>
      <c r="C607" s="109" t="s">
        <v>8841</v>
      </c>
      <c r="D607" s="109" t="s">
        <v>9078</v>
      </c>
      <c r="E607" s="109" t="s">
        <v>5558</v>
      </c>
      <c r="F607" s="109" t="s">
        <v>9079</v>
      </c>
      <c r="G607" s="110" t="s">
        <v>6248</v>
      </c>
      <c r="H607" s="110" t="s">
        <v>6474</v>
      </c>
      <c r="I607" s="110" t="s">
        <v>9080</v>
      </c>
    </row>
    <row r="608" spans="1:9" ht="37.799999999999997" x14ac:dyDescent="0.3">
      <c r="A608" s="109" t="s">
        <v>9081</v>
      </c>
      <c r="B608" s="109" t="s">
        <v>8841</v>
      </c>
      <c r="C608" s="109" t="s">
        <v>8841</v>
      </c>
      <c r="D608" s="109" t="s">
        <v>9082</v>
      </c>
      <c r="E608" s="109" t="s">
        <v>5558</v>
      </c>
      <c r="F608" s="109" t="s">
        <v>9083</v>
      </c>
      <c r="G608" s="110" t="s">
        <v>6248</v>
      </c>
      <c r="H608" s="110" t="s">
        <v>6418</v>
      </c>
      <c r="I608" s="110" t="s">
        <v>9084</v>
      </c>
    </row>
    <row r="609" spans="1:9" ht="25.2" x14ac:dyDescent="0.3">
      <c r="A609" s="109" t="s">
        <v>9085</v>
      </c>
      <c r="B609" s="109" t="s">
        <v>8841</v>
      </c>
      <c r="C609" s="109" t="s">
        <v>8841</v>
      </c>
      <c r="D609" s="109" t="s">
        <v>9086</v>
      </c>
      <c r="E609" s="109" t="s">
        <v>5558</v>
      </c>
      <c r="F609" s="109" t="s">
        <v>9087</v>
      </c>
      <c r="G609" s="110" t="s">
        <v>6248</v>
      </c>
      <c r="H609" s="110" t="s">
        <v>6413</v>
      </c>
      <c r="I609" s="110" t="s">
        <v>9088</v>
      </c>
    </row>
    <row r="610" spans="1:9" ht="25.2" x14ac:dyDescent="0.3">
      <c r="A610" s="109" t="s">
        <v>9089</v>
      </c>
      <c r="B610" s="109" t="s">
        <v>8841</v>
      </c>
      <c r="C610" s="109" t="s">
        <v>8841</v>
      </c>
      <c r="D610" s="109" t="s">
        <v>9090</v>
      </c>
      <c r="E610" s="109" t="s">
        <v>5558</v>
      </c>
      <c r="F610" s="109" t="s">
        <v>9091</v>
      </c>
      <c r="G610" s="110" t="s">
        <v>6248</v>
      </c>
      <c r="H610" s="110" t="s">
        <v>6543</v>
      </c>
      <c r="I610" s="110" t="s">
        <v>9092</v>
      </c>
    </row>
    <row r="611" spans="1:9" ht="25.2" x14ac:dyDescent="0.3">
      <c r="A611" s="109" t="s">
        <v>9093</v>
      </c>
      <c r="B611" s="109" t="s">
        <v>8841</v>
      </c>
      <c r="C611" s="109" t="s">
        <v>8841</v>
      </c>
      <c r="D611" s="109" t="s">
        <v>9094</v>
      </c>
      <c r="E611" s="109" t="s">
        <v>5558</v>
      </c>
      <c r="F611" s="109" t="s">
        <v>9095</v>
      </c>
      <c r="G611" s="110" t="s">
        <v>6248</v>
      </c>
      <c r="H611" s="110" t="s">
        <v>9096</v>
      </c>
      <c r="I611" s="110" t="s">
        <v>9097</v>
      </c>
    </row>
    <row r="612" spans="1:9" ht="25.2" x14ac:dyDescent="0.3">
      <c r="A612" s="109" t="s">
        <v>9098</v>
      </c>
      <c r="B612" s="109" t="s">
        <v>8841</v>
      </c>
      <c r="C612" s="109" t="s">
        <v>8841</v>
      </c>
      <c r="D612" s="109" t="s">
        <v>9099</v>
      </c>
      <c r="E612" s="109" t="s">
        <v>5558</v>
      </c>
      <c r="F612" s="109" t="s">
        <v>9100</v>
      </c>
      <c r="G612" s="110" t="s">
        <v>6248</v>
      </c>
      <c r="H612" s="110" t="s">
        <v>9101</v>
      </c>
      <c r="I612" s="110" t="s">
        <v>9102</v>
      </c>
    </row>
    <row r="613" spans="1:9" ht="37.799999999999997" x14ac:dyDescent="0.3">
      <c r="A613" s="109" t="s">
        <v>9103</v>
      </c>
      <c r="B613" s="109" t="s">
        <v>8841</v>
      </c>
      <c r="C613" s="109" t="s">
        <v>8841</v>
      </c>
      <c r="D613" s="109" t="s">
        <v>9104</v>
      </c>
      <c r="E613" s="109" t="s">
        <v>5558</v>
      </c>
      <c r="F613" s="109" t="s">
        <v>9105</v>
      </c>
      <c r="G613" s="110" t="s">
        <v>6248</v>
      </c>
      <c r="H613" s="110" t="s">
        <v>7817</v>
      </c>
      <c r="I613" s="110" t="s">
        <v>9106</v>
      </c>
    </row>
    <row r="614" spans="1:9" ht="25.2" x14ac:dyDescent="0.3">
      <c r="A614" s="109" t="s">
        <v>9107</v>
      </c>
      <c r="B614" s="109" t="s">
        <v>8841</v>
      </c>
      <c r="C614" s="109" t="s">
        <v>8841</v>
      </c>
      <c r="D614" s="109" t="s">
        <v>9108</v>
      </c>
      <c r="E614" s="109" t="s">
        <v>5558</v>
      </c>
      <c r="F614" s="109" t="s">
        <v>9109</v>
      </c>
      <c r="G614" s="110" t="s">
        <v>6248</v>
      </c>
      <c r="H614" s="110" t="s">
        <v>8984</v>
      </c>
      <c r="I614" s="110" t="s">
        <v>9110</v>
      </c>
    </row>
    <row r="615" spans="1:9" ht="25.2" x14ac:dyDescent="0.3">
      <c r="A615" s="109" t="s">
        <v>9111</v>
      </c>
      <c r="B615" s="109" t="s">
        <v>8841</v>
      </c>
      <c r="C615" s="109" t="s">
        <v>8841</v>
      </c>
      <c r="D615" s="109" t="s">
        <v>9112</v>
      </c>
      <c r="E615" s="109" t="s">
        <v>5558</v>
      </c>
      <c r="F615" s="109" t="s">
        <v>9113</v>
      </c>
      <c r="G615" s="110" t="s">
        <v>6248</v>
      </c>
      <c r="H615" s="110" t="s">
        <v>6507</v>
      </c>
      <c r="I615" s="110" t="s">
        <v>9114</v>
      </c>
    </row>
    <row r="616" spans="1:9" ht="37.799999999999997" x14ac:dyDescent="0.3">
      <c r="A616" s="109" t="s">
        <v>9115</v>
      </c>
      <c r="B616" s="109" t="s">
        <v>8841</v>
      </c>
      <c r="C616" s="109" t="s">
        <v>8841</v>
      </c>
      <c r="D616" s="109" t="s">
        <v>9116</v>
      </c>
      <c r="E616" s="109" t="s">
        <v>5558</v>
      </c>
      <c r="F616" s="109" t="s">
        <v>9117</v>
      </c>
      <c r="G616" s="110" t="s">
        <v>6248</v>
      </c>
      <c r="H616" s="110" t="s">
        <v>9118</v>
      </c>
      <c r="I616" s="110" t="s">
        <v>9119</v>
      </c>
    </row>
    <row r="617" spans="1:9" ht="25.2" x14ac:dyDescent="0.3">
      <c r="A617" s="109" t="s">
        <v>9120</v>
      </c>
      <c r="B617" s="109" t="s">
        <v>8841</v>
      </c>
      <c r="C617" s="109" t="s">
        <v>8841</v>
      </c>
      <c r="D617" s="109" t="s">
        <v>9121</v>
      </c>
      <c r="E617" s="109" t="s">
        <v>5558</v>
      </c>
      <c r="F617" s="109" t="s">
        <v>9122</v>
      </c>
      <c r="G617" s="110" t="s">
        <v>6248</v>
      </c>
      <c r="H617" s="110" t="s">
        <v>9123</v>
      </c>
      <c r="I617" s="110" t="s">
        <v>9124</v>
      </c>
    </row>
    <row r="618" spans="1:9" ht="37.799999999999997" x14ac:dyDescent="0.3">
      <c r="A618" s="109" t="s">
        <v>9125</v>
      </c>
      <c r="B618" s="109" t="s">
        <v>8841</v>
      </c>
      <c r="C618" s="109" t="s">
        <v>8841</v>
      </c>
      <c r="D618" s="109" t="s">
        <v>9126</v>
      </c>
      <c r="E618" s="109" t="s">
        <v>5558</v>
      </c>
      <c r="F618" s="109" t="s">
        <v>9127</v>
      </c>
      <c r="G618" s="110" t="s">
        <v>6248</v>
      </c>
      <c r="H618" s="110" t="s">
        <v>9128</v>
      </c>
      <c r="I618" s="110" t="s">
        <v>9129</v>
      </c>
    </row>
    <row r="619" spans="1:9" ht="37.799999999999997" x14ac:dyDescent="0.3">
      <c r="A619" s="109" t="s">
        <v>9130</v>
      </c>
      <c r="B619" s="109" t="s">
        <v>8841</v>
      </c>
      <c r="C619" s="109" t="s">
        <v>8841</v>
      </c>
      <c r="D619" s="109" t="s">
        <v>9131</v>
      </c>
      <c r="E619" s="109" t="s">
        <v>5558</v>
      </c>
      <c r="F619" s="109" t="s">
        <v>9132</v>
      </c>
      <c r="G619" s="110" t="s">
        <v>6248</v>
      </c>
      <c r="H619" s="110" t="s">
        <v>6393</v>
      </c>
      <c r="I619" s="110" t="s">
        <v>9133</v>
      </c>
    </row>
    <row r="620" spans="1:9" ht="25.2" x14ac:dyDescent="0.3">
      <c r="A620" s="109" t="s">
        <v>9134</v>
      </c>
      <c r="B620" s="109" t="s">
        <v>8841</v>
      </c>
      <c r="C620" s="109" t="s">
        <v>8841</v>
      </c>
      <c r="D620" s="109" t="s">
        <v>9135</v>
      </c>
      <c r="E620" s="109" t="s">
        <v>5558</v>
      </c>
      <c r="F620" s="109" t="s">
        <v>9136</v>
      </c>
      <c r="G620" s="110" t="s">
        <v>6248</v>
      </c>
      <c r="H620" s="110" t="s">
        <v>6507</v>
      </c>
      <c r="I620" s="110" t="s">
        <v>9137</v>
      </c>
    </row>
    <row r="621" spans="1:9" ht="25.2" x14ac:dyDescent="0.3">
      <c r="A621" s="109" t="s">
        <v>9138</v>
      </c>
      <c r="B621" s="109" t="s">
        <v>8841</v>
      </c>
      <c r="C621" s="109" t="s">
        <v>8841</v>
      </c>
      <c r="D621" s="109" t="s">
        <v>9139</v>
      </c>
      <c r="E621" s="109" t="s">
        <v>5558</v>
      </c>
      <c r="F621" s="109" t="s">
        <v>9140</v>
      </c>
      <c r="G621" s="110" t="s">
        <v>6248</v>
      </c>
      <c r="H621" s="110" t="s">
        <v>9141</v>
      </c>
      <c r="I621" s="110" t="s">
        <v>9142</v>
      </c>
    </row>
    <row r="622" spans="1:9" ht="25.2" x14ac:dyDescent="0.3">
      <c r="A622" s="109" t="s">
        <v>9143</v>
      </c>
      <c r="B622" s="109" t="s">
        <v>8841</v>
      </c>
      <c r="C622" s="109" t="s">
        <v>8841</v>
      </c>
      <c r="D622" s="109" t="s">
        <v>9144</v>
      </c>
      <c r="E622" s="109" t="s">
        <v>5558</v>
      </c>
      <c r="F622" s="109" t="s">
        <v>9145</v>
      </c>
      <c r="G622" s="110" t="s">
        <v>6248</v>
      </c>
      <c r="H622" s="110" t="s">
        <v>7952</v>
      </c>
      <c r="I622" s="110" t="s">
        <v>9146</v>
      </c>
    </row>
    <row r="623" spans="1:9" ht="25.2" x14ac:dyDescent="0.3">
      <c r="A623" s="109" t="s">
        <v>9147</v>
      </c>
      <c r="B623" s="109" t="s">
        <v>8841</v>
      </c>
      <c r="C623" s="109" t="s">
        <v>8841</v>
      </c>
      <c r="D623" s="109" t="s">
        <v>9148</v>
      </c>
      <c r="E623" s="109" t="s">
        <v>5558</v>
      </c>
      <c r="F623" s="109" t="s">
        <v>9149</v>
      </c>
      <c r="G623" s="110" t="s">
        <v>6248</v>
      </c>
      <c r="H623" s="110" t="s">
        <v>8905</v>
      </c>
      <c r="I623" s="110" t="s">
        <v>9150</v>
      </c>
    </row>
    <row r="624" spans="1:9" ht="25.2" x14ac:dyDescent="0.3">
      <c r="A624" s="109" t="s">
        <v>9151</v>
      </c>
      <c r="B624" s="109" t="s">
        <v>8841</v>
      </c>
      <c r="C624" s="109" t="s">
        <v>8841</v>
      </c>
      <c r="D624" s="109" t="s">
        <v>9152</v>
      </c>
      <c r="E624" s="109" t="s">
        <v>5558</v>
      </c>
      <c r="F624" s="109" t="s">
        <v>9153</v>
      </c>
      <c r="G624" s="110" t="s">
        <v>6248</v>
      </c>
      <c r="H624" s="110" t="s">
        <v>6408</v>
      </c>
      <c r="I624" s="110" t="s">
        <v>9154</v>
      </c>
    </row>
    <row r="625" spans="1:9" ht="37.799999999999997" x14ac:dyDescent="0.3">
      <c r="A625" s="109" t="s">
        <v>9155</v>
      </c>
      <c r="B625" s="109" t="s">
        <v>8841</v>
      </c>
      <c r="C625" s="109" t="s">
        <v>8841</v>
      </c>
      <c r="D625" s="109" t="s">
        <v>9156</v>
      </c>
      <c r="E625" s="109" t="s">
        <v>5558</v>
      </c>
      <c r="F625" s="109" t="s">
        <v>9157</v>
      </c>
      <c r="G625" s="110" t="s">
        <v>6248</v>
      </c>
      <c r="H625" s="110" t="s">
        <v>9158</v>
      </c>
      <c r="I625" s="110" t="s">
        <v>9159</v>
      </c>
    </row>
    <row r="626" spans="1:9" ht="25.2" x14ac:dyDescent="0.3">
      <c r="A626" s="109" t="s">
        <v>9160</v>
      </c>
      <c r="B626" s="109" t="s">
        <v>8841</v>
      </c>
      <c r="C626" s="109" t="s">
        <v>8841</v>
      </c>
      <c r="D626" s="109" t="s">
        <v>9161</v>
      </c>
      <c r="E626" s="109" t="s">
        <v>5558</v>
      </c>
      <c r="F626" s="109" t="s">
        <v>9162</v>
      </c>
      <c r="G626" s="110" t="s">
        <v>6248</v>
      </c>
      <c r="H626" s="110" t="s">
        <v>6615</v>
      </c>
      <c r="I626" s="110" t="s">
        <v>9163</v>
      </c>
    </row>
    <row r="627" spans="1:9" ht="37.799999999999997" x14ac:dyDescent="0.3">
      <c r="A627" s="109" t="s">
        <v>9164</v>
      </c>
      <c r="B627" s="109" t="s">
        <v>8841</v>
      </c>
      <c r="C627" s="109" t="s">
        <v>8841</v>
      </c>
      <c r="D627" s="109" t="s">
        <v>9165</v>
      </c>
      <c r="E627" s="109" t="s">
        <v>5558</v>
      </c>
      <c r="F627" s="109" t="s">
        <v>9166</v>
      </c>
      <c r="G627" s="110" t="s">
        <v>6248</v>
      </c>
      <c r="H627" s="110" t="s">
        <v>6601</v>
      </c>
      <c r="I627" s="110" t="s">
        <v>9167</v>
      </c>
    </row>
    <row r="628" spans="1:9" ht="25.2" x14ac:dyDescent="0.3">
      <c r="A628" s="109" t="s">
        <v>9168</v>
      </c>
      <c r="B628" s="109" t="s">
        <v>8841</v>
      </c>
      <c r="C628" s="109" t="s">
        <v>8841</v>
      </c>
      <c r="D628" s="109" t="s">
        <v>9169</v>
      </c>
      <c r="E628" s="109" t="s">
        <v>5558</v>
      </c>
      <c r="F628" s="109" t="s">
        <v>9170</v>
      </c>
      <c r="G628" s="110" t="s">
        <v>6248</v>
      </c>
      <c r="H628" s="110" t="s">
        <v>9101</v>
      </c>
      <c r="I628" s="110" t="s">
        <v>9171</v>
      </c>
    </row>
    <row r="629" spans="1:9" ht="25.2" x14ac:dyDescent="0.3">
      <c r="A629" s="109" t="s">
        <v>9172</v>
      </c>
      <c r="B629" s="109" t="s">
        <v>8841</v>
      </c>
      <c r="C629" s="109" t="s">
        <v>8841</v>
      </c>
      <c r="D629" s="109" t="s">
        <v>611</v>
      </c>
      <c r="E629" s="109" t="s">
        <v>5854</v>
      </c>
      <c r="F629" s="109" t="s">
        <v>6256</v>
      </c>
      <c r="G629" s="110" t="s">
        <v>6248</v>
      </c>
      <c r="H629" s="110" t="s">
        <v>9173</v>
      </c>
      <c r="I629" s="110" t="s">
        <v>9174</v>
      </c>
    </row>
    <row r="630" spans="1:9" ht="25.2" x14ac:dyDescent="0.3">
      <c r="A630" s="109" t="s">
        <v>9175</v>
      </c>
      <c r="B630" s="109" t="s">
        <v>8841</v>
      </c>
      <c r="C630" s="109" t="s">
        <v>8841</v>
      </c>
      <c r="D630" s="109" t="s">
        <v>9176</v>
      </c>
      <c r="E630" s="109" t="s">
        <v>5558</v>
      </c>
      <c r="F630" s="109" t="s">
        <v>9177</v>
      </c>
      <c r="G630" s="110" t="s">
        <v>6248</v>
      </c>
      <c r="H630" s="110" t="s">
        <v>9178</v>
      </c>
      <c r="I630" s="110" t="s">
        <v>9179</v>
      </c>
    </row>
    <row r="631" spans="1:9" ht="37.799999999999997" x14ac:dyDescent="0.3">
      <c r="A631" s="109" t="s">
        <v>9180</v>
      </c>
      <c r="B631" s="109" t="s">
        <v>8841</v>
      </c>
      <c r="C631" s="109" t="s">
        <v>8841</v>
      </c>
      <c r="D631" s="109" t="s">
        <v>9181</v>
      </c>
      <c r="E631" s="109" t="s">
        <v>5558</v>
      </c>
      <c r="F631" s="109" t="s">
        <v>9182</v>
      </c>
      <c r="G631" s="110" t="s">
        <v>6248</v>
      </c>
      <c r="H631" s="110" t="s">
        <v>9183</v>
      </c>
      <c r="I631" s="110" t="s">
        <v>9184</v>
      </c>
    </row>
    <row r="632" spans="1:9" ht="25.2" x14ac:dyDescent="0.3">
      <c r="A632" s="109" t="s">
        <v>9185</v>
      </c>
      <c r="B632" s="109" t="s">
        <v>8841</v>
      </c>
      <c r="C632" s="109" t="s">
        <v>8841</v>
      </c>
      <c r="D632" s="109" t="s">
        <v>9186</v>
      </c>
      <c r="E632" s="109" t="s">
        <v>5558</v>
      </c>
      <c r="F632" s="109" t="s">
        <v>9187</v>
      </c>
      <c r="G632" s="110" t="s">
        <v>6248</v>
      </c>
      <c r="H632" s="110" t="s">
        <v>9188</v>
      </c>
      <c r="I632" s="110" t="s">
        <v>9189</v>
      </c>
    </row>
    <row r="633" spans="1:9" ht="25.2" x14ac:dyDescent="0.3">
      <c r="A633" s="109" t="s">
        <v>9190</v>
      </c>
      <c r="B633" s="109" t="s">
        <v>8841</v>
      </c>
      <c r="C633" s="109" t="s">
        <v>8841</v>
      </c>
      <c r="D633" s="109" t="s">
        <v>9191</v>
      </c>
      <c r="E633" s="109" t="s">
        <v>5558</v>
      </c>
      <c r="F633" s="109" t="s">
        <v>9192</v>
      </c>
      <c r="G633" s="110" t="s">
        <v>6248</v>
      </c>
      <c r="H633" s="110" t="s">
        <v>9193</v>
      </c>
      <c r="I633" s="110" t="s">
        <v>9194</v>
      </c>
    </row>
    <row r="634" spans="1:9" ht="25.2" x14ac:dyDescent="0.3">
      <c r="A634" s="109" t="s">
        <v>9195</v>
      </c>
      <c r="B634" s="109" t="s">
        <v>8841</v>
      </c>
      <c r="C634" s="109" t="s">
        <v>8841</v>
      </c>
      <c r="D634" s="109" t="s">
        <v>9196</v>
      </c>
      <c r="E634" s="109" t="s">
        <v>9197</v>
      </c>
      <c r="F634" s="109" t="s">
        <v>9198</v>
      </c>
      <c r="G634" s="110" t="s">
        <v>6248</v>
      </c>
      <c r="H634" s="110" t="s">
        <v>9199</v>
      </c>
      <c r="I634" s="110" t="s">
        <v>9200</v>
      </c>
    </row>
    <row r="635" spans="1:9" ht="25.2" x14ac:dyDescent="0.3">
      <c r="A635" s="109" t="s">
        <v>9201</v>
      </c>
      <c r="B635" s="109" t="s">
        <v>8841</v>
      </c>
      <c r="C635" s="109" t="s">
        <v>8841</v>
      </c>
      <c r="D635" s="109" t="s">
        <v>9202</v>
      </c>
      <c r="E635" s="109" t="s">
        <v>6174</v>
      </c>
      <c r="F635" s="109" t="s">
        <v>7236</v>
      </c>
      <c r="G635" s="110" t="s">
        <v>6248</v>
      </c>
      <c r="H635" s="110" t="s">
        <v>9203</v>
      </c>
      <c r="I635" s="110" t="s">
        <v>9204</v>
      </c>
    </row>
    <row r="636" spans="1:9" ht="37.799999999999997" x14ac:dyDescent="0.3">
      <c r="A636" s="109" t="s">
        <v>9205</v>
      </c>
      <c r="B636" s="109" t="s">
        <v>8841</v>
      </c>
      <c r="C636" s="109" t="s">
        <v>8841</v>
      </c>
      <c r="D636" s="109" t="s">
        <v>9206</v>
      </c>
      <c r="E636" s="109" t="s">
        <v>5558</v>
      </c>
      <c r="F636" s="109" t="s">
        <v>9207</v>
      </c>
      <c r="G636" s="110" t="s">
        <v>6248</v>
      </c>
      <c r="H636" s="110" t="s">
        <v>9208</v>
      </c>
      <c r="I636" s="110" t="s">
        <v>9209</v>
      </c>
    </row>
    <row r="637" spans="1:9" ht="25.2" x14ac:dyDescent="0.3">
      <c r="A637" s="109" t="s">
        <v>9210</v>
      </c>
      <c r="B637" s="109" t="s">
        <v>8841</v>
      </c>
      <c r="C637" s="109" t="s">
        <v>8841</v>
      </c>
      <c r="D637" s="109" t="s">
        <v>9211</v>
      </c>
      <c r="E637" s="109" t="s">
        <v>5558</v>
      </c>
      <c r="F637" s="109" t="s">
        <v>9212</v>
      </c>
      <c r="G637" s="110" t="s">
        <v>6248</v>
      </c>
      <c r="H637" s="110" t="s">
        <v>7504</v>
      </c>
      <c r="I637" s="110" t="s">
        <v>9213</v>
      </c>
    </row>
    <row r="638" spans="1:9" ht="25.2" x14ac:dyDescent="0.3">
      <c r="A638" s="109" t="s">
        <v>9214</v>
      </c>
      <c r="B638" s="109" t="s">
        <v>8841</v>
      </c>
      <c r="C638" s="109" t="s">
        <v>8841</v>
      </c>
      <c r="D638" s="109" t="s">
        <v>9215</v>
      </c>
      <c r="E638" s="109" t="s">
        <v>5558</v>
      </c>
      <c r="F638" s="109" t="s">
        <v>9216</v>
      </c>
      <c r="G638" s="110" t="s">
        <v>6248</v>
      </c>
      <c r="H638" s="110" t="s">
        <v>9217</v>
      </c>
      <c r="I638" s="110" t="s">
        <v>9218</v>
      </c>
    </row>
    <row r="639" spans="1:9" ht="25.2" x14ac:dyDescent="0.3">
      <c r="A639" s="109" t="s">
        <v>9219</v>
      </c>
      <c r="B639" s="109" t="s">
        <v>8841</v>
      </c>
      <c r="C639" s="109" t="s">
        <v>8841</v>
      </c>
      <c r="D639" s="109" t="s">
        <v>9220</v>
      </c>
      <c r="E639" s="109" t="s">
        <v>5558</v>
      </c>
      <c r="F639" s="109" t="s">
        <v>9221</v>
      </c>
      <c r="G639" s="110" t="s">
        <v>6248</v>
      </c>
      <c r="H639" s="110" t="s">
        <v>9222</v>
      </c>
      <c r="I639" s="110" t="s">
        <v>9223</v>
      </c>
    </row>
    <row r="640" spans="1:9" ht="25.2" x14ac:dyDescent="0.3">
      <c r="A640" s="109" t="s">
        <v>9224</v>
      </c>
      <c r="B640" s="109" t="s">
        <v>8841</v>
      </c>
      <c r="C640" s="109" t="s">
        <v>8841</v>
      </c>
      <c r="D640" s="109" t="s">
        <v>5569</v>
      </c>
      <c r="E640" s="109" t="s">
        <v>5558</v>
      </c>
      <c r="F640" s="109" t="s">
        <v>2258</v>
      </c>
      <c r="G640" s="110" t="s">
        <v>6248</v>
      </c>
      <c r="H640" s="110" t="s">
        <v>9225</v>
      </c>
      <c r="I640" s="110" t="s">
        <v>9226</v>
      </c>
    </row>
    <row r="641" spans="1:9" ht="25.2" x14ac:dyDescent="0.3">
      <c r="A641" s="109" t="s">
        <v>9227</v>
      </c>
      <c r="B641" s="109" t="s">
        <v>8841</v>
      </c>
      <c r="C641" s="109" t="s">
        <v>8841</v>
      </c>
      <c r="D641" s="109" t="s">
        <v>5569</v>
      </c>
      <c r="E641" s="109" t="s">
        <v>5558</v>
      </c>
      <c r="F641" s="109" t="s">
        <v>2258</v>
      </c>
      <c r="G641" s="110" t="s">
        <v>6248</v>
      </c>
      <c r="H641" s="110" t="s">
        <v>9228</v>
      </c>
      <c r="I641" s="110" t="s">
        <v>9229</v>
      </c>
    </row>
    <row r="642" spans="1:9" ht="25.2" x14ac:dyDescent="0.3">
      <c r="A642" s="109" t="s">
        <v>9230</v>
      </c>
      <c r="B642" s="109" t="s">
        <v>8841</v>
      </c>
      <c r="C642" s="109" t="s">
        <v>8841</v>
      </c>
      <c r="D642" s="109" t="s">
        <v>9231</v>
      </c>
      <c r="E642" s="109" t="s">
        <v>9232</v>
      </c>
      <c r="F642" s="109" t="s">
        <v>6878</v>
      </c>
      <c r="G642" s="110" t="s">
        <v>9233</v>
      </c>
      <c r="H642" s="110" t="s">
        <v>6248</v>
      </c>
      <c r="I642" s="110" t="s">
        <v>9234</v>
      </c>
    </row>
    <row r="643" spans="1:9" ht="25.2" x14ac:dyDescent="0.3">
      <c r="A643" s="109" t="s">
        <v>9235</v>
      </c>
      <c r="B643" s="109" t="s">
        <v>8841</v>
      </c>
      <c r="C643" s="109" t="s">
        <v>8841</v>
      </c>
      <c r="D643" s="109" t="s">
        <v>9236</v>
      </c>
      <c r="E643" s="109" t="s">
        <v>9237</v>
      </c>
      <c r="F643" s="109" t="s">
        <v>6878</v>
      </c>
      <c r="G643" s="110" t="s">
        <v>9238</v>
      </c>
      <c r="H643" s="110" t="s">
        <v>6248</v>
      </c>
      <c r="I643" s="110" t="s">
        <v>9239</v>
      </c>
    </row>
    <row r="644" spans="1:9" ht="37.799999999999997" x14ac:dyDescent="0.3">
      <c r="A644" s="109" t="s">
        <v>9240</v>
      </c>
      <c r="B644" s="109" t="s">
        <v>8841</v>
      </c>
      <c r="C644" s="109" t="s">
        <v>8841</v>
      </c>
      <c r="D644" s="109" t="s">
        <v>9241</v>
      </c>
      <c r="E644" s="109" t="s">
        <v>5558</v>
      </c>
      <c r="F644" s="109" t="s">
        <v>9242</v>
      </c>
      <c r="G644" s="110" t="s">
        <v>6248</v>
      </c>
      <c r="H644" s="110" t="s">
        <v>6689</v>
      </c>
      <c r="I644" s="110" t="s">
        <v>9243</v>
      </c>
    </row>
    <row r="645" spans="1:9" ht="25.2" x14ac:dyDescent="0.3">
      <c r="A645" s="109" t="s">
        <v>9244</v>
      </c>
      <c r="B645" s="109" t="s">
        <v>8841</v>
      </c>
      <c r="C645" s="109" t="s">
        <v>8841</v>
      </c>
      <c r="D645" s="109" t="s">
        <v>9245</v>
      </c>
      <c r="E645" s="109" t="s">
        <v>9246</v>
      </c>
      <c r="F645" s="109" t="s">
        <v>9247</v>
      </c>
      <c r="G645" s="110" t="s">
        <v>6248</v>
      </c>
      <c r="H645" s="110" t="s">
        <v>9248</v>
      </c>
      <c r="I645" s="110" t="s">
        <v>9249</v>
      </c>
    </row>
    <row r="646" spans="1:9" ht="25.2" x14ac:dyDescent="0.3">
      <c r="A646" s="109" t="s">
        <v>9250</v>
      </c>
      <c r="B646" s="109" t="s">
        <v>8841</v>
      </c>
      <c r="C646" s="109" t="s">
        <v>8841</v>
      </c>
      <c r="D646" s="109" t="s">
        <v>9251</v>
      </c>
      <c r="E646" s="109" t="s">
        <v>5558</v>
      </c>
      <c r="F646" s="109" t="s">
        <v>9252</v>
      </c>
      <c r="G646" s="110" t="s">
        <v>6248</v>
      </c>
      <c r="H646" s="110" t="s">
        <v>9253</v>
      </c>
      <c r="I646" s="110" t="s">
        <v>9254</v>
      </c>
    </row>
    <row r="647" spans="1:9" ht="25.2" x14ac:dyDescent="0.3">
      <c r="A647" s="109" t="s">
        <v>9255</v>
      </c>
      <c r="B647" s="109" t="s">
        <v>8841</v>
      </c>
      <c r="C647" s="109" t="s">
        <v>8841</v>
      </c>
      <c r="D647" s="109" t="s">
        <v>5569</v>
      </c>
      <c r="E647" s="109" t="s">
        <v>5558</v>
      </c>
      <c r="F647" s="109" t="s">
        <v>2258</v>
      </c>
      <c r="G647" s="110" t="s">
        <v>6248</v>
      </c>
      <c r="H647" s="110" t="s">
        <v>9256</v>
      </c>
      <c r="I647" s="110" t="s">
        <v>9257</v>
      </c>
    </row>
    <row r="648" spans="1:9" ht="25.2" x14ac:dyDescent="0.3">
      <c r="A648" s="109" t="s">
        <v>9258</v>
      </c>
      <c r="B648" s="109" t="s">
        <v>8841</v>
      </c>
      <c r="C648" s="109" t="s">
        <v>8841</v>
      </c>
      <c r="D648" s="109" t="s">
        <v>9259</v>
      </c>
      <c r="E648" s="109" t="s">
        <v>5558</v>
      </c>
      <c r="F648" s="109" t="s">
        <v>9260</v>
      </c>
      <c r="G648" s="110" t="s">
        <v>6248</v>
      </c>
      <c r="H648" s="110" t="s">
        <v>9261</v>
      </c>
      <c r="I648" s="110" t="s">
        <v>9262</v>
      </c>
    </row>
    <row r="649" spans="1:9" ht="25.2" x14ac:dyDescent="0.3">
      <c r="A649" s="109" t="s">
        <v>9263</v>
      </c>
      <c r="B649" s="109" t="s">
        <v>8841</v>
      </c>
      <c r="C649" s="109" t="s">
        <v>8841</v>
      </c>
      <c r="D649" s="109" t="s">
        <v>9264</v>
      </c>
      <c r="E649" s="109" t="s">
        <v>5558</v>
      </c>
      <c r="F649" s="109" t="s">
        <v>9265</v>
      </c>
      <c r="G649" s="110" t="s">
        <v>6248</v>
      </c>
      <c r="H649" s="110" t="s">
        <v>9266</v>
      </c>
      <c r="I649" s="110" t="s">
        <v>9267</v>
      </c>
    </row>
    <row r="650" spans="1:9" ht="25.2" x14ac:dyDescent="0.3">
      <c r="A650" s="109" t="s">
        <v>9268</v>
      </c>
      <c r="B650" s="109" t="s">
        <v>8841</v>
      </c>
      <c r="C650" s="109" t="s">
        <v>8841</v>
      </c>
      <c r="D650" s="109" t="s">
        <v>9269</v>
      </c>
      <c r="E650" s="109" t="s">
        <v>5558</v>
      </c>
      <c r="F650" s="109" t="s">
        <v>9270</v>
      </c>
      <c r="G650" s="110" t="s">
        <v>6248</v>
      </c>
      <c r="H650" s="110" t="s">
        <v>9271</v>
      </c>
      <c r="I650" s="110" t="s">
        <v>9272</v>
      </c>
    </row>
    <row r="651" spans="1:9" ht="63" x14ac:dyDescent="0.3">
      <c r="A651" s="109" t="s">
        <v>9273</v>
      </c>
      <c r="B651" s="109" t="s">
        <v>8841</v>
      </c>
      <c r="C651" s="109" t="s">
        <v>8841</v>
      </c>
      <c r="D651" s="109" t="s">
        <v>9274</v>
      </c>
      <c r="E651" s="109" t="s">
        <v>9274</v>
      </c>
      <c r="F651" s="109" t="s">
        <v>9275</v>
      </c>
      <c r="G651" s="110" t="s">
        <v>6248</v>
      </c>
      <c r="H651" s="110" t="s">
        <v>6341</v>
      </c>
      <c r="I651" s="110" t="s">
        <v>9276</v>
      </c>
    </row>
    <row r="652" spans="1:9" ht="25.2" x14ac:dyDescent="0.3">
      <c r="A652" s="109" t="s">
        <v>9277</v>
      </c>
      <c r="B652" s="109" t="s">
        <v>8841</v>
      </c>
      <c r="C652" s="109" t="s">
        <v>8841</v>
      </c>
      <c r="D652" s="109" t="s">
        <v>9278</v>
      </c>
      <c r="E652" s="109" t="s">
        <v>5558</v>
      </c>
      <c r="F652" s="109" t="s">
        <v>9279</v>
      </c>
      <c r="G652" s="110" t="s">
        <v>6248</v>
      </c>
      <c r="H652" s="110" t="s">
        <v>9280</v>
      </c>
      <c r="I652" s="110" t="s">
        <v>9281</v>
      </c>
    </row>
    <row r="653" spans="1:9" ht="25.2" x14ac:dyDescent="0.3">
      <c r="A653" s="109" t="s">
        <v>9282</v>
      </c>
      <c r="B653" s="109" t="s">
        <v>8841</v>
      </c>
      <c r="C653" s="109" t="s">
        <v>8841</v>
      </c>
      <c r="D653" s="109" t="s">
        <v>9283</v>
      </c>
      <c r="E653" s="109" t="s">
        <v>5558</v>
      </c>
      <c r="F653" s="109" t="s">
        <v>9284</v>
      </c>
      <c r="G653" s="110" t="s">
        <v>6248</v>
      </c>
      <c r="H653" s="110" t="s">
        <v>9285</v>
      </c>
      <c r="I653" s="110" t="s">
        <v>9286</v>
      </c>
    </row>
    <row r="654" spans="1:9" ht="37.799999999999997" x14ac:dyDescent="0.3">
      <c r="A654" s="109" t="s">
        <v>9287</v>
      </c>
      <c r="B654" s="109" t="s">
        <v>8841</v>
      </c>
      <c r="C654" s="109" t="s">
        <v>8841</v>
      </c>
      <c r="D654" s="109" t="s">
        <v>9288</v>
      </c>
      <c r="E654" s="109" t="s">
        <v>5558</v>
      </c>
      <c r="F654" s="109" t="s">
        <v>9289</v>
      </c>
      <c r="G654" s="110" t="s">
        <v>6248</v>
      </c>
      <c r="H654" s="110" t="s">
        <v>9290</v>
      </c>
      <c r="I654" s="110" t="s">
        <v>9291</v>
      </c>
    </row>
    <row r="655" spans="1:9" ht="25.2" x14ac:dyDescent="0.3">
      <c r="A655" s="109" t="s">
        <v>9292</v>
      </c>
      <c r="B655" s="109" t="s">
        <v>8841</v>
      </c>
      <c r="C655" s="109" t="s">
        <v>8841</v>
      </c>
      <c r="D655" s="109" t="s">
        <v>9293</v>
      </c>
      <c r="E655" s="109" t="s">
        <v>5558</v>
      </c>
      <c r="F655" s="109" t="s">
        <v>9294</v>
      </c>
      <c r="G655" s="110" t="s">
        <v>6248</v>
      </c>
      <c r="H655" s="110" t="s">
        <v>9295</v>
      </c>
      <c r="I655" s="110" t="s">
        <v>9296</v>
      </c>
    </row>
    <row r="656" spans="1:9" ht="37.799999999999997" x14ac:dyDescent="0.3">
      <c r="A656" s="109" t="s">
        <v>9297</v>
      </c>
      <c r="B656" s="109" t="s">
        <v>8841</v>
      </c>
      <c r="C656" s="109" t="s">
        <v>8841</v>
      </c>
      <c r="D656" s="109" t="s">
        <v>9298</v>
      </c>
      <c r="E656" s="109" t="s">
        <v>5558</v>
      </c>
      <c r="F656" s="109" t="s">
        <v>9299</v>
      </c>
      <c r="G656" s="110" t="s">
        <v>6248</v>
      </c>
      <c r="H656" s="110" t="s">
        <v>6620</v>
      </c>
      <c r="I656" s="110" t="s">
        <v>9300</v>
      </c>
    </row>
    <row r="657" spans="1:9" ht="37.799999999999997" x14ac:dyDescent="0.3">
      <c r="A657" s="109" t="s">
        <v>9301</v>
      </c>
      <c r="B657" s="109" t="s">
        <v>8841</v>
      </c>
      <c r="C657" s="109" t="s">
        <v>8841</v>
      </c>
      <c r="D657" s="109" t="s">
        <v>9302</v>
      </c>
      <c r="E657" s="109" t="s">
        <v>5558</v>
      </c>
      <c r="F657" s="109" t="s">
        <v>9303</v>
      </c>
      <c r="G657" s="110" t="s">
        <v>6248</v>
      </c>
      <c r="H657" s="110" t="s">
        <v>9304</v>
      </c>
      <c r="I657" s="110" t="s">
        <v>9305</v>
      </c>
    </row>
    <row r="658" spans="1:9" ht="25.2" x14ac:dyDescent="0.3">
      <c r="A658" s="109" t="s">
        <v>9306</v>
      </c>
      <c r="B658" s="109" t="s">
        <v>8841</v>
      </c>
      <c r="C658" s="109" t="s">
        <v>8841</v>
      </c>
      <c r="D658" s="109" t="s">
        <v>9307</v>
      </c>
      <c r="E658" s="109" t="s">
        <v>5558</v>
      </c>
      <c r="F658" s="109" t="s">
        <v>9308</v>
      </c>
      <c r="G658" s="110" t="s">
        <v>6248</v>
      </c>
      <c r="H658" s="110" t="s">
        <v>9309</v>
      </c>
      <c r="I658" s="110" t="s">
        <v>9310</v>
      </c>
    </row>
    <row r="659" spans="1:9" ht="63" x14ac:dyDescent="0.3">
      <c r="A659" s="109" t="s">
        <v>9311</v>
      </c>
      <c r="B659" s="109" t="s">
        <v>8841</v>
      </c>
      <c r="C659" s="109" t="s">
        <v>8841</v>
      </c>
      <c r="D659" s="109" t="s">
        <v>7472</v>
      </c>
      <c r="E659" s="109" t="s">
        <v>7472</v>
      </c>
      <c r="F659" s="109" t="s">
        <v>9312</v>
      </c>
      <c r="G659" s="110" t="s">
        <v>6248</v>
      </c>
      <c r="H659" s="110" t="s">
        <v>9313</v>
      </c>
      <c r="I659" s="110" t="s">
        <v>9314</v>
      </c>
    </row>
    <row r="660" spans="1:9" ht="25.2" x14ac:dyDescent="0.3">
      <c r="A660" s="109" t="s">
        <v>9315</v>
      </c>
      <c r="B660" s="109" t="s">
        <v>8841</v>
      </c>
      <c r="C660" s="109" t="s">
        <v>8841</v>
      </c>
      <c r="D660" s="109" t="s">
        <v>9316</v>
      </c>
      <c r="E660" s="109" t="s">
        <v>9317</v>
      </c>
      <c r="F660" s="109" t="s">
        <v>9318</v>
      </c>
      <c r="G660" s="110" t="s">
        <v>6248</v>
      </c>
      <c r="H660" s="110" t="s">
        <v>9319</v>
      </c>
      <c r="I660" s="110" t="s">
        <v>9320</v>
      </c>
    </row>
    <row r="661" spans="1:9" ht="25.2" x14ac:dyDescent="0.3">
      <c r="A661" s="109" t="s">
        <v>9321</v>
      </c>
      <c r="B661" s="109" t="s">
        <v>8841</v>
      </c>
      <c r="C661" s="109" t="s">
        <v>8841</v>
      </c>
      <c r="D661" s="109" t="s">
        <v>9322</v>
      </c>
      <c r="E661" s="109" t="s">
        <v>9323</v>
      </c>
      <c r="F661" s="109" t="s">
        <v>6351</v>
      </c>
      <c r="G661" s="110" t="s">
        <v>6248</v>
      </c>
      <c r="H661" s="110" t="s">
        <v>9324</v>
      </c>
      <c r="I661" s="110" t="s">
        <v>9325</v>
      </c>
    </row>
    <row r="662" spans="1:9" ht="25.2" x14ac:dyDescent="0.3">
      <c r="A662" s="109" t="s">
        <v>9326</v>
      </c>
      <c r="B662" s="109" t="s">
        <v>8841</v>
      </c>
      <c r="C662" s="109" t="s">
        <v>8841</v>
      </c>
      <c r="D662" s="109" t="s">
        <v>9327</v>
      </c>
      <c r="E662" s="109" t="s">
        <v>5558</v>
      </c>
      <c r="F662" s="109" t="s">
        <v>9328</v>
      </c>
      <c r="G662" s="110" t="s">
        <v>6248</v>
      </c>
      <c r="H662" s="110" t="s">
        <v>9329</v>
      </c>
      <c r="I662" s="110" t="s">
        <v>9330</v>
      </c>
    </row>
    <row r="663" spans="1:9" ht="37.799999999999997" x14ac:dyDescent="0.3">
      <c r="A663" s="109" t="s">
        <v>9331</v>
      </c>
      <c r="B663" s="109" t="s">
        <v>8841</v>
      </c>
      <c r="C663" s="109" t="s">
        <v>8841</v>
      </c>
      <c r="D663" s="109" t="s">
        <v>9332</v>
      </c>
      <c r="E663" s="109" t="s">
        <v>5558</v>
      </c>
      <c r="F663" s="109" t="s">
        <v>9333</v>
      </c>
      <c r="G663" s="110" t="s">
        <v>6248</v>
      </c>
      <c r="H663" s="110" t="s">
        <v>9334</v>
      </c>
      <c r="I663" s="110" t="s">
        <v>9335</v>
      </c>
    </row>
    <row r="664" spans="1:9" ht="25.2" x14ac:dyDescent="0.3">
      <c r="A664" s="109" t="s">
        <v>9336</v>
      </c>
      <c r="B664" s="109" t="s">
        <v>8841</v>
      </c>
      <c r="C664" s="109" t="s">
        <v>8841</v>
      </c>
      <c r="D664" s="109" t="s">
        <v>9337</v>
      </c>
      <c r="E664" s="109" t="s">
        <v>5558</v>
      </c>
      <c r="F664" s="109" t="s">
        <v>9338</v>
      </c>
      <c r="G664" s="110" t="s">
        <v>6248</v>
      </c>
      <c r="H664" s="110" t="s">
        <v>9339</v>
      </c>
      <c r="I664" s="110" t="s">
        <v>9340</v>
      </c>
    </row>
    <row r="665" spans="1:9" ht="25.2" x14ac:dyDescent="0.3">
      <c r="A665" s="109" t="s">
        <v>9341</v>
      </c>
      <c r="B665" s="109" t="s">
        <v>8841</v>
      </c>
      <c r="C665" s="109" t="s">
        <v>8841</v>
      </c>
      <c r="D665" s="109" t="s">
        <v>5569</v>
      </c>
      <c r="E665" s="109" t="s">
        <v>5558</v>
      </c>
      <c r="F665" s="109" t="s">
        <v>2258</v>
      </c>
      <c r="G665" s="110" t="s">
        <v>6248</v>
      </c>
      <c r="H665" s="110" t="s">
        <v>9342</v>
      </c>
      <c r="I665" s="110" t="s">
        <v>9343</v>
      </c>
    </row>
    <row r="666" spans="1:9" ht="25.2" x14ac:dyDescent="0.3">
      <c r="A666" s="109" t="s">
        <v>9344</v>
      </c>
      <c r="B666" s="109" t="s">
        <v>8841</v>
      </c>
      <c r="C666" s="109" t="s">
        <v>8841</v>
      </c>
      <c r="D666" s="109" t="s">
        <v>9345</v>
      </c>
      <c r="E666" s="109" t="s">
        <v>9346</v>
      </c>
      <c r="F666" s="109" t="s">
        <v>9347</v>
      </c>
      <c r="G666" s="110" t="s">
        <v>6248</v>
      </c>
      <c r="H666" s="110" t="s">
        <v>9348</v>
      </c>
      <c r="I666" s="110" t="s">
        <v>9349</v>
      </c>
    </row>
    <row r="667" spans="1:9" ht="25.2" x14ac:dyDescent="0.3">
      <c r="A667" s="109" t="s">
        <v>9350</v>
      </c>
      <c r="B667" s="109" t="s">
        <v>8841</v>
      </c>
      <c r="C667" s="109" t="s">
        <v>8841</v>
      </c>
      <c r="D667" s="109" t="s">
        <v>5569</v>
      </c>
      <c r="E667" s="109" t="s">
        <v>5558</v>
      </c>
      <c r="F667" s="109" t="s">
        <v>2258</v>
      </c>
      <c r="G667" s="110" t="s">
        <v>6248</v>
      </c>
      <c r="H667" s="110" t="s">
        <v>9351</v>
      </c>
      <c r="I667" s="110" t="s">
        <v>9352</v>
      </c>
    </row>
    <row r="668" spans="1:9" ht="25.2" x14ac:dyDescent="0.3">
      <c r="A668" s="109" t="s">
        <v>9353</v>
      </c>
      <c r="B668" s="109" t="s">
        <v>8841</v>
      </c>
      <c r="C668" s="109" t="s">
        <v>8841</v>
      </c>
      <c r="D668" s="109" t="s">
        <v>5772</v>
      </c>
      <c r="E668" s="109" t="s">
        <v>5558</v>
      </c>
      <c r="F668" s="109" t="s">
        <v>2258</v>
      </c>
      <c r="G668" s="110" t="s">
        <v>6248</v>
      </c>
      <c r="H668" s="110" t="s">
        <v>9354</v>
      </c>
      <c r="I668" s="110" t="s">
        <v>9355</v>
      </c>
    </row>
    <row r="669" spans="1:9" ht="25.2" x14ac:dyDescent="0.3">
      <c r="A669" s="109" t="s">
        <v>9356</v>
      </c>
      <c r="B669" s="109" t="s">
        <v>8841</v>
      </c>
      <c r="C669" s="109" t="s">
        <v>8841</v>
      </c>
      <c r="D669" s="109" t="s">
        <v>5569</v>
      </c>
      <c r="E669" s="109" t="s">
        <v>5558</v>
      </c>
      <c r="F669" s="109" t="s">
        <v>2258</v>
      </c>
      <c r="G669" s="110" t="s">
        <v>6248</v>
      </c>
      <c r="H669" s="110" t="s">
        <v>9357</v>
      </c>
      <c r="I669" s="110" t="s">
        <v>9358</v>
      </c>
    </row>
    <row r="670" spans="1:9" ht="37.799999999999997" x14ac:dyDescent="0.3">
      <c r="A670" s="109" t="s">
        <v>9359</v>
      </c>
      <c r="B670" s="109" t="s">
        <v>8841</v>
      </c>
      <c r="C670" s="109" t="s">
        <v>8841</v>
      </c>
      <c r="D670" s="109" t="s">
        <v>9360</v>
      </c>
      <c r="E670" s="109" t="s">
        <v>5558</v>
      </c>
      <c r="F670" s="109" t="s">
        <v>9361</v>
      </c>
      <c r="G670" s="110" t="s">
        <v>6248</v>
      </c>
      <c r="H670" s="110" t="s">
        <v>9362</v>
      </c>
      <c r="I670" s="110" t="s">
        <v>9363</v>
      </c>
    </row>
    <row r="671" spans="1:9" ht="25.2" x14ac:dyDescent="0.3">
      <c r="A671" s="109" t="s">
        <v>9364</v>
      </c>
      <c r="B671" s="109" t="s">
        <v>8841</v>
      </c>
      <c r="C671" s="109" t="s">
        <v>8841</v>
      </c>
      <c r="D671" s="109" t="s">
        <v>9365</v>
      </c>
      <c r="E671" s="109" t="s">
        <v>9366</v>
      </c>
      <c r="F671" s="109" t="s">
        <v>9367</v>
      </c>
      <c r="G671" s="110" t="s">
        <v>6248</v>
      </c>
      <c r="H671" s="110" t="s">
        <v>9368</v>
      </c>
      <c r="I671" s="110" t="s">
        <v>9369</v>
      </c>
    </row>
    <row r="672" spans="1:9" ht="25.2" x14ac:dyDescent="0.3">
      <c r="A672" s="109" t="s">
        <v>9370</v>
      </c>
      <c r="B672" s="109" t="s">
        <v>8841</v>
      </c>
      <c r="C672" s="109" t="s">
        <v>8841</v>
      </c>
      <c r="D672" s="109" t="s">
        <v>9371</v>
      </c>
      <c r="E672" s="109" t="s">
        <v>5558</v>
      </c>
      <c r="F672" s="109" t="s">
        <v>9372</v>
      </c>
      <c r="G672" s="110" t="s">
        <v>6248</v>
      </c>
      <c r="H672" s="110" t="s">
        <v>7592</v>
      </c>
      <c r="I672" s="110" t="s">
        <v>9373</v>
      </c>
    </row>
    <row r="673" spans="1:9" ht="25.2" x14ac:dyDescent="0.3">
      <c r="A673" s="109" t="s">
        <v>9374</v>
      </c>
      <c r="B673" s="109" t="s">
        <v>8841</v>
      </c>
      <c r="C673" s="109" t="s">
        <v>8841</v>
      </c>
      <c r="D673" s="109" t="s">
        <v>9375</v>
      </c>
      <c r="E673" s="109" t="s">
        <v>5558</v>
      </c>
      <c r="F673" s="109" t="s">
        <v>9376</v>
      </c>
      <c r="G673" s="110" t="s">
        <v>6248</v>
      </c>
      <c r="H673" s="110" t="s">
        <v>9377</v>
      </c>
      <c r="I673" s="110" t="s">
        <v>9378</v>
      </c>
    </row>
    <row r="674" spans="1:9" ht="37.799999999999997" x14ac:dyDescent="0.3">
      <c r="A674" s="109" t="s">
        <v>9379</v>
      </c>
      <c r="B674" s="109" t="s">
        <v>8841</v>
      </c>
      <c r="C674" s="109" t="s">
        <v>8841</v>
      </c>
      <c r="D674" s="109" t="s">
        <v>9380</v>
      </c>
      <c r="E674" s="109" t="s">
        <v>5558</v>
      </c>
      <c r="F674" s="109" t="s">
        <v>9381</v>
      </c>
      <c r="G674" s="110" t="s">
        <v>6248</v>
      </c>
      <c r="H674" s="110" t="s">
        <v>9382</v>
      </c>
      <c r="I674" s="110" t="s">
        <v>9383</v>
      </c>
    </row>
    <row r="675" spans="1:9" ht="37.799999999999997" x14ac:dyDescent="0.3">
      <c r="A675" s="109" t="s">
        <v>9384</v>
      </c>
      <c r="B675" s="109" t="s">
        <v>8841</v>
      </c>
      <c r="C675" s="109" t="s">
        <v>8841</v>
      </c>
      <c r="D675" s="109" t="s">
        <v>9385</v>
      </c>
      <c r="E675" s="109" t="s">
        <v>5558</v>
      </c>
      <c r="F675" s="109" t="s">
        <v>9386</v>
      </c>
      <c r="G675" s="110" t="s">
        <v>6248</v>
      </c>
      <c r="H675" s="110" t="s">
        <v>9387</v>
      </c>
      <c r="I675" s="110" t="s">
        <v>9388</v>
      </c>
    </row>
    <row r="676" spans="1:9" ht="25.2" x14ac:dyDescent="0.3">
      <c r="A676" s="109" t="s">
        <v>9389</v>
      </c>
      <c r="B676" s="109" t="s">
        <v>8841</v>
      </c>
      <c r="C676" s="109" t="s">
        <v>8841</v>
      </c>
      <c r="D676" s="109" t="s">
        <v>9390</v>
      </c>
      <c r="E676" s="109" t="s">
        <v>5558</v>
      </c>
      <c r="F676" s="109" t="s">
        <v>9391</v>
      </c>
      <c r="G676" s="110" t="s">
        <v>6248</v>
      </c>
      <c r="H676" s="110" t="s">
        <v>9392</v>
      </c>
      <c r="I676" s="110" t="s">
        <v>9393</v>
      </c>
    </row>
    <row r="677" spans="1:9" ht="25.2" x14ac:dyDescent="0.3">
      <c r="A677" s="109" t="s">
        <v>9394</v>
      </c>
      <c r="B677" s="109" t="s">
        <v>8841</v>
      </c>
      <c r="C677" s="109" t="s">
        <v>8841</v>
      </c>
      <c r="D677" s="109" t="s">
        <v>9395</v>
      </c>
      <c r="E677" s="109" t="s">
        <v>9396</v>
      </c>
      <c r="F677" s="109" t="s">
        <v>6267</v>
      </c>
      <c r="G677" s="110" t="s">
        <v>6248</v>
      </c>
      <c r="H677" s="110" t="s">
        <v>9397</v>
      </c>
      <c r="I677" s="110" t="s">
        <v>9398</v>
      </c>
    </row>
    <row r="678" spans="1:9" ht="37.799999999999997" x14ac:dyDescent="0.3">
      <c r="A678" s="109" t="s">
        <v>9399</v>
      </c>
      <c r="B678" s="109" t="s">
        <v>8841</v>
      </c>
      <c r="C678" s="109" t="s">
        <v>8841</v>
      </c>
      <c r="D678" s="109" t="s">
        <v>9400</v>
      </c>
      <c r="E678" s="109" t="s">
        <v>5558</v>
      </c>
      <c r="F678" s="109" t="s">
        <v>9401</v>
      </c>
      <c r="G678" s="110" t="s">
        <v>6248</v>
      </c>
      <c r="H678" s="110" t="s">
        <v>9402</v>
      </c>
      <c r="I678" s="110" t="s">
        <v>9403</v>
      </c>
    </row>
    <row r="679" spans="1:9" ht="37.799999999999997" x14ac:dyDescent="0.3">
      <c r="A679" s="109" t="s">
        <v>9404</v>
      </c>
      <c r="B679" s="109" t="s">
        <v>8841</v>
      </c>
      <c r="C679" s="109" t="s">
        <v>8841</v>
      </c>
      <c r="D679" s="109" t="s">
        <v>9405</v>
      </c>
      <c r="E679" s="109" t="s">
        <v>5558</v>
      </c>
      <c r="F679" s="109" t="s">
        <v>9406</v>
      </c>
      <c r="G679" s="110" t="s">
        <v>6248</v>
      </c>
      <c r="H679" s="110" t="s">
        <v>9407</v>
      </c>
      <c r="I679" s="110" t="s">
        <v>9408</v>
      </c>
    </row>
    <row r="680" spans="1:9" ht="25.2" x14ac:dyDescent="0.3">
      <c r="A680" s="109" t="s">
        <v>9409</v>
      </c>
      <c r="B680" s="109" t="s">
        <v>8841</v>
      </c>
      <c r="C680" s="109" t="s">
        <v>8841</v>
      </c>
      <c r="D680" s="109" t="s">
        <v>9410</v>
      </c>
      <c r="E680" s="109" t="s">
        <v>5558</v>
      </c>
      <c r="F680" s="109" t="s">
        <v>9411</v>
      </c>
      <c r="G680" s="110" t="s">
        <v>6248</v>
      </c>
      <c r="H680" s="110" t="s">
        <v>9412</v>
      </c>
      <c r="I680" s="110" t="s">
        <v>9413</v>
      </c>
    </row>
    <row r="681" spans="1:9" ht="25.2" x14ac:dyDescent="0.3">
      <c r="A681" s="109" t="s">
        <v>9414</v>
      </c>
      <c r="B681" s="109" t="s">
        <v>8841</v>
      </c>
      <c r="C681" s="109" t="s">
        <v>8841</v>
      </c>
      <c r="D681" s="109" t="s">
        <v>9415</v>
      </c>
      <c r="E681" s="109" t="s">
        <v>5558</v>
      </c>
      <c r="F681" s="109" t="s">
        <v>9416</v>
      </c>
      <c r="G681" s="110" t="s">
        <v>6248</v>
      </c>
      <c r="H681" s="110" t="s">
        <v>9417</v>
      </c>
      <c r="I681" s="110" t="s">
        <v>9418</v>
      </c>
    </row>
    <row r="682" spans="1:9" ht="25.2" x14ac:dyDescent="0.3">
      <c r="A682" s="109" t="s">
        <v>9419</v>
      </c>
      <c r="B682" s="109" t="s">
        <v>8841</v>
      </c>
      <c r="C682" s="109" t="s">
        <v>8841</v>
      </c>
      <c r="D682" s="109" t="s">
        <v>9420</v>
      </c>
      <c r="E682" s="109" t="s">
        <v>5558</v>
      </c>
      <c r="F682" s="109" t="s">
        <v>9421</v>
      </c>
      <c r="G682" s="110" t="s">
        <v>6248</v>
      </c>
      <c r="H682" s="110" t="s">
        <v>9422</v>
      </c>
      <c r="I682" s="110" t="s">
        <v>9423</v>
      </c>
    </row>
    <row r="683" spans="1:9" ht="25.2" x14ac:dyDescent="0.3">
      <c r="A683" s="109" t="s">
        <v>9424</v>
      </c>
      <c r="B683" s="109" t="s">
        <v>8841</v>
      </c>
      <c r="C683" s="109" t="s">
        <v>8841</v>
      </c>
      <c r="D683" s="109" t="s">
        <v>5569</v>
      </c>
      <c r="E683" s="109" t="s">
        <v>5558</v>
      </c>
      <c r="F683" s="109" t="s">
        <v>2258</v>
      </c>
      <c r="G683" s="110" t="s">
        <v>6248</v>
      </c>
      <c r="H683" s="110" t="s">
        <v>9425</v>
      </c>
      <c r="I683" s="110" t="s">
        <v>9426</v>
      </c>
    </row>
    <row r="684" spans="1:9" ht="25.2" x14ac:dyDescent="0.3">
      <c r="A684" s="109" t="s">
        <v>9427</v>
      </c>
      <c r="B684" s="109" t="s">
        <v>8841</v>
      </c>
      <c r="C684" s="109" t="s">
        <v>8841</v>
      </c>
      <c r="D684" s="109" t="s">
        <v>5569</v>
      </c>
      <c r="E684" s="109" t="s">
        <v>5558</v>
      </c>
      <c r="F684" s="109" t="s">
        <v>2258</v>
      </c>
      <c r="G684" s="110" t="s">
        <v>6248</v>
      </c>
      <c r="H684" s="110" t="s">
        <v>9428</v>
      </c>
      <c r="I684" s="110" t="s">
        <v>9429</v>
      </c>
    </row>
    <row r="685" spans="1:9" ht="25.2" x14ac:dyDescent="0.3">
      <c r="A685" s="109" t="s">
        <v>9430</v>
      </c>
      <c r="B685" s="109" t="s">
        <v>8841</v>
      </c>
      <c r="C685" s="109" t="s">
        <v>8841</v>
      </c>
      <c r="D685" s="109" t="s">
        <v>5569</v>
      </c>
      <c r="E685" s="109" t="s">
        <v>5558</v>
      </c>
      <c r="F685" s="109" t="s">
        <v>2258</v>
      </c>
      <c r="G685" s="110" t="s">
        <v>6248</v>
      </c>
      <c r="H685" s="110" t="s">
        <v>9431</v>
      </c>
      <c r="I685" s="110" t="s">
        <v>9432</v>
      </c>
    </row>
    <row r="686" spans="1:9" ht="25.2" x14ac:dyDescent="0.3">
      <c r="A686" s="109" t="s">
        <v>9433</v>
      </c>
      <c r="B686" s="109" t="s">
        <v>8841</v>
      </c>
      <c r="C686" s="109" t="s">
        <v>8841</v>
      </c>
      <c r="D686" s="109" t="s">
        <v>5569</v>
      </c>
      <c r="E686" s="109" t="s">
        <v>5558</v>
      </c>
      <c r="F686" s="109" t="s">
        <v>2258</v>
      </c>
      <c r="G686" s="110" t="s">
        <v>6248</v>
      </c>
      <c r="H686" s="110" t="s">
        <v>9434</v>
      </c>
      <c r="I686" s="110" t="s">
        <v>9435</v>
      </c>
    </row>
    <row r="687" spans="1:9" ht="25.2" x14ac:dyDescent="0.3">
      <c r="A687" s="109" t="s">
        <v>9436</v>
      </c>
      <c r="B687" s="109" t="s">
        <v>8841</v>
      </c>
      <c r="C687" s="109" t="s">
        <v>8841</v>
      </c>
      <c r="D687" s="109" t="s">
        <v>5569</v>
      </c>
      <c r="E687" s="109" t="s">
        <v>5558</v>
      </c>
      <c r="F687" s="109" t="s">
        <v>2258</v>
      </c>
      <c r="G687" s="110" t="s">
        <v>6248</v>
      </c>
      <c r="H687" s="110" t="s">
        <v>8095</v>
      </c>
      <c r="I687" s="110" t="s">
        <v>9437</v>
      </c>
    </row>
    <row r="688" spans="1:9" ht="63" x14ac:dyDescent="0.3">
      <c r="A688" s="109" t="s">
        <v>9438</v>
      </c>
      <c r="B688" s="109" t="s">
        <v>8841</v>
      </c>
      <c r="C688" s="109" t="s">
        <v>8841</v>
      </c>
      <c r="D688" s="109" t="s">
        <v>9439</v>
      </c>
      <c r="E688" s="109" t="s">
        <v>9439</v>
      </c>
      <c r="F688" s="109" t="s">
        <v>9440</v>
      </c>
      <c r="G688" s="110" t="s">
        <v>6248</v>
      </c>
      <c r="H688" s="110" t="s">
        <v>9441</v>
      </c>
      <c r="I688" s="110" t="s">
        <v>9442</v>
      </c>
    </row>
    <row r="689" spans="1:9" ht="63" x14ac:dyDescent="0.3">
      <c r="A689" s="109" t="s">
        <v>9443</v>
      </c>
      <c r="B689" s="109" t="s">
        <v>8841</v>
      </c>
      <c r="C689" s="109" t="s">
        <v>8841</v>
      </c>
      <c r="D689" s="109" t="s">
        <v>9444</v>
      </c>
      <c r="E689" s="109" t="s">
        <v>9444</v>
      </c>
      <c r="F689" s="109" t="s">
        <v>9445</v>
      </c>
      <c r="G689" s="110" t="s">
        <v>6248</v>
      </c>
      <c r="H689" s="110" t="s">
        <v>9446</v>
      </c>
      <c r="I689" s="110" t="s">
        <v>9447</v>
      </c>
    </row>
    <row r="690" spans="1:9" ht="25.2" x14ac:dyDescent="0.3">
      <c r="A690" s="109" t="s">
        <v>9448</v>
      </c>
      <c r="B690" s="109" t="s">
        <v>8841</v>
      </c>
      <c r="C690" s="109" t="s">
        <v>8841</v>
      </c>
      <c r="D690" s="109" t="s">
        <v>5569</v>
      </c>
      <c r="E690" s="109" t="s">
        <v>5558</v>
      </c>
      <c r="F690" s="109" t="s">
        <v>2258</v>
      </c>
      <c r="G690" s="110" t="s">
        <v>6248</v>
      </c>
      <c r="H690" s="110" t="s">
        <v>9449</v>
      </c>
      <c r="I690" s="110" t="s">
        <v>9450</v>
      </c>
    </row>
    <row r="691" spans="1:9" ht="25.2" x14ac:dyDescent="0.3">
      <c r="A691" s="109" t="s">
        <v>9451</v>
      </c>
      <c r="B691" s="109" t="s">
        <v>8841</v>
      </c>
      <c r="C691" s="109" t="s">
        <v>8841</v>
      </c>
      <c r="D691" s="109" t="s">
        <v>9452</v>
      </c>
      <c r="E691" s="109" t="s">
        <v>5558</v>
      </c>
      <c r="F691" s="109" t="s">
        <v>9453</v>
      </c>
      <c r="G691" s="110" t="s">
        <v>6248</v>
      </c>
      <c r="H691" s="110" t="s">
        <v>7321</v>
      </c>
      <c r="I691" s="110" t="s">
        <v>9454</v>
      </c>
    </row>
    <row r="692" spans="1:9" ht="25.2" x14ac:dyDescent="0.3">
      <c r="A692" s="109" t="s">
        <v>9455</v>
      </c>
      <c r="B692" s="109" t="s">
        <v>8841</v>
      </c>
      <c r="C692" s="109" t="s">
        <v>8841</v>
      </c>
      <c r="D692" s="109" t="s">
        <v>5569</v>
      </c>
      <c r="E692" s="109" t="s">
        <v>5558</v>
      </c>
      <c r="F692" s="109" t="s">
        <v>2258</v>
      </c>
      <c r="G692" s="110" t="s">
        <v>6248</v>
      </c>
      <c r="H692" s="110" t="s">
        <v>9456</v>
      </c>
      <c r="I692" s="110" t="s">
        <v>9457</v>
      </c>
    </row>
    <row r="693" spans="1:9" ht="25.2" x14ac:dyDescent="0.3">
      <c r="A693" s="109" t="s">
        <v>9458</v>
      </c>
      <c r="B693" s="109" t="s">
        <v>8841</v>
      </c>
      <c r="C693" s="109" t="s">
        <v>8841</v>
      </c>
      <c r="D693" s="109" t="s">
        <v>5569</v>
      </c>
      <c r="E693" s="109" t="s">
        <v>5558</v>
      </c>
      <c r="F693" s="109" t="s">
        <v>2258</v>
      </c>
      <c r="G693" s="110" t="s">
        <v>6248</v>
      </c>
      <c r="H693" s="110" t="s">
        <v>6273</v>
      </c>
      <c r="I693" s="110" t="s">
        <v>9459</v>
      </c>
    </row>
    <row r="694" spans="1:9" ht="25.2" x14ac:dyDescent="0.3">
      <c r="A694" s="109" t="s">
        <v>9460</v>
      </c>
      <c r="B694" s="109" t="s">
        <v>8841</v>
      </c>
      <c r="C694" s="109" t="s">
        <v>8841</v>
      </c>
      <c r="D694" s="109" t="s">
        <v>5569</v>
      </c>
      <c r="E694" s="109" t="s">
        <v>5558</v>
      </c>
      <c r="F694" s="109" t="s">
        <v>2258</v>
      </c>
      <c r="G694" s="110" t="s">
        <v>6248</v>
      </c>
      <c r="H694" s="110" t="s">
        <v>9461</v>
      </c>
      <c r="I694" s="110" t="s">
        <v>9462</v>
      </c>
    </row>
    <row r="695" spans="1:9" ht="25.2" x14ac:dyDescent="0.3">
      <c r="A695" s="109" t="s">
        <v>9463</v>
      </c>
      <c r="B695" s="109" t="s">
        <v>8841</v>
      </c>
      <c r="C695" s="109" t="s">
        <v>8841</v>
      </c>
      <c r="D695" s="109" t="s">
        <v>5569</v>
      </c>
      <c r="E695" s="109" t="s">
        <v>5558</v>
      </c>
      <c r="F695" s="109" t="s">
        <v>2258</v>
      </c>
      <c r="G695" s="110" t="s">
        <v>6248</v>
      </c>
      <c r="H695" s="110" t="s">
        <v>9464</v>
      </c>
      <c r="I695" s="110" t="s">
        <v>9465</v>
      </c>
    </row>
    <row r="696" spans="1:9" ht="25.2" x14ac:dyDescent="0.3">
      <c r="A696" s="109" t="s">
        <v>9466</v>
      </c>
      <c r="B696" s="109" t="s">
        <v>8841</v>
      </c>
      <c r="C696" s="109" t="s">
        <v>8841</v>
      </c>
      <c r="D696" s="109" t="s">
        <v>5569</v>
      </c>
      <c r="E696" s="109" t="s">
        <v>5558</v>
      </c>
      <c r="F696" s="109" t="s">
        <v>2258</v>
      </c>
      <c r="G696" s="110" t="s">
        <v>6248</v>
      </c>
      <c r="H696" s="110" t="s">
        <v>9467</v>
      </c>
      <c r="I696" s="110" t="s">
        <v>9468</v>
      </c>
    </row>
    <row r="697" spans="1:9" ht="37.799999999999997" x14ac:dyDescent="0.3">
      <c r="A697" s="109" t="s">
        <v>9469</v>
      </c>
      <c r="B697" s="109" t="s">
        <v>8841</v>
      </c>
      <c r="C697" s="109" t="s">
        <v>8841</v>
      </c>
      <c r="D697" s="109" t="s">
        <v>9470</v>
      </c>
      <c r="E697" s="109" t="s">
        <v>5558</v>
      </c>
      <c r="F697" s="109" t="s">
        <v>9471</v>
      </c>
      <c r="G697" s="110" t="s">
        <v>6248</v>
      </c>
      <c r="H697" s="110" t="s">
        <v>9472</v>
      </c>
      <c r="I697" s="110" t="s">
        <v>9473</v>
      </c>
    </row>
    <row r="698" spans="1:9" ht="25.2" x14ac:dyDescent="0.3">
      <c r="A698" s="109" t="s">
        <v>9474</v>
      </c>
      <c r="B698" s="109" t="s">
        <v>8841</v>
      </c>
      <c r="C698" s="109" t="s">
        <v>8841</v>
      </c>
      <c r="D698" s="109" t="s">
        <v>9475</v>
      </c>
      <c r="E698" s="109" t="s">
        <v>5558</v>
      </c>
      <c r="F698" s="109" t="s">
        <v>9476</v>
      </c>
      <c r="G698" s="110" t="s">
        <v>6248</v>
      </c>
      <c r="H698" s="110" t="s">
        <v>9477</v>
      </c>
      <c r="I698" s="110" t="s">
        <v>9478</v>
      </c>
    </row>
    <row r="699" spans="1:9" ht="25.2" x14ac:dyDescent="0.3">
      <c r="A699" s="109" t="s">
        <v>9479</v>
      </c>
      <c r="B699" s="109" t="s">
        <v>8841</v>
      </c>
      <c r="C699" s="109" t="s">
        <v>8841</v>
      </c>
      <c r="D699" s="109" t="s">
        <v>9480</v>
      </c>
      <c r="E699" s="109" t="s">
        <v>5558</v>
      </c>
      <c r="F699" s="109" t="s">
        <v>9481</v>
      </c>
      <c r="G699" s="110" t="s">
        <v>6248</v>
      </c>
      <c r="H699" s="110" t="s">
        <v>7423</v>
      </c>
      <c r="I699" s="110" t="s">
        <v>9482</v>
      </c>
    </row>
    <row r="700" spans="1:9" ht="37.799999999999997" x14ac:dyDescent="0.3">
      <c r="A700" s="109" t="s">
        <v>9483</v>
      </c>
      <c r="B700" s="109" t="s">
        <v>8841</v>
      </c>
      <c r="C700" s="109" t="s">
        <v>8841</v>
      </c>
      <c r="D700" s="109" t="s">
        <v>9484</v>
      </c>
      <c r="E700" s="109" t="s">
        <v>5558</v>
      </c>
      <c r="F700" s="109" t="s">
        <v>9485</v>
      </c>
      <c r="G700" s="110" t="s">
        <v>6248</v>
      </c>
      <c r="H700" s="110" t="s">
        <v>9486</v>
      </c>
      <c r="I700" s="110" t="s">
        <v>9487</v>
      </c>
    </row>
    <row r="701" spans="1:9" ht="25.2" x14ac:dyDescent="0.3">
      <c r="A701" s="109" t="s">
        <v>9488</v>
      </c>
      <c r="B701" s="109" t="s">
        <v>8841</v>
      </c>
      <c r="C701" s="109" t="s">
        <v>8841</v>
      </c>
      <c r="D701" s="109" t="s">
        <v>5569</v>
      </c>
      <c r="E701" s="109" t="s">
        <v>5558</v>
      </c>
      <c r="F701" s="109" t="s">
        <v>2258</v>
      </c>
      <c r="G701" s="110" t="s">
        <v>6248</v>
      </c>
      <c r="H701" s="110" t="s">
        <v>7409</v>
      </c>
      <c r="I701" s="110" t="s">
        <v>9489</v>
      </c>
    </row>
    <row r="702" spans="1:9" ht="37.799999999999997" x14ac:dyDescent="0.3">
      <c r="A702" s="109" t="s">
        <v>9490</v>
      </c>
      <c r="B702" s="109" t="s">
        <v>8841</v>
      </c>
      <c r="C702" s="109" t="s">
        <v>8841</v>
      </c>
      <c r="D702" s="109" t="s">
        <v>9491</v>
      </c>
      <c r="E702" s="109" t="s">
        <v>5558</v>
      </c>
      <c r="F702" s="109" t="s">
        <v>9492</v>
      </c>
      <c r="G702" s="110" t="s">
        <v>6248</v>
      </c>
      <c r="H702" s="110" t="s">
        <v>9493</v>
      </c>
      <c r="I702" s="110" t="s">
        <v>9494</v>
      </c>
    </row>
    <row r="703" spans="1:9" ht="25.2" x14ac:dyDescent="0.3">
      <c r="A703" s="109" t="s">
        <v>9495</v>
      </c>
      <c r="B703" s="109" t="s">
        <v>8841</v>
      </c>
      <c r="C703" s="109" t="s">
        <v>8841</v>
      </c>
      <c r="D703" s="109" t="s">
        <v>5569</v>
      </c>
      <c r="E703" s="109" t="s">
        <v>5558</v>
      </c>
      <c r="F703" s="109" t="s">
        <v>2258</v>
      </c>
      <c r="G703" s="110" t="s">
        <v>6248</v>
      </c>
      <c r="H703" s="110" t="s">
        <v>9464</v>
      </c>
      <c r="I703" s="110" t="s">
        <v>9496</v>
      </c>
    </row>
    <row r="704" spans="1:9" ht="25.2" x14ac:dyDescent="0.3">
      <c r="A704" s="109" t="s">
        <v>9497</v>
      </c>
      <c r="B704" s="109" t="s">
        <v>8841</v>
      </c>
      <c r="C704" s="109" t="s">
        <v>8841</v>
      </c>
      <c r="D704" s="109" t="s">
        <v>9498</v>
      </c>
      <c r="E704" s="109" t="s">
        <v>5558</v>
      </c>
      <c r="F704" s="109" t="s">
        <v>9499</v>
      </c>
      <c r="G704" s="110" t="s">
        <v>6248</v>
      </c>
      <c r="H704" s="110" t="s">
        <v>9500</v>
      </c>
      <c r="I704" s="110" t="s">
        <v>9501</v>
      </c>
    </row>
    <row r="705" spans="1:9" ht="25.2" x14ac:dyDescent="0.3">
      <c r="A705" s="109" t="s">
        <v>9502</v>
      </c>
      <c r="B705" s="109" t="s">
        <v>8841</v>
      </c>
      <c r="C705" s="109" t="s">
        <v>8841</v>
      </c>
      <c r="D705" s="109" t="s">
        <v>9503</v>
      </c>
      <c r="E705" s="109" t="s">
        <v>5558</v>
      </c>
      <c r="F705" s="109" t="s">
        <v>9504</v>
      </c>
      <c r="G705" s="110" t="s">
        <v>6248</v>
      </c>
      <c r="H705" s="110" t="s">
        <v>9199</v>
      </c>
      <c r="I705" s="110" t="s">
        <v>9505</v>
      </c>
    </row>
    <row r="706" spans="1:9" ht="25.2" x14ac:dyDescent="0.3">
      <c r="A706" s="109" t="s">
        <v>9506</v>
      </c>
      <c r="B706" s="109" t="s">
        <v>8841</v>
      </c>
      <c r="C706" s="109" t="s">
        <v>8841</v>
      </c>
      <c r="D706" s="109" t="s">
        <v>5569</v>
      </c>
      <c r="E706" s="109" t="s">
        <v>5558</v>
      </c>
      <c r="F706" s="109" t="s">
        <v>2258</v>
      </c>
      <c r="G706" s="110" t="s">
        <v>6248</v>
      </c>
      <c r="H706" s="110" t="s">
        <v>9507</v>
      </c>
      <c r="I706" s="110" t="s">
        <v>9508</v>
      </c>
    </row>
    <row r="707" spans="1:9" ht="25.2" x14ac:dyDescent="0.3">
      <c r="A707" s="109" t="s">
        <v>9509</v>
      </c>
      <c r="B707" s="109" t="s">
        <v>8841</v>
      </c>
      <c r="C707" s="109" t="s">
        <v>8841</v>
      </c>
      <c r="D707" s="109" t="s">
        <v>9510</v>
      </c>
      <c r="E707" s="109" t="s">
        <v>7196</v>
      </c>
      <c r="F707" s="109" t="s">
        <v>5777</v>
      </c>
      <c r="G707" s="110" t="s">
        <v>6248</v>
      </c>
      <c r="H707" s="110" t="s">
        <v>9511</v>
      </c>
      <c r="I707" s="110" t="s">
        <v>9512</v>
      </c>
    </row>
    <row r="708" spans="1:9" ht="25.2" x14ac:dyDescent="0.3">
      <c r="A708" s="109" t="s">
        <v>9513</v>
      </c>
      <c r="B708" s="109" t="s">
        <v>8841</v>
      </c>
      <c r="C708" s="109" t="s">
        <v>8841</v>
      </c>
      <c r="D708" s="109" t="s">
        <v>9514</v>
      </c>
      <c r="E708" s="109" t="s">
        <v>5558</v>
      </c>
      <c r="F708" s="109" t="s">
        <v>9515</v>
      </c>
      <c r="G708" s="110" t="s">
        <v>6248</v>
      </c>
      <c r="H708" s="110" t="s">
        <v>9516</v>
      </c>
      <c r="I708" s="110" t="s">
        <v>9517</v>
      </c>
    </row>
    <row r="709" spans="1:9" ht="37.799999999999997" x14ac:dyDescent="0.3">
      <c r="A709" s="109" t="s">
        <v>9518</v>
      </c>
      <c r="B709" s="109" t="s">
        <v>8841</v>
      </c>
      <c r="C709" s="109" t="s">
        <v>8841</v>
      </c>
      <c r="D709" s="109" t="s">
        <v>9519</v>
      </c>
      <c r="E709" s="109" t="s">
        <v>5558</v>
      </c>
      <c r="F709" s="109" t="s">
        <v>9520</v>
      </c>
      <c r="G709" s="110" t="s">
        <v>6248</v>
      </c>
      <c r="H709" s="110" t="s">
        <v>6433</v>
      </c>
      <c r="I709" s="110" t="s">
        <v>9521</v>
      </c>
    </row>
    <row r="710" spans="1:9" ht="37.799999999999997" x14ac:dyDescent="0.3">
      <c r="A710" s="109" t="s">
        <v>9522</v>
      </c>
      <c r="B710" s="109" t="s">
        <v>8841</v>
      </c>
      <c r="C710" s="109" t="s">
        <v>8841</v>
      </c>
      <c r="D710" s="109" t="s">
        <v>9523</v>
      </c>
      <c r="E710" s="109" t="s">
        <v>5558</v>
      </c>
      <c r="F710" s="109" t="s">
        <v>9524</v>
      </c>
      <c r="G710" s="110" t="s">
        <v>6248</v>
      </c>
      <c r="H710" s="110" t="s">
        <v>9525</v>
      </c>
      <c r="I710" s="110" t="s">
        <v>9526</v>
      </c>
    </row>
    <row r="711" spans="1:9" ht="25.2" x14ac:dyDescent="0.3">
      <c r="A711" s="109" t="s">
        <v>9527</v>
      </c>
      <c r="B711" s="109" t="s">
        <v>8841</v>
      </c>
      <c r="C711" s="109" t="s">
        <v>8841</v>
      </c>
      <c r="D711" s="109" t="s">
        <v>9528</v>
      </c>
      <c r="E711" s="109" t="s">
        <v>5558</v>
      </c>
      <c r="F711" s="109" t="s">
        <v>9529</v>
      </c>
      <c r="G711" s="110" t="s">
        <v>6248</v>
      </c>
      <c r="H711" s="110" t="s">
        <v>9530</v>
      </c>
      <c r="I711" s="110" t="s">
        <v>9531</v>
      </c>
    </row>
    <row r="712" spans="1:9" ht="25.2" x14ac:dyDescent="0.3">
      <c r="A712" s="109" t="s">
        <v>9532</v>
      </c>
      <c r="B712" s="109" t="s">
        <v>8841</v>
      </c>
      <c r="C712" s="109" t="s">
        <v>8841</v>
      </c>
      <c r="D712" s="109" t="s">
        <v>9533</v>
      </c>
      <c r="E712" s="109" t="s">
        <v>5558</v>
      </c>
      <c r="F712" s="109" t="s">
        <v>9534</v>
      </c>
      <c r="G712" s="110" t="s">
        <v>6248</v>
      </c>
      <c r="H712" s="110" t="s">
        <v>9535</v>
      </c>
      <c r="I712" s="110" t="s">
        <v>9536</v>
      </c>
    </row>
    <row r="713" spans="1:9" ht="37.799999999999997" x14ac:dyDescent="0.3">
      <c r="A713" s="109" t="s">
        <v>9537</v>
      </c>
      <c r="B713" s="109" t="s">
        <v>8841</v>
      </c>
      <c r="C713" s="109" t="s">
        <v>8841</v>
      </c>
      <c r="D713" s="109" t="s">
        <v>9538</v>
      </c>
      <c r="E713" s="109" t="s">
        <v>5558</v>
      </c>
      <c r="F713" s="109" t="s">
        <v>9539</v>
      </c>
      <c r="G713" s="110" t="s">
        <v>6248</v>
      </c>
      <c r="H713" s="110" t="s">
        <v>9540</v>
      </c>
      <c r="I713" s="110" t="s">
        <v>9541</v>
      </c>
    </row>
    <row r="714" spans="1:9" ht="37.799999999999997" x14ac:dyDescent="0.3">
      <c r="A714" s="109" t="s">
        <v>9542</v>
      </c>
      <c r="B714" s="109" t="s">
        <v>8841</v>
      </c>
      <c r="C714" s="109" t="s">
        <v>8841</v>
      </c>
      <c r="D714" s="109" t="s">
        <v>9543</v>
      </c>
      <c r="E714" s="109" t="s">
        <v>5558</v>
      </c>
      <c r="F714" s="109" t="s">
        <v>9544</v>
      </c>
      <c r="G714" s="110" t="s">
        <v>6248</v>
      </c>
      <c r="H714" s="110" t="s">
        <v>9545</v>
      </c>
      <c r="I714" s="110" t="s">
        <v>9546</v>
      </c>
    </row>
    <row r="715" spans="1:9" ht="25.2" x14ac:dyDescent="0.3">
      <c r="A715" s="109" t="s">
        <v>9547</v>
      </c>
      <c r="B715" s="109" t="s">
        <v>8841</v>
      </c>
      <c r="C715" s="109" t="s">
        <v>8841</v>
      </c>
      <c r="D715" s="109" t="s">
        <v>9548</v>
      </c>
      <c r="E715" s="109" t="s">
        <v>5558</v>
      </c>
      <c r="F715" s="109" t="s">
        <v>9549</v>
      </c>
      <c r="G715" s="110" t="s">
        <v>6248</v>
      </c>
      <c r="H715" s="110" t="s">
        <v>9550</v>
      </c>
      <c r="I715" s="110" t="s">
        <v>9551</v>
      </c>
    </row>
    <row r="716" spans="1:9" ht="25.2" x14ac:dyDescent="0.3">
      <c r="A716" s="109" t="s">
        <v>9552</v>
      </c>
      <c r="B716" s="109" t="s">
        <v>8841</v>
      </c>
      <c r="C716" s="109" t="s">
        <v>8841</v>
      </c>
      <c r="D716" s="109" t="s">
        <v>9553</v>
      </c>
      <c r="E716" s="109" t="s">
        <v>5558</v>
      </c>
      <c r="F716" s="109" t="s">
        <v>9554</v>
      </c>
      <c r="G716" s="110" t="s">
        <v>6248</v>
      </c>
      <c r="H716" s="110" t="s">
        <v>9555</v>
      </c>
      <c r="I716" s="110" t="s">
        <v>9556</v>
      </c>
    </row>
    <row r="717" spans="1:9" ht="25.2" x14ac:dyDescent="0.3">
      <c r="A717" s="109" t="s">
        <v>9557</v>
      </c>
      <c r="B717" s="109" t="s">
        <v>8841</v>
      </c>
      <c r="C717" s="109" t="s">
        <v>8841</v>
      </c>
      <c r="D717" s="109" t="s">
        <v>9558</v>
      </c>
      <c r="E717" s="109" t="s">
        <v>5558</v>
      </c>
      <c r="F717" s="109" t="s">
        <v>9559</v>
      </c>
      <c r="G717" s="110" t="s">
        <v>6248</v>
      </c>
      <c r="H717" s="110" t="s">
        <v>7221</v>
      </c>
      <c r="I717" s="110" t="s">
        <v>9560</v>
      </c>
    </row>
    <row r="718" spans="1:9" ht="25.2" x14ac:dyDescent="0.3">
      <c r="A718" s="109" t="s">
        <v>9561</v>
      </c>
      <c r="B718" s="109" t="s">
        <v>8841</v>
      </c>
      <c r="C718" s="109" t="s">
        <v>8841</v>
      </c>
      <c r="D718" s="109" t="s">
        <v>9562</v>
      </c>
      <c r="E718" s="109" t="s">
        <v>9563</v>
      </c>
      <c r="F718" s="109" t="s">
        <v>7039</v>
      </c>
      <c r="G718" s="110" t="s">
        <v>6248</v>
      </c>
      <c r="H718" s="110" t="s">
        <v>9564</v>
      </c>
      <c r="I718" s="110" t="s">
        <v>9565</v>
      </c>
    </row>
    <row r="719" spans="1:9" ht="25.2" x14ac:dyDescent="0.3">
      <c r="A719" s="109" t="s">
        <v>9566</v>
      </c>
      <c r="B719" s="109" t="s">
        <v>8841</v>
      </c>
      <c r="C719" s="109" t="s">
        <v>8841</v>
      </c>
      <c r="D719" s="109" t="s">
        <v>9567</v>
      </c>
      <c r="E719" s="109" t="s">
        <v>9568</v>
      </c>
      <c r="F719" s="109" t="s">
        <v>7045</v>
      </c>
      <c r="G719" s="110" t="s">
        <v>9569</v>
      </c>
      <c r="H719" s="110" t="s">
        <v>6248</v>
      </c>
      <c r="I719" s="110" t="s">
        <v>9570</v>
      </c>
    </row>
    <row r="720" spans="1:9" ht="25.2" x14ac:dyDescent="0.3">
      <c r="A720" s="109" t="s">
        <v>9571</v>
      </c>
      <c r="B720" s="109" t="s">
        <v>8841</v>
      </c>
      <c r="C720" s="109" t="s">
        <v>8841</v>
      </c>
      <c r="D720" s="109" t="s">
        <v>9572</v>
      </c>
      <c r="E720" s="109" t="s">
        <v>5558</v>
      </c>
      <c r="F720" s="109" t="s">
        <v>9573</v>
      </c>
      <c r="G720" s="110" t="s">
        <v>6248</v>
      </c>
      <c r="H720" s="110" t="s">
        <v>9574</v>
      </c>
      <c r="I720" s="110" t="s">
        <v>9575</v>
      </c>
    </row>
    <row r="721" spans="1:9" ht="25.2" x14ac:dyDescent="0.3">
      <c r="A721" s="109" t="s">
        <v>9576</v>
      </c>
      <c r="B721" s="109" t="s">
        <v>8841</v>
      </c>
      <c r="C721" s="109" t="s">
        <v>8841</v>
      </c>
      <c r="D721" s="109" t="s">
        <v>9577</v>
      </c>
      <c r="E721" s="109" t="s">
        <v>9578</v>
      </c>
      <c r="F721" s="109" t="s">
        <v>9579</v>
      </c>
      <c r="G721" s="110" t="s">
        <v>6248</v>
      </c>
      <c r="H721" s="110" t="s">
        <v>9580</v>
      </c>
      <c r="I721" s="110" t="s">
        <v>9581</v>
      </c>
    </row>
    <row r="722" spans="1:9" ht="25.2" x14ac:dyDescent="0.3">
      <c r="A722" s="109" t="s">
        <v>9582</v>
      </c>
      <c r="B722" s="109" t="s">
        <v>8841</v>
      </c>
      <c r="C722" s="109" t="s">
        <v>8841</v>
      </c>
      <c r="D722" s="109" t="s">
        <v>9583</v>
      </c>
      <c r="E722" s="109" t="s">
        <v>5558</v>
      </c>
      <c r="F722" s="109" t="s">
        <v>9584</v>
      </c>
      <c r="G722" s="110" t="s">
        <v>6248</v>
      </c>
      <c r="H722" s="110" t="s">
        <v>6341</v>
      </c>
      <c r="I722" s="110" t="s">
        <v>9585</v>
      </c>
    </row>
    <row r="723" spans="1:9" ht="37.799999999999997" x14ac:dyDescent="0.3">
      <c r="A723" s="109" t="s">
        <v>9586</v>
      </c>
      <c r="B723" s="109" t="s">
        <v>8841</v>
      </c>
      <c r="C723" s="109" t="s">
        <v>8841</v>
      </c>
      <c r="D723" s="109" t="s">
        <v>9587</v>
      </c>
      <c r="E723" s="109" t="s">
        <v>5558</v>
      </c>
      <c r="F723" s="109" t="s">
        <v>9588</v>
      </c>
      <c r="G723" s="110" t="s">
        <v>6248</v>
      </c>
      <c r="H723" s="110" t="s">
        <v>9589</v>
      </c>
      <c r="I723" s="110" t="s">
        <v>9590</v>
      </c>
    </row>
    <row r="724" spans="1:9" ht="37.799999999999997" x14ac:dyDescent="0.3">
      <c r="A724" s="109" t="s">
        <v>9591</v>
      </c>
      <c r="B724" s="109" t="s">
        <v>8841</v>
      </c>
      <c r="C724" s="109" t="s">
        <v>8841</v>
      </c>
      <c r="D724" s="109" t="s">
        <v>9592</v>
      </c>
      <c r="E724" s="109" t="s">
        <v>5558</v>
      </c>
      <c r="F724" s="109" t="s">
        <v>9593</v>
      </c>
      <c r="G724" s="110" t="s">
        <v>6248</v>
      </c>
      <c r="H724" s="110" t="s">
        <v>9594</v>
      </c>
      <c r="I724" s="110" t="s">
        <v>9595</v>
      </c>
    </row>
    <row r="725" spans="1:9" ht="37.799999999999997" x14ac:dyDescent="0.3">
      <c r="A725" s="109" t="s">
        <v>9596</v>
      </c>
      <c r="B725" s="109" t="s">
        <v>8841</v>
      </c>
      <c r="C725" s="109" t="s">
        <v>8841</v>
      </c>
      <c r="D725" s="109" t="s">
        <v>9597</v>
      </c>
      <c r="E725" s="109" t="s">
        <v>5558</v>
      </c>
      <c r="F725" s="109" t="s">
        <v>9598</v>
      </c>
      <c r="G725" s="110" t="s">
        <v>6248</v>
      </c>
      <c r="H725" s="110" t="s">
        <v>9599</v>
      </c>
      <c r="I725" s="110" t="s">
        <v>9600</v>
      </c>
    </row>
    <row r="726" spans="1:9" ht="25.2" x14ac:dyDescent="0.3">
      <c r="A726" s="109" t="s">
        <v>9601</v>
      </c>
      <c r="B726" s="109" t="s">
        <v>8841</v>
      </c>
      <c r="C726" s="109" t="s">
        <v>8841</v>
      </c>
      <c r="D726" s="109" t="s">
        <v>5569</v>
      </c>
      <c r="E726" s="109" t="s">
        <v>5558</v>
      </c>
      <c r="F726" s="109" t="s">
        <v>2258</v>
      </c>
      <c r="G726" s="110" t="s">
        <v>6248</v>
      </c>
      <c r="H726" s="110" t="s">
        <v>9602</v>
      </c>
      <c r="I726" s="110" t="s">
        <v>9603</v>
      </c>
    </row>
    <row r="727" spans="1:9" ht="37.799999999999997" x14ac:dyDescent="0.3">
      <c r="A727" s="109" t="s">
        <v>9604</v>
      </c>
      <c r="B727" s="109" t="s">
        <v>8841</v>
      </c>
      <c r="C727" s="109" t="s">
        <v>8841</v>
      </c>
      <c r="D727" s="109" t="s">
        <v>9605</v>
      </c>
      <c r="E727" s="109" t="s">
        <v>5558</v>
      </c>
      <c r="F727" s="109" t="s">
        <v>9606</v>
      </c>
      <c r="G727" s="110" t="s">
        <v>6248</v>
      </c>
      <c r="H727" s="110" t="s">
        <v>9607</v>
      </c>
      <c r="I727" s="110" t="s">
        <v>9608</v>
      </c>
    </row>
    <row r="728" spans="1:9" ht="25.2" x14ac:dyDescent="0.3">
      <c r="A728" s="109" t="s">
        <v>9609</v>
      </c>
      <c r="B728" s="109" t="s">
        <v>8841</v>
      </c>
      <c r="C728" s="109" t="s">
        <v>8841</v>
      </c>
      <c r="D728" s="109" t="s">
        <v>883</v>
      </c>
      <c r="E728" s="109" t="s">
        <v>5558</v>
      </c>
      <c r="F728" s="109" t="s">
        <v>9610</v>
      </c>
      <c r="G728" s="110" t="s">
        <v>6248</v>
      </c>
      <c r="H728" s="110" t="s">
        <v>9611</v>
      </c>
      <c r="I728" s="110" t="s">
        <v>9612</v>
      </c>
    </row>
    <row r="729" spans="1:9" ht="25.2" x14ac:dyDescent="0.3">
      <c r="A729" s="109" t="s">
        <v>9613</v>
      </c>
      <c r="B729" s="109" t="s">
        <v>8841</v>
      </c>
      <c r="C729" s="109" t="s">
        <v>8841</v>
      </c>
      <c r="D729" s="109" t="s">
        <v>645</v>
      </c>
      <c r="E729" s="109" t="s">
        <v>5558</v>
      </c>
      <c r="F729" s="109" t="s">
        <v>9614</v>
      </c>
      <c r="G729" s="110" t="s">
        <v>6248</v>
      </c>
      <c r="H729" s="110" t="s">
        <v>9615</v>
      </c>
      <c r="I729" s="110" t="s">
        <v>9616</v>
      </c>
    </row>
    <row r="730" spans="1:9" ht="25.2" x14ac:dyDescent="0.3">
      <c r="A730" s="109" t="s">
        <v>9617</v>
      </c>
      <c r="B730" s="109" t="s">
        <v>8841</v>
      </c>
      <c r="C730" s="109" t="s">
        <v>8841</v>
      </c>
      <c r="D730" s="109" t="s">
        <v>9618</v>
      </c>
      <c r="E730" s="109" t="s">
        <v>5558</v>
      </c>
      <c r="F730" s="109" t="s">
        <v>9619</v>
      </c>
      <c r="G730" s="110" t="s">
        <v>6248</v>
      </c>
      <c r="H730" s="110" t="s">
        <v>9620</v>
      </c>
      <c r="I730" s="110" t="s">
        <v>9621</v>
      </c>
    </row>
    <row r="731" spans="1:9" ht="37.799999999999997" x14ac:dyDescent="0.3">
      <c r="A731" s="109" t="s">
        <v>9622</v>
      </c>
      <c r="B731" s="109" t="s">
        <v>8841</v>
      </c>
      <c r="C731" s="109" t="s">
        <v>8841</v>
      </c>
      <c r="D731" s="109" t="s">
        <v>9623</v>
      </c>
      <c r="E731" s="109" t="s">
        <v>5558</v>
      </c>
      <c r="F731" s="109" t="s">
        <v>9624</v>
      </c>
      <c r="G731" s="110" t="s">
        <v>6248</v>
      </c>
      <c r="H731" s="110" t="s">
        <v>9066</v>
      </c>
      <c r="I731" s="110" t="s">
        <v>9625</v>
      </c>
    </row>
    <row r="732" spans="1:9" ht="25.2" x14ac:dyDescent="0.3">
      <c r="A732" s="109" t="s">
        <v>9626</v>
      </c>
      <c r="B732" s="109" t="s">
        <v>8841</v>
      </c>
      <c r="C732" s="109" t="s">
        <v>8841</v>
      </c>
      <c r="D732" s="109" t="s">
        <v>9627</v>
      </c>
      <c r="E732" s="109" t="s">
        <v>5558</v>
      </c>
      <c r="F732" s="109" t="s">
        <v>9628</v>
      </c>
      <c r="G732" s="110" t="s">
        <v>6248</v>
      </c>
      <c r="H732" s="110" t="s">
        <v>9629</v>
      </c>
      <c r="I732" s="110" t="s">
        <v>9630</v>
      </c>
    </row>
    <row r="733" spans="1:9" ht="37.799999999999997" x14ac:dyDescent="0.3">
      <c r="A733" s="109" t="s">
        <v>9631</v>
      </c>
      <c r="B733" s="109" t="s">
        <v>8841</v>
      </c>
      <c r="C733" s="109" t="s">
        <v>8841</v>
      </c>
      <c r="D733" s="109" t="s">
        <v>9632</v>
      </c>
      <c r="E733" s="109" t="s">
        <v>5558</v>
      </c>
      <c r="F733" s="109" t="s">
        <v>657</v>
      </c>
      <c r="G733" s="110" t="s">
        <v>6248</v>
      </c>
      <c r="H733" s="110" t="s">
        <v>9633</v>
      </c>
      <c r="I733" s="110" t="s">
        <v>9634</v>
      </c>
    </row>
    <row r="734" spans="1:9" ht="25.2" x14ac:dyDescent="0.3">
      <c r="A734" s="109" t="s">
        <v>9635</v>
      </c>
      <c r="B734" s="109" t="s">
        <v>8841</v>
      </c>
      <c r="C734" s="109" t="s">
        <v>8841</v>
      </c>
      <c r="D734" s="109" t="s">
        <v>9636</v>
      </c>
      <c r="E734" s="109" t="s">
        <v>5558</v>
      </c>
      <c r="F734" s="109" t="s">
        <v>9637</v>
      </c>
      <c r="G734" s="110" t="s">
        <v>6248</v>
      </c>
      <c r="H734" s="110" t="s">
        <v>9638</v>
      </c>
      <c r="I734" s="110" t="s">
        <v>9639</v>
      </c>
    </row>
    <row r="735" spans="1:9" ht="25.2" x14ac:dyDescent="0.3">
      <c r="A735" s="109" t="s">
        <v>9640</v>
      </c>
      <c r="B735" s="109" t="s">
        <v>8841</v>
      </c>
      <c r="C735" s="109" t="s">
        <v>8841</v>
      </c>
      <c r="D735" s="109" t="s">
        <v>9641</v>
      </c>
      <c r="E735" s="109" t="s">
        <v>5558</v>
      </c>
      <c r="F735" s="109" t="s">
        <v>9642</v>
      </c>
      <c r="G735" s="110" t="s">
        <v>6248</v>
      </c>
      <c r="H735" s="110" t="s">
        <v>9643</v>
      </c>
      <c r="I735" s="110" t="s">
        <v>9644</v>
      </c>
    </row>
    <row r="736" spans="1:9" ht="25.2" x14ac:dyDescent="0.3">
      <c r="A736" s="109" t="s">
        <v>9645</v>
      </c>
      <c r="B736" s="109" t="s">
        <v>8841</v>
      </c>
      <c r="C736" s="109" t="s">
        <v>8841</v>
      </c>
      <c r="D736" s="109" t="s">
        <v>1569</v>
      </c>
      <c r="E736" s="109" t="s">
        <v>9646</v>
      </c>
      <c r="F736" s="109" t="s">
        <v>7123</v>
      </c>
      <c r="G736" s="110" t="s">
        <v>6248</v>
      </c>
      <c r="H736" s="110" t="s">
        <v>9647</v>
      </c>
      <c r="I736" s="110" t="s">
        <v>9648</v>
      </c>
    </row>
    <row r="737" spans="1:9" ht="25.2" x14ac:dyDescent="0.3">
      <c r="A737" s="109" t="s">
        <v>9649</v>
      </c>
      <c r="B737" s="109" t="s">
        <v>8841</v>
      </c>
      <c r="C737" s="109" t="s">
        <v>8841</v>
      </c>
      <c r="D737" s="109" t="s">
        <v>9650</v>
      </c>
      <c r="E737" s="109" t="s">
        <v>5558</v>
      </c>
      <c r="F737" s="109" t="s">
        <v>9651</v>
      </c>
      <c r="G737" s="110" t="s">
        <v>6248</v>
      </c>
      <c r="H737" s="110" t="s">
        <v>9652</v>
      </c>
      <c r="I737" s="110" t="s">
        <v>9653</v>
      </c>
    </row>
    <row r="738" spans="1:9" ht="37.799999999999997" x14ac:dyDescent="0.3">
      <c r="A738" s="109" t="s">
        <v>9654</v>
      </c>
      <c r="B738" s="109" t="s">
        <v>8841</v>
      </c>
      <c r="C738" s="109" t="s">
        <v>8841</v>
      </c>
      <c r="D738" s="109" t="s">
        <v>1489</v>
      </c>
      <c r="E738" s="109" t="s">
        <v>5558</v>
      </c>
      <c r="F738" s="109" t="s">
        <v>9655</v>
      </c>
      <c r="G738" s="110" t="s">
        <v>6248</v>
      </c>
      <c r="H738" s="110" t="s">
        <v>9656</v>
      </c>
      <c r="I738" s="110" t="s">
        <v>9657</v>
      </c>
    </row>
    <row r="739" spans="1:9" ht="25.2" x14ac:dyDescent="0.3">
      <c r="A739" s="109" t="s">
        <v>9658</v>
      </c>
      <c r="B739" s="109" t="s">
        <v>8841</v>
      </c>
      <c r="C739" s="109" t="s">
        <v>8841</v>
      </c>
      <c r="D739" s="109" t="s">
        <v>9659</v>
      </c>
      <c r="E739" s="109" t="s">
        <v>9660</v>
      </c>
      <c r="F739" s="109" t="s">
        <v>9661</v>
      </c>
      <c r="G739" s="110" t="s">
        <v>6248</v>
      </c>
      <c r="H739" s="110" t="s">
        <v>9662</v>
      </c>
      <c r="I739" s="110" t="s">
        <v>9663</v>
      </c>
    </row>
    <row r="740" spans="1:9" ht="25.2" x14ac:dyDescent="0.3">
      <c r="A740" s="109" t="s">
        <v>9664</v>
      </c>
      <c r="B740" s="109" t="s">
        <v>8841</v>
      </c>
      <c r="C740" s="109" t="s">
        <v>8841</v>
      </c>
      <c r="D740" s="109" t="s">
        <v>5569</v>
      </c>
      <c r="E740" s="109" t="s">
        <v>5558</v>
      </c>
      <c r="F740" s="109" t="s">
        <v>2258</v>
      </c>
      <c r="G740" s="110" t="s">
        <v>6248</v>
      </c>
      <c r="H740" s="110" t="s">
        <v>9665</v>
      </c>
      <c r="I740" s="110" t="s">
        <v>9666</v>
      </c>
    </row>
    <row r="741" spans="1:9" ht="37.799999999999997" x14ac:dyDescent="0.3">
      <c r="A741" s="109" t="s">
        <v>9667</v>
      </c>
      <c r="B741" s="109" t="s">
        <v>8841</v>
      </c>
      <c r="C741" s="109" t="s">
        <v>8841</v>
      </c>
      <c r="D741" s="109" t="s">
        <v>9668</v>
      </c>
      <c r="E741" s="109" t="s">
        <v>5558</v>
      </c>
      <c r="F741" s="109" t="s">
        <v>9669</v>
      </c>
      <c r="G741" s="110" t="s">
        <v>6248</v>
      </c>
      <c r="H741" s="110" t="s">
        <v>7680</v>
      </c>
      <c r="I741" s="110" t="s">
        <v>9670</v>
      </c>
    </row>
    <row r="742" spans="1:9" ht="25.2" x14ac:dyDescent="0.3">
      <c r="A742" s="109" t="s">
        <v>9671</v>
      </c>
      <c r="B742" s="109" t="s">
        <v>8841</v>
      </c>
      <c r="C742" s="109" t="s">
        <v>8841</v>
      </c>
      <c r="D742" s="109" t="s">
        <v>5569</v>
      </c>
      <c r="E742" s="109" t="s">
        <v>5558</v>
      </c>
      <c r="F742" s="109" t="s">
        <v>2258</v>
      </c>
      <c r="G742" s="110" t="s">
        <v>6248</v>
      </c>
      <c r="H742" s="110" t="s">
        <v>9672</v>
      </c>
      <c r="I742" s="110" t="s">
        <v>9673</v>
      </c>
    </row>
    <row r="743" spans="1:9" ht="25.2" x14ac:dyDescent="0.3">
      <c r="A743" s="109" t="s">
        <v>9674</v>
      </c>
      <c r="B743" s="109" t="s">
        <v>8841</v>
      </c>
      <c r="C743" s="109" t="s">
        <v>8841</v>
      </c>
      <c r="D743" s="109" t="s">
        <v>9675</v>
      </c>
      <c r="E743" s="109" t="s">
        <v>9676</v>
      </c>
      <c r="F743" s="109" t="s">
        <v>9677</v>
      </c>
      <c r="G743" s="110" t="s">
        <v>9678</v>
      </c>
      <c r="H743" s="110" t="s">
        <v>6248</v>
      </c>
      <c r="I743" s="110" t="s">
        <v>9679</v>
      </c>
    </row>
    <row r="744" spans="1:9" ht="25.2" x14ac:dyDescent="0.3">
      <c r="A744" s="109" t="s">
        <v>9680</v>
      </c>
      <c r="B744" s="109" t="s">
        <v>8841</v>
      </c>
      <c r="C744" s="109" t="s">
        <v>8841</v>
      </c>
      <c r="D744" s="109" t="s">
        <v>9681</v>
      </c>
      <c r="E744" s="109" t="s">
        <v>9676</v>
      </c>
      <c r="F744" s="109" t="s">
        <v>9682</v>
      </c>
      <c r="G744" s="110" t="s">
        <v>7254</v>
      </c>
      <c r="H744" s="110" t="s">
        <v>6248</v>
      </c>
      <c r="I744" s="110" t="s">
        <v>9683</v>
      </c>
    </row>
    <row r="745" spans="1:9" ht="37.799999999999997" x14ac:dyDescent="0.3">
      <c r="A745" s="109" t="s">
        <v>9684</v>
      </c>
      <c r="B745" s="109" t="s">
        <v>8841</v>
      </c>
      <c r="C745" s="109" t="s">
        <v>8841</v>
      </c>
      <c r="D745" s="109" t="s">
        <v>698</v>
      </c>
      <c r="E745" s="109" t="s">
        <v>5558</v>
      </c>
      <c r="F745" s="109" t="s">
        <v>9685</v>
      </c>
      <c r="G745" s="110" t="s">
        <v>6248</v>
      </c>
      <c r="H745" s="110" t="s">
        <v>9686</v>
      </c>
      <c r="I745" s="110" t="s">
        <v>9687</v>
      </c>
    </row>
    <row r="746" spans="1:9" ht="63" x14ac:dyDescent="0.3">
      <c r="A746" s="109" t="s">
        <v>9688</v>
      </c>
      <c r="B746" s="109" t="s">
        <v>8841</v>
      </c>
      <c r="C746" s="109" t="s">
        <v>8841</v>
      </c>
      <c r="D746" s="109" t="s">
        <v>9689</v>
      </c>
      <c r="E746" s="109" t="s">
        <v>9689</v>
      </c>
      <c r="F746" s="109" t="s">
        <v>9690</v>
      </c>
      <c r="G746" s="110" t="s">
        <v>6248</v>
      </c>
      <c r="H746" s="110" t="s">
        <v>9691</v>
      </c>
      <c r="I746" s="110" t="s">
        <v>9692</v>
      </c>
    </row>
    <row r="747" spans="1:9" ht="25.2" x14ac:dyDescent="0.3">
      <c r="A747" s="109" t="s">
        <v>9693</v>
      </c>
      <c r="B747" s="109" t="s">
        <v>8841</v>
      </c>
      <c r="C747" s="109" t="s">
        <v>8841</v>
      </c>
      <c r="D747" s="109" t="s">
        <v>5569</v>
      </c>
      <c r="E747" s="109" t="s">
        <v>5558</v>
      </c>
      <c r="F747" s="109" t="s">
        <v>2258</v>
      </c>
      <c r="G747" s="110" t="s">
        <v>6248</v>
      </c>
      <c r="H747" s="110" t="s">
        <v>9694</v>
      </c>
      <c r="I747" s="110" t="s">
        <v>9695</v>
      </c>
    </row>
    <row r="748" spans="1:9" ht="63" x14ac:dyDescent="0.3">
      <c r="A748" s="109" t="s">
        <v>9696</v>
      </c>
      <c r="B748" s="109" t="s">
        <v>8841</v>
      </c>
      <c r="C748" s="109" t="s">
        <v>8841</v>
      </c>
      <c r="D748" s="109" t="s">
        <v>9697</v>
      </c>
      <c r="E748" s="109" t="s">
        <v>9697</v>
      </c>
      <c r="F748" s="109" t="s">
        <v>9698</v>
      </c>
      <c r="G748" s="110" t="s">
        <v>6248</v>
      </c>
      <c r="H748" s="110" t="s">
        <v>9699</v>
      </c>
      <c r="I748" s="110" t="s">
        <v>9700</v>
      </c>
    </row>
    <row r="749" spans="1:9" ht="75.599999999999994" x14ac:dyDescent="0.3">
      <c r="A749" s="109" t="s">
        <v>9701</v>
      </c>
      <c r="B749" s="109" t="s">
        <v>8841</v>
      </c>
      <c r="C749" s="109" t="s">
        <v>8841</v>
      </c>
      <c r="D749" s="109" t="s">
        <v>6037</v>
      </c>
      <c r="E749" s="109" t="s">
        <v>6037</v>
      </c>
      <c r="F749" s="109" t="s">
        <v>9702</v>
      </c>
      <c r="G749" s="110" t="s">
        <v>6248</v>
      </c>
      <c r="H749" s="110" t="s">
        <v>9703</v>
      </c>
      <c r="I749" s="110" t="s">
        <v>9704</v>
      </c>
    </row>
    <row r="750" spans="1:9" ht="37.799999999999997" x14ac:dyDescent="0.3">
      <c r="A750" s="109" t="s">
        <v>9705</v>
      </c>
      <c r="B750" s="109" t="s">
        <v>8841</v>
      </c>
      <c r="C750" s="109" t="s">
        <v>8841</v>
      </c>
      <c r="D750" s="109" t="s">
        <v>713</v>
      </c>
      <c r="E750" s="109" t="s">
        <v>5558</v>
      </c>
      <c r="F750" s="109" t="s">
        <v>9706</v>
      </c>
      <c r="G750" s="110" t="s">
        <v>6248</v>
      </c>
      <c r="H750" s="110" t="s">
        <v>6883</v>
      </c>
      <c r="I750" s="110" t="s">
        <v>9707</v>
      </c>
    </row>
    <row r="751" spans="1:9" ht="75.599999999999994" x14ac:dyDescent="0.3">
      <c r="A751" s="109" t="s">
        <v>9708</v>
      </c>
      <c r="B751" s="109" t="s">
        <v>8841</v>
      </c>
      <c r="C751" s="109" t="s">
        <v>8841</v>
      </c>
      <c r="D751" s="109" t="s">
        <v>9709</v>
      </c>
      <c r="E751" s="109" t="s">
        <v>9709</v>
      </c>
      <c r="F751" s="109" t="s">
        <v>9710</v>
      </c>
      <c r="G751" s="110" t="s">
        <v>6248</v>
      </c>
      <c r="H751" s="110" t="s">
        <v>9711</v>
      </c>
      <c r="I751" s="110" t="s">
        <v>9712</v>
      </c>
    </row>
    <row r="752" spans="1:9" ht="37.799999999999997" x14ac:dyDescent="0.3">
      <c r="A752" s="109" t="s">
        <v>9713</v>
      </c>
      <c r="B752" s="109" t="s">
        <v>8841</v>
      </c>
      <c r="C752" s="109" t="s">
        <v>8841</v>
      </c>
      <c r="D752" s="109" t="s">
        <v>714</v>
      </c>
      <c r="E752" s="109" t="s">
        <v>5558</v>
      </c>
      <c r="F752" s="109" t="s">
        <v>9714</v>
      </c>
      <c r="G752" s="110" t="s">
        <v>6248</v>
      </c>
      <c r="H752" s="110" t="s">
        <v>6883</v>
      </c>
      <c r="I752" s="110" t="s">
        <v>9715</v>
      </c>
    </row>
    <row r="753" spans="1:9" ht="75.599999999999994" x14ac:dyDescent="0.3">
      <c r="A753" s="109" t="s">
        <v>9716</v>
      </c>
      <c r="B753" s="109" t="s">
        <v>8841</v>
      </c>
      <c r="C753" s="109" t="s">
        <v>8841</v>
      </c>
      <c r="D753" s="109" t="s">
        <v>9717</v>
      </c>
      <c r="E753" s="109" t="s">
        <v>9717</v>
      </c>
      <c r="F753" s="109" t="s">
        <v>9718</v>
      </c>
      <c r="G753" s="110" t="s">
        <v>6248</v>
      </c>
      <c r="H753" s="110" t="s">
        <v>9719</v>
      </c>
      <c r="I753" s="110" t="s">
        <v>9720</v>
      </c>
    </row>
    <row r="754" spans="1:9" ht="25.2" x14ac:dyDescent="0.3">
      <c r="A754" s="109" t="s">
        <v>9721</v>
      </c>
      <c r="B754" s="109" t="s">
        <v>8841</v>
      </c>
      <c r="C754" s="109" t="s">
        <v>8841</v>
      </c>
      <c r="D754" s="109" t="s">
        <v>5569</v>
      </c>
      <c r="E754" s="109" t="s">
        <v>5558</v>
      </c>
      <c r="F754" s="109" t="s">
        <v>2258</v>
      </c>
      <c r="G754" s="110" t="s">
        <v>6248</v>
      </c>
      <c r="H754" s="110" t="s">
        <v>9722</v>
      </c>
      <c r="I754" s="110" t="s">
        <v>9723</v>
      </c>
    </row>
    <row r="755" spans="1:9" ht="25.2" x14ac:dyDescent="0.3">
      <c r="A755" s="109" t="s">
        <v>9724</v>
      </c>
      <c r="B755" s="109" t="s">
        <v>8841</v>
      </c>
      <c r="C755" s="109" t="s">
        <v>8841</v>
      </c>
      <c r="D755" s="109" t="s">
        <v>6270</v>
      </c>
      <c r="E755" s="109" t="s">
        <v>5558</v>
      </c>
      <c r="F755" s="109" t="s">
        <v>2258</v>
      </c>
      <c r="G755" s="110" t="s">
        <v>6248</v>
      </c>
      <c r="H755" s="110" t="s">
        <v>9351</v>
      </c>
      <c r="I755" s="110" t="s">
        <v>9725</v>
      </c>
    </row>
    <row r="756" spans="1:9" ht="25.2" x14ac:dyDescent="0.3">
      <c r="A756" s="109" t="s">
        <v>9726</v>
      </c>
      <c r="B756" s="109" t="s">
        <v>8841</v>
      </c>
      <c r="C756" s="109" t="s">
        <v>8841</v>
      </c>
      <c r="D756" s="109" t="s">
        <v>6275</v>
      </c>
      <c r="E756" s="109" t="s">
        <v>5558</v>
      </c>
      <c r="F756" s="109" t="s">
        <v>2258</v>
      </c>
      <c r="G756" s="110" t="s">
        <v>6248</v>
      </c>
      <c r="H756" s="110" t="s">
        <v>9727</v>
      </c>
      <c r="I756" s="110" t="s">
        <v>9728</v>
      </c>
    </row>
    <row r="757" spans="1:9" ht="37.799999999999997" x14ac:dyDescent="0.3">
      <c r="A757" s="109" t="s">
        <v>9729</v>
      </c>
      <c r="B757" s="109" t="s">
        <v>8841</v>
      </c>
      <c r="C757" s="109" t="s">
        <v>8841</v>
      </c>
      <c r="D757" s="109" t="s">
        <v>9730</v>
      </c>
      <c r="E757" s="109" t="s">
        <v>5558</v>
      </c>
      <c r="F757" s="109" t="s">
        <v>9731</v>
      </c>
      <c r="G757" s="110" t="s">
        <v>6248</v>
      </c>
      <c r="H757" s="110" t="s">
        <v>9732</v>
      </c>
      <c r="I757" s="110" t="s">
        <v>9733</v>
      </c>
    </row>
    <row r="758" spans="1:9" ht="37.799999999999997" x14ac:dyDescent="0.3">
      <c r="A758" s="109" t="s">
        <v>9734</v>
      </c>
      <c r="B758" s="109" t="s">
        <v>8841</v>
      </c>
      <c r="C758" s="109" t="s">
        <v>8841</v>
      </c>
      <c r="D758" s="109" t="s">
        <v>9735</v>
      </c>
      <c r="E758" s="109" t="s">
        <v>5558</v>
      </c>
      <c r="F758" s="109" t="s">
        <v>9736</v>
      </c>
      <c r="G758" s="110" t="s">
        <v>6248</v>
      </c>
      <c r="H758" s="110" t="s">
        <v>6883</v>
      </c>
      <c r="I758" s="110" t="s">
        <v>9737</v>
      </c>
    </row>
    <row r="759" spans="1:9" ht="37.799999999999997" x14ac:dyDescent="0.3">
      <c r="A759" s="109" t="s">
        <v>9738</v>
      </c>
      <c r="B759" s="109" t="s">
        <v>8841</v>
      </c>
      <c r="C759" s="109" t="s">
        <v>8841</v>
      </c>
      <c r="D759" s="109" t="s">
        <v>9739</v>
      </c>
      <c r="E759" s="109" t="s">
        <v>5558</v>
      </c>
      <c r="F759" s="109" t="s">
        <v>9740</v>
      </c>
      <c r="G759" s="110" t="s">
        <v>6248</v>
      </c>
      <c r="H759" s="110" t="s">
        <v>9741</v>
      </c>
      <c r="I759" s="110" t="s">
        <v>9742</v>
      </c>
    </row>
    <row r="760" spans="1:9" ht="25.2" x14ac:dyDescent="0.3">
      <c r="A760" s="109" t="s">
        <v>9743</v>
      </c>
      <c r="B760" s="109" t="s">
        <v>8841</v>
      </c>
      <c r="C760" s="109" t="s">
        <v>8841</v>
      </c>
      <c r="D760" s="109" t="s">
        <v>9744</v>
      </c>
      <c r="E760" s="109" t="s">
        <v>5558</v>
      </c>
      <c r="F760" s="109" t="s">
        <v>9745</v>
      </c>
      <c r="G760" s="110" t="s">
        <v>6248</v>
      </c>
      <c r="H760" s="110" t="s">
        <v>9746</v>
      </c>
      <c r="I760" s="110" t="s">
        <v>9747</v>
      </c>
    </row>
    <row r="761" spans="1:9" ht="25.2" x14ac:dyDescent="0.3">
      <c r="A761" s="109" t="s">
        <v>9748</v>
      </c>
      <c r="B761" s="109" t="s">
        <v>8841</v>
      </c>
      <c r="C761" s="109" t="s">
        <v>8841</v>
      </c>
      <c r="D761" s="109" t="s">
        <v>9749</v>
      </c>
      <c r="E761" s="109" t="s">
        <v>9750</v>
      </c>
      <c r="F761" s="109" t="s">
        <v>9751</v>
      </c>
      <c r="G761" s="110" t="s">
        <v>6248</v>
      </c>
      <c r="H761" s="110" t="s">
        <v>9752</v>
      </c>
      <c r="I761" s="110" t="s">
        <v>9753</v>
      </c>
    </row>
    <row r="762" spans="1:9" ht="37.799999999999997" x14ac:dyDescent="0.3">
      <c r="A762" s="109" t="s">
        <v>9754</v>
      </c>
      <c r="B762" s="109" t="s">
        <v>8841</v>
      </c>
      <c r="C762" s="109" t="s">
        <v>8841</v>
      </c>
      <c r="D762" s="109" t="s">
        <v>707</v>
      </c>
      <c r="E762" s="109" t="s">
        <v>5558</v>
      </c>
      <c r="F762" s="109" t="s">
        <v>9755</v>
      </c>
      <c r="G762" s="110" t="s">
        <v>6248</v>
      </c>
      <c r="H762" s="110" t="s">
        <v>9756</v>
      </c>
      <c r="I762" s="110" t="s">
        <v>9757</v>
      </c>
    </row>
    <row r="763" spans="1:9" ht="25.2" x14ac:dyDescent="0.3">
      <c r="A763" s="109" t="s">
        <v>9758</v>
      </c>
      <c r="B763" s="109" t="s">
        <v>8841</v>
      </c>
      <c r="C763" s="109" t="s">
        <v>8841</v>
      </c>
      <c r="D763" s="109" t="s">
        <v>9759</v>
      </c>
      <c r="E763" s="109" t="s">
        <v>9760</v>
      </c>
      <c r="F763" s="109" t="s">
        <v>7181</v>
      </c>
      <c r="G763" s="110" t="s">
        <v>9647</v>
      </c>
      <c r="H763" s="110" t="s">
        <v>6248</v>
      </c>
      <c r="I763" s="110" t="s">
        <v>9761</v>
      </c>
    </row>
    <row r="764" spans="1:9" ht="25.2" x14ac:dyDescent="0.3">
      <c r="A764" s="109" t="s">
        <v>9762</v>
      </c>
      <c r="B764" s="109" t="s">
        <v>8841</v>
      </c>
      <c r="C764" s="109" t="s">
        <v>8841</v>
      </c>
      <c r="D764" s="109" t="s">
        <v>9763</v>
      </c>
      <c r="E764" s="109" t="s">
        <v>5932</v>
      </c>
      <c r="F764" s="109" t="s">
        <v>8038</v>
      </c>
      <c r="G764" s="110" t="s">
        <v>6248</v>
      </c>
      <c r="H764" s="110" t="s">
        <v>9764</v>
      </c>
      <c r="I764" s="110" t="s">
        <v>9765</v>
      </c>
    </row>
    <row r="765" spans="1:9" ht="25.2" x14ac:dyDescent="0.3">
      <c r="A765" s="109" t="s">
        <v>9766</v>
      </c>
      <c r="B765" s="109" t="s">
        <v>8841</v>
      </c>
      <c r="C765" s="109" t="s">
        <v>8841</v>
      </c>
      <c r="D765" s="109" t="s">
        <v>1766</v>
      </c>
      <c r="E765" s="109" t="s">
        <v>9767</v>
      </c>
      <c r="F765" s="109" t="s">
        <v>8038</v>
      </c>
      <c r="G765" s="110" t="s">
        <v>6248</v>
      </c>
      <c r="H765" s="110" t="s">
        <v>9768</v>
      </c>
      <c r="I765" s="110" t="s">
        <v>9769</v>
      </c>
    </row>
    <row r="766" spans="1:9" ht="37.799999999999997" x14ac:dyDescent="0.3">
      <c r="A766" s="109" t="s">
        <v>9770</v>
      </c>
      <c r="B766" s="109" t="s">
        <v>8841</v>
      </c>
      <c r="C766" s="109" t="s">
        <v>8841</v>
      </c>
      <c r="D766" s="109" t="s">
        <v>9771</v>
      </c>
      <c r="E766" s="109" t="s">
        <v>5558</v>
      </c>
      <c r="F766" s="109" t="s">
        <v>9772</v>
      </c>
      <c r="G766" s="110" t="s">
        <v>6248</v>
      </c>
      <c r="H766" s="110" t="s">
        <v>9773</v>
      </c>
      <c r="I766" s="110" t="s">
        <v>9774</v>
      </c>
    </row>
    <row r="767" spans="1:9" ht="25.2" x14ac:dyDescent="0.3">
      <c r="A767" s="109" t="s">
        <v>9775</v>
      </c>
      <c r="B767" s="109" t="s">
        <v>8841</v>
      </c>
      <c r="C767" s="109" t="s">
        <v>8841</v>
      </c>
      <c r="D767" s="109" t="s">
        <v>9776</v>
      </c>
      <c r="E767" s="109" t="s">
        <v>9777</v>
      </c>
      <c r="F767" s="109" t="s">
        <v>9778</v>
      </c>
      <c r="G767" s="110" t="s">
        <v>6248</v>
      </c>
      <c r="H767" s="110" t="s">
        <v>9779</v>
      </c>
      <c r="I767" s="110" t="s">
        <v>9780</v>
      </c>
    </row>
    <row r="768" spans="1:9" ht="25.2" x14ac:dyDescent="0.3">
      <c r="A768" s="109" t="s">
        <v>9781</v>
      </c>
      <c r="B768" s="109" t="s">
        <v>8841</v>
      </c>
      <c r="C768" s="109" t="s">
        <v>8841</v>
      </c>
      <c r="D768" s="109" t="s">
        <v>9782</v>
      </c>
      <c r="E768" s="109" t="s">
        <v>5558</v>
      </c>
      <c r="F768" s="109" t="s">
        <v>9783</v>
      </c>
      <c r="G768" s="110" t="s">
        <v>6248</v>
      </c>
      <c r="H768" s="110" t="s">
        <v>9784</v>
      </c>
      <c r="I768" s="110" t="s">
        <v>9785</v>
      </c>
    </row>
    <row r="769" spans="1:9" ht="50.4" x14ac:dyDescent="0.3">
      <c r="A769" s="109" t="s">
        <v>9786</v>
      </c>
      <c r="B769" s="109" t="s">
        <v>8841</v>
      </c>
      <c r="C769" s="109" t="s">
        <v>8841</v>
      </c>
      <c r="D769" s="109" t="s">
        <v>9787</v>
      </c>
      <c r="E769" s="109" t="s">
        <v>9787</v>
      </c>
      <c r="F769" s="109" t="s">
        <v>9788</v>
      </c>
      <c r="G769" s="110" t="s">
        <v>6248</v>
      </c>
      <c r="H769" s="110" t="s">
        <v>9789</v>
      </c>
      <c r="I769" s="110" t="s">
        <v>9790</v>
      </c>
    </row>
    <row r="770" spans="1:9" ht="63" x14ac:dyDescent="0.3">
      <c r="A770" s="109" t="s">
        <v>9791</v>
      </c>
      <c r="B770" s="109" t="s">
        <v>8841</v>
      </c>
      <c r="C770" s="109" t="s">
        <v>8841</v>
      </c>
      <c r="D770" s="109" t="s">
        <v>9792</v>
      </c>
      <c r="E770" s="109" t="s">
        <v>9792</v>
      </c>
      <c r="F770" s="109" t="s">
        <v>9793</v>
      </c>
      <c r="G770" s="110" t="s">
        <v>6248</v>
      </c>
      <c r="H770" s="110" t="s">
        <v>9794</v>
      </c>
      <c r="I770" s="110" t="s">
        <v>9795</v>
      </c>
    </row>
    <row r="771" spans="1:9" ht="63" x14ac:dyDescent="0.3">
      <c r="A771" s="109" t="s">
        <v>9796</v>
      </c>
      <c r="B771" s="109" t="s">
        <v>8841</v>
      </c>
      <c r="C771" s="109" t="s">
        <v>8841</v>
      </c>
      <c r="D771" s="109" t="s">
        <v>9797</v>
      </c>
      <c r="E771" s="109" t="s">
        <v>9797</v>
      </c>
      <c r="F771" s="109" t="s">
        <v>9798</v>
      </c>
      <c r="G771" s="110" t="s">
        <v>6248</v>
      </c>
      <c r="H771" s="110" t="s">
        <v>9799</v>
      </c>
      <c r="I771" s="110" t="s">
        <v>9800</v>
      </c>
    </row>
    <row r="772" spans="1:9" ht="63" x14ac:dyDescent="0.3">
      <c r="A772" s="109" t="s">
        <v>9801</v>
      </c>
      <c r="B772" s="109" t="s">
        <v>8841</v>
      </c>
      <c r="C772" s="109" t="s">
        <v>8841</v>
      </c>
      <c r="D772" s="109" t="s">
        <v>9802</v>
      </c>
      <c r="E772" s="109" t="s">
        <v>9802</v>
      </c>
      <c r="F772" s="109" t="s">
        <v>9803</v>
      </c>
      <c r="G772" s="110" t="s">
        <v>6248</v>
      </c>
      <c r="H772" s="110" t="s">
        <v>9804</v>
      </c>
      <c r="I772" s="110" t="s">
        <v>9805</v>
      </c>
    </row>
    <row r="773" spans="1:9" ht="25.2" x14ac:dyDescent="0.3">
      <c r="A773" s="109" t="s">
        <v>9806</v>
      </c>
      <c r="B773" s="109" t="s">
        <v>8841</v>
      </c>
      <c r="C773" s="109" t="s">
        <v>8841</v>
      </c>
      <c r="D773" s="109" t="s">
        <v>9807</v>
      </c>
      <c r="E773" s="109" t="s">
        <v>5558</v>
      </c>
      <c r="F773" s="109" t="s">
        <v>9808</v>
      </c>
      <c r="G773" s="110" t="s">
        <v>6248</v>
      </c>
      <c r="H773" s="110" t="s">
        <v>9809</v>
      </c>
      <c r="I773" s="110" t="s">
        <v>9810</v>
      </c>
    </row>
    <row r="774" spans="1:9" ht="25.2" x14ac:dyDescent="0.3">
      <c r="A774" s="109" t="s">
        <v>9811</v>
      </c>
      <c r="B774" s="109" t="s">
        <v>8841</v>
      </c>
      <c r="C774" s="109" t="s">
        <v>8841</v>
      </c>
      <c r="D774" s="109" t="s">
        <v>9812</v>
      </c>
      <c r="E774" s="109" t="s">
        <v>5558</v>
      </c>
      <c r="F774" s="109" t="s">
        <v>9813</v>
      </c>
      <c r="G774" s="110" t="s">
        <v>6248</v>
      </c>
      <c r="H774" s="110" t="s">
        <v>9814</v>
      </c>
      <c r="I774" s="110" t="s">
        <v>9815</v>
      </c>
    </row>
    <row r="775" spans="1:9" ht="63" x14ac:dyDescent="0.3">
      <c r="A775" s="109" t="s">
        <v>9816</v>
      </c>
      <c r="B775" s="109" t="s">
        <v>8841</v>
      </c>
      <c r="C775" s="109" t="s">
        <v>8841</v>
      </c>
      <c r="D775" s="109" t="s">
        <v>9817</v>
      </c>
      <c r="E775" s="109" t="s">
        <v>9817</v>
      </c>
      <c r="F775" s="109" t="s">
        <v>9818</v>
      </c>
      <c r="G775" s="110" t="s">
        <v>6248</v>
      </c>
      <c r="H775" s="110" t="s">
        <v>9819</v>
      </c>
      <c r="I775" s="110" t="s">
        <v>9820</v>
      </c>
    </row>
    <row r="776" spans="1:9" ht="75.599999999999994" x14ac:dyDescent="0.3">
      <c r="A776" s="109" t="s">
        <v>9821</v>
      </c>
      <c r="B776" s="109" t="s">
        <v>8841</v>
      </c>
      <c r="C776" s="109" t="s">
        <v>8841</v>
      </c>
      <c r="D776" s="109" t="s">
        <v>8529</v>
      </c>
      <c r="E776" s="109" t="s">
        <v>8529</v>
      </c>
      <c r="F776" s="109" t="s">
        <v>9822</v>
      </c>
      <c r="G776" s="110" t="s">
        <v>6248</v>
      </c>
      <c r="H776" s="110" t="s">
        <v>9823</v>
      </c>
      <c r="I776" s="110" t="s">
        <v>9824</v>
      </c>
    </row>
    <row r="777" spans="1:9" ht="37.799999999999997" x14ac:dyDescent="0.3">
      <c r="A777" s="109" t="s">
        <v>9825</v>
      </c>
      <c r="B777" s="109" t="s">
        <v>8841</v>
      </c>
      <c r="C777" s="109" t="s">
        <v>8841</v>
      </c>
      <c r="D777" s="109" t="s">
        <v>9826</v>
      </c>
      <c r="E777" s="109" t="s">
        <v>5558</v>
      </c>
      <c r="F777" s="109" t="s">
        <v>9827</v>
      </c>
      <c r="G777" s="110" t="s">
        <v>6248</v>
      </c>
      <c r="H777" s="110" t="s">
        <v>9828</v>
      </c>
      <c r="I777" s="110" t="s">
        <v>9829</v>
      </c>
    </row>
    <row r="778" spans="1:9" ht="25.2" x14ac:dyDescent="0.3">
      <c r="A778" s="109" t="s">
        <v>9830</v>
      </c>
      <c r="B778" s="109" t="s">
        <v>8841</v>
      </c>
      <c r="C778" s="109" t="s">
        <v>8841</v>
      </c>
      <c r="D778" s="109" t="s">
        <v>9831</v>
      </c>
      <c r="E778" s="109" t="s">
        <v>5558</v>
      </c>
      <c r="F778" s="109" t="s">
        <v>9832</v>
      </c>
      <c r="G778" s="110" t="s">
        <v>6248</v>
      </c>
      <c r="H778" s="110" t="s">
        <v>9833</v>
      </c>
      <c r="I778" s="110" t="s">
        <v>9834</v>
      </c>
    </row>
    <row r="779" spans="1:9" ht="37.799999999999997" x14ac:dyDescent="0.3">
      <c r="A779" s="109" t="s">
        <v>9835</v>
      </c>
      <c r="B779" s="109" t="s">
        <v>8841</v>
      </c>
      <c r="C779" s="109" t="s">
        <v>8841</v>
      </c>
      <c r="D779" s="109" t="s">
        <v>9836</v>
      </c>
      <c r="E779" s="109" t="s">
        <v>9837</v>
      </c>
      <c r="F779" s="109" t="s">
        <v>9838</v>
      </c>
      <c r="G779" s="110" t="s">
        <v>6248</v>
      </c>
      <c r="H779" s="110" t="s">
        <v>7128</v>
      </c>
      <c r="I779" s="110" t="s">
        <v>9839</v>
      </c>
    </row>
    <row r="780" spans="1:9" ht="25.2" x14ac:dyDescent="0.3">
      <c r="A780" s="109" t="s">
        <v>9840</v>
      </c>
      <c r="B780" s="109" t="s">
        <v>8841</v>
      </c>
      <c r="C780" s="109" t="s">
        <v>8841</v>
      </c>
      <c r="D780" s="109" t="s">
        <v>9841</v>
      </c>
      <c r="E780" s="109" t="s">
        <v>5558</v>
      </c>
      <c r="F780" s="109" t="s">
        <v>9842</v>
      </c>
      <c r="G780" s="110" t="s">
        <v>6248</v>
      </c>
      <c r="H780" s="110" t="s">
        <v>9843</v>
      </c>
      <c r="I780" s="110" t="s">
        <v>9844</v>
      </c>
    </row>
    <row r="781" spans="1:9" ht="25.2" x14ac:dyDescent="0.3">
      <c r="A781" s="109" t="s">
        <v>9845</v>
      </c>
      <c r="B781" s="109" t="s">
        <v>8841</v>
      </c>
      <c r="C781" s="109" t="s">
        <v>8841</v>
      </c>
      <c r="D781" s="109" t="s">
        <v>5569</v>
      </c>
      <c r="E781" s="109" t="s">
        <v>5558</v>
      </c>
      <c r="F781" s="109" t="s">
        <v>2258</v>
      </c>
      <c r="G781" s="110" t="s">
        <v>6248</v>
      </c>
      <c r="H781" s="110" t="s">
        <v>9846</v>
      </c>
      <c r="I781" s="110" t="s">
        <v>9847</v>
      </c>
    </row>
    <row r="782" spans="1:9" ht="25.2" x14ac:dyDescent="0.3">
      <c r="A782" s="109" t="s">
        <v>9848</v>
      </c>
      <c r="B782" s="109" t="s">
        <v>8841</v>
      </c>
      <c r="C782" s="109" t="s">
        <v>8841</v>
      </c>
      <c r="D782" s="109" t="s">
        <v>5569</v>
      </c>
      <c r="E782" s="109" t="s">
        <v>5558</v>
      </c>
      <c r="F782" s="109" t="s">
        <v>2258</v>
      </c>
      <c r="G782" s="110" t="s">
        <v>6248</v>
      </c>
      <c r="H782" s="110" t="s">
        <v>9849</v>
      </c>
      <c r="I782" s="110" t="s">
        <v>9850</v>
      </c>
    </row>
    <row r="783" spans="1:9" ht="50.4" x14ac:dyDescent="0.3">
      <c r="A783" s="109" t="s">
        <v>9851</v>
      </c>
      <c r="B783" s="109" t="s">
        <v>8841</v>
      </c>
      <c r="C783" s="109" t="s">
        <v>8841</v>
      </c>
      <c r="D783" s="109" t="s">
        <v>9852</v>
      </c>
      <c r="E783" s="109" t="s">
        <v>9852</v>
      </c>
      <c r="F783" s="109" t="s">
        <v>9853</v>
      </c>
      <c r="G783" s="110" t="s">
        <v>6248</v>
      </c>
      <c r="H783" s="110" t="s">
        <v>9854</v>
      </c>
      <c r="I783" s="110" t="s">
        <v>9855</v>
      </c>
    </row>
    <row r="784" spans="1:9" ht="50.4" x14ac:dyDescent="0.3">
      <c r="A784" s="109" t="s">
        <v>9856</v>
      </c>
      <c r="B784" s="109" t="s">
        <v>8841</v>
      </c>
      <c r="C784" s="109" t="s">
        <v>8841</v>
      </c>
      <c r="D784" s="109" t="s">
        <v>9857</v>
      </c>
      <c r="E784" s="109" t="s">
        <v>9857</v>
      </c>
      <c r="F784" s="109" t="s">
        <v>9858</v>
      </c>
      <c r="G784" s="110" t="s">
        <v>6248</v>
      </c>
      <c r="H784" s="110" t="s">
        <v>9859</v>
      </c>
      <c r="I784" s="110" t="s">
        <v>9860</v>
      </c>
    </row>
    <row r="785" spans="1:9" ht="25.2" x14ac:dyDescent="0.3">
      <c r="A785" s="109" t="s">
        <v>9861</v>
      </c>
      <c r="B785" s="109" t="s">
        <v>8841</v>
      </c>
      <c r="C785" s="109" t="s">
        <v>8841</v>
      </c>
      <c r="D785" s="109" t="s">
        <v>9862</v>
      </c>
      <c r="E785" s="109" t="s">
        <v>5558</v>
      </c>
      <c r="F785" s="109" t="s">
        <v>9863</v>
      </c>
      <c r="G785" s="110" t="s">
        <v>6248</v>
      </c>
      <c r="H785" s="110" t="s">
        <v>9864</v>
      </c>
      <c r="I785" s="110" t="s">
        <v>9865</v>
      </c>
    </row>
    <row r="786" spans="1:9" ht="50.4" x14ac:dyDescent="0.3">
      <c r="A786" s="109" t="s">
        <v>9866</v>
      </c>
      <c r="B786" s="109" t="s">
        <v>8841</v>
      </c>
      <c r="C786" s="109" t="s">
        <v>8841</v>
      </c>
      <c r="D786" s="109" t="s">
        <v>9444</v>
      </c>
      <c r="E786" s="109" t="s">
        <v>9444</v>
      </c>
      <c r="F786" s="109" t="s">
        <v>9867</v>
      </c>
      <c r="G786" s="110" t="s">
        <v>6248</v>
      </c>
      <c r="H786" s="110" t="s">
        <v>9868</v>
      </c>
      <c r="I786" s="110" t="s">
        <v>9869</v>
      </c>
    </row>
    <row r="787" spans="1:9" ht="50.4" x14ac:dyDescent="0.3">
      <c r="A787" s="109" t="s">
        <v>9870</v>
      </c>
      <c r="B787" s="109" t="s">
        <v>8841</v>
      </c>
      <c r="C787" s="109" t="s">
        <v>8841</v>
      </c>
      <c r="D787" s="109" t="s">
        <v>9871</v>
      </c>
      <c r="E787" s="109" t="s">
        <v>9871</v>
      </c>
      <c r="F787" s="109" t="s">
        <v>9872</v>
      </c>
      <c r="G787" s="110" t="s">
        <v>6248</v>
      </c>
      <c r="H787" s="110" t="s">
        <v>9873</v>
      </c>
      <c r="I787" s="110" t="s">
        <v>9874</v>
      </c>
    </row>
    <row r="788" spans="1:9" ht="25.2" x14ac:dyDescent="0.3">
      <c r="A788" s="109" t="s">
        <v>9875</v>
      </c>
      <c r="B788" s="109" t="s">
        <v>8841</v>
      </c>
      <c r="C788" s="109" t="s">
        <v>8841</v>
      </c>
      <c r="D788" s="109" t="s">
        <v>5569</v>
      </c>
      <c r="E788" s="109" t="s">
        <v>5558</v>
      </c>
      <c r="F788" s="109" t="s">
        <v>2258</v>
      </c>
      <c r="G788" s="110" t="s">
        <v>6248</v>
      </c>
      <c r="H788" s="110" t="s">
        <v>9876</v>
      </c>
      <c r="I788" s="110" t="s">
        <v>9877</v>
      </c>
    </row>
    <row r="789" spans="1:9" ht="37.799999999999997" x14ac:dyDescent="0.3">
      <c r="A789" s="109" t="s">
        <v>9878</v>
      </c>
      <c r="B789" s="109" t="s">
        <v>8841</v>
      </c>
      <c r="C789" s="109" t="s">
        <v>8841</v>
      </c>
      <c r="D789" s="109" t="s">
        <v>9879</v>
      </c>
      <c r="E789" s="109" t="s">
        <v>5558</v>
      </c>
      <c r="F789" s="109" t="s">
        <v>9880</v>
      </c>
      <c r="G789" s="110" t="s">
        <v>6248</v>
      </c>
      <c r="H789" s="110" t="s">
        <v>9199</v>
      </c>
      <c r="I789" s="110" t="s">
        <v>9881</v>
      </c>
    </row>
    <row r="790" spans="1:9" ht="50.4" x14ac:dyDescent="0.3">
      <c r="A790" s="109" t="s">
        <v>9882</v>
      </c>
      <c r="B790" s="109" t="s">
        <v>8841</v>
      </c>
      <c r="C790" s="109" t="s">
        <v>8841</v>
      </c>
      <c r="D790" s="109" t="s">
        <v>9883</v>
      </c>
      <c r="E790" s="109" t="s">
        <v>9883</v>
      </c>
      <c r="F790" s="109" t="s">
        <v>9884</v>
      </c>
      <c r="G790" s="110" t="s">
        <v>6248</v>
      </c>
      <c r="H790" s="110" t="s">
        <v>9885</v>
      </c>
      <c r="I790" s="110" t="s">
        <v>9886</v>
      </c>
    </row>
    <row r="791" spans="1:9" ht="50.4" x14ac:dyDescent="0.3">
      <c r="A791" s="109" t="s">
        <v>9887</v>
      </c>
      <c r="B791" s="109" t="s">
        <v>8841</v>
      </c>
      <c r="C791" s="109" t="s">
        <v>8841</v>
      </c>
      <c r="D791" s="109" t="s">
        <v>9888</v>
      </c>
      <c r="E791" s="109" t="s">
        <v>9888</v>
      </c>
      <c r="F791" s="109" t="s">
        <v>9889</v>
      </c>
      <c r="G791" s="110" t="s">
        <v>6248</v>
      </c>
      <c r="H791" s="110" t="s">
        <v>9890</v>
      </c>
      <c r="I791" s="110" t="s">
        <v>9891</v>
      </c>
    </row>
    <row r="792" spans="1:9" ht="50.4" x14ac:dyDescent="0.3">
      <c r="A792" s="109" t="s">
        <v>9892</v>
      </c>
      <c r="B792" s="109" t="s">
        <v>8841</v>
      </c>
      <c r="C792" s="109" t="s">
        <v>8841</v>
      </c>
      <c r="D792" s="109" t="s">
        <v>9893</v>
      </c>
      <c r="E792" s="109" t="s">
        <v>9893</v>
      </c>
      <c r="F792" s="109" t="s">
        <v>9894</v>
      </c>
      <c r="G792" s="110" t="s">
        <v>6248</v>
      </c>
      <c r="H792" s="110" t="s">
        <v>9895</v>
      </c>
      <c r="I792" s="110" t="s">
        <v>9896</v>
      </c>
    </row>
    <row r="793" spans="1:9" ht="50.4" x14ac:dyDescent="0.3">
      <c r="A793" s="109" t="s">
        <v>9897</v>
      </c>
      <c r="B793" s="109" t="s">
        <v>8841</v>
      </c>
      <c r="C793" s="109" t="s">
        <v>8841</v>
      </c>
      <c r="D793" s="109" t="s">
        <v>9898</v>
      </c>
      <c r="E793" s="109" t="s">
        <v>9898</v>
      </c>
      <c r="F793" s="109" t="s">
        <v>9899</v>
      </c>
      <c r="G793" s="110" t="s">
        <v>6248</v>
      </c>
      <c r="H793" s="110" t="s">
        <v>9900</v>
      </c>
      <c r="I793" s="110" t="s">
        <v>9901</v>
      </c>
    </row>
    <row r="794" spans="1:9" ht="37.799999999999997" x14ac:dyDescent="0.3">
      <c r="A794" s="109" t="s">
        <v>9902</v>
      </c>
      <c r="B794" s="109" t="s">
        <v>8841</v>
      </c>
      <c r="C794" s="109" t="s">
        <v>8841</v>
      </c>
      <c r="D794" s="109" t="s">
        <v>9903</v>
      </c>
      <c r="E794" s="109" t="s">
        <v>5558</v>
      </c>
      <c r="F794" s="109" t="s">
        <v>9904</v>
      </c>
      <c r="G794" s="110" t="s">
        <v>6248</v>
      </c>
      <c r="H794" s="110" t="s">
        <v>6689</v>
      </c>
      <c r="I794" s="110" t="s">
        <v>9905</v>
      </c>
    </row>
    <row r="795" spans="1:9" ht="37.799999999999997" x14ac:dyDescent="0.3">
      <c r="A795" s="109" t="s">
        <v>9906</v>
      </c>
      <c r="B795" s="109" t="s">
        <v>8841</v>
      </c>
      <c r="C795" s="109" t="s">
        <v>8841</v>
      </c>
      <c r="D795" s="109" t="s">
        <v>9907</v>
      </c>
      <c r="E795" s="109" t="s">
        <v>9908</v>
      </c>
      <c r="F795" s="109" t="s">
        <v>9909</v>
      </c>
      <c r="G795" s="110" t="s">
        <v>6248</v>
      </c>
      <c r="H795" s="110" t="s">
        <v>9910</v>
      </c>
      <c r="I795" s="110" t="s">
        <v>9911</v>
      </c>
    </row>
    <row r="796" spans="1:9" ht="50.4" x14ac:dyDescent="0.3">
      <c r="A796" s="109" t="s">
        <v>9912</v>
      </c>
      <c r="B796" s="109" t="s">
        <v>8841</v>
      </c>
      <c r="C796" s="109" t="s">
        <v>8841</v>
      </c>
      <c r="D796" s="109" t="s">
        <v>9913</v>
      </c>
      <c r="E796" s="109" t="s">
        <v>9913</v>
      </c>
      <c r="F796" s="109" t="s">
        <v>9914</v>
      </c>
      <c r="G796" s="110" t="s">
        <v>6248</v>
      </c>
      <c r="H796" s="110" t="s">
        <v>7480</v>
      </c>
      <c r="I796" s="110" t="s">
        <v>9915</v>
      </c>
    </row>
    <row r="797" spans="1:9" ht="50.4" x14ac:dyDescent="0.3">
      <c r="A797" s="109" t="s">
        <v>9916</v>
      </c>
      <c r="B797" s="109" t="s">
        <v>8841</v>
      </c>
      <c r="C797" s="109" t="s">
        <v>8841</v>
      </c>
      <c r="D797" s="109" t="s">
        <v>9917</v>
      </c>
      <c r="E797" s="109" t="s">
        <v>9917</v>
      </c>
      <c r="F797" s="109" t="s">
        <v>9918</v>
      </c>
      <c r="G797" s="110" t="s">
        <v>6248</v>
      </c>
      <c r="H797" s="110" t="s">
        <v>8484</v>
      </c>
      <c r="I797" s="110" t="s">
        <v>9919</v>
      </c>
    </row>
    <row r="798" spans="1:9" ht="50.4" x14ac:dyDescent="0.3">
      <c r="A798" s="109" t="s">
        <v>9920</v>
      </c>
      <c r="B798" s="109" t="s">
        <v>8841</v>
      </c>
      <c r="C798" s="109" t="s">
        <v>8841</v>
      </c>
      <c r="D798" s="109" t="s">
        <v>9921</v>
      </c>
      <c r="E798" s="109" t="s">
        <v>9921</v>
      </c>
      <c r="F798" s="109" t="s">
        <v>9922</v>
      </c>
      <c r="G798" s="110" t="s">
        <v>6248</v>
      </c>
      <c r="H798" s="110" t="s">
        <v>8484</v>
      </c>
      <c r="I798" s="110" t="s">
        <v>9923</v>
      </c>
    </row>
    <row r="799" spans="1:9" ht="37.799999999999997" x14ac:dyDescent="0.3">
      <c r="A799" s="109" t="s">
        <v>9924</v>
      </c>
      <c r="B799" s="109" t="s">
        <v>8841</v>
      </c>
      <c r="C799" s="109" t="s">
        <v>8841</v>
      </c>
      <c r="D799" s="109" t="s">
        <v>9925</v>
      </c>
      <c r="E799" s="109" t="s">
        <v>5558</v>
      </c>
      <c r="F799" s="109" t="s">
        <v>9926</v>
      </c>
      <c r="G799" s="110" t="s">
        <v>6248</v>
      </c>
      <c r="H799" s="110" t="s">
        <v>9927</v>
      </c>
      <c r="I799" s="110" t="s">
        <v>9928</v>
      </c>
    </row>
    <row r="800" spans="1:9" ht="63" x14ac:dyDescent="0.3">
      <c r="A800" s="109" t="s">
        <v>9929</v>
      </c>
      <c r="B800" s="109" t="s">
        <v>8841</v>
      </c>
      <c r="C800" s="109" t="s">
        <v>8841</v>
      </c>
      <c r="D800" s="109" t="s">
        <v>9930</v>
      </c>
      <c r="E800" s="109" t="s">
        <v>9930</v>
      </c>
      <c r="F800" s="109" t="s">
        <v>9931</v>
      </c>
      <c r="G800" s="110" t="s">
        <v>6248</v>
      </c>
      <c r="H800" s="110" t="s">
        <v>9932</v>
      </c>
      <c r="I800" s="110" t="s">
        <v>9933</v>
      </c>
    </row>
    <row r="801" spans="1:9" ht="50.4" x14ac:dyDescent="0.3">
      <c r="A801" s="109" t="s">
        <v>9934</v>
      </c>
      <c r="B801" s="109" t="s">
        <v>8841</v>
      </c>
      <c r="C801" s="109" t="s">
        <v>8841</v>
      </c>
      <c r="D801" s="109" t="s">
        <v>9913</v>
      </c>
      <c r="E801" s="109" t="s">
        <v>9913</v>
      </c>
      <c r="F801" s="109" t="s">
        <v>9935</v>
      </c>
      <c r="G801" s="110" t="s">
        <v>6248</v>
      </c>
      <c r="H801" s="110" t="s">
        <v>9936</v>
      </c>
      <c r="I801" s="110" t="s">
        <v>9937</v>
      </c>
    </row>
    <row r="802" spans="1:9" ht="63" x14ac:dyDescent="0.3">
      <c r="A802" s="109" t="s">
        <v>9938</v>
      </c>
      <c r="B802" s="109" t="s">
        <v>8841</v>
      </c>
      <c r="C802" s="109" t="s">
        <v>8841</v>
      </c>
      <c r="D802" s="109" t="s">
        <v>7498</v>
      </c>
      <c r="E802" s="109" t="s">
        <v>7498</v>
      </c>
      <c r="F802" s="109" t="s">
        <v>9939</v>
      </c>
      <c r="G802" s="110" t="s">
        <v>6248</v>
      </c>
      <c r="H802" s="110" t="s">
        <v>9940</v>
      </c>
      <c r="I802" s="110" t="s">
        <v>9941</v>
      </c>
    </row>
    <row r="803" spans="1:9" ht="50.4" x14ac:dyDescent="0.3">
      <c r="A803" s="109" t="s">
        <v>9942</v>
      </c>
      <c r="B803" s="109" t="s">
        <v>8841</v>
      </c>
      <c r="C803" s="109" t="s">
        <v>8841</v>
      </c>
      <c r="D803" s="109" t="s">
        <v>9943</v>
      </c>
      <c r="E803" s="109" t="s">
        <v>9943</v>
      </c>
      <c r="F803" s="109" t="s">
        <v>9944</v>
      </c>
      <c r="G803" s="110" t="s">
        <v>6248</v>
      </c>
      <c r="H803" s="110" t="s">
        <v>9945</v>
      </c>
      <c r="I803" s="110" t="s">
        <v>9946</v>
      </c>
    </row>
    <row r="804" spans="1:9" ht="25.2" x14ac:dyDescent="0.3">
      <c r="A804" s="109" t="s">
        <v>9947</v>
      </c>
      <c r="B804" s="109" t="s">
        <v>8841</v>
      </c>
      <c r="C804" s="109" t="s">
        <v>8841</v>
      </c>
      <c r="D804" s="109" t="s">
        <v>9948</v>
      </c>
      <c r="E804" s="109" t="s">
        <v>5558</v>
      </c>
      <c r="F804" s="109" t="s">
        <v>9949</v>
      </c>
      <c r="G804" s="110" t="s">
        <v>6248</v>
      </c>
      <c r="H804" s="110" t="s">
        <v>9950</v>
      </c>
      <c r="I804" s="110" t="s">
        <v>9951</v>
      </c>
    </row>
    <row r="805" spans="1:9" ht="50.4" x14ac:dyDescent="0.3">
      <c r="A805" s="109" t="s">
        <v>9952</v>
      </c>
      <c r="B805" s="109" t="s">
        <v>8841</v>
      </c>
      <c r="C805" s="109" t="s">
        <v>8841</v>
      </c>
      <c r="D805" s="109" t="s">
        <v>9953</v>
      </c>
      <c r="E805" s="109" t="s">
        <v>9953</v>
      </c>
      <c r="F805" s="109" t="s">
        <v>9954</v>
      </c>
      <c r="G805" s="110" t="s">
        <v>6248</v>
      </c>
      <c r="H805" s="110" t="s">
        <v>9955</v>
      </c>
      <c r="I805" s="110" t="s">
        <v>9956</v>
      </c>
    </row>
    <row r="806" spans="1:9" ht="50.4" x14ac:dyDescent="0.3">
      <c r="A806" s="109" t="s">
        <v>9957</v>
      </c>
      <c r="B806" s="109" t="s">
        <v>8841</v>
      </c>
      <c r="C806" s="109" t="s">
        <v>8841</v>
      </c>
      <c r="D806" s="109" t="s">
        <v>9958</v>
      </c>
      <c r="E806" s="109" t="s">
        <v>9958</v>
      </c>
      <c r="F806" s="109" t="s">
        <v>9959</v>
      </c>
      <c r="G806" s="110" t="s">
        <v>6248</v>
      </c>
      <c r="H806" s="110" t="s">
        <v>7504</v>
      </c>
      <c r="I806" s="110" t="s">
        <v>9960</v>
      </c>
    </row>
    <row r="807" spans="1:9" ht="50.4" x14ac:dyDescent="0.3">
      <c r="A807" s="109" t="s">
        <v>9961</v>
      </c>
      <c r="B807" s="109" t="s">
        <v>8841</v>
      </c>
      <c r="C807" s="109" t="s">
        <v>8841</v>
      </c>
      <c r="D807" s="109" t="s">
        <v>9962</v>
      </c>
      <c r="E807" s="109" t="s">
        <v>9962</v>
      </c>
      <c r="F807" s="109" t="s">
        <v>9963</v>
      </c>
      <c r="G807" s="110" t="s">
        <v>6248</v>
      </c>
      <c r="H807" s="110" t="s">
        <v>9964</v>
      </c>
      <c r="I807" s="110" t="s">
        <v>9965</v>
      </c>
    </row>
    <row r="808" spans="1:9" ht="50.4" x14ac:dyDescent="0.3">
      <c r="A808" s="109" t="s">
        <v>9966</v>
      </c>
      <c r="B808" s="109" t="s">
        <v>8841</v>
      </c>
      <c r="C808" s="109" t="s">
        <v>8841</v>
      </c>
      <c r="D808" s="109" t="s">
        <v>9967</v>
      </c>
      <c r="E808" s="109" t="s">
        <v>9962</v>
      </c>
      <c r="F808" s="109" t="s">
        <v>9968</v>
      </c>
      <c r="G808" s="110" t="s">
        <v>9964</v>
      </c>
      <c r="H808" s="110" t="s">
        <v>6248</v>
      </c>
      <c r="I808" s="110" t="s">
        <v>9960</v>
      </c>
    </row>
    <row r="809" spans="1:9" ht="50.4" x14ac:dyDescent="0.3">
      <c r="A809" s="109" t="s">
        <v>9969</v>
      </c>
      <c r="B809" s="109" t="s">
        <v>8841</v>
      </c>
      <c r="C809" s="109" t="s">
        <v>8841</v>
      </c>
      <c r="D809" s="109" t="s">
        <v>9970</v>
      </c>
      <c r="E809" s="109" t="s">
        <v>9970</v>
      </c>
      <c r="F809" s="109" t="s">
        <v>9971</v>
      </c>
      <c r="G809" s="110" t="s">
        <v>6248</v>
      </c>
      <c r="H809" s="110" t="s">
        <v>9972</v>
      </c>
      <c r="I809" s="110" t="s">
        <v>9973</v>
      </c>
    </row>
    <row r="810" spans="1:9" ht="25.2" x14ac:dyDescent="0.3">
      <c r="A810" s="109" t="s">
        <v>9974</v>
      </c>
      <c r="B810" s="109" t="s">
        <v>8841</v>
      </c>
      <c r="C810" s="109" t="s">
        <v>8841</v>
      </c>
      <c r="D810" s="109" t="s">
        <v>5569</v>
      </c>
      <c r="E810" s="109" t="s">
        <v>5558</v>
      </c>
      <c r="F810" s="109" t="s">
        <v>2258</v>
      </c>
      <c r="G810" s="110" t="s">
        <v>6248</v>
      </c>
      <c r="H810" s="110" t="s">
        <v>9975</v>
      </c>
      <c r="I810" s="110" t="s">
        <v>9976</v>
      </c>
    </row>
    <row r="811" spans="1:9" ht="50.4" x14ac:dyDescent="0.3">
      <c r="A811" s="109" t="s">
        <v>9977</v>
      </c>
      <c r="B811" s="109" t="s">
        <v>8841</v>
      </c>
      <c r="C811" s="109" t="s">
        <v>8841</v>
      </c>
      <c r="D811" s="109" t="s">
        <v>9978</v>
      </c>
      <c r="E811" s="109" t="s">
        <v>9978</v>
      </c>
      <c r="F811" s="109" t="s">
        <v>9979</v>
      </c>
      <c r="G811" s="110" t="s">
        <v>6248</v>
      </c>
      <c r="H811" s="110" t="s">
        <v>7221</v>
      </c>
      <c r="I811" s="110" t="s">
        <v>9980</v>
      </c>
    </row>
    <row r="812" spans="1:9" ht="37.799999999999997" x14ac:dyDescent="0.3">
      <c r="A812" s="109" t="s">
        <v>9981</v>
      </c>
      <c r="B812" s="109" t="s">
        <v>8841</v>
      </c>
      <c r="C812" s="109" t="s">
        <v>8841</v>
      </c>
      <c r="D812" s="109" t="s">
        <v>9982</v>
      </c>
      <c r="E812" s="109" t="s">
        <v>9983</v>
      </c>
      <c r="F812" s="109" t="s">
        <v>9984</v>
      </c>
      <c r="G812" s="110" t="s">
        <v>6248</v>
      </c>
      <c r="H812" s="110" t="s">
        <v>9407</v>
      </c>
      <c r="I812" s="110" t="s">
        <v>9985</v>
      </c>
    </row>
    <row r="813" spans="1:9" ht="50.4" x14ac:dyDescent="0.3">
      <c r="A813" s="109" t="s">
        <v>9986</v>
      </c>
      <c r="B813" s="109" t="s">
        <v>8841</v>
      </c>
      <c r="C813" s="109" t="s">
        <v>8841</v>
      </c>
      <c r="D813" s="109" t="s">
        <v>9987</v>
      </c>
      <c r="E813" s="109" t="s">
        <v>9987</v>
      </c>
      <c r="F813" s="109" t="s">
        <v>9988</v>
      </c>
      <c r="G813" s="110" t="s">
        <v>6248</v>
      </c>
      <c r="H813" s="110" t="s">
        <v>9989</v>
      </c>
      <c r="I813" s="110" t="s">
        <v>9990</v>
      </c>
    </row>
    <row r="814" spans="1:9" ht="50.4" x14ac:dyDescent="0.3">
      <c r="A814" s="109" t="s">
        <v>9991</v>
      </c>
      <c r="B814" s="109" t="s">
        <v>8841</v>
      </c>
      <c r="C814" s="109" t="s">
        <v>8841</v>
      </c>
      <c r="D814" s="109" t="s">
        <v>9992</v>
      </c>
      <c r="E814" s="109" t="s">
        <v>9992</v>
      </c>
      <c r="F814" s="109" t="s">
        <v>9993</v>
      </c>
      <c r="G814" s="110" t="s">
        <v>6248</v>
      </c>
      <c r="H814" s="110" t="s">
        <v>9994</v>
      </c>
      <c r="I814" s="110" t="s">
        <v>9995</v>
      </c>
    </row>
    <row r="815" spans="1:9" ht="37.799999999999997" x14ac:dyDescent="0.3">
      <c r="A815" s="109" t="s">
        <v>9996</v>
      </c>
      <c r="B815" s="109" t="s">
        <v>8841</v>
      </c>
      <c r="C815" s="109" t="s">
        <v>8841</v>
      </c>
      <c r="D815" s="109" t="s">
        <v>9997</v>
      </c>
      <c r="E815" s="109" t="s">
        <v>9998</v>
      </c>
      <c r="F815" s="109" t="s">
        <v>9999</v>
      </c>
      <c r="G815" s="110" t="s">
        <v>6248</v>
      </c>
      <c r="H815" s="110" t="s">
        <v>10000</v>
      </c>
      <c r="I815" s="110" t="s">
        <v>10001</v>
      </c>
    </row>
    <row r="816" spans="1:9" ht="50.4" x14ac:dyDescent="0.3">
      <c r="A816" s="109" t="s">
        <v>10002</v>
      </c>
      <c r="B816" s="109" t="s">
        <v>8841</v>
      </c>
      <c r="C816" s="109" t="s">
        <v>8841</v>
      </c>
      <c r="D816" s="109" t="s">
        <v>10003</v>
      </c>
      <c r="E816" s="109" t="s">
        <v>10003</v>
      </c>
      <c r="F816" s="109" t="s">
        <v>10004</v>
      </c>
      <c r="G816" s="110" t="s">
        <v>6248</v>
      </c>
      <c r="H816" s="110" t="s">
        <v>8656</v>
      </c>
      <c r="I816" s="110" t="s">
        <v>10005</v>
      </c>
    </row>
    <row r="817" spans="1:9" ht="50.4" x14ac:dyDescent="0.3">
      <c r="A817" s="109" t="s">
        <v>10006</v>
      </c>
      <c r="B817" s="109" t="s">
        <v>8841</v>
      </c>
      <c r="C817" s="109" t="s">
        <v>8841</v>
      </c>
      <c r="D817" s="109" t="s">
        <v>10007</v>
      </c>
      <c r="E817" s="109" t="s">
        <v>10007</v>
      </c>
      <c r="F817" s="109" t="s">
        <v>10008</v>
      </c>
      <c r="G817" s="110" t="s">
        <v>6248</v>
      </c>
      <c r="H817" s="110" t="s">
        <v>10009</v>
      </c>
      <c r="I817" s="110" t="s">
        <v>10010</v>
      </c>
    </row>
    <row r="818" spans="1:9" ht="50.4" x14ac:dyDescent="0.3">
      <c r="A818" s="109" t="s">
        <v>10011</v>
      </c>
      <c r="B818" s="109" t="s">
        <v>8841</v>
      </c>
      <c r="C818" s="109" t="s">
        <v>8841</v>
      </c>
      <c r="D818" s="109" t="s">
        <v>10012</v>
      </c>
      <c r="E818" s="109" t="s">
        <v>10012</v>
      </c>
      <c r="F818" s="109" t="s">
        <v>10013</v>
      </c>
      <c r="G818" s="110" t="s">
        <v>6248</v>
      </c>
      <c r="H818" s="110" t="s">
        <v>10014</v>
      </c>
      <c r="I818" s="110" t="s">
        <v>10015</v>
      </c>
    </row>
    <row r="819" spans="1:9" ht="50.4" x14ac:dyDescent="0.3">
      <c r="A819" s="109" t="s">
        <v>10016</v>
      </c>
      <c r="B819" s="109" t="s">
        <v>8841</v>
      </c>
      <c r="C819" s="109" t="s">
        <v>8841</v>
      </c>
      <c r="D819" s="109" t="s">
        <v>10017</v>
      </c>
      <c r="E819" s="109" t="s">
        <v>10017</v>
      </c>
      <c r="F819" s="109" t="s">
        <v>10018</v>
      </c>
      <c r="G819" s="110" t="s">
        <v>6248</v>
      </c>
      <c r="H819" s="110" t="s">
        <v>10019</v>
      </c>
      <c r="I819" s="110" t="s">
        <v>10020</v>
      </c>
    </row>
    <row r="820" spans="1:9" ht="50.4" x14ac:dyDescent="0.3">
      <c r="A820" s="109" t="s">
        <v>10021</v>
      </c>
      <c r="B820" s="109" t="s">
        <v>8841</v>
      </c>
      <c r="C820" s="109" t="s">
        <v>8841</v>
      </c>
      <c r="D820" s="109" t="s">
        <v>6138</v>
      </c>
      <c r="E820" s="109" t="s">
        <v>6138</v>
      </c>
      <c r="F820" s="109" t="s">
        <v>10022</v>
      </c>
      <c r="G820" s="110" t="s">
        <v>6248</v>
      </c>
      <c r="H820" s="110" t="s">
        <v>10023</v>
      </c>
      <c r="I820" s="110" t="s">
        <v>10024</v>
      </c>
    </row>
    <row r="821" spans="1:9" ht="37.799999999999997" x14ac:dyDescent="0.3">
      <c r="A821" s="109" t="s">
        <v>10025</v>
      </c>
      <c r="B821" s="109" t="s">
        <v>8841</v>
      </c>
      <c r="C821" s="109" t="s">
        <v>8841</v>
      </c>
      <c r="D821" s="109" t="s">
        <v>10026</v>
      </c>
      <c r="E821" s="109" t="s">
        <v>9908</v>
      </c>
      <c r="F821" s="109" t="s">
        <v>10027</v>
      </c>
      <c r="G821" s="110" t="s">
        <v>6248</v>
      </c>
      <c r="H821" s="110" t="s">
        <v>10028</v>
      </c>
      <c r="I821" s="110" t="s">
        <v>10029</v>
      </c>
    </row>
    <row r="822" spans="1:9" ht="50.4" x14ac:dyDescent="0.3">
      <c r="A822" s="109" t="s">
        <v>10030</v>
      </c>
      <c r="B822" s="109" t="s">
        <v>8841</v>
      </c>
      <c r="C822" s="109" t="s">
        <v>8841</v>
      </c>
      <c r="D822" s="109" t="s">
        <v>10031</v>
      </c>
      <c r="E822" s="109" t="s">
        <v>10031</v>
      </c>
      <c r="F822" s="109" t="s">
        <v>10032</v>
      </c>
      <c r="G822" s="110" t="s">
        <v>6248</v>
      </c>
      <c r="H822" s="110" t="s">
        <v>10033</v>
      </c>
      <c r="I822" s="110" t="s">
        <v>10034</v>
      </c>
    </row>
    <row r="823" spans="1:9" ht="50.4" x14ac:dyDescent="0.3">
      <c r="A823" s="109" t="s">
        <v>10035</v>
      </c>
      <c r="B823" s="109" t="s">
        <v>8841</v>
      </c>
      <c r="C823" s="109" t="s">
        <v>8841</v>
      </c>
      <c r="D823" s="109" t="s">
        <v>10036</v>
      </c>
      <c r="E823" s="109" t="s">
        <v>10036</v>
      </c>
      <c r="F823" s="109" t="s">
        <v>10037</v>
      </c>
      <c r="G823" s="110" t="s">
        <v>6248</v>
      </c>
      <c r="H823" s="110" t="s">
        <v>10038</v>
      </c>
      <c r="I823" s="110" t="s">
        <v>10039</v>
      </c>
    </row>
    <row r="824" spans="1:9" ht="50.4" x14ac:dyDescent="0.3">
      <c r="A824" s="109" t="s">
        <v>10040</v>
      </c>
      <c r="B824" s="109" t="s">
        <v>8841</v>
      </c>
      <c r="C824" s="109" t="s">
        <v>8841</v>
      </c>
      <c r="D824" s="109" t="s">
        <v>10041</v>
      </c>
      <c r="E824" s="109" t="s">
        <v>10041</v>
      </c>
      <c r="F824" s="109" t="s">
        <v>10042</v>
      </c>
      <c r="G824" s="110" t="s">
        <v>6248</v>
      </c>
      <c r="H824" s="110" t="s">
        <v>10043</v>
      </c>
      <c r="I824" s="110" t="s">
        <v>10044</v>
      </c>
    </row>
    <row r="825" spans="1:9" ht="50.4" x14ac:dyDescent="0.3">
      <c r="A825" s="109" t="s">
        <v>10045</v>
      </c>
      <c r="B825" s="109" t="s">
        <v>8841</v>
      </c>
      <c r="C825" s="109" t="s">
        <v>8841</v>
      </c>
      <c r="D825" s="109" t="s">
        <v>10046</v>
      </c>
      <c r="E825" s="109" t="s">
        <v>10046</v>
      </c>
      <c r="F825" s="109" t="s">
        <v>10047</v>
      </c>
      <c r="G825" s="110" t="s">
        <v>6248</v>
      </c>
      <c r="H825" s="110" t="s">
        <v>10048</v>
      </c>
      <c r="I825" s="110" t="s">
        <v>10049</v>
      </c>
    </row>
    <row r="826" spans="1:9" ht="50.4" x14ac:dyDescent="0.3">
      <c r="A826" s="109" t="s">
        <v>10050</v>
      </c>
      <c r="B826" s="109" t="s">
        <v>8841</v>
      </c>
      <c r="C826" s="109" t="s">
        <v>8841</v>
      </c>
      <c r="D826" s="109" t="s">
        <v>10051</v>
      </c>
      <c r="E826" s="109" t="s">
        <v>10051</v>
      </c>
      <c r="F826" s="109" t="s">
        <v>10052</v>
      </c>
      <c r="G826" s="110" t="s">
        <v>6248</v>
      </c>
      <c r="H826" s="110" t="s">
        <v>7221</v>
      </c>
      <c r="I826" s="110" t="s">
        <v>10053</v>
      </c>
    </row>
    <row r="827" spans="1:9" ht="25.2" x14ac:dyDescent="0.3">
      <c r="A827" s="109" t="s">
        <v>10054</v>
      </c>
      <c r="B827" s="109" t="s">
        <v>8841</v>
      </c>
      <c r="C827" s="109" t="s">
        <v>8841</v>
      </c>
      <c r="D827" s="109" t="s">
        <v>10055</v>
      </c>
      <c r="E827" s="109" t="s">
        <v>5558</v>
      </c>
      <c r="F827" s="109" t="s">
        <v>10056</v>
      </c>
      <c r="G827" s="110" t="s">
        <v>6248</v>
      </c>
      <c r="H827" s="110" t="s">
        <v>6341</v>
      </c>
      <c r="I827" s="110" t="s">
        <v>10057</v>
      </c>
    </row>
    <row r="828" spans="1:9" ht="50.4" x14ac:dyDescent="0.3">
      <c r="A828" s="109" t="s">
        <v>10058</v>
      </c>
      <c r="B828" s="109" t="s">
        <v>8841</v>
      </c>
      <c r="C828" s="109" t="s">
        <v>8841</v>
      </c>
      <c r="D828" s="109" t="s">
        <v>10059</v>
      </c>
      <c r="E828" s="109" t="s">
        <v>10059</v>
      </c>
      <c r="F828" s="109" t="s">
        <v>10060</v>
      </c>
      <c r="G828" s="110" t="s">
        <v>6248</v>
      </c>
      <c r="H828" s="110" t="s">
        <v>10061</v>
      </c>
      <c r="I828" s="110" t="s">
        <v>10062</v>
      </c>
    </row>
    <row r="829" spans="1:9" ht="50.4" x14ac:dyDescent="0.3">
      <c r="A829" s="109" t="s">
        <v>10063</v>
      </c>
      <c r="B829" s="109" t="s">
        <v>8841</v>
      </c>
      <c r="C829" s="109" t="s">
        <v>8841</v>
      </c>
      <c r="D829" s="109" t="s">
        <v>10064</v>
      </c>
      <c r="E829" s="109" t="s">
        <v>10064</v>
      </c>
      <c r="F829" s="109" t="s">
        <v>10065</v>
      </c>
      <c r="G829" s="110" t="s">
        <v>6248</v>
      </c>
      <c r="H829" s="110" t="s">
        <v>7830</v>
      </c>
      <c r="I829" s="110" t="s">
        <v>10066</v>
      </c>
    </row>
    <row r="830" spans="1:9" ht="25.2" x14ac:dyDescent="0.3">
      <c r="A830" s="109" t="s">
        <v>10067</v>
      </c>
      <c r="B830" s="109" t="s">
        <v>8841</v>
      </c>
      <c r="C830" s="109" t="s">
        <v>8841</v>
      </c>
      <c r="D830" s="109" t="s">
        <v>5569</v>
      </c>
      <c r="E830" s="109" t="s">
        <v>5558</v>
      </c>
      <c r="F830" s="109" t="s">
        <v>2258</v>
      </c>
      <c r="G830" s="110" t="s">
        <v>6248</v>
      </c>
      <c r="H830" s="110" t="s">
        <v>10068</v>
      </c>
      <c r="I830" s="110" t="s">
        <v>10069</v>
      </c>
    </row>
    <row r="831" spans="1:9" ht="50.4" x14ac:dyDescent="0.3">
      <c r="A831" s="109" t="s">
        <v>10070</v>
      </c>
      <c r="B831" s="109" t="s">
        <v>8841</v>
      </c>
      <c r="C831" s="109" t="s">
        <v>8841</v>
      </c>
      <c r="D831" s="109" t="s">
        <v>10071</v>
      </c>
      <c r="E831" s="109" t="s">
        <v>10071</v>
      </c>
      <c r="F831" s="109" t="s">
        <v>10072</v>
      </c>
      <c r="G831" s="110" t="s">
        <v>6248</v>
      </c>
      <c r="H831" s="110" t="s">
        <v>10073</v>
      </c>
      <c r="I831" s="110" t="s">
        <v>10074</v>
      </c>
    </row>
    <row r="832" spans="1:9" ht="50.4" x14ac:dyDescent="0.3">
      <c r="A832" s="109" t="s">
        <v>10075</v>
      </c>
      <c r="B832" s="109" t="s">
        <v>8841</v>
      </c>
      <c r="C832" s="109" t="s">
        <v>8841</v>
      </c>
      <c r="D832" s="109" t="s">
        <v>10076</v>
      </c>
      <c r="E832" s="109" t="s">
        <v>10076</v>
      </c>
      <c r="F832" s="109" t="s">
        <v>10077</v>
      </c>
      <c r="G832" s="110" t="s">
        <v>6248</v>
      </c>
      <c r="H832" s="110" t="s">
        <v>10078</v>
      </c>
      <c r="I832" s="110" t="s">
        <v>10079</v>
      </c>
    </row>
    <row r="833" spans="1:9" ht="50.4" x14ac:dyDescent="0.3">
      <c r="A833" s="109" t="s">
        <v>10080</v>
      </c>
      <c r="B833" s="109" t="s">
        <v>8841</v>
      </c>
      <c r="C833" s="109" t="s">
        <v>8841</v>
      </c>
      <c r="D833" s="109" t="s">
        <v>10081</v>
      </c>
      <c r="E833" s="109" t="s">
        <v>10081</v>
      </c>
      <c r="F833" s="109" t="s">
        <v>10082</v>
      </c>
      <c r="G833" s="110" t="s">
        <v>6248</v>
      </c>
      <c r="H833" s="110" t="s">
        <v>10083</v>
      </c>
      <c r="I833" s="110" t="s">
        <v>10084</v>
      </c>
    </row>
    <row r="834" spans="1:9" ht="50.4" x14ac:dyDescent="0.3">
      <c r="A834" s="109" t="s">
        <v>10085</v>
      </c>
      <c r="B834" s="109" t="s">
        <v>8841</v>
      </c>
      <c r="C834" s="109" t="s">
        <v>8841</v>
      </c>
      <c r="D834" s="109" t="s">
        <v>10086</v>
      </c>
      <c r="E834" s="109" t="s">
        <v>10086</v>
      </c>
      <c r="F834" s="109" t="s">
        <v>10087</v>
      </c>
      <c r="G834" s="110" t="s">
        <v>6248</v>
      </c>
      <c r="H834" s="110" t="s">
        <v>10088</v>
      </c>
      <c r="I834" s="110" t="s">
        <v>10089</v>
      </c>
    </row>
    <row r="835" spans="1:9" ht="25.2" x14ac:dyDescent="0.3">
      <c r="A835" s="109" t="s">
        <v>10090</v>
      </c>
      <c r="B835" s="109" t="s">
        <v>8841</v>
      </c>
      <c r="C835" s="109" t="s">
        <v>8841</v>
      </c>
      <c r="D835" s="109" t="s">
        <v>10091</v>
      </c>
      <c r="E835" s="109" t="s">
        <v>5558</v>
      </c>
      <c r="F835" s="109" t="s">
        <v>10092</v>
      </c>
      <c r="G835" s="110" t="s">
        <v>6248</v>
      </c>
      <c r="H835" s="110" t="s">
        <v>6341</v>
      </c>
      <c r="I835" s="110" t="s">
        <v>10093</v>
      </c>
    </row>
    <row r="836" spans="1:9" ht="50.4" x14ac:dyDescent="0.3">
      <c r="A836" s="109" t="s">
        <v>10094</v>
      </c>
      <c r="B836" s="109" t="s">
        <v>8841</v>
      </c>
      <c r="C836" s="109" t="s">
        <v>8841</v>
      </c>
      <c r="D836" s="109" t="s">
        <v>10095</v>
      </c>
      <c r="E836" s="109" t="s">
        <v>10095</v>
      </c>
      <c r="F836" s="109" t="s">
        <v>10096</v>
      </c>
      <c r="G836" s="110" t="s">
        <v>6248</v>
      </c>
      <c r="H836" s="110" t="s">
        <v>10097</v>
      </c>
      <c r="I836" s="110" t="s">
        <v>10098</v>
      </c>
    </row>
    <row r="837" spans="1:9" ht="50.4" x14ac:dyDescent="0.3">
      <c r="A837" s="109" t="s">
        <v>10099</v>
      </c>
      <c r="B837" s="109" t="s">
        <v>8841</v>
      </c>
      <c r="C837" s="109" t="s">
        <v>8841</v>
      </c>
      <c r="D837" s="109" t="s">
        <v>10100</v>
      </c>
      <c r="E837" s="109" t="s">
        <v>10100</v>
      </c>
      <c r="F837" s="109" t="s">
        <v>10101</v>
      </c>
      <c r="G837" s="110" t="s">
        <v>6248</v>
      </c>
      <c r="H837" s="110" t="s">
        <v>8905</v>
      </c>
      <c r="I837" s="110" t="s">
        <v>10102</v>
      </c>
    </row>
    <row r="838" spans="1:9" ht="50.4" x14ac:dyDescent="0.3">
      <c r="A838" s="109" t="s">
        <v>10103</v>
      </c>
      <c r="B838" s="109" t="s">
        <v>8841</v>
      </c>
      <c r="C838" s="109" t="s">
        <v>8841</v>
      </c>
      <c r="D838" s="109" t="s">
        <v>10104</v>
      </c>
      <c r="E838" s="109" t="s">
        <v>10104</v>
      </c>
      <c r="F838" s="109" t="s">
        <v>10105</v>
      </c>
      <c r="G838" s="110" t="s">
        <v>6248</v>
      </c>
      <c r="H838" s="110" t="s">
        <v>10106</v>
      </c>
      <c r="I838" s="110" t="s">
        <v>10107</v>
      </c>
    </row>
    <row r="839" spans="1:9" ht="25.2" x14ac:dyDescent="0.3">
      <c r="A839" s="109" t="s">
        <v>10108</v>
      </c>
      <c r="B839" s="109" t="s">
        <v>8841</v>
      </c>
      <c r="C839" s="109" t="s">
        <v>8841</v>
      </c>
      <c r="D839" s="109" t="s">
        <v>10109</v>
      </c>
      <c r="E839" s="109" t="s">
        <v>5558</v>
      </c>
      <c r="F839" s="109" t="s">
        <v>10110</v>
      </c>
      <c r="G839" s="110" t="s">
        <v>6248</v>
      </c>
      <c r="H839" s="110" t="s">
        <v>10111</v>
      </c>
      <c r="I839" s="110" t="s">
        <v>10112</v>
      </c>
    </row>
    <row r="840" spans="1:9" ht="25.2" x14ac:dyDescent="0.3">
      <c r="A840" s="109" t="s">
        <v>10113</v>
      </c>
      <c r="B840" s="109" t="s">
        <v>8841</v>
      </c>
      <c r="C840" s="109" t="s">
        <v>8841</v>
      </c>
      <c r="D840" s="109" t="s">
        <v>10114</v>
      </c>
      <c r="E840" s="109" t="s">
        <v>5558</v>
      </c>
      <c r="F840" s="109" t="s">
        <v>10115</v>
      </c>
      <c r="G840" s="110" t="s">
        <v>6248</v>
      </c>
      <c r="H840" s="110" t="s">
        <v>10116</v>
      </c>
      <c r="I840" s="110" t="s">
        <v>10117</v>
      </c>
    </row>
    <row r="841" spans="1:9" ht="25.2" x14ac:dyDescent="0.3">
      <c r="A841" s="109" t="s">
        <v>10118</v>
      </c>
      <c r="B841" s="109" t="s">
        <v>8841</v>
      </c>
      <c r="C841" s="109" t="s">
        <v>8841</v>
      </c>
      <c r="D841" s="109" t="s">
        <v>10119</v>
      </c>
      <c r="E841" s="109" t="s">
        <v>5558</v>
      </c>
      <c r="F841" s="109" t="s">
        <v>10120</v>
      </c>
      <c r="G841" s="110" t="s">
        <v>6248</v>
      </c>
      <c r="H841" s="110" t="s">
        <v>6341</v>
      </c>
      <c r="I841" s="110" t="s">
        <v>10121</v>
      </c>
    </row>
    <row r="842" spans="1:9" ht="25.2" x14ac:dyDescent="0.3">
      <c r="A842" s="109" t="s">
        <v>10122</v>
      </c>
      <c r="B842" s="109" t="s">
        <v>8841</v>
      </c>
      <c r="C842" s="109" t="s">
        <v>8841</v>
      </c>
      <c r="D842" s="109" t="s">
        <v>10123</v>
      </c>
      <c r="E842" s="109" t="s">
        <v>10124</v>
      </c>
      <c r="F842" s="109" t="s">
        <v>10125</v>
      </c>
      <c r="G842" s="110" t="s">
        <v>6248</v>
      </c>
      <c r="H842" s="110" t="s">
        <v>10126</v>
      </c>
      <c r="I842" s="110" t="s">
        <v>10127</v>
      </c>
    </row>
    <row r="843" spans="1:9" ht="25.2" x14ac:dyDescent="0.3">
      <c r="A843" s="109" t="s">
        <v>10128</v>
      </c>
      <c r="B843" s="109" t="s">
        <v>8841</v>
      </c>
      <c r="C843" s="109" t="s">
        <v>8841</v>
      </c>
      <c r="D843" s="109" t="s">
        <v>10129</v>
      </c>
      <c r="E843" s="109" t="s">
        <v>5558</v>
      </c>
      <c r="F843" s="109" t="s">
        <v>10130</v>
      </c>
      <c r="G843" s="110" t="s">
        <v>6248</v>
      </c>
      <c r="H843" s="110" t="s">
        <v>10131</v>
      </c>
      <c r="I843" s="110" t="s">
        <v>10132</v>
      </c>
    </row>
    <row r="844" spans="1:9" ht="37.799999999999997" x14ac:dyDescent="0.3">
      <c r="A844" s="109" t="s">
        <v>10133</v>
      </c>
      <c r="B844" s="109" t="s">
        <v>8841</v>
      </c>
      <c r="C844" s="109" t="s">
        <v>8841</v>
      </c>
      <c r="D844" s="109" t="s">
        <v>10134</v>
      </c>
      <c r="E844" s="109" t="s">
        <v>5558</v>
      </c>
      <c r="F844" s="109" t="s">
        <v>10135</v>
      </c>
      <c r="G844" s="110" t="s">
        <v>6248</v>
      </c>
      <c r="H844" s="110" t="s">
        <v>10136</v>
      </c>
      <c r="I844" s="110" t="s">
        <v>10137</v>
      </c>
    </row>
    <row r="845" spans="1:9" ht="37.799999999999997" x14ac:dyDescent="0.3">
      <c r="A845" s="109" t="s">
        <v>10138</v>
      </c>
      <c r="B845" s="109" t="s">
        <v>8841</v>
      </c>
      <c r="C845" s="109" t="s">
        <v>8841</v>
      </c>
      <c r="D845" s="109" t="s">
        <v>10139</v>
      </c>
      <c r="E845" s="109" t="s">
        <v>5558</v>
      </c>
      <c r="F845" s="109" t="s">
        <v>10140</v>
      </c>
      <c r="G845" s="110" t="s">
        <v>6248</v>
      </c>
      <c r="H845" s="110" t="s">
        <v>10141</v>
      </c>
      <c r="I845" s="110" t="s">
        <v>10142</v>
      </c>
    </row>
    <row r="846" spans="1:9" ht="25.2" x14ac:dyDescent="0.3">
      <c r="A846" s="109" t="s">
        <v>10143</v>
      </c>
      <c r="B846" s="109" t="s">
        <v>8841</v>
      </c>
      <c r="C846" s="109" t="s">
        <v>8841</v>
      </c>
      <c r="D846" s="109" t="s">
        <v>10144</v>
      </c>
      <c r="E846" s="109" t="s">
        <v>5558</v>
      </c>
      <c r="F846" s="109" t="s">
        <v>10145</v>
      </c>
      <c r="G846" s="110" t="s">
        <v>6248</v>
      </c>
      <c r="H846" s="110" t="s">
        <v>8185</v>
      </c>
      <c r="I846" s="110" t="s">
        <v>10146</v>
      </c>
    </row>
    <row r="847" spans="1:9" ht="37.799999999999997" x14ac:dyDescent="0.3">
      <c r="A847" s="109" t="s">
        <v>10147</v>
      </c>
      <c r="B847" s="109" t="s">
        <v>8841</v>
      </c>
      <c r="C847" s="109" t="s">
        <v>8841</v>
      </c>
      <c r="D847" s="109" t="s">
        <v>10148</v>
      </c>
      <c r="E847" s="109" t="s">
        <v>5558</v>
      </c>
      <c r="F847" s="109" t="s">
        <v>10149</v>
      </c>
      <c r="G847" s="110" t="s">
        <v>6248</v>
      </c>
      <c r="H847" s="110" t="s">
        <v>10150</v>
      </c>
      <c r="I847" s="110" t="s">
        <v>10151</v>
      </c>
    </row>
    <row r="848" spans="1:9" ht="25.2" x14ac:dyDescent="0.3">
      <c r="A848" s="109" t="s">
        <v>10152</v>
      </c>
      <c r="B848" s="109" t="s">
        <v>8841</v>
      </c>
      <c r="C848" s="109" t="s">
        <v>8841</v>
      </c>
      <c r="D848" s="109" t="s">
        <v>5569</v>
      </c>
      <c r="E848" s="109" t="s">
        <v>5558</v>
      </c>
      <c r="F848" s="109" t="s">
        <v>2258</v>
      </c>
      <c r="G848" s="110" t="s">
        <v>6248</v>
      </c>
      <c r="H848" s="110" t="s">
        <v>6341</v>
      </c>
      <c r="I848" s="110" t="s">
        <v>10153</v>
      </c>
    </row>
    <row r="849" spans="1:9" ht="25.2" x14ac:dyDescent="0.3">
      <c r="A849" s="109" t="s">
        <v>10154</v>
      </c>
      <c r="B849" s="109" t="s">
        <v>8841</v>
      </c>
      <c r="C849" s="109" t="s">
        <v>8841</v>
      </c>
      <c r="D849" s="109" t="s">
        <v>10155</v>
      </c>
      <c r="E849" s="109" t="s">
        <v>5558</v>
      </c>
      <c r="F849" s="109" t="s">
        <v>10156</v>
      </c>
      <c r="G849" s="110" t="s">
        <v>6248</v>
      </c>
      <c r="H849" s="110" t="s">
        <v>10157</v>
      </c>
      <c r="I849" s="110" t="s">
        <v>10158</v>
      </c>
    </row>
    <row r="850" spans="1:9" ht="25.2" x14ac:dyDescent="0.3">
      <c r="A850" s="109" t="s">
        <v>10159</v>
      </c>
      <c r="B850" s="109" t="s">
        <v>8841</v>
      </c>
      <c r="C850" s="109" t="s">
        <v>8841</v>
      </c>
      <c r="D850" s="109" t="s">
        <v>10160</v>
      </c>
      <c r="E850" s="109" t="s">
        <v>5558</v>
      </c>
      <c r="F850" s="109" t="s">
        <v>10161</v>
      </c>
      <c r="G850" s="110" t="s">
        <v>6248</v>
      </c>
      <c r="H850" s="110" t="s">
        <v>6273</v>
      </c>
      <c r="I850" s="110" t="s">
        <v>10162</v>
      </c>
    </row>
    <row r="851" spans="1:9" ht="25.2" x14ac:dyDescent="0.3">
      <c r="A851" s="109" t="s">
        <v>10163</v>
      </c>
      <c r="B851" s="109" t="s">
        <v>8841</v>
      </c>
      <c r="C851" s="109" t="s">
        <v>8841</v>
      </c>
      <c r="D851" s="109" t="s">
        <v>10164</v>
      </c>
      <c r="E851" s="109" t="s">
        <v>10165</v>
      </c>
      <c r="F851" s="109" t="s">
        <v>7734</v>
      </c>
      <c r="G851" s="110" t="s">
        <v>6248</v>
      </c>
      <c r="H851" s="110" t="s">
        <v>10166</v>
      </c>
      <c r="I851" s="110" t="s">
        <v>10167</v>
      </c>
    </row>
    <row r="852" spans="1:9" ht="37.799999999999997" x14ac:dyDescent="0.3">
      <c r="A852" s="109" t="s">
        <v>10168</v>
      </c>
      <c r="B852" s="109" t="s">
        <v>8841</v>
      </c>
      <c r="C852" s="109" t="s">
        <v>8841</v>
      </c>
      <c r="D852" s="109" t="s">
        <v>10169</v>
      </c>
      <c r="E852" s="109" t="s">
        <v>10170</v>
      </c>
      <c r="F852" s="109" t="s">
        <v>10171</v>
      </c>
      <c r="G852" s="110" t="s">
        <v>6248</v>
      </c>
      <c r="H852" s="110" t="s">
        <v>10172</v>
      </c>
      <c r="I852" s="110" t="s">
        <v>10173</v>
      </c>
    </row>
    <row r="853" spans="1:9" ht="37.799999999999997" x14ac:dyDescent="0.3">
      <c r="A853" s="109" t="s">
        <v>10174</v>
      </c>
      <c r="B853" s="109" t="s">
        <v>8841</v>
      </c>
      <c r="C853" s="109" t="s">
        <v>8841</v>
      </c>
      <c r="D853" s="109" t="s">
        <v>10175</v>
      </c>
      <c r="E853" s="109" t="s">
        <v>10176</v>
      </c>
      <c r="F853" s="109" t="s">
        <v>10171</v>
      </c>
      <c r="G853" s="110" t="s">
        <v>6248</v>
      </c>
      <c r="H853" s="110" t="s">
        <v>10177</v>
      </c>
      <c r="I853" s="110" t="s">
        <v>10178</v>
      </c>
    </row>
    <row r="854" spans="1:9" ht="25.2" x14ac:dyDescent="0.3">
      <c r="A854" s="109" t="s">
        <v>10179</v>
      </c>
      <c r="B854" s="109" t="s">
        <v>8841</v>
      </c>
      <c r="C854" s="109" t="s">
        <v>8841</v>
      </c>
      <c r="D854" s="109" t="s">
        <v>10180</v>
      </c>
      <c r="E854" s="109" t="s">
        <v>5558</v>
      </c>
      <c r="F854" s="109" t="s">
        <v>10181</v>
      </c>
      <c r="G854" s="110" t="s">
        <v>6248</v>
      </c>
      <c r="H854" s="110" t="s">
        <v>10182</v>
      </c>
      <c r="I854" s="110" t="s">
        <v>10183</v>
      </c>
    </row>
    <row r="855" spans="1:9" ht="25.2" x14ac:dyDescent="0.3">
      <c r="A855" s="109" t="s">
        <v>10184</v>
      </c>
      <c r="B855" s="109" t="s">
        <v>8841</v>
      </c>
      <c r="C855" s="109" t="s">
        <v>8841</v>
      </c>
      <c r="D855" s="109" t="s">
        <v>10185</v>
      </c>
      <c r="E855" s="109" t="s">
        <v>10186</v>
      </c>
      <c r="F855" s="109" t="s">
        <v>10187</v>
      </c>
      <c r="G855" s="110" t="s">
        <v>6248</v>
      </c>
      <c r="H855" s="110" t="s">
        <v>10188</v>
      </c>
      <c r="I855" s="110" t="s">
        <v>10189</v>
      </c>
    </row>
    <row r="856" spans="1:9" ht="25.2" x14ac:dyDescent="0.3">
      <c r="A856" s="109" t="s">
        <v>10190</v>
      </c>
      <c r="B856" s="109" t="s">
        <v>8841</v>
      </c>
      <c r="C856" s="109" t="s">
        <v>8841</v>
      </c>
      <c r="D856" s="109" t="s">
        <v>10191</v>
      </c>
      <c r="E856" s="109" t="s">
        <v>10192</v>
      </c>
      <c r="F856" s="109" t="s">
        <v>8179</v>
      </c>
      <c r="G856" s="110" t="s">
        <v>6248</v>
      </c>
      <c r="H856" s="110" t="s">
        <v>10193</v>
      </c>
      <c r="I856" s="110" t="s">
        <v>10194</v>
      </c>
    </row>
    <row r="857" spans="1:9" ht="25.2" x14ac:dyDescent="0.3">
      <c r="A857" s="109" t="s">
        <v>10195</v>
      </c>
      <c r="B857" s="109" t="s">
        <v>8841</v>
      </c>
      <c r="C857" s="109" t="s">
        <v>8841</v>
      </c>
      <c r="D857" s="109" t="s">
        <v>10196</v>
      </c>
      <c r="E857" s="109" t="s">
        <v>5558</v>
      </c>
      <c r="F857" s="109" t="s">
        <v>10197</v>
      </c>
      <c r="G857" s="110" t="s">
        <v>6248</v>
      </c>
      <c r="H857" s="110" t="s">
        <v>10198</v>
      </c>
      <c r="I857" s="110" t="s">
        <v>10199</v>
      </c>
    </row>
    <row r="858" spans="1:9" ht="37.799999999999997" x14ac:dyDescent="0.3">
      <c r="A858" s="109" t="s">
        <v>10200</v>
      </c>
      <c r="B858" s="109" t="s">
        <v>8841</v>
      </c>
      <c r="C858" s="109" t="s">
        <v>8841</v>
      </c>
      <c r="D858" s="109" t="s">
        <v>10201</v>
      </c>
      <c r="E858" s="109" t="s">
        <v>5558</v>
      </c>
      <c r="F858" s="109" t="s">
        <v>10202</v>
      </c>
      <c r="G858" s="110" t="s">
        <v>6248</v>
      </c>
      <c r="H858" s="110" t="s">
        <v>10203</v>
      </c>
      <c r="I858" s="110" t="s">
        <v>10204</v>
      </c>
    </row>
    <row r="859" spans="1:9" ht="25.2" x14ac:dyDescent="0.3">
      <c r="A859" s="109" t="s">
        <v>10205</v>
      </c>
      <c r="B859" s="109" t="s">
        <v>8841</v>
      </c>
      <c r="C859" s="109" t="s">
        <v>8841</v>
      </c>
      <c r="D859" s="109" t="s">
        <v>10206</v>
      </c>
      <c r="E859" s="109" t="s">
        <v>5558</v>
      </c>
      <c r="F859" s="109" t="s">
        <v>10207</v>
      </c>
      <c r="G859" s="110" t="s">
        <v>6248</v>
      </c>
      <c r="H859" s="110" t="s">
        <v>10208</v>
      </c>
      <c r="I859" s="110" t="s">
        <v>10209</v>
      </c>
    </row>
    <row r="860" spans="1:9" ht="25.2" x14ac:dyDescent="0.3">
      <c r="A860" s="109" t="s">
        <v>10210</v>
      </c>
      <c r="B860" s="109" t="s">
        <v>10211</v>
      </c>
      <c r="C860" s="109" t="s">
        <v>10211</v>
      </c>
      <c r="D860" s="109" t="s">
        <v>10212</v>
      </c>
      <c r="E860" s="109" t="s">
        <v>5558</v>
      </c>
      <c r="F860" s="109" t="s">
        <v>10213</v>
      </c>
      <c r="G860" s="110" t="s">
        <v>6248</v>
      </c>
      <c r="H860" s="110" t="s">
        <v>10214</v>
      </c>
      <c r="I860" s="110" t="s">
        <v>10215</v>
      </c>
    </row>
    <row r="861" spans="1:9" ht="37.799999999999997" x14ac:dyDescent="0.3">
      <c r="A861" s="109" t="s">
        <v>10216</v>
      </c>
      <c r="B861" s="109" t="s">
        <v>10211</v>
      </c>
      <c r="C861" s="109" t="s">
        <v>10211</v>
      </c>
      <c r="D861" s="109" t="s">
        <v>10217</v>
      </c>
      <c r="E861" s="109" t="s">
        <v>5558</v>
      </c>
      <c r="F861" s="109" t="s">
        <v>10218</v>
      </c>
      <c r="G861" s="110" t="s">
        <v>6248</v>
      </c>
      <c r="H861" s="110" t="s">
        <v>10219</v>
      </c>
      <c r="I861" s="110" t="s">
        <v>10220</v>
      </c>
    </row>
    <row r="862" spans="1:9" ht="25.2" x14ac:dyDescent="0.3">
      <c r="A862" s="109" t="s">
        <v>10221</v>
      </c>
      <c r="B862" s="109" t="s">
        <v>10211</v>
      </c>
      <c r="C862" s="109" t="s">
        <v>10211</v>
      </c>
      <c r="D862" s="109" t="s">
        <v>5569</v>
      </c>
      <c r="E862" s="109" t="s">
        <v>5558</v>
      </c>
      <c r="F862" s="109" t="s">
        <v>2258</v>
      </c>
      <c r="G862" s="110" t="s">
        <v>6248</v>
      </c>
      <c r="H862" s="110" t="s">
        <v>7136</v>
      </c>
      <c r="I862" s="110" t="s">
        <v>10222</v>
      </c>
    </row>
    <row r="863" spans="1:9" ht="25.2" x14ac:dyDescent="0.3">
      <c r="A863" s="109" t="s">
        <v>10223</v>
      </c>
      <c r="B863" s="109" t="s">
        <v>10211</v>
      </c>
      <c r="C863" s="109" t="s">
        <v>10211</v>
      </c>
      <c r="D863" s="109" t="s">
        <v>10224</v>
      </c>
      <c r="E863" s="109" t="s">
        <v>5558</v>
      </c>
      <c r="F863" s="109" t="s">
        <v>6696</v>
      </c>
      <c r="G863" s="110" t="s">
        <v>10225</v>
      </c>
      <c r="H863" s="110" t="s">
        <v>6248</v>
      </c>
      <c r="I863" s="110" t="s">
        <v>10226</v>
      </c>
    </row>
    <row r="864" spans="1:9" ht="25.2" x14ac:dyDescent="0.3">
      <c r="A864" s="109" t="s">
        <v>10227</v>
      </c>
      <c r="B864" s="109" t="s">
        <v>10211</v>
      </c>
      <c r="C864" s="109" t="s">
        <v>10211</v>
      </c>
      <c r="D864" s="109" t="s">
        <v>10228</v>
      </c>
      <c r="E864" s="109" t="s">
        <v>5558</v>
      </c>
      <c r="F864" s="109" t="s">
        <v>10229</v>
      </c>
      <c r="G864" s="110" t="s">
        <v>6248</v>
      </c>
      <c r="H864" s="110" t="s">
        <v>10230</v>
      </c>
      <c r="I864" s="110" t="s">
        <v>10231</v>
      </c>
    </row>
    <row r="865" spans="1:9" ht="25.2" x14ac:dyDescent="0.3">
      <c r="A865" s="109" t="s">
        <v>10232</v>
      </c>
      <c r="B865" s="109" t="s">
        <v>10211</v>
      </c>
      <c r="C865" s="109" t="s">
        <v>10211</v>
      </c>
      <c r="D865" s="109" t="s">
        <v>10233</v>
      </c>
      <c r="E865" s="109" t="s">
        <v>5558</v>
      </c>
      <c r="F865" s="109" t="s">
        <v>10234</v>
      </c>
      <c r="G865" s="110" t="s">
        <v>6248</v>
      </c>
      <c r="H865" s="110" t="s">
        <v>10235</v>
      </c>
      <c r="I865" s="110" t="s">
        <v>10236</v>
      </c>
    </row>
    <row r="866" spans="1:9" ht="25.2" x14ac:dyDescent="0.3">
      <c r="A866" s="109" t="s">
        <v>10237</v>
      </c>
      <c r="B866" s="109" t="s">
        <v>10211</v>
      </c>
      <c r="C866" s="109" t="s">
        <v>10211</v>
      </c>
      <c r="D866" s="109" t="s">
        <v>10238</v>
      </c>
      <c r="E866" s="109" t="s">
        <v>5558</v>
      </c>
      <c r="F866" s="109" t="s">
        <v>10239</v>
      </c>
      <c r="G866" s="110" t="s">
        <v>6248</v>
      </c>
      <c r="H866" s="110" t="s">
        <v>10240</v>
      </c>
      <c r="I866" s="110" t="s">
        <v>10241</v>
      </c>
    </row>
    <row r="867" spans="1:9" ht="25.2" x14ac:dyDescent="0.3">
      <c r="A867" s="109" t="s">
        <v>10242</v>
      </c>
      <c r="B867" s="109" t="s">
        <v>10211</v>
      </c>
      <c r="C867" s="109" t="s">
        <v>10211</v>
      </c>
      <c r="D867" s="109" t="s">
        <v>10243</v>
      </c>
      <c r="E867" s="109" t="s">
        <v>10244</v>
      </c>
      <c r="F867" s="109" t="s">
        <v>10245</v>
      </c>
      <c r="G867" s="110" t="s">
        <v>6248</v>
      </c>
      <c r="H867" s="110" t="s">
        <v>10246</v>
      </c>
      <c r="I867" s="110" t="s">
        <v>10247</v>
      </c>
    </row>
    <row r="868" spans="1:9" ht="25.2" x14ac:dyDescent="0.3">
      <c r="A868" s="109" t="s">
        <v>10248</v>
      </c>
      <c r="B868" s="109" t="s">
        <v>10211</v>
      </c>
      <c r="C868" s="109" t="s">
        <v>10211</v>
      </c>
      <c r="D868" s="109" t="s">
        <v>10249</v>
      </c>
      <c r="E868" s="109" t="s">
        <v>10250</v>
      </c>
      <c r="F868" s="109" t="s">
        <v>10251</v>
      </c>
      <c r="G868" s="110" t="s">
        <v>6248</v>
      </c>
      <c r="H868" s="110" t="s">
        <v>10252</v>
      </c>
      <c r="I868" s="110" t="s">
        <v>10253</v>
      </c>
    </row>
    <row r="869" spans="1:9" ht="25.2" x14ac:dyDescent="0.3">
      <c r="A869" s="109" t="s">
        <v>10254</v>
      </c>
      <c r="B869" s="109" t="s">
        <v>10211</v>
      </c>
      <c r="C869" s="109" t="s">
        <v>10211</v>
      </c>
      <c r="D869" s="109" t="s">
        <v>10255</v>
      </c>
      <c r="E869" s="109" t="s">
        <v>10256</v>
      </c>
      <c r="F869" s="109" t="s">
        <v>8309</v>
      </c>
      <c r="G869" s="110" t="s">
        <v>6248</v>
      </c>
      <c r="H869" s="110" t="s">
        <v>10257</v>
      </c>
      <c r="I869" s="110" t="s">
        <v>10258</v>
      </c>
    </row>
    <row r="870" spans="1:9" ht="37.799999999999997" x14ac:dyDescent="0.3">
      <c r="A870" s="109" t="s">
        <v>10259</v>
      </c>
      <c r="B870" s="109" t="s">
        <v>10211</v>
      </c>
      <c r="C870" s="109" t="s">
        <v>10211</v>
      </c>
      <c r="D870" s="109" t="s">
        <v>10260</v>
      </c>
      <c r="E870" s="109" t="s">
        <v>5558</v>
      </c>
      <c r="F870" s="109" t="s">
        <v>10261</v>
      </c>
      <c r="G870" s="110" t="s">
        <v>6248</v>
      </c>
      <c r="H870" s="110" t="s">
        <v>10262</v>
      </c>
      <c r="I870" s="110" t="s">
        <v>10263</v>
      </c>
    </row>
    <row r="871" spans="1:9" ht="25.2" x14ac:dyDescent="0.3">
      <c r="A871" s="109" t="s">
        <v>10264</v>
      </c>
      <c r="B871" s="109" t="s">
        <v>10211</v>
      </c>
      <c r="C871" s="109" t="s">
        <v>10211</v>
      </c>
      <c r="D871" s="109" t="s">
        <v>901</v>
      </c>
      <c r="E871" s="109" t="s">
        <v>10265</v>
      </c>
      <c r="F871" s="109" t="s">
        <v>10266</v>
      </c>
      <c r="G871" s="110" t="s">
        <v>6248</v>
      </c>
      <c r="H871" s="110" t="s">
        <v>10267</v>
      </c>
      <c r="I871" s="110" t="s">
        <v>10268</v>
      </c>
    </row>
    <row r="872" spans="1:9" ht="37.799999999999997" x14ac:dyDescent="0.3">
      <c r="A872" s="109" t="s">
        <v>10269</v>
      </c>
      <c r="B872" s="109" t="s">
        <v>10211</v>
      </c>
      <c r="C872" s="109" t="s">
        <v>10211</v>
      </c>
      <c r="D872" s="109" t="s">
        <v>10270</v>
      </c>
      <c r="E872" s="109" t="s">
        <v>5558</v>
      </c>
      <c r="F872" s="109" t="s">
        <v>10271</v>
      </c>
      <c r="G872" s="110" t="s">
        <v>6248</v>
      </c>
      <c r="H872" s="110" t="s">
        <v>10272</v>
      </c>
      <c r="I872" s="110" t="s">
        <v>10273</v>
      </c>
    </row>
    <row r="873" spans="1:9" ht="37.799999999999997" x14ac:dyDescent="0.3">
      <c r="A873" s="109" t="s">
        <v>10274</v>
      </c>
      <c r="B873" s="109" t="s">
        <v>10211</v>
      </c>
      <c r="C873" s="109" t="s">
        <v>10211</v>
      </c>
      <c r="D873" s="109" t="s">
        <v>10275</v>
      </c>
      <c r="E873" s="109" t="s">
        <v>5558</v>
      </c>
      <c r="F873" s="109" t="s">
        <v>10276</v>
      </c>
      <c r="G873" s="110" t="s">
        <v>6248</v>
      </c>
      <c r="H873" s="110" t="s">
        <v>10277</v>
      </c>
      <c r="I873" s="110" t="s">
        <v>10278</v>
      </c>
    </row>
    <row r="874" spans="1:9" ht="25.2" x14ac:dyDescent="0.3">
      <c r="A874" s="109" t="s">
        <v>10279</v>
      </c>
      <c r="B874" s="109" t="s">
        <v>10211</v>
      </c>
      <c r="C874" s="109" t="s">
        <v>10211</v>
      </c>
      <c r="D874" s="109" t="s">
        <v>6264</v>
      </c>
      <c r="E874" s="109" t="s">
        <v>5558</v>
      </c>
      <c r="F874" s="109" t="s">
        <v>2258</v>
      </c>
      <c r="G874" s="110" t="s">
        <v>6248</v>
      </c>
      <c r="H874" s="110" t="s">
        <v>10280</v>
      </c>
      <c r="I874" s="110" t="s">
        <v>10281</v>
      </c>
    </row>
    <row r="875" spans="1:9" ht="37.799999999999997" x14ac:dyDescent="0.3">
      <c r="A875" s="109" t="s">
        <v>10282</v>
      </c>
      <c r="B875" s="109" t="s">
        <v>10211</v>
      </c>
      <c r="C875" s="109" t="s">
        <v>10211</v>
      </c>
      <c r="D875" s="109" t="s">
        <v>10283</v>
      </c>
      <c r="E875" s="109" t="s">
        <v>5558</v>
      </c>
      <c r="F875" s="109" t="s">
        <v>10284</v>
      </c>
      <c r="G875" s="110" t="s">
        <v>6248</v>
      </c>
      <c r="H875" s="110" t="s">
        <v>9261</v>
      </c>
      <c r="I875" s="110" t="s">
        <v>10285</v>
      </c>
    </row>
    <row r="876" spans="1:9" ht="25.2" x14ac:dyDescent="0.3">
      <c r="A876" s="109" t="s">
        <v>10286</v>
      </c>
      <c r="B876" s="109" t="s">
        <v>10211</v>
      </c>
      <c r="C876" s="109" t="s">
        <v>10211</v>
      </c>
      <c r="D876" s="109" t="s">
        <v>10287</v>
      </c>
      <c r="E876" s="109" t="s">
        <v>10288</v>
      </c>
      <c r="F876" s="109" t="s">
        <v>10289</v>
      </c>
      <c r="G876" s="110" t="s">
        <v>6248</v>
      </c>
      <c r="H876" s="110" t="s">
        <v>10290</v>
      </c>
      <c r="I876" s="110" t="s">
        <v>10291</v>
      </c>
    </row>
    <row r="877" spans="1:9" ht="25.2" x14ac:dyDescent="0.3">
      <c r="A877" s="109" t="s">
        <v>10292</v>
      </c>
      <c r="B877" s="109" t="s">
        <v>10211</v>
      </c>
      <c r="C877" s="109" t="s">
        <v>10211</v>
      </c>
      <c r="D877" s="109" t="s">
        <v>10293</v>
      </c>
      <c r="E877" s="109" t="s">
        <v>5558</v>
      </c>
      <c r="F877" s="109" t="s">
        <v>10294</v>
      </c>
      <c r="G877" s="110" t="s">
        <v>6248</v>
      </c>
      <c r="H877" s="110" t="s">
        <v>10295</v>
      </c>
      <c r="I877" s="110" t="s">
        <v>10296</v>
      </c>
    </row>
    <row r="878" spans="1:9" ht="37.799999999999997" x14ac:dyDescent="0.3">
      <c r="A878" s="109" t="s">
        <v>10297</v>
      </c>
      <c r="B878" s="109" t="s">
        <v>10211</v>
      </c>
      <c r="C878" s="109" t="s">
        <v>10211</v>
      </c>
      <c r="D878" s="109" t="s">
        <v>10298</v>
      </c>
      <c r="E878" s="109" t="s">
        <v>5558</v>
      </c>
      <c r="F878" s="109" t="s">
        <v>10299</v>
      </c>
      <c r="G878" s="110" t="s">
        <v>6248</v>
      </c>
      <c r="H878" s="110" t="s">
        <v>7992</v>
      </c>
      <c r="I878" s="110" t="s">
        <v>10300</v>
      </c>
    </row>
    <row r="879" spans="1:9" ht="25.2" x14ac:dyDescent="0.3">
      <c r="A879" s="109" t="s">
        <v>10301</v>
      </c>
      <c r="B879" s="109" t="s">
        <v>10211</v>
      </c>
      <c r="C879" s="109" t="s">
        <v>10211</v>
      </c>
      <c r="D879" s="109" t="s">
        <v>10302</v>
      </c>
      <c r="E879" s="109" t="s">
        <v>5558</v>
      </c>
      <c r="F879" s="109" t="s">
        <v>10303</v>
      </c>
      <c r="G879" s="110" t="s">
        <v>6248</v>
      </c>
      <c r="H879" s="110" t="s">
        <v>7592</v>
      </c>
      <c r="I879" s="110" t="s">
        <v>10304</v>
      </c>
    </row>
    <row r="880" spans="1:9" ht="25.2" x14ac:dyDescent="0.3">
      <c r="A880" s="109" t="s">
        <v>10305</v>
      </c>
      <c r="B880" s="109" t="s">
        <v>10211</v>
      </c>
      <c r="C880" s="109" t="s">
        <v>10211</v>
      </c>
      <c r="D880" s="109" t="s">
        <v>10306</v>
      </c>
      <c r="E880" s="109" t="s">
        <v>5558</v>
      </c>
      <c r="F880" s="109" t="s">
        <v>10307</v>
      </c>
      <c r="G880" s="110" t="s">
        <v>6248</v>
      </c>
      <c r="H880" s="110" t="s">
        <v>6557</v>
      </c>
      <c r="I880" s="110" t="s">
        <v>10308</v>
      </c>
    </row>
    <row r="881" spans="1:9" ht="25.2" x14ac:dyDescent="0.3">
      <c r="A881" s="109" t="s">
        <v>10309</v>
      </c>
      <c r="B881" s="109" t="s">
        <v>10211</v>
      </c>
      <c r="C881" s="109" t="s">
        <v>10211</v>
      </c>
      <c r="D881" s="109" t="s">
        <v>10310</v>
      </c>
      <c r="E881" s="109" t="s">
        <v>5558</v>
      </c>
      <c r="F881" s="109" t="s">
        <v>10311</v>
      </c>
      <c r="G881" s="110" t="s">
        <v>6248</v>
      </c>
      <c r="H881" s="110" t="s">
        <v>10312</v>
      </c>
      <c r="I881" s="110" t="s">
        <v>10313</v>
      </c>
    </row>
    <row r="882" spans="1:9" ht="25.2" x14ac:dyDescent="0.3">
      <c r="A882" s="109" t="s">
        <v>10314</v>
      </c>
      <c r="B882" s="109" t="s">
        <v>10211</v>
      </c>
      <c r="C882" s="109" t="s">
        <v>10211</v>
      </c>
      <c r="D882" s="109" t="s">
        <v>10315</v>
      </c>
      <c r="E882" s="109" t="s">
        <v>5558</v>
      </c>
      <c r="F882" s="109" t="s">
        <v>10316</v>
      </c>
      <c r="G882" s="110" t="s">
        <v>6248</v>
      </c>
      <c r="H882" s="110" t="s">
        <v>6615</v>
      </c>
      <c r="I882" s="110" t="s">
        <v>10317</v>
      </c>
    </row>
    <row r="883" spans="1:9" ht="25.2" x14ac:dyDescent="0.3">
      <c r="A883" s="109" t="s">
        <v>10318</v>
      </c>
      <c r="B883" s="109" t="s">
        <v>10211</v>
      </c>
      <c r="C883" s="109" t="s">
        <v>10211</v>
      </c>
      <c r="D883" s="109" t="s">
        <v>10319</v>
      </c>
      <c r="E883" s="109" t="s">
        <v>5558</v>
      </c>
      <c r="F883" s="109" t="s">
        <v>10320</v>
      </c>
      <c r="G883" s="110" t="s">
        <v>6248</v>
      </c>
      <c r="H883" s="110" t="s">
        <v>6418</v>
      </c>
      <c r="I883" s="110" t="s">
        <v>10321</v>
      </c>
    </row>
    <row r="884" spans="1:9" ht="25.2" x14ac:dyDescent="0.3">
      <c r="A884" s="109" t="s">
        <v>10322</v>
      </c>
      <c r="B884" s="109" t="s">
        <v>10211</v>
      </c>
      <c r="C884" s="109" t="s">
        <v>10211</v>
      </c>
      <c r="D884" s="109" t="s">
        <v>10323</v>
      </c>
      <c r="E884" s="109" t="s">
        <v>5558</v>
      </c>
      <c r="F884" s="109" t="s">
        <v>10324</v>
      </c>
      <c r="G884" s="110" t="s">
        <v>6248</v>
      </c>
      <c r="H884" s="110" t="s">
        <v>6428</v>
      </c>
      <c r="I884" s="110" t="s">
        <v>10325</v>
      </c>
    </row>
    <row r="885" spans="1:9" ht="37.799999999999997" x14ac:dyDescent="0.3">
      <c r="A885" s="109" t="s">
        <v>10326</v>
      </c>
      <c r="B885" s="109" t="s">
        <v>10211</v>
      </c>
      <c r="C885" s="109" t="s">
        <v>10211</v>
      </c>
      <c r="D885" s="109" t="s">
        <v>10327</v>
      </c>
      <c r="E885" s="109" t="s">
        <v>5558</v>
      </c>
      <c r="F885" s="109" t="s">
        <v>10328</v>
      </c>
      <c r="G885" s="110" t="s">
        <v>6248</v>
      </c>
      <c r="H885" s="110" t="s">
        <v>7592</v>
      </c>
      <c r="I885" s="110" t="s">
        <v>10329</v>
      </c>
    </row>
    <row r="886" spans="1:9" ht="25.2" x14ac:dyDescent="0.3">
      <c r="A886" s="109" t="s">
        <v>10330</v>
      </c>
      <c r="B886" s="109" t="s">
        <v>10211</v>
      </c>
      <c r="C886" s="109" t="s">
        <v>10211</v>
      </c>
      <c r="D886" s="109" t="s">
        <v>10331</v>
      </c>
      <c r="E886" s="109" t="s">
        <v>5558</v>
      </c>
      <c r="F886" s="109" t="s">
        <v>10332</v>
      </c>
      <c r="G886" s="110" t="s">
        <v>6248</v>
      </c>
      <c r="H886" s="110" t="s">
        <v>8984</v>
      </c>
      <c r="I886" s="110" t="s">
        <v>10333</v>
      </c>
    </row>
    <row r="887" spans="1:9" ht="25.2" x14ac:dyDescent="0.3">
      <c r="A887" s="109" t="s">
        <v>10334</v>
      </c>
      <c r="B887" s="109" t="s">
        <v>10211</v>
      </c>
      <c r="C887" s="109" t="s">
        <v>10211</v>
      </c>
      <c r="D887" s="109" t="s">
        <v>10335</v>
      </c>
      <c r="E887" s="109" t="s">
        <v>5558</v>
      </c>
      <c r="F887" s="109" t="s">
        <v>10336</v>
      </c>
      <c r="G887" s="110" t="s">
        <v>6248</v>
      </c>
      <c r="H887" s="110" t="s">
        <v>6374</v>
      </c>
      <c r="I887" s="110" t="s">
        <v>10337</v>
      </c>
    </row>
    <row r="888" spans="1:9" ht="37.799999999999997" x14ac:dyDescent="0.3">
      <c r="A888" s="109" t="s">
        <v>10338</v>
      </c>
      <c r="B888" s="109" t="s">
        <v>10211</v>
      </c>
      <c r="C888" s="109" t="s">
        <v>10211</v>
      </c>
      <c r="D888" s="109" t="s">
        <v>10339</v>
      </c>
      <c r="E888" s="109" t="s">
        <v>5558</v>
      </c>
      <c r="F888" s="109" t="s">
        <v>10340</v>
      </c>
      <c r="G888" s="110" t="s">
        <v>6248</v>
      </c>
      <c r="H888" s="110" t="s">
        <v>6433</v>
      </c>
      <c r="I888" s="110" t="s">
        <v>10341</v>
      </c>
    </row>
    <row r="889" spans="1:9" ht="37.799999999999997" x14ac:dyDescent="0.3">
      <c r="A889" s="109" t="s">
        <v>10342</v>
      </c>
      <c r="B889" s="109" t="s">
        <v>10211</v>
      </c>
      <c r="C889" s="109" t="s">
        <v>10211</v>
      </c>
      <c r="D889" s="109" t="s">
        <v>10343</v>
      </c>
      <c r="E889" s="109" t="s">
        <v>5558</v>
      </c>
      <c r="F889" s="109" t="s">
        <v>10344</v>
      </c>
      <c r="G889" s="110" t="s">
        <v>6248</v>
      </c>
      <c r="H889" s="110" t="s">
        <v>10345</v>
      </c>
      <c r="I889" s="110" t="s">
        <v>10346</v>
      </c>
    </row>
    <row r="890" spans="1:9" ht="25.2" x14ac:dyDescent="0.3">
      <c r="A890" s="109" t="s">
        <v>10347</v>
      </c>
      <c r="B890" s="109" t="s">
        <v>10211</v>
      </c>
      <c r="C890" s="109" t="s">
        <v>10211</v>
      </c>
      <c r="D890" s="109" t="s">
        <v>10348</v>
      </c>
      <c r="E890" s="109" t="s">
        <v>5558</v>
      </c>
      <c r="F890" s="109" t="s">
        <v>10311</v>
      </c>
      <c r="G890" s="110" t="s">
        <v>6248</v>
      </c>
      <c r="H890" s="110" t="s">
        <v>10349</v>
      </c>
      <c r="I890" s="110" t="s">
        <v>10350</v>
      </c>
    </row>
    <row r="891" spans="1:9" ht="37.799999999999997" x14ac:dyDescent="0.3">
      <c r="A891" s="109" t="s">
        <v>10351</v>
      </c>
      <c r="B891" s="109" t="s">
        <v>10211</v>
      </c>
      <c r="C891" s="109" t="s">
        <v>10211</v>
      </c>
      <c r="D891" s="109" t="s">
        <v>10352</v>
      </c>
      <c r="E891" s="109" t="s">
        <v>5558</v>
      </c>
      <c r="F891" s="109" t="s">
        <v>10353</v>
      </c>
      <c r="G891" s="110" t="s">
        <v>6248</v>
      </c>
      <c r="H891" s="110" t="s">
        <v>6517</v>
      </c>
      <c r="I891" s="110" t="s">
        <v>10354</v>
      </c>
    </row>
    <row r="892" spans="1:9" ht="37.799999999999997" x14ac:dyDescent="0.3">
      <c r="A892" s="109" t="s">
        <v>10355</v>
      </c>
      <c r="B892" s="109" t="s">
        <v>10211</v>
      </c>
      <c r="C892" s="109" t="s">
        <v>10211</v>
      </c>
      <c r="D892" s="109" t="s">
        <v>10356</v>
      </c>
      <c r="E892" s="109" t="s">
        <v>5558</v>
      </c>
      <c r="F892" s="109" t="s">
        <v>10357</v>
      </c>
      <c r="G892" s="110" t="s">
        <v>6248</v>
      </c>
      <c r="H892" s="110" t="s">
        <v>6474</v>
      </c>
      <c r="I892" s="110" t="s">
        <v>10358</v>
      </c>
    </row>
    <row r="893" spans="1:9" ht="25.2" x14ac:dyDescent="0.3">
      <c r="A893" s="109" t="s">
        <v>10359</v>
      </c>
      <c r="B893" s="109" t="s">
        <v>10211</v>
      </c>
      <c r="C893" s="109" t="s">
        <v>10211</v>
      </c>
      <c r="D893" s="109" t="s">
        <v>10360</v>
      </c>
      <c r="E893" s="109" t="s">
        <v>5558</v>
      </c>
      <c r="F893" s="109" t="s">
        <v>10361</v>
      </c>
      <c r="G893" s="110" t="s">
        <v>6248</v>
      </c>
      <c r="H893" s="110" t="s">
        <v>10362</v>
      </c>
      <c r="I893" s="110" t="s">
        <v>10363</v>
      </c>
    </row>
    <row r="894" spans="1:9" ht="25.2" x14ac:dyDescent="0.3">
      <c r="A894" s="109" t="s">
        <v>10364</v>
      </c>
      <c r="B894" s="109" t="s">
        <v>10211</v>
      </c>
      <c r="C894" s="109" t="s">
        <v>10211</v>
      </c>
      <c r="D894" s="109" t="s">
        <v>10365</v>
      </c>
      <c r="E894" s="109" t="s">
        <v>5558</v>
      </c>
      <c r="F894" s="109" t="s">
        <v>10366</v>
      </c>
      <c r="G894" s="110" t="s">
        <v>6248</v>
      </c>
      <c r="H894" s="110" t="s">
        <v>6543</v>
      </c>
      <c r="I894" s="110" t="s">
        <v>10367</v>
      </c>
    </row>
    <row r="895" spans="1:9" ht="25.2" x14ac:dyDescent="0.3">
      <c r="A895" s="109" t="s">
        <v>10368</v>
      </c>
      <c r="B895" s="109" t="s">
        <v>10211</v>
      </c>
      <c r="C895" s="109" t="s">
        <v>10211</v>
      </c>
      <c r="D895" s="109" t="s">
        <v>10369</v>
      </c>
      <c r="E895" s="109" t="s">
        <v>5558</v>
      </c>
      <c r="F895" s="109" t="s">
        <v>10370</v>
      </c>
      <c r="G895" s="110" t="s">
        <v>6248</v>
      </c>
      <c r="H895" s="110" t="s">
        <v>10371</v>
      </c>
      <c r="I895" s="110" t="s">
        <v>10372</v>
      </c>
    </row>
    <row r="896" spans="1:9" ht="25.2" x14ac:dyDescent="0.3">
      <c r="A896" s="109" t="s">
        <v>10373</v>
      </c>
      <c r="B896" s="109" t="s">
        <v>10211</v>
      </c>
      <c r="C896" s="109" t="s">
        <v>10211</v>
      </c>
      <c r="D896" s="109" t="s">
        <v>10374</v>
      </c>
      <c r="E896" s="109" t="s">
        <v>5558</v>
      </c>
      <c r="F896" s="109" t="s">
        <v>10375</v>
      </c>
      <c r="G896" s="110" t="s">
        <v>6248</v>
      </c>
      <c r="H896" s="110" t="s">
        <v>7898</v>
      </c>
      <c r="I896" s="110" t="s">
        <v>10376</v>
      </c>
    </row>
    <row r="897" spans="1:9" ht="25.2" x14ac:dyDescent="0.3">
      <c r="A897" s="109" t="s">
        <v>10377</v>
      </c>
      <c r="B897" s="109" t="s">
        <v>10211</v>
      </c>
      <c r="C897" s="109" t="s">
        <v>10211</v>
      </c>
      <c r="D897" s="109" t="s">
        <v>10378</v>
      </c>
      <c r="E897" s="109" t="s">
        <v>5558</v>
      </c>
      <c r="F897" s="109" t="s">
        <v>10379</v>
      </c>
      <c r="G897" s="110" t="s">
        <v>6248</v>
      </c>
      <c r="H897" s="110" t="s">
        <v>10380</v>
      </c>
      <c r="I897" s="110" t="s">
        <v>10381</v>
      </c>
    </row>
    <row r="898" spans="1:9" ht="37.799999999999997" x14ac:dyDescent="0.3">
      <c r="A898" s="109" t="s">
        <v>10382</v>
      </c>
      <c r="B898" s="109" t="s">
        <v>10211</v>
      </c>
      <c r="C898" s="109" t="s">
        <v>10211</v>
      </c>
      <c r="D898" s="109" t="s">
        <v>10383</v>
      </c>
      <c r="E898" s="109" t="s">
        <v>5558</v>
      </c>
      <c r="F898" s="109" t="s">
        <v>10384</v>
      </c>
      <c r="G898" s="110" t="s">
        <v>6248</v>
      </c>
      <c r="H898" s="110" t="s">
        <v>6408</v>
      </c>
      <c r="I898" s="110" t="s">
        <v>10385</v>
      </c>
    </row>
    <row r="899" spans="1:9" ht="25.2" x14ac:dyDescent="0.3">
      <c r="A899" s="109" t="s">
        <v>10386</v>
      </c>
      <c r="B899" s="109" t="s">
        <v>10211</v>
      </c>
      <c r="C899" s="109" t="s">
        <v>10211</v>
      </c>
      <c r="D899" s="109" t="s">
        <v>10387</v>
      </c>
      <c r="E899" s="109" t="s">
        <v>5558</v>
      </c>
      <c r="F899" s="109" t="s">
        <v>10388</v>
      </c>
      <c r="G899" s="110" t="s">
        <v>6248</v>
      </c>
      <c r="H899" s="110" t="s">
        <v>6433</v>
      </c>
      <c r="I899" s="110" t="s">
        <v>10389</v>
      </c>
    </row>
    <row r="900" spans="1:9" ht="37.799999999999997" x14ac:dyDescent="0.3">
      <c r="A900" s="109" t="s">
        <v>10390</v>
      </c>
      <c r="B900" s="109" t="s">
        <v>10211</v>
      </c>
      <c r="C900" s="109" t="s">
        <v>10211</v>
      </c>
      <c r="D900" s="109" t="s">
        <v>10391</v>
      </c>
      <c r="E900" s="109" t="s">
        <v>5558</v>
      </c>
      <c r="F900" s="109" t="s">
        <v>10392</v>
      </c>
      <c r="G900" s="110" t="s">
        <v>6248</v>
      </c>
      <c r="H900" s="110" t="s">
        <v>6408</v>
      </c>
      <c r="I900" s="110" t="s">
        <v>10393</v>
      </c>
    </row>
    <row r="901" spans="1:9" ht="25.2" x14ac:dyDescent="0.3">
      <c r="A901" s="109" t="s">
        <v>10394</v>
      </c>
      <c r="B901" s="109" t="s">
        <v>10211</v>
      </c>
      <c r="C901" s="109" t="s">
        <v>10211</v>
      </c>
      <c r="D901" s="109" t="s">
        <v>10395</v>
      </c>
      <c r="E901" s="109" t="s">
        <v>5558</v>
      </c>
      <c r="F901" s="109" t="s">
        <v>10396</v>
      </c>
      <c r="G901" s="110" t="s">
        <v>6248</v>
      </c>
      <c r="H901" s="110" t="s">
        <v>8956</v>
      </c>
      <c r="I901" s="110" t="s">
        <v>10397</v>
      </c>
    </row>
    <row r="902" spans="1:9" ht="25.2" x14ac:dyDescent="0.3">
      <c r="A902" s="109" t="s">
        <v>10398</v>
      </c>
      <c r="B902" s="109" t="s">
        <v>10211</v>
      </c>
      <c r="C902" s="109" t="s">
        <v>10211</v>
      </c>
      <c r="D902" s="109" t="s">
        <v>10399</v>
      </c>
      <c r="E902" s="109" t="s">
        <v>5558</v>
      </c>
      <c r="F902" s="109" t="s">
        <v>10400</v>
      </c>
      <c r="G902" s="110" t="s">
        <v>6248</v>
      </c>
      <c r="H902" s="110" t="s">
        <v>7947</v>
      </c>
      <c r="I902" s="110" t="s">
        <v>10401</v>
      </c>
    </row>
    <row r="903" spans="1:9" ht="25.2" x14ac:dyDescent="0.3">
      <c r="A903" s="109" t="s">
        <v>10402</v>
      </c>
      <c r="B903" s="109" t="s">
        <v>10211</v>
      </c>
      <c r="C903" s="109" t="s">
        <v>10211</v>
      </c>
      <c r="D903" s="109" t="s">
        <v>10403</v>
      </c>
      <c r="E903" s="109" t="s">
        <v>5558</v>
      </c>
      <c r="F903" s="109" t="s">
        <v>10404</v>
      </c>
      <c r="G903" s="110" t="s">
        <v>6248</v>
      </c>
      <c r="H903" s="110" t="s">
        <v>10405</v>
      </c>
      <c r="I903" s="110" t="s">
        <v>10406</v>
      </c>
    </row>
    <row r="904" spans="1:9" ht="25.2" x14ac:dyDescent="0.3">
      <c r="A904" s="109" t="s">
        <v>10407</v>
      </c>
      <c r="B904" s="109" t="s">
        <v>10211</v>
      </c>
      <c r="C904" s="109" t="s">
        <v>10211</v>
      </c>
      <c r="D904" s="109" t="s">
        <v>10408</v>
      </c>
      <c r="E904" s="109" t="s">
        <v>5558</v>
      </c>
      <c r="F904" s="109" t="s">
        <v>10409</v>
      </c>
      <c r="G904" s="110" t="s">
        <v>6248</v>
      </c>
      <c r="H904" s="110" t="s">
        <v>6512</v>
      </c>
      <c r="I904" s="110" t="s">
        <v>10410</v>
      </c>
    </row>
    <row r="905" spans="1:9" ht="25.2" x14ac:dyDescent="0.3">
      <c r="A905" s="109" t="s">
        <v>10411</v>
      </c>
      <c r="B905" s="109" t="s">
        <v>10211</v>
      </c>
      <c r="C905" s="109" t="s">
        <v>10211</v>
      </c>
      <c r="D905" s="109" t="s">
        <v>10412</v>
      </c>
      <c r="E905" s="109" t="s">
        <v>5558</v>
      </c>
      <c r="F905" s="109" t="s">
        <v>10413</v>
      </c>
      <c r="G905" s="110" t="s">
        <v>6248</v>
      </c>
      <c r="H905" s="110" t="s">
        <v>10414</v>
      </c>
      <c r="I905" s="110" t="s">
        <v>10415</v>
      </c>
    </row>
    <row r="906" spans="1:9" ht="37.799999999999997" x14ac:dyDescent="0.3">
      <c r="A906" s="109" t="s">
        <v>10416</v>
      </c>
      <c r="B906" s="109" t="s">
        <v>10211</v>
      </c>
      <c r="C906" s="109" t="s">
        <v>10211</v>
      </c>
      <c r="D906" s="109" t="s">
        <v>10417</v>
      </c>
      <c r="E906" s="109" t="s">
        <v>5558</v>
      </c>
      <c r="F906" s="109" t="s">
        <v>10418</v>
      </c>
      <c r="G906" s="110" t="s">
        <v>6248</v>
      </c>
      <c r="H906" s="110" t="s">
        <v>6601</v>
      </c>
      <c r="I906" s="110" t="s">
        <v>10419</v>
      </c>
    </row>
    <row r="907" spans="1:9" ht="25.2" x14ac:dyDescent="0.3">
      <c r="A907" s="109" t="s">
        <v>10420</v>
      </c>
      <c r="B907" s="109" t="s">
        <v>10211</v>
      </c>
      <c r="C907" s="109" t="s">
        <v>10211</v>
      </c>
      <c r="D907" s="109" t="s">
        <v>10421</v>
      </c>
      <c r="E907" s="109" t="s">
        <v>5558</v>
      </c>
      <c r="F907" s="109" t="s">
        <v>10422</v>
      </c>
      <c r="G907" s="110" t="s">
        <v>6248</v>
      </c>
      <c r="H907" s="110" t="s">
        <v>6384</v>
      </c>
      <c r="I907" s="110" t="s">
        <v>10423</v>
      </c>
    </row>
    <row r="908" spans="1:9" ht="25.2" x14ac:dyDescent="0.3">
      <c r="A908" s="109" t="s">
        <v>10424</v>
      </c>
      <c r="B908" s="109" t="s">
        <v>10211</v>
      </c>
      <c r="C908" s="109" t="s">
        <v>10211</v>
      </c>
      <c r="D908" s="109" t="s">
        <v>10425</v>
      </c>
      <c r="E908" s="109" t="s">
        <v>5558</v>
      </c>
      <c r="F908" s="109" t="s">
        <v>10426</v>
      </c>
      <c r="G908" s="110" t="s">
        <v>6248</v>
      </c>
      <c r="H908" s="110" t="s">
        <v>6408</v>
      </c>
      <c r="I908" s="110" t="s">
        <v>10427</v>
      </c>
    </row>
    <row r="909" spans="1:9" ht="37.799999999999997" x14ac:dyDescent="0.3">
      <c r="A909" s="109" t="s">
        <v>10428</v>
      </c>
      <c r="B909" s="109" t="s">
        <v>10211</v>
      </c>
      <c r="C909" s="109" t="s">
        <v>10211</v>
      </c>
      <c r="D909" s="109" t="s">
        <v>10429</v>
      </c>
      <c r="E909" s="109" t="s">
        <v>5558</v>
      </c>
      <c r="F909" s="109" t="s">
        <v>10430</v>
      </c>
      <c r="G909" s="110" t="s">
        <v>6248</v>
      </c>
      <c r="H909" s="110" t="s">
        <v>7992</v>
      </c>
      <c r="I909" s="110" t="s">
        <v>10431</v>
      </c>
    </row>
    <row r="910" spans="1:9" ht="37.799999999999997" x14ac:dyDescent="0.3">
      <c r="A910" s="109" t="s">
        <v>10432</v>
      </c>
      <c r="B910" s="109" t="s">
        <v>10211</v>
      </c>
      <c r="C910" s="109" t="s">
        <v>10211</v>
      </c>
      <c r="D910" s="109" t="s">
        <v>10433</v>
      </c>
      <c r="E910" s="109" t="s">
        <v>5558</v>
      </c>
      <c r="F910" s="109" t="s">
        <v>10434</v>
      </c>
      <c r="G910" s="110" t="s">
        <v>6248</v>
      </c>
      <c r="H910" s="110" t="s">
        <v>8445</v>
      </c>
      <c r="I910" s="110" t="s">
        <v>10435</v>
      </c>
    </row>
    <row r="911" spans="1:9" ht="25.2" x14ac:dyDescent="0.3">
      <c r="A911" s="109" t="s">
        <v>10436</v>
      </c>
      <c r="B911" s="109" t="s">
        <v>10211</v>
      </c>
      <c r="C911" s="109" t="s">
        <v>10211</v>
      </c>
      <c r="D911" s="109" t="s">
        <v>10437</v>
      </c>
      <c r="E911" s="109" t="s">
        <v>5558</v>
      </c>
      <c r="F911" s="109" t="s">
        <v>10438</v>
      </c>
      <c r="G911" s="110" t="s">
        <v>6248</v>
      </c>
      <c r="H911" s="110" t="s">
        <v>10439</v>
      </c>
      <c r="I911" s="110" t="s">
        <v>10440</v>
      </c>
    </row>
    <row r="912" spans="1:9" ht="25.2" x14ac:dyDescent="0.3">
      <c r="A912" s="109" t="s">
        <v>10441</v>
      </c>
      <c r="B912" s="109" t="s">
        <v>10211</v>
      </c>
      <c r="C912" s="109" t="s">
        <v>10211</v>
      </c>
      <c r="D912" s="109" t="s">
        <v>10442</v>
      </c>
      <c r="E912" s="109" t="s">
        <v>5558</v>
      </c>
      <c r="F912" s="109" t="s">
        <v>10443</v>
      </c>
      <c r="G912" s="110" t="s">
        <v>6248</v>
      </c>
      <c r="H912" s="110" t="s">
        <v>6601</v>
      </c>
      <c r="I912" s="110" t="s">
        <v>10444</v>
      </c>
    </row>
    <row r="913" spans="1:9" ht="37.799999999999997" x14ac:dyDescent="0.3">
      <c r="A913" s="109" t="s">
        <v>10445</v>
      </c>
      <c r="B913" s="109" t="s">
        <v>10211</v>
      </c>
      <c r="C913" s="109" t="s">
        <v>10211</v>
      </c>
      <c r="D913" s="109" t="s">
        <v>10446</v>
      </c>
      <c r="E913" s="109" t="s">
        <v>5558</v>
      </c>
      <c r="F913" s="109" t="s">
        <v>10447</v>
      </c>
      <c r="G913" s="110" t="s">
        <v>6248</v>
      </c>
      <c r="H913" s="110" t="s">
        <v>10414</v>
      </c>
      <c r="I913" s="110" t="s">
        <v>10448</v>
      </c>
    </row>
    <row r="914" spans="1:9" ht="37.799999999999997" x14ac:dyDescent="0.3">
      <c r="A914" s="109" t="s">
        <v>10449</v>
      </c>
      <c r="B914" s="109" t="s">
        <v>10211</v>
      </c>
      <c r="C914" s="109" t="s">
        <v>10211</v>
      </c>
      <c r="D914" s="109" t="s">
        <v>10450</v>
      </c>
      <c r="E914" s="109" t="s">
        <v>5558</v>
      </c>
      <c r="F914" s="109" t="s">
        <v>10451</v>
      </c>
      <c r="G914" s="110" t="s">
        <v>6248</v>
      </c>
      <c r="H914" s="110" t="s">
        <v>6438</v>
      </c>
      <c r="I914" s="110" t="s">
        <v>10452</v>
      </c>
    </row>
    <row r="915" spans="1:9" ht="37.799999999999997" x14ac:dyDescent="0.3">
      <c r="A915" s="109" t="s">
        <v>10453</v>
      </c>
      <c r="B915" s="109" t="s">
        <v>10211</v>
      </c>
      <c r="C915" s="109" t="s">
        <v>10211</v>
      </c>
      <c r="D915" s="109" t="s">
        <v>10454</v>
      </c>
      <c r="E915" s="109" t="s">
        <v>5558</v>
      </c>
      <c r="F915" s="109" t="s">
        <v>10455</v>
      </c>
      <c r="G915" s="110" t="s">
        <v>6248</v>
      </c>
      <c r="H915" s="110" t="s">
        <v>8984</v>
      </c>
      <c r="I915" s="110" t="s">
        <v>10456</v>
      </c>
    </row>
    <row r="916" spans="1:9" ht="25.2" x14ac:dyDescent="0.3">
      <c r="A916" s="109" t="s">
        <v>10457</v>
      </c>
      <c r="B916" s="109" t="s">
        <v>10211</v>
      </c>
      <c r="C916" s="109" t="s">
        <v>10211</v>
      </c>
      <c r="D916" s="109" t="s">
        <v>10458</v>
      </c>
      <c r="E916" s="109" t="s">
        <v>5558</v>
      </c>
      <c r="F916" s="109" t="s">
        <v>10459</v>
      </c>
      <c r="G916" s="110" t="s">
        <v>6248</v>
      </c>
      <c r="H916" s="110" t="s">
        <v>6552</v>
      </c>
      <c r="I916" s="110" t="s">
        <v>10460</v>
      </c>
    </row>
    <row r="917" spans="1:9" ht="37.799999999999997" x14ac:dyDescent="0.3">
      <c r="A917" s="109" t="s">
        <v>10461</v>
      </c>
      <c r="B917" s="109" t="s">
        <v>10211</v>
      </c>
      <c r="C917" s="109" t="s">
        <v>10211</v>
      </c>
      <c r="D917" s="109" t="s">
        <v>10462</v>
      </c>
      <c r="E917" s="109" t="s">
        <v>5558</v>
      </c>
      <c r="F917" s="109" t="s">
        <v>10463</v>
      </c>
      <c r="G917" s="110" t="s">
        <v>6248</v>
      </c>
      <c r="H917" s="110" t="s">
        <v>10464</v>
      </c>
      <c r="I917" s="110" t="s">
        <v>10465</v>
      </c>
    </row>
    <row r="918" spans="1:9" ht="25.2" x14ac:dyDescent="0.3">
      <c r="A918" s="109" t="s">
        <v>10466</v>
      </c>
      <c r="B918" s="109" t="s">
        <v>10211</v>
      </c>
      <c r="C918" s="109" t="s">
        <v>10211</v>
      </c>
      <c r="D918" s="109" t="s">
        <v>10467</v>
      </c>
      <c r="E918" s="109" t="s">
        <v>5558</v>
      </c>
      <c r="F918" s="109" t="s">
        <v>10468</v>
      </c>
      <c r="G918" s="110" t="s">
        <v>6248</v>
      </c>
      <c r="H918" s="110" t="s">
        <v>10469</v>
      </c>
      <c r="I918" s="110" t="s">
        <v>10470</v>
      </c>
    </row>
    <row r="919" spans="1:9" ht="25.2" x14ac:dyDescent="0.3">
      <c r="A919" s="109" t="s">
        <v>10471</v>
      </c>
      <c r="B919" s="109" t="s">
        <v>10211</v>
      </c>
      <c r="C919" s="109" t="s">
        <v>10211</v>
      </c>
      <c r="D919" s="109" t="s">
        <v>10472</v>
      </c>
      <c r="E919" s="109" t="s">
        <v>5558</v>
      </c>
      <c r="F919" s="109" t="s">
        <v>10473</v>
      </c>
      <c r="G919" s="110" t="s">
        <v>6248</v>
      </c>
      <c r="H919" s="110" t="s">
        <v>7907</v>
      </c>
      <c r="I919" s="110" t="s">
        <v>10474</v>
      </c>
    </row>
    <row r="920" spans="1:9" ht="25.2" x14ac:dyDescent="0.3">
      <c r="A920" s="109" t="s">
        <v>10475</v>
      </c>
      <c r="B920" s="109" t="s">
        <v>10211</v>
      </c>
      <c r="C920" s="109" t="s">
        <v>10211</v>
      </c>
      <c r="D920" s="109" t="s">
        <v>10476</v>
      </c>
      <c r="E920" s="109" t="s">
        <v>5558</v>
      </c>
      <c r="F920" s="109" t="s">
        <v>10477</v>
      </c>
      <c r="G920" s="110" t="s">
        <v>6248</v>
      </c>
      <c r="H920" s="110" t="s">
        <v>6384</v>
      </c>
      <c r="I920" s="110" t="s">
        <v>10478</v>
      </c>
    </row>
    <row r="921" spans="1:9" ht="37.799999999999997" x14ac:dyDescent="0.3">
      <c r="A921" s="109" t="s">
        <v>10479</v>
      </c>
      <c r="B921" s="109" t="s">
        <v>10211</v>
      </c>
      <c r="C921" s="109" t="s">
        <v>10211</v>
      </c>
      <c r="D921" s="109" t="s">
        <v>10480</v>
      </c>
      <c r="E921" s="109" t="s">
        <v>5558</v>
      </c>
      <c r="F921" s="109" t="s">
        <v>10481</v>
      </c>
      <c r="G921" s="110" t="s">
        <v>6248</v>
      </c>
      <c r="H921" s="110" t="s">
        <v>9005</v>
      </c>
      <c r="I921" s="110" t="s">
        <v>10482</v>
      </c>
    </row>
    <row r="922" spans="1:9" ht="37.799999999999997" x14ac:dyDescent="0.3">
      <c r="A922" s="109" t="s">
        <v>10483</v>
      </c>
      <c r="B922" s="109" t="s">
        <v>10211</v>
      </c>
      <c r="C922" s="109" t="s">
        <v>10211</v>
      </c>
      <c r="D922" s="109" t="s">
        <v>10484</v>
      </c>
      <c r="E922" s="109" t="s">
        <v>5558</v>
      </c>
      <c r="F922" s="109" t="s">
        <v>10485</v>
      </c>
      <c r="G922" s="110" t="s">
        <v>6248</v>
      </c>
      <c r="H922" s="110" t="s">
        <v>6433</v>
      </c>
      <c r="I922" s="110" t="s">
        <v>10486</v>
      </c>
    </row>
    <row r="923" spans="1:9" ht="25.2" x14ac:dyDescent="0.3">
      <c r="A923" s="109" t="s">
        <v>10487</v>
      </c>
      <c r="B923" s="109" t="s">
        <v>10211</v>
      </c>
      <c r="C923" s="109" t="s">
        <v>10211</v>
      </c>
      <c r="D923" s="109" t="s">
        <v>10488</v>
      </c>
      <c r="E923" s="109" t="s">
        <v>5558</v>
      </c>
      <c r="F923" s="109" t="s">
        <v>10489</v>
      </c>
      <c r="G923" s="110" t="s">
        <v>6248</v>
      </c>
      <c r="H923" s="110" t="s">
        <v>10490</v>
      </c>
      <c r="I923" s="110" t="s">
        <v>10491</v>
      </c>
    </row>
    <row r="924" spans="1:9" ht="37.799999999999997" x14ac:dyDescent="0.3">
      <c r="A924" s="109" t="s">
        <v>10492</v>
      </c>
      <c r="B924" s="109" t="s">
        <v>10211</v>
      </c>
      <c r="C924" s="109" t="s">
        <v>10211</v>
      </c>
      <c r="D924" s="109" t="s">
        <v>10493</v>
      </c>
      <c r="E924" s="109" t="s">
        <v>5558</v>
      </c>
      <c r="F924" s="109" t="s">
        <v>10494</v>
      </c>
      <c r="G924" s="110" t="s">
        <v>6248</v>
      </c>
      <c r="H924" s="110" t="s">
        <v>10495</v>
      </c>
      <c r="I924" s="110" t="s">
        <v>10496</v>
      </c>
    </row>
    <row r="925" spans="1:9" ht="25.2" x14ac:dyDescent="0.3">
      <c r="A925" s="109" t="s">
        <v>10497</v>
      </c>
      <c r="B925" s="109" t="s">
        <v>10211</v>
      </c>
      <c r="C925" s="109" t="s">
        <v>10211</v>
      </c>
      <c r="D925" s="109" t="s">
        <v>10498</v>
      </c>
      <c r="E925" s="109" t="s">
        <v>5558</v>
      </c>
      <c r="F925" s="109" t="s">
        <v>10499</v>
      </c>
      <c r="G925" s="110" t="s">
        <v>6248</v>
      </c>
      <c r="H925" s="110" t="s">
        <v>6557</v>
      </c>
      <c r="I925" s="110" t="s">
        <v>10500</v>
      </c>
    </row>
    <row r="926" spans="1:9" ht="25.2" x14ac:dyDescent="0.3">
      <c r="A926" s="109" t="s">
        <v>10501</v>
      </c>
      <c r="B926" s="109" t="s">
        <v>10211</v>
      </c>
      <c r="C926" s="109" t="s">
        <v>10211</v>
      </c>
      <c r="D926" s="109" t="s">
        <v>10502</v>
      </c>
      <c r="E926" s="109" t="s">
        <v>5558</v>
      </c>
      <c r="F926" s="109" t="s">
        <v>10503</v>
      </c>
      <c r="G926" s="110" t="s">
        <v>6248</v>
      </c>
      <c r="H926" s="110" t="s">
        <v>8445</v>
      </c>
      <c r="I926" s="110" t="s">
        <v>10504</v>
      </c>
    </row>
    <row r="927" spans="1:9" ht="37.799999999999997" x14ac:dyDescent="0.3">
      <c r="A927" s="109" t="s">
        <v>10505</v>
      </c>
      <c r="B927" s="109" t="s">
        <v>10211</v>
      </c>
      <c r="C927" s="109" t="s">
        <v>10211</v>
      </c>
      <c r="D927" s="109" t="s">
        <v>10506</v>
      </c>
      <c r="E927" s="109" t="s">
        <v>5558</v>
      </c>
      <c r="F927" s="109" t="s">
        <v>10507</v>
      </c>
      <c r="G927" s="110" t="s">
        <v>6248</v>
      </c>
      <c r="H927" s="110" t="s">
        <v>10508</v>
      </c>
      <c r="I927" s="110" t="s">
        <v>10509</v>
      </c>
    </row>
    <row r="928" spans="1:9" ht="37.799999999999997" x14ac:dyDescent="0.3">
      <c r="A928" s="109" t="s">
        <v>10510</v>
      </c>
      <c r="B928" s="109" t="s">
        <v>10211</v>
      </c>
      <c r="C928" s="109" t="s">
        <v>10211</v>
      </c>
      <c r="D928" s="109" t="s">
        <v>10511</v>
      </c>
      <c r="E928" s="109" t="s">
        <v>5558</v>
      </c>
      <c r="F928" s="109" t="s">
        <v>10512</v>
      </c>
      <c r="G928" s="110" t="s">
        <v>6248</v>
      </c>
      <c r="H928" s="110" t="s">
        <v>10513</v>
      </c>
      <c r="I928" s="110" t="s">
        <v>10514</v>
      </c>
    </row>
    <row r="929" spans="1:9" ht="25.2" x14ac:dyDescent="0.3">
      <c r="A929" s="109" t="s">
        <v>10515</v>
      </c>
      <c r="B929" s="109" t="s">
        <v>10211</v>
      </c>
      <c r="C929" s="109" t="s">
        <v>10211</v>
      </c>
      <c r="D929" s="109" t="s">
        <v>10516</v>
      </c>
      <c r="E929" s="109" t="s">
        <v>5558</v>
      </c>
      <c r="F929" s="109" t="s">
        <v>10517</v>
      </c>
      <c r="G929" s="110" t="s">
        <v>6248</v>
      </c>
      <c r="H929" s="110" t="s">
        <v>8961</v>
      </c>
      <c r="I929" s="110" t="s">
        <v>10518</v>
      </c>
    </row>
    <row r="930" spans="1:9" ht="25.2" x14ac:dyDescent="0.3">
      <c r="A930" s="109" t="s">
        <v>10519</v>
      </c>
      <c r="B930" s="109" t="s">
        <v>10211</v>
      </c>
      <c r="C930" s="109" t="s">
        <v>10211</v>
      </c>
      <c r="D930" s="109" t="s">
        <v>10520</v>
      </c>
      <c r="E930" s="109" t="s">
        <v>5558</v>
      </c>
      <c r="F930" s="109" t="s">
        <v>10521</v>
      </c>
      <c r="G930" s="110" t="s">
        <v>6248</v>
      </c>
      <c r="H930" s="110" t="s">
        <v>6601</v>
      </c>
      <c r="I930" s="110" t="s">
        <v>10522</v>
      </c>
    </row>
    <row r="931" spans="1:9" ht="25.2" x14ac:dyDescent="0.3">
      <c r="A931" s="109" t="s">
        <v>10523</v>
      </c>
      <c r="B931" s="109" t="s">
        <v>10211</v>
      </c>
      <c r="C931" s="109" t="s">
        <v>10211</v>
      </c>
      <c r="D931" s="109" t="s">
        <v>10524</v>
      </c>
      <c r="E931" s="109" t="s">
        <v>5558</v>
      </c>
      <c r="F931" s="109" t="s">
        <v>10525</v>
      </c>
      <c r="G931" s="110" t="s">
        <v>6248</v>
      </c>
      <c r="H931" s="110" t="s">
        <v>9023</v>
      </c>
      <c r="I931" s="110" t="s">
        <v>10526</v>
      </c>
    </row>
    <row r="932" spans="1:9" ht="25.2" x14ac:dyDescent="0.3">
      <c r="A932" s="109" t="s">
        <v>10527</v>
      </c>
      <c r="B932" s="109" t="s">
        <v>10211</v>
      </c>
      <c r="C932" s="109" t="s">
        <v>10211</v>
      </c>
      <c r="D932" s="109" t="s">
        <v>10528</v>
      </c>
      <c r="E932" s="109" t="s">
        <v>5558</v>
      </c>
      <c r="F932" s="109" t="s">
        <v>10529</v>
      </c>
      <c r="G932" s="110" t="s">
        <v>6248</v>
      </c>
      <c r="H932" s="110" t="s">
        <v>9329</v>
      </c>
      <c r="I932" s="110" t="s">
        <v>10530</v>
      </c>
    </row>
    <row r="933" spans="1:9" ht="25.2" x14ac:dyDescent="0.3">
      <c r="A933" s="109" t="s">
        <v>10531</v>
      </c>
      <c r="B933" s="109" t="s">
        <v>10211</v>
      </c>
      <c r="C933" s="109" t="s">
        <v>10211</v>
      </c>
      <c r="D933" s="109" t="s">
        <v>10532</v>
      </c>
      <c r="E933" s="109" t="s">
        <v>5558</v>
      </c>
      <c r="F933" s="109" t="s">
        <v>10533</v>
      </c>
      <c r="G933" s="110" t="s">
        <v>6248</v>
      </c>
      <c r="H933" s="110" t="s">
        <v>6552</v>
      </c>
      <c r="I933" s="110" t="s">
        <v>10534</v>
      </c>
    </row>
    <row r="934" spans="1:9" ht="37.799999999999997" x14ac:dyDescent="0.3">
      <c r="A934" s="109" t="s">
        <v>10535</v>
      </c>
      <c r="B934" s="109" t="s">
        <v>10211</v>
      </c>
      <c r="C934" s="109" t="s">
        <v>10211</v>
      </c>
      <c r="D934" s="109" t="s">
        <v>10536</v>
      </c>
      <c r="E934" s="109" t="s">
        <v>5558</v>
      </c>
      <c r="F934" s="109" t="s">
        <v>10537</v>
      </c>
      <c r="G934" s="110" t="s">
        <v>6248</v>
      </c>
      <c r="H934" s="110" t="s">
        <v>10469</v>
      </c>
      <c r="I934" s="110" t="s">
        <v>10538</v>
      </c>
    </row>
    <row r="935" spans="1:9" ht="25.2" x14ac:dyDescent="0.3">
      <c r="A935" s="109" t="s">
        <v>10539</v>
      </c>
      <c r="B935" s="109" t="s">
        <v>10211</v>
      </c>
      <c r="C935" s="109" t="s">
        <v>10211</v>
      </c>
      <c r="D935" s="109" t="s">
        <v>10540</v>
      </c>
      <c r="E935" s="109" t="s">
        <v>5558</v>
      </c>
      <c r="F935" s="109" t="s">
        <v>10541</v>
      </c>
      <c r="G935" s="110" t="s">
        <v>6248</v>
      </c>
      <c r="H935" s="110" t="s">
        <v>8445</v>
      </c>
      <c r="I935" s="110" t="s">
        <v>10542</v>
      </c>
    </row>
    <row r="936" spans="1:9" ht="37.799999999999997" x14ac:dyDescent="0.3">
      <c r="A936" s="109" t="s">
        <v>10543</v>
      </c>
      <c r="B936" s="109" t="s">
        <v>10211</v>
      </c>
      <c r="C936" s="109" t="s">
        <v>10211</v>
      </c>
      <c r="D936" s="109" t="s">
        <v>10544</v>
      </c>
      <c r="E936" s="109" t="s">
        <v>5558</v>
      </c>
      <c r="F936" s="109" t="s">
        <v>10545</v>
      </c>
      <c r="G936" s="110" t="s">
        <v>6248</v>
      </c>
      <c r="H936" s="110" t="s">
        <v>7907</v>
      </c>
      <c r="I936" s="110" t="s">
        <v>10546</v>
      </c>
    </row>
    <row r="937" spans="1:9" ht="25.2" x14ac:dyDescent="0.3">
      <c r="A937" s="109" t="s">
        <v>10547</v>
      </c>
      <c r="B937" s="109" t="s">
        <v>10211</v>
      </c>
      <c r="C937" s="109" t="s">
        <v>10211</v>
      </c>
      <c r="D937" s="109" t="s">
        <v>10548</v>
      </c>
      <c r="E937" s="109" t="s">
        <v>5558</v>
      </c>
      <c r="F937" s="109" t="s">
        <v>10549</v>
      </c>
      <c r="G937" s="110" t="s">
        <v>6248</v>
      </c>
      <c r="H937" s="110" t="s">
        <v>10550</v>
      </c>
      <c r="I937" s="110" t="s">
        <v>10551</v>
      </c>
    </row>
    <row r="938" spans="1:9" ht="37.799999999999997" x14ac:dyDescent="0.3">
      <c r="A938" s="109" t="s">
        <v>10552</v>
      </c>
      <c r="B938" s="109" t="s">
        <v>10211</v>
      </c>
      <c r="C938" s="109" t="s">
        <v>10211</v>
      </c>
      <c r="D938" s="109" t="s">
        <v>10553</v>
      </c>
      <c r="E938" s="109" t="s">
        <v>5558</v>
      </c>
      <c r="F938" s="109" t="s">
        <v>10554</v>
      </c>
      <c r="G938" s="110" t="s">
        <v>6248</v>
      </c>
      <c r="H938" s="110" t="s">
        <v>6418</v>
      </c>
      <c r="I938" s="110" t="s">
        <v>10555</v>
      </c>
    </row>
    <row r="939" spans="1:9" ht="25.2" x14ac:dyDescent="0.3">
      <c r="A939" s="109" t="s">
        <v>10556</v>
      </c>
      <c r="B939" s="109" t="s">
        <v>10211</v>
      </c>
      <c r="C939" s="109" t="s">
        <v>10211</v>
      </c>
      <c r="D939" s="109" t="s">
        <v>10557</v>
      </c>
      <c r="E939" s="109" t="s">
        <v>5558</v>
      </c>
      <c r="F939" s="109" t="s">
        <v>10558</v>
      </c>
      <c r="G939" s="110" t="s">
        <v>6248</v>
      </c>
      <c r="H939" s="110" t="s">
        <v>6433</v>
      </c>
      <c r="I939" s="110" t="s">
        <v>10559</v>
      </c>
    </row>
    <row r="940" spans="1:9" ht="25.2" x14ac:dyDescent="0.3">
      <c r="A940" s="109" t="s">
        <v>10560</v>
      </c>
      <c r="B940" s="109" t="s">
        <v>10211</v>
      </c>
      <c r="C940" s="109" t="s">
        <v>10211</v>
      </c>
      <c r="D940" s="109" t="s">
        <v>10561</v>
      </c>
      <c r="E940" s="109" t="s">
        <v>5558</v>
      </c>
      <c r="F940" s="109" t="s">
        <v>10562</v>
      </c>
      <c r="G940" s="110" t="s">
        <v>6248</v>
      </c>
      <c r="H940" s="110" t="s">
        <v>10469</v>
      </c>
      <c r="I940" s="110" t="s">
        <v>10563</v>
      </c>
    </row>
    <row r="941" spans="1:9" ht="25.2" x14ac:dyDescent="0.3">
      <c r="A941" s="109" t="s">
        <v>10564</v>
      </c>
      <c r="B941" s="109" t="s">
        <v>10211</v>
      </c>
      <c r="C941" s="109" t="s">
        <v>10211</v>
      </c>
      <c r="D941" s="109" t="s">
        <v>10565</v>
      </c>
      <c r="E941" s="109" t="s">
        <v>10566</v>
      </c>
      <c r="F941" s="109" t="s">
        <v>6368</v>
      </c>
      <c r="G941" s="110" t="s">
        <v>6418</v>
      </c>
      <c r="H941" s="110" t="s">
        <v>6248</v>
      </c>
      <c r="I941" s="110" t="s">
        <v>10567</v>
      </c>
    </row>
    <row r="942" spans="1:9" ht="37.799999999999997" x14ac:dyDescent="0.3">
      <c r="A942" s="109" t="s">
        <v>10568</v>
      </c>
      <c r="B942" s="109" t="s">
        <v>10211</v>
      </c>
      <c r="C942" s="109" t="s">
        <v>10211</v>
      </c>
      <c r="D942" s="109" t="s">
        <v>10569</v>
      </c>
      <c r="E942" s="109" t="s">
        <v>5558</v>
      </c>
      <c r="F942" s="109" t="s">
        <v>10570</v>
      </c>
      <c r="G942" s="110" t="s">
        <v>6248</v>
      </c>
      <c r="H942" s="110" t="s">
        <v>10571</v>
      </c>
      <c r="I942" s="110" t="s">
        <v>10572</v>
      </c>
    </row>
    <row r="943" spans="1:9" ht="37.799999999999997" x14ac:dyDescent="0.3">
      <c r="A943" s="109" t="s">
        <v>10573</v>
      </c>
      <c r="B943" s="109" t="s">
        <v>10211</v>
      </c>
      <c r="C943" s="109" t="s">
        <v>10211</v>
      </c>
      <c r="D943" s="109" t="s">
        <v>10574</v>
      </c>
      <c r="E943" s="109" t="s">
        <v>5558</v>
      </c>
      <c r="F943" s="109" t="s">
        <v>10575</v>
      </c>
      <c r="G943" s="110" t="s">
        <v>6248</v>
      </c>
      <c r="H943" s="110" t="s">
        <v>9464</v>
      </c>
      <c r="I943" s="110" t="s">
        <v>10576</v>
      </c>
    </row>
    <row r="944" spans="1:9" ht="25.2" x14ac:dyDescent="0.3">
      <c r="A944" s="109" t="s">
        <v>10577</v>
      </c>
      <c r="B944" s="109" t="s">
        <v>10211</v>
      </c>
      <c r="C944" s="109" t="s">
        <v>10211</v>
      </c>
      <c r="D944" s="109" t="s">
        <v>10578</v>
      </c>
      <c r="E944" s="109" t="s">
        <v>5558</v>
      </c>
      <c r="F944" s="109" t="s">
        <v>10579</v>
      </c>
      <c r="G944" s="110" t="s">
        <v>6248</v>
      </c>
      <c r="H944" s="110" t="s">
        <v>10580</v>
      </c>
      <c r="I944" s="110" t="s">
        <v>10581</v>
      </c>
    </row>
    <row r="945" spans="1:9" ht="25.2" x14ac:dyDescent="0.3">
      <c r="A945" s="109" t="s">
        <v>10582</v>
      </c>
      <c r="B945" s="109" t="s">
        <v>10211</v>
      </c>
      <c r="C945" s="109" t="s">
        <v>10211</v>
      </c>
      <c r="D945" s="109" t="s">
        <v>10583</v>
      </c>
      <c r="E945" s="109" t="s">
        <v>10584</v>
      </c>
      <c r="F945" s="109" t="s">
        <v>10585</v>
      </c>
      <c r="G945" s="110" t="s">
        <v>6248</v>
      </c>
      <c r="H945" s="110" t="s">
        <v>10586</v>
      </c>
      <c r="I945" s="110" t="s">
        <v>10587</v>
      </c>
    </row>
    <row r="946" spans="1:9" ht="25.2" x14ac:dyDescent="0.3">
      <c r="A946" s="109" t="s">
        <v>10588</v>
      </c>
      <c r="B946" s="109" t="s">
        <v>10211</v>
      </c>
      <c r="C946" s="109" t="s">
        <v>10211</v>
      </c>
      <c r="D946" s="109" t="s">
        <v>897</v>
      </c>
      <c r="E946" s="109" t="s">
        <v>5558</v>
      </c>
      <c r="F946" s="109" t="s">
        <v>10589</v>
      </c>
      <c r="G946" s="110" t="s">
        <v>6248</v>
      </c>
      <c r="H946" s="110" t="s">
        <v>10590</v>
      </c>
      <c r="I946" s="110" t="s">
        <v>10591</v>
      </c>
    </row>
    <row r="947" spans="1:9" ht="25.2" x14ac:dyDescent="0.3">
      <c r="A947" s="109" t="s">
        <v>10592</v>
      </c>
      <c r="B947" s="109" t="s">
        <v>10211</v>
      </c>
      <c r="C947" s="109" t="s">
        <v>10211</v>
      </c>
      <c r="D947" s="109" t="s">
        <v>898</v>
      </c>
      <c r="E947" s="109" t="s">
        <v>5558</v>
      </c>
      <c r="F947" s="109" t="s">
        <v>10593</v>
      </c>
      <c r="G947" s="110" t="s">
        <v>6248</v>
      </c>
      <c r="H947" s="110" t="s">
        <v>10594</v>
      </c>
      <c r="I947" s="110" t="s">
        <v>10595</v>
      </c>
    </row>
    <row r="948" spans="1:9" ht="25.2" x14ac:dyDescent="0.3">
      <c r="A948" s="109" t="s">
        <v>10596</v>
      </c>
      <c r="B948" s="109" t="s">
        <v>10211</v>
      </c>
      <c r="C948" s="109" t="s">
        <v>10211</v>
      </c>
      <c r="D948" s="109" t="s">
        <v>905</v>
      </c>
      <c r="E948" s="109" t="s">
        <v>5558</v>
      </c>
      <c r="F948" s="109" t="s">
        <v>10597</v>
      </c>
      <c r="G948" s="110" t="s">
        <v>6248</v>
      </c>
      <c r="H948" s="110" t="s">
        <v>10598</v>
      </c>
      <c r="I948" s="110" t="s">
        <v>10599</v>
      </c>
    </row>
    <row r="949" spans="1:9" ht="25.2" x14ac:dyDescent="0.3">
      <c r="A949" s="109" t="s">
        <v>10600</v>
      </c>
      <c r="B949" s="109" t="s">
        <v>10211</v>
      </c>
      <c r="C949" s="109" t="s">
        <v>10211</v>
      </c>
      <c r="D949" s="109" t="s">
        <v>902</v>
      </c>
      <c r="E949" s="109" t="s">
        <v>5558</v>
      </c>
      <c r="F949" s="109" t="s">
        <v>10601</v>
      </c>
      <c r="G949" s="110" t="s">
        <v>6248</v>
      </c>
      <c r="H949" s="110" t="s">
        <v>10602</v>
      </c>
      <c r="I949" s="110" t="s">
        <v>10603</v>
      </c>
    </row>
    <row r="950" spans="1:9" ht="37.799999999999997" x14ac:dyDescent="0.3">
      <c r="A950" s="109" t="s">
        <v>10604</v>
      </c>
      <c r="B950" s="109" t="s">
        <v>10211</v>
      </c>
      <c r="C950" s="109" t="s">
        <v>10211</v>
      </c>
      <c r="D950" s="109" t="s">
        <v>10605</v>
      </c>
      <c r="E950" s="109" t="s">
        <v>5558</v>
      </c>
      <c r="F950" s="109" t="s">
        <v>10606</v>
      </c>
      <c r="G950" s="110" t="s">
        <v>6248</v>
      </c>
      <c r="H950" s="110" t="s">
        <v>6689</v>
      </c>
      <c r="I950" s="110" t="s">
        <v>10607</v>
      </c>
    </row>
    <row r="951" spans="1:9" ht="25.2" x14ac:dyDescent="0.3">
      <c r="A951" s="109" t="s">
        <v>10608</v>
      </c>
      <c r="B951" s="109" t="s">
        <v>10211</v>
      </c>
      <c r="C951" s="109" t="s">
        <v>10211</v>
      </c>
      <c r="D951" s="109" t="s">
        <v>10609</v>
      </c>
      <c r="E951" s="109" t="s">
        <v>5558</v>
      </c>
      <c r="F951" s="109" t="s">
        <v>10610</v>
      </c>
      <c r="G951" s="110" t="s">
        <v>6248</v>
      </c>
      <c r="H951" s="110" t="s">
        <v>6689</v>
      </c>
      <c r="I951" s="110" t="s">
        <v>10611</v>
      </c>
    </row>
    <row r="952" spans="1:9" ht="25.2" x14ac:dyDescent="0.3">
      <c r="A952" s="109" t="s">
        <v>10612</v>
      </c>
      <c r="B952" s="109" t="s">
        <v>10211</v>
      </c>
      <c r="C952" s="109" t="s">
        <v>10211</v>
      </c>
      <c r="D952" s="109" t="s">
        <v>10613</v>
      </c>
      <c r="E952" s="109" t="s">
        <v>10614</v>
      </c>
      <c r="F952" s="109" t="s">
        <v>10615</v>
      </c>
      <c r="G952" s="110" t="s">
        <v>6248</v>
      </c>
      <c r="H952" s="110" t="s">
        <v>10616</v>
      </c>
      <c r="I952" s="110" t="s">
        <v>10617</v>
      </c>
    </row>
    <row r="953" spans="1:9" ht="25.2" x14ac:dyDescent="0.3">
      <c r="A953" s="109" t="s">
        <v>10618</v>
      </c>
      <c r="B953" s="109" t="s">
        <v>10211</v>
      </c>
      <c r="C953" s="109" t="s">
        <v>10211</v>
      </c>
      <c r="D953" s="109" t="s">
        <v>10619</v>
      </c>
      <c r="E953" s="109" t="s">
        <v>5558</v>
      </c>
      <c r="F953" s="109" t="s">
        <v>10620</v>
      </c>
      <c r="G953" s="110" t="s">
        <v>6248</v>
      </c>
      <c r="H953" s="110" t="s">
        <v>10621</v>
      </c>
      <c r="I953" s="110" t="s">
        <v>10622</v>
      </c>
    </row>
    <row r="954" spans="1:9" ht="25.2" x14ac:dyDescent="0.3">
      <c r="A954" s="109" t="s">
        <v>10623</v>
      </c>
      <c r="B954" s="109" t="s">
        <v>10211</v>
      </c>
      <c r="C954" s="109" t="s">
        <v>10211</v>
      </c>
      <c r="D954" s="109" t="s">
        <v>10624</v>
      </c>
      <c r="E954" s="109" t="s">
        <v>5558</v>
      </c>
      <c r="F954" s="109" t="s">
        <v>10625</v>
      </c>
      <c r="G954" s="110" t="s">
        <v>6248</v>
      </c>
      <c r="H954" s="110" t="s">
        <v>7221</v>
      </c>
      <c r="I954" s="110" t="s">
        <v>10626</v>
      </c>
    </row>
    <row r="955" spans="1:9" ht="25.2" x14ac:dyDescent="0.3">
      <c r="A955" s="109" t="s">
        <v>10627</v>
      </c>
      <c r="B955" s="109" t="s">
        <v>10211</v>
      </c>
      <c r="C955" s="109" t="s">
        <v>10211</v>
      </c>
      <c r="D955" s="109" t="s">
        <v>10628</v>
      </c>
      <c r="E955" s="109" t="s">
        <v>5558</v>
      </c>
      <c r="F955" s="109" t="s">
        <v>10629</v>
      </c>
      <c r="G955" s="110" t="s">
        <v>6248</v>
      </c>
      <c r="H955" s="110" t="s">
        <v>10630</v>
      </c>
      <c r="I955" s="110" t="s">
        <v>10631</v>
      </c>
    </row>
    <row r="956" spans="1:9" ht="37.799999999999997" x14ac:dyDescent="0.3">
      <c r="A956" s="109" t="s">
        <v>10632</v>
      </c>
      <c r="B956" s="109" t="s">
        <v>10211</v>
      </c>
      <c r="C956" s="109" t="s">
        <v>10211</v>
      </c>
      <c r="D956" s="109" t="s">
        <v>10633</v>
      </c>
      <c r="E956" s="109" t="s">
        <v>5558</v>
      </c>
      <c r="F956" s="109" t="s">
        <v>10634</v>
      </c>
      <c r="G956" s="110" t="s">
        <v>6248</v>
      </c>
      <c r="H956" s="110" t="s">
        <v>10635</v>
      </c>
      <c r="I956" s="110" t="s">
        <v>10636</v>
      </c>
    </row>
    <row r="957" spans="1:9" ht="25.2" x14ac:dyDescent="0.3">
      <c r="A957" s="109" t="s">
        <v>10637</v>
      </c>
      <c r="B957" s="109" t="s">
        <v>10211</v>
      </c>
      <c r="C957" s="109" t="s">
        <v>10211</v>
      </c>
      <c r="D957" s="109" t="s">
        <v>10638</v>
      </c>
      <c r="E957" s="109" t="s">
        <v>5558</v>
      </c>
      <c r="F957" s="109" t="s">
        <v>10639</v>
      </c>
      <c r="G957" s="110" t="s">
        <v>6248</v>
      </c>
      <c r="H957" s="110" t="s">
        <v>9647</v>
      </c>
      <c r="I957" s="110" t="s">
        <v>10640</v>
      </c>
    </row>
    <row r="958" spans="1:9" ht="25.2" x14ac:dyDescent="0.3">
      <c r="A958" s="109" t="s">
        <v>10641</v>
      </c>
      <c r="B958" s="109" t="s">
        <v>10211</v>
      </c>
      <c r="C958" s="109" t="s">
        <v>10211</v>
      </c>
      <c r="D958" s="109" t="s">
        <v>10642</v>
      </c>
      <c r="E958" s="109" t="s">
        <v>5558</v>
      </c>
      <c r="F958" s="109" t="s">
        <v>10643</v>
      </c>
      <c r="G958" s="110" t="s">
        <v>6248</v>
      </c>
      <c r="H958" s="110" t="s">
        <v>10644</v>
      </c>
      <c r="I958" s="110" t="s">
        <v>10645</v>
      </c>
    </row>
    <row r="959" spans="1:9" ht="25.2" x14ac:dyDescent="0.3">
      <c r="A959" s="109" t="s">
        <v>10646</v>
      </c>
      <c r="B959" s="109" t="s">
        <v>10211</v>
      </c>
      <c r="C959" s="109" t="s">
        <v>10211</v>
      </c>
      <c r="D959" s="109" t="s">
        <v>10647</v>
      </c>
      <c r="E959" s="109" t="s">
        <v>10648</v>
      </c>
      <c r="F959" s="109" t="s">
        <v>6878</v>
      </c>
      <c r="G959" s="110" t="s">
        <v>10649</v>
      </c>
      <c r="H959" s="110" t="s">
        <v>6248</v>
      </c>
      <c r="I959" s="110" t="s">
        <v>10650</v>
      </c>
    </row>
    <row r="960" spans="1:9" ht="25.2" x14ac:dyDescent="0.3">
      <c r="A960" s="109" t="s">
        <v>10651</v>
      </c>
      <c r="B960" s="109" t="s">
        <v>10211</v>
      </c>
      <c r="C960" s="109" t="s">
        <v>10211</v>
      </c>
      <c r="D960" s="109" t="s">
        <v>1767</v>
      </c>
      <c r="E960" s="109" t="s">
        <v>10652</v>
      </c>
      <c r="F960" s="109" t="s">
        <v>6008</v>
      </c>
      <c r="G960" s="110" t="s">
        <v>6248</v>
      </c>
      <c r="H960" s="110" t="s">
        <v>10653</v>
      </c>
      <c r="I960" s="110" t="s">
        <v>10654</v>
      </c>
    </row>
    <row r="961" spans="1:9" ht="63" x14ac:dyDescent="0.3">
      <c r="A961" s="109" t="s">
        <v>10655</v>
      </c>
      <c r="B961" s="109" t="s">
        <v>10211</v>
      </c>
      <c r="C961" s="109" t="s">
        <v>10211</v>
      </c>
      <c r="D961" s="109" t="s">
        <v>10656</v>
      </c>
      <c r="E961" s="109" t="s">
        <v>10656</v>
      </c>
      <c r="F961" s="109" t="s">
        <v>10657</v>
      </c>
      <c r="G961" s="110" t="s">
        <v>6248</v>
      </c>
      <c r="H961" s="110" t="s">
        <v>10658</v>
      </c>
      <c r="I961" s="110" t="s">
        <v>10659</v>
      </c>
    </row>
    <row r="962" spans="1:9" ht="25.2" x14ac:dyDescent="0.3">
      <c r="A962" s="109" t="s">
        <v>10660</v>
      </c>
      <c r="B962" s="109" t="s">
        <v>10211</v>
      </c>
      <c r="C962" s="109" t="s">
        <v>10211</v>
      </c>
      <c r="D962" s="109" t="s">
        <v>10661</v>
      </c>
      <c r="E962" s="109" t="s">
        <v>6010</v>
      </c>
      <c r="F962" s="109" t="s">
        <v>10662</v>
      </c>
      <c r="G962" s="110" t="s">
        <v>6248</v>
      </c>
      <c r="H962" s="110" t="s">
        <v>10663</v>
      </c>
      <c r="I962" s="110" t="s">
        <v>10664</v>
      </c>
    </row>
    <row r="963" spans="1:9" ht="37.799999999999997" x14ac:dyDescent="0.3">
      <c r="A963" s="109" t="s">
        <v>10665</v>
      </c>
      <c r="B963" s="109" t="s">
        <v>10211</v>
      </c>
      <c r="C963" s="109" t="s">
        <v>10211</v>
      </c>
      <c r="D963" s="109" t="s">
        <v>10666</v>
      </c>
      <c r="E963" s="109" t="s">
        <v>5558</v>
      </c>
      <c r="F963" s="109" t="s">
        <v>10667</v>
      </c>
      <c r="G963" s="110" t="s">
        <v>6248</v>
      </c>
      <c r="H963" s="110" t="s">
        <v>10668</v>
      </c>
      <c r="I963" s="110" t="s">
        <v>10669</v>
      </c>
    </row>
    <row r="964" spans="1:9" ht="25.2" x14ac:dyDescent="0.3">
      <c r="A964" s="109" t="s">
        <v>10670</v>
      </c>
      <c r="B964" s="109" t="s">
        <v>10211</v>
      </c>
      <c r="C964" s="109" t="s">
        <v>10211</v>
      </c>
      <c r="D964" s="109" t="s">
        <v>10671</v>
      </c>
      <c r="E964" s="109" t="s">
        <v>10672</v>
      </c>
      <c r="F964" s="109" t="s">
        <v>7039</v>
      </c>
      <c r="G964" s="110" t="s">
        <v>6248</v>
      </c>
      <c r="H964" s="110" t="s">
        <v>10673</v>
      </c>
      <c r="I964" s="110" t="s">
        <v>10674</v>
      </c>
    </row>
    <row r="965" spans="1:9" ht="25.2" x14ac:dyDescent="0.3">
      <c r="A965" s="109" t="s">
        <v>10675</v>
      </c>
      <c r="B965" s="109" t="s">
        <v>10211</v>
      </c>
      <c r="C965" s="109" t="s">
        <v>10211</v>
      </c>
      <c r="D965" s="109" t="s">
        <v>10676</v>
      </c>
      <c r="E965" s="109" t="s">
        <v>10677</v>
      </c>
      <c r="F965" s="109" t="s">
        <v>7045</v>
      </c>
      <c r="G965" s="110" t="s">
        <v>10678</v>
      </c>
      <c r="H965" s="110" t="s">
        <v>6248</v>
      </c>
      <c r="I965" s="110" t="s">
        <v>10679</v>
      </c>
    </row>
    <row r="966" spans="1:9" ht="25.2" x14ac:dyDescent="0.3">
      <c r="A966" s="109" t="s">
        <v>10680</v>
      </c>
      <c r="B966" s="109" t="s">
        <v>10211</v>
      </c>
      <c r="C966" s="109" t="s">
        <v>10211</v>
      </c>
      <c r="D966" s="109" t="s">
        <v>10681</v>
      </c>
      <c r="E966" s="109" t="s">
        <v>5558</v>
      </c>
      <c r="F966" s="109" t="s">
        <v>10682</v>
      </c>
      <c r="G966" s="110" t="s">
        <v>6248</v>
      </c>
      <c r="H966" s="110" t="s">
        <v>10683</v>
      </c>
      <c r="I966" s="110" t="s">
        <v>10684</v>
      </c>
    </row>
    <row r="967" spans="1:9" ht="63" x14ac:dyDescent="0.3">
      <c r="A967" s="109" t="s">
        <v>10685</v>
      </c>
      <c r="B967" s="109" t="s">
        <v>10211</v>
      </c>
      <c r="C967" s="109" t="s">
        <v>10211</v>
      </c>
      <c r="D967" s="109" t="s">
        <v>10686</v>
      </c>
      <c r="E967" s="109" t="s">
        <v>10686</v>
      </c>
      <c r="F967" s="109" t="s">
        <v>10687</v>
      </c>
      <c r="G967" s="110" t="s">
        <v>6248</v>
      </c>
      <c r="H967" s="110" t="s">
        <v>10688</v>
      </c>
      <c r="I967" s="110" t="s">
        <v>10689</v>
      </c>
    </row>
    <row r="968" spans="1:9" ht="25.2" x14ac:dyDescent="0.3">
      <c r="A968" s="109" t="s">
        <v>10690</v>
      </c>
      <c r="B968" s="109" t="s">
        <v>10211</v>
      </c>
      <c r="C968" s="109" t="s">
        <v>10211</v>
      </c>
      <c r="D968" s="109" t="s">
        <v>10691</v>
      </c>
      <c r="E968" s="109" t="s">
        <v>5558</v>
      </c>
      <c r="F968" s="109" t="s">
        <v>10692</v>
      </c>
      <c r="G968" s="110" t="s">
        <v>6248</v>
      </c>
      <c r="H968" s="110" t="s">
        <v>10693</v>
      </c>
      <c r="I968" s="110" t="s">
        <v>10694</v>
      </c>
    </row>
    <row r="969" spans="1:9" ht="25.2" x14ac:dyDescent="0.3">
      <c r="A969" s="109" t="s">
        <v>10695</v>
      </c>
      <c r="B969" s="109" t="s">
        <v>10211</v>
      </c>
      <c r="C969" s="109" t="s">
        <v>10211</v>
      </c>
      <c r="D969" s="109" t="s">
        <v>10696</v>
      </c>
      <c r="E969" s="109" t="s">
        <v>7235</v>
      </c>
      <c r="F969" s="109" t="s">
        <v>10697</v>
      </c>
      <c r="G969" s="110" t="s">
        <v>6248</v>
      </c>
      <c r="H969" s="110" t="s">
        <v>10698</v>
      </c>
      <c r="I969" s="110" t="s">
        <v>10699</v>
      </c>
    </row>
    <row r="970" spans="1:9" ht="25.2" x14ac:dyDescent="0.3">
      <c r="A970" s="109" t="s">
        <v>10700</v>
      </c>
      <c r="B970" s="109" t="s">
        <v>10211</v>
      </c>
      <c r="C970" s="109" t="s">
        <v>10211</v>
      </c>
      <c r="D970" s="109" t="s">
        <v>10701</v>
      </c>
      <c r="E970" s="109" t="s">
        <v>5558</v>
      </c>
      <c r="F970" s="109" t="s">
        <v>10702</v>
      </c>
      <c r="G970" s="110" t="s">
        <v>6248</v>
      </c>
      <c r="H970" s="110" t="s">
        <v>10703</v>
      </c>
      <c r="I970" s="110" t="s">
        <v>10704</v>
      </c>
    </row>
    <row r="971" spans="1:9" ht="25.2" x14ac:dyDescent="0.3">
      <c r="A971" s="109" t="s">
        <v>10705</v>
      </c>
      <c r="B971" s="109" t="s">
        <v>10211</v>
      </c>
      <c r="C971" s="109" t="s">
        <v>10211</v>
      </c>
      <c r="D971" s="109" t="s">
        <v>881</v>
      </c>
      <c r="E971" s="109" t="s">
        <v>5558</v>
      </c>
      <c r="F971" s="109" t="s">
        <v>10706</v>
      </c>
      <c r="G971" s="110" t="s">
        <v>6248</v>
      </c>
      <c r="H971" s="110" t="s">
        <v>10707</v>
      </c>
      <c r="I971" s="110" t="s">
        <v>10708</v>
      </c>
    </row>
    <row r="972" spans="1:9" ht="25.2" x14ac:dyDescent="0.3">
      <c r="A972" s="109" t="s">
        <v>10709</v>
      </c>
      <c r="B972" s="109" t="s">
        <v>10211</v>
      </c>
      <c r="C972" s="109" t="s">
        <v>10211</v>
      </c>
      <c r="D972" s="109" t="s">
        <v>10710</v>
      </c>
      <c r="E972" s="109" t="s">
        <v>10711</v>
      </c>
      <c r="F972" s="109" t="s">
        <v>10712</v>
      </c>
      <c r="G972" s="110" t="s">
        <v>6248</v>
      </c>
      <c r="H972" s="110" t="s">
        <v>10713</v>
      </c>
      <c r="I972" s="110" t="s">
        <v>10714</v>
      </c>
    </row>
    <row r="973" spans="1:9" ht="37.799999999999997" x14ac:dyDescent="0.3">
      <c r="A973" s="109" t="s">
        <v>10715</v>
      </c>
      <c r="B973" s="109" t="s">
        <v>10211</v>
      </c>
      <c r="C973" s="109" t="s">
        <v>10211</v>
      </c>
      <c r="D973" s="109" t="s">
        <v>10716</v>
      </c>
      <c r="E973" s="109" t="s">
        <v>5558</v>
      </c>
      <c r="F973" s="109" t="s">
        <v>10717</v>
      </c>
      <c r="G973" s="110" t="s">
        <v>6248</v>
      </c>
      <c r="H973" s="110" t="s">
        <v>6346</v>
      </c>
      <c r="I973" s="110" t="s">
        <v>10718</v>
      </c>
    </row>
    <row r="974" spans="1:9" ht="25.2" x14ac:dyDescent="0.3">
      <c r="A974" s="109" t="s">
        <v>10719</v>
      </c>
      <c r="B974" s="109" t="s">
        <v>10211</v>
      </c>
      <c r="C974" s="109" t="s">
        <v>10211</v>
      </c>
      <c r="D974" s="109" t="s">
        <v>10720</v>
      </c>
      <c r="E974" s="109" t="s">
        <v>7235</v>
      </c>
      <c r="F974" s="109" t="s">
        <v>10721</v>
      </c>
      <c r="G974" s="110" t="s">
        <v>6248</v>
      </c>
      <c r="H974" s="110" t="s">
        <v>10722</v>
      </c>
      <c r="I974" s="110" t="s">
        <v>10723</v>
      </c>
    </row>
    <row r="975" spans="1:9" ht="37.799999999999997" x14ac:dyDescent="0.3">
      <c r="A975" s="109" t="s">
        <v>10724</v>
      </c>
      <c r="B975" s="109" t="s">
        <v>10211</v>
      </c>
      <c r="C975" s="109" t="s">
        <v>10211</v>
      </c>
      <c r="D975" s="109" t="s">
        <v>10725</v>
      </c>
      <c r="E975" s="109" t="s">
        <v>5558</v>
      </c>
      <c r="F975" s="109" t="s">
        <v>10726</v>
      </c>
      <c r="G975" s="110" t="s">
        <v>6248</v>
      </c>
      <c r="H975" s="110" t="s">
        <v>10727</v>
      </c>
      <c r="I975" s="110" t="s">
        <v>10728</v>
      </c>
    </row>
    <row r="976" spans="1:9" ht="25.2" x14ac:dyDescent="0.3">
      <c r="A976" s="109" t="s">
        <v>10729</v>
      </c>
      <c r="B976" s="109" t="s">
        <v>10211</v>
      </c>
      <c r="C976" s="109" t="s">
        <v>10211</v>
      </c>
      <c r="D976" s="109" t="s">
        <v>10730</v>
      </c>
      <c r="E976" s="109" t="s">
        <v>7235</v>
      </c>
      <c r="F976" s="109" t="s">
        <v>10731</v>
      </c>
      <c r="G976" s="110" t="s">
        <v>6248</v>
      </c>
      <c r="H976" s="110" t="s">
        <v>10732</v>
      </c>
      <c r="I976" s="110" t="s">
        <v>10733</v>
      </c>
    </row>
    <row r="977" spans="1:9" ht="37.799999999999997" x14ac:dyDescent="0.3">
      <c r="A977" s="109" t="s">
        <v>10734</v>
      </c>
      <c r="B977" s="109" t="s">
        <v>10211</v>
      </c>
      <c r="C977" s="109" t="s">
        <v>10211</v>
      </c>
      <c r="D977" s="109" t="s">
        <v>10735</v>
      </c>
      <c r="E977" s="109" t="s">
        <v>5558</v>
      </c>
      <c r="F977" s="109" t="s">
        <v>10736</v>
      </c>
      <c r="G977" s="110" t="s">
        <v>6248</v>
      </c>
      <c r="H977" s="110" t="s">
        <v>10737</v>
      </c>
      <c r="I977" s="110" t="s">
        <v>10738</v>
      </c>
    </row>
    <row r="978" spans="1:9" ht="25.2" x14ac:dyDescent="0.3">
      <c r="A978" s="109" t="s">
        <v>10739</v>
      </c>
      <c r="B978" s="109" t="s">
        <v>10211</v>
      </c>
      <c r="C978" s="109" t="s">
        <v>10211</v>
      </c>
      <c r="D978" s="109" t="s">
        <v>5569</v>
      </c>
      <c r="E978" s="109" t="s">
        <v>5558</v>
      </c>
      <c r="F978" s="109" t="s">
        <v>2258</v>
      </c>
      <c r="G978" s="110" t="s">
        <v>6248</v>
      </c>
      <c r="H978" s="110" t="s">
        <v>10740</v>
      </c>
      <c r="I978" s="110" t="s">
        <v>10741</v>
      </c>
    </row>
    <row r="979" spans="1:9" ht="25.2" x14ac:dyDescent="0.3">
      <c r="A979" s="109" t="s">
        <v>10742</v>
      </c>
      <c r="B979" s="109" t="s">
        <v>10211</v>
      </c>
      <c r="C979" s="109" t="s">
        <v>10211</v>
      </c>
      <c r="D979" s="109" t="s">
        <v>884</v>
      </c>
      <c r="E979" s="109" t="s">
        <v>5558</v>
      </c>
      <c r="F979" s="109" t="s">
        <v>10743</v>
      </c>
      <c r="G979" s="110" t="s">
        <v>6248</v>
      </c>
      <c r="H979" s="110" t="s">
        <v>10744</v>
      </c>
      <c r="I979" s="110" t="s">
        <v>10745</v>
      </c>
    </row>
    <row r="980" spans="1:9" ht="25.2" x14ac:dyDescent="0.3">
      <c r="A980" s="109" t="s">
        <v>10746</v>
      </c>
      <c r="B980" s="109" t="s">
        <v>10211</v>
      </c>
      <c r="C980" s="109" t="s">
        <v>10211</v>
      </c>
      <c r="D980" s="109" t="s">
        <v>10747</v>
      </c>
      <c r="E980" s="109" t="s">
        <v>10748</v>
      </c>
      <c r="F980" s="109" t="s">
        <v>10749</v>
      </c>
      <c r="G980" s="110" t="s">
        <v>6248</v>
      </c>
      <c r="H980" s="110" t="s">
        <v>10750</v>
      </c>
      <c r="I980" s="110" t="s">
        <v>10751</v>
      </c>
    </row>
    <row r="981" spans="1:9" ht="25.2" x14ac:dyDescent="0.3">
      <c r="A981" s="109" t="s">
        <v>10752</v>
      </c>
      <c r="B981" s="109" t="s">
        <v>10211</v>
      </c>
      <c r="C981" s="109" t="s">
        <v>10211</v>
      </c>
      <c r="D981" s="109" t="s">
        <v>1571</v>
      </c>
      <c r="E981" s="109" t="s">
        <v>10753</v>
      </c>
      <c r="F981" s="109" t="s">
        <v>7123</v>
      </c>
      <c r="G981" s="110" t="s">
        <v>6248</v>
      </c>
      <c r="H981" s="110" t="s">
        <v>10754</v>
      </c>
      <c r="I981" s="110" t="s">
        <v>10755</v>
      </c>
    </row>
    <row r="982" spans="1:9" ht="25.2" x14ac:dyDescent="0.3">
      <c r="A982" s="109" t="s">
        <v>10756</v>
      </c>
      <c r="B982" s="109" t="s">
        <v>10211</v>
      </c>
      <c r="C982" s="109" t="s">
        <v>10211</v>
      </c>
      <c r="D982" s="109" t="s">
        <v>5569</v>
      </c>
      <c r="E982" s="109" t="s">
        <v>5558</v>
      </c>
      <c r="F982" s="109" t="s">
        <v>2258</v>
      </c>
      <c r="G982" s="110" t="s">
        <v>6248</v>
      </c>
      <c r="H982" s="110" t="s">
        <v>10757</v>
      </c>
      <c r="I982" s="110" t="s">
        <v>10758</v>
      </c>
    </row>
    <row r="983" spans="1:9" ht="25.2" x14ac:dyDescent="0.3">
      <c r="A983" s="109" t="s">
        <v>10759</v>
      </c>
      <c r="B983" s="109" t="s">
        <v>10211</v>
      </c>
      <c r="C983" s="109" t="s">
        <v>10211</v>
      </c>
      <c r="D983" s="109" t="s">
        <v>5569</v>
      </c>
      <c r="E983" s="109" t="s">
        <v>5558</v>
      </c>
      <c r="F983" s="109" t="s">
        <v>2258</v>
      </c>
      <c r="G983" s="110" t="s">
        <v>6248</v>
      </c>
      <c r="H983" s="110" t="s">
        <v>10760</v>
      </c>
      <c r="I983" s="110" t="s">
        <v>10761</v>
      </c>
    </row>
    <row r="984" spans="1:9" ht="25.2" x14ac:dyDescent="0.3">
      <c r="A984" s="109" t="s">
        <v>10762</v>
      </c>
      <c r="B984" s="109" t="s">
        <v>10211</v>
      </c>
      <c r="C984" s="109" t="s">
        <v>10211</v>
      </c>
      <c r="D984" s="109" t="s">
        <v>10763</v>
      </c>
      <c r="E984" s="109" t="s">
        <v>10764</v>
      </c>
      <c r="F984" s="109" t="s">
        <v>10765</v>
      </c>
      <c r="G984" s="110" t="s">
        <v>6248</v>
      </c>
      <c r="H984" s="110" t="s">
        <v>10766</v>
      </c>
      <c r="I984" s="110" t="s">
        <v>10767</v>
      </c>
    </row>
    <row r="985" spans="1:9" ht="25.2" x14ac:dyDescent="0.3">
      <c r="A985" s="109" t="s">
        <v>10768</v>
      </c>
      <c r="B985" s="109" t="s">
        <v>10211</v>
      </c>
      <c r="C985" s="109" t="s">
        <v>10211</v>
      </c>
      <c r="D985" s="109" t="s">
        <v>10769</v>
      </c>
      <c r="E985" s="109" t="s">
        <v>5558</v>
      </c>
      <c r="F985" s="109" t="s">
        <v>10770</v>
      </c>
      <c r="G985" s="110" t="s">
        <v>6248</v>
      </c>
      <c r="H985" s="110" t="s">
        <v>10771</v>
      </c>
      <c r="I985" s="110" t="s">
        <v>10772</v>
      </c>
    </row>
    <row r="986" spans="1:9" ht="25.2" x14ac:dyDescent="0.3">
      <c r="A986" s="109" t="s">
        <v>10773</v>
      </c>
      <c r="B986" s="109" t="s">
        <v>10211</v>
      </c>
      <c r="C986" s="109" t="s">
        <v>10211</v>
      </c>
      <c r="D986" s="109" t="s">
        <v>10774</v>
      </c>
      <c r="E986" s="109" t="s">
        <v>5558</v>
      </c>
      <c r="F986" s="109" t="s">
        <v>10775</v>
      </c>
      <c r="G986" s="110" t="s">
        <v>6248</v>
      </c>
      <c r="H986" s="110" t="s">
        <v>6689</v>
      </c>
      <c r="I986" s="110" t="s">
        <v>10776</v>
      </c>
    </row>
    <row r="987" spans="1:9" ht="25.2" x14ac:dyDescent="0.3">
      <c r="A987" s="109" t="s">
        <v>10777</v>
      </c>
      <c r="B987" s="109" t="s">
        <v>10211</v>
      </c>
      <c r="C987" s="109" t="s">
        <v>10211</v>
      </c>
      <c r="D987" s="109" t="s">
        <v>10778</v>
      </c>
      <c r="E987" s="109" t="s">
        <v>5558</v>
      </c>
      <c r="F987" s="109" t="s">
        <v>10779</v>
      </c>
      <c r="G987" s="110" t="s">
        <v>6248</v>
      </c>
      <c r="H987" s="110" t="s">
        <v>10780</v>
      </c>
      <c r="I987" s="110" t="s">
        <v>10781</v>
      </c>
    </row>
    <row r="988" spans="1:9" ht="25.2" x14ac:dyDescent="0.3">
      <c r="A988" s="109" t="s">
        <v>10782</v>
      </c>
      <c r="B988" s="109" t="s">
        <v>10211</v>
      </c>
      <c r="C988" s="109" t="s">
        <v>10211</v>
      </c>
      <c r="D988" s="109" t="s">
        <v>10783</v>
      </c>
      <c r="E988" s="109" t="s">
        <v>5558</v>
      </c>
      <c r="F988" s="109" t="s">
        <v>10784</v>
      </c>
      <c r="G988" s="110" t="s">
        <v>6248</v>
      </c>
      <c r="H988" s="110" t="s">
        <v>8820</v>
      </c>
      <c r="I988" s="110" t="s">
        <v>10785</v>
      </c>
    </row>
    <row r="989" spans="1:9" ht="25.2" x14ac:dyDescent="0.3">
      <c r="A989" s="109" t="s">
        <v>10786</v>
      </c>
      <c r="B989" s="109" t="s">
        <v>10211</v>
      </c>
      <c r="C989" s="109" t="s">
        <v>10211</v>
      </c>
      <c r="D989" s="109" t="s">
        <v>1573</v>
      </c>
      <c r="E989" s="109" t="s">
        <v>10787</v>
      </c>
      <c r="F989" s="109" t="s">
        <v>7123</v>
      </c>
      <c r="G989" s="110" t="s">
        <v>6248</v>
      </c>
      <c r="H989" s="110" t="s">
        <v>10788</v>
      </c>
      <c r="I989" s="110" t="s">
        <v>10789</v>
      </c>
    </row>
    <row r="990" spans="1:9" ht="25.2" x14ac:dyDescent="0.3">
      <c r="A990" s="109" t="s">
        <v>10790</v>
      </c>
      <c r="B990" s="109" t="s">
        <v>10211</v>
      </c>
      <c r="C990" s="109" t="s">
        <v>10211</v>
      </c>
      <c r="D990" s="109" t="s">
        <v>10791</v>
      </c>
      <c r="E990" s="109" t="s">
        <v>10792</v>
      </c>
      <c r="F990" s="109" t="s">
        <v>8173</v>
      </c>
      <c r="G990" s="110" t="s">
        <v>6248</v>
      </c>
      <c r="H990" s="110" t="s">
        <v>10793</v>
      </c>
      <c r="I990" s="110" t="s">
        <v>10794</v>
      </c>
    </row>
    <row r="991" spans="1:9" ht="25.2" x14ac:dyDescent="0.3">
      <c r="A991" s="109" t="s">
        <v>10795</v>
      </c>
      <c r="B991" s="109" t="s">
        <v>10211</v>
      </c>
      <c r="C991" s="109" t="s">
        <v>10211</v>
      </c>
      <c r="D991" s="109" t="s">
        <v>10796</v>
      </c>
      <c r="E991" s="109" t="s">
        <v>10672</v>
      </c>
      <c r="F991" s="109" t="s">
        <v>7039</v>
      </c>
      <c r="G991" s="110" t="s">
        <v>6248</v>
      </c>
      <c r="H991" s="110" t="s">
        <v>10797</v>
      </c>
      <c r="I991" s="110" t="s">
        <v>10798</v>
      </c>
    </row>
    <row r="992" spans="1:9" ht="25.2" x14ac:dyDescent="0.3">
      <c r="A992" s="109" t="s">
        <v>10799</v>
      </c>
      <c r="B992" s="109" t="s">
        <v>10211</v>
      </c>
      <c r="C992" s="109" t="s">
        <v>10211</v>
      </c>
      <c r="D992" s="109" t="s">
        <v>10800</v>
      </c>
      <c r="E992" s="109" t="s">
        <v>5558</v>
      </c>
      <c r="F992" s="109" t="s">
        <v>10801</v>
      </c>
      <c r="G992" s="110" t="s">
        <v>6248</v>
      </c>
      <c r="H992" s="110" t="s">
        <v>10802</v>
      </c>
      <c r="I992" s="110" t="s">
        <v>10803</v>
      </c>
    </row>
    <row r="993" spans="1:9" ht="25.2" x14ac:dyDescent="0.3">
      <c r="A993" s="109" t="s">
        <v>10804</v>
      </c>
      <c r="B993" s="109" t="s">
        <v>10211</v>
      </c>
      <c r="C993" s="109" t="s">
        <v>10211</v>
      </c>
      <c r="D993" s="109" t="s">
        <v>5569</v>
      </c>
      <c r="E993" s="109" t="s">
        <v>5558</v>
      </c>
      <c r="F993" s="109" t="s">
        <v>2258</v>
      </c>
      <c r="G993" s="110" t="s">
        <v>6248</v>
      </c>
      <c r="H993" s="110" t="s">
        <v>10805</v>
      </c>
      <c r="I993" s="110" t="s">
        <v>10806</v>
      </c>
    </row>
    <row r="994" spans="1:9" ht="37.799999999999997" x14ac:dyDescent="0.3">
      <c r="A994" s="109" t="s">
        <v>10807</v>
      </c>
      <c r="B994" s="109" t="s">
        <v>10211</v>
      </c>
      <c r="C994" s="109" t="s">
        <v>10211</v>
      </c>
      <c r="D994" s="109" t="s">
        <v>10808</v>
      </c>
      <c r="E994" s="109" t="s">
        <v>5558</v>
      </c>
      <c r="F994" s="109" t="s">
        <v>10809</v>
      </c>
      <c r="G994" s="110" t="s">
        <v>6248</v>
      </c>
      <c r="H994" s="110" t="s">
        <v>10810</v>
      </c>
      <c r="I994" s="110" t="s">
        <v>10811</v>
      </c>
    </row>
    <row r="995" spans="1:9" ht="25.2" x14ac:dyDescent="0.3">
      <c r="A995" s="109" t="s">
        <v>5846</v>
      </c>
      <c r="B995" s="109" t="s">
        <v>10211</v>
      </c>
      <c r="C995" s="109" t="s">
        <v>10211</v>
      </c>
      <c r="D995" s="109" t="s">
        <v>10812</v>
      </c>
      <c r="E995" s="109" t="s">
        <v>10813</v>
      </c>
      <c r="F995" s="109" t="s">
        <v>8274</v>
      </c>
      <c r="G995" s="110" t="s">
        <v>6248</v>
      </c>
      <c r="H995" s="110" t="s">
        <v>10814</v>
      </c>
      <c r="I995" s="110" t="s">
        <v>10815</v>
      </c>
    </row>
    <row r="996" spans="1:9" ht="63" x14ac:dyDescent="0.3">
      <c r="A996" s="109" t="s">
        <v>10816</v>
      </c>
      <c r="B996" s="109" t="s">
        <v>10211</v>
      </c>
      <c r="C996" s="109" t="s">
        <v>10211</v>
      </c>
      <c r="D996" s="109" t="s">
        <v>10817</v>
      </c>
      <c r="E996" s="109" t="s">
        <v>10817</v>
      </c>
      <c r="F996" s="109" t="s">
        <v>10818</v>
      </c>
      <c r="G996" s="110" t="s">
        <v>6248</v>
      </c>
      <c r="H996" s="110" t="s">
        <v>6689</v>
      </c>
      <c r="I996" s="110" t="s">
        <v>10819</v>
      </c>
    </row>
    <row r="997" spans="1:9" ht="25.2" x14ac:dyDescent="0.3">
      <c r="A997" s="109" t="s">
        <v>10820</v>
      </c>
      <c r="B997" s="109" t="s">
        <v>10211</v>
      </c>
      <c r="C997" s="109" t="s">
        <v>10211</v>
      </c>
      <c r="D997" s="109" t="s">
        <v>10821</v>
      </c>
      <c r="E997" s="109" t="s">
        <v>5558</v>
      </c>
      <c r="F997" s="109" t="s">
        <v>10822</v>
      </c>
      <c r="G997" s="110" t="s">
        <v>6248</v>
      </c>
      <c r="H997" s="110" t="s">
        <v>9128</v>
      </c>
      <c r="I997" s="110" t="s">
        <v>10823</v>
      </c>
    </row>
    <row r="998" spans="1:9" ht="25.2" x14ac:dyDescent="0.3">
      <c r="A998" s="109" t="s">
        <v>10824</v>
      </c>
      <c r="B998" s="109" t="s">
        <v>10211</v>
      </c>
      <c r="C998" s="109" t="s">
        <v>10211</v>
      </c>
      <c r="D998" s="109" t="s">
        <v>10825</v>
      </c>
      <c r="E998" s="109" t="s">
        <v>10826</v>
      </c>
      <c r="F998" s="109" t="s">
        <v>10827</v>
      </c>
      <c r="G998" s="110" t="s">
        <v>6248</v>
      </c>
      <c r="H998" s="110" t="s">
        <v>10828</v>
      </c>
      <c r="I998" s="110" t="s">
        <v>10829</v>
      </c>
    </row>
    <row r="999" spans="1:9" ht="25.2" x14ac:dyDescent="0.3">
      <c r="A999" s="109" t="s">
        <v>10830</v>
      </c>
      <c r="B999" s="109" t="s">
        <v>10211</v>
      </c>
      <c r="C999" s="109" t="s">
        <v>10211</v>
      </c>
      <c r="D999" s="109" t="s">
        <v>5569</v>
      </c>
      <c r="E999" s="109" t="s">
        <v>5558</v>
      </c>
      <c r="F999" s="109" t="s">
        <v>5726</v>
      </c>
      <c r="G999" s="110" t="s">
        <v>6248</v>
      </c>
      <c r="H999" s="110" t="s">
        <v>10831</v>
      </c>
      <c r="I999" s="110" t="s">
        <v>10832</v>
      </c>
    </row>
    <row r="1000" spans="1:9" ht="25.2" x14ac:dyDescent="0.3">
      <c r="A1000" s="109" t="s">
        <v>10833</v>
      </c>
      <c r="B1000" s="109" t="s">
        <v>10211</v>
      </c>
      <c r="C1000" s="109" t="s">
        <v>10211</v>
      </c>
      <c r="D1000" s="109" t="s">
        <v>5569</v>
      </c>
      <c r="E1000" s="109" t="s">
        <v>5558</v>
      </c>
      <c r="F1000" s="109" t="s">
        <v>5726</v>
      </c>
      <c r="G1000" s="110" t="s">
        <v>6248</v>
      </c>
      <c r="H1000" s="110" t="s">
        <v>10834</v>
      </c>
      <c r="I1000" s="110" t="s">
        <v>10835</v>
      </c>
    </row>
    <row r="1001" spans="1:9" ht="25.2" x14ac:dyDescent="0.3">
      <c r="A1001" s="109" t="s">
        <v>10836</v>
      </c>
      <c r="B1001" s="109" t="s">
        <v>10211</v>
      </c>
      <c r="C1001" s="109" t="s">
        <v>10211</v>
      </c>
      <c r="D1001" s="109" t="s">
        <v>10837</v>
      </c>
      <c r="E1001" s="109" t="s">
        <v>5558</v>
      </c>
      <c r="F1001" s="109" t="s">
        <v>10838</v>
      </c>
      <c r="G1001" s="110" t="s">
        <v>6248</v>
      </c>
      <c r="H1001" s="110" t="s">
        <v>10839</v>
      </c>
      <c r="I1001" s="110" t="s">
        <v>10840</v>
      </c>
    </row>
    <row r="1002" spans="1:9" ht="25.2" x14ac:dyDescent="0.3">
      <c r="A1002" s="109" t="s">
        <v>10841</v>
      </c>
      <c r="B1002" s="109" t="s">
        <v>10211</v>
      </c>
      <c r="C1002" s="109" t="s">
        <v>10211</v>
      </c>
      <c r="D1002" s="109" t="s">
        <v>10842</v>
      </c>
      <c r="E1002" s="109" t="s">
        <v>5558</v>
      </c>
      <c r="F1002" s="109" t="s">
        <v>10843</v>
      </c>
      <c r="G1002" s="110" t="s">
        <v>6248</v>
      </c>
      <c r="H1002" s="110" t="s">
        <v>10844</v>
      </c>
      <c r="I1002" s="110" t="s">
        <v>10845</v>
      </c>
    </row>
    <row r="1003" spans="1:9" ht="37.799999999999997" x14ac:dyDescent="0.3">
      <c r="A1003" s="109" t="s">
        <v>10846</v>
      </c>
      <c r="B1003" s="109" t="s">
        <v>10211</v>
      </c>
      <c r="C1003" s="109" t="s">
        <v>10211</v>
      </c>
      <c r="D1003" s="109" t="s">
        <v>1076</v>
      </c>
      <c r="E1003" s="109" t="s">
        <v>5558</v>
      </c>
      <c r="F1003" s="109" t="s">
        <v>10847</v>
      </c>
      <c r="G1003" s="110" t="s">
        <v>6248</v>
      </c>
      <c r="H1003" s="110" t="s">
        <v>10848</v>
      </c>
      <c r="I1003" s="110" t="s">
        <v>10849</v>
      </c>
    </row>
    <row r="1004" spans="1:9" ht="25.2" x14ac:dyDescent="0.3">
      <c r="A1004" s="109" t="s">
        <v>10850</v>
      </c>
      <c r="B1004" s="109" t="s">
        <v>10211</v>
      </c>
      <c r="C1004" s="109" t="s">
        <v>10211</v>
      </c>
      <c r="D1004" s="109" t="s">
        <v>10851</v>
      </c>
      <c r="E1004" s="109" t="s">
        <v>10677</v>
      </c>
      <c r="F1004" s="109" t="s">
        <v>7045</v>
      </c>
      <c r="G1004" s="110" t="s">
        <v>10852</v>
      </c>
      <c r="H1004" s="110" t="s">
        <v>6248</v>
      </c>
      <c r="I1004" s="110" t="s">
        <v>10853</v>
      </c>
    </row>
    <row r="1005" spans="1:9" ht="25.2" x14ac:dyDescent="0.3">
      <c r="A1005" s="109" t="s">
        <v>10854</v>
      </c>
      <c r="B1005" s="109" t="s">
        <v>10211</v>
      </c>
      <c r="C1005" s="109" t="s">
        <v>10211</v>
      </c>
      <c r="D1005" s="109" t="s">
        <v>10855</v>
      </c>
      <c r="E1005" s="109" t="s">
        <v>10856</v>
      </c>
      <c r="F1005" s="109" t="s">
        <v>10857</v>
      </c>
      <c r="G1005" s="110" t="s">
        <v>6248</v>
      </c>
      <c r="H1005" s="110" t="s">
        <v>6898</v>
      </c>
      <c r="I1005" s="110" t="s">
        <v>10858</v>
      </c>
    </row>
    <row r="1006" spans="1:9" ht="37.799999999999997" x14ac:dyDescent="0.3">
      <c r="A1006" s="109" t="s">
        <v>7001</v>
      </c>
      <c r="B1006" s="109" t="s">
        <v>10211</v>
      </c>
      <c r="C1006" s="109" t="s">
        <v>10211</v>
      </c>
      <c r="D1006" s="109" t="s">
        <v>10859</v>
      </c>
      <c r="E1006" s="109" t="s">
        <v>5558</v>
      </c>
      <c r="F1006" s="109" t="s">
        <v>10860</v>
      </c>
      <c r="G1006" s="110" t="s">
        <v>6248</v>
      </c>
      <c r="H1006" s="110" t="s">
        <v>10861</v>
      </c>
      <c r="I1006" s="110" t="s">
        <v>10862</v>
      </c>
    </row>
    <row r="1007" spans="1:9" ht="25.2" x14ac:dyDescent="0.3">
      <c r="A1007" s="109" t="s">
        <v>6701</v>
      </c>
      <c r="B1007" s="109" t="s">
        <v>10211</v>
      </c>
      <c r="C1007" s="109" t="s">
        <v>10211</v>
      </c>
      <c r="D1007" s="109" t="s">
        <v>10863</v>
      </c>
      <c r="E1007" s="109" t="s">
        <v>5558</v>
      </c>
      <c r="F1007" s="109" t="s">
        <v>10864</v>
      </c>
      <c r="G1007" s="110" t="s">
        <v>6248</v>
      </c>
      <c r="H1007" s="110" t="s">
        <v>7321</v>
      </c>
      <c r="I1007" s="110" t="s">
        <v>10865</v>
      </c>
    </row>
    <row r="1008" spans="1:9" ht="25.2" x14ac:dyDescent="0.3">
      <c r="A1008" s="109" t="s">
        <v>10866</v>
      </c>
      <c r="B1008" s="109" t="s">
        <v>10211</v>
      </c>
      <c r="C1008" s="109" t="s">
        <v>10211</v>
      </c>
      <c r="D1008" s="109" t="s">
        <v>10867</v>
      </c>
      <c r="E1008" s="109" t="s">
        <v>10868</v>
      </c>
      <c r="F1008" s="109" t="s">
        <v>10869</v>
      </c>
      <c r="G1008" s="110" t="s">
        <v>6248</v>
      </c>
      <c r="H1008" s="110" t="s">
        <v>10870</v>
      </c>
      <c r="I1008" s="110" t="s">
        <v>10871</v>
      </c>
    </row>
    <row r="1009" spans="1:9" ht="25.2" x14ac:dyDescent="0.3">
      <c r="A1009" s="109" t="s">
        <v>10872</v>
      </c>
      <c r="B1009" s="109" t="s">
        <v>10211</v>
      </c>
      <c r="C1009" s="109" t="s">
        <v>10211</v>
      </c>
      <c r="D1009" s="109" t="s">
        <v>5569</v>
      </c>
      <c r="E1009" s="109" t="s">
        <v>5558</v>
      </c>
      <c r="F1009" s="109" t="s">
        <v>2258</v>
      </c>
      <c r="G1009" s="110" t="s">
        <v>6248</v>
      </c>
      <c r="H1009" s="110" t="s">
        <v>10873</v>
      </c>
      <c r="I1009" s="110" t="s">
        <v>10874</v>
      </c>
    </row>
    <row r="1010" spans="1:9" ht="25.2" x14ac:dyDescent="0.3">
      <c r="A1010" s="109" t="s">
        <v>10875</v>
      </c>
      <c r="B1010" s="109" t="s">
        <v>10211</v>
      </c>
      <c r="C1010" s="109" t="s">
        <v>10211</v>
      </c>
      <c r="D1010" s="109" t="s">
        <v>5569</v>
      </c>
      <c r="E1010" s="109" t="s">
        <v>5558</v>
      </c>
      <c r="F1010" s="109" t="s">
        <v>2258</v>
      </c>
      <c r="G1010" s="110" t="s">
        <v>6248</v>
      </c>
      <c r="H1010" s="110" t="s">
        <v>10876</v>
      </c>
      <c r="I1010" s="110" t="s">
        <v>10877</v>
      </c>
    </row>
    <row r="1011" spans="1:9" ht="25.2" x14ac:dyDescent="0.3">
      <c r="A1011" s="109" t="s">
        <v>10878</v>
      </c>
      <c r="B1011" s="109" t="s">
        <v>10211</v>
      </c>
      <c r="C1011" s="109" t="s">
        <v>10211</v>
      </c>
      <c r="D1011" s="109" t="s">
        <v>5569</v>
      </c>
      <c r="E1011" s="109" t="s">
        <v>5558</v>
      </c>
      <c r="F1011" s="109" t="s">
        <v>2258</v>
      </c>
      <c r="G1011" s="110" t="s">
        <v>6248</v>
      </c>
      <c r="H1011" s="110" t="s">
        <v>10879</v>
      </c>
      <c r="I1011" s="110" t="s">
        <v>10880</v>
      </c>
    </row>
    <row r="1012" spans="1:9" ht="25.2" x14ac:dyDescent="0.3">
      <c r="A1012" s="109" t="s">
        <v>10881</v>
      </c>
      <c r="B1012" s="109" t="s">
        <v>10211</v>
      </c>
      <c r="C1012" s="109" t="s">
        <v>10211</v>
      </c>
      <c r="D1012" s="109" t="s">
        <v>5569</v>
      </c>
      <c r="E1012" s="109" t="s">
        <v>5558</v>
      </c>
      <c r="F1012" s="109" t="s">
        <v>2258</v>
      </c>
      <c r="G1012" s="110" t="s">
        <v>6248</v>
      </c>
      <c r="H1012" s="110" t="s">
        <v>10882</v>
      </c>
      <c r="I1012" s="110" t="s">
        <v>10883</v>
      </c>
    </row>
    <row r="1013" spans="1:9" ht="37.799999999999997" x14ac:dyDescent="0.3">
      <c r="A1013" s="109" t="s">
        <v>10884</v>
      </c>
      <c r="B1013" s="109" t="s">
        <v>10211</v>
      </c>
      <c r="C1013" s="109" t="s">
        <v>10211</v>
      </c>
      <c r="D1013" s="109" t="s">
        <v>1153</v>
      </c>
      <c r="E1013" s="109" t="s">
        <v>5558</v>
      </c>
      <c r="F1013" s="109" t="s">
        <v>10885</v>
      </c>
      <c r="G1013" s="110" t="s">
        <v>6248</v>
      </c>
      <c r="H1013" s="110" t="s">
        <v>10886</v>
      </c>
      <c r="I1013" s="110" t="s">
        <v>10887</v>
      </c>
    </row>
    <row r="1014" spans="1:9" ht="25.2" x14ac:dyDescent="0.3">
      <c r="A1014" s="109" t="s">
        <v>10888</v>
      </c>
      <c r="B1014" s="109" t="s">
        <v>10211</v>
      </c>
      <c r="C1014" s="109" t="s">
        <v>10211</v>
      </c>
      <c r="D1014" s="109" t="s">
        <v>10889</v>
      </c>
      <c r="E1014" s="109" t="s">
        <v>6255</v>
      </c>
      <c r="F1014" s="109" t="s">
        <v>8582</v>
      </c>
      <c r="G1014" s="110" t="s">
        <v>6248</v>
      </c>
      <c r="H1014" s="110" t="s">
        <v>10890</v>
      </c>
      <c r="I1014" s="110" t="s">
        <v>10891</v>
      </c>
    </row>
    <row r="1015" spans="1:9" ht="25.2" x14ac:dyDescent="0.3">
      <c r="A1015" s="109" t="s">
        <v>10892</v>
      </c>
      <c r="B1015" s="109" t="s">
        <v>10211</v>
      </c>
      <c r="C1015" s="109" t="s">
        <v>10211</v>
      </c>
      <c r="D1015" s="109" t="s">
        <v>1570</v>
      </c>
      <c r="E1015" s="109" t="s">
        <v>10893</v>
      </c>
      <c r="F1015" s="109" t="s">
        <v>10894</v>
      </c>
      <c r="G1015" s="110" t="s">
        <v>10895</v>
      </c>
      <c r="H1015" s="110" t="s">
        <v>6248</v>
      </c>
      <c r="I1015" s="110" t="s">
        <v>10896</v>
      </c>
    </row>
    <row r="1016" spans="1:9" ht="25.2" x14ac:dyDescent="0.3">
      <c r="A1016" s="109" t="s">
        <v>10897</v>
      </c>
      <c r="B1016" s="109" t="s">
        <v>10211</v>
      </c>
      <c r="C1016" s="109" t="s">
        <v>10211</v>
      </c>
      <c r="D1016" s="109" t="s">
        <v>5569</v>
      </c>
      <c r="E1016" s="109" t="s">
        <v>5558</v>
      </c>
      <c r="F1016" s="109" t="s">
        <v>2258</v>
      </c>
      <c r="G1016" s="110" t="s">
        <v>6248</v>
      </c>
      <c r="H1016" s="110" t="s">
        <v>10898</v>
      </c>
      <c r="I1016" s="110" t="s">
        <v>10899</v>
      </c>
    </row>
    <row r="1017" spans="1:9" ht="25.2" x14ac:dyDescent="0.3">
      <c r="A1017" s="109" t="s">
        <v>10900</v>
      </c>
      <c r="B1017" s="109" t="s">
        <v>10211</v>
      </c>
      <c r="C1017" s="109" t="s">
        <v>10211</v>
      </c>
      <c r="D1017" s="109" t="s">
        <v>10901</v>
      </c>
      <c r="E1017" s="109" t="s">
        <v>10902</v>
      </c>
      <c r="F1017" s="109" t="s">
        <v>10903</v>
      </c>
      <c r="G1017" s="110" t="s">
        <v>6248</v>
      </c>
      <c r="H1017" s="110" t="s">
        <v>10904</v>
      </c>
      <c r="I1017" s="110" t="s">
        <v>10905</v>
      </c>
    </row>
    <row r="1018" spans="1:9" ht="25.2" x14ac:dyDescent="0.3">
      <c r="A1018" s="109" t="s">
        <v>10906</v>
      </c>
      <c r="B1018" s="109" t="s">
        <v>10211</v>
      </c>
      <c r="C1018" s="109" t="s">
        <v>10211</v>
      </c>
      <c r="D1018" s="109" t="s">
        <v>5569</v>
      </c>
      <c r="E1018" s="109" t="s">
        <v>5558</v>
      </c>
      <c r="F1018" s="109" t="s">
        <v>2258</v>
      </c>
      <c r="G1018" s="110" t="s">
        <v>6248</v>
      </c>
      <c r="H1018" s="110" t="s">
        <v>10907</v>
      </c>
      <c r="I1018" s="110" t="s">
        <v>10908</v>
      </c>
    </row>
    <row r="1019" spans="1:9" ht="25.2" x14ac:dyDescent="0.3">
      <c r="A1019" s="109" t="s">
        <v>10909</v>
      </c>
      <c r="B1019" s="109" t="s">
        <v>10211</v>
      </c>
      <c r="C1019" s="109" t="s">
        <v>10211</v>
      </c>
      <c r="D1019" s="109" t="s">
        <v>5772</v>
      </c>
      <c r="E1019" s="109" t="s">
        <v>5558</v>
      </c>
      <c r="F1019" s="109" t="s">
        <v>2258</v>
      </c>
      <c r="G1019" s="110" t="s">
        <v>6248</v>
      </c>
      <c r="H1019" s="110" t="s">
        <v>10910</v>
      </c>
      <c r="I1019" s="110" t="s">
        <v>10911</v>
      </c>
    </row>
    <row r="1020" spans="1:9" ht="25.2" x14ac:dyDescent="0.3">
      <c r="A1020" s="109" t="s">
        <v>10912</v>
      </c>
      <c r="B1020" s="109" t="s">
        <v>10211</v>
      </c>
      <c r="C1020" s="109" t="s">
        <v>10211</v>
      </c>
      <c r="D1020" s="109" t="s">
        <v>10913</v>
      </c>
      <c r="E1020" s="109" t="s">
        <v>9414</v>
      </c>
      <c r="F1020" s="109" t="s">
        <v>10914</v>
      </c>
      <c r="G1020" s="110" t="s">
        <v>6248</v>
      </c>
      <c r="H1020" s="110" t="s">
        <v>10915</v>
      </c>
      <c r="I1020" s="110" t="s">
        <v>10916</v>
      </c>
    </row>
    <row r="1021" spans="1:9" ht="25.2" x14ac:dyDescent="0.3">
      <c r="A1021" s="109" t="s">
        <v>10917</v>
      </c>
      <c r="B1021" s="109" t="s">
        <v>10211</v>
      </c>
      <c r="C1021" s="109" t="s">
        <v>10211</v>
      </c>
      <c r="D1021" s="109" t="s">
        <v>10918</v>
      </c>
      <c r="E1021" s="109" t="s">
        <v>5558</v>
      </c>
      <c r="F1021" s="109" t="s">
        <v>10919</v>
      </c>
      <c r="G1021" s="110" t="s">
        <v>6248</v>
      </c>
      <c r="H1021" s="110" t="s">
        <v>10920</v>
      </c>
      <c r="I1021" s="110" t="s">
        <v>10921</v>
      </c>
    </row>
    <row r="1022" spans="1:9" ht="25.2" x14ac:dyDescent="0.3">
      <c r="A1022" s="109" t="s">
        <v>10922</v>
      </c>
      <c r="B1022" s="109" t="s">
        <v>10211</v>
      </c>
      <c r="C1022" s="109" t="s">
        <v>10211</v>
      </c>
      <c r="D1022" s="109" t="s">
        <v>10923</v>
      </c>
      <c r="E1022" s="109" t="s">
        <v>6010</v>
      </c>
      <c r="F1022" s="109" t="s">
        <v>10924</v>
      </c>
      <c r="G1022" s="110" t="s">
        <v>6248</v>
      </c>
      <c r="H1022" s="110" t="s">
        <v>10925</v>
      </c>
      <c r="I1022" s="110" t="s">
        <v>10926</v>
      </c>
    </row>
    <row r="1023" spans="1:9" ht="25.2" x14ac:dyDescent="0.3">
      <c r="A1023" s="109" t="s">
        <v>10927</v>
      </c>
      <c r="B1023" s="109" t="s">
        <v>10211</v>
      </c>
      <c r="C1023" s="109" t="s">
        <v>10211</v>
      </c>
      <c r="D1023" s="109" t="s">
        <v>10928</v>
      </c>
      <c r="E1023" s="109" t="s">
        <v>5558</v>
      </c>
      <c r="F1023" s="109" t="s">
        <v>910</v>
      </c>
      <c r="G1023" s="110" t="s">
        <v>6248</v>
      </c>
      <c r="H1023" s="110" t="s">
        <v>10929</v>
      </c>
      <c r="I1023" s="110" t="s">
        <v>10930</v>
      </c>
    </row>
    <row r="1024" spans="1:9" ht="25.2" x14ac:dyDescent="0.3">
      <c r="A1024" s="109" t="s">
        <v>10931</v>
      </c>
      <c r="B1024" s="109" t="s">
        <v>10211</v>
      </c>
      <c r="C1024" s="109" t="s">
        <v>10211</v>
      </c>
      <c r="D1024" s="109" t="s">
        <v>963</v>
      </c>
      <c r="E1024" s="109" t="s">
        <v>10932</v>
      </c>
      <c r="F1024" s="109" t="s">
        <v>10933</v>
      </c>
      <c r="G1024" s="110" t="s">
        <v>6248</v>
      </c>
      <c r="H1024" s="110" t="s">
        <v>7221</v>
      </c>
      <c r="I1024" s="110" t="s">
        <v>10934</v>
      </c>
    </row>
    <row r="1025" spans="1:9" ht="25.2" x14ac:dyDescent="0.3">
      <c r="A1025" s="109" t="s">
        <v>10935</v>
      </c>
      <c r="B1025" s="109" t="s">
        <v>10211</v>
      </c>
      <c r="C1025" s="109" t="s">
        <v>10211</v>
      </c>
      <c r="D1025" s="109" t="s">
        <v>10936</v>
      </c>
      <c r="E1025" s="109" t="s">
        <v>5558</v>
      </c>
      <c r="F1025" s="109" t="s">
        <v>10937</v>
      </c>
      <c r="G1025" s="110" t="s">
        <v>6248</v>
      </c>
      <c r="H1025" s="110" t="s">
        <v>10938</v>
      </c>
      <c r="I1025" s="110" t="s">
        <v>10939</v>
      </c>
    </row>
    <row r="1026" spans="1:9" ht="25.2" x14ac:dyDescent="0.3">
      <c r="A1026" s="109" t="s">
        <v>10940</v>
      </c>
      <c r="B1026" s="109" t="s">
        <v>10211</v>
      </c>
      <c r="C1026" s="109" t="s">
        <v>10211</v>
      </c>
      <c r="D1026" s="109" t="s">
        <v>10941</v>
      </c>
      <c r="E1026" s="109" t="s">
        <v>5558</v>
      </c>
      <c r="F1026" s="109" t="s">
        <v>10942</v>
      </c>
      <c r="G1026" s="110" t="s">
        <v>6248</v>
      </c>
      <c r="H1026" s="110" t="s">
        <v>10943</v>
      </c>
      <c r="I1026" s="110" t="s">
        <v>10944</v>
      </c>
    </row>
    <row r="1027" spans="1:9" ht="25.2" x14ac:dyDescent="0.3">
      <c r="A1027" s="109" t="s">
        <v>10945</v>
      </c>
      <c r="B1027" s="109" t="s">
        <v>10211</v>
      </c>
      <c r="C1027" s="109" t="s">
        <v>10211</v>
      </c>
      <c r="D1027" s="109" t="s">
        <v>911</v>
      </c>
      <c r="E1027" s="109" t="s">
        <v>5558</v>
      </c>
      <c r="F1027" s="109" t="s">
        <v>10946</v>
      </c>
      <c r="G1027" s="110" t="s">
        <v>6248</v>
      </c>
      <c r="H1027" s="110" t="s">
        <v>10947</v>
      </c>
      <c r="I1027" s="110" t="s">
        <v>10948</v>
      </c>
    </row>
    <row r="1028" spans="1:9" ht="37.799999999999997" x14ac:dyDescent="0.3">
      <c r="A1028" s="109" t="s">
        <v>10949</v>
      </c>
      <c r="B1028" s="109" t="s">
        <v>10211</v>
      </c>
      <c r="C1028" s="109" t="s">
        <v>10211</v>
      </c>
      <c r="D1028" s="109" t="s">
        <v>10950</v>
      </c>
      <c r="E1028" s="109" t="s">
        <v>5558</v>
      </c>
      <c r="F1028" s="109" t="s">
        <v>10951</v>
      </c>
      <c r="G1028" s="110" t="s">
        <v>6248</v>
      </c>
      <c r="H1028" s="110" t="s">
        <v>6352</v>
      </c>
      <c r="I1028" s="110" t="s">
        <v>10952</v>
      </c>
    </row>
    <row r="1029" spans="1:9" ht="25.2" x14ac:dyDescent="0.3">
      <c r="A1029" s="109" t="s">
        <v>10953</v>
      </c>
      <c r="B1029" s="109" t="s">
        <v>10211</v>
      </c>
      <c r="C1029" s="109" t="s">
        <v>10211</v>
      </c>
      <c r="D1029" s="109" t="s">
        <v>5569</v>
      </c>
      <c r="E1029" s="109" t="s">
        <v>5558</v>
      </c>
      <c r="F1029" s="109" t="s">
        <v>2258</v>
      </c>
      <c r="G1029" s="110" t="s">
        <v>6248</v>
      </c>
      <c r="H1029" s="110" t="s">
        <v>10954</v>
      </c>
      <c r="I1029" s="110" t="s">
        <v>10955</v>
      </c>
    </row>
    <row r="1030" spans="1:9" ht="25.2" x14ac:dyDescent="0.3">
      <c r="A1030" s="109" t="s">
        <v>10956</v>
      </c>
      <c r="B1030" s="109" t="s">
        <v>10211</v>
      </c>
      <c r="C1030" s="109" t="s">
        <v>10211</v>
      </c>
      <c r="D1030" s="109" t="s">
        <v>10957</v>
      </c>
      <c r="E1030" s="109" t="s">
        <v>5558</v>
      </c>
      <c r="F1030" s="109" t="s">
        <v>10958</v>
      </c>
      <c r="G1030" s="110" t="s">
        <v>6248</v>
      </c>
      <c r="H1030" s="110" t="s">
        <v>10959</v>
      </c>
      <c r="I1030" s="110" t="s">
        <v>10960</v>
      </c>
    </row>
    <row r="1031" spans="1:9" ht="37.799999999999997" x14ac:dyDescent="0.3">
      <c r="A1031" s="109" t="s">
        <v>10961</v>
      </c>
      <c r="B1031" s="109" t="s">
        <v>10211</v>
      </c>
      <c r="C1031" s="109" t="s">
        <v>10211</v>
      </c>
      <c r="D1031" s="109" t="s">
        <v>10962</v>
      </c>
      <c r="E1031" s="109" t="s">
        <v>5558</v>
      </c>
      <c r="F1031" s="109" t="s">
        <v>10963</v>
      </c>
      <c r="G1031" s="110" t="s">
        <v>6248</v>
      </c>
      <c r="H1031" s="110" t="s">
        <v>10964</v>
      </c>
      <c r="I1031" s="110" t="s">
        <v>10965</v>
      </c>
    </row>
    <row r="1032" spans="1:9" ht="63" x14ac:dyDescent="0.3">
      <c r="A1032" s="109" t="s">
        <v>10966</v>
      </c>
      <c r="B1032" s="109" t="s">
        <v>10211</v>
      </c>
      <c r="C1032" s="109" t="s">
        <v>10211</v>
      </c>
      <c r="D1032" s="109" t="s">
        <v>8478</v>
      </c>
      <c r="E1032" s="109" t="s">
        <v>8478</v>
      </c>
      <c r="F1032" s="109" t="s">
        <v>10967</v>
      </c>
      <c r="G1032" s="110" t="s">
        <v>6248</v>
      </c>
      <c r="H1032" s="110" t="s">
        <v>10240</v>
      </c>
      <c r="I1032" s="110" t="s">
        <v>10968</v>
      </c>
    </row>
    <row r="1033" spans="1:9" ht="25.2" x14ac:dyDescent="0.3">
      <c r="A1033" s="109" t="s">
        <v>10969</v>
      </c>
      <c r="B1033" s="109" t="s">
        <v>10211</v>
      </c>
      <c r="C1033" s="109" t="s">
        <v>10211</v>
      </c>
      <c r="D1033" s="109" t="s">
        <v>5569</v>
      </c>
      <c r="E1033" s="109" t="s">
        <v>5558</v>
      </c>
      <c r="F1033" s="109" t="s">
        <v>2258</v>
      </c>
      <c r="G1033" s="110" t="s">
        <v>6248</v>
      </c>
      <c r="H1033" s="110" t="s">
        <v>10970</v>
      </c>
      <c r="I1033" s="110" t="s">
        <v>10971</v>
      </c>
    </row>
    <row r="1034" spans="1:9" ht="25.2" x14ac:dyDescent="0.3">
      <c r="A1034" s="109" t="s">
        <v>10972</v>
      </c>
      <c r="B1034" s="109" t="s">
        <v>10211</v>
      </c>
      <c r="C1034" s="109" t="s">
        <v>10211</v>
      </c>
      <c r="D1034" s="109" t="s">
        <v>5569</v>
      </c>
      <c r="E1034" s="109" t="s">
        <v>5558</v>
      </c>
      <c r="F1034" s="109" t="s">
        <v>2258</v>
      </c>
      <c r="G1034" s="110" t="s">
        <v>6248</v>
      </c>
      <c r="H1034" s="110" t="s">
        <v>10973</v>
      </c>
      <c r="I1034" s="110" t="s">
        <v>10974</v>
      </c>
    </row>
    <row r="1035" spans="1:9" ht="25.2" x14ac:dyDescent="0.3">
      <c r="A1035" s="109" t="s">
        <v>10975</v>
      </c>
      <c r="B1035" s="109" t="s">
        <v>10211</v>
      </c>
      <c r="C1035" s="109" t="s">
        <v>10211</v>
      </c>
      <c r="D1035" s="109" t="s">
        <v>10976</v>
      </c>
      <c r="E1035" s="109" t="s">
        <v>10977</v>
      </c>
      <c r="F1035" s="109" t="s">
        <v>10978</v>
      </c>
      <c r="G1035" s="110" t="s">
        <v>6248</v>
      </c>
      <c r="H1035" s="110" t="s">
        <v>10979</v>
      </c>
      <c r="I1035" s="110" t="s">
        <v>10980</v>
      </c>
    </row>
    <row r="1036" spans="1:9" ht="63" x14ac:dyDescent="0.3">
      <c r="A1036" s="109" t="s">
        <v>10981</v>
      </c>
      <c r="B1036" s="109" t="s">
        <v>10211</v>
      </c>
      <c r="C1036" s="109" t="s">
        <v>10211</v>
      </c>
      <c r="D1036" s="109" t="s">
        <v>6023</v>
      </c>
      <c r="E1036" s="109" t="s">
        <v>6023</v>
      </c>
      <c r="F1036" s="109" t="s">
        <v>10982</v>
      </c>
      <c r="G1036" s="110" t="s">
        <v>6248</v>
      </c>
      <c r="H1036" s="110" t="s">
        <v>10983</v>
      </c>
      <c r="I1036" s="110" t="s">
        <v>10984</v>
      </c>
    </row>
    <row r="1037" spans="1:9" ht="25.2" x14ac:dyDescent="0.3">
      <c r="A1037" s="109" t="s">
        <v>10985</v>
      </c>
      <c r="B1037" s="109" t="s">
        <v>10211</v>
      </c>
      <c r="C1037" s="109" t="s">
        <v>10211</v>
      </c>
      <c r="D1037" s="109" t="s">
        <v>10986</v>
      </c>
      <c r="E1037" s="109" t="s">
        <v>5558</v>
      </c>
      <c r="F1037" s="109" t="s">
        <v>10987</v>
      </c>
      <c r="G1037" s="110" t="s">
        <v>6248</v>
      </c>
      <c r="H1037" s="110" t="s">
        <v>10988</v>
      </c>
      <c r="I1037" s="110" t="s">
        <v>10989</v>
      </c>
    </row>
    <row r="1038" spans="1:9" ht="25.2" x14ac:dyDescent="0.3">
      <c r="A1038" s="109" t="s">
        <v>10990</v>
      </c>
      <c r="B1038" s="109" t="s">
        <v>10211</v>
      </c>
      <c r="C1038" s="109" t="s">
        <v>10211</v>
      </c>
      <c r="D1038" s="109" t="s">
        <v>10991</v>
      </c>
      <c r="E1038" s="109" t="s">
        <v>5558</v>
      </c>
      <c r="F1038" s="109" t="s">
        <v>10992</v>
      </c>
      <c r="G1038" s="110" t="s">
        <v>6248</v>
      </c>
      <c r="H1038" s="110" t="s">
        <v>10993</v>
      </c>
      <c r="I1038" s="110" t="s">
        <v>10994</v>
      </c>
    </row>
    <row r="1039" spans="1:9" ht="63" x14ac:dyDescent="0.3">
      <c r="A1039" s="109" t="s">
        <v>10995</v>
      </c>
      <c r="B1039" s="109" t="s">
        <v>10211</v>
      </c>
      <c r="C1039" s="109" t="s">
        <v>10211</v>
      </c>
      <c r="D1039" s="109" t="s">
        <v>10996</v>
      </c>
      <c r="E1039" s="109" t="s">
        <v>10996</v>
      </c>
      <c r="F1039" s="109" t="s">
        <v>10997</v>
      </c>
      <c r="G1039" s="110" t="s">
        <v>6248</v>
      </c>
      <c r="H1039" s="110" t="s">
        <v>10998</v>
      </c>
      <c r="I1039" s="110" t="s">
        <v>10999</v>
      </c>
    </row>
    <row r="1040" spans="1:9" ht="63" x14ac:dyDescent="0.3">
      <c r="A1040" s="109" t="s">
        <v>11000</v>
      </c>
      <c r="B1040" s="109" t="s">
        <v>10211</v>
      </c>
      <c r="C1040" s="109" t="s">
        <v>10211</v>
      </c>
      <c r="D1040" s="109" t="s">
        <v>11001</v>
      </c>
      <c r="E1040" s="109" t="s">
        <v>11001</v>
      </c>
      <c r="F1040" s="109" t="s">
        <v>11002</v>
      </c>
      <c r="G1040" s="110" t="s">
        <v>6248</v>
      </c>
      <c r="H1040" s="110" t="s">
        <v>11003</v>
      </c>
      <c r="I1040" s="110" t="s">
        <v>11004</v>
      </c>
    </row>
    <row r="1041" spans="1:9" ht="37.799999999999997" x14ac:dyDescent="0.3">
      <c r="A1041" s="109" t="s">
        <v>11005</v>
      </c>
      <c r="B1041" s="109" t="s">
        <v>10211</v>
      </c>
      <c r="C1041" s="109" t="s">
        <v>10211</v>
      </c>
      <c r="D1041" s="109" t="s">
        <v>11006</v>
      </c>
      <c r="E1041" s="109" t="s">
        <v>5558</v>
      </c>
      <c r="F1041" s="109" t="s">
        <v>11007</v>
      </c>
      <c r="G1041" s="110" t="s">
        <v>6248</v>
      </c>
      <c r="H1041" s="110" t="s">
        <v>11008</v>
      </c>
      <c r="I1041" s="110" t="s">
        <v>11009</v>
      </c>
    </row>
    <row r="1042" spans="1:9" ht="25.2" x14ac:dyDescent="0.3">
      <c r="A1042" s="109" t="s">
        <v>11010</v>
      </c>
      <c r="B1042" s="109" t="s">
        <v>10211</v>
      </c>
      <c r="C1042" s="109" t="s">
        <v>10211</v>
      </c>
      <c r="D1042" s="109" t="s">
        <v>6259</v>
      </c>
      <c r="E1042" s="109" t="s">
        <v>5558</v>
      </c>
      <c r="F1042" s="109" t="s">
        <v>2258</v>
      </c>
      <c r="G1042" s="110" t="s">
        <v>6248</v>
      </c>
      <c r="H1042" s="110" t="s">
        <v>10988</v>
      </c>
      <c r="I1042" s="110" t="s">
        <v>11011</v>
      </c>
    </row>
    <row r="1043" spans="1:9" ht="37.799999999999997" x14ac:dyDescent="0.3">
      <c r="A1043" s="109" t="s">
        <v>11012</v>
      </c>
      <c r="B1043" s="109" t="s">
        <v>10211</v>
      </c>
      <c r="C1043" s="109" t="s">
        <v>10211</v>
      </c>
      <c r="D1043" s="109" t="s">
        <v>11013</v>
      </c>
      <c r="E1043" s="109" t="s">
        <v>5558</v>
      </c>
      <c r="F1043" s="109" t="s">
        <v>11014</v>
      </c>
      <c r="G1043" s="110" t="s">
        <v>6248</v>
      </c>
      <c r="H1043" s="110" t="s">
        <v>11015</v>
      </c>
      <c r="I1043" s="110" t="s">
        <v>11016</v>
      </c>
    </row>
    <row r="1044" spans="1:9" ht="37.799999999999997" x14ac:dyDescent="0.3">
      <c r="A1044" s="109" t="s">
        <v>11017</v>
      </c>
      <c r="B1044" s="109" t="s">
        <v>10211</v>
      </c>
      <c r="C1044" s="109" t="s">
        <v>10211</v>
      </c>
      <c r="D1044" s="109" t="s">
        <v>11018</v>
      </c>
      <c r="E1044" s="109" t="s">
        <v>5558</v>
      </c>
      <c r="F1044" s="109" t="s">
        <v>915</v>
      </c>
      <c r="G1044" s="110" t="s">
        <v>6248</v>
      </c>
      <c r="H1044" s="110" t="s">
        <v>11019</v>
      </c>
      <c r="I1044" s="110" t="s">
        <v>11020</v>
      </c>
    </row>
    <row r="1045" spans="1:9" ht="25.2" x14ac:dyDescent="0.3">
      <c r="A1045" s="109" t="s">
        <v>11021</v>
      </c>
      <c r="B1045" s="109" t="s">
        <v>10211</v>
      </c>
      <c r="C1045" s="109" t="s">
        <v>10211</v>
      </c>
      <c r="D1045" s="109" t="s">
        <v>11022</v>
      </c>
      <c r="E1045" s="109" t="s">
        <v>5558</v>
      </c>
      <c r="F1045" s="109" t="s">
        <v>11023</v>
      </c>
      <c r="G1045" s="110" t="s">
        <v>6248</v>
      </c>
      <c r="H1045" s="110" t="s">
        <v>8905</v>
      </c>
      <c r="I1045" s="110" t="s">
        <v>11024</v>
      </c>
    </row>
    <row r="1046" spans="1:9" ht="25.2" x14ac:dyDescent="0.3">
      <c r="A1046" s="109" t="s">
        <v>11025</v>
      </c>
      <c r="B1046" s="109" t="s">
        <v>10211</v>
      </c>
      <c r="C1046" s="109" t="s">
        <v>10211</v>
      </c>
      <c r="D1046" s="109" t="s">
        <v>11026</v>
      </c>
      <c r="E1046" s="109" t="s">
        <v>5558</v>
      </c>
      <c r="F1046" s="109" t="s">
        <v>11027</v>
      </c>
      <c r="G1046" s="110" t="s">
        <v>6248</v>
      </c>
      <c r="H1046" s="110" t="s">
        <v>11028</v>
      </c>
      <c r="I1046" s="110" t="s">
        <v>11029</v>
      </c>
    </row>
    <row r="1047" spans="1:9" ht="25.2" x14ac:dyDescent="0.3">
      <c r="A1047" s="109" t="s">
        <v>11030</v>
      </c>
      <c r="B1047" s="109" t="s">
        <v>10211</v>
      </c>
      <c r="C1047" s="109" t="s">
        <v>10211</v>
      </c>
      <c r="D1047" s="109" t="s">
        <v>11031</v>
      </c>
      <c r="E1047" s="109" t="s">
        <v>5558</v>
      </c>
      <c r="F1047" s="109" t="s">
        <v>11032</v>
      </c>
      <c r="G1047" s="110" t="s">
        <v>6248</v>
      </c>
      <c r="H1047" s="110" t="s">
        <v>11033</v>
      </c>
      <c r="I1047" s="110" t="s">
        <v>11034</v>
      </c>
    </row>
    <row r="1048" spans="1:9" ht="25.2" x14ac:dyDescent="0.3">
      <c r="A1048" s="109" t="s">
        <v>11035</v>
      </c>
      <c r="B1048" s="109" t="s">
        <v>10211</v>
      </c>
      <c r="C1048" s="109" t="s">
        <v>10211</v>
      </c>
      <c r="D1048" s="109" t="s">
        <v>11036</v>
      </c>
      <c r="E1048" s="109" t="s">
        <v>11037</v>
      </c>
      <c r="F1048" s="109" t="s">
        <v>6325</v>
      </c>
      <c r="G1048" s="110" t="s">
        <v>6248</v>
      </c>
      <c r="H1048" s="110" t="s">
        <v>11038</v>
      </c>
      <c r="I1048" s="110" t="s">
        <v>11039</v>
      </c>
    </row>
    <row r="1049" spans="1:9" ht="25.2" x14ac:dyDescent="0.3">
      <c r="A1049" s="109" t="s">
        <v>11040</v>
      </c>
      <c r="B1049" s="109" t="s">
        <v>10211</v>
      </c>
      <c r="C1049" s="109" t="s">
        <v>10211</v>
      </c>
      <c r="D1049" s="109" t="s">
        <v>11041</v>
      </c>
      <c r="E1049" s="109" t="s">
        <v>5558</v>
      </c>
      <c r="F1049" s="109" t="s">
        <v>11042</v>
      </c>
      <c r="G1049" s="110" t="s">
        <v>6248</v>
      </c>
      <c r="H1049" s="110" t="s">
        <v>11043</v>
      </c>
      <c r="I1049" s="110" t="s">
        <v>11044</v>
      </c>
    </row>
    <row r="1050" spans="1:9" ht="25.2" x14ac:dyDescent="0.3">
      <c r="A1050" s="109" t="s">
        <v>11045</v>
      </c>
      <c r="B1050" s="109" t="s">
        <v>10211</v>
      </c>
      <c r="C1050" s="109" t="s">
        <v>10211</v>
      </c>
      <c r="D1050" s="109" t="s">
        <v>11046</v>
      </c>
      <c r="E1050" s="109" t="s">
        <v>5558</v>
      </c>
      <c r="F1050" s="109" t="s">
        <v>11047</v>
      </c>
      <c r="G1050" s="110" t="s">
        <v>6248</v>
      </c>
      <c r="H1050" s="110" t="s">
        <v>11048</v>
      </c>
      <c r="I1050" s="110" t="s">
        <v>11049</v>
      </c>
    </row>
    <row r="1051" spans="1:9" ht="25.2" x14ac:dyDescent="0.3">
      <c r="A1051" s="109" t="s">
        <v>11050</v>
      </c>
      <c r="B1051" s="109" t="s">
        <v>10211</v>
      </c>
      <c r="C1051" s="109" t="s">
        <v>10211</v>
      </c>
      <c r="D1051" s="109" t="s">
        <v>5569</v>
      </c>
      <c r="E1051" s="109" t="s">
        <v>5558</v>
      </c>
      <c r="F1051" s="109" t="s">
        <v>2258</v>
      </c>
      <c r="G1051" s="110" t="s">
        <v>6248</v>
      </c>
      <c r="H1051" s="110" t="s">
        <v>8109</v>
      </c>
      <c r="I1051" s="110" t="s">
        <v>11051</v>
      </c>
    </row>
    <row r="1052" spans="1:9" ht="25.2" x14ac:dyDescent="0.3">
      <c r="A1052" s="109" t="s">
        <v>11052</v>
      </c>
      <c r="B1052" s="109" t="s">
        <v>10211</v>
      </c>
      <c r="C1052" s="109" t="s">
        <v>10211</v>
      </c>
      <c r="D1052" s="109" t="s">
        <v>5569</v>
      </c>
      <c r="E1052" s="109" t="s">
        <v>5558</v>
      </c>
      <c r="F1052" s="109" t="s">
        <v>2258</v>
      </c>
      <c r="G1052" s="110" t="s">
        <v>6248</v>
      </c>
      <c r="H1052" s="110" t="s">
        <v>11053</v>
      </c>
      <c r="I1052" s="110" t="s">
        <v>11054</v>
      </c>
    </row>
    <row r="1053" spans="1:9" ht="25.2" x14ac:dyDescent="0.3">
      <c r="A1053" s="109" t="s">
        <v>11055</v>
      </c>
      <c r="B1053" s="109" t="s">
        <v>10211</v>
      </c>
      <c r="C1053" s="109" t="s">
        <v>10211</v>
      </c>
      <c r="D1053" s="109" t="s">
        <v>11056</v>
      </c>
      <c r="E1053" s="109" t="s">
        <v>5558</v>
      </c>
      <c r="F1053" s="109" t="s">
        <v>11057</v>
      </c>
      <c r="G1053" s="110" t="s">
        <v>6248</v>
      </c>
      <c r="H1053" s="110" t="s">
        <v>7321</v>
      </c>
      <c r="I1053" s="110" t="s">
        <v>11058</v>
      </c>
    </row>
    <row r="1054" spans="1:9" ht="25.2" x14ac:dyDescent="0.3">
      <c r="A1054" s="109" t="s">
        <v>11059</v>
      </c>
      <c r="B1054" s="109" t="s">
        <v>10211</v>
      </c>
      <c r="C1054" s="109" t="s">
        <v>10211</v>
      </c>
      <c r="D1054" s="109" t="s">
        <v>11060</v>
      </c>
      <c r="E1054" s="109" t="s">
        <v>5558</v>
      </c>
      <c r="F1054" s="109" t="s">
        <v>11061</v>
      </c>
      <c r="G1054" s="110" t="s">
        <v>6248</v>
      </c>
      <c r="H1054" s="110" t="s">
        <v>11062</v>
      </c>
      <c r="I1054" s="110" t="s">
        <v>11063</v>
      </c>
    </row>
    <row r="1055" spans="1:9" ht="25.2" x14ac:dyDescent="0.3">
      <c r="A1055" s="109" t="s">
        <v>11064</v>
      </c>
      <c r="B1055" s="109" t="s">
        <v>10211</v>
      </c>
      <c r="C1055" s="109" t="s">
        <v>10211</v>
      </c>
      <c r="D1055" s="109" t="s">
        <v>11065</v>
      </c>
      <c r="E1055" s="109" t="s">
        <v>11066</v>
      </c>
      <c r="F1055" s="109" t="s">
        <v>11067</v>
      </c>
      <c r="G1055" s="110" t="s">
        <v>6248</v>
      </c>
      <c r="H1055" s="110" t="s">
        <v>11068</v>
      </c>
      <c r="I1055" s="110" t="s">
        <v>11069</v>
      </c>
    </row>
    <row r="1056" spans="1:9" ht="37.799999999999997" x14ac:dyDescent="0.3">
      <c r="A1056" s="109" t="s">
        <v>11070</v>
      </c>
      <c r="B1056" s="109" t="s">
        <v>10211</v>
      </c>
      <c r="C1056" s="109" t="s">
        <v>10211</v>
      </c>
      <c r="D1056" s="109" t="s">
        <v>11071</v>
      </c>
      <c r="E1056" s="109" t="s">
        <v>5558</v>
      </c>
      <c r="F1056" s="109" t="s">
        <v>11072</v>
      </c>
      <c r="G1056" s="110" t="s">
        <v>6248</v>
      </c>
      <c r="H1056" s="110" t="s">
        <v>11073</v>
      </c>
      <c r="I1056" s="110" t="s">
        <v>11074</v>
      </c>
    </row>
    <row r="1057" spans="1:9" ht="50.4" x14ac:dyDescent="0.3">
      <c r="A1057" s="109" t="s">
        <v>11075</v>
      </c>
      <c r="B1057" s="109" t="s">
        <v>10211</v>
      </c>
      <c r="C1057" s="109" t="s">
        <v>10211</v>
      </c>
      <c r="D1057" s="109" t="s">
        <v>11076</v>
      </c>
      <c r="E1057" s="109" t="s">
        <v>11076</v>
      </c>
      <c r="F1057" s="109" t="s">
        <v>11077</v>
      </c>
      <c r="G1057" s="110" t="s">
        <v>6248</v>
      </c>
      <c r="H1057" s="110" t="s">
        <v>11078</v>
      </c>
      <c r="I1057" s="110" t="s">
        <v>11079</v>
      </c>
    </row>
    <row r="1058" spans="1:9" ht="37.799999999999997" x14ac:dyDescent="0.3">
      <c r="A1058" s="109" t="s">
        <v>11080</v>
      </c>
      <c r="B1058" s="109" t="s">
        <v>10211</v>
      </c>
      <c r="C1058" s="109" t="s">
        <v>10211</v>
      </c>
      <c r="D1058" s="109" t="s">
        <v>11081</v>
      </c>
      <c r="E1058" s="109" t="s">
        <v>5558</v>
      </c>
      <c r="F1058" s="109" t="s">
        <v>11082</v>
      </c>
      <c r="G1058" s="110" t="s">
        <v>6248</v>
      </c>
      <c r="H1058" s="110" t="s">
        <v>11083</v>
      </c>
      <c r="I1058" s="110" t="s">
        <v>11084</v>
      </c>
    </row>
    <row r="1059" spans="1:9" ht="25.2" x14ac:dyDescent="0.3">
      <c r="A1059" s="109" t="s">
        <v>11085</v>
      </c>
      <c r="B1059" s="109" t="s">
        <v>10211</v>
      </c>
      <c r="C1059" s="109" t="s">
        <v>10211</v>
      </c>
      <c r="D1059" s="109" t="s">
        <v>11086</v>
      </c>
      <c r="E1059" s="109" t="s">
        <v>5558</v>
      </c>
      <c r="F1059" s="109" t="s">
        <v>11087</v>
      </c>
      <c r="G1059" s="110" t="s">
        <v>6248</v>
      </c>
      <c r="H1059" s="110" t="s">
        <v>11088</v>
      </c>
      <c r="I1059" s="110" t="s">
        <v>11089</v>
      </c>
    </row>
    <row r="1060" spans="1:9" ht="50.4" x14ac:dyDescent="0.3">
      <c r="A1060" s="109" t="s">
        <v>11090</v>
      </c>
      <c r="B1060" s="109" t="s">
        <v>10211</v>
      </c>
      <c r="C1060" s="109" t="s">
        <v>10211</v>
      </c>
      <c r="D1060" s="109" t="s">
        <v>11091</v>
      </c>
      <c r="E1060" s="109" t="s">
        <v>11091</v>
      </c>
      <c r="F1060" s="109" t="s">
        <v>11092</v>
      </c>
      <c r="G1060" s="110" t="s">
        <v>6248</v>
      </c>
      <c r="H1060" s="110" t="s">
        <v>11093</v>
      </c>
      <c r="I1060" s="110" t="s">
        <v>11094</v>
      </c>
    </row>
    <row r="1061" spans="1:9" ht="37.799999999999997" x14ac:dyDescent="0.3">
      <c r="A1061" s="109" t="s">
        <v>11095</v>
      </c>
      <c r="B1061" s="109" t="s">
        <v>10211</v>
      </c>
      <c r="C1061" s="109" t="s">
        <v>10211</v>
      </c>
      <c r="D1061" s="109" t="s">
        <v>11096</v>
      </c>
      <c r="E1061" s="109" t="s">
        <v>5558</v>
      </c>
      <c r="F1061" s="109" t="s">
        <v>11097</v>
      </c>
      <c r="G1061" s="110" t="s">
        <v>6248</v>
      </c>
      <c r="H1061" s="110" t="s">
        <v>11098</v>
      </c>
      <c r="I1061" s="110" t="s">
        <v>11099</v>
      </c>
    </row>
    <row r="1062" spans="1:9" ht="50.4" x14ac:dyDescent="0.3">
      <c r="A1062" s="109" t="s">
        <v>11100</v>
      </c>
      <c r="B1062" s="109" t="s">
        <v>10211</v>
      </c>
      <c r="C1062" s="109" t="s">
        <v>10211</v>
      </c>
      <c r="D1062" s="109" t="s">
        <v>11101</v>
      </c>
      <c r="E1062" s="109" t="s">
        <v>11101</v>
      </c>
      <c r="F1062" s="109" t="s">
        <v>11102</v>
      </c>
      <c r="G1062" s="110" t="s">
        <v>6248</v>
      </c>
      <c r="H1062" s="110" t="s">
        <v>11103</v>
      </c>
      <c r="I1062" s="110" t="s">
        <v>11104</v>
      </c>
    </row>
    <row r="1063" spans="1:9" ht="37.799999999999997" x14ac:dyDescent="0.3">
      <c r="A1063" s="109" t="s">
        <v>11105</v>
      </c>
      <c r="B1063" s="109" t="s">
        <v>10211</v>
      </c>
      <c r="C1063" s="109" t="s">
        <v>10211</v>
      </c>
      <c r="D1063" s="109" t="s">
        <v>9930</v>
      </c>
      <c r="E1063" s="109" t="s">
        <v>9930</v>
      </c>
      <c r="F1063" s="109" t="s">
        <v>11106</v>
      </c>
      <c r="G1063" s="110" t="s">
        <v>6248</v>
      </c>
      <c r="H1063" s="110" t="s">
        <v>11107</v>
      </c>
      <c r="I1063" s="110" t="s">
        <v>11108</v>
      </c>
    </row>
    <row r="1064" spans="1:9" ht="50.4" x14ac:dyDescent="0.3">
      <c r="A1064" s="109" t="s">
        <v>11109</v>
      </c>
      <c r="B1064" s="109" t="s">
        <v>10211</v>
      </c>
      <c r="C1064" s="109" t="s">
        <v>10211</v>
      </c>
      <c r="D1064" s="109" t="s">
        <v>9930</v>
      </c>
      <c r="E1064" s="109" t="s">
        <v>9930</v>
      </c>
      <c r="F1064" s="109" t="s">
        <v>11110</v>
      </c>
      <c r="G1064" s="110" t="s">
        <v>6248</v>
      </c>
      <c r="H1064" s="110" t="s">
        <v>11111</v>
      </c>
      <c r="I1064" s="110" t="s">
        <v>11112</v>
      </c>
    </row>
    <row r="1065" spans="1:9" ht="50.4" x14ac:dyDescent="0.3">
      <c r="A1065" s="109" t="s">
        <v>11113</v>
      </c>
      <c r="B1065" s="109" t="s">
        <v>10211</v>
      </c>
      <c r="C1065" s="109" t="s">
        <v>10211</v>
      </c>
      <c r="D1065" s="109" t="s">
        <v>11114</v>
      </c>
      <c r="E1065" s="109" t="s">
        <v>11114</v>
      </c>
      <c r="F1065" s="109" t="s">
        <v>11115</v>
      </c>
      <c r="G1065" s="110" t="s">
        <v>6248</v>
      </c>
      <c r="H1065" s="110" t="s">
        <v>11116</v>
      </c>
      <c r="I1065" s="110" t="s">
        <v>11117</v>
      </c>
    </row>
    <row r="1066" spans="1:9" ht="50.4" x14ac:dyDescent="0.3">
      <c r="A1066" s="109" t="s">
        <v>11118</v>
      </c>
      <c r="B1066" s="109" t="s">
        <v>10211</v>
      </c>
      <c r="C1066" s="109" t="s">
        <v>10211</v>
      </c>
      <c r="D1066" s="109" t="s">
        <v>11119</v>
      </c>
      <c r="E1066" s="109" t="s">
        <v>11119</v>
      </c>
      <c r="F1066" s="109" t="s">
        <v>11120</v>
      </c>
      <c r="G1066" s="110" t="s">
        <v>6248</v>
      </c>
      <c r="H1066" s="110" t="s">
        <v>11121</v>
      </c>
      <c r="I1066" s="110" t="s">
        <v>11122</v>
      </c>
    </row>
    <row r="1067" spans="1:9" ht="37.799999999999997" x14ac:dyDescent="0.3">
      <c r="A1067" s="109" t="s">
        <v>11123</v>
      </c>
      <c r="B1067" s="109" t="s">
        <v>10211</v>
      </c>
      <c r="C1067" s="109" t="s">
        <v>10211</v>
      </c>
      <c r="D1067" s="109" t="s">
        <v>11124</v>
      </c>
      <c r="E1067" s="109" t="s">
        <v>11124</v>
      </c>
      <c r="F1067" s="109" t="s">
        <v>11125</v>
      </c>
      <c r="G1067" s="110" t="s">
        <v>6248</v>
      </c>
      <c r="H1067" s="110" t="s">
        <v>11126</v>
      </c>
      <c r="I1067" s="110" t="s">
        <v>11127</v>
      </c>
    </row>
    <row r="1068" spans="1:9" ht="37.799999999999997" x14ac:dyDescent="0.3">
      <c r="A1068" s="109" t="s">
        <v>11128</v>
      </c>
      <c r="B1068" s="109" t="s">
        <v>10211</v>
      </c>
      <c r="C1068" s="109" t="s">
        <v>10211</v>
      </c>
      <c r="D1068" s="109" t="s">
        <v>11129</v>
      </c>
      <c r="E1068" s="109" t="s">
        <v>11129</v>
      </c>
      <c r="F1068" s="109" t="s">
        <v>11130</v>
      </c>
      <c r="G1068" s="110" t="s">
        <v>6248</v>
      </c>
      <c r="H1068" s="110" t="s">
        <v>11131</v>
      </c>
      <c r="I1068" s="110" t="s">
        <v>11132</v>
      </c>
    </row>
    <row r="1069" spans="1:9" ht="25.2" x14ac:dyDescent="0.3">
      <c r="A1069" s="109" t="s">
        <v>11133</v>
      </c>
      <c r="B1069" s="109" t="s">
        <v>10211</v>
      </c>
      <c r="C1069" s="109" t="s">
        <v>10211</v>
      </c>
      <c r="D1069" s="109" t="s">
        <v>11134</v>
      </c>
      <c r="E1069" s="109" t="s">
        <v>11135</v>
      </c>
      <c r="F1069" s="109" t="s">
        <v>11136</v>
      </c>
      <c r="G1069" s="110" t="s">
        <v>6248</v>
      </c>
      <c r="H1069" s="110" t="s">
        <v>11137</v>
      </c>
      <c r="I1069" s="110" t="s">
        <v>11138</v>
      </c>
    </row>
    <row r="1070" spans="1:9" ht="50.4" x14ac:dyDescent="0.3">
      <c r="A1070" s="109" t="s">
        <v>11139</v>
      </c>
      <c r="B1070" s="109" t="s">
        <v>10211</v>
      </c>
      <c r="C1070" s="109" t="s">
        <v>10211</v>
      </c>
      <c r="D1070" s="109" t="s">
        <v>7309</v>
      </c>
      <c r="E1070" s="109" t="s">
        <v>7309</v>
      </c>
      <c r="F1070" s="109" t="s">
        <v>11140</v>
      </c>
      <c r="G1070" s="110" t="s">
        <v>6248</v>
      </c>
      <c r="H1070" s="110" t="s">
        <v>11141</v>
      </c>
      <c r="I1070" s="110" t="s">
        <v>11142</v>
      </c>
    </row>
    <row r="1071" spans="1:9" ht="37.799999999999997" x14ac:dyDescent="0.3">
      <c r="A1071" s="109" t="s">
        <v>11143</v>
      </c>
      <c r="B1071" s="109" t="s">
        <v>10211</v>
      </c>
      <c r="C1071" s="109" t="s">
        <v>10211</v>
      </c>
      <c r="D1071" s="109" t="s">
        <v>7651</v>
      </c>
      <c r="E1071" s="109" t="s">
        <v>11144</v>
      </c>
      <c r="F1071" s="109" t="s">
        <v>11145</v>
      </c>
      <c r="G1071" s="110" t="s">
        <v>6248</v>
      </c>
      <c r="H1071" s="110" t="s">
        <v>11146</v>
      </c>
      <c r="I1071" s="110" t="s">
        <v>11147</v>
      </c>
    </row>
    <row r="1072" spans="1:9" ht="50.4" x14ac:dyDescent="0.3">
      <c r="A1072" s="109" t="s">
        <v>11148</v>
      </c>
      <c r="B1072" s="109" t="s">
        <v>10211</v>
      </c>
      <c r="C1072" s="109" t="s">
        <v>10211</v>
      </c>
      <c r="D1072" s="109" t="s">
        <v>11149</v>
      </c>
      <c r="E1072" s="109" t="s">
        <v>11149</v>
      </c>
      <c r="F1072" s="109" t="s">
        <v>11150</v>
      </c>
      <c r="G1072" s="110" t="s">
        <v>6248</v>
      </c>
      <c r="H1072" s="110" t="s">
        <v>11151</v>
      </c>
      <c r="I1072" s="110" t="s">
        <v>11152</v>
      </c>
    </row>
    <row r="1073" spans="1:9" ht="50.4" x14ac:dyDescent="0.3">
      <c r="A1073" s="109" t="s">
        <v>11153</v>
      </c>
      <c r="B1073" s="109" t="s">
        <v>10211</v>
      </c>
      <c r="C1073" s="109" t="s">
        <v>10211</v>
      </c>
      <c r="D1073" s="109" t="s">
        <v>11114</v>
      </c>
      <c r="E1073" s="109" t="s">
        <v>11114</v>
      </c>
      <c r="F1073" s="109" t="s">
        <v>11154</v>
      </c>
      <c r="G1073" s="110" t="s">
        <v>6248</v>
      </c>
      <c r="H1073" s="110" t="s">
        <v>11155</v>
      </c>
      <c r="I1073" s="110" t="s">
        <v>11156</v>
      </c>
    </row>
    <row r="1074" spans="1:9" ht="25.2" x14ac:dyDescent="0.3">
      <c r="A1074" s="109" t="s">
        <v>11157</v>
      </c>
      <c r="B1074" s="109" t="s">
        <v>10211</v>
      </c>
      <c r="C1074" s="109" t="s">
        <v>10211</v>
      </c>
      <c r="D1074" s="109" t="s">
        <v>11158</v>
      </c>
      <c r="E1074" s="109" t="s">
        <v>11159</v>
      </c>
      <c r="F1074" s="109" t="s">
        <v>11160</v>
      </c>
      <c r="G1074" s="110" t="s">
        <v>6248</v>
      </c>
      <c r="H1074" s="110" t="s">
        <v>11161</v>
      </c>
      <c r="I1074" s="110" t="s">
        <v>11162</v>
      </c>
    </row>
    <row r="1075" spans="1:9" ht="25.2" x14ac:dyDescent="0.3">
      <c r="A1075" s="109" t="s">
        <v>11163</v>
      </c>
      <c r="B1075" s="109" t="s">
        <v>10211</v>
      </c>
      <c r="C1075" s="109" t="s">
        <v>10211</v>
      </c>
      <c r="D1075" s="109" t="s">
        <v>11164</v>
      </c>
      <c r="E1075" s="109" t="s">
        <v>5558</v>
      </c>
      <c r="F1075" s="109" t="s">
        <v>11165</v>
      </c>
      <c r="G1075" s="110" t="s">
        <v>6248</v>
      </c>
      <c r="H1075" s="110" t="s">
        <v>11166</v>
      </c>
      <c r="I1075" s="110" t="s">
        <v>11167</v>
      </c>
    </row>
    <row r="1076" spans="1:9" ht="50.4" x14ac:dyDescent="0.3">
      <c r="A1076" s="109" t="s">
        <v>11168</v>
      </c>
      <c r="B1076" s="109" t="s">
        <v>10211</v>
      </c>
      <c r="C1076" s="109" t="s">
        <v>10211</v>
      </c>
      <c r="D1076" s="109" t="s">
        <v>11169</v>
      </c>
      <c r="E1076" s="109" t="s">
        <v>11169</v>
      </c>
      <c r="F1076" s="109" t="s">
        <v>11170</v>
      </c>
      <c r="G1076" s="110" t="s">
        <v>6248</v>
      </c>
      <c r="H1076" s="110" t="s">
        <v>11171</v>
      </c>
      <c r="I1076" s="110" t="s">
        <v>11172</v>
      </c>
    </row>
    <row r="1077" spans="1:9" ht="25.2" x14ac:dyDescent="0.3">
      <c r="A1077" s="109" t="s">
        <v>11173</v>
      </c>
      <c r="B1077" s="109" t="s">
        <v>10211</v>
      </c>
      <c r="C1077" s="109" t="s">
        <v>10211</v>
      </c>
      <c r="D1077" s="109" t="s">
        <v>11174</v>
      </c>
      <c r="E1077" s="109" t="s">
        <v>5558</v>
      </c>
      <c r="F1077" s="109" t="s">
        <v>11175</v>
      </c>
      <c r="G1077" s="110" t="s">
        <v>6248</v>
      </c>
      <c r="H1077" s="110" t="s">
        <v>6883</v>
      </c>
      <c r="I1077" s="110" t="s">
        <v>11176</v>
      </c>
    </row>
    <row r="1078" spans="1:9" ht="37.799999999999997" x14ac:dyDescent="0.3">
      <c r="A1078" s="109" t="s">
        <v>11177</v>
      </c>
      <c r="B1078" s="109" t="s">
        <v>10211</v>
      </c>
      <c r="C1078" s="109" t="s">
        <v>10211</v>
      </c>
      <c r="D1078" s="109" t="s">
        <v>11178</v>
      </c>
      <c r="E1078" s="109" t="s">
        <v>11179</v>
      </c>
      <c r="F1078" s="109" t="s">
        <v>11180</v>
      </c>
      <c r="G1078" s="110" t="s">
        <v>6248</v>
      </c>
      <c r="H1078" s="110" t="s">
        <v>11181</v>
      </c>
      <c r="I1078" s="110" t="s">
        <v>11182</v>
      </c>
    </row>
    <row r="1079" spans="1:9" ht="37.799999999999997" x14ac:dyDescent="0.3">
      <c r="A1079" s="109" t="s">
        <v>11183</v>
      </c>
      <c r="B1079" s="109" t="s">
        <v>10211</v>
      </c>
      <c r="C1079" s="109" t="s">
        <v>10211</v>
      </c>
      <c r="D1079" s="109" t="s">
        <v>11184</v>
      </c>
      <c r="E1079" s="109" t="s">
        <v>11184</v>
      </c>
      <c r="F1079" s="109" t="s">
        <v>11185</v>
      </c>
      <c r="G1079" s="110" t="s">
        <v>6248</v>
      </c>
      <c r="H1079" s="110" t="s">
        <v>11186</v>
      </c>
      <c r="I1079" s="110" t="s">
        <v>11187</v>
      </c>
    </row>
    <row r="1080" spans="1:9" ht="37.799999999999997" x14ac:dyDescent="0.3">
      <c r="A1080" s="109" t="s">
        <v>11188</v>
      </c>
      <c r="B1080" s="109" t="s">
        <v>10211</v>
      </c>
      <c r="C1080" s="109" t="s">
        <v>10211</v>
      </c>
      <c r="D1080" s="109" t="s">
        <v>11189</v>
      </c>
      <c r="E1080" s="109" t="s">
        <v>11190</v>
      </c>
      <c r="F1080" s="109" t="s">
        <v>11191</v>
      </c>
      <c r="G1080" s="110" t="s">
        <v>6248</v>
      </c>
      <c r="H1080" s="110" t="s">
        <v>11192</v>
      </c>
      <c r="I1080" s="110" t="s">
        <v>11193</v>
      </c>
    </row>
    <row r="1081" spans="1:9" ht="50.4" x14ac:dyDescent="0.3">
      <c r="A1081" s="109" t="s">
        <v>11194</v>
      </c>
      <c r="B1081" s="109" t="s">
        <v>10211</v>
      </c>
      <c r="C1081" s="109" t="s">
        <v>10211</v>
      </c>
      <c r="D1081" s="109" t="s">
        <v>11195</v>
      </c>
      <c r="E1081" s="109" t="s">
        <v>11195</v>
      </c>
      <c r="F1081" s="109" t="s">
        <v>11196</v>
      </c>
      <c r="G1081" s="110" t="s">
        <v>6248</v>
      </c>
      <c r="H1081" s="110" t="s">
        <v>11197</v>
      </c>
      <c r="I1081" s="110" t="s">
        <v>11198</v>
      </c>
    </row>
    <row r="1082" spans="1:9" ht="37.799999999999997" x14ac:dyDescent="0.3">
      <c r="A1082" s="109" t="s">
        <v>11199</v>
      </c>
      <c r="B1082" s="109" t="s">
        <v>10211</v>
      </c>
      <c r="C1082" s="109" t="s">
        <v>10211</v>
      </c>
      <c r="D1082" s="109" t="s">
        <v>11200</v>
      </c>
      <c r="E1082" s="109" t="s">
        <v>11200</v>
      </c>
      <c r="F1082" s="109" t="s">
        <v>11201</v>
      </c>
      <c r="G1082" s="110" t="s">
        <v>6248</v>
      </c>
      <c r="H1082" s="110" t="s">
        <v>11202</v>
      </c>
      <c r="I1082" s="110" t="s">
        <v>11203</v>
      </c>
    </row>
    <row r="1083" spans="1:9" ht="50.4" x14ac:dyDescent="0.3">
      <c r="A1083" s="109" t="s">
        <v>11204</v>
      </c>
      <c r="B1083" s="109" t="s">
        <v>10211</v>
      </c>
      <c r="C1083" s="109" t="s">
        <v>10211</v>
      </c>
      <c r="D1083" s="109" t="s">
        <v>11205</v>
      </c>
      <c r="E1083" s="109" t="s">
        <v>11205</v>
      </c>
      <c r="F1083" s="109" t="s">
        <v>11206</v>
      </c>
      <c r="G1083" s="110" t="s">
        <v>6248</v>
      </c>
      <c r="H1083" s="110" t="s">
        <v>11207</v>
      </c>
      <c r="I1083" s="110" t="s">
        <v>11208</v>
      </c>
    </row>
    <row r="1084" spans="1:9" ht="50.4" x14ac:dyDescent="0.3">
      <c r="A1084" s="109" t="s">
        <v>11209</v>
      </c>
      <c r="B1084" s="109" t="s">
        <v>10211</v>
      </c>
      <c r="C1084" s="109" t="s">
        <v>10211</v>
      </c>
      <c r="D1084" s="109" t="s">
        <v>11210</v>
      </c>
      <c r="E1084" s="109" t="s">
        <v>11210</v>
      </c>
      <c r="F1084" s="109" t="s">
        <v>11211</v>
      </c>
      <c r="G1084" s="110" t="s">
        <v>6248</v>
      </c>
      <c r="H1084" s="110" t="s">
        <v>11212</v>
      </c>
      <c r="I1084" s="110" t="s">
        <v>11213</v>
      </c>
    </row>
    <row r="1085" spans="1:9" ht="50.4" x14ac:dyDescent="0.3">
      <c r="A1085" s="109" t="s">
        <v>11214</v>
      </c>
      <c r="B1085" s="109" t="s">
        <v>10211</v>
      </c>
      <c r="C1085" s="109" t="s">
        <v>10211</v>
      </c>
      <c r="D1085" s="109" t="s">
        <v>11215</v>
      </c>
      <c r="E1085" s="109" t="s">
        <v>11215</v>
      </c>
      <c r="F1085" s="109" t="s">
        <v>11216</v>
      </c>
      <c r="G1085" s="110" t="s">
        <v>6248</v>
      </c>
      <c r="H1085" s="110" t="s">
        <v>7221</v>
      </c>
      <c r="I1085" s="110" t="s">
        <v>11217</v>
      </c>
    </row>
    <row r="1086" spans="1:9" ht="50.4" x14ac:dyDescent="0.3">
      <c r="A1086" s="109" t="s">
        <v>11218</v>
      </c>
      <c r="B1086" s="109" t="s">
        <v>10211</v>
      </c>
      <c r="C1086" s="109" t="s">
        <v>10211</v>
      </c>
      <c r="D1086" s="109" t="s">
        <v>11219</v>
      </c>
      <c r="E1086" s="109" t="s">
        <v>11219</v>
      </c>
      <c r="F1086" s="109" t="s">
        <v>11220</v>
      </c>
      <c r="G1086" s="110" t="s">
        <v>6248</v>
      </c>
      <c r="H1086" s="110" t="s">
        <v>11221</v>
      </c>
      <c r="I1086" s="110" t="s">
        <v>11222</v>
      </c>
    </row>
    <row r="1087" spans="1:9" ht="50.4" x14ac:dyDescent="0.3">
      <c r="A1087" s="109" t="s">
        <v>11223</v>
      </c>
      <c r="B1087" s="109" t="s">
        <v>10211</v>
      </c>
      <c r="C1087" s="109" t="s">
        <v>10211</v>
      </c>
      <c r="D1087" s="109" t="s">
        <v>11224</v>
      </c>
      <c r="E1087" s="109" t="s">
        <v>11224</v>
      </c>
      <c r="F1087" s="109" t="s">
        <v>11225</v>
      </c>
      <c r="G1087" s="110" t="s">
        <v>6248</v>
      </c>
      <c r="H1087" s="110" t="s">
        <v>11226</v>
      </c>
      <c r="I1087" s="110" t="s">
        <v>11227</v>
      </c>
    </row>
    <row r="1088" spans="1:9" ht="50.4" x14ac:dyDescent="0.3">
      <c r="A1088" s="109" t="s">
        <v>11228</v>
      </c>
      <c r="B1088" s="109" t="s">
        <v>10211</v>
      </c>
      <c r="C1088" s="109" t="s">
        <v>10211</v>
      </c>
      <c r="D1088" s="109" t="s">
        <v>11229</v>
      </c>
      <c r="E1088" s="109" t="s">
        <v>11229</v>
      </c>
      <c r="F1088" s="109" t="s">
        <v>11230</v>
      </c>
      <c r="G1088" s="110" t="s">
        <v>6248</v>
      </c>
      <c r="H1088" s="110" t="s">
        <v>11231</v>
      </c>
      <c r="I1088" s="110" t="s">
        <v>11232</v>
      </c>
    </row>
    <row r="1089" spans="1:9" ht="50.4" x14ac:dyDescent="0.3">
      <c r="A1089" s="109" t="s">
        <v>11233</v>
      </c>
      <c r="B1089" s="109" t="s">
        <v>10211</v>
      </c>
      <c r="C1089" s="109" t="s">
        <v>10211</v>
      </c>
      <c r="D1089" s="109" t="s">
        <v>11234</v>
      </c>
      <c r="E1089" s="109" t="s">
        <v>11234</v>
      </c>
      <c r="F1089" s="109" t="s">
        <v>11235</v>
      </c>
      <c r="G1089" s="110" t="s">
        <v>6248</v>
      </c>
      <c r="H1089" s="110" t="s">
        <v>11236</v>
      </c>
      <c r="I1089" s="110" t="s">
        <v>11237</v>
      </c>
    </row>
    <row r="1090" spans="1:9" ht="50.4" x14ac:dyDescent="0.3">
      <c r="A1090" s="109" t="s">
        <v>11238</v>
      </c>
      <c r="B1090" s="109" t="s">
        <v>10211</v>
      </c>
      <c r="C1090" s="109" t="s">
        <v>10211</v>
      </c>
      <c r="D1090" s="109" t="s">
        <v>11239</v>
      </c>
      <c r="E1090" s="109" t="s">
        <v>11239</v>
      </c>
      <c r="F1090" s="109" t="s">
        <v>11240</v>
      </c>
      <c r="G1090" s="110" t="s">
        <v>6248</v>
      </c>
      <c r="H1090" s="110" t="s">
        <v>11241</v>
      </c>
      <c r="I1090" s="110" t="s">
        <v>11242</v>
      </c>
    </row>
    <row r="1091" spans="1:9" ht="25.2" x14ac:dyDescent="0.3">
      <c r="A1091" s="109" t="s">
        <v>11243</v>
      </c>
      <c r="B1091" s="109" t="s">
        <v>10211</v>
      </c>
      <c r="C1091" s="109" t="s">
        <v>10211</v>
      </c>
      <c r="D1091" s="109" t="s">
        <v>11244</v>
      </c>
      <c r="E1091" s="109" t="s">
        <v>5558</v>
      </c>
      <c r="F1091" s="109" t="s">
        <v>11245</v>
      </c>
      <c r="G1091" s="110" t="s">
        <v>6248</v>
      </c>
      <c r="H1091" s="110" t="s">
        <v>11246</v>
      </c>
      <c r="I1091" s="110" t="s">
        <v>11247</v>
      </c>
    </row>
    <row r="1092" spans="1:9" ht="50.4" x14ac:dyDescent="0.3">
      <c r="A1092" s="109" t="s">
        <v>11248</v>
      </c>
      <c r="B1092" s="109" t="s">
        <v>10211</v>
      </c>
      <c r="C1092" s="109" t="s">
        <v>10211</v>
      </c>
      <c r="D1092" s="109" t="s">
        <v>11249</v>
      </c>
      <c r="E1092" s="109" t="s">
        <v>11249</v>
      </c>
      <c r="F1092" s="109" t="s">
        <v>11250</v>
      </c>
      <c r="G1092" s="110" t="s">
        <v>6248</v>
      </c>
      <c r="H1092" s="110" t="s">
        <v>11251</v>
      </c>
      <c r="I1092" s="110" t="s">
        <v>11252</v>
      </c>
    </row>
    <row r="1093" spans="1:9" ht="50.4" x14ac:dyDescent="0.3">
      <c r="A1093" s="109" t="s">
        <v>11253</v>
      </c>
      <c r="B1093" s="109" t="s">
        <v>10211</v>
      </c>
      <c r="C1093" s="109" t="s">
        <v>10211</v>
      </c>
      <c r="D1093" s="109" t="s">
        <v>11254</v>
      </c>
      <c r="E1093" s="109" t="s">
        <v>11254</v>
      </c>
      <c r="F1093" s="109" t="s">
        <v>11255</v>
      </c>
      <c r="G1093" s="110" t="s">
        <v>6248</v>
      </c>
      <c r="H1093" s="110" t="s">
        <v>9620</v>
      </c>
      <c r="I1093" s="110" t="s">
        <v>11256</v>
      </c>
    </row>
    <row r="1094" spans="1:9" ht="37.799999999999997" x14ac:dyDescent="0.3">
      <c r="A1094" s="109" t="s">
        <v>11257</v>
      </c>
      <c r="B1094" s="109" t="s">
        <v>10211</v>
      </c>
      <c r="C1094" s="109" t="s">
        <v>10211</v>
      </c>
      <c r="D1094" s="109" t="s">
        <v>11258</v>
      </c>
      <c r="E1094" s="109" t="s">
        <v>5558</v>
      </c>
      <c r="F1094" s="109" t="s">
        <v>11259</v>
      </c>
      <c r="G1094" s="110" t="s">
        <v>6248</v>
      </c>
      <c r="H1094" s="110" t="s">
        <v>11260</v>
      </c>
      <c r="I1094" s="110" t="s">
        <v>11261</v>
      </c>
    </row>
    <row r="1095" spans="1:9" ht="37.799999999999997" x14ac:dyDescent="0.3">
      <c r="A1095" s="109" t="s">
        <v>11262</v>
      </c>
      <c r="B1095" s="109" t="s">
        <v>10211</v>
      </c>
      <c r="C1095" s="109" t="s">
        <v>10211</v>
      </c>
      <c r="D1095" s="109" t="s">
        <v>11263</v>
      </c>
      <c r="E1095" s="109" t="s">
        <v>6191</v>
      </c>
      <c r="F1095" s="109" t="s">
        <v>11264</v>
      </c>
      <c r="G1095" s="110" t="s">
        <v>6248</v>
      </c>
      <c r="H1095" s="110" t="s">
        <v>11265</v>
      </c>
      <c r="I1095" s="110" t="s">
        <v>11266</v>
      </c>
    </row>
    <row r="1096" spans="1:9" ht="37.799999999999997" x14ac:dyDescent="0.3">
      <c r="A1096" s="109" t="s">
        <v>11267</v>
      </c>
      <c r="B1096" s="109" t="s">
        <v>10211</v>
      </c>
      <c r="C1096" s="109" t="s">
        <v>10211</v>
      </c>
      <c r="D1096" s="109" t="s">
        <v>9930</v>
      </c>
      <c r="E1096" s="109" t="s">
        <v>11268</v>
      </c>
      <c r="F1096" s="109" t="s">
        <v>11269</v>
      </c>
      <c r="G1096" s="110" t="s">
        <v>6248</v>
      </c>
      <c r="H1096" s="110" t="s">
        <v>11270</v>
      </c>
      <c r="I1096" s="110" t="s">
        <v>11271</v>
      </c>
    </row>
    <row r="1097" spans="1:9" ht="37.799999999999997" x14ac:dyDescent="0.3">
      <c r="A1097" s="109" t="s">
        <v>11272</v>
      </c>
      <c r="B1097" s="109" t="s">
        <v>10211</v>
      </c>
      <c r="C1097" s="109" t="s">
        <v>10211</v>
      </c>
      <c r="D1097" s="109" t="s">
        <v>1671</v>
      </c>
      <c r="E1097" s="109" t="s">
        <v>5558</v>
      </c>
      <c r="F1097" s="109" t="s">
        <v>11273</v>
      </c>
      <c r="G1097" s="110" t="s">
        <v>6248</v>
      </c>
      <c r="H1097" s="110" t="s">
        <v>11274</v>
      </c>
      <c r="I1097" s="110" t="s">
        <v>11275</v>
      </c>
    </row>
    <row r="1098" spans="1:9" ht="25.2" x14ac:dyDescent="0.3">
      <c r="A1098" s="109" t="s">
        <v>11276</v>
      </c>
      <c r="B1098" s="109" t="s">
        <v>10211</v>
      </c>
      <c r="C1098" s="109" t="s">
        <v>10211</v>
      </c>
      <c r="D1098" s="109" t="s">
        <v>11277</v>
      </c>
      <c r="E1098" s="109" t="s">
        <v>11278</v>
      </c>
      <c r="F1098" s="109" t="s">
        <v>11279</v>
      </c>
      <c r="G1098" s="110" t="s">
        <v>6248</v>
      </c>
      <c r="H1098" s="110" t="s">
        <v>8910</v>
      </c>
      <c r="I1098" s="110" t="s">
        <v>11280</v>
      </c>
    </row>
    <row r="1099" spans="1:9" ht="50.4" x14ac:dyDescent="0.3">
      <c r="A1099" s="109" t="s">
        <v>11281</v>
      </c>
      <c r="B1099" s="109" t="s">
        <v>10211</v>
      </c>
      <c r="C1099" s="109" t="s">
        <v>10211</v>
      </c>
      <c r="D1099" s="109" t="s">
        <v>11282</v>
      </c>
      <c r="E1099" s="109" t="s">
        <v>11282</v>
      </c>
      <c r="F1099" s="109" t="s">
        <v>11283</v>
      </c>
      <c r="G1099" s="110" t="s">
        <v>6248</v>
      </c>
      <c r="H1099" s="110" t="s">
        <v>11284</v>
      </c>
      <c r="I1099" s="110" t="s">
        <v>11285</v>
      </c>
    </row>
    <row r="1100" spans="1:9" ht="50.4" x14ac:dyDescent="0.3">
      <c r="A1100" s="109" t="s">
        <v>11286</v>
      </c>
      <c r="B1100" s="109" t="s">
        <v>10211</v>
      </c>
      <c r="C1100" s="109" t="s">
        <v>10211</v>
      </c>
      <c r="D1100" s="109" t="s">
        <v>11287</v>
      </c>
      <c r="E1100" s="109" t="s">
        <v>11287</v>
      </c>
      <c r="F1100" s="109" t="s">
        <v>11288</v>
      </c>
      <c r="G1100" s="110" t="s">
        <v>6248</v>
      </c>
      <c r="H1100" s="110" t="s">
        <v>11289</v>
      </c>
      <c r="I1100" s="110" t="s">
        <v>11290</v>
      </c>
    </row>
    <row r="1101" spans="1:9" ht="37.799999999999997" x14ac:dyDescent="0.3">
      <c r="A1101" s="109" t="s">
        <v>11291</v>
      </c>
      <c r="B1101" s="109" t="s">
        <v>10211</v>
      </c>
      <c r="C1101" s="109" t="s">
        <v>10211</v>
      </c>
      <c r="D1101" s="109" t="s">
        <v>11292</v>
      </c>
      <c r="E1101" s="109" t="s">
        <v>11292</v>
      </c>
      <c r="F1101" s="109" t="s">
        <v>11293</v>
      </c>
      <c r="G1101" s="110" t="s">
        <v>6248</v>
      </c>
      <c r="H1101" s="110" t="s">
        <v>11294</v>
      </c>
      <c r="I1101" s="110" t="s">
        <v>11295</v>
      </c>
    </row>
    <row r="1102" spans="1:9" ht="50.4" x14ac:dyDescent="0.3">
      <c r="A1102" s="109" t="s">
        <v>11296</v>
      </c>
      <c r="B1102" s="109" t="s">
        <v>10211</v>
      </c>
      <c r="C1102" s="109" t="s">
        <v>10211</v>
      </c>
      <c r="D1102" s="109" t="s">
        <v>11297</v>
      </c>
      <c r="E1102" s="109" t="s">
        <v>11297</v>
      </c>
      <c r="F1102" s="109" t="s">
        <v>11298</v>
      </c>
      <c r="G1102" s="110" t="s">
        <v>6248</v>
      </c>
      <c r="H1102" s="110" t="s">
        <v>6883</v>
      </c>
      <c r="I1102" s="110" t="s">
        <v>11299</v>
      </c>
    </row>
    <row r="1103" spans="1:9" ht="50.4" x14ac:dyDescent="0.3">
      <c r="A1103" s="109" t="s">
        <v>11300</v>
      </c>
      <c r="B1103" s="109" t="s">
        <v>10211</v>
      </c>
      <c r="C1103" s="109" t="s">
        <v>10211</v>
      </c>
      <c r="D1103" s="109" t="s">
        <v>11301</v>
      </c>
      <c r="E1103" s="109" t="s">
        <v>11301</v>
      </c>
      <c r="F1103" s="109" t="s">
        <v>11302</v>
      </c>
      <c r="G1103" s="110" t="s">
        <v>6248</v>
      </c>
      <c r="H1103" s="110" t="s">
        <v>11303</v>
      </c>
      <c r="I1103" s="110" t="s">
        <v>11304</v>
      </c>
    </row>
    <row r="1104" spans="1:9" ht="50.4" x14ac:dyDescent="0.3">
      <c r="A1104" s="109" t="s">
        <v>11305</v>
      </c>
      <c r="B1104" s="109" t="s">
        <v>10211</v>
      </c>
      <c r="C1104" s="109" t="s">
        <v>10211</v>
      </c>
      <c r="D1104" s="109" t="s">
        <v>8478</v>
      </c>
      <c r="E1104" s="109" t="s">
        <v>8478</v>
      </c>
      <c r="F1104" s="109" t="s">
        <v>11306</v>
      </c>
      <c r="G1104" s="110" t="s">
        <v>6248</v>
      </c>
      <c r="H1104" s="110" t="s">
        <v>6584</v>
      </c>
      <c r="I1104" s="110" t="s">
        <v>11307</v>
      </c>
    </row>
    <row r="1105" spans="1:9" ht="50.4" x14ac:dyDescent="0.3">
      <c r="A1105" s="109" t="s">
        <v>11308</v>
      </c>
      <c r="B1105" s="109" t="s">
        <v>10211</v>
      </c>
      <c r="C1105" s="109" t="s">
        <v>10211</v>
      </c>
      <c r="D1105" s="109" t="s">
        <v>11309</v>
      </c>
      <c r="E1105" s="109" t="s">
        <v>11309</v>
      </c>
      <c r="F1105" s="109" t="s">
        <v>11310</v>
      </c>
      <c r="G1105" s="110" t="s">
        <v>6248</v>
      </c>
      <c r="H1105" s="110" t="s">
        <v>11311</v>
      </c>
      <c r="I1105" s="110" t="s">
        <v>11312</v>
      </c>
    </row>
    <row r="1106" spans="1:9" ht="25.2" x14ac:dyDescent="0.3">
      <c r="A1106" s="109" t="s">
        <v>11313</v>
      </c>
      <c r="B1106" s="109" t="s">
        <v>10211</v>
      </c>
      <c r="C1106" s="109" t="s">
        <v>10211</v>
      </c>
      <c r="D1106" s="109" t="s">
        <v>11314</v>
      </c>
      <c r="E1106" s="109" t="s">
        <v>5558</v>
      </c>
      <c r="F1106" s="109" t="s">
        <v>11315</v>
      </c>
      <c r="G1106" s="110" t="s">
        <v>6248</v>
      </c>
      <c r="H1106" s="110" t="s">
        <v>11316</v>
      </c>
      <c r="I1106" s="110" t="s">
        <v>11317</v>
      </c>
    </row>
    <row r="1107" spans="1:9" ht="25.2" x14ac:dyDescent="0.3">
      <c r="A1107" s="109" t="s">
        <v>11318</v>
      </c>
      <c r="B1107" s="109" t="s">
        <v>10211</v>
      </c>
      <c r="C1107" s="109" t="s">
        <v>10211</v>
      </c>
      <c r="D1107" s="109" t="s">
        <v>11319</v>
      </c>
      <c r="E1107" s="109" t="s">
        <v>5558</v>
      </c>
      <c r="F1107" s="109" t="s">
        <v>11320</v>
      </c>
      <c r="G1107" s="110" t="s">
        <v>6248</v>
      </c>
      <c r="H1107" s="110" t="s">
        <v>10683</v>
      </c>
      <c r="I1107" s="110" t="s">
        <v>11321</v>
      </c>
    </row>
    <row r="1108" spans="1:9" ht="25.2" x14ac:dyDescent="0.3">
      <c r="A1108" s="109" t="s">
        <v>11322</v>
      </c>
      <c r="B1108" s="109" t="s">
        <v>10211</v>
      </c>
      <c r="C1108" s="109" t="s">
        <v>10211</v>
      </c>
      <c r="D1108" s="109" t="s">
        <v>11323</v>
      </c>
      <c r="E1108" s="109" t="s">
        <v>5558</v>
      </c>
      <c r="F1108" s="109" t="s">
        <v>11324</v>
      </c>
      <c r="G1108" s="110" t="s">
        <v>6248</v>
      </c>
      <c r="H1108" s="110" t="s">
        <v>8598</v>
      </c>
      <c r="I1108" s="110" t="s">
        <v>11325</v>
      </c>
    </row>
    <row r="1109" spans="1:9" ht="25.2" x14ac:dyDescent="0.3">
      <c r="A1109" s="109" t="s">
        <v>11326</v>
      </c>
      <c r="B1109" s="109" t="s">
        <v>10211</v>
      </c>
      <c r="C1109" s="109" t="s">
        <v>10211</v>
      </c>
      <c r="D1109" s="109" t="s">
        <v>969</v>
      </c>
      <c r="E1109" s="109" t="s">
        <v>5558</v>
      </c>
      <c r="F1109" s="109" t="s">
        <v>11327</v>
      </c>
      <c r="G1109" s="110" t="s">
        <v>6248</v>
      </c>
      <c r="H1109" s="110" t="s">
        <v>8838</v>
      </c>
      <c r="I1109" s="110" t="s">
        <v>11328</v>
      </c>
    </row>
    <row r="1110" spans="1:9" ht="25.2" x14ac:dyDescent="0.3">
      <c r="A1110" s="109" t="s">
        <v>11329</v>
      </c>
      <c r="B1110" s="109" t="s">
        <v>10211</v>
      </c>
      <c r="C1110" s="109" t="s">
        <v>10211</v>
      </c>
      <c r="D1110" s="109" t="s">
        <v>11330</v>
      </c>
      <c r="E1110" s="109" t="s">
        <v>5558</v>
      </c>
      <c r="F1110" s="109" t="s">
        <v>11331</v>
      </c>
      <c r="G1110" s="110" t="s">
        <v>6248</v>
      </c>
      <c r="H1110" s="110" t="s">
        <v>6689</v>
      </c>
      <c r="I1110" s="110" t="s">
        <v>11332</v>
      </c>
    </row>
    <row r="1111" spans="1:9" ht="25.2" x14ac:dyDescent="0.3">
      <c r="A1111" s="109" t="s">
        <v>11333</v>
      </c>
      <c r="B1111" s="109" t="s">
        <v>10211</v>
      </c>
      <c r="C1111" s="109" t="s">
        <v>10211</v>
      </c>
      <c r="D1111" s="109" t="s">
        <v>11334</v>
      </c>
      <c r="E1111" s="109" t="s">
        <v>5558</v>
      </c>
      <c r="F1111" s="109" t="s">
        <v>11335</v>
      </c>
      <c r="G1111" s="110" t="s">
        <v>6248</v>
      </c>
      <c r="H1111" s="110" t="s">
        <v>11336</v>
      </c>
      <c r="I1111" s="110" t="s">
        <v>11337</v>
      </c>
    </row>
    <row r="1112" spans="1:9" ht="37.799999999999997" x14ac:dyDescent="0.3">
      <c r="A1112" s="109" t="s">
        <v>11338</v>
      </c>
      <c r="B1112" s="109" t="s">
        <v>10211</v>
      </c>
      <c r="C1112" s="109" t="s">
        <v>10211</v>
      </c>
      <c r="D1112" s="109" t="s">
        <v>11339</v>
      </c>
      <c r="E1112" s="109" t="s">
        <v>5558</v>
      </c>
      <c r="F1112" s="109" t="s">
        <v>11340</v>
      </c>
      <c r="G1112" s="110" t="s">
        <v>6248</v>
      </c>
      <c r="H1112" s="110" t="s">
        <v>11341</v>
      </c>
      <c r="I1112" s="110" t="s">
        <v>11342</v>
      </c>
    </row>
    <row r="1113" spans="1:9" ht="25.2" x14ac:dyDescent="0.3">
      <c r="A1113" s="109" t="s">
        <v>11343</v>
      </c>
      <c r="B1113" s="109" t="s">
        <v>10211</v>
      </c>
      <c r="C1113" s="109" t="s">
        <v>10211</v>
      </c>
      <c r="D1113" s="109" t="s">
        <v>11344</v>
      </c>
      <c r="E1113" s="109" t="s">
        <v>5558</v>
      </c>
      <c r="F1113" s="109" t="s">
        <v>11345</v>
      </c>
      <c r="G1113" s="110" t="s">
        <v>6248</v>
      </c>
      <c r="H1113" s="110" t="s">
        <v>7395</v>
      </c>
      <c r="I1113" s="110" t="s">
        <v>11346</v>
      </c>
    </row>
    <row r="1114" spans="1:9" ht="37.799999999999997" x14ac:dyDescent="0.3">
      <c r="A1114" s="109" t="s">
        <v>11347</v>
      </c>
      <c r="B1114" s="109" t="s">
        <v>10211</v>
      </c>
      <c r="C1114" s="109" t="s">
        <v>10211</v>
      </c>
      <c r="D1114" s="109" t="s">
        <v>1122</v>
      </c>
      <c r="E1114" s="109" t="s">
        <v>5558</v>
      </c>
      <c r="F1114" s="109" t="s">
        <v>11348</v>
      </c>
      <c r="G1114" s="110" t="s">
        <v>6248</v>
      </c>
      <c r="H1114" s="110" t="s">
        <v>11349</v>
      </c>
      <c r="I1114" s="110" t="s">
        <v>11350</v>
      </c>
    </row>
    <row r="1115" spans="1:9" ht="25.2" x14ac:dyDescent="0.3">
      <c r="A1115" s="109" t="s">
        <v>11351</v>
      </c>
      <c r="B1115" s="109" t="s">
        <v>10211</v>
      </c>
      <c r="C1115" s="109" t="s">
        <v>10211</v>
      </c>
      <c r="D1115" s="109" t="s">
        <v>11352</v>
      </c>
      <c r="E1115" s="109" t="s">
        <v>5558</v>
      </c>
      <c r="F1115" s="109" t="s">
        <v>11353</v>
      </c>
      <c r="G1115" s="110" t="s">
        <v>6248</v>
      </c>
      <c r="H1115" s="110" t="s">
        <v>11354</v>
      </c>
      <c r="I1115" s="110" t="s">
        <v>11355</v>
      </c>
    </row>
    <row r="1116" spans="1:9" ht="25.2" x14ac:dyDescent="0.3">
      <c r="A1116" s="109" t="s">
        <v>11356</v>
      </c>
      <c r="B1116" s="109" t="s">
        <v>10211</v>
      </c>
      <c r="C1116" s="109" t="s">
        <v>10211</v>
      </c>
      <c r="D1116" s="109" t="s">
        <v>11357</v>
      </c>
      <c r="E1116" s="109" t="s">
        <v>5558</v>
      </c>
      <c r="F1116" s="109" t="s">
        <v>11358</v>
      </c>
      <c r="G1116" s="110" t="s">
        <v>6248</v>
      </c>
      <c r="H1116" s="110" t="s">
        <v>11359</v>
      </c>
      <c r="I1116" s="110" t="s">
        <v>11360</v>
      </c>
    </row>
    <row r="1117" spans="1:9" ht="25.2" x14ac:dyDescent="0.3">
      <c r="A1117" s="109" t="s">
        <v>11361</v>
      </c>
      <c r="B1117" s="109" t="s">
        <v>10211</v>
      </c>
      <c r="C1117" s="109" t="s">
        <v>10211</v>
      </c>
      <c r="D1117" s="109" t="s">
        <v>11362</v>
      </c>
      <c r="E1117" s="109" t="s">
        <v>5558</v>
      </c>
      <c r="F1117" s="109" t="s">
        <v>11363</v>
      </c>
      <c r="G1117" s="110" t="s">
        <v>6248</v>
      </c>
      <c r="H1117" s="110" t="s">
        <v>6352</v>
      </c>
      <c r="I1117" s="110" t="s">
        <v>11364</v>
      </c>
    </row>
    <row r="1118" spans="1:9" ht="25.2" x14ac:dyDescent="0.3">
      <c r="A1118" s="109" t="s">
        <v>11365</v>
      </c>
      <c r="B1118" s="109" t="s">
        <v>10211</v>
      </c>
      <c r="C1118" s="109" t="s">
        <v>10211</v>
      </c>
      <c r="D1118" s="109" t="s">
        <v>11366</v>
      </c>
      <c r="E1118" s="109" t="s">
        <v>5558</v>
      </c>
      <c r="F1118" s="109" t="s">
        <v>11367</v>
      </c>
      <c r="G1118" s="110" t="s">
        <v>6248</v>
      </c>
      <c r="H1118" s="110" t="s">
        <v>11368</v>
      </c>
      <c r="I1118" s="110" t="s">
        <v>11369</v>
      </c>
    </row>
    <row r="1119" spans="1:9" ht="37.799999999999997" x14ac:dyDescent="0.3">
      <c r="A1119" s="109" t="s">
        <v>11370</v>
      </c>
      <c r="B1119" s="109" t="s">
        <v>10211</v>
      </c>
      <c r="C1119" s="109" t="s">
        <v>10211</v>
      </c>
      <c r="D1119" s="109" t="s">
        <v>11371</v>
      </c>
      <c r="E1119" s="109" t="s">
        <v>5558</v>
      </c>
      <c r="F1119" s="109" t="s">
        <v>11372</v>
      </c>
      <c r="G1119" s="110" t="s">
        <v>6248</v>
      </c>
      <c r="H1119" s="110" t="s">
        <v>11373</v>
      </c>
      <c r="I1119" s="110" t="s">
        <v>11374</v>
      </c>
    </row>
    <row r="1120" spans="1:9" ht="25.2" x14ac:dyDescent="0.3">
      <c r="A1120" s="109" t="s">
        <v>11375</v>
      </c>
      <c r="B1120" s="109" t="s">
        <v>10211</v>
      </c>
      <c r="C1120" s="109" t="s">
        <v>10211</v>
      </c>
      <c r="D1120" s="109" t="s">
        <v>11376</v>
      </c>
      <c r="E1120" s="109" t="s">
        <v>11377</v>
      </c>
      <c r="F1120" s="109" t="s">
        <v>11378</v>
      </c>
      <c r="G1120" s="110" t="s">
        <v>6248</v>
      </c>
      <c r="H1120" s="110" t="s">
        <v>11379</v>
      </c>
      <c r="I1120" s="110" t="s">
        <v>11380</v>
      </c>
    </row>
    <row r="1121" spans="1:9" ht="37.799999999999997" x14ac:dyDescent="0.3">
      <c r="A1121" s="109" t="s">
        <v>11381</v>
      </c>
      <c r="B1121" s="109" t="s">
        <v>10211</v>
      </c>
      <c r="C1121" s="109" t="s">
        <v>10211</v>
      </c>
      <c r="D1121" s="109" t="s">
        <v>11382</v>
      </c>
      <c r="E1121" s="109" t="s">
        <v>5558</v>
      </c>
      <c r="F1121" s="109" t="s">
        <v>11383</v>
      </c>
      <c r="G1121" s="110" t="s">
        <v>6248</v>
      </c>
      <c r="H1121" s="110" t="s">
        <v>11384</v>
      </c>
      <c r="I1121" s="110" t="s">
        <v>11385</v>
      </c>
    </row>
    <row r="1122" spans="1:9" ht="37.799999999999997" x14ac:dyDescent="0.3">
      <c r="A1122" s="109" t="s">
        <v>11386</v>
      </c>
      <c r="B1122" s="109" t="s">
        <v>10211</v>
      </c>
      <c r="C1122" s="109" t="s">
        <v>10211</v>
      </c>
      <c r="D1122" s="109" t="s">
        <v>11387</v>
      </c>
      <c r="E1122" s="109" t="s">
        <v>5558</v>
      </c>
      <c r="F1122" s="109" t="s">
        <v>11388</v>
      </c>
      <c r="G1122" s="110" t="s">
        <v>6248</v>
      </c>
      <c r="H1122" s="110" t="s">
        <v>8185</v>
      </c>
      <c r="I1122" s="110" t="s">
        <v>11389</v>
      </c>
    </row>
    <row r="1123" spans="1:9" ht="25.2" x14ac:dyDescent="0.3">
      <c r="A1123" s="109" t="s">
        <v>11390</v>
      </c>
      <c r="B1123" s="109" t="s">
        <v>10211</v>
      </c>
      <c r="C1123" s="109" t="s">
        <v>10211</v>
      </c>
      <c r="D1123" s="109" t="s">
        <v>11391</v>
      </c>
      <c r="E1123" s="109" t="s">
        <v>5558</v>
      </c>
      <c r="F1123" s="109" t="s">
        <v>11392</v>
      </c>
      <c r="G1123" s="110" t="s">
        <v>6248</v>
      </c>
      <c r="H1123" s="110" t="s">
        <v>8603</v>
      </c>
      <c r="I1123" s="110" t="s">
        <v>11393</v>
      </c>
    </row>
    <row r="1124" spans="1:9" ht="25.2" x14ac:dyDescent="0.3">
      <c r="A1124" s="109" t="s">
        <v>11394</v>
      </c>
      <c r="B1124" s="109" t="s">
        <v>10211</v>
      </c>
      <c r="C1124" s="109" t="s">
        <v>10211</v>
      </c>
      <c r="D1124" s="109" t="s">
        <v>11395</v>
      </c>
      <c r="E1124" s="109" t="s">
        <v>5558</v>
      </c>
      <c r="F1124" s="109" t="s">
        <v>11396</v>
      </c>
      <c r="G1124" s="110" t="s">
        <v>6248</v>
      </c>
      <c r="H1124" s="110" t="s">
        <v>11397</v>
      </c>
      <c r="I1124" s="110" t="s">
        <v>11398</v>
      </c>
    </row>
    <row r="1125" spans="1:9" ht="25.2" x14ac:dyDescent="0.3">
      <c r="A1125" s="109" t="s">
        <v>11399</v>
      </c>
      <c r="B1125" s="109" t="s">
        <v>10211</v>
      </c>
      <c r="C1125" s="109" t="s">
        <v>10211</v>
      </c>
      <c r="D1125" s="109" t="s">
        <v>11400</v>
      </c>
      <c r="E1125" s="109" t="s">
        <v>5558</v>
      </c>
      <c r="F1125" s="109" t="s">
        <v>11401</v>
      </c>
      <c r="G1125" s="110" t="s">
        <v>6248</v>
      </c>
      <c r="H1125" s="110" t="s">
        <v>11402</v>
      </c>
      <c r="I1125" s="110" t="s">
        <v>11403</v>
      </c>
    </row>
    <row r="1126" spans="1:9" ht="25.2" x14ac:dyDescent="0.3">
      <c r="A1126" s="109" t="s">
        <v>11404</v>
      </c>
      <c r="B1126" s="109" t="s">
        <v>10211</v>
      </c>
      <c r="C1126" s="109" t="s">
        <v>10211</v>
      </c>
      <c r="D1126" s="109" t="s">
        <v>11405</v>
      </c>
      <c r="E1126" s="109" t="s">
        <v>5558</v>
      </c>
      <c r="F1126" s="109" t="s">
        <v>11406</v>
      </c>
      <c r="G1126" s="110" t="s">
        <v>6248</v>
      </c>
      <c r="H1126" s="110" t="s">
        <v>11166</v>
      </c>
      <c r="I1126" s="110" t="s">
        <v>11407</v>
      </c>
    </row>
    <row r="1127" spans="1:9" ht="25.2" x14ac:dyDescent="0.3">
      <c r="A1127" s="109" t="s">
        <v>11408</v>
      </c>
      <c r="B1127" s="109" t="s">
        <v>10211</v>
      </c>
      <c r="C1127" s="109" t="s">
        <v>10211</v>
      </c>
      <c r="D1127" s="109" t="s">
        <v>11409</v>
      </c>
      <c r="E1127" s="109" t="s">
        <v>11410</v>
      </c>
      <c r="F1127" s="109" t="s">
        <v>11411</v>
      </c>
      <c r="G1127" s="110" t="s">
        <v>6248</v>
      </c>
      <c r="H1127" s="110" t="s">
        <v>11412</v>
      </c>
      <c r="I1127" s="110" t="s">
        <v>11413</v>
      </c>
    </row>
    <row r="1128" spans="1:9" ht="25.2" x14ac:dyDescent="0.3">
      <c r="A1128" s="109" t="s">
        <v>11414</v>
      </c>
      <c r="B1128" s="109" t="s">
        <v>11415</v>
      </c>
      <c r="C1128" s="109" t="s">
        <v>10211</v>
      </c>
      <c r="D1128" s="109" t="s">
        <v>11416</v>
      </c>
      <c r="E1128" s="109" t="s">
        <v>5558</v>
      </c>
      <c r="F1128" s="109" t="s">
        <v>11417</v>
      </c>
      <c r="G1128" s="110" t="s">
        <v>6248</v>
      </c>
      <c r="H1128" s="110" t="s">
        <v>11418</v>
      </c>
      <c r="I1128" s="110" t="s">
        <v>11419</v>
      </c>
    </row>
    <row r="1129" spans="1:9" ht="37.799999999999997" x14ac:dyDescent="0.3">
      <c r="A1129" s="109" t="s">
        <v>11420</v>
      </c>
      <c r="B1129" s="109" t="s">
        <v>11415</v>
      </c>
      <c r="C1129" s="109" t="s">
        <v>11415</v>
      </c>
      <c r="D1129" s="109" t="s">
        <v>11421</v>
      </c>
      <c r="E1129" s="109" t="s">
        <v>5558</v>
      </c>
      <c r="F1129" s="109" t="s">
        <v>11422</v>
      </c>
      <c r="G1129" s="110" t="s">
        <v>6248</v>
      </c>
      <c r="H1129" s="110" t="s">
        <v>6689</v>
      </c>
      <c r="I1129" s="110" t="s">
        <v>11423</v>
      </c>
    </row>
    <row r="1130" spans="1:9" ht="37.799999999999997" x14ac:dyDescent="0.3">
      <c r="A1130" s="109" t="s">
        <v>11424</v>
      </c>
      <c r="B1130" s="109" t="s">
        <v>11415</v>
      </c>
      <c r="C1130" s="109" t="s">
        <v>11415</v>
      </c>
      <c r="D1130" s="109" t="s">
        <v>1223</v>
      </c>
      <c r="E1130" s="109" t="s">
        <v>5558</v>
      </c>
      <c r="F1130" s="109" t="s">
        <v>11425</v>
      </c>
      <c r="G1130" s="110" t="s">
        <v>6248</v>
      </c>
      <c r="H1130" s="110" t="s">
        <v>11426</v>
      </c>
      <c r="I1130" s="110" t="s">
        <v>11427</v>
      </c>
    </row>
    <row r="1131" spans="1:9" ht="37.799999999999997" x14ac:dyDescent="0.3">
      <c r="A1131" s="109" t="s">
        <v>11428</v>
      </c>
      <c r="B1131" s="109" t="s">
        <v>11415</v>
      </c>
      <c r="C1131" s="109" t="s">
        <v>11415</v>
      </c>
      <c r="D1131" s="109" t="s">
        <v>11429</v>
      </c>
      <c r="E1131" s="109" t="s">
        <v>5558</v>
      </c>
      <c r="F1131" s="109" t="s">
        <v>11430</v>
      </c>
      <c r="G1131" s="110" t="s">
        <v>6248</v>
      </c>
      <c r="H1131" s="110" t="s">
        <v>6273</v>
      </c>
      <c r="I1131" s="110" t="s">
        <v>11431</v>
      </c>
    </row>
    <row r="1132" spans="1:9" ht="25.2" x14ac:dyDescent="0.3">
      <c r="A1132" s="109" t="s">
        <v>11432</v>
      </c>
      <c r="B1132" s="109" t="s">
        <v>11415</v>
      </c>
      <c r="C1132" s="109" t="s">
        <v>11415</v>
      </c>
      <c r="D1132" s="109" t="s">
        <v>11433</v>
      </c>
      <c r="E1132" s="109" t="s">
        <v>5558</v>
      </c>
      <c r="F1132" s="109" t="s">
        <v>11434</v>
      </c>
      <c r="G1132" s="110" t="s">
        <v>6248</v>
      </c>
      <c r="H1132" s="110" t="s">
        <v>11435</v>
      </c>
      <c r="I1132" s="110" t="s">
        <v>11436</v>
      </c>
    </row>
    <row r="1133" spans="1:9" ht="25.2" x14ac:dyDescent="0.3">
      <c r="A1133" s="109" t="s">
        <v>11437</v>
      </c>
      <c r="B1133" s="109" t="s">
        <v>11415</v>
      </c>
      <c r="C1133" s="109" t="s">
        <v>11415</v>
      </c>
      <c r="D1133" s="109" t="s">
        <v>11438</v>
      </c>
      <c r="E1133" s="109" t="s">
        <v>5558</v>
      </c>
      <c r="F1133" s="109" t="s">
        <v>11439</v>
      </c>
      <c r="G1133" s="110" t="s">
        <v>6248</v>
      </c>
      <c r="H1133" s="110" t="s">
        <v>11440</v>
      </c>
      <c r="I1133" s="110" t="s">
        <v>11441</v>
      </c>
    </row>
    <row r="1134" spans="1:9" ht="25.2" x14ac:dyDescent="0.3">
      <c r="A1134" s="109" t="s">
        <v>11442</v>
      </c>
      <c r="B1134" s="109" t="s">
        <v>11415</v>
      </c>
      <c r="C1134" s="109" t="s">
        <v>11415</v>
      </c>
      <c r="D1134" s="109" t="s">
        <v>11443</v>
      </c>
      <c r="E1134" s="109" t="s">
        <v>5558</v>
      </c>
      <c r="F1134" s="109" t="s">
        <v>11444</v>
      </c>
      <c r="G1134" s="110" t="s">
        <v>6248</v>
      </c>
      <c r="H1134" s="110" t="s">
        <v>11445</v>
      </c>
      <c r="I1134" s="110" t="s">
        <v>11446</v>
      </c>
    </row>
    <row r="1135" spans="1:9" ht="25.2" x14ac:dyDescent="0.3">
      <c r="A1135" s="109" t="s">
        <v>11447</v>
      </c>
      <c r="B1135" s="109" t="s">
        <v>11415</v>
      </c>
      <c r="C1135" s="109" t="s">
        <v>11415</v>
      </c>
      <c r="D1135" s="109" t="s">
        <v>11448</v>
      </c>
      <c r="E1135" s="109" t="s">
        <v>5558</v>
      </c>
      <c r="F1135" s="109" t="s">
        <v>11449</v>
      </c>
      <c r="G1135" s="110" t="s">
        <v>6248</v>
      </c>
      <c r="H1135" s="110" t="s">
        <v>11450</v>
      </c>
      <c r="I1135" s="110" t="s">
        <v>11451</v>
      </c>
    </row>
    <row r="1136" spans="1:9" ht="25.2" x14ac:dyDescent="0.3">
      <c r="A1136" s="109" t="s">
        <v>11452</v>
      </c>
      <c r="B1136" s="109" t="s">
        <v>11415</v>
      </c>
      <c r="C1136" s="109" t="s">
        <v>11415</v>
      </c>
      <c r="D1136" s="109" t="s">
        <v>11453</v>
      </c>
      <c r="E1136" s="109" t="s">
        <v>5558</v>
      </c>
      <c r="F1136" s="109" t="s">
        <v>11454</v>
      </c>
      <c r="G1136" s="110" t="s">
        <v>6248</v>
      </c>
      <c r="H1136" s="110" t="s">
        <v>11455</v>
      </c>
      <c r="I1136" s="110" t="s">
        <v>11456</v>
      </c>
    </row>
    <row r="1137" spans="1:9" ht="25.2" x14ac:dyDescent="0.3">
      <c r="A1137" s="109" t="s">
        <v>11457</v>
      </c>
      <c r="B1137" s="109" t="s">
        <v>11415</v>
      </c>
      <c r="C1137" s="109" t="s">
        <v>11415</v>
      </c>
      <c r="D1137" s="109" t="s">
        <v>11458</v>
      </c>
      <c r="E1137" s="109" t="s">
        <v>5558</v>
      </c>
      <c r="F1137" s="109" t="s">
        <v>11459</v>
      </c>
      <c r="G1137" s="110" t="s">
        <v>6248</v>
      </c>
      <c r="H1137" s="110" t="s">
        <v>6474</v>
      </c>
      <c r="I1137" s="110" t="s">
        <v>11460</v>
      </c>
    </row>
    <row r="1138" spans="1:9" ht="25.2" x14ac:dyDescent="0.3">
      <c r="A1138" s="109" t="s">
        <v>11461</v>
      </c>
      <c r="B1138" s="109" t="s">
        <v>11415</v>
      </c>
      <c r="C1138" s="109" t="s">
        <v>11415</v>
      </c>
      <c r="D1138" s="109" t="s">
        <v>11462</v>
      </c>
      <c r="E1138" s="109" t="s">
        <v>5558</v>
      </c>
      <c r="F1138" s="109" t="s">
        <v>11463</v>
      </c>
      <c r="G1138" s="110" t="s">
        <v>6248</v>
      </c>
      <c r="H1138" s="110" t="s">
        <v>6398</v>
      </c>
      <c r="I1138" s="110" t="s">
        <v>11464</v>
      </c>
    </row>
    <row r="1139" spans="1:9" ht="25.2" x14ac:dyDescent="0.3">
      <c r="A1139" s="109" t="s">
        <v>11465</v>
      </c>
      <c r="B1139" s="109" t="s">
        <v>11415</v>
      </c>
      <c r="C1139" s="109" t="s">
        <v>11415</v>
      </c>
      <c r="D1139" s="109" t="s">
        <v>11466</v>
      </c>
      <c r="E1139" s="109" t="s">
        <v>5558</v>
      </c>
      <c r="F1139" s="109" t="s">
        <v>11467</v>
      </c>
      <c r="G1139" s="110" t="s">
        <v>6248</v>
      </c>
      <c r="H1139" s="110" t="s">
        <v>8961</v>
      </c>
      <c r="I1139" s="110" t="s">
        <v>11468</v>
      </c>
    </row>
    <row r="1140" spans="1:9" ht="25.2" x14ac:dyDescent="0.3">
      <c r="A1140" s="109" t="s">
        <v>11469</v>
      </c>
      <c r="B1140" s="109" t="s">
        <v>11415</v>
      </c>
      <c r="C1140" s="109" t="s">
        <v>11415</v>
      </c>
      <c r="D1140" s="109" t="s">
        <v>11470</v>
      </c>
      <c r="E1140" s="109" t="s">
        <v>5558</v>
      </c>
      <c r="F1140" s="109" t="s">
        <v>11471</v>
      </c>
      <c r="G1140" s="110" t="s">
        <v>6248</v>
      </c>
      <c r="H1140" s="110" t="s">
        <v>6403</v>
      </c>
      <c r="I1140" s="110" t="s">
        <v>11472</v>
      </c>
    </row>
    <row r="1141" spans="1:9" ht="37.799999999999997" x14ac:dyDescent="0.3">
      <c r="A1141" s="109" t="s">
        <v>11473</v>
      </c>
      <c r="B1141" s="109" t="s">
        <v>11415</v>
      </c>
      <c r="C1141" s="109" t="s">
        <v>11415</v>
      </c>
      <c r="D1141" s="109" t="s">
        <v>11474</v>
      </c>
      <c r="E1141" s="109" t="s">
        <v>5558</v>
      </c>
      <c r="F1141" s="109" t="s">
        <v>11475</v>
      </c>
      <c r="G1141" s="110" t="s">
        <v>6248</v>
      </c>
      <c r="H1141" s="110" t="s">
        <v>11476</v>
      </c>
      <c r="I1141" s="110" t="s">
        <v>11477</v>
      </c>
    </row>
    <row r="1142" spans="1:9" ht="37.799999999999997" x14ac:dyDescent="0.3">
      <c r="A1142" s="109" t="s">
        <v>11478</v>
      </c>
      <c r="B1142" s="109" t="s">
        <v>11415</v>
      </c>
      <c r="C1142" s="109" t="s">
        <v>11415</v>
      </c>
      <c r="D1142" s="109" t="s">
        <v>11479</v>
      </c>
      <c r="E1142" s="109" t="s">
        <v>5558</v>
      </c>
      <c r="F1142" s="109" t="s">
        <v>11480</v>
      </c>
      <c r="G1142" s="110" t="s">
        <v>6248</v>
      </c>
      <c r="H1142" s="110" t="s">
        <v>10469</v>
      </c>
      <c r="I1142" s="110" t="s">
        <v>11481</v>
      </c>
    </row>
    <row r="1143" spans="1:9" ht="25.2" x14ac:dyDescent="0.3">
      <c r="A1143" s="109" t="s">
        <v>11482</v>
      </c>
      <c r="B1143" s="109" t="s">
        <v>11415</v>
      </c>
      <c r="C1143" s="109" t="s">
        <v>11415</v>
      </c>
      <c r="D1143" s="109" t="s">
        <v>11483</v>
      </c>
      <c r="E1143" s="109" t="s">
        <v>5558</v>
      </c>
      <c r="F1143" s="109" t="s">
        <v>11484</v>
      </c>
      <c r="G1143" s="110" t="s">
        <v>6248</v>
      </c>
      <c r="H1143" s="110" t="s">
        <v>6413</v>
      </c>
      <c r="I1143" s="110" t="s">
        <v>11485</v>
      </c>
    </row>
    <row r="1144" spans="1:9" ht="25.2" x14ac:dyDescent="0.3">
      <c r="A1144" s="109" t="s">
        <v>11486</v>
      </c>
      <c r="B1144" s="109" t="s">
        <v>11415</v>
      </c>
      <c r="C1144" s="109" t="s">
        <v>11415</v>
      </c>
      <c r="D1144" s="109" t="s">
        <v>11487</v>
      </c>
      <c r="E1144" s="109" t="s">
        <v>5558</v>
      </c>
      <c r="F1144" s="109" t="s">
        <v>11488</v>
      </c>
      <c r="G1144" s="110" t="s">
        <v>6248</v>
      </c>
      <c r="H1144" s="110" t="s">
        <v>6374</v>
      </c>
      <c r="I1144" s="110" t="s">
        <v>11489</v>
      </c>
    </row>
    <row r="1145" spans="1:9" ht="37.799999999999997" x14ac:dyDescent="0.3">
      <c r="A1145" s="109" t="s">
        <v>11490</v>
      </c>
      <c r="B1145" s="109" t="s">
        <v>11415</v>
      </c>
      <c r="C1145" s="109" t="s">
        <v>11415</v>
      </c>
      <c r="D1145" s="109" t="s">
        <v>11491</v>
      </c>
      <c r="E1145" s="109" t="s">
        <v>5558</v>
      </c>
      <c r="F1145" s="109" t="s">
        <v>11492</v>
      </c>
      <c r="G1145" s="110" t="s">
        <v>6248</v>
      </c>
      <c r="H1145" s="110" t="s">
        <v>9158</v>
      </c>
      <c r="I1145" s="110" t="s">
        <v>11493</v>
      </c>
    </row>
    <row r="1146" spans="1:9" ht="25.2" x14ac:dyDescent="0.3">
      <c r="A1146" s="109" t="s">
        <v>11494</v>
      </c>
      <c r="B1146" s="109" t="s">
        <v>11415</v>
      </c>
      <c r="C1146" s="109" t="s">
        <v>11415</v>
      </c>
      <c r="D1146" s="109" t="s">
        <v>11495</v>
      </c>
      <c r="E1146" s="109" t="s">
        <v>5558</v>
      </c>
      <c r="F1146" s="109" t="s">
        <v>11496</v>
      </c>
      <c r="G1146" s="110" t="s">
        <v>6248</v>
      </c>
      <c r="H1146" s="110" t="s">
        <v>7592</v>
      </c>
      <c r="I1146" s="110" t="s">
        <v>11497</v>
      </c>
    </row>
    <row r="1147" spans="1:9" ht="25.2" x14ac:dyDescent="0.3">
      <c r="A1147" s="109" t="s">
        <v>11498</v>
      </c>
      <c r="B1147" s="109" t="s">
        <v>11415</v>
      </c>
      <c r="C1147" s="109" t="s">
        <v>11415</v>
      </c>
      <c r="D1147" s="109" t="s">
        <v>11499</v>
      </c>
      <c r="E1147" s="109" t="s">
        <v>5558</v>
      </c>
      <c r="F1147" s="109" t="s">
        <v>11500</v>
      </c>
      <c r="G1147" s="110" t="s">
        <v>6248</v>
      </c>
      <c r="H1147" s="110" t="s">
        <v>6433</v>
      </c>
      <c r="I1147" s="110" t="s">
        <v>11501</v>
      </c>
    </row>
    <row r="1148" spans="1:9" ht="25.2" x14ac:dyDescent="0.3">
      <c r="A1148" s="109" t="s">
        <v>11502</v>
      </c>
      <c r="B1148" s="109" t="s">
        <v>11415</v>
      </c>
      <c r="C1148" s="109" t="s">
        <v>11415</v>
      </c>
      <c r="D1148" s="109" t="s">
        <v>11503</v>
      </c>
      <c r="E1148" s="109" t="s">
        <v>5558</v>
      </c>
      <c r="F1148" s="109" t="s">
        <v>11504</v>
      </c>
      <c r="G1148" s="110" t="s">
        <v>6248</v>
      </c>
      <c r="H1148" s="110" t="s">
        <v>6398</v>
      </c>
      <c r="I1148" s="110" t="s">
        <v>11505</v>
      </c>
    </row>
    <row r="1149" spans="1:9" ht="25.2" x14ac:dyDescent="0.3">
      <c r="A1149" s="109" t="s">
        <v>11506</v>
      </c>
      <c r="B1149" s="109" t="s">
        <v>11415</v>
      </c>
      <c r="C1149" s="109" t="s">
        <v>11415</v>
      </c>
      <c r="D1149" s="109" t="s">
        <v>11507</v>
      </c>
      <c r="E1149" s="109" t="s">
        <v>5558</v>
      </c>
      <c r="F1149" s="109" t="s">
        <v>11508</v>
      </c>
      <c r="G1149" s="110" t="s">
        <v>6248</v>
      </c>
      <c r="H1149" s="110" t="s">
        <v>9158</v>
      </c>
      <c r="I1149" s="110" t="s">
        <v>11509</v>
      </c>
    </row>
    <row r="1150" spans="1:9" ht="37.799999999999997" x14ac:dyDescent="0.3">
      <c r="A1150" s="109" t="s">
        <v>11510</v>
      </c>
      <c r="B1150" s="109" t="s">
        <v>11415</v>
      </c>
      <c r="C1150" s="109" t="s">
        <v>11415</v>
      </c>
      <c r="D1150" s="109" t="s">
        <v>11511</v>
      </c>
      <c r="E1150" s="109" t="s">
        <v>5558</v>
      </c>
      <c r="F1150" s="109" t="s">
        <v>11512</v>
      </c>
      <c r="G1150" s="110" t="s">
        <v>6248</v>
      </c>
      <c r="H1150" s="110" t="s">
        <v>7817</v>
      </c>
      <c r="I1150" s="110" t="s">
        <v>11513</v>
      </c>
    </row>
    <row r="1151" spans="1:9" ht="25.2" x14ac:dyDescent="0.3">
      <c r="A1151" s="109" t="s">
        <v>11514</v>
      </c>
      <c r="B1151" s="109" t="s">
        <v>11415</v>
      </c>
      <c r="C1151" s="109" t="s">
        <v>11415</v>
      </c>
      <c r="D1151" s="109" t="s">
        <v>11515</v>
      </c>
      <c r="E1151" s="109" t="s">
        <v>5558</v>
      </c>
      <c r="F1151" s="109" t="s">
        <v>11516</v>
      </c>
      <c r="G1151" s="110" t="s">
        <v>6248</v>
      </c>
      <c r="H1151" s="110" t="s">
        <v>7817</v>
      </c>
      <c r="I1151" s="110" t="s">
        <v>11517</v>
      </c>
    </row>
    <row r="1152" spans="1:9" ht="37.799999999999997" x14ac:dyDescent="0.3">
      <c r="A1152" s="109" t="s">
        <v>11518</v>
      </c>
      <c r="B1152" s="109" t="s">
        <v>11415</v>
      </c>
      <c r="C1152" s="109" t="s">
        <v>11415</v>
      </c>
      <c r="D1152" s="109" t="s">
        <v>11519</v>
      </c>
      <c r="E1152" s="109" t="s">
        <v>5558</v>
      </c>
      <c r="F1152" s="109" t="s">
        <v>11520</v>
      </c>
      <c r="G1152" s="110" t="s">
        <v>6248</v>
      </c>
      <c r="H1152" s="110" t="s">
        <v>6403</v>
      </c>
      <c r="I1152" s="110" t="s">
        <v>11521</v>
      </c>
    </row>
    <row r="1153" spans="1:9" ht="25.2" x14ac:dyDescent="0.3">
      <c r="A1153" s="109" t="s">
        <v>11522</v>
      </c>
      <c r="B1153" s="109" t="s">
        <v>11415</v>
      </c>
      <c r="C1153" s="109" t="s">
        <v>11415</v>
      </c>
      <c r="D1153" s="109" t="s">
        <v>11523</v>
      </c>
      <c r="E1153" s="109" t="s">
        <v>5558</v>
      </c>
      <c r="F1153" s="109" t="s">
        <v>11524</v>
      </c>
      <c r="G1153" s="110" t="s">
        <v>6248</v>
      </c>
      <c r="H1153" s="110" t="s">
        <v>11525</v>
      </c>
      <c r="I1153" s="110" t="s">
        <v>11526</v>
      </c>
    </row>
    <row r="1154" spans="1:9" ht="37.799999999999997" x14ac:dyDescent="0.3">
      <c r="A1154" s="109" t="s">
        <v>11527</v>
      </c>
      <c r="B1154" s="109" t="s">
        <v>11415</v>
      </c>
      <c r="C1154" s="109" t="s">
        <v>11415</v>
      </c>
      <c r="D1154" s="109" t="s">
        <v>11528</v>
      </c>
      <c r="E1154" s="109" t="s">
        <v>5558</v>
      </c>
      <c r="F1154" s="109" t="s">
        <v>11529</v>
      </c>
      <c r="G1154" s="110" t="s">
        <v>6248</v>
      </c>
      <c r="H1154" s="110" t="s">
        <v>7830</v>
      </c>
      <c r="I1154" s="110" t="s">
        <v>11530</v>
      </c>
    </row>
    <row r="1155" spans="1:9" ht="37.799999999999997" x14ac:dyDescent="0.3">
      <c r="A1155" s="109" t="s">
        <v>11531</v>
      </c>
      <c r="B1155" s="109" t="s">
        <v>11415</v>
      </c>
      <c r="C1155" s="109" t="s">
        <v>11415</v>
      </c>
      <c r="D1155" s="109" t="s">
        <v>11532</v>
      </c>
      <c r="E1155" s="109" t="s">
        <v>5558</v>
      </c>
      <c r="F1155" s="109" t="s">
        <v>11533</v>
      </c>
      <c r="G1155" s="110" t="s">
        <v>6248</v>
      </c>
      <c r="H1155" s="110" t="s">
        <v>6689</v>
      </c>
      <c r="I1155" s="110" t="s">
        <v>11534</v>
      </c>
    </row>
    <row r="1156" spans="1:9" ht="25.2" x14ac:dyDescent="0.3">
      <c r="A1156" s="109" t="s">
        <v>11535</v>
      </c>
      <c r="B1156" s="109" t="s">
        <v>11415</v>
      </c>
      <c r="C1156" s="109" t="s">
        <v>11415</v>
      </c>
      <c r="D1156" s="109" t="s">
        <v>11536</v>
      </c>
      <c r="E1156" s="109" t="s">
        <v>5558</v>
      </c>
      <c r="F1156" s="109" t="s">
        <v>11537</v>
      </c>
      <c r="G1156" s="110" t="s">
        <v>6248</v>
      </c>
      <c r="H1156" s="110" t="s">
        <v>6489</v>
      </c>
      <c r="I1156" s="110" t="s">
        <v>11538</v>
      </c>
    </row>
    <row r="1157" spans="1:9" ht="25.2" x14ac:dyDescent="0.3">
      <c r="A1157" s="109" t="s">
        <v>11539</v>
      </c>
      <c r="B1157" s="109" t="s">
        <v>11415</v>
      </c>
      <c r="C1157" s="109" t="s">
        <v>11415</v>
      </c>
      <c r="D1157" s="109" t="s">
        <v>11540</v>
      </c>
      <c r="E1157" s="109" t="s">
        <v>5558</v>
      </c>
      <c r="F1157" s="109" t="s">
        <v>11541</v>
      </c>
      <c r="G1157" s="110" t="s">
        <v>6248</v>
      </c>
      <c r="H1157" s="110" t="s">
        <v>6507</v>
      </c>
      <c r="I1157" s="110" t="s">
        <v>11542</v>
      </c>
    </row>
    <row r="1158" spans="1:9" ht="25.2" x14ac:dyDescent="0.3">
      <c r="A1158" s="109" t="s">
        <v>11543</v>
      </c>
      <c r="B1158" s="109" t="s">
        <v>11415</v>
      </c>
      <c r="C1158" s="109" t="s">
        <v>11415</v>
      </c>
      <c r="D1158" s="109" t="s">
        <v>11544</v>
      </c>
      <c r="E1158" s="109" t="s">
        <v>5558</v>
      </c>
      <c r="F1158" s="109" t="s">
        <v>11545</v>
      </c>
      <c r="G1158" s="110" t="s">
        <v>6248</v>
      </c>
      <c r="H1158" s="110" t="s">
        <v>6413</v>
      </c>
      <c r="I1158" s="110" t="s">
        <v>11546</v>
      </c>
    </row>
    <row r="1159" spans="1:9" ht="25.2" x14ac:dyDescent="0.3">
      <c r="A1159" s="109" t="s">
        <v>11547</v>
      </c>
      <c r="B1159" s="109" t="s">
        <v>11415</v>
      </c>
      <c r="C1159" s="109" t="s">
        <v>11415</v>
      </c>
      <c r="D1159" s="109" t="s">
        <v>11548</v>
      </c>
      <c r="E1159" s="109" t="s">
        <v>5558</v>
      </c>
      <c r="F1159" s="109" t="s">
        <v>11549</v>
      </c>
      <c r="G1159" s="110" t="s">
        <v>6248</v>
      </c>
      <c r="H1159" s="110" t="s">
        <v>6494</v>
      </c>
      <c r="I1159" s="110" t="s">
        <v>11550</v>
      </c>
    </row>
    <row r="1160" spans="1:9" ht="25.2" x14ac:dyDescent="0.3">
      <c r="A1160" s="109" t="s">
        <v>11551</v>
      </c>
      <c r="B1160" s="109" t="s">
        <v>11415</v>
      </c>
      <c r="C1160" s="109" t="s">
        <v>11415</v>
      </c>
      <c r="D1160" s="109" t="s">
        <v>11552</v>
      </c>
      <c r="E1160" s="109" t="s">
        <v>5558</v>
      </c>
      <c r="F1160" s="109" t="s">
        <v>11553</v>
      </c>
      <c r="G1160" s="110" t="s">
        <v>6248</v>
      </c>
      <c r="H1160" s="110" t="s">
        <v>10295</v>
      </c>
      <c r="I1160" s="110" t="s">
        <v>11554</v>
      </c>
    </row>
    <row r="1161" spans="1:9" ht="37.799999999999997" x14ac:dyDescent="0.3">
      <c r="A1161" s="109" t="s">
        <v>11555</v>
      </c>
      <c r="B1161" s="109" t="s">
        <v>11415</v>
      </c>
      <c r="C1161" s="109" t="s">
        <v>11415</v>
      </c>
      <c r="D1161" s="109" t="s">
        <v>11556</v>
      </c>
      <c r="E1161" s="109" t="s">
        <v>5558</v>
      </c>
      <c r="F1161" s="109" t="s">
        <v>11557</v>
      </c>
      <c r="G1161" s="110" t="s">
        <v>6248</v>
      </c>
      <c r="H1161" s="110" t="s">
        <v>9128</v>
      </c>
      <c r="I1161" s="110" t="s">
        <v>11558</v>
      </c>
    </row>
    <row r="1162" spans="1:9" ht="25.2" x14ac:dyDescent="0.3">
      <c r="A1162" s="109" t="s">
        <v>11559</v>
      </c>
      <c r="B1162" s="109" t="s">
        <v>11415</v>
      </c>
      <c r="C1162" s="109" t="s">
        <v>11415</v>
      </c>
      <c r="D1162" s="109" t="s">
        <v>11560</v>
      </c>
      <c r="E1162" s="109" t="s">
        <v>5558</v>
      </c>
      <c r="F1162" s="109" t="s">
        <v>11561</v>
      </c>
      <c r="G1162" s="110" t="s">
        <v>6248</v>
      </c>
      <c r="H1162" s="110" t="s">
        <v>11562</v>
      </c>
      <c r="I1162" s="110" t="s">
        <v>11563</v>
      </c>
    </row>
    <row r="1163" spans="1:9" ht="37.799999999999997" x14ac:dyDescent="0.3">
      <c r="A1163" s="109" t="s">
        <v>11564</v>
      </c>
      <c r="B1163" s="109" t="s">
        <v>11415</v>
      </c>
      <c r="C1163" s="109" t="s">
        <v>11415</v>
      </c>
      <c r="D1163" s="109" t="s">
        <v>11565</v>
      </c>
      <c r="E1163" s="109" t="s">
        <v>5558</v>
      </c>
      <c r="F1163" s="109" t="s">
        <v>11566</v>
      </c>
      <c r="G1163" s="110" t="s">
        <v>6248</v>
      </c>
      <c r="H1163" s="110" t="s">
        <v>11567</v>
      </c>
      <c r="I1163" s="110" t="s">
        <v>11568</v>
      </c>
    </row>
    <row r="1164" spans="1:9" ht="25.2" x14ac:dyDescent="0.3">
      <c r="A1164" s="109" t="s">
        <v>11569</v>
      </c>
      <c r="B1164" s="109" t="s">
        <v>11415</v>
      </c>
      <c r="C1164" s="109" t="s">
        <v>11415</v>
      </c>
      <c r="D1164" s="109" t="s">
        <v>11570</v>
      </c>
      <c r="E1164" s="109" t="s">
        <v>5558</v>
      </c>
      <c r="F1164" s="109" t="s">
        <v>11571</v>
      </c>
      <c r="G1164" s="110" t="s">
        <v>6248</v>
      </c>
      <c r="H1164" s="110" t="s">
        <v>11572</v>
      </c>
      <c r="I1164" s="110" t="s">
        <v>11573</v>
      </c>
    </row>
    <row r="1165" spans="1:9" ht="25.2" x14ac:dyDescent="0.3">
      <c r="A1165" s="109" t="s">
        <v>11574</v>
      </c>
      <c r="B1165" s="109" t="s">
        <v>11415</v>
      </c>
      <c r="C1165" s="109" t="s">
        <v>11415</v>
      </c>
      <c r="D1165" s="109" t="s">
        <v>11575</v>
      </c>
      <c r="E1165" s="109" t="s">
        <v>5558</v>
      </c>
      <c r="F1165" s="109" t="s">
        <v>11576</v>
      </c>
      <c r="G1165" s="110" t="s">
        <v>6248</v>
      </c>
      <c r="H1165" s="110" t="s">
        <v>6398</v>
      </c>
      <c r="I1165" s="110" t="s">
        <v>11577</v>
      </c>
    </row>
    <row r="1166" spans="1:9" ht="25.2" x14ac:dyDescent="0.3">
      <c r="A1166" s="109" t="s">
        <v>11578</v>
      </c>
      <c r="B1166" s="109" t="s">
        <v>11415</v>
      </c>
      <c r="C1166" s="109" t="s">
        <v>11415</v>
      </c>
      <c r="D1166" s="109" t="s">
        <v>11579</v>
      </c>
      <c r="E1166" s="109" t="s">
        <v>5558</v>
      </c>
      <c r="F1166" s="109" t="s">
        <v>11580</v>
      </c>
      <c r="G1166" s="110" t="s">
        <v>6248</v>
      </c>
      <c r="H1166" s="110" t="s">
        <v>6433</v>
      </c>
      <c r="I1166" s="110" t="s">
        <v>11581</v>
      </c>
    </row>
    <row r="1167" spans="1:9" ht="37.799999999999997" x14ac:dyDescent="0.3">
      <c r="A1167" s="109" t="s">
        <v>11582</v>
      </c>
      <c r="B1167" s="109" t="s">
        <v>11415</v>
      </c>
      <c r="C1167" s="109" t="s">
        <v>11415</v>
      </c>
      <c r="D1167" s="109" t="s">
        <v>11583</v>
      </c>
      <c r="E1167" s="109" t="s">
        <v>5558</v>
      </c>
      <c r="F1167" s="109" t="s">
        <v>11584</v>
      </c>
      <c r="G1167" s="110" t="s">
        <v>6248</v>
      </c>
      <c r="H1167" s="110" t="s">
        <v>9101</v>
      </c>
      <c r="I1167" s="110" t="s">
        <v>11585</v>
      </c>
    </row>
    <row r="1168" spans="1:9" ht="25.2" x14ac:dyDescent="0.3">
      <c r="A1168" s="109" t="s">
        <v>11586</v>
      </c>
      <c r="B1168" s="109" t="s">
        <v>11415</v>
      </c>
      <c r="C1168" s="109" t="s">
        <v>11415</v>
      </c>
      <c r="D1168" s="109" t="s">
        <v>11587</v>
      </c>
      <c r="E1168" s="109" t="s">
        <v>5558</v>
      </c>
      <c r="F1168" s="109" t="s">
        <v>11588</v>
      </c>
      <c r="G1168" s="110" t="s">
        <v>6248</v>
      </c>
      <c r="H1168" s="110" t="s">
        <v>11476</v>
      </c>
      <c r="I1168" s="110" t="s">
        <v>11589</v>
      </c>
    </row>
    <row r="1169" spans="1:9" ht="37.799999999999997" x14ac:dyDescent="0.3">
      <c r="A1169" s="109" t="s">
        <v>11590</v>
      </c>
      <c r="B1169" s="109" t="s">
        <v>11415</v>
      </c>
      <c r="C1169" s="109" t="s">
        <v>11415</v>
      </c>
      <c r="D1169" s="109" t="s">
        <v>11591</v>
      </c>
      <c r="E1169" s="109" t="s">
        <v>5558</v>
      </c>
      <c r="F1169" s="109" t="s">
        <v>11592</v>
      </c>
      <c r="G1169" s="110" t="s">
        <v>6248</v>
      </c>
      <c r="H1169" s="110" t="s">
        <v>7947</v>
      </c>
      <c r="I1169" s="110" t="s">
        <v>11593</v>
      </c>
    </row>
    <row r="1170" spans="1:9" ht="37.799999999999997" x14ac:dyDescent="0.3">
      <c r="A1170" s="109" t="s">
        <v>11594</v>
      </c>
      <c r="B1170" s="109" t="s">
        <v>11415</v>
      </c>
      <c r="C1170" s="109" t="s">
        <v>11415</v>
      </c>
      <c r="D1170" s="109" t="s">
        <v>11595</v>
      </c>
      <c r="E1170" s="109" t="s">
        <v>5558</v>
      </c>
      <c r="F1170" s="109" t="s">
        <v>11596</v>
      </c>
      <c r="G1170" s="110" t="s">
        <v>6248</v>
      </c>
      <c r="H1170" s="110" t="s">
        <v>11597</v>
      </c>
      <c r="I1170" s="110" t="s">
        <v>11598</v>
      </c>
    </row>
    <row r="1171" spans="1:9" ht="37.799999999999997" x14ac:dyDescent="0.3">
      <c r="A1171" s="109" t="s">
        <v>11599</v>
      </c>
      <c r="B1171" s="109" t="s">
        <v>11415</v>
      </c>
      <c r="C1171" s="109" t="s">
        <v>11415</v>
      </c>
      <c r="D1171" s="109" t="s">
        <v>11600</v>
      </c>
      <c r="E1171" s="109" t="s">
        <v>5558</v>
      </c>
      <c r="F1171" s="109" t="s">
        <v>11601</v>
      </c>
      <c r="G1171" s="110" t="s">
        <v>6248</v>
      </c>
      <c r="H1171" s="110" t="s">
        <v>6389</v>
      </c>
      <c r="I1171" s="110" t="s">
        <v>11602</v>
      </c>
    </row>
    <row r="1172" spans="1:9" ht="25.2" x14ac:dyDescent="0.3">
      <c r="A1172" s="109" t="s">
        <v>11603</v>
      </c>
      <c r="B1172" s="109" t="s">
        <v>11415</v>
      </c>
      <c r="C1172" s="109" t="s">
        <v>11415</v>
      </c>
      <c r="D1172" s="109" t="s">
        <v>11604</v>
      </c>
      <c r="E1172" s="109" t="s">
        <v>5558</v>
      </c>
      <c r="F1172" s="109" t="s">
        <v>11605</v>
      </c>
      <c r="G1172" s="110" t="s">
        <v>6248</v>
      </c>
      <c r="H1172" s="110" t="s">
        <v>11606</v>
      </c>
      <c r="I1172" s="110" t="s">
        <v>11607</v>
      </c>
    </row>
    <row r="1173" spans="1:9" ht="25.2" x14ac:dyDescent="0.3">
      <c r="A1173" s="109" t="s">
        <v>11608</v>
      </c>
      <c r="B1173" s="109" t="s">
        <v>11415</v>
      </c>
      <c r="C1173" s="109" t="s">
        <v>11415</v>
      </c>
      <c r="D1173" s="109" t="s">
        <v>11609</v>
      </c>
      <c r="E1173" s="109" t="s">
        <v>5558</v>
      </c>
      <c r="F1173" s="109" t="s">
        <v>11610</v>
      </c>
      <c r="G1173" s="110" t="s">
        <v>6248</v>
      </c>
      <c r="H1173" s="110" t="s">
        <v>6639</v>
      </c>
      <c r="I1173" s="110" t="s">
        <v>11611</v>
      </c>
    </row>
    <row r="1174" spans="1:9" ht="37.799999999999997" x14ac:dyDescent="0.3">
      <c r="A1174" s="109" t="s">
        <v>11612</v>
      </c>
      <c r="B1174" s="109" t="s">
        <v>11415</v>
      </c>
      <c r="C1174" s="109" t="s">
        <v>11415</v>
      </c>
      <c r="D1174" s="109" t="s">
        <v>11613</v>
      </c>
      <c r="E1174" s="109" t="s">
        <v>5558</v>
      </c>
      <c r="F1174" s="109" t="s">
        <v>11614</v>
      </c>
      <c r="G1174" s="110" t="s">
        <v>6248</v>
      </c>
      <c r="H1174" s="110" t="s">
        <v>6460</v>
      </c>
      <c r="I1174" s="110" t="s">
        <v>11615</v>
      </c>
    </row>
    <row r="1175" spans="1:9" ht="25.2" x14ac:dyDescent="0.3">
      <c r="A1175" s="109" t="s">
        <v>11616</v>
      </c>
      <c r="B1175" s="109" t="s">
        <v>11415</v>
      </c>
      <c r="C1175" s="109" t="s">
        <v>11415</v>
      </c>
      <c r="D1175" s="109" t="s">
        <v>11617</v>
      </c>
      <c r="E1175" s="109" t="s">
        <v>5558</v>
      </c>
      <c r="F1175" s="109" t="s">
        <v>11618</v>
      </c>
      <c r="G1175" s="110" t="s">
        <v>6248</v>
      </c>
      <c r="H1175" s="110" t="s">
        <v>11619</v>
      </c>
      <c r="I1175" s="110" t="s">
        <v>11620</v>
      </c>
    </row>
    <row r="1176" spans="1:9" ht="37.799999999999997" x14ac:dyDescent="0.3">
      <c r="A1176" s="109" t="s">
        <v>11621</v>
      </c>
      <c r="B1176" s="109" t="s">
        <v>11415</v>
      </c>
      <c r="C1176" s="109" t="s">
        <v>11415</v>
      </c>
      <c r="D1176" s="109" t="s">
        <v>11622</v>
      </c>
      <c r="E1176" s="109" t="s">
        <v>5558</v>
      </c>
      <c r="F1176" s="109" t="s">
        <v>11623</v>
      </c>
      <c r="G1176" s="110" t="s">
        <v>6248</v>
      </c>
      <c r="H1176" s="110" t="s">
        <v>6575</v>
      </c>
      <c r="I1176" s="110" t="s">
        <v>11624</v>
      </c>
    </row>
    <row r="1177" spans="1:9" ht="25.2" x14ac:dyDescent="0.3">
      <c r="A1177" s="109" t="s">
        <v>11625</v>
      </c>
      <c r="B1177" s="109" t="s">
        <v>11415</v>
      </c>
      <c r="C1177" s="109" t="s">
        <v>11415</v>
      </c>
      <c r="D1177" s="109" t="s">
        <v>11626</v>
      </c>
      <c r="E1177" s="109" t="s">
        <v>5558</v>
      </c>
      <c r="F1177" s="109" t="s">
        <v>11627</v>
      </c>
      <c r="G1177" s="110" t="s">
        <v>6248</v>
      </c>
      <c r="H1177" s="110" t="s">
        <v>6433</v>
      </c>
      <c r="I1177" s="110" t="s">
        <v>11628</v>
      </c>
    </row>
    <row r="1178" spans="1:9" ht="37.799999999999997" x14ac:dyDescent="0.3">
      <c r="A1178" s="109" t="s">
        <v>11629</v>
      </c>
      <c r="B1178" s="109" t="s">
        <v>11415</v>
      </c>
      <c r="C1178" s="109" t="s">
        <v>11415</v>
      </c>
      <c r="D1178" s="109" t="s">
        <v>11630</v>
      </c>
      <c r="E1178" s="109" t="s">
        <v>5558</v>
      </c>
      <c r="F1178" s="109" t="s">
        <v>11631</v>
      </c>
      <c r="G1178" s="110" t="s">
        <v>6248</v>
      </c>
      <c r="H1178" s="110" t="s">
        <v>6413</v>
      </c>
      <c r="I1178" s="110" t="s">
        <v>11632</v>
      </c>
    </row>
    <row r="1179" spans="1:9" ht="37.799999999999997" x14ac:dyDescent="0.3">
      <c r="A1179" s="109" t="s">
        <v>11633</v>
      </c>
      <c r="B1179" s="109" t="s">
        <v>11415</v>
      </c>
      <c r="C1179" s="109" t="s">
        <v>11415</v>
      </c>
      <c r="D1179" s="109" t="s">
        <v>11634</v>
      </c>
      <c r="E1179" s="109" t="s">
        <v>5558</v>
      </c>
      <c r="F1179" s="109" t="s">
        <v>11635</v>
      </c>
      <c r="G1179" s="110" t="s">
        <v>6248</v>
      </c>
      <c r="H1179" s="110" t="s">
        <v>6557</v>
      </c>
      <c r="I1179" s="110" t="s">
        <v>11636</v>
      </c>
    </row>
    <row r="1180" spans="1:9" ht="25.2" x14ac:dyDescent="0.3">
      <c r="A1180" s="109" t="s">
        <v>11637</v>
      </c>
      <c r="B1180" s="109" t="s">
        <v>11415</v>
      </c>
      <c r="C1180" s="109" t="s">
        <v>11415</v>
      </c>
      <c r="D1180" s="109" t="s">
        <v>11638</v>
      </c>
      <c r="E1180" s="109" t="s">
        <v>5558</v>
      </c>
      <c r="F1180" s="109" t="s">
        <v>11639</v>
      </c>
      <c r="G1180" s="110" t="s">
        <v>6248</v>
      </c>
      <c r="H1180" s="110" t="s">
        <v>11640</v>
      </c>
      <c r="I1180" s="110" t="s">
        <v>11641</v>
      </c>
    </row>
    <row r="1181" spans="1:9" ht="25.2" x14ac:dyDescent="0.3">
      <c r="A1181" s="109" t="s">
        <v>11642</v>
      </c>
      <c r="B1181" s="109" t="s">
        <v>11415</v>
      </c>
      <c r="C1181" s="109" t="s">
        <v>11415</v>
      </c>
      <c r="D1181" s="109" t="s">
        <v>11643</v>
      </c>
      <c r="E1181" s="109" t="s">
        <v>5558</v>
      </c>
      <c r="F1181" s="109" t="s">
        <v>11644</v>
      </c>
      <c r="G1181" s="110" t="s">
        <v>6248</v>
      </c>
      <c r="H1181" s="110" t="s">
        <v>6557</v>
      </c>
      <c r="I1181" s="110" t="s">
        <v>11645</v>
      </c>
    </row>
    <row r="1182" spans="1:9" ht="25.2" x14ac:dyDescent="0.3">
      <c r="A1182" s="109" t="s">
        <v>11646</v>
      </c>
      <c r="B1182" s="109" t="s">
        <v>11415</v>
      </c>
      <c r="C1182" s="109" t="s">
        <v>11415</v>
      </c>
      <c r="D1182" s="109" t="s">
        <v>11647</v>
      </c>
      <c r="E1182" s="109" t="s">
        <v>5558</v>
      </c>
      <c r="F1182" s="109" t="s">
        <v>11648</v>
      </c>
      <c r="G1182" s="110" t="s">
        <v>6248</v>
      </c>
      <c r="H1182" s="110" t="s">
        <v>8984</v>
      </c>
      <c r="I1182" s="110" t="s">
        <v>11649</v>
      </c>
    </row>
    <row r="1183" spans="1:9" ht="25.2" x14ac:dyDescent="0.3">
      <c r="A1183" s="109" t="s">
        <v>11650</v>
      </c>
      <c r="B1183" s="109" t="s">
        <v>11415</v>
      </c>
      <c r="C1183" s="109" t="s">
        <v>11415</v>
      </c>
      <c r="D1183" s="109" t="s">
        <v>11651</v>
      </c>
      <c r="E1183" s="109" t="s">
        <v>5558</v>
      </c>
      <c r="F1183" s="109" t="s">
        <v>11652</v>
      </c>
      <c r="G1183" s="110" t="s">
        <v>6248</v>
      </c>
      <c r="H1183" s="110" t="s">
        <v>6403</v>
      </c>
      <c r="I1183" s="110" t="s">
        <v>11653</v>
      </c>
    </row>
    <row r="1184" spans="1:9" ht="37.799999999999997" x14ac:dyDescent="0.3">
      <c r="A1184" s="109" t="s">
        <v>11654</v>
      </c>
      <c r="B1184" s="109" t="s">
        <v>11415</v>
      </c>
      <c r="C1184" s="109" t="s">
        <v>11415</v>
      </c>
      <c r="D1184" s="109" t="s">
        <v>11655</v>
      </c>
      <c r="E1184" s="109" t="s">
        <v>5558</v>
      </c>
      <c r="F1184" s="109" t="s">
        <v>11656</v>
      </c>
      <c r="G1184" s="110" t="s">
        <v>6248</v>
      </c>
      <c r="H1184" s="110" t="s">
        <v>8984</v>
      </c>
      <c r="I1184" s="110" t="s">
        <v>11657</v>
      </c>
    </row>
    <row r="1185" spans="1:9" ht="25.2" x14ac:dyDescent="0.3">
      <c r="A1185" s="109" t="s">
        <v>11658</v>
      </c>
      <c r="B1185" s="109" t="s">
        <v>11415</v>
      </c>
      <c r="C1185" s="109" t="s">
        <v>11415</v>
      </c>
      <c r="D1185" s="109" t="s">
        <v>11659</v>
      </c>
      <c r="E1185" s="109" t="s">
        <v>5558</v>
      </c>
      <c r="F1185" s="109" t="s">
        <v>11660</v>
      </c>
      <c r="G1185" s="110" t="s">
        <v>6248</v>
      </c>
      <c r="H1185" s="110" t="s">
        <v>11661</v>
      </c>
      <c r="I1185" s="110" t="s">
        <v>11662</v>
      </c>
    </row>
    <row r="1186" spans="1:9" ht="37.799999999999997" x14ac:dyDescent="0.3">
      <c r="A1186" s="109" t="s">
        <v>11663</v>
      </c>
      <c r="B1186" s="109" t="s">
        <v>11415</v>
      </c>
      <c r="C1186" s="109" t="s">
        <v>11415</v>
      </c>
      <c r="D1186" s="109" t="s">
        <v>11664</v>
      </c>
      <c r="E1186" s="109" t="s">
        <v>5558</v>
      </c>
      <c r="F1186" s="109" t="s">
        <v>11665</v>
      </c>
      <c r="G1186" s="110" t="s">
        <v>6248</v>
      </c>
      <c r="H1186" s="110" t="s">
        <v>7817</v>
      </c>
      <c r="I1186" s="110" t="s">
        <v>11666</v>
      </c>
    </row>
    <row r="1187" spans="1:9" ht="25.2" x14ac:dyDescent="0.3">
      <c r="A1187" s="109" t="s">
        <v>11667</v>
      </c>
      <c r="B1187" s="109" t="s">
        <v>11415</v>
      </c>
      <c r="C1187" s="109" t="s">
        <v>11415</v>
      </c>
      <c r="D1187" s="109" t="s">
        <v>11668</v>
      </c>
      <c r="E1187" s="109" t="s">
        <v>5558</v>
      </c>
      <c r="F1187" s="109" t="s">
        <v>11669</v>
      </c>
      <c r="G1187" s="110" t="s">
        <v>6248</v>
      </c>
      <c r="H1187" s="110" t="s">
        <v>6494</v>
      </c>
      <c r="I1187" s="110" t="s">
        <v>11670</v>
      </c>
    </row>
    <row r="1188" spans="1:9" ht="25.2" x14ac:dyDescent="0.3">
      <c r="A1188" s="109" t="s">
        <v>11671</v>
      </c>
      <c r="B1188" s="109" t="s">
        <v>11415</v>
      </c>
      <c r="C1188" s="109" t="s">
        <v>11415</v>
      </c>
      <c r="D1188" s="109" t="s">
        <v>11672</v>
      </c>
      <c r="E1188" s="109" t="s">
        <v>5558</v>
      </c>
      <c r="F1188" s="109" t="s">
        <v>11673</v>
      </c>
      <c r="G1188" s="110" t="s">
        <v>6248</v>
      </c>
      <c r="H1188" s="110" t="s">
        <v>6398</v>
      </c>
      <c r="I1188" s="110" t="s">
        <v>11674</v>
      </c>
    </row>
    <row r="1189" spans="1:9" ht="25.2" x14ac:dyDescent="0.3">
      <c r="A1189" s="109" t="s">
        <v>11675</v>
      </c>
      <c r="B1189" s="109" t="s">
        <v>11415</v>
      </c>
      <c r="C1189" s="109" t="s">
        <v>11415</v>
      </c>
      <c r="D1189" s="109" t="s">
        <v>11676</v>
      </c>
      <c r="E1189" s="109" t="s">
        <v>5558</v>
      </c>
      <c r="F1189" s="109" t="s">
        <v>6696</v>
      </c>
      <c r="G1189" s="110" t="s">
        <v>11677</v>
      </c>
      <c r="H1189" s="110" t="s">
        <v>6248</v>
      </c>
      <c r="I1189" s="110" t="s">
        <v>11678</v>
      </c>
    </row>
    <row r="1190" spans="1:9" ht="25.2" x14ac:dyDescent="0.3">
      <c r="A1190" s="109" t="s">
        <v>11679</v>
      </c>
      <c r="B1190" s="109" t="s">
        <v>11415</v>
      </c>
      <c r="C1190" s="109" t="s">
        <v>11415</v>
      </c>
      <c r="D1190" s="109" t="s">
        <v>11680</v>
      </c>
      <c r="E1190" s="109" t="s">
        <v>5558</v>
      </c>
      <c r="F1190" s="109" t="s">
        <v>11681</v>
      </c>
      <c r="G1190" s="110" t="s">
        <v>6248</v>
      </c>
      <c r="H1190" s="110" t="s">
        <v>11682</v>
      </c>
      <c r="I1190" s="110" t="s">
        <v>11683</v>
      </c>
    </row>
    <row r="1191" spans="1:9" ht="25.2" x14ac:dyDescent="0.3">
      <c r="A1191" s="109" t="s">
        <v>11684</v>
      </c>
      <c r="B1191" s="109" t="s">
        <v>11415</v>
      </c>
      <c r="C1191" s="109" t="s">
        <v>11415</v>
      </c>
      <c r="D1191" s="109" t="s">
        <v>11685</v>
      </c>
      <c r="E1191" s="109" t="s">
        <v>5558</v>
      </c>
      <c r="F1191" s="109" t="s">
        <v>11686</v>
      </c>
      <c r="G1191" s="110" t="s">
        <v>6248</v>
      </c>
      <c r="H1191" s="110" t="s">
        <v>11687</v>
      </c>
      <c r="I1191" s="110" t="s">
        <v>11688</v>
      </c>
    </row>
    <row r="1192" spans="1:9" ht="25.2" x14ac:dyDescent="0.3">
      <c r="A1192" s="109" t="s">
        <v>11689</v>
      </c>
      <c r="B1192" s="109" t="s">
        <v>11415</v>
      </c>
      <c r="C1192" s="109" t="s">
        <v>11415</v>
      </c>
      <c r="D1192" s="109" t="s">
        <v>11690</v>
      </c>
      <c r="E1192" s="109" t="s">
        <v>5558</v>
      </c>
      <c r="F1192" s="109" t="s">
        <v>6696</v>
      </c>
      <c r="G1192" s="110" t="s">
        <v>11691</v>
      </c>
      <c r="H1192" s="110" t="s">
        <v>6248</v>
      </c>
      <c r="I1192" s="110" t="s">
        <v>11692</v>
      </c>
    </row>
    <row r="1193" spans="1:9" ht="25.2" x14ac:dyDescent="0.3">
      <c r="A1193" s="109" t="s">
        <v>11693</v>
      </c>
      <c r="B1193" s="109" t="s">
        <v>11415</v>
      </c>
      <c r="C1193" s="109" t="s">
        <v>11415</v>
      </c>
      <c r="D1193" s="109" t="s">
        <v>11694</v>
      </c>
      <c r="E1193" s="109" t="s">
        <v>5558</v>
      </c>
      <c r="F1193" s="109" t="s">
        <v>11695</v>
      </c>
      <c r="G1193" s="110" t="s">
        <v>6248</v>
      </c>
      <c r="H1193" s="110" t="s">
        <v>11696</v>
      </c>
      <c r="I1193" s="110" t="s">
        <v>11697</v>
      </c>
    </row>
    <row r="1194" spans="1:9" ht="25.2" x14ac:dyDescent="0.3">
      <c r="A1194" s="109" t="s">
        <v>11698</v>
      </c>
      <c r="B1194" s="109" t="s">
        <v>11415</v>
      </c>
      <c r="C1194" s="109" t="s">
        <v>11415</v>
      </c>
      <c r="D1194" s="109" t="s">
        <v>11699</v>
      </c>
      <c r="E1194" s="109" t="s">
        <v>5558</v>
      </c>
      <c r="F1194" s="109" t="s">
        <v>11700</v>
      </c>
      <c r="G1194" s="110" t="s">
        <v>6248</v>
      </c>
      <c r="H1194" s="110" t="s">
        <v>11701</v>
      </c>
      <c r="I1194" s="110" t="s">
        <v>11702</v>
      </c>
    </row>
    <row r="1195" spans="1:9" ht="25.2" x14ac:dyDescent="0.3">
      <c r="A1195" s="109" t="s">
        <v>11703</v>
      </c>
      <c r="B1195" s="109" t="s">
        <v>11415</v>
      </c>
      <c r="C1195" s="109" t="s">
        <v>11415</v>
      </c>
      <c r="D1195" s="109" t="s">
        <v>11704</v>
      </c>
      <c r="E1195" s="109" t="s">
        <v>5558</v>
      </c>
      <c r="F1195" s="109" t="s">
        <v>11705</v>
      </c>
      <c r="G1195" s="110" t="s">
        <v>6248</v>
      </c>
      <c r="H1195" s="110" t="s">
        <v>11706</v>
      </c>
      <c r="I1195" s="110" t="s">
        <v>11707</v>
      </c>
    </row>
    <row r="1196" spans="1:9" ht="37.799999999999997" x14ac:dyDescent="0.3">
      <c r="A1196" s="109" t="s">
        <v>11708</v>
      </c>
      <c r="B1196" s="109" t="s">
        <v>11415</v>
      </c>
      <c r="C1196" s="109" t="s">
        <v>11415</v>
      </c>
      <c r="D1196" s="109" t="s">
        <v>11709</v>
      </c>
      <c r="E1196" s="109" t="s">
        <v>5558</v>
      </c>
      <c r="F1196" s="109" t="s">
        <v>11710</v>
      </c>
      <c r="G1196" s="110" t="s">
        <v>6248</v>
      </c>
      <c r="H1196" s="110" t="s">
        <v>11711</v>
      </c>
      <c r="I1196" s="110" t="s">
        <v>11712</v>
      </c>
    </row>
    <row r="1197" spans="1:9" ht="37.799999999999997" x14ac:dyDescent="0.3">
      <c r="A1197" s="109" t="s">
        <v>11713</v>
      </c>
      <c r="B1197" s="109" t="s">
        <v>11415</v>
      </c>
      <c r="C1197" s="109" t="s">
        <v>11415</v>
      </c>
      <c r="D1197" s="109" t="s">
        <v>11714</v>
      </c>
      <c r="E1197" s="109" t="s">
        <v>5558</v>
      </c>
      <c r="F1197" s="109" t="s">
        <v>11715</v>
      </c>
      <c r="G1197" s="110" t="s">
        <v>6248</v>
      </c>
      <c r="H1197" s="110" t="s">
        <v>6689</v>
      </c>
      <c r="I1197" s="110" t="s">
        <v>11716</v>
      </c>
    </row>
    <row r="1198" spans="1:9" ht="37.799999999999997" x14ac:dyDescent="0.3">
      <c r="A1198" s="109" t="s">
        <v>11717</v>
      </c>
      <c r="B1198" s="109" t="s">
        <v>11415</v>
      </c>
      <c r="C1198" s="109" t="s">
        <v>11415</v>
      </c>
      <c r="D1198" s="109" t="s">
        <v>11718</v>
      </c>
      <c r="E1198" s="109" t="s">
        <v>5558</v>
      </c>
      <c r="F1198" s="109" t="s">
        <v>11719</v>
      </c>
      <c r="G1198" s="110" t="s">
        <v>6248</v>
      </c>
      <c r="H1198" s="110" t="s">
        <v>11720</v>
      </c>
      <c r="I1198" s="110" t="s">
        <v>11721</v>
      </c>
    </row>
    <row r="1199" spans="1:9" ht="25.2" x14ac:dyDescent="0.3">
      <c r="A1199" s="109" t="s">
        <v>11722</v>
      </c>
      <c r="B1199" s="109" t="s">
        <v>11415</v>
      </c>
      <c r="C1199" s="109" t="s">
        <v>11415</v>
      </c>
      <c r="D1199" s="109" t="s">
        <v>5569</v>
      </c>
      <c r="E1199" s="109" t="s">
        <v>5558</v>
      </c>
      <c r="F1199" s="109" t="s">
        <v>2258</v>
      </c>
      <c r="G1199" s="110" t="s">
        <v>6248</v>
      </c>
      <c r="H1199" s="110" t="s">
        <v>11723</v>
      </c>
      <c r="I1199" s="110" t="s">
        <v>11724</v>
      </c>
    </row>
    <row r="1200" spans="1:9" ht="25.2" x14ac:dyDescent="0.3">
      <c r="A1200" s="109" t="s">
        <v>11725</v>
      </c>
      <c r="B1200" s="109" t="s">
        <v>11415</v>
      </c>
      <c r="C1200" s="109" t="s">
        <v>11415</v>
      </c>
      <c r="D1200" s="109" t="s">
        <v>1085</v>
      </c>
      <c r="E1200" s="109" t="s">
        <v>11726</v>
      </c>
      <c r="F1200" s="109" t="s">
        <v>10266</v>
      </c>
      <c r="G1200" s="110" t="s">
        <v>6248</v>
      </c>
      <c r="H1200" s="110" t="s">
        <v>11727</v>
      </c>
      <c r="I1200" s="110" t="s">
        <v>11728</v>
      </c>
    </row>
    <row r="1201" spans="1:9" ht="25.2" x14ac:dyDescent="0.3">
      <c r="A1201" s="109" t="s">
        <v>11729</v>
      </c>
      <c r="B1201" s="109" t="s">
        <v>11415</v>
      </c>
      <c r="C1201" s="109" t="s">
        <v>11415</v>
      </c>
      <c r="D1201" s="109" t="s">
        <v>11730</v>
      </c>
      <c r="E1201" s="109" t="s">
        <v>11731</v>
      </c>
      <c r="F1201" s="109" t="s">
        <v>11732</v>
      </c>
      <c r="G1201" s="110" t="s">
        <v>6248</v>
      </c>
      <c r="H1201" s="110" t="s">
        <v>11733</v>
      </c>
      <c r="I1201" s="110" t="s">
        <v>11734</v>
      </c>
    </row>
    <row r="1202" spans="1:9" ht="25.2" x14ac:dyDescent="0.3">
      <c r="A1202" s="109" t="s">
        <v>11735</v>
      </c>
      <c r="B1202" s="109" t="s">
        <v>11415</v>
      </c>
      <c r="C1202" s="109" t="s">
        <v>11415</v>
      </c>
      <c r="D1202" s="109" t="s">
        <v>5569</v>
      </c>
      <c r="E1202" s="109" t="s">
        <v>5558</v>
      </c>
      <c r="F1202" s="109" t="s">
        <v>2258</v>
      </c>
      <c r="G1202" s="110" t="s">
        <v>6248</v>
      </c>
      <c r="H1202" s="110" t="s">
        <v>11736</v>
      </c>
      <c r="I1202" s="110" t="s">
        <v>11737</v>
      </c>
    </row>
    <row r="1203" spans="1:9" ht="25.2" x14ac:dyDescent="0.3">
      <c r="A1203" s="109" t="s">
        <v>11738</v>
      </c>
      <c r="B1203" s="109" t="s">
        <v>11415</v>
      </c>
      <c r="C1203" s="109" t="s">
        <v>11415</v>
      </c>
      <c r="D1203" s="109" t="s">
        <v>11739</v>
      </c>
      <c r="E1203" s="109" t="s">
        <v>5558</v>
      </c>
      <c r="F1203" s="109" t="s">
        <v>11740</v>
      </c>
      <c r="G1203" s="110" t="s">
        <v>6248</v>
      </c>
      <c r="H1203" s="110" t="s">
        <v>7062</v>
      </c>
      <c r="I1203" s="110" t="s">
        <v>11741</v>
      </c>
    </row>
    <row r="1204" spans="1:9" ht="25.2" x14ac:dyDescent="0.3">
      <c r="A1204" s="109" t="s">
        <v>11742</v>
      </c>
      <c r="B1204" s="109" t="s">
        <v>11415</v>
      </c>
      <c r="C1204" s="109" t="s">
        <v>11415</v>
      </c>
      <c r="D1204" s="109" t="s">
        <v>11743</v>
      </c>
      <c r="E1204" s="109" t="s">
        <v>5558</v>
      </c>
      <c r="F1204" s="109" t="s">
        <v>11744</v>
      </c>
      <c r="G1204" s="110" t="s">
        <v>6248</v>
      </c>
      <c r="H1204" s="110" t="s">
        <v>11745</v>
      </c>
      <c r="I1204" s="110" t="s">
        <v>11746</v>
      </c>
    </row>
    <row r="1205" spans="1:9" ht="37.799999999999997" x14ac:dyDescent="0.3">
      <c r="A1205" s="109" t="s">
        <v>11747</v>
      </c>
      <c r="B1205" s="109" t="s">
        <v>11415</v>
      </c>
      <c r="C1205" s="109" t="s">
        <v>11415</v>
      </c>
      <c r="D1205" s="109" t="s">
        <v>11748</v>
      </c>
      <c r="E1205" s="109" t="s">
        <v>5558</v>
      </c>
      <c r="F1205" s="109" t="s">
        <v>11749</v>
      </c>
      <c r="G1205" s="110" t="s">
        <v>6248</v>
      </c>
      <c r="H1205" s="110" t="s">
        <v>11750</v>
      </c>
      <c r="I1205" s="110" t="s">
        <v>11751</v>
      </c>
    </row>
    <row r="1206" spans="1:9" ht="37.799999999999997" x14ac:dyDescent="0.3">
      <c r="A1206" s="109" t="s">
        <v>11752</v>
      </c>
      <c r="B1206" s="109" t="s">
        <v>11415</v>
      </c>
      <c r="C1206" s="109" t="s">
        <v>11415</v>
      </c>
      <c r="D1206" s="109" t="s">
        <v>11753</v>
      </c>
      <c r="E1206" s="109" t="s">
        <v>5558</v>
      </c>
      <c r="F1206" s="109" t="s">
        <v>11754</v>
      </c>
      <c r="G1206" s="110" t="s">
        <v>6248</v>
      </c>
      <c r="H1206" s="110" t="s">
        <v>11755</v>
      </c>
      <c r="I1206" s="110" t="s">
        <v>11756</v>
      </c>
    </row>
    <row r="1207" spans="1:9" ht="37.799999999999997" x14ac:dyDescent="0.3">
      <c r="A1207" s="109" t="s">
        <v>11757</v>
      </c>
      <c r="B1207" s="109" t="s">
        <v>11415</v>
      </c>
      <c r="C1207" s="109" t="s">
        <v>11415</v>
      </c>
      <c r="D1207" s="109" t="s">
        <v>11758</v>
      </c>
      <c r="E1207" s="109" t="s">
        <v>5558</v>
      </c>
      <c r="F1207" s="109" t="s">
        <v>11759</v>
      </c>
      <c r="G1207" s="110" t="s">
        <v>6248</v>
      </c>
      <c r="H1207" s="110" t="s">
        <v>11760</v>
      </c>
      <c r="I1207" s="110" t="s">
        <v>11761</v>
      </c>
    </row>
    <row r="1208" spans="1:9" ht="25.2" x14ac:dyDescent="0.3">
      <c r="A1208" s="109" t="s">
        <v>11762</v>
      </c>
      <c r="B1208" s="109" t="s">
        <v>11415</v>
      </c>
      <c r="C1208" s="109" t="s">
        <v>11415</v>
      </c>
      <c r="D1208" s="109" t="s">
        <v>5569</v>
      </c>
      <c r="E1208" s="109" t="s">
        <v>5558</v>
      </c>
      <c r="F1208" s="109" t="s">
        <v>2258</v>
      </c>
      <c r="G1208" s="110" t="s">
        <v>6248</v>
      </c>
      <c r="H1208" s="110" t="s">
        <v>11763</v>
      </c>
      <c r="I1208" s="110" t="s">
        <v>11764</v>
      </c>
    </row>
    <row r="1209" spans="1:9" ht="25.2" x14ac:dyDescent="0.3">
      <c r="A1209" s="109" t="s">
        <v>11765</v>
      </c>
      <c r="B1209" s="109" t="s">
        <v>11415</v>
      </c>
      <c r="C1209" s="109" t="s">
        <v>11415</v>
      </c>
      <c r="D1209" s="109" t="s">
        <v>11766</v>
      </c>
      <c r="E1209" s="109" t="s">
        <v>11767</v>
      </c>
      <c r="F1209" s="109" t="s">
        <v>10765</v>
      </c>
      <c r="G1209" s="110" t="s">
        <v>6248</v>
      </c>
      <c r="H1209" s="110" t="s">
        <v>11768</v>
      </c>
      <c r="I1209" s="110" t="s">
        <v>11769</v>
      </c>
    </row>
    <row r="1210" spans="1:9" ht="25.2" x14ac:dyDescent="0.3">
      <c r="A1210" s="109" t="s">
        <v>11770</v>
      </c>
      <c r="B1210" s="109" t="s">
        <v>11415</v>
      </c>
      <c r="C1210" s="109" t="s">
        <v>11415</v>
      </c>
      <c r="D1210" s="109" t="s">
        <v>11771</v>
      </c>
      <c r="E1210" s="109" t="s">
        <v>5558</v>
      </c>
      <c r="F1210" s="109" t="s">
        <v>11772</v>
      </c>
      <c r="G1210" s="110" t="s">
        <v>6248</v>
      </c>
      <c r="H1210" s="110" t="s">
        <v>9446</v>
      </c>
      <c r="I1210" s="110" t="s">
        <v>11773</v>
      </c>
    </row>
    <row r="1211" spans="1:9" ht="37.799999999999997" x14ac:dyDescent="0.3">
      <c r="A1211" s="109" t="s">
        <v>11774</v>
      </c>
      <c r="B1211" s="109" t="s">
        <v>11415</v>
      </c>
      <c r="C1211" s="109" t="s">
        <v>11415</v>
      </c>
      <c r="D1211" s="109" t="s">
        <v>1222</v>
      </c>
      <c r="E1211" s="109" t="s">
        <v>5558</v>
      </c>
      <c r="F1211" s="109" t="s">
        <v>11775</v>
      </c>
      <c r="G1211" s="110" t="s">
        <v>6248</v>
      </c>
      <c r="H1211" s="110" t="s">
        <v>11776</v>
      </c>
      <c r="I1211" s="110" t="s">
        <v>11777</v>
      </c>
    </row>
    <row r="1212" spans="1:9" ht="37.799999999999997" x14ac:dyDescent="0.3">
      <c r="A1212" s="109" t="s">
        <v>11778</v>
      </c>
      <c r="B1212" s="109" t="s">
        <v>11415</v>
      </c>
      <c r="C1212" s="109" t="s">
        <v>11415</v>
      </c>
      <c r="D1212" s="109" t="s">
        <v>11779</v>
      </c>
      <c r="E1212" s="109" t="s">
        <v>5558</v>
      </c>
      <c r="F1212" s="109" t="s">
        <v>11780</v>
      </c>
      <c r="G1212" s="110" t="s">
        <v>6248</v>
      </c>
      <c r="H1212" s="110" t="s">
        <v>11781</v>
      </c>
      <c r="I1212" s="110" t="s">
        <v>11782</v>
      </c>
    </row>
    <row r="1213" spans="1:9" ht="37.799999999999997" x14ac:dyDescent="0.3">
      <c r="A1213" s="109" t="s">
        <v>11783</v>
      </c>
      <c r="B1213" s="109" t="s">
        <v>11415</v>
      </c>
      <c r="C1213" s="109" t="s">
        <v>11415</v>
      </c>
      <c r="D1213" s="109" t="s">
        <v>11784</v>
      </c>
      <c r="E1213" s="109" t="s">
        <v>5558</v>
      </c>
      <c r="F1213" s="109" t="s">
        <v>11785</v>
      </c>
      <c r="G1213" s="110" t="s">
        <v>6248</v>
      </c>
      <c r="H1213" s="110" t="s">
        <v>11786</v>
      </c>
      <c r="I1213" s="110" t="s">
        <v>11787</v>
      </c>
    </row>
    <row r="1214" spans="1:9" ht="37.799999999999997" x14ac:dyDescent="0.3">
      <c r="A1214" s="109" t="s">
        <v>11788</v>
      </c>
      <c r="B1214" s="109" t="s">
        <v>11415</v>
      </c>
      <c r="C1214" s="109" t="s">
        <v>11415</v>
      </c>
      <c r="D1214" s="109" t="s">
        <v>11789</v>
      </c>
      <c r="E1214" s="109" t="s">
        <v>5558</v>
      </c>
      <c r="F1214" s="109" t="s">
        <v>11790</v>
      </c>
      <c r="G1214" s="110" t="s">
        <v>6248</v>
      </c>
      <c r="H1214" s="110" t="s">
        <v>11791</v>
      </c>
      <c r="I1214" s="110" t="s">
        <v>11792</v>
      </c>
    </row>
    <row r="1215" spans="1:9" ht="25.2" x14ac:dyDescent="0.3">
      <c r="A1215" s="109" t="s">
        <v>11793</v>
      </c>
      <c r="B1215" s="109" t="s">
        <v>11415</v>
      </c>
      <c r="C1215" s="109" t="s">
        <v>11415</v>
      </c>
      <c r="D1215" s="109" t="s">
        <v>11794</v>
      </c>
      <c r="E1215" s="109" t="s">
        <v>11795</v>
      </c>
      <c r="F1215" s="109" t="s">
        <v>6779</v>
      </c>
      <c r="G1215" s="110" t="s">
        <v>6248</v>
      </c>
      <c r="H1215" s="110" t="s">
        <v>11796</v>
      </c>
      <c r="I1215" s="110" t="s">
        <v>11797</v>
      </c>
    </row>
    <row r="1216" spans="1:9" ht="25.2" x14ac:dyDescent="0.3">
      <c r="A1216" s="109" t="s">
        <v>11798</v>
      </c>
      <c r="B1216" s="109" t="s">
        <v>11415</v>
      </c>
      <c r="C1216" s="109" t="s">
        <v>11415</v>
      </c>
      <c r="D1216" s="109" t="s">
        <v>5569</v>
      </c>
      <c r="E1216" s="109" t="s">
        <v>5558</v>
      </c>
      <c r="F1216" s="109" t="s">
        <v>2258</v>
      </c>
      <c r="G1216" s="110" t="s">
        <v>6248</v>
      </c>
      <c r="H1216" s="110" t="s">
        <v>11799</v>
      </c>
      <c r="I1216" s="110" t="s">
        <v>11800</v>
      </c>
    </row>
    <row r="1217" spans="1:9" ht="25.2" x14ac:dyDescent="0.3">
      <c r="A1217" s="109" t="s">
        <v>11801</v>
      </c>
      <c r="B1217" s="109" t="s">
        <v>11415</v>
      </c>
      <c r="C1217" s="109" t="s">
        <v>11415</v>
      </c>
      <c r="D1217" s="109" t="s">
        <v>11802</v>
      </c>
      <c r="E1217" s="109" t="s">
        <v>5558</v>
      </c>
      <c r="F1217" s="109" t="s">
        <v>11803</v>
      </c>
      <c r="G1217" s="110" t="s">
        <v>6248</v>
      </c>
      <c r="H1217" s="110" t="s">
        <v>11804</v>
      </c>
      <c r="I1217" s="110" t="s">
        <v>11805</v>
      </c>
    </row>
    <row r="1218" spans="1:9" ht="25.2" x14ac:dyDescent="0.3">
      <c r="A1218" s="109" t="s">
        <v>11806</v>
      </c>
      <c r="B1218" s="109" t="s">
        <v>11415</v>
      </c>
      <c r="C1218" s="109" t="s">
        <v>11415</v>
      </c>
      <c r="D1218" s="109" t="s">
        <v>11807</v>
      </c>
      <c r="E1218" s="109" t="s">
        <v>11808</v>
      </c>
      <c r="F1218" s="109" t="s">
        <v>11809</v>
      </c>
      <c r="G1218" s="110" t="s">
        <v>11810</v>
      </c>
      <c r="H1218" s="110" t="s">
        <v>6248</v>
      </c>
      <c r="I1218" s="110" t="s">
        <v>11811</v>
      </c>
    </row>
    <row r="1219" spans="1:9" ht="25.2" x14ac:dyDescent="0.3">
      <c r="A1219" s="109" t="s">
        <v>11812</v>
      </c>
      <c r="B1219" s="109" t="s">
        <v>11415</v>
      </c>
      <c r="C1219" s="109" t="s">
        <v>11415</v>
      </c>
      <c r="D1219" s="109" t="s">
        <v>11813</v>
      </c>
      <c r="E1219" s="109" t="s">
        <v>11808</v>
      </c>
      <c r="F1219" s="109" t="s">
        <v>11814</v>
      </c>
      <c r="G1219" s="110" t="s">
        <v>7254</v>
      </c>
      <c r="H1219" s="110" t="s">
        <v>6248</v>
      </c>
      <c r="I1219" s="110" t="s">
        <v>11815</v>
      </c>
    </row>
    <row r="1220" spans="1:9" ht="25.2" x14ac:dyDescent="0.3">
      <c r="A1220" s="109" t="s">
        <v>11816</v>
      </c>
      <c r="B1220" s="109" t="s">
        <v>11415</v>
      </c>
      <c r="C1220" s="109" t="s">
        <v>11415</v>
      </c>
      <c r="D1220" s="109" t="s">
        <v>11817</v>
      </c>
      <c r="E1220" s="109" t="s">
        <v>11808</v>
      </c>
      <c r="F1220" s="109" t="s">
        <v>11818</v>
      </c>
      <c r="G1220" s="110" t="s">
        <v>11819</v>
      </c>
      <c r="H1220" s="110" t="s">
        <v>6248</v>
      </c>
      <c r="I1220" s="110" t="s">
        <v>11820</v>
      </c>
    </row>
    <row r="1221" spans="1:9" ht="25.2" x14ac:dyDescent="0.3">
      <c r="A1221" s="109" t="s">
        <v>11821</v>
      </c>
      <c r="B1221" s="109" t="s">
        <v>11415</v>
      </c>
      <c r="C1221" s="109" t="s">
        <v>11415</v>
      </c>
      <c r="D1221" s="109" t="s">
        <v>11822</v>
      </c>
      <c r="E1221" s="109" t="s">
        <v>11823</v>
      </c>
      <c r="F1221" s="109" t="s">
        <v>11824</v>
      </c>
      <c r="G1221" s="110" t="s">
        <v>6248</v>
      </c>
      <c r="H1221" s="110" t="s">
        <v>7321</v>
      </c>
      <c r="I1221" s="110" t="s">
        <v>11825</v>
      </c>
    </row>
    <row r="1222" spans="1:9" ht="25.2" x14ac:dyDescent="0.3">
      <c r="A1222" s="109" t="s">
        <v>11826</v>
      </c>
      <c r="B1222" s="109" t="s">
        <v>11415</v>
      </c>
      <c r="C1222" s="109" t="s">
        <v>11415</v>
      </c>
      <c r="D1222" s="109" t="s">
        <v>11827</v>
      </c>
      <c r="E1222" s="109" t="s">
        <v>5558</v>
      </c>
      <c r="F1222" s="109" t="s">
        <v>11828</v>
      </c>
      <c r="G1222" s="110" t="s">
        <v>6248</v>
      </c>
      <c r="H1222" s="110" t="s">
        <v>11829</v>
      </c>
      <c r="I1222" s="110" t="s">
        <v>11830</v>
      </c>
    </row>
    <row r="1223" spans="1:9" ht="25.2" x14ac:dyDescent="0.3">
      <c r="A1223" s="109" t="s">
        <v>11831</v>
      </c>
      <c r="B1223" s="109" t="s">
        <v>11415</v>
      </c>
      <c r="C1223" s="109" t="s">
        <v>11415</v>
      </c>
      <c r="D1223" s="109" t="s">
        <v>1572</v>
      </c>
      <c r="E1223" s="109" t="s">
        <v>11832</v>
      </c>
      <c r="F1223" s="109" t="s">
        <v>7123</v>
      </c>
      <c r="G1223" s="110" t="s">
        <v>6248</v>
      </c>
      <c r="H1223" s="110" t="s">
        <v>11833</v>
      </c>
      <c r="I1223" s="110" t="s">
        <v>11834</v>
      </c>
    </row>
    <row r="1224" spans="1:9" ht="63" x14ac:dyDescent="0.3">
      <c r="A1224" s="109" t="s">
        <v>11835</v>
      </c>
      <c r="B1224" s="109" t="s">
        <v>11415</v>
      </c>
      <c r="C1224" s="109" t="s">
        <v>11415</v>
      </c>
      <c r="D1224" s="109" t="s">
        <v>11836</v>
      </c>
      <c r="E1224" s="109" t="s">
        <v>11836</v>
      </c>
      <c r="F1224" s="109" t="s">
        <v>11837</v>
      </c>
      <c r="G1224" s="110" t="s">
        <v>6248</v>
      </c>
      <c r="H1224" s="110" t="s">
        <v>8499</v>
      </c>
      <c r="I1224" s="110" t="s">
        <v>11838</v>
      </c>
    </row>
    <row r="1225" spans="1:9" ht="37.799999999999997" x14ac:dyDescent="0.3">
      <c r="A1225" s="109" t="s">
        <v>11839</v>
      </c>
      <c r="B1225" s="109" t="s">
        <v>11415</v>
      </c>
      <c r="C1225" s="109" t="s">
        <v>11415</v>
      </c>
      <c r="D1225" s="109" t="s">
        <v>11840</v>
      </c>
      <c r="E1225" s="109" t="s">
        <v>5558</v>
      </c>
      <c r="F1225" s="109" t="s">
        <v>11841</v>
      </c>
      <c r="G1225" s="110" t="s">
        <v>6248</v>
      </c>
      <c r="H1225" s="110" t="s">
        <v>11842</v>
      </c>
      <c r="I1225" s="110" t="s">
        <v>11843</v>
      </c>
    </row>
    <row r="1226" spans="1:9" ht="25.2" x14ac:dyDescent="0.3">
      <c r="A1226" s="109" t="s">
        <v>11844</v>
      </c>
      <c r="B1226" s="109" t="s">
        <v>11415</v>
      </c>
      <c r="C1226" s="109" t="s">
        <v>11415</v>
      </c>
      <c r="D1226" s="109" t="s">
        <v>11845</v>
      </c>
      <c r="E1226" s="109" t="s">
        <v>5558</v>
      </c>
      <c r="F1226" s="109" t="s">
        <v>11846</v>
      </c>
      <c r="G1226" s="110" t="s">
        <v>6248</v>
      </c>
      <c r="H1226" s="110" t="s">
        <v>11847</v>
      </c>
      <c r="I1226" s="110" t="s">
        <v>11848</v>
      </c>
    </row>
    <row r="1227" spans="1:9" ht="25.2" x14ac:dyDescent="0.3">
      <c r="A1227" s="109" t="s">
        <v>11849</v>
      </c>
      <c r="B1227" s="109" t="s">
        <v>11415</v>
      </c>
      <c r="C1227" s="109" t="s">
        <v>11415</v>
      </c>
      <c r="D1227" s="109" t="s">
        <v>5569</v>
      </c>
      <c r="E1227" s="109" t="s">
        <v>5558</v>
      </c>
      <c r="F1227" s="109" t="s">
        <v>2258</v>
      </c>
      <c r="G1227" s="110" t="s">
        <v>6248</v>
      </c>
      <c r="H1227" s="110" t="s">
        <v>11850</v>
      </c>
      <c r="I1227" s="110" t="s">
        <v>11851</v>
      </c>
    </row>
    <row r="1228" spans="1:9" ht="37.799999999999997" x14ac:dyDescent="0.3">
      <c r="A1228" s="109" t="s">
        <v>11852</v>
      </c>
      <c r="B1228" s="109" t="s">
        <v>11415</v>
      </c>
      <c r="C1228" s="109" t="s">
        <v>11415</v>
      </c>
      <c r="D1228" s="109" t="s">
        <v>11853</v>
      </c>
      <c r="E1228" s="109" t="s">
        <v>5558</v>
      </c>
      <c r="F1228" s="109" t="s">
        <v>11854</v>
      </c>
      <c r="G1228" s="110" t="s">
        <v>6248</v>
      </c>
      <c r="H1228" s="110" t="s">
        <v>11855</v>
      </c>
      <c r="I1228" s="110" t="s">
        <v>11856</v>
      </c>
    </row>
    <row r="1229" spans="1:9" ht="37.799999999999997" x14ac:dyDescent="0.3">
      <c r="A1229" s="109" t="s">
        <v>11857</v>
      </c>
      <c r="B1229" s="109" t="s">
        <v>11415</v>
      </c>
      <c r="C1229" s="109" t="s">
        <v>11415</v>
      </c>
      <c r="D1229" s="109" t="s">
        <v>11858</v>
      </c>
      <c r="E1229" s="109" t="s">
        <v>5558</v>
      </c>
      <c r="F1229" s="109" t="s">
        <v>11859</v>
      </c>
      <c r="G1229" s="110" t="s">
        <v>6248</v>
      </c>
      <c r="H1229" s="110" t="s">
        <v>6620</v>
      </c>
      <c r="I1229" s="110" t="s">
        <v>11860</v>
      </c>
    </row>
    <row r="1230" spans="1:9" ht="63" x14ac:dyDescent="0.3">
      <c r="A1230" s="109" t="s">
        <v>11861</v>
      </c>
      <c r="B1230" s="109" t="s">
        <v>11415</v>
      </c>
      <c r="C1230" s="109" t="s">
        <v>11415</v>
      </c>
      <c r="D1230" s="109" t="s">
        <v>9921</v>
      </c>
      <c r="E1230" s="109" t="s">
        <v>9921</v>
      </c>
      <c r="F1230" s="109" t="s">
        <v>11862</v>
      </c>
      <c r="G1230" s="110" t="s">
        <v>6248</v>
      </c>
      <c r="H1230" s="110" t="s">
        <v>11863</v>
      </c>
      <c r="I1230" s="110" t="s">
        <v>11864</v>
      </c>
    </row>
    <row r="1231" spans="1:9" ht="25.2" x14ac:dyDescent="0.3">
      <c r="A1231" s="109" t="s">
        <v>11865</v>
      </c>
      <c r="B1231" s="109" t="s">
        <v>11415</v>
      </c>
      <c r="C1231" s="109" t="s">
        <v>11415</v>
      </c>
      <c r="D1231" s="109" t="s">
        <v>11866</v>
      </c>
      <c r="E1231" s="109" t="s">
        <v>5558</v>
      </c>
      <c r="F1231" s="109" t="s">
        <v>11867</v>
      </c>
      <c r="G1231" s="110" t="s">
        <v>6248</v>
      </c>
      <c r="H1231" s="110" t="s">
        <v>11868</v>
      </c>
      <c r="I1231" s="110" t="s">
        <v>11869</v>
      </c>
    </row>
    <row r="1232" spans="1:9" ht="37.799999999999997" x14ac:dyDescent="0.3">
      <c r="A1232" s="109" t="s">
        <v>11870</v>
      </c>
      <c r="B1232" s="109" t="s">
        <v>11415</v>
      </c>
      <c r="C1232" s="109" t="s">
        <v>11415</v>
      </c>
      <c r="D1232" s="109" t="s">
        <v>11871</v>
      </c>
      <c r="E1232" s="109" t="s">
        <v>5558</v>
      </c>
      <c r="F1232" s="109" t="s">
        <v>11872</v>
      </c>
      <c r="G1232" s="110" t="s">
        <v>6248</v>
      </c>
      <c r="H1232" s="110" t="s">
        <v>8445</v>
      </c>
      <c r="I1232" s="110" t="s">
        <v>11873</v>
      </c>
    </row>
    <row r="1233" spans="1:9" ht="37.799999999999997" x14ac:dyDescent="0.3">
      <c r="A1233" s="109" t="s">
        <v>11874</v>
      </c>
      <c r="B1233" s="109" t="s">
        <v>11415</v>
      </c>
      <c r="C1233" s="109" t="s">
        <v>11415</v>
      </c>
      <c r="D1233" s="109" t="s">
        <v>11875</v>
      </c>
      <c r="E1233" s="109" t="s">
        <v>5558</v>
      </c>
      <c r="F1233" s="109" t="s">
        <v>11876</v>
      </c>
      <c r="G1233" s="110" t="s">
        <v>6248</v>
      </c>
      <c r="H1233" s="110" t="s">
        <v>11877</v>
      </c>
      <c r="I1233" s="110" t="s">
        <v>11878</v>
      </c>
    </row>
    <row r="1234" spans="1:9" ht="37.799999999999997" x14ac:dyDescent="0.3">
      <c r="A1234" s="109" t="s">
        <v>11879</v>
      </c>
      <c r="B1234" s="109" t="s">
        <v>11415</v>
      </c>
      <c r="C1234" s="109" t="s">
        <v>11415</v>
      </c>
      <c r="D1234" s="109" t="s">
        <v>11880</v>
      </c>
      <c r="E1234" s="109" t="s">
        <v>5558</v>
      </c>
      <c r="F1234" s="109" t="s">
        <v>11881</v>
      </c>
      <c r="G1234" s="110" t="s">
        <v>6248</v>
      </c>
      <c r="H1234" s="110" t="s">
        <v>11882</v>
      </c>
      <c r="I1234" s="110" t="s">
        <v>11883</v>
      </c>
    </row>
    <row r="1235" spans="1:9" ht="25.2" x14ac:dyDescent="0.3">
      <c r="A1235" s="109" t="s">
        <v>11884</v>
      </c>
      <c r="B1235" s="109" t="s">
        <v>11415</v>
      </c>
      <c r="C1235" s="109" t="s">
        <v>11415</v>
      </c>
      <c r="D1235" s="109" t="s">
        <v>11885</v>
      </c>
      <c r="E1235" s="109" t="s">
        <v>5558</v>
      </c>
      <c r="F1235" s="109" t="s">
        <v>11886</v>
      </c>
      <c r="G1235" s="110" t="s">
        <v>6248</v>
      </c>
      <c r="H1235" s="110" t="s">
        <v>6352</v>
      </c>
      <c r="I1235" s="110" t="s">
        <v>11887</v>
      </c>
    </row>
    <row r="1236" spans="1:9" ht="25.2" x14ac:dyDescent="0.3">
      <c r="A1236" s="109" t="s">
        <v>11888</v>
      </c>
      <c r="B1236" s="109" t="s">
        <v>11415</v>
      </c>
      <c r="C1236" s="109" t="s">
        <v>11415</v>
      </c>
      <c r="D1236" s="109" t="s">
        <v>5569</v>
      </c>
      <c r="E1236" s="109" t="s">
        <v>5558</v>
      </c>
      <c r="F1236" s="109" t="s">
        <v>2258</v>
      </c>
      <c r="G1236" s="110" t="s">
        <v>6248</v>
      </c>
      <c r="H1236" s="110" t="s">
        <v>11889</v>
      </c>
      <c r="I1236" s="110" t="s">
        <v>11890</v>
      </c>
    </row>
    <row r="1237" spans="1:9" ht="25.2" x14ac:dyDescent="0.3">
      <c r="A1237" s="109" t="s">
        <v>11891</v>
      </c>
      <c r="B1237" s="109" t="s">
        <v>11415</v>
      </c>
      <c r="C1237" s="109" t="s">
        <v>11415</v>
      </c>
      <c r="D1237" s="109" t="s">
        <v>5569</v>
      </c>
      <c r="E1237" s="109" t="s">
        <v>5558</v>
      </c>
      <c r="F1237" s="109" t="s">
        <v>2258</v>
      </c>
      <c r="G1237" s="110" t="s">
        <v>6248</v>
      </c>
      <c r="H1237" s="110" t="s">
        <v>11892</v>
      </c>
      <c r="I1237" s="110" t="s">
        <v>11893</v>
      </c>
    </row>
    <row r="1238" spans="1:9" ht="25.2" x14ac:dyDescent="0.3">
      <c r="A1238" s="109" t="s">
        <v>11894</v>
      </c>
      <c r="B1238" s="109" t="s">
        <v>11415</v>
      </c>
      <c r="C1238" s="109" t="s">
        <v>11415</v>
      </c>
      <c r="D1238" s="109" t="s">
        <v>5569</v>
      </c>
      <c r="E1238" s="109" t="s">
        <v>5558</v>
      </c>
      <c r="F1238" s="109" t="s">
        <v>2258</v>
      </c>
      <c r="G1238" s="110" t="s">
        <v>6248</v>
      </c>
      <c r="H1238" s="110" t="s">
        <v>11895</v>
      </c>
      <c r="I1238" s="110" t="s">
        <v>11896</v>
      </c>
    </row>
    <row r="1239" spans="1:9" ht="37.799999999999997" x14ac:dyDescent="0.3">
      <c r="A1239" s="109" t="s">
        <v>11897</v>
      </c>
      <c r="B1239" s="109" t="s">
        <v>11415</v>
      </c>
      <c r="C1239" s="109" t="s">
        <v>11415</v>
      </c>
      <c r="D1239" s="109" t="s">
        <v>11898</v>
      </c>
      <c r="E1239" s="109" t="s">
        <v>5558</v>
      </c>
      <c r="F1239" s="109" t="s">
        <v>11899</v>
      </c>
      <c r="G1239" s="110" t="s">
        <v>6248</v>
      </c>
      <c r="H1239" s="110" t="s">
        <v>11900</v>
      </c>
      <c r="I1239" s="110" t="s">
        <v>11901</v>
      </c>
    </row>
    <row r="1240" spans="1:9" ht="25.2" x14ac:dyDescent="0.3">
      <c r="A1240" s="109" t="s">
        <v>11902</v>
      </c>
      <c r="B1240" s="109" t="s">
        <v>11415</v>
      </c>
      <c r="C1240" s="109" t="s">
        <v>11415</v>
      </c>
      <c r="D1240" s="109" t="s">
        <v>11903</v>
      </c>
      <c r="E1240" s="109" t="s">
        <v>5558</v>
      </c>
      <c r="F1240" s="109" t="s">
        <v>11904</v>
      </c>
      <c r="G1240" s="110" t="s">
        <v>6248</v>
      </c>
      <c r="H1240" s="110" t="s">
        <v>11905</v>
      </c>
      <c r="I1240" s="110" t="s">
        <v>11906</v>
      </c>
    </row>
    <row r="1241" spans="1:9" ht="63" x14ac:dyDescent="0.3">
      <c r="A1241" s="109" t="s">
        <v>11907</v>
      </c>
      <c r="B1241" s="109" t="s">
        <v>11415</v>
      </c>
      <c r="C1241" s="109" t="s">
        <v>11415</v>
      </c>
      <c r="D1241" s="109" t="s">
        <v>11908</v>
      </c>
      <c r="E1241" s="109" t="s">
        <v>11908</v>
      </c>
      <c r="F1241" s="109" t="s">
        <v>11909</v>
      </c>
      <c r="G1241" s="110" t="s">
        <v>6248</v>
      </c>
      <c r="H1241" s="110" t="s">
        <v>6393</v>
      </c>
      <c r="I1241" s="110" t="s">
        <v>11910</v>
      </c>
    </row>
    <row r="1242" spans="1:9" ht="25.2" x14ac:dyDescent="0.3">
      <c r="A1242" s="109" t="s">
        <v>11911</v>
      </c>
      <c r="B1242" s="109" t="s">
        <v>11415</v>
      </c>
      <c r="C1242" s="109" t="s">
        <v>11415</v>
      </c>
      <c r="D1242" s="109" t="s">
        <v>5569</v>
      </c>
      <c r="E1242" s="109" t="s">
        <v>5558</v>
      </c>
      <c r="F1242" s="109" t="s">
        <v>2258</v>
      </c>
      <c r="G1242" s="110" t="s">
        <v>6248</v>
      </c>
      <c r="H1242" s="110" t="s">
        <v>11912</v>
      </c>
      <c r="I1242" s="110" t="s">
        <v>11913</v>
      </c>
    </row>
    <row r="1243" spans="1:9" ht="75.599999999999994" x14ac:dyDescent="0.3">
      <c r="A1243" s="109" t="s">
        <v>11914</v>
      </c>
      <c r="B1243" s="109" t="s">
        <v>11415</v>
      </c>
      <c r="C1243" s="109" t="s">
        <v>11415</v>
      </c>
      <c r="D1243" s="109" t="s">
        <v>11915</v>
      </c>
      <c r="E1243" s="109" t="s">
        <v>11915</v>
      </c>
      <c r="F1243" s="109" t="s">
        <v>11916</v>
      </c>
      <c r="G1243" s="110" t="s">
        <v>6248</v>
      </c>
      <c r="H1243" s="110" t="s">
        <v>11917</v>
      </c>
      <c r="I1243" s="110" t="s">
        <v>11918</v>
      </c>
    </row>
    <row r="1244" spans="1:9" ht="37.799999999999997" x14ac:dyDescent="0.3">
      <c r="A1244" s="109" t="s">
        <v>11919</v>
      </c>
      <c r="B1244" s="109" t="s">
        <v>11415</v>
      </c>
      <c r="C1244" s="109" t="s">
        <v>11415</v>
      </c>
      <c r="D1244" s="109" t="s">
        <v>11920</v>
      </c>
      <c r="E1244" s="109" t="s">
        <v>5558</v>
      </c>
      <c r="F1244" s="109" t="s">
        <v>11921</v>
      </c>
      <c r="G1244" s="110" t="s">
        <v>6248</v>
      </c>
      <c r="H1244" s="110" t="s">
        <v>10272</v>
      </c>
      <c r="I1244" s="110" t="s">
        <v>11922</v>
      </c>
    </row>
    <row r="1245" spans="1:9" ht="25.2" x14ac:dyDescent="0.3">
      <c r="A1245" s="109" t="s">
        <v>11923</v>
      </c>
      <c r="B1245" s="109" t="s">
        <v>11415</v>
      </c>
      <c r="C1245" s="109" t="s">
        <v>11415</v>
      </c>
      <c r="D1245" s="109" t="s">
        <v>11924</v>
      </c>
      <c r="E1245" s="109" t="s">
        <v>11925</v>
      </c>
      <c r="F1245" s="109" t="s">
        <v>11926</v>
      </c>
      <c r="G1245" s="110" t="s">
        <v>6248</v>
      </c>
      <c r="H1245" s="110" t="s">
        <v>11927</v>
      </c>
      <c r="I1245" s="110" t="s">
        <v>11928</v>
      </c>
    </row>
    <row r="1246" spans="1:9" ht="25.2" x14ac:dyDescent="0.3">
      <c r="A1246" s="109" t="s">
        <v>11929</v>
      </c>
      <c r="B1246" s="109" t="s">
        <v>11415</v>
      </c>
      <c r="C1246" s="109" t="s">
        <v>11415</v>
      </c>
      <c r="D1246" s="109" t="s">
        <v>5569</v>
      </c>
      <c r="E1246" s="109" t="s">
        <v>5558</v>
      </c>
      <c r="F1246" s="109" t="s">
        <v>2258</v>
      </c>
      <c r="G1246" s="110" t="s">
        <v>6248</v>
      </c>
      <c r="H1246" s="110" t="s">
        <v>11930</v>
      </c>
      <c r="I1246" s="110" t="s">
        <v>11931</v>
      </c>
    </row>
    <row r="1247" spans="1:9" ht="25.2" x14ac:dyDescent="0.3">
      <c r="A1247" s="109" t="s">
        <v>11932</v>
      </c>
      <c r="B1247" s="109" t="s">
        <v>11415</v>
      </c>
      <c r="C1247" s="109" t="s">
        <v>11415</v>
      </c>
      <c r="D1247" s="109" t="s">
        <v>11933</v>
      </c>
      <c r="E1247" s="109" t="s">
        <v>11934</v>
      </c>
      <c r="F1247" s="109" t="s">
        <v>6878</v>
      </c>
      <c r="G1247" s="110" t="s">
        <v>11935</v>
      </c>
      <c r="H1247" s="110" t="s">
        <v>6248</v>
      </c>
      <c r="I1247" s="110" t="s">
        <v>11936</v>
      </c>
    </row>
    <row r="1248" spans="1:9" ht="63" x14ac:dyDescent="0.3">
      <c r="A1248" s="109" t="s">
        <v>11937</v>
      </c>
      <c r="B1248" s="109" t="s">
        <v>11415</v>
      </c>
      <c r="C1248" s="109" t="s">
        <v>11415</v>
      </c>
      <c r="D1248" s="109" t="s">
        <v>11938</v>
      </c>
      <c r="E1248" s="109" t="s">
        <v>11938</v>
      </c>
      <c r="F1248" s="109" t="s">
        <v>11939</v>
      </c>
      <c r="G1248" s="110" t="s">
        <v>6248</v>
      </c>
      <c r="H1248" s="110" t="s">
        <v>11940</v>
      </c>
      <c r="I1248" s="110" t="s">
        <v>11941</v>
      </c>
    </row>
    <row r="1249" spans="1:9" ht="63" x14ac:dyDescent="0.3">
      <c r="A1249" s="109" t="s">
        <v>11942</v>
      </c>
      <c r="B1249" s="109" t="s">
        <v>11415</v>
      </c>
      <c r="C1249" s="109" t="s">
        <v>11415</v>
      </c>
      <c r="D1249" s="109" t="s">
        <v>10003</v>
      </c>
      <c r="E1249" s="109" t="s">
        <v>10003</v>
      </c>
      <c r="F1249" s="109" t="s">
        <v>11943</v>
      </c>
      <c r="G1249" s="110" t="s">
        <v>6248</v>
      </c>
      <c r="H1249" s="110" t="s">
        <v>11944</v>
      </c>
      <c r="I1249" s="110" t="s">
        <v>11945</v>
      </c>
    </row>
    <row r="1250" spans="1:9" ht="37.799999999999997" x14ac:dyDescent="0.3">
      <c r="A1250" s="109" t="s">
        <v>11946</v>
      </c>
      <c r="B1250" s="109" t="s">
        <v>11415</v>
      </c>
      <c r="C1250" s="109" t="s">
        <v>11415</v>
      </c>
      <c r="D1250" s="109" t="s">
        <v>11947</v>
      </c>
      <c r="E1250" s="109" t="s">
        <v>5558</v>
      </c>
      <c r="F1250" s="109" t="s">
        <v>11948</v>
      </c>
      <c r="G1250" s="110" t="s">
        <v>6248</v>
      </c>
      <c r="H1250" s="110" t="s">
        <v>11949</v>
      </c>
      <c r="I1250" s="110" t="s">
        <v>11950</v>
      </c>
    </row>
    <row r="1251" spans="1:9" ht="25.2" x14ac:dyDescent="0.3">
      <c r="A1251" s="109" t="s">
        <v>11951</v>
      </c>
      <c r="B1251" s="109" t="s">
        <v>11415</v>
      </c>
      <c r="C1251" s="109" t="s">
        <v>11415</v>
      </c>
      <c r="D1251" s="109" t="s">
        <v>11952</v>
      </c>
      <c r="E1251" s="109" t="s">
        <v>11953</v>
      </c>
      <c r="F1251" s="109" t="s">
        <v>7039</v>
      </c>
      <c r="G1251" s="110" t="s">
        <v>6248</v>
      </c>
      <c r="H1251" s="110" t="s">
        <v>11954</v>
      </c>
      <c r="I1251" s="110" t="s">
        <v>11955</v>
      </c>
    </row>
    <row r="1252" spans="1:9" ht="63" x14ac:dyDescent="0.3">
      <c r="A1252" s="109" t="s">
        <v>11956</v>
      </c>
      <c r="B1252" s="109" t="s">
        <v>11415</v>
      </c>
      <c r="C1252" s="109" t="s">
        <v>11415</v>
      </c>
      <c r="D1252" s="109" t="s">
        <v>11957</v>
      </c>
      <c r="E1252" s="109" t="s">
        <v>11957</v>
      </c>
      <c r="F1252" s="109" t="s">
        <v>11958</v>
      </c>
      <c r="G1252" s="110" t="s">
        <v>6248</v>
      </c>
      <c r="H1252" s="110" t="s">
        <v>7339</v>
      </c>
      <c r="I1252" s="110" t="s">
        <v>11959</v>
      </c>
    </row>
    <row r="1253" spans="1:9" ht="25.2" x14ac:dyDescent="0.3">
      <c r="A1253" s="109" t="s">
        <v>11960</v>
      </c>
      <c r="B1253" s="109" t="s">
        <v>11415</v>
      </c>
      <c r="C1253" s="109" t="s">
        <v>11415</v>
      </c>
      <c r="D1253" s="109" t="s">
        <v>11961</v>
      </c>
      <c r="E1253" s="109" t="s">
        <v>11962</v>
      </c>
      <c r="F1253" s="109" t="s">
        <v>5897</v>
      </c>
      <c r="G1253" s="110" t="s">
        <v>6248</v>
      </c>
      <c r="H1253" s="110" t="s">
        <v>11963</v>
      </c>
      <c r="I1253" s="110" t="s">
        <v>11964</v>
      </c>
    </row>
    <row r="1254" spans="1:9" ht="25.2" x14ac:dyDescent="0.3">
      <c r="A1254" s="109" t="s">
        <v>11965</v>
      </c>
      <c r="B1254" s="109" t="s">
        <v>11415</v>
      </c>
      <c r="C1254" s="109" t="s">
        <v>11415</v>
      </c>
      <c r="D1254" s="109" t="s">
        <v>11966</v>
      </c>
      <c r="E1254" s="109" t="s">
        <v>5558</v>
      </c>
      <c r="F1254" s="109" t="s">
        <v>11967</v>
      </c>
      <c r="G1254" s="110" t="s">
        <v>6248</v>
      </c>
      <c r="H1254" s="110" t="s">
        <v>11968</v>
      </c>
      <c r="I1254" s="110" t="s">
        <v>11969</v>
      </c>
    </row>
    <row r="1255" spans="1:9" ht="25.2" x14ac:dyDescent="0.3">
      <c r="A1255" s="109" t="s">
        <v>11970</v>
      </c>
      <c r="B1255" s="109" t="s">
        <v>11415</v>
      </c>
      <c r="C1255" s="109" t="s">
        <v>11415</v>
      </c>
      <c r="D1255" s="109" t="s">
        <v>1359</v>
      </c>
      <c r="E1255" s="109" t="s">
        <v>5558</v>
      </c>
      <c r="F1255" s="109" t="s">
        <v>11971</v>
      </c>
      <c r="G1255" s="110" t="s">
        <v>6248</v>
      </c>
      <c r="H1255" s="110" t="s">
        <v>6273</v>
      </c>
      <c r="I1255" s="110" t="s">
        <v>11972</v>
      </c>
    </row>
    <row r="1256" spans="1:9" ht="63" x14ac:dyDescent="0.3">
      <c r="A1256" s="109" t="s">
        <v>11973</v>
      </c>
      <c r="B1256" s="109" t="s">
        <v>11415</v>
      </c>
      <c r="C1256" s="109" t="s">
        <v>11415</v>
      </c>
      <c r="D1256" s="109" t="s">
        <v>11974</v>
      </c>
      <c r="E1256" s="109" t="s">
        <v>11974</v>
      </c>
      <c r="F1256" s="109" t="s">
        <v>11975</v>
      </c>
      <c r="G1256" s="110" t="s">
        <v>6248</v>
      </c>
      <c r="H1256" s="110" t="s">
        <v>11976</v>
      </c>
      <c r="I1256" s="110" t="s">
        <v>11977</v>
      </c>
    </row>
    <row r="1257" spans="1:9" ht="25.2" x14ac:dyDescent="0.3">
      <c r="A1257" s="109" t="s">
        <v>11978</v>
      </c>
      <c r="B1257" s="109" t="s">
        <v>11415</v>
      </c>
      <c r="C1257" s="109" t="s">
        <v>11415</v>
      </c>
      <c r="D1257" s="109" t="s">
        <v>11979</v>
      </c>
      <c r="E1257" s="109" t="s">
        <v>6174</v>
      </c>
      <c r="F1257" s="109" t="s">
        <v>7236</v>
      </c>
      <c r="G1257" s="110" t="s">
        <v>6248</v>
      </c>
      <c r="H1257" s="110" t="s">
        <v>11980</v>
      </c>
      <c r="I1257" s="110" t="s">
        <v>11981</v>
      </c>
    </row>
    <row r="1258" spans="1:9" ht="25.2" x14ac:dyDescent="0.3">
      <c r="A1258" s="109" t="s">
        <v>11982</v>
      </c>
      <c r="B1258" s="109" t="s">
        <v>11415</v>
      </c>
      <c r="C1258" s="109" t="s">
        <v>11415</v>
      </c>
      <c r="D1258" s="109" t="s">
        <v>11983</v>
      </c>
      <c r="E1258" s="109" t="s">
        <v>5558</v>
      </c>
      <c r="F1258" s="109" t="s">
        <v>11984</v>
      </c>
      <c r="G1258" s="110" t="s">
        <v>6248</v>
      </c>
      <c r="H1258" s="110" t="s">
        <v>7221</v>
      </c>
      <c r="I1258" s="110" t="s">
        <v>11985</v>
      </c>
    </row>
    <row r="1259" spans="1:9" ht="25.2" x14ac:dyDescent="0.3">
      <c r="A1259" s="109" t="s">
        <v>11986</v>
      </c>
      <c r="B1259" s="109" t="s">
        <v>11415</v>
      </c>
      <c r="C1259" s="109" t="s">
        <v>11415</v>
      </c>
      <c r="D1259" s="109" t="s">
        <v>11987</v>
      </c>
      <c r="E1259" s="109" t="s">
        <v>11988</v>
      </c>
      <c r="F1259" s="109" t="s">
        <v>11989</v>
      </c>
      <c r="G1259" s="110" t="s">
        <v>6248</v>
      </c>
      <c r="H1259" s="110" t="s">
        <v>11990</v>
      </c>
      <c r="I1259" s="110" t="s">
        <v>11991</v>
      </c>
    </row>
    <row r="1260" spans="1:9" ht="63" x14ac:dyDescent="0.3">
      <c r="A1260" s="109" t="s">
        <v>11992</v>
      </c>
      <c r="B1260" s="109" t="s">
        <v>11415</v>
      </c>
      <c r="C1260" s="109" t="s">
        <v>11415</v>
      </c>
      <c r="D1260" s="109" t="s">
        <v>11993</v>
      </c>
      <c r="E1260" s="109" t="s">
        <v>11993</v>
      </c>
      <c r="F1260" s="109" t="s">
        <v>11994</v>
      </c>
      <c r="G1260" s="110" t="s">
        <v>6248</v>
      </c>
      <c r="H1260" s="110" t="s">
        <v>11995</v>
      </c>
      <c r="I1260" s="110" t="s">
        <v>11996</v>
      </c>
    </row>
    <row r="1261" spans="1:9" ht="25.2" x14ac:dyDescent="0.3">
      <c r="A1261" s="109" t="s">
        <v>11997</v>
      </c>
      <c r="B1261" s="109" t="s">
        <v>11415</v>
      </c>
      <c r="C1261" s="109" t="s">
        <v>11415</v>
      </c>
      <c r="D1261" s="109" t="s">
        <v>5569</v>
      </c>
      <c r="E1261" s="109" t="s">
        <v>5558</v>
      </c>
      <c r="F1261" s="109" t="s">
        <v>2258</v>
      </c>
      <c r="G1261" s="110" t="s">
        <v>6248</v>
      </c>
      <c r="H1261" s="110" t="s">
        <v>11998</v>
      </c>
      <c r="I1261" s="110" t="s">
        <v>11999</v>
      </c>
    </row>
    <row r="1262" spans="1:9" ht="25.2" x14ac:dyDescent="0.3">
      <c r="A1262" s="109" t="s">
        <v>12000</v>
      </c>
      <c r="B1262" s="109" t="s">
        <v>11415</v>
      </c>
      <c r="C1262" s="109" t="s">
        <v>11415</v>
      </c>
      <c r="D1262" s="109" t="s">
        <v>5569</v>
      </c>
      <c r="E1262" s="109" t="s">
        <v>5558</v>
      </c>
      <c r="F1262" s="109" t="s">
        <v>2258</v>
      </c>
      <c r="G1262" s="110" t="s">
        <v>6248</v>
      </c>
      <c r="H1262" s="110" t="s">
        <v>12001</v>
      </c>
      <c r="I1262" s="110" t="s">
        <v>12002</v>
      </c>
    </row>
    <row r="1263" spans="1:9" ht="25.2" x14ac:dyDescent="0.3">
      <c r="A1263" s="109" t="s">
        <v>12003</v>
      </c>
      <c r="B1263" s="109" t="s">
        <v>11415</v>
      </c>
      <c r="C1263" s="109" t="s">
        <v>11415</v>
      </c>
      <c r="D1263" s="109" t="s">
        <v>12004</v>
      </c>
      <c r="E1263" s="109" t="s">
        <v>12005</v>
      </c>
      <c r="F1263" s="109" t="s">
        <v>7045</v>
      </c>
      <c r="G1263" s="110" t="s">
        <v>12006</v>
      </c>
      <c r="H1263" s="110" t="s">
        <v>6248</v>
      </c>
      <c r="I1263" s="110" t="s">
        <v>12007</v>
      </c>
    </row>
    <row r="1264" spans="1:9" ht="25.2" x14ac:dyDescent="0.3">
      <c r="A1264" s="109" t="s">
        <v>12008</v>
      </c>
      <c r="B1264" s="109" t="s">
        <v>11415</v>
      </c>
      <c r="C1264" s="109" t="s">
        <v>11415</v>
      </c>
      <c r="D1264" s="109" t="s">
        <v>1436</v>
      </c>
      <c r="E1264" s="109" t="s">
        <v>12009</v>
      </c>
      <c r="F1264" s="109" t="s">
        <v>12010</v>
      </c>
      <c r="G1264" s="110" t="s">
        <v>12011</v>
      </c>
      <c r="H1264" s="110" t="s">
        <v>6248</v>
      </c>
      <c r="I1264" s="110" t="s">
        <v>12012</v>
      </c>
    </row>
    <row r="1265" spans="1:9" ht="25.2" x14ac:dyDescent="0.3">
      <c r="A1265" s="109" t="s">
        <v>12013</v>
      </c>
      <c r="B1265" s="109" t="s">
        <v>11415</v>
      </c>
      <c r="C1265" s="109" t="s">
        <v>11415</v>
      </c>
      <c r="D1265" s="109" t="s">
        <v>5569</v>
      </c>
      <c r="E1265" s="109" t="s">
        <v>5558</v>
      </c>
      <c r="F1265" s="109" t="s">
        <v>2258</v>
      </c>
      <c r="G1265" s="110" t="s">
        <v>6248</v>
      </c>
      <c r="H1265" s="110" t="s">
        <v>12014</v>
      </c>
      <c r="I1265" s="110" t="s">
        <v>12015</v>
      </c>
    </row>
    <row r="1266" spans="1:9" ht="63" x14ac:dyDescent="0.3">
      <c r="A1266" s="109" t="s">
        <v>12016</v>
      </c>
      <c r="B1266" s="109" t="s">
        <v>11415</v>
      </c>
      <c r="C1266" s="109" t="s">
        <v>11415</v>
      </c>
      <c r="D1266" s="109" t="s">
        <v>8529</v>
      </c>
      <c r="E1266" s="109" t="s">
        <v>8529</v>
      </c>
      <c r="F1266" s="109" t="s">
        <v>12017</v>
      </c>
      <c r="G1266" s="110" t="s">
        <v>6248</v>
      </c>
      <c r="H1266" s="110" t="s">
        <v>6369</v>
      </c>
      <c r="I1266" s="110" t="s">
        <v>12018</v>
      </c>
    </row>
    <row r="1267" spans="1:9" ht="25.2" x14ac:dyDescent="0.3">
      <c r="A1267" s="109" t="s">
        <v>12019</v>
      </c>
      <c r="B1267" s="109" t="s">
        <v>11415</v>
      </c>
      <c r="C1267" s="109" t="s">
        <v>11415</v>
      </c>
      <c r="D1267" s="109" t="s">
        <v>5569</v>
      </c>
      <c r="E1267" s="109" t="s">
        <v>5558</v>
      </c>
      <c r="F1267" s="109" t="s">
        <v>2258</v>
      </c>
      <c r="G1267" s="110" t="s">
        <v>6248</v>
      </c>
      <c r="H1267" s="110" t="s">
        <v>12020</v>
      </c>
      <c r="I1267" s="110" t="s">
        <v>12021</v>
      </c>
    </row>
    <row r="1268" spans="1:9" ht="25.2" x14ac:dyDescent="0.3">
      <c r="A1268" s="109" t="s">
        <v>12022</v>
      </c>
      <c r="B1268" s="109" t="s">
        <v>11415</v>
      </c>
      <c r="C1268" s="109" t="s">
        <v>11415</v>
      </c>
      <c r="D1268" s="109" t="s">
        <v>1764</v>
      </c>
      <c r="E1268" s="109" t="s">
        <v>12023</v>
      </c>
      <c r="F1268" s="109" t="s">
        <v>12024</v>
      </c>
      <c r="G1268" s="110" t="s">
        <v>6248</v>
      </c>
      <c r="H1268" s="110" t="s">
        <v>12025</v>
      </c>
      <c r="I1268" s="110" t="s">
        <v>12026</v>
      </c>
    </row>
    <row r="1269" spans="1:9" ht="37.799999999999997" x14ac:dyDescent="0.3">
      <c r="A1269" s="109" t="s">
        <v>12027</v>
      </c>
      <c r="B1269" s="109" t="s">
        <v>11415</v>
      </c>
      <c r="C1269" s="109" t="s">
        <v>11415</v>
      </c>
      <c r="D1269" s="109" t="s">
        <v>1105</v>
      </c>
      <c r="E1269" s="109" t="s">
        <v>5558</v>
      </c>
      <c r="F1269" s="109" t="s">
        <v>12028</v>
      </c>
      <c r="G1269" s="110" t="s">
        <v>6248</v>
      </c>
      <c r="H1269" s="110" t="s">
        <v>12029</v>
      </c>
      <c r="I1269" s="110" t="s">
        <v>12030</v>
      </c>
    </row>
    <row r="1270" spans="1:9" ht="63" x14ac:dyDescent="0.3">
      <c r="A1270" s="109" t="s">
        <v>12031</v>
      </c>
      <c r="B1270" s="109" t="s">
        <v>11415</v>
      </c>
      <c r="C1270" s="109" t="s">
        <v>11415</v>
      </c>
      <c r="D1270" s="109" t="s">
        <v>12032</v>
      </c>
      <c r="E1270" s="109" t="s">
        <v>12032</v>
      </c>
      <c r="F1270" s="109" t="s">
        <v>12033</v>
      </c>
      <c r="G1270" s="110" t="s">
        <v>6248</v>
      </c>
      <c r="H1270" s="110" t="s">
        <v>12034</v>
      </c>
      <c r="I1270" s="110" t="s">
        <v>12035</v>
      </c>
    </row>
    <row r="1271" spans="1:9" ht="25.2" x14ac:dyDescent="0.3">
      <c r="A1271" s="109" t="s">
        <v>12036</v>
      </c>
      <c r="B1271" s="109" t="s">
        <v>11415</v>
      </c>
      <c r="C1271" s="109" t="s">
        <v>11415</v>
      </c>
      <c r="D1271" s="109" t="s">
        <v>1103</v>
      </c>
      <c r="E1271" s="109" t="s">
        <v>5558</v>
      </c>
      <c r="F1271" s="109" t="s">
        <v>12037</v>
      </c>
      <c r="G1271" s="110" t="s">
        <v>6248</v>
      </c>
      <c r="H1271" s="110" t="s">
        <v>12038</v>
      </c>
      <c r="I1271" s="110" t="s">
        <v>12039</v>
      </c>
    </row>
    <row r="1272" spans="1:9" ht="37.799999999999997" x14ac:dyDescent="0.3">
      <c r="A1272" s="109" t="s">
        <v>12040</v>
      </c>
      <c r="B1272" s="109" t="s">
        <v>11415</v>
      </c>
      <c r="C1272" s="109" t="s">
        <v>11415</v>
      </c>
      <c r="D1272" s="109" t="s">
        <v>12041</v>
      </c>
      <c r="E1272" s="109" t="s">
        <v>5558</v>
      </c>
      <c r="F1272" s="109" t="s">
        <v>12042</v>
      </c>
      <c r="G1272" s="110" t="s">
        <v>6248</v>
      </c>
      <c r="H1272" s="110" t="s">
        <v>12043</v>
      </c>
      <c r="I1272" s="110" t="s">
        <v>12044</v>
      </c>
    </row>
    <row r="1273" spans="1:9" ht="63" x14ac:dyDescent="0.3">
      <c r="A1273" s="109" t="s">
        <v>12045</v>
      </c>
      <c r="B1273" s="109" t="s">
        <v>11415</v>
      </c>
      <c r="C1273" s="109" t="s">
        <v>11415</v>
      </c>
      <c r="D1273" s="109" t="s">
        <v>6027</v>
      </c>
      <c r="E1273" s="109" t="s">
        <v>6027</v>
      </c>
      <c r="F1273" s="109" t="s">
        <v>12046</v>
      </c>
      <c r="G1273" s="110" t="s">
        <v>6248</v>
      </c>
      <c r="H1273" s="110" t="s">
        <v>7504</v>
      </c>
      <c r="I1273" s="110" t="s">
        <v>12047</v>
      </c>
    </row>
    <row r="1274" spans="1:9" ht="25.2" x14ac:dyDescent="0.3">
      <c r="A1274" s="109" t="s">
        <v>12048</v>
      </c>
      <c r="B1274" s="109" t="s">
        <v>11415</v>
      </c>
      <c r="C1274" s="109" t="s">
        <v>11415</v>
      </c>
      <c r="D1274" s="109" t="s">
        <v>12049</v>
      </c>
      <c r="E1274" s="109" t="s">
        <v>12050</v>
      </c>
      <c r="F1274" s="109" t="s">
        <v>8707</v>
      </c>
      <c r="G1274" s="110" t="s">
        <v>6248</v>
      </c>
      <c r="H1274" s="110" t="s">
        <v>12051</v>
      </c>
      <c r="I1274" s="110" t="s">
        <v>12052</v>
      </c>
    </row>
    <row r="1275" spans="1:9" ht="25.2" x14ac:dyDescent="0.3">
      <c r="A1275" s="109" t="s">
        <v>12053</v>
      </c>
      <c r="B1275" s="109" t="s">
        <v>11415</v>
      </c>
      <c r="C1275" s="109" t="s">
        <v>11415</v>
      </c>
      <c r="D1275" s="109" t="s">
        <v>12054</v>
      </c>
      <c r="E1275" s="109" t="s">
        <v>12055</v>
      </c>
      <c r="F1275" s="109" t="s">
        <v>8707</v>
      </c>
      <c r="G1275" s="110" t="s">
        <v>6248</v>
      </c>
      <c r="H1275" s="110" t="s">
        <v>12056</v>
      </c>
      <c r="I1275" s="110" t="s">
        <v>12057</v>
      </c>
    </row>
    <row r="1276" spans="1:9" ht="25.2" x14ac:dyDescent="0.3">
      <c r="A1276" s="109" t="s">
        <v>12058</v>
      </c>
      <c r="B1276" s="109" t="s">
        <v>11415</v>
      </c>
      <c r="C1276" s="109" t="s">
        <v>11415</v>
      </c>
      <c r="D1276" s="109" t="s">
        <v>12059</v>
      </c>
      <c r="E1276" s="109" t="s">
        <v>12060</v>
      </c>
      <c r="F1276" s="109" t="s">
        <v>8707</v>
      </c>
      <c r="G1276" s="110" t="s">
        <v>6248</v>
      </c>
      <c r="H1276" s="110" t="s">
        <v>12061</v>
      </c>
      <c r="I1276" s="110" t="s">
        <v>12062</v>
      </c>
    </row>
    <row r="1277" spans="1:9" ht="25.2" x14ac:dyDescent="0.3">
      <c r="A1277" s="109" t="s">
        <v>12063</v>
      </c>
      <c r="B1277" s="109" t="s">
        <v>11415</v>
      </c>
      <c r="C1277" s="109" t="s">
        <v>11415</v>
      </c>
      <c r="D1277" s="109" t="s">
        <v>12064</v>
      </c>
      <c r="E1277" s="109" t="s">
        <v>5558</v>
      </c>
      <c r="F1277" s="109" t="s">
        <v>12065</v>
      </c>
      <c r="G1277" s="110" t="s">
        <v>6248</v>
      </c>
      <c r="H1277" s="110" t="s">
        <v>12066</v>
      </c>
      <c r="I1277" s="110" t="s">
        <v>12067</v>
      </c>
    </row>
    <row r="1278" spans="1:9" ht="25.2" x14ac:dyDescent="0.3">
      <c r="A1278" s="109" t="s">
        <v>12068</v>
      </c>
      <c r="B1278" s="109" t="s">
        <v>11415</v>
      </c>
      <c r="C1278" s="109" t="s">
        <v>11415</v>
      </c>
      <c r="D1278" s="109" t="s">
        <v>12069</v>
      </c>
      <c r="E1278" s="109" t="s">
        <v>12070</v>
      </c>
      <c r="F1278" s="109" t="s">
        <v>12071</v>
      </c>
      <c r="G1278" s="110" t="s">
        <v>6248</v>
      </c>
      <c r="H1278" s="110" t="s">
        <v>12072</v>
      </c>
      <c r="I1278" s="110" t="s">
        <v>12073</v>
      </c>
    </row>
    <row r="1279" spans="1:9" ht="25.2" x14ac:dyDescent="0.3">
      <c r="A1279" s="109" t="s">
        <v>12074</v>
      </c>
      <c r="B1279" s="109" t="s">
        <v>11415</v>
      </c>
      <c r="C1279" s="109" t="s">
        <v>11415</v>
      </c>
      <c r="D1279" s="109" t="s">
        <v>12075</v>
      </c>
      <c r="E1279" s="109" t="s">
        <v>12076</v>
      </c>
      <c r="F1279" s="109" t="s">
        <v>8707</v>
      </c>
      <c r="G1279" s="110" t="s">
        <v>6248</v>
      </c>
      <c r="H1279" s="110" t="s">
        <v>12077</v>
      </c>
      <c r="I1279" s="110" t="s">
        <v>12078</v>
      </c>
    </row>
    <row r="1280" spans="1:9" ht="25.2" x14ac:dyDescent="0.3">
      <c r="A1280" s="109" t="s">
        <v>12079</v>
      </c>
      <c r="B1280" s="109" t="s">
        <v>11415</v>
      </c>
      <c r="C1280" s="109" t="s">
        <v>11415</v>
      </c>
      <c r="D1280" s="109" t="s">
        <v>12080</v>
      </c>
      <c r="E1280" s="109" t="s">
        <v>5558</v>
      </c>
      <c r="F1280" s="109" t="s">
        <v>12081</v>
      </c>
      <c r="G1280" s="110" t="s">
        <v>6248</v>
      </c>
      <c r="H1280" s="110" t="s">
        <v>7221</v>
      </c>
      <c r="I1280" s="110" t="s">
        <v>12082</v>
      </c>
    </row>
    <row r="1281" spans="1:9" ht="25.2" x14ac:dyDescent="0.3">
      <c r="A1281" s="109" t="s">
        <v>12083</v>
      </c>
      <c r="B1281" s="109" t="s">
        <v>11415</v>
      </c>
      <c r="C1281" s="109" t="s">
        <v>11415</v>
      </c>
      <c r="D1281" s="109" t="s">
        <v>12084</v>
      </c>
      <c r="E1281" s="109" t="s">
        <v>12085</v>
      </c>
      <c r="F1281" s="109" t="s">
        <v>8707</v>
      </c>
      <c r="G1281" s="110" t="s">
        <v>6248</v>
      </c>
      <c r="H1281" s="110" t="s">
        <v>12086</v>
      </c>
      <c r="I1281" s="110" t="s">
        <v>12087</v>
      </c>
    </row>
    <row r="1282" spans="1:9" ht="25.2" x14ac:dyDescent="0.3">
      <c r="A1282" s="109" t="s">
        <v>12088</v>
      </c>
      <c r="B1282" s="109" t="s">
        <v>11415</v>
      </c>
      <c r="C1282" s="109" t="s">
        <v>11415</v>
      </c>
      <c r="D1282" s="109" t="s">
        <v>12089</v>
      </c>
      <c r="E1282" s="109" t="s">
        <v>5558</v>
      </c>
      <c r="F1282" s="109" t="s">
        <v>12090</v>
      </c>
      <c r="G1282" s="110" t="s">
        <v>6248</v>
      </c>
      <c r="H1282" s="110" t="s">
        <v>6341</v>
      </c>
      <c r="I1282" s="110" t="s">
        <v>12091</v>
      </c>
    </row>
    <row r="1283" spans="1:9" ht="25.2" x14ac:dyDescent="0.3">
      <c r="A1283" s="109" t="s">
        <v>12092</v>
      </c>
      <c r="B1283" s="109" t="s">
        <v>11415</v>
      </c>
      <c r="C1283" s="109" t="s">
        <v>11415</v>
      </c>
      <c r="D1283" s="109" t="s">
        <v>1310</v>
      </c>
      <c r="E1283" s="109" t="s">
        <v>12093</v>
      </c>
      <c r="F1283" s="109" t="s">
        <v>12094</v>
      </c>
      <c r="G1283" s="110" t="s">
        <v>6248</v>
      </c>
      <c r="H1283" s="110" t="s">
        <v>12095</v>
      </c>
      <c r="I1283" s="110" t="s">
        <v>12096</v>
      </c>
    </row>
    <row r="1284" spans="1:9" ht="37.799999999999997" x14ac:dyDescent="0.3">
      <c r="A1284" s="109" t="s">
        <v>12097</v>
      </c>
      <c r="B1284" s="109" t="s">
        <v>11415</v>
      </c>
      <c r="C1284" s="109" t="s">
        <v>11415</v>
      </c>
      <c r="D1284" s="109" t="s">
        <v>12098</v>
      </c>
      <c r="E1284" s="109" t="s">
        <v>5558</v>
      </c>
      <c r="F1284" s="109" t="s">
        <v>12099</v>
      </c>
      <c r="G1284" s="110" t="s">
        <v>6248</v>
      </c>
      <c r="H1284" s="110" t="s">
        <v>6689</v>
      </c>
      <c r="I1284" s="110" t="s">
        <v>12100</v>
      </c>
    </row>
    <row r="1285" spans="1:9" ht="37.799999999999997" x14ac:dyDescent="0.3">
      <c r="A1285" s="109" t="s">
        <v>12101</v>
      </c>
      <c r="B1285" s="109" t="s">
        <v>11415</v>
      </c>
      <c r="C1285" s="109" t="s">
        <v>11415</v>
      </c>
      <c r="D1285" s="109" t="s">
        <v>12102</v>
      </c>
      <c r="E1285" s="109" t="s">
        <v>5558</v>
      </c>
      <c r="F1285" s="109" t="s">
        <v>12103</v>
      </c>
      <c r="G1285" s="110" t="s">
        <v>6248</v>
      </c>
      <c r="H1285" s="110" t="s">
        <v>6689</v>
      </c>
      <c r="I1285" s="110" t="s">
        <v>12104</v>
      </c>
    </row>
    <row r="1286" spans="1:9" ht="37.799999999999997" x14ac:dyDescent="0.3">
      <c r="A1286" s="109" t="s">
        <v>12105</v>
      </c>
      <c r="B1286" s="109" t="s">
        <v>11415</v>
      </c>
      <c r="C1286" s="109" t="s">
        <v>11415</v>
      </c>
      <c r="D1286" s="109" t="s">
        <v>12106</v>
      </c>
      <c r="E1286" s="109" t="s">
        <v>5558</v>
      </c>
      <c r="F1286" s="109" t="s">
        <v>12107</v>
      </c>
      <c r="G1286" s="110" t="s">
        <v>6248</v>
      </c>
      <c r="H1286" s="110" t="s">
        <v>12108</v>
      </c>
      <c r="I1286" s="110" t="s">
        <v>12109</v>
      </c>
    </row>
    <row r="1287" spans="1:9" ht="25.2" x14ac:dyDescent="0.3">
      <c r="A1287" s="109" t="s">
        <v>12110</v>
      </c>
      <c r="B1287" s="109" t="s">
        <v>11415</v>
      </c>
      <c r="C1287" s="109" t="s">
        <v>11415</v>
      </c>
      <c r="D1287" s="109" t="s">
        <v>12111</v>
      </c>
      <c r="E1287" s="109" t="s">
        <v>12112</v>
      </c>
      <c r="F1287" s="109" t="s">
        <v>12113</v>
      </c>
      <c r="G1287" s="110" t="s">
        <v>6248</v>
      </c>
      <c r="H1287" s="110" t="s">
        <v>12114</v>
      </c>
      <c r="I1287" s="110" t="s">
        <v>12115</v>
      </c>
    </row>
    <row r="1288" spans="1:9" ht="25.2" x14ac:dyDescent="0.3">
      <c r="A1288" s="109" t="s">
        <v>12116</v>
      </c>
      <c r="B1288" s="109" t="s">
        <v>11415</v>
      </c>
      <c r="C1288" s="109" t="s">
        <v>11415</v>
      </c>
      <c r="D1288" s="109" t="s">
        <v>12117</v>
      </c>
      <c r="E1288" s="109" t="s">
        <v>5558</v>
      </c>
      <c r="F1288" s="109" t="s">
        <v>12118</v>
      </c>
      <c r="G1288" s="110" t="s">
        <v>6248</v>
      </c>
      <c r="H1288" s="110" t="s">
        <v>12119</v>
      </c>
      <c r="I1288" s="110" t="s">
        <v>12120</v>
      </c>
    </row>
    <row r="1289" spans="1:9" ht="25.2" x14ac:dyDescent="0.3">
      <c r="A1289" s="109" t="s">
        <v>12121</v>
      </c>
      <c r="B1289" s="109" t="s">
        <v>11415</v>
      </c>
      <c r="C1289" s="109" t="s">
        <v>11415</v>
      </c>
      <c r="D1289" s="109" t="s">
        <v>1109</v>
      </c>
      <c r="E1289" s="109" t="s">
        <v>5558</v>
      </c>
      <c r="F1289" s="109" t="s">
        <v>12122</v>
      </c>
      <c r="G1289" s="110" t="s">
        <v>6248</v>
      </c>
      <c r="H1289" s="110" t="s">
        <v>12123</v>
      </c>
      <c r="I1289" s="110" t="s">
        <v>12124</v>
      </c>
    </row>
    <row r="1290" spans="1:9" ht="37.799999999999997" x14ac:dyDescent="0.3">
      <c r="A1290" s="109" t="s">
        <v>12125</v>
      </c>
      <c r="B1290" s="109" t="s">
        <v>11415</v>
      </c>
      <c r="C1290" s="109" t="s">
        <v>11415</v>
      </c>
      <c r="D1290" s="109" t="s">
        <v>12126</v>
      </c>
      <c r="E1290" s="109" t="s">
        <v>5558</v>
      </c>
      <c r="F1290" s="109" t="s">
        <v>12127</v>
      </c>
      <c r="G1290" s="110" t="s">
        <v>6248</v>
      </c>
      <c r="H1290" s="110" t="s">
        <v>12128</v>
      </c>
      <c r="I1290" s="110" t="s">
        <v>12129</v>
      </c>
    </row>
    <row r="1291" spans="1:9" ht="25.2" x14ac:dyDescent="0.3">
      <c r="A1291" s="109" t="s">
        <v>12130</v>
      </c>
      <c r="B1291" s="109" t="s">
        <v>11415</v>
      </c>
      <c r="C1291" s="109" t="s">
        <v>11415</v>
      </c>
      <c r="D1291" s="109" t="s">
        <v>12131</v>
      </c>
      <c r="E1291" s="109" t="s">
        <v>11934</v>
      </c>
      <c r="F1291" s="109" t="s">
        <v>6878</v>
      </c>
      <c r="G1291" s="110" t="s">
        <v>7592</v>
      </c>
      <c r="H1291" s="110" t="s">
        <v>6248</v>
      </c>
      <c r="I1291" s="110" t="s">
        <v>12132</v>
      </c>
    </row>
    <row r="1292" spans="1:9" ht="25.2" x14ac:dyDescent="0.3">
      <c r="A1292" s="109" t="s">
        <v>12133</v>
      </c>
      <c r="B1292" s="109" t="s">
        <v>11415</v>
      </c>
      <c r="C1292" s="109" t="s">
        <v>11415</v>
      </c>
      <c r="D1292" s="109" t="s">
        <v>1123</v>
      </c>
      <c r="E1292" s="109" t="s">
        <v>12134</v>
      </c>
      <c r="F1292" s="109" t="s">
        <v>12135</v>
      </c>
      <c r="G1292" s="110" t="s">
        <v>6248</v>
      </c>
      <c r="H1292" s="110" t="s">
        <v>12136</v>
      </c>
      <c r="I1292" s="110" t="s">
        <v>12137</v>
      </c>
    </row>
    <row r="1293" spans="1:9" ht="37.799999999999997" x14ac:dyDescent="0.3">
      <c r="A1293" s="109" t="s">
        <v>12138</v>
      </c>
      <c r="B1293" s="109" t="s">
        <v>11415</v>
      </c>
      <c r="C1293" s="109" t="s">
        <v>11415</v>
      </c>
      <c r="D1293" s="109" t="s">
        <v>12139</v>
      </c>
      <c r="E1293" s="109" t="s">
        <v>5558</v>
      </c>
      <c r="F1293" s="109" t="s">
        <v>12140</v>
      </c>
      <c r="G1293" s="110" t="s">
        <v>6248</v>
      </c>
      <c r="H1293" s="110" t="s">
        <v>12141</v>
      </c>
      <c r="I1293" s="110" t="s">
        <v>12142</v>
      </c>
    </row>
    <row r="1294" spans="1:9" ht="37.799999999999997" x14ac:dyDescent="0.3">
      <c r="A1294" s="109" t="s">
        <v>12143</v>
      </c>
      <c r="B1294" s="109" t="s">
        <v>11415</v>
      </c>
      <c r="C1294" s="109" t="s">
        <v>11415</v>
      </c>
      <c r="D1294" s="109" t="s">
        <v>12144</v>
      </c>
      <c r="E1294" s="109" t="s">
        <v>5558</v>
      </c>
      <c r="F1294" s="109" t="s">
        <v>12145</v>
      </c>
      <c r="G1294" s="110" t="s">
        <v>6248</v>
      </c>
      <c r="H1294" s="110" t="s">
        <v>7094</v>
      </c>
      <c r="I1294" s="110" t="s">
        <v>12146</v>
      </c>
    </row>
    <row r="1295" spans="1:9" ht="25.2" x14ac:dyDescent="0.3">
      <c r="A1295" s="109" t="s">
        <v>12147</v>
      </c>
      <c r="B1295" s="109" t="s">
        <v>11415</v>
      </c>
      <c r="C1295" s="109" t="s">
        <v>11415</v>
      </c>
      <c r="D1295" s="109" t="s">
        <v>5569</v>
      </c>
      <c r="E1295" s="109" t="s">
        <v>5558</v>
      </c>
      <c r="F1295" s="109" t="s">
        <v>2258</v>
      </c>
      <c r="G1295" s="110" t="s">
        <v>6248</v>
      </c>
      <c r="H1295" s="110" t="s">
        <v>12148</v>
      </c>
      <c r="I1295" s="110" t="s">
        <v>12149</v>
      </c>
    </row>
    <row r="1296" spans="1:9" ht="37.799999999999997" x14ac:dyDescent="0.3">
      <c r="A1296" s="109" t="s">
        <v>12150</v>
      </c>
      <c r="B1296" s="109" t="s">
        <v>11415</v>
      </c>
      <c r="C1296" s="109" t="s">
        <v>11415</v>
      </c>
      <c r="D1296" s="109" t="s">
        <v>12151</v>
      </c>
      <c r="E1296" s="109" t="s">
        <v>5558</v>
      </c>
      <c r="F1296" s="109" t="s">
        <v>12152</v>
      </c>
      <c r="G1296" s="110" t="s">
        <v>6248</v>
      </c>
      <c r="H1296" s="110" t="s">
        <v>6346</v>
      </c>
      <c r="I1296" s="110" t="s">
        <v>12153</v>
      </c>
    </row>
    <row r="1297" spans="1:9" ht="37.799999999999997" x14ac:dyDescent="0.3">
      <c r="A1297" s="109" t="s">
        <v>12154</v>
      </c>
      <c r="B1297" s="109" t="s">
        <v>11415</v>
      </c>
      <c r="C1297" s="109" t="s">
        <v>11415</v>
      </c>
      <c r="D1297" s="109" t="s">
        <v>12155</v>
      </c>
      <c r="E1297" s="109" t="s">
        <v>5558</v>
      </c>
      <c r="F1297" s="109" t="s">
        <v>12156</v>
      </c>
      <c r="G1297" s="110" t="s">
        <v>6248</v>
      </c>
      <c r="H1297" s="110" t="s">
        <v>12157</v>
      </c>
      <c r="I1297" s="110" t="s">
        <v>12158</v>
      </c>
    </row>
    <row r="1298" spans="1:9" ht="25.2" x14ac:dyDescent="0.3">
      <c r="A1298" s="109" t="s">
        <v>12159</v>
      </c>
      <c r="B1298" s="109" t="s">
        <v>11415</v>
      </c>
      <c r="C1298" s="109" t="s">
        <v>11415</v>
      </c>
      <c r="D1298" s="109" t="s">
        <v>1107</v>
      </c>
      <c r="E1298" s="109" t="s">
        <v>5558</v>
      </c>
      <c r="F1298" s="109" t="s">
        <v>12160</v>
      </c>
      <c r="G1298" s="110" t="s">
        <v>6248</v>
      </c>
      <c r="H1298" s="110" t="s">
        <v>7504</v>
      </c>
      <c r="I1298" s="110" t="s">
        <v>12161</v>
      </c>
    </row>
    <row r="1299" spans="1:9" ht="63" x14ac:dyDescent="0.3">
      <c r="A1299" s="109" t="s">
        <v>12162</v>
      </c>
      <c r="B1299" s="109" t="s">
        <v>11415</v>
      </c>
      <c r="C1299" s="109" t="s">
        <v>11415</v>
      </c>
      <c r="D1299" s="109" t="s">
        <v>12163</v>
      </c>
      <c r="E1299" s="109" t="s">
        <v>12163</v>
      </c>
      <c r="F1299" s="109" t="s">
        <v>12164</v>
      </c>
      <c r="G1299" s="110" t="s">
        <v>6248</v>
      </c>
      <c r="H1299" s="110" t="s">
        <v>12165</v>
      </c>
      <c r="I1299" s="110" t="s">
        <v>12166</v>
      </c>
    </row>
    <row r="1300" spans="1:9" ht="25.2" x14ac:dyDescent="0.3">
      <c r="A1300" s="109" t="s">
        <v>12167</v>
      </c>
      <c r="B1300" s="109" t="s">
        <v>11415</v>
      </c>
      <c r="C1300" s="109" t="s">
        <v>11415</v>
      </c>
      <c r="D1300" s="109" t="s">
        <v>12168</v>
      </c>
      <c r="E1300" s="109" t="s">
        <v>5558</v>
      </c>
      <c r="F1300" s="109" t="s">
        <v>12169</v>
      </c>
      <c r="G1300" s="110" t="s">
        <v>6248</v>
      </c>
      <c r="H1300" s="110" t="s">
        <v>6883</v>
      </c>
      <c r="I1300" s="110" t="s">
        <v>12170</v>
      </c>
    </row>
    <row r="1301" spans="1:9" ht="37.799999999999997" x14ac:dyDescent="0.3">
      <c r="A1301" s="109" t="s">
        <v>12171</v>
      </c>
      <c r="B1301" s="109" t="s">
        <v>11415</v>
      </c>
      <c r="C1301" s="109" t="s">
        <v>11415</v>
      </c>
      <c r="D1301" s="109" t="s">
        <v>12172</v>
      </c>
      <c r="E1301" s="109" t="s">
        <v>5558</v>
      </c>
      <c r="F1301" s="109" t="s">
        <v>12173</v>
      </c>
      <c r="G1301" s="110" t="s">
        <v>6248</v>
      </c>
      <c r="H1301" s="110" t="s">
        <v>12174</v>
      </c>
      <c r="I1301" s="110" t="s">
        <v>12175</v>
      </c>
    </row>
    <row r="1302" spans="1:9" ht="63" x14ac:dyDescent="0.3">
      <c r="A1302" s="109" t="s">
        <v>12176</v>
      </c>
      <c r="B1302" s="109" t="s">
        <v>11415</v>
      </c>
      <c r="C1302" s="109" t="s">
        <v>11415</v>
      </c>
      <c r="D1302" s="109" t="s">
        <v>12177</v>
      </c>
      <c r="E1302" s="109" t="s">
        <v>12177</v>
      </c>
      <c r="F1302" s="109" t="s">
        <v>12178</v>
      </c>
      <c r="G1302" s="110" t="s">
        <v>6248</v>
      </c>
      <c r="H1302" s="110" t="s">
        <v>12179</v>
      </c>
      <c r="I1302" s="110" t="s">
        <v>12180</v>
      </c>
    </row>
    <row r="1303" spans="1:9" ht="25.2" x14ac:dyDescent="0.3">
      <c r="A1303" s="109" t="s">
        <v>12181</v>
      </c>
      <c r="B1303" s="109" t="s">
        <v>11415</v>
      </c>
      <c r="C1303" s="109" t="s">
        <v>11415</v>
      </c>
      <c r="D1303" s="109" t="s">
        <v>12182</v>
      </c>
      <c r="E1303" s="109" t="s">
        <v>5558</v>
      </c>
      <c r="F1303" s="109" t="s">
        <v>12183</v>
      </c>
      <c r="G1303" s="110" t="s">
        <v>6248</v>
      </c>
      <c r="H1303" s="110" t="s">
        <v>12184</v>
      </c>
      <c r="I1303" s="110" t="s">
        <v>12185</v>
      </c>
    </row>
    <row r="1304" spans="1:9" ht="63" x14ac:dyDescent="0.3">
      <c r="A1304" s="109" t="s">
        <v>12186</v>
      </c>
      <c r="B1304" s="109" t="s">
        <v>11415</v>
      </c>
      <c r="C1304" s="109" t="s">
        <v>11415</v>
      </c>
      <c r="D1304" s="109" t="s">
        <v>12187</v>
      </c>
      <c r="E1304" s="109" t="s">
        <v>12187</v>
      </c>
      <c r="F1304" s="109" t="s">
        <v>12188</v>
      </c>
      <c r="G1304" s="110" t="s">
        <v>6248</v>
      </c>
      <c r="H1304" s="110" t="s">
        <v>12189</v>
      </c>
      <c r="I1304" s="110" t="s">
        <v>12190</v>
      </c>
    </row>
    <row r="1305" spans="1:9" ht="63" x14ac:dyDescent="0.3">
      <c r="A1305" s="109" t="s">
        <v>12191</v>
      </c>
      <c r="B1305" s="109" t="s">
        <v>11415</v>
      </c>
      <c r="C1305" s="109" t="s">
        <v>11415</v>
      </c>
      <c r="D1305" s="109" t="s">
        <v>12192</v>
      </c>
      <c r="E1305" s="109" t="s">
        <v>12192</v>
      </c>
      <c r="F1305" s="109" t="s">
        <v>12193</v>
      </c>
      <c r="G1305" s="110" t="s">
        <v>6248</v>
      </c>
      <c r="H1305" s="110" t="s">
        <v>12194</v>
      </c>
      <c r="I1305" s="110" t="s">
        <v>12195</v>
      </c>
    </row>
    <row r="1306" spans="1:9" ht="63" x14ac:dyDescent="0.3">
      <c r="A1306" s="109" t="s">
        <v>12196</v>
      </c>
      <c r="B1306" s="109" t="s">
        <v>11415</v>
      </c>
      <c r="C1306" s="109" t="s">
        <v>11415</v>
      </c>
      <c r="D1306" s="109" t="s">
        <v>12197</v>
      </c>
      <c r="E1306" s="109" t="s">
        <v>12197</v>
      </c>
      <c r="F1306" s="109" t="s">
        <v>12198</v>
      </c>
      <c r="G1306" s="110" t="s">
        <v>6248</v>
      </c>
      <c r="H1306" s="110" t="s">
        <v>12199</v>
      </c>
      <c r="I1306" s="110" t="s">
        <v>12200</v>
      </c>
    </row>
    <row r="1307" spans="1:9" ht="25.2" x14ac:dyDescent="0.3">
      <c r="A1307" s="109" t="s">
        <v>12201</v>
      </c>
      <c r="B1307" s="109" t="s">
        <v>11415</v>
      </c>
      <c r="C1307" s="109" t="s">
        <v>11415</v>
      </c>
      <c r="D1307" s="109" t="s">
        <v>12202</v>
      </c>
      <c r="E1307" s="109" t="s">
        <v>5558</v>
      </c>
      <c r="F1307" s="109" t="s">
        <v>12203</v>
      </c>
      <c r="G1307" s="110" t="s">
        <v>6248</v>
      </c>
      <c r="H1307" s="110" t="s">
        <v>7817</v>
      </c>
      <c r="I1307" s="110" t="s">
        <v>12204</v>
      </c>
    </row>
    <row r="1308" spans="1:9" ht="25.2" x14ac:dyDescent="0.3">
      <c r="A1308" s="109" t="s">
        <v>12205</v>
      </c>
      <c r="B1308" s="109" t="s">
        <v>11415</v>
      </c>
      <c r="C1308" s="109" t="s">
        <v>11415</v>
      </c>
      <c r="D1308" s="109" t="s">
        <v>12206</v>
      </c>
      <c r="E1308" s="109" t="s">
        <v>5558</v>
      </c>
      <c r="F1308" s="109" t="s">
        <v>12207</v>
      </c>
      <c r="G1308" s="110" t="s">
        <v>6248</v>
      </c>
      <c r="H1308" s="110" t="s">
        <v>12208</v>
      </c>
      <c r="I1308" s="110" t="s">
        <v>12209</v>
      </c>
    </row>
    <row r="1309" spans="1:9" ht="37.799999999999997" x14ac:dyDescent="0.3">
      <c r="A1309" s="109" t="s">
        <v>12210</v>
      </c>
      <c r="B1309" s="109" t="s">
        <v>11415</v>
      </c>
      <c r="C1309" s="109" t="s">
        <v>11415</v>
      </c>
      <c r="D1309" s="109" t="s">
        <v>12211</v>
      </c>
      <c r="E1309" s="109" t="s">
        <v>5558</v>
      </c>
      <c r="F1309" s="109" t="s">
        <v>12212</v>
      </c>
      <c r="G1309" s="110" t="s">
        <v>6248</v>
      </c>
      <c r="H1309" s="110" t="s">
        <v>12213</v>
      </c>
      <c r="I1309" s="110" t="s">
        <v>12214</v>
      </c>
    </row>
    <row r="1310" spans="1:9" ht="37.799999999999997" x14ac:dyDescent="0.3">
      <c r="A1310" s="109" t="s">
        <v>12215</v>
      </c>
      <c r="B1310" s="109" t="s">
        <v>11415</v>
      </c>
      <c r="C1310" s="109" t="s">
        <v>11415</v>
      </c>
      <c r="D1310" s="109" t="s">
        <v>12216</v>
      </c>
      <c r="E1310" s="109" t="s">
        <v>5558</v>
      </c>
      <c r="F1310" s="109" t="s">
        <v>12217</v>
      </c>
      <c r="G1310" s="110" t="s">
        <v>6248</v>
      </c>
      <c r="H1310" s="110" t="s">
        <v>12218</v>
      </c>
      <c r="I1310" s="110" t="s">
        <v>12219</v>
      </c>
    </row>
    <row r="1311" spans="1:9" ht="37.799999999999997" x14ac:dyDescent="0.3">
      <c r="A1311" s="109" t="s">
        <v>12220</v>
      </c>
      <c r="B1311" s="109" t="s">
        <v>11415</v>
      </c>
      <c r="C1311" s="109" t="s">
        <v>11415</v>
      </c>
      <c r="D1311" s="109" t="s">
        <v>12221</v>
      </c>
      <c r="E1311" s="109" t="s">
        <v>5558</v>
      </c>
      <c r="F1311" s="109" t="s">
        <v>12222</v>
      </c>
      <c r="G1311" s="110" t="s">
        <v>6248</v>
      </c>
      <c r="H1311" s="110" t="s">
        <v>12223</v>
      </c>
      <c r="I1311" s="110" t="s">
        <v>12224</v>
      </c>
    </row>
    <row r="1312" spans="1:9" ht="37.799999999999997" x14ac:dyDescent="0.3">
      <c r="A1312" s="109" t="s">
        <v>12225</v>
      </c>
      <c r="B1312" s="109" t="s">
        <v>11415</v>
      </c>
      <c r="C1312" s="109" t="s">
        <v>11415</v>
      </c>
      <c r="D1312" s="109" t="s">
        <v>12226</v>
      </c>
      <c r="E1312" s="109" t="s">
        <v>5558</v>
      </c>
      <c r="F1312" s="109" t="s">
        <v>12227</v>
      </c>
      <c r="G1312" s="110" t="s">
        <v>6248</v>
      </c>
      <c r="H1312" s="110" t="s">
        <v>12228</v>
      </c>
      <c r="I1312" s="110" t="s">
        <v>12229</v>
      </c>
    </row>
    <row r="1313" spans="1:9" ht="37.799999999999997" x14ac:dyDescent="0.3">
      <c r="A1313" s="109" t="s">
        <v>12230</v>
      </c>
      <c r="B1313" s="109" t="s">
        <v>11415</v>
      </c>
      <c r="C1313" s="109" t="s">
        <v>11415</v>
      </c>
      <c r="D1313" s="109" t="s">
        <v>12231</v>
      </c>
      <c r="E1313" s="109" t="s">
        <v>5558</v>
      </c>
      <c r="F1313" s="109" t="s">
        <v>12232</v>
      </c>
      <c r="G1313" s="110" t="s">
        <v>6248</v>
      </c>
      <c r="H1313" s="110" t="s">
        <v>12233</v>
      </c>
      <c r="I1313" s="110" t="s">
        <v>12234</v>
      </c>
    </row>
    <row r="1314" spans="1:9" ht="25.2" x14ac:dyDescent="0.3">
      <c r="A1314" s="109" t="s">
        <v>12235</v>
      </c>
      <c r="B1314" s="109" t="s">
        <v>11415</v>
      </c>
      <c r="C1314" s="109" t="s">
        <v>11415</v>
      </c>
      <c r="D1314" s="109" t="s">
        <v>12236</v>
      </c>
      <c r="E1314" s="109" t="s">
        <v>5558</v>
      </c>
      <c r="F1314" s="109" t="s">
        <v>12237</v>
      </c>
      <c r="G1314" s="110" t="s">
        <v>6248</v>
      </c>
      <c r="H1314" s="110" t="s">
        <v>12238</v>
      </c>
      <c r="I1314" s="110" t="s">
        <v>12239</v>
      </c>
    </row>
    <row r="1315" spans="1:9" ht="25.2" x14ac:dyDescent="0.3">
      <c r="A1315" s="109" t="s">
        <v>12240</v>
      </c>
      <c r="B1315" s="109" t="s">
        <v>11415</v>
      </c>
      <c r="C1315" s="109" t="s">
        <v>11415</v>
      </c>
      <c r="D1315" s="109" t="s">
        <v>12241</v>
      </c>
      <c r="E1315" s="109" t="s">
        <v>5558</v>
      </c>
      <c r="F1315" s="109" t="s">
        <v>12242</v>
      </c>
      <c r="G1315" s="110" t="s">
        <v>6248</v>
      </c>
      <c r="H1315" s="110" t="s">
        <v>12243</v>
      </c>
      <c r="I1315" s="110" t="s">
        <v>12244</v>
      </c>
    </row>
    <row r="1316" spans="1:9" ht="25.2" x14ac:dyDescent="0.3">
      <c r="A1316" s="109" t="s">
        <v>12245</v>
      </c>
      <c r="B1316" s="109" t="s">
        <v>11415</v>
      </c>
      <c r="C1316" s="109" t="s">
        <v>11415</v>
      </c>
      <c r="D1316" s="109" t="s">
        <v>12246</v>
      </c>
      <c r="E1316" s="109" t="s">
        <v>5558</v>
      </c>
      <c r="F1316" s="109" t="s">
        <v>12247</v>
      </c>
      <c r="G1316" s="110" t="s">
        <v>6248</v>
      </c>
      <c r="H1316" s="110" t="s">
        <v>12248</v>
      </c>
      <c r="I1316" s="110" t="s">
        <v>12249</v>
      </c>
    </row>
    <row r="1317" spans="1:9" ht="25.2" x14ac:dyDescent="0.3">
      <c r="A1317" s="109" t="s">
        <v>12250</v>
      </c>
      <c r="B1317" s="109" t="s">
        <v>11415</v>
      </c>
      <c r="C1317" s="109" t="s">
        <v>11415</v>
      </c>
      <c r="D1317" s="109" t="s">
        <v>12251</v>
      </c>
      <c r="E1317" s="109" t="s">
        <v>5558</v>
      </c>
      <c r="F1317" s="109" t="s">
        <v>12252</v>
      </c>
      <c r="G1317" s="110" t="s">
        <v>6248</v>
      </c>
      <c r="H1317" s="110" t="s">
        <v>12253</v>
      </c>
      <c r="I1317" s="110" t="s">
        <v>12254</v>
      </c>
    </row>
    <row r="1318" spans="1:9" ht="25.2" x14ac:dyDescent="0.3">
      <c r="A1318" s="109" t="s">
        <v>12255</v>
      </c>
      <c r="B1318" s="109" t="s">
        <v>11415</v>
      </c>
      <c r="C1318" s="109" t="s">
        <v>11415</v>
      </c>
      <c r="D1318" s="109" t="s">
        <v>12256</v>
      </c>
      <c r="E1318" s="109" t="s">
        <v>5558</v>
      </c>
      <c r="F1318" s="109" t="s">
        <v>12257</v>
      </c>
      <c r="G1318" s="110" t="s">
        <v>6248</v>
      </c>
      <c r="H1318" s="110" t="s">
        <v>12258</v>
      </c>
      <c r="I1318" s="110" t="s">
        <v>12259</v>
      </c>
    </row>
    <row r="1319" spans="1:9" ht="25.2" x14ac:dyDescent="0.3">
      <c r="A1319" s="109" t="s">
        <v>12260</v>
      </c>
      <c r="B1319" s="109" t="s">
        <v>11415</v>
      </c>
      <c r="C1319" s="109" t="s">
        <v>11415</v>
      </c>
      <c r="D1319" s="109" t="s">
        <v>12261</v>
      </c>
      <c r="E1319" s="109" t="s">
        <v>5558</v>
      </c>
      <c r="F1319" s="109" t="s">
        <v>12262</v>
      </c>
      <c r="G1319" s="110" t="s">
        <v>6248</v>
      </c>
      <c r="H1319" s="110" t="s">
        <v>12263</v>
      </c>
      <c r="I1319" s="110" t="s">
        <v>12264</v>
      </c>
    </row>
    <row r="1320" spans="1:9" ht="25.2" x14ac:dyDescent="0.3">
      <c r="A1320" s="109" t="s">
        <v>12265</v>
      </c>
      <c r="B1320" s="109" t="s">
        <v>11415</v>
      </c>
      <c r="C1320" s="109" t="s">
        <v>11415</v>
      </c>
      <c r="D1320" s="109" t="s">
        <v>5569</v>
      </c>
      <c r="E1320" s="109" t="s">
        <v>5558</v>
      </c>
      <c r="F1320" s="109" t="s">
        <v>2258</v>
      </c>
      <c r="G1320" s="110" t="s">
        <v>6248</v>
      </c>
      <c r="H1320" s="110" t="s">
        <v>12266</v>
      </c>
      <c r="I1320" s="110" t="s">
        <v>12267</v>
      </c>
    </row>
    <row r="1321" spans="1:9" ht="25.2" x14ac:dyDescent="0.3">
      <c r="A1321" s="109" t="s">
        <v>12268</v>
      </c>
      <c r="B1321" s="109" t="s">
        <v>11415</v>
      </c>
      <c r="C1321" s="109" t="s">
        <v>11415</v>
      </c>
      <c r="D1321" s="109" t="s">
        <v>12269</v>
      </c>
      <c r="E1321" s="109" t="s">
        <v>12270</v>
      </c>
      <c r="F1321" s="109" t="s">
        <v>12271</v>
      </c>
      <c r="G1321" s="110" t="s">
        <v>12272</v>
      </c>
      <c r="H1321" s="110" t="s">
        <v>6248</v>
      </c>
      <c r="I1321" s="110" t="s">
        <v>12273</v>
      </c>
    </row>
    <row r="1322" spans="1:9" ht="25.2" x14ac:dyDescent="0.3">
      <c r="A1322" s="109" t="s">
        <v>12274</v>
      </c>
      <c r="B1322" s="109" t="s">
        <v>11415</v>
      </c>
      <c r="C1322" s="109" t="s">
        <v>11415</v>
      </c>
      <c r="D1322" s="109" t="s">
        <v>12275</v>
      </c>
      <c r="E1322" s="109" t="s">
        <v>12276</v>
      </c>
      <c r="F1322" s="109" t="s">
        <v>6093</v>
      </c>
      <c r="G1322" s="110" t="s">
        <v>6248</v>
      </c>
      <c r="H1322" s="110" t="s">
        <v>12277</v>
      </c>
      <c r="I1322" s="110" t="s">
        <v>12278</v>
      </c>
    </row>
    <row r="1323" spans="1:9" ht="25.2" x14ac:dyDescent="0.3">
      <c r="A1323" s="109" t="s">
        <v>12279</v>
      </c>
      <c r="B1323" s="109" t="s">
        <v>11415</v>
      </c>
      <c r="C1323" s="109" t="s">
        <v>11415</v>
      </c>
      <c r="D1323" s="109" t="s">
        <v>12280</v>
      </c>
      <c r="E1323" s="109" t="s">
        <v>5558</v>
      </c>
      <c r="F1323" s="109" t="s">
        <v>12281</v>
      </c>
      <c r="G1323" s="110" t="s">
        <v>6248</v>
      </c>
      <c r="H1323" s="110" t="s">
        <v>12282</v>
      </c>
      <c r="I1323" s="110" t="s">
        <v>12283</v>
      </c>
    </row>
    <row r="1324" spans="1:9" ht="63" x14ac:dyDescent="0.3">
      <c r="A1324" s="109" t="s">
        <v>12284</v>
      </c>
      <c r="B1324" s="109" t="s">
        <v>11415</v>
      </c>
      <c r="C1324" s="109" t="s">
        <v>11415</v>
      </c>
      <c r="D1324" s="109" t="s">
        <v>6131</v>
      </c>
      <c r="E1324" s="109" t="s">
        <v>6131</v>
      </c>
      <c r="F1324" s="109" t="s">
        <v>12285</v>
      </c>
      <c r="G1324" s="110" t="s">
        <v>6248</v>
      </c>
      <c r="H1324" s="110" t="s">
        <v>12286</v>
      </c>
      <c r="I1324" s="110" t="s">
        <v>12287</v>
      </c>
    </row>
    <row r="1325" spans="1:9" ht="37.799999999999997" x14ac:dyDescent="0.3">
      <c r="A1325" s="109" t="s">
        <v>12288</v>
      </c>
      <c r="B1325" s="109" t="s">
        <v>11415</v>
      </c>
      <c r="C1325" s="109" t="s">
        <v>11415</v>
      </c>
      <c r="D1325" s="109" t="s">
        <v>12289</v>
      </c>
      <c r="E1325" s="109" t="s">
        <v>5558</v>
      </c>
      <c r="F1325" s="109" t="s">
        <v>12290</v>
      </c>
      <c r="G1325" s="110" t="s">
        <v>6248</v>
      </c>
      <c r="H1325" s="110" t="s">
        <v>12291</v>
      </c>
      <c r="I1325" s="110" t="s">
        <v>12292</v>
      </c>
    </row>
    <row r="1326" spans="1:9" ht="25.2" x14ac:dyDescent="0.3">
      <c r="A1326" s="109" t="s">
        <v>12293</v>
      </c>
      <c r="B1326" s="109" t="s">
        <v>11415</v>
      </c>
      <c r="C1326" s="109" t="s">
        <v>11415</v>
      </c>
      <c r="D1326" s="109" t="s">
        <v>5569</v>
      </c>
      <c r="E1326" s="109" t="s">
        <v>5558</v>
      </c>
      <c r="F1326" s="109" t="s">
        <v>2258</v>
      </c>
      <c r="G1326" s="110" t="s">
        <v>6248</v>
      </c>
      <c r="H1326" s="110" t="s">
        <v>12294</v>
      </c>
      <c r="I1326" s="110" t="s">
        <v>12295</v>
      </c>
    </row>
    <row r="1327" spans="1:9" ht="37.799999999999997" x14ac:dyDescent="0.3">
      <c r="A1327" s="109" t="s">
        <v>12296</v>
      </c>
      <c r="B1327" s="109" t="s">
        <v>11415</v>
      </c>
      <c r="C1327" s="109" t="s">
        <v>11415</v>
      </c>
      <c r="D1327" s="109" t="s">
        <v>12297</v>
      </c>
      <c r="E1327" s="109" t="s">
        <v>5558</v>
      </c>
      <c r="F1327" s="109" t="s">
        <v>12298</v>
      </c>
      <c r="G1327" s="110" t="s">
        <v>6248</v>
      </c>
      <c r="H1327" s="110" t="s">
        <v>12299</v>
      </c>
      <c r="I1327" s="110" t="s">
        <v>12300</v>
      </c>
    </row>
    <row r="1328" spans="1:9" ht="37.799999999999997" x14ac:dyDescent="0.3">
      <c r="A1328" s="109" t="s">
        <v>12301</v>
      </c>
      <c r="B1328" s="109" t="s">
        <v>11415</v>
      </c>
      <c r="C1328" s="109" t="s">
        <v>11415</v>
      </c>
      <c r="D1328" s="109" t="s">
        <v>1168</v>
      </c>
      <c r="E1328" s="109" t="s">
        <v>5558</v>
      </c>
      <c r="F1328" s="109" t="s">
        <v>12302</v>
      </c>
      <c r="G1328" s="110" t="s">
        <v>6248</v>
      </c>
      <c r="H1328" s="110" t="s">
        <v>12303</v>
      </c>
      <c r="I1328" s="110" t="s">
        <v>12304</v>
      </c>
    </row>
    <row r="1329" spans="1:9" ht="25.2" x14ac:dyDescent="0.3">
      <c r="A1329" s="109" t="s">
        <v>12305</v>
      </c>
      <c r="B1329" s="109" t="s">
        <v>11415</v>
      </c>
      <c r="C1329" s="109" t="s">
        <v>11415</v>
      </c>
      <c r="D1329" s="109" t="s">
        <v>12306</v>
      </c>
      <c r="E1329" s="109" t="s">
        <v>12307</v>
      </c>
      <c r="F1329" s="109" t="s">
        <v>5755</v>
      </c>
      <c r="G1329" s="110" t="s">
        <v>6248</v>
      </c>
      <c r="H1329" s="110" t="s">
        <v>6278</v>
      </c>
      <c r="I1329" s="110" t="s">
        <v>12308</v>
      </c>
    </row>
    <row r="1330" spans="1:9" ht="25.2" x14ac:dyDescent="0.3">
      <c r="A1330" s="109" t="s">
        <v>12309</v>
      </c>
      <c r="B1330" s="109" t="s">
        <v>11415</v>
      </c>
      <c r="C1330" s="109" t="s">
        <v>11415</v>
      </c>
      <c r="D1330" s="109" t="s">
        <v>12310</v>
      </c>
      <c r="E1330" s="109" t="s">
        <v>5558</v>
      </c>
      <c r="F1330" s="109" t="s">
        <v>12311</v>
      </c>
      <c r="G1330" s="110" t="s">
        <v>6248</v>
      </c>
      <c r="H1330" s="110" t="s">
        <v>12312</v>
      </c>
      <c r="I1330" s="110" t="s">
        <v>12313</v>
      </c>
    </row>
    <row r="1331" spans="1:9" ht="50.4" x14ac:dyDescent="0.3">
      <c r="A1331" s="109" t="s">
        <v>12314</v>
      </c>
      <c r="B1331" s="109" t="s">
        <v>11415</v>
      </c>
      <c r="C1331" s="109" t="s">
        <v>11415</v>
      </c>
      <c r="D1331" s="109" t="s">
        <v>12315</v>
      </c>
      <c r="E1331" s="109" t="s">
        <v>12315</v>
      </c>
      <c r="F1331" s="109" t="s">
        <v>12316</v>
      </c>
      <c r="G1331" s="110" t="s">
        <v>6248</v>
      </c>
      <c r="H1331" s="110" t="s">
        <v>12317</v>
      </c>
      <c r="I1331" s="110" t="s">
        <v>12318</v>
      </c>
    </row>
    <row r="1332" spans="1:9" ht="50.4" x14ac:dyDescent="0.3">
      <c r="A1332" s="109" t="s">
        <v>12319</v>
      </c>
      <c r="B1332" s="109" t="s">
        <v>11415</v>
      </c>
      <c r="C1332" s="109" t="s">
        <v>11415</v>
      </c>
      <c r="D1332" s="109" t="s">
        <v>12320</v>
      </c>
      <c r="E1332" s="109" t="s">
        <v>12320</v>
      </c>
      <c r="F1332" s="109" t="s">
        <v>12321</v>
      </c>
      <c r="G1332" s="110" t="s">
        <v>6248</v>
      </c>
      <c r="H1332" s="110" t="s">
        <v>12322</v>
      </c>
      <c r="I1332" s="110" t="s">
        <v>12323</v>
      </c>
    </row>
    <row r="1333" spans="1:9" ht="50.4" x14ac:dyDescent="0.3">
      <c r="A1333" s="109" t="s">
        <v>12324</v>
      </c>
      <c r="B1333" s="109" t="s">
        <v>11415</v>
      </c>
      <c r="C1333" s="109" t="s">
        <v>11415</v>
      </c>
      <c r="D1333" s="109" t="s">
        <v>12325</v>
      </c>
      <c r="E1333" s="109" t="s">
        <v>12325</v>
      </c>
      <c r="F1333" s="109" t="s">
        <v>12326</v>
      </c>
      <c r="G1333" s="110" t="s">
        <v>6248</v>
      </c>
      <c r="H1333" s="110" t="s">
        <v>12327</v>
      </c>
      <c r="I1333" s="110" t="s">
        <v>12328</v>
      </c>
    </row>
    <row r="1334" spans="1:9" ht="50.4" x14ac:dyDescent="0.3">
      <c r="A1334" s="109" t="s">
        <v>12329</v>
      </c>
      <c r="B1334" s="109" t="s">
        <v>11415</v>
      </c>
      <c r="C1334" s="109" t="s">
        <v>11415</v>
      </c>
      <c r="D1334" s="109" t="s">
        <v>12330</v>
      </c>
      <c r="E1334" s="109" t="s">
        <v>12330</v>
      </c>
      <c r="F1334" s="109" t="s">
        <v>12331</v>
      </c>
      <c r="G1334" s="110" t="s">
        <v>6248</v>
      </c>
      <c r="H1334" s="110" t="s">
        <v>8905</v>
      </c>
      <c r="I1334" s="110" t="s">
        <v>12332</v>
      </c>
    </row>
    <row r="1335" spans="1:9" ht="37.799999999999997" x14ac:dyDescent="0.3">
      <c r="A1335" s="109" t="s">
        <v>12333</v>
      </c>
      <c r="B1335" s="109" t="s">
        <v>11415</v>
      </c>
      <c r="C1335" s="109" t="s">
        <v>11415</v>
      </c>
      <c r="D1335" s="109" t="s">
        <v>12334</v>
      </c>
      <c r="E1335" s="109" t="s">
        <v>12330</v>
      </c>
      <c r="F1335" s="109" t="s">
        <v>12335</v>
      </c>
      <c r="G1335" s="110" t="s">
        <v>8905</v>
      </c>
      <c r="H1335" s="110" t="s">
        <v>6248</v>
      </c>
      <c r="I1335" s="110" t="s">
        <v>12328</v>
      </c>
    </row>
    <row r="1336" spans="1:9" ht="50.4" x14ac:dyDescent="0.3">
      <c r="A1336" s="109" t="s">
        <v>12336</v>
      </c>
      <c r="B1336" s="109" t="s">
        <v>11415</v>
      </c>
      <c r="C1336" s="109" t="s">
        <v>11415</v>
      </c>
      <c r="D1336" s="109" t="s">
        <v>12337</v>
      </c>
      <c r="E1336" s="109" t="s">
        <v>12337</v>
      </c>
      <c r="F1336" s="109" t="s">
        <v>12338</v>
      </c>
      <c r="G1336" s="110" t="s">
        <v>6248</v>
      </c>
      <c r="H1336" s="110" t="s">
        <v>12339</v>
      </c>
      <c r="I1336" s="110" t="s">
        <v>12340</v>
      </c>
    </row>
    <row r="1337" spans="1:9" ht="50.4" x14ac:dyDescent="0.3">
      <c r="A1337" s="109" t="s">
        <v>12341</v>
      </c>
      <c r="B1337" s="109" t="s">
        <v>11415</v>
      </c>
      <c r="C1337" s="109" t="s">
        <v>11415</v>
      </c>
      <c r="D1337" s="109" t="s">
        <v>12342</v>
      </c>
      <c r="E1337" s="109" t="s">
        <v>12342</v>
      </c>
      <c r="F1337" s="109" t="s">
        <v>12343</v>
      </c>
      <c r="G1337" s="110" t="s">
        <v>6248</v>
      </c>
      <c r="H1337" s="110" t="s">
        <v>12344</v>
      </c>
      <c r="I1337" s="110" t="s">
        <v>12345</v>
      </c>
    </row>
    <row r="1338" spans="1:9" ht="50.4" x14ac:dyDescent="0.3">
      <c r="A1338" s="109" t="s">
        <v>12346</v>
      </c>
      <c r="B1338" s="109" t="s">
        <v>11415</v>
      </c>
      <c r="C1338" s="109" t="s">
        <v>11415</v>
      </c>
      <c r="D1338" s="109" t="s">
        <v>8487</v>
      </c>
      <c r="E1338" s="109" t="s">
        <v>8487</v>
      </c>
      <c r="F1338" s="109" t="s">
        <v>12347</v>
      </c>
      <c r="G1338" s="110" t="s">
        <v>6248</v>
      </c>
      <c r="H1338" s="110" t="s">
        <v>12348</v>
      </c>
      <c r="I1338" s="110" t="s">
        <v>12349</v>
      </c>
    </row>
    <row r="1339" spans="1:9" ht="50.4" x14ac:dyDescent="0.3">
      <c r="A1339" s="109" t="s">
        <v>12350</v>
      </c>
      <c r="B1339" s="109" t="s">
        <v>11415</v>
      </c>
      <c r="C1339" s="109" t="s">
        <v>11415</v>
      </c>
      <c r="D1339" s="109" t="s">
        <v>6012</v>
      </c>
      <c r="E1339" s="109" t="s">
        <v>6012</v>
      </c>
      <c r="F1339" s="109" t="s">
        <v>12351</v>
      </c>
      <c r="G1339" s="110" t="s">
        <v>6248</v>
      </c>
      <c r="H1339" s="110" t="s">
        <v>11912</v>
      </c>
      <c r="I1339" s="110" t="s">
        <v>12352</v>
      </c>
    </row>
    <row r="1340" spans="1:9" ht="25.2" x14ac:dyDescent="0.3">
      <c r="A1340" s="109" t="s">
        <v>12353</v>
      </c>
      <c r="B1340" s="109" t="s">
        <v>11415</v>
      </c>
      <c r="C1340" s="109" t="s">
        <v>11415</v>
      </c>
      <c r="D1340" s="109" t="s">
        <v>12354</v>
      </c>
      <c r="E1340" s="109" t="s">
        <v>12355</v>
      </c>
      <c r="F1340" s="109" t="s">
        <v>12356</v>
      </c>
      <c r="G1340" s="110" t="s">
        <v>6248</v>
      </c>
      <c r="H1340" s="110" t="s">
        <v>12357</v>
      </c>
      <c r="I1340" s="110" t="s">
        <v>12358</v>
      </c>
    </row>
    <row r="1341" spans="1:9" ht="37.799999999999997" x14ac:dyDescent="0.3">
      <c r="A1341" s="109" t="s">
        <v>12359</v>
      </c>
      <c r="B1341" s="109" t="s">
        <v>11415</v>
      </c>
      <c r="C1341" s="109" t="s">
        <v>11415</v>
      </c>
      <c r="D1341" s="109" t="s">
        <v>12360</v>
      </c>
      <c r="E1341" s="109" t="s">
        <v>12361</v>
      </c>
      <c r="F1341" s="109" t="s">
        <v>12362</v>
      </c>
      <c r="G1341" s="110" t="s">
        <v>6248</v>
      </c>
      <c r="H1341" s="110" t="s">
        <v>12363</v>
      </c>
      <c r="I1341" s="110" t="s">
        <v>12364</v>
      </c>
    </row>
    <row r="1342" spans="1:9" ht="50.4" x14ac:dyDescent="0.3">
      <c r="A1342" s="109" t="s">
        <v>12365</v>
      </c>
      <c r="B1342" s="109" t="s">
        <v>11415</v>
      </c>
      <c r="C1342" s="109" t="s">
        <v>11415</v>
      </c>
      <c r="D1342" s="109" t="s">
        <v>12366</v>
      </c>
      <c r="E1342" s="109" t="s">
        <v>12366</v>
      </c>
      <c r="F1342" s="109" t="s">
        <v>12367</v>
      </c>
      <c r="G1342" s="110" t="s">
        <v>6248</v>
      </c>
      <c r="H1342" s="110" t="s">
        <v>7078</v>
      </c>
      <c r="I1342" s="110" t="s">
        <v>12368</v>
      </c>
    </row>
    <row r="1343" spans="1:9" ht="25.2" x14ac:dyDescent="0.3">
      <c r="A1343" s="109" t="s">
        <v>12369</v>
      </c>
      <c r="B1343" s="109" t="s">
        <v>11415</v>
      </c>
      <c r="C1343" s="109" t="s">
        <v>11415</v>
      </c>
      <c r="D1343" s="109" t="s">
        <v>12370</v>
      </c>
      <c r="E1343" s="109" t="s">
        <v>9246</v>
      </c>
      <c r="F1343" s="109" t="s">
        <v>9247</v>
      </c>
      <c r="G1343" s="110" t="s">
        <v>6248</v>
      </c>
      <c r="H1343" s="110" t="s">
        <v>12371</v>
      </c>
      <c r="I1343" s="110" t="s">
        <v>12372</v>
      </c>
    </row>
    <row r="1344" spans="1:9" ht="63" x14ac:dyDescent="0.3">
      <c r="A1344" s="109" t="s">
        <v>12373</v>
      </c>
      <c r="B1344" s="109" t="s">
        <v>11415</v>
      </c>
      <c r="C1344" s="109" t="s">
        <v>11415</v>
      </c>
      <c r="D1344" s="109" t="s">
        <v>12374</v>
      </c>
      <c r="E1344" s="109" t="s">
        <v>12374</v>
      </c>
      <c r="F1344" s="109" t="s">
        <v>12375</v>
      </c>
      <c r="G1344" s="110" t="s">
        <v>6248</v>
      </c>
      <c r="H1344" s="110" t="s">
        <v>12376</v>
      </c>
      <c r="I1344" s="110" t="s">
        <v>12377</v>
      </c>
    </row>
    <row r="1345" spans="1:9" ht="50.4" x14ac:dyDescent="0.3">
      <c r="A1345" s="109" t="s">
        <v>12378</v>
      </c>
      <c r="B1345" s="109" t="s">
        <v>11415</v>
      </c>
      <c r="C1345" s="109" t="s">
        <v>11415</v>
      </c>
      <c r="D1345" s="109" t="s">
        <v>12379</v>
      </c>
      <c r="E1345" s="109" t="s">
        <v>12379</v>
      </c>
      <c r="F1345" s="109" t="s">
        <v>12380</v>
      </c>
      <c r="G1345" s="110" t="s">
        <v>6248</v>
      </c>
      <c r="H1345" s="110" t="s">
        <v>12381</v>
      </c>
      <c r="I1345" s="110" t="s">
        <v>12382</v>
      </c>
    </row>
    <row r="1346" spans="1:9" ht="50.4" x14ac:dyDescent="0.3">
      <c r="A1346" s="109" t="s">
        <v>12383</v>
      </c>
      <c r="B1346" s="109" t="s">
        <v>11415</v>
      </c>
      <c r="C1346" s="109" t="s">
        <v>11415</v>
      </c>
      <c r="D1346" s="109" t="s">
        <v>8533</v>
      </c>
      <c r="E1346" s="109" t="s">
        <v>8533</v>
      </c>
      <c r="F1346" s="109" t="s">
        <v>12384</v>
      </c>
      <c r="G1346" s="110" t="s">
        <v>6248</v>
      </c>
      <c r="H1346" s="110" t="s">
        <v>12385</v>
      </c>
      <c r="I1346" s="110" t="s">
        <v>12386</v>
      </c>
    </row>
    <row r="1347" spans="1:9" ht="50.4" x14ac:dyDescent="0.3">
      <c r="A1347" s="109" t="s">
        <v>12387</v>
      </c>
      <c r="B1347" s="109" t="s">
        <v>11415</v>
      </c>
      <c r="C1347" s="109" t="s">
        <v>11415</v>
      </c>
      <c r="D1347" s="109" t="s">
        <v>12388</v>
      </c>
      <c r="E1347" s="109" t="s">
        <v>12388</v>
      </c>
      <c r="F1347" s="109" t="s">
        <v>12389</v>
      </c>
      <c r="G1347" s="110" t="s">
        <v>6248</v>
      </c>
      <c r="H1347" s="110" t="s">
        <v>12390</v>
      </c>
      <c r="I1347" s="110" t="s">
        <v>12391</v>
      </c>
    </row>
    <row r="1348" spans="1:9" ht="25.2" x14ac:dyDescent="0.3">
      <c r="A1348" s="109" t="s">
        <v>12392</v>
      </c>
      <c r="B1348" s="109" t="s">
        <v>11415</v>
      </c>
      <c r="C1348" s="109" t="s">
        <v>11415</v>
      </c>
      <c r="D1348" s="109" t="s">
        <v>5569</v>
      </c>
      <c r="E1348" s="109" t="s">
        <v>5558</v>
      </c>
      <c r="F1348" s="109" t="s">
        <v>2258</v>
      </c>
      <c r="G1348" s="110" t="s">
        <v>6248</v>
      </c>
      <c r="H1348" s="110" t="s">
        <v>12393</v>
      </c>
      <c r="I1348" s="110" t="s">
        <v>12394</v>
      </c>
    </row>
    <row r="1349" spans="1:9" ht="50.4" x14ac:dyDescent="0.3">
      <c r="A1349" s="109" t="s">
        <v>12395</v>
      </c>
      <c r="B1349" s="109" t="s">
        <v>11415</v>
      </c>
      <c r="C1349" s="109" t="s">
        <v>11415</v>
      </c>
      <c r="D1349" s="109" t="s">
        <v>12396</v>
      </c>
      <c r="E1349" s="109" t="s">
        <v>12396</v>
      </c>
      <c r="F1349" s="109" t="s">
        <v>12397</v>
      </c>
      <c r="G1349" s="110" t="s">
        <v>6248</v>
      </c>
      <c r="H1349" s="110" t="s">
        <v>12398</v>
      </c>
      <c r="I1349" s="110" t="s">
        <v>12399</v>
      </c>
    </row>
    <row r="1350" spans="1:9" ht="63" x14ac:dyDescent="0.3">
      <c r="A1350" s="109" t="s">
        <v>12400</v>
      </c>
      <c r="B1350" s="109" t="s">
        <v>11415</v>
      </c>
      <c r="C1350" s="109" t="s">
        <v>11415</v>
      </c>
      <c r="D1350" s="109" t="s">
        <v>12401</v>
      </c>
      <c r="E1350" s="109" t="s">
        <v>12401</v>
      </c>
      <c r="F1350" s="109" t="s">
        <v>12402</v>
      </c>
      <c r="G1350" s="110" t="s">
        <v>6248</v>
      </c>
      <c r="H1350" s="110" t="s">
        <v>12403</v>
      </c>
      <c r="I1350" s="110" t="s">
        <v>12404</v>
      </c>
    </row>
    <row r="1351" spans="1:9" ht="50.4" x14ac:dyDescent="0.3">
      <c r="A1351" s="109" t="s">
        <v>12405</v>
      </c>
      <c r="B1351" s="109" t="s">
        <v>11415</v>
      </c>
      <c r="C1351" s="109" t="s">
        <v>11415</v>
      </c>
      <c r="D1351" s="109" t="s">
        <v>12406</v>
      </c>
      <c r="E1351" s="109" t="s">
        <v>12406</v>
      </c>
      <c r="F1351" s="109" t="s">
        <v>12407</v>
      </c>
      <c r="G1351" s="110" t="s">
        <v>6248</v>
      </c>
      <c r="H1351" s="110" t="s">
        <v>7592</v>
      </c>
      <c r="I1351" s="110" t="s">
        <v>12408</v>
      </c>
    </row>
    <row r="1352" spans="1:9" ht="37.799999999999997" x14ac:dyDescent="0.3">
      <c r="A1352" s="109" t="s">
        <v>12409</v>
      </c>
      <c r="B1352" s="109" t="s">
        <v>11415</v>
      </c>
      <c r="C1352" s="109" t="s">
        <v>11415</v>
      </c>
      <c r="D1352" s="109" t="s">
        <v>6148</v>
      </c>
      <c r="E1352" s="109" t="s">
        <v>6148</v>
      </c>
      <c r="F1352" s="109" t="s">
        <v>12410</v>
      </c>
      <c r="G1352" s="110" t="s">
        <v>6248</v>
      </c>
      <c r="H1352" s="110" t="s">
        <v>12411</v>
      </c>
      <c r="I1352" s="110" t="s">
        <v>12412</v>
      </c>
    </row>
    <row r="1353" spans="1:9" ht="50.4" x14ac:dyDescent="0.3">
      <c r="A1353" s="109" t="s">
        <v>12413</v>
      </c>
      <c r="B1353" s="109" t="s">
        <v>11415</v>
      </c>
      <c r="C1353" s="109" t="s">
        <v>11415</v>
      </c>
      <c r="D1353" s="109" t="s">
        <v>12414</v>
      </c>
      <c r="E1353" s="109" t="s">
        <v>12414</v>
      </c>
      <c r="F1353" s="109" t="s">
        <v>12415</v>
      </c>
      <c r="G1353" s="110" t="s">
        <v>6248</v>
      </c>
      <c r="H1353" s="110" t="s">
        <v>11944</v>
      </c>
      <c r="I1353" s="110" t="s">
        <v>12416</v>
      </c>
    </row>
    <row r="1354" spans="1:9" ht="37.799999999999997" x14ac:dyDescent="0.3">
      <c r="A1354" s="109" t="s">
        <v>12417</v>
      </c>
      <c r="B1354" s="109" t="s">
        <v>11415</v>
      </c>
      <c r="C1354" s="109" t="s">
        <v>11415</v>
      </c>
      <c r="D1354" s="109" t="s">
        <v>12418</v>
      </c>
      <c r="E1354" s="109" t="s">
        <v>12418</v>
      </c>
      <c r="F1354" s="109" t="s">
        <v>12419</v>
      </c>
      <c r="G1354" s="110" t="s">
        <v>6248</v>
      </c>
      <c r="H1354" s="110" t="s">
        <v>6557</v>
      </c>
      <c r="I1354" s="110" t="s">
        <v>12420</v>
      </c>
    </row>
    <row r="1355" spans="1:9" ht="37.799999999999997" x14ac:dyDescent="0.3">
      <c r="A1355" s="109" t="s">
        <v>12421</v>
      </c>
      <c r="B1355" s="109" t="s">
        <v>11415</v>
      </c>
      <c r="C1355" s="109" t="s">
        <v>11415</v>
      </c>
      <c r="D1355" s="109" t="s">
        <v>12422</v>
      </c>
      <c r="E1355" s="109" t="s">
        <v>12418</v>
      </c>
      <c r="F1355" s="109" t="s">
        <v>12423</v>
      </c>
      <c r="G1355" s="110" t="s">
        <v>6557</v>
      </c>
      <c r="H1355" s="110" t="s">
        <v>6248</v>
      </c>
      <c r="I1355" s="110" t="s">
        <v>12416</v>
      </c>
    </row>
    <row r="1356" spans="1:9" ht="50.4" x14ac:dyDescent="0.3">
      <c r="A1356" s="109" t="s">
        <v>12424</v>
      </c>
      <c r="B1356" s="109" t="s">
        <v>11415</v>
      </c>
      <c r="C1356" s="109" t="s">
        <v>11415</v>
      </c>
      <c r="D1356" s="109" t="s">
        <v>12425</v>
      </c>
      <c r="E1356" s="109" t="s">
        <v>12425</v>
      </c>
      <c r="F1356" s="109" t="s">
        <v>12426</v>
      </c>
      <c r="G1356" s="110" t="s">
        <v>6248</v>
      </c>
      <c r="H1356" s="110" t="s">
        <v>12427</v>
      </c>
      <c r="I1356" s="110" t="s">
        <v>12428</v>
      </c>
    </row>
    <row r="1357" spans="1:9" ht="50.4" x14ac:dyDescent="0.3">
      <c r="A1357" s="109" t="s">
        <v>12429</v>
      </c>
      <c r="B1357" s="109" t="s">
        <v>11415</v>
      </c>
      <c r="C1357" s="109" t="s">
        <v>11415</v>
      </c>
      <c r="D1357" s="109" t="s">
        <v>12430</v>
      </c>
      <c r="E1357" s="109" t="s">
        <v>12430</v>
      </c>
      <c r="F1357" s="109" t="s">
        <v>12431</v>
      </c>
      <c r="G1357" s="110" t="s">
        <v>6248</v>
      </c>
      <c r="H1357" s="110" t="s">
        <v>6433</v>
      </c>
      <c r="I1357" s="110" t="s">
        <v>12432</v>
      </c>
    </row>
    <row r="1358" spans="1:9" ht="37.799999999999997" x14ac:dyDescent="0.3">
      <c r="A1358" s="109" t="s">
        <v>12433</v>
      </c>
      <c r="B1358" s="109" t="s">
        <v>11415</v>
      </c>
      <c r="C1358" s="109" t="s">
        <v>11415</v>
      </c>
      <c r="D1358" s="109" t="s">
        <v>12434</v>
      </c>
      <c r="E1358" s="109" t="s">
        <v>11179</v>
      </c>
      <c r="F1358" s="109" t="s">
        <v>12435</v>
      </c>
      <c r="G1358" s="110" t="s">
        <v>6248</v>
      </c>
      <c r="H1358" s="110" t="s">
        <v>12436</v>
      </c>
      <c r="I1358" s="110" t="s">
        <v>12437</v>
      </c>
    </row>
    <row r="1359" spans="1:9" ht="50.4" x14ac:dyDescent="0.3">
      <c r="A1359" s="109" t="s">
        <v>12438</v>
      </c>
      <c r="B1359" s="109" t="s">
        <v>11415</v>
      </c>
      <c r="C1359" s="109" t="s">
        <v>11415</v>
      </c>
      <c r="D1359" s="109" t="s">
        <v>12439</v>
      </c>
      <c r="E1359" s="109" t="s">
        <v>12439</v>
      </c>
      <c r="F1359" s="109" t="s">
        <v>12440</v>
      </c>
      <c r="G1359" s="110" t="s">
        <v>6248</v>
      </c>
      <c r="H1359" s="110" t="s">
        <v>12441</v>
      </c>
      <c r="I1359" s="110" t="s">
        <v>12442</v>
      </c>
    </row>
    <row r="1360" spans="1:9" ht="50.4" x14ac:dyDescent="0.3">
      <c r="A1360" s="109" t="s">
        <v>12443</v>
      </c>
      <c r="B1360" s="109" t="s">
        <v>11415</v>
      </c>
      <c r="C1360" s="109" t="s">
        <v>11415</v>
      </c>
      <c r="D1360" s="109" t="s">
        <v>12444</v>
      </c>
      <c r="E1360" s="109" t="s">
        <v>12444</v>
      </c>
      <c r="F1360" s="109" t="s">
        <v>12445</v>
      </c>
      <c r="G1360" s="110" t="s">
        <v>6248</v>
      </c>
      <c r="H1360" s="110" t="s">
        <v>8348</v>
      </c>
      <c r="I1360" s="110" t="s">
        <v>12446</v>
      </c>
    </row>
    <row r="1361" spans="1:9" ht="37.799999999999997" x14ac:dyDescent="0.3">
      <c r="A1361" s="109" t="s">
        <v>12447</v>
      </c>
      <c r="B1361" s="109" t="s">
        <v>11415</v>
      </c>
      <c r="C1361" s="109" t="s">
        <v>11415</v>
      </c>
      <c r="D1361" s="109" t="s">
        <v>12448</v>
      </c>
      <c r="E1361" s="109" t="s">
        <v>12449</v>
      </c>
      <c r="F1361" s="109" t="s">
        <v>12450</v>
      </c>
      <c r="G1361" s="110" t="s">
        <v>6248</v>
      </c>
      <c r="H1361" s="110" t="s">
        <v>12451</v>
      </c>
      <c r="I1361" s="110" t="s">
        <v>12452</v>
      </c>
    </row>
    <row r="1362" spans="1:9" ht="25.2" x14ac:dyDescent="0.3">
      <c r="A1362" s="109" t="s">
        <v>12453</v>
      </c>
      <c r="B1362" s="109" t="s">
        <v>11415</v>
      </c>
      <c r="C1362" s="109" t="s">
        <v>11415</v>
      </c>
      <c r="D1362" s="109" t="s">
        <v>12454</v>
      </c>
      <c r="E1362" s="109" t="s">
        <v>12455</v>
      </c>
      <c r="F1362" s="109" t="s">
        <v>6768</v>
      </c>
      <c r="G1362" s="110" t="s">
        <v>6248</v>
      </c>
      <c r="H1362" s="110" t="s">
        <v>12456</v>
      </c>
      <c r="I1362" s="110" t="s">
        <v>12457</v>
      </c>
    </row>
    <row r="1363" spans="1:9" ht="37.799999999999997" x14ac:dyDescent="0.3">
      <c r="A1363" s="109" t="s">
        <v>12458</v>
      </c>
      <c r="B1363" s="109" t="s">
        <v>11415</v>
      </c>
      <c r="C1363" s="109" t="s">
        <v>11415</v>
      </c>
      <c r="D1363" s="109" t="s">
        <v>12459</v>
      </c>
      <c r="E1363" s="109" t="s">
        <v>12459</v>
      </c>
      <c r="F1363" s="109" t="s">
        <v>12460</v>
      </c>
      <c r="G1363" s="110" t="s">
        <v>6248</v>
      </c>
      <c r="H1363" s="110" t="s">
        <v>12461</v>
      </c>
      <c r="I1363" s="110" t="s">
        <v>12462</v>
      </c>
    </row>
    <row r="1364" spans="1:9" ht="50.4" x14ac:dyDescent="0.3">
      <c r="A1364" s="109" t="s">
        <v>12463</v>
      </c>
      <c r="B1364" s="109" t="s">
        <v>11415</v>
      </c>
      <c r="C1364" s="109" t="s">
        <v>11415</v>
      </c>
      <c r="D1364" s="109" t="s">
        <v>12464</v>
      </c>
      <c r="E1364" s="109" t="s">
        <v>12464</v>
      </c>
      <c r="F1364" s="109" t="s">
        <v>12465</v>
      </c>
      <c r="G1364" s="110" t="s">
        <v>6248</v>
      </c>
      <c r="H1364" s="110" t="s">
        <v>12466</v>
      </c>
      <c r="I1364" s="110" t="s">
        <v>12467</v>
      </c>
    </row>
    <row r="1365" spans="1:9" ht="25.2" x14ac:dyDescent="0.3">
      <c r="A1365" s="109" t="s">
        <v>12468</v>
      </c>
      <c r="B1365" s="109" t="s">
        <v>11415</v>
      </c>
      <c r="C1365" s="109" t="s">
        <v>11415</v>
      </c>
      <c r="D1365" s="109" t="s">
        <v>12469</v>
      </c>
      <c r="E1365" s="109" t="s">
        <v>12455</v>
      </c>
      <c r="F1365" s="109" t="s">
        <v>6768</v>
      </c>
      <c r="G1365" s="110" t="s">
        <v>6248</v>
      </c>
      <c r="H1365" s="110" t="s">
        <v>12470</v>
      </c>
      <c r="I1365" s="110" t="s">
        <v>12471</v>
      </c>
    </row>
    <row r="1366" spans="1:9" ht="37.799999999999997" x14ac:dyDescent="0.3">
      <c r="A1366" s="109" t="s">
        <v>12472</v>
      </c>
      <c r="B1366" s="109" t="s">
        <v>11415</v>
      </c>
      <c r="C1366" s="109" t="s">
        <v>11415</v>
      </c>
      <c r="D1366" s="109" t="s">
        <v>12473</v>
      </c>
      <c r="E1366" s="109" t="s">
        <v>12474</v>
      </c>
      <c r="F1366" s="109" t="s">
        <v>12475</v>
      </c>
      <c r="G1366" s="110" t="s">
        <v>6248</v>
      </c>
      <c r="H1366" s="110" t="s">
        <v>12476</v>
      </c>
      <c r="I1366" s="110" t="s">
        <v>12477</v>
      </c>
    </row>
    <row r="1367" spans="1:9" ht="37.799999999999997" x14ac:dyDescent="0.3">
      <c r="A1367" s="109" t="s">
        <v>12478</v>
      </c>
      <c r="B1367" s="109" t="s">
        <v>11415</v>
      </c>
      <c r="C1367" s="109" t="s">
        <v>11415</v>
      </c>
      <c r="D1367" s="109" t="s">
        <v>12479</v>
      </c>
      <c r="E1367" s="109" t="s">
        <v>12474</v>
      </c>
      <c r="F1367" s="109" t="s">
        <v>12480</v>
      </c>
      <c r="G1367" s="110" t="s">
        <v>12476</v>
      </c>
      <c r="H1367" s="110" t="s">
        <v>6248</v>
      </c>
      <c r="I1367" s="110" t="s">
        <v>12471</v>
      </c>
    </row>
    <row r="1368" spans="1:9" ht="25.2" x14ac:dyDescent="0.3">
      <c r="A1368" s="109" t="s">
        <v>12481</v>
      </c>
      <c r="B1368" s="109" t="s">
        <v>11415</v>
      </c>
      <c r="C1368" s="109" t="s">
        <v>11415</v>
      </c>
      <c r="D1368" s="109" t="s">
        <v>12482</v>
      </c>
      <c r="E1368" s="109" t="s">
        <v>12483</v>
      </c>
      <c r="F1368" s="109" t="s">
        <v>12484</v>
      </c>
      <c r="G1368" s="110" t="s">
        <v>6248</v>
      </c>
      <c r="H1368" s="110" t="s">
        <v>12485</v>
      </c>
      <c r="I1368" s="110" t="s">
        <v>12486</v>
      </c>
    </row>
    <row r="1369" spans="1:9" ht="50.4" x14ac:dyDescent="0.3">
      <c r="A1369" s="109" t="s">
        <v>12487</v>
      </c>
      <c r="B1369" s="109" t="s">
        <v>11415</v>
      </c>
      <c r="C1369" s="109" t="s">
        <v>11415</v>
      </c>
      <c r="D1369" s="109" t="s">
        <v>9913</v>
      </c>
      <c r="E1369" s="109" t="s">
        <v>9913</v>
      </c>
      <c r="F1369" s="109" t="s">
        <v>12488</v>
      </c>
      <c r="G1369" s="110" t="s">
        <v>6248</v>
      </c>
      <c r="H1369" s="110" t="s">
        <v>12489</v>
      </c>
      <c r="I1369" s="110" t="s">
        <v>12490</v>
      </c>
    </row>
    <row r="1370" spans="1:9" ht="50.4" x14ac:dyDescent="0.3">
      <c r="A1370" s="109" t="s">
        <v>12491</v>
      </c>
      <c r="B1370" s="109" t="s">
        <v>11415</v>
      </c>
      <c r="C1370" s="109" t="s">
        <v>11415</v>
      </c>
      <c r="D1370" s="109" t="s">
        <v>12492</v>
      </c>
      <c r="E1370" s="109" t="s">
        <v>12492</v>
      </c>
      <c r="F1370" s="109" t="s">
        <v>12493</v>
      </c>
      <c r="G1370" s="110" t="s">
        <v>6248</v>
      </c>
      <c r="H1370" s="110" t="s">
        <v>12494</v>
      </c>
      <c r="I1370" s="110" t="s">
        <v>12495</v>
      </c>
    </row>
    <row r="1371" spans="1:9" ht="50.4" x14ac:dyDescent="0.3">
      <c r="A1371" s="109" t="s">
        <v>12496</v>
      </c>
      <c r="B1371" s="109" t="s">
        <v>11415</v>
      </c>
      <c r="C1371" s="109" t="s">
        <v>11415</v>
      </c>
      <c r="D1371" s="109" t="s">
        <v>12497</v>
      </c>
      <c r="E1371" s="109" t="s">
        <v>12497</v>
      </c>
      <c r="F1371" s="109" t="s">
        <v>12498</v>
      </c>
      <c r="G1371" s="110" t="s">
        <v>6248</v>
      </c>
      <c r="H1371" s="110" t="s">
        <v>12499</v>
      </c>
      <c r="I1371" s="110" t="s">
        <v>12500</v>
      </c>
    </row>
    <row r="1372" spans="1:9" ht="50.4" x14ac:dyDescent="0.3">
      <c r="A1372" s="109" t="s">
        <v>12501</v>
      </c>
      <c r="B1372" s="109" t="s">
        <v>11415</v>
      </c>
      <c r="C1372" s="109" t="s">
        <v>11415</v>
      </c>
      <c r="D1372" s="109" t="s">
        <v>12502</v>
      </c>
      <c r="E1372" s="109" t="s">
        <v>12502</v>
      </c>
      <c r="F1372" s="109" t="s">
        <v>12503</v>
      </c>
      <c r="G1372" s="110" t="s">
        <v>6248</v>
      </c>
      <c r="H1372" s="110" t="s">
        <v>12504</v>
      </c>
      <c r="I1372" s="110" t="s">
        <v>12505</v>
      </c>
    </row>
    <row r="1373" spans="1:9" ht="50.4" x14ac:dyDescent="0.3">
      <c r="A1373" s="109" t="s">
        <v>12506</v>
      </c>
      <c r="B1373" s="109" t="s">
        <v>11415</v>
      </c>
      <c r="C1373" s="109" t="s">
        <v>11415</v>
      </c>
      <c r="D1373" s="109" t="s">
        <v>12507</v>
      </c>
      <c r="E1373" s="109" t="s">
        <v>12507</v>
      </c>
      <c r="F1373" s="109" t="s">
        <v>12508</v>
      </c>
      <c r="G1373" s="110" t="s">
        <v>6248</v>
      </c>
      <c r="H1373" s="110" t="s">
        <v>12509</v>
      </c>
      <c r="I1373" s="110" t="s">
        <v>12510</v>
      </c>
    </row>
    <row r="1374" spans="1:9" ht="50.4" x14ac:dyDescent="0.3">
      <c r="A1374" s="109" t="s">
        <v>12511</v>
      </c>
      <c r="B1374" s="109" t="s">
        <v>11415</v>
      </c>
      <c r="C1374" s="109" t="s">
        <v>11415</v>
      </c>
      <c r="D1374" s="109" t="s">
        <v>12512</v>
      </c>
      <c r="E1374" s="109" t="s">
        <v>12512</v>
      </c>
      <c r="F1374" s="109" t="s">
        <v>12513</v>
      </c>
      <c r="G1374" s="110" t="s">
        <v>6248</v>
      </c>
      <c r="H1374" s="110" t="s">
        <v>12514</v>
      </c>
      <c r="I1374" s="110" t="s">
        <v>12515</v>
      </c>
    </row>
    <row r="1375" spans="1:9" ht="50.4" x14ac:dyDescent="0.3">
      <c r="A1375" s="109" t="s">
        <v>12516</v>
      </c>
      <c r="B1375" s="109" t="s">
        <v>11415</v>
      </c>
      <c r="C1375" s="109" t="s">
        <v>11415</v>
      </c>
      <c r="D1375" s="109" t="s">
        <v>12517</v>
      </c>
      <c r="E1375" s="109" t="s">
        <v>12517</v>
      </c>
      <c r="F1375" s="109" t="s">
        <v>12518</v>
      </c>
      <c r="G1375" s="110" t="s">
        <v>6248</v>
      </c>
      <c r="H1375" s="110" t="s">
        <v>7321</v>
      </c>
      <c r="I1375" s="110" t="s">
        <v>12519</v>
      </c>
    </row>
    <row r="1376" spans="1:9" ht="50.4" x14ac:dyDescent="0.3">
      <c r="A1376" s="109" t="s">
        <v>12520</v>
      </c>
      <c r="B1376" s="109" t="s">
        <v>11415</v>
      </c>
      <c r="C1376" s="109" t="s">
        <v>11415</v>
      </c>
      <c r="D1376" s="109" t="s">
        <v>12521</v>
      </c>
      <c r="E1376" s="109" t="s">
        <v>12521</v>
      </c>
      <c r="F1376" s="109" t="s">
        <v>12522</v>
      </c>
      <c r="G1376" s="110" t="s">
        <v>6248</v>
      </c>
      <c r="H1376" s="110" t="s">
        <v>12523</v>
      </c>
      <c r="I1376" s="110" t="s">
        <v>12524</v>
      </c>
    </row>
    <row r="1377" spans="1:9" ht="50.4" x14ac:dyDescent="0.3">
      <c r="A1377" s="109" t="s">
        <v>12525</v>
      </c>
      <c r="B1377" s="109" t="s">
        <v>11415</v>
      </c>
      <c r="C1377" s="109" t="s">
        <v>11415</v>
      </c>
      <c r="D1377" s="109" t="s">
        <v>12526</v>
      </c>
      <c r="E1377" s="109" t="s">
        <v>12526</v>
      </c>
      <c r="F1377" s="109" t="s">
        <v>12527</v>
      </c>
      <c r="G1377" s="110" t="s">
        <v>6248</v>
      </c>
      <c r="H1377" s="110" t="s">
        <v>12528</v>
      </c>
      <c r="I1377" s="110" t="s">
        <v>12529</v>
      </c>
    </row>
    <row r="1378" spans="1:9" ht="63" x14ac:dyDescent="0.3">
      <c r="A1378" s="109" t="s">
        <v>12530</v>
      </c>
      <c r="B1378" s="109" t="s">
        <v>11415</v>
      </c>
      <c r="C1378" s="109" t="s">
        <v>11415</v>
      </c>
      <c r="D1378" s="109" t="s">
        <v>12531</v>
      </c>
      <c r="E1378" s="109" t="s">
        <v>12531</v>
      </c>
      <c r="F1378" s="109" t="s">
        <v>12532</v>
      </c>
      <c r="G1378" s="110" t="s">
        <v>6248</v>
      </c>
      <c r="H1378" s="110" t="s">
        <v>12533</v>
      </c>
      <c r="I1378" s="110" t="s">
        <v>12534</v>
      </c>
    </row>
    <row r="1379" spans="1:9" ht="50.4" x14ac:dyDescent="0.3">
      <c r="A1379" s="109" t="s">
        <v>12535</v>
      </c>
      <c r="B1379" s="109" t="s">
        <v>11415</v>
      </c>
      <c r="C1379" s="109" t="s">
        <v>11415</v>
      </c>
      <c r="D1379" s="109" t="s">
        <v>12536</v>
      </c>
      <c r="E1379" s="109" t="s">
        <v>12536</v>
      </c>
      <c r="F1379" s="109" t="s">
        <v>12537</v>
      </c>
      <c r="G1379" s="110" t="s">
        <v>6248</v>
      </c>
      <c r="H1379" s="110" t="s">
        <v>12538</v>
      </c>
      <c r="I1379" s="110" t="s">
        <v>12539</v>
      </c>
    </row>
    <row r="1380" spans="1:9" ht="50.4" x14ac:dyDescent="0.3">
      <c r="A1380" s="109" t="s">
        <v>12540</v>
      </c>
      <c r="B1380" s="109" t="s">
        <v>11415</v>
      </c>
      <c r="C1380" s="109" t="s">
        <v>11415</v>
      </c>
      <c r="D1380" s="109" t="s">
        <v>12541</v>
      </c>
      <c r="E1380" s="109" t="s">
        <v>12541</v>
      </c>
      <c r="F1380" s="109" t="s">
        <v>12542</v>
      </c>
      <c r="G1380" s="110" t="s">
        <v>6248</v>
      </c>
      <c r="H1380" s="110" t="s">
        <v>12543</v>
      </c>
      <c r="I1380" s="110" t="s">
        <v>12544</v>
      </c>
    </row>
    <row r="1381" spans="1:9" ht="50.4" x14ac:dyDescent="0.3">
      <c r="A1381" s="109" t="s">
        <v>12545</v>
      </c>
      <c r="B1381" s="109" t="s">
        <v>11415</v>
      </c>
      <c r="C1381" s="109" t="s">
        <v>11415</v>
      </c>
      <c r="D1381" s="109" t="s">
        <v>12546</v>
      </c>
      <c r="E1381" s="109" t="s">
        <v>12546</v>
      </c>
      <c r="F1381" s="109" t="s">
        <v>12547</v>
      </c>
      <c r="G1381" s="110" t="s">
        <v>6248</v>
      </c>
      <c r="H1381" s="110" t="s">
        <v>12548</v>
      </c>
      <c r="I1381" s="110" t="s">
        <v>12549</v>
      </c>
    </row>
    <row r="1382" spans="1:9" ht="50.4" x14ac:dyDescent="0.3">
      <c r="A1382" s="109" t="s">
        <v>12550</v>
      </c>
      <c r="B1382" s="109" t="s">
        <v>11415</v>
      </c>
      <c r="C1382" s="109" t="s">
        <v>11415</v>
      </c>
      <c r="D1382" s="109" t="s">
        <v>11957</v>
      </c>
      <c r="E1382" s="109" t="s">
        <v>11957</v>
      </c>
      <c r="F1382" s="109" t="s">
        <v>12551</v>
      </c>
      <c r="G1382" s="110" t="s">
        <v>6248</v>
      </c>
      <c r="H1382" s="110" t="s">
        <v>7128</v>
      </c>
      <c r="I1382" s="110" t="s">
        <v>12552</v>
      </c>
    </row>
    <row r="1383" spans="1:9" ht="37.799999999999997" x14ac:dyDescent="0.3">
      <c r="A1383" s="109" t="s">
        <v>12553</v>
      </c>
      <c r="B1383" s="109" t="s">
        <v>11415</v>
      </c>
      <c r="C1383" s="109" t="s">
        <v>11415</v>
      </c>
      <c r="D1383" s="109" t="s">
        <v>12554</v>
      </c>
      <c r="E1383" s="109" t="s">
        <v>12554</v>
      </c>
      <c r="F1383" s="109" t="s">
        <v>12555</v>
      </c>
      <c r="G1383" s="110" t="s">
        <v>6248</v>
      </c>
      <c r="H1383" s="110" t="s">
        <v>12556</v>
      </c>
      <c r="I1383" s="110" t="s">
        <v>12557</v>
      </c>
    </row>
    <row r="1384" spans="1:9" ht="37.799999999999997" x14ac:dyDescent="0.3">
      <c r="A1384" s="109" t="s">
        <v>12558</v>
      </c>
      <c r="B1384" s="109" t="s">
        <v>11415</v>
      </c>
      <c r="C1384" s="109" t="s">
        <v>11415</v>
      </c>
      <c r="D1384" s="109" t="s">
        <v>12559</v>
      </c>
      <c r="E1384" s="109" t="s">
        <v>5558</v>
      </c>
      <c r="F1384" s="109" t="s">
        <v>12560</v>
      </c>
      <c r="G1384" s="110" t="s">
        <v>6248</v>
      </c>
      <c r="H1384" s="110" t="s">
        <v>12561</v>
      </c>
      <c r="I1384" s="110" t="s">
        <v>12562</v>
      </c>
    </row>
    <row r="1385" spans="1:9" ht="37.799999999999997" x14ac:dyDescent="0.3">
      <c r="A1385" s="109" t="s">
        <v>12563</v>
      </c>
      <c r="B1385" s="109" t="s">
        <v>11415</v>
      </c>
      <c r="C1385" s="109" t="s">
        <v>11415</v>
      </c>
      <c r="D1385" s="109" t="s">
        <v>12564</v>
      </c>
      <c r="E1385" s="109" t="s">
        <v>5558</v>
      </c>
      <c r="F1385" s="109" t="s">
        <v>12565</v>
      </c>
      <c r="G1385" s="110" t="s">
        <v>6248</v>
      </c>
      <c r="H1385" s="110" t="s">
        <v>12566</v>
      </c>
      <c r="I1385" s="110" t="s">
        <v>12567</v>
      </c>
    </row>
    <row r="1386" spans="1:9" ht="37.799999999999997" x14ac:dyDescent="0.3">
      <c r="A1386" s="109" t="s">
        <v>12568</v>
      </c>
      <c r="B1386" s="109" t="s">
        <v>11415</v>
      </c>
      <c r="C1386" s="109" t="s">
        <v>11415</v>
      </c>
      <c r="D1386" s="109" t="s">
        <v>12569</v>
      </c>
      <c r="E1386" s="109" t="s">
        <v>5558</v>
      </c>
      <c r="F1386" s="109" t="s">
        <v>12570</v>
      </c>
      <c r="G1386" s="110" t="s">
        <v>6248</v>
      </c>
      <c r="H1386" s="110" t="s">
        <v>12571</v>
      </c>
      <c r="I1386" s="110" t="s">
        <v>12572</v>
      </c>
    </row>
    <row r="1387" spans="1:9" ht="50.4" x14ac:dyDescent="0.3">
      <c r="A1387" s="109" t="s">
        <v>12573</v>
      </c>
      <c r="B1387" s="109" t="s">
        <v>11415</v>
      </c>
      <c r="C1387" s="109" t="s">
        <v>11415</v>
      </c>
      <c r="D1387" s="109" t="s">
        <v>12574</v>
      </c>
      <c r="E1387" s="109" t="s">
        <v>12574</v>
      </c>
      <c r="F1387" s="109" t="s">
        <v>12575</v>
      </c>
      <c r="G1387" s="110" t="s">
        <v>6248</v>
      </c>
      <c r="H1387" s="110" t="s">
        <v>12576</v>
      </c>
      <c r="I1387" s="110" t="s">
        <v>12577</v>
      </c>
    </row>
    <row r="1388" spans="1:9" ht="37.799999999999997" x14ac:dyDescent="0.3">
      <c r="A1388" s="109" t="s">
        <v>12578</v>
      </c>
      <c r="B1388" s="109" t="s">
        <v>11415</v>
      </c>
      <c r="C1388" s="109" t="s">
        <v>11415</v>
      </c>
      <c r="D1388" s="109" t="s">
        <v>12579</v>
      </c>
      <c r="E1388" s="109" t="s">
        <v>12580</v>
      </c>
      <c r="F1388" s="109" t="s">
        <v>12581</v>
      </c>
      <c r="G1388" s="110" t="s">
        <v>6248</v>
      </c>
      <c r="H1388" s="110" t="s">
        <v>12582</v>
      </c>
      <c r="I1388" s="110" t="s">
        <v>12583</v>
      </c>
    </row>
    <row r="1389" spans="1:9" ht="25.2" x14ac:dyDescent="0.3">
      <c r="A1389" s="109" t="s">
        <v>12584</v>
      </c>
      <c r="B1389" s="109" t="s">
        <v>11415</v>
      </c>
      <c r="C1389" s="109" t="s">
        <v>11415</v>
      </c>
      <c r="D1389" s="109" t="s">
        <v>12585</v>
      </c>
      <c r="E1389" s="109" t="s">
        <v>5558</v>
      </c>
      <c r="F1389" s="109" t="s">
        <v>12586</v>
      </c>
      <c r="G1389" s="110" t="s">
        <v>6248</v>
      </c>
      <c r="H1389" s="110" t="s">
        <v>12587</v>
      </c>
      <c r="I1389" s="110" t="s">
        <v>12588</v>
      </c>
    </row>
    <row r="1390" spans="1:9" ht="50.4" x14ac:dyDescent="0.3">
      <c r="A1390" s="109" t="s">
        <v>12589</v>
      </c>
      <c r="B1390" s="109" t="s">
        <v>11415</v>
      </c>
      <c r="C1390" s="109" t="s">
        <v>11415</v>
      </c>
      <c r="D1390" s="109" t="s">
        <v>12590</v>
      </c>
      <c r="E1390" s="109" t="s">
        <v>12590</v>
      </c>
      <c r="F1390" s="109" t="s">
        <v>12591</v>
      </c>
      <c r="G1390" s="110" t="s">
        <v>6248</v>
      </c>
      <c r="H1390" s="110" t="s">
        <v>12592</v>
      </c>
      <c r="I1390" s="110" t="s">
        <v>12593</v>
      </c>
    </row>
    <row r="1391" spans="1:9" ht="25.2" x14ac:dyDescent="0.3">
      <c r="A1391" s="109" t="s">
        <v>12594</v>
      </c>
      <c r="B1391" s="109" t="s">
        <v>11415</v>
      </c>
      <c r="C1391" s="109" t="s">
        <v>11415</v>
      </c>
      <c r="D1391" s="109" t="s">
        <v>12595</v>
      </c>
      <c r="E1391" s="109" t="s">
        <v>5558</v>
      </c>
      <c r="F1391" s="109" t="s">
        <v>12596</v>
      </c>
      <c r="G1391" s="110" t="s">
        <v>6248</v>
      </c>
      <c r="H1391" s="110" t="s">
        <v>12597</v>
      </c>
      <c r="I1391" s="110" t="s">
        <v>12598</v>
      </c>
    </row>
    <row r="1392" spans="1:9" ht="37.799999999999997" x14ac:dyDescent="0.3">
      <c r="A1392" s="109" t="s">
        <v>12599</v>
      </c>
      <c r="B1392" s="109" t="s">
        <v>11415</v>
      </c>
      <c r="C1392" s="109" t="s">
        <v>11415</v>
      </c>
      <c r="D1392" s="109" t="s">
        <v>12600</v>
      </c>
      <c r="E1392" s="109" t="s">
        <v>5558</v>
      </c>
      <c r="F1392" s="109" t="s">
        <v>12601</v>
      </c>
      <c r="G1392" s="110" t="s">
        <v>6248</v>
      </c>
      <c r="H1392" s="110" t="s">
        <v>12602</v>
      </c>
      <c r="I1392" s="110" t="s">
        <v>12603</v>
      </c>
    </row>
    <row r="1393" spans="1:9" ht="37.799999999999997" x14ac:dyDescent="0.3">
      <c r="A1393" s="109" t="s">
        <v>12604</v>
      </c>
      <c r="B1393" s="109" t="s">
        <v>11415</v>
      </c>
      <c r="C1393" s="109" t="s">
        <v>11415</v>
      </c>
      <c r="D1393" s="109" t="s">
        <v>12605</v>
      </c>
      <c r="E1393" s="109" t="s">
        <v>5558</v>
      </c>
      <c r="F1393" s="109" t="s">
        <v>12606</v>
      </c>
      <c r="G1393" s="110" t="s">
        <v>6248</v>
      </c>
      <c r="H1393" s="110" t="s">
        <v>12607</v>
      </c>
      <c r="I1393" s="110" t="s">
        <v>12608</v>
      </c>
    </row>
    <row r="1394" spans="1:9" ht="25.2" x14ac:dyDescent="0.3">
      <c r="A1394" s="109" t="s">
        <v>12609</v>
      </c>
      <c r="B1394" s="109" t="s">
        <v>11415</v>
      </c>
      <c r="C1394" s="109" t="s">
        <v>11415</v>
      </c>
      <c r="D1394" s="109" t="s">
        <v>12610</v>
      </c>
      <c r="E1394" s="109" t="s">
        <v>5558</v>
      </c>
      <c r="F1394" s="109" t="s">
        <v>12611</v>
      </c>
      <c r="G1394" s="110" t="s">
        <v>6248</v>
      </c>
      <c r="H1394" s="110" t="s">
        <v>12612</v>
      </c>
      <c r="I1394" s="110" t="s">
        <v>12613</v>
      </c>
    </row>
    <row r="1395" spans="1:9" ht="37.799999999999997" x14ac:dyDescent="0.3">
      <c r="A1395" s="109" t="s">
        <v>12614</v>
      </c>
      <c r="B1395" s="109" t="s">
        <v>11415</v>
      </c>
      <c r="C1395" s="109" t="s">
        <v>11415</v>
      </c>
      <c r="D1395" s="109" t="s">
        <v>12615</v>
      </c>
      <c r="E1395" s="109" t="s">
        <v>5558</v>
      </c>
      <c r="F1395" s="109" t="s">
        <v>12616</v>
      </c>
      <c r="G1395" s="110" t="s">
        <v>6248</v>
      </c>
      <c r="H1395" s="110" t="s">
        <v>12617</v>
      </c>
      <c r="I1395" s="110" t="s">
        <v>12618</v>
      </c>
    </row>
    <row r="1396" spans="1:9" ht="25.2" x14ac:dyDescent="0.3">
      <c r="A1396" s="109" t="s">
        <v>12619</v>
      </c>
      <c r="B1396" s="109" t="s">
        <v>11415</v>
      </c>
      <c r="C1396" s="109" t="s">
        <v>11415</v>
      </c>
      <c r="D1396" s="109" t="s">
        <v>12620</v>
      </c>
      <c r="E1396" s="109" t="s">
        <v>12621</v>
      </c>
      <c r="F1396" s="109" t="s">
        <v>8179</v>
      </c>
      <c r="G1396" s="110" t="s">
        <v>6248</v>
      </c>
      <c r="H1396" s="110" t="s">
        <v>12622</v>
      </c>
      <c r="I1396" s="110" t="s">
        <v>12623</v>
      </c>
    </row>
    <row r="1397" spans="1:9" ht="25.2" x14ac:dyDescent="0.3">
      <c r="A1397" s="109" t="s">
        <v>12624</v>
      </c>
      <c r="B1397" s="109" t="s">
        <v>11415</v>
      </c>
      <c r="C1397" s="109" t="s">
        <v>11415</v>
      </c>
      <c r="D1397" s="109" t="s">
        <v>12625</v>
      </c>
      <c r="E1397" s="109" t="s">
        <v>5558</v>
      </c>
      <c r="F1397" s="109" t="s">
        <v>12626</v>
      </c>
      <c r="G1397" s="110" t="s">
        <v>6248</v>
      </c>
      <c r="H1397" s="110" t="s">
        <v>12627</v>
      </c>
      <c r="I1397" s="110" t="s">
        <v>12628</v>
      </c>
    </row>
    <row r="1398" spans="1:9" ht="25.2" x14ac:dyDescent="0.3">
      <c r="A1398" s="109" t="s">
        <v>12629</v>
      </c>
      <c r="B1398" s="109" t="s">
        <v>11415</v>
      </c>
      <c r="C1398" s="109" t="s">
        <v>11415</v>
      </c>
      <c r="D1398" s="109" t="s">
        <v>12630</v>
      </c>
      <c r="E1398" s="109" t="s">
        <v>5558</v>
      </c>
      <c r="F1398" s="109" t="s">
        <v>12631</v>
      </c>
      <c r="G1398" s="110" t="s">
        <v>6248</v>
      </c>
      <c r="H1398" s="110" t="s">
        <v>6883</v>
      </c>
      <c r="I1398" s="110" t="s">
        <v>12632</v>
      </c>
    </row>
    <row r="1399" spans="1:9" ht="25.2" x14ac:dyDescent="0.3">
      <c r="A1399" s="109" t="s">
        <v>12633</v>
      </c>
      <c r="B1399" s="109" t="s">
        <v>11415</v>
      </c>
      <c r="C1399" s="109" t="s">
        <v>11415</v>
      </c>
      <c r="D1399" s="109" t="s">
        <v>12634</v>
      </c>
      <c r="E1399" s="109" t="s">
        <v>6174</v>
      </c>
      <c r="F1399" s="109" t="s">
        <v>12635</v>
      </c>
      <c r="G1399" s="110" t="s">
        <v>6248</v>
      </c>
      <c r="H1399" s="110" t="s">
        <v>12636</v>
      </c>
      <c r="I1399" s="110" t="s">
        <v>12637</v>
      </c>
    </row>
    <row r="1400" spans="1:9" ht="25.2" x14ac:dyDescent="0.3">
      <c r="A1400" s="109" t="s">
        <v>12638</v>
      </c>
      <c r="B1400" s="109" t="s">
        <v>11415</v>
      </c>
      <c r="C1400" s="109" t="s">
        <v>11415</v>
      </c>
      <c r="D1400" s="109" t="s">
        <v>1509</v>
      </c>
      <c r="E1400" s="109" t="s">
        <v>5558</v>
      </c>
      <c r="F1400" s="109" t="s">
        <v>12639</v>
      </c>
      <c r="G1400" s="110" t="s">
        <v>6248</v>
      </c>
      <c r="H1400" s="110" t="s">
        <v>12640</v>
      </c>
      <c r="I1400" s="110" t="s">
        <v>12641</v>
      </c>
    </row>
    <row r="1401" spans="1:9" ht="25.2" x14ac:dyDescent="0.3">
      <c r="A1401" s="109" t="s">
        <v>12642</v>
      </c>
      <c r="B1401" s="109" t="s">
        <v>11415</v>
      </c>
      <c r="C1401" s="109" t="s">
        <v>11415</v>
      </c>
      <c r="D1401" s="109" t="s">
        <v>12643</v>
      </c>
      <c r="E1401" s="109" t="s">
        <v>5558</v>
      </c>
      <c r="F1401" s="109" t="s">
        <v>12644</v>
      </c>
      <c r="G1401" s="110" t="s">
        <v>6248</v>
      </c>
      <c r="H1401" s="110" t="s">
        <v>12645</v>
      </c>
      <c r="I1401" s="110" t="s">
        <v>12646</v>
      </c>
    </row>
    <row r="1402" spans="1:9" ht="37.799999999999997" x14ac:dyDescent="0.3">
      <c r="A1402" s="109" t="s">
        <v>12647</v>
      </c>
      <c r="B1402" s="109" t="s">
        <v>11415</v>
      </c>
      <c r="C1402" s="109" t="s">
        <v>11415</v>
      </c>
      <c r="D1402" s="109" t="s">
        <v>12648</v>
      </c>
      <c r="E1402" s="109" t="s">
        <v>5558</v>
      </c>
      <c r="F1402" s="109" t="s">
        <v>12649</v>
      </c>
      <c r="G1402" s="110" t="s">
        <v>6248</v>
      </c>
      <c r="H1402" s="110" t="s">
        <v>12650</v>
      </c>
      <c r="I1402" s="110" t="s">
        <v>12651</v>
      </c>
    </row>
    <row r="1403" spans="1:9" ht="25.2" x14ac:dyDescent="0.3">
      <c r="A1403" s="109" t="s">
        <v>12652</v>
      </c>
      <c r="B1403" s="109" t="s">
        <v>11415</v>
      </c>
      <c r="C1403" s="109" t="s">
        <v>11415</v>
      </c>
      <c r="D1403" s="109" t="s">
        <v>12653</v>
      </c>
      <c r="E1403" s="109" t="s">
        <v>12654</v>
      </c>
      <c r="F1403" s="109" t="s">
        <v>12655</v>
      </c>
      <c r="G1403" s="110" t="s">
        <v>6248</v>
      </c>
      <c r="H1403" s="110" t="s">
        <v>9833</v>
      </c>
      <c r="I1403" s="110" t="s">
        <v>12656</v>
      </c>
    </row>
    <row r="1404" spans="1:9" ht="25.2" x14ac:dyDescent="0.3">
      <c r="A1404" s="109" t="s">
        <v>12657</v>
      </c>
      <c r="B1404" s="109" t="s">
        <v>11415</v>
      </c>
      <c r="C1404" s="109" t="s">
        <v>11415</v>
      </c>
      <c r="D1404" s="109" t="s">
        <v>12658</v>
      </c>
      <c r="E1404" s="109" t="s">
        <v>5558</v>
      </c>
      <c r="F1404" s="109" t="s">
        <v>12659</v>
      </c>
      <c r="G1404" s="110" t="s">
        <v>6248</v>
      </c>
      <c r="H1404" s="110" t="s">
        <v>7221</v>
      </c>
      <c r="I1404" s="110" t="s">
        <v>12660</v>
      </c>
    </row>
    <row r="1405" spans="1:9" ht="25.2" x14ac:dyDescent="0.3">
      <c r="A1405" s="109" t="s">
        <v>12661</v>
      </c>
      <c r="B1405" s="109" t="s">
        <v>11415</v>
      </c>
      <c r="C1405" s="109" t="s">
        <v>11415</v>
      </c>
      <c r="D1405" s="109" t="s">
        <v>12662</v>
      </c>
      <c r="E1405" s="109" t="s">
        <v>5558</v>
      </c>
      <c r="F1405" s="109" t="s">
        <v>12663</v>
      </c>
      <c r="G1405" s="110" t="s">
        <v>6248</v>
      </c>
      <c r="H1405" s="110" t="s">
        <v>12664</v>
      </c>
      <c r="I1405" s="110" t="s">
        <v>12665</v>
      </c>
    </row>
    <row r="1406" spans="1:9" ht="25.2" x14ac:dyDescent="0.3">
      <c r="A1406" s="109" t="s">
        <v>12666</v>
      </c>
      <c r="B1406" s="109" t="s">
        <v>11415</v>
      </c>
      <c r="C1406" s="109" t="s">
        <v>11415</v>
      </c>
      <c r="D1406" s="109" t="s">
        <v>12667</v>
      </c>
      <c r="E1406" s="109" t="s">
        <v>5558</v>
      </c>
      <c r="F1406" s="109" t="s">
        <v>12668</v>
      </c>
      <c r="G1406" s="110" t="s">
        <v>6248</v>
      </c>
      <c r="H1406" s="110" t="s">
        <v>12669</v>
      </c>
      <c r="I1406" s="110" t="s">
        <v>12670</v>
      </c>
    </row>
    <row r="1407" spans="1:9" ht="37.799999999999997" x14ac:dyDescent="0.3">
      <c r="A1407" s="109" t="s">
        <v>12671</v>
      </c>
      <c r="B1407" s="109" t="s">
        <v>11415</v>
      </c>
      <c r="C1407" s="109" t="s">
        <v>11415</v>
      </c>
      <c r="D1407" s="109" t="s">
        <v>12672</v>
      </c>
      <c r="E1407" s="109" t="s">
        <v>5558</v>
      </c>
      <c r="F1407" s="109" t="s">
        <v>12673</v>
      </c>
      <c r="G1407" s="110" t="s">
        <v>6248</v>
      </c>
      <c r="H1407" s="110" t="s">
        <v>6352</v>
      </c>
      <c r="I1407" s="110" t="s">
        <v>12674</v>
      </c>
    </row>
    <row r="1408" spans="1:9" ht="25.2" x14ac:dyDescent="0.3">
      <c r="A1408" s="109" t="s">
        <v>12675</v>
      </c>
      <c r="B1408" s="109" t="s">
        <v>11415</v>
      </c>
      <c r="C1408" s="109" t="s">
        <v>11415</v>
      </c>
      <c r="D1408" s="109" t="s">
        <v>12676</v>
      </c>
      <c r="E1408" s="109" t="s">
        <v>12677</v>
      </c>
      <c r="F1408" s="109" t="s">
        <v>6033</v>
      </c>
      <c r="G1408" s="110" t="s">
        <v>6248</v>
      </c>
      <c r="H1408" s="110" t="s">
        <v>12678</v>
      </c>
      <c r="I1408" s="110" t="s">
        <v>12679</v>
      </c>
    </row>
    <row r="1409" spans="1:9" ht="25.2" x14ac:dyDescent="0.3">
      <c r="A1409" s="109" t="s">
        <v>12680</v>
      </c>
      <c r="B1409" s="109" t="s">
        <v>11415</v>
      </c>
      <c r="C1409" s="109" t="s">
        <v>11415</v>
      </c>
      <c r="D1409" s="109" t="s">
        <v>12681</v>
      </c>
      <c r="E1409" s="109" t="s">
        <v>12682</v>
      </c>
      <c r="F1409" s="109" t="s">
        <v>12683</v>
      </c>
      <c r="G1409" s="110" t="s">
        <v>6248</v>
      </c>
      <c r="H1409" s="110" t="s">
        <v>12684</v>
      </c>
      <c r="I1409" s="110" t="s">
        <v>12685</v>
      </c>
    </row>
    <row r="1410" spans="1:9" ht="25.2" x14ac:dyDescent="0.3">
      <c r="A1410" s="109" t="s">
        <v>12686</v>
      </c>
      <c r="B1410" s="109" t="s">
        <v>11415</v>
      </c>
      <c r="C1410" s="109" t="s">
        <v>11415</v>
      </c>
      <c r="D1410" s="109" t="s">
        <v>12687</v>
      </c>
      <c r="E1410" s="109" t="s">
        <v>5558</v>
      </c>
      <c r="F1410" s="109" t="s">
        <v>12688</v>
      </c>
      <c r="G1410" s="110" t="s">
        <v>6248</v>
      </c>
      <c r="H1410" s="110" t="s">
        <v>12689</v>
      </c>
      <c r="I1410" s="110" t="s">
        <v>12690</v>
      </c>
    </row>
    <row r="1411" spans="1:9" ht="25.2" x14ac:dyDescent="0.3">
      <c r="A1411" s="109" t="s">
        <v>12691</v>
      </c>
      <c r="B1411" s="109" t="s">
        <v>11415</v>
      </c>
      <c r="C1411" s="109" t="s">
        <v>11415</v>
      </c>
      <c r="D1411" s="109" t="s">
        <v>1291</v>
      </c>
      <c r="E1411" s="109" t="s">
        <v>5558</v>
      </c>
      <c r="F1411" s="109" t="s">
        <v>12692</v>
      </c>
      <c r="G1411" s="110" t="s">
        <v>6248</v>
      </c>
      <c r="H1411" s="110" t="s">
        <v>12693</v>
      </c>
      <c r="I1411" s="110" t="s">
        <v>12694</v>
      </c>
    </row>
    <row r="1412" spans="1:9" ht="37.799999999999997" x14ac:dyDescent="0.3">
      <c r="A1412" s="109" t="s">
        <v>12695</v>
      </c>
      <c r="B1412" s="109" t="s">
        <v>11415</v>
      </c>
      <c r="C1412" s="109" t="s">
        <v>11415</v>
      </c>
      <c r="D1412" s="109" t="s">
        <v>12696</v>
      </c>
      <c r="E1412" s="109" t="s">
        <v>5558</v>
      </c>
      <c r="F1412" s="109" t="s">
        <v>12697</v>
      </c>
      <c r="G1412" s="110" t="s">
        <v>6248</v>
      </c>
      <c r="H1412" s="110" t="s">
        <v>12698</v>
      </c>
      <c r="I1412" s="110" t="s">
        <v>12699</v>
      </c>
    </row>
    <row r="1413" spans="1:9" ht="37.799999999999997" x14ac:dyDescent="0.3">
      <c r="A1413" s="109" t="s">
        <v>12700</v>
      </c>
      <c r="B1413" s="109" t="s">
        <v>11415</v>
      </c>
      <c r="C1413" s="109" t="s">
        <v>11415</v>
      </c>
      <c r="D1413" s="109" t="s">
        <v>12701</v>
      </c>
      <c r="E1413" s="109" t="s">
        <v>5558</v>
      </c>
      <c r="F1413" s="109" t="s">
        <v>12702</v>
      </c>
      <c r="G1413" s="110" t="s">
        <v>6248</v>
      </c>
      <c r="H1413" s="110" t="s">
        <v>12703</v>
      </c>
      <c r="I1413" s="110" t="s">
        <v>12704</v>
      </c>
    </row>
    <row r="1414" spans="1:9" ht="25.2" x14ac:dyDescent="0.3">
      <c r="A1414" s="109" t="s">
        <v>12705</v>
      </c>
      <c r="B1414" s="109" t="s">
        <v>12706</v>
      </c>
      <c r="C1414" s="109" t="s">
        <v>11415</v>
      </c>
      <c r="D1414" s="109" t="s">
        <v>12707</v>
      </c>
      <c r="E1414" s="109" t="s">
        <v>5558</v>
      </c>
      <c r="F1414" s="109" t="s">
        <v>12708</v>
      </c>
      <c r="G1414" s="110" t="s">
        <v>6248</v>
      </c>
      <c r="H1414" s="110" t="s">
        <v>12709</v>
      </c>
      <c r="I1414" s="110" t="s">
        <v>12710</v>
      </c>
    </row>
    <row r="1415" spans="1:9" ht="37.799999999999997" x14ac:dyDescent="0.3">
      <c r="A1415" s="109" t="s">
        <v>12711</v>
      </c>
      <c r="B1415" s="109" t="s">
        <v>12706</v>
      </c>
      <c r="C1415" s="109" t="s">
        <v>12706</v>
      </c>
      <c r="D1415" s="109" t="s">
        <v>12712</v>
      </c>
      <c r="E1415" s="109" t="s">
        <v>5558</v>
      </c>
      <c r="F1415" s="109" t="s">
        <v>12713</v>
      </c>
      <c r="G1415" s="110" t="s">
        <v>6248</v>
      </c>
      <c r="H1415" s="110" t="s">
        <v>12714</v>
      </c>
      <c r="I1415" s="110" t="s">
        <v>12715</v>
      </c>
    </row>
    <row r="1416" spans="1:9" ht="25.2" x14ac:dyDescent="0.3">
      <c r="A1416" s="109" t="s">
        <v>12716</v>
      </c>
      <c r="B1416" s="109" t="s">
        <v>12706</v>
      </c>
      <c r="C1416" s="109" t="s">
        <v>12706</v>
      </c>
      <c r="D1416" s="109" t="s">
        <v>5569</v>
      </c>
      <c r="E1416" s="109" t="s">
        <v>5558</v>
      </c>
      <c r="F1416" s="109" t="s">
        <v>2258</v>
      </c>
      <c r="G1416" s="110" t="s">
        <v>6248</v>
      </c>
      <c r="H1416" s="110" t="s">
        <v>12717</v>
      </c>
      <c r="I1416" s="110" t="s">
        <v>12718</v>
      </c>
    </row>
    <row r="1417" spans="1:9" ht="25.2" x14ac:dyDescent="0.3">
      <c r="A1417" s="109" t="s">
        <v>12719</v>
      </c>
      <c r="B1417" s="109" t="s">
        <v>12706</v>
      </c>
      <c r="C1417" s="109" t="s">
        <v>12706</v>
      </c>
      <c r="D1417" s="109" t="s">
        <v>12720</v>
      </c>
      <c r="E1417" s="109" t="s">
        <v>5558</v>
      </c>
      <c r="F1417" s="109" t="s">
        <v>12721</v>
      </c>
      <c r="G1417" s="110" t="s">
        <v>6248</v>
      </c>
      <c r="H1417" s="110" t="s">
        <v>6428</v>
      </c>
      <c r="I1417" s="110" t="s">
        <v>12722</v>
      </c>
    </row>
    <row r="1418" spans="1:9" ht="37.799999999999997" x14ac:dyDescent="0.3">
      <c r="A1418" s="109" t="s">
        <v>12723</v>
      </c>
      <c r="B1418" s="109" t="s">
        <v>12706</v>
      </c>
      <c r="C1418" s="109" t="s">
        <v>12706</v>
      </c>
      <c r="D1418" s="109" t="s">
        <v>12724</v>
      </c>
      <c r="E1418" s="109" t="s">
        <v>5558</v>
      </c>
      <c r="F1418" s="109" t="s">
        <v>12725</v>
      </c>
      <c r="G1418" s="110" t="s">
        <v>6248</v>
      </c>
      <c r="H1418" s="110" t="s">
        <v>7898</v>
      </c>
      <c r="I1418" s="110" t="s">
        <v>12726</v>
      </c>
    </row>
    <row r="1419" spans="1:9" ht="25.2" x14ac:dyDescent="0.3">
      <c r="A1419" s="109" t="s">
        <v>12727</v>
      </c>
      <c r="B1419" s="109" t="s">
        <v>12706</v>
      </c>
      <c r="C1419" s="109" t="s">
        <v>12706</v>
      </c>
      <c r="D1419" s="109" t="s">
        <v>12728</v>
      </c>
      <c r="E1419" s="109" t="s">
        <v>5558</v>
      </c>
      <c r="F1419" s="109" t="s">
        <v>12729</v>
      </c>
      <c r="G1419" s="110" t="s">
        <v>6248</v>
      </c>
      <c r="H1419" s="110" t="s">
        <v>6634</v>
      </c>
      <c r="I1419" s="110" t="s">
        <v>12730</v>
      </c>
    </row>
    <row r="1420" spans="1:9" ht="25.2" x14ac:dyDescent="0.3">
      <c r="A1420" s="109" t="s">
        <v>12731</v>
      </c>
      <c r="B1420" s="109" t="s">
        <v>12706</v>
      </c>
      <c r="C1420" s="109" t="s">
        <v>12706</v>
      </c>
      <c r="D1420" s="109" t="s">
        <v>12732</v>
      </c>
      <c r="E1420" s="109" t="s">
        <v>5558</v>
      </c>
      <c r="F1420" s="109" t="s">
        <v>12733</v>
      </c>
      <c r="G1420" s="110" t="s">
        <v>6248</v>
      </c>
      <c r="H1420" s="110" t="s">
        <v>9141</v>
      </c>
      <c r="I1420" s="110" t="s">
        <v>12734</v>
      </c>
    </row>
    <row r="1421" spans="1:9" ht="25.2" x14ac:dyDescent="0.3">
      <c r="A1421" s="109" t="s">
        <v>12735</v>
      </c>
      <c r="B1421" s="109" t="s">
        <v>12706</v>
      </c>
      <c r="C1421" s="109" t="s">
        <v>12706</v>
      </c>
      <c r="D1421" s="109" t="s">
        <v>12736</v>
      </c>
      <c r="E1421" s="109" t="s">
        <v>5558</v>
      </c>
      <c r="F1421" s="109" t="s">
        <v>12737</v>
      </c>
      <c r="G1421" s="110" t="s">
        <v>6248</v>
      </c>
      <c r="H1421" s="110" t="s">
        <v>6620</v>
      </c>
      <c r="I1421" s="110" t="s">
        <v>12738</v>
      </c>
    </row>
    <row r="1422" spans="1:9" ht="37.799999999999997" x14ac:dyDescent="0.3">
      <c r="A1422" s="109" t="s">
        <v>12739</v>
      </c>
      <c r="B1422" s="109" t="s">
        <v>12706</v>
      </c>
      <c r="C1422" s="109" t="s">
        <v>12706</v>
      </c>
      <c r="D1422" s="109" t="s">
        <v>12740</v>
      </c>
      <c r="E1422" s="109" t="s">
        <v>5558</v>
      </c>
      <c r="F1422" s="109" t="s">
        <v>12741</v>
      </c>
      <c r="G1422" s="110" t="s">
        <v>6248</v>
      </c>
      <c r="H1422" s="110" t="s">
        <v>6460</v>
      </c>
      <c r="I1422" s="110" t="s">
        <v>12742</v>
      </c>
    </row>
    <row r="1423" spans="1:9" ht="37.799999999999997" x14ac:dyDescent="0.3">
      <c r="A1423" s="109" t="s">
        <v>12743</v>
      </c>
      <c r="B1423" s="109" t="s">
        <v>12706</v>
      </c>
      <c r="C1423" s="109" t="s">
        <v>12706</v>
      </c>
      <c r="D1423" s="109" t="s">
        <v>12744</v>
      </c>
      <c r="E1423" s="109" t="s">
        <v>5558</v>
      </c>
      <c r="F1423" s="109" t="s">
        <v>12745</v>
      </c>
      <c r="G1423" s="110" t="s">
        <v>6248</v>
      </c>
      <c r="H1423" s="110" t="s">
        <v>6575</v>
      </c>
      <c r="I1423" s="110" t="s">
        <v>12746</v>
      </c>
    </row>
    <row r="1424" spans="1:9" ht="37.799999999999997" x14ac:dyDescent="0.3">
      <c r="A1424" s="109" t="s">
        <v>12747</v>
      </c>
      <c r="B1424" s="109" t="s">
        <v>12706</v>
      </c>
      <c r="C1424" s="109" t="s">
        <v>12706</v>
      </c>
      <c r="D1424" s="109" t="s">
        <v>12748</v>
      </c>
      <c r="E1424" s="109" t="s">
        <v>5558</v>
      </c>
      <c r="F1424" s="109" t="s">
        <v>12749</v>
      </c>
      <c r="G1424" s="110" t="s">
        <v>6248</v>
      </c>
      <c r="H1424" s="110" t="s">
        <v>6634</v>
      </c>
      <c r="I1424" s="110" t="s">
        <v>12750</v>
      </c>
    </row>
    <row r="1425" spans="1:9" ht="25.2" x14ac:dyDescent="0.3">
      <c r="A1425" s="109" t="s">
        <v>12751</v>
      </c>
      <c r="B1425" s="109" t="s">
        <v>12706</v>
      </c>
      <c r="C1425" s="109" t="s">
        <v>12706</v>
      </c>
      <c r="D1425" s="109" t="s">
        <v>12752</v>
      </c>
      <c r="E1425" s="109" t="s">
        <v>5558</v>
      </c>
      <c r="F1425" s="109" t="s">
        <v>12753</v>
      </c>
      <c r="G1425" s="110" t="s">
        <v>6248</v>
      </c>
      <c r="H1425" s="110" t="s">
        <v>6398</v>
      </c>
      <c r="I1425" s="110" t="s">
        <v>12754</v>
      </c>
    </row>
    <row r="1426" spans="1:9" ht="25.2" x14ac:dyDescent="0.3">
      <c r="A1426" s="109" t="s">
        <v>12755</v>
      </c>
      <c r="B1426" s="109" t="s">
        <v>12706</v>
      </c>
      <c r="C1426" s="109" t="s">
        <v>12706</v>
      </c>
      <c r="D1426" s="109" t="s">
        <v>12756</v>
      </c>
      <c r="E1426" s="109" t="s">
        <v>5558</v>
      </c>
      <c r="F1426" s="109" t="s">
        <v>12757</v>
      </c>
      <c r="G1426" s="110" t="s">
        <v>6248</v>
      </c>
      <c r="H1426" s="110" t="s">
        <v>7817</v>
      </c>
      <c r="I1426" s="110" t="s">
        <v>12758</v>
      </c>
    </row>
    <row r="1427" spans="1:9" ht="25.2" x14ac:dyDescent="0.3">
      <c r="A1427" s="109" t="s">
        <v>12759</v>
      </c>
      <c r="B1427" s="109" t="s">
        <v>12706</v>
      </c>
      <c r="C1427" s="109" t="s">
        <v>12706</v>
      </c>
      <c r="D1427" s="109" t="s">
        <v>12760</v>
      </c>
      <c r="E1427" s="109" t="s">
        <v>5558</v>
      </c>
      <c r="F1427" s="109" t="s">
        <v>12761</v>
      </c>
      <c r="G1427" s="110" t="s">
        <v>6248</v>
      </c>
      <c r="H1427" s="110" t="s">
        <v>6479</v>
      </c>
      <c r="I1427" s="110" t="s">
        <v>12762</v>
      </c>
    </row>
    <row r="1428" spans="1:9" ht="37.799999999999997" x14ac:dyDescent="0.3">
      <c r="A1428" s="109" t="s">
        <v>12763</v>
      </c>
      <c r="B1428" s="109" t="s">
        <v>12706</v>
      </c>
      <c r="C1428" s="109" t="s">
        <v>12706</v>
      </c>
      <c r="D1428" s="109" t="s">
        <v>12764</v>
      </c>
      <c r="E1428" s="109" t="s">
        <v>5558</v>
      </c>
      <c r="F1428" s="109" t="s">
        <v>12765</v>
      </c>
      <c r="G1428" s="110" t="s">
        <v>6248</v>
      </c>
      <c r="H1428" s="110" t="s">
        <v>7898</v>
      </c>
      <c r="I1428" s="110" t="s">
        <v>12766</v>
      </c>
    </row>
    <row r="1429" spans="1:9" ht="25.2" x14ac:dyDescent="0.3">
      <c r="A1429" s="109" t="s">
        <v>12767</v>
      </c>
      <c r="B1429" s="109" t="s">
        <v>12706</v>
      </c>
      <c r="C1429" s="109" t="s">
        <v>12706</v>
      </c>
      <c r="D1429" s="109" t="s">
        <v>12768</v>
      </c>
      <c r="E1429" s="109" t="s">
        <v>5558</v>
      </c>
      <c r="F1429" s="109" t="s">
        <v>12769</v>
      </c>
      <c r="G1429" s="110" t="s">
        <v>6248</v>
      </c>
      <c r="H1429" s="110" t="s">
        <v>6403</v>
      </c>
      <c r="I1429" s="110" t="s">
        <v>12770</v>
      </c>
    </row>
    <row r="1430" spans="1:9" ht="25.2" x14ac:dyDescent="0.3">
      <c r="A1430" s="109" t="s">
        <v>12771</v>
      </c>
      <c r="B1430" s="109" t="s">
        <v>12706</v>
      </c>
      <c r="C1430" s="109" t="s">
        <v>12706</v>
      </c>
      <c r="D1430" s="109" t="s">
        <v>12772</v>
      </c>
      <c r="E1430" s="109" t="s">
        <v>5558</v>
      </c>
      <c r="F1430" s="109" t="s">
        <v>12773</v>
      </c>
      <c r="G1430" s="110" t="s">
        <v>6248</v>
      </c>
      <c r="H1430" s="110" t="s">
        <v>6543</v>
      </c>
      <c r="I1430" s="110" t="s">
        <v>12774</v>
      </c>
    </row>
    <row r="1431" spans="1:9" ht="25.2" x14ac:dyDescent="0.3">
      <c r="A1431" s="109" t="s">
        <v>12775</v>
      </c>
      <c r="B1431" s="109" t="s">
        <v>12706</v>
      </c>
      <c r="C1431" s="109" t="s">
        <v>12706</v>
      </c>
      <c r="D1431" s="109" t="s">
        <v>12776</v>
      </c>
      <c r="E1431" s="109" t="s">
        <v>5558</v>
      </c>
      <c r="F1431" s="109" t="s">
        <v>12777</v>
      </c>
      <c r="G1431" s="110" t="s">
        <v>6248</v>
      </c>
      <c r="H1431" s="110" t="s">
        <v>6570</v>
      </c>
      <c r="I1431" s="110" t="s">
        <v>12778</v>
      </c>
    </row>
    <row r="1432" spans="1:9" ht="25.2" x14ac:dyDescent="0.3">
      <c r="A1432" s="109" t="s">
        <v>12779</v>
      </c>
      <c r="B1432" s="109" t="s">
        <v>12706</v>
      </c>
      <c r="C1432" s="109" t="s">
        <v>12706</v>
      </c>
      <c r="D1432" s="109" t="s">
        <v>12780</v>
      </c>
      <c r="E1432" s="109" t="s">
        <v>5558</v>
      </c>
      <c r="F1432" s="109" t="s">
        <v>12781</v>
      </c>
      <c r="G1432" s="110" t="s">
        <v>6248</v>
      </c>
      <c r="H1432" s="110" t="s">
        <v>7817</v>
      </c>
      <c r="I1432" s="110" t="s">
        <v>12782</v>
      </c>
    </row>
    <row r="1433" spans="1:9" ht="37.799999999999997" x14ac:dyDescent="0.3">
      <c r="A1433" s="109" t="s">
        <v>12783</v>
      </c>
      <c r="B1433" s="109" t="s">
        <v>12706</v>
      </c>
      <c r="C1433" s="109" t="s">
        <v>12706</v>
      </c>
      <c r="D1433" s="109" t="s">
        <v>12784</v>
      </c>
      <c r="E1433" s="109" t="s">
        <v>5558</v>
      </c>
      <c r="F1433" s="109" t="s">
        <v>12785</v>
      </c>
      <c r="G1433" s="110" t="s">
        <v>6248</v>
      </c>
      <c r="H1433" s="110" t="s">
        <v>8905</v>
      </c>
      <c r="I1433" s="110" t="s">
        <v>12786</v>
      </c>
    </row>
    <row r="1434" spans="1:9" ht="25.2" x14ac:dyDescent="0.3">
      <c r="A1434" s="109" t="s">
        <v>12787</v>
      </c>
      <c r="B1434" s="109" t="s">
        <v>12706</v>
      </c>
      <c r="C1434" s="109" t="s">
        <v>12706</v>
      </c>
      <c r="D1434" s="109" t="s">
        <v>12788</v>
      </c>
      <c r="E1434" s="109" t="s">
        <v>5558</v>
      </c>
      <c r="F1434" s="109" t="s">
        <v>12789</v>
      </c>
      <c r="G1434" s="110" t="s">
        <v>6248</v>
      </c>
      <c r="H1434" s="110" t="s">
        <v>7592</v>
      </c>
      <c r="I1434" s="110" t="s">
        <v>12790</v>
      </c>
    </row>
    <row r="1435" spans="1:9" ht="37.799999999999997" x14ac:dyDescent="0.3">
      <c r="A1435" s="109" t="s">
        <v>12791</v>
      </c>
      <c r="B1435" s="109" t="s">
        <v>12706</v>
      </c>
      <c r="C1435" s="109" t="s">
        <v>12706</v>
      </c>
      <c r="D1435" s="109" t="s">
        <v>12792</v>
      </c>
      <c r="E1435" s="109" t="s">
        <v>5558</v>
      </c>
      <c r="F1435" s="109" t="s">
        <v>12793</v>
      </c>
      <c r="G1435" s="110" t="s">
        <v>6248</v>
      </c>
      <c r="H1435" s="110" t="s">
        <v>10469</v>
      </c>
      <c r="I1435" s="110" t="s">
        <v>12794</v>
      </c>
    </row>
    <row r="1436" spans="1:9" ht="25.2" x14ac:dyDescent="0.3">
      <c r="A1436" s="109" t="s">
        <v>12795</v>
      </c>
      <c r="B1436" s="109" t="s">
        <v>12706</v>
      </c>
      <c r="C1436" s="109" t="s">
        <v>12706</v>
      </c>
      <c r="D1436" s="109" t="s">
        <v>12796</v>
      </c>
      <c r="E1436" s="109" t="s">
        <v>5558</v>
      </c>
      <c r="F1436" s="109" t="s">
        <v>12797</v>
      </c>
      <c r="G1436" s="110" t="s">
        <v>6248</v>
      </c>
      <c r="H1436" s="110" t="s">
        <v>12798</v>
      </c>
      <c r="I1436" s="110" t="s">
        <v>12799</v>
      </c>
    </row>
    <row r="1437" spans="1:9" ht="37.799999999999997" x14ac:dyDescent="0.3">
      <c r="A1437" s="109" t="s">
        <v>12800</v>
      </c>
      <c r="B1437" s="109" t="s">
        <v>12706</v>
      </c>
      <c r="C1437" s="109" t="s">
        <v>12706</v>
      </c>
      <c r="D1437" s="109" t="s">
        <v>12801</v>
      </c>
      <c r="E1437" s="109" t="s">
        <v>5558</v>
      </c>
      <c r="F1437" s="109" t="s">
        <v>12802</v>
      </c>
      <c r="G1437" s="110" t="s">
        <v>6248</v>
      </c>
      <c r="H1437" s="110" t="s">
        <v>7817</v>
      </c>
      <c r="I1437" s="110" t="s">
        <v>12803</v>
      </c>
    </row>
    <row r="1438" spans="1:9" ht="37.799999999999997" x14ac:dyDescent="0.3">
      <c r="A1438" s="109" t="s">
        <v>12804</v>
      </c>
      <c r="B1438" s="109" t="s">
        <v>12706</v>
      </c>
      <c r="C1438" s="109" t="s">
        <v>12706</v>
      </c>
      <c r="D1438" s="109" t="s">
        <v>12805</v>
      </c>
      <c r="E1438" s="109" t="s">
        <v>5558</v>
      </c>
      <c r="F1438" s="109" t="s">
        <v>12806</v>
      </c>
      <c r="G1438" s="110" t="s">
        <v>6248</v>
      </c>
      <c r="H1438" s="110" t="s">
        <v>6601</v>
      </c>
      <c r="I1438" s="110" t="s">
        <v>12807</v>
      </c>
    </row>
    <row r="1439" spans="1:9" ht="25.2" x14ac:dyDescent="0.3">
      <c r="A1439" s="109" t="s">
        <v>12808</v>
      </c>
      <c r="B1439" s="109" t="s">
        <v>12706</v>
      </c>
      <c r="C1439" s="109" t="s">
        <v>12706</v>
      </c>
      <c r="D1439" s="109" t="s">
        <v>12809</v>
      </c>
      <c r="E1439" s="109" t="s">
        <v>5558</v>
      </c>
      <c r="F1439" s="109" t="s">
        <v>12810</v>
      </c>
      <c r="G1439" s="110" t="s">
        <v>6248</v>
      </c>
      <c r="H1439" s="110" t="s">
        <v>7592</v>
      </c>
      <c r="I1439" s="110" t="s">
        <v>12811</v>
      </c>
    </row>
    <row r="1440" spans="1:9" ht="25.2" x14ac:dyDescent="0.3">
      <c r="A1440" s="109" t="s">
        <v>12812</v>
      </c>
      <c r="B1440" s="109" t="s">
        <v>12706</v>
      </c>
      <c r="C1440" s="109" t="s">
        <v>12706</v>
      </c>
      <c r="D1440" s="109" t="s">
        <v>12813</v>
      </c>
      <c r="E1440" s="109" t="s">
        <v>5558</v>
      </c>
      <c r="F1440" s="109" t="s">
        <v>12814</v>
      </c>
      <c r="G1440" s="110" t="s">
        <v>6248</v>
      </c>
      <c r="H1440" s="110" t="s">
        <v>6601</v>
      </c>
      <c r="I1440" s="110" t="s">
        <v>12815</v>
      </c>
    </row>
    <row r="1441" spans="1:9" ht="25.2" x14ac:dyDescent="0.3">
      <c r="A1441" s="109" t="s">
        <v>12816</v>
      </c>
      <c r="B1441" s="109" t="s">
        <v>12706</v>
      </c>
      <c r="C1441" s="109" t="s">
        <v>12706</v>
      </c>
      <c r="D1441" s="109" t="s">
        <v>12817</v>
      </c>
      <c r="E1441" s="109" t="s">
        <v>5558</v>
      </c>
      <c r="F1441" s="109" t="s">
        <v>12818</v>
      </c>
      <c r="G1441" s="110" t="s">
        <v>6248</v>
      </c>
      <c r="H1441" s="110" t="s">
        <v>6433</v>
      </c>
      <c r="I1441" s="110" t="s">
        <v>12819</v>
      </c>
    </row>
    <row r="1442" spans="1:9" ht="25.2" x14ac:dyDescent="0.3">
      <c r="A1442" s="109" t="s">
        <v>12820</v>
      </c>
      <c r="B1442" s="109" t="s">
        <v>12706</v>
      </c>
      <c r="C1442" s="109" t="s">
        <v>12706</v>
      </c>
      <c r="D1442" s="109" t="s">
        <v>12821</v>
      </c>
      <c r="E1442" s="109" t="s">
        <v>5558</v>
      </c>
      <c r="F1442" s="109" t="s">
        <v>12822</v>
      </c>
      <c r="G1442" s="110" t="s">
        <v>6248</v>
      </c>
      <c r="H1442" s="110" t="s">
        <v>8348</v>
      </c>
      <c r="I1442" s="110" t="s">
        <v>12823</v>
      </c>
    </row>
    <row r="1443" spans="1:9" ht="25.2" x14ac:dyDescent="0.3">
      <c r="A1443" s="109" t="s">
        <v>12824</v>
      </c>
      <c r="B1443" s="109" t="s">
        <v>12706</v>
      </c>
      <c r="C1443" s="109" t="s">
        <v>12706</v>
      </c>
      <c r="D1443" s="109" t="s">
        <v>12825</v>
      </c>
      <c r="E1443" s="109" t="s">
        <v>5558</v>
      </c>
      <c r="F1443" s="109" t="s">
        <v>12826</v>
      </c>
      <c r="G1443" s="110" t="s">
        <v>6248</v>
      </c>
      <c r="H1443" s="110" t="s">
        <v>9158</v>
      </c>
      <c r="I1443" s="110" t="s">
        <v>12827</v>
      </c>
    </row>
    <row r="1444" spans="1:9" ht="37.799999999999997" x14ac:dyDescent="0.3">
      <c r="A1444" s="109" t="s">
        <v>12828</v>
      </c>
      <c r="B1444" s="109" t="s">
        <v>12706</v>
      </c>
      <c r="C1444" s="109" t="s">
        <v>12706</v>
      </c>
      <c r="D1444" s="109" t="s">
        <v>12829</v>
      </c>
      <c r="E1444" s="109" t="s">
        <v>5558</v>
      </c>
      <c r="F1444" s="109" t="s">
        <v>12830</v>
      </c>
      <c r="G1444" s="110" t="s">
        <v>6248</v>
      </c>
      <c r="H1444" s="110" t="s">
        <v>6398</v>
      </c>
      <c r="I1444" s="110" t="s">
        <v>12831</v>
      </c>
    </row>
    <row r="1445" spans="1:9" ht="25.2" x14ac:dyDescent="0.3">
      <c r="A1445" s="109" t="s">
        <v>12832</v>
      </c>
      <c r="B1445" s="109" t="s">
        <v>12706</v>
      </c>
      <c r="C1445" s="109" t="s">
        <v>12706</v>
      </c>
      <c r="D1445" s="109" t="s">
        <v>12833</v>
      </c>
      <c r="E1445" s="109" t="s">
        <v>5558</v>
      </c>
      <c r="F1445" s="109" t="s">
        <v>12834</v>
      </c>
      <c r="G1445" s="110" t="s">
        <v>6248</v>
      </c>
      <c r="H1445" s="110" t="s">
        <v>9032</v>
      </c>
      <c r="I1445" s="110" t="s">
        <v>12835</v>
      </c>
    </row>
    <row r="1446" spans="1:9" ht="37.799999999999997" x14ac:dyDescent="0.3">
      <c r="A1446" s="109" t="s">
        <v>12836</v>
      </c>
      <c r="B1446" s="109" t="s">
        <v>12706</v>
      </c>
      <c r="C1446" s="109" t="s">
        <v>12706</v>
      </c>
      <c r="D1446" s="109" t="s">
        <v>12837</v>
      </c>
      <c r="E1446" s="109" t="s">
        <v>5558</v>
      </c>
      <c r="F1446" s="109" t="s">
        <v>12838</v>
      </c>
      <c r="G1446" s="110" t="s">
        <v>6248</v>
      </c>
      <c r="H1446" s="110" t="s">
        <v>6606</v>
      </c>
      <c r="I1446" s="110" t="s">
        <v>12839</v>
      </c>
    </row>
    <row r="1447" spans="1:9" ht="25.2" x14ac:dyDescent="0.3">
      <c r="A1447" s="109" t="s">
        <v>12840</v>
      </c>
      <c r="B1447" s="109" t="s">
        <v>12706</v>
      </c>
      <c r="C1447" s="109" t="s">
        <v>12706</v>
      </c>
      <c r="D1447" s="109" t="s">
        <v>12841</v>
      </c>
      <c r="E1447" s="109" t="s">
        <v>5558</v>
      </c>
      <c r="F1447" s="109" t="s">
        <v>12842</v>
      </c>
      <c r="G1447" s="110" t="s">
        <v>6248</v>
      </c>
      <c r="H1447" s="110" t="s">
        <v>11597</v>
      </c>
      <c r="I1447" s="110" t="s">
        <v>12843</v>
      </c>
    </row>
    <row r="1448" spans="1:9" ht="25.2" x14ac:dyDescent="0.3">
      <c r="A1448" s="109" t="s">
        <v>12844</v>
      </c>
      <c r="B1448" s="109" t="s">
        <v>12706</v>
      </c>
      <c r="C1448" s="109" t="s">
        <v>12706</v>
      </c>
      <c r="D1448" s="109" t="s">
        <v>12845</v>
      </c>
      <c r="E1448" s="109" t="s">
        <v>5558</v>
      </c>
      <c r="F1448" s="109" t="s">
        <v>12846</v>
      </c>
      <c r="G1448" s="110" t="s">
        <v>6248</v>
      </c>
      <c r="H1448" s="110" t="s">
        <v>9005</v>
      </c>
      <c r="I1448" s="110" t="s">
        <v>12847</v>
      </c>
    </row>
    <row r="1449" spans="1:9" ht="25.2" x14ac:dyDescent="0.3">
      <c r="A1449" s="109" t="s">
        <v>12848</v>
      </c>
      <c r="B1449" s="109" t="s">
        <v>12706</v>
      </c>
      <c r="C1449" s="109" t="s">
        <v>12706</v>
      </c>
      <c r="D1449" s="109" t="s">
        <v>12849</v>
      </c>
      <c r="E1449" s="109" t="s">
        <v>5558</v>
      </c>
      <c r="F1449" s="109" t="s">
        <v>12850</v>
      </c>
      <c r="G1449" s="110" t="s">
        <v>11476</v>
      </c>
      <c r="H1449" s="110" t="s">
        <v>6248</v>
      </c>
      <c r="I1449" s="110" t="s">
        <v>12851</v>
      </c>
    </row>
    <row r="1450" spans="1:9" ht="25.2" x14ac:dyDescent="0.3">
      <c r="A1450" s="109" t="s">
        <v>12852</v>
      </c>
      <c r="B1450" s="109" t="s">
        <v>12706</v>
      </c>
      <c r="C1450" s="109" t="s">
        <v>12706</v>
      </c>
      <c r="D1450" s="109" t="s">
        <v>12853</v>
      </c>
      <c r="E1450" s="109" t="s">
        <v>5558</v>
      </c>
      <c r="F1450" s="109" t="s">
        <v>12854</v>
      </c>
      <c r="G1450" s="110" t="s">
        <v>6248</v>
      </c>
      <c r="H1450" s="110" t="s">
        <v>12855</v>
      </c>
      <c r="I1450" s="110" t="s">
        <v>12856</v>
      </c>
    </row>
    <row r="1451" spans="1:9" ht="25.2" x14ac:dyDescent="0.3">
      <c r="A1451" s="109" t="s">
        <v>12857</v>
      </c>
      <c r="B1451" s="109" t="s">
        <v>12706</v>
      </c>
      <c r="C1451" s="109" t="s">
        <v>12706</v>
      </c>
      <c r="D1451" s="109" t="s">
        <v>12858</v>
      </c>
      <c r="E1451" s="109" t="s">
        <v>5558</v>
      </c>
      <c r="F1451" s="109" t="s">
        <v>12859</v>
      </c>
      <c r="G1451" s="110" t="s">
        <v>6248</v>
      </c>
      <c r="H1451" s="110" t="s">
        <v>6639</v>
      </c>
      <c r="I1451" s="110" t="s">
        <v>12860</v>
      </c>
    </row>
    <row r="1452" spans="1:9" ht="37.799999999999997" x14ac:dyDescent="0.3">
      <c r="A1452" s="109" t="s">
        <v>12861</v>
      </c>
      <c r="B1452" s="109" t="s">
        <v>12706</v>
      </c>
      <c r="C1452" s="109" t="s">
        <v>12706</v>
      </c>
      <c r="D1452" s="109" t="s">
        <v>12862</v>
      </c>
      <c r="E1452" s="109" t="s">
        <v>5558</v>
      </c>
      <c r="F1452" s="109" t="s">
        <v>12863</v>
      </c>
      <c r="G1452" s="110" t="s">
        <v>6248</v>
      </c>
      <c r="H1452" s="110" t="s">
        <v>12864</v>
      </c>
      <c r="I1452" s="110" t="s">
        <v>12865</v>
      </c>
    </row>
    <row r="1453" spans="1:9" ht="37.799999999999997" x14ac:dyDescent="0.3">
      <c r="A1453" s="109" t="s">
        <v>12866</v>
      </c>
      <c r="B1453" s="109" t="s">
        <v>12706</v>
      </c>
      <c r="C1453" s="109" t="s">
        <v>12706</v>
      </c>
      <c r="D1453" s="109" t="s">
        <v>12867</v>
      </c>
      <c r="E1453" s="109" t="s">
        <v>5558</v>
      </c>
      <c r="F1453" s="109" t="s">
        <v>12868</v>
      </c>
      <c r="G1453" s="110" t="s">
        <v>6248</v>
      </c>
      <c r="H1453" s="110" t="s">
        <v>6507</v>
      </c>
      <c r="I1453" s="110" t="s">
        <v>12869</v>
      </c>
    </row>
    <row r="1454" spans="1:9" ht="25.2" x14ac:dyDescent="0.3">
      <c r="A1454" s="109" t="s">
        <v>12870</v>
      </c>
      <c r="B1454" s="109" t="s">
        <v>12706</v>
      </c>
      <c r="C1454" s="109" t="s">
        <v>12706</v>
      </c>
      <c r="D1454" s="109" t="s">
        <v>12871</v>
      </c>
      <c r="E1454" s="109" t="s">
        <v>5558</v>
      </c>
      <c r="F1454" s="109" t="s">
        <v>12872</v>
      </c>
      <c r="G1454" s="110" t="s">
        <v>6248</v>
      </c>
      <c r="H1454" s="110" t="s">
        <v>6433</v>
      </c>
      <c r="I1454" s="110" t="s">
        <v>12873</v>
      </c>
    </row>
    <row r="1455" spans="1:9" ht="25.2" x14ac:dyDescent="0.3">
      <c r="A1455" s="109" t="s">
        <v>12874</v>
      </c>
      <c r="B1455" s="109" t="s">
        <v>12706</v>
      </c>
      <c r="C1455" s="109" t="s">
        <v>12706</v>
      </c>
      <c r="D1455" s="109" t="s">
        <v>12875</v>
      </c>
      <c r="E1455" s="109" t="s">
        <v>5558</v>
      </c>
      <c r="F1455" s="109" t="s">
        <v>12876</v>
      </c>
      <c r="G1455" s="110" t="s">
        <v>6248</v>
      </c>
      <c r="H1455" s="110" t="s">
        <v>11476</v>
      </c>
      <c r="I1455" s="110" t="s">
        <v>12877</v>
      </c>
    </row>
    <row r="1456" spans="1:9" ht="25.2" x14ac:dyDescent="0.3">
      <c r="A1456" s="109" t="s">
        <v>12878</v>
      </c>
      <c r="B1456" s="109" t="s">
        <v>12706</v>
      </c>
      <c r="C1456" s="109" t="s">
        <v>12706</v>
      </c>
      <c r="D1456" s="109" t="s">
        <v>12879</v>
      </c>
      <c r="E1456" s="109" t="s">
        <v>5558</v>
      </c>
      <c r="F1456" s="109" t="s">
        <v>12880</v>
      </c>
      <c r="G1456" s="110" t="s">
        <v>6248</v>
      </c>
      <c r="H1456" s="110" t="s">
        <v>12881</v>
      </c>
      <c r="I1456" s="110" t="s">
        <v>12882</v>
      </c>
    </row>
    <row r="1457" spans="1:9" ht="25.2" x14ac:dyDescent="0.3">
      <c r="A1457" s="109" t="s">
        <v>12883</v>
      </c>
      <c r="B1457" s="109" t="s">
        <v>12706</v>
      </c>
      <c r="C1457" s="109" t="s">
        <v>12706</v>
      </c>
      <c r="D1457" s="109" t="s">
        <v>12884</v>
      </c>
      <c r="E1457" s="109" t="s">
        <v>5558</v>
      </c>
      <c r="F1457" s="109" t="s">
        <v>12885</v>
      </c>
      <c r="G1457" s="110" t="s">
        <v>6248</v>
      </c>
      <c r="H1457" s="110" t="s">
        <v>12886</v>
      </c>
      <c r="I1457" s="110" t="s">
        <v>12887</v>
      </c>
    </row>
    <row r="1458" spans="1:9" ht="25.2" x14ac:dyDescent="0.3">
      <c r="A1458" s="109" t="s">
        <v>12888</v>
      </c>
      <c r="B1458" s="109" t="s">
        <v>12706</v>
      </c>
      <c r="C1458" s="109" t="s">
        <v>12706</v>
      </c>
      <c r="D1458" s="109" t="s">
        <v>12889</v>
      </c>
      <c r="E1458" s="109" t="s">
        <v>5558</v>
      </c>
      <c r="F1458" s="109" t="s">
        <v>12890</v>
      </c>
      <c r="G1458" s="110" t="s">
        <v>6248</v>
      </c>
      <c r="H1458" s="110" t="s">
        <v>12891</v>
      </c>
      <c r="I1458" s="110" t="s">
        <v>12892</v>
      </c>
    </row>
    <row r="1459" spans="1:9" ht="37.799999999999997" x14ac:dyDescent="0.3">
      <c r="A1459" s="109" t="s">
        <v>12893</v>
      </c>
      <c r="B1459" s="109" t="s">
        <v>12706</v>
      </c>
      <c r="C1459" s="109" t="s">
        <v>12706</v>
      </c>
      <c r="D1459" s="109" t="s">
        <v>12894</v>
      </c>
      <c r="E1459" s="109" t="s">
        <v>5558</v>
      </c>
      <c r="F1459" s="109" t="s">
        <v>12895</v>
      </c>
      <c r="G1459" s="110" t="s">
        <v>6248</v>
      </c>
      <c r="H1459" s="110" t="s">
        <v>6418</v>
      </c>
      <c r="I1459" s="110" t="s">
        <v>12896</v>
      </c>
    </row>
    <row r="1460" spans="1:9" ht="25.2" x14ac:dyDescent="0.3">
      <c r="A1460" s="109" t="s">
        <v>12897</v>
      </c>
      <c r="B1460" s="109" t="s">
        <v>12706</v>
      </c>
      <c r="C1460" s="109" t="s">
        <v>12706</v>
      </c>
      <c r="D1460" s="109" t="s">
        <v>12898</v>
      </c>
      <c r="E1460" s="109" t="s">
        <v>5558</v>
      </c>
      <c r="F1460" s="109" t="s">
        <v>12899</v>
      </c>
      <c r="G1460" s="110" t="s">
        <v>6248</v>
      </c>
      <c r="H1460" s="110" t="s">
        <v>6418</v>
      </c>
      <c r="I1460" s="110" t="s">
        <v>12900</v>
      </c>
    </row>
    <row r="1461" spans="1:9" ht="25.2" x14ac:dyDescent="0.3">
      <c r="A1461" s="109" t="s">
        <v>12901</v>
      </c>
      <c r="B1461" s="109" t="s">
        <v>12706</v>
      </c>
      <c r="C1461" s="109" t="s">
        <v>12706</v>
      </c>
      <c r="D1461" s="109" t="s">
        <v>12902</v>
      </c>
      <c r="E1461" s="109" t="s">
        <v>5558</v>
      </c>
      <c r="F1461" s="109" t="s">
        <v>12903</v>
      </c>
      <c r="G1461" s="110" t="s">
        <v>6248</v>
      </c>
      <c r="H1461" s="110" t="s">
        <v>6489</v>
      </c>
      <c r="I1461" s="110" t="s">
        <v>12904</v>
      </c>
    </row>
    <row r="1462" spans="1:9" ht="25.2" x14ac:dyDescent="0.3">
      <c r="A1462" s="109" t="s">
        <v>12905</v>
      </c>
      <c r="B1462" s="109" t="s">
        <v>12706</v>
      </c>
      <c r="C1462" s="109" t="s">
        <v>12706</v>
      </c>
      <c r="D1462" s="109" t="s">
        <v>12906</v>
      </c>
      <c r="E1462" s="109" t="s">
        <v>5558</v>
      </c>
      <c r="F1462" s="109" t="s">
        <v>12907</v>
      </c>
      <c r="G1462" s="110" t="s">
        <v>6248</v>
      </c>
      <c r="H1462" s="110" t="s">
        <v>6634</v>
      </c>
      <c r="I1462" s="110" t="s">
        <v>12908</v>
      </c>
    </row>
    <row r="1463" spans="1:9" ht="25.2" x14ac:dyDescent="0.3">
      <c r="A1463" s="109" t="s">
        <v>12909</v>
      </c>
      <c r="B1463" s="109" t="s">
        <v>12706</v>
      </c>
      <c r="C1463" s="109" t="s">
        <v>12706</v>
      </c>
      <c r="D1463" s="109" t="s">
        <v>12910</v>
      </c>
      <c r="E1463" s="109" t="s">
        <v>5558</v>
      </c>
      <c r="F1463" s="109" t="s">
        <v>12911</v>
      </c>
      <c r="G1463" s="110" t="s">
        <v>6248</v>
      </c>
      <c r="H1463" s="110" t="s">
        <v>12912</v>
      </c>
      <c r="I1463" s="110" t="s">
        <v>12913</v>
      </c>
    </row>
    <row r="1464" spans="1:9" ht="25.2" x14ac:dyDescent="0.3">
      <c r="A1464" s="109" t="s">
        <v>12914</v>
      </c>
      <c r="B1464" s="109" t="s">
        <v>12706</v>
      </c>
      <c r="C1464" s="109" t="s">
        <v>12706</v>
      </c>
      <c r="D1464" s="109" t="s">
        <v>12915</v>
      </c>
      <c r="E1464" s="109" t="s">
        <v>5558</v>
      </c>
      <c r="F1464" s="109" t="s">
        <v>12916</v>
      </c>
      <c r="G1464" s="110" t="s">
        <v>6248</v>
      </c>
      <c r="H1464" s="110" t="s">
        <v>6552</v>
      </c>
      <c r="I1464" s="110" t="s">
        <v>12917</v>
      </c>
    </row>
    <row r="1465" spans="1:9" ht="25.2" x14ac:dyDescent="0.3">
      <c r="A1465" s="109" t="s">
        <v>12918</v>
      </c>
      <c r="B1465" s="109" t="s">
        <v>12706</v>
      </c>
      <c r="C1465" s="109" t="s">
        <v>12706</v>
      </c>
      <c r="D1465" s="109" t="s">
        <v>12919</v>
      </c>
      <c r="E1465" s="109" t="s">
        <v>5558</v>
      </c>
      <c r="F1465" s="109" t="s">
        <v>12920</v>
      </c>
      <c r="G1465" s="110" t="s">
        <v>6248</v>
      </c>
      <c r="H1465" s="110" t="s">
        <v>12921</v>
      </c>
      <c r="I1465" s="110" t="s">
        <v>12922</v>
      </c>
    </row>
    <row r="1466" spans="1:9" ht="37.799999999999997" x14ac:dyDescent="0.3">
      <c r="A1466" s="109" t="s">
        <v>12923</v>
      </c>
      <c r="B1466" s="109" t="s">
        <v>12706</v>
      </c>
      <c r="C1466" s="109" t="s">
        <v>12706</v>
      </c>
      <c r="D1466" s="109" t="s">
        <v>12924</v>
      </c>
      <c r="E1466" s="109" t="s">
        <v>5558</v>
      </c>
      <c r="F1466" s="109" t="s">
        <v>12925</v>
      </c>
      <c r="G1466" s="110" t="s">
        <v>6248</v>
      </c>
      <c r="H1466" s="110" t="s">
        <v>12926</v>
      </c>
      <c r="I1466" s="110" t="s">
        <v>12927</v>
      </c>
    </row>
    <row r="1467" spans="1:9" ht="25.2" x14ac:dyDescent="0.3">
      <c r="A1467" s="109" t="s">
        <v>12928</v>
      </c>
      <c r="B1467" s="109" t="s">
        <v>12706</v>
      </c>
      <c r="C1467" s="109" t="s">
        <v>12706</v>
      </c>
      <c r="D1467" s="109" t="s">
        <v>12929</v>
      </c>
      <c r="E1467" s="109" t="s">
        <v>5558</v>
      </c>
      <c r="F1467" s="109" t="s">
        <v>12930</v>
      </c>
      <c r="G1467" s="110" t="s">
        <v>6248</v>
      </c>
      <c r="H1467" s="110" t="s">
        <v>7952</v>
      </c>
      <c r="I1467" s="110" t="s">
        <v>12931</v>
      </c>
    </row>
    <row r="1468" spans="1:9" ht="25.2" x14ac:dyDescent="0.3">
      <c r="A1468" s="109" t="s">
        <v>12932</v>
      </c>
      <c r="B1468" s="109" t="s">
        <v>12706</v>
      </c>
      <c r="C1468" s="109" t="s">
        <v>12706</v>
      </c>
      <c r="D1468" s="109" t="s">
        <v>12933</v>
      </c>
      <c r="E1468" s="109" t="s">
        <v>5558</v>
      </c>
      <c r="F1468" s="109" t="s">
        <v>12934</v>
      </c>
      <c r="G1468" s="110" t="s">
        <v>6248</v>
      </c>
      <c r="H1468" s="110" t="s">
        <v>12935</v>
      </c>
      <c r="I1468" s="110" t="s">
        <v>12936</v>
      </c>
    </row>
    <row r="1469" spans="1:9" ht="37.799999999999997" x14ac:dyDescent="0.3">
      <c r="A1469" s="109" t="s">
        <v>12937</v>
      </c>
      <c r="B1469" s="109" t="s">
        <v>12706</v>
      </c>
      <c r="C1469" s="109" t="s">
        <v>12706</v>
      </c>
      <c r="D1469" s="109" t="s">
        <v>12938</v>
      </c>
      <c r="E1469" s="109" t="s">
        <v>5558</v>
      </c>
      <c r="F1469" s="109" t="s">
        <v>12939</v>
      </c>
      <c r="G1469" s="110" t="s">
        <v>6248</v>
      </c>
      <c r="H1469" s="110" t="s">
        <v>6418</v>
      </c>
      <c r="I1469" s="110" t="s">
        <v>12940</v>
      </c>
    </row>
    <row r="1470" spans="1:9" ht="25.2" x14ac:dyDescent="0.3">
      <c r="A1470" s="109" t="s">
        <v>12941</v>
      </c>
      <c r="B1470" s="109" t="s">
        <v>12706</v>
      </c>
      <c r="C1470" s="109" t="s">
        <v>12706</v>
      </c>
      <c r="D1470" s="109" t="s">
        <v>12942</v>
      </c>
      <c r="E1470" s="109" t="s">
        <v>5558</v>
      </c>
      <c r="F1470" s="109" t="s">
        <v>12943</v>
      </c>
      <c r="G1470" s="110" t="s">
        <v>6248</v>
      </c>
      <c r="H1470" s="110" t="s">
        <v>7987</v>
      </c>
      <c r="I1470" s="110" t="s">
        <v>12944</v>
      </c>
    </row>
    <row r="1471" spans="1:9" ht="25.2" x14ac:dyDescent="0.3">
      <c r="A1471" s="109" t="s">
        <v>12945</v>
      </c>
      <c r="B1471" s="109" t="s">
        <v>12706</v>
      </c>
      <c r="C1471" s="109" t="s">
        <v>12706</v>
      </c>
      <c r="D1471" s="109" t="s">
        <v>12946</v>
      </c>
      <c r="E1471" s="109" t="s">
        <v>5558</v>
      </c>
      <c r="F1471" s="109" t="s">
        <v>12947</v>
      </c>
      <c r="G1471" s="110" t="s">
        <v>6248</v>
      </c>
      <c r="H1471" s="110" t="s">
        <v>6507</v>
      </c>
      <c r="I1471" s="110" t="s">
        <v>12948</v>
      </c>
    </row>
    <row r="1472" spans="1:9" ht="25.2" x14ac:dyDescent="0.3">
      <c r="A1472" s="109" t="s">
        <v>12949</v>
      </c>
      <c r="B1472" s="109" t="s">
        <v>12706</v>
      </c>
      <c r="C1472" s="109" t="s">
        <v>12706</v>
      </c>
      <c r="D1472" s="109" t="s">
        <v>1284</v>
      </c>
      <c r="E1472" s="109" t="s">
        <v>5558</v>
      </c>
      <c r="F1472" s="109" t="s">
        <v>12950</v>
      </c>
      <c r="G1472" s="110" t="s">
        <v>6248</v>
      </c>
      <c r="H1472" s="110" t="s">
        <v>12951</v>
      </c>
      <c r="I1472" s="110" t="s">
        <v>12952</v>
      </c>
    </row>
    <row r="1473" spans="1:9" ht="25.2" x14ac:dyDescent="0.3">
      <c r="A1473" s="109" t="s">
        <v>12953</v>
      </c>
      <c r="B1473" s="109" t="s">
        <v>12706</v>
      </c>
      <c r="C1473" s="109" t="s">
        <v>12706</v>
      </c>
      <c r="D1473" s="109" t="s">
        <v>1283</v>
      </c>
      <c r="E1473" s="109" t="s">
        <v>5558</v>
      </c>
      <c r="F1473" s="109" t="s">
        <v>12954</v>
      </c>
      <c r="G1473" s="110" t="s">
        <v>6248</v>
      </c>
      <c r="H1473" s="110" t="s">
        <v>12951</v>
      </c>
      <c r="I1473" s="110" t="s">
        <v>12955</v>
      </c>
    </row>
    <row r="1474" spans="1:9" ht="25.2" x14ac:dyDescent="0.3">
      <c r="A1474" s="109" t="s">
        <v>12956</v>
      </c>
      <c r="B1474" s="109" t="s">
        <v>12706</v>
      </c>
      <c r="C1474" s="109" t="s">
        <v>12706</v>
      </c>
      <c r="D1474" s="109" t="s">
        <v>12957</v>
      </c>
      <c r="E1474" s="109" t="s">
        <v>5558</v>
      </c>
      <c r="F1474" s="109" t="s">
        <v>12958</v>
      </c>
      <c r="G1474" s="110" t="s">
        <v>6248</v>
      </c>
      <c r="H1474" s="110" t="s">
        <v>12959</v>
      </c>
      <c r="I1474" s="110" t="s">
        <v>12960</v>
      </c>
    </row>
    <row r="1475" spans="1:9" ht="25.2" x14ac:dyDescent="0.3">
      <c r="A1475" s="109" t="s">
        <v>12961</v>
      </c>
      <c r="B1475" s="109" t="s">
        <v>12706</v>
      </c>
      <c r="C1475" s="109" t="s">
        <v>12706</v>
      </c>
      <c r="D1475" s="109" t="s">
        <v>12962</v>
      </c>
      <c r="E1475" s="109" t="s">
        <v>5558</v>
      </c>
      <c r="F1475" s="109" t="s">
        <v>12963</v>
      </c>
      <c r="G1475" s="110" t="s">
        <v>6248</v>
      </c>
      <c r="H1475" s="110" t="s">
        <v>7624</v>
      </c>
      <c r="I1475" s="110" t="s">
        <v>12964</v>
      </c>
    </row>
    <row r="1476" spans="1:9" ht="25.2" x14ac:dyDescent="0.3">
      <c r="A1476" s="109" t="s">
        <v>12965</v>
      </c>
      <c r="B1476" s="109" t="s">
        <v>12706</v>
      </c>
      <c r="C1476" s="109" t="s">
        <v>12706</v>
      </c>
      <c r="D1476" s="109" t="s">
        <v>5569</v>
      </c>
      <c r="E1476" s="109" t="s">
        <v>5558</v>
      </c>
      <c r="F1476" s="109" t="s">
        <v>2258</v>
      </c>
      <c r="G1476" s="110" t="s">
        <v>6248</v>
      </c>
      <c r="H1476" s="110" t="s">
        <v>12966</v>
      </c>
      <c r="I1476" s="110" t="s">
        <v>12967</v>
      </c>
    </row>
    <row r="1477" spans="1:9" ht="25.2" x14ac:dyDescent="0.3">
      <c r="A1477" s="109" t="s">
        <v>12968</v>
      </c>
      <c r="B1477" s="109" t="s">
        <v>12706</v>
      </c>
      <c r="C1477" s="109" t="s">
        <v>12706</v>
      </c>
      <c r="D1477" s="109" t="s">
        <v>12969</v>
      </c>
      <c r="E1477" s="109" t="s">
        <v>12970</v>
      </c>
      <c r="F1477" s="109" t="s">
        <v>6256</v>
      </c>
      <c r="G1477" s="110" t="s">
        <v>6248</v>
      </c>
      <c r="H1477" s="110" t="s">
        <v>12971</v>
      </c>
      <c r="I1477" s="110" t="s">
        <v>12972</v>
      </c>
    </row>
    <row r="1478" spans="1:9" ht="25.2" x14ac:dyDescent="0.3">
      <c r="A1478" s="109" t="s">
        <v>12973</v>
      </c>
      <c r="B1478" s="109" t="s">
        <v>12706</v>
      </c>
      <c r="C1478" s="109" t="s">
        <v>12706</v>
      </c>
      <c r="D1478" s="109" t="s">
        <v>12974</v>
      </c>
      <c r="E1478" s="109" t="s">
        <v>5558</v>
      </c>
      <c r="F1478" s="109" t="s">
        <v>12975</v>
      </c>
      <c r="G1478" s="110" t="s">
        <v>6248</v>
      </c>
      <c r="H1478" s="110" t="s">
        <v>12976</v>
      </c>
      <c r="I1478" s="110" t="s">
        <v>12977</v>
      </c>
    </row>
    <row r="1479" spans="1:9" ht="25.2" x14ac:dyDescent="0.3">
      <c r="A1479" s="109" t="s">
        <v>12978</v>
      </c>
      <c r="B1479" s="109" t="s">
        <v>12706</v>
      </c>
      <c r="C1479" s="109" t="s">
        <v>12706</v>
      </c>
      <c r="D1479" s="109" t="s">
        <v>5569</v>
      </c>
      <c r="E1479" s="109" t="s">
        <v>5558</v>
      </c>
      <c r="F1479" s="109" t="s">
        <v>2258</v>
      </c>
      <c r="G1479" s="110" t="s">
        <v>6248</v>
      </c>
      <c r="H1479" s="110" t="s">
        <v>12979</v>
      </c>
      <c r="I1479" s="110" t="s">
        <v>12980</v>
      </c>
    </row>
    <row r="1480" spans="1:9" ht="25.2" x14ac:dyDescent="0.3">
      <c r="A1480" s="109" t="s">
        <v>12981</v>
      </c>
      <c r="B1480" s="109" t="s">
        <v>12706</v>
      </c>
      <c r="C1480" s="109" t="s">
        <v>12706</v>
      </c>
      <c r="D1480" s="109" t="s">
        <v>5569</v>
      </c>
      <c r="E1480" s="109" t="s">
        <v>5558</v>
      </c>
      <c r="F1480" s="109" t="s">
        <v>2258</v>
      </c>
      <c r="G1480" s="110" t="s">
        <v>6248</v>
      </c>
      <c r="H1480" s="110" t="s">
        <v>12982</v>
      </c>
      <c r="I1480" s="110" t="s">
        <v>12983</v>
      </c>
    </row>
    <row r="1481" spans="1:9" ht="25.2" x14ac:dyDescent="0.3">
      <c r="A1481" s="109" t="s">
        <v>12984</v>
      </c>
      <c r="B1481" s="109" t="s">
        <v>12706</v>
      </c>
      <c r="C1481" s="109" t="s">
        <v>12706</v>
      </c>
      <c r="D1481" s="109" t="s">
        <v>5569</v>
      </c>
      <c r="E1481" s="109" t="s">
        <v>5558</v>
      </c>
      <c r="F1481" s="109" t="s">
        <v>2258</v>
      </c>
      <c r="G1481" s="110" t="s">
        <v>6248</v>
      </c>
      <c r="H1481" s="110" t="s">
        <v>12985</v>
      </c>
      <c r="I1481" s="110" t="s">
        <v>12986</v>
      </c>
    </row>
    <row r="1482" spans="1:9" ht="25.2" x14ac:dyDescent="0.3">
      <c r="A1482" s="109" t="s">
        <v>12987</v>
      </c>
      <c r="B1482" s="109" t="s">
        <v>12706</v>
      </c>
      <c r="C1482" s="109" t="s">
        <v>12706</v>
      </c>
      <c r="D1482" s="109" t="s">
        <v>5569</v>
      </c>
      <c r="E1482" s="109" t="s">
        <v>5558</v>
      </c>
      <c r="F1482" s="109" t="s">
        <v>2258</v>
      </c>
      <c r="G1482" s="110" t="s">
        <v>6248</v>
      </c>
      <c r="H1482" s="110" t="s">
        <v>12988</v>
      </c>
      <c r="I1482" s="110" t="s">
        <v>12989</v>
      </c>
    </row>
    <row r="1483" spans="1:9" ht="25.2" x14ac:dyDescent="0.3">
      <c r="A1483" s="109" t="s">
        <v>12990</v>
      </c>
      <c r="B1483" s="109" t="s">
        <v>12706</v>
      </c>
      <c r="C1483" s="109" t="s">
        <v>12706</v>
      </c>
      <c r="D1483" s="109" t="s">
        <v>12991</v>
      </c>
      <c r="E1483" s="109" t="s">
        <v>12992</v>
      </c>
      <c r="F1483" s="109" t="s">
        <v>9318</v>
      </c>
      <c r="G1483" s="110" t="s">
        <v>6248</v>
      </c>
      <c r="H1483" s="110" t="s">
        <v>12993</v>
      </c>
      <c r="I1483" s="110" t="s">
        <v>12994</v>
      </c>
    </row>
    <row r="1484" spans="1:9" ht="25.2" x14ac:dyDescent="0.3">
      <c r="A1484" s="109" t="s">
        <v>12995</v>
      </c>
      <c r="B1484" s="109" t="s">
        <v>12706</v>
      </c>
      <c r="C1484" s="109" t="s">
        <v>12706</v>
      </c>
      <c r="D1484" s="109" t="s">
        <v>12996</v>
      </c>
      <c r="E1484" s="109" t="s">
        <v>5558</v>
      </c>
      <c r="F1484" s="109" t="s">
        <v>12997</v>
      </c>
      <c r="G1484" s="110" t="s">
        <v>6248</v>
      </c>
      <c r="H1484" s="110" t="s">
        <v>12998</v>
      </c>
      <c r="I1484" s="110" t="s">
        <v>12999</v>
      </c>
    </row>
    <row r="1485" spans="1:9" ht="37.799999999999997" x14ac:dyDescent="0.3">
      <c r="A1485" s="109" t="s">
        <v>13000</v>
      </c>
      <c r="B1485" s="109" t="s">
        <v>12706</v>
      </c>
      <c r="C1485" s="109" t="s">
        <v>12706</v>
      </c>
      <c r="D1485" s="109" t="s">
        <v>13001</v>
      </c>
      <c r="E1485" s="109" t="s">
        <v>5558</v>
      </c>
      <c r="F1485" s="109" t="s">
        <v>13002</v>
      </c>
      <c r="G1485" s="110" t="s">
        <v>6248</v>
      </c>
      <c r="H1485" s="110" t="s">
        <v>13003</v>
      </c>
      <c r="I1485" s="110" t="s">
        <v>13004</v>
      </c>
    </row>
    <row r="1486" spans="1:9" ht="25.2" x14ac:dyDescent="0.3">
      <c r="A1486" s="109" t="s">
        <v>13005</v>
      </c>
      <c r="B1486" s="109" t="s">
        <v>12706</v>
      </c>
      <c r="C1486" s="109" t="s">
        <v>12706</v>
      </c>
      <c r="D1486" s="109" t="s">
        <v>13006</v>
      </c>
      <c r="E1486" s="109" t="s">
        <v>13007</v>
      </c>
      <c r="F1486" s="109" t="s">
        <v>6878</v>
      </c>
      <c r="G1486" s="110" t="s">
        <v>13008</v>
      </c>
      <c r="H1486" s="110" t="s">
        <v>6248</v>
      </c>
      <c r="I1486" s="110" t="s">
        <v>13009</v>
      </c>
    </row>
    <row r="1487" spans="1:9" ht="25.2" x14ac:dyDescent="0.3">
      <c r="A1487" s="109" t="s">
        <v>13010</v>
      </c>
      <c r="B1487" s="109" t="s">
        <v>12706</v>
      </c>
      <c r="C1487" s="109" t="s">
        <v>12706</v>
      </c>
      <c r="D1487" s="109" t="s">
        <v>13011</v>
      </c>
      <c r="E1487" s="109" t="s">
        <v>13012</v>
      </c>
      <c r="F1487" s="109" t="s">
        <v>7045</v>
      </c>
      <c r="G1487" s="110" t="s">
        <v>13013</v>
      </c>
      <c r="H1487" s="110" t="s">
        <v>6248</v>
      </c>
      <c r="I1487" s="110" t="s">
        <v>13014</v>
      </c>
    </row>
    <row r="1488" spans="1:9" ht="25.2" x14ac:dyDescent="0.3">
      <c r="A1488" s="109" t="s">
        <v>13015</v>
      </c>
      <c r="B1488" s="109" t="s">
        <v>12706</v>
      </c>
      <c r="C1488" s="109" t="s">
        <v>12706</v>
      </c>
      <c r="D1488" s="109" t="s">
        <v>1282</v>
      </c>
      <c r="E1488" s="109" t="s">
        <v>5558</v>
      </c>
      <c r="F1488" s="109" t="s">
        <v>13016</v>
      </c>
      <c r="G1488" s="110" t="s">
        <v>6248</v>
      </c>
      <c r="H1488" s="110" t="s">
        <v>7321</v>
      </c>
      <c r="I1488" s="110" t="s">
        <v>13017</v>
      </c>
    </row>
    <row r="1489" spans="1:9" ht="25.2" x14ac:dyDescent="0.3">
      <c r="A1489" s="109" t="s">
        <v>13018</v>
      </c>
      <c r="B1489" s="109" t="s">
        <v>12706</v>
      </c>
      <c r="C1489" s="109" t="s">
        <v>12706</v>
      </c>
      <c r="D1489" s="109" t="s">
        <v>13019</v>
      </c>
      <c r="E1489" s="109" t="s">
        <v>5558</v>
      </c>
      <c r="F1489" s="109" t="s">
        <v>13020</v>
      </c>
      <c r="G1489" s="110" t="s">
        <v>6248</v>
      </c>
      <c r="H1489" s="110" t="s">
        <v>13021</v>
      </c>
      <c r="I1489" s="110" t="s">
        <v>13022</v>
      </c>
    </row>
    <row r="1490" spans="1:9" ht="25.2" x14ac:dyDescent="0.3">
      <c r="A1490" s="109" t="s">
        <v>13023</v>
      </c>
      <c r="B1490" s="109" t="s">
        <v>12706</v>
      </c>
      <c r="C1490" s="109" t="s">
        <v>12706</v>
      </c>
      <c r="D1490" s="109" t="s">
        <v>13024</v>
      </c>
      <c r="E1490" s="109" t="s">
        <v>13025</v>
      </c>
      <c r="F1490" s="109" t="s">
        <v>13026</v>
      </c>
      <c r="G1490" s="110" t="s">
        <v>6248</v>
      </c>
      <c r="H1490" s="110" t="s">
        <v>13027</v>
      </c>
      <c r="I1490" s="110" t="s">
        <v>13028</v>
      </c>
    </row>
    <row r="1491" spans="1:9" ht="25.2" x14ac:dyDescent="0.3">
      <c r="A1491" s="109" t="s">
        <v>13029</v>
      </c>
      <c r="B1491" s="109" t="s">
        <v>12706</v>
      </c>
      <c r="C1491" s="109" t="s">
        <v>12706</v>
      </c>
      <c r="D1491" s="109" t="s">
        <v>13030</v>
      </c>
      <c r="E1491" s="109" t="s">
        <v>13031</v>
      </c>
      <c r="F1491" s="109" t="s">
        <v>13032</v>
      </c>
      <c r="G1491" s="110" t="s">
        <v>13033</v>
      </c>
      <c r="H1491" s="110" t="s">
        <v>6248</v>
      </c>
      <c r="I1491" s="110" t="s">
        <v>13034</v>
      </c>
    </row>
    <row r="1492" spans="1:9" ht="25.2" x14ac:dyDescent="0.3">
      <c r="A1492" s="109" t="s">
        <v>13035</v>
      </c>
      <c r="B1492" s="109" t="s">
        <v>12706</v>
      </c>
      <c r="C1492" s="109" t="s">
        <v>12706</v>
      </c>
      <c r="D1492" s="109" t="s">
        <v>13036</v>
      </c>
      <c r="E1492" s="109" t="s">
        <v>13031</v>
      </c>
      <c r="F1492" s="109" t="s">
        <v>13037</v>
      </c>
      <c r="G1492" s="110" t="s">
        <v>7254</v>
      </c>
      <c r="H1492" s="110" t="s">
        <v>6248</v>
      </c>
      <c r="I1492" s="110" t="s">
        <v>13038</v>
      </c>
    </row>
    <row r="1493" spans="1:9" ht="25.2" x14ac:dyDescent="0.3">
      <c r="A1493" s="109" t="s">
        <v>13039</v>
      </c>
      <c r="B1493" s="109" t="s">
        <v>12706</v>
      </c>
      <c r="C1493" s="109" t="s">
        <v>12706</v>
      </c>
      <c r="D1493" s="109" t="s">
        <v>13040</v>
      </c>
      <c r="E1493" s="109" t="s">
        <v>13031</v>
      </c>
      <c r="F1493" s="109" t="s">
        <v>13041</v>
      </c>
      <c r="G1493" s="110" t="s">
        <v>11819</v>
      </c>
      <c r="H1493" s="110" t="s">
        <v>6248</v>
      </c>
      <c r="I1493" s="110" t="s">
        <v>13042</v>
      </c>
    </row>
    <row r="1494" spans="1:9" ht="63" x14ac:dyDescent="0.3">
      <c r="A1494" s="109" t="s">
        <v>13043</v>
      </c>
      <c r="B1494" s="109" t="s">
        <v>12706</v>
      </c>
      <c r="C1494" s="109" t="s">
        <v>12706</v>
      </c>
      <c r="D1494" s="109" t="s">
        <v>13044</v>
      </c>
      <c r="E1494" s="109" t="s">
        <v>13044</v>
      </c>
      <c r="F1494" s="109" t="s">
        <v>13045</v>
      </c>
      <c r="G1494" s="110" t="s">
        <v>6248</v>
      </c>
      <c r="H1494" s="110" t="s">
        <v>13046</v>
      </c>
      <c r="I1494" s="110" t="s">
        <v>13047</v>
      </c>
    </row>
    <row r="1495" spans="1:9" ht="25.2" x14ac:dyDescent="0.3">
      <c r="A1495" s="109" t="s">
        <v>13048</v>
      </c>
      <c r="B1495" s="109" t="s">
        <v>12706</v>
      </c>
      <c r="C1495" s="109" t="s">
        <v>12706</v>
      </c>
      <c r="D1495" s="109" t="s">
        <v>13049</v>
      </c>
      <c r="E1495" s="109" t="s">
        <v>13050</v>
      </c>
      <c r="F1495" s="109" t="s">
        <v>13051</v>
      </c>
      <c r="G1495" s="110" t="s">
        <v>6248</v>
      </c>
      <c r="H1495" s="110" t="s">
        <v>13052</v>
      </c>
      <c r="I1495" s="110" t="s">
        <v>13053</v>
      </c>
    </row>
    <row r="1496" spans="1:9" ht="25.2" x14ac:dyDescent="0.3">
      <c r="A1496" s="109" t="s">
        <v>13054</v>
      </c>
      <c r="B1496" s="109" t="s">
        <v>12706</v>
      </c>
      <c r="C1496" s="109" t="s">
        <v>12706</v>
      </c>
      <c r="D1496" s="109" t="s">
        <v>13055</v>
      </c>
      <c r="E1496" s="109" t="s">
        <v>5558</v>
      </c>
      <c r="F1496" s="109" t="s">
        <v>2451</v>
      </c>
      <c r="G1496" s="110" t="s">
        <v>6248</v>
      </c>
      <c r="H1496" s="110" t="s">
        <v>6689</v>
      </c>
      <c r="I1496" s="110" t="s">
        <v>13056</v>
      </c>
    </row>
    <row r="1497" spans="1:9" ht="25.2" x14ac:dyDescent="0.3">
      <c r="A1497" s="109" t="s">
        <v>13057</v>
      </c>
      <c r="B1497" s="109" t="s">
        <v>12706</v>
      </c>
      <c r="C1497" s="109" t="s">
        <v>12706</v>
      </c>
      <c r="D1497" s="109" t="s">
        <v>13058</v>
      </c>
      <c r="E1497" s="109" t="s">
        <v>5558</v>
      </c>
      <c r="F1497" s="109" t="s">
        <v>2453</v>
      </c>
      <c r="G1497" s="110" t="s">
        <v>6248</v>
      </c>
      <c r="H1497" s="110" t="s">
        <v>6689</v>
      </c>
      <c r="I1497" s="110" t="s">
        <v>13059</v>
      </c>
    </row>
    <row r="1498" spans="1:9" ht="25.2" x14ac:dyDescent="0.3">
      <c r="A1498" s="109" t="s">
        <v>13060</v>
      </c>
      <c r="B1498" s="109" t="s">
        <v>12706</v>
      </c>
      <c r="C1498" s="109" t="s">
        <v>12706</v>
      </c>
      <c r="D1498" s="109" t="s">
        <v>13061</v>
      </c>
      <c r="E1498" s="109" t="s">
        <v>5558</v>
      </c>
      <c r="F1498" s="109" t="s">
        <v>2452</v>
      </c>
      <c r="G1498" s="110" t="s">
        <v>6248</v>
      </c>
      <c r="H1498" s="110" t="s">
        <v>6883</v>
      </c>
      <c r="I1498" s="110" t="s">
        <v>13062</v>
      </c>
    </row>
    <row r="1499" spans="1:9" ht="37.799999999999997" x14ac:dyDescent="0.3">
      <c r="A1499" s="109" t="s">
        <v>13063</v>
      </c>
      <c r="B1499" s="109" t="s">
        <v>12706</v>
      </c>
      <c r="C1499" s="109" t="s">
        <v>12706</v>
      </c>
      <c r="D1499" s="109" t="s">
        <v>13064</v>
      </c>
      <c r="E1499" s="109" t="s">
        <v>5558</v>
      </c>
      <c r="F1499" s="109" t="s">
        <v>13065</v>
      </c>
      <c r="G1499" s="110" t="s">
        <v>6248</v>
      </c>
      <c r="H1499" s="110" t="s">
        <v>13066</v>
      </c>
      <c r="I1499" s="110" t="s">
        <v>13067</v>
      </c>
    </row>
    <row r="1500" spans="1:9" ht="50.4" x14ac:dyDescent="0.3">
      <c r="A1500" s="109" t="s">
        <v>13068</v>
      </c>
      <c r="B1500" s="109" t="s">
        <v>12706</v>
      </c>
      <c r="C1500" s="109" t="s">
        <v>12706</v>
      </c>
      <c r="D1500" s="109" t="s">
        <v>13069</v>
      </c>
      <c r="E1500" s="109" t="s">
        <v>13069</v>
      </c>
      <c r="F1500" s="109" t="s">
        <v>13070</v>
      </c>
      <c r="G1500" s="110" t="s">
        <v>6248</v>
      </c>
      <c r="H1500" s="110" t="s">
        <v>13071</v>
      </c>
      <c r="I1500" s="110" t="s">
        <v>13072</v>
      </c>
    </row>
    <row r="1501" spans="1:9" ht="75.599999999999994" x14ac:dyDescent="0.3">
      <c r="A1501" s="109" t="s">
        <v>13073</v>
      </c>
      <c r="B1501" s="109" t="s">
        <v>12706</v>
      </c>
      <c r="C1501" s="109" t="s">
        <v>12706</v>
      </c>
      <c r="D1501" s="109" t="s">
        <v>7309</v>
      </c>
      <c r="E1501" s="109" t="s">
        <v>7309</v>
      </c>
      <c r="F1501" s="109" t="s">
        <v>13074</v>
      </c>
      <c r="G1501" s="110" t="s">
        <v>6248</v>
      </c>
      <c r="H1501" s="110" t="s">
        <v>6489</v>
      </c>
      <c r="I1501" s="110" t="s">
        <v>13075</v>
      </c>
    </row>
    <row r="1502" spans="1:9" ht="25.2" x14ac:dyDescent="0.3">
      <c r="A1502" s="109" t="s">
        <v>13076</v>
      </c>
      <c r="B1502" s="109" t="s">
        <v>12706</v>
      </c>
      <c r="C1502" s="109" t="s">
        <v>12706</v>
      </c>
      <c r="D1502" s="109" t="s">
        <v>13077</v>
      </c>
      <c r="E1502" s="109" t="s">
        <v>13078</v>
      </c>
      <c r="F1502" s="109" t="s">
        <v>7039</v>
      </c>
      <c r="G1502" s="110" t="s">
        <v>6248</v>
      </c>
      <c r="H1502" s="110" t="s">
        <v>13079</v>
      </c>
      <c r="I1502" s="110" t="s">
        <v>13080</v>
      </c>
    </row>
    <row r="1503" spans="1:9" ht="37.799999999999997" x14ac:dyDescent="0.3">
      <c r="A1503" s="109" t="s">
        <v>13081</v>
      </c>
      <c r="B1503" s="109" t="s">
        <v>12706</v>
      </c>
      <c r="C1503" s="109" t="s">
        <v>12706</v>
      </c>
      <c r="D1503" s="109" t="s">
        <v>13082</v>
      </c>
      <c r="E1503" s="109" t="s">
        <v>5558</v>
      </c>
      <c r="F1503" s="109" t="s">
        <v>13083</v>
      </c>
      <c r="G1503" s="110" t="s">
        <v>6248</v>
      </c>
      <c r="H1503" s="110" t="s">
        <v>13084</v>
      </c>
      <c r="I1503" s="110" t="s">
        <v>13085</v>
      </c>
    </row>
    <row r="1504" spans="1:9" ht="25.2" x14ac:dyDescent="0.3">
      <c r="A1504" s="109" t="s">
        <v>13086</v>
      </c>
      <c r="B1504" s="109" t="s">
        <v>12706</v>
      </c>
      <c r="C1504" s="109" t="s">
        <v>12706</v>
      </c>
      <c r="D1504" s="109" t="s">
        <v>5569</v>
      </c>
      <c r="E1504" s="109" t="s">
        <v>5558</v>
      </c>
      <c r="F1504" s="109" t="s">
        <v>2258</v>
      </c>
      <c r="G1504" s="110" t="s">
        <v>6248</v>
      </c>
      <c r="H1504" s="110" t="s">
        <v>13087</v>
      </c>
      <c r="I1504" s="110" t="s">
        <v>13088</v>
      </c>
    </row>
    <row r="1505" spans="1:9" ht="25.2" x14ac:dyDescent="0.3">
      <c r="A1505" s="109" t="s">
        <v>13089</v>
      </c>
      <c r="B1505" s="109" t="s">
        <v>12706</v>
      </c>
      <c r="C1505" s="109" t="s">
        <v>12706</v>
      </c>
      <c r="D1505" s="109" t="s">
        <v>13090</v>
      </c>
      <c r="E1505" s="109" t="s">
        <v>5558</v>
      </c>
      <c r="F1505" s="109" t="s">
        <v>13091</v>
      </c>
      <c r="G1505" s="110" t="s">
        <v>6248</v>
      </c>
      <c r="H1505" s="110" t="s">
        <v>13092</v>
      </c>
      <c r="I1505" s="110" t="s">
        <v>13093</v>
      </c>
    </row>
    <row r="1506" spans="1:9" ht="25.2" x14ac:dyDescent="0.3">
      <c r="A1506" s="109" t="s">
        <v>13094</v>
      </c>
      <c r="B1506" s="109" t="s">
        <v>12706</v>
      </c>
      <c r="C1506" s="109" t="s">
        <v>12706</v>
      </c>
      <c r="D1506" s="109" t="s">
        <v>1337</v>
      </c>
      <c r="E1506" s="109" t="s">
        <v>6010</v>
      </c>
      <c r="F1506" s="109" t="s">
        <v>13095</v>
      </c>
      <c r="G1506" s="110" t="s">
        <v>6248</v>
      </c>
      <c r="H1506" s="110" t="s">
        <v>13096</v>
      </c>
      <c r="I1506" s="110" t="s">
        <v>13097</v>
      </c>
    </row>
    <row r="1507" spans="1:9" ht="25.2" x14ac:dyDescent="0.3">
      <c r="A1507" s="109" t="s">
        <v>13098</v>
      </c>
      <c r="B1507" s="109" t="s">
        <v>12706</v>
      </c>
      <c r="C1507" s="109" t="s">
        <v>12706</v>
      </c>
      <c r="D1507" s="109" t="s">
        <v>1289</v>
      </c>
      <c r="E1507" s="109" t="s">
        <v>5558</v>
      </c>
      <c r="F1507" s="109" t="s">
        <v>13099</v>
      </c>
      <c r="G1507" s="110" t="s">
        <v>6248</v>
      </c>
      <c r="H1507" s="110" t="s">
        <v>13100</v>
      </c>
      <c r="I1507" s="110" t="s">
        <v>13101</v>
      </c>
    </row>
    <row r="1508" spans="1:9" ht="37.799999999999997" x14ac:dyDescent="0.3">
      <c r="A1508" s="109" t="s">
        <v>13102</v>
      </c>
      <c r="B1508" s="109" t="s">
        <v>12706</v>
      </c>
      <c r="C1508" s="109" t="s">
        <v>12706</v>
      </c>
      <c r="D1508" s="109" t="s">
        <v>13103</v>
      </c>
      <c r="E1508" s="109" t="s">
        <v>5558</v>
      </c>
      <c r="F1508" s="109" t="s">
        <v>13104</v>
      </c>
      <c r="G1508" s="110" t="s">
        <v>6248</v>
      </c>
      <c r="H1508" s="110" t="s">
        <v>7062</v>
      </c>
      <c r="I1508" s="110" t="s">
        <v>13105</v>
      </c>
    </row>
    <row r="1509" spans="1:9" ht="63" x14ac:dyDescent="0.3">
      <c r="A1509" s="109" t="s">
        <v>13106</v>
      </c>
      <c r="B1509" s="109" t="s">
        <v>12706</v>
      </c>
      <c r="C1509" s="109" t="s">
        <v>12706</v>
      </c>
      <c r="D1509" s="109" t="s">
        <v>13107</v>
      </c>
      <c r="E1509" s="109" t="s">
        <v>13107</v>
      </c>
      <c r="F1509" s="109" t="s">
        <v>13108</v>
      </c>
      <c r="G1509" s="110" t="s">
        <v>6248</v>
      </c>
      <c r="H1509" s="110" t="s">
        <v>13109</v>
      </c>
      <c r="I1509" s="110" t="s">
        <v>13110</v>
      </c>
    </row>
    <row r="1510" spans="1:9" ht="25.2" x14ac:dyDescent="0.3">
      <c r="A1510" s="109" t="s">
        <v>13111</v>
      </c>
      <c r="B1510" s="109" t="s">
        <v>12706</v>
      </c>
      <c r="C1510" s="109" t="s">
        <v>12706</v>
      </c>
      <c r="D1510" s="109" t="s">
        <v>13112</v>
      </c>
      <c r="E1510" s="109" t="s">
        <v>5854</v>
      </c>
      <c r="F1510" s="109" t="s">
        <v>5881</v>
      </c>
      <c r="G1510" s="110" t="s">
        <v>6248</v>
      </c>
      <c r="H1510" s="110" t="s">
        <v>13113</v>
      </c>
      <c r="I1510" s="110" t="s">
        <v>13114</v>
      </c>
    </row>
    <row r="1511" spans="1:9" ht="25.2" x14ac:dyDescent="0.3">
      <c r="A1511" s="109" t="s">
        <v>13115</v>
      </c>
      <c r="B1511" s="109" t="s">
        <v>12706</v>
      </c>
      <c r="C1511" s="109" t="s">
        <v>12706</v>
      </c>
      <c r="D1511" s="109" t="s">
        <v>13116</v>
      </c>
      <c r="E1511" s="109" t="s">
        <v>6010</v>
      </c>
      <c r="F1511" s="109" t="s">
        <v>5780</v>
      </c>
      <c r="G1511" s="110" t="s">
        <v>6248</v>
      </c>
      <c r="H1511" s="110" t="s">
        <v>13117</v>
      </c>
      <c r="I1511" s="110" t="s">
        <v>13118</v>
      </c>
    </row>
    <row r="1512" spans="1:9" ht="37.799999999999997" x14ac:dyDescent="0.3">
      <c r="A1512" s="109" t="s">
        <v>13119</v>
      </c>
      <c r="B1512" s="109" t="s">
        <v>12706</v>
      </c>
      <c r="C1512" s="109" t="s">
        <v>12706</v>
      </c>
      <c r="D1512" s="109" t="s">
        <v>1292</v>
      </c>
      <c r="E1512" s="109" t="s">
        <v>5558</v>
      </c>
      <c r="F1512" s="109" t="s">
        <v>13120</v>
      </c>
      <c r="G1512" s="110" t="s">
        <v>6248</v>
      </c>
      <c r="H1512" s="110" t="s">
        <v>13121</v>
      </c>
      <c r="I1512" s="110" t="s">
        <v>13122</v>
      </c>
    </row>
    <row r="1513" spans="1:9" ht="25.2" x14ac:dyDescent="0.3">
      <c r="A1513" s="109" t="s">
        <v>13123</v>
      </c>
      <c r="B1513" s="109" t="s">
        <v>12706</v>
      </c>
      <c r="C1513" s="109" t="s">
        <v>12706</v>
      </c>
      <c r="D1513" s="109" t="s">
        <v>13124</v>
      </c>
      <c r="E1513" s="109" t="s">
        <v>13125</v>
      </c>
      <c r="F1513" s="109" t="s">
        <v>13126</v>
      </c>
      <c r="G1513" s="110" t="s">
        <v>6248</v>
      </c>
      <c r="H1513" s="110" t="s">
        <v>13127</v>
      </c>
      <c r="I1513" s="110" t="s">
        <v>13128</v>
      </c>
    </row>
    <row r="1514" spans="1:9" ht="25.2" x14ac:dyDescent="0.3">
      <c r="A1514" s="109" t="s">
        <v>13129</v>
      </c>
      <c r="B1514" s="109" t="s">
        <v>12706</v>
      </c>
      <c r="C1514" s="109" t="s">
        <v>12706</v>
      </c>
      <c r="D1514" s="109" t="s">
        <v>13130</v>
      </c>
      <c r="E1514" s="109" t="s">
        <v>5558</v>
      </c>
      <c r="F1514" s="109" t="s">
        <v>13131</v>
      </c>
      <c r="G1514" s="110" t="s">
        <v>6248</v>
      </c>
      <c r="H1514" s="110" t="s">
        <v>6341</v>
      </c>
      <c r="I1514" s="110" t="s">
        <v>13132</v>
      </c>
    </row>
    <row r="1515" spans="1:9" ht="25.2" x14ac:dyDescent="0.3">
      <c r="A1515" s="109" t="s">
        <v>13133</v>
      </c>
      <c r="B1515" s="109" t="s">
        <v>12706</v>
      </c>
      <c r="C1515" s="109" t="s">
        <v>12706</v>
      </c>
      <c r="D1515" s="109" t="s">
        <v>13134</v>
      </c>
      <c r="E1515" s="109" t="s">
        <v>5558</v>
      </c>
      <c r="F1515" s="109" t="s">
        <v>13135</v>
      </c>
      <c r="G1515" s="110" t="s">
        <v>6248</v>
      </c>
      <c r="H1515" s="110" t="s">
        <v>13136</v>
      </c>
      <c r="I1515" s="110" t="s">
        <v>13137</v>
      </c>
    </row>
    <row r="1516" spans="1:9" ht="25.2" x14ac:dyDescent="0.3">
      <c r="A1516" s="109" t="s">
        <v>13138</v>
      </c>
      <c r="B1516" s="109" t="s">
        <v>12706</v>
      </c>
      <c r="C1516" s="109" t="s">
        <v>12706</v>
      </c>
      <c r="D1516" s="109" t="s">
        <v>13139</v>
      </c>
      <c r="E1516" s="109" t="s">
        <v>5854</v>
      </c>
      <c r="F1516" s="109" t="s">
        <v>5912</v>
      </c>
      <c r="G1516" s="110" t="s">
        <v>6248</v>
      </c>
      <c r="H1516" s="110" t="s">
        <v>13140</v>
      </c>
      <c r="I1516" s="110" t="s">
        <v>13141</v>
      </c>
    </row>
    <row r="1517" spans="1:9" ht="37.799999999999997" x14ac:dyDescent="0.3">
      <c r="A1517" s="109" t="s">
        <v>13142</v>
      </c>
      <c r="B1517" s="109" t="s">
        <v>12706</v>
      </c>
      <c r="C1517" s="109" t="s">
        <v>12706</v>
      </c>
      <c r="D1517" s="109" t="s">
        <v>13143</v>
      </c>
      <c r="E1517" s="109" t="s">
        <v>5558</v>
      </c>
      <c r="F1517" s="109" t="s">
        <v>13144</v>
      </c>
      <c r="G1517" s="110" t="s">
        <v>6248</v>
      </c>
      <c r="H1517" s="110" t="s">
        <v>7094</v>
      </c>
      <c r="I1517" s="110" t="s">
        <v>13145</v>
      </c>
    </row>
    <row r="1518" spans="1:9" ht="25.2" x14ac:dyDescent="0.3">
      <c r="A1518" s="109" t="s">
        <v>13146</v>
      </c>
      <c r="B1518" s="109" t="s">
        <v>12706</v>
      </c>
      <c r="C1518" s="109" t="s">
        <v>12706</v>
      </c>
      <c r="D1518" s="109" t="s">
        <v>13147</v>
      </c>
      <c r="E1518" s="109" t="s">
        <v>5558</v>
      </c>
      <c r="F1518" s="109" t="s">
        <v>13148</v>
      </c>
      <c r="G1518" s="110" t="s">
        <v>6248</v>
      </c>
      <c r="H1518" s="110" t="s">
        <v>13149</v>
      </c>
      <c r="I1518" s="110" t="s">
        <v>13150</v>
      </c>
    </row>
    <row r="1519" spans="1:9" ht="37.799999999999997" x14ac:dyDescent="0.3">
      <c r="A1519" s="109" t="s">
        <v>13151</v>
      </c>
      <c r="B1519" s="109" t="s">
        <v>12706</v>
      </c>
      <c r="C1519" s="109" t="s">
        <v>12706</v>
      </c>
      <c r="D1519" s="109" t="s">
        <v>1600</v>
      </c>
      <c r="E1519" s="109" t="s">
        <v>5558</v>
      </c>
      <c r="F1519" s="109" t="s">
        <v>13152</v>
      </c>
      <c r="G1519" s="110" t="s">
        <v>6248</v>
      </c>
      <c r="H1519" s="110" t="s">
        <v>13153</v>
      </c>
      <c r="I1519" s="110" t="s">
        <v>13154</v>
      </c>
    </row>
    <row r="1520" spans="1:9" ht="25.2" x14ac:dyDescent="0.3">
      <c r="A1520" s="109" t="s">
        <v>13155</v>
      </c>
      <c r="B1520" s="109" t="s">
        <v>12706</v>
      </c>
      <c r="C1520" s="109" t="s">
        <v>12706</v>
      </c>
      <c r="D1520" s="109" t="s">
        <v>13156</v>
      </c>
      <c r="E1520" s="109" t="s">
        <v>5558</v>
      </c>
      <c r="F1520" s="109" t="s">
        <v>13157</v>
      </c>
      <c r="G1520" s="110" t="s">
        <v>6248</v>
      </c>
      <c r="H1520" s="110" t="s">
        <v>7062</v>
      </c>
      <c r="I1520" s="110" t="s">
        <v>13158</v>
      </c>
    </row>
    <row r="1521" spans="1:9" ht="37.799999999999997" x14ac:dyDescent="0.3">
      <c r="A1521" s="109" t="s">
        <v>13159</v>
      </c>
      <c r="B1521" s="109" t="s">
        <v>12706</v>
      </c>
      <c r="C1521" s="109" t="s">
        <v>12706</v>
      </c>
      <c r="D1521" s="109" t="s">
        <v>13160</v>
      </c>
      <c r="E1521" s="109" t="s">
        <v>5558</v>
      </c>
      <c r="F1521" s="109" t="s">
        <v>13161</v>
      </c>
      <c r="G1521" s="110" t="s">
        <v>6248</v>
      </c>
      <c r="H1521" s="110" t="s">
        <v>13162</v>
      </c>
      <c r="I1521" s="110" t="s">
        <v>13163</v>
      </c>
    </row>
    <row r="1522" spans="1:9" ht="63" x14ac:dyDescent="0.3">
      <c r="A1522" s="109" t="s">
        <v>13164</v>
      </c>
      <c r="B1522" s="109" t="s">
        <v>12706</v>
      </c>
      <c r="C1522" s="109" t="s">
        <v>12706</v>
      </c>
      <c r="D1522" s="109" t="s">
        <v>13165</v>
      </c>
      <c r="E1522" s="109" t="s">
        <v>13165</v>
      </c>
      <c r="F1522" s="109" t="s">
        <v>13166</v>
      </c>
      <c r="G1522" s="110" t="s">
        <v>6248</v>
      </c>
      <c r="H1522" s="110" t="s">
        <v>13167</v>
      </c>
      <c r="I1522" s="110" t="s">
        <v>13168</v>
      </c>
    </row>
    <row r="1523" spans="1:9" ht="25.2" x14ac:dyDescent="0.3">
      <c r="A1523" s="109" t="s">
        <v>13169</v>
      </c>
      <c r="B1523" s="109" t="s">
        <v>12706</v>
      </c>
      <c r="C1523" s="109" t="s">
        <v>12706</v>
      </c>
      <c r="D1523" s="109" t="s">
        <v>13170</v>
      </c>
      <c r="E1523" s="109" t="s">
        <v>13171</v>
      </c>
      <c r="F1523" s="109" t="s">
        <v>13172</v>
      </c>
      <c r="G1523" s="110" t="s">
        <v>6248</v>
      </c>
      <c r="H1523" s="110" t="s">
        <v>13173</v>
      </c>
      <c r="I1523" s="110" t="s">
        <v>13174</v>
      </c>
    </row>
    <row r="1524" spans="1:9" ht="25.2" x14ac:dyDescent="0.3">
      <c r="A1524" s="109" t="s">
        <v>13175</v>
      </c>
      <c r="B1524" s="109" t="s">
        <v>12706</v>
      </c>
      <c r="C1524" s="109" t="s">
        <v>12706</v>
      </c>
      <c r="D1524" s="109" t="s">
        <v>5569</v>
      </c>
      <c r="E1524" s="109" t="s">
        <v>5558</v>
      </c>
      <c r="F1524" s="109" t="s">
        <v>2258</v>
      </c>
      <c r="G1524" s="110" t="s">
        <v>6248</v>
      </c>
      <c r="H1524" s="110" t="s">
        <v>13176</v>
      </c>
      <c r="I1524" s="110" t="s">
        <v>13177</v>
      </c>
    </row>
    <row r="1525" spans="1:9" ht="25.2" x14ac:dyDescent="0.3">
      <c r="A1525" s="109" t="s">
        <v>13178</v>
      </c>
      <c r="B1525" s="109" t="s">
        <v>12706</v>
      </c>
      <c r="C1525" s="109" t="s">
        <v>12706</v>
      </c>
      <c r="D1525" s="109" t="s">
        <v>13179</v>
      </c>
      <c r="E1525" s="109" t="s">
        <v>13012</v>
      </c>
      <c r="F1525" s="109" t="s">
        <v>7045</v>
      </c>
      <c r="G1525" s="110" t="s">
        <v>13180</v>
      </c>
      <c r="H1525" s="110" t="s">
        <v>6248</v>
      </c>
      <c r="I1525" s="110" t="s">
        <v>13181</v>
      </c>
    </row>
    <row r="1526" spans="1:9" ht="25.2" x14ac:dyDescent="0.3">
      <c r="A1526" s="109" t="s">
        <v>13182</v>
      </c>
      <c r="B1526" s="109" t="s">
        <v>12706</v>
      </c>
      <c r="C1526" s="109" t="s">
        <v>12706</v>
      </c>
      <c r="D1526" s="109" t="s">
        <v>13183</v>
      </c>
      <c r="E1526" s="109" t="s">
        <v>5558</v>
      </c>
      <c r="F1526" s="109" t="s">
        <v>13184</v>
      </c>
      <c r="G1526" s="110" t="s">
        <v>6248</v>
      </c>
      <c r="H1526" s="110" t="s">
        <v>13185</v>
      </c>
      <c r="I1526" s="110" t="s">
        <v>13186</v>
      </c>
    </row>
    <row r="1527" spans="1:9" ht="25.2" x14ac:dyDescent="0.3">
      <c r="A1527" s="109" t="s">
        <v>13187</v>
      </c>
      <c r="B1527" s="109" t="s">
        <v>12706</v>
      </c>
      <c r="C1527" s="109" t="s">
        <v>12706</v>
      </c>
      <c r="D1527" s="109" t="s">
        <v>13188</v>
      </c>
      <c r="E1527" s="109" t="s">
        <v>13189</v>
      </c>
      <c r="F1527" s="109" t="s">
        <v>13190</v>
      </c>
      <c r="G1527" s="110" t="s">
        <v>6248</v>
      </c>
      <c r="H1527" s="110" t="s">
        <v>13191</v>
      </c>
      <c r="I1527" s="110" t="s">
        <v>13192</v>
      </c>
    </row>
    <row r="1528" spans="1:9" ht="25.2" x14ac:dyDescent="0.3">
      <c r="A1528" s="109" t="s">
        <v>13193</v>
      </c>
      <c r="B1528" s="109" t="s">
        <v>12706</v>
      </c>
      <c r="C1528" s="109" t="s">
        <v>12706</v>
      </c>
      <c r="D1528" s="109" t="s">
        <v>13194</v>
      </c>
      <c r="E1528" s="109" t="s">
        <v>13195</v>
      </c>
      <c r="F1528" s="109" t="s">
        <v>10615</v>
      </c>
      <c r="G1528" s="110" t="s">
        <v>6248</v>
      </c>
      <c r="H1528" s="110" t="s">
        <v>13196</v>
      </c>
      <c r="I1528" s="110" t="s">
        <v>13197</v>
      </c>
    </row>
    <row r="1529" spans="1:9" ht="37.799999999999997" x14ac:dyDescent="0.3">
      <c r="A1529" s="109" t="s">
        <v>13198</v>
      </c>
      <c r="B1529" s="109" t="s">
        <v>12706</v>
      </c>
      <c r="C1529" s="109" t="s">
        <v>12706</v>
      </c>
      <c r="D1529" s="109" t="s">
        <v>13199</v>
      </c>
      <c r="E1529" s="109" t="s">
        <v>5558</v>
      </c>
      <c r="F1529" s="109" t="s">
        <v>13200</v>
      </c>
      <c r="G1529" s="110" t="s">
        <v>6248</v>
      </c>
      <c r="H1529" s="110" t="s">
        <v>13201</v>
      </c>
      <c r="I1529" s="110" t="s">
        <v>13202</v>
      </c>
    </row>
    <row r="1530" spans="1:9" ht="25.2" x14ac:dyDescent="0.3">
      <c r="A1530" s="109" t="s">
        <v>13203</v>
      </c>
      <c r="B1530" s="109" t="s">
        <v>12706</v>
      </c>
      <c r="C1530" s="109" t="s">
        <v>12706</v>
      </c>
      <c r="D1530" s="109" t="s">
        <v>13204</v>
      </c>
      <c r="E1530" s="109" t="s">
        <v>13205</v>
      </c>
      <c r="F1530" s="109" t="s">
        <v>13206</v>
      </c>
      <c r="G1530" s="110" t="s">
        <v>6248</v>
      </c>
      <c r="H1530" s="110" t="s">
        <v>13207</v>
      </c>
      <c r="I1530" s="110" t="s">
        <v>13208</v>
      </c>
    </row>
    <row r="1531" spans="1:9" ht="25.2" x14ac:dyDescent="0.3">
      <c r="A1531" s="109" t="s">
        <v>13209</v>
      </c>
      <c r="B1531" s="109" t="s">
        <v>12706</v>
      </c>
      <c r="C1531" s="109" t="s">
        <v>12706</v>
      </c>
      <c r="D1531" s="109" t="s">
        <v>13210</v>
      </c>
      <c r="E1531" s="109" t="s">
        <v>5558</v>
      </c>
      <c r="F1531" s="109" t="s">
        <v>13211</v>
      </c>
      <c r="G1531" s="110" t="s">
        <v>6248</v>
      </c>
      <c r="H1531" s="110" t="s">
        <v>13212</v>
      </c>
      <c r="I1531" s="110" t="s">
        <v>13213</v>
      </c>
    </row>
    <row r="1532" spans="1:9" ht="25.2" x14ac:dyDescent="0.3">
      <c r="A1532" s="109" t="s">
        <v>13214</v>
      </c>
      <c r="B1532" s="109" t="s">
        <v>12706</v>
      </c>
      <c r="C1532" s="109" t="s">
        <v>12706</v>
      </c>
      <c r="D1532" s="109" t="s">
        <v>13215</v>
      </c>
      <c r="E1532" s="109" t="s">
        <v>13216</v>
      </c>
      <c r="F1532" s="109" t="s">
        <v>13217</v>
      </c>
      <c r="G1532" s="110" t="s">
        <v>6248</v>
      </c>
      <c r="H1532" s="110" t="s">
        <v>13218</v>
      </c>
      <c r="I1532" s="110" t="s">
        <v>13219</v>
      </c>
    </row>
    <row r="1533" spans="1:9" ht="25.2" x14ac:dyDescent="0.3">
      <c r="A1533" s="109" t="s">
        <v>13220</v>
      </c>
      <c r="B1533" s="109" t="s">
        <v>12706</v>
      </c>
      <c r="C1533" s="109" t="s">
        <v>12706</v>
      </c>
      <c r="D1533" s="109" t="s">
        <v>13221</v>
      </c>
      <c r="E1533" s="109" t="s">
        <v>13222</v>
      </c>
      <c r="F1533" s="109" t="s">
        <v>13217</v>
      </c>
      <c r="G1533" s="110" t="s">
        <v>6248</v>
      </c>
      <c r="H1533" s="110" t="s">
        <v>13218</v>
      </c>
      <c r="I1533" s="110" t="s">
        <v>13223</v>
      </c>
    </row>
    <row r="1534" spans="1:9" ht="25.2" x14ac:dyDescent="0.3">
      <c r="A1534" s="109" t="s">
        <v>13224</v>
      </c>
      <c r="B1534" s="109" t="s">
        <v>12706</v>
      </c>
      <c r="C1534" s="109" t="s">
        <v>12706</v>
      </c>
      <c r="D1534" s="109" t="s">
        <v>13225</v>
      </c>
      <c r="E1534" s="109" t="s">
        <v>13226</v>
      </c>
      <c r="F1534" s="109" t="s">
        <v>13217</v>
      </c>
      <c r="G1534" s="110" t="s">
        <v>6248</v>
      </c>
      <c r="H1534" s="110" t="s">
        <v>13218</v>
      </c>
      <c r="I1534" s="110" t="s">
        <v>13227</v>
      </c>
    </row>
    <row r="1535" spans="1:9" ht="25.2" x14ac:dyDescent="0.3">
      <c r="A1535" s="109" t="s">
        <v>13228</v>
      </c>
      <c r="B1535" s="109" t="s">
        <v>12706</v>
      </c>
      <c r="C1535" s="109" t="s">
        <v>12706</v>
      </c>
      <c r="D1535" s="109" t="s">
        <v>13229</v>
      </c>
      <c r="E1535" s="109" t="s">
        <v>13230</v>
      </c>
      <c r="F1535" s="109" t="s">
        <v>13217</v>
      </c>
      <c r="G1535" s="110" t="s">
        <v>6248</v>
      </c>
      <c r="H1535" s="110" t="s">
        <v>13218</v>
      </c>
      <c r="I1535" s="110" t="s">
        <v>13231</v>
      </c>
    </row>
    <row r="1536" spans="1:9" ht="25.2" x14ac:dyDescent="0.3">
      <c r="A1536" s="109" t="s">
        <v>13232</v>
      </c>
      <c r="B1536" s="109" t="s">
        <v>12706</v>
      </c>
      <c r="C1536" s="109" t="s">
        <v>12706</v>
      </c>
      <c r="D1536" s="109" t="s">
        <v>13233</v>
      </c>
      <c r="E1536" s="109" t="s">
        <v>13234</v>
      </c>
      <c r="F1536" s="109" t="s">
        <v>13217</v>
      </c>
      <c r="G1536" s="110" t="s">
        <v>6248</v>
      </c>
      <c r="H1536" s="110" t="s">
        <v>13218</v>
      </c>
      <c r="I1536" s="110" t="s">
        <v>13235</v>
      </c>
    </row>
    <row r="1537" spans="1:9" ht="25.2" x14ac:dyDescent="0.3">
      <c r="A1537" s="109" t="s">
        <v>13236</v>
      </c>
      <c r="B1537" s="109" t="s">
        <v>12706</v>
      </c>
      <c r="C1537" s="109" t="s">
        <v>12706</v>
      </c>
      <c r="D1537" s="109" t="s">
        <v>13237</v>
      </c>
      <c r="E1537" s="109" t="s">
        <v>13238</v>
      </c>
      <c r="F1537" s="109" t="s">
        <v>13217</v>
      </c>
      <c r="G1537" s="110" t="s">
        <v>6248</v>
      </c>
      <c r="H1537" s="110" t="s">
        <v>13239</v>
      </c>
      <c r="I1537" s="110" t="s">
        <v>13240</v>
      </c>
    </row>
    <row r="1538" spans="1:9" ht="25.2" x14ac:dyDescent="0.3">
      <c r="A1538" s="109" t="s">
        <v>13241</v>
      </c>
      <c r="B1538" s="109" t="s">
        <v>12706</v>
      </c>
      <c r="C1538" s="109" t="s">
        <v>12706</v>
      </c>
      <c r="D1538" s="109" t="s">
        <v>13242</v>
      </c>
      <c r="E1538" s="109" t="s">
        <v>13243</v>
      </c>
      <c r="F1538" s="109" t="s">
        <v>13244</v>
      </c>
      <c r="G1538" s="110" t="s">
        <v>6248</v>
      </c>
      <c r="H1538" s="110" t="s">
        <v>13245</v>
      </c>
      <c r="I1538" s="110" t="s">
        <v>13246</v>
      </c>
    </row>
    <row r="1539" spans="1:9" ht="25.2" x14ac:dyDescent="0.3">
      <c r="A1539" s="109" t="s">
        <v>13247</v>
      </c>
      <c r="B1539" s="109" t="s">
        <v>12706</v>
      </c>
      <c r="C1539" s="109" t="s">
        <v>12706</v>
      </c>
      <c r="D1539" s="109" t="s">
        <v>13248</v>
      </c>
      <c r="E1539" s="109" t="s">
        <v>13249</v>
      </c>
      <c r="F1539" s="109" t="s">
        <v>13250</v>
      </c>
      <c r="G1539" s="110" t="s">
        <v>6248</v>
      </c>
      <c r="H1539" s="110" t="s">
        <v>9461</v>
      </c>
      <c r="I1539" s="110" t="s">
        <v>13251</v>
      </c>
    </row>
    <row r="1540" spans="1:9" ht="37.799999999999997" x14ac:dyDescent="0.3">
      <c r="A1540" s="109" t="s">
        <v>13252</v>
      </c>
      <c r="B1540" s="109" t="s">
        <v>12706</v>
      </c>
      <c r="C1540" s="109" t="s">
        <v>12706</v>
      </c>
      <c r="D1540" s="109" t="s">
        <v>13253</v>
      </c>
      <c r="E1540" s="109" t="s">
        <v>5558</v>
      </c>
      <c r="F1540" s="109" t="s">
        <v>13254</v>
      </c>
      <c r="G1540" s="110" t="s">
        <v>6248</v>
      </c>
      <c r="H1540" s="110" t="s">
        <v>13255</v>
      </c>
      <c r="I1540" s="110" t="s">
        <v>13256</v>
      </c>
    </row>
    <row r="1541" spans="1:9" ht="25.2" x14ac:dyDescent="0.3">
      <c r="A1541" s="109" t="s">
        <v>13257</v>
      </c>
      <c r="B1541" s="109" t="s">
        <v>12706</v>
      </c>
      <c r="C1541" s="109" t="s">
        <v>12706</v>
      </c>
      <c r="D1541" s="109" t="s">
        <v>13258</v>
      </c>
      <c r="E1541" s="109" t="s">
        <v>5558</v>
      </c>
      <c r="F1541" s="109" t="s">
        <v>13259</v>
      </c>
      <c r="G1541" s="110" t="s">
        <v>6248</v>
      </c>
      <c r="H1541" s="110" t="s">
        <v>13260</v>
      </c>
      <c r="I1541" s="110" t="s">
        <v>13261</v>
      </c>
    </row>
    <row r="1542" spans="1:9" ht="37.799999999999997" x14ac:dyDescent="0.3">
      <c r="A1542" s="109" t="s">
        <v>13262</v>
      </c>
      <c r="B1542" s="109" t="s">
        <v>12706</v>
      </c>
      <c r="C1542" s="109" t="s">
        <v>12706</v>
      </c>
      <c r="D1542" s="109" t="s">
        <v>13263</v>
      </c>
      <c r="E1542" s="109" t="s">
        <v>5558</v>
      </c>
      <c r="F1542" s="109" t="s">
        <v>13264</v>
      </c>
      <c r="G1542" s="110" t="s">
        <v>6248</v>
      </c>
      <c r="H1542" s="110" t="s">
        <v>13265</v>
      </c>
      <c r="I1542" s="110" t="s">
        <v>13266</v>
      </c>
    </row>
    <row r="1543" spans="1:9" ht="25.2" x14ac:dyDescent="0.3">
      <c r="A1543" s="109" t="s">
        <v>13267</v>
      </c>
      <c r="B1543" s="109" t="s">
        <v>12706</v>
      </c>
      <c r="C1543" s="109" t="s">
        <v>12706</v>
      </c>
      <c r="D1543" s="109" t="s">
        <v>13268</v>
      </c>
      <c r="E1543" s="109" t="s">
        <v>5558</v>
      </c>
      <c r="F1543" s="109" t="s">
        <v>13269</v>
      </c>
      <c r="G1543" s="110" t="s">
        <v>6248</v>
      </c>
      <c r="H1543" s="110" t="s">
        <v>13270</v>
      </c>
      <c r="I1543" s="110" t="s">
        <v>13271</v>
      </c>
    </row>
    <row r="1544" spans="1:9" ht="25.2" x14ac:dyDescent="0.3">
      <c r="A1544" s="109" t="s">
        <v>13272</v>
      </c>
      <c r="B1544" s="109" t="s">
        <v>12706</v>
      </c>
      <c r="C1544" s="109" t="s">
        <v>12706</v>
      </c>
      <c r="D1544" s="109" t="s">
        <v>13273</v>
      </c>
      <c r="E1544" s="109" t="s">
        <v>5558</v>
      </c>
      <c r="F1544" s="109" t="s">
        <v>13274</v>
      </c>
      <c r="G1544" s="110" t="s">
        <v>6248</v>
      </c>
      <c r="H1544" s="110" t="s">
        <v>13275</v>
      </c>
      <c r="I1544" s="110" t="s">
        <v>13276</v>
      </c>
    </row>
    <row r="1545" spans="1:9" ht="25.2" x14ac:dyDescent="0.3">
      <c r="A1545" s="109" t="s">
        <v>13277</v>
      </c>
      <c r="B1545" s="109" t="s">
        <v>12706</v>
      </c>
      <c r="C1545" s="109" t="s">
        <v>12706</v>
      </c>
      <c r="D1545" s="109" t="s">
        <v>13278</v>
      </c>
      <c r="E1545" s="109" t="s">
        <v>5558</v>
      </c>
      <c r="F1545" s="109" t="s">
        <v>13279</v>
      </c>
      <c r="G1545" s="110" t="s">
        <v>6248</v>
      </c>
      <c r="H1545" s="110" t="s">
        <v>13280</v>
      </c>
      <c r="I1545" s="110" t="s">
        <v>13281</v>
      </c>
    </row>
    <row r="1546" spans="1:9" ht="25.2" x14ac:dyDescent="0.3">
      <c r="A1546" s="109" t="s">
        <v>13282</v>
      </c>
      <c r="B1546" s="109" t="s">
        <v>12706</v>
      </c>
      <c r="C1546" s="109" t="s">
        <v>12706</v>
      </c>
      <c r="D1546" s="109" t="s">
        <v>13283</v>
      </c>
      <c r="E1546" s="109" t="s">
        <v>5558</v>
      </c>
      <c r="F1546" s="109" t="s">
        <v>13284</v>
      </c>
      <c r="G1546" s="110" t="s">
        <v>6248</v>
      </c>
      <c r="H1546" s="110" t="s">
        <v>13285</v>
      </c>
      <c r="I1546" s="110" t="s">
        <v>13286</v>
      </c>
    </row>
    <row r="1547" spans="1:9" ht="37.799999999999997" x14ac:dyDescent="0.3">
      <c r="A1547" s="109" t="s">
        <v>13287</v>
      </c>
      <c r="B1547" s="109" t="s">
        <v>12706</v>
      </c>
      <c r="C1547" s="109" t="s">
        <v>12706</v>
      </c>
      <c r="D1547" s="109" t="s">
        <v>13288</v>
      </c>
      <c r="E1547" s="109" t="s">
        <v>5558</v>
      </c>
      <c r="F1547" s="109" t="s">
        <v>13289</v>
      </c>
      <c r="G1547" s="110" t="s">
        <v>6248</v>
      </c>
      <c r="H1547" s="110" t="s">
        <v>13290</v>
      </c>
      <c r="I1547" s="110" t="s">
        <v>13291</v>
      </c>
    </row>
    <row r="1548" spans="1:9" ht="75.599999999999994" x14ac:dyDescent="0.3">
      <c r="A1548" s="109" t="s">
        <v>13292</v>
      </c>
      <c r="B1548" s="109" t="s">
        <v>12706</v>
      </c>
      <c r="C1548" s="109" t="s">
        <v>12706</v>
      </c>
      <c r="D1548" s="109" t="s">
        <v>13293</v>
      </c>
      <c r="E1548" s="109" t="s">
        <v>13293</v>
      </c>
      <c r="F1548" s="109" t="s">
        <v>13294</v>
      </c>
      <c r="G1548" s="110" t="s">
        <v>6248</v>
      </c>
      <c r="H1548" s="110" t="s">
        <v>13295</v>
      </c>
      <c r="I1548" s="110" t="s">
        <v>13296</v>
      </c>
    </row>
    <row r="1549" spans="1:9" ht="25.2" x14ac:dyDescent="0.3">
      <c r="A1549" s="109" t="s">
        <v>13297</v>
      </c>
      <c r="B1549" s="109" t="s">
        <v>12706</v>
      </c>
      <c r="C1549" s="109" t="s">
        <v>12706</v>
      </c>
      <c r="D1549" s="109" t="s">
        <v>13298</v>
      </c>
      <c r="E1549" s="109" t="s">
        <v>5558</v>
      </c>
      <c r="F1549" s="109" t="s">
        <v>13299</v>
      </c>
      <c r="G1549" s="110" t="s">
        <v>6248</v>
      </c>
      <c r="H1549" s="110" t="s">
        <v>13300</v>
      </c>
      <c r="I1549" s="110" t="s">
        <v>13301</v>
      </c>
    </row>
    <row r="1550" spans="1:9" ht="25.2" x14ac:dyDescent="0.3">
      <c r="A1550" s="109" t="s">
        <v>13302</v>
      </c>
      <c r="B1550" s="109" t="s">
        <v>12706</v>
      </c>
      <c r="C1550" s="109" t="s">
        <v>12706</v>
      </c>
      <c r="D1550" s="109" t="s">
        <v>13303</v>
      </c>
      <c r="E1550" s="109" t="s">
        <v>13304</v>
      </c>
      <c r="F1550" s="109" t="s">
        <v>6267</v>
      </c>
      <c r="G1550" s="110" t="s">
        <v>6248</v>
      </c>
      <c r="H1550" s="110" t="s">
        <v>13305</v>
      </c>
      <c r="I1550" s="110" t="s">
        <v>13306</v>
      </c>
    </row>
    <row r="1551" spans="1:9" ht="25.2" x14ac:dyDescent="0.3">
      <c r="A1551" s="109" t="s">
        <v>13307</v>
      </c>
      <c r="B1551" s="109" t="s">
        <v>12706</v>
      </c>
      <c r="C1551" s="109" t="s">
        <v>12706</v>
      </c>
      <c r="D1551" s="109" t="s">
        <v>13308</v>
      </c>
      <c r="E1551" s="109" t="s">
        <v>13309</v>
      </c>
      <c r="F1551" s="109" t="s">
        <v>13310</v>
      </c>
      <c r="G1551" s="110" t="s">
        <v>6248</v>
      </c>
      <c r="H1551" s="110" t="s">
        <v>13311</v>
      </c>
      <c r="I1551" s="110" t="s">
        <v>13312</v>
      </c>
    </row>
    <row r="1552" spans="1:9" ht="63" x14ac:dyDescent="0.3">
      <c r="A1552" s="109" t="s">
        <v>13313</v>
      </c>
      <c r="B1552" s="109" t="s">
        <v>12706</v>
      </c>
      <c r="C1552" s="109" t="s">
        <v>12706</v>
      </c>
      <c r="D1552" s="109" t="s">
        <v>13314</v>
      </c>
      <c r="E1552" s="109" t="s">
        <v>13314</v>
      </c>
      <c r="F1552" s="109" t="s">
        <v>13315</v>
      </c>
      <c r="G1552" s="110" t="s">
        <v>6248</v>
      </c>
      <c r="H1552" s="110" t="s">
        <v>13316</v>
      </c>
      <c r="I1552" s="110" t="s">
        <v>13317</v>
      </c>
    </row>
    <row r="1553" spans="1:9" ht="25.2" x14ac:dyDescent="0.3">
      <c r="A1553" s="109" t="s">
        <v>13318</v>
      </c>
      <c r="B1553" s="109" t="s">
        <v>12706</v>
      </c>
      <c r="C1553" s="109" t="s">
        <v>12706</v>
      </c>
      <c r="D1553" s="109" t="s">
        <v>1496</v>
      </c>
      <c r="E1553" s="109" t="s">
        <v>5558</v>
      </c>
      <c r="F1553" s="109" t="s">
        <v>13319</v>
      </c>
      <c r="G1553" s="110" t="s">
        <v>6248</v>
      </c>
      <c r="H1553" s="110" t="s">
        <v>9261</v>
      </c>
      <c r="I1553" s="110" t="s">
        <v>13320</v>
      </c>
    </row>
    <row r="1554" spans="1:9" ht="37.799999999999997" x14ac:dyDescent="0.3">
      <c r="A1554" s="109" t="s">
        <v>13321</v>
      </c>
      <c r="B1554" s="109" t="s">
        <v>12706</v>
      </c>
      <c r="C1554" s="109" t="s">
        <v>12706</v>
      </c>
      <c r="D1554" s="109" t="s">
        <v>13322</v>
      </c>
      <c r="E1554" s="109" t="s">
        <v>5558</v>
      </c>
      <c r="F1554" s="109" t="s">
        <v>13323</v>
      </c>
      <c r="G1554" s="110" t="s">
        <v>6248</v>
      </c>
      <c r="H1554" s="110" t="s">
        <v>13324</v>
      </c>
      <c r="I1554" s="110" t="s">
        <v>13325</v>
      </c>
    </row>
    <row r="1555" spans="1:9" ht="37.799999999999997" x14ac:dyDescent="0.3">
      <c r="A1555" s="109" t="s">
        <v>13326</v>
      </c>
      <c r="B1555" s="109" t="s">
        <v>12706</v>
      </c>
      <c r="C1555" s="109" t="s">
        <v>12706</v>
      </c>
      <c r="D1555" s="109" t="s">
        <v>13327</v>
      </c>
      <c r="E1555" s="109" t="s">
        <v>5558</v>
      </c>
      <c r="F1555" s="109" t="s">
        <v>13328</v>
      </c>
      <c r="G1555" s="110" t="s">
        <v>6248</v>
      </c>
      <c r="H1555" s="110" t="s">
        <v>13329</v>
      </c>
      <c r="I1555" s="110" t="s">
        <v>13330</v>
      </c>
    </row>
    <row r="1556" spans="1:9" ht="63" x14ac:dyDescent="0.3">
      <c r="A1556" s="109" t="s">
        <v>13331</v>
      </c>
      <c r="B1556" s="109" t="s">
        <v>12706</v>
      </c>
      <c r="C1556" s="109" t="s">
        <v>12706</v>
      </c>
      <c r="D1556" s="109" t="s">
        <v>13332</v>
      </c>
      <c r="E1556" s="109" t="s">
        <v>13332</v>
      </c>
      <c r="F1556" s="109" t="s">
        <v>13333</v>
      </c>
      <c r="G1556" s="110" t="s">
        <v>6248</v>
      </c>
      <c r="H1556" s="110" t="s">
        <v>13334</v>
      </c>
      <c r="I1556" s="110" t="s">
        <v>13335</v>
      </c>
    </row>
    <row r="1557" spans="1:9" ht="63" x14ac:dyDescent="0.3">
      <c r="A1557" s="109" t="s">
        <v>13336</v>
      </c>
      <c r="B1557" s="109" t="s">
        <v>12706</v>
      </c>
      <c r="C1557" s="109" t="s">
        <v>12706</v>
      </c>
      <c r="D1557" s="109" t="s">
        <v>13337</v>
      </c>
      <c r="E1557" s="109" t="s">
        <v>13337</v>
      </c>
      <c r="F1557" s="109" t="s">
        <v>13338</v>
      </c>
      <c r="G1557" s="110" t="s">
        <v>6248</v>
      </c>
      <c r="H1557" s="110" t="s">
        <v>13339</v>
      </c>
      <c r="I1557" s="110" t="s">
        <v>13340</v>
      </c>
    </row>
    <row r="1558" spans="1:9" ht="63" x14ac:dyDescent="0.3">
      <c r="A1558" s="109" t="s">
        <v>13341</v>
      </c>
      <c r="B1558" s="109" t="s">
        <v>12706</v>
      </c>
      <c r="C1558" s="109" t="s">
        <v>12706</v>
      </c>
      <c r="D1558" s="109" t="s">
        <v>13342</v>
      </c>
      <c r="E1558" s="109" t="s">
        <v>13342</v>
      </c>
      <c r="F1558" s="109" t="s">
        <v>13343</v>
      </c>
      <c r="G1558" s="110" t="s">
        <v>6248</v>
      </c>
      <c r="H1558" s="110" t="s">
        <v>13344</v>
      </c>
      <c r="I1558" s="110" t="s">
        <v>13345</v>
      </c>
    </row>
    <row r="1559" spans="1:9" ht="25.2" x14ac:dyDescent="0.3">
      <c r="A1559" s="109" t="s">
        <v>13346</v>
      </c>
      <c r="B1559" s="109" t="s">
        <v>12706</v>
      </c>
      <c r="C1559" s="109" t="s">
        <v>12706</v>
      </c>
      <c r="D1559" s="109" t="s">
        <v>13347</v>
      </c>
      <c r="E1559" s="109" t="s">
        <v>5558</v>
      </c>
      <c r="F1559" s="109" t="s">
        <v>13348</v>
      </c>
      <c r="G1559" s="110" t="s">
        <v>6248</v>
      </c>
      <c r="H1559" s="110" t="s">
        <v>13349</v>
      </c>
      <c r="I1559" s="110" t="s">
        <v>13350</v>
      </c>
    </row>
    <row r="1560" spans="1:9" ht="63" x14ac:dyDescent="0.3">
      <c r="A1560" s="109" t="s">
        <v>13351</v>
      </c>
      <c r="B1560" s="109" t="s">
        <v>12706</v>
      </c>
      <c r="C1560" s="109" t="s">
        <v>12706</v>
      </c>
      <c r="D1560" s="109" t="s">
        <v>13352</v>
      </c>
      <c r="E1560" s="109" t="s">
        <v>13352</v>
      </c>
      <c r="F1560" s="109" t="s">
        <v>13353</v>
      </c>
      <c r="G1560" s="110" t="s">
        <v>6248</v>
      </c>
      <c r="H1560" s="110" t="s">
        <v>13354</v>
      </c>
      <c r="I1560" s="110" t="s">
        <v>13355</v>
      </c>
    </row>
    <row r="1561" spans="1:9" ht="37.799999999999997" x14ac:dyDescent="0.3">
      <c r="A1561" s="109" t="s">
        <v>13356</v>
      </c>
      <c r="B1561" s="109" t="s">
        <v>12706</v>
      </c>
      <c r="C1561" s="109" t="s">
        <v>12706</v>
      </c>
      <c r="D1561" s="109" t="s">
        <v>13357</v>
      </c>
      <c r="E1561" s="109" t="s">
        <v>5558</v>
      </c>
      <c r="F1561" s="109" t="s">
        <v>13358</v>
      </c>
      <c r="G1561" s="110" t="s">
        <v>6248</v>
      </c>
      <c r="H1561" s="110" t="s">
        <v>13359</v>
      </c>
      <c r="I1561" s="110" t="s">
        <v>13360</v>
      </c>
    </row>
    <row r="1562" spans="1:9" ht="75.599999999999994" x14ac:dyDescent="0.3">
      <c r="A1562" s="109" t="s">
        <v>13361</v>
      </c>
      <c r="B1562" s="109" t="s">
        <v>12706</v>
      </c>
      <c r="C1562" s="109" t="s">
        <v>12706</v>
      </c>
      <c r="D1562" s="109" t="s">
        <v>13362</v>
      </c>
      <c r="E1562" s="109" t="s">
        <v>13362</v>
      </c>
      <c r="F1562" s="109" t="s">
        <v>13363</v>
      </c>
      <c r="G1562" s="110" t="s">
        <v>6248</v>
      </c>
      <c r="H1562" s="110" t="s">
        <v>6883</v>
      </c>
      <c r="I1562" s="110" t="s">
        <v>13364</v>
      </c>
    </row>
    <row r="1563" spans="1:9" ht="25.2" x14ac:dyDescent="0.3">
      <c r="A1563" s="109" t="s">
        <v>13365</v>
      </c>
      <c r="B1563" s="109" t="s">
        <v>12706</v>
      </c>
      <c r="C1563" s="109" t="s">
        <v>12706</v>
      </c>
      <c r="D1563" s="109" t="s">
        <v>13366</v>
      </c>
      <c r="E1563" s="109" t="s">
        <v>13367</v>
      </c>
      <c r="F1563" s="109" t="s">
        <v>10749</v>
      </c>
      <c r="G1563" s="110" t="s">
        <v>6248</v>
      </c>
      <c r="H1563" s="110" t="s">
        <v>13368</v>
      </c>
      <c r="I1563" s="110" t="s">
        <v>13369</v>
      </c>
    </row>
    <row r="1564" spans="1:9" ht="37.799999999999997" x14ac:dyDescent="0.3">
      <c r="A1564" s="109" t="s">
        <v>13370</v>
      </c>
      <c r="B1564" s="109" t="s">
        <v>12706</v>
      </c>
      <c r="C1564" s="109" t="s">
        <v>12706</v>
      </c>
      <c r="D1564" s="109" t="s">
        <v>13371</v>
      </c>
      <c r="E1564" s="109" t="s">
        <v>5558</v>
      </c>
      <c r="F1564" s="109" t="s">
        <v>13372</v>
      </c>
      <c r="G1564" s="110" t="s">
        <v>6248</v>
      </c>
      <c r="H1564" s="110" t="s">
        <v>13373</v>
      </c>
      <c r="I1564" s="110" t="s">
        <v>13374</v>
      </c>
    </row>
    <row r="1565" spans="1:9" ht="50.4" x14ac:dyDescent="0.3">
      <c r="A1565" s="109" t="s">
        <v>13375</v>
      </c>
      <c r="B1565" s="109" t="s">
        <v>12706</v>
      </c>
      <c r="C1565" s="109" t="s">
        <v>12706</v>
      </c>
      <c r="D1565" s="109" t="s">
        <v>9836</v>
      </c>
      <c r="E1565" s="109" t="s">
        <v>13376</v>
      </c>
      <c r="F1565" s="109" t="s">
        <v>13377</v>
      </c>
      <c r="G1565" s="110" t="s">
        <v>6248</v>
      </c>
      <c r="H1565" s="110" t="s">
        <v>13378</v>
      </c>
      <c r="I1565" s="110" t="s">
        <v>13379</v>
      </c>
    </row>
    <row r="1566" spans="1:9" ht="63" x14ac:dyDescent="0.3">
      <c r="A1566" s="109" t="s">
        <v>13380</v>
      </c>
      <c r="B1566" s="109" t="s">
        <v>12706</v>
      </c>
      <c r="C1566" s="109" t="s">
        <v>12706</v>
      </c>
      <c r="D1566" s="109" t="s">
        <v>12517</v>
      </c>
      <c r="E1566" s="109" t="s">
        <v>12517</v>
      </c>
      <c r="F1566" s="109" t="s">
        <v>13381</v>
      </c>
      <c r="G1566" s="110" t="s">
        <v>6248</v>
      </c>
      <c r="H1566" s="110" t="s">
        <v>13382</v>
      </c>
      <c r="I1566" s="110" t="s">
        <v>13383</v>
      </c>
    </row>
    <row r="1567" spans="1:9" ht="25.2" x14ac:dyDescent="0.3">
      <c r="A1567" s="109" t="s">
        <v>13384</v>
      </c>
      <c r="B1567" s="109" t="s">
        <v>12706</v>
      </c>
      <c r="C1567" s="109" t="s">
        <v>12706</v>
      </c>
      <c r="D1567" s="109" t="s">
        <v>1319</v>
      </c>
      <c r="E1567" s="109" t="s">
        <v>5558</v>
      </c>
      <c r="F1567" s="109" t="s">
        <v>13385</v>
      </c>
      <c r="G1567" s="110" t="s">
        <v>6248</v>
      </c>
      <c r="H1567" s="110" t="s">
        <v>13386</v>
      </c>
      <c r="I1567" s="110" t="s">
        <v>13387</v>
      </c>
    </row>
    <row r="1568" spans="1:9" ht="75.599999999999994" x14ac:dyDescent="0.3">
      <c r="A1568" s="109" t="s">
        <v>13388</v>
      </c>
      <c r="B1568" s="109" t="s">
        <v>12706</v>
      </c>
      <c r="C1568" s="109" t="s">
        <v>12706</v>
      </c>
      <c r="D1568" s="109" t="s">
        <v>13389</v>
      </c>
      <c r="E1568" s="109" t="s">
        <v>13389</v>
      </c>
      <c r="F1568" s="109" t="s">
        <v>13390</v>
      </c>
      <c r="G1568" s="110" t="s">
        <v>6248</v>
      </c>
      <c r="H1568" s="110" t="s">
        <v>8445</v>
      </c>
      <c r="I1568" s="110" t="s">
        <v>13391</v>
      </c>
    </row>
    <row r="1569" spans="1:9" ht="25.2" x14ac:dyDescent="0.3">
      <c r="A1569" s="109" t="s">
        <v>13392</v>
      </c>
      <c r="B1569" s="109" t="s">
        <v>12706</v>
      </c>
      <c r="C1569" s="109" t="s">
        <v>12706</v>
      </c>
      <c r="D1569" s="109" t="s">
        <v>13393</v>
      </c>
      <c r="E1569" s="109" t="s">
        <v>13394</v>
      </c>
      <c r="F1569" s="109" t="s">
        <v>6267</v>
      </c>
      <c r="G1569" s="110" t="s">
        <v>6248</v>
      </c>
      <c r="H1569" s="110" t="s">
        <v>13395</v>
      </c>
      <c r="I1569" s="110" t="s">
        <v>13396</v>
      </c>
    </row>
    <row r="1570" spans="1:9" ht="25.2" x14ac:dyDescent="0.3">
      <c r="A1570" s="109" t="s">
        <v>13397</v>
      </c>
      <c r="B1570" s="109" t="s">
        <v>12706</v>
      </c>
      <c r="C1570" s="109" t="s">
        <v>12706</v>
      </c>
      <c r="D1570" s="109" t="s">
        <v>13398</v>
      </c>
      <c r="E1570" s="109" t="s">
        <v>5558</v>
      </c>
      <c r="F1570" s="109" t="s">
        <v>13399</v>
      </c>
      <c r="G1570" s="110" t="s">
        <v>6248</v>
      </c>
      <c r="H1570" s="110" t="s">
        <v>13400</v>
      </c>
      <c r="I1570" s="110" t="s">
        <v>13401</v>
      </c>
    </row>
    <row r="1571" spans="1:9" ht="25.2" x14ac:dyDescent="0.3">
      <c r="A1571" s="109" t="s">
        <v>13402</v>
      </c>
      <c r="B1571" s="109" t="s">
        <v>12706</v>
      </c>
      <c r="C1571" s="109" t="s">
        <v>12706</v>
      </c>
      <c r="D1571" s="109" t="s">
        <v>13403</v>
      </c>
      <c r="E1571" s="109" t="s">
        <v>5558</v>
      </c>
      <c r="F1571" s="109" t="s">
        <v>13404</v>
      </c>
      <c r="G1571" s="110" t="s">
        <v>6248</v>
      </c>
      <c r="H1571" s="110" t="s">
        <v>7624</v>
      </c>
      <c r="I1571" s="110" t="s">
        <v>13405</v>
      </c>
    </row>
    <row r="1572" spans="1:9" ht="25.2" x14ac:dyDescent="0.3">
      <c r="A1572" s="109" t="s">
        <v>13406</v>
      </c>
      <c r="B1572" s="109" t="s">
        <v>12706</v>
      </c>
      <c r="C1572" s="109" t="s">
        <v>12706</v>
      </c>
      <c r="D1572" s="109" t="s">
        <v>13407</v>
      </c>
      <c r="E1572" s="109" t="s">
        <v>5558</v>
      </c>
      <c r="F1572" s="109" t="s">
        <v>13408</v>
      </c>
      <c r="G1572" s="110" t="s">
        <v>6248</v>
      </c>
      <c r="H1572" s="110" t="s">
        <v>9574</v>
      </c>
      <c r="I1572" s="110" t="s">
        <v>13409</v>
      </c>
    </row>
    <row r="1573" spans="1:9" ht="25.2" x14ac:dyDescent="0.3">
      <c r="A1573" s="109" t="s">
        <v>13410</v>
      </c>
      <c r="B1573" s="109" t="s">
        <v>12706</v>
      </c>
      <c r="C1573" s="109" t="s">
        <v>12706</v>
      </c>
      <c r="D1573" s="109" t="s">
        <v>13411</v>
      </c>
      <c r="E1573" s="109" t="s">
        <v>5558</v>
      </c>
      <c r="F1573" s="109" t="s">
        <v>13412</v>
      </c>
      <c r="G1573" s="110" t="s">
        <v>6248</v>
      </c>
      <c r="H1573" s="110" t="s">
        <v>8109</v>
      </c>
      <c r="I1573" s="110" t="s">
        <v>13413</v>
      </c>
    </row>
    <row r="1574" spans="1:9" ht="25.2" x14ac:dyDescent="0.3">
      <c r="A1574" s="109" t="s">
        <v>13414</v>
      </c>
      <c r="B1574" s="109" t="s">
        <v>12706</v>
      </c>
      <c r="C1574" s="109" t="s">
        <v>12706</v>
      </c>
      <c r="D1574" s="109" t="s">
        <v>13415</v>
      </c>
      <c r="E1574" s="109" t="s">
        <v>5558</v>
      </c>
      <c r="F1574" s="109" t="s">
        <v>13416</v>
      </c>
      <c r="G1574" s="110" t="s">
        <v>6248</v>
      </c>
      <c r="H1574" s="110" t="s">
        <v>13417</v>
      </c>
      <c r="I1574" s="110" t="s">
        <v>13418</v>
      </c>
    </row>
    <row r="1575" spans="1:9" ht="37.799999999999997" x14ac:dyDescent="0.3">
      <c r="A1575" s="109" t="s">
        <v>13419</v>
      </c>
      <c r="B1575" s="109" t="s">
        <v>12706</v>
      </c>
      <c r="C1575" s="109" t="s">
        <v>12706</v>
      </c>
      <c r="D1575" s="109" t="s">
        <v>13420</v>
      </c>
      <c r="E1575" s="109" t="s">
        <v>5558</v>
      </c>
      <c r="F1575" s="109" t="s">
        <v>13421</v>
      </c>
      <c r="G1575" s="110" t="s">
        <v>6248</v>
      </c>
      <c r="H1575" s="110" t="s">
        <v>13422</v>
      </c>
      <c r="I1575" s="110" t="s">
        <v>13423</v>
      </c>
    </row>
    <row r="1576" spans="1:9" ht="37.799999999999997" x14ac:dyDescent="0.3">
      <c r="A1576" s="109" t="s">
        <v>13424</v>
      </c>
      <c r="B1576" s="109" t="s">
        <v>12706</v>
      </c>
      <c r="C1576" s="109" t="s">
        <v>12706</v>
      </c>
      <c r="D1576" s="109" t="s">
        <v>13425</v>
      </c>
      <c r="E1576" s="109" t="s">
        <v>5558</v>
      </c>
      <c r="F1576" s="109" t="s">
        <v>13426</v>
      </c>
      <c r="G1576" s="110" t="s">
        <v>6248</v>
      </c>
      <c r="H1576" s="110" t="s">
        <v>13427</v>
      </c>
      <c r="I1576" s="110" t="s">
        <v>13428</v>
      </c>
    </row>
    <row r="1577" spans="1:9" ht="25.2" x14ac:dyDescent="0.3">
      <c r="A1577" s="109" t="s">
        <v>13429</v>
      </c>
      <c r="B1577" s="109" t="s">
        <v>12706</v>
      </c>
      <c r="C1577" s="109" t="s">
        <v>12706</v>
      </c>
      <c r="D1577" s="109" t="s">
        <v>13430</v>
      </c>
      <c r="E1577" s="109" t="s">
        <v>5558</v>
      </c>
      <c r="F1577" s="109" t="s">
        <v>13431</v>
      </c>
      <c r="G1577" s="110" t="s">
        <v>6248</v>
      </c>
      <c r="H1577" s="110" t="s">
        <v>6689</v>
      </c>
      <c r="I1577" s="110" t="s">
        <v>13432</v>
      </c>
    </row>
    <row r="1578" spans="1:9" ht="37.799999999999997" x14ac:dyDescent="0.3">
      <c r="A1578" s="109" t="s">
        <v>13433</v>
      </c>
      <c r="B1578" s="109" t="s">
        <v>12706</v>
      </c>
      <c r="C1578" s="109" t="s">
        <v>12706</v>
      </c>
      <c r="D1578" s="109" t="s">
        <v>13434</v>
      </c>
      <c r="E1578" s="109" t="s">
        <v>5558</v>
      </c>
      <c r="F1578" s="109" t="s">
        <v>13435</v>
      </c>
      <c r="G1578" s="110" t="s">
        <v>6248</v>
      </c>
      <c r="H1578" s="110" t="s">
        <v>13436</v>
      </c>
      <c r="I1578" s="110" t="s">
        <v>13437</v>
      </c>
    </row>
    <row r="1579" spans="1:9" ht="25.2" x14ac:dyDescent="0.3">
      <c r="A1579" s="109" t="s">
        <v>13438</v>
      </c>
      <c r="B1579" s="109" t="s">
        <v>12706</v>
      </c>
      <c r="C1579" s="109" t="s">
        <v>12706</v>
      </c>
      <c r="D1579" s="109" t="s">
        <v>13439</v>
      </c>
      <c r="E1579" s="109" t="s">
        <v>5558</v>
      </c>
      <c r="F1579" s="109" t="s">
        <v>13440</v>
      </c>
      <c r="G1579" s="110" t="s">
        <v>6248</v>
      </c>
      <c r="H1579" s="110" t="s">
        <v>13441</v>
      </c>
      <c r="I1579" s="110" t="s">
        <v>13442</v>
      </c>
    </row>
    <row r="1580" spans="1:9" ht="37.799999999999997" x14ac:dyDescent="0.3">
      <c r="A1580" s="109" t="s">
        <v>13443</v>
      </c>
      <c r="B1580" s="109" t="s">
        <v>12706</v>
      </c>
      <c r="C1580" s="109" t="s">
        <v>12706</v>
      </c>
      <c r="D1580" s="109" t="s">
        <v>13444</v>
      </c>
      <c r="E1580" s="109" t="s">
        <v>5558</v>
      </c>
      <c r="F1580" s="109" t="s">
        <v>13445</v>
      </c>
      <c r="G1580" s="110" t="s">
        <v>6248</v>
      </c>
      <c r="H1580" s="110" t="s">
        <v>13446</v>
      </c>
      <c r="I1580" s="110" t="s">
        <v>13447</v>
      </c>
    </row>
    <row r="1581" spans="1:9" ht="25.2" x14ac:dyDescent="0.3">
      <c r="A1581" s="109" t="s">
        <v>13448</v>
      </c>
      <c r="B1581" s="109" t="s">
        <v>12706</v>
      </c>
      <c r="C1581" s="109" t="s">
        <v>12706</v>
      </c>
      <c r="D1581" s="109" t="s">
        <v>13449</v>
      </c>
      <c r="E1581" s="109" t="s">
        <v>13450</v>
      </c>
      <c r="F1581" s="109" t="s">
        <v>6325</v>
      </c>
      <c r="G1581" s="110" t="s">
        <v>6248</v>
      </c>
      <c r="H1581" s="110" t="s">
        <v>13451</v>
      </c>
      <c r="I1581" s="110" t="s">
        <v>13452</v>
      </c>
    </row>
    <row r="1582" spans="1:9" ht="25.2" x14ac:dyDescent="0.3">
      <c r="A1582" s="109" t="s">
        <v>13453</v>
      </c>
      <c r="B1582" s="109" t="s">
        <v>12706</v>
      </c>
      <c r="C1582" s="109" t="s">
        <v>12706</v>
      </c>
      <c r="D1582" s="109" t="s">
        <v>13454</v>
      </c>
      <c r="E1582" s="109" t="s">
        <v>13455</v>
      </c>
      <c r="F1582" s="109" t="s">
        <v>6325</v>
      </c>
      <c r="G1582" s="110" t="s">
        <v>6248</v>
      </c>
      <c r="H1582" s="110" t="s">
        <v>13456</v>
      </c>
      <c r="I1582" s="110" t="s">
        <v>13457</v>
      </c>
    </row>
    <row r="1583" spans="1:9" ht="25.2" x14ac:dyDescent="0.3">
      <c r="A1583" s="109" t="s">
        <v>13458</v>
      </c>
      <c r="B1583" s="109" t="s">
        <v>12706</v>
      </c>
      <c r="C1583" s="109" t="s">
        <v>12706</v>
      </c>
      <c r="D1583" s="109" t="s">
        <v>13459</v>
      </c>
      <c r="E1583" s="109" t="s">
        <v>13460</v>
      </c>
      <c r="F1583" s="109" t="s">
        <v>6325</v>
      </c>
      <c r="G1583" s="110" t="s">
        <v>6248</v>
      </c>
      <c r="H1583" s="110" t="s">
        <v>13461</v>
      </c>
      <c r="I1583" s="110" t="s">
        <v>13462</v>
      </c>
    </row>
    <row r="1584" spans="1:9" ht="25.2" x14ac:dyDescent="0.3">
      <c r="A1584" s="109" t="s">
        <v>13463</v>
      </c>
      <c r="B1584" s="109" t="s">
        <v>12706</v>
      </c>
      <c r="C1584" s="109" t="s">
        <v>12706</v>
      </c>
      <c r="D1584" s="109" t="s">
        <v>13464</v>
      </c>
      <c r="E1584" s="109" t="s">
        <v>13465</v>
      </c>
      <c r="F1584" s="109" t="s">
        <v>6325</v>
      </c>
      <c r="G1584" s="110" t="s">
        <v>6248</v>
      </c>
      <c r="H1584" s="110" t="s">
        <v>13466</v>
      </c>
      <c r="I1584" s="110" t="s">
        <v>13467</v>
      </c>
    </row>
    <row r="1585" spans="1:9" ht="25.2" x14ac:dyDescent="0.3">
      <c r="A1585" s="109" t="s">
        <v>13468</v>
      </c>
      <c r="B1585" s="109" t="s">
        <v>12706</v>
      </c>
      <c r="C1585" s="109" t="s">
        <v>12706</v>
      </c>
      <c r="D1585" s="109" t="s">
        <v>13469</v>
      </c>
      <c r="E1585" s="109" t="s">
        <v>13470</v>
      </c>
      <c r="F1585" s="109" t="s">
        <v>6325</v>
      </c>
      <c r="G1585" s="110" t="s">
        <v>6248</v>
      </c>
      <c r="H1585" s="110" t="s">
        <v>13471</v>
      </c>
      <c r="I1585" s="110" t="s">
        <v>13472</v>
      </c>
    </row>
    <row r="1586" spans="1:9" ht="25.2" x14ac:dyDescent="0.3">
      <c r="A1586" s="109" t="s">
        <v>13473</v>
      </c>
      <c r="B1586" s="109" t="s">
        <v>12706</v>
      </c>
      <c r="C1586" s="109" t="s">
        <v>12706</v>
      </c>
      <c r="D1586" s="109" t="s">
        <v>13474</v>
      </c>
      <c r="E1586" s="109" t="s">
        <v>13475</v>
      </c>
      <c r="F1586" s="109" t="s">
        <v>6325</v>
      </c>
      <c r="G1586" s="110" t="s">
        <v>6248</v>
      </c>
      <c r="H1586" s="110" t="s">
        <v>9727</v>
      </c>
      <c r="I1586" s="110" t="s">
        <v>13476</v>
      </c>
    </row>
    <row r="1587" spans="1:9" ht="25.2" x14ac:dyDescent="0.3">
      <c r="A1587" s="109" t="s">
        <v>13477</v>
      </c>
      <c r="B1587" s="109" t="s">
        <v>12706</v>
      </c>
      <c r="C1587" s="109" t="s">
        <v>12706</v>
      </c>
      <c r="D1587" s="109" t="s">
        <v>13478</v>
      </c>
      <c r="E1587" s="109" t="s">
        <v>13479</v>
      </c>
      <c r="F1587" s="109" t="s">
        <v>6325</v>
      </c>
      <c r="G1587" s="110" t="s">
        <v>6248</v>
      </c>
      <c r="H1587" s="110" t="s">
        <v>13461</v>
      </c>
      <c r="I1587" s="110" t="s">
        <v>13480</v>
      </c>
    </row>
    <row r="1588" spans="1:9" ht="25.2" x14ac:dyDescent="0.3">
      <c r="A1588" s="109" t="s">
        <v>13481</v>
      </c>
      <c r="B1588" s="109" t="s">
        <v>12706</v>
      </c>
      <c r="C1588" s="109" t="s">
        <v>12706</v>
      </c>
      <c r="D1588" s="109" t="s">
        <v>13482</v>
      </c>
      <c r="E1588" s="109" t="s">
        <v>5558</v>
      </c>
      <c r="F1588" s="109" t="s">
        <v>13483</v>
      </c>
      <c r="G1588" s="110" t="s">
        <v>6248</v>
      </c>
      <c r="H1588" s="110" t="s">
        <v>13484</v>
      </c>
      <c r="I1588" s="110" t="s">
        <v>13485</v>
      </c>
    </row>
    <row r="1589" spans="1:9" ht="37.799999999999997" x14ac:dyDescent="0.3">
      <c r="A1589" s="109" t="s">
        <v>13486</v>
      </c>
      <c r="B1589" s="109" t="s">
        <v>12706</v>
      </c>
      <c r="C1589" s="109" t="s">
        <v>12706</v>
      </c>
      <c r="D1589" s="109" t="s">
        <v>13487</v>
      </c>
      <c r="E1589" s="109" t="s">
        <v>13487</v>
      </c>
      <c r="F1589" s="109" t="s">
        <v>13488</v>
      </c>
      <c r="G1589" s="110" t="s">
        <v>6248</v>
      </c>
      <c r="H1589" s="110" t="s">
        <v>13489</v>
      </c>
      <c r="I1589" s="110" t="s">
        <v>13490</v>
      </c>
    </row>
    <row r="1590" spans="1:9" ht="37.799999999999997" x14ac:dyDescent="0.3">
      <c r="A1590" s="109" t="s">
        <v>13491</v>
      </c>
      <c r="B1590" s="109" t="s">
        <v>12706</v>
      </c>
      <c r="C1590" s="109" t="s">
        <v>12706</v>
      </c>
      <c r="D1590" s="109" t="s">
        <v>13492</v>
      </c>
      <c r="E1590" s="109" t="s">
        <v>7570</v>
      </c>
      <c r="F1590" s="109" t="s">
        <v>13493</v>
      </c>
      <c r="G1590" s="110" t="s">
        <v>6248</v>
      </c>
      <c r="H1590" s="110" t="s">
        <v>13494</v>
      </c>
      <c r="I1590" s="110" t="s">
        <v>13495</v>
      </c>
    </row>
    <row r="1591" spans="1:9" ht="50.4" x14ac:dyDescent="0.3">
      <c r="A1591" s="109" t="s">
        <v>13496</v>
      </c>
      <c r="B1591" s="109" t="s">
        <v>12706</v>
      </c>
      <c r="C1591" s="109" t="s">
        <v>12706</v>
      </c>
      <c r="D1591" s="109" t="s">
        <v>13497</v>
      </c>
      <c r="E1591" s="109" t="s">
        <v>13497</v>
      </c>
      <c r="F1591" s="109" t="s">
        <v>13498</v>
      </c>
      <c r="G1591" s="110" t="s">
        <v>6248</v>
      </c>
      <c r="H1591" s="110" t="s">
        <v>13499</v>
      </c>
      <c r="I1591" s="110" t="s">
        <v>13500</v>
      </c>
    </row>
    <row r="1592" spans="1:9" ht="50.4" x14ac:dyDescent="0.3">
      <c r="A1592" s="109" t="s">
        <v>13501</v>
      </c>
      <c r="B1592" s="109" t="s">
        <v>12706</v>
      </c>
      <c r="C1592" s="109" t="s">
        <v>12706</v>
      </c>
      <c r="D1592" s="109" t="s">
        <v>13502</v>
      </c>
      <c r="E1592" s="109" t="s">
        <v>13502</v>
      </c>
      <c r="F1592" s="109" t="s">
        <v>13503</v>
      </c>
      <c r="G1592" s="110" t="s">
        <v>6248</v>
      </c>
      <c r="H1592" s="110" t="s">
        <v>13504</v>
      </c>
      <c r="I1592" s="110" t="s">
        <v>13505</v>
      </c>
    </row>
    <row r="1593" spans="1:9" ht="25.2" x14ac:dyDescent="0.3">
      <c r="A1593" s="109" t="s">
        <v>13506</v>
      </c>
      <c r="B1593" s="109" t="s">
        <v>12706</v>
      </c>
      <c r="C1593" s="109" t="s">
        <v>12706</v>
      </c>
      <c r="D1593" s="109" t="s">
        <v>5569</v>
      </c>
      <c r="E1593" s="109" t="s">
        <v>5558</v>
      </c>
      <c r="F1593" s="109" t="s">
        <v>2258</v>
      </c>
      <c r="G1593" s="110" t="s">
        <v>6248</v>
      </c>
      <c r="H1593" s="110" t="s">
        <v>13507</v>
      </c>
      <c r="I1593" s="110" t="s">
        <v>13508</v>
      </c>
    </row>
    <row r="1594" spans="1:9" ht="50.4" x14ac:dyDescent="0.3">
      <c r="A1594" s="109" t="s">
        <v>13509</v>
      </c>
      <c r="B1594" s="109" t="s">
        <v>12706</v>
      </c>
      <c r="C1594" s="109" t="s">
        <v>12706</v>
      </c>
      <c r="D1594" s="109" t="s">
        <v>13510</v>
      </c>
      <c r="E1594" s="109" t="s">
        <v>13510</v>
      </c>
      <c r="F1594" s="109" t="s">
        <v>13511</v>
      </c>
      <c r="G1594" s="110" t="s">
        <v>6248</v>
      </c>
      <c r="H1594" s="110" t="s">
        <v>13512</v>
      </c>
      <c r="I1594" s="110" t="s">
        <v>13513</v>
      </c>
    </row>
    <row r="1595" spans="1:9" ht="25.2" x14ac:dyDescent="0.3">
      <c r="A1595" s="109" t="s">
        <v>13514</v>
      </c>
      <c r="B1595" s="109" t="s">
        <v>12706</v>
      </c>
      <c r="C1595" s="109" t="s">
        <v>12706</v>
      </c>
      <c r="D1595" s="109" t="s">
        <v>11189</v>
      </c>
      <c r="E1595" s="109" t="s">
        <v>5558</v>
      </c>
      <c r="F1595" s="109" t="s">
        <v>13515</v>
      </c>
      <c r="G1595" s="110" t="s">
        <v>6248</v>
      </c>
      <c r="H1595" s="110" t="s">
        <v>13516</v>
      </c>
      <c r="I1595" s="110" t="s">
        <v>13517</v>
      </c>
    </row>
    <row r="1596" spans="1:9" ht="50.4" x14ac:dyDescent="0.3">
      <c r="A1596" s="109" t="s">
        <v>13518</v>
      </c>
      <c r="B1596" s="109" t="s">
        <v>12706</v>
      </c>
      <c r="C1596" s="109" t="s">
        <v>12706</v>
      </c>
      <c r="D1596" s="109" t="s">
        <v>13519</v>
      </c>
      <c r="E1596" s="109" t="s">
        <v>13519</v>
      </c>
      <c r="F1596" s="109" t="s">
        <v>13520</v>
      </c>
      <c r="G1596" s="110" t="s">
        <v>6248</v>
      </c>
      <c r="H1596" s="110" t="s">
        <v>13521</v>
      </c>
      <c r="I1596" s="110" t="s">
        <v>13522</v>
      </c>
    </row>
    <row r="1597" spans="1:9" ht="37.799999999999997" x14ac:dyDescent="0.3">
      <c r="A1597" s="109" t="s">
        <v>13523</v>
      </c>
      <c r="B1597" s="109" t="s">
        <v>12706</v>
      </c>
      <c r="C1597" s="109" t="s">
        <v>12706</v>
      </c>
      <c r="D1597" s="109" t="s">
        <v>13524</v>
      </c>
      <c r="E1597" s="109" t="s">
        <v>13525</v>
      </c>
      <c r="F1597" s="109" t="s">
        <v>13526</v>
      </c>
      <c r="G1597" s="110" t="s">
        <v>6248</v>
      </c>
      <c r="H1597" s="110" t="s">
        <v>13527</v>
      </c>
      <c r="I1597" s="110" t="s">
        <v>13528</v>
      </c>
    </row>
    <row r="1598" spans="1:9" ht="25.2" x14ac:dyDescent="0.3">
      <c r="A1598" s="109" t="s">
        <v>13529</v>
      </c>
      <c r="B1598" s="109" t="s">
        <v>12706</v>
      </c>
      <c r="C1598" s="109" t="s">
        <v>12706</v>
      </c>
      <c r="D1598" s="109" t="s">
        <v>13530</v>
      </c>
      <c r="E1598" s="109" t="s">
        <v>5558</v>
      </c>
      <c r="F1598" s="109" t="s">
        <v>13531</v>
      </c>
      <c r="G1598" s="110" t="s">
        <v>6248</v>
      </c>
      <c r="H1598" s="110" t="s">
        <v>13532</v>
      </c>
      <c r="I1598" s="110" t="s">
        <v>13533</v>
      </c>
    </row>
    <row r="1599" spans="1:9" ht="50.4" x14ac:dyDescent="0.3">
      <c r="A1599" s="109" t="s">
        <v>13534</v>
      </c>
      <c r="B1599" s="109" t="s">
        <v>12706</v>
      </c>
      <c r="C1599" s="109" t="s">
        <v>12706</v>
      </c>
      <c r="D1599" s="109" t="s">
        <v>13535</v>
      </c>
      <c r="E1599" s="109" t="s">
        <v>13535</v>
      </c>
      <c r="F1599" s="109" t="s">
        <v>13536</v>
      </c>
      <c r="G1599" s="110" t="s">
        <v>6248</v>
      </c>
      <c r="H1599" s="110" t="s">
        <v>13537</v>
      </c>
      <c r="I1599" s="110" t="s">
        <v>13538</v>
      </c>
    </row>
    <row r="1600" spans="1:9" ht="50.4" x14ac:dyDescent="0.3">
      <c r="A1600" s="109" t="s">
        <v>13539</v>
      </c>
      <c r="B1600" s="109" t="s">
        <v>12706</v>
      </c>
      <c r="C1600" s="109" t="s">
        <v>12706</v>
      </c>
      <c r="D1600" s="109" t="s">
        <v>13540</v>
      </c>
      <c r="E1600" s="109" t="s">
        <v>13540</v>
      </c>
      <c r="F1600" s="109" t="s">
        <v>13541</v>
      </c>
      <c r="G1600" s="110" t="s">
        <v>6248</v>
      </c>
      <c r="H1600" s="110" t="s">
        <v>13542</v>
      </c>
      <c r="I1600" s="110" t="s">
        <v>13543</v>
      </c>
    </row>
    <row r="1601" spans="1:9" ht="25.2" x14ac:dyDescent="0.3">
      <c r="A1601" s="109" t="s">
        <v>13544</v>
      </c>
      <c r="B1601" s="109" t="s">
        <v>12706</v>
      </c>
      <c r="C1601" s="109" t="s">
        <v>12706</v>
      </c>
      <c r="D1601" s="109" t="s">
        <v>5569</v>
      </c>
      <c r="E1601" s="109" t="s">
        <v>5558</v>
      </c>
      <c r="F1601" s="109" t="s">
        <v>2258</v>
      </c>
      <c r="G1601" s="110" t="s">
        <v>6248</v>
      </c>
      <c r="H1601" s="110" t="s">
        <v>13545</v>
      </c>
      <c r="I1601" s="110" t="s">
        <v>13546</v>
      </c>
    </row>
    <row r="1602" spans="1:9" ht="50.4" x14ac:dyDescent="0.3">
      <c r="A1602" s="109" t="s">
        <v>13547</v>
      </c>
      <c r="B1602" s="109" t="s">
        <v>12706</v>
      </c>
      <c r="C1602" s="109" t="s">
        <v>12706</v>
      </c>
      <c r="D1602" s="109" t="s">
        <v>13107</v>
      </c>
      <c r="E1602" s="109" t="s">
        <v>13107</v>
      </c>
      <c r="F1602" s="109" t="s">
        <v>13548</v>
      </c>
      <c r="G1602" s="110" t="s">
        <v>6248</v>
      </c>
      <c r="H1602" s="110" t="s">
        <v>13549</v>
      </c>
      <c r="I1602" s="110" t="s">
        <v>13550</v>
      </c>
    </row>
    <row r="1603" spans="1:9" ht="50.4" x14ac:dyDescent="0.3">
      <c r="A1603" s="109" t="s">
        <v>13551</v>
      </c>
      <c r="B1603" s="109" t="s">
        <v>12706</v>
      </c>
      <c r="C1603" s="109" t="s">
        <v>12706</v>
      </c>
      <c r="D1603" s="109" t="s">
        <v>9921</v>
      </c>
      <c r="E1603" s="109" t="s">
        <v>9921</v>
      </c>
      <c r="F1603" s="109" t="s">
        <v>13552</v>
      </c>
      <c r="G1603" s="110" t="s">
        <v>6248</v>
      </c>
      <c r="H1603" s="110" t="s">
        <v>13553</v>
      </c>
      <c r="I1603" s="110" t="s">
        <v>13554</v>
      </c>
    </row>
    <row r="1604" spans="1:9" ht="50.4" x14ac:dyDescent="0.3">
      <c r="A1604" s="109" t="s">
        <v>13555</v>
      </c>
      <c r="B1604" s="109" t="s">
        <v>12706</v>
      </c>
      <c r="C1604" s="109" t="s">
        <v>12706</v>
      </c>
      <c r="D1604" s="109" t="s">
        <v>13556</v>
      </c>
      <c r="E1604" s="109" t="s">
        <v>13556</v>
      </c>
      <c r="F1604" s="109" t="s">
        <v>13557</v>
      </c>
      <c r="G1604" s="110" t="s">
        <v>6248</v>
      </c>
      <c r="H1604" s="110" t="s">
        <v>13558</v>
      </c>
      <c r="I1604" s="110" t="s">
        <v>13559</v>
      </c>
    </row>
    <row r="1605" spans="1:9" ht="50.4" x14ac:dyDescent="0.3">
      <c r="A1605" s="109" t="s">
        <v>13560</v>
      </c>
      <c r="B1605" s="109" t="s">
        <v>12706</v>
      </c>
      <c r="C1605" s="109" t="s">
        <v>12706</v>
      </c>
      <c r="D1605" s="109" t="s">
        <v>13561</v>
      </c>
      <c r="E1605" s="109" t="s">
        <v>13561</v>
      </c>
      <c r="F1605" s="109" t="s">
        <v>13562</v>
      </c>
      <c r="G1605" s="110" t="s">
        <v>6248</v>
      </c>
      <c r="H1605" s="110" t="s">
        <v>11384</v>
      </c>
      <c r="I1605" s="110" t="s">
        <v>13563</v>
      </c>
    </row>
    <row r="1606" spans="1:9" ht="50.4" x14ac:dyDescent="0.3">
      <c r="A1606" s="109" t="s">
        <v>13564</v>
      </c>
      <c r="B1606" s="109" t="s">
        <v>12706</v>
      </c>
      <c r="C1606" s="109" t="s">
        <v>12706</v>
      </c>
      <c r="D1606" s="109" t="s">
        <v>13565</v>
      </c>
      <c r="E1606" s="109" t="s">
        <v>13565</v>
      </c>
      <c r="F1606" s="109" t="s">
        <v>13566</v>
      </c>
      <c r="G1606" s="110" t="s">
        <v>6248</v>
      </c>
      <c r="H1606" s="110" t="s">
        <v>13567</v>
      </c>
      <c r="I1606" s="110" t="s">
        <v>13568</v>
      </c>
    </row>
    <row r="1607" spans="1:9" ht="25.2" x14ac:dyDescent="0.3">
      <c r="A1607" s="109" t="s">
        <v>13569</v>
      </c>
      <c r="B1607" s="109" t="s">
        <v>12706</v>
      </c>
      <c r="C1607" s="109" t="s">
        <v>12706</v>
      </c>
      <c r="D1607" s="109" t="s">
        <v>13570</v>
      </c>
      <c r="E1607" s="109" t="s">
        <v>5558</v>
      </c>
      <c r="F1607" s="109" t="s">
        <v>13571</v>
      </c>
      <c r="G1607" s="110" t="s">
        <v>6248</v>
      </c>
      <c r="H1607" s="110" t="s">
        <v>13572</v>
      </c>
      <c r="I1607" s="110" t="s">
        <v>13573</v>
      </c>
    </row>
    <row r="1608" spans="1:9" ht="50.4" x14ac:dyDescent="0.3">
      <c r="A1608" s="109" t="s">
        <v>13574</v>
      </c>
      <c r="B1608" s="109" t="s">
        <v>12706</v>
      </c>
      <c r="C1608" s="109" t="s">
        <v>12706</v>
      </c>
      <c r="D1608" s="109" t="s">
        <v>13575</v>
      </c>
      <c r="E1608" s="109" t="s">
        <v>13575</v>
      </c>
      <c r="F1608" s="109" t="s">
        <v>13576</v>
      </c>
      <c r="G1608" s="110" t="s">
        <v>6248</v>
      </c>
      <c r="H1608" s="110" t="s">
        <v>7592</v>
      </c>
      <c r="I1608" s="110" t="s">
        <v>13577</v>
      </c>
    </row>
    <row r="1609" spans="1:9" ht="50.4" x14ac:dyDescent="0.3">
      <c r="A1609" s="109" t="s">
        <v>13578</v>
      </c>
      <c r="B1609" s="109" t="s">
        <v>12706</v>
      </c>
      <c r="C1609" s="109" t="s">
        <v>12706</v>
      </c>
      <c r="D1609" s="109" t="s">
        <v>13579</v>
      </c>
      <c r="E1609" s="109" t="s">
        <v>13579</v>
      </c>
      <c r="F1609" s="109" t="s">
        <v>13580</v>
      </c>
      <c r="G1609" s="110" t="s">
        <v>6248</v>
      </c>
      <c r="H1609" s="110" t="s">
        <v>13581</v>
      </c>
      <c r="I1609" s="110" t="s">
        <v>13582</v>
      </c>
    </row>
    <row r="1610" spans="1:9" ht="25.2" x14ac:dyDescent="0.3">
      <c r="A1610" s="109" t="s">
        <v>13583</v>
      </c>
      <c r="B1610" s="109" t="s">
        <v>12706</v>
      </c>
      <c r="C1610" s="109" t="s">
        <v>12706</v>
      </c>
      <c r="D1610" s="109" t="s">
        <v>12448</v>
      </c>
      <c r="E1610" s="109" t="s">
        <v>5558</v>
      </c>
      <c r="F1610" s="109" t="s">
        <v>13584</v>
      </c>
      <c r="G1610" s="110" t="s">
        <v>6248</v>
      </c>
      <c r="H1610" s="110" t="s">
        <v>13585</v>
      </c>
      <c r="I1610" s="110" t="s">
        <v>13586</v>
      </c>
    </row>
    <row r="1611" spans="1:9" ht="25.2" x14ac:dyDescent="0.3">
      <c r="A1611" s="109" t="s">
        <v>13587</v>
      </c>
      <c r="B1611" s="109" t="s">
        <v>12706</v>
      </c>
      <c r="C1611" s="109" t="s">
        <v>12706</v>
      </c>
      <c r="D1611" s="109" t="s">
        <v>8487</v>
      </c>
      <c r="E1611" s="109" t="s">
        <v>6132</v>
      </c>
      <c r="F1611" s="109" t="s">
        <v>13588</v>
      </c>
      <c r="G1611" s="110" t="s">
        <v>6248</v>
      </c>
      <c r="H1611" s="110" t="s">
        <v>13589</v>
      </c>
      <c r="I1611" s="110" t="s">
        <v>13590</v>
      </c>
    </row>
    <row r="1612" spans="1:9" ht="50.4" x14ac:dyDescent="0.3">
      <c r="A1612" s="109" t="s">
        <v>13591</v>
      </c>
      <c r="B1612" s="109" t="s">
        <v>12706</v>
      </c>
      <c r="C1612" s="109" t="s">
        <v>12706</v>
      </c>
      <c r="D1612" s="109" t="s">
        <v>13592</v>
      </c>
      <c r="E1612" s="109" t="s">
        <v>13592</v>
      </c>
      <c r="F1612" s="109" t="s">
        <v>13593</v>
      </c>
      <c r="G1612" s="110" t="s">
        <v>6248</v>
      </c>
      <c r="H1612" s="110" t="s">
        <v>13594</v>
      </c>
      <c r="I1612" s="110" t="s">
        <v>13595</v>
      </c>
    </row>
    <row r="1613" spans="1:9" ht="37.799999999999997" x14ac:dyDescent="0.3">
      <c r="A1613" s="109" t="s">
        <v>13596</v>
      </c>
      <c r="B1613" s="109" t="s">
        <v>12706</v>
      </c>
      <c r="C1613" s="109" t="s">
        <v>12706</v>
      </c>
      <c r="D1613" s="109" t="s">
        <v>8345</v>
      </c>
      <c r="E1613" s="109" t="s">
        <v>13597</v>
      </c>
      <c r="F1613" s="109" t="s">
        <v>13598</v>
      </c>
      <c r="G1613" s="110" t="s">
        <v>6248</v>
      </c>
      <c r="H1613" s="110" t="s">
        <v>13599</v>
      </c>
      <c r="I1613" s="110" t="s">
        <v>13600</v>
      </c>
    </row>
    <row r="1614" spans="1:9" ht="37.799999999999997" x14ac:dyDescent="0.3">
      <c r="A1614" s="109" t="s">
        <v>13601</v>
      </c>
      <c r="B1614" s="109" t="s">
        <v>12706</v>
      </c>
      <c r="C1614" s="109" t="s">
        <v>12706</v>
      </c>
      <c r="D1614" s="109" t="s">
        <v>13602</v>
      </c>
      <c r="E1614" s="109" t="s">
        <v>13597</v>
      </c>
      <c r="F1614" s="109" t="s">
        <v>13603</v>
      </c>
      <c r="G1614" s="110" t="s">
        <v>6248</v>
      </c>
      <c r="H1614" s="110" t="s">
        <v>13604</v>
      </c>
      <c r="I1614" s="110" t="s">
        <v>13605</v>
      </c>
    </row>
    <row r="1615" spans="1:9" ht="37.799999999999997" x14ac:dyDescent="0.3">
      <c r="A1615" s="109" t="s">
        <v>13606</v>
      </c>
      <c r="B1615" s="109" t="s">
        <v>12706</v>
      </c>
      <c r="C1615" s="109" t="s">
        <v>12706</v>
      </c>
      <c r="D1615" s="109" t="s">
        <v>13607</v>
      </c>
      <c r="E1615" s="109" t="s">
        <v>13607</v>
      </c>
      <c r="F1615" s="109" t="s">
        <v>13608</v>
      </c>
      <c r="G1615" s="110" t="s">
        <v>6248</v>
      </c>
      <c r="H1615" s="110" t="s">
        <v>13609</v>
      </c>
      <c r="I1615" s="110" t="s">
        <v>13610</v>
      </c>
    </row>
    <row r="1616" spans="1:9" ht="50.4" x14ac:dyDescent="0.3">
      <c r="A1616" s="109" t="s">
        <v>13611</v>
      </c>
      <c r="B1616" s="109" t="s">
        <v>12706</v>
      </c>
      <c r="C1616" s="109" t="s">
        <v>12706</v>
      </c>
      <c r="D1616" s="109" t="s">
        <v>13612</v>
      </c>
      <c r="E1616" s="109" t="s">
        <v>13612</v>
      </c>
      <c r="F1616" s="109" t="s">
        <v>13613</v>
      </c>
      <c r="G1616" s="110" t="s">
        <v>6248</v>
      </c>
      <c r="H1616" s="110" t="s">
        <v>13614</v>
      </c>
      <c r="I1616" s="110" t="s">
        <v>13615</v>
      </c>
    </row>
    <row r="1617" spans="1:9" ht="50.4" x14ac:dyDescent="0.3">
      <c r="A1617" s="109" t="s">
        <v>13616</v>
      </c>
      <c r="B1617" s="109" t="s">
        <v>12706</v>
      </c>
      <c r="C1617" s="109" t="s">
        <v>12706</v>
      </c>
      <c r="D1617" s="109" t="s">
        <v>13617</v>
      </c>
      <c r="E1617" s="109" t="s">
        <v>13617</v>
      </c>
      <c r="F1617" s="109" t="s">
        <v>13618</v>
      </c>
      <c r="G1617" s="110" t="s">
        <v>6248</v>
      </c>
      <c r="H1617" s="110" t="s">
        <v>13619</v>
      </c>
      <c r="I1617" s="110" t="s">
        <v>13620</v>
      </c>
    </row>
    <row r="1618" spans="1:9" ht="50.4" x14ac:dyDescent="0.3">
      <c r="A1618" s="109" t="s">
        <v>13621</v>
      </c>
      <c r="B1618" s="109" t="s">
        <v>12706</v>
      </c>
      <c r="C1618" s="109" t="s">
        <v>12706</v>
      </c>
      <c r="D1618" s="109" t="s">
        <v>13622</v>
      </c>
      <c r="E1618" s="109" t="s">
        <v>13622</v>
      </c>
      <c r="F1618" s="109" t="s">
        <v>13623</v>
      </c>
      <c r="G1618" s="110" t="s">
        <v>6248</v>
      </c>
      <c r="H1618" s="110" t="s">
        <v>13624</v>
      </c>
      <c r="I1618" s="110" t="s">
        <v>13625</v>
      </c>
    </row>
    <row r="1619" spans="1:9" ht="50.4" x14ac:dyDescent="0.3">
      <c r="A1619" s="109" t="s">
        <v>13626</v>
      </c>
      <c r="B1619" s="109" t="s">
        <v>12706</v>
      </c>
      <c r="C1619" s="109" t="s">
        <v>12706</v>
      </c>
      <c r="D1619" s="109" t="s">
        <v>13627</v>
      </c>
      <c r="E1619" s="109" t="s">
        <v>13627</v>
      </c>
      <c r="F1619" s="109" t="s">
        <v>13628</v>
      </c>
      <c r="G1619" s="110" t="s">
        <v>6248</v>
      </c>
      <c r="H1619" s="110" t="s">
        <v>13629</v>
      </c>
      <c r="I1619" s="110" t="s">
        <v>13630</v>
      </c>
    </row>
    <row r="1620" spans="1:9" ht="25.2" x14ac:dyDescent="0.3">
      <c r="A1620" s="109" t="s">
        <v>13631</v>
      </c>
      <c r="B1620" s="109" t="s">
        <v>12706</v>
      </c>
      <c r="C1620" s="109" t="s">
        <v>12706</v>
      </c>
      <c r="D1620" s="109" t="s">
        <v>5569</v>
      </c>
      <c r="E1620" s="109" t="s">
        <v>5558</v>
      </c>
      <c r="F1620" s="109" t="s">
        <v>2258</v>
      </c>
      <c r="G1620" s="110" t="s">
        <v>6248</v>
      </c>
      <c r="H1620" s="110" t="s">
        <v>13632</v>
      </c>
      <c r="I1620" s="110" t="s">
        <v>13633</v>
      </c>
    </row>
    <row r="1621" spans="1:9" ht="50.4" x14ac:dyDescent="0.3">
      <c r="A1621" s="109" t="s">
        <v>13634</v>
      </c>
      <c r="B1621" s="109" t="s">
        <v>12706</v>
      </c>
      <c r="C1621" s="109" t="s">
        <v>12706</v>
      </c>
      <c r="D1621" s="109" t="s">
        <v>13635</v>
      </c>
      <c r="E1621" s="109" t="s">
        <v>13635</v>
      </c>
      <c r="F1621" s="109" t="s">
        <v>13636</v>
      </c>
      <c r="G1621" s="110" t="s">
        <v>6248</v>
      </c>
      <c r="H1621" s="110" t="s">
        <v>13637</v>
      </c>
      <c r="I1621" s="110" t="s">
        <v>13638</v>
      </c>
    </row>
    <row r="1622" spans="1:9" ht="50.4" x14ac:dyDescent="0.3">
      <c r="A1622" s="109" t="s">
        <v>13639</v>
      </c>
      <c r="B1622" s="109" t="s">
        <v>12706</v>
      </c>
      <c r="C1622" s="109" t="s">
        <v>12706</v>
      </c>
      <c r="D1622" s="109" t="s">
        <v>13640</v>
      </c>
      <c r="E1622" s="109" t="s">
        <v>13640</v>
      </c>
      <c r="F1622" s="109" t="s">
        <v>13641</v>
      </c>
      <c r="G1622" s="110" t="s">
        <v>6248</v>
      </c>
      <c r="H1622" s="110" t="s">
        <v>13642</v>
      </c>
      <c r="I1622" s="110" t="s">
        <v>13643</v>
      </c>
    </row>
    <row r="1623" spans="1:9" ht="37.799999999999997" x14ac:dyDescent="0.3">
      <c r="A1623" s="109" t="s">
        <v>13644</v>
      </c>
      <c r="B1623" s="109" t="s">
        <v>12706</v>
      </c>
      <c r="C1623" s="109" t="s">
        <v>12706</v>
      </c>
      <c r="D1623" s="109" t="s">
        <v>7333</v>
      </c>
      <c r="E1623" s="109" t="s">
        <v>13645</v>
      </c>
      <c r="F1623" s="109" t="s">
        <v>13646</v>
      </c>
      <c r="G1623" s="110" t="s">
        <v>6248</v>
      </c>
      <c r="H1623" s="110" t="s">
        <v>11270</v>
      </c>
      <c r="I1623" s="110" t="s">
        <v>13647</v>
      </c>
    </row>
    <row r="1624" spans="1:9" ht="37.799999999999997" x14ac:dyDescent="0.3">
      <c r="A1624" s="109" t="s">
        <v>13648</v>
      </c>
      <c r="B1624" s="109" t="s">
        <v>12706</v>
      </c>
      <c r="C1624" s="109" t="s">
        <v>12706</v>
      </c>
      <c r="D1624" s="109" t="s">
        <v>13649</v>
      </c>
      <c r="E1624" s="109" t="s">
        <v>13649</v>
      </c>
      <c r="F1624" s="109" t="s">
        <v>13650</v>
      </c>
      <c r="G1624" s="110" t="s">
        <v>6248</v>
      </c>
      <c r="H1624" s="110" t="s">
        <v>13651</v>
      </c>
      <c r="I1624" s="110" t="s">
        <v>13652</v>
      </c>
    </row>
    <row r="1625" spans="1:9" ht="50.4" x14ac:dyDescent="0.3">
      <c r="A1625" s="109" t="s">
        <v>13653</v>
      </c>
      <c r="B1625" s="109" t="s">
        <v>12706</v>
      </c>
      <c r="C1625" s="109" t="s">
        <v>12706</v>
      </c>
      <c r="D1625" s="109" t="s">
        <v>13654</v>
      </c>
      <c r="E1625" s="109" t="s">
        <v>13654</v>
      </c>
      <c r="F1625" s="109" t="s">
        <v>13655</v>
      </c>
      <c r="G1625" s="110" t="s">
        <v>6248</v>
      </c>
      <c r="H1625" s="110" t="s">
        <v>13656</v>
      </c>
      <c r="I1625" s="110" t="s">
        <v>13657</v>
      </c>
    </row>
    <row r="1626" spans="1:9" ht="50.4" x14ac:dyDescent="0.3">
      <c r="A1626" s="109" t="s">
        <v>13658</v>
      </c>
      <c r="B1626" s="109" t="s">
        <v>12706</v>
      </c>
      <c r="C1626" s="109" t="s">
        <v>12706</v>
      </c>
      <c r="D1626" s="109" t="s">
        <v>13659</v>
      </c>
      <c r="E1626" s="109" t="s">
        <v>13659</v>
      </c>
      <c r="F1626" s="109" t="s">
        <v>13660</v>
      </c>
      <c r="G1626" s="110" t="s">
        <v>6248</v>
      </c>
      <c r="H1626" s="110" t="s">
        <v>13661</v>
      </c>
      <c r="I1626" s="110" t="s">
        <v>13662</v>
      </c>
    </row>
    <row r="1627" spans="1:9" ht="50.4" x14ac:dyDescent="0.3">
      <c r="A1627" s="109" t="s">
        <v>13663</v>
      </c>
      <c r="B1627" s="109" t="s">
        <v>12706</v>
      </c>
      <c r="C1627" s="109" t="s">
        <v>12706</v>
      </c>
      <c r="D1627" s="109" t="s">
        <v>13664</v>
      </c>
      <c r="E1627" s="109" t="s">
        <v>13664</v>
      </c>
      <c r="F1627" s="109" t="s">
        <v>13665</v>
      </c>
      <c r="G1627" s="110" t="s">
        <v>6248</v>
      </c>
      <c r="H1627" s="110" t="s">
        <v>9843</v>
      </c>
      <c r="I1627" s="110" t="s">
        <v>13666</v>
      </c>
    </row>
    <row r="1628" spans="1:9" ht="63" x14ac:dyDescent="0.3">
      <c r="A1628" s="109" t="s">
        <v>13667</v>
      </c>
      <c r="B1628" s="109" t="s">
        <v>12706</v>
      </c>
      <c r="C1628" s="109" t="s">
        <v>12706</v>
      </c>
      <c r="D1628" s="109" t="s">
        <v>7512</v>
      </c>
      <c r="E1628" s="109" t="s">
        <v>7512</v>
      </c>
      <c r="F1628" s="109" t="s">
        <v>13668</v>
      </c>
      <c r="G1628" s="110" t="s">
        <v>6248</v>
      </c>
      <c r="H1628" s="110" t="s">
        <v>13669</v>
      </c>
      <c r="I1628" s="110" t="s">
        <v>13670</v>
      </c>
    </row>
    <row r="1629" spans="1:9" ht="37.799999999999997" x14ac:dyDescent="0.3">
      <c r="A1629" s="109" t="s">
        <v>13671</v>
      </c>
      <c r="B1629" s="109" t="s">
        <v>12706</v>
      </c>
      <c r="C1629" s="109" t="s">
        <v>12706</v>
      </c>
      <c r="D1629" s="109" t="s">
        <v>12177</v>
      </c>
      <c r="E1629" s="109" t="s">
        <v>11179</v>
      </c>
      <c r="F1629" s="109" t="s">
        <v>13672</v>
      </c>
      <c r="G1629" s="110" t="s">
        <v>6248</v>
      </c>
      <c r="H1629" s="110" t="s">
        <v>13673</v>
      </c>
      <c r="I1629" s="110" t="s">
        <v>13674</v>
      </c>
    </row>
    <row r="1630" spans="1:9" ht="37.799999999999997" x14ac:dyDescent="0.3">
      <c r="A1630" s="109" t="s">
        <v>13675</v>
      </c>
      <c r="B1630" s="109" t="s">
        <v>12706</v>
      </c>
      <c r="C1630" s="109" t="s">
        <v>12706</v>
      </c>
      <c r="D1630" s="109" t="s">
        <v>13676</v>
      </c>
      <c r="E1630" s="109" t="s">
        <v>13676</v>
      </c>
      <c r="F1630" s="109" t="s">
        <v>13677</v>
      </c>
      <c r="G1630" s="110" t="s">
        <v>6248</v>
      </c>
      <c r="H1630" s="110" t="s">
        <v>13678</v>
      </c>
      <c r="I1630" s="110" t="s">
        <v>13679</v>
      </c>
    </row>
    <row r="1631" spans="1:9" ht="50.4" x14ac:dyDescent="0.3">
      <c r="A1631" s="109" t="s">
        <v>13680</v>
      </c>
      <c r="B1631" s="109" t="s">
        <v>12706</v>
      </c>
      <c r="C1631" s="109" t="s">
        <v>12706</v>
      </c>
      <c r="D1631" s="109" t="s">
        <v>13681</v>
      </c>
      <c r="E1631" s="109" t="s">
        <v>13681</v>
      </c>
      <c r="F1631" s="109" t="s">
        <v>13682</v>
      </c>
      <c r="G1631" s="110" t="s">
        <v>6248</v>
      </c>
      <c r="H1631" s="110" t="s">
        <v>13683</v>
      </c>
      <c r="I1631" s="110" t="s">
        <v>13684</v>
      </c>
    </row>
    <row r="1632" spans="1:9" ht="37.799999999999997" x14ac:dyDescent="0.3">
      <c r="A1632" s="109" t="s">
        <v>13685</v>
      </c>
      <c r="B1632" s="109" t="s">
        <v>12706</v>
      </c>
      <c r="C1632" s="109" t="s">
        <v>12706</v>
      </c>
      <c r="D1632" s="109" t="s">
        <v>13686</v>
      </c>
      <c r="E1632" s="109" t="s">
        <v>13687</v>
      </c>
      <c r="F1632" s="109" t="s">
        <v>13688</v>
      </c>
      <c r="G1632" s="110" t="s">
        <v>6248</v>
      </c>
      <c r="H1632" s="110" t="s">
        <v>13689</v>
      </c>
      <c r="I1632" s="110" t="s">
        <v>13690</v>
      </c>
    </row>
    <row r="1633" spans="1:9" ht="50.4" x14ac:dyDescent="0.3">
      <c r="A1633" s="109" t="s">
        <v>13691</v>
      </c>
      <c r="B1633" s="109" t="s">
        <v>12706</v>
      </c>
      <c r="C1633" s="109" t="s">
        <v>12706</v>
      </c>
      <c r="D1633" s="109" t="s">
        <v>7605</v>
      </c>
      <c r="E1633" s="109" t="s">
        <v>7605</v>
      </c>
      <c r="F1633" s="109" t="s">
        <v>13692</v>
      </c>
      <c r="G1633" s="110" t="s">
        <v>6248</v>
      </c>
      <c r="H1633" s="110" t="s">
        <v>13693</v>
      </c>
      <c r="I1633" s="110" t="s">
        <v>13694</v>
      </c>
    </row>
    <row r="1634" spans="1:9" ht="50.4" x14ac:dyDescent="0.3">
      <c r="A1634" s="109" t="s">
        <v>13695</v>
      </c>
      <c r="B1634" s="109" t="s">
        <v>12706</v>
      </c>
      <c r="C1634" s="109" t="s">
        <v>12706</v>
      </c>
      <c r="D1634" s="109" t="s">
        <v>13696</v>
      </c>
      <c r="E1634" s="109" t="s">
        <v>13696</v>
      </c>
      <c r="F1634" s="109" t="s">
        <v>13697</v>
      </c>
      <c r="G1634" s="110" t="s">
        <v>6248</v>
      </c>
      <c r="H1634" s="110" t="s">
        <v>13698</v>
      </c>
      <c r="I1634" s="110" t="s">
        <v>13699</v>
      </c>
    </row>
    <row r="1635" spans="1:9" ht="50.4" x14ac:dyDescent="0.3">
      <c r="A1635" s="109" t="s">
        <v>13700</v>
      </c>
      <c r="B1635" s="109" t="s">
        <v>12706</v>
      </c>
      <c r="C1635" s="109" t="s">
        <v>12706</v>
      </c>
      <c r="D1635" s="109" t="s">
        <v>13701</v>
      </c>
      <c r="E1635" s="109" t="s">
        <v>13701</v>
      </c>
      <c r="F1635" s="109" t="s">
        <v>13702</v>
      </c>
      <c r="G1635" s="110" t="s">
        <v>6248</v>
      </c>
      <c r="H1635" s="110" t="s">
        <v>13703</v>
      </c>
      <c r="I1635" s="110" t="s">
        <v>13704</v>
      </c>
    </row>
    <row r="1636" spans="1:9" ht="25.2" x14ac:dyDescent="0.3">
      <c r="A1636" s="109" t="s">
        <v>13705</v>
      </c>
      <c r="B1636" s="109" t="s">
        <v>12706</v>
      </c>
      <c r="C1636" s="109" t="s">
        <v>12706</v>
      </c>
      <c r="D1636" s="109" t="s">
        <v>13706</v>
      </c>
      <c r="E1636" s="109" t="s">
        <v>13707</v>
      </c>
      <c r="F1636" s="109" t="s">
        <v>13708</v>
      </c>
      <c r="G1636" s="110" t="s">
        <v>6248</v>
      </c>
      <c r="H1636" s="110" t="s">
        <v>13709</v>
      </c>
      <c r="I1636" s="110" t="s">
        <v>13710</v>
      </c>
    </row>
    <row r="1637" spans="1:9" ht="25.2" x14ac:dyDescent="0.3">
      <c r="A1637" s="109" t="s">
        <v>13711</v>
      </c>
      <c r="B1637" s="109" t="s">
        <v>12706</v>
      </c>
      <c r="C1637" s="109" t="s">
        <v>12706</v>
      </c>
      <c r="D1637" s="109" t="s">
        <v>13712</v>
      </c>
      <c r="E1637" s="109" t="s">
        <v>5558</v>
      </c>
      <c r="F1637" s="109" t="s">
        <v>13713</v>
      </c>
      <c r="G1637" s="110" t="s">
        <v>6248</v>
      </c>
      <c r="H1637" s="110" t="s">
        <v>13714</v>
      </c>
      <c r="I1637" s="110" t="s">
        <v>13715</v>
      </c>
    </row>
    <row r="1638" spans="1:9" ht="25.2" x14ac:dyDescent="0.3">
      <c r="A1638" s="109" t="s">
        <v>13716</v>
      </c>
      <c r="B1638" s="109" t="s">
        <v>12706</v>
      </c>
      <c r="C1638" s="109" t="s">
        <v>12706</v>
      </c>
      <c r="D1638" s="109" t="s">
        <v>13717</v>
      </c>
      <c r="E1638" s="109" t="s">
        <v>5558</v>
      </c>
      <c r="F1638" s="109" t="s">
        <v>13718</v>
      </c>
      <c r="G1638" s="110" t="s">
        <v>6248</v>
      </c>
      <c r="H1638" s="110" t="s">
        <v>13719</v>
      </c>
      <c r="I1638" s="110" t="s">
        <v>13720</v>
      </c>
    </row>
    <row r="1639" spans="1:9" ht="37.799999999999997" x14ac:dyDescent="0.3">
      <c r="A1639" s="109" t="s">
        <v>13721</v>
      </c>
      <c r="B1639" s="109" t="s">
        <v>12706</v>
      </c>
      <c r="C1639" s="109" t="s">
        <v>12706</v>
      </c>
      <c r="D1639" s="109" t="s">
        <v>13722</v>
      </c>
      <c r="E1639" s="109" t="s">
        <v>5558</v>
      </c>
      <c r="F1639" s="109" t="s">
        <v>13723</v>
      </c>
      <c r="G1639" s="110" t="s">
        <v>6248</v>
      </c>
      <c r="H1639" s="110" t="s">
        <v>13724</v>
      </c>
      <c r="I1639" s="110" t="s">
        <v>13725</v>
      </c>
    </row>
    <row r="1640" spans="1:9" ht="25.2" x14ac:dyDescent="0.3">
      <c r="A1640" s="109" t="s">
        <v>13726</v>
      </c>
      <c r="B1640" s="109" t="s">
        <v>12706</v>
      </c>
      <c r="C1640" s="109" t="s">
        <v>12706</v>
      </c>
      <c r="D1640" s="109" t="s">
        <v>13727</v>
      </c>
      <c r="E1640" s="109" t="s">
        <v>13728</v>
      </c>
      <c r="F1640" s="109" t="s">
        <v>13729</v>
      </c>
      <c r="G1640" s="110" t="s">
        <v>6248</v>
      </c>
      <c r="H1640" s="110" t="s">
        <v>13730</v>
      </c>
      <c r="I1640" s="110" t="s">
        <v>13731</v>
      </c>
    </row>
    <row r="1641" spans="1:9" ht="25.2" x14ac:dyDescent="0.3">
      <c r="A1641" s="109" t="s">
        <v>13732</v>
      </c>
      <c r="B1641" s="109" t="s">
        <v>12706</v>
      </c>
      <c r="C1641" s="109" t="s">
        <v>12706</v>
      </c>
      <c r="D1641" s="109" t="s">
        <v>13733</v>
      </c>
      <c r="E1641" s="109" t="s">
        <v>5558</v>
      </c>
      <c r="F1641" s="109" t="s">
        <v>13734</v>
      </c>
      <c r="G1641" s="110" t="s">
        <v>6248</v>
      </c>
      <c r="H1641" s="110" t="s">
        <v>13735</v>
      </c>
      <c r="I1641" s="110" t="s">
        <v>13736</v>
      </c>
    </row>
    <row r="1642" spans="1:9" ht="37.799999999999997" x14ac:dyDescent="0.3">
      <c r="A1642" s="109" t="s">
        <v>13737</v>
      </c>
      <c r="B1642" s="109" t="s">
        <v>12706</v>
      </c>
      <c r="C1642" s="109" t="s">
        <v>12706</v>
      </c>
      <c r="D1642" s="109" t="s">
        <v>13738</v>
      </c>
      <c r="E1642" s="109" t="s">
        <v>5558</v>
      </c>
      <c r="F1642" s="109" t="s">
        <v>13739</v>
      </c>
      <c r="G1642" s="110" t="s">
        <v>6248</v>
      </c>
      <c r="H1642" s="110" t="s">
        <v>13740</v>
      </c>
      <c r="I1642" s="110" t="s">
        <v>13741</v>
      </c>
    </row>
    <row r="1643" spans="1:9" ht="25.2" x14ac:dyDescent="0.3">
      <c r="A1643" s="109" t="s">
        <v>13742</v>
      </c>
      <c r="B1643" s="109" t="s">
        <v>12706</v>
      </c>
      <c r="C1643" s="109" t="s">
        <v>12706</v>
      </c>
      <c r="D1643" s="109" t="s">
        <v>13743</v>
      </c>
      <c r="E1643" s="109" t="s">
        <v>5558</v>
      </c>
      <c r="F1643" s="109" t="s">
        <v>13744</v>
      </c>
      <c r="G1643" s="110" t="s">
        <v>6248</v>
      </c>
      <c r="H1643" s="110" t="s">
        <v>7321</v>
      </c>
      <c r="I1643" s="110" t="s">
        <v>13745</v>
      </c>
    </row>
    <row r="1644" spans="1:9" ht="25.2" x14ac:dyDescent="0.3">
      <c r="A1644" s="109" t="s">
        <v>13746</v>
      </c>
      <c r="B1644" s="109" t="s">
        <v>12706</v>
      </c>
      <c r="C1644" s="109" t="s">
        <v>12706</v>
      </c>
      <c r="D1644" s="109" t="s">
        <v>13747</v>
      </c>
      <c r="E1644" s="109" t="s">
        <v>5558</v>
      </c>
      <c r="F1644" s="109" t="s">
        <v>13748</v>
      </c>
      <c r="G1644" s="110" t="s">
        <v>6248</v>
      </c>
      <c r="H1644" s="110" t="s">
        <v>6273</v>
      </c>
      <c r="I1644" s="110" t="s">
        <v>13749</v>
      </c>
    </row>
    <row r="1645" spans="1:9" ht="25.2" x14ac:dyDescent="0.3">
      <c r="A1645" s="109" t="s">
        <v>13750</v>
      </c>
      <c r="B1645" s="109" t="s">
        <v>12706</v>
      </c>
      <c r="C1645" s="109" t="s">
        <v>12706</v>
      </c>
      <c r="D1645" s="109" t="s">
        <v>1404</v>
      </c>
      <c r="E1645" s="109" t="s">
        <v>5558</v>
      </c>
      <c r="F1645" s="109" t="s">
        <v>13751</v>
      </c>
      <c r="G1645" s="110" t="s">
        <v>6248</v>
      </c>
      <c r="H1645" s="110" t="s">
        <v>13752</v>
      </c>
      <c r="I1645" s="110" t="s">
        <v>13753</v>
      </c>
    </row>
    <row r="1646" spans="1:9" ht="37.799999999999997" x14ac:dyDescent="0.3">
      <c r="A1646" s="109" t="s">
        <v>13754</v>
      </c>
      <c r="B1646" s="109" t="s">
        <v>12706</v>
      </c>
      <c r="C1646" s="109" t="s">
        <v>12706</v>
      </c>
      <c r="D1646" s="109" t="s">
        <v>13755</v>
      </c>
      <c r="E1646" s="109" t="s">
        <v>5558</v>
      </c>
      <c r="F1646" s="109" t="s">
        <v>13756</v>
      </c>
      <c r="G1646" s="110" t="s">
        <v>6248</v>
      </c>
      <c r="H1646" s="110" t="s">
        <v>13757</v>
      </c>
      <c r="I1646" s="110" t="s">
        <v>13758</v>
      </c>
    </row>
    <row r="1647" spans="1:9" ht="25.2" x14ac:dyDescent="0.3">
      <c r="A1647" s="109" t="s">
        <v>13759</v>
      </c>
      <c r="B1647" s="109" t="s">
        <v>12706</v>
      </c>
      <c r="C1647" s="109" t="s">
        <v>12706</v>
      </c>
      <c r="D1647" s="109" t="s">
        <v>13760</v>
      </c>
      <c r="E1647" s="109" t="s">
        <v>5558</v>
      </c>
      <c r="F1647" s="109" t="s">
        <v>13761</v>
      </c>
      <c r="G1647" s="110" t="s">
        <v>6248</v>
      </c>
      <c r="H1647" s="110" t="s">
        <v>12664</v>
      </c>
      <c r="I1647" s="110" t="s">
        <v>13762</v>
      </c>
    </row>
    <row r="1648" spans="1:9" ht="37.799999999999997" x14ac:dyDescent="0.3">
      <c r="A1648" s="109" t="s">
        <v>13763</v>
      </c>
      <c r="B1648" s="109" t="s">
        <v>12706</v>
      </c>
      <c r="C1648" s="109" t="s">
        <v>12706</v>
      </c>
      <c r="D1648" s="109" t="s">
        <v>13764</v>
      </c>
      <c r="E1648" s="109" t="s">
        <v>5558</v>
      </c>
      <c r="F1648" s="109" t="s">
        <v>13765</v>
      </c>
      <c r="G1648" s="110" t="s">
        <v>6248</v>
      </c>
      <c r="H1648" s="110" t="s">
        <v>13766</v>
      </c>
      <c r="I1648" s="110" t="s">
        <v>13767</v>
      </c>
    </row>
    <row r="1649" spans="1:9" ht="25.2" x14ac:dyDescent="0.3">
      <c r="A1649" s="109" t="s">
        <v>13768</v>
      </c>
      <c r="B1649" s="109" t="s">
        <v>12706</v>
      </c>
      <c r="C1649" s="109" t="s">
        <v>12706</v>
      </c>
      <c r="D1649" s="109" t="s">
        <v>13769</v>
      </c>
      <c r="E1649" s="109" t="s">
        <v>5558</v>
      </c>
      <c r="F1649" s="109" t="s">
        <v>13770</v>
      </c>
      <c r="G1649" s="110" t="s">
        <v>6248</v>
      </c>
      <c r="H1649" s="110" t="s">
        <v>6273</v>
      </c>
      <c r="I1649" s="110" t="s">
        <v>13771</v>
      </c>
    </row>
    <row r="1650" spans="1:9" ht="25.2" x14ac:dyDescent="0.3">
      <c r="A1650" s="109" t="s">
        <v>13772</v>
      </c>
      <c r="B1650" s="109" t="s">
        <v>12706</v>
      </c>
      <c r="C1650" s="109" t="s">
        <v>12706</v>
      </c>
      <c r="D1650" s="109" t="s">
        <v>13773</v>
      </c>
      <c r="E1650" s="109" t="s">
        <v>5558</v>
      </c>
      <c r="F1650" s="109" t="s">
        <v>13774</v>
      </c>
      <c r="G1650" s="110" t="s">
        <v>6248</v>
      </c>
      <c r="H1650" s="110" t="s">
        <v>13775</v>
      </c>
      <c r="I1650" s="110" t="s">
        <v>13776</v>
      </c>
    </row>
    <row r="1651" spans="1:9" ht="25.2" x14ac:dyDescent="0.3">
      <c r="A1651" s="109" t="s">
        <v>13777</v>
      </c>
      <c r="B1651" s="109" t="s">
        <v>13778</v>
      </c>
      <c r="C1651" s="109" t="s">
        <v>13778</v>
      </c>
      <c r="D1651" s="109" t="s">
        <v>13779</v>
      </c>
      <c r="E1651" s="109" t="s">
        <v>5558</v>
      </c>
      <c r="F1651" s="109" t="s">
        <v>13780</v>
      </c>
      <c r="G1651" s="110" t="s">
        <v>13781</v>
      </c>
      <c r="H1651" s="110" t="s">
        <v>6248</v>
      </c>
      <c r="I1651" s="110" t="s">
        <v>13782</v>
      </c>
    </row>
    <row r="1652" spans="1:9" ht="25.2" x14ac:dyDescent="0.3">
      <c r="A1652" s="109" t="s">
        <v>13783</v>
      </c>
      <c r="B1652" s="109" t="s">
        <v>13778</v>
      </c>
      <c r="C1652" s="109" t="s">
        <v>13778</v>
      </c>
      <c r="D1652" s="109" t="s">
        <v>13784</v>
      </c>
      <c r="E1652" s="109" t="s">
        <v>13785</v>
      </c>
      <c r="F1652" s="109" t="s">
        <v>13786</v>
      </c>
      <c r="G1652" s="110" t="s">
        <v>6248</v>
      </c>
      <c r="H1652" s="110" t="s">
        <v>13787</v>
      </c>
      <c r="I1652" s="110" t="s">
        <v>13788</v>
      </c>
    </row>
    <row r="1653" spans="1:9" ht="25.2" x14ac:dyDescent="0.3">
      <c r="A1653" s="109" t="s">
        <v>13789</v>
      </c>
      <c r="B1653" s="109" t="s">
        <v>13778</v>
      </c>
      <c r="C1653" s="109" t="s">
        <v>13778</v>
      </c>
      <c r="D1653" s="109" t="s">
        <v>13790</v>
      </c>
      <c r="E1653" s="109" t="s">
        <v>13791</v>
      </c>
      <c r="F1653" s="109" t="s">
        <v>13792</v>
      </c>
      <c r="G1653" s="110" t="s">
        <v>6248</v>
      </c>
      <c r="H1653" s="110" t="s">
        <v>13793</v>
      </c>
      <c r="I1653" s="110" t="s">
        <v>13794</v>
      </c>
    </row>
    <row r="1654" spans="1:9" ht="25.2" x14ac:dyDescent="0.3">
      <c r="A1654" s="109" t="s">
        <v>13795</v>
      </c>
      <c r="B1654" s="109" t="s">
        <v>13778</v>
      </c>
      <c r="C1654" s="109" t="s">
        <v>13778</v>
      </c>
      <c r="D1654" s="109" t="s">
        <v>13796</v>
      </c>
      <c r="E1654" s="109" t="s">
        <v>13797</v>
      </c>
      <c r="F1654" s="109" t="s">
        <v>13798</v>
      </c>
      <c r="G1654" s="110" t="s">
        <v>6248</v>
      </c>
      <c r="H1654" s="110" t="s">
        <v>7221</v>
      </c>
      <c r="I1654" s="110" t="s">
        <v>13799</v>
      </c>
    </row>
    <row r="1655" spans="1:9" ht="25.2" x14ac:dyDescent="0.3">
      <c r="A1655" s="109" t="s">
        <v>13800</v>
      </c>
      <c r="B1655" s="109" t="s">
        <v>13778</v>
      </c>
      <c r="C1655" s="109" t="s">
        <v>13778</v>
      </c>
      <c r="D1655" s="109" t="s">
        <v>13801</v>
      </c>
      <c r="E1655" s="109" t="s">
        <v>13802</v>
      </c>
      <c r="F1655" s="109" t="s">
        <v>13803</v>
      </c>
      <c r="G1655" s="110" t="s">
        <v>6248</v>
      </c>
      <c r="H1655" s="110" t="s">
        <v>13804</v>
      </c>
      <c r="I1655" s="110" t="s">
        <v>13805</v>
      </c>
    </row>
    <row r="1656" spans="1:9" ht="37.799999999999997" x14ac:dyDescent="0.3">
      <c r="A1656" s="109" t="s">
        <v>13806</v>
      </c>
      <c r="B1656" s="109" t="s">
        <v>13778</v>
      </c>
      <c r="C1656" s="109" t="s">
        <v>13778</v>
      </c>
      <c r="D1656" s="109" t="s">
        <v>13807</v>
      </c>
      <c r="E1656" s="109" t="s">
        <v>5558</v>
      </c>
      <c r="F1656" s="109" t="s">
        <v>13808</v>
      </c>
      <c r="G1656" s="110" t="s">
        <v>6248</v>
      </c>
      <c r="H1656" s="110" t="s">
        <v>9225</v>
      </c>
      <c r="I1656" s="110" t="s">
        <v>13809</v>
      </c>
    </row>
    <row r="1657" spans="1:9" ht="25.2" x14ac:dyDescent="0.3">
      <c r="A1657" s="109" t="s">
        <v>13810</v>
      </c>
      <c r="B1657" s="109" t="s">
        <v>13778</v>
      </c>
      <c r="C1657" s="109" t="s">
        <v>13778</v>
      </c>
      <c r="D1657" s="109" t="s">
        <v>13811</v>
      </c>
      <c r="E1657" s="109" t="s">
        <v>13812</v>
      </c>
      <c r="F1657" s="109" t="s">
        <v>6368</v>
      </c>
      <c r="G1657" s="110" t="s">
        <v>6369</v>
      </c>
      <c r="H1657" s="110" t="s">
        <v>6248</v>
      </c>
      <c r="I1657" s="110" t="s">
        <v>13813</v>
      </c>
    </row>
    <row r="1658" spans="1:9" ht="37.799999999999997" x14ac:dyDescent="0.3">
      <c r="A1658" s="109" t="s">
        <v>13814</v>
      </c>
      <c r="B1658" s="109" t="s">
        <v>13778</v>
      </c>
      <c r="C1658" s="109" t="s">
        <v>13778</v>
      </c>
      <c r="D1658" s="109" t="s">
        <v>1490</v>
      </c>
      <c r="E1658" s="109" t="s">
        <v>5558</v>
      </c>
      <c r="F1658" s="109" t="s">
        <v>13815</v>
      </c>
      <c r="G1658" s="110" t="s">
        <v>6248</v>
      </c>
      <c r="H1658" s="110" t="s">
        <v>13816</v>
      </c>
      <c r="I1658" s="110" t="s">
        <v>13817</v>
      </c>
    </row>
    <row r="1659" spans="1:9" ht="25.2" x14ac:dyDescent="0.3">
      <c r="A1659" s="109" t="s">
        <v>13818</v>
      </c>
      <c r="B1659" s="109" t="s">
        <v>13778</v>
      </c>
      <c r="C1659" s="109" t="s">
        <v>13778</v>
      </c>
      <c r="D1659" s="109" t="s">
        <v>13819</v>
      </c>
      <c r="E1659" s="109" t="s">
        <v>5558</v>
      </c>
      <c r="F1659" s="109" t="s">
        <v>13820</v>
      </c>
      <c r="G1659" s="110" t="s">
        <v>6248</v>
      </c>
      <c r="H1659" s="110" t="s">
        <v>8905</v>
      </c>
      <c r="I1659" s="110" t="s">
        <v>13821</v>
      </c>
    </row>
    <row r="1660" spans="1:9" ht="37.799999999999997" x14ac:dyDescent="0.3">
      <c r="A1660" s="109" t="s">
        <v>13822</v>
      </c>
      <c r="B1660" s="109" t="s">
        <v>13778</v>
      </c>
      <c r="C1660" s="109" t="s">
        <v>13778</v>
      </c>
      <c r="D1660" s="109" t="s">
        <v>13823</v>
      </c>
      <c r="E1660" s="109" t="s">
        <v>5558</v>
      </c>
      <c r="F1660" s="109" t="s">
        <v>13824</v>
      </c>
      <c r="G1660" s="110" t="s">
        <v>6248</v>
      </c>
      <c r="H1660" s="110" t="s">
        <v>6474</v>
      </c>
      <c r="I1660" s="110" t="s">
        <v>13825</v>
      </c>
    </row>
    <row r="1661" spans="1:9" ht="25.2" x14ac:dyDescent="0.3">
      <c r="A1661" s="109" t="s">
        <v>13826</v>
      </c>
      <c r="B1661" s="109" t="s">
        <v>13778</v>
      </c>
      <c r="C1661" s="109" t="s">
        <v>13778</v>
      </c>
      <c r="D1661" s="109" t="s">
        <v>13827</v>
      </c>
      <c r="E1661" s="109" t="s">
        <v>5558</v>
      </c>
      <c r="F1661" s="109" t="s">
        <v>13828</v>
      </c>
      <c r="G1661" s="110" t="s">
        <v>6248</v>
      </c>
      <c r="H1661" s="110" t="s">
        <v>9005</v>
      </c>
      <c r="I1661" s="110" t="s">
        <v>13829</v>
      </c>
    </row>
    <row r="1662" spans="1:9" ht="25.2" x14ac:dyDescent="0.3">
      <c r="A1662" s="109" t="s">
        <v>13830</v>
      </c>
      <c r="B1662" s="109" t="s">
        <v>13778</v>
      </c>
      <c r="C1662" s="109" t="s">
        <v>13778</v>
      </c>
      <c r="D1662" s="109" t="s">
        <v>13831</v>
      </c>
      <c r="E1662" s="109" t="s">
        <v>5558</v>
      </c>
      <c r="F1662" s="109" t="s">
        <v>13832</v>
      </c>
      <c r="G1662" s="110" t="s">
        <v>6248</v>
      </c>
      <c r="H1662" s="110" t="s">
        <v>6433</v>
      </c>
      <c r="I1662" s="110" t="s">
        <v>13833</v>
      </c>
    </row>
    <row r="1663" spans="1:9" ht="25.2" x14ac:dyDescent="0.3">
      <c r="A1663" s="109" t="s">
        <v>13834</v>
      </c>
      <c r="B1663" s="109" t="s">
        <v>13778</v>
      </c>
      <c r="C1663" s="109" t="s">
        <v>13778</v>
      </c>
      <c r="D1663" s="109" t="s">
        <v>13835</v>
      </c>
      <c r="E1663" s="109" t="s">
        <v>5558</v>
      </c>
      <c r="F1663" s="109" t="s">
        <v>13836</v>
      </c>
      <c r="G1663" s="110" t="s">
        <v>6248</v>
      </c>
      <c r="H1663" s="110" t="s">
        <v>6601</v>
      </c>
      <c r="I1663" s="110" t="s">
        <v>13837</v>
      </c>
    </row>
    <row r="1664" spans="1:9" ht="25.2" x14ac:dyDescent="0.3">
      <c r="A1664" s="109" t="s">
        <v>13838</v>
      </c>
      <c r="B1664" s="109" t="s">
        <v>13778</v>
      </c>
      <c r="C1664" s="109" t="s">
        <v>13778</v>
      </c>
      <c r="D1664" s="109" t="s">
        <v>13839</v>
      </c>
      <c r="E1664" s="109" t="s">
        <v>5558</v>
      </c>
      <c r="F1664" s="109" t="s">
        <v>13840</v>
      </c>
      <c r="G1664" s="110" t="s">
        <v>6248</v>
      </c>
      <c r="H1664" s="110" t="s">
        <v>6398</v>
      </c>
      <c r="I1664" s="110" t="s">
        <v>13841</v>
      </c>
    </row>
    <row r="1665" spans="1:9" ht="37.799999999999997" x14ac:dyDescent="0.3">
      <c r="A1665" s="109" t="s">
        <v>13842</v>
      </c>
      <c r="B1665" s="109" t="s">
        <v>13778</v>
      </c>
      <c r="C1665" s="109" t="s">
        <v>13778</v>
      </c>
      <c r="D1665" s="109" t="s">
        <v>13843</v>
      </c>
      <c r="E1665" s="109" t="s">
        <v>5558</v>
      </c>
      <c r="F1665" s="109" t="s">
        <v>13844</v>
      </c>
      <c r="G1665" s="110" t="s">
        <v>6248</v>
      </c>
      <c r="H1665" s="110" t="s">
        <v>7592</v>
      </c>
      <c r="I1665" s="110" t="s">
        <v>13845</v>
      </c>
    </row>
    <row r="1666" spans="1:9" ht="25.2" x14ac:dyDescent="0.3">
      <c r="A1666" s="109" t="s">
        <v>13846</v>
      </c>
      <c r="B1666" s="109" t="s">
        <v>13778</v>
      </c>
      <c r="C1666" s="109" t="s">
        <v>13778</v>
      </c>
      <c r="D1666" s="109" t="s">
        <v>13847</v>
      </c>
      <c r="E1666" s="109" t="s">
        <v>5558</v>
      </c>
      <c r="F1666" s="109" t="s">
        <v>13848</v>
      </c>
      <c r="G1666" s="110" t="s">
        <v>6248</v>
      </c>
      <c r="H1666" s="110" t="s">
        <v>13849</v>
      </c>
      <c r="I1666" s="110" t="s">
        <v>13850</v>
      </c>
    </row>
    <row r="1667" spans="1:9" ht="37.799999999999997" x14ac:dyDescent="0.3">
      <c r="A1667" s="109" t="s">
        <v>13851</v>
      </c>
      <c r="B1667" s="109" t="s">
        <v>13778</v>
      </c>
      <c r="C1667" s="109" t="s">
        <v>13778</v>
      </c>
      <c r="D1667" s="109" t="s">
        <v>13852</v>
      </c>
      <c r="E1667" s="109" t="s">
        <v>5558</v>
      </c>
      <c r="F1667" s="109" t="s">
        <v>13853</v>
      </c>
      <c r="G1667" s="110" t="s">
        <v>6248</v>
      </c>
      <c r="H1667" s="110" t="s">
        <v>13854</v>
      </c>
      <c r="I1667" s="110" t="s">
        <v>13855</v>
      </c>
    </row>
    <row r="1668" spans="1:9" ht="25.2" x14ac:dyDescent="0.3">
      <c r="A1668" s="109" t="s">
        <v>13856</v>
      </c>
      <c r="B1668" s="109" t="s">
        <v>13778</v>
      </c>
      <c r="C1668" s="109" t="s">
        <v>13778</v>
      </c>
      <c r="D1668" s="109" t="s">
        <v>13857</v>
      </c>
      <c r="E1668" s="109" t="s">
        <v>5558</v>
      </c>
      <c r="F1668" s="109" t="s">
        <v>13858</v>
      </c>
      <c r="G1668" s="110" t="s">
        <v>6248</v>
      </c>
      <c r="H1668" s="110" t="s">
        <v>7889</v>
      </c>
      <c r="I1668" s="110" t="s">
        <v>13859</v>
      </c>
    </row>
    <row r="1669" spans="1:9" ht="37.799999999999997" x14ac:dyDescent="0.3">
      <c r="A1669" s="109" t="s">
        <v>13860</v>
      </c>
      <c r="B1669" s="109" t="s">
        <v>13778</v>
      </c>
      <c r="C1669" s="109" t="s">
        <v>13778</v>
      </c>
      <c r="D1669" s="109" t="s">
        <v>13861</v>
      </c>
      <c r="E1669" s="109" t="s">
        <v>5558</v>
      </c>
      <c r="F1669" s="109" t="s">
        <v>13862</v>
      </c>
      <c r="G1669" s="110" t="s">
        <v>6248</v>
      </c>
      <c r="H1669" s="110" t="s">
        <v>13863</v>
      </c>
      <c r="I1669" s="110" t="s">
        <v>13864</v>
      </c>
    </row>
    <row r="1670" spans="1:9" ht="37.799999999999997" x14ac:dyDescent="0.3">
      <c r="A1670" s="109" t="s">
        <v>13865</v>
      </c>
      <c r="B1670" s="109" t="s">
        <v>13778</v>
      </c>
      <c r="C1670" s="109" t="s">
        <v>13778</v>
      </c>
      <c r="D1670" s="109" t="s">
        <v>13866</v>
      </c>
      <c r="E1670" s="109" t="s">
        <v>5558</v>
      </c>
      <c r="F1670" s="109" t="s">
        <v>13867</v>
      </c>
      <c r="G1670" s="110" t="s">
        <v>6248</v>
      </c>
      <c r="H1670" s="110" t="s">
        <v>13868</v>
      </c>
      <c r="I1670" s="110" t="s">
        <v>13869</v>
      </c>
    </row>
    <row r="1671" spans="1:9" ht="25.2" x14ac:dyDescent="0.3">
      <c r="A1671" s="109" t="s">
        <v>13870</v>
      </c>
      <c r="B1671" s="109" t="s">
        <v>13778</v>
      </c>
      <c r="C1671" s="109" t="s">
        <v>13778</v>
      </c>
      <c r="D1671" s="109" t="s">
        <v>13871</v>
      </c>
      <c r="E1671" s="109" t="s">
        <v>5558</v>
      </c>
      <c r="F1671" s="109" t="s">
        <v>13872</v>
      </c>
      <c r="G1671" s="110" t="s">
        <v>6248</v>
      </c>
      <c r="H1671" s="110" t="s">
        <v>6584</v>
      </c>
      <c r="I1671" s="110" t="s">
        <v>13873</v>
      </c>
    </row>
    <row r="1672" spans="1:9" ht="25.2" x14ac:dyDescent="0.3">
      <c r="A1672" s="109" t="s">
        <v>13874</v>
      </c>
      <c r="B1672" s="109" t="s">
        <v>13778</v>
      </c>
      <c r="C1672" s="109" t="s">
        <v>13778</v>
      </c>
      <c r="D1672" s="109" t="s">
        <v>13875</v>
      </c>
      <c r="E1672" s="109" t="s">
        <v>5558</v>
      </c>
      <c r="F1672" s="109" t="s">
        <v>13876</v>
      </c>
      <c r="G1672" s="110" t="s">
        <v>6248</v>
      </c>
      <c r="H1672" s="110" t="s">
        <v>6433</v>
      </c>
      <c r="I1672" s="110" t="s">
        <v>13877</v>
      </c>
    </row>
    <row r="1673" spans="1:9" ht="25.2" x14ac:dyDescent="0.3">
      <c r="A1673" s="109" t="s">
        <v>13878</v>
      </c>
      <c r="B1673" s="109" t="s">
        <v>13778</v>
      </c>
      <c r="C1673" s="109" t="s">
        <v>13778</v>
      </c>
      <c r="D1673" s="109" t="s">
        <v>13879</v>
      </c>
      <c r="E1673" s="109" t="s">
        <v>5558</v>
      </c>
      <c r="F1673" s="109" t="s">
        <v>13880</v>
      </c>
      <c r="G1673" s="110" t="s">
        <v>6248</v>
      </c>
      <c r="H1673" s="110" t="s">
        <v>6398</v>
      </c>
      <c r="I1673" s="110" t="s">
        <v>13881</v>
      </c>
    </row>
    <row r="1674" spans="1:9" ht="25.2" x14ac:dyDescent="0.3">
      <c r="A1674" s="109" t="s">
        <v>13882</v>
      </c>
      <c r="B1674" s="109" t="s">
        <v>13778</v>
      </c>
      <c r="C1674" s="109" t="s">
        <v>13778</v>
      </c>
      <c r="D1674" s="109" t="s">
        <v>13883</v>
      </c>
      <c r="E1674" s="109" t="s">
        <v>5558</v>
      </c>
      <c r="F1674" s="109" t="s">
        <v>13884</v>
      </c>
      <c r="G1674" s="110" t="s">
        <v>6248</v>
      </c>
      <c r="H1674" s="110" t="s">
        <v>6403</v>
      </c>
      <c r="I1674" s="110" t="s">
        <v>13885</v>
      </c>
    </row>
    <row r="1675" spans="1:9" ht="25.2" x14ac:dyDescent="0.3">
      <c r="A1675" s="109" t="s">
        <v>13886</v>
      </c>
      <c r="B1675" s="109" t="s">
        <v>13778</v>
      </c>
      <c r="C1675" s="109" t="s">
        <v>13778</v>
      </c>
      <c r="D1675" s="109" t="s">
        <v>13887</v>
      </c>
      <c r="E1675" s="109" t="s">
        <v>5558</v>
      </c>
      <c r="F1675" s="109" t="s">
        <v>13888</v>
      </c>
      <c r="G1675" s="110" t="s">
        <v>6248</v>
      </c>
      <c r="H1675" s="110" t="s">
        <v>6570</v>
      </c>
      <c r="I1675" s="110" t="s">
        <v>13889</v>
      </c>
    </row>
    <row r="1676" spans="1:9" ht="25.2" x14ac:dyDescent="0.3">
      <c r="A1676" s="109" t="s">
        <v>13890</v>
      </c>
      <c r="B1676" s="109" t="s">
        <v>13778</v>
      </c>
      <c r="C1676" s="109" t="s">
        <v>13778</v>
      </c>
      <c r="D1676" s="109" t="s">
        <v>13891</v>
      </c>
      <c r="E1676" s="109" t="s">
        <v>5558</v>
      </c>
      <c r="F1676" s="109" t="s">
        <v>13892</v>
      </c>
      <c r="G1676" s="110" t="s">
        <v>6248</v>
      </c>
      <c r="H1676" s="110" t="s">
        <v>6393</v>
      </c>
      <c r="I1676" s="110" t="s">
        <v>13893</v>
      </c>
    </row>
    <row r="1677" spans="1:9" ht="25.2" x14ac:dyDescent="0.3">
      <c r="A1677" s="109" t="s">
        <v>13894</v>
      </c>
      <c r="B1677" s="109" t="s">
        <v>13778</v>
      </c>
      <c r="C1677" s="109" t="s">
        <v>13778</v>
      </c>
      <c r="D1677" s="109" t="s">
        <v>13895</v>
      </c>
      <c r="E1677" s="109" t="s">
        <v>5558</v>
      </c>
      <c r="F1677" s="109" t="s">
        <v>13896</v>
      </c>
      <c r="G1677" s="110" t="s">
        <v>6248</v>
      </c>
      <c r="H1677" s="110" t="s">
        <v>7485</v>
      </c>
      <c r="I1677" s="110" t="s">
        <v>13897</v>
      </c>
    </row>
    <row r="1678" spans="1:9" ht="37.799999999999997" x14ac:dyDescent="0.3">
      <c r="A1678" s="109" t="s">
        <v>13898</v>
      </c>
      <c r="B1678" s="109" t="s">
        <v>13778</v>
      </c>
      <c r="C1678" s="109" t="s">
        <v>13778</v>
      </c>
      <c r="D1678" s="109" t="s">
        <v>13899</v>
      </c>
      <c r="E1678" s="109" t="s">
        <v>5558</v>
      </c>
      <c r="F1678" s="109" t="s">
        <v>13900</v>
      </c>
      <c r="G1678" s="110" t="s">
        <v>6248</v>
      </c>
      <c r="H1678" s="110" t="s">
        <v>6398</v>
      </c>
      <c r="I1678" s="110" t="s">
        <v>13901</v>
      </c>
    </row>
    <row r="1679" spans="1:9" ht="25.2" x14ac:dyDescent="0.3">
      <c r="A1679" s="109" t="s">
        <v>13902</v>
      </c>
      <c r="B1679" s="109" t="s">
        <v>13778</v>
      </c>
      <c r="C1679" s="109" t="s">
        <v>13778</v>
      </c>
      <c r="D1679" s="109" t="s">
        <v>13903</v>
      </c>
      <c r="E1679" s="109" t="s">
        <v>5558</v>
      </c>
      <c r="F1679" s="109" t="s">
        <v>13904</v>
      </c>
      <c r="G1679" s="110" t="s">
        <v>6248</v>
      </c>
      <c r="H1679" s="110" t="s">
        <v>8984</v>
      </c>
      <c r="I1679" s="110" t="s">
        <v>13905</v>
      </c>
    </row>
    <row r="1680" spans="1:9" ht="25.2" x14ac:dyDescent="0.3">
      <c r="A1680" s="109" t="s">
        <v>13906</v>
      </c>
      <c r="B1680" s="109" t="s">
        <v>13778</v>
      </c>
      <c r="C1680" s="109" t="s">
        <v>13778</v>
      </c>
      <c r="D1680" s="109" t="s">
        <v>13907</v>
      </c>
      <c r="E1680" s="109" t="s">
        <v>5558</v>
      </c>
      <c r="F1680" s="109" t="s">
        <v>13908</v>
      </c>
      <c r="G1680" s="110" t="s">
        <v>6248</v>
      </c>
      <c r="H1680" s="110" t="s">
        <v>6460</v>
      </c>
      <c r="I1680" s="110" t="s">
        <v>13909</v>
      </c>
    </row>
    <row r="1681" spans="1:9" ht="37.799999999999997" x14ac:dyDescent="0.3">
      <c r="A1681" s="109" t="s">
        <v>13910</v>
      </c>
      <c r="B1681" s="109" t="s">
        <v>13778</v>
      </c>
      <c r="C1681" s="109" t="s">
        <v>13778</v>
      </c>
      <c r="D1681" s="109" t="s">
        <v>13911</v>
      </c>
      <c r="E1681" s="109" t="s">
        <v>5558</v>
      </c>
      <c r="F1681" s="109" t="s">
        <v>13912</v>
      </c>
      <c r="G1681" s="110" t="s">
        <v>6248</v>
      </c>
      <c r="H1681" s="110" t="s">
        <v>13913</v>
      </c>
      <c r="I1681" s="110" t="s">
        <v>13914</v>
      </c>
    </row>
    <row r="1682" spans="1:9" ht="25.2" x14ac:dyDescent="0.3">
      <c r="A1682" s="109" t="s">
        <v>13915</v>
      </c>
      <c r="B1682" s="109" t="s">
        <v>13778</v>
      </c>
      <c r="C1682" s="109" t="s">
        <v>13778</v>
      </c>
      <c r="D1682" s="109" t="s">
        <v>13916</v>
      </c>
      <c r="E1682" s="109" t="s">
        <v>5558</v>
      </c>
      <c r="F1682" s="109" t="s">
        <v>13917</v>
      </c>
      <c r="G1682" s="110" t="s">
        <v>6248</v>
      </c>
      <c r="H1682" s="110" t="s">
        <v>9141</v>
      </c>
      <c r="I1682" s="110" t="s">
        <v>13918</v>
      </c>
    </row>
    <row r="1683" spans="1:9" ht="25.2" x14ac:dyDescent="0.3">
      <c r="A1683" s="109" t="s">
        <v>13919</v>
      </c>
      <c r="B1683" s="109" t="s">
        <v>13778</v>
      </c>
      <c r="C1683" s="109" t="s">
        <v>13778</v>
      </c>
      <c r="D1683" s="109" t="s">
        <v>13920</v>
      </c>
      <c r="E1683" s="109" t="s">
        <v>5558</v>
      </c>
      <c r="F1683" s="109" t="s">
        <v>13921</v>
      </c>
      <c r="G1683" s="110" t="s">
        <v>6248</v>
      </c>
      <c r="H1683" s="110" t="s">
        <v>6460</v>
      </c>
      <c r="I1683" s="110" t="s">
        <v>13922</v>
      </c>
    </row>
    <row r="1684" spans="1:9" ht="25.2" x14ac:dyDescent="0.3">
      <c r="A1684" s="109" t="s">
        <v>13923</v>
      </c>
      <c r="B1684" s="109" t="s">
        <v>13778</v>
      </c>
      <c r="C1684" s="109" t="s">
        <v>13778</v>
      </c>
      <c r="D1684" s="109" t="s">
        <v>13924</v>
      </c>
      <c r="E1684" s="109" t="s">
        <v>5558</v>
      </c>
      <c r="F1684" s="109" t="s">
        <v>13925</v>
      </c>
      <c r="G1684" s="110" t="s">
        <v>6248</v>
      </c>
      <c r="H1684" s="110" t="s">
        <v>6689</v>
      </c>
      <c r="I1684" s="110" t="s">
        <v>13926</v>
      </c>
    </row>
    <row r="1685" spans="1:9" ht="37.799999999999997" x14ac:dyDescent="0.3">
      <c r="A1685" s="109" t="s">
        <v>13927</v>
      </c>
      <c r="B1685" s="109" t="s">
        <v>13778</v>
      </c>
      <c r="C1685" s="109" t="s">
        <v>13778</v>
      </c>
      <c r="D1685" s="109" t="s">
        <v>13928</v>
      </c>
      <c r="E1685" s="109" t="s">
        <v>5558</v>
      </c>
      <c r="F1685" s="109" t="s">
        <v>13929</v>
      </c>
      <c r="G1685" s="110" t="s">
        <v>6248</v>
      </c>
      <c r="H1685" s="110" t="s">
        <v>7592</v>
      </c>
      <c r="I1685" s="110" t="s">
        <v>13930</v>
      </c>
    </row>
    <row r="1686" spans="1:9" ht="37.799999999999997" x14ac:dyDescent="0.3">
      <c r="A1686" s="109" t="s">
        <v>13931</v>
      </c>
      <c r="B1686" s="109" t="s">
        <v>13778</v>
      </c>
      <c r="C1686" s="109" t="s">
        <v>13778</v>
      </c>
      <c r="D1686" s="109" t="s">
        <v>13932</v>
      </c>
      <c r="E1686" s="109" t="s">
        <v>5558</v>
      </c>
      <c r="F1686" s="109" t="s">
        <v>13933</v>
      </c>
      <c r="G1686" s="110" t="s">
        <v>6248</v>
      </c>
      <c r="H1686" s="110" t="s">
        <v>6460</v>
      </c>
      <c r="I1686" s="110" t="s">
        <v>13934</v>
      </c>
    </row>
    <row r="1687" spans="1:9" ht="37.799999999999997" x14ac:dyDescent="0.3">
      <c r="A1687" s="109" t="s">
        <v>13935</v>
      </c>
      <c r="B1687" s="109" t="s">
        <v>13778</v>
      </c>
      <c r="C1687" s="109" t="s">
        <v>13778</v>
      </c>
      <c r="D1687" s="109" t="s">
        <v>13936</v>
      </c>
      <c r="E1687" s="109" t="s">
        <v>5558</v>
      </c>
      <c r="F1687" s="109" t="s">
        <v>13937</v>
      </c>
      <c r="G1687" s="110" t="s">
        <v>6248</v>
      </c>
      <c r="H1687" s="110" t="s">
        <v>6460</v>
      </c>
      <c r="I1687" s="110" t="s">
        <v>13938</v>
      </c>
    </row>
    <row r="1688" spans="1:9" ht="25.2" x14ac:dyDescent="0.3">
      <c r="A1688" s="109" t="s">
        <v>13939</v>
      </c>
      <c r="B1688" s="109" t="s">
        <v>13778</v>
      </c>
      <c r="C1688" s="109" t="s">
        <v>13778</v>
      </c>
      <c r="D1688" s="109" t="s">
        <v>13940</v>
      </c>
      <c r="E1688" s="109" t="s">
        <v>5558</v>
      </c>
      <c r="F1688" s="109" t="s">
        <v>13941</v>
      </c>
      <c r="G1688" s="110" t="s">
        <v>6248</v>
      </c>
      <c r="H1688" s="110" t="s">
        <v>7830</v>
      </c>
      <c r="I1688" s="110" t="s">
        <v>13942</v>
      </c>
    </row>
    <row r="1689" spans="1:9" ht="25.2" x14ac:dyDescent="0.3">
      <c r="A1689" s="109" t="s">
        <v>13943</v>
      </c>
      <c r="B1689" s="109" t="s">
        <v>13778</v>
      </c>
      <c r="C1689" s="109" t="s">
        <v>13778</v>
      </c>
      <c r="D1689" s="109" t="s">
        <v>13944</v>
      </c>
      <c r="E1689" s="109" t="s">
        <v>5558</v>
      </c>
      <c r="F1689" s="109" t="s">
        <v>13945</v>
      </c>
      <c r="G1689" s="110" t="s">
        <v>6248</v>
      </c>
      <c r="H1689" s="110" t="s">
        <v>6474</v>
      </c>
      <c r="I1689" s="110" t="s">
        <v>13946</v>
      </c>
    </row>
    <row r="1690" spans="1:9" ht="37.799999999999997" x14ac:dyDescent="0.3">
      <c r="A1690" s="109" t="s">
        <v>13947</v>
      </c>
      <c r="B1690" s="109" t="s">
        <v>13778</v>
      </c>
      <c r="C1690" s="109" t="s">
        <v>13778</v>
      </c>
      <c r="D1690" s="109" t="s">
        <v>13948</v>
      </c>
      <c r="E1690" s="109" t="s">
        <v>5558</v>
      </c>
      <c r="F1690" s="109" t="s">
        <v>13949</v>
      </c>
      <c r="G1690" s="110" t="s">
        <v>6248</v>
      </c>
      <c r="H1690" s="110" t="s">
        <v>6460</v>
      </c>
      <c r="I1690" s="110" t="s">
        <v>13950</v>
      </c>
    </row>
    <row r="1691" spans="1:9" ht="25.2" x14ac:dyDescent="0.3">
      <c r="A1691" s="109" t="s">
        <v>13951</v>
      </c>
      <c r="B1691" s="109" t="s">
        <v>13778</v>
      </c>
      <c r="C1691" s="109" t="s">
        <v>13778</v>
      </c>
      <c r="D1691" s="109" t="s">
        <v>13952</v>
      </c>
      <c r="E1691" s="109" t="s">
        <v>5558</v>
      </c>
      <c r="F1691" s="109" t="s">
        <v>13953</v>
      </c>
      <c r="G1691" s="110" t="s">
        <v>6248</v>
      </c>
      <c r="H1691" s="110" t="s">
        <v>6393</v>
      </c>
      <c r="I1691" s="110" t="s">
        <v>13954</v>
      </c>
    </row>
    <row r="1692" spans="1:9" ht="25.2" x14ac:dyDescent="0.3">
      <c r="A1692" s="109" t="s">
        <v>13955</v>
      </c>
      <c r="B1692" s="109" t="s">
        <v>13778</v>
      </c>
      <c r="C1692" s="109" t="s">
        <v>13778</v>
      </c>
      <c r="D1692" s="109" t="s">
        <v>13956</v>
      </c>
      <c r="E1692" s="109" t="s">
        <v>5558</v>
      </c>
      <c r="F1692" s="109" t="s">
        <v>13957</v>
      </c>
      <c r="G1692" s="110" t="s">
        <v>6248</v>
      </c>
      <c r="H1692" s="110" t="s">
        <v>7830</v>
      </c>
      <c r="I1692" s="110" t="s">
        <v>13958</v>
      </c>
    </row>
    <row r="1693" spans="1:9" ht="25.2" x14ac:dyDescent="0.3">
      <c r="A1693" s="109" t="s">
        <v>13959</v>
      </c>
      <c r="B1693" s="109" t="s">
        <v>13778</v>
      </c>
      <c r="C1693" s="109" t="s">
        <v>13778</v>
      </c>
      <c r="D1693" s="109" t="s">
        <v>13960</v>
      </c>
      <c r="E1693" s="109" t="s">
        <v>5558</v>
      </c>
      <c r="F1693" s="109" t="s">
        <v>13961</v>
      </c>
      <c r="G1693" s="110" t="s">
        <v>6248</v>
      </c>
      <c r="H1693" s="110" t="s">
        <v>7817</v>
      </c>
      <c r="I1693" s="110" t="s">
        <v>13962</v>
      </c>
    </row>
    <row r="1694" spans="1:9" ht="25.2" x14ac:dyDescent="0.3">
      <c r="A1694" s="109" t="s">
        <v>13963</v>
      </c>
      <c r="B1694" s="109" t="s">
        <v>13778</v>
      </c>
      <c r="C1694" s="109" t="s">
        <v>13778</v>
      </c>
      <c r="D1694" s="109" t="s">
        <v>13964</v>
      </c>
      <c r="E1694" s="109" t="s">
        <v>5558</v>
      </c>
      <c r="F1694" s="109" t="s">
        <v>13965</v>
      </c>
      <c r="G1694" s="110" t="s">
        <v>6248</v>
      </c>
      <c r="H1694" s="110" t="s">
        <v>12935</v>
      </c>
      <c r="I1694" s="110" t="s">
        <v>13966</v>
      </c>
    </row>
    <row r="1695" spans="1:9" ht="25.2" x14ac:dyDescent="0.3">
      <c r="A1695" s="109" t="s">
        <v>13967</v>
      </c>
      <c r="B1695" s="109" t="s">
        <v>13778</v>
      </c>
      <c r="C1695" s="109" t="s">
        <v>13778</v>
      </c>
      <c r="D1695" s="109" t="s">
        <v>13968</v>
      </c>
      <c r="E1695" s="109" t="s">
        <v>5558</v>
      </c>
      <c r="F1695" s="109" t="s">
        <v>13969</v>
      </c>
      <c r="G1695" s="110" t="s">
        <v>6248</v>
      </c>
      <c r="H1695" s="110" t="s">
        <v>6393</v>
      </c>
      <c r="I1695" s="110" t="s">
        <v>13970</v>
      </c>
    </row>
    <row r="1696" spans="1:9" ht="37.799999999999997" x14ac:dyDescent="0.3">
      <c r="A1696" s="109" t="s">
        <v>13971</v>
      </c>
      <c r="B1696" s="109" t="s">
        <v>13778</v>
      </c>
      <c r="C1696" s="109" t="s">
        <v>13778</v>
      </c>
      <c r="D1696" s="109" t="s">
        <v>13972</v>
      </c>
      <c r="E1696" s="109" t="s">
        <v>5558</v>
      </c>
      <c r="F1696" s="109" t="s">
        <v>13973</v>
      </c>
      <c r="G1696" s="110" t="s">
        <v>6248</v>
      </c>
      <c r="H1696" s="110" t="s">
        <v>8905</v>
      </c>
      <c r="I1696" s="110" t="s">
        <v>13974</v>
      </c>
    </row>
    <row r="1697" spans="1:9" ht="25.2" x14ac:dyDescent="0.3">
      <c r="A1697" s="109" t="s">
        <v>13975</v>
      </c>
      <c r="B1697" s="109" t="s">
        <v>13778</v>
      </c>
      <c r="C1697" s="109" t="s">
        <v>13778</v>
      </c>
      <c r="D1697" s="109" t="s">
        <v>13976</v>
      </c>
      <c r="E1697" s="109" t="s">
        <v>5558</v>
      </c>
      <c r="F1697" s="109" t="s">
        <v>13977</v>
      </c>
      <c r="G1697" s="110" t="s">
        <v>6248</v>
      </c>
      <c r="H1697" s="110" t="s">
        <v>6557</v>
      </c>
      <c r="I1697" s="110" t="s">
        <v>13978</v>
      </c>
    </row>
    <row r="1698" spans="1:9" ht="25.2" x14ac:dyDescent="0.3">
      <c r="A1698" s="109" t="s">
        <v>13979</v>
      </c>
      <c r="B1698" s="109" t="s">
        <v>13778</v>
      </c>
      <c r="C1698" s="109" t="s">
        <v>13778</v>
      </c>
      <c r="D1698" s="109" t="s">
        <v>13980</v>
      </c>
      <c r="E1698" s="109" t="s">
        <v>5558</v>
      </c>
      <c r="F1698" s="109" t="s">
        <v>13981</v>
      </c>
      <c r="G1698" s="110" t="s">
        <v>6248</v>
      </c>
      <c r="H1698" s="110" t="s">
        <v>13982</v>
      </c>
      <c r="I1698" s="110" t="s">
        <v>13983</v>
      </c>
    </row>
    <row r="1699" spans="1:9" ht="37.799999999999997" x14ac:dyDescent="0.3">
      <c r="A1699" s="109" t="s">
        <v>13984</v>
      </c>
      <c r="B1699" s="109" t="s">
        <v>13778</v>
      </c>
      <c r="C1699" s="109" t="s">
        <v>13778</v>
      </c>
      <c r="D1699" s="109" t="s">
        <v>13985</v>
      </c>
      <c r="E1699" s="109" t="s">
        <v>5558</v>
      </c>
      <c r="F1699" s="109" t="s">
        <v>13986</v>
      </c>
      <c r="G1699" s="110" t="s">
        <v>6248</v>
      </c>
      <c r="H1699" s="110" t="s">
        <v>8905</v>
      </c>
      <c r="I1699" s="110" t="s">
        <v>13987</v>
      </c>
    </row>
    <row r="1700" spans="1:9" ht="25.2" x14ac:dyDescent="0.3">
      <c r="A1700" s="109" t="s">
        <v>13988</v>
      </c>
      <c r="B1700" s="109" t="s">
        <v>13778</v>
      </c>
      <c r="C1700" s="109" t="s">
        <v>13778</v>
      </c>
      <c r="D1700" s="109" t="s">
        <v>13989</v>
      </c>
      <c r="E1700" s="109" t="s">
        <v>5558</v>
      </c>
      <c r="F1700" s="109" t="s">
        <v>13990</v>
      </c>
      <c r="G1700" s="110" t="s">
        <v>6248</v>
      </c>
      <c r="H1700" s="110" t="s">
        <v>11597</v>
      </c>
      <c r="I1700" s="110" t="s">
        <v>13991</v>
      </c>
    </row>
    <row r="1701" spans="1:9" ht="37.799999999999997" x14ac:dyDescent="0.3">
      <c r="A1701" s="109" t="s">
        <v>13992</v>
      </c>
      <c r="B1701" s="109" t="s">
        <v>13778</v>
      </c>
      <c r="C1701" s="109" t="s">
        <v>13778</v>
      </c>
      <c r="D1701" s="109" t="s">
        <v>13993</v>
      </c>
      <c r="E1701" s="109" t="s">
        <v>5558</v>
      </c>
      <c r="F1701" s="109" t="s">
        <v>13994</v>
      </c>
      <c r="G1701" s="110" t="s">
        <v>6248</v>
      </c>
      <c r="H1701" s="110" t="s">
        <v>9158</v>
      </c>
      <c r="I1701" s="110" t="s">
        <v>13995</v>
      </c>
    </row>
    <row r="1702" spans="1:9" ht="25.2" x14ac:dyDescent="0.3">
      <c r="A1702" s="109" t="s">
        <v>13996</v>
      </c>
      <c r="B1702" s="109" t="s">
        <v>13778</v>
      </c>
      <c r="C1702" s="109" t="s">
        <v>13778</v>
      </c>
      <c r="D1702" s="109" t="s">
        <v>13997</v>
      </c>
      <c r="E1702" s="109" t="s">
        <v>5558</v>
      </c>
      <c r="F1702" s="109" t="s">
        <v>13998</v>
      </c>
      <c r="G1702" s="110" t="s">
        <v>6248</v>
      </c>
      <c r="H1702" s="110" t="s">
        <v>9158</v>
      </c>
      <c r="I1702" s="110" t="s">
        <v>13999</v>
      </c>
    </row>
    <row r="1703" spans="1:9" ht="25.2" x14ac:dyDescent="0.3">
      <c r="A1703" s="109" t="s">
        <v>14000</v>
      </c>
      <c r="B1703" s="109" t="s">
        <v>13778</v>
      </c>
      <c r="C1703" s="109" t="s">
        <v>13778</v>
      </c>
      <c r="D1703" s="109" t="s">
        <v>14001</v>
      </c>
      <c r="E1703" s="109" t="s">
        <v>5558</v>
      </c>
      <c r="F1703" s="109" t="s">
        <v>14002</v>
      </c>
      <c r="G1703" s="110" t="s">
        <v>6248</v>
      </c>
      <c r="H1703" s="110" t="s">
        <v>7817</v>
      </c>
      <c r="I1703" s="110" t="s">
        <v>14003</v>
      </c>
    </row>
    <row r="1704" spans="1:9" ht="25.2" x14ac:dyDescent="0.3">
      <c r="A1704" s="109" t="s">
        <v>14004</v>
      </c>
      <c r="B1704" s="109" t="s">
        <v>13778</v>
      </c>
      <c r="C1704" s="109" t="s">
        <v>13778</v>
      </c>
      <c r="D1704" s="109" t="s">
        <v>14005</v>
      </c>
      <c r="E1704" s="109" t="s">
        <v>5558</v>
      </c>
      <c r="F1704" s="109" t="s">
        <v>14006</v>
      </c>
      <c r="G1704" s="110" t="s">
        <v>6248</v>
      </c>
      <c r="H1704" s="110" t="s">
        <v>6507</v>
      </c>
      <c r="I1704" s="110" t="s">
        <v>14007</v>
      </c>
    </row>
    <row r="1705" spans="1:9" ht="37.799999999999997" x14ac:dyDescent="0.3">
      <c r="A1705" s="109" t="s">
        <v>14008</v>
      </c>
      <c r="B1705" s="109" t="s">
        <v>13778</v>
      </c>
      <c r="C1705" s="109" t="s">
        <v>13778</v>
      </c>
      <c r="D1705" s="109" t="s">
        <v>14009</v>
      </c>
      <c r="E1705" s="109" t="s">
        <v>5558</v>
      </c>
      <c r="F1705" s="109" t="s">
        <v>14010</v>
      </c>
      <c r="G1705" s="110" t="s">
        <v>6248</v>
      </c>
      <c r="H1705" s="110" t="s">
        <v>6689</v>
      </c>
      <c r="I1705" s="110" t="s">
        <v>14011</v>
      </c>
    </row>
    <row r="1706" spans="1:9" ht="25.2" x14ac:dyDescent="0.3">
      <c r="A1706" s="109" t="s">
        <v>14012</v>
      </c>
      <c r="B1706" s="109" t="s">
        <v>13778</v>
      </c>
      <c r="C1706" s="109" t="s">
        <v>13778</v>
      </c>
      <c r="D1706" s="109" t="s">
        <v>14013</v>
      </c>
      <c r="E1706" s="109" t="s">
        <v>5558</v>
      </c>
      <c r="F1706" s="109" t="s">
        <v>14014</v>
      </c>
      <c r="G1706" s="110" t="s">
        <v>6248</v>
      </c>
      <c r="H1706" s="110" t="s">
        <v>9037</v>
      </c>
      <c r="I1706" s="110" t="s">
        <v>14015</v>
      </c>
    </row>
    <row r="1707" spans="1:9" ht="25.2" x14ac:dyDescent="0.3">
      <c r="A1707" s="109" t="s">
        <v>14016</v>
      </c>
      <c r="B1707" s="109" t="s">
        <v>13778</v>
      </c>
      <c r="C1707" s="109" t="s">
        <v>13778</v>
      </c>
      <c r="D1707" s="109" t="s">
        <v>14017</v>
      </c>
      <c r="E1707" s="109" t="s">
        <v>5558</v>
      </c>
      <c r="F1707" s="109" t="s">
        <v>14018</v>
      </c>
      <c r="G1707" s="110" t="s">
        <v>6248</v>
      </c>
      <c r="H1707" s="110" t="s">
        <v>6389</v>
      </c>
      <c r="I1707" s="110" t="s">
        <v>14019</v>
      </c>
    </row>
    <row r="1708" spans="1:9" ht="25.2" x14ac:dyDescent="0.3">
      <c r="A1708" s="109" t="s">
        <v>14020</v>
      </c>
      <c r="B1708" s="109" t="s">
        <v>13778</v>
      </c>
      <c r="C1708" s="109" t="s">
        <v>13778</v>
      </c>
      <c r="D1708" s="109" t="s">
        <v>14021</v>
      </c>
      <c r="E1708" s="109" t="s">
        <v>5558</v>
      </c>
      <c r="F1708" s="109" t="s">
        <v>14022</v>
      </c>
      <c r="G1708" s="110" t="s">
        <v>6248</v>
      </c>
      <c r="H1708" s="110" t="s">
        <v>14023</v>
      </c>
      <c r="I1708" s="110" t="s">
        <v>14024</v>
      </c>
    </row>
    <row r="1709" spans="1:9" ht="25.2" x14ac:dyDescent="0.3">
      <c r="A1709" s="109" t="s">
        <v>14025</v>
      </c>
      <c r="B1709" s="109" t="s">
        <v>13778</v>
      </c>
      <c r="C1709" s="109" t="s">
        <v>13778</v>
      </c>
      <c r="D1709" s="109" t="s">
        <v>14026</v>
      </c>
      <c r="E1709" s="109" t="s">
        <v>5558</v>
      </c>
      <c r="F1709" s="109" t="s">
        <v>14027</v>
      </c>
      <c r="G1709" s="110" t="s">
        <v>6248</v>
      </c>
      <c r="H1709" s="110" t="s">
        <v>14028</v>
      </c>
      <c r="I1709" s="110" t="s">
        <v>14029</v>
      </c>
    </row>
    <row r="1710" spans="1:9" ht="25.2" x14ac:dyDescent="0.3">
      <c r="A1710" s="109" t="s">
        <v>14030</v>
      </c>
      <c r="B1710" s="109" t="s">
        <v>13778</v>
      </c>
      <c r="C1710" s="109" t="s">
        <v>13778</v>
      </c>
      <c r="D1710" s="109" t="s">
        <v>14031</v>
      </c>
      <c r="E1710" s="109" t="s">
        <v>5558</v>
      </c>
      <c r="F1710" s="109" t="s">
        <v>14032</v>
      </c>
      <c r="G1710" s="110" t="s">
        <v>6248</v>
      </c>
      <c r="H1710" s="110" t="s">
        <v>6689</v>
      </c>
      <c r="I1710" s="110" t="s">
        <v>14033</v>
      </c>
    </row>
    <row r="1711" spans="1:9" ht="37.799999999999997" x14ac:dyDescent="0.3">
      <c r="A1711" s="109" t="s">
        <v>14034</v>
      </c>
      <c r="B1711" s="109" t="s">
        <v>13778</v>
      </c>
      <c r="C1711" s="109" t="s">
        <v>13778</v>
      </c>
      <c r="D1711" s="109" t="s">
        <v>14035</v>
      </c>
      <c r="E1711" s="109" t="s">
        <v>5558</v>
      </c>
      <c r="F1711" s="109" t="s">
        <v>14036</v>
      </c>
      <c r="G1711" s="110" t="s">
        <v>6248</v>
      </c>
      <c r="H1711" s="110" t="s">
        <v>14037</v>
      </c>
      <c r="I1711" s="110" t="s">
        <v>14038</v>
      </c>
    </row>
    <row r="1712" spans="1:9" ht="37.799999999999997" x14ac:dyDescent="0.3">
      <c r="A1712" s="109" t="s">
        <v>14039</v>
      </c>
      <c r="B1712" s="109" t="s">
        <v>13778</v>
      </c>
      <c r="C1712" s="109" t="s">
        <v>13778</v>
      </c>
      <c r="D1712" s="109" t="s">
        <v>14040</v>
      </c>
      <c r="E1712" s="109" t="s">
        <v>5558</v>
      </c>
      <c r="F1712" s="109" t="s">
        <v>14041</v>
      </c>
      <c r="G1712" s="110" t="s">
        <v>6248</v>
      </c>
      <c r="H1712" s="110" t="s">
        <v>14042</v>
      </c>
      <c r="I1712" s="110" t="s">
        <v>14043</v>
      </c>
    </row>
    <row r="1713" spans="1:9" ht="37.799999999999997" x14ac:dyDescent="0.3">
      <c r="A1713" s="109" t="s">
        <v>14044</v>
      </c>
      <c r="B1713" s="109" t="s">
        <v>13778</v>
      </c>
      <c r="C1713" s="109" t="s">
        <v>13778</v>
      </c>
      <c r="D1713" s="109" t="s">
        <v>14045</v>
      </c>
      <c r="E1713" s="109" t="s">
        <v>5558</v>
      </c>
      <c r="F1713" s="109" t="s">
        <v>14046</v>
      </c>
      <c r="G1713" s="110" t="s">
        <v>6248</v>
      </c>
      <c r="H1713" s="110" t="s">
        <v>14047</v>
      </c>
      <c r="I1713" s="110" t="s">
        <v>14048</v>
      </c>
    </row>
    <row r="1714" spans="1:9" ht="25.2" x14ac:dyDescent="0.3">
      <c r="A1714" s="109" t="s">
        <v>14049</v>
      </c>
      <c r="B1714" s="109" t="s">
        <v>13778</v>
      </c>
      <c r="C1714" s="109" t="s">
        <v>13778</v>
      </c>
      <c r="D1714" s="109" t="s">
        <v>5569</v>
      </c>
      <c r="E1714" s="109" t="s">
        <v>5558</v>
      </c>
      <c r="F1714" s="109" t="s">
        <v>2258</v>
      </c>
      <c r="G1714" s="110" t="s">
        <v>6248</v>
      </c>
      <c r="H1714" s="110" t="s">
        <v>14050</v>
      </c>
      <c r="I1714" s="110" t="s">
        <v>14051</v>
      </c>
    </row>
    <row r="1715" spans="1:9" ht="25.2" x14ac:dyDescent="0.3">
      <c r="A1715" s="109" t="s">
        <v>14052</v>
      </c>
      <c r="B1715" s="109" t="s">
        <v>13778</v>
      </c>
      <c r="C1715" s="109" t="s">
        <v>13778</v>
      </c>
      <c r="D1715" s="109" t="s">
        <v>14053</v>
      </c>
      <c r="E1715" s="109" t="s">
        <v>5558</v>
      </c>
      <c r="F1715" s="109" t="s">
        <v>14054</v>
      </c>
      <c r="G1715" s="110" t="s">
        <v>6248</v>
      </c>
      <c r="H1715" s="110" t="s">
        <v>14055</v>
      </c>
      <c r="I1715" s="110" t="s">
        <v>14056</v>
      </c>
    </row>
    <row r="1716" spans="1:9" ht="37.799999999999997" x14ac:dyDescent="0.3">
      <c r="A1716" s="109" t="s">
        <v>14057</v>
      </c>
      <c r="B1716" s="109" t="s">
        <v>13778</v>
      </c>
      <c r="C1716" s="109" t="s">
        <v>13778</v>
      </c>
      <c r="D1716" s="109" t="s">
        <v>14058</v>
      </c>
      <c r="E1716" s="109" t="s">
        <v>5558</v>
      </c>
      <c r="F1716" s="109" t="s">
        <v>14059</v>
      </c>
      <c r="G1716" s="110" t="s">
        <v>6248</v>
      </c>
      <c r="H1716" s="110" t="s">
        <v>14060</v>
      </c>
      <c r="I1716" s="110" t="s">
        <v>14061</v>
      </c>
    </row>
    <row r="1717" spans="1:9" ht="25.2" x14ac:dyDescent="0.3">
      <c r="A1717" s="109" t="s">
        <v>14062</v>
      </c>
      <c r="B1717" s="109" t="s">
        <v>13778</v>
      </c>
      <c r="C1717" s="109" t="s">
        <v>13778</v>
      </c>
      <c r="D1717" s="109" t="s">
        <v>14063</v>
      </c>
      <c r="E1717" s="109" t="s">
        <v>14064</v>
      </c>
      <c r="F1717" s="109" t="s">
        <v>14065</v>
      </c>
      <c r="G1717" s="110" t="s">
        <v>6248</v>
      </c>
      <c r="H1717" s="110" t="s">
        <v>11207</v>
      </c>
      <c r="I1717" s="110" t="s">
        <v>14066</v>
      </c>
    </row>
    <row r="1718" spans="1:9" ht="25.2" x14ac:dyDescent="0.3">
      <c r="A1718" s="109" t="s">
        <v>14067</v>
      </c>
      <c r="B1718" s="109" t="s">
        <v>13778</v>
      </c>
      <c r="C1718" s="109" t="s">
        <v>13778</v>
      </c>
      <c r="D1718" s="109" t="s">
        <v>14068</v>
      </c>
      <c r="E1718" s="109" t="s">
        <v>14069</v>
      </c>
      <c r="F1718" s="109" t="s">
        <v>6863</v>
      </c>
      <c r="G1718" s="110" t="s">
        <v>6248</v>
      </c>
      <c r="H1718" s="110" t="s">
        <v>14070</v>
      </c>
      <c r="I1718" s="110" t="s">
        <v>14071</v>
      </c>
    </row>
    <row r="1719" spans="1:9" ht="25.2" x14ac:dyDescent="0.3">
      <c r="A1719" s="109" t="s">
        <v>14072</v>
      </c>
      <c r="B1719" s="109" t="s">
        <v>13778</v>
      </c>
      <c r="C1719" s="109" t="s">
        <v>13778</v>
      </c>
      <c r="D1719" s="109" t="s">
        <v>14073</v>
      </c>
      <c r="E1719" s="109" t="s">
        <v>14074</v>
      </c>
      <c r="F1719" s="109" t="s">
        <v>13206</v>
      </c>
      <c r="G1719" s="110" t="s">
        <v>6248</v>
      </c>
      <c r="H1719" s="110" t="s">
        <v>14075</v>
      </c>
      <c r="I1719" s="110" t="s">
        <v>14076</v>
      </c>
    </row>
    <row r="1720" spans="1:9" ht="37.799999999999997" x14ac:dyDescent="0.3">
      <c r="A1720" s="109" t="s">
        <v>14077</v>
      </c>
      <c r="B1720" s="109" t="s">
        <v>13778</v>
      </c>
      <c r="C1720" s="109" t="s">
        <v>13778</v>
      </c>
      <c r="D1720" s="109" t="s">
        <v>1599</v>
      </c>
      <c r="E1720" s="109" t="s">
        <v>5558</v>
      </c>
      <c r="F1720" s="109" t="s">
        <v>14078</v>
      </c>
      <c r="G1720" s="110" t="s">
        <v>6248</v>
      </c>
      <c r="H1720" s="110" t="s">
        <v>13153</v>
      </c>
      <c r="I1720" s="110" t="s">
        <v>14079</v>
      </c>
    </row>
    <row r="1721" spans="1:9" ht="25.2" x14ac:dyDescent="0.3">
      <c r="A1721" s="109" t="s">
        <v>14080</v>
      </c>
      <c r="B1721" s="109" t="s">
        <v>13778</v>
      </c>
      <c r="C1721" s="109" t="s">
        <v>13778</v>
      </c>
      <c r="D1721" s="109" t="s">
        <v>14081</v>
      </c>
      <c r="E1721" s="109" t="s">
        <v>14082</v>
      </c>
      <c r="F1721" s="109" t="s">
        <v>14083</v>
      </c>
      <c r="G1721" s="110" t="s">
        <v>6248</v>
      </c>
      <c r="H1721" s="110" t="s">
        <v>14084</v>
      </c>
      <c r="I1721" s="110" t="s">
        <v>14085</v>
      </c>
    </row>
    <row r="1722" spans="1:9" ht="25.2" x14ac:dyDescent="0.3">
      <c r="A1722" s="109" t="s">
        <v>14086</v>
      </c>
      <c r="B1722" s="109" t="s">
        <v>13778</v>
      </c>
      <c r="C1722" s="109" t="s">
        <v>13778</v>
      </c>
      <c r="D1722" s="109" t="s">
        <v>14087</v>
      </c>
      <c r="E1722" s="109" t="s">
        <v>14088</v>
      </c>
      <c r="F1722" s="109" t="s">
        <v>14083</v>
      </c>
      <c r="G1722" s="110" t="s">
        <v>6248</v>
      </c>
      <c r="H1722" s="110" t="s">
        <v>14089</v>
      </c>
      <c r="I1722" s="110" t="s">
        <v>14090</v>
      </c>
    </row>
    <row r="1723" spans="1:9" ht="37.799999999999997" x14ac:dyDescent="0.3">
      <c r="A1723" s="109" t="s">
        <v>14091</v>
      </c>
      <c r="B1723" s="109" t="s">
        <v>13778</v>
      </c>
      <c r="C1723" s="109" t="s">
        <v>13778</v>
      </c>
      <c r="D1723" s="109" t="s">
        <v>14092</v>
      </c>
      <c r="E1723" s="109" t="s">
        <v>5558</v>
      </c>
      <c r="F1723" s="109" t="s">
        <v>14093</v>
      </c>
      <c r="G1723" s="110" t="s">
        <v>6248</v>
      </c>
      <c r="H1723" s="110" t="s">
        <v>14094</v>
      </c>
      <c r="I1723" s="110" t="s">
        <v>14095</v>
      </c>
    </row>
    <row r="1724" spans="1:9" ht="25.2" x14ac:dyDescent="0.3">
      <c r="A1724" s="109" t="s">
        <v>14096</v>
      </c>
      <c r="B1724" s="109" t="s">
        <v>13778</v>
      </c>
      <c r="C1724" s="109" t="s">
        <v>13778</v>
      </c>
      <c r="D1724" s="109" t="s">
        <v>14097</v>
      </c>
      <c r="E1724" s="109" t="s">
        <v>14098</v>
      </c>
      <c r="F1724" s="109" t="s">
        <v>10749</v>
      </c>
      <c r="G1724" s="110" t="s">
        <v>6248</v>
      </c>
      <c r="H1724" s="110" t="s">
        <v>7714</v>
      </c>
      <c r="I1724" s="110" t="s">
        <v>14099</v>
      </c>
    </row>
    <row r="1725" spans="1:9" ht="25.2" x14ac:dyDescent="0.3">
      <c r="A1725" s="109" t="s">
        <v>14100</v>
      </c>
      <c r="B1725" s="109" t="s">
        <v>13778</v>
      </c>
      <c r="C1725" s="109" t="s">
        <v>13778</v>
      </c>
      <c r="D1725" s="109" t="s">
        <v>14101</v>
      </c>
      <c r="E1725" s="109" t="s">
        <v>5558</v>
      </c>
      <c r="F1725" s="109" t="s">
        <v>14102</v>
      </c>
      <c r="G1725" s="110" t="s">
        <v>6248</v>
      </c>
      <c r="H1725" s="110" t="s">
        <v>14103</v>
      </c>
      <c r="I1725" s="110" t="s">
        <v>14104</v>
      </c>
    </row>
    <row r="1726" spans="1:9" ht="37.799999999999997" x14ac:dyDescent="0.3">
      <c r="A1726" s="109" t="s">
        <v>14105</v>
      </c>
      <c r="B1726" s="109" t="s">
        <v>13778</v>
      </c>
      <c r="C1726" s="109" t="s">
        <v>13778</v>
      </c>
      <c r="D1726" s="109" t="s">
        <v>14106</v>
      </c>
      <c r="E1726" s="109" t="s">
        <v>5558</v>
      </c>
      <c r="F1726" s="109" t="s">
        <v>14107</v>
      </c>
      <c r="G1726" s="110" t="s">
        <v>6248</v>
      </c>
      <c r="H1726" s="110" t="s">
        <v>14108</v>
      </c>
      <c r="I1726" s="110" t="s">
        <v>14109</v>
      </c>
    </row>
    <row r="1727" spans="1:9" ht="25.2" x14ac:dyDescent="0.3">
      <c r="A1727" s="109" t="s">
        <v>14110</v>
      </c>
      <c r="B1727" s="109" t="s">
        <v>13778</v>
      </c>
      <c r="C1727" s="109" t="s">
        <v>13778</v>
      </c>
      <c r="D1727" s="109" t="s">
        <v>14111</v>
      </c>
      <c r="E1727" s="109" t="s">
        <v>14112</v>
      </c>
      <c r="F1727" s="109" t="s">
        <v>7045</v>
      </c>
      <c r="G1727" s="110" t="s">
        <v>14113</v>
      </c>
      <c r="H1727" s="110" t="s">
        <v>6248</v>
      </c>
      <c r="I1727" s="110" t="s">
        <v>14114</v>
      </c>
    </row>
    <row r="1728" spans="1:9" ht="25.2" x14ac:dyDescent="0.3">
      <c r="A1728" s="109" t="s">
        <v>14115</v>
      </c>
      <c r="B1728" s="109" t="s">
        <v>13778</v>
      </c>
      <c r="C1728" s="109" t="s">
        <v>13778</v>
      </c>
      <c r="D1728" s="109" t="s">
        <v>14116</v>
      </c>
      <c r="E1728" s="109" t="s">
        <v>5558</v>
      </c>
      <c r="F1728" s="109" t="s">
        <v>14117</v>
      </c>
      <c r="G1728" s="110" t="s">
        <v>6248</v>
      </c>
      <c r="H1728" s="110" t="s">
        <v>14118</v>
      </c>
      <c r="I1728" s="110" t="s">
        <v>14119</v>
      </c>
    </row>
    <row r="1729" spans="1:9" ht="25.2" x14ac:dyDescent="0.3">
      <c r="A1729" s="109" t="s">
        <v>14120</v>
      </c>
      <c r="B1729" s="109" t="s">
        <v>13778</v>
      </c>
      <c r="C1729" s="109" t="s">
        <v>13778</v>
      </c>
      <c r="D1729" s="109" t="s">
        <v>14121</v>
      </c>
      <c r="E1729" s="109" t="s">
        <v>14122</v>
      </c>
      <c r="F1729" s="109" t="s">
        <v>6878</v>
      </c>
      <c r="G1729" s="110" t="s">
        <v>14123</v>
      </c>
      <c r="H1729" s="110" t="s">
        <v>6248</v>
      </c>
      <c r="I1729" s="110" t="s">
        <v>14124</v>
      </c>
    </row>
    <row r="1730" spans="1:9" ht="37.799999999999997" x14ac:dyDescent="0.3">
      <c r="A1730" s="109" t="s">
        <v>14125</v>
      </c>
      <c r="B1730" s="109" t="s">
        <v>13778</v>
      </c>
      <c r="C1730" s="109" t="s">
        <v>13778</v>
      </c>
      <c r="D1730" s="109" t="s">
        <v>14126</v>
      </c>
      <c r="E1730" s="109" t="s">
        <v>5558</v>
      </c>
      <c r="F1730" s="109" t="s">
        <v>14127</v>
      </c>
      <c r="G1730" s="110" t="s">
        <v>6248</v>
      </c>
      <c r="H1730" s="110" t="s">
        <v>14128</v>
      </c>
      <c r="I1730" s="110" t="s">
        <v>14129</v>
      </c>
    </row>
    <row r="1731" spans="1:9" ht="25.2" x14ac:dyDescent="0.3">
      <c r="A1731" s="109" t="s">
        <v>14130</v>
      </c>
      <c r="B1731" s="109" t="s">
        <v>13778</v>
      </c>
      <c r="C1731" s="109" t="s">
        <v>13778</v>
      </c>
      <c r="D1731" s="109" t="s">
        <v>1762</v>
      </c>
      <c r="E1731" s="109" t="s">
        <v>14131</v>
      </c>
      <c r="F1731" s="109" t="s">
        <v>12024</v>
      </c>
      <c r="G1731" s="110" t="s">
        <v>6248</v>
      </c>
      <c r="H1731" s="110" t="s">
        <v>14132</v>
      </c>
      <c r="I1731" s="110" t="s">
        <v>14133</v>
      </c>
    </row>
    <row r="1732" spans="1:9" ht="25.2" x14ac:dyDescent="0.3">
      <c r="A1732" s="109" t="s">
        <v>14134</v>
      </c>
      <c r="B1732" s="109" t="s">
        <v>13778</v>
      </c>
      <c r="C1732" s="109" t="s">
        <v>13778</v>
      </c>
      <c r="D1732" s="109" t="s">
        <v>5569</v>
      </c>
      <c r="E1732" s="109" t="s">
        <v>5558</v>
      </c>
      <c r="F1732" s="109" t="s">
        <v>2258</v>
      </c>
      <c r="G1732" s="110" t="s">
        <v>6248</v>
      </c>
      <c r="H1732" s="110" t="s">
        <v>14135</v>
      </c>
      <c r="I1732" s="110" t="s">
        <v>14136</v>
      </c>
    </row>
    <row r="1733" spans="1:9" ht="25.2" x14ac:dyDescent="0.3">
      <c r="A1733" s="109" t="s">
        <v>14137</v>
      </c>
      <c r="B1733" s="109" t="s">
        <v>13778</v>
      </c>
      <c r="C1733" s="109" t="s">
        <v>13778</v>
      </c>
      <c r="D1733" s="109" t="s">
        <v>14138</v>
      </c>
      <c r="E1733" s="109" t="s">
        <v>14139</v>
      </c>
      <c r="F1733" s="109" t="s">
        <v>14140</v>
      </c>
      <c r="G1733" s="110" t="s">
        <v>6248</v>
      </c>
      <c r="H1733" s="110" t="s">
        <v>11842</v>
      </c>
      <c r="I1733" s="110" t="s">
        <v>14141</v>
      </c>
    </row>
    <row r="1734" spans="1:9" ht="25.2" x14ac:dyDescent="0.3">
      <c r="A1734" s="109" t="s">
        <v>14142</v>
      </c>
      <c r="B1734" s="109" t="s">
        <v>13778</v>
      </c>
      <c r="C1734" s="109" t="s">
        <v>13778</v>
      </c>
      <c r="D1734" s="109" t="s">
        <v>14143</v>
      </c>
      <c r="E1734" s="109" t="s">
        <v>5558</v>
      </c>
      <c r="F1734" s="109" t="s">
        <v>14144</v>
      </c>
      <c r="G1734" s="110" t="s">
        <v>6248</v>
      </c>
      <c r="H1734" s="110" t="s">
        <v>14145</v>
      </c>
      <c r="I1734" s="110" t="s">
        <v>14146</v>
      </c>
    </row>
    <row r="1735" spans="1:9" ht="25.2" x14ac:dyDescent="0.3">
      <c r="A1735" s="109" t="s">
        <v>14147</v>
      </c>
      <c r="B1735" s="109" t="s">
        <v>13778</v>
      </c>
      <c r="C1735" s="109" t="s">
        <v>13778</v>
      </c>
      <c r="D1735" s="109" t="s">
        <v>1510</v>
      </c>
      <c r="E1735" s="109" t="s">
        <v>14148</v>
      </c>
      <c r="F1735" s="109" t="s">
        <v>14149</v>
      </c>
      <c r="G1735" s="110" t="s">
        <v>6248</v>
      </c>
      <c r="H1735" s="110" t="s">
        <v>14150</v>
      </c>
      <c r="I1735" s="110" t="s">
        <v>14151</v>
      </c>
    </row>
    <row r="1736" spans="1:9" ht="37.799999999999997" x14ac:dyDescent="0.3">
      <c r="A1736" s="109" t="s">
        <v>14152</v>
      </c>
      <c r="B1736" s="109" t="s">
        <v>13778</v>
      </c>
      <c r="C1736" s="109" t="s">
        <v>13778</v>
      </c>
      <c r="D1736" s="109" t="s">
        <v>1497</v>
      </c>
      <c r="E1736" s="109" t="s">
        <v>5558</v>
      </c>
      <c r="F1736" s="109" t="s">
        <v>14153</v>
      </c>
      <c r="G1736" s="110" t="s">
        <v>6248</v>
      </c>
      <c r="H1736" s="110" t="s">
        <v>14154</v>
      </c>
      <c r="I1736" s="110" t="s">
        <v>14155</v>
      </c>
    </row>
    <row r="1737" spans="1:9" ht="25.2" x14ac:dyDescent="0.3">
      <c r="A1737" s="109" t="s">
        <v>14156</v>
      </c>
      <c r="B1737" s="109" t="s">
        <v>13778</v>
      </c>
      <c r="C1737" s="109" t="s">
        <v>13778</v>
      </c>
      <c r="D1737" s="109" t="s">
        <v>14157</v>
      </c>
      <c r="E1737" s="109" t="s">
        <v>14158</v>
      </c>
      <c r="F1737" s="109" t="s">
        <v>7039</v>
      </c>
      <c r="G1737" s="110" t="s">
        <v>6248</v>
      </c>
      <c r="H1737" s="110" t="s">
        <v>14159</v>
      </c>
      <c r="I1737" s="110" t="s">
        <v>14160</v>
      </c>
    </row>
    <row r="1738" spans="1:9" ht="25.2" x14ac:dyDescent="0.3">
      <c r="A1738" s="109" t="s">
        <v>14161</v>
      </c>
      <c r="B1738" s="109" t="s">
        <v>13778</v>
      </c>
      <c r="C1738" s="109" t="s">
        <v>13778</v>
      </c>
      <c r="D1738" s="109" t="s">
        <v>14162</v>
      </c>
      <c r="E1738" s="109" t="s">
        <v>14112</v>
      </c>
      <c r="F1738" s="109" t="s">
        <v>7045</v>
      </c>
      <c r="G1738" s="110" t="s">
        <v>13180</v>
      </c>
      <c r="H1738" s="110" t="s">
        <v>6248</v>
      </c>
      <c r="I1738" s="110" t="s">
        <v>14163</v>
      </c>
    </row>
    <row r="1739" spans="1:9" ht="25.2" x14ac:dyDescent="0.3">
      <c r="A1739" s="109" t="s">
        <v>14164</v>
      </c>
      <c r="B1739" s="109" t="s">
        <v>13778</v>
      </c>
      <c r="C1739" s="109" t="s">
        <v>13778</v>
      </c>
      <c r="D1739" s="109" t="s">
        <v>14165</v>
      </c>
      <c r="E1739" s="109" t="s">
        <v>5558</v>
      </c>
      <c r="F1739" s="109" t="s">
        <v>14166</v>
      </c>
      <c r="G1739" s="110" t="s">
        <v>6248</v>
      </c>
      <c r="H1739" s="110" t="s">
        <v>14167</v>
      </c>
      <c r="I1739" s="110" t="s">
        <v>14168</v>
      </c>
    </row>
    <row r="1740" spans="1:9" ht="37.799999999999997" x14ac:dyDescent="0.3">
      <c r="A1740" s="109" t="s">
        <v>14169</v>
      </c>
      <c r="B1740" s="109" t="s">
        <v>13778</v>
      </c>
      <c r="C1740" s="109" t="s">
        <v>13778</v>
      </c>
      <c r="D1740" s="109" t="s">
        <v>14170</v>
      </c>
      <c r="E1740" s="109" t="s">
        <v>5558</v>
      </c>
      <c r="F1740" s="109" t="s">
        <v>14171</v>
      </c>
      <c r="G1740" s="110" t="s">
        <v>6248</v>
      </c>
      <c r="H1740" s="110" t="s">
        <v>14172</v>
      </c>
      <c r="I1740" s="110" t="s">
        <v>14173</v>
      </c>
    </row>
    <row r="1741" spans="1:9" ht="63" x14ac:dyDescent="0.3">
      <c r="A1741" s="109" t="s">
        <v>14174</v>
      </c>
      <c r="B1741" s="109" t="s">
        <v>13778</v>
      </c>
      <c r="C1741" s="109" t="s">
        <v>13778</v>
      </c>
      <c r="D1741" s="109" t="s">
        <v>14175</v>
      </c>
      <c r="E1741" s="109" t="s">
        <v>14175</v>
      </c>
      <c r="F1741" s="109" t="s">
        <v>14176</v>
      </c>
      <c r="G1741" s="110" t="s">
        <v>6248</v>
      </c>
      <c r="H1741" s="110" t="s">
        <v>14177</v>
      </c>
      <c r="I1741" s="110" t="s">
        <v>14178</v>
      </c>
    </row>
    <row r="1742" spans="1:9" ht="37.799999999999997" x14ac:dyDescent="0.3">
      <c r="A1742" s="109" t="s">
        <v>14179</v>
      </c>
      <c r="B1742" s="109" t="s">
        <v>13778</v>
      </c>
      <c r="C1742" s="109" t="s">
        <v>13778</v>
      </c>
      <c r="D1742" s="109" t="s">
        <v>14180</v>
      </c>
      <c r="E1742" s="109" t="s">
        <v>5558</v>
      </c>
      <c r="F1742" s="109" t="s">
        <v>14181</v>
      </c>
      <c r="G1742" s="110" t="s">
        <v>6248</v>
      </c>
      <c r="H1742" s="110" t="s">
        <v>14182</v>
      </c>
      <c r="I1742" s="110" t="s">
        <v>14183</v>
      </c>
    </row>
    <row r="1743" spans="1:9" ht="37.799999999999997" x14ac:dyDescent="0.3">
      <c r="A1743" s="109" t="s">
        <v>14184</v>
      </c>
      <c r="B1743" s="109" t="s">
        <v>13778</v>
      </c>
      <c r="C1743" s="109" t="s">
        <v>13778</v>
      </c>
      <c r="D1743" s="109" t="s">
        <v>14185</v>
      </c>
      <c r="E1743" s="109" t="s">
        <v>5558</v>
      </c>
      <c r="F1743" s="109" t="s">
        <v>14186</v>
      </c>
      <c r="G1743" s="110" t="s">
        <v>6248</v>
      </c>
      <c r="H1743" s="110" t="s">
        <v>11912</v>
      </c>
      <c r="I1743" s="110" t="s">
        <v>14187</v>
      </c>
    </row>
    <row r="1744" spans="1:9" ht="25.2" x14ac:dyDescent="0.3">
      <c r="A1744" s="109" t="s">
        <v>14188</v>
      </c>
      <c r="B1744" s="109" t="s">
        <v>13778</v>
      </c>
      <c r="C1744" s="109" t="s">
        <v>13778</v>
      </c>
      <c r="D1744" s="109" t="s">
        <v>1761</v>
      </c>
      <c r="E1744" s="109" t="s">
        <v>14189</v>
      </c>
      <c r="F1744" s="109" t="s">
        <v>14190</v>
      </c>
      <c r="G1744" s="110" t="s">
        <v>6248</v>
      </c>
      <c r="H1744" s="110" t="s">
        <v>14191</v>
      </c>
      <c r="I1744" s="110" t="s">
        <v>14192</v>
      </c>
    </row>
    <row r="1745" spans="1:9" ht="63" x14ac:dyDescent="0.3">
      <c r="A1745" s="109" t="s">
        <v>14193</v>
      </c>
      <c r="B1745" s="109" t="s">
        <v>13778</v>
      </c>
      <c r="C1745" s="109" t="s">
        <v>13778</v>
      </c>
      <c r="D1745" s="109" t="s">
        <v>14194</v>
      </c>
      <c r="E1745" s="109" t="s">
        <v>14194</v>
      </c>
      <c r="F1745" s="109" t="s">
        <v>14195</v>
      </c>
      <c r="G1745" s="110" t="s">
        <v>6248</v>
      </c>
      <c r="H1745" s="110" t="s">
        <v>14196</v>
      </c>
      <c r="I1745" s="110" t="s">
        <v>14197</v>
      </c>
    </row>
    <row r="1746" spans="1:9" ht="25.2" x14ac:dyDescent="0.3">
      <c r="A1746" s="109" t="s">
        <v>14198</v>
      </c>
      <c r="B1746" s="109" t="s">
        <v>13778</v>
      </c>
      <c r="C1746" s="109" t="s">
        <v>13778</v>
      </c>
      <c r="D1746" s="109" t="s">
        <v>14199</v>
      </c>
      <c r="E1746" s="109" t="s">
        <v>5558</v>
      </c>
      <c r="F1746" s="109" t="s">
        <v>14200</v>
      </c>
      <c r="G1746" s="110" t="s">
        <v>6248</v>
      </c>
      <c r="H1746" s="110" t="s">
        <v>14201</v>
      </c>
      <c r="I1746" s="110" t="s">
        <v>14202</v>
      </c>
    </row>
    <row r="1747" spans="1:9" ht="63" x14ac:dyDescent="0.3">
      <c r="A1747" s="109" t="s">
        <v>14203</v>
      </c>
      <c r="B1747" s="109" t="s">
        <v>13778</v>
      </c>
      <c r="C1747" s="109" t="s">
        <v>13778</v>
      </c>
      <c r="D1747" s="109" t="s">
        <v>9836</v>
      </c>
      <c r="E1747" s="109" t="s">
        <v>9836</v>
      </c>
      <c r="F1747" s="109" t="s">
        <v>14204</v>
      </c>
      <c r="G1747" s="110" t="s">
        <v>6248</v>
      </c>
      <c r="H1747" s="110" t="s">
        <v>14205</v>
      </c>
      <c r="I1747" s="110" t="s">
        <v>14206</v>
      </c>
    </row>
    <row r="1748" spans="1:9" ht="25.2" x14ac:dyDescent="0.3">
      <c r="A1748" s="109" t="s">
        <v>14207</v>
      </c>
      <c r="B1748" s="109" t="s">
        <v>13778</v>
      </c>
      <c r="C1748" s="109" t="s">
        <v>13778</v>
      </c>
      <c r="D1748" s="109" t="s">
        <v>14208</v>
      </c>
      <c r="E1748" s="109" t="s">
        <v>14209</v>
      </c>
      <c r="F1748" s="109" t="s">
        <v>9751</v>
      </c>
      <c r="G1748" s="110" t="s">
        <v>6248</v>
      </c>
      <c r="H1748" s="110" t="s">
        <v>14210</v>
      </c>
      <c r="I1748" s="110" t="s">
        <v>14211</v>
      </c>
    </row>
    <row r="1749" spans="1:9" ht="25.2" x14ac:dyDescent="0.3">
      <c r="A1749" s="109" t="s">
        <v>14212</v>
      </c>
      <c r="B1749" s="109" t="s">
        <v>13778</v>
      </c>
      <c r="C1749" s="109" t="s">
        <v>13778</v>
      </c>
      <c r="D1749" s="109" t="s">
        <v>1663</v>
      </c>
      <c r="E1749" s="109" t="s">
        <v>14213</v>
      </c>
      <c r="F1749" s="109" t="s">
        <v>7007</v>
      </c>
      <c r="G1749" s="110" t="s">
        <v>6248</v>
      </c>
      <c r="H1749" s="110" t="s">
        <v>14214</v>
      </c>
      <c r="I1749" s="110" t="s">
        <v>14215</v>
      </c>
    </row>
    <row r="1750" spans="1:9" ht="25.2" x14ac:dyDescent="0.3">
      <c r="A1750" s="109" t="s">
        <v>14216</v>
      </c>
      <c r="B1750" s="109" t="s">
        <v>13778</v>
      </c>
      <c r="C1750" s="109" t="s">
        <v>13778</v>
      </c>
      <c r="D1750" s="109" t="s">
        <v>14217</v>
      </c>
      <c r="E1750" s="109" t="s">
        <v>5558</v>
      </c>
      <c r="F1750" s="109" t="s">
        <v>14218</v>
      </c>
      <c r="G1750" s="110" t="s">
        <v>6248</v>
      </c>
      <c r="H1750" s="110" t="s">
        <v>14219</v>
      </c>
      <c r="I1750" s="110" t="s">
        <v>14220</v>
      </c>
    </row>
    <row r="1751" spans="1:9" ht="63" x14ac:dyDescent="0.3">
      <c r="A1751" s="109" t="s">
        <v>14221</v>
      </c>
      <c r="B1751" s="109" t="s">
        <v>13778</v>
      </c>
      <c r="C1751" s="109" t="s">
        <v>13778</v>
      </c>
      <c r="D1751" s="109" t="s">
        <v>14222</v>
      </c>
      <c r="E1751" s="109" t="s">
        <v>14222</v>
      </c>
      <c r="F1751" s="109" t="s">
        <v>14223</v>
      </c>
      <c r="G1751" s="110" t="s">
        <v>6248</v>
      </c>
      <c r="H1751" s="110" t="s">
        <v>14224</v>
      </c>
      <c r="I1751" s="110" t="s">
        <v>14225</v>
      </c>
    </row>
    <row r="1752" spans="1:9" ht="88.2" x14ac:dyDescent="0.3">
      <c r="A1752" s="109" t="s">
        <v>14226</v>
      </c>
      <c r="B1752" s="109" t="s">
        <v>13778</v>
      </c>
      <c r="C1752" s="109" t="s">
        <v>13778</v>
      </c>
      <c r="D1752" s="109" t="s">
        <v>14227</v>
      </c>
      <c r="E1752" s="109" t="s">
        <v>14227</v>
      </c>
      <c r="F1752" s="109" t="s">
        <v>14228</v>
      </c>
      <c r="G1752" s="110" t="s">
        <v>6248</v>
      </c>
      <c r="H1752" s="110" t="s">
        <v>14229</v>
      </c>
      <c r="I1752" s="110" t="s">
        <v>14230</v>
      </c>
    </row>
    <row r="1753" spans="1:9" ht="63" x14ac:dyDescent="0.3">
      <c r="A1753" s="109" t="s">
        <v>14231</v>
      </c>
      <c r="B1753" s="109" t="s">
        <v>13778</v>
      </c>
      <c r="C1753" s="109" t="s">
        <v>13778</v>
      </c>
      <c r="D1753" s="109" t="s">
        <v>8478</v>
      </c>
      <c r="E1753" s="109" t="s">
        <v>8478</v>
      </c>
      <c r="F1753" s="109" t="s">
        <v>10967</v>
      </c>
      <c r="G1753" s="110" t="s">
        <v>6248</v>
      </c>
      <c r="H1753" s="110" t="s">
        <v>14232</v>
      </c>
      <c r="I1753" s="110" t="s">
        <v>14233</v>
      </c>
    </row>
    <row r="1754" spans="1:9" ht="25.2" x14ac:dyDescent="0.3">
      <c r="A1754" s="109" t="s">
        <v>14234</v>
      </c>
      <c r="B1754" s="109" t="s">
        <v>13778</v>
      </c>
      <c r="C1754" s="109" t="s">
        <v>13778</v>
      </c>
      <c r="D1754" s="109" t="s">
        <v>14235</v>
      </c>
      <c r="E1754" s="109" t="s">
        <v>5558</v>
      </c>
      <c r="F1754" s="109" t="s">
        <v>14236</v>
      </c>
      <c r="G1754" s="110" t="s">
        <v>6248</v>
      </c>
      <c r="H1754" s="110" t="s">
        <v>14237</v>
      </c>
      <c r="I1754" s="110" t="s">
        <v>14238</v>
      </c>
    </row>
    <row r="1755" spans="1:9" ht="50.4" x14ac:dyDescent="0.3">
      <c r="A1755" s="109" t="s">
        <v>14239</v>
      </c>
      <c r="B1755" s="109" t="s">
        <v>13778</v>
      </c>
      <c r="C1755" s="109" t="s">
        <v>13778</v>
      </c>
      <c r="D1755" s="109" t="s">
        <v>13293</v>
      </c>
      <c r="E1755" s="109" t="s">
        <v>14240</v>
      </c>
      <c r="F1755" s="109" t="s">
        <v>14241</v>
      </c>
      <c r="G1755" s="110" t="s">
        <v>6248</v>
      </c>
      <c r="H1755" s="110" t="s">
        <v>14242</v>
      </c>
      <c r="I1755" s="110" t="s">
        <v>14243</v>
      </c>
    </row>
    <row r="1756" spans="1:9" ht="25.2" x14ac:dyDescent="0.3">
      <c r="A1756" s="109" t="s">
        <v>14244</v>
      </c>
      <c r="B1756" s="109" t="s">
        <v>13778</v>
      </c>
      <c r="C1756" s="109" t="s">
        <v>13778</v>
      </c>
      <c r="D1756" s="109" t="s">
        <v>14245</v>
      </c>
      <c r="E1756" s="109" t="s">
        <v>5558</v>
      </c>
      <c r="F1756" s="109" t="s">
        <v>14246</v>
      </c>
      <c r="G1756" s="110" t="s">
        <v>6248</v>
      </c>
      <c r="H1756" s="110" t="s">
        <v>7094</v>
      </c>
      <c r="I1756" s="110" t="s">
        <v>14247</v>
      </c>
    </row>
    <row r="1757" spans="1:9" ht="75.599999999999994" x14ac:dyDescent="0.3">
      <c r="A1757" s="109" t="s">
        <v>14248</v>
      </c>
      <c r="B1757" s="109" t="s">
        <v>13778</v>
      </c>
      <c r="C1757" s="109" t="s">
        <v>13778</v>
      </c>
      <c r="D1757" s="109" t="s">
        <v>7333</v>
      </c>
      <c r="E1757" s="109" t="s">
        <v>7333</v>
      </c>
      <c r="F1757" s="109" t="s">
        <v>14249</v>
      </c>
      <c r="G1757" s="110" t="s">
        <v>6248</v>
      </c>
      <c r="H1757" s="110" t="s">
        <v>6689</v>
      </c>
      <c r="I1757" s="110" t="s">
        <v>14250</v>
      </c>
    </row>
    <row r="1758" spans="1:9" ht="63" x14ac:dyDescent="0.3">
      <c r="A1758" s="109" t="s">
        <v>14251</v>
      </c>
      <c r="B1758" s="109" t="s">
        <v>13778</v>
      </c>
      <c r="C1758" s="109" t="s">
        <v>13778</v>
      </c>
      <c r="D1758" s="109" t="s">
        <v>11263</v>
      </c>
      <c r="E1758" s="109" t="s">
        <v>11263</v>
      </c>
      <c r="F1758" s="109" t="s">
        <v>14252</v>
      </c>
      <c r="G1758" s="110" t="s">
        <v>6248</v>
      </c>
      <c r="H1758" s="110" t="s">
        <v>14253</v>
      </c>
      <c r="I1758" s="110" t="s">
        <v>14254</v>
      </c>
    </row>
    <row r="1759" spans="1:9" ht="63" x14ac:dyDescent="0.3">
      <c r="A1759" s="109" t="s">
        <v>14255</v>
      </c>
      <c r="B1759" s="109" t="s">
        <v>13778</v>
      </c>
      <c r="C1759" s="109" t="s">
        <v>13778</v>
      </c>
      <c r="D1759" s="109" t="s">
        <v>7540</v>
      </c>
      <c r="E1759" s="109" t="s">
        <v>7540</v>
      </c>
      <c r="F1759" s="109" t="s">
        <v>14256</v>
      </c>
      <c r="G1759" s="110" t="s">
        <v>6248</v>
      </c>
      <c r="H1759" s="110" t="s">
        <v>14257</v>
      </c>
      <c r="I1759" s="110" t="s">
        <v>14258</v>
      </c>
    </row>
    <row r="1760" spans="1:9" ht="63" x14ac:dyDescent="0.3">
      <c r="A1760" s="109" t="s">
        <v>14259</v>
      </c>
      <c r="B1760" s="109" t="s">
        <v>13778</v>
      </c>
      <c r="C1760" s="109" t="s">
        <v>13778</v>
      </c>
      <c r="D1760" s="109" t="s">
        <v>14260</v>
      </c>
      <c r="E1760" s="109" t="s">
        <v>14260</v>
      </c>
      <c r="F1760" s="109" t="s">
        <v>14261</v>
      </c>
      <c r="G1760" s="110" t="s">
        <v>6248</v>
      </c>
      <c r="H1760" s="110" t="s">
        <v>14262</v>
      </c>
      <c r="I1760" s="110" t="s">
        <v>14263</v>
      </c>
    </row>
    <row r="1761" spans="1:9" ht="25.2" x14ac:dyDescent="0.3">
      <c r="A1761" s="109" t="s">
        <v>14264</v>
      </c>
      <c r="B1761" s="109" t="s">
        <v>13778</v>
      </c>
      <c r="C1761" s="109" t="s">
        <v>13778</v>
      </c>
      <c r="D1761" s="109" t="s">
        <v>5569</v>
      </c>
      <c r="E1761" s="109" t="s">
        <v>5558</v>
      </c>
      <c r="F1761" s="109" t="s">
        <v>2258</v>
      </c>
      <c r="G1761" s="110" t="s">
        <v>6248</v>
      </c>
      <c r="H1761" s="110" t="s">
        <v>14265</v>
      </c>
      <c r="I1761" s="110" t="s">
        <v>14266</v>
      </c>
    </row>
    <row r="1762" spans="1:9" ht="25.2" x14ac:dyDescent="0.3">
      <c r="A1762" s="109" t="s">
        <v>14267</v>
      </c>
      <c r="B1762" s="109" t="s">
        <v>13778</v>
      </c>
      <c r="C1762" s="109" t="s">
        <v>13778</v>
      </c>
      <c r="D1762" s="109" t="s">
        <v>5569</v>
      </c>
      <c r="E1762" s="109" t="s">
        <v>5558</v>
      </c>
      <c r="F1762" s="109" t="s">
        <v>2258</v>
      </c>
      <c r="G1762" s="110" t="s">
        <v>6248</v>
      </c>
      <c r="H1762" s="110" t="s">
        <v>14268</v>
      </c>
      <c r="I1762" s="110" t="s">
        <v>14269</v>
      </c>
    </row>
    <row r="1763" spans="1:9" ht="25.2" x14ac:dyDescent="0.3">
      <c r="A1763" s="109" t="s">
        <v>14270</v>
      </c>
      <c r="B1763" s="109" t="s">
        <v>13778</v>
      </c>
      <c r="C1763" s="109" t="s">
        <v>13778</v>
      </c>
      <c r="D1763" s="109" t="s">
        <v>14271</v>
      </c>
      <c r="E1763" s="109" t="s">
        <v>5558</v>
      </c>
      <c r="F1763" s="109" t="s">
        <v>14272</v>
      </c>
      <c r="G1763" s="110" t="s">
        <v>6248</v>
      </c>
      <c r="H1763" s="110" t="s">
        <v>14273</v>
      </c>
      <c r="I1763" s="110" t="s">
        <v>14274</v>
      </c>
    </row>
    <row r="1764" spans="1:9" ht="25.2" x14ac:dyDescent="0.3">
      <c r="A1764" s="109" t="s">
        <v>14275</v>
      </c>
      <c r="B1764" s="109" t="s">
        <v>13778</v>
      </c>
      <c r="C1764" s="109" t="s">
        <v>13778</v>
      </c>
      <c r="D1764" s="109" t="s">
        <v>14276</v>
      </c>
      <c r="E1764" s="109" t="s">
        <v>5558</v>
      </c>
      <c r="F1764" s="109" t="s">
        <v>14277</v>
      </c>
      <c r="G1764" s="110" t="s">
        <v>6248</v>
      </c>
      <c r="H1764" s="110" t="s">
        <v>14278</v>
      </c>
      <c r="I1764" s="110" t="s">
        <v>14279</v>
      </c>
    </row>
    <row r="1765" spans="1:9" ht="25.2" x14ac:dyDescent="0.3">
      <c r="A1765" s="109" t="s">
        <v>14280</v>
      </c>
      <c r="B1765" s="109" t="s">
        <v>13778</v>
      </c>
      <c r="C1765" s="109" t="s">
        <v>13778</v>
      </c>
      <c r="D1765" s="109" t="s">
        <v>1597</v>
      </c>
      <c r="E1765" s="109" t="s">
        <v>14281</v>
      </c>
      <c r="F1765" s="109" t="s">
        <v>14282</v>
      </c>
      <c r="G1765" s="110" t="s">
        <v>14283</v>
      </c>
      <c r="H1765" s="110" t="s">
        <v>6248</v>
      </c>
      <c r="I1765" s="110" t="s">
        <v>14284</v>
      </c>
    </row>
    <row r="1766" spans="1:9" ht="25.2" x14ac:dyDescent="0.3">
      <c r="A1766" s="109" t="s">
        <v>14285</v>
      </c>
      <c r="B1766" s="109" t="s">
        <v>13778</v>
      </c>
      <c r="C1766" s="109" t="s">
        <v>13778</v>
      </c>
      <c r="D1766" s="109" t="s">
        <v>14286</v>
      </c>
      <c r="E1766" s="109" t="s">
        <v>5558</v>
      </c>
      <c r="F1766" s="109" t="s">
        <v>14287</v>
      </c>
      <c r="G1766" s="110" t="s">
        <v>6248</v>
      </c>
      <c r="H1766" s="110" t="s">
        <v>14288</v>
      </c>
      <c r="I1766" s="110" t="s">
        <v>14289</v>
      </c>
    </row>
    <row r="1767" spans="1:9" ht="25.2" x14ac:dyDescent="0.3">
      <c r="A1767" s="109" t="s">
        <v>14290</v>
      </c>
      <c r="B1767" s="109" t="s">
        <v>13778</v>
      </c>
      <c r="C1767" s="109" t="s">
        <v>13778</v>
      </c>
      <c r="D1767" s="109" t="s">
        <v>14291</v>
      </c>
      <c r="E1767" s="109" t="s">
        <v>5558</v>
      </c>
      <c r="F1767" s="109" t="s">
        <v>14292</v>
      </c>
      <c r="G1767" s="110" t="s">
        <v>6248</v>
      </c>
      <c r="H1767" s="110" t="s">
        <v>14293</v>
      </c>
      <c r="I1767" s="110" t="s">
        <v>14294</v>
      </c>
    </row>
    <row r="1768" spans="1:9" ht="25.2" x14ac:dyDescent="0.3">
      <c r="A1768" s="109" t="s">
        <v>14295</v>
      </c>
      <c r="B1768" s="109" t="s">
        <v>13778</v>
      </c>
      <c r="C1768" s="109" t="s">
        <v>13778</v>
      </c>
      <c r="D1768" s="109" t="s">
        <v>14296</v>
      </c>
      <c r="E1768" s="109" t="s">
        <v>5558</v>
      </c>
      <c r="F1768" s="109" t="s">
        <v>14297</v>
      </c>
      <c r="G1768" s="110" t="s">
        <v>6248</v>
      </c>
      <c r="H1768" s="110" t="s">
        <v>6689</v>
      </c>
      <c r="I1768" s="110" t="s">
        <v>14298</v>
      </c>
    </row>
    <row r="1769" spans="1:9" ht="25.2" x14ac:dyDescent="0.3">
      <c r="A1769" s="109" t="s">
        <v>14299</v>
      </c>
      <c r="B1769" s="109" t="s">
        <v>13778</v>
      </c>
      <c r="C1769" s="109" t="s">
        <v>13778</v>
      </c>
      <c r="D1769" s="109" t="s">
        <v>14300</v>
      </c>
      <c r="E1769" s="109" t="s">
        <v>5558</v>
      </c>
      <c r="F1769" s="109" t="s">
        <v>14301</v>
      </c>
      <c r="G1769" s="110" t="s">
        <v>6248</v>
      </c>
      <c r="H1769" s="110" t="s">
        <v>6689</v>
      </c>
      <c r="I1769" s="110" t="s">
        <v>14302</v>
      </c>
    </row>
    <row r="1770" spans="1:9" ht="25.2" x14ac:dyDescent="0.3">
      <c r="A1770" s="109" t="s">
        <v>14303</v>
      </c>
      <c r="B1770" s="109" t="s">
        <v>13778</v>
      </c>
      <c r="C1770" s="109" t="s">
        <v>13778</v>
      </c>
      <c r="D1770" s="109" t="s">
        <v>14304</v>
      </c>
      <c r="E1770" s="109" t="s">
        <v>5558</v>
      </c>
      <c r="F1770" s="109" t="s">
        <v>14305</v>
      </c>
      <c r="G1770" s="110" t="s">
        <v>6248</v>
      </c>
      <c r="H1770" s="110" t="s">
        <v>6883</v>
      </c>
      <c r="I1770" s="110" t="s">
        <v>14306</v>
      </c>
    </row>
    <row r="1771" spans="1:9" ht="37.799999999999997" x14ac:dyDescent="0.3">
      <c r="A1771" s="109" t="s">
        <v>14307</v>
      </c>
      <c r="B1771" s="109" t="s">
        <v>13778</v>
      </c>
      <c r="C1771" s="109" t="s">
        <v>13778</v>
      </c>
      <c r="D1771" s="109" t="s">
        <v>14308</v>
      </c>
      <c r="E1771" s="109" t="s">
        <v>5558</v>
      </c>
      <c r="F1771" s="109" t="s">
        <v>14309</v>
      </c>
      <c r="G1771" s="110" t="s">
        <v>6248</v>
      </c>
      <c r="H1771" s="110" t="s">
        <v>7221</v>
      </c>
      <c r="I1771" s="110" t="s">
        <v>14310</v>
      </c>
    </row>
    <row r="1772" spans="1:9" ht="25.2" x14ac:dyDescent="0.3">
      <c r="A1772" s="109" t="s">
        <v>14311</v>
      </c>
      <c r="B1772" s="109" t="s">
        <v>13778</v>
      </c>
      <c r="C1772" s="109" t="s">
        <v>13778</v>
      </c>
      <c r="D1772" s="109" t="s">
        <v>14312</v>
      </c>
      <c r="E1772" s="109" t="s">
        <v>14313</v>
      </c>
      <c r="F1772" s="109" t="s">
        <v>14314</v>
      </c>
      <c r="G1772" s="110" t="s">
        <v>6248</v>
      </c>
      <c r="H1772" s="110" t="s">
        <v>14315</v>
      </c>
      <c r="I1772" s="110" t="s">
        <v>14316</v>
      </c>
    </row>
    <row r="1773" spans="1:9" ht="25.2" x14ac:dyDescent="0.3">
      <c r="A1773" s="109" t="s">
        <v>14317</v>
      </c>
      <c r="B1773" s="109" t="s">
        <v>13778</v>
      </c>
      <c r="C1773" s="109" t="s">
        <v>13778</v>
      </c>
      <c r="D1773" s="109" t="s">
        <v>5772</v>
      </c>
      <c r="E1773" s="109" t="s">
        <v>5558</v>
      </c>
      <c r="F1773" s="109" t="s">
        <v>2258</v>
      </c>
      <c r="G1773" s="110" t="s">
        <v>6248</v>
      </c>
      <c r="H1773" s="110" t="s">
        <v>14318</v>
      </c>
      <c r="I1773" s="110" t="s">
        <v>14319</v>
      </c>
    </row>
    <row r="1774" spans="1:9" ht="25.2" x14ac:dyDescent="0.3">
      <c r="A1774" s="109" t="s">
        <v>14320</v>
      </c>
      <c r="B1774" s="109" t="s">
        <v>13778</v>
      </c>
      <c r="C1774" s="109" t="s">
        <v>13778</v>
      </c>
      <c r="D1774" s="109" t="s">
        <v>6255</v>
      </c>
      <c r="E1774" s="109" t="s">
        <v>5558</v>
      </c>
      <c r="F1774" s="109" t="s">
        <v>2258</v>
      </c>
      <c r="G1774" s="110" t="s">
        <v>6248</v>
      </c>
      <c r="H1774" s="110" t="s">
        <v>14321</v>
      </c>
      <c r="I1774" s="110" t="s">
        <v>14322</v>
      </c>
    </row>
    <row r="1775" spans="1:9" ht="25.2" x14ac:dyDescent="0.3">
      <c r="A1775" s="109" t="s">
        <v>14323</v>
      </c>
      <c r="B1775" s="109" t="s">
        <v>13778</v>
      </c>
      <c r="C1775" s="109" t="s">
        <v>13778</v>
      </c>
      <c r="D1775" s="109" t="s">
        <v>14324</v>
      </c>
      <c r="E1775" s="109" t="s">
        <v>5558</v>
      </c>
      <c r="F1775" s="109" t="s">
        <v>14325</v>
      </c>
      <c r="G1775" s="110" t="s">
        <v>6248</v>
      </c>
      <c r="H1775" s="110" t="s">
        <v>13545</v>
      </c>
      <c r="I1775" s="110" t="s">
        <v>14326</v>
      </c>
    </row>
    <row r="1776" spans="1:9" ht="25.2" x14ac:dyDescent="0.3">
      <c r="A1776" s="109" t="s">
        <v>14327</v>
      </c>
      <c r="B1776" s="109" t="s">
        <v>13778</v>
      </c>
      <c r="C1776" s="109" t="s">
        <v>13778</v>
      </c>
      <c r="D1776" s="109" t="s">
        <v>14328</v>
      </c>
      <c r="E1776" s="109" t="s">
        <v>5558</v>
      </c>
      <c r="F1776" s="109" t="s">
        <v>14329</v>
      </c>
      <c r="G1776" s="110" t="s">
        <v>6248</v>
      </c>
      <c r="H1776" s="110" t="s">
        <v>14330</v>
      </c>
      <c r="I1776" s="110" t="s">
        <v>14331</v>
      </c>
    </row>
    <row r="1777" spans="1:9" ht="25.2" x14ac:dyDescent="0.3">
      <c r="A1777" s="109" t="s">
        <v>14332</v>
      </c>
      <c r="B1777" s="109" t="s">
        <v>13778</v>
      </c>
      <c r="C1777" s="109" t="s">
        <v>13778</v>
      </c>
      <c r="D1777" s="109" t="s">
        <v>5569</v>
      </c>
      <c r="E1777" s="109" t="s">
        <v>5558</v>
      </c>
      <c r="F1777" s="109" t="s">
        <v>2258</v>
      </c>
      <c r="G1777" s="110" t="s">
        <v>6248</v>
      </c>
      <c r="H1777" s="110" t="s">
        <v>14333</v>
      </c>
      <c r="I1777" s="110" t="s">
        <v>14334</v>
      </c>
    </row>
    <row r="1778" spans="1:9" ht="37.799999999999997" x14ac:dyDescent="0.3">
      <c r="A1778" s="109" t="s">
        <v>14335</v>
      </c>
      <c r="B1778" s="109" t="s">
        <v>13778</v>
      </c>
      <c r="C1778" s="109" t="s">
        <v>13778</v>
      </c>
      <c r="D1778" s="109" t="s">
        <v>14336</v>
      </c>
      <c r="E1778" s="109" t="s">
        <v>5558</v>
      </c>
      <c r="F1778" s="109" t="s">
        <v>14337</v>
      </c>
      <c r="G1778" s="110" t="s">
        <v>6248</v>
      </c>
      <c r="H1778" s="110" t="s">
        <v>14338</v>
      </c>
      <c r="I1778" s="110" t="s">
        <v>14339</v>
      </c>
    </row>
    <row r="1779" spans="1:9" ht="37.799999999999997" x14ac:dyDescent="0.3">
      <c r="A1779" s="109" t="s">
        <v>14340</v>
      </c>
      <c r="B1779" s="109" t="s">
        <v>13778</v>
      </c>
      <c r="C1779" s="109" t="s">
        <v>13778</v>
      </c>
      <c r="D1779" s="109" t="s">
        <v>14341</v>
      </c>
      <c r="E1779" s="109" t="s">
        <v>5558</v>
      </c>
      <c r="F1779" s="109" t="s">
        <v>14342</v>
      </c>
      <c r="G1779" s="110" t="s">
        <v>6248</v>
      </c>
      <c r="H1779" s="110" t="s">
        <v>14343</v>
      </c>
      <c r="I1779" s="110" t="s">
        <v>14344</v>
      </c>
    </row>
    <row r="1780" spans="1:9" ht="37.799999999999997" x14ac:dyDescent="0.3">
      <c r="A1780" s="109" t="s">
        <v>14345</v>
      </c>
      <c r="B1780" s="109" t="s">
        <v>13778</v>
      </c>
      <c r="C1780" s="109" t="s">
        <v>13778</v>
      </c>
      <c r="D1780" s="109" t="s">
        <v>14346</v>
      </c>
      <c r="E1780" s="109" t="s">
        <v>5558</v>
      </c>
      <c r="F1780" s="109" t="s">
        <v>14347</v>
      </c>
      <c r="G1780" s="110" t="s">
        <v>6248</v>
      </c>
      <c r="H1780" s="110" t="s">
        <v>14348</v>
      </c>
      <c r="I1780" s="110" t="s">
        <v>14349</v>
      </c>
    </row>
    <row r="1781" spans="1:9" ht="37.799999999999997" x14ac:dyDescent="0.3">
      <c r="A1781" s="109" t="s">
        <v>14350</v>
      </c>
      <c r="B1781" s="109" t="s">
        <v>13778</v>
      </c>
      <c r="C1781" s="109" t="s">
        <v>13778</v>
      </c>
      <c r="D1781" s="109" t="s">
        <v>14351</v>
      </c>
      <c r="E1781" s="109" t="s">
        <v>5558</v>
      </c>
      <c r="F1781" s="109" t="s">
        <v>14352</v>
      </c>
      <c r="G1781" s="110" t="s">
        <v>6248</v>
      </c>
      <c r="H1781" s="110" t="s">
        <v>6689</v>
      </c>
      <c r="I1781" s="110" t="s">
        <v>14353</v>
      </c>
    </row>
    <row r="1782" spans="1:9" ht="37.799999999999997" x14ac:dyDescent="0.3">
      <c r="A1782" s="109" t="s">
        <v>14354</v>
      </c>
      <c r="B1782" s="109" t="s">
        <v>13778</v>
      </c>
      <c r="C1782" s="109" t="s">
        <v>13778</v>
      </c>
      <c r="D1782" s="109" t="s">
        <v>14355</v>
      </c>
      <c r="E1782" s="109" t="s">
        <v>5558</v>
      </c>
      <c r="F1782" s="109" t="s">
        <v>14356</v>
      </c>
      <c r="G1782" s="110" t="s">
        <v>6248</v>
      </c>
      <c r="H1782" s="110" t="s">
        <v>14357</v>
      </c>
      <c r="I1782" s="110" t="s">
        <v>14358</v>
      </c>
    </row>
    <row r="1783" spans="1:9" ht="25.2" x14ac:dyDescent="0.3">
      <c r="A1783" s="109" t="s">
        <v>14359</v>
      </c>
      <c r="B1783" s="109" t="s">
        <v>13778</v>
      </c>
      <c r="C1783" s="109" t="s">
        <v>13778</v>
      </c>
      <c r="D1783" s="109" t="s">
        <v>14360</v>
      </c>
      <c r="E1783" s="109" t="s">
        <v>14361</v>
      </c>
      <c r="F1783" s="109" t="s">
        <v>7283</v>
      </c>
      <c r="G1783" s="110" t="s">
        <v>6248</v>
      </c>
      <c r="H1783" s="110" t="s">
        <v>14362</v>
      </c>
      <c r="I1783" s="110" t="s">
        <v>14363</v>
      </c>
    </row>
    <row r="1784" spans="1:9" ht="25.2" x14ac:dyDescent="0.3">
      <c r="A1784" s="109" t="s">
        <v>14364</v>
      </c>
      <c r="B1784" s="109" t="s">
        <v>13778</v>
      </c>
      <c r="C1784" s="109" t="s">
        <v>13778</v>
      </c>
      <c r="D1784" s="109" t="s">
        <v>14365</v>
      </c>
      <c r="E1784" s="109" t="s">
        <v>14366</v>
      </c>
      <c r="F1784" s="109" t="s">
        <v>14367</v>
      </c>
      <c r="G1784" s="110" t="s">
        <v>6248</v>
      </c>
      <c r="H1784" s="110" t="s">
        <v>14368</v>
      </c>
      <c r="I1784" s="110" t="s">
        <v>14369</v>
      </c>
    </row>
    <row r="1785" spans="1:9" ht="25.2" x14ac:dyDescent="0.3">
      <c r="A1785" s="109" t="s">
        <v>14370</v>
      </c>
      <c r="B1785" s="109" t="s">
        <v>13778</v>
      </c>
      <c r="C1785" s="109" t="s">
        <v>13778</v>
      </c>
      <c r="D1785" s="109" t="s">
        <v>14371</v>
      </c>
      <c r="E1785" s="109" t="s">
        <v>14372</v>
      </c>
      <c r="F1785" s="109" t="s">
        <v>14367</v>
      </c>
      <c r="G1785" s="110" t="s">
        <v>6248</v>
      </c>
      <c r="H1785" s="110" t="s">
        <v>14373</v>
      </c>
      <c r="I1785" s="110" t="s">
        <v>14374</v>
      </c>
    </row>
    <row r="1786" spans="1:9" ht="37.799999999999997" x14ac:dyDescent="0.3">
      <c r="A1786" s="109" t="s">
        <v>14375</v>
      </c>
      <c r="B1786" s="109" t="s">
        <v>13778</v>
      </c>
      <c r="C1786" s="109" t="s">
        <v>13778</v>
      </c>
      <c r="D1786" s="109" t="s">
        <v>14376</v>
      </c>
      <c r="E1786" s="109" t="s">
        <v>5558</v>
      </c>
      <c r="F1786" s="109" t="s">
        <v>14377</v>
      </c>
      <c r="G1786" s="110" t="s">
        <v>6248</v>
      </c>
      <c r="H1786" s="110" t="s">
        <v>14378</v>
      </c>
      <c r="I1786" s="110" t="s">
        <v>14379</v>
      </c>
    </row>
    <row r="1787" spans="1:9" ht="25.2" x14ac:dyDescent="0.3">
      <c r="A1787" s="109" t="s">
        <v>14380</v>
      </c>
      <c r="B1787" s="109" t="s">
        <v>13778</v>
      </c>
      <c r="C1787" s="109" t="s">
        <v>13778</v>
      </c>
      <c r="D1787" s="109" t="s">
        <v>5569</v>
      </c>
      <c r="E1787" s="109" t="s">
        <v>5558</v>
      </c>
      <c r="F1787" s="109" t="s">
        <v>2258</v>
      </c>
      <c r="G1787" s="110" t="s">
        <v>6248</v>
      </c>
      <c r="H1787" s="110" t="s">
        <v>14381</v>
      </c>
      <c r="I1787" s="110" t="s">
        <v>14382</v>
      </c>
    </row>
    <row r="1788" spans="1:9" ht="37.799999999999997" x14ac:dyDescent="0.3">
      <c r="A1788" s="109" t="s">
        <v>14383</v>
      </c>
      <c r="B1788" s="109" t="s">
        <v>13778</v>
      </c>
      <c r="C1788" s="109" t="s">
        <v>13778</v>
      </c>
      <c r="D1788" s="109" t="s">
        <v>14384</v>
      </c>
      <c r="E1788" s="109" t="s">
        <v>5558</v>
      </c>
      <c r="F1788" s="109" t="s">
        <v>14385</v>
      </c>
      <c r="G1788" s="110" t="s">
        <v>6248</v>
      </c>
      <c r="H1788" s="110" t="s">
        <v>14386</v>
      </c>
      <c r="I1788" s="110" t="s">
        <v>14387</v>
      </c>
    </row>
    <row r="1789" spans="1:9" ht="25.2" x14ac:dyDescent="0.3">
      <c r="A1789" s="109" t="s">
        <v>14388</v>
      </c>
      <c r="B1789" s="109" t="s">
        <v>13778</v>
      </c>
      <c r="C1789" s="109" t="s">
        <v>13778</v>
      </c>
      <c r="D1789" s="109" t="s">
        <v>14389</v>
      </c>
      <c r="E1789" s="109" t="s">
        <v>5932</v>
      </c>
      <c r="F1789" s="109" t="s">
        <v>7263</v>
      </c>
      <c r="G1789" s="110" t="s">
        <v>6248</v>
      </c>
      <c r="H1789" s="110" t="s">
        <v>14390</v>
      </c>
      <c r="I1789" s="110" t="s">
        <v>14391</v>
      </c>
    </row>
    <row r="1790" spans="1:9" ht="25.2" x14ac:dyDescent="0.3">
      <c r="A1790" s="109" t="s">
        <v>14392</v>
      </c>
      <c r="B1790" s="109" t="s">
        <v>13778</v>
      </c>
      <c r="C1790" s="109" t="s">
        <v>13778</v>
      </c>
      <c r="D1790" s="109" t="s">
        <v>14393</v>
      </c>
      <c r="E1790" s="109" t="s">
        <v>5558</v>
      </c>
      <c r="F1790" s="109" t="s">
        <v>14394</v>
      </c>
      <c r="G1790" s="110" t="s">
        <v>6248</v>
      </c>
      <c r="H1790" s="110" t="s">
        <v>14395</v>
      </c>
      <c r="I1790" s="110" t="s">
        <v>14396</v>
      </c>
    </row>
    <row r="1791" spans="1:9" ht="25.2" x14ac:dyDescent="0.3">
      <c r="A1791" s="109" t="s">
        <v>14397</v>
      </c>
      <c r="B1791" s="109" t="s">
        <v>13778</v>
      </c>
      <c r="C1791" s="109" t="s">
        <v>13778</v>
      </c>
      <c r="D1791" s="109" t="s">
        <v>5569</v>
      </c>
      <c r="E1791" s="109" t="s">
        <v>5558</v>
      </c>
      <c r="F1791" s="109" t="s">
        <v>2258</v>
      </c>
      <c r="G1791" s="110" t="s">
        <v>6248</v>
      </c>
      <c r="H1791" s="110" t="s">
        <v>14398</v>
      </c>
      <c r="I1791" s="110" t="s">
        <v>14399</v>
      </c>
    </row>
    <row r="1792" spans="1:9" ht="37.799999999999997" x14ac:dyDescent="0.3">
      <c r="A1792" s="109" t="s">
        <v>14400</v>
      </c>
      <c r="B1792" s="109" t="s">
        <v>13778</v>
      </c>
      <c r="C1792" s="109" t="s">
        <v>13778</v>
      </c>
      <c r="D1792" s="109" t="s">
        <v>14401</v>
      </c>
      <c r="E1792" s="109" t="s">
        <v>5558</v>
      </c>
      <c r="F1792" s="109" t="s">
        <v>14402</v>
      </c>
      <c r="G1792" s="110" t="s">
        <v>6248</v>
      </c>
      <c r="H1792" s="110" t="s">
        <v>14403</v>
      </c>
      <c r="I1792" s="110" t="s">
        <v>14404</v>
      </c>
    </row>
    <row r="1793" spans="1:9" ht="37.799999999999997" x14ac:dyDescent="0.3">
      <c r="A1793" s="109" t="s">
        <v>14405</v>
      </c>
      <c r="B1793" s="109" t="s">
        <v>13778</v>
      </c>
      <c r="C1793" s="109" t="s">
        <v>13778</v>
      </c>
      <c r="D1793" s="109" t="s">
        <v>14406</v>
      </c>
      <c r="E1793" s="109" t="s">
        <v>5558</v>
      </c>
      <c r="F1793" s="109" t="s">
        <v>14407</v>
      </c>
      <c r="G1793" s="110" t="s">
        <v>6248</v>
      </c>
      <c r="H1793" s="110" t="s">
        <v>14408</v>
      </c>
      <c r="I1793" s="110" t="s">
        <v>14409</v>
      </c>
    </row>
    <row r="1794" spans="1:9" ht="37.799999999999997" x14ac:dyDescent="0.3">
      <c r="A1794" s="109" t="s">
        <v>14410</v>
      </c>
      <c r="B1794" s="109" t="s">
        <v>13778</v>
      </c>
      <c r="C1794" s="109" t="s">
        <v>13778</v>
      </c>
      <c r="D1794" s="109" t="s">
        <v>4361</v>
      </c>
      <c r="E1794" s="109" t="s">
        <v>5558</v>
      </c>
      <c r="F1794" s="109" t="s">
        <v>14411</v>
      </c>
      <c r="G1794" s="110" t="s">
        <v>6248</v>
      </c>
      <c r="H1794" s="110" t="s">
        <v>14412</v>
      </c>
      <c r="I1794" s="110" t="s">
        <v>14413</v>
      </c>
    </row>
    <row r="1795" spans="1:9" ht="37.799999999999997" x14ac:dyDescent="0.3">
      <c r="A1795" s="109" t="s">
        <v>14414</v>
      </c>
      <c r="B1795" s="109" t="s">
        <v>13778</v>
      </c>
      <c r="C1795" s="109" t="s">
        <v>13778</v>
      </c>
      <c r="D1795" s="109" t="s">
        <v>14415</v>
      </c>
      <c r="E1795" s="109" t="s">
        <v>5558</v>
      </c>
      <c r="F1795" s="109" t="s">
        <v>14416</v>
      </c>
      <c r="G1795" s="110" t="s">
        <v>6248</v>
      </c>
      <c r="H1795" s="110" t="s">
        <v>14417</v>
      </c>
      <c r="I1795" s="110" t="s">
        <v>14418</v>
      </c>
    </row>
    <row r="1796" spans="1:9" ht="25.2" x14ac:dyDescent="0.3">
      <c r="A1796" s="109" t="s">
        <v>14419</v>
      </c>
      <c r="B1796" s="109" t="s">
        <v>13778</v>
      </c>
      <c r="C1796" s="109" t="s">
        <v>13778</v>
      </c>
      <c r="D1796" s="109" t="s">
        <v>14420</v>
      </c>
      <c r="E1796" s="109" t="s">
        <v>14421</v>
      </c>
      <c r="F1796" s="109" t="s">
        <v>14422</v>
      </c>
      <c r="G1796" s="110" t="s">
        <v>6248</v>
      </c>
      <c r="H1796" s="110" t="s">
        <v>14423</v>
      </c>
      <c r="I1796" s="110" t="s">
        <v>14424</v>
      </c>
    </row>
    <row r="1797" spans="1:9" ht="37.799999999999997" x14ac:dyDescent="0.3">
      <c r="A1797" s="109" t="s">
        <v>14425</v>
      </c>
      <c r="B1797" s="109" t="s">
        <v>13778</v>
      </c>
      <c r="C1797" s="109" t="s">
        <v>13778</v>
      </c>
      <c r="D1797" s="109" t="s">
        <v>14426</v>
      </c>
      <c r="E1797" s="109" t="s">
        <v>5558</v>
      </c>
      <c r="F1797" s="109" t="s">
        <v>14427</v>
      </c>
      <c r="G1797" s="110" t="s">
        <v>6248</v>
      </c>
      <c r="H1797" s="110" t="s">
        <v>14428</v>
      </c>
      <c r="I1797" s="110" t="s">
        <v>14429</v>
      </c>
    </row>
    <row r="1798" spans="1:9" ht="37.799999999999997" x14ac:dyDescent="0.3">
      <c r="A1798" s="109" t="s">
        <v>14430</v>
      </c>
      <c r="B1798" s="109" t="s">
        <v>13778</v>
      </c>
      <c r="C1798" s="109" t="s">
        <v>13778</v>
      </c>
      <c r="D1798" s="109" t="s">
        <v>14431</v>
      </c>
      <c r="E1798" s="109" t="s">
        <v>5558</v>
      </c>
      <c r="F1798" s="109" t="s">
        <v>14432</v>
      </c>
      <c r="G1798" s="110" t="s">
        <v>6248</v>
      </c>
      <c r="H1798" s="110" t="s">
        <v>14433</v>
      </c>
      <c r="I1798" s="110" t="s">
        <v>14434</v>
      </c>
    </row>
    <row r="1799" spans="1:9" ht="37.799999999999997" x14ac:dyDescent="0.3">
      <c r="A1799" s="109" t="s">
        <v>14435</v>
      </c>
      <c r="B1799" s="109" t="s">
        <v>13778</v>
      </c>
      <c r="C1799" s="109" t="s">
        <v>13778</v>
      </c>
      <c r="D1799" s="109" t="s">
        <v>14436</v>
      </c>
      <c r="E1799" s="109" t="s">
        <v>5558</v>
      </c>
      <c r="F1799" s="109" t="s">
        <v>14437</v>
      </c>
      <c r="G1799" s="110" t="s">
        <v>6248</v>
      </c>
      <c r="H1799" s="110" t="s">
        <v>14438</v>
      </c>
      <c r="I1799" s="110" t="s">
        <v>14439</v>
      </c>
    </row>
    <row r="1800" spans="1:9" ht="37.799999999999997" x14ac:dyDescent="0.3">
      <c r="A1800" s="109" t="s">
        <v>14440</v>
      </c>
      <c r="B1800" s="109" t="s">
        <v>13778</v>
      </c>
      <c r="C1800" s="109" t="s">
        <v>13778</v>
      </c>
      <c r="D1800" s="109" t="s">
        <v>14441</v>
      </c>
      <c r="E1800" s="109" t="s">
        <v>5558</v>
      </c>
      <c r="F1800" s="109" t="s">
        <v>14442</v>
      </c>
      <c r="G1800" s="110" t="s">
        <v>6248</v>
      </c>
      <c r="H1800" s="110" t="s">
        <v>13545</v>
      </c>
      <c r="I1800" s="110" t="s">
        <v>14443</v>
      </c>
    </row>
    <row r="1801" spans="1:9" ht="50.4" x14ac:dyDescent="0.3">
      <c r="A1801" s="109" t="s">
        <v>14444</v>
      </c>
      <c r="B1801" s="109" t="s">
        <v>13778</v>
      </c>
      <c r="C1801" s="109" t="s">
        <v>13778</v>
      </c>
      <c r="D1801" s="109" t="s">
        <v>14445</v>
      </c>
      <c r="E1801" s="109" t="s">
        <v>14445</v>
      </c>
      <c r="F1801" s="109" t="s">
        <v>14446</v>
      </c>
      <c r="G1801" s="110" t="s">
        <v>6248</v>
      </c>
      <c r="H1801" s="110" t="s">
        <v>14447</v>
      </c>
      <c r="I1801" s="110" t="s">
        <v>14448</v>
      </c>
    </row>
    <row r="1802" spans="1:9" ht="50.4" x14ac:dyDescent="0.3">
      <c r="A1802" s="109" t="s">
        <v>14449</v>
      </c>
      <c r="B1802" s="109" t="s">
        <v>13778</v>
      </c>
      <c r="C1802" s="109" t="s">
        <v>13778</v>
      </c>
      <c r="D1802" s="109" t="s">
        <v>14450</v>
      </c>
      <c r="E1802" s="109" t="s">
        <v>14450</v>
      </c>
      <c r="F1802" s="109" t="s">
        <v>14451</v>
      </c>
      <c r="G1802" s="110" t="s">
        <v>6248</v>
      </c>
      <c r="H1802" s="110" t="s">
        <v>14452</v>
      </c>
      <c r="I1802" s="110" t="s">
        <v>14453</v>
      </c>
    </row>
    <row r="1803" spans="1:9" ht="37.799999999999997" x14ac:dyDescent="0.3">
      <c r="A1803" s="109" t="s">
        <v>14454</v>
      </c>
      <c r="B1803" s="109" t="s">
        <v>13778</v>
      </c>
      <c r="C1803" s="109" t="s">
        <v>13778</v>
      </c>
      <c r="D1803" s="109" t="s">
        <v>14455</v>
      </c>
      <c r="E1803" s="109" t="s">
        <v>14456</v>
      </c>
      <c r="F1803" s="109" t="s">
        <v>14457</v>
      </c>
      <c r="G1803" s="110" t="s">
        <v>6248</v>
      </c>
      <c r="H1803" s="110" t="s">
        <v>14458</v>
      </c>
      <c r="I1803" s="110" t="s">
        <v>14459</v>
      </c>
    </row>
    <row r="1804" spans="1:9" ht="50.4" x14ac:dyDescent="0.3">
      <c r="A1804" s="109" t="s">
        <v>14460</v>
      </c>
      <c r="B1804" s="109" t="s">
        <v>13778</v>
      </c>
      <c r="C1804" s="109" t="s">
        <v>13778</v>
      </c>
      <c r="D1804" s="109" t="s">
        <v>14461</v>
      </c>
      <c r="E1804" s="109" t="s">
        <v>14461</v>
      </c>
      <c r="F1804" s="109" t="s">
        <v>14462</v>
      </c>
      <c r="G1804" s="110" t="s">
        <v>6248</v>
      </c>
      <c r="H1804" s="110" t="s">
        <v>14463</v>
      </c>
      <c r="I1804" s="110" t="s">
        <v>14464</v>
      </c>
    </row>
    <row r="1805" spans="1:9" ht="37.799999999999997" x14ac:dyDescent="0.3">
      <c r="A1805" s="109" t="s">
        <v>14465</v>
      </c>
      <c r="B1805" s="109" t="s">
        <v>13778</v>
      </c>
      <c r="C1805" s="109" t="s">
        <v>13778</v>
      </c>
      <c r="D1805" s="109" t="s">
        <v>11957</v>
      </c>
      <c r="E1805" s="109" t="s">
        <v>11957</v>
      </c>
      <c r="F1805" s="109" t="s">
        <v>14466</v>
      </c>
      <c r="G1805" s="110" t="s">
        <v>6248</v>
      </c>
      <c r="H1805" s="110" t="s">
        <v>14467</v>
      </c>
      <c r="I1805" s="110" t="s">
        <v>14468</v>
      </c>
    </row>
    <row r="1806" spans="1:9" ht="50.4" x14ac:dyDescent="0.3">
      <c r="A1806" s="109" t="s">
        <v>14469</v>
      </c>
      <c r="B1806" s="109" t="s">
        <v>13778</v>
      </c>
      <c r="C1806" s="109" t="s">
        <v>13778</v>
      </c>
      <c r="D1806" s="109" t="s">
        <v>14470</v>
      </c>
      <c r="E1806" s="109" t="s">
        <v>14470</v>
      </c>
      <c r="F1806" s="109" t="s">
        <v>14471</v>
      </c>
      <c r="G1806" s="110" t="s">
        <v>6248</v>
      </c>
      <c r="H1806" s="110" t="s">
        <v>14472</v>
      </c>
      <c r="I1806" s="110" t="s">
        <v>14473</v>
      </c>
    </row>
    <row r="1807" spans="1:9" ht="37.799999999999997" x14ac:dyDescent="0.3">
      <c r="A1807" s="109" t="s">
        <v>14474</v>
      </c>
      <c r="B1807" s="109" t="s">
        <v>13778</v>
      </c>
      <c r="C1807" s="109" t="s">
        <v>13778</v>
      </c>
      <c r="D1807" s="109" t="s">
        <v>14475</v>
      </c>
      <c r="E1807" s="109" t="s">
        <v>14475</v>
      </c>
      <c r="F1807" s="109" t="s">
        <v>14476</v>
      </c>
      <c r="G1807" s="110" t="s">
        <v>6248</v>
      </c>
      <c r="H1807" s="110" t="s">
        <v>14477</v>
      </c>
      <c r="I1807" s="110" t="s">
        <v>14478</v>
      </c>
    </row>
    <row r="1808" spans="1:9" ht="50.4" x14ac:dyDescent="0.3">
      <c r="A1808" s="109" t="s">
        <v>14479</v>
      </c>
      <c r="B1808" s="109" t="s">
        <v>13778</v>
      </c>
      <c r="C1808" s="109" t="s">
        <v>13778</v>
      </c>
      <c r="D1808" s="109" t="s">
        <v>14480</v>
      </c>
      <c r="E1808" s="109" t="s">
        <v>14480</v>
      </c>
      <c r="F1808" s="109" t="s">
        <v>14481</v>
      </c>
      <c r="G1808" s="110" t="s">
        <v>6248</v>
      </c>
      <c r="H1808" s="110" t="s">
        <v>14482</v>
      </c>
      <c r="I1808" s="110" t="s">
        <v>14483</v>
      </c>
    </row>
    <row r="1809" spans="1:9" ht="37.799999999999997" x14ac:dyDescent="0.3">
      <c r="A1809" s="109" t="s">
        <v>14484</v>
      </c>
      <c r="B1809" s="109" t="s">
        <v>13778</v>
      </c>
      <c r="C1809" s="109" t="s">
        <v>13778</v>
      </c>
      <c r="D1809" s="109" t="s">
        <v>7512</v>
      </c>
      <c r="E1809" s="109" t="s">
        <v>7512</v>
      </c>
      <c r="F1809" s="109" t="s">
        <v>14485</v>
      </c>
      <c r="G1809" s="110" t="s">
        <v>6248</v>
      </c>
      <c r="H1809" s="110" t="s">
        <v>14486</v>
      </c>
      <c r="I1809" s="110" t="s">
        <v>14487</v>
      </c>
    </row>
    <row r="1810" spans="1:9" ht="50.4" x14ac:dyDescent="0.3">
      <c r="A1810" s="109" t="s">
        <v>14488</v>
      </c>
      <c r="B1810" s="109" t="s">
        <v>13778</v>
      </c>
      <c r="C1810" s="109" t="s">
        <v>13778</v>
      </c>
      <c r="D1810" s="109" t="s">
        <v>14489</v>
      </c>
      <c r="E1810" s="109" t="s">
        <v>14489</v>
      </c>
      <c r="F1810" s="109" t="s">
        <v>14490</v>
      </c>
      <c r="G1810" s="110" t="s">
        <v>6248</v>
      </c>
      <c r="H1810" s="110" t="s">
        <v>14491</v>
      </c>
      <c r="I1810" s="110" t="s">
        <v>14492</v>
      </c>
    </row>
    <row r="1811" spans="1:9" ht="25.2" x14ac:dyDescent="0.3">
      <c r="A1811" s="109" t="s">
        <v>14493</v>
      </c>
      <c r="B1811" s="109" t="s">
        <v>13778</v>
      </c>
      <c r="C1811" s="109" t="s">
        <v>13778</v>
      </c>
      <c r="D1811" s="109" t="s">
        <v>7512</v>
      </c>
      <c r="E1811" s="109" t="s">
        <v>14494</v>
      </c>
      <c r="F1811" s="109" t="s">
        <v>14495</v>
      </c>
      <c r="G1811" s="110" t="s">
        <v>6248</v>
      </c>
      <c r="H1811" s="110" t="s">
        <v>6403</v>
      </c>
      <c r="I1811" s="110" t="s">
        <v>14496</v>
      </c>
    </row>
    <row r="1812" spans="1:9" ht="37.799999999999997" x14ac:dyDescent="0.3">
      <c r="A1812" s="109" t="s">
        <v>14497</v>
      </c>
      <c r="B1812" s="109" t="s">
        <v>13778</v>
      </c>
      <c r="C1812" s="109" t="s">
        <v>13778</v>
      </c>
      <c r="D1812" s="109" t="s">
        <v>8478</v>
      </c>
      <c r="E1812" s="109" t="s">
        <v>14498</v>
      </c>
      <c r="F1812" s="109" t="s">
        <v>14499</v>
      </c>
      <c r="G1812" s="110" t="s">
        <v>6248</v>
      </c>
      <c r="H1812" s="110" t="s">
        <v>9843</v>
      </c>
      <c r="I1812" s="110" t="s">
        <v>14500</v>
      </c>
    </row>
    <row r="1813" spans="1:9" ht="25.2" x14ac:dyDescent="0.3">
      <c r="A1813" s="109" t="s">
        <v>14501</v>
      </c>
      <c r="B1813" s="109" t="s">
        <v>13778</v>
      </c>
      <c r="C1813" s="109" t="s">
        <v>13778</v>
      </c>
      <c r="D1813" s="109" t="s">
        <v>13686</v>
      </c>
      <c r="E1813" s="109" t="s">
        <v>14502</v>
      </c>
      <c r="F1813" s="109" t="s">
        <v>14503</v>
      </c>
      <c r="G1813" s="110" t="s">
        <v>6248</v>
      </c>
      <c r="H1813" s="110" t="s">
        <v>14504</v>
      </c>
      <c r="I1813" s="110" t="s">
        <v>14505</v>
      </c>
    </row>
    <row r="1814" spans="1:9" ht="50.4" x14ac:dyDescent="0.3">
      <c r="A1814" s="109" t="s">
        <v>14506</v>
      </c>
      <c r="B1814" s="109" t="s">
        <v>13778</v>
      </c>
      <c r="C1814" s="109" t="s">
        <v>13778</v>
      </c>
      <c r="D1814" s="109" t="s">
        <v>14507</v>
      </c>
      <c r="E1814" s="109" t="s">
        <v>14507</v>
      </c>
      <c r="F1814" s="109" t="s">
        <v>14508</v>
      </c>
      <c r="G1814" s="110" t="s">
        <v>6248</v>
      </c>
      <c r="H1814" s="110" t="s">
        <v>14509</v>
      </c>
      <c r="I1814" s="110" t="s">
        <v>14510</v>
      </c>
    </row>
    <row r="1815" spans="1:9" ht="37.799999999999997" x14ac:dyDescent="0.3">
      <c r="A1815" s="109" t="s">
        <v>14511</v>
      </c>
      <c r="B1815" s="109" t="s">
        <v>13778</v>
      </c>
      <c r="C1815" s="109" t="s">
        <v>13778</v>
      </c>
      <c r="D1815" s="109" t="s">
        <v>14512</v>
      </c>
      <c r="E1815" s="109" t="s">
        <v>14512</v>
      </c>
      <c r="F1815" s="109" t="s">
        <v>14513</v>
      </c>
      <c r="G1815" s="110" t="s">
        <v>6248</v>
      </c>
      <c r="H1815" s="110" t="s">
        <v>14514</v>
      </c>
      <c r="I1815" s="110" t="s">
        <v>14515</v>
      </c>
    </row>
    <row r="1816" spans="1:9" ht="50.4" x14ac:dyDescent="0.3">
      <c r="A1816" s="109" t="s">
        <v>14516</v>
      </c>
      <c r="B1816" s="109" t="s">
        <v>13778</v>
      </c>
      <c r="C1816" s="109" t="s">
        <v>13778</v>
      </c>
      <c r="D1816" s="109" t="s">
        <v>14517</v>
      </c>
      <c r="E1816" s="109" t="s">
        <v>14517</v>
      </c>
      <c r="F1816" s="109" t="s">
        <v>14518</v>
      </c>
      <c r="G1816" s="110" t="s">
        <v>6248</v>
      </c>
      <c r="H1816" s="110" t="s">
        <v>6398</v>
      </c>
      <c r="I1816" s="110" t="s">
        <v>14519</v>
      </c>
    </row>
    <row r="1817" spans="1:9" ht="50.4" x14ac:dyDescent="0.3">
      <c r="A1817" s="109" t="s">
        <v>14520</v>
      </c>
      <c r="B1817" s="109" t="s">
        <v>13778</v>
      </c>
      <c r="C1817" s="109" t="s">
        <v>13778</v>
      </c>
      <c r="D1817" s="109" t="s">
        <v>14521</v>
      </c>
      <c r="E1817" s="109" t="s">
        <v>14521</v>
      </c>
      <c r="F1817" s="109" t="s">
        <v>14522</v>
      </c>
      <c r="G1817" s="110" t="s">
        <v>6248</v>
      </c>
      <c r="H1817" s="110" t="s">
        <v>14523</v>
      </c>
      <c r="I1817" s="110" t="s">
        <v>14524</v>
      </c>
    </row>
    <row r="1818" spans="1:9" ht="50.4" x14ac:dyDescent="0.3">
      <c r="A1818" s="109" t="s">
        <v>14525</v>
      </c>
      <c r="B1818" s="109" t="s">
        <v>13778</v>
      </c>
      <c r="C1818" s="109" t="s">
        <v>13778</v>
      </c>
      <c r="D1818" s="109" t="s">
        <v>14526</v>
      </c>
      <c r="E1818" s="109" t="s">
        <v>14526</v>
      </c>
      <c r="F1818" s="109" t="s">
        <v>14527</v>
      </c>
      <c r="G1818" s="110" t="s">
        <v>6248</v>
      </c>
      <c r="H1818" s="110" t="s">
        <v>14528</v>
      </c>
      <c r="I1818" s="110" t="s">
        <v>14529</v>
      </c>
    </row>
    <row r="1819" spans="1:9" ht="50.4" x14ac:dyDescent="0.3">
      <c r="A1819" s="109" t="s">
        <v>14530</v>
      </c>
      <c r="B1819" s="109" t="s">
        <v>13778</v>
      </c>
      <c r="C1819" s="109" t="s">
        <v>13778</v>
      </c>
      <c r="D1819" s="109" t="s">
        <v>14531</v>
      </c>
      <c r="E1819" s="109" t="s">
        <v>14531</v>
      </c>
      <c r="F1819" s="109" t="s">
        <v>14532</v>
      </c>
      <c r="G1819" s="110" t="s">
        <v>6248</v>
      </c>
      <c r="H1819" s="110" t="s">
        <v>14533</v>
      </c>
      <c r="I1819" s="110" t="s">
        <v>14534</v>
      </c>
    </row>
    <row r="1820" spans="1:9" ht="50.4" x14ac:dyDescent="0.3">
      <c r="A1820" s="109" t="s">
        <v>14535</v>
      </c>
      <c r="B1820" s="109" t="s">
        <v>13778</v>
      </c>
      <c r="C1820" s="109" t="s">
        <v>13778</v>
      </c>
      <c r="D1820" s="109" t="s">
        <v>8478</v>
      </c>
      <c r="E1820" s="109" t="s">
        <v>8478</v>
      </c>
      <c r="F1820" s="109" t="s">
        <v>14536</v>
      </c>
      <c r="G1820" s="110" t="s">
        <v>6248</v>
      </c>
      <c r="H1820" s="110" t="s">
        <v>14537</v>
      </c>
      <c r="I1820" s="110" t="s">
        <v>14538</v>
      </c>
    </row>
    <row r="1821" spans="1:9" ht="37.799999999999997" x14ac:dyDescent="0.3">
      <c r="A1821" s="109" t="s">
        <v>14539</v>
      </c>
      <c r="B1821" s="109" t="s">
        <v>13778</v>
      </c>
      <c r="C1821" s="109" t="s">
        <v>13778</v>
      </c>
      <c r="D1821" s="109" t="s">
        <v>9836</v>
      </c>
      <c r="E1821" s="109" t="s">
        <v>14540</v>
      </c>
      <c r="F1821" s="109" t="s">
        <v>14541</v>
      </c>
      <c r="G1821" s="110" t="s">
        <v>6248</v>
      </c>
      <c r="H1821" s="110" t="s">
        <v>14542</v>
      </c>
      <c r="I1821" s="110" t="s">
        <v>14543</v>
      </c>
    </row>
    <row r="1822" spans="1:9" ht="37.799999999999997" x14ac:dyDescent="0.3">
      <c r="A1822" s="109" t="s">
        <v>14544</v>
      </c>
      <c r="B1822" s="109" t="s">
        <v>13778</v>
      </c>
      <c r="C1822" s="109" t="s">
        <v>13778</v>
      </c>
      <c r="D1822" s="109" t="s">
        <v>14545</v>
      </c>
      <c r="E1822" s="109" t="s">
        <v>5558</v>
      </c>
      <c r="F1822" s="109" t="s">
        <v>14546</v>
      </c>
      <c r="G1822" s="110" t="s">
        <v>6248</v>
      </c>
      <c r="H1822" s="110" t="s">
        <v>14547</v>
      </c>
      <c r="I1822" s="110" t="s">
        <v>14548</v>
      </c>
    </row>
    <row r="1823" spans="1:9" ht="50.4" x14ac:dyDescent="0.3">
      <c r="A1823" s="109" t="s">
        <v>14549</v>
      </c>
      <c r="B1823" s="109" t="s">
        <v>13778</v>
      </c>
      <c r="C1823" s="109" t="s">
        <v>13778</v>
      </c>
      <c r="D1823" s="109" t="s">
        <v>14550</v>
      </c>
      <c r="E1823" s="109" t="s">
        <v>14550</v>
      </c>
      <c r="F1823" s="109" t="s">
        <v>14551</v>
      </c>
      <c r="G1823" s="110" t="s">
        <v>6248</v>
      </c>
      <c r="H1823" s="110" t="s">
        <v>14552</v>
      </c>
      <c r="I1823" s="110" t="s">
        <v>14553</v>
      </c>
    </row>
    <row r="1824" spans="1:9" ht="37.799999999999997" x14ac:dyDescent="0.3">
      <c r="A1824" s="109" t="s">
        <v>14554</v>
      </c>
      <c r="B1824" s="109" t="s">
        <v>13778</v>
      </c>
      <c r="C1824" s="109" t="s">
        <v>13778</v>
      </c>
      <c r="D1824" s="109" t="s">
        <v>14555</v>
      </c>
      <c r="E1824" s="109" t="s">
        <v>14555</v>
      </c>
      <c r="F1824" s="109" t="s">
        <v>14556</v>
      </c>
      <c r="G1824" s="110" t="s">
        <v>6248</v>
      </c>
      <c r="H1824" s="110" t="s">
        <v>14557</v>
      </c>
      <c r="I1824" s="110" t="s">
        <v>14558</v>
      </c>
    </row>
    <row r="1825" spans="1:9" ht="25.2" x14ac:dyDescent="0.3">
      <c r="A1825" s="109" t="s">
        <v>14559</v>
      </c>
      <c r="B1825" s="109" t="s">
        <v>13778</v>
      </c>
      <c r="C1825" s="109" t="s">
        <v>13778</v>
      </c>
      <c r="D1825" s="109" t="s">
        <v>14560</v>
      </c>
      <c r="E1825" s="109" t="s">
        <v>14561</v>
      </c>
      <c r="F1825" s="109" t="s">
        <v>14562</v>
      </c>
      <c r="G1825" s="110" t="s">
        <v>6248</v>
      </c>
      <c r="H1825" s="110" t="s">
        <v>14563</v>
      </c>
      <c r="I1825" s="110" t="s">
        <v>14564</v>
      </c>
    </row>
    <row r="1826" spans="1:9" ht="50.4" x14ac:dyDescent="0.3">
      <c r="A1826" s="109" t="s">
        <v>14565</v>
      </c>
      <c r="B1826" s="109" t="s">
        <v>13778</v>
      </c>
      <c r="C1826" s="109" t="s">
        <v>13778</v>
      </c>
      <c r="D1826" s="109" t="s">
        <v>14566</v>
      </c>
      <c r="E1826" s="109" t="s">
        <v>14566</v>
      </c>
      <c r="F1826" s="109" t="s">
        <v>14567</v>
      </c>
      <c r="G1826" s="110" t="s">
        <v>6248</v>
      </c>
      <c r="H1826" s="110" t="s">
        <v>14568</v>
      </c>
      <c r="I1826" s="110" t="s">
        <v>14569</v>
      </c>
    </row>
    <row r="1827" spans="1:9" ht="25.2" x14ac:dyDescent="0.3">
      <c r="A1827" s="109" t="s">
        <v>14570</v>
      </c>
      <c r="B1827" s="109" t="s">
        <v>13778</v>
      </c>
      <c r="C1827" s="109" t="s">
        <v>13778</v>
      </c>
      <c r="D1827" s="109" t="s">
        <v>14571</v>
      </c>
      <c r="E1827" s="109" t="s">
        <v>14566</v>
      </c>
      <c r="F1827" s="109" t="s">
        <v>14572</v>
      </c>
      <c r="G1827" s="110" t="s">
        <v>14568</v>
      </c>
      <c r="H1827" s="110" t="s">
        <v>6248</v>
      </c>
      <c r="I1827" s="110" t="s">
        <v>14564</v>
      </c>
    </row>
    <row r="1828" spans="1:9" ht="50.4" x14ac:dyDescent="0.3">
      <c r="A1828" s="109" t="s">
        <v>14573</v>
      </c>
      <c r="B1828" s="109" t="s">
        <v>13778</v>
      </c>
      <c r="C1828" s="109" t="s">
        <v>13778</v>
      </c>
      <c r="D1828" s="109" t="s">
        <v>14574</v>
      </c>
      <c r="E1828" s="109" t="s">
        <v>14574</v>
      </c>
      <c r="F1828" s="109" t="s">
        <v>14575</v>
      </c>
      <c r="G1828" s="110" t="s">
        <v>6248</v>
      </c>
      <c r="H1828" s="110" t="s">
        <v>14576</v>
      </c>
      <c r="I1828" s="110" t="s">
        <v>14577</v>
      </c>
    </row>
    <row r="1829" spans="1:9" ht="37.799999999999997" x14ac:dyDescent="0.3">
      <c r="A1829" s="109" t="s">
        <v>14578</v>
      </c>
      <c r="B1829" s="109" t="s">
        <v>13778</v>
      </c>
      <c r="C1829" s="109" t="s">
        <v>13778</v>
      </c>
      <c r="D1829" s="109" t="s">
        <v>14579</v>
      </c>
      <c r="E1829" s="109" t="s">
        <v>14579</v>
      </c>
      <c r="F1829" s="109" t="s">
        <v>14580</v>
      </c>
      <c r="G1829" s="110" t="s">
        <v>6248</v>
      </c>
      <c r="H1829" s="110" t="s">
        <v>14581</v>
      </c>
      <c r="I1829" s="110" t="s">
        <v>14582</v>
      </c>
    </row>
    <row r="1830" spans="1:9" ht="37.799999999999997" x14ac:dyDescent="0.3">
      <c r="A1830" s="109" t="s">
        <v>14583</v>
      </c>
      <c r="B1830" s="109" t="s">
        <v>13778</v>
      </c>
      <c r="C1830" s="109" t="s">
        <v>13778</v>
      </c>
      <c r="D1830" s="109" t="s">
        <v>14584</v>
      </c>
      <c r="E1830" s="109" t="s">
        <v>14584</v>
      </c>
      <c r="F1830" s="109" t="s">
        <v>14585</v>
      </c>
      <c r="G1830" s="110" t="s">
        <v>6248</v>
      </c>
      <c r="H1830" s="110" t="s">
        <v>14586</v>
      </c>
      <c r="I1830" s="110" t="s">
        <v>14587</v>
      </c>
    </row>
    <row r="1831" spans="1:9" ht="50.4" x14ac:dyDescent="0.3">
      <c r="A1831" s="109" t="s">
        <v>14588</v>
      </c>
      <c r="B1831" s="109" t="s">
        <v>13778</v>
      </c>
      <c r="C1831" s="109" t="s">
        <v>13778</v>
      </c>
      <c r="D1831" s="109" t="s">
        <v>14589</v>
      </c>
      <c r="E1831" s="109" t="s">
        <v>14589</v>
      </c>
      <c r="F1831" s="109" t="s">
        <v>14590</v>
      </c>
      <c r="G1831" s="110" t="s">
        <v>6248</v>
      </c>
      <c r="H1831" s="110" t="s">
        <v>14591</v>
      </c>
      <c r="I1831" s="110" t="s">
        <v>14592</v>
      </c>
    </row>
    <row r="1832" spans="1:9" ht="50.4" x14ac:dyDescent="0.3">
      <c r="A1832" s="109" t="s">
        <v>14593</v>
      </c>
      <c r="B1832" s="109" t="s">
        <v>13778</v>
      </c>
      <c r="C1832" s="109" t="s">
        <v>13778</v>
      </c>
      <c r="D1832" s="109" t="s">
        <v>14594</v>
      </c>
      <c r="E1832" s="109" t="s">
        <v>14594</v>
      </c>
      <c r="F1832" s="109" t="s">
        <v>14595</v>
      </c>
      <c r="G1832" s="110" t="s">
        <v>6248</v>
      </c>
      <c r="H1832" s="110" t="s">
        <v>14596</v>
      </c>
      <c r="I1832" s="110" t="s">
        <v>14597</v>
      </c>
    </row>
    <row r="1833" spans="1:9" ht="50.4" x14ac:dyDescent="0.3">
      <c r="A1833" s="109" t="s">
        <v>14598</v>
      </c>
      <c r="B1833" s="109" t="s">
        <v>13778</v>
      </c>
      <c r="C1833" s="109" t="s">
        <v>13778</v>
      </c>
      <c r="D1833" s="109" t="s">
        <v>14599</v>
      </c>
      <c r="E1833" s="109" t="s">
        <v>14599</v>
      </c>
      <c r="F1833" s="109" t="s">
        <v>14600</v>
      </c>
      <c r="G1833" s="110" t="s">
        <v>6248</v>
      </c>
      <c r="H1833" s="110" t="s">
        <v>6278</v>
      </c>
      <c r="I1833" s="110" t="s">
        <v>14601</v>
      </c>
    </row>
    <row r="1834" spans="1:9" ht="37.799999999999997" x14ac:dyDescent="0.3">
      <c r="A1834" s="109" t="s">
        <v>14602</v>
      </c>
      <c r="B1834" s="109" t="s">
        <v>13778</v>
      </c>
      <c r="C1834" s="109" t="s">
        <v>13778</v>
      </c>
      <c r="D1834" s="109" t="s">
        <v>14603</v>
      </c>
      <c r="E1834" s="109" t="s">
        <v>14603</v>
      </c>
      <c r="F1834" s="109" t="s">
        <v>14604</v>
      </c>
      <c r="G1834" s="110" t="s">
        <v>6248</v>
      </c>
      <c r="H1834" s="110" t="s">
        <v>14605</v>
      </c>
      <c r="I1834" s="110" t="s">
        <v>14606</v>
      </c>
    </row>
    <row r="1835" spans="1:9" ht="50.4" x14ac:dyDescent="0.3">
      <c r="A1835" s="109" t="s">
        <v>14607</v>
      </c>
      <c r="B1835" s="109" t="s">
        <v>13778</v>
      </c>
      <c r="C1835" s="109" t="s">
        <v>13778</v>
      </c>
      <c r="D1835" s="109" t="s">
        <v>11169</v>
      </c>
      <c r="E1835" s="109" t="s">
        <v>11169</v>
      </c>
      <c r="F1835" s="109" t="s">
        <v>14608</v>
      </c>
      <c r="G1835" s="110" t="s">
        <v>6248</v>
      </c>
      <c r="H1835" s="110" t="s">
        <v>10621</v>
      </c>
      <c r="I1835" s="110" t="s">
        <v>14609</v>
      </c>
    </row>
    <row r="1836" spans="1:9" ht="37.799999999999997" x14ac:dyDescent="0.3">
      <c r="A1836" s="109" t="s">
        <v>14610</v>
      </c>
      <c r="B1836" s="109" t="s">
        <v>13778</v>
      </c>
      <c r="C1836" s="109" t="s">
        <v>13778</v>
      </c>
      <c r="D1836" s="109" t="s">
        <v>14611</v>
      </c>
      <c r="E1836" s="109" t="s">
        <v>14611</v>
      </c>
      <c r="F1836" s="109" t="s">
        <v>14612</v>
      </c>
      <c r="G1836" s="110" t="s">
        <v>6248</v>
      </c>
      <c r="H1836" s="110" t="s">
        <v>14613</v>
      </c>
      <c r="I1836" s="110" t="s">
        <v>14614</v>
      </c>
    </row>
    <row r="1837" spans="1:9" ht="50.4" x14ac:dyDescent="0.3">
      <c r="A1837" s="109" t="s">
        <v>14615</v>
      </c>
      <c r="B1837" s="109" t="s">
        <v>13778</v>
      </c>
      <c r="C1837" s="109" t="s">
        <v>13778</v>
      </c>
      <c r="D1837" s="109" t="s">
        <v>14616</v>
      </c>
      <c r="E1837" s="109" t="s">
        <v>14616</v>
      </c>
      <c r="F1837" s="109" t="s">
        <v>14617</v>
      </c>
      <c r="G1837" s="110" t="s">
        <v>6248</v>
      </c>
      <c r="H1837" s="110" t="s">
        <v>14618</v>
      </c>
      <c r="I1837" s="110" t="s">
        <v>14619</v>
      </c>
    </row>
    <row r="1838" spans="1:9" ht="50.4" x14ac:dyDescent="0.3">
      <c r="A1838" s="109" t="s">
        <v>14620</v>
      </c>
      <c r="B1838" s="109" t="s">
        <v>13778</v>
      </c>
      <c r="C1838" s="109" t="s">
        <v>13778</v>
      </c>
      <c r="D1838" s="109" t="s">
        <v>14621</v>
      </c>
      <c r="E1838" s="109" t="s">
        <v>14621</v>
      </c>
      <c r="F1838" s="109" t="s">
        <v>14622</v>
      </c>
      <c r="G1838" s="110" t="s">
        <v>6248</v>
      </c>
      <c r="H1838" s="110" t="s">
        <v>14623</v>
      </c>
      <c r="I1838" s="110" t="s">
        <v>14624</v>
      </c>
    </row>
    <row r="1839" spans="1:9" ht="50.4" x14ac:dyDescent="0.3">
      <c r="A1839" s="109" t="s">
        <v>14625</v>
      </c>
      <c r="B1839" s="109" t="s">
        <v>13778</v>
      </c>
      <c r="C1839" s="109" t="s">
        <v>13778</v>
      </c>
      <c r="D1839" s="109" t="s">
        <v>14626</v>
      </c>
      <c r="E1839" s="109" t="s">
        <v>14626</v>
      </c>
      <c r="F1839" s="109" t="s">
        <v>14627</v>
      </c>
      <c r="G1839" s="110" t="s">
        <v>6248</v>
      </c>
      <c r="H1839" s="110" t="s">
        <v>14628</v>
      </c>
      <c r="I1839" s="110" t="s">
        <v>14629</v>
      </c>
    </row>
    <row r="1840" spans="1:9" ht="37.799999999999997" x14ac:dyDescent="0.3">
      <c r="A1840" s="109" t="s">
        <v>14630</v>
      </c>
      <c r="B1840" s="109" t="s">
        <v>13778</v>
      </c>
      <c r="C1840" s="109" t="s">
        <v>13778</v>
      </c>
      <c r="D1840" s="109" t="s">
        <v>14631</v>
      </c>
      <c r="E1840" s="109" t="s">
        <v>5558</v>
      </c>
      <c r="F1840" s="109" t="s">
        <v>14632</v>
      </c>
      <c r="G1840" s="110" t="s">
        <v>6248</v>
      </c>
      <c r="H1840" s="110" t="s">
        <v>14633</v>
      </c>
      <c r="I1840" s="110" t="s">
        <v>14634</v>
      </c>
    </row>
    <row r="1841" spans="1:9" ht="50.4" x14ac:dyDescent="0.3">
      <c r="A1841" s="109" t="s">
        <v>14635</v>
      </c>
      <c r="B1841" s="109" t="s">
        <v>13778</v>
      </c>
      <c r="C1841" s="109" t="s">
        <v>13778</v>
      </c>
      <c r="D1841" s="109" t="s">
        <v>14636</v>
      </c>
      <c r="E1841" s="109" t="s">
        <v>14636</v>
      </c>
      <c r="F1841" s="109" t="s">
        <v>14637</v>
      </c>
      <c r="G1841" s="110" t="s">
        <v>6248</v>
      </c>
      <c r="H1841" s="110" t="s">
        <v>14638</v>
      </c>
      <c r="I1841" s="110" t="s">
        <v>14639</v>
      </c>
    </row>
    <row r="1842" spans="1:9" ht="50.4" x14ac:dyDescent="0.3">
      <c r="A1842" s="109" t="s">
        <v>14640</v>
      </c>
      <c r="B1842" s="109" t="s">
        <v>13778</v>
      </c>
      <c r="C1842" s="109" t="s">
        <v>13778</v>
      </c>
      <c r="D1842" s="109" t="s">
        <v>14641</v>
      </c>
      <c r="E1842" s="109" t="s">
        <v>14641</v>
      </c>
      <c r="F1842" s="109" t="s">
        <v>14642</v>
      </c>
      <c r="G1842" s="110" t="s">
        <v>6248</v>
      </c>
      <c r="H1842" s="110" t="s">
        <v>12951</v>
      </c>
      <c r="I1842" s="110" t="s">
        <v>14643</v>
      </c>
    </row>
    <row r="1843" spans="1:9" ht="25.2" x14ac:dyDescent="0.3">
      <c r="A1843" s="109" t="s">
        <v>14644</v>
      </c>
      <c r="B1843" s="109" t="s">
        <v>13778</v>
      </c>
      <c r="C1843" s="109" t="s">
        <v>13778</v>
      </c>
      <c r="D1843" s="109" t="s">
        <v>1644</v>
      </c>
      <c r="E1843" s="109" t="s">
        <v>14645</v>
      </c>
      <c r="F1843" s="109" t="s">
        <v>5912</v>
      </c>
      <c r="G1843" s="110" t="s">
        <v>6248</v>
      </c>
      <c r="H1843" s="110" t="s">
        <v>14646</v>
      </c>
      <c r="I1843" s="110" t="s">
        <v>14647</v>
      </c>
    </row>
    <row r="1844" spans="1:9" ht="37.799999999999997" x14ac:dyDescent="0.3">
      <c r="A1844" s="109" t="s">
        <v>14648</v>
      </c>
      <c r="B1844" s="109" t="s">
        <v>13778</v>
      </c>
      <c r="C1844" s="109" t="s">
        <v>13778</v>
      </c>
      <c r="D1844" s="109" t="s">
        <v>14649</v>
      </c>
      <c r="E1844" s="109" t="s">
        <v>5558</v>
      </c>
      <c r="F1844" s="109" t="s">
        <v>14650</v>
      </c>
      <c r="G1844" s="110" t="s">
        <v>6248</v>
      </c>
      <c r="H1844" s="110" t="s">
        <v>14651</v>
      </c>
      <c r="I1844" s="110" t="s">
        <v>14652</v>
      </c>
    </row>
    <row r="1845" spans="1:9" ht="37.799999999999997" x14ac:dyDescent="0.3">
      <c r="A1845" s="109" t="s">
        <v>14653</v>
      </c>
      <c r="B1845" s="109" t="s">
        <v>13778</v>
      </c>
      <c r="C1845" s="109" t="s">
        <v>13778</v>
      </c>
      <c r="D1845" s="109" t="s">
        <v>14654</v>
      </c>
      <c r="E1845" s="109" t="s">
        <v>5558</v>
      </c>
      <c r="F1845" s="109" t="s">
        <v>14655</v>
      </c>
      <c r="G1845" s="110" t="s">
        <v>6248</v>
      </c>
      <c r="H1845" s="110" t="s">
        <v>14656</v>
      </c>
      <c r="I1845" s="110" t="s">
        <v>14657</v>
      </c>
    </row>
    <row r="1846" spans="1:9" ht="37.799999999999997" x14ac:dyDescent="0.3">
      <c r="A1846" s="109" t="s">
        <v>14658</v>
      </c>
      <c r="B1846" s="109" t="s">
        <v>13778</v>
      </c>
      <c r="C1846" s="109" t="s">
        <v>13778</v>
      </c>
      <c r="D1846" s="109" t="s">
        <v>14659</v>
      </c>
      <c r="E1846" s="109" t="s">
        <v>5558</v>
      </c>
      <c r="F1846" s="109" t="s">
        <v>14660</v>
      </c>
      <c r="G1846" s="110" t="s">
        <v>6248</v>
      </c>
      <c r="H1846" s="110" t="s">
        <v>14661</v>
      </c>
      <c r="I1846" s="110" t="s">
        <v>14662</v>
      </c>
    </row>
    <row r="1847" spans="1:9" ht="37.799999999999997" x14ac:dyDescent="0.3">
      <c r="A1847" s="109" t="s">
        <v>14663</v>
      </c>
      <c r="B1847" s="109" t="s">
        <v>13778</v>
      </c>
      <c r="C1847" s="109" t="s">
        <v>13778</v>
      </c>
      <c r="D1847" s="109" t="s">
        <v>14664</v>
      </c>
      <c r="E1847" s="109" t="s">
        <v>5558</v>
      </c>
      <c r="F1847" s="109" t="s">
        <v>14665</v>
      </c>
      <c r="G1847" s="110" t="s">
        <v>6248</v>
      </c>
      <c r="H1847" s="110" t="s">
        <v>14666</v>
      </c>
      <c r="I1847" s="110" t="s">
        <v>14667</v>
      </c>
    </row>
    <row r="1848" spans="1:9" ht="50.4" x14ac:dyDescent="0.3">
      <c r="A1848" s="109" t="s">
        <v>14668</v>
      </c>
      <c r="B1848" s="109" t="s">
        <v>13778</v>
      </c>
      <c r="C1848" s="109" t="s">
        <v>13778</v>
      </c>
      <c r="D1848" s="109" t="s">
        <v>14669</v>
      </c>
      <c r="E1848" s="109" t="s">
        <v>14669</v>
      </c>
      <c r="F1848" s="109" t="s">
        <v>14670</v>
      </c>
      <c r="G1848" s="110" t="s">
        <v>6248</v>
      </c>
      <c r="H1848" s="110" t="s">
        <v>14671</v>
      </c>
      <c r="I1848" s="110" t="s">
        <v>14672</v>
      </c>
    </row>
    <row r="1849" spans="1:9" ht="50.4" x14ac:dyDescent="0.3">
      <c r="A1849" s="109" t="s">
        <v>14673</v>
      </c>
      <c r="B1849" s="109" t="s">
        <v>13778</v>
      </c>
      <c r="C1849" s="109" t="s">
        <v>13778</v>
      </c>
      <c r="D1849" s="109" t="s">
        <v>14674</v>
      </c>
      <c r="E1849" s="109" t="s">
        <v>14674</v>
      </c>
      <c r="F1849" s="109" t="s">
        <v>14675</v>
      </c>
      <c r="G1849" s="110" t="s">
        <v>6248</v>
      </c>
      <c r="H1849" s="110" t="s">
        <v>14676</v>
      </c>
      <c r="I1849" s="110" t="s">
        <v>14677</v>
      </c>
    </row>
    <row r="1850" spans="1:9" ht="37.799999999999997" x14ac:dyDescent="0.3">
      <c r="A1850" s="109" t="s">
        <v>14678</v>
      </c>
      <c r="B1850" s="109" t="s">
        <v>13778</v>
      </c>
      <c r="C1850" s="109" t="s">
        <v>13778</v>
      </c>
      <c r="D1850" s="109" t="s">
        <v>14679</v>
      </c>
      <c r="E1850" s="109" t="s">
        <v>14679</v>
      </c>
      <c r="F1850" s="109" t="s">
        <v>14680</v>
      </c>
      <c r="G1850" s="110" t="s">
        <v>6248</v>
      </c>
      <c r="H1850" s="110" t="s">
        <v>14681</v>
      </c>
      <c r="I1850" s="110" t="s">
        <v>14682</v>
      </c>
    </row>
    <row r="1851" spans="1:9" ht="37.799999999999997" x14ac:dyDescent="0.3">
      <c r="A1851" s="109" t="s">
        <v>14683</v>
      </c>
      <c r="B1851" s="109" t="s">
        <v>13778</v>
      </c>
      <c r="C1851" s="109" t="s">
        <v>13778</v>
      </c>
      <c r="D1851" s="109" t="s">
        <v>14684</v>
      </c>
      <c r="E1851" s="109" t="s">
        <v>5558</v>
      </c>
      <c r="F1851" s="109" t="s">
        <v>14685</v>
      </c>
      <c r="G1851" s="110" t="s">
        <v>6248</v>
      </c>
      <c r="H1851" s="110" t="s">
        <v>14686</v>
      </c>
      <c r="I1851" s="110" t="s">
        <v>14687</v>
      </c>
    </row>
    <row r="1852" spans="1:9" ht="37.799999999999997" x14ac:dyDescent="0.3">
      <c r="A1852" s="109" t="s">
        <v>14688</v>
      </c>
      <c r="B1852" s="109" t="s">
        <v>13778</v>
      </c>
      <c r="C1852" s="109" t="s">
        <v>13778</v>
      </c>
      <c r="D1852" s="109" t="s">
        <v>14689</v>
      </c>
      <c r="E1852" s="109" t="s">
        <v>14690</v>
      </c>
      <c r="F1852" s="109" t="s">
        <v>14691</v>
      </c>
      <c r="G1852" s="110" t="s">
        <v>6248</v>
      </c>
      <c r="H1852" s="110" t="s">
        <v>14692</v>
      </c>
      <c r="I1852" s="110" t="s">
        <v>14693</v>
      </c>
    </row>
    <row r="1853" spans="1:9" ht="50.4" x14ac:dyDescent="0.3">
      <c r="A1853" s="109" t="s">
        <v>14694</v>
      </c>
      <c r="B1853" s="109" t="s">
        <v>13778</v>
      </c>
      <c r="C1853" s="109" t="s">
        <v>13778</v>
      </c>
      <c r="D1853" s="109" t="s">
        <v>14695</v>
      </c>
      <c r="E1853" s="109" t="s">
        <v>14695</v>
      </c>
      <c r="F1853" s="109" t="s">
        <v>14696</v>
      </c>
      <c r="G1853" s="110" t="s">
        <v>6248</v>
      </c>
      <c r="H1853" s="110" t="s">
        <v>14697</v>
      </c>
      <c r="I1853" s="110" t="s">
        <v>14698</v>
      </c>
    </row>
    <row r="1854" spans="1:9" ht="37.799999999999997" x14ac:dyDescent="0.3">
      <c r="A1854" s="109" t="s">
        <v>14699</v>
      </c>
      <c r="B1854" s="109" t="s">
        <v>13778</v>
      </c>
      <c r="C1854" s="109" t="s">
        <v>13778</v>
      </c>
      <c r="D1854" s="109" t="s">
        <v>14700</v>
      </c>
      <c r="E1854" s="109" t="s">
        <v>5558</v>
      </c>
      <c r="F1854" s="109" t="s">
        <v>14701</v>
      </c>
      <c r="G1854" s="110" t="s">
        <v>6248</v>
      </c>
      <c r="H1854" s="110" t="s">
        <v>14702</v>
      </c>
      <c r="I1854" s="110" t="s">
        <v>14703</v>
      </c>
    </row>
    <row r="1855" spans="1:9" ht="37.799999999999997" x14ac:dyDescent="0.3">
      <c r="A1855" s="109" t="s">
        <v>14704</v>
      </c>
      <c r="B1855" s="109" t="s">
        <v>13778</v>
      </c>
      <c r="C1855" s="109" t="s">
        <v>13778</v>
      </c>
      <c r="D1855" s="109" t="s">
        <v>14705</v>
      </c>
      <c r="E1855" s="109" t="s">
        <v>14705</v>
      </c>
      <c r="F1855" s="109" t="s">
        <v>14706</v>
      </c>
      <c r="G1855" s="110" t="s">
        <v>6248</v>
      </c>
      <c r="H1855" s="110" t="s">
        <v>7480</v>
      </c>
      <c r="I1855" s="110" t="s">
        <v>14707</v>
      </c>
    </row>
    <row r="1856" spans="1:9" ht="37.799999999999997" x14ac:dyDescent="0.3">
      <c r="A1856" s="109" t="s">
        <v>14708</v>
      </c>
      <c r="B1856" s="109" t="s">
        <v>13778</v>
      </c>
      <c r="C1856" s="109" t="s">
        <v>13778</v>
      </c>
      <c r="D1856" s="109" t="s">
        <v>14709</v>
      </c>
      <c r="E1856" s="109" t="s">
        <v>5558</v>
      </c>
      <c r="F1856" s="109" t="s">
        <v>14710</v>
      </c>
      <c r="G1856" s="110" t="s">
        <v>6248</v>
      </c>
      <c r="H1856" s="110" t="s">
        <v>14711</v>
      </c>
      <c r="I1856" s="110" t="s">
        <v>14712</v>
      </c>
    </row>
    <row r="1857" spans="1:9" ht="50.4" x14ac:dyDescent="0.3">
      <c r="A1857" s="109" t="s">
        <v>14713</v>
      </c>
      <c r="B1857" s="109" t="s">
        <v>13778</v>
      </c>
      <c r="C1857" s="109" t="s">
        <v>13778</v>
      </c>
      <c r="D1857" s="109" t="s">
        <v>14450</v>
      </c>
      <c r="E1857" s="109" t="s">
        <v>14450</v>
      </c>
      <c r="F1857" s="109" t="s">
        <v>14714</v>
      </c>
      <c r="G1857" s="110" t="s">
        <v>6248</v>
      </c>
      <c r="H1857" s="110" t="s">
        <v>14715</v>
      </c>
      <c r="I1857" s="110" t="s">
        <v>14716</v>
      </c>
    </row>
    <row r="1858" spans="1:9" ht="50.4" x14ac:dyDescent="0.3">
      <c r="A1858" s="109" t="s">
        <v>14717</v>
      </c>
      <c r="B1858" s="109" t="s">
        <v>13778</v>
      </c>
      <c r="C1858" s="109" t="s">
        <v>13778</v>
      </c>
      <c r="D1858" s="109" t="s">
        <v>14718</v>
      </c>
      <c r="E1858" s="109" t="s">
        <v>14718</v>
      </c>
      <c r="F1858" s="109" t="s">
        <v>14719</v>
      </c>
      <c r="G1858" s="110" t="s">
        <v>6248</v>
      </c>
      <c r="H1858" s="110" t="s">
        <v>14720</v>
      </c>
      <c r="I1858" s="110" t="s">
        <v>14721</v>
      </c>
    </row>
    <row r="1859" spans="1:9" ht="50.4" x14ac:dyDescent="0.3">
      <c r="A1859" s="109" t="s">
        <v>14722</v>
      </c>
      <c r="B1859" s="109" t="s">
        <v>13778</v>
      </c>
      <c r="C1859" s="109" t="s">
        <v>13778</v>
      </c>
      <c r="D1859" s="109" t="s">
        <v>12374</v>
      </c>
      <c r="E1859" s="109" t="s">
        <v>12374</v>
      </c>
      <c r="F1859" s="109" t="s">
        <v>14723</v>
      </c>
      <c r="G1859" s="110" t="s">
        <v>6248</v>
      </c>
      <c r="H1859" s="110" t="s">
        <v>14724</v>
      </c>
      <c r="I1859" s="110" t="s">
        <v>14725</v>
      </c>
    </row>
    <row r="1860" spans="1:9" ht="25.2" x14ac:dyDescent="0.3">
      <c r="A1860" s="109" t="s">
        <v>14726</v>
      </c>
      <c r="B1860" s="109" t="s">
        <v>13778</v>
      </c>
      <c r="C1860" s="109" t="s">
        <v>13778</v>
      </c>
      <c r="D1860" s="109" t="s">
        <v>14727</v>
      </c>
      <c r="E1860" s="109" t="s">
        <v>5558</v>
      </c>
      <c r="F1860" s="109" t="s">
        <v>14728</v>
      </c>
      <c r="G1860" s="110" t="s">
        <v>6248</v>
      </c>
      <c r="H1860" s="110" t="s">
        <v>14729</v>
      </c>
      <c r="I1860" s="110" t="s">
        <v>14730</v>
      </c>
    </row>
    <row r="1861" spans="1:9" ht="25.2" x14ac:dyDescent="0.3">
      <c r="A1861" s="109" t="s">
        <v>14731</v>
      </c>
      <c r="B1861" s="109" t="s">
        <v>13778</v>
      </c>
      <c r="C1861" s="109" t="s">
        <v>13778</v>
      </c>
      <c r="D1861" s="109" t="s">
        <v>14732</v>
      </c>
      <c r="E1861" s="109" t="s">
        <v>14733</v>
      </c>
      <c r="F1861" s="109" t="s">
        <v>5794</v>
      </c>
      <c r="G1861" s="110" t="s">
        <v>6248</v>
      </c>
      <c r="H1861" s="110" t="s">
        <v>14734</v>
      </c>
      <c r="I1861" s="110" t="s">
        <v>14735</v>
      </c>
    </row>
    <row r="1862" spans="1:9" ht="25.2" x14ac:dyDescent="0.3">
      <c r="A1862" s="109" t="s">
        <v>14736</v>
      </c>
      <c r="B1862" s="109" t="s">
        <v>13778</v>
      </c>
      <c r="C1862" s="109" t="s">
        <v>13778</v>
      </c>
      <c r="D1862" s="109" t="s">
        <v>14737</v>
      </c>
      <c r="E1862" s="109" t="s">
        <v>14738</v>
      </c>
      <c r="F1862" s="109" t="s">
        <v>5794</v>
      </c>
      <c r="G1862" s="110" t="s">
        <v>6248</v>
      </c>
      <c r="H1862" s="110" t="s">
        <v>14739</v>
      </c>
      <c r="I1862" s="110" t="s">
        <v>14740</v>
      </c>
    </row>
    <row r="1863" spans="1:9" ht="25.2" x14ac:dyDescent="0.3">
      <c r="A1863" s="109" t="s">
        <v>14741</v>
      </c>
      <c r="B1863" s="109" t="s">
        <v>13778</v>
      </c>
      <c r="C1863" s="109" t="s">
        <v>13778</v>
      </c>
      <c r="D1863" s="109" t="s">
        <v>14742</v>
      </c>
      <c r="E1863" s="109" t="s">
        <v>14743</v>
      </c>
      <c r="F1863" s="109" t="s">
        <v>5794</v>
      </c>
      <c r="G1863" s="110" t="s">
        <v>6248</v>
      </c>
      <c r="H1863" s="110" t="s">
        <v>14744</v>
      </c>
      <c r="I1863" s="110" t="s">
        <v>14745</v>
      </c>
    </row>
    <row r="1864" spans="1:9" ht="25.2" x14ac:dyDescent="0.3">
      <c r="A1864" s="109" t="s">
        <v>14746</v>
      </c>
      <c r="B1864" s="109" t="s">
        <v>13778</v>
      </c>
      <c r="C1864" s="109" t="s">
        <v>13778</v>
      </c>
      <c r="D1864" s="109" t="s">
        <v>14747</v>
      </c>
      <c r="E1864" s="109" t="s">
        <v>14748</v>
      </c>
      <c r="F1864" s="109" t="s">
        <v>5794</v>
      </c>
      <c r="G1864" s="110" t="s">
        <v>6248</v>
      </c>
      <c r="H1864" s="110" t="s">
        <v>14749</v>
      </c>
      <c r="I1864" s="110" t="s">
        <v>14750</v>
      </c>
    </row>
    <row r="1865" spans="1:9" ht="25.2" x14ac:dyDescent="0.3">
      <c r="A1865" s="109" t="s">
        <v>14751</v>
      </c>
      <c r="B1865" s="109" t="s">
        <v>13778</v>
      </c>
      <c r="C1865" s="109" t="s">
        <v>13778</v>
      </c>
      <c r="D1865" s="109" t="s">
        <v>5569</v>
      </c>
      <c r="E1865" s="109" t="s">
        <v>5558</v>
      </c>
      <c r="F1865" s="109" t="s">
        <v>2258</v>
      </c>
      <c r="G1865" s="110" t="s">
        <v>6248</v>
      </c>
      <c r="H1865" s="110" t="s">
        <v>14752</v>
      </c>
      <c r="I1865" s="110" t="s">
        <v>14753</v>
      </c>
    </row>
    <row r="1866" spans="1:9" ht="25.2" x14ac:dyDescent="0.3">
      <c r="A1866" s="109" t="s">
        <v>14754</v>
      </c>
      <c r="B1866" s="109" t="s">
        <v>13778</v>
      </c>
      <c r="C1866" s="109" t="s">
        <v>13778</v>
      </c>
      <c r="D1866" s="109" t="s">
        <v>14755</v>
      </c>
      <c r="E1866" s="109" t="s">
        <v>5558</v>
      </c>
      <c r="F1866" s="109" t="s">
        <v>14756</v>
      </c>
      <c r="G1866" s="110" t="s">
        <v>6248</v>
      </c>
      <c r="H1866" s="110" t="s">
        <v>14757</v>
      </c>
      <c r="I1866" s="110" t="s">
        <v>14758</v>
      </c>
    </row>
    <row r="1867" spans="1:9" ht="25.2" x14ac:dyDescent="0.3">
      <c r="A1867" s="109" t="s">
        <v>14759</v>
      </c>
      <c r="B1867" s="109" t="s">
        <v>13778</v>
      </c>
      <c r="C1867" s="109" t="s">
        <v>13778</v>
      </c>
      <c r="D1867" s="109" t="s">
        <v>14760</v>
      </c>
      <c r="E1867" s="109" t="s">
        <v>5558</v>
      </c>
      <c r="F1867" s="109" t="s">
        <v>14761</v>
      </c>
      <c r="G1867" s="110" t="s">
        <v>6248</v>
      </c>
      <c r="H1867" s="110" t="s">
        <v>14762</v>
      </c>
      <c r="I1867" s="110" t="s">
        <v>14763</v>
      </c>
    </row>
    <row r="1868" spans="1:9" ht="25.2" x14ac:dyDescent="0.3">
      <c r="A1868" s="109" t="s">
        <v>14764</v>
      </c>
      <c r="B1868" s="109" t="s">
        <v>13778</v>
      </c>
      <c r="C1868" s="109" t="s">
        <v>13778</v>
      </c>
      <c r="D1868" s="109" t="s">
        <v>14765</v>
      </c>
      <c r="E1868" s="109" t="s">
        <v>5558</v>
      </c>
      <c r="F1868" s="109" t="s">
        <v>14766</v>
      </c>
      <c r="G1868" s="110" t="s">
        <v>6248</v>
      </c>
      <c r="H1868" s="110" t="s">
        <v>7321</v>
      </c>
      <c r="I1868" s="110" t="s">
        <v>14767</v>
      </c>
    </row>
    <row r="1869" spans="1:9" ht="25.2" x14ac:dyDescent="0.3">
      <c r="A1869" s="109" t="s">
        <v>14768</v>
      </c>
      <c r="B1869" s="109" t="s">
        <v>13778</v>
      </c>
      <c r="C1869" s="109" t="s">
        <v>13778</v>
      </c>
      <c r="D1869" s="109" t="s">
        <v>14769</v>
      </c>
      <c r="E1869" s="109" t="s">
        <v>5558</v>
      </c>
      <c r="F1869" s="109" t="s">
        <v>14770</v>
      </c>
      <c r="G1869" s="110" t="s">
        <v>6248</v>
      </c>
      <c r="H1869" s="110" t="s">
        <v>10182</v>
      </c>
      <c r="I1869" s="110" t="s">
        <v>14771</v>
      </c>
    </row>
    <row r="1870" spans="1:9" ht="25.2" x14ac:dyDescent="0.3">
      <c r="A1870" s="109" t="s">
        <v>14772</v>
      </c>
      <c r="B1870" s="109" t="s">
        <v>13778</v>
      </c>
      <c r="C1870" s="109" t="s">
        <v>13778</v>
      </c>
      <c r="D1870" s="109" t="s">
        <v>14773</v>
      </c>
      <c r="E1870" s="109" t="s">
        <v>5558</v>
      </c>
      <c r="F1870" s="109" t="s">
        <v>14774</v>
      </c>
      <c r="G1870" s="110" t="s">
        <v>6248</v>
      </c>
      <c r="H1870" s="110" t="s">
        <v>14775</v>
      </c>
      <c r="I1870" s="110" t="s">
        <v>14776</v>
      </c>
    </row>
    <row r="1871" spans="1:9" ht="37.799999999999997" x14ac:dyDescent="0.3">
      <c r="A1871" s="109" t="s">
        <v>14777</v>
      </c>
      <c r="B1871" s="109" t="s">
        <v>13778</v>
      </c>
      <c r="C1871" s="109" t="s">
        <v>13778</v>
      </c>
      <c r="D1871" s="109" t="s">
        <v>14778</v>
      </c>
      <c r="E1871" s="109" t="s">
        <v>5558</v>
      </c>
      <c r="F1871" s="109" t="s">
        <v>14779</v>
      </c>
      <c r="G1871" s="110" t="s">
        <v>6248</v>
      </c>
      <c r="H1871" s="110" t="s">
        <v>6341</v>
      </c>
      <c r="I1871" s="110" t="s">
        <v>14780</v>
      </c>
    </row>
    <row r="1872" spans="1:9" ht="25.2" x14ac:dyDescent="0.3">
      <c r="A1872" s="109" t="s">
        <v>14781</v>
      </c>
      <c r="B1872" s="109" t="s">
        <v>13778</v>
      </c>
      <c r="C1872" s="109" t="s">
        <v>13778</v>
      </c>
      <c r="D1872" s="109" t="s">
        <v>14782</v>
      </c>
      <c r="E1872" s="109" t="s">
        <v>5558</v>
      </c>
      <c r="F1872" s="109" t="s">
        <v>14783</v>
      </c>
      <c r="G1872" s="110" t="s">
        <v>6248</v>
      </c>
      <c r="H1872" s="110" t="s">
        <v>11755</v>
      </c>
      <c r="I1872" s="110" t="s">
        <v>14784</v>
      </c>
    </row>
    <row r="1873" spans="1:9" ht="25.2" x14ac:dyDescent="0.3">
      <c r="A1873" s="109" t="s">
        <v>14785</v>
      </c>
      <c r="B1873" s="109" t="s">
        <v>13778</v>
      </c>
      <c r="C1873" s="109" t="s">
        <v>13778</v>
      </c>
      <c r="D1873" s="109" t="s">
        <v>14786</v>
      </c>
      <c r="E1873" s="109" t="s">
        <v>14787</v>
      </c>
      <c r="F1873" s="109" t="s">
        <v>6768</v>
      </c>
      <c r="G1873" s="110" t="s">
        <v>6248</v>
      </c>
      <c r="H1873" s="110" t="s">
        <v>14788</v>
      </c>
      <c r="I1873" s="110" t="s">
        <v>14789</v>
      </c>
    </row>
    <row r="1874" spans="1:9" ht="25.2" x14ac:dyDescent="0.3">
      <c r="A1874" s="109" t="s">
        <v>14790</v>
      </c>
      <c r="B1874" s="109" t="s">
        <v>13778</v>
      </c>
      <c r="C1874" s="109" t="s">
        <v>13778</v>
      </c>
      <c r="D1874" s="109" t="s">
        <v>14791</v>
      </c>
      <c r="E1874" s="109" t="s">
        <v>14792</v>
      </c>
      <c r="F1874" s="109" t="s">
        <v>6768</v>
      </c>
      <c r="G1874" s="110" t="s">
        <v>6248</v>
      </c>
      <c r="H1874" s="110" t="s">
        <v>14793</v>
      </c>
      <c r="I1874" s="110" t="s">
        <v>14794</v>
      </c>
    </row>
    <row r="1875" spans="1:9" ht="37.799999999999997" x14ac:dyDescent="0.3">
      <c r="A1875" s="109" t="s">
        <v>14795</v>
      </c>
      <c r="B1875" s="109" t="s">
        <v>13778</v>
      </c>
      <c r="C1875" s="109" t="s">
        <v>13778</v>
      </c>
      <c r="D1875" s="109" t="s">
        <v>14796</v>
      </c>
      <c r="E1875" s="109" t="s">
        <v>5558</v>
      </c>
      <c r="F1875" s="109" t="s">
        <v>14797</v>
      </c>
      <c r="G1875" s="110" t="s">
        <v>6248</v>
      </c>
      <c r="H1875" s="110" t="s">
        <v>14798</v>
      </c>
      <c r="I1875" s="110" t="s">
        <v>14799</v>
      </c>
    </row>
    <row r="1876" spans="1:9" ht="25.2" x14ac:dyDescent="0.3">
      <c r="A1876" s="109" t="s">
        <v>14800</v>
      </c>
      <c r="B1876" s="109" t="s">
        <v>13778</v>
      </c>
      <c r="C1876" s="109" t="s">
        <v>13778</v>
      </c>
      <c r="D1876" s="109" t="s">
        <v>5569</v>
      </c>
      <c r="E1876" s="109" t="s">
        <v>5558</v>
      </c>
      <c r="F1876" s="109" t="s">
        <v>2258</v>
      </c>
      <c r="G1876" s="110" t="s">
        <v>6248</v>
      </c>
      <c r="H1876" s="110" t="s">
        <v>14801</v>
      </c>
      <c r="I1876" s="110" t="s">
        <v>14802</v>
      </c>
    </row>
    <row r="1877" spans="1:9" ht="25.2" x14ac:dyDescent="0.3">
      <c r="A1877" s="109" t="s">
        <v>14803</v>
      </c>
      <c r="B1877" s="109" t="s">
        <v>13778</v>
      </c>
      <c r="C1877" s="109" t="s">
        <v>13778</v>
      </c>
      <c r="D1877" s="109" t="s">
        <v>14804</v>
      </c>
      <c r="E1877" s="109" t="s">
        <v>11902</v>
      </c>
      <c r="F1877" s="109" t="s">
        <v>14805</v>
      </c>
      <c r="G1877" s="110" t="s">
        <v>6248</v>
      </c>
      <c r="H1877" s="110" t="s">
        <v>14504</v>
      </c>
      <c r="I1877" s="110" t="s">
        <v>14806</v>
      </c>
    </row>
    <row r="1878" spans="1:9" ht="25.2" x14ac:dyDescent="0.3">
      <c r="A1878" s="109" t="s">
        <v>14807</v>
      </c>
      <c r="B1878" s="109" t="s">
        <v>13778</v>
      </c>
      <c r="C1878" s="109" t="s">
        <v>13778</v>
      </c>
      <c r="D1878" s="109" t="s">
        <v>14808</v>
      </c>
      <c r="E1878" s="109" t="s">
        <v>14809</v>
      </c>
      <c r="F1878" s="109" t="s">
        <v>14810</v>
      </c>
      <c r="G1878" s="110" t="s">
        <v>6248</v>
      </c>
      <c r="H1878" s="110" t="s">
        <v>14811</v>
      </c>
      <c r="I1878" s="110" t="s">
        <v>14812</v>
      </c>
    </row>
    <row r="1879" spans="1:9" ht="25.2" x14ac:dyDescent="0.3">
      <c r="A1879" s="109" t="s">
        <v>14813</v>
      </c>
      <c r="B1879" s="109" t="s">
        <v>13778</v>
      </c>
      <c r="C1879" s="109" t="s">
        <v>13778</v>
      </c>
      <c r="D1879" s="109" t="s">
        <v>14814</v>
      </c>
      <c r="E1879" s="109" t="s">
        <v>14815</v>
      </c>
      <c r="F1879" s="109" t="s">
        <v>14816</v>
      </c>
      <c r="G1879" s="110" t="s">
        <v>6248</v>
      </c>
      <c r="H1879" s="110" t="s">
        <v>9178</v>
      </c>
      <c r="I1879" s="110" t="s">
        <v>14817</v>
      </c>
    </row>
    <row r="1880" spans="1:9" ht="25.2" x14ac:dyDescent="0.3">
      <c r="A1880" s="109" t="s">
        <v>14818</v>
      </c>
      <c r="B1880" s="109" t="s">
        <v>14819</v>
      </c>
      <c r="C1880" s="109" t="s">
        <v>13778</v>
      </c>
      <c r="D1880" s="109" t="s">
        <v>14820</v>
      </c>
      <c r="E1880" s="109" t="s">
        <v>5558</v>
      </c>
      <c r="F1880" s="109" t="s">
        <v>14821</v>
      </c>
      <c r="G1880" s="110" t="s">
        <v>6248</v>
      </c>
      <c r="H1880" s="110" t="s">
        <v>14822</v>
      </c>
      <c r="I1880" s="110" t="s">
        <v>14823</v>
      </c>
    </row>
    <row r="1881" spans="1:9" ht="25.2" x14ac:dyDescent="0.3">
      <c r="A1881" s="109" t="s">
        <v>14824</v>
      </c>
      <c r="B1881" s="109" t="s">
        <v>14819</v>
      </c>
      <c r="C1881" s="109" t="s">
        <v>13778</v>
      </c>
      <c r="D1881" s="109" t="s">
        <v>14825</v>
      </c>
      <c r="E1881" s="109" t="s">
        <v>5558</v>
      </c>
      <c r="F1881" s="109" t="s">
        <v>14826</v>
      </c>
      <c r="G1881" s="110" t="s">
        <v>6248</v>
      </c>
      <c r="H1881" s="110" t="s">
        <v>14827</v>
      </c>
      <c r="I1881" s="110" t="s">
        <v>14828</v>
      </c>
    </row>
    <row r="1882" spans="1:9" ht="37.799999999999997" x14ac:dyDescent="0.3">
      <c r="A1882" s="109" t="s">
        <v>14829</v>
      </c>
      <c r="B1882" s="109" t="s">
        <v>14819</v>
      </c>
      <c r="C1882" s="109" t="s">
        <v>13778</v>
      </c>
      <c r="D1882" s="109" t="s">
        <v>14830</v>
      </c>
      <c r="E1882" s="109" t="s">
        <v>5558</v>
      </c>
      <c r="F1882" s="109" t="s">
        <v>14831</v>
      </c>
      <c r="G1882" s="110" t="s">
        <v>6248</v>
      </c>
      <c r="H1882" s="110" t="s">
        <v>14832</v>
      </c>
      <c r="I1882" s="110" t="s">
        <v>14833</v>
      </c>
    </row>
    <row r="1883" spans="1:9" ht="37.799999999999997" x14ac:dyDescent="0.3">
      <c r="A1883" s="109" t="s">
        <v>14834</v>
      </c>
      <c r="B1883" s="109" t="s">
        <v>14819</v>
      </c>
      <c r="C1883" s="109" t="s">
        <v>13778</v>
      </c>
      <c r="D1883" s="109" t="s">
        <v>14835</v>
      </c>
      <c r="E1883" s="109" t="s">
        <v>5558</v>
      </c>
      <c r="F1883" s="109" t="s">
        <v>14836</v>
      </c>
      <c r="G1883" s="110" t="s">
        <v>6248</v>
      </c>
      <c r="H1883" s="110" t="s">
        <v>6689</v>
      </c>
      <c r="I1883" s="110" t="s">
        <v>14837</v>
      </c>
    </row>
    <row r="1884" spans="1:9" ht="25.2" x14ac:dyDescent="0.3">
      <c r="A1884" s="109" t="s">
        <v>14838</v>
      </c>
      <c r="B1884" s="109" t="s">
        <v>14819</v>
      </c>
      <c r="C1884" s="109" t="s">
        <v>14819</v>
      </c>
      <c r="D1884" s="109" t="s">
        <v>14839</v>
      </c>
      <c r="E1884" s="109" t="s">
        <v>5558</v>
      </c>
      <c r="F1884" s="109" t="s">
        <v>14840</v>
      </c>
      <c r="G1884" s="110" t="s">
        <v>6248</v>
      </c>
      <c r="H1884" s="110" t="s">
        <v>14841</v>
      </c>
      <c r="I1884" s="110" t="s">
        <v>14842</v>
      </c>
    </row>
    <row r="1885" spans="1:9" ht="37.799999999999997" x14ac:dyDescent="0.3">
      <c r="A1885" s="109" t="s">
        <v>14843</v>
      </c>
      <c r="B1885" s="109" t="s">
        <v>14819</v>
      </c>
      <c r="C1885" s="109" t="s">
        <v>14819</v>
      </c>
      <c r="D1885" s="109" t="s">
        <v>14844</v>
      </c>
      <c r="E1885" s="109" t="s">
        <v>5558</v>
      </c>
      <c r="F1885" s="109" t="s">
        <v>14845</v>
      </c>
      <c r="G1885" s="110" t="s">
        <v>6248</v>
      </c>
      <c r="H1885" s="110" t="s">
        <v>14846</v>
      </c>
      <c r="I1885" s="110" t="s">
        <v>14847</v>
      </c>
    </row>
    <row r="1886" spans="1:9" ht="37.799999999999997" x14ac:dyDescent="0.3">
      <c r="A1886" s="109" t="s">
        <v>14848</v>
      </c>
      <c r="B1886" s="109" t="s">
        <v>14819</v>
      </c>
      <c r="C1886" s="109" t="s">
        <v>14819</v>
      </c>
      <c r="D1886" s="109" t="s">
        <v>14849</v>
      </c>
      <c r="E1886" s="109" t="s">
        <v>5558</v>
      </c>
      <c r="F1886" s="109" t="s">
        <v>14850</v>
      </c>
      <c r="G1886" s="110" t="s">
        <v>6248</v>
      </c>
      <c r="H1886" s="110" t="s">
        <v>14851</v>
      </c>
      <c r="I1886" s="110" t="s">
        <v>14852</v>
      </c>
    </row>
    <row r="1887" spans="1:9" ht="25.2" x14ac:dyDescent="0.3">
      <c r="A1887" s="109" t="s">
        <v>14853</v>
      </c>
      <c r="B1887" s="109" t="s">
        <v>14819</v>
      </c>
      <c r="C1887" s="109" t="s">
        <v>14819</v>
      </c>
      <c r="D1887" s="109" t="s">
        <v>1759</v>
      </c>
      <c r="E1887" s="109" t="s">
        <v>5558</v>
      </c>
      <c r="F1887" s="109" t="s">
        <v>14854</v>
      </c>
      <c r="G1887" s="110" t="s">
        <v>6248</v>
      </c>
      <c r="H1887" s="110" t="s">
        <v>14855</v>
      </c>
      <c r="I1887" s="110" t="s">
        <v>14856</v>
      </c>
    </row>
    <row r="1888" spans="1:9" ht="37.799999999999997" x14ac:dyDescent="0.3">
      <c r="A1888" s="109" t="s">
        <v>14857</v>
      </c>
      <c r="B1888" s="109" t="s">
        <v>14819</v>
      </c>
      <c r="C1888" s="109" t="s">
        <v>14819</v>
      </c>
      <c r="D1888" s="109" t="s">
        <v>14858</v>
      </c>
      <c r="E1888" s="109" t="s">
        <v>5558</v>
      </c>
      <c r="F1888" s="109" t="s">
        <v>14859</v>
      </c>
      <c r="G1888" s="110" t="s">
        <v>6248</v>
      </c>
      <c r="H1888" s="110" t="s">
        <v>14860</v>
      </c>
      <c r="I1888" s="110" t="s">
        <v>14861</v>
      </c>
    </row>
    <row r="1889" spans="1:9" ht="37.799999999999997" x14ac:dyDescent="0.3">
      <c r="A1889" s="109" t="s">
        <v>14862</v>
      </c>
      <c r="B1889" s="109" t="s">
        <v>14819</v>
      </c>
      <c r="C1889" s="109" t="s">
        <v>14819</v>
      </c>
      <c r="D1889" s="109" t="s">
        <v>14863</v>
      </c>
      <c r="E1889" s="109" t="s">
        <v>5558</v>
      </c>
      <c r="F1889" s="109" t="s">
        <v>14864</v>
      </c>
      <c r="G1889" s="110" t="s">
        <v>6248</v>
      </c>
      <c r="H1889" s="110" t="s">
        <v>14865</v>
      </c>
      <c r="I1889" s="110" t="s">
        <v>14866</v>
      </c>
    </row>
    <row r="1890" spans="1:9" ht="25.2" x14ac:dyDescent="0.3">
      <c r="A1890" s="109" t="s">
        <v>14867</v>
      </c>
      <c r="B1890" s="109" t="s">
        <v>14819</v>
      </c>
      <c r="C1890" s="109" t="s">
        <v>14819</v>
      </c>
      <c r="D1890" s="109" t="s">
        <v>2577</v>
      </c>
      <c r="E1890" s="109" t="s">
        <v>14868</v>
      </c>
      <c r="F1890" s="109" t="s">
        <v>7123</v>
      </c>
      <c r="G1890" s="110" t="s">
        <v>6248</v>
      </c>
      <c r="H1890" s="110" t="s">
        <v>10673</v>
      </c>
      <c r="I1890" s="110" t="s">
        <v>14869</v>
      </c>
    </row>
    <row r="1891" spans="1:9" ht="37.799999999999997" x14ac:dyDescent="0.3">
      <c r="A1891" s="109" t="s">
        <v>14870</v>
      </c>
      <c r="B1891" s="109" t="s">
        <v>14819</v>
      </c>
      <c r="C1891" s="109" t="s">
        <v>14819</v>
      </c>
      <c r="D1891" s="109" t="s">
        <v>14871</v>
      </c>
      <c r="E1891" s="109" t="s">
        <v>5558</v>
      </c>
      <c r="F1891" s="109" t="s">
        <v>14872</v>
      </c>
      <c r="G1891" s="110" t="s">
        <v>6248</v>
      </c>
      <c r="H1891" s="110" t="s">
        <v>14873</v>
      </c>
      <c r="I1891" s="110" t="s">
        <v>14874</v>
      </c>
    </row>
    <row r="1892" spans="1:9" ht="37.799999999999997" x14ac:dyDescent="0.3">
      <c r="A1892" s="109" t="s">
        <v>14875</v>
      </c>
      <c r="B1892" s="109" t="s">
        <v>14819</v>
      </c>
      <c r="C1892" s="109" t="s">
        <v>14819</v>
      </c>
      <c r="D1892" s="109" t="s">
        <v>14876</v>
      </c>
      <c r="E1892" s="109" t="s">
        <v>5558</v>
      </c>
      <c r="F1892" s="109" t="s">
        <v>14877</v>
      </c>
      <c r="G1892" s="110" t="s">
        <v>6248</v>
      </c>
      <c r="H1892" s="110" t="s">
        <v>6408</v>
      </c>
      <c r="I1892" s="110" t="s">
        <v>14878</v>
      </c>
    </row>
    <row r="1893" spans="1:9" ht="25.2" x14ac:dyDescent="0.3">
      <c r="A1893" s="109" t="s">
        <v>14879</v>
      </c>
      <c r="B1893" s="109" t="s">
        <v>14819</v>
      </c>
      <c r="C1893" s="109" t="s">
        <v>14819</v>
      </c>
      <c r="D1893" s="109" t="s">
        <v>14880</v>
      </c>
      <c r="E1893" s="109" t="s">
        <v>5558</v>
      </c>
      <c r="F1893" s="109" t="s">
        <v>14881</v>
      </c>
      <c r="G1893" s="110" t="s">
        <v>6248</v>
      </c>
      <c r="H1893" s="110" t="s">
        <v>7830</v>
      </c>
      <c r="I1893" s="110" t="s">
        <v>14882</v>
      </c>
    </row>
    <row r="1894" spans="1:9" ht="25.2" x14ac:dyDescent="0.3">
      <c r="A1894" s="109" t="s">
        <v>14883</v>
      </c>
      <c r="B1894" s="109" t="s">
        <v>14819</v>
      </c>
      <c r="C1894" s="109" t="s">
        <v>14819</v>
      </c>
      <c r="D1894" s="109" t="s">
        <v>14884</v>
      </c>
      <c r="E1894" s="109" t="s">
        <v>5558</v>
      </c>
      <c r="F1894" s="109" t="s">
        <v>14885</v>
      </c>
      <c r="G1894" s="110" t="s">
        <v>6248</v>
      </c>
      <c r="H1894" s="110" t="s">
        <v>7592</v>
      </c>
      <c r="I1894" s="110" t="s">
        <v>14886</v>
      </c>
    </row>
    <row r="1895" spans="1:9" ht="25.2" x14ac:dyDescent="0.3">
      <c r="A1895" s="109" t="s">
        <v>14887</v>
      </c>
      <c r="B1895" s="109" t="s">
        <v>14819</v>
      </c>
      <c r="C1895" s="109" t="s">
        <v>14819</v>
      </c>
      <c r="D1895" s="109" t="s">
        <v>14888</v>
      </c>
      <c r="E1895" s="109" t="s">
        <v>5558</v>
      </c>
      <c r="F1895" s="109" t="s">
        <v>14889</v>
      </c>
      <c r="G1895" s="110" t="s">
        <v>6248</v>
      </c>
      <c r="H1895" s="110" t="s">
        <v>6557</v>
      </c>
      <c r="I1895" s="110" t="s">
        <v>14890</v>
      </c>
    </row>
    <row r="1896" spans="1:9" ht="37.799999999999997" x14ac:dyDescent="0.3">
      <c r="A1896" s="109" t="s">
        <v>14891</v>
      </c>
      <c r="B1896" s="109" t="s">
        <v>14819</v>
      </c>
      <c r="C1896" s="109" t="s">
        <v>14819</v>
      </c>
      <c r="D1896" s="109" t="s">
        <v>14892</v>
      </c>
      <c r="E1896" s="109" t="s">
        <v>5558</v>
      </c>
      <c r="F1896" s="109" t="s">
        <v>14893</v>
      </c>
      <c r="G1896" s="110" t="s">
        <v>6248</v>
      </c>
      <c r="H1896" s="110" t="s">
        <v>6489</v>
      </c>
      <c r="I1896" s="110" t="s">
        <v>14894</v>
      </c>
    </row>
    <row r="1897" spans="1:9" ht="25.2" x14ac:dyDescent="0.3">
      <c r="A1897" s="109" t="s">
        <v>14895</v>
      </c>
      <c r="B1897" s="109" t="s">
        <v>14819</v>
      </c>
      <c r="C1897" s="109" t="s">
        <v>14819</v>
      </c>
      <c r="D1897" s="109" t="s">
        <v>14896</v>
      </c>
      <c r="E1897" s="109" t="s">
        <v>5558</v>
      </c>
      <c r="F1897" s="109" t="s">
        <v>14897</v>
      </c>
      <c r="G1897" s="110" t="s">
        <v>6248</v>
      </c>
      <c r="H1897" s="110" t="s">
        <v>12935</v>
      </c>
      <c r="I1897" s="110" t="s">
        <v>14898</v>
      </c>
    </row>
    <row r="1898" spans="1:9" ht="37.799999999999997" x14ac:dyDescent="0.3">
      <c r="A1898" s="109" t="s">
        <v>14899</v>
      </c>
      <c r="B1898" s="109" t="s">
        <v>14819</v>
      </c>
      <c r="C1898" s="109" t="s">
        <v>14819</v>
      </c>
      <c r="D1898" s="109" t="s">
        <v>14900</v>
      </c>
      <c r="E1898" s="109" t="s">
        <v>5558</v>
      </c>
      <c r="F1898" s="109" t="s">
        <v>14901</v>
      </c>
      <c r="G1898" s="110" t="s">
        <v>6248</v>
      </c>
      <c r="H1898" s="110" t="s">
        <v>6384</v>
      </c>
      <c r="I1898" s="110" t="s">
        <v>14902</v>
      </c>
    </row>
    <row r="1899" spans="1:9" ht="25.2" x14ac:dyDescent="0.3">
      <c r="A1899" s="109" t="s">
        <v>14903</v>
      </c>
      <c r="B1899" s="109" t="s">
        <v>14819</v>
      </c>
      <c r="C1899" s="109" t="s">
        <v>14819</v>
      </c>
      <c r="D1899" s="109" t="s">
        <v>14904</v>
      </c>
      <c r="E1899" s="109" t="s">
        <v>5558</v>
      </c>
      <c r="F1899" s="109" t="s">
        <v>14905</v>
      </c>
      <c r="G1899" s="110" t="s">
        <v>6248</v>
      </c>
      <c r="H1899" s="110" t="s">
        <v>6570</v>
      </c>
      <c r="I1899" s="110" t="s">
        <v>14906</v>
      </c>
    </row>
    <row r="1900" spans="1:9" ht="37.799999999999997" x14ac:dyDescent="0.3">
      <c r="A1900" s="109" t="s">
        <v>14907</v>
      </c>
      <c r="B1900" s="109" t="s">
        <v>14819</v>
      </c>
      <c r="C1900" s="109" t="s">
        <v>14819</v>
      </c>
      <c r="D1900" s="109" t="s">
        <v>14908</v>
      </c>
      <c r="E1900" s="109" t="s">
        <v>5558</v>
      </c>
      <c r="F1900" s="109" t="s">
        <v>14909</v>
      </c>
      <c r="G1900" s="110" t="s">
        <v>6248</v>
      </c>
      <c r="H1900" s="110" t="s">
        <v>13982</v>
      </c>
      <c r="I1900" s="110" t="s">
        <v>14910</v>
      </c>
    </row>
    <row r="1901" spans="1:9" ht="25.2" x14ac:dyDescent="0.3">
      <c r="A1901" s="109" t="s">
        <v>14911</v>
      </c>
      <c r="B1901" s="109" t="s">
        <v>14819</v>
      </c>
      <c r="C1901" s="109" t="s">
        <v>14819</v>
      </c>
      <c r="D1901" s="109" t="s">
        <v>14912</v>
      </c>
      <c r="E1901" s="109" t="s">
        <v>5558</v>
      </c>
      <c r="F1901" s="109" t="s">
        <v>14913</v>
      </c>
      <c r="G1901" s="110" t="s">
        <v>6248</v>
      </c>
      <c r="H1901" s="110" t="s">
        <v>8905</v>
      </c>
      <c r="I1901" s="110" t="s">
        <v>14914</v>
      </c>
    </row>
    <row r="1902" spans="1:9" ht="25.2" x14ac:dyDescent="0.3">
      <c r="A1902" s="109" t="s">
        <v>14915</v>
      </c>
      <c r="B1902" s="109" t="s">
        <v>14819</v>
      </c>
      <c r="C1902" s="109" t="s">
        <v>14819</v>
      </c>
      <c r="D1902" s="109" t="s">
        <v>14916</v>
      </c>
      <c r="E1902" s="109" t="s">
        <v>5558</v>
      </c>
      <c r="F1902" s="109" t="s">
        <v>14917</v>
      </c>
      <c r="G1902" s="110" t="s">
        <v>6248</v>
      </c>
      <c r="H1902" s="110" t="s">
        <v>6428</v>
      </c>
      <c r="I1902" s="110" t="s">
        <v>14918</v>
      </c>
    </row>
    <row r="1903" spans="1:9" ht="25.2" x14ac:dyDescent="0.3">
      <c r="A1903" s="109" t="s">
        <v>14919</v>
      </c>
      <c r="B1903" s="109" t="s">
        <v>14819</v>
      </c>
      <c r="C1903" s="109" t="s">
        <v>14819</v>
      </c>
      <c r="D1903" s="109" t="s">
        <v>14920</v>
      </c>
      <c r="E1903" s="109" t="s">
        <v>5558</v>
      </c>
      <c r="F1903" s="109" t="s">
        <v>14921</v>
      </c>
      <c r="G1903" s="110" t="s">
        <v>6248</v>
      </c>
      <c r="H1903" s="110" t="s">
        <v>6479</v>
      </c>
      <c r="I1903" s="110" t="s">
        <v>14922</v>
      </c>
    </row>
    <row r="1904" spans="1:9" ht="25.2" x14ac:dyDescent="0.3">
      <c r="A1904" s="109" t="s">
        <v>14923</v>
      </c>
      <c r="B1904" s="109" t="s">
        <v>14819</v>
      </c>
      <c r="C1904" s="109" t="s">
        <v>14819</v>
      </c>
      <c r="D1904" s="109" t="s">
        <v>14924</v>
      </c>
      <c r="E1904" s="109" t="s">
        <v>5558</v>
      </c>
      <c r="F1904" s="109" t="s">
        <v>14925</v>
      </c>
      <c r="G1904" s="110" t="s">
        <v>6248</v>
      </c>
      <c r="H1904" s="110" t="s">
        <v>6507</v>
      </c>
      <c r="I1904" s="110" t="s">
        <v>14926</v>
      </c>
    </row>
    <row r="1905" spans="1:9" ht="37.799999999999997" x14ac:dyDescent="0.3">
      <c r="A1905" s="109" t="s">
        <v>14927</v>
      </c>
      <c r="B1905" s="109" t="s">
        <v>14819</v>
      </c>
      <c r="C1905" s="109" t="s">
        <v>14819</v>
      </c>
      <c r="D1905" s="109" t="s">
        <v>14928</v>
      </c>
      <c r="E1905" s="109" t="s">
        <v>5558</v>
      </c>
      <c r="F1905" s="109" t="s">
        <v>14929</v>
      </c>
      <c r="G1905" s="110" t="s">
        <v>6248</v>
      </c>
      <c r="H1905" s="110" t="s">
        <v>8984</v>
      </c>
      <c r="I1905" s="110" t="s">
        <v>14930</v>
      </c>
    </row>
    <row r="1906" spans="1:9" ht="25.2" x14ac:dyDescent="0.3">
      <c r="A1906" s="109" t="s">
        <v>14931</v>
      </c>
      <c r="B1906" s="109" t="s">
        <v>14819</v>
      </c>
      <c r="C1906" s="109" t="s">
        <v>14819</v>
      </c>
      <c r="D1906" s="109" t="s">
        <v>14932</v>
      </c>
      <c r="E1906" s="109" t="s">
        <v>5558</v>
      </c>
      <c r="F1906" s="109" t="s">
        <v>14933</v>
      </c>
      <c r="G1906" s="110" t="s">
        <v>6248</v>
      </c>
      <c r="H1906" s="110" t="s">
        <v>6393</v>
      </c>
      <c r="I1906" s="110" t="s">
        <v>14934</v>
      </c>
    </row>
    <row r="1907" spans="1:9" ht="25.2" x14ac:dyDescent="0.3">
      <c r="A1907" s="109" t="s">
        <v>14935</v>
      </c>
      <c r="B1907" s="109" t="s">
        <v>14819</v>
      </c>
      <c r="C1907" s="109" t="s">
        <v>14819</v>
      </c>
      <c r="D1907" s="109" t="s">
        <v>14936</v>
      </c>
      <c r="E1907" s="109" t="s">
        <v>5558</v>
      </c>
      <c r="F1907" s="109" t="s">
        <v>14937</v>
      </c>
      <c r="G1907" s="110" t="s">
        <v>6248</v>
      </c>
      <c r="H1907" s="110" t="s">
        <v>8961</v>
      </c>
      <c r="I1907" s="110" t="s">
        <v>14938</v>
      </c>
    </row>
    <row r="1908" spans="1:9" ht="37.799999999999997" x14ac:dyDescent="0.3">
      <c r="A1908" s="109" t="s">
        <v>14939</v>
      </c>
      <c r="B1908" s="109" t="s">
        <v>14819</v>
      </c>
      <c r="C1908" s="109" t="s">
        <v>14819</v>
      </c>
      <c r="D1908" s="109" t="s">
        <v>14940</v>
      </c>
      <c r="E1908" s="109" t="s">
        <v>5558</v>
      </c>
      <c r="F1908" s="109" t="s">
        <v>14941</v>
      </c>
      <c r="G1908" s="110" t="s">
        <v>6248</v>
      </c>
      <c r="H1908" s="110" t="s">
        <v>14942</v>
      </c>
      <c r="I1908" s="110" t="s">
        <v>14943</v>
      </c>
    </row>
    <row r="1909" spans="1:9" ht="25.2" x14ac:dyDescent="0.3">
      <c r="A1909" s="109" t="s">
        <v>14944</v>
      </c>
      <c r="B1909" s="109" t="s">
        <v>14819</v>
      </c>
      <c r="C1909" s="109" t="s">
        <v>14819</v>
      </c>
      <c r="D1909" s="109" t="s">
        <v>14945</v>
      </c>
      <c r="E1909" s="109" t="s">
        <v>5558</v>
      </c>
      <c r="F1909" s="109" t="s">
        <v>14946</v>
      </c>
      <c r="G1909" s="110" t="s">
        <v>6248</v>
      </c>
      <c r="H1909" s="110" t="s">
        <v>6584</v>
      </c>
      <c r="I1909" s="110" t="s">
        <v>14947</v>
      </c>
    </row>
    <row r="1910" spans="1:9" ht="25.2" x14ac:dyDescent="0.3">
      <c r="A1910" s="109" t="s">
        <v>14948</v>
      </c>
      <c r="B1910" s="109" t="s">
        <v>14819</v>
      </c>
      <c r="C1910" s="109" t="s">
        <v>14819</v>
      </c>
      <c r="D1910" s="109" t="s">
        <v>14949</v>
      </c>
      <c r="E1910" s="109" t="s">
        <v>5558</v>
      </c>
      <c r="F1910" s="109" t="s">
        <v>14950</v>
      </c>
      <c r="G1910" s="110" t="s">
        <v>6248</v>
      </c>
      <c r="H1910" s="110" t="s">
        <v>8905</v>
      </c>
      <c r="I1910" s="110" t="s">
        <v>14951</v>
      </c>
    </row>
    <row r="1911" spans="1:9" ht="25.2" x14ac:dyDescent="0.3">
      <c r="A1911" s="109" t="s">
        <v>14952</v>
      </c>
      <c r="B1911" s="109" t="s">
        <v>14819</v>
      </c>
      <c r="C1911" s="109" t="s">
        <v>14819</v>
      </c>
      <c r="D1911" s="109" t="s">
        <v>14953</v>
      </c>
      <c r="E1911" s="109" t="s">
        <v>5558</v>
      </c>
      <c r="F1911" s="109" t="s">
        <v>14954</v>
      </c>
      <c r="G1911" s="110" t="s">
        <v>6248</v>
      </c>
      <c r="H1911" s="110" t="s">
        <v>9158</v>
      </c>
      <c r="I1911" s="110" t="s">
        <v>14955</v>
      </c>
    </row>
    <row r="1912" spans="1:9" ht="25.2" x14ac:dyDescent="0.3">
      <c r="A1912" s="109" t="s">
        <v>14956</v>
      </c>
      <c r="B1912" s="109" t="s">
        <v>14819</v>
      </c>
      <c r="C1912" s="109" t="s">
        <v>14819</v>
      </c>
      <c r="D1912" s="109" t="s">
        <v>14957</v>
      </c>
      <c r="E1912" s="109" t="s">
        <v>5558</v>
      </c>
      <c r="F1912" s="109" t="s">
        <v>14958</v>
      </c>
      <c r="G1912" s="110" t="s">
        <v>6248</v>
      </c>
      <c r="H1912" s="110" t="s">
        <v>9141</v>
      </c>
      <c r="I1912" s="110" t="s">
        <v>14959</v>
      </c>
    </row>
    <row r="1913" spans="1:9" ht="37.799999999999997" x14ac:dyDescent="0.3">
      <c r="A1913" s="109" t="s">
        <v>14960</v>
      </c>
      <c r="B1913" s="109" t="s">
        <v>14819</v>
      </c>
      <c r="C1913" s="109" t="s">
        <v>14819</v>
      </c>
      <c r="D1913" s="109" t="s">
        <v>14961</v>
      </c>
      <c r="E1913" s="109" t="s">
        <v>5558</v>
      </c>
      <c r="F1913" s="109" t="s">
        <v>14962</v>
      </c>
      <c r="G1913" s="110" t="s">
        <v>6248</v>
      </c>
      <c r="H1913" s="110" t="s">
        <v>14963</v>
      </c>
      <c r="I1913" s="110" t="s">
        <v>14964</v>
      </c>
    </row>
    <row r="1914" spans="1:9" ht="25.2" x14ac:dyDescent="0.3">
      <c r="A1914" s="109" t="s">
        <v>14965</v>
      </c>
      <c r="B1914" s="109" t="s">
        <v>14819</v>
      </c>
      <c r="C1914" s="109" t="s">
        <v>14819</v>
      </c>
      <c r="D1914" s="109" t="s">
        <v>14966</v>
      </c>
      <c r="E1914" s="109" t="s">
        <v>5558</v>
      </c>
      <c r="F1914" s="109" t="s">
        <v>14967</v>
      </c>
      <c r="G1914" s="110" t="s">
        <v>6248</v>
      </c>
      <c r="H1914" s="110" t="s">
        <v>6403</v>
      </c>
      <c r="I1914" s="110" t="s">
        <v>14968</v>
      </c>
    </row>
    <row r="1915" spans="1:9" ht="25.2" x14ac:dyDescent="0.3">
      <c r="A1915" s="109" t="s">
        <v>14969</v>
      </c>
      <c r="B1915" s="109" t="s">
        <v>14819</v>
      </c>
      <c r="C1915" s="109" t="s">
        <v>14819</v>
      </c>
      <c r="D1915" s="109" t="s">
        <v>14970</v>
      </c>
      <c r="E1915" s="109" t="s">
        <v>5558</v>
      </c>
      <c r="F1915" s="109" t="s">
        <v>14971</v>
      </c>
      <c r="G1915" s="110" t="s">
        <v>6248</v>
      </c>
      <c r="H1915" s="110" t="s">
        <v>7817</v>
      </c>
      <c r="I1915" s="110" t="s">
        <v>14972</v>
      </c>
    </row>
    <row r="1916" spans="1:9" ht="37.799999999999997" x14ac:dyDescent="0.3">
      <c r="A1916" s="109" t="s">
        <v>14973</v>
      </c>
      <c r="B1916" s="109" t="s">
        <v>14819</v>
      </c>
      <c r="C1916" s="109" t="s">
        <v>14819</v>
      </c>
      <c r="D1916" s="109" t="s">
        <v>14974</v>
      </c>
      <c r="E1916" s="109" t="s">
        <v>5558</v>
      </c>
      <c r="F1916" s="109" t="s">
        <v>14975</v>
      </c>
      <c r="G1916" s="110" t="s">
        <v>6248</v>
      </c>
      <c r="H1916" s="110" t="s">
        <v>6474</v>
      </c>
      <c r="I1916" s="110" t="s">
        <v>14976</v>
      </c>
    </row>
    <row r="1917" spans="1:9" ht="37.799999999999997" x14ac:dyDescent="0.3">
      <c r="A1917" s="109" t="s">
        <v>14977</v>
      </c>
      <c r="B1917" s="109" t="s">
        <v>14819</v>
      </c>
      <c r="C1917" s="109" t="s">
        <v>14819</v>
      </c>
      <c r="D1917" s="109" t="s">
        <v>14978</v>
      </c>
      <c r="E1917" s="109" t="s">
        <v>5558</v>
      </c>
      <c r="F1917" s="109" t="s">
        <v>14979</v>
      </c>
      <c r="G1917" s="110" t="s">
        <v>6248</v>
      </c>
      <c r="H1917" s="110" t="s">
        <v>6689</v>
      </c>
      <c r="I1917" s="110" t="s">
        <v>14980</v>
      </c>
    </row>
    <row r="1918" spans="1:9" ht="25.2" x14ac:dyDescent="0.3">
      <c r="A1918" s="109" t="s">
        <v>14981</v>
      </c>
      <c r="B1918" s="109" t="s">
        <v>14819</v>
      </c>
      <c r="C1918" s="109" t="s">
        <v>14819</v>
      </c>
      <c r="D1918" s="109" t="s">
        <v>14982</v>
      </c>
      <c r="E1918" s="109" t="s">
        <v>5558</v>
      </c>
      <c r="F1918" s="109" t="s">
        <v>14983</v>
      </c>
      <c r="G1918" s="110" t="s">
        <v>6248</v>
      </c>
      <c r="H1918" s="110" t="s">
        <v>8905</v>
      </c>
      <c r="I1918" s="110" t="s">
        <v>14984</v>
      </c>
    </row>
    <row r="1919" spans="1:9" ht="25.2" x14ac:dyDescent="0.3">
      <c r="A1919" s="109" t="s">
        <v>14985</v>
      </c>
      <c r="B1919" s="109" t="s">
        <v>14819</v>
      </c>
      <c r="C1919" s="109" t="s">
        <v>14819</v>
      </c>
      <c r="D1919" s="109" t="s">
        <v>14986</v>
      </c>
      <c r="E1919" s="109" t="s">
        <v>5558</v>
      </c>
      <c r="F1919" s="109" t="s">
        <v>14987</v>
      </c>
      <c r="G1919" s="110" t="s">
        <v>6248</v>
      </c>
      <c r="H1919" s="110" t="s">
        <v>11476</v>
      </c>
      <c r="I1919" s="110" t="s">
        <v>14988</v>
      </c>
    </row>
    <row r="1920" spans="1:9" ht="25.2" x14ac:dyDescent="0.3">
      <c r="A1920" s="109" t="s">
        <v>14989</v>
      </c>
      <c r="B1920" s="109" t="s">
        <v>14819</v>
      </c>
      <c r="C1920" s="109" t="s">
        <v>14819</v>
      </c>
      <c r="D1920" s="109" t="s">
        <v>14990</v>
      </c>
      <c r="E1920" s="109" t="s">
        <v>5558</v>
      </c>
      <c r="F1920" s="109" t="s">
        <v>14991</v>
      </c>
      <c r="G1920" s="110" t="s">
        <v>6248</v>
      </c>
      <c r="H1920" s="110" t="s">
        <v>8984</v>
      </c>
      <c r="I1920" s="110" t="s">
        <v>14992</v>
      </c>
    </row>
    <row r="1921" spans="1:9" ht="25.2" x14ac:dyDescent="0.3">
      <c r="A1921" s="109" t="s">
        <v>14993</v>
      </c>
      <c r="B1921" s="109" t="s">
        <v>14819</v>
      </c>
      <c r="C1921" s="109" t="s">
        <v>14819</v>
      </c>
      <c r="D1921" s="109" t="s">
        <v>14994</v>
      </c>
      <c r="E1921" s="109" t="s">
        <v>5558</v>
      </c>
      <c r="F1921" s="109" t="s">
        <v>14995</v>
      </c>
      <c r="G1921" s="110" t="s">
        <v>6248</v>
      </c>
      <c r="H1921" s="110" t="s">
        <v>7817</v>
      </c>
      <c r="I1921" s="110" t="s">
        <v>14996</v>
      </c>
    </row>
    <row r="1922" spans="1:9" ht="25.2" x14ac:dyDescent="0.3">
      <c r="A1922" s="109" t="s">
        <v>14997</v>
      </c>
      <c r="B1922" s="109" t="s">
        <v>14819</v>
      </c>
      <c r="C1922" s="109" t="s">
        <v>14819</v>
      </c>
      <c r="D1922" s="109" t="s">
        <v>14998</v>
      </c>
      <c r="E1922" s="109" t="s">
        <v>5558</v>
      </c>
      <c r="F1922" s="109" t="s">
        <v>14999</v>
      </c>
      <c r="G1922" s="110" t="s">
        <v>6248</v>
      </c>
      <c r="H1922" s="110" t="s">
        <v>6403</v>
      </c>
      <c r="I1922" s="110" t="s">
        <v>15000</v>
      </c>
    </row>
    <row r="1923" spans="1:9" ht="37.799999999999997" x14ac:dyDescent="0.3">
      <c r="A1923" s="109" t="s">
        <v>15001</v>
      </c>
      <c r="B1923" s="109" t="s">
        <v>14819</v>
      </c>
      <c r="C1923" s="109" t="s">
        <v>14819</v>
      </c>
      <c r="D1923" s="109" t="s">
        <v>15002</v>
      </c>
      <c r="E1923" s="109" t="s">
        <v>5558</v>
      </c>
      <c r="F1923" s="109" t="s">
        <v>15003</v>
      </c>
      <c r="G1923" s="110" t="s">
        <v>6248</v>
      </c>
      <c r="H1923" s="110" t="s">
        <v>8348</v>
      </c>
      <c r="I1923" s="110" t="s">
        <v>15004</v>
      </c>
    </row>
    <row r="1924" spans="1:9" ht="25.2" x14ac:dyDescent="0.3">
      <c r="A1924" s="109" t="s">
        <v>15005</v>
      </c>
      <c r="B1924" s="109" t="s">
        <v>14819</v>
      </c>
      <c r="C1924" s="109" t="s">
        <v>14819</v>
      </c>
      <c r="D1924" s="109" t="s">
        <v>15006</v>
      </c>
      <c r="E1924" s="109" t="s">
        <v>5558</v>
      </c>
      <c r="F1924" s="109" t="s">
        <v>15007</v>
      </c>
      <c r="G1924" s="110" t="s">
        <v>6248</v>
      </c>
      <c r="H1924" s="110" t="s">
        <v>6418</v>
      </c>
      <c r="I1924" s="110" t="s">
        <v>15008</v>
      </c>
    </row>
    <row r="1925" spans="1:9" ht="25.2" x14ac:dyDescent="0.3">
      <c r="A1925" s="109" t="s">
        <v>15009</v>
      </c>
      <c r="B1925" s="109" t="s">
        <v>14819</v>
      </c>
      <c r="C1925" s="109" t="s">
        <v>14819</v>
      </c>
      <c r="D1925" s="109" t="s">
        <v>15010</v>
      </c>
      <c r="E1925" s="109" t="s">
        <v>5558</v>
      </c>
      <c r="F1925" s="109" t="s">
        <v>15011</v>
      </c>
      <c r="G1925" s="110" t="s">
        <v>6248</v>
      </c>
      <c r="H1925" s="110" t="s">
        <v>7830</v>
      </c>
      <c r="I1925" s="110" t="s">
        <v>15012</v>
      </c>
    </row>
    <row r="1926" spans="1:9" ht="25.2" x14ac:dyDescent="0.3">
      <c r="A1926" s="109" t="s">
        <v>15013</v>
      </c>
      <c r="B1926" s="109" t="s">
        <v>14819</v>
      </c>
      <c r="C1926" s="109" t="s">
        <v>14819</v>
      </c>
      <c r="D1926" s="109" t="s">
        <v>15014</v>
      </c>
      <c r="E1926" s="109" t="s">
        <v>5558</v>
      </c>
      <c r="F1926" s="109" t="s">
        <v>15015</v>
      </c>
      <c r="G1926" s="110" t="s">
        <v>6248</v>
      </c>
      <c r="H1926" s="110" t="s">
        <v>6634</v>
      </c>
      <c r="I1926" s="110" t="s">
        <v>15016</v>
      </c>
    </row>
    <row r="1927" spans="1:9" ht="25.2" x14ac:dyDescent="0.3">
      <c r="A1927" s="109" t="s">
        <v>15017</v>
      </c>
      <c r="B1927" s="109" t="s">
        <v>14819</v>
      </c>
      <c r="C1927" s="109" t="s">
        <v>14819</v>
      </c>
      <c r="D1927" s="109" t="s">
        <v>15018</v>
      </c>
      <c r="E1927" s="109" t="s">
        <v>5558</v>
      </c>
      <c r="F1927" s="109" t="s">
        <v>15019</v>
      </c>
      <c r="G1927" s="110" t="s">
        <v>6248</v>
      </c>
      <c r="H1927" s="110" t="s">
        <v>9158</v>
      </c>
      <c r="I1927" s="110" t="s">
        <v>15020</v>
      </c>
    </row>
    <row r="1928" spans="1:9" ht="25.2" x14ac:dyDescent="0.3">
      <c r="A1928" s="109" t="s">
        <v>15021</v>
      </c>
      <c r="B1928" s="109" t="s">
        <v>14819</v>
      </c>
      <c r="C1928" s="109" t="s">
        <v>14819</v>
      </c>
      <c r="D1928" s="109" t="s">
        <v>15022</v>
      </c>
      <c r="E1928" s="109" t="s">
        <v>5558</v>
      </c>
      <c r="F1928" s="109" t="s">
        <v>15023</v>
      </c>
      <c r="G1928" s="110" t="s">
        <v>6248</v>
      </c>
      <c r="H1928" s="110" t="s">
        <v>9128</v>
      </c>
      <c r="I1928" s="110" t="s">
        <v>15024</v>
      </c>
    </row>
    <row r="1929" spans="1:9" ht="37.799999999999997" x14ac:dyDescent="0.3">
      <c r="A1929" s="109" t="s">
        <v>15025</v>
      </c>
      <c r="B1929" s="109" t="s">
        <v>14819</v>
      </c>
      <c r="C1929" s="109" t="s">
        <v>14819</v>
      </c>
      <c r="D1929" s="109" t="s">
        <v>15026</v>
      </c>
      <c r="E1929" s="109" t="s">
        <v>5558</v>
      </c>
      <c r="F1929" s="109" t="s">
        <v>15027</v>
      </c>
      <c r="G1929" s="110" t="s">
        <v>6248</v>
      </c>
      <c r="H1929" s="110" t="s">
        <v>6507</v>
      </c>
      <c r="I1929" s="110" t="s">
        <v>15028</v>
      </c>
    </row>
    <row r="1930" spans="1:9" ht="37.799999999999997" x14ac:dyDescent="0.3">
      <c r="A1930" s="109" t="s">
        <v>15029</v>
      </c>
      <c r="B1930" s="109" t="s">
        <v>14819</v>
      </c>
      <c r="C1930" s="109" t="s">
        <v>14819</v>
      </c>
      <c r="D1930" s="109" t="s">
        <v>15030</v>
      </c>
      <c r="E1930" s="109" t="s">
        <v>5558</v>
      </c>
      <c r="F1930" s="109" t="s">
        <v>15031</v>
      </c>
      <c r="G1930" s="110" t="s">
        <v>6248</v>
      </c>
      <c r="H1930" s="110" t="s">
        <v>6393</v>
      </c>
      <c r="I1930" s="110" t="s">
        <v>15032</v>
      </c>
    </row>
    <row r="1931" spans="1:9" ht="25.2" x14ac:dyDescent="0.3">
      <c r="A1931" s="109" t="s">
        <v>15033</v>
      </c>
      <c r="B1931" s="109" t="s">
        <v>14819</v>
      </c>
      <c r="C1931" s="109" t="s">
        <v>14819</v>
      </c>
      <c r="D1931" s="109" t="s">
        <v>15034</v>
      </c>
      <c r="E1931" s="109" t="s">
        <v>10868</v>
      </c>
      <c r="F1931" s="109" t="s">
        <v>15035</v>
      </c>
      <c r="G1931" s="110" t="s">
        <v>6248</v>
      </c>
      <c r="H1931" s="110" t="s">
        <v>15036</v>
      </c>
      <c r="I1931" s="110" t="s">
        <v>15037</v>
      </c>
    </row>
    <row r="1932" spans="1:9" ht="25.2" x14ac:dyDescent="0.3">
      <c r="A1932" s="109" t="s">
        <v>15038</v>
      </c>
      <c r="B1932" s="109" t="s">
        <v>14819</v>
      </c>
      <c r="C1932" s="109" t="s">
        <v>14819</v>
      </c>
      <c r="D1932" s="109" t="s">
        <v>15039</v>
      </c>
      <c r="E1932" s="109" t="s">
        <v>5558</v>
      </c>
      <c r="F1932" s="109" t="s">
        <v>15040</v>
      </c>
      <c r="G1932" s="110" t="s">
        <v>6248</v>
      </c>
      <c r="H1932" s="110" t="s">
        <v>9574</v>
      </c>
      <c r="I1932" s="110" t="s">
        <v>15041</v>
      </c>
    </row>
    <row r="1933" spans="1:9" ht="25.2" x14ac:dyDescent="0.3">
      <c r="A1933" s="109" t="s">
        <v>15042</v>
      </c>
      <c r="B1933" s="109" t="s">
        <v>14819</v>
      </c>
      <c r="C1933" s="109" t="s">
        <v>14819</v>
      </c>
      <c r="D1933" s="109" t="s">
        <v>15043</v>
      </c>
      <c r="E1933" s="109" t="s">
        <v>7036</v>
      </c>
      <c r="F1933" s="109" t="s">
        <v>15044</v>
      </c>
      <c r="G1933" s="110" t="s">
        <v>6248</v>
      </c>
      <c r="H1933" s="110" t="s">
        <v>6341</v>
      </c>
      <c r="I1933" s="110" t="s">
        <v>15045</v>
      </c>
    </row>
    <row r="1934" spans="1:9" ht="37.799999999999997" x14ac:dyDescent="0.3">
      <c r="A1934" s="109" t="s">
        <v>15046</v>
      </c>
      <c r="B1934" s="109" t="s">
        <v>14819</v>
      </c>
      <c r="C1934" s="109" t="s">
        <v>14819</v>
      </c>
      <c r="D1934" s="109" t="s">
        <v>15047</v>
      </c>
      <c r="E1934" s="109" t="s">
        <v>5558</v>
      </c>
      <c r="F1934" s="109" t="s">
        <v>15048</v>
      </c>
      <c r="G1934" s="110" t="s">
        <v>6248</v>
      </c>
      <c r="H1934" s="110" t="s">
        <v>6273</v>
      </c>
      <c r="I1934" s="110" t="s">
        <v>15049</v>
      </c>
    </row>
    <row r="1935" spans="1:9" ht="37.799999999999997" x14ac:dyDescent="0.3">
      <c r="A1935" s="109" t="s">
        <v>15050</v>
      </c>
      <c r="B1935" s="109" t="s">
        <v>14819</v>
      </c>
      <c r="C1935" s="109" t="s">
        <v>14819</v>
      </c>
      <c r="D1935" s="109" t="s">
        <v>15051</v>
      </c>
      <c r="E1935" s="109" t="s">
        <v>5558</v>
      </c>
      <c r="F1935" s="109" t="s">
        <v>15052</v>
      </c>
      <c r="G1935" s="110" t="s">
        <v>6248</v>
      </c>
      <c r="H1935" s="110" t="s">
        <v>15053</v>
      </c>
      <c r="I1935" s="110" t="s">
        <v>15054</v>
      </c>
    </row>
    <row r="1936" spans="1:9" ht="37.799999999999997" x14ac:dyDescent="0.3">
      <c r="A1936" s="109" t="s">
        <v>15055</v>
      </c>
      <c r="B1936" s="109" t="s">
        <v>14819</v>
      </c>
      <c r="C1936" s="109" t="s">
        <v>14819</v>
      </c>
      <c r="D1936" s="109" t="s">
        <v>15056</v>
      </c>
      <c r="E1936" s="109" t="s">
        <v>5558</v>
      </c>
      <c r="F1936" s="109" t="s">
        <v>15057</v>
      </c>
      <c r="G1936" s="110" t="s">
        <v>6248</v>
      </c>
      <c r="H1936" s="110" t="s">
        <v>6689</v>
      </c>
      <c r="I1936" s="110" t="s">
        <v>15058</v>
      </c>
    </row>
    <row r="1937" spans="1:9" ht="37.799999999999997" x14ac:dyDescent="0.3">
      <c r="A1937" s="109" t="s">
        <v>15059</v>
      </c>
      <c r="B1937" s="109" t="s">
        <v>14819</v>
      </c>
      <c r="C1937" s="109" t="s">
        <v>14819</v>
      </c>
      <c r="D1937" s="109" t="s">
        <v>15060</v>
      </c>
      <c r="E1937" s="109" t="s">
        <v>5558</v>
      </c>
      <c r="F1937" s="109" t="s">
        <v>15061</v>
      </c>
      <c r="G1937" s="110" t="s">
        <v>6248</v>
      </c>
      <c r="H1937" s="110" t="s">
        <v>15062</v>
      </c>
      <c r="I1937" s="110" t="s">
        <v>15063</v>
      </c>
    </row>
    <row r="1938" spans="1:9" ht="25.2" x14ac:dyDescent="0.3">
      <c r="A1938" s="109" t="s">
        <v>15064</v>
      </c>
      <c r="B1938" s="109" t="s">
        <v>14819</v>
      </c>
      <c r="C1938" s="109" t="s">
        <v>14819</v>
      </c>
      <c r="D1938" s="109" t="s">
        <v>15065</v>
      </c>
      <c r="E1938" s="109" t="s">
        <v>15066</v>
      </c>
      <c r="F1938" s="109" t="s">
        <v>6878</v>
      </c>
      <c r="G1938" s="110" t="s">
        <v>15067</v>
      </c>
      <c r="H1938" s="110" t="s">
        <v>6248</v>
      </c>
      <c r="I1938" s="110" t="s">
        <v>15068</v>
      </c>
    </row>
    <row r="1939" spans="1:9" ht="63" x14ac:dyDescent="0.3">
      <c r="A1939" s="109" t="s">
        <v>15069</v>
      </c>
      <c r="B1939" s="109" t="s">
        <v>14819</v>
      </c>
      <c r="C1939" s="109" t="s">
        <v>14819</v>
      </c>
      <c r="D1939" s="109" t="s">
        <v>11169</v>
      </c>
      <c r="E1939" s="109" t="s">
        <v>11169</v>
      </c>
      <c r="F1939" s="109" t="s">
        <v>15070</v>
      </c>
      <c r="G1939" s="110" t="s">
        <v>6248</v>
      </c>
      <c r="H1939" s="110" t="s">
        <v>15071</v>
      </c>
      <c r="I1939" s="110" t="s">
        <v>15072</v>
      </c>
    </row>
    <row r="1940" spans="1:9" ht="25.2" x14ac:dyDescent="0.3">
      <c r="A1940" s="109" t="s">
        <v>15073</v>
      </c>
      <c r="B1940" s="109" t="s">
        <v>14819</v>
      </c>
      <c r="C1940" s="109" t="s">
        <v>14819</v>
      </c>
      <c r="D1940" s="109" t="s">
        <v>15074</v>
      </c>
      <c r="E1940" s="109" t="s">
        <v>5558</v>
      </c>
      <c r="F1940" s="109" t="s">
        <v>15075</v>
      </c>
      <c r="G1940" s="110" t="s">
        <v>6248</v>
      </c>
      <c r="H1940" s="110" t="s">
        <v>15076</v>
      </c>
      <c r="I1940" s="110" t="s">
        <v>15077</v>
      </c>
    </row>
    <row r="1941" spans="1:9" ht="25.2" x14ac:dyDescent="0.3">
      <c r="A1941" s="109" t="s">
        <v>15078</v>
      </c>
      <c r="B1941" s="109" t="s">
        <v>14819</v>
      </c>
      <c r="C1941" s="109" t="s">
        <v>14819</v>
      </c>
      <c r="D1941" s="109" t="s">
        <v>15079</v>
      </c>
      <c r="E1941" s="109" t="s">
        <v>5558</v>
      </c>
      <c r="F1941" s="109" t="s">
        <v>15080</v>
      </c>
      <c r="G1941" s="110" t="s">
        <v>6248</v>
      </c>
      <c r="H1941" s="110" t="s">
        <v>15081</v>
      </c>
      <c r="I1941" s="110" t="s">
        <v>15082</v>
      </c>
    </row>
    <row r="1942" spans="1:9" ht="25.2" x14ac:dyDescent="0.3">
      <c r="A1942" s="109" t="s">
        <v>15083</v>
      </c>
      <c r="B1942" s="109" t="s">
        <v>14819</v>
      </c>
      <c r="C1942" s="109" t="s">
        <v>14819</v>
      </c>
      <c r="D1942" s="109" t="s">
        <v>15084</v>
      </c>
      <c r="E1942" s="109" t="s">
        <v>5558</v>
      </c>
      <c r="F1942" s="109" t="s">
        <v>15085</v>
      </c>
      <c r="G1942" s="110" t="s">
        <v>6248</v>
      </c>
      <c r="H1942" s="110" t="s">
        <v>15086</v>
      </c>
      <c r="I1942" s="110" t="s">
        <v>15087</v>
      </c>
    </row>
    <row r="1943" spans="1:9" ht="25.2" x14ac:dyDescent="0.3">
      <c r="A1943" s="109" t="s">
        <v>15088</v>
      </c>
      <c r="B1943" s="109" t="s">
        <v>14819</v>
      </c>
      <c r="C1943" s="109" t="s">
        <v>14819</v>
      </c>
      <c r="D1943" s="109" t="s">
        <v>1814</v>
      </c>
      <c r="E1943" s="109" t="s">
        <v>10893</v>
      </c>
      <c r="F1943" s="109" t="s">
        <v>10894</v>
      </c>
      <c r="G1943" s="110" t="s">
        <v>15089</v>
      </c>
      <c r="H1943" s="110" t="s">
        <v>6248</v>
      </c>
      <c r="I1943" s="110" t="s">
        <v>15090</v>
      </c>
    </row>
    <row r="1944" spans="1:9" ht="25.2" x14ac:dyDescent="0.3">
      <c r="A1944" s="109" t="s">
        <v>15091</v>
      </c>
      <c r="B1944" s="109" t="s">
        <v>14819</v>
      </c>
      <c r="C1944" s="109" t="s">
        <v>14819</v>
      </c>
      <c r="D1944" s="109" t="s">
        <v>15092</v>
      </c>
      <c r="E1944" s="109" t="s">
        <v>15093</v>
      </c>
      <c r="F1944" s="109" t="s">
        <v>7039</v>
      </c>
      <c r="G1944" s="110" t="s">
        <v>6248</v>
      </c>
      <c r="H1944" s="110" t="s">
        <v>15094</v>
      </c>
      <c r="I1944" s="110" t="s">
        <v>15095</v>
      </c>
    </row>
    <row r="1945" spans="1:9" ht="25.2" x14ac:dyDescent="0.3">
      <c r="A1945" s="109" t="s">
        <v>15096</v>
      </c>
      <c r="B1945" s="109" t="s">
        <v>14819</v>
      </c>
      <c r="C1945" s="109" t="s">
        <v>14819</v>
      </c>
      <c r="D1945" s="109" t="s">
        <v>15097</v>
      </c>
      <c r="E1945" s="109" t="s">
        <v>5558</v>
      </c>
      <c r="F1945" s="109" t="s">
        <v>15098</v>
      </c>
      <c r="G1945" s="110" t="s">
        <v>6248</v>
      </c>
      <c r="H1945" s="110" t="s">
        <v>6689</v>
      </c>
      <c r="I1945" s="110" t="s">
        <v>15099</v>
      </c>
    </row>
    <row r="1946" spans="1:9" ht="25.2" x14ac:dyDescent="0.3">
      <c r="A1946" s="109" t="s">
        <v>15100</v>
      </c>
      <c r="B1946" s="109" t="s">
        <v>14819</v>
      </c>
      <c r="C1946" s="109" t="s">
        <v>14819</v>
      </c>
      <c r="D1946" s="109" t="s">
        <v>15101</v>
      </c>
      <c r="E1946" s="109" t="s">
        <v>5558</v>
      </c>
      <c r="F1946" s="109" t="s">
        <v>15102</v>
      </c>
      <c r="G1946" s="110" t="s">
        <v>6248</v>
      </c>
      <c r="H1946" s="110" t="s">
        <v>6689</v>
      </c>
      <c r="I1946" s="110" t="s">
        <v>15103</v>
      </c>
    </row>
    <row r="1947" spans="1:9" ht="25.2" x14ac:dyDescent="0.3">
      <c r="A1947" s="109" t="s">
        <v>15104</v>
      </c>
      <c r="B1947" s="109" t="s">
        <v>14819</v>
      </c>
      <c r="C1947" s="109" t="s">
        <v>14819</v>
      </c>
      <c r="D1947" s="109" t="s">
        <v>15105</v>
      </c>
      <c r="E1947" s="109" t="s">
        <v>5558</v>
      </c>
      <c r="F1947" s="109" t="s">
        <v>15106</v>
      </c>
      <c r="G1947" s="110" t="s">
        <v>6248</v>
      </c>
      <c r="H1947" s="110" t="s">
        <v>15107</v>
      </c>
      <c r="I1947" s="110" t="s">
        <v>15108</v>
      </c>
    </row>
    <row r="1948" spans="1:9" ht="50.4" x14ac:dyDescent="0.3">
      <c r="A1948" s="109" t="s">
        <v>15109</v>
      </c>
      <c r="B1948" s="109" t="s">
        <v>14819</v>
      </c>
      <c r="C1948" s="109" t="s">
        <v>14819</v>
      </c>
      <c r="D1948" s="109" t="s">
        <v>15110</v>
      </c>
      <c r="E1948" s="109" t="s">
        <v>15111</v>
      </c>
      <c r="F1948" s="109" t="s">
        <v>15112</v>
      </c>
      <c r="G1948" s="110" t="s">
        <v>6248</v>
      </c>
      <c r="H1948" s="110" t="s">
        <v>15113</v>
      </c>
      <c r="I1948" s="110" t="s">
        <v>15114</v>
      </c>
    </row>
    <row r="1949" spans="1:9" ht="63" x14ac:dyDescent="0.3">
      <c r="A1949" s="109" t="s">
        <v>15115</v>
      </c>
      <c r="B1949" s="109" t="s">
        <v>14819</v>
      </c>
      <c r="C1949" s="109" t="s">
        <v>14819</v>
      </c>
      <c r="D1949" s="109" t="s">
        <v>15116</v>
      </c>
      <c r="E1949" s="109" t="s">
        <v>15116</v>
      </c>
      <c r="F1949" s="109" t="s">
        <v>15117</v>
      </c>
      <c r="G1949" s="110" t="s">
        <v>6248</v>
      </c>
      <c r="H1949" s="110" t="s">
        <v>15118</v>
      </c>
      <c r="I1949" s="110" t="s">
        <v>15119</v>
      </c>
    </row>
    <row r="1950" spans="1:9" ht="25.2" x14ac:dyDescent="0.3">
      <c r="A1950" s="109" t="s">
        <v>15120</v>
      </c>
      <c r="B1950" s="109" t="s">
        <v>14819</v>
      </c>
      <c r="C1950" s="109" t="s">
        <v>14819</v>
      </c>
      <c r="D1950" s="109" t="s">
        <v>15121</v>
      </c>
      <c r="E1950" s="109" t="s">
        <v>15122</v>
      </c>
      <c r="F1950" s="109" t="s">
        <v>15123</v>
      </c>
      <c r="G1950" s="110" t="s">
        <v>6248</v>
      </c>
      <c r="H1950" s="110" t="s">
        <v>15124</v>
      </c>
      <c r="I1950" s="110" t="s">
        <v>15125</v>
      </c>
    </row>
    <row r="1951" spans="1:9" ht="25.2" x14ac:dyDescent="0.3">
      <c r="A1951" s="109" t="s">
        <v>15126</v>
      </c>
      <c r="B1951" s="109" t="s">
        <v>14819</v>
      </c>
      <c r="C1951" s="109" t="s">
        <v>14819</v>
      </c>
      <c r="D1951" s="109" t="s">
        <v>15127</v>
      </c>
      <c r="E1951" s="109" t="s">
        <v>5558</v>
      </c>
      <c r="F1951" s="109" t="s">
        <v>15128</v>
      </c>
      <c r="G1951" s="110" t="s">
        <v>6248</v>
      </c>
      <c r="H1951" s="110" t="s">
        <v>15129</v>
      </c>
      <c r="I1951" s="110" t="s">
        <v>15130</v>
      </c>
    </row>
    <row r="1952" spans="1:9" ht="25.2" x14ac:dyDescent="0.3">
      <c r="A1952" s="109" t="s">
        <v>15131</v>
      </c>
      <c r="B1952" s="109" t="s">
        <v>14819</v>
      </c>
      <c r="C1952" s="109" t="s">
        <v>14819</v>
      </c>
      <c r="D1952" s="109" t="s">
        <v>15132</v>
      </c>
      <c r="E1952" s="109" t="s">
        <v>5558</v>
      </c>
      <c r="F1952" s="109" t="s">
        <v>15133</v>
      </c>
      <c r="G1952" s="110" t="s">
        <v>6248</v>
      </c>
      <c r="H1952" s="110" t="s">
        <v>6689</v>
      </c>
      <c r="I1952" s="110" t="s">
        <v>15134</v>
      </c>
    </row>
    <row r="1953" spans="1:9" ht="25.2" x14ac:dyDescent="0.3">
      <c r="A1953" s="109" t="s">
        <v>15135</v>
      </c>
      <c r="B1953" s="109" t="s">
        <v>14819</v>
      </c>
      <c r="C1953" s="109" t="s">
        <v>14819</v>
      </c>
      <c r="D1953" s="109" t="s">
        <v>15136</v>
      </c>
      <c r="E1953" s="109" t="s">
        <v>5558</v>
      </c>
      <c r="F1953" s="109" t="s">
        <v>15137</v>
      </c>
      <c r="G1953" s="110" t="s">
        <v>6248</v>
      </c>
      <c r="H1953" s="110" t="s">
        <v>15138</v>
      </c>
      <c r="I1953" s="110" t="s">
        <v>15139</v>
      </c>
    </row>
    <row r="1954" spans="1:9" ht="63" x14ac:dyDescent="0.3">
      <c r="A1954" s="109" t="s">
        <v>15140</v>
      </c>
      <c r="B1954" s="109" t="s">
        <v>14819</v>
      </c>
      <c r="C1954" s="109" t="s">
        <v>14819</v>
      </c>
      <c r="D1954" s="109" t="s">
        <v>6115</v>
      </c>
      <c r="E1954" s="109" t="s">
        <v>6115</v>
      </c>
      <c r="F1954" s="109" t="s">
        <v>15141</v>
      </c>
      <c r="G1954" s="110" t="s">
        <v>6248</v>
      </c>
      <c r="H1954" s="110" t="s">
        <v>15142</v>
      </c>
      <c r="I1954" s="110" t="s">
        <v>15143</v>
      </c>
    </row>
    <row r="1955" spans="1:9" ht="63" x14ac:dyDescent="0.3">
      <c r="A1955" s="109" t="s">
        <v>15144</v>
      </c>
      <c r="B1955" s="109" t="s">
        <v>14819</v>
      </c>
      <c r="C1955" s="109" t="s">
        <v>14819</v>
      </c>
      <c r="D1955" s="109" t="s">
        <v>15145</v>
      </c>
      <c r="E1955" s="109" t="s">
        <v>15145</v>
      </c>
      <c r="F1955" s="109" t="s">
        <v>15146</v>
      </c>
      <c r="G1955" s="110" t="s">
        <v>6248</v>
      </c>
      <c r="H1955" s="110" t="s">
        <v>15147</v>
      </c>
      <c r="I1955" s="110" t="s">
        <v>15148</v>
      </c>
    </row>
    <row r="1956" spans="1:9" ht="63" x14ac:dyDescent="0.3">
      <c r="A1956" s="109" t="s">
        <v>15149</v>
      </c>
      <c r="B1956" s="109" t="s">
        <v>14819</v>
      </c>
      <c r="C1956" s="109" t="s">
        <v>14819</v>
      </c>
      <c r="D1956" s="109" t="s">
        <v>8478</v>
      </c>
      <c r="E1956" s="109" t="s">
        <v>8478</v>
      </c>
      <c r="F1956" s="109" t="s">
        <v>15150</v>
      </c>
      <c r="G1956" s="110" t="s">
        <v>6248</v>
      </c>
      <c r="H1956" s="110" t="s">
        <v>7817</v>
      </c>
      <c r="I1956" s="110" t="s">
        <v>15151</v>
      </c>
    </row>
    <row r="1957" spans="1:9" ht="75.599999999999994" x14ac:dyDescent="0.3">
      <c r="A1957" s="109" t="s">
        <v>15152</v>
      </c>
      <c r="B1957" s="109" t="s">
        <v>14819</v>
      </c>
      <c r="C1957" s="109" t="s">
        <v>14819</v>
      </c>
      <c r="D1957" s="109" t="s">
        <v>15153</v>
      </c>
      <c r="E1957" s="109" t="s">
        <v>15153</v>
      </c>
      <c r="F1957" s="109" t="s">
        <v>15154</v>
      </c>
      <c r="G1957" s="110" t="s">
        <v>6248</v>
      </c>
      <c r="H1957" s="110" t="s">
        <v>15155</v>
      </c>
      <c r="I1957" s="110" t="s">
        <v>15156</v>
      </c>
    </row>
    <row r="1958" spans="1:9" ht="25.2" x14ac:dyDescent="0.3">
      <c r="A1958" s="109" t="s">
        <v>15157</v>
      </c>
      <c r="B1958" s="109" t="s">
        <v>14819</v>
      </c>
      <c r="C1958" s="109" t="s">
        <v>14819</v>
      </c>
      <c r="D1958" s="109" t="s">
        <v>15158</v>
      </c>
      <c r="E1958" s="109" t="s">
        <v>15159</v>
      </c>
      <c r="F1958" s="109" t="s">
        <v>14065</v>
      </c>
      <c r="G1958" s="110" t="s">
        <v>6248</v>
      </c>
      <c r="H1958" s="110" t="s">
        <v>15160</v>
      </c>
      <c r="I1958" s="110" t="s">
        <v>15161</v>
      </c>
    </row>
    <row r="1959" spans="1:9" ht="75.599999999999994" x14ac:dyDescent="0.3">
      <c r="A1959" s="109" t="s">
        <v>15162</v>
      </c>
      <c r="B1959" s="109" t="s">
        <v>14819</v>
      </c>
      <c r="C1959" s="109" t="s">
        <v>14819</v>
      </c>
      <c r="D1959" s="109" t="s">
        <v>7436</v>
      </c>
      <c r="E1959" s="109" t="s">
        <v>7436</v>
      </c>
      <c r="F1959" s="109" t="s">
        <v>15163</v>
      </c>
      <c r="G1959" s="110" t="s">
        <v>6248</v>
      </c>
      <c r="H1959" s="110" t="s">
        <v>15164</v>
      </c>
      <c r="I1959" s="110" t="s">
        <v>15165</v>
      </c>
    </row>
    <row r="1960" spans="1:9" ht="63" x14ac:dyDescent="0.3">
      <c r="A1960" s="109" t="s">
        <v>15166</v>
      </c>
      <c r="B1960" s="109" t="s">
        <v>14819</v>
      </c>
      <c r="C1960" s="109" t="s">
        <v>14819</v>
      </c>
      <c r="D1960" s="109" t="s">
        <v>8386</v>
      </c>
      <c r="E1960" s="109" t="s">
        <v>8386</v>
      </c>
      <c r="F1960" s="109" t="s">
        <v>15167</v>
      </c>
      <c r="G1960" s="110" t="s">
        <v>6248</v>
      </c>
      <c r="H1960" s="110" t="s">
        <v>15168</v>
      </c>
      <c r="I1960" s="110" t="s">
        <v>15169</v>
      </c>
    </row>
    <row r="1961" spans="1:9" ht="25.2" x14ac:dyDescent="0.3">
      <c r="A1961" s="109" t="s">
        <v>15170</v>
      </c>
      <c r="B1961" s="109" t="s">
        <v>14819</v>
      </c>
      <c r="C1961" s="109" t="s">
        <v>14819</v>
      </c>
      <c r="D1961" s="109" t="s">
        <v>15171</v>
      </c>
      <c r="E1961" s="109" t="s">
        <v>5558</v>
      </c>
      <c r="F1961" s="109" t="s">
        <v>15172</v>
      </c>
      <c r="G1961" s="110" t="s">
        <v>6248</v>
      </c>
      <c r="H1961" s="110" t="s">
        <v>12266</v>
      </c>
      <c r="I1961" s="110" t="s">
        <v>15173</v>
      </c>
    </row>
    <row r="1962" spans="1:9" ht="25.2" x14ac:dyDescent="0.3">
      <c r="A1962" s="109" t="s">
        <v>15174</v>
      </c>
      <c r="B1962" s="109" t="s">
        <v>14819</v>
      </c>
      <c r="C1962" s="109" t="s">
        <v>14819</v>
      </c>
      <c r="D1962" s="109" t="s">
        <v>15175</v>
      </c>
      <c r="E1962" s="109" t="s">
        <v>5558</v>
      </c>
      <c r="F1962" s="109" t="s">
        <v>2443</v>
      </c>
      <c r="G1962" s="110" t="s">
        <v>6248</v>
      </c>
      <c r="H1962" s="110" t="s">
        <v>6689</v>
      </c>
      <c r="I1962" s="110" t="s">
        <v>15176</v>
      </c>
    </row>
    <row r="1963" spans="1:9" ht="25.2" x14ac:dyDescent="0.3">
      <c r="A1963" s="109" t="s">
        <v>15177</v>
      </c>
      <c r="B1963" s="109" t="s">
        <v>14819</v>
      </c>
      <c r="C1963" s="109" t="s">
        <v>14819</v>
      </c>
      <c r="D1963" s="109" t="s">
        <v>15178</v>
      </c>
      <c r="E1963" s="109" t="s">
        <v>5558</v>
      </c>
      <c r="F1963" s="109" t="s">
        <v>2444</v>
      </c>
      <c r="G1963" s="110" t="s">
        <v>6248</v>
      </c>
      <c r="H1963" s="110" t="s">
        <v>6689</v>
      </c>
      <c r="I1963" s="110" t="s">
        <v>15179</v>
      </c>
    </row>
    <row r="1964" spans="1:9" ht="25.2" x14ac:dyDescent="0.3">
      <c r="A1964" s="109" t="s">
        <v>15180</v>
      </c>
      <c r="B1964" s="109" t="s">
        <v>14819</v>
      </c>
      <c r="C1964" s="109" t="s">
        <v>14819</v>
      </c>
      <c r="D1964" s="109" t="s">
        <v>15181</v>
      </c>
      <c r="E1964" s="109" t="s">
        <v>5558</v>
      </c>
      <c r="F1964" s="109" t="s">
        <v>2445</v>
      </c>
      <c r="G1964" s="110" t="s">
        <v>6248</v>
      </c>
      <c r="H1964" s="110" t="s">
        <v>6883</v>
      </c>
      <c r="I1964" s="110" t="s">
        <v>15182</v>
      </c>
    </row>
    <row r="1965" spans="1:9" ht="25.2" x14ac:dyDescent="0.3">
      <c r="A1965" s="109" t="s">
        <v>15183</v>
      </c>
      <c r="B1965" s="109" t="s">
        <v>14819</v>
      </c>
      <c r="C1965" s="109" t="s">
        <v>14819</v>
      </c>
      <c r="D1965" s="109" t="s">
        <v>15184</v>
      </c>
      <c r="E1965" s="109" t="s">
        <v>10792</v>
      </c>
      <c r="F1965" s="109" t="s">
        <v>8173</v>
      </c>
      <c r="G1965" s="110" t="s">
        <v>6248</v>
      </c>
      <c r="H1965" s="110" t="s">
        <v>15185</v>
      </c>
      <c r="I1965" s="110" t="s">
        <v>15186</v>
      </c>
    </row>
    <row r="1966" spans="1:9" ht="25.2" x14ac:dyDescent="0.3">
      <c r="A1966" s="109" t="s">
        <v>15187</v>
      </c>
      <c r="B1966" s="109" t="s">
        <v>14819</v>
      </c>
      <c r="C1966" s="109" t="s">
        <v>14819</v>
      </c>
      <c r="D1966" s="109" t="s">
        <v>15188</v>
      </c>
      <c r="E1966" s="109" t="s">
        <v>15189</v>
      </c>
      <c r="F1966" s="109" t="s">
        <v>9778</v>
      </c>
      <c r="G1966" s="110" t="s">
        <v>6248</v>
      </c>
      <c r="H1966" s="110" t="s">
        <v>6660</v>
      </c>
      <c r="I1966" s="110" t="s">
        <v>15190</v>
      </c>
    </row>
    <row r="1967" spans="1:9" ht="25.2" x14ac:dyDescent="0.3">
      <c r="A1967" s="109" t="s">
        <v>15191</v>
      </c>
      <c r="B1967" s="109" t="s">
        <v>14819</v>
      </c>
      <c r="C1967" s="109" t="s">
        <v>14819</v>
      </c>
      <c r="D1967" s="109" t="s">
        <v>15192</v>
      </c>
      <c r="E1967" s="109" t="s">
        <v>15193</v>
      </c>
      <c r="F1967" s="109" t="s">
        <v>9778</v>
      </c>
      <c r="G1967" s="110" t="s">
        <v>6248</v>
      </c>
      <c r="H1967" s="110" t="s">
        <v>15194</v>
      </c>
      <c r="I1967" s="110" t="s">
        <v>15195</v>
      </c>
    </row>
    <row r="1968" spans="1:9" ht="25.2" x14ac:dyDescent="0.3">
      <c r="A1968" s="109" t="s">
        <v>15196</v>
      </c>
      <c r="B1968" s="109" t="s">
        <v>14819</v>
      </c>
      <c r="C1968" s="109" t="s">
        <v>14819</v>
      </c>
      <c r="D1968" s="109" t="s">
        <v>15197</v>
      </c>
      <c r="E1968" s="109" t="s">
        <v>11729</v>
      </c>
      <c r="F1968" s="109" t="s">
        <v>15198</v>
      </c>
      <c r="G1968" s="110" t="s">
        <v>6248</v>
      </c>
      <c r="H1968" s="110" t="s">
        <v>15199</v>
      </c>
      <c r="I1968" s="110" t="s">
        <v>15200</v>
      </c>
    </row>
    <row r="1969" spans="1:9" ht="37.799999999999997" x14ac:dyDescent="0.3">
      <c r="A1969" s="109" t="s">
        <v>15201</v>
      </c>
      <c r="B1969" s="109" t="s">
        <v>14819</v>
      </c>
      <c r="C1969" s="109" t="s">
        <v>14819</v>
      </c>
      <c r="D1969" s="109" t="s">
        <v>15202</v>
      </c>
      <c r="E1969" s="109" t="s">
        <v>5558</v>
      </c>
      <c r="F1969" s="109" t="s">
        <v>15203</v>
      </c>
      <c r="G1969" s="110" t="s">
        <v>6248</v>
      </c>
      <c r="H1969" s="110" t="s">
        <v>15204</v>
      </c>
      <c r="I1969" s="110" t="s">
        <v>15205</v>
      </c>
    </row>
    <row r="1970" spans="1:9" ht="63" x14ac:dyDescent="0.3">
      <c r="A1970" s="109" t="s">
        <v>15206</v>
      </c>
      <c r="B1970" s="109" t="s">
        <v>14819</v>
      </c>
      <c r="C1970" s="109" t="s">
        <v>14819</v>
      </c>
      <c r="D1970" s="109" t="s">
        <v>15207</v>
      </c>
      <c r="E1970" s="109" t="s">
        <v>15207</v>
      </c>
      <c r="F1970" s="109" t="s">
        <v>15208</v>
      </c>
      <c r="G1970" s="110" t="s">
        <v>6248</v>
      </c>
      <c r="H1970" s="110" t="s">
        <v>15209</v>
      </c>
      <c r="I1970" s="110" t="s">
        <v>15210</v>
      </c>
    </row>
    <row r="1971" spans="1:9" ht="25.2" x14ac:dyDescent="0.3">
      <c r="A1971" s="109" t="s">
        <v>15211</v>
      </c>
      <c r="B1971" s="109" t="s">
        <v>14819</v>
      </c>
      <c r="C1971" s="109" t="s">
        <v>14819</v>
      </c>
      <c r="D1971" s="109" t="s">
        <v>5569</v>
      </c>
      <c r="E1971" s="109" t="s">
        <v>5558</v>
      </c>
      <c r="F1971" s="109" t="s">
        <v>2258</v>
      </c>
      <c r="G1971" s="110" t="s">
        <v>6248</v>
      </c>
      <c r="H1971" s="110" t="s">
        <v>15212</v>
      </c>
      <c r="I1971" s="110" t="s">
        <v>15213</v>
      </c>
    </row>
    <row r="1972" spans="1:9" ht="63" x14ac:dyDescent="0.3">
      <c r="A1972" s="109" t="s">
        <v>15214</v>
      </c>
      <c r="B1972" s="109" t="s">
        <v>14819</v>
      </c>
      <c r="C1972" s="109" t="s">
        <v>14819</v>
      </c>
      <c r="D1972" s="109" t="s">
        <v>15215</v>
      </c>
      <c r="E1972" s="109" t="s">
        <v>15215</v>
      </c>
      <c r="F1972" s="109" t="s">
        <v>15216</v>
      </c>
      <c r="G1972" s="110" t="s">
        <v>6248</v>
      </c>
      <c r="H1972" s="110" t="s">
        <v>15217</v>
      </c>
      <c r="I1972" s="110" t="s">
        <v>15218</v>
      </c>
    </row>
    <row r="1973" spans="1:9" ht="25.2" x14ac:dyDescent="0.3">
      <c r="A1973" s="109" t="s">
        <v>15219</v>
      </c>
      <c r="B1973" s="109" t="s">
        <v>14819</v>
      </c>
      <c r="C1973" s="109" t="s">
        <v>14819</v>
      </c>
      <c r="D1973" s="109" t="s">
        <v>15220</v>
      </c>
      <c r="E1973" s="109" t="s">
        <v>5558</v>
      </c>
      <c r="F1973" s="109" t="s">
        <v>15221</v>
      </c>
      <c r="G1973" s="110" t="s">
        <v>6248</v>
      </c>
      <c r="H1973" s="110" t="s">
        <v>7504</v>
      </c>
      <c r="I1973" s="110" t="s">
        <v>15222</v>
      </c>
    </row>
    <row r="1974" spans="1:9" ht="75.599999999999994" x14ac:dyDescent="0.3">
      <c r="A1974" s="109" t="s">
        <v>15223</v>
      </c>
      <c r="B1974" s="109" t="s">
        <v>14819</v>
      </c>
      <c r="C1974" s="109" t="s">
        <v>14819</v>
      </c>
      <c r="D1974" s="109" t="s">
        <v>15224</v>
      </c>
      <c r="E1974" s="109" t="s">
        <v>15224</v>
      </c>
      <c r="F1974" s="109" t="s">
        <v>15225</v>
      </c>
      <c r="G1974" s="110" t="s">
        <v>6248</v>
      </c>
      <c r="H1974" s="110" t="s">
        <v>15226</v>
      </c>
      <c r="I1974" s="110" t="s">
        <v>15227</v>
      </c>
    </row>
    <row r="1975" spans="1:9" ht="37.799999999999997" x14ac:dyDescent="0.3">
      <c r="A1975" s="109" t="s">
        <v>15228</v>
      </c>
      <c r="B1975" s="109" t="s">
        <v>14819</v>
      </c>
      <c r="C1975" s="109" t="s">
        <v>14819</v>
      </c>
      <c r="D1975" s="109" t="s">
        <v>15229</v>
      </c>
      <c r="E1975" s="109" t="s">
        <v>5558</v>
      </c>
      <c r="F1975" s="109" t="s">
        <v>15230</v>
      </c>
      <c r="G1975" s="110" t="s">
        <v>6248</v>
      </c>
      <c r="H1975" s="110" t="s">
        <v>15231</v>
      </c>
      <c r="I1975" s="110" t="s">
        <v>15232</v>
      </c>
    </row>
    <row r="1976" spans="1:9" ht="37.799999999999997" x14ac:dyDescent="0.3">
      <c r="A1976" s="109" t="s">
        <v>15233</v>
      </c>
      <c r="B1976" s="109" t="s">
        <v>14819</v>
      </c>
      <c r="C1976" s="109" t="s">
        <v>14819</v>
      </c>
      <c r="D1976" s="109" t="s">
        <v>1704</v>
      </c>
      <c r="E1976" s="109" t="s">
        <v>5558</v>
      </c>
      <c r="F1976" s="109" t="s">
        <v>15234</v>
      </c>
      <c r="G1976" s="110" t="s">
        <v>6248</v>
      </c>
      <c r="H1976" s="110" t="s">
        <v>9199</v>
      </c>
      <c r="I1976" s="110" t="s">
        <v>15235</v>
      </c>
    </row>
    <row r="1977" spans="1:9" ht="25.2" x14ac:dyDescent="0.3">
      <c r="A1977" s="109" t="s">
        <v>15236</v>
      </c>
      <c r="B1977" s="109" t="s">
        <v>14819</v>
      </c>
      <c r="C1977" s="109" t="s">
        <v>14819</v>
      </c>
      <c r="D1977" s="109" t="s">
        <v>15237</v>
      </c>
      <c r="E1977" s="109" t="s">
        <v>5558</v>
      </c>
      <c r="F1977" s="109" t="s">
        <v>15238</v>
      </c>
      <c r="G1977" s="110" t="s">
        <v>6248</v>
      </c>
      <c r="H1977" s="110" t="s">
        <v>15239</v>
      </c>
      <c r="I1977" s="110" t="s">
        <v>15240</v>
      </c>
    </row>
    <row r="1978" spans="1:9" ht="37.799999999999997" x14ac:dyDescent="0.3">
      <c r="A1978" s="109" t="s">
        <v>15241</v>
      </c>
      <c r="B1978" s="109" t="s">
        <v>14819</v>
      </c>
      <c r="C1978" s="109" t="s">
        <v>14819</v>
      </c>
      <c r="D1978" s="109" t="s">
        <v>15242</v>
      </c>
      <c r="E1978" s="109" t="s">
        <v>5558</v>
      </c>
      <c r="F1978" s="109" t="s">
        <v>15243</v>
      </c>
      <c r="G1978" s="110" t="s">
        <v>6248</v>
      </c>
      <c r="H1978" s="110" t="s">
        <v>15244</v>
      </c>
      <c r="I1978" s="110" t="s">
        <v>15245</v>
      </c>
    </row>
    <row r="1979" spans="1:9" ht="25.2" x14ac:dyDescent="0.3">
      <c r="A1979" s="109" t="s">
        <v>15246</v>
      </c>
      <c r="B1979" s="109" t="s">
        <v>14819</v>
      </c>
      <c r="C1979" s="109" t="s">
        <v>14819</v>
      </c>
      <c r="D1979" s="109" t="s">
        <v>15247</v>
      </c>
      <c r="E1979" s="109" t="s">
        <v>6174</v>
      </c>
      <c r="F1979" s="109" t="s">
        <v>7236</v>
      </c>
      <c r="G1979" s="110" t="s">
        <v>6248</v>
      </c>
      <c r="H1979" s="110" t="s">
        <v>15248</v>
      </c>
      <c r="I1979" s="110" t="s">
        <v>15249</v>
      </c>
    </row>
    <row r="1980" spans="1:9" ht="25.2" x14ac:dyDescent="0.3">
      <c r="A1980" s="109" t="s">
        <v>15250</v>
      </c>
      <c r="B1980" s="109" t="s">
        <v>14819</v>
      </c>
      <c r="C1980" s="109" t="s">
        <v>14819</v>
      </c>
      <c r="D1980" s="109" t="s">
        <v>1670</v>
      </c>
      <c r="E1980" s="109" t="s">
        <v>15251</v>
      </c>
      <c r="F1980" s="109" t="s">
        <v>15252</v>
      </c>
      <c r="G1980" s="110" t="s">
        <v>6248</v>
      </c>
      <c r="H1980" s="110" t="s">
        <v>15253</v>
      </c>
      <c r="I1980" s="110" t="s">
        <v>15254</v>
      </c>
    </row>
    <row r="1981" spans="1:9" ht="25.2" x14ac:dyDescent="0.3">
      <c r="A1981" s="109" t="s">
        <v>15255</v>
      </c>
      <c r="B1981" s="109" t="s">
        <v>14819</v>
      </c>
      <c r="C1981" s="109" t="s">
        <v>14819</v>
      </c>
      <c r="D1981" s="109" t="s">
        <v>15256</v>
      </c>
      <c r="E1981" s="109" t="s">
        <v>15257</v>
      </c>
      <c r="F1981" s="109" t="s">
        <v>15258</v>
      </c>
      <c r="G1981" s="110" t="s">
        <v>6248</v>
      </c>
      <c r="H1981" s="110" t="s">
        <v>15259</v>
      </c>
      <c r="I1981" s="110" t="s">
        <v>15260</v>
      </c>
    </row>
    <row r="1982" spans="1:9" ht="25.2" x14ac:dyDescent="0.3">
      <c r="A1982" s="109" t="s">
        <v>15261</v>
      </c>
      <c r="B1982" s="109" t="s">
        <v>14819</v>
      </c>
      <c r="C1982" s="109" t="s">
        <v>14819</v>
      </c>
      <c r="D1982" s="109" t="s">
        <v>5569</v>
      </c>
      <c r="E1982" s="109" t="s">
        <v>5558</v>
      </c>
      <c r="F1982" s="109" t="s">
        <v>2258</v>
      </c>
      <c r="G1982" s="110" t="s">
        <v>6248</v>
      </c>
      <c r="H1982" s="110" t="s">
        <v>15262</v>
      </c>
      <c r="I1982" s="110" t="s">
        <v>15263</v>
      </c>
    </row>
    <row r="1983" spans="1:9" ht="25.2" x14ac:dyDescent="0.3">
      <c r="A1983" s="109" t="s">
        <v>15264</v>
      </c>
      <c r="B1983" s="109" t="s">
        <v>14819</v>
      </c>
      <c r="C1983" s="109" t="s">
        <v>14819</v>
      </c>
      <c r="D1983" s="109" t="s">
        <v>5569</v>
      </c>
      <c r="E1983" s="109" t="s">
        <v>5558</v>
      </c>
      <c r="F1983" s="109" t="s">
        <v>2258</v>
      </c>
      <c r="G1983" s="110" t="s">
        <v>6248</v>
      </c>
      <c r="H1983" s="110" t="s">
        <v>15265</v>
      </c>
      <c r="I1983" s="110" t="s">
        <v>15266</v>
      </c>
    </row>
    <row r="1984" spans="1:9" ht="37.799999999999997" x14ac:dyDescent="0.3">
      <c r="A1984" s="109" t="s">
        <v>15267</v>
      </c>
      <c r="B1984" s="109" t="s">
        <v>14819</v>
      </c>
      <c r="C1984" s="109" t="s">
        <v>14819</v>
      </c>
      <c r="D1984" s="109" t="s">
        <v>15268</v>
      </c>
      <c r="E1984" s="109" t="s">
        <v>5558</v>
      </c>
      <c r="F1984" s="109" t="s">
        <v>15269</v>
      </c>
      <c r="G1984" s="110" t="s">
        <v>6248</v>
      </c>
      <c r="H1984" s="110" t="s">
        <v>15270</v>
      </c>
      <c r="I1984" s="110" t="s">
        <v>15271</v>
      </c>
    </row>
    <row r="1985" spans="1:9" ht="37.799999999999997" x14ac:dyDescent="0.3">
      <c r="A1985" s="109" t="s">
        <v>15272</v>
      </c>
      <c r="B1985" s="109" t="s">
        <v>14819</v>
      </c>
      <c r="C1985" s="109" t="s">
        <v>14819</v>
      </c>
      <c r="D1985" s="109" t="s">
        <v>2215</v>
      </c>
      <c r="E1985" s="109" t="s">
        <v>5558</v>
      </c>
      <c r="F1985" s="109" t="s">
        <v>15273</v>
      </c>
      <c r="G1985" s="110" t="s">
        <v>6248</v>
      </c>
      <c r="H1985" s="110" t="s">
        <v>15274</v>
      </c>
      <c r="I1985" s="110" t="s">
        <v>15275</v>
      </c>
    </row>
    <row r="1986" spans="1:9" ht="25.2" x14ac:dyDescent="0.3">
      <c r="A1986" s="109" t="s">
        <v>15276</v>
      </c>
      <c r="B1986" s="109" t="s">
        <v>14819</v>
      </c>
      <c r="C1986" s="109" t="s">
        <v>14819</v>
      </c>
      <c r="D1986" s="109" t="s">
        <v>15277</v>
      </c>
      <c r="E1986" s="109" t="s">
        <v>5558</v>
      </c>
      <c r="F1986" s="109" t="s">
        <v>15278</v>
      </c>
      <c r="G1986" s="110" t="s">
        <v>6248</v>
      </c>
      <c r="H1986" s="110" t="s">
        <v>15279</v>
      </c>
      <c r="I1986" s="110" t="s">
        <v>15280</v>
      </c>
    </row>
    <row r="1987" spans="1:9" ht="25.2" x14ac:dyDescent="0.3">
      <c r="A1987" s="109" t="s">
        <v>15281</v>
      </c>
      <c r="B1987" s="109" t="s">
        <v>14819</v>
      </c>
      <c r="C1987" s="109" t="s">
        <v>14819</v>
      </c>
      <c r="D1987" s="109" t="s">
        <v>15282</v>
      </c>
      <c r="E1987" s="109" t="s">
        <v>13249</v>
      </c>
      <c r="F1987" s="109" t="s">
        <v>15283</v>
      </c>
      <c r="G1987" s="110" t="s">
        <v>6248</v>
      </c>
      <c r="H1987" s="110" t="s">
        <v>15284</v>
      </c>
      <c r="I1987" s="110" t="s">
        <v>15285</v>
      </c>
    </row>
    <row r="1988" spans="1:9" ht="37.799999999999997" x14ac:dyDescent="0.3">
      <c r="A1988" s="109" t="s">
        <v>15286</v>
      </c>
      <c r="B1988" s="109" t="s">
        <v>14819</v>
      </c>
      <c r="C1988" s="109" t="s">
        <v>14819</v>
      </c>
      <c r="D1988" s="109" t="s">
        <v>15287</v>
      </c>
      <c r="E1988" s="109" t="s">
        <v>5558</v>
      </c>
      <c r="F1988" s="109" t="s">
        <v>15288</v>
      </c>
      <c r="G1988" s="110" t="s">
        <v>6248</v>
      </c>
      <c r="H1988" s="110" t="s">
        <v>15289</v>
      </c>
      <c r="I1988" s="110" t="s">
        <v>15290</v>
      </c>
    </row>
    <row r="1989" spans="1:9" ht="37.799999999999997" x14ac:dyDescent="0.3">
      <c r="A1989" s="109" t="s">
        <v>15291</v>
      </c>
      <c r="B1989" s="109" t="s">
        <v>14819</v>
      </c>
      <c r="C1989" s="109" t="s">
        <v>14819</v>
      </c>
      <c r="D1989" s="109" t="s">
        <v>15292</v>
      </c>
      <c r="E1989" s="109" t="s">
        <v>5558</v>
      </c>
      <c r="F1989" s="109" t="s">
        <v>15293</v>
      </c>
      <c r="G1989" s="110" t="s">
        <v>6248</v>
      </c>
      <c r="H1989" s="110" t="s">
        <v>15294</v>
      </c>
      <c r="I1989" s="110" t="s">
        <v>15295</v>
      </c>
    </row>
    <row r="1990" spans="1:9" ht="25.2" x14ac:dyDescent="0.3">
      <c r="A1990" s="109" t="s">
        <v>15296</v>
      </c>
      <c r="B1990" s="109" t="s">
        <v>14819</v>
      </c>
      <c r="C1990" s="109" t="s">
        <v>14819</v>
      </c>
      <c r="D1990" s="109" t="s">
        <v>15297</v>
      </c>
      <c r="E1990" s="109" t="s">
        <v>5558</v>
      </c>
      <c r="F1990" s="109" t="s">
        <v>15298</v>
      </c>
      <c r="G1990" s="110" t="s">
        <v>6248</v>
      </c>
      <c r="H1990" s="110" t="s">
        <v>6689</v>
      </c>
      <c r="I1990" s="110" t="s">
        <v>15299</v>
      </c>
    </row>
    <row r="1991" spans="1:9" ht="25.2" x14ac:dyDescent="0.3">
      <c r="A1991" s="109" t="s">
        <v>15300</v>
      </c>
      <c r="B1991" s="109" t="s">
        <v>14819</v>
      </c>
      <c r="C1991" s="109" t="s">
        <v>14819</v>
      </c>
      <c r="D1991" s="109" t="s">
        <v>15301</v>
      </c>
      <c r="E1991" s="109" t="s">
        <v>5558</v>
      </c>
      <c r="F1991" s="109" t="s">
        <v>15302</v>
      </c>
      <c r="G1991" s="110" t="s">
        <v>6248</v>
      </c>
      <c r="H1991" s="110" t="s">
        <v>6689</v>
      </c>
      <c r="I1991" s="110" t="s">
        <v>15303</v>
      </c>
    </row>
    <row r="1992" spans="1:9" ht="25.2" x14ac:dyDescent="0.3">
      <c r="A1992" s="109" t="s">
        <v>15304</v>
      </c>
      <c r="B1992" s="109" t="s">
        <v>14819</v>
      </c>
      <c r="C1992" s="109" t="s">
        <v>14819</v>
      </c>
      <c r="D1992" s="109" t="s">
        <v>15305</v>
      </c>
      <c r="E1992" s="109" t="s">
        <v>5558</v>
      </c>
      <c r="F1992" s="109" t="s">
        <v>15306</v>
      </c>
      <c r="G1992" s="110" t="s">
        <v>6248</v>
      </c>
      <c r="H1992" s="110" t="s">
        <v>12266</v>
      </c>
      <c r="I1992" s="110" t="s">
        <v>15307</v>
      </c>
    </row>
    <row r="1993" spans="1:9" ht="37.799999999999997" x14ac:dyDescent="0.3">
      <c r="A1993" s="109" t="s">
        <v>15308</v>
      </c>
      <c r="B1993" s="109" t="s">
        <v>14819</v>
      </c>
      <c r="C1993" s="109" t="s">
        <v>14819</v>
      </c>
      <c r="D1993" s="109" t="s">
        <v>15309</v>
      </c>
      <c r="E1993" s="109" t="s">
        <v>5558</v>
      </c>
      <c r="F1993" s="109" t="s">
        <v>15310</v>
      </c>
      <c r="G1993" s="110" t="s">
        <v>6248</v>
      </c>
      <c r="H1993" s="110" t="s">
        <v>15311</v>
      </c>
      <c r="I1993" s="110" t="s">
        <v>15312</v>
      </c>
    </row>
    <row r="1994" spans="1:9" ht="25.2" x14ac:dyDescent="0.3">
      <c r="A1994" s="109" t="s">
        <v>15313</v>
      </c>
      <c r="B1994" s="109" t="s">
        <v>14819</v>
      </c>
      <c r="C1994" s="109" t="s">
        <v>14819</v>
      </c>
      <c r="D1994" s="109" t="s">
        <v>15314</v>
      </c>
      <c r="E1994" s="109" t="s">
        <v>15315</v>
      </c>
      <c r="F1994" s="109" t="s">
        <v>15316</v>
      </c>
      <c r="G1994" s="110" t="s">
        <v>6248</v>
      </c>
      <c r="H1994" s="110" t="s">
        <v>6341</v>
      </c>
      <c r="I1994" s="110" t="s">
        <v>15317</v>
      </c>
    </row>
    <row r="1995" spans="1:9" ht="25.2" x14ac:dyDescent="0.3">
      <c r="A1995" s="109" t="s">
        <v>15318</v>
      </c>
      <c r="B1995" s="109" t="s">
        <v>14819</v>
      </c>
      <c r="C1995" s="109" t="s">
        <v>14819</v>
      </c>
      <c r="D1995" s="109" t="s">
        <v>15319</v>
      </c>
      <c r="E1995" s="109" t="s">
        <v>5558</v>
      </c>
      <c r="F1995" s="109" t="s">
        <v>15320</v>
      </c>
      <c r="G1995" s="110" t="s">
        <v>6248</v>
      </c>
      <c r="H1995" s="110" t="s">
        <v>13740</v>
      </c>
      <c r="I1995" s="110" t="s">
        <v>15321</v>
      </c>
    </row>
    <row r="1996" spans="1:9" ht="25.2" x14ac:dyDescent="0.3">
      <c r="A1996" s="109" t="s">
        <v>15322</v>
      </c>
      <c r="B1996" s="109" t="s">
        <v>14819</v>
      </c>
      <c r="C1996" s="109" t="s">
        <v>14819</v>
      </c>
      <c r="D1996" s="109" t="s">
        <v>15323</v>
      </c>
      <c r="E1996" s="109" t="s">
        <v>5558</v>
      </c>
      <c r="F1996" s="109" t="s">
        <v>15324</v>
      </c>
      <c r="G1996" s="110" t="s">
        <v>6248</v>
      </c>
      <c r="H1996" s="110" t="s">
        <v>6689</v>
      </c>
      <c r="I1996" s="110" t="s">
        <v>15325</v>
      </c>
    </row>
    <row r="1997" spans="1:9" ht="25.2" x14ac:dyDescent="0.3">
      <c r="A1997" s="109" t="s">
        <v>15326</v>
      </c>
      <c r="B1997" s="109" t="s">
        <v>14819</v>
      </c>
      <c r="C1997" s="109" t="s">
        <v>14819</v>
      </c>
      <c r="D1997" s="109" t="s">
        <v>15327</v>
      </c>
      <c r="E1997" s="109" t="s">
        <v>5846</v>
      </c>
      <c r="F1997" s="109" t="s">
        <v>15328</v>
      </c>
      <c r="G1997" s="110" t="s">
        <v>6248</v>
      </c>
      <c r="H1997" s="110" t="s">
        <v>14715</v>
      </c>
      <c r="I1997" s="110" t="s">
        <v>15329</v>
      </c>
    </row>
    <row r="1998" spans="1:9" ht="37.799999999999997" x14ac:dyDescent="0.3">
      <c r="A1998" s="109" t="s">
        <v>15330</v>
      </c>
      <c r="B1998" s="109" t="s">
        <v>14819</v>
      </c>
      <c r="C1998" s="109" t="s">
        <v>14819</v>
      </c>
      <c r="D1998" s="109" t="s">
        <v>15331</v>
      </c>
      <c r="E1998" s="109" t="s">
        <v>5558</v>
      </c>
      <c r="F1998" s="109" t="s">
        <v>15332</v>
      </c>
      <c r="G1998" s="110" t="s">
        <v>6248</v>
      </c>
      <c r="H1998" s="110" t="s">
        <v>6346</v>
      </c>
      <c r="I1998" s="110" t="s">
        <v>15333</v>
      </c>
    </row>
    <row r="1999" spans="1:9" ht="37.799999999999997" x14ac:dyDescent="0.3">
      <c r="A1999" s="109" t="s">
        <v>15334</v>
      </c>
      <c r="B1999" s="109" t="s">
        <v>14819</v>
      </c>
      <c r="C1999" s="109" t="s">
        <v>14819</v>
      </c>
      <c r="D1999" s="109" t="s">
        <v>15335</v>
      </c>
      <c r="E1999" s="109" t="s">
        <v>5558</v>
      </c>
      <c r="F1999" s="109" t="s">
        <v>15336</v>
      </c>
      <c r="G1999" s="110" t="s">
        <v>6248</v>
      </c>
      <c r="H1999" s="110" t="s">
        <v>15337</v>
      </c>
      <c r="I1999" s="110" t="s">
        <v>15338</v>
      </c>
    </row>
    <row r="2000" spans="1:9" ht="50.4" x14ac:dyDescent="0.3">
      <c r="A2000" s="109" t="s">
        <v>15339</v>
      </c>
      <c r="B2000" s="109" t="s">
        <v>14819</v>
      </c>
      <c r="C2000" s="109" t="s">
        <v>14819</v>
      </c>
      <c r="D2000" s="109" t="s">
        <v>15340</v>
      </c>
      <c r="E2000" s="109" t="s">
        <v>15340</v>
      </c>
      <c r="F2000" s="109" t="s">
        <v>15341</v>
      </c>
      <c r="G2000" s="110" t="s">
        <v>6248</v>
      </c>
      <c r="H2000" s="110" t="s">
        <v>15342</v>
      </c>
      <c r="I2000" s="110" t="s">
        <v>15343</v>
      </c>
    </row>
    <row r="2001" spans="1:9" ht="25.2" x14ac:dyDescent="0.3">
      <c r="A2001" s="109" t="s">
        <v>15344</v>
      </c>
      <c r="B2001" s="109" t="s">
        <v>14819</v>
      </c>
      <c r="C2001" s="109" t="s">
        <v>14819</v>
      </c>
      <c r="D2001" s="109" t="s">
        <v>15345</v>
      </c>
      <c r="E2001" s="109" t="s">
        <v>15346</v>
      </c>
      <c r="F2001" s="109" t="s">
        <v>15347</v>
      </c>
      <c r="G2001" s="110" t="s">
        <v>6248</v>
      </c>
      <c r="H2001" s="110" t="s">
        <v>15348</v>
      </c>
      <c r="I2001" s="110" t="s">
        <v>15349</v>
      </c>
    </row>
    <row r="2002" spans="1:9" ht="50.4" x14ac:dyDescent="0.3">
      <c r="A2002" s="109" t="s">
        <v>15350</v>
      </c>
      <c r="B2002" s="109" t="s">
        <v>14819</v>
      </c>
      <c r="C2002" s="109" t="s">
        <v>14819</v>
      </c>
      <c r="D2002" s="109" t="s">
        <v>15351</v>
      </c>
      <c r="E2002" s="109" t="s">
        <v>15351</v>
      </c>
      <c r="F2002" s="109" t="s">
        <v>15352</v>
      </c>
      <c r="G2002" s="110" t="s">
        <v>6248</v>
      </c>
      <c r="H2002" s="110" t="s">
        <v>15353</v>
      </c>
      <c r="I2002" s="110" t="s">
        <v>15354</v>
      </c>
    </row>
    <row r="2003" spans="1:9" ht="50.4" x14ac:dyDescent="0.3">
      <c r="A2003" s="109" t="s">
        <v>15355</v>
      </c>
      <c r="B2003" s="109" t="s">
        <v>14819</v>
      </c>
      <c r="C2003" s="109" t="s">
        <v>14819</v>
      </c>
      <c r="D2003" s="109" t="s">
        <v>15356</v>
      </c>
      <c r="E2003" s="109" t="s">
        <v>15356</v>
      </c>
      <c r="F2003" s="109" t="s">
        <v>15357</v>
      </c>
      <c r="G2003" s="110" t="s">
        <v>6248</v>
      </c>
      <c r="H2003" s="110" t="s">
        <v>10272</v>
      </c>
      <c r="I2003" s="110" t="s">
        <v>15358</v>
      </c>
    </row>
    <row r="2004" spans="1:9" ht="37.799999999999997" x14ac:dyDescent="0.3">
      <c r="A2004" s="109" t="s">
        <v>15359</v>
      </c>
      <c r="B2004" s="109" t="s">
        <v>14819</v>
      </c>
      <c r="C2004" s="109" t="s">
        <v>14819</v>
      </c>
      <c r="D2004" s="109" t="s">
        <v>13659</v>
      </c>
      <c r="E2004" s="109" t="s">
        <v>12474</v>
      </c>
      <c r="F2004" s="109" t="s">
        <v>15360</v>
      </c>
      <c r="G2004" s="110" t="s">
        <v>6248</v>
      </c>
      <c r="H2004" s="110" t="s">
        <v>12476</v>
      </c>
      <c r="I2004" s="110" t="s">
        <v>15361</v>
      </c>
    </row>
    <row r="2005" spans="1:9" ht="50.4" x14ac:dyDescent="0.3">
      <c r="A2005" s="109" t="s">
        <v>15362</v>
      </c>
      <c r="B2005" s="109" t="s">
        <v>14819</v>
      </c>
      <c r="C2005" s="109" t="s">
        <v>14819</v>
      </c>
      <c r="D2005" s="109" t="s">
        <v>15363</v>
      </c>
      <c r="E2005" s="109" t="s">
        <v>15363</v>
      </c>
      <c r="F2005" s="109" t="s">
        <v>15364</v>
      </c>
      <c r="G2005" s="110" t="s">
        <v>6248</v>
      </c>
      <c r="H2005" s="110" t="s">
        <v>15365</v>
      </c>
      <c r="I2005" s="110" t="s">
        <v>15366</v>
      </c>
    </row>
    <row r="2006" spans="1:9" ht="50.4" x14ac:dyDescent="0.3">
      <c r="A2006" s="109" t="s">
        <v>15367</v>
      </c>
      <c r="B2006" s="109" t="s">
        <v>14819</v>
      </c>
      <c r="C2006" s="109" t="s">
        <v>14819</v>
      </c>
      <c r="D2006" s="109" t="s">
        <v>5627</v>
      </c>
      <c r="E2006" s="109" t="s">
        <v>5627</v>
      </c>
      <c r="F2006" s="109" t="s">
        <v>15368</v>
      </c>
      <c r="G2006" s="110" t="s">
        <v>6248</v>
      </c>
      <c r="H2006" s="110" t="s">
        <v>15369</v>
      </c>
      <c r="I2006" s="110" t="s">
        <v>15370</v>
      </c>
    </row>
    <row r="2007" spans="1:9" ht="50.4" x14ac:dyDescent="0.3">
      <c r="A2007" s="109" t="s">
        <v>15371</v>
      </c>
      <c r="B2007" s="109" t="s">
        <v>14819</v>
      </c>
      <c r="C2007" s="109" t="s">
        <v>14819</v>
      </c>
      <c r="D2007" s="109" t="s">
        <v>15372</v>
      </c>
      <c r="E2007" s="109" t="s">
        <v>15372</v>
      </c>
      <c r="F2007" s="109" t="s">
        <v>15373</v>
      </c>
      <c r="G2007" s="110" t="s">
        <v>6248</v>
      </c>
      <c r="H2007" s="110" t="s">
        <v>15374</v>
      </c>
      <c r="I2007" s="110" t="s">
        <v>15375</v>
      </c>
    </row>
    <row r="2008" spans="1:9" ht="63" x14ac:dyDescent="0.3">
      <c r="A2008" s="109" t="s">
        <v>15376</v>
      </c>
      <c r="B2008" s="109" t="s">
        <v>14819</v>
      </c>
      <c r="C2008" s="109" t="s">
        <v>14819</v>
      </c>
      <c r="D2008" s="109" t="s">
        <v>15377</v>
      </c>
      <c r="E2008" s="109" t="s">
        <v>15377</v>
      </c>
      <c r="F2008" s="109" t="s">
        <v>15378</v>
      </c>
      <c r="G2008" s="110" t="s">
        <v>6248</v>
      </c>
      <c r="H2008" s="110" t="s">
        <v>15379</v>
      </c>
      <c r="I2008" s="110" t="s">
        <v>15380</v>
      </c>
    </row>
    <row r="2009" spans="1:9" ht="50.4" x14ac:dyDescent="0.3">
      <c r="A2009" s="109" t="s">
        <v>15381</v>
      </c>
      <c r="B2009" s="109" t="s">
        <v>14819</v>
      </c>
      <c r="C2009" s="109" t="s">
        <v>14819</v>
      </c>
      <c r="D2009" s="109" t="s">
        <v>15382</v>
      </c>
      <c r="E2009" s="109" t="s">
        <v>15382</v>
      </c>
      <c r="F2009" s="109" t="s">
        <v>15383</v>
      </c>
      <c r="G2009" s="110" t="s">
        <v>6248</v>
      </c>
      <c r="H2009" s="110" t="s">
        <v>15384</v>
      </c>
      <c r="I2009" s="110" t="s">
        <v>15385</v>
      </c>
    </row>
    <row r="2010" spans="1:9" ht="50.4" x14ac:dyDescent="0.3">
      <c r="A2010" s="109" t="s">
        <v>15386</v>
      </c>
      <c r="B2010" s="109" t="s">
        <v>14819</v>
      </c>
      <c r="C2010" s="109" t="s">
        <v>14819</v>
      </c>
      <c r="D2010" s="109" t="s">
        <v>11263</v>
      </c>
      <c r="E2010" s="109" t="s">
        <v>11263</v>
      </c>
      <c r="F2010" s="109" t="s">
        <v>15387</v>
      </c>
      <c r="G2010" s="110" t="s">
        <v>6248</v>
      </c>
      <c r="H2010" s="110" t="s">
        <v>15388</v>
      </c>
      <c r="I2010" s="110" t="s">
        <v>15389</v>
      </c>
    </row>
    <row r="2011" spans="1:9" ht="25.2" x14ac:dyDescent="0.3">
      <c r="A2011" s="109" t="s">
        <v>15390</v>
      </c>
      <c r="B2011" s="109" t="s">
        <v>14819</v>
      </c>
      <c r="C2011" s="109" t="s">
        <v>14819</v>
      </c>
      <c r="D2011" s="109" t="s">
        <v>15391</v>
      </c>
      <c r="E2011" s="109" t="s">
        <v>15392</v>
      </c>
      <c r="F2011" s="109" t="s">
        <v>15393</v>
      </c>
      <c r="G2011" s="110" t="s">
        <v>6248</v>
      </c>
      <c r="H2011" s="110" t="s">
        <v>15394</v>
      </c>
      <c r="I2011" s="110" t="s">
        <v>15395</v>
      </c>
    </row>
    <row r="2012" spans="1:9" ht="50.4" x14ac:dyDescent="0.3">
      <c r="A2012" s="109" t="s">
        <v>15396</v>
      </c>
      <c r="B2012" s="109" t="s">
        <v>14819</v>
      </c>
      <c r="C2012" s="109" t="s">
        <v>14819</v>
      </c>
      <c r="D2012" s="109" t="s">
        <v>6148</v>
      </c>
      <c r="E2012" s="109" t="s">
        <v>6148</v>
      </c>
      <c r="F2012" s="109" t="s">
        <v>15397</v>
      </c>
      <c r="G2012" s="110" t="s">
        <v>6248</v>
      </c>
      <c r="H2012" s="110" t="s">
        <v>15398</v>
      </c>
      <c r="I2012" s="110" t="s">
        <v>15399</v>
      </c>
    </row>
    <row r="2013" spans="1:9" ht="50.4" x14ac:dyDescent="0.3">
      <c r="A2013" s="109" t="s">
        <v>15400</v>
      </c>
      <c r="B2013" s="109" t="s">
        <v>14819</v>
      </c>
      <c r="C2013" s="109" t="s">
        <v>14819</v>
      </c>
      <c r="D2013" s="109" t="s">
        <v>15401</v>
      </c>
      <c r="E2013" s="109" t="s">
        <v>15401</v>
      </c>
      <c r="F2013" s="109" t="s">
        <v>15402</v>
      </c>
      <c r="G2013" s="110" t="s">
        <v>6248</v>
      </c>
      <c r="H2013" s="110" t="s">
        <v>15403</v>
      </c>
      <c r="I2013" s="110" t="s">
        <v>15404</v>
      </c>
    </row>
    <row r="2014" spans="1:9" ht="50.4" x14ac:dyDescent="0.3">
      <c r="A2014" s="109" t="s">
        <v>15405</v>
      </c>
      <c r="B2014" s="109" t="s">
        <v>14819</v>
      </c>
      <c r="C2014" s="109" t="s">
        <v>14819</v>
      </c>
      <c r="D2014" s="109" t="s">
        <v>15406</v>
      </c>
      <c r="E2014" s="109" t="s">
        <v>15406</v>
      </c>
      <c r="F2014" s="109" t="s">
        <v>15407</v>
      </c>
      <c r="G2014" s="110" t="s">
        <v>6248</v>
      </c>
      <c r="H2014" s="110" t="s">
        <v>7504</v>
      </c>
      <c r="I2014" s="110" t="s">
        <v>15408</v>
      </c>
    </row>
    <row r="2015" spans="1:9" ht="37.799999999999997" x14ac:dyDescent="0.3">
      <c r="A2015" s="109" t="s">
        <v>15409</v>
      </c>
      <c r="B2015" s="109" t="s">
        <v>14819</v>
      </c>
      <c r="C2015" s="109" t="s">
        <v>14819</v>
      </c>
      <c r="D2015" s="109" t="s">
        <v>15410</v>
      </c>
      <c r="E2015" s="109" t="s">
        <v>15411</v>
      </c>
      <c r="F2015" s="109" t="s">
        <v>15412</v>
      </c>
      <c r="G2015" s="110" t="s">
        <v>6248</v>
      </c>
      <c r="H2015" s="110" t="s">
        <v>15413</v>
      </c>
      <c r="I2015" s="110" t="s">
        <v>15414</v>
      </c>
    </row>
    <row r="2016" spans="1:9" ht="37.799999999999997" x14ac:dyDescent="0.3">
      <c r="A2016" s="109" t="s">
        <v>15415</v>
      </c>
      <c r="B2016" s="109" t="s">
        <v>14819</v>
      </c>
      <c r="C2016" s="109" t="s">
        <v>14819</v>
      </c>
      <c r="D2016" s="109" t="s">
        <v>15416</v>
      </c>
      <c r="E2016" s="109" t="s">
        <v>15417</v>
      </c>
      <c r="F2016" s="109" t="s">
        <v>15418</v>
      </c>
      <c r="G2016" s="110" t="s">
        <v>6248</v>
      </c>
      <c r="H2016" s="110" t="s">
        <v>15419</v>
      </c>
      <c r="I2016" s="110" t="s">
        <v>15420</v>
      </c>
    </row>
    <row r="2017" spans="1:9" ht="25.2" x14ac:dyDescent="0.3">
      <c r="A2017" s="109" t="s">
        <v>15421</v>
      </c>
      <c r="B2017" s="109" t="s">
        <v>14819</v>
      </c>
      <c r="C2017" s="109" t="s">
        <v>14819</v>
      </c>
      <c r="D2017" s="109" t="s">
        <v>15422</v>
      </c>
      <c r="E2017" s="109" t="s">
        <v>15423</v>
      </c>
      <c r="F2017" s="109" t="s">
        <v>15424</v>
      </c>
      <c r="G2017" s="110" t="s">
        <v>6248</v>
      </c>
      <c r="H2017" s="110" t="s">
        <v>15425</v>
      </c>
      <c r="I2017" s="110" t="s">
        <v>15426</v>
      </c>
    </row>
    <row r="2018" spans="1:9" ht="50.4" x14ac:dyDescent="0.3">
      <c r="A2018" s="109" t="s">
        <v>15427</v>
      </c>
      <c r="B2018" s="109" t="s">
        <v>14819</v>
      </c>
      <c r="C2018" s="109" t="s">
        <v>14819</v>
      </c>
      <c r="D2018" s="109" t="s">
        <v>15428</v>
      </c>
      <c r="E2018" s="109" t="s">
        <v>15428</v>
      </c>
      <c r="F2018" s="109" t="s">
        <v>15429</v>
      </c>
      <c r="G2018" s="110" t="s">
        <v>6248</v>
      </c>
      <c r="H2018" s="110" t="s">
        <v>15430</v>
      </c>
      <c r="I2018" s="110" t="s">
        <v>15431</v>
      </c>
    </row>
    <row r="2019" spans="1:9" ht="25.2" x14ac:dyDescent="0.3">
      <c r="A2019" s="109" t="s">
        <v>15432</v>
      </c>
      <c r="B2019" s="109" t="s">
        <v>14819</v>
      </c>
      <c r="C2019" s="109" t="s">
        <v>14819</v>
      </c>
      <c r="D2019" s="109" t="s">
        <v>15433</v>
      </c>
      <c r="E2019" s="109" t="s">
        <v>5558</v>
      </c>
      <c r="F2019" s="109" t="s">
        <v>15434</v>
      </c>
      <c r="G2019" s="110" t="s">
        <v>6248</v>
      </c>
      <c r="H2019" s="110" t="s">
        <v>6341</v>
      </c>
      <c r="I2019" s="110" t="s">
        <v>15435</v>
      </c>
    </row>
    <row r="2020" spans="1:9" ht="37.799999999999997" x14ac:dyDescent="0.3">
      <c r="A2020" s="109" t="s">
        <v>15436</v>
      </c>
      <c r="B2020" s="109" t="s">
        <v>14819</v>
      </c>
      <c r="C2020" s="109" t="s">
        <v>14819</v>
      </c>
      <c r="D2020" s="109" t="s">
        <v>15437</v>
      </c>
      <c r="E2020" s="109" t="s">
        <v>5558</v>
      </c>
      <c r="F2020" s="109" t="s">
        <v>15438</v>
      </c>
      <c r="G2020" s="110" t="s">
        <v>6248</v>
      </c>
      <c r="H2020" s="110" t="s">
        <v>7094</v>
      </c>
      <c r="I2020" s="110" t="s">
        <v>15439</v>
      </c>
    </row>
    <row r="2021" spans="1:9" ht="37.799999999999997" x14ac:dyDescent="0.3">
      <c r="A2021" s="109" t="s">
        <v>15440</v>
      </c>
      <c r="B2021" s="109" t="s">
        <v>14819</v>
      </c>
      <c r="C2021" s="109" t="s">
        <v>14819</v>
      </c>
      <c r="D2021" s="109" t="s">
        <v>15441</v>
      </c>
      <c r="E2021" s="109" t="s">
        <v>5558</v>
      </c>
      <c r="F2021" s="109" t="s">
        <v>15442</v>
      </c>
      <c r="G2021" s="110" t="s">
        <v>6248</v>
      </c>
      <c r="H2021" s="110" t="s">
        <v>15443</v>
      </c>
      <c r="I2021" s="110" t="s">
        <v>15444</v>
      </c>
    </row>
    <row r="2022" spans="1:9" ht="25.2" x14ac:dyDescent="0.3">
      <c r="A2022" s="109" t="s">
        <v>15445</v>
      </c>
      <c r="B2022" s="109" t="s">
        <v>14819</v>
      </c>
      <c r="C2022" s="109" t="s">
        <v>14819</v>
      </c>
      <c r="D2022" s="109" t="s">
        <v>5569</v>
      </c>
      <c r="E2022" s="109" t="s">
        <v>5558</v>
      </c>
      <c r="F2022" s="109" t="s">
        <v>2258</v>
      </c>
      <c r="G2022" s="110" t="s">
        <v>6248</v>
      </c>
      <c r="H2022" s="110" t="s">
        <v>15446</v>
      </c>
      <c r="I2022" s="110" t="s">
        <v>15447</v>
      </c>
    </row>
    <row r="2023" spans="1:9" ht="25.2" x14ac:dyDescent="0.3">
      <c r="A2023" s="109" t="s">
        <v>15448</v>
      </c>
      <c r="B2023" s="109" t="s">
        <v>14819</v>
      </c>
      <c r="C2023" s="109" t="s">
        <v>14819</v>
      </c>
      <c r="D2023" s="109" t="s">
        <v>5569</v>
      </c>
      <c r="E2023" s="109" t="s">
        <v>5558</v>
      </c>
      <c r="F2023" s="109" t="s">
        <v>2258</v>
      </c>
      <c r="G2023" s="110" t="s">
        <v>6248</v>
      </c>
      <c r="H2023" s="110" t="s">
        <v>15449</v>
      </c>
      <c r="I2023" s="110" t="s">
        <v>15450</v>
      </c>
    </row>
    <row r="2024" spans="1:9" ht="25.2" x14ac:dyDescent="0.3">
      <c r="A2024" s="109" t="s">
        <v>15451</v>
      </c>
      <c r="B2024" s="109" t="s">
        <v>14819</v>
      </c>
      <c r="C2024" s="109" t="s">
        <v>14819</v>
      </c>
      <c r="D2024" s="109" t="s">
        <v>15452</v>
      </c>
      <c r="E2024" s="109" t="s">
        <v>15453</v>
      </c>
      <c r="F2024" s="109" t="s">
        <v>15328</v>
      </c>
      <c r="G2024" s="110" t="s">
        <v>6248</v>
      </c>
      <c r="H2024" s="110" t="s">
        <v>15454</v>
      </c>
      <c r="I2024" s="110" t="s">
        <v>15455</v>
      </c>
    </row>
    <row r="2025" spans="1:9" ht="25.2" x14ac:dyDescent="0.3">
      <c r="A2025" s="109" t="s">
        <v>15456</v>
      </c>
      <c r="B2025" s="109" t="s">
        <v>14819</v>
      </c>
      <c r="C2025" s="109" t="s">
        <v>14819</v>
      </c>
      <c r="D2025" s="109" t="s">
        <v>15457</v>
      </c>
      <c r="E2025" s="109" t="s">
        <v>5558</v>
      </c>
      <c r="F2025" s="109" t="s">
        <v>15458</v>
      </c>
      <c r="G2025" s="110" t="s">
        <v>6248</v>
      </c>
      <c r="H2025" s="110" t="s">
        <v>15459</v>
      </c>
      <c r="I2025" s="110" t="s">
        <v>15460</v>
      </c>
    </row>
    <row r="2026" spans="1:9" ht="25.2" x14ac:dyDescent="0.3">
      <c r="A2026" s="109" t="s">
        <v>15461</v>
      </c>
      <c r="B2026" s="109" t="s">
        <v>14819</v>
      </c>
      <c r="C2026" s="109" t="s">
        <v>14819</v>
      </c>
      <c r="D2026" s="109" t="s">
        <v>15462</v>
      </c>
      <c r="E2026" s="109" t="s">
        <v>5558</v>
      </c>
      <c r="F2026" s="109" t="s">
        <v>15463</v>
      </c>
      <c r="G2026" s="110" t="s">
        <v>6248</v>
      </c>
      <c r="H2026" s="110" t="s">
        <v>15464</v>
      </c>
      <c r="I2026" s="110" t="s">
        <v>15465</v>
      </c>
    </row>
    <row r="2027" spans="1:9" ht="25.2" x14ac:dyDescent="0.3">
      <c r="A2027" s="109" t="s">
        <v>15466</v>
      </c>
      <c r="B2027" s="109" t="s">
        <v>14819</v>
      </c>
      <c r="C2027" s="109" t="s">
        <v>14819</v>
      </c>
      <c r="D2027" s="109" t="s">
        <v>15467</v>
      </c>
      <c r="E2027" s="109" t="s">
        <v>6713</v>
      </c>
      <c r="F2027" s="109" t="s">
        <v>8158</v>
      </c>
      <c r="G2027" s="110" t="s">
        <v>6248</v>
      </c>
      <c r="H2027" s="110" t="s">
        <v>15468</v>
      </c>
      <c r="I2027" s="110" t="s">
        <v>15469</v>
      </c>
    </row>
    <row r="2028" spans="1:9" ht="37.799999999999997" x14ac:dyDescent="0.3">
      <c r="A2028" s="109" t="s">
        <v>15470</v>
      </c>
      <c r="B2028" s="109" t="s">
        <v>14819</v>
      </c>
      <c r="C2028" s="109" t="s">
        <v>14819</v>
      </c>
      <c r="D2028" s="109" t="s">
        <v>15471</v>
      </c>
      <c r="E2028" s="109" t="s">
        <v>5558</v>
      </c>
      <c r="F2028" s="109" t="s">
        <v>15472</v>
      </c>
      <c r="G2028" s="110" t="s">
        <v>6248</v>
      </c>
      <c r="H2028" s="110" t="s">
        <v>6689</v>
      </c>
      <c r="I2028" s="110" t="s">
        <v>15473</v>
      </c>
    </row>
    <row r="2029" spans="1:9" ht="37.799999999999997" x14ac:dyDescent="0.3">
      <c r="A2029" s="109" t="s">
        <v>15474</v>
      </c>
      <c r="B2029" s="109" t="s">
        <v>14819</v>
      </c>
      <c r="C2029" s="109" t="s">
        <v>14819</v>
      </c>
      <c r="D2029" s="109" t="s">
        <v>15475</v>
      </c>
      <c r="E2029" s="109" t="s">
        <v>5558</v>
      </c>
      <c r="F2029" s="109" t="s">
        <v>15476</v>
      </c>
      <c r="G2029" s="110" t="s">
        <v>6248</v>
      </c>
      <c r="H2029" s="110" t="s">
        <v>6689</v>
      </c>
      <c r="I2029" s="110" t="s">
        <v>15477</v>
      </c>
    </row>
    <row r="2030" spans="1:9" ht="25.2" x14ac:dyDescent="0.3">
      <c r="A2030" s="109" t="s">
        <v>15478</v>
      </c>
      <c r="B2030" s="109" t="s">
        <v>14819</v>
      </c>
      <c r="C2030" s="109" t="s">
        <v>14819</v>
      </c>
      <c r="D2030" s="109" t="s">
        <v>15479</v>
      </c>
      <c r="E2030" s="109" t="s">
        <v>5558</v>
      </c>
      <c r="F2030" s="109" t="s">
        <v>15480</v>
      </c>
      <c r="G2030" s="110" t="s">
        <v>6248</v>
      </c>
      <c r="H2030" s="110" t="s">
        <v>15481</v>
      </c>
      <c r="I2030" s="110" t="s">
        <v>15482</v>
      </c>
    </row>
    <row r="2031" spans="1:9" ht="25.2" x14ac:dyDescent="0.3">
      <c r="A2031" s="109" t="s">
        <v>15483</v>
      </c>
      <c r="B2031" s="109" t="s">
        <v>14819</v>
      </c>
      <c r="C2031" s="109" t="s">
        <v>14819</v>
      </c>
      <c r="D2031" s="109" t="s">
        <v>15484</v>
      </c>
      <c r="E2031" s="109" t="s">
        <v>15485</v>
      </c>
      <c r="F2031" s="109" t="s">
        <v>15486</v>
      </c>
      <c r="G2031" s="110" t="s">
        <v>6248</v>
      </c>
      <c r="H2031" s="110" t="s">
        <v>15487</v>
      </c>
      <c r="I2031" s="110" t="s">
        <v>15488</v>
      </c>
    </row>
    <row r="2032" spans="1:9" ht="37.799999999999997" x14ac:dyDescent="0.3">
      <c r="A2032" s="109" t="s">
        <v>15489</v>
      </c>
      <c r="B2032" s="109" t="s">
        <v>14819</v>
      </c>
      <c r="C2032" s="109" t="s">
        <v>14819</v>
      </c>
      <c r="D2032" s="109" t="s">
        <v>15490</v>
      </c>
      <c r="E2032" s="109" t="s">
        <v>5558</v>
      </c>
      <c r="F2032" s="109" t="s">
        <v>15491</v>
      </c>
      <c r="G2032" s="110" t="s">
        <v>6248</v>
      </c>
      <c r="H2032" s="110" t="s">
        <v>15492</v>
      </c>
      <c r="I2032" s="110" t="s">
        <v>15493</v>
      </c>
    </row>
    <row r="2033" spans="1:9" ht="37.799999999999997" x14ac:dyDescent="0.3">
      <c r="A2033" s="109" t="s">
        <v>15494</v>
      </c>
      <c r="B2033" s="109" t="s">
        <v>14819</v>
      </c>
      <c r="C2033" s="109" t="s">
        <v>14819</v>
      </c>
      <c r="D2033" s="109" t="s">
        <v>15495</v>
      </c>
      <c r="E2033" s="109" t="s">
        <v>5558</v>
      </c>
      <c r="F2033" s="109" t="s">
        <v>15496</v>
      </c>
      <c r="G2033" s="110" t="s">
        <v>6248</v>
      </c>
      <c r="H2033" s="110" t="s">
        <v>15497</v>
      </c>
      <c r="I2033" s="110" t="s">
        <v>15498</v>
      </c>
    </row>
    <row r="2034" spans="1:9" ht="37.799999999999997" x14ac:dyDescent="0.3">
      <c r="A2034" s="109" t="s">
        <v>15499</v>
      </c>
      <c r="B2034" s="109" t="s">
        <v>14819</v>
      </c>
      <c r="C2034" s="109" t="s">
        <v>14819</v>
      </c>
      <c r="D2034" s="109" t="s">
        <v>15500</v>
      </c>
      <c r="E2034" s="109" t="s">
        <v>5558</v>
      </c>
      <c r="F2034" s="109" t="s">
        <v>15501</v>
      </c>
      <c r="G2034" s="110" t="s">
        <v>6248</v>
      </c>
      <c r="H2034" s="110" t="s">
        <v>15497</v>
      </c>
      <c r="I2034" s="110" t="s">
        <v>15502</v>
      </c>
    </row>
    <row r="2035" spans="1:9" ht="25.2" x14ac:dyDescent="0.3">
      <c r="A2035" s="109" t="s">
        <v>15503</v>
      </c>
      <c r="B2035" s="109" t="s">
        <v>15504</v>
      </c>
      <c r="C2035" s="109" t="s">
        <v>14819</v>
      </c>
      <c r="D2035" s="109" t="s">
        <v>15505</v>
      </c>
      <c r="E2035" s="109" t="s">
        <v>5558</v>
      </c>
      <c r="F2035" s="109" t="s">
        <v>15506</v>
      </c>
      <c r="G2035" s="110" t="s">
        <v>6248</v>
      </c>
      <c r="H2035" s="110" t="s">
        <v>10198</v>
      </c>
      <c r="I2035" s="110" t="s">
        <v>15507</v>
      </c>
    </row>
    <row r="2036" spans="1:9" ht="37.799999999999997" x14ac:dyDescent="0.3">
      <c r="A2036" s="109" t="s">
        <v>15508</v>
      </c>
      <c r="B2036" s="109" t="s">
        <v>15504</v>
      </c>
      <c r="C2036" s="109" t="s">
        <v>14819</v>
      </c>
      <c r="D2036" s="109" t="s">
        <v>15509</v>
      </c>
      <c r="E2036" s="109" t="s">
        <v>5558</v>
      </c>
      <c r="F2036" s="109" t="s">
        <v>15510</v>
      </c>
      <c r="G2036" s="110" t="s">
        <v>6248</v>
      </c>
      <c r="H2036" s="110" t="s">
        <v>8746</v>
      </c>
      <c r="I2036" s="110" t="s">
        <v>15511</v>
      </c>
    </row>
    <row r="2037" spans="1:9" ht="25.2" x14ac:dyDescent="0.3">
      <c r="A2037" s="109" t="s">
        <v>15512</v>
      </c>
      <c r="B2037" s="109" t="s">
        <v>15504</v>
      </c>
      <c r="C2037" s="109" t="s">
        <v>15504</v>
      </c>
      <c r="D2037" s="109" t="s">
        <v>15513</v>
      </c>
      <c r="E2037" s="109" t="s">
        <v>5558</v>
      </c>
      <c r="F2037" s="109" t="s">
        <v>15514</v>
      </c>
      <c r="G2037" s="110" t="s">
        <v>6248</v>
      </c>
      <c r="H2037" s="110" t="s">
        <v>7062</v>
      </c>
      <c r="I2037" s="110" t="s">
        <v>15515</v>
      </c>
    </row>
    <row r="2038" spans="1:9" ht="37.799999999999997" x14ac:dyDescent="0.3">
      <c r="A2038" s="109" t="s">
        <v>15516</v>
      </c>
      <c r="B2038" s="109" t="s">
        <v>15504</v>
      </c>
      <c r="C2038" s="109" t="s">
        <v>15504</v>
      </c>
      <c r="D2038" s="109" t="s">
        <v>15517</v>
      </c>
      <c r="E2038" s="109" t="s">
        <v>5558</v>
      </c>
      <c r="F2038" s="109" t="s">
        <v>15518</v>
      </c>
      <c r="G2038" s="110" t="s">
        <v>6248</v>
      </c>
      <c r="H2038" s="110" t="s">
        <v>15519</v>
      </c>
      <c r="I2038" s="110" t="s">
        <v>15520</v>
      </c>
    </row>
    <row r="2039" spans="1:9" ht="25.2" x14ac:dyDescent="0.3">
      <c r="A2039" s="109" t="s">
        <v>15521</v>
      </c>
      <c r="B2039" s="109" t="s">
        <v>15504</v>
      </c>
      <c r="C2039" s="109" t="s">
        <v>15504</v>
      </c>
      <c r="D2039" s="109" t="s">
        <v>15522</v>
      </c>
      <c r="E2039" s="109" t="s">
        <v>5558</v>
      </c>
      <c r="F2039" s="109" t="s">
        <v>15523</v>
      </c>
      <c r="G2039" s="110" t="s">
        <v>6248</v>
      </c>
      <c r="H2039" s="110" t="s">
        <v>15524</v>
      </c>
      <c r="I2039" s="110" t="s">
        <v>15525</v>
      </c>
    </row>
    <row r="2040" spans="1:9" ht="25.2" x14ac:dyDescent="0.3">
      <c r="A2040" s="109" t="s">
        <v>15526</v>
      </c>
      <c r="B2040" s="109" t="s">
        <v>15504</v>
      </c>
      <c r="C2040" s="109" t="s">
        <v>15504</v>
      </c>
      <c r="D2040" s="109" t="s">
        <v>15527</v>
      </c>
      <c r="E2040" s="109" t="s">
        <v>5558</v>
      </c>
      <c r="F2040" s="109" t="s">
        <v>15528</v>
      </c>
      <c r="G2040" s="110" t="s">
        <v>6248</v>
      </c>
      <c r="H2040" s="110" t="s">
        <v>15529</v>
      </c>
      <c r="I2040" s="110" t="s">
        <v>15530</v>
      </c>
    </row>
    <row r="2041" spans="1:9" ht="37.799999999999997" x14ac:dyDescent="0.3">
      <c r="A2041" s="109" t="s">
        <v>15531</v>
      </c>
      <c r="B2041" s="109" t="s">
        <v>15504</v>
      </c>
      <c r="C2041" s="109" t="s">
        <v>15504</v>
      </c>
      <c r="D2041" s="109" t="s">
        <v>15532</v>
      </c>
      <c r="E2041" s="109" t="s">
        <v>5558</v>
      </c>
      <c r="F2041" s="109" t="s">
        <v>15533</v>
      </c>
      <c r="G2041" s="110" t="s">
        <v>6248</v>
      </c>
      <c r="H2041" s="110" t="s">
        <v>15534</v>
      </c>
      <c r="I2041" s="110" t="s">
        <v>15535</v>
      </c>
    </row>
    <row r="2042" spans="1:9" ht="25.2" x14ac:dyDescent="0.3">
      <c r="A2042" s="109" t="s">
        <v>15536</v>
      </c>
      <c r="B2042" s="109" t="s">
        <v>15504</v>
      </c>
      <c r="C2042" s="109" t="s">
        <v>15504</v>
      </c>
      <c r="D2042" s="109" t="s">
        <v>15537</v>
      </c>
      <c r="E2042" s="109" t="s">
        <v>5558</v>
      </c>
      <c r="F2042" s="109" t="s">
        <v>15538</v>
      </c>
      <c r="G2042" s="110" t="s">
        <v>6248</v>
      </c>
      <c r="H2042" s="110" t="s">
        <v>15539</v>
      </c>
      <c r="I2042" s="110" t="s">
        <v>15540</v>
      </c>
    </row>
    <row r="2043" spans="1:9" ht="25.2" x14ac:dyDescent="0.3">
      <c r="A2043" s="109" t="s">
        <v>15541</v>
      </c>
      <c r="B2043" s="109" t="s">
        <v>15504</v>
      </c>
      <c r="C2043" s="109" t="s">
        <v>15504</v>
      </c>
      <c r="D2043" s="109" t="s">
        <v>15542</v>
      </c>
      <c r="E2043" s="109" t="s">
        <v>5558</v>
      </c>
      <c r="F2043" s="109" t="s">
        <v>15543</v>
      </c>
      <c r="G2043" s="110" t="s">
        <v>6248</v>
      </c>
      <c r="H2043" s="110" t="s">
        <v>15544</v>
      </c>
      <c r="I2043" s="110" t="s">
        <v>15545</v>
      </c>
    </row>
    <row r="2044" spans="1:9" ht="37.799999999999997" x14ac:dyDescent="0.3">
      <c r="A2044" s="109" t="s">
        <v>15546</v>
      </c>
      <c r="B2044" s="109" t="s">
        <v>15504</v>
      </c>
      <c r="C2044" s="109" t="s">
        <v>15504</v>
      </c>
      <c r="D2044" s="109" t="s">
        <v>15547</v>
      </c>
      <c r="E2044" s="109" t="s">
        <v>5558</v>
      </c>
      <c r="F2044" s="109" t="s">
        <v>15548</v>
      </c>
      <c r="G2044" s="110" t="s">
        <v>6248</v>
      </c>
      <c r="H2044" s="110" t="s">
        <v>15549</v>
      </c>
      <c r="I2044" s="110" t="s">
        <v>15550</v>
      </c>
    </row>
    <row r="2045" spans="1:9" ht="25.2" x14ac:dyDescent="0.3">
      <c r="A2045" s="109" t="s">
        <v>15551</v>
      </c>
      <c r="B2045" s="109" t="s">
        <v>15504</v>
      </c>
      <c r="C2045" s="109" t="s">
        <v>15504</v>
      </c>
      <c r="D2045" s="109" t="s">
        <v>15552</v>
      </c>
      <c r="E2045" s="109" t="s">
        <v>5558</v>
      </c>
      <c r="F2045" s="109" t="s">
        <v>2446</v>
      </c>
      <c r="G2045" s="110" t="s">
        <v>6248</v>
      </c>
      <c r="H2045" s="110" t="s">
        <v>6689</v>
      </c>
      <c r="I2045" s="110" t="s">
        <v>15553</v>
      </c>
    </row>
    <row r="2046" spans="1:9" ht="25.2" x14ac:dyDescent="0.3">
      <c r="A2046" s="109" t="s">
        <v>15554</v>
      </c>
      <c r="B2046" s="109" t="s">
        <v>15504</v>
      </c>
      <c r="C2046" s="109" t="s">
        <v>15504</v>
      </c>
      <c r="D2046" s="109" t="s">
        <v>15555</v>
      </c>
      <c r="E2046" s="109" t="s">
        <v>5558</v>
      </c>
      <c r="F2046" s="109" t="s">
        <v>2447</v>
      </c>
      <c r="G2046" s="110" t="s">
        <v>6248</v>
      </c>
      <c r="H2046" s="110" t="s">
        <v>6689</v>
      </c>
      <c r="I2046" s="110" t="s">
        <v>15556</v>
      </c>
    </row>
    <row r="2047" spans="1:9" ht="37.799999999999997" x14ac:dyDescent="0.3">
      <c r="A2047" s="109" t="s">
        <v>15557</v>
      </c>
      <c r="B2047" s="109" t="s">
        <v>15504</v>
      </c>
      <c r="C2047" s="109" t="s">
        <v>15504</v>
      </c>
      <c r="D2047" s="109" t="s">
        <v>15558</v>
      </c>
      <c r="E2047" s="109" t="s">
        <v>5558</v>
      </c>
      <c r="F2047" s="109" t="s">
        <v>15559</v>
      </c>
      <c r="G2047" s="110" t="s">
        <v>6248</v>
      </c>
      <c r="H2047" s="110" t="s">
        <v>9178</v>
      </c>
      <c r="I2047" s="110" t="s">
        <v>15560</v>
      </c>
    </row>
    <row r="2048" spans="1:9" ht="37.799999999999997" x14ac:dyDescent="0.3">
      <c r="A2048" s="109" t="s">
        <v>15561</v>
      </c>
      <c r="B2048" s="109" t="s">
        <v>15504</v>
      </c>
      <c r="C2048" s="109" t="s">
        <v>15504</v>
      </c>
      <c r="D2048" s="109" t="s">
        <v>15562</v>
      </c>
      <c r="E2048" s="109" t="s">
        <v>5558</v>
      </c>
      <c r="F2048" s="109" t="s">
        <v>15563</v>
      </c>
      <c r="G2048" s="110" t="s">
        <v>6248</v>
      </c>
      <c r="H2048" s="110" t="s">
        <v>15564</v>
      </c>
      <c r="I2048" s="110" t="s">
        <v>15565</v>
      </c>
    </row>
    <row r="2049" spans="1:9" ht="25.2" x14ac:dyDescent="0.3">
      <c r="A2049" s="109" t="s">
        <v>15566</v>
      </c>
      <c r="B2049" s="109" t="s">
        <v>15504</v>
      </c>
      <c r="C2049" s="109" t="s">
        <v>15504</v>
      </c>
      <c r="D2049" s="109" t="s">
        <v>15567</v>
      </c>
      <c r="E2049" s="109" t="s">
        <v>5558</v>
      </c>
      <c r="F2049" s="109" t="s">
        <v>15568</v>
      </c>
      <c r="G2049" s="110" t="s">
        <v>6248</v>
      </c>
      <c r="H2049" s="110" t="s">
        <v>15569</v>
      </c>
      <c r="I2049" s="110" t="s">
        <v>15570</v>
      </c>
    </row>
    <row r="2050" spans="1:9" ht="25.2" x14ac:dyDescent="0.3">
      <c r="A2050" s="109" t="s">
        <v>15571</v>
      </c>
      <c r="B2050" s="109" t="s">
        <v>15504</v>
      </c>
      <c r="C2050" s="109" t="s">
        <v>15504</v>
      </c>
      <c r="D2050" s="109" t="s">
        <v>15572</v>
      </c>
      <c r="E2050" s="109" t="s">
        <v>5558</v>
      </c>
      <c r="F2050" s="109" t="s">
        <v>15573</v>
      </c>
      <c r="G2050" s="110" t="s">
        <v>6248</v>
      </c>
      <c r="H2050" s="110" t="s">
        <v>15574</v>
      </c>
      <c r="I2050" s="110" t="s">
        <v>15575</v>
      </c>
    </row>
    <row r="2051" spans="1:9" ht="25.2" x14ac:dyDescent="0.3">
      <c r="A2051" s="109" t="s">
        <v>15576</v>
      </c>
      <c r="B2051" s="109" t="s">
        <v>15504</v>
      </c>
      <c r="C2051" s="109" t="s">
        <v>15504</v>
      </c>
      <c r="D2051" s="109" t="s">
        <v>15577</v>
      </c>
      <c r="E2051" s="109" t="s">
        <v>5558</v>
      </c>
      <c r="F2051" s="109" t="s">
        <v>15578</v>
      </c>
      <c r="G2051" s="110" t="s">
        <v>6248</v>
      </c>
      <c r="H2051" s="110" t="s">
        <v>15579</v>
      </c>
      <c r="I2051" s="110" t="s">
        <v>15580</v>
      </c>
    </row>
    <row r="2052" spans="1:9" ht="25.2" x14ac:dyDescent="0.3">
      <c r="A2052" s="109" t="s">
        <v>15581</v>
      </c>
      <c r="B2052" s="109" t="s">
        <v>15504</v>
      </c>
      <c r="C2052" s="109" t="s">
        <v>15504</v>
      </c>
      <c r="D2052" s="109" t="s">
        <v>15582</v>
      </c>
      <c r="E2052" s="109" t="s">
        <v>5558</v>
      </c>
      <c r="F2052" s="109" t="s">
        <v>15583</v>
      </c>
      <c r="G2052" s="110" t="s">
        <v>6248</v>
      </c>
      <c r="H2052" s="110" t="s">
        <v>15584</v>
      </c>
      <c r="I2052" s="110" t="s">
        <v>15585</v>
      </c>
    </row>
    <row r="2053" spans="1:9" ht="37.799999999999997" x14ac:dyDescent="0.3">
      <c r="A2053" s="109" t="s">
        <v>15586</v>
      </c>
      <c r="B2053" s="109" t="s">
        <v>15504</v>
      </c>
      <c r="C2053" s="109" t="s">
        <v>15504</v>
      </c>
      <c r="D2053" s="109" t="s">
        <v>15587</v>
      </c>
      <c r="E2053" s="109" t="s">
        <v>5558</v>
      </c>
      <c r="F2053" s="109" t="s">
        <v>15588</v>
      </c>
      <c r="G2053" s="110" t="s">
        <v>6248</v>
      </c>
      <c r="H2053" s="110" t="s">
        <v>11384</v>
      </c>
      <c r="I2053" s="110" t="s">
        <v>15589</v>
      </c>
    </row>
    <row r="2054" spans="1:9" ht="37.799999999999997" x14ac:dyDescent="0.3">
      <c r="A2054" s="109" t="s">
        <v>15590</v>
      </c>
      <c r="B2054" s="109" t="s">
        <v>15504</v>
      </c>
      <c r="C2054" s="109" t="s">
        <v>15504</v>
      </c>
      <c r="D2054" s="109" t="s">
        <v>15591</v>
      </c>
      <c r="E2054" s="109" t="s">
        <v>5558</v>
      </c>
      <c r="F2054" s="109" t="s">
        <v>15592</v>
      </c>
      <c r="G2054" s="110" t="s">
        <v>6248</v>
      </c>
      <c r="H2054" s="110" t="s">
        <v>15593</v>
      </c>
      <c r="I2054" s="110" t="s">
        <v>15594</v>
      </c>
    </row>
    <row r="2055" spans="1:9" ht="25.2" x14ac:dyDescent="0.3">
      <c r="A2055" s="109" t="s">
        <v>15595</v>
      </c>
      <c r="B2055" s="109" t="s">
        <v>15504</v>
      </c>
      <c r="C2055" s="109" t="s">
        <v>15504</v>
      </c>
      <c r="D2055" s="109" t="s">
        <v>15596</v>
      </c>
      <c r="E2055" s="109" t="s">
        <v>5558</v>
      </c>
      <c r="F2055" s="109" t="s">
        <v>15597</v>
      </c>
      <c r="G2055" s="110" t="s">
        <v>6248</v>
      </c>
      <c r="H2055" s="110" t="s">
        <v>15598</v>
      </c>
      <c r="I2055" s="110" t="s">
        <v>15599</v>
      </c>
    </row>
    <row r="2056" spans="1:9" ht="37.799999999999997" x14ac:dyDescent="0.3">
      <c r="A2056" s="109" t="s">
        <v>15600</v>
      </c>
      <c r="B2056" s="109" t="s">
        <v>15504</v>
      </c>
      <c r="C2056" s="109" t="s">
        <v>15504</v>
      </c>
      <c r="D2056" s="109" t="s">
        <v>15601</v>
      </c>
      <c r="E2056" s="109" t="s">
        <v>15602</v>
      </c>
      <c r="F2056" s="109" t="s">
        <v>15603</v>
      </c>
      <c r="G2056" s="110" t="s">
        <v>6248</v>
      </c>
      <c r="H2056" s="110" t="s">
        <v>15604</v>
      </c>
      <c r="I2056" s="110" t="s">
        <v>15605</v>
      </c>
    </row>
    <row r="2057" spans="1:9" ht="25.2" x14ac:dyDescent="0.3">
      <c r="A2057" s="109" t="s">
        <v>15606</v>
      </c>
      <c r="B2057" s="109" t="s">
        <v>15504</v>
      </c>
      <c r="C2057" s="109" t="s">
        <v>15504</v>
      </c>
      <c r="D2057" s="109" t="s">
        <v>15607</v>
      </c>
      <c r="E2057" s="109" t="s">
        <v>5558</v>
      </c>
      <c r="F2057" s="109" t="s">
        <v>15608</v>
      </c>
      <c r="G2057" s="110" t="s">
        <v>6248</v>
      </c>
      <c r="H2057" s="110" t="s">
        <v>15609</v>
      </c>
      <c r="I2057" s="110" t="s">
        <v>15610</v>
      </c>
    </row>
    <row r="2058" spans="1:9" ht="25.2" x14ac:dyDescent="0.3">
      <c r="A2058" s="109" t="s">
        <v>15611</v>
      </c>
      <c r="B2058" s="109" t="s">
        <v>15504</v>
      </c>
      <c r="C2058" s="109" t="s">
        <v>15504</v>
      </c>
      <c r="D2058" s="109" t="s">
        <v>15612</v>
      </c>
      <c r="E2058" s="109" t="s">
        <v>5558</v>
      </c>
      <c r="F2058" s="109" t="s">
        <v>15613</v>
      </c>
      <c r="G2058" s="110" t="s">
        <v>6248</v>
      </c>
      <c r="H2058" s="110" t="s">
        <v>9945</v>
      </c>
      <c r="I2058" s="110" t="s">
        <v>15614</v>
      </c>
    </row>
    <row r="2059" spans="1:9" ht="25.2" x14ac:dyDescent="0.3">
      <c r="A2059" s="109" t="s">
        <v>15615</v>
      </c>
      <c r="B2059" s="109" t="s">
        <v>15504</v>
      </c>
      <c r="C2059" s="109" t="s">
        <v>15504</v>
      </c>
      <c r="D2059" s="109" t="s">
        <v>15616</v>
      </c>
      <c r="E2059" s="109" t="s">
        <v>5558</v>
      </c>
      <c r="F2059" s="109" t="s">
        <v>15617</v>
      </c>
      <c r="G2059" s="110" t="s">
        <v>6248</v>
      </c>
      <c r="H2059" s="110" t="s">
        <v>7221</v>
      </c>
      <c r="I2059" s="110" t="s">
        <v>15618</v>
      </c>
    </row>
    <row r="2060" spans="1:9" ht="25.2" x14ac:dyDescent="0.3">
      <c r="A2060" s="109" t="s">
        <v>15619</v>
      </c>
      <c r="B2060" s="109" t="s">
        <v>15504</v>
      </c>
      <c r="C2060" s="109" t="s">
        <v>15504</v>
      </c>
      <c r="D2060" s="109" t="s">
        <v>15620</v>
      </c>
      <c r="E2060" s="109" t="s">
        <v>15621</v>
      </c>
      <c r="F2060" s="109" t="s">
        <v>15622</v>
      </c>
      <c r="G2060" s="110" t="s">
        <v>6248</v>
      </c>
      <c r="H2060" s="110" t="s">
        <v>15623</v>
      </c>
      <c r="I2060" s="110" t="s">
        <v>15624</v>
      </c>
    </row>
    <row r="2061" spans="1:9" ht="25.2" x14ac:dyDescent="0.3">
      <c r="A2061" s="109" t="s">
        <v>15625</v>
      </c>
      <c r="B2061" s="109" t="s">
        <v>15504</v>
      </c>
      <c r="C2061" s="109" t="s">
        <v>15504</v>
      </c>
      <c r="D2061" s="109" t="s">
        <v>15626</v>
      </c>
      <c r="E2061" s="109" t="s">
        <v>5558</v>
      </c>
      <c r="F2061" s="109" t="s">
        <v>15627</v>
      </c>
      <c r="G2061" s="110" t="s">
        <v>6248</v>
      </c>
      <c r="H2061" s="110" t="s">
        <v>9199</v>
      </c>
      <c r="I2061" s="110" t="s">
        <v>15628</v>
      </c>
    </row>
    <row r="2062" spans="1:9" ht="37.799999999999997" x14ac:dyDescent="0.3">
      <c r="A2062" s="109" t="s">
        <v>15629</v>
      </c>
      <c r="B2062" s="109" t="s">
        <v>15630</v>
      </c>
      <c r="C2062" s="109" t="s">
        <v>15504</v>
      </c>
      <c r="D2062" s="109" t="s">
        <v>15631</v>
      </c>
      <c r="E2062" s="109" t="s">
        <v>5558</v>
      </c>
      <c r="F2062" s="109" t="s">
        <v>15632</v>
      </c>
      <c r="G2062" s="110" t="s">
        <v>6248</v>
      </c>
      <c r="H2062" s="110" t="s">
        <v>15633</v>
      </c>
      <c r="I2062" s="110" t="s">
        <v>15634</v>
      </c>
    </row>
    <row r="2063" spans="1:9" ht="25.2" x14ac:dyDescent="0.3">
      <c r="A2063" s="109" t="s">
        <v>15635</v>
      </c>
      <c r="B2063" s="109" t="s">
        <v>15630</v>
      </c>
      <c r="C2063" s="109" t="s">
        <v>15504</v>
      </c>
      <c r="D2063" s="109" t="s">
        <v>15636</v>
      </c>
      <c r="E2063" s="109" t="s">
        <v>15637</v>
      </c>
      <c r="F2063" s="109" t="s">
        <v>15638</v>
      </c>
      <c r="G2063" s="110" t="s">
        <v>6248</v>
      </c>
      <c r="H2063" s="110" t="s">
        <v>15639</v>
      </c>
      <c r="I2063" s="110" t="s">
        <v>15640</v>
      </c>
    </row>
    <row r="2064" spans="1:9" ht="25.2" x14ac:dyDescent="0.3">
      <c r="A2064" s="109" t="s">
        <v>15641</v>
      </c>
      <c r="B2064" s="109" t="s">
        <v>15630</v>
      </c>
      <c r="C2064" s="109" t="s">
        <v>15630</v>
      </c>
      <c r="D2064" s="109" t="s">
        <v>15642</v>
      </c>
      <c r="E2064" s="109" t="s">
        <v>5558</v>
      </c>
      <c r="F2064" s="109" t="s">
        <v>15643</v>
      </c>
      <c r="G2064" s="110" t="s">
        <v>6248</v>
      </c>
      <c r="H2064" s="110" t="s">
        <v>8910</v>
      </c>
      <c r="I2064" s="110" t="s">
        <v>15644</v>
      </c>
    </row>
    <row r="2065" spans="1:9" ht="25.2" x14ac:dyDescent="0.3">
      <c r="A2065" s="109" t="s">
        <v>15645</v>
      </c>
      <c r="B2065" s="109" t="s">
        <v>15630</v>
      </c>
      <c r="C2065" s="109" t="s">
        <v>15630</v>
      </c>
      <c r="D2065" s="109" t="s">
        <v>15646</v>
      </c>
      <c r="E2065" s="109" t="s">
        <v>5558</v>
      </c>
      <c r="F2065" s="109" t="s">
        <v>15647</v>
      </c>
      <c r="G2065" s="110" t="s">
        <v>6248</v>
      </c>
      <c r="H2065" s="110" t="s">
        <v>7504</v>
      </c>
      <c r="I2065" s="110" t="s">
        <v>15648</v>
      </c>
    </row>
    <row r="2066" spans="1:9" ht="37.799999999999997" x14ac:dyDescent="0.3">
      <c r="A2066" s="109" t="s">
        <v>15649</v>
      </c>
      <c r="B2066" s="109" t="s">
        <v>15630</v>
      </c>
      <c r="C2066" s="109" t="s">
        <v>15630</v>
      </c>
      <c r="D2066" s="109" t="s">
        <v>15650</v>
      </c>
      <c r="E2066" s="109" t="s">
        <v>5558</v>
      </c>
      <c r="F2066" s="109" t="s">
        <v>15651</v>
      </c>
      <c r="G2066" s="110" t="s">
        <v>6248</v>
      </c>
      <c r="H2066" s="110" t="s">
        <v>7062</v>
      </c>
      <c r="I2066" s="110" t="s">
        <v>15652</v>
      </c>
    </row>
    <row r="2067" spans="1:9" ht="25.2" x14ac:dyDescent="0.3">
      <c r="A2067" s="109" t="s">
        <v>15653</v>
      </c>
      <c r="B2067" s="109" t="s">
        <v>15630</v>
      </c>
      <c r="C2067" s="109" t="s">
        <v>15630</v>
      </c>
      <c r="D2067" s="109" t="s">
        <v>15654</v>
      </c>
      <c r="E2067" s="109" t="s">
        <v>15655</v>
      </c>
      <c r="F2067" s="109" t="s">
        <v>15656</v>
      </c>
      <c r="G2067" s="110" t="s">
        <v>6248</v>
      </c>
      <c r="H2067" s="110" t="s">
        <v>15657</v>
      </c>
      <c r="I2067" s="110" t="s">
        <v>15658</v>
      </c>
    </row>
    <row r="2068" spans="1:9" ht="25.2" x14ac:dyDescent="0.3">
      <c r="A2068" s="109" t="s">
        <v>15659</v>
      </c>
      <c r="B2068" s="109" t="s">
        <v>15630</v>
      </c>
      <c r="C2068" s="109" t="s">
        <v>15630</v>
      </c>
      <c r="D2068" s="109" t="s">
        <v>4652</v>
      </c>
      <c r="E2068" s="109" t="s">
        <v>15660</v>
      </c>
      <c r="F2068" s="109" t="s">
        <v>10266</v>
      </c>
      <c r="G2068" s="110" t="s">
        <v>6248</v>
      </c>
      <c r="H2068" s="110" t="s">
        <v>15661</v>
      </c>
      <c r="I2068" s="110" t="s">
        <v>15662</v>
      </c>
    </row>
    <row r="2069" spans="1:9" ht="37.799999999999997" x14ac:dyDescent="0.3">
      <c r="A2069" s="109" t="s">
        <v>15663</v>
      </c>
      <c r="B2069" s="109" t="s">
        <v>15630</v>
      </c>
      <c r="C2069" s="109" t="s">
        <v>15630</v>
      </c>
      <c r="D2069" s="109" t="s">
        <v>15664</v>
      </c>
      <c r="E2069" s="109" t="s">
        <v>5558</v>
      </c>
      <c r="F2069" s="109" t="s">
        <v>15665</v>
      </c>
      <c r="G2069" s="110" t="s">
        <v>7817</v>
      </c>
      <c r="H2069" s="110" t="s">
        <v>6248</v>
      </c>
      <c r="I2069" s="110" t="s">
        <v>15666</v>
      </c>
    </row>
    <row r="2070" spans="1:9" ht="37.799999999999997" x14ac:dyDescent="0.3">
      <c r="A2070" s="109" t="s">
        <v>15667</v>
      </c>
      <c r="B2070" s="109" t="s">
        <v>15630</v>
      </c>
      <c r="C2070" s="109" t="s">
        <v>15630</v>
      </c>
      <c r="D2070" s="109" t="s">
        <v>15668</v>
      </c>
      <c r="E2070" s="109" t="s">
        <v>5558</v>
      </c>
      <c r="F2070" s="109" t="s">
        <v>15669</v>
      </c>
      <c r="G2070" s="110" t="s">
        <v>6248</v>
      </c>
      <c r="H2070" s="110" t="s">
        <v>6584</v>
      </c>
      <c r="I2070" s="110" t="s">
        <v>15670</v>
      </c>
    </row>
    <row r="2071" spans="1:9" ht="25.2" x14ac:dyDescent="0.3">
      <c r="A2071" s="109" t="s">
        <v>15671</v>
      </c>
      <c r="B2071" s="109" t="s">
        <v>15630</v>
      </c>
      <c r="C2071" s="109" t="s">
        <v>15630</v>
      </c>
      <c r="D2071" s="109" t="s">
        <v>15672</v>
      </c>
      <c r="E2071" s="109" t="s">
        <v>5558</v>
      </c>
      <c r="F2071" s="109" t="s">
        <v>15673</v>
      </c>
      <c r="G2071" s="110" t="s">
        <v>6248</v>
      </c>
      <c r="H2071" s="110" t="s">
        <v>6494</v>
      </c>
      <c r="I2071" s="110" t="s">
        <v>15674</v>
      </c>
    </row>
    <row r="2072" spans="1:9" ht="37.799999999999997" x14ac:dyDescent="0.3">
      <c r="A2072" s="109" t="s">
        <v>15675</v>
      </c>
      <c r="B2072" s="109" t="s">
        <v>15630</v>
      </c>
      <c r="C2072" s="109" t="s">
        <v>15630</v>
      </c>
      <c r="D2072" s="109" t="s">
        <v>15676</v>
      </c>
      <c r="E2072" s="109" t="s">
        <v>5558</v>
      </c>
      <c r="F2072" s="109" t="s">
        <v>15677</v>
      </c>
      <c r="G2072" s="110" t="s">
        <v>6248</v>
      </c>
      <c r="H2072" s="110" t="s">
        <v>6606</v>
      </c>
      <c r="I2072" s="110" t="s">
        <v>15678</v>
      </c>
    </row>
    <row r="2073" spans="1:9" ht="25.2" x14ac:dyDescent="0.3">
      <c r="A2073" s="109" t="s">
        <v>15679</v>
      </c>
      <c r="B2073" s="109" t="s">
        <v>15630</v>
      </c>
      <c r="C2073" s="109" t="s">
        <v>15630</v>
      </c>
      <c r="D2073" s="109" t="s">
        <v>15680</v>
      </c>
      <c r="E2073" s="109" t="s">
        <v>5558</v>
      </c>
      <c r="F2073" s="109" t="s">
        <v>15681</v>
      </c>
      <c r="G2073" s="110" t="s">
        <v>6248</v>
      </c>
      <c r="H2073" s="110" t="s">
        <v>6398</v>
      </c>
      <c r="I2073" s="110" t="s">
        <v>15682</v>
      </c>
    </row>
    <row r="2074" spans="1:9" ht="25.2" x14ac:dyDescent="0.3">
      <c r="A2074" s="109" t="s">
        <v>15683</v>
      </c>
      <c r="B2074" s="109" t="s">
        <v>15630</v>
      </c>
      <c r="C2074" s="109" t="s">
        <v>15630</v>
      </c>
      <c r="D2074" s="109" t="s">
        <v>15684</v>
      </c>
      <c r="E2074" s="109" t="s">
        <v>5558</v>
      </c>
      <c r="F2074" s="109" t="s">
        <v>15685</v>
      </c>
      <c r="G2074" s="110" t="s">
        <v>6248</v>
      </c>
      <c r="H2074" s="110" t="s">
        <v>6570</v>
      </c>
      <c r="I2074" s="110" t="s">
        <v>15686</v>
      </c>
    </row>
    <row r="2075" spans="1:9" ht="25.2" x14ac:dyDescent="0.3">
      <c r="A2075" s="109" t="s">
        <v>15687</v>
      </c>
      <c r="B2075" s="109" t="s">
        <v>15630</v>
      </c>
      <c r="C2075" s="109" t="s">
        <v>15630</v>
      </c>
      <c r="D2075" s="109" t="s">
        <v>15688</v>
      </c>
      <c r="E2075" s="109" t="s">
        <v>5558</v>
      </c>
      <c r="F2075" s="109" t="s">
        <v>15689</v>
      </c>
      <c r="G2075" s="110" t="s">
        <v>6248</v>
      </c>
      <c r="H2075" s="110" t="s">
        <v>7817</v>
      </c>
      <c r="I2075" s="110" t="s">
        <v>15690</v>
      </c>
    </row>
    <row r="2076" spans="1:9" ht="25.2" x14ac:dyDescent="0.3">
      <c r="A2076" s="109" t="s">
        <v>15691</v>
      </c>
      <c r="B2076" s="109" t="s">
        <v>15630</v>
      </c>
      <c r="C2076" s="109" t="s">
        <v>15630</v>
      </c>
      <c r="D2076" s="109" t="s">
        <v>15692</v>
      </c>
      <c r="E2076" s="109" t="s">
        <v>5558</v>
      </c>
      <c r="F2076" s="109" t="s">
        <v>15693</v>
      </c>
      <c r="G2076" s="110" t="s">
        <v>6248</v>
      </c>
      <c r="H2076" s="110" t="s">
        <v>6606</v>
      </c>
      <c r="I2076" s="110" t="s">
        <v>15694</v>
      </c>
    </row>
    <row r="2077" spans="1:9" ht="25.2" x14ac:dyDescent="0.3">
      <c r="A2077" s="109" t="s">
        <v>15695</v>
      </c>
      <c r="B2077" s="109" t="s">
        <v>15630</v>
      </c>
      <c r="C2077" s="109" t="s">
        <v>15630</v>
      </c>
      <c r="D2077" s="109" t="s">
        <v>15696</v>
      </c>
      <c r="E2077" s="109" t="s">
        <v>5558</v>
      </c>
      <c r="F2077" s="109" t="s">
        <v>15697</v>
      </c>
      <c r="G2077" s="110" t="s">
        <v>6248</v>
      </c>
      <c r="H2077" s="110" t="s">
        <v>7592</v>
      </c>
      <c r="I2077" s="110" t="s">
        <v>15698</v>
      </c>
    </row>
    <row r="2078" spans="1:9" ht="25.2" x14ac:dyDescent="0.3">
      <c r="A2078" s="109" t="s">
        <v>15699</v>
      </c>
      <c r="B2078" s="109" t="s">
        <v>15630</v>
      </c>
      <c r="C2078" s="109" t="s">
        <v>15630</v>
      </c>
      <c r="D2078" s="109" t="s">
        <v>15700</v>
      </c>
      <c r="E2078" s="109" t="s">
        <v>5558</v>
      </c>
      <c r="F2078" s="109" t="s">
        <v>15701</v>
      </c>
      <c r="G2078" s="110" t="s">
        <v>6248</v>
      </c>
      <c r="H2078" s="110" t="s">
        <v>6689</v>
      </c>
      <c r="I2078" s="110" t="s">
        <v>15702</v>
      </c>
    </row>
    <row r="2079" spans="1:9" ht="37.799999999999997" x14ac:dyDescent="0.3">
      <c r="A2079" s="109" t="s">
        <v>15703</v>
      </c>
      <c r="B2079" s="109" t="s">
        <v>15630</v>
      </c>
      <c r="C2079" s="109" t="s">
        <v>15630</v>
      </c>
      <c r="D2079" s="109" t="s">
        <v>15704</v>
      </c>
      <c r="E2079" s="109" t="s">
        <v>5558</v>
      </c>
      <c r="F2079" s="109" t="s">
        <v>15705</v>
      </c>
      <c r="G2079" s="110" t="s">
        <v>6248</v>
      </c>
      <c r="H2079" s="110" t="s">
        <v>6398</v>
      </c>
      <c r="I2079" s="110" t="s">
        <v>15706</v>
      </c>
    </row>
    <row r="2080" spans="1:9" ht="25.2" x14ac:dyDescent="0.3">
      <c r="A2080" s="109" t="s">
        <v>15707</v>
      </c>
      <c r="B2080" s="109" t="s">
        <v>15630</v>
      </c>
      <c r="C2080" s="109" t="s">
        <v>15630</v>
      </c>
      <c r="D2080" s="109" t="s">
        <v>15708</v>
      </c>
      <c r="E2080" s="109" t="s">
        <v>5558</v>
      </c>
      <c r="F2080" s="109" t="s">
        <v>15709</v>
      </c>
      <c r="G2080" s="110" t="s">
        <v>6248</v>
      </c>
      <c r="H2080" s="110" t="s">
        <v>11476</v>
      </c>
      <c r="I2080" s="110" t="s">
        <v>15710</v>
      </c>
    </row>
    <row r="2081" spans="1:9" ht="25.2" x14ac:dyDescent="0.3">
      <c r="A2081" s="109" t="s">
        <v>15711</v>
      </c>
      <c r="B2081" s="109" t="s">
        <v>15630</v>
      </c>
      <c r="C2081" s="109" t="s">
        <v>15630</v>
      </c>
      <c r="D2081" s="109" t="s">
        <v>15712</v>
      </c>
      <c r="E2081" s="109" t="s">
        <v>5558</v>
      </c>
      <c r="F2081" s="109" t="s">
        <v>15713</v>
      </c>
      <c r="G2081" s="110" t="s">
        <v>6248</v>
      </c>
      <c r="H2081" s="110" t="s">
        <v>6575</v>
      </c>
      <c r="I2081" s="110" t="s">
        <v>15714</v>
      </c>
    </row>
    <row r="2082" spans="1:9" ht="25.2" x14ac:dyDescent="0.3">
      <c r="A2082" s="109" t="s">
        <v>15715</v>
      </c>
      <c r="B2082" s="109" t="s">
        <v>15630</v>
      </c>
      <c r="C2082" s="109" t="s">
        <v>15630</v>
      </c>
      <c r="D2082" s="109" t="s">
        <v>15716</v>
      </c>
      <c r="E2082" s="109" t="s">
        <v>5558</v>
      </c>
      <c r="F2082" s="109" t="s">
        <v>15717</v>
      </c>
      <c r="G2082" s="110" t="s">
        <v>6248</v>
      </c>
      <c r="H2082" s="110" t="s">
        <v>6570</v>
      </c>
      <c r="I2082" s="110" t="s">
        <v>15718</v>
      </c>
    </row>
    <row r="2083" spans="1:9" ht="25.2" x14ac:dyDescent="0.3">
      <c r="A2083" s="109" t="s">
        <v>15719</v>
      </c>
      <c r="B2083" s="109" t="s">
        <v>15630</v>
      </c>
      <c r="C2083" s="109" t="s">
        <v>15630</v>
      </c>
      <c r="D2083" s="109" t="s">
        <v>15720</v>
      </c>
      <c r="E2083" s="109" t="s">
        <v>5558</v>
      </c>
      <c r="F2083" s="109" t="s">
        <v>15721</v>
      </c>
      <c r="G2083" s="110" t="s">
        <v>6248</v>
      </c>
      <c r="H2083" s="110" t="s">
        <v>6557</v>
      </c>
      <c r="I2083" s="110" t="s">
        <v>15722</v>
      </c>
    </row>
    <row r="2084" spans="1:9" ht="25.2" x14ac:dyDescent="0.3">
      <c r="A2084" s="109" t="s">
        <v>15723</v>
      </c>
      <c r="B2084" s="109" t="s">
        <v>15630</v>
      </c>
      <c r="C2084" s="109" t="s">
        <v>15630</v>
      </c>
      <c r="D2084" s="109" t="s">
        <v>15724</v>
      </c>
      <c r="E2084" s="109" t="s">
        <v>5558</v>
      </c>
      <c r="F2084" s="109" t="s">
        <v>15725</v>
      </c>
      <c r="G2084" s="110" t="s">
        <v>6248</v>
      </c>
      <c r="H2084" s="110" t="s">
        <v>6398</v>
      </c>
      <c r="I2084" s="110" t="s">
        <v>15726</v>
      </c>
    </row>
    <row r="2085" spans="1:9" ht="37.799999999999997" x14ac:dyDescent="0.3">
      <c r="A2085" s="109" t="s">
        <v>15727</v>
      </c>
      <c r="B2085" s="109" t="s">
        <v>15630</v>
      </c>
      <c r="C2085" s="109" t="s">
        <v>15630</v>
      </c>
      <c r="D2085" s="109" t="s">
        <v>15728</v>
      </c>
      <c r="E2085" s="109" t="s">
        <v>5558</v>
      </c>
      <c r="F2085" s="109" t="s">
        <v>15729</v>
      </c>
      <c r="G2085" s="110" t="s">
        <v>6248</v>
      </c>
      <c r="H2085" s="110" t="s">
        <v>15730</v>
      </c>
      <c r="I2085" s="110" t="s">
        <v>15731</v>
      </c>
    </row>
    <row r="2086" spans="1:9" ht="25.2" x14ac:dyDescent="0.3">
      <c r="A2086" s="109" t="s">
        <v>15732</v>
      </c>
      <c r="B2086" s="109" t="s">
        <v>15630</v>
      </c>
      <c r="C2086" s="109" t="s">
        <v>15630</v>
      </c>
      <c r="D2086" s="109" t="s">
        <v>15733</v>
      </c>
      <c r="E2086" s="109" t="s">
        <v>5558</v>
      </c>
      <c r="F2086" s="109" t="s">
        <v>15734</v>
      </c>
      <c r="G2086" s="110" t="s">
        <v>6248</v>
      </c>
      <c r="H2086" s="110" t="s">
        <v>6474</v>
      </c>
      <c r="I2086" s="110" t="s">
        <v>15735</v>
      </c>
    </row>
    <row r="2087" spans="1:9" ht="25.2" x14ac:dyDescent="0.3">
      <c r="A2087" s="109" t="s">
        <v>15736</v>
      </c>
      <c r="B2087" s="109" t="s">
        <v>15630</v>
      </c>
      <c r="C2087" s="109" t="s">
        <v>15630</v>
      </c>
      <c r="D2087" s="109" t="s">
        <v>15737</v>
      </c>
      <c r="E2087" s="109" t="s">
        <v>5558</v>
      </c>
      <c r="F2087" s="109" t="s">
        <v>15738</v>
      </c>
      <c r="G2087" s="110" t="s">
        <v>6248</v>
      </c>
      <c r="H2087" s="110" t="s">
        <v>6474</v>
      </c>
      <c r="I2087" s="110" t="s">
        <v>15739</v>
      </c>
    </row>
    <row r="2088" spans="1:9" ht="25.2" x14ac:dyDescent="0.3">
      <c r="A2088" s="109" t="s">
        <v>15740</v>
      </c>
      <c r="B2088" s="109" t="s">
        <v>15630</v>
      </c>
      <c r="C2088" s="109" t="s">
        <v>15630</v>
      </c>
      <c r="D2088" s="109" t="s">
        <v>15741</v>
      </c>
      <c r="E2088" s="109" t="s">
        <v>5558</v>
      </c>
      <c r="F2088" s="109" t="s">
        <v>15742</v>
      </c>
      <c r="G2088" s="110" t="s">
        <v>6248</v>
      </c>
      <c r="H2088" s="110" t="s">
        <v>7817</v>
      </c>
      <c r="I2088" s="110" t="s">
        <v>15743</v>
      </c>
    </row>
    <row r="2089" spans="1:9" ht="25.2" x14ac:dyDescent="0.3">
      <c r="A2089" s="109" t="s">
        <v>15744</v>
      </c>
      <c r="B2089" s="109" t="s">
        <v>15630</v>
      </c>
      <c r="C2089" s="109" t="s">
        <v>15630</v>
      </c>
      <c r="D2089" s="109" t="s">
        <v>15745</v>
      </c>
      <c r="E2089" s="109" t="s">
        <v>5558</v>
      </c>
      <c r="F2089" s="109" t="s">
        <v>15746</v>
      </c>
      <c r="G2089" s="110" t="s">
        <v>6248</v>
      </c>
      <c r="H2089" s="110" t="s">
        <v>6418</v>
      </c>
      <c r="I2089" s="110" t="s">
        <v>15747</v>
      </c>
    </row>
    <row r="2090" spans="1:9" ht="25.2" x14ac:dyDescent="0.3">
      <c r="A2090" s="109" t="s">
        <v>15748</v>
      </c>
      <c r="B2090" s="109" t="s">
        <v>15630</v>
      </c>
      <c r="C2090" s="109" t="s">
        <v>15630</v>
      </c>
      <c r="D2090" s="109" t="s">
        <v>15749</v>
      </c>
      <c r="E2090" s="109" t="s">
        <v>5558</v>
      </c>
      <c r="F2090" s="109" t="s">
        <v>15750</v>
      </c>
      <c r="G2090" s="110" t="s">
        <v>6248</v>
      </c>
      <c r="H2090" s="110" t="s">
        <v>7592</v>
      </c>
      <c r="I2090" s="110" t="s">
        <v>15751</v>
      </c>
    </row>
    <row r="2091" spans="1:9" ht="25.2" x14ac:dyDescent="0.3">
      <c r="A2091" s="109" t="s">
        <v>15752</v>
      </c>
      <c r="B2091" s="109" t="s">
        <v>15630</v>
      </c>
      <c r="C2091" s="109" t="s">
        <v>15630</v>
      </c>
      <c r="D2091" s="109" t="s">
        <v>15753</v>
      </c>
      <c r="E2091" s="109" t="s">
        <v>5558</v>
      </c>
      <c r="F2091" s="109" t="s">
        <v>15754</v>
      </c>
      <c r="G2091" s="110" t="s">
        <v>6248</v>
      </c>
      <c r="H2091" s="110" t="s">
        <v>7817</v>
      </c>
      <c r="I2091" s="110" t="s">
        <v>15755</v>
      </c>
    </row>
    <row r="2092" spans="1:9" ht="37.799999999999997" x14ac:dyDescent="0.3">
      <c r="A2092" s="109" t="s">
        <v>15756</v>
      </c>
      <c r="B2092" s="109" t="s">
        <v>15630</v>
      </c>
      <c r="C2092" s="109" t="s">
        <v>15630</v>
      </c>
      <c r="D2092" s="109" t="s">
        <v>15757</v>
      </c>
      <c r="E2092" s="109" t="s">
        <v>5558</v>
      </c>
      <c r="F2092" s="109" t="s">
        <v>15758</v>
      </c>
      <c r="G2092" s="110" t="s">
        <v>6248</v>
      </c>
      <c r="H2092" s="110" t="s">
        <v>7863</v>
      </c>
      <c r="I2092" s="110" t="s">
        <v>15759</v>
      </c>
    </row>
    <row r="2093" spans="1:9" ht="37.799999999999997" x14ac:dyDescent="0.3">
      <c r="A2093" s="109" t="s">
        <v>15760</v>
      </c>
      <c r="B2093" s="109" t="s">
        <v>15630</v>
      </c>
      <c r="C2093" s="109" t="s">
        <v>15630</v>
      </c>
      <c r="D2093" s="109" t="s">
        <v>15761</v>
      </c>
      <c r="E2093" s="109" t="s">
        <v>5558</v>
      </c>
      <c r="F2093" s="109" t="s">
        <v>15762</v>
      </c>
      <c r="G2093" s="110" t="s">
        <v>6248</v>
      </c>
      <c r="H2093" s="110" t="s">
        <v>6403</v>
      </c>
      <c r="I2093" s="110" t="s">
        <v>15763</v>
      </c>
    </row>
    <row r="2094" spans="1:9" ht="25.2" x14ac:dyDescent="0.3">
      <c r="A2094" s="109" t="s">
        <v>15764</v>
      </c>
      <c r="B2094" s="109" t="s">
        <v>15630</v>
      </c>
      <c r="C2094" s="109" t="s">
        <v>15630</v>
      </c>
      <c r="D2094" s="109" t="s">
        <v>15765</v>
      </c>
      <c r="E2094" s="109" t="s">
        <v>5558</v>
      </c>
      <c r="F2094" s="109" t="s">
        <v>15766</v>
      </c>
      <c r="G2094" s="110" t="s">
        <v>6248</v>
      </c>
      <c r="H2094" s="110" t="s">
        <v>6639</v>
      </c>
      <c r="I2094" s="110" t="s">
        <v>15767</v>
      </c>
    </row>
    <row r="2095" spans="1:9" ht="25.2" x14ac:dyDescent="0.3">
      <c r="A2095" s="109" t="s">
        <v>15768</v>
      </c>
      <c r="B2095" s="109" t="s">
        <v>15630</v>
      </c>
      <c r="C2095" s="109" t="s">
        <v>15630</v>
      </c>
      <c r="D2095" s="109" t="s">
        <v>15769</v>
      </c>
      <c r="E2095" s="109" t="s">
        <v>5558</v>
      </c>
      <c r="F2095" s="109" t="s">
        <v>15770</v>
      </c>
      <c r="G2095" s="110" t="s">
        <v>6248</v>
      </c>
      <c r="H2095" s="110" t="s">
        <v>8984</v>
      </c>
      <c r="I2095" s="110" t="s">
        <v>15771</v>
      </c>
    </row>
    <row r="2096" spans="1:9" ht="37.799999999999997" x14ac:dyDescent="0.3">
      <c r="A2096" s="109" t="s">
        <v>15772</v>
      </c>
      <c r="B2096" s="109" t="s">
        <v>15630</v>
      </c>
      <c r="C2096" s="109" t="s">
        <v>15630</v>
      </c>
      <c r="D2096" s="109" t="s">
        <v>15773</v>
      </c>
      <c r="E2096" s="109" t="s">
        <v>5558</v>
      </c>
      <c r="F2096" s="109" t="s">
        <v>15774</v>
      </c>
      <c r="G2096" s="110" t="s">
        <v>6248</v>
      </c>
      <c r="H2096" s="110" t="s">
        <v>8905</v>
      </c>
      <c r="I2096" s="110" t="s">
        <v>15775</v>
      </c>
    </row>
    <row r="2097" spans="1:9" ht="25.2" x14ac:dyDescent="0.3">
      <c r="A2097" s="109" t="s">
        <v>15776</v>
      </c>
      <c r="B2097" s="109" t="s">
        <v>15630</v>
      </c>
      <c r="C2097" s="109" t="s">
        <v>15630</v>
      </c>
      <c r="D2097" s="109" t="s">
        <v>15777</v>
      </c>
      <c r="E2097" s="109" t="s">
        <v>5558</v>
      </c>
      <c r="F2097" s="109" t="s">
        <v>15778</v>
      </c>
      <c r="G2097" s="110" t="s">
        <v>6248</v>
      </c>
      <c r="H2097" s="110" t="s">
        <v>9141</v>
      </c>
      <c r="I2097" s="110" t="s">
        <v>15779</v>
      </c>
    </row>
    <row r="2098" spans="1:9" ht="25.2" x14ac:dyDescent="0.3">
      <c r="A2098" s="109" t="s">
        <v>15780</v>
      </c>
      <c r="B2098" s="109" t="s">
        <v>15630</v>
      </c>
      <c r="C2098" s="109" t="s">
        <v>15630</v>
      </c>
      <c r="D2098" s="109" t="s">
        <v>15781</v>
      </c>
      <c r="E2098" s="109" t="s">
        <v>5558</v>
      </c>
      <c r="F2098" s="109" t="s">
        <v>15782</v>
      </c>
      <c r="G2098" s="110" t="s">
        <v>6248</v>
      </c>
      <c r="H2098" s="110" t="s">
        <v>8905</v>
      </c>
      <c r="I2098" s="110" t="s">
        <v>15783</v>
      </c>
    </row>
    <row r="2099" spans="1:9" ht="25.2" x14ac:dyDescent="0.3">
      <c r="A2099" s="109" t="s">
        <v>15784</v>
      </c>
      <c r="B2099" s="109" t="s">
        <v>15630</v>
      </c>
      <c r="C2099" s="109" t="s">
        <v>15630</v>
      </c>
      <c r="D2099" s="109" t="s">
        <v>15785</v>
      </c>
      <c r="E2099" s="109" t="s">
        <v>5558</v>
      </c>
      <c r="F2099" s="109" t="s">
        <v>15786</v>
      </c>
      <c r="G2099" s="110" t="s">
        <v>6248</v>
      </c>
      <c r="H2099" s="110" t="s">
        <v>7830</v>
      </c>
      <c r="I2099" s="110" t="s">
        <v>15787</v>
      </c>
    </row>
    <row r="2100" spans="1:9" ht="25.2" x14ac:dyDescent="0.3">
      <c r="A2100" s="109" t="s">
        <v>15788</v>
      </c>
      <c r="B2100" s="109" t="s">
        <v>15630</v>
      </c>
      <c r="C2100" s="109" t="s">
        <v>15630</v>
      </c>
      <c r="D2100" s="109" t="s">
        <v>15789</v>
      </c>
      <c r="E2100" s="109" t="s">
        <v>5558</v>
      </c>
      <c r="F2100" s="109" t="s">
        <v>15790</v>
      </c>
      <c r="G2100" s="110" t="s">
        <v>6248</v>
      </c>
      <c r="H2100" s="110" t="s">
        <v>8905</v>
      </c>
      <c r="I2100" s="110" t="s">
        <v>15791</v>
      </c>
    </row>
    <row r="2101" spans="1:9" ht="25.2" x14ac:dyDescent="0.3">
      <c r="A2101" s="109" t="s">
        <v>15792</v>
      </c>
      <c r="B2101" s="109" t="s">
        <v>15630</v>
      </c>
      <c r="C2101" s="109" t="s">
        <v>15630</v>
      </c>
      <c r="D2101" s="109" t="s">
        <v>15793</v>
      </c>
      <c r="E2101" s="109" t="s">
        <v>5558</v>
      </c>
      <c r="F2101" s="109" t="s">
        <v>15794</v>
      </c>
      <c r="G2101" s="110" t="s">
        <v>6248</v>
      </c>
      <c r="H2101" s="110" t="s">
        <v>15795</v>
      </c>
      <c r="I2101" s="110" t="s">
        <v>15796</v>
      </c>
    </row>
    <row r="2102" spans="1:9" ht="37.799999999999997" x14ac:dyDescent="0.3">
      <c r="A2102" s="109" t="s">
        <v>15797</v>
      </c>
      <c r="B2102" s="109" t="s">
        <v>15630</v>
      </c>
      <c r="C2102" s="109" t="s">
        <v>15630</v>
      </c>
      <c r="D2102" s="109" t="s">
        <v>15798</v>
      </c>
      <c r="E2102" s="109" t="s">
        <v>5558</v>
      </c>
      <c r="F2102" s="109" t="s">
        <v>15799</v>
      </c>
      <c r="G2102" s="110" t="s">
        <v>6248</v>
      </c>
      <c r="H2102" s="110" t="s">
        <v>8905</v>
      </c>
      <c r="I2102" s="110" t="s">
        <v>15800</v>
      </c>
    </row>
    <row r="2103" spans="1:9" ht="25.2" x14ac:dyDescent="0.3">
      <c r="A2103" s="109" t="s">
        <v>15801</v>
      </c>
      <c r="B2103" s="109" t="s">
        <v>15630</v>
      </c>
      <c r="C2103" s="109" t="s">
        <v>15630</v>
      </c>
      <c r="D2103" s="109" t="s">
        <v>15802</v>
      </c>
      <c r="E2103" s="109" t="s">
        <v>5558</v>
      </c>
      <c r="F2103" s="109" t="s">
        <v>15803</v>
      </c>
      <c r="G2103" s="110" t="s">
        <v>6248</v>
      </c>
      <c r="H2103" s="110" t="s">
        <v>7817</v>
      </c>
      <c r="I2103" s="110" t="s">
        <v>15804</v>
      </c>
    </row>
    <row r="2104" spans="1:9" ht="37.799999999999997" x14ac:dyDescent="0.3">
      <c r="A2104" s="109" t="s">
        <v>15805</v>
      </c>
      <c r="B2104" s="109" t="s">
        <v>15630</v>
      </c>
      <c r="C2104" s="109" t="s">
        <v>15630</v>
      </c>
      <c r="D2104" s="109" t="s">
        <v>15806</v>
      </c>
      <c r="E2104" s="109" t="s">
        <v>5558</v>
      </c>
      <c r="F2104" s="109" t="s">
        <v>15807</v>
      </c>
      <c r="G2104" s="110" t="s">
        <v>6248</v>
      </c>
      <c r="H2104" s="110" t="s">
        <v>6575</v>
      </c>
      <c r="I2104" s="110" t="s">
        <v>15808</v>
      </c>
    </row>
    <row r="2105" spans="1:9" ht="25.2" x14ac:dyDescent="0.3">
      <c r="A2105" s="109" t="s">
        <v>15809</v>
      </c>
      <c r="B2105" s="109" t="s">
        <v>15630</v>
      </c>
      <c r="C2105" s="109" t="s">
        <v>15630</v>
      </c>
      <c r="D2105" s="109" t="s">
        <v>15810</v>
      </c>
      <c r="E2105" s="109" t="s">
        <v>5558</v>
      </c>
      <c r="F2105" s="109" t="s">
        <v>15811</v>
      </c>
      <c r="G2105" s="110" t="s">
        <v>6248</v>
      </c>
      <c r="H2105" s="110" t="s">
        <v>6408</v>
      </c>
      <c r="I2105" s="110" t="s">
        <v>15812</v>
      </c>
    </row>
    <row r="2106" spans="1:9" ht="37.799999999999997" x14ac:dyDescent="0.3">
      <c r="A2106" s="109" t="s">
        <v>15813</v>
      </c>
      <c r="B2106" s="109" t="s">
        <v>15630</v>
      </c>
      <c r="C2106" s="109" t="s">
        <v>15630</v>
      </c>
      <c r="D2106" s="109" t="s">
        <v>15814</v>
      </c>
      <c r="E2106" s="109" t="s">
        <v>5558</v>
      </c>
      <c r="F2106" s="109" t="s">
        <v>15815</v>
      </c>
      <c r="G2106" s="110" t="s">
        <v>6248</v>
      </c>
      <c r="H2106" s="110" t="s">
        <v>8348</v>
      </c>
      <c r="I2106" s="110" t="s">
        <v>15816</v>
      </c>
    </row>
    <row r="2107" spans="1:9" ht="25.2" x14ac:dyDescent="0.3">
      <c r="A2107" s="109" t="s">
        <v>15817</v>
      </c>
      <c r="B2107" s="109" t="s">
        <v>15630</v>
      </c>
      <c r="C2107" s="109" t="s">
        <v>15630</v>
      </c>
      <c r="D2107" s="109" t="s">
        <v>15818</v>
      </c>
      <c r="E2107" s="109" t="s">
        <v>5558</v>
      </c>
      <c r="F2107" s="109" t="s">
        <v>15819</v>
      </c>
      <c r="G2107" s="110" t="s">
        <v>6248</v>
      </c>
      <c r="H2107" s="110" t="s">
        <v>6494</v>
      </c>
      <c r="I2107" s="110" t="s">
        <v>15820</v>
      </c>
    </row>
    <row r="2108" spans="1:9" ht="25.2" x14ac:dyDescent="0.3">
      <c r="A2108" s="109" t="s">
        <v>15821</v>
      </c>
      <c r="B2108" s="109" t="s">
        <v>15630</v>
      </c>
      <c r="C2108" s="109" t="s">
        <v>15630</v>
      </c>
      <c r="D2108" s="109" t="s">
        <v>15822</v>
      </c>
      <c r="E2108" s="109" t="s">
        <v>5558</v>
      </c>
      <c r="F2108" s="109" t="s">
        <v>15823</v>
      </c>
      <c r="G2108" s="110" t="s">
        <v>6248</v>
      </c>
      <c r="H2108" s="110" t="s">
        <v>6543</v>
      </c>
      <c r="I2108" s="110" t="s">
        <v>15824</v>
      </c>
    </row>
    <row r="2109" spans="1:9" ht="37.799999999999997" x14ac:dyDescent="0.3">
      <c r="A2109" s="109" t="s">
        <v>15825</v>
      </c>
      <c r="B2109" s="109" t="s">
        <v>15630</v>
      </c>
      <c r="C2109" s="109" t="s">
        <v>15630</v>
      </c>
      <c r="D2109" s="109" t="s">
        <v>15826</v>
      </c>
      <c r="E2109" s="109" t="s">
        <v>5558</v>
      </c>
      <c r="F2109" s="109" t="s">
        <v>15827</v>
      </c>
      <c r="G2109" s="110" t="s">
        <v>6248</v>
      </c>
      <c r="H2109" s="110" t="s">
        <v>9329</v>
      </c>
      <c r="I2109" s="110" t="s">
        <v>15828</v>
      </c>
    </row>
    <row r="2110" spans="1:9" ht="25.2" x14ac:dyDescent="0.3">
      <c r="A2110" s="109" t="s">
        <v>15829</v>
      </c>
      <c r="B2110" s="109" t="s">
        <v>15630</v>
      </c>
      <c r="C2110" s="109" t="s">
        <v>15630</v>
      </c>
      <c r="D2110" s="109" t="s">
        <v>15830</v>
      </c>
      <c r="E2110" s="109" t="s">
        <v>5558</v>
      </c>
      <c r="F2110" s="109" t="s">
        <v>15831</v>
      </c>
      <c r="G2110" s="110" t="s">
        <v>6248</v>
      </c>
      <c r="H2110" s="110" t="s">
        <v>6460</v>
      </c>
      <c r="I2110" s="110" t="s">
        <v>15832</v>
      </c>
    </row>
    <row r="2111" spans="1:9" ht="25.2" x14ac:dyDescent="0.3">
      <c r="A2111" s="109" t="s">
        <v>15833</v>
      </c>
      <c r="B2111" s="109" t="s">
        <v>15630</v>
      </c>
      <c r="C2111" s="109" t="s">
        <v>15630</v>
      </c>
      <c r="D2111" s="109" t="s">
        <v>15834</v>
      </c>
      <c r="E2111" s="109" t="s">
        <v>5558</v>
      </c>
      <c r="F2111" s="109" t="s">
        <v>15835</v>
      </c>
      <c r="G2111" s="110" t="s">
        <v>6248</v>
      </c>
      <c r="H2111" s="110" t="s">
        <v>7952</v>
      </c>
      <c r="I2111" s="110" t="s">
        <v>15836</v>
      </c>
    </row>
    <row r="2112" spans="1:9" ht="25.2" x14ac:dyDescent="0.3">
      <c r="A2112" s="109" t="s">
        <v>15837</v>
      </c>
      <c r="B2112" s="109" t="s">
        <v>15630</v>
      </c>
      <c r="C2112" s="109" t="s">
        <v>15630</v>
      </c>
      <c r="D2112" s="109" t="s">
        <v>15838</v>
      </c>
      <c r="E2112" s="109" t="s">
        <v>15839</v>
      </c>
      <c r="F2112" s="109" t="s">
        <v>15840</v>
      </c>
      <c r="G2112" s="110" t="s">
        <v>6248</v>
      </c>
      <c r="H2112" s="110" t="s">
        <v>15841</v>
      </c>
      <c r="I2112" s="110" t="s">
        <v>15842</v>
      </c>
    </row>
    <row r="2113" spans="1:9" ht="25.2" x14ac:dyDescent="0.3">
      <c r="A2113" s="109" t="s">
        <v>15843</v>
      </c>
      <c r="B2113" s="109" t="s">
        <v>15630</v>
      </c>
      <c r="C2113" s="109" t="s">
        <v>15630</v>
      </c>
      <c r="D2113" s="109" t="s">
        <v>15844</v>
      </c>
      <c r="E2113" s="109" t="s">
        <v>15845</v>
      </c>
      <c r="F2113" s="109" t="s">
        <v>7181</v>
      </c>
      <c r="G2113" s="110" t="s">
        <v>12208</v>
      </c>
      <c r="H2113" s="110" t="s">
        <v>6248</v>
      </c>
      <c r="I2113" s="110" t="s">
        <v>15846</v>
      </c>
    </row>
    <row r="2114" spans="1:9" ht="25.2" x14ac:dyDescent="0.3">
      <c r="A2114" s="109" t="s">
        <v>15847</v>
      </c>
      <c r="B2114" s="109" t="s">
        <v>15630</v>
      </c>
      <c r="C2114" s="109" t="s">
        <v>15630</v>
      </c>
      <c r="D2114" s="109" t="s">
        <v>15848</v>
      </c>
      <c r="E2114" s="109" t="s">
        <v>15849</v>
      </c>
      <c r="F2114" s="109" t="s">
        <v>6368</v>
      </c>
      <c r="G2114" s="110" t="s">
        <v>10788</v>
      </c>
      <c r="H2114" s="110" t="s">
        <v>6248</v>
      </c>
      <c r="I2114" s="110" t="s">
        <v>15850</v>
      </c>
    </row>
    <row r="2115" spans="1:9" ht="25.2" x14ac:dyDescent="0.3">
      <c r="A2115" s="109" t="s">
        <v>15851</v>
      </c>
      <c r="B2115" s="109" t="s">
        <v>15630</v>
      </c>
      <c r="C2115" s="109" t="s">
        <v>15630</v>
      </c>
      <c r="D2115" s="109" t="s">
        <v>5569</v>
      </c>
      <c r="E2115" s="109" t="s">
        <v>5558</v>
      </c>
      <c r="F2115" s="109" t="s">
        <v>2258</v>
      </c>
      <c r="G2115" s="110" t="s">
        <v>6248</v>
      </c>
      <c r="H2115" s="110" t="s">
        <v>15852</v>
      </c>
      <c r="I2115" s="110" t="s">
        <v>15853</v>
      </c>
    </row>
    <row r="2116" spans="1:9" ht="37.799999999999997" x14ac:dyDescent="0.3">
      <c r="A2116" s="109" t="s">
        <v>15854</v>
      </c>
      <c r="B2116" s="109" t="s">
        <v>15630</v>
      </c>
      <c r="C2116" s="109" t="s">
        <v>15630</v>
      </c>
      <c r="D2116" s="109" t="s">
        <v>15855</v>
      </c>
      <c r="E2116" s="109" t="s">
        <v>5558</v>
      </c>
      <c r="F2116" s="109" t="s">
        <v>15856</v>
      </c>
      <c r="G2116" s="110" t="s">
        <v>6248</v>
      </c>
      <c r="H2116" s="110" t="s">
        <v>6689</v>
      </c>
      <c r="I2116" s="110" t="s">
        <v>15857</v>
      </c>
    </row>
    <row r="2117" spans="1:9" ht="37.799999999999997" x14ac:dyDescent="0.3">
      <c r="A2117" s="109" t="s">
        <v>15858</v>
      </c>
      <c r="B2117" s="109" t="s">
        <v>15630</v>
      </c>
      <c r="C2117" s="109" t="s">
        <v>15630</v>
      </c>
      <c r="D2117" s="109" t="s">
        <v>15859</v>
      </c>
      <c r="E2117" s="109" t="s">
        <v>5558</v>
      </c>
      <c r="F2117" s="109" t="s">
        <v>15860</v>
      </c>
      <c r="G2117" s="110" t="s">
        <v>6248</v>
      </c>
      <c r="H2117" s="110" t="s">
        <v>15861</v>
      </c>
      <c r="I2117" s="110" t="s">
        <v>15862</v>
      </c>
    </row>
    <row r="2118" spans="1:9" ht="25.2" x14ac:dyDescent="0.3">
      <c r="A2118" s="109" t="s">
        <v>15863</v>
      </c>
      <c r="B2118" s="109" t="s">
        <v>15630</v>
      </c>
      <c r="C2118" s="109" t="s">
        <v>15630</v>
      </c>
      <c r="D2118" s="109" t="s">
        <v>15864</v>
      </c>
      <c r="E2118" s="109" t="s">
        <v>5932</v>
      </c>
      <c r="F2118" s="109" t="s">
        <v>15865</v>
      </c>
      <c r="G2118" s="110" t="s">
        <v>6248</v>
      </c>
      <c r="H2118" s="110" t="s">
        <v>15866</v>
      </c>
      <c r="I2118" s="110" t="s">
        <v>15867</v>
      </c>
    </row>
    <row r="2119" spans="1:9" ht="37.799999999999997" x14ac:dyDescent="0.3">
      <c r="A2119" s="109" t="s">
        <v>15868</v>
      </c>
      <c r="B2119" s="109" t="s">
        <v>15630</v>
      </c>
      <c r="C2119" s="109" t="s">
        <v>15630</v>
      </c>
      <c r="D2119" s="109" t="s">
        <v>15869</v>
      </c>
      <c r="E2119" s="109" t="s">
        <v>5558</v>
      </c>
      <c r="F2119" s="109" t="s">
        <v>15870</v>
      </c>
      <c r="G2119" s="110" t="s">
        <v>6248</v>
      </c>
      <c r="H2119" s="110" t="s">
        <v>7221</v>
      </c>
      <c r="I2119" s="110" t="s">
        <v>15871</v>
      </c>
    </row>
    <row r="2120" spans="1:9" ht="25.2" x14ac:dyDescent="0.3">
      <c r="A2120" s="109" t="s">
        <v>15872</v>
      </c>
      <c r="B2120" s="109" t="s">
        <v>15630</v>
      </c>
      <c r="C2120" s="109" t="s">
        <v>15630</v>
      </c>
      <c r="D2120" s="109" t="s">
        <v>15873</v>
      </c>
      <c r="E2120" s="109" t="s">
        <v>5932</v>
      </c>
      <c r="F2120" s="109" t="s">
        <v>15874</v>
      </c>
      <c r="G2120" s="110" t="s">
        <v>6248</v>
      </c>
      <c r="H2120" s="110" t="s">
        <v>15875</v>
      </c>
      <c r="I2120" s="110" t="s">
        <v>15876</v>
      </c>
    </row>
    <row r="2121" spans="1:9" ht="25.2" x14ac:dyDescent="0.3">
      <c r="A2121" s="109" t="s">
        <v>15877</v>
      </c>
      <c r="B2121" s="109" t="s">
        <v>15630</v>
      </c>
      <c r="C2121" s="109" t="s">
        <v>15630</v>
      </c>
      <c r="D2121" s="109" t="s">
        <v>15878</v>
      </c>
      <c r="E2121" s="109" t="s">
        <v>5558</v>
      </c>
      <c r="F2121" s="109" t="s">
        <v>15879</v>
      </c>
      <c r="G2121" s="110" t="s">
        <v>6248</v>
      </c>
      <c r="H2121" s="110" t="s">
        <v>15880</v>
      </c>
      <c r="I2121" s="110" t="s">
        <v>15881</v>
      </c>
    </row>
    <row r="2122" spans="1:9" ht="25.2" x14ac:dyDescent="0.3">
      <c r="A2122" s="109" t="s">
        <v>15882</v>
      </c>
      <c r="B2122" s="109" t="s">
        <v>15630</v>
      </c>
      <c r="C2122" s="109" t="s">
        <v>15630</v>
      </c>
      <c r="D2122" s="109" t="s">
        <v>15883</v>
      </c>
      <c r="E2122" s="109" t="s">
        <v>5558</v>
      </c>
      <c r="F2122" s="109" t="s">
        <v>15884</v>
      </c>
      <c r="G2122" s="110" t="s">
        <v>6248</v>
      </c>
      <c r="H2122" s="110" t="s">
        <v>8598</v>
      </c>
      <c r="I2122" s="110" t="s">
        <v>15885</v>
      </c>
    </row>
    <row r="2123" spans="1:9" ht="37.799999999999997" x14ac:dyDescent="0.3">
      <c r="A2123" s="109" t="s">
        <v>15886</v>
      </c>
      <c r="B2123" s="109" t="s">
        <v>15630</v>
      </c>
      <c r="C2123" s="109" t="s">
        <v>15630</v>
      </c>
      <c r="D2123" s="109" t="s">
        <v>1886</v>
      </c>
      <c r="E2123" s="109" t="s">
        <v>5558</v>
      </c>
      <c r="F2123" s="109" t="s">
        <v>15887</v>
      </c>
      <c r="G2123" s="110" t="s">
        <v>6248</v>
      </c>
      <c r="H2123" s="110" t="s">
        <v>15888</v>
      </c>
      <c r="I2123" s="110" t="s">
        <v>15889</v>
      </c>
    </row>
    <row r="2124" spans="1:9" ht="25.2" x14ac:dyDescent="0.3">
      <c r="A2124" s="109" t="s">
        <v>15890</v>
      </c>
      <c r="B2124" s="109" t="s">
        <v>15630</v>
      </c>
      <c r="C2124" s="109" t="s">
        <v>15630</v>
      </c>
      <c r="D2124" s="109" t="s">
        <v>15891</v>
      </c>
      <c r="E2124" s="109" t="s">
        <v>5932</v>
      </c>
      <c r="F2124" s="109" t="s">
        <v>15892</v>
      </c>
      <c r="G2124" s="110" t="s">
        <v>6248</v>
      </c>
      <c r="H2124" s="110" t="s">
        <v>15893</v>
      </c>
      <c r="I2124" s="110" t="s">
        <v>15894</v>
      </c>
    </row>
    <row r="2125" spans="1:9" ht="25.2" x14ac:dyDescent="0.3">
      <c r="A2125" s="109" t="s">
        <v>15895</v>
      </c>
      <c r="B2125" s="109" t="s">
        <v>15630</v>
      </c>
      <c r="C2125" s="109" t="s">
        <v>15630</v>
      </c>
      <c r="D2125" s="109" t="s">
        <v>15896</v>
      </c>
      <c r="E2125" s="109" t="s">
        <v>5558</v>
      </c>
      <c r="F2125" s="109" t="s">
        <v>15897</v>
      </c>
      <c r="G2125" s="110" t="s">
        <v>6248</v>
      </c>
      <c r="H2125" s="110" t="s">
        <v>15898</v>
      </c>
      <c r="I2125" s="110" t="s">
        <v>15899</v>
      </c>
    </row>
    <row r="2126" spans="1:9" ht="25.2" x14ac:dyDescent="0.3">
      <c r="A2126" s="109" t="s">
        <v>15900</v>
      </c>
      <c r="B2126" s="109" t="s">
        <v>15630</v>
      </c>
      <c r="C2126" s="109" t="s">
        <v>15630</v>
      </c>
      <c r="D2126" s="109" t="s">
        <v>15901</v>
      </c>
      <c r="E2126" s="109" t="s">
        <v>5932</v>
      </c>
      <c r="F2126" s="109" t="s">
        <v>15902</v>
      </c>
      <c r="G2126" s="110" t="s">
        <v>6248</v>
      </c>
      <c r="H2126" s="110" t="s">
        <v>15903</v>
      </c>
      <c r="I2126" s="110" t="s">
        <v>15904</v>
      </c>
    </row>
    <row r="2127" spans="1:9" ht="25.2" x14ac:dyDescent="0.3">
      <c r="A2127" s="109" t="s">
        <v>15905</v>
      </c>
      <c r="B2127" s="109" t="s">
        <v>15630</v>
      </c>
      <c r="C2127" s="109" t="s">
        <v>15630</v>
      </c>
      <c r="D2127" s="109" t="s">
        <v>15906</v>
      </c>
      <c r="E2127" s="109" t="s">
        <v>5854</v>
      </c>
      <c r="F2127" s="109" t="s">
        <v>6256</v>
      </c>
      <c r="G2127" s="110" t="s">
        <v>6248</v>
      </c>
      <c r="H2127" s="110" t="s">
        <v>15907</v>
      </c>
      <c r="I2127" s="110" t="s">
        <v>15908</v>
      </c>
    </row>
    <row r="2128" spans="1:9" ht="37.799999999999997" x14ac:dyDescent="0.3">
      <c r="A2128" s="109" t="s">
        <v>15909</v>
      </c>
      <c r="B2128" s="109" t="s">
        <v>15630</v>
      </c>
      <c r="C2128" s="109" t="s">
        <v>15630</v>
      </c>
      <c r="D2128" s="109" t="s">
        <v>15910</v>
      </c>
      <c r="E2128" s="109" t="s">
        <v>5558</v>
      </c>
      <c r="F2128" s="109" t="s">
        <v>15911</v>
      </c>
      <c r="G2128" s="110" t="s">
        <v>6248</v>
      </c>
      <c r="H2128" s="110" t="s">
        <v>15912</v>
      </c>
      <c r="I2128" s="110" t="s">
        <v>15913</v>
      </c>
    </row>
    <row r="2129" spans="1:9" ht="25.2" x14ac:dyDescent="0.3">
      <c r="A2129" s="109" t="s">
        <v>15914</v>
      </c>
      <c r="B2129" s="109" t="s">
        <v>15630</v>
      </c>
      <c r="C2129" s="109" t="s">
        <v>15630</v>
      </c>
      <c r="D2129" s="109" t="s">
        <v>15915</v>
      </c>
      <c r="E2129" s="109" t="s">
        <v>5932</v>
      </c>
      <c r="F2129" s="109" t="s">
        <v>15916</v>
      </c>
      <c r="G2129" s="110" t="s">
        <v>6248</v>
      </c>
      <c r="H2129" s="110" t="s">
        <v>15917</v>
      </c>
      <c r="I2129" s="110" t="s">
        <v>15918</v>
      </c>
    </row>
    <row r="2130" spans="1:9" ht="37.799999999999997" x14ac:dyDescent="0.3">
      <c r="A2130" s="109" t="s">
        <v>15919</v>
      </c>
      <c r="B2130" s="109" t="s">
        <v>15630</v>
      </c>
      <c r="C2130" s="109" t="s">
        <v>15630</v>
      </c>
      <c r="D2130" s="109" t="s">
        <v>1869</v>
      </c>
      <c r="E2130" s="109" t="s">
        <v>5558</v>
      </c>
      <c r="F2130" s="109" t="s">
        <v>15920</v>
      </c>
      <c r="G2130" s="110" t="s">
        <v>6248</v>
      </c>
      <c r="H2130" s="110" t="s">
        <v>8191</v>
      </c>
      <c r="I2130" s="110" t="s">
        <v>15921</v>
      </c>
    </row>
    <row r="2131" spans="1:9" ht="75.599999999999994" x14ac:dyDescent="0.3">
      <c r="A2131" s="109" t="s">
        <v>15922</v>
      </c>
      <c r="B2131" s="109" t="s">
        <v>15630</v>
      </c>
      <c r="C2131" s="109" t="s">
        <v>15630</v>
      </c>
      <c r="D2131" s="109" t="s">
        <v>7535</v>
      </c>
      <c r="E2131" s="109" t="s">
        <v>7535</v>
      </c>
      <c r="F2131" s="109" t="s">
        <v>15923</v>
      </c>
      <c r="G2131" s="110" t="s">
        <v>6248</v>
      </c>
      <c r="H2131" s="110" t="s">
        <v>15924</v>
      </c>
      <c r="I2131" s="110" t="s">
        <v>15925</v>
      </c>
    </row>
    <row r="2132" spans="1:9" ht="75.599999999999994" x14ac:dyDescent="0.3">
      <c r="A2132" s="109" t="s">
        <v>15926</v>
      </c>
      <c r="B2132" s="109" t="s">
        <v>15630</v>
      </c>
      <c r="C2132" s="109" t="s">
        <v>15630</v>
      </c>
      <c r="D2132" s="109" t="s">
        <v>15927</v>
      </c>
      <c r="E2132" s="109" t="s">
        <v>15927</v>
      </c>
      <c r="F2132" s="109" t="s">
        <v>15928</v>
      </c>
      <c r="G2132" s="110" t="s">
        <v>6248</v>
      </c>
      <c r="H2132" s="110" t="s">
        <v>15929</v>
      </c>
      <c r="I2132" s="110" t="s">
        <v>15930</v>
      </c>
    </row>
    <row r="2133" spans="1:9" ht="25.2" x14ac:dyDescent="0.3">
      <c r="A2133" s="109" t="s">
        <v>15931</v>
      </c>
      <c r="B2133" s="109" t="s">
        <v>15630</v>
      </c>
      <c r="C2133" s="109" t="s">
        <v>15630</v>
      </c>
      <c r="D2133" s="109" t="s">
        <v>15932</v>
      </c>
      <c r="E2133" s="109" t="s">
        <v>5932</v>
      </c>
      <c r="F2133" s="109" t="s">
        <v>15933</v>
      </c>
      <c r="G2133" s="110" t="s">
        <v>6248</v>
      </c>
      <c r="H2133" s="110" t="s">
        <v>15934</v>
      </c>
      <c r="I2133" s="110" t="s">
        <v>15935</v>
      </c>
    </row>
    <row r="2134" spans="1:9" ht="25.2" x14ac:dyDescent="0.3">
      <c r="A2134" s="109" t="s">
        <v>15936</v>
      </c>
      <c r="B2134" s="109" t="s">
        <v>15630</v>
      </c>
      <c r="C2134" s="109" t="s">
        <v>15630</v>
      </c>
      <c r="D2134" s="109" t="s">
        <v>15937</v>
      </c>
      <c r="E2134" s="109" t="s">
        <v>5558</v>
      </c>
      <c r="F2134" s="109" t="s">
        <v>15938</v>
      </c>
      <c r="G2134" s="110" t="s">
        <v>6248</v>
      </c>
      <c r="H2134" s="110" t="s">
        <v>15939</v>
      </c>
      <c r="I2134" s="110" t="s">
        <v>15940</v>
      </c>
    </row>
    <row r="2135" spans="1:9" ht="25.2" x14ac:dyDescent="0.3">
      <c r="A2135" s="109" t="s">
        <v>15941</v>
      </c>
      <c r="B2135" s="109" t="s">
        <v>15630</v>
      </c>
      <c r="C2135" s="109" t="s">
        <v>15630</v>
      </c>
      <c r="D2135" s="109" t="s">
        <v>15942</v>
      </c>
      <c r="E2135" s="109" t="s">
        <v>15943</v>
      </c>
      <c r="F2135" s="109" t="s">
        <v>15944</v>
      </c>
      <c r="G2135" s="110" t="s">
        <v>6248</v>
      </c>
      <c r="H2135" s="110" t="s">
        <v>15945</v>
      </c>
      <c r="I2135" s="110" t="s">
        <v>15946</v>
      </c>
    </row>
    <row r="2136" spans="1:9" ht="25.2" x14ac:dyDescent="0.3">
      <c r="A2136" s="109" t="s">
        <v>15947</v>
      </c>
      <c r="B2136" s="109" t="s">
        <v>15630</v>
      </c>
      <c r="C2136" s="109" t="s">
        <v>15630</v>
      </c>
      <c r="D2136" s="109" t="s">
        <v>5569</v>
      </c>
      <c r="E2136" s="109" t="s">
        <v>5558</v>
      </c>
      <c r="F2136" s="109" t="s">
        <v>2258</v>
      </c>
      <c r="G2136" s="110" t="s">
        <v>6248</v>
      </c>
      <c r="H2136" s="110" t="s">
        <v>15948</v>
      </c>
      <c r="I2136" s="110" t="s">
        <v>15949</v>
      </c>
    </row>
    <row r="2137" spans="1:9" ht="25.2" x14ac:dyDescent="0.3">
      <c r="A2137" s="109" t="s">
        <v>15950</v>
      </c>
      <c r="B2137" s="109" t="s">
        <v>15630</v>
      </c>
      <c r="C2137" s="109" t="s">
        <v>15630</v>
      </c>
      <c r="D2137" s="109" t="s">
        <v>15951</v>
      </c>
      <c r="E2137" s="109" t="s">
        <v>5558</v>
      </c>
      <c r="F2137" s="109" t="s">
        <v>15952</v>
      </c>
      <c r="G2137" s="110" t="s">
        <v>6248</v>
      </c>
      <c r="H2137" s="110" t="s">
        <v>15953</v>
      </c>
      <c r="I2137" s="110" t="s">
        <v>15954</v>
      </c>
    </row>
    <row r="2138" spans="1:9" ht="25.2" x14ac:dyDescent="0.3">
      <c r="A2138" s="109" t="s">
        <v>15955</v>
      </c>
      <c r="B2138" s="109" t="s">
        <v>15630</v>
      </c>
      <c r="C2138" s="109" t="s">
        <v>15630</v>
      </c>
      <c r="D2138" s="109" t="s">
        <v>5569</v>
      </c>
      <c r="E2138" s="109" t="s">
        <v>5558</v>
      </c>
      <c r="F2138" s="109" t="s">
        <v>2258</v>
      </c>
      <c r="G2138" s="110" t="s">
        <v>6248</v>
      </c>
      <c r="H2138" s="110" t="s">
        <v>15956</v>
      </c>
      <c r="I2138" s="110" t="s">
        <v>15957</v>
      </c>
    </row>
    <row r="2139" spans="1:9" ht="25.2" x14ac:dyDescent="0.3">
      <c r="A2139" s="109" t="s">
        <v>15958</v>
      </c>
      <c r="B2139" s="109" t="s">
        <v>15630</v>
      </c>
      <c r="C2139" s="109" t="s">
        <v>15630</v>
      </c>
      <c r="D2139" s="109" t="s">
        <v>15959</v>
      </c>
      <c r="E2139" s="109" t="s">
        <v>5558</v>
      </c>
      <c r="F2139" s="109" t="s">
        <v>15960</v>
      </c>
      <c r="G2139" s="110" t="s">
        <v>6248</v>
      </c>
      <c r="H2139" s="110" t="s">
        <v>15961</v>
      </c>
      <c r="I2139" s="110" t="s">
        <v>15962</v>
      </c>
    </row>
    <row r="2140" spans="1:9" ht="25.2" x14ac:dyDescent="0.3">
      <c r="A2140" s="109" t="s">
        <v>15963</v>
      </c>
      <c r="B2140" s="109" t="s">
        <v>15630</v>
      </c>
      <c r="C2140" s="109" t="s">
        <v>15630</v>
      </c>
      <c r="D2140" s="109" t="s">
        <v>15964</v>
      </c>
      <c r="E2140" s="109" t="s">
        <v>15965</v>
      </c>
      <c r="F2140" s="109" t="s">
        <v>15966</v>
      </c>
      <c r="G2140" s="110" t="s">
        <v>6248</v>
      </c>
      <c r="H2140" s="110" t="s">
        <v>15967</v>
      </c>
      <c r="I2140" s="110" t="s">
        <v>15968</v>
      </c>
    </row>
    <row r="2141" spans="1:9" ht="25.2" x14ac:dyDescent="0.3">
      <c r="A2141" s="109" t="s">
        <v>15969</v>
      </c>
      <c r="B2141" s="109" t="s">
        <v>15630</v>
      </c>
      <c r="C2141" s="109" t="s">
        <v>15630</v>
      </c>
      <c r="D2141" s="109" t="s">
        <v>15970</v>
      </c>
      <c r="E2141" s="109" t="s">
        <v>5558</v>
      </c>
      <c r="F2141" s="109" t="s">
        <v>15971</v>
      </c>
      <c r="G2141" s="110" t="s">
        <v>6248</v>
      </c>
      <c r="H2141" s="110" t="s">
        <v>15972</v>
      </c>
      <c r="I2141" s="110" t="s">
        <v>15973</v>
      </c>
    </row>
    <row r="2142" spans="1:9" ht="25.2" x14ac:dyDescent="0.3">
      <c r="A2142" s="109" t="s">
        <v>15974</v>
      </c>
      <c r="B2142" s="109" t="s">
        <v>15630</v>
      </c>
      <c r="C2142" s="109" t="s">
        <v>15630</v>
      </c>
      <c r="D2142" s="109" t="s">
        <v>15975</v>
      </c>
      <c r="E2142" s="109" t="s">
        <v>5558</v>
      </c>
      <c r="F2142" s="109" t="s">
        <v>15976</v>
      </c>
      <c r="G2142" s="110" t="s">
        <v>6248</v>
      </c>
      <c r="H2142" s="110" t="s">
        <v>7221</v>
      </c>
      <c r="I2142" s="110" t="s">
        <v>15977</v>
      </c>
    </row>
    <row r="2143" spans="1:9" ht="25.2" x14ac:dyDescent="0.3">
      <c r="A2143" s="109" t="s">
        <v>15978</v>
      </c>
      <c r="B2143" s="109" t="s">
        <v>15630</v>
      </c>
      <c r="C2143" s="109" t="s">
        <v>15630</v>
      </c>
      <c r="D2143" s="109" t="s">
        <v>15979</v>
      </c>
      <c r="E2143" s="109" t="s">
        <v>5558</v>
      </c>
      <c r="F2143" s="109" t="s">
        <v>15980</v>
      </c>
      <c r="G2143" s="110" t="s">
        <v>6248</v>
      </c>
      <c r="H2143" s="110" t="s">
        <v>15981</v>
      </c>
      <c r="I2143" s="110" t="s">
        <v>15982</v>
      </c>
    </row>
    <row r="2144" spans="1:9" ht="25.2" x14ac:dyDescent="0.3">
      <c r="A2144" s="109" t="s">
        <v>15983</v>
      </c>
      <c r="B2144" s="109" t="s">
        <v>15630</v>
      </c>
      <c r="C2144" s="109" t="s">
        <v>15630</v>
      </c>
      <c r="D2144" s="109" t="s">
        <v>5569</v>
      </c>
      <c r="E2144" s="109" t="s">
        <v>5558</v>
      </c>
      <c r="F2144" s="109" t="s">
        <v>2258</v>
      </c>
      <c r="G2144" s="110" t="s">
        <v>6248</v>
      </c>
      <c r="H2144" s="110" t="s">
        <v>15984</v>
      </c>
      <c r="I2144" s="110" t="s">
        <v>15985</v>
      </c>
    </row>
    <row r="2145" spans="1:9" ht="63" x14ac:dyDescent="0.3">
      <c r="A2145" s="109" t="s">
        <v>15986</v>
      </c>
      <c r="B2145" s="109" t="s">
        <v>15630</v>
      </c>
      <c r="C2145" s="109" t="s">
        <v>15630</v>
      </c>
      <c r="D2145" s="109" t="s">
        <v>6138</v>
      </c>
      <c r="E2145" s="109" t="s">
        <v>6138</v>
      </c>
      <c r="F2145" s="109" t="s">
        <v>15987</v>
      </c>
      <c r="G2145" s="110" t="s">
        <v>6248</v>
      </c>
      <c r="H2145" s="110" t="s">
        <v>15988</v>
      </c>
      <c r="I2145" s="110" t="s">
        <v>15989</v>
      </c>
    </row>
    <row r="2146" spans="1:9" ht="37.799999999999997" x14ac:dyDescent="0.3">
      <c r="A2146" s="109" t="s">
        <v>15990</v>
      </c>
      <c r="B2146" s="109" t="s">
        <v>15630</v>
      </c>
      <c r="C2146" s="109" t="s">
        <v>15630</v>
      </c>
      <c r="D2146" s="109" t="s">
        <v>15991</v>
      </c>
      <c r="E2146" s="109" t="s">
        <v>5558</v>
      </c>
      <c r="F2146" s="109" t="s">
        <v>15992</v>
      </c>
      <c r="G2146" s="110" t="s">
        <v>6248</v>
      </c>
      <c r="H2146" s="110" t="s">
        <v>15993</v>
      </c>
      <c r="I2146" s="110" t="s">
        <v>15994</v>
      </c>
    </row>
    <row r="2147" spans="1:9" ht="25.2" x14ac:dyDescent="0.3">
      <c r="A2147" s="109" t="s">
        <v>15995</v>
      </c>
      <c r="B2147" s="109" t="s">
        <v>15630</v>
      </c>
      <c r="C2147" s="109" t="s">
        <v>15630</v>
      </c>
      <c r="D2147" s="109" t="s">
        <v>15996</v>
      </c>
      <c r="E2147" s="109" t="s">
        <v>5558</v>
      </c>
      <c r="F2147" s="109" t="s">
        <v>15997</v>
      </c>
      <c r="G2147" s="110" t="s">
        <v>6248</v>
      </c>
      <c r="H2147" s="110" t="s">
        <v>15998</v>
      </c>
      <c r="I2147" s="110" t="s">
        <v>15999</v>
      </c>
    </row>
    <row r="2148" spans="1:9" ht="25.2" x14ac:dyDescent="0.3">
      <c r="A2148" s="109" t="s">
        <v>16000</v>
      </c>
      <c r="B2148" s="109" t="s">
        <v>15630</v>
      </c>
      <c r="C2148" s="109" t="s">
        <v>15630</v>
      </c>
      <c r="D2148" s="109" t="s">
        <v>2578</v>
      </c>
      <c r="E2148" s="109" t="s">
        <v>16001</v>
      </c>
      <c r="F2148" s="109" t="s">
        <v>7123</v>
      </c>
      <c r="G2148" s="110" t="s">
        <v>6248</v>
      </c>
      <c r="H2148" s="110" t="s">
        <v>16002</v>
      </c>
      <c r="I2148" s="110" t="s">
        <v>16003</v>
      </c>
    </row>
    <row r="2149" spans="1:9" ht="25.2" x14ac:dyDescent="0.3">
      <c r="A2149" s="109" t="s">
        <v>16004</v>
      </c>
      <c r="B2149" s="109" t="s">
        <v>15630</v>
      </c>
      <c r="C2149" s="109" t="s">
        <v>15630</v>
      </c>
      <c r="D2149" s="109" t="s">
        <v>5569</v>
      </c>
      <c r="E2149" s="109" t="s">
        <v>5558</v>
      </c>
      <c r="F2149" s="109" t="s">
        <v>2258</v>
      </c>
      <c r="G2149" s="110" t="s">
        <v>6248</v>
      </c>
      <c r="H2149" s="110" t="s">
        <v>16005</v>
      </c>
      <c r="I2149" s="110" t="s">
        <v>16006</v>
      </c>
    </row>
    <row r="2150" spans="1:9" ht="25.2" x14ac:dyDescent="0.3">
      <c r="A2150" s="109" t="s">
        <v>16007</v>
      </c>
      <c r="B2150" s="109" t="s">
        <v>15630</v>
      </c>
      <c r="C2150" s="109" t="s">
        <v>15630</v>
      </c>
      <c r="D2150" s="109" t="s">
        <v>16008</v>
      </c>
      <c r="E2150" s="109" t="s">
        <v>5558</v>
      </c>
      <c r="F2150" s="109" t="s">
        <v>16009</v>
      </c>
      <c r="G2150" s="110" t="s">
        <v>6248</v>
      </c>
      <c r="H2150" s="110" t="s">
        <v>9638</v>
      </c>
      <c r="I2150" s="110" t="s">
        <v>16010</v>
      </c>
    </row>
    <row r="2151" spans="1:9" ht="25.2" x14ac:dyDescent="0.3">
      <c r="A2151" s="109" t="s">
        <v>16011</v>
      </c>
      <c r="B2151" s="109" t="s">
        <v>15630</v>
      </c>
      <c r="C2151" s="109" t="s">
        <v>15630</v>
      </c>
      <c r="D2151" s="109" t="s">
        <v>16012</v>
      </c>
      <c r="E2151" s="109" t="s">
        <v>16013</v>
      </c>
      <c r="F2151" s="109" t="s">
        <v>6878</v>
      </c>
      <c r="G2151" s="110" t="s">
        <v>16014</v>
      </c>
      <c r="H2151" s="110" t="s">
        <v>6248</v>
      </c>
      <c r="I2151" s="110" t="s">
        <v>16015</v>
      </c>
    </row>
    <row r="2152" spans="1:9" ht="25.2" x14ac:dyDescent="0.3">
      <c r="A2152" s="109" t="s">
        <v>16016</v>
      </c>
      <c r="B2152" s="109" t="s">
        <v>15630</v>
      </c>
      <c r="C2152" s="109" t="s">
        <v>15630</v>
      </c>
      <c r="D2152" s="109" t="s">
        <v>16017</v>
      </c>
      <c r="E2152" s="109" t="s">
        <v>16013</v>
      </c>
      <c r="F2152" s="109" t="s">
        <v>6878</v>
      </c>
      <c r="G2152" s="110" t="s">
        <v>16018</v>
      </c>
      <c r="H2152" s="110" t="s">
        <v>6248</v>
      </c>
      <c r="I2152" s="110" t="s">
        <v>16019</v>
      </c>
    </row>
    <row r="2153" spans="1:9" ht="25.2" x14ac:dyDescent="0.3">
      <c r="A2153" s="109" t="s">
        <v>16020</v>
      </c>
      <c r="B2153" s="109" t="s">
        <v>15630</v>
      </c>
      <c r="C2153" s="109" t="s">
        <v>15630</v>
      </c>
      <c r="D2153" s="109" t="s">
        <v>16021</v>
      </c>
      <c r="E2153" s="109" t="s">
        <v>5558</v>
      </c>
      <c r="F2153" s="109" t="s">
        <v>16022</v>
      </c>
      <c r="G2153" s="110" t="s">
        <v>6248</v>
      </c>
      <c r="H2153" s="110" t="s">
        <v>7624</v>
      </c>
      <c r="I2153" s="110" t="s">
        <v>16023</v>
      </c>
    </row>
    <row r="2154" spans="1:9" ht="25.2" x14ac:dyDescent="0.3">
      <c r="A2154" s="109" t="s">
        <v>16024</v>
      </c>
      <c r="B2154" s="109" t="s">
        <v>15630</v>
      </c>
      <c r="C2154" s="109" t="s">
        <v>15630</v>
      </c>
      <c r="D2154" s="109" t="s">
        <v>16025</v>
      </c>
      <c r="E2154" s="109" t="s">
        <v>16026</v>
      </c>
      <c r="F2154" s="109" t="s">
        <v>16027</v>
      </c>
      <c r="G2154" s="110" t="s">
        <v>6248</v>
      </c>
      <c r="H2154" s="110" t="s">
        <v>16028</v>
      </c>
      <c r="I2154" s="110" t="s">
        <v>16029</v>
      </c>
    </row>
    <row r="2155" spans="1:9" ht="25.2" x14ac:dyDescent="0.3">
      <c r="A2155" s="109" t="s">
        <v>16030</v>
      </c>
      <c r="B2155" s="109" t="s">
        <v>15630</v>
      </c>
      <c r="C2155" s="109" t="s">
        <v>15630</v>
      </c>
      <c r="D2155" s="109" t="s">
        <v>16031</v>
      </c>
      <c r="E2155" s="109" t="s">
        <v>5558</v>
      </c>
      <c r="F2155" s="109" t="s">
        <v>16032</v>
      </c>
      <c r="G2155" s="110" t="s">
        <v>6248</v>
      </c>
      <c r="H2155" s="110" t="s">
        <v>7592</v>
      </c>
      <c r="I2155" s="110" t="s">
        <v>16033</v>
      </c>
    </row>
    <row r="2156" spans="1:9" ht="25.2" x14ac:dyDescent="0.3">
      <c r="A2156" s="109" t="s">
        <v>16034</v>
      </c>
      <c r="B2156" s="109" t="s">
        <v>15630</v>
      </c>
      <c r="C2156" s="109" t="s">
        <v>15630</v>
      </c>
      <c r="D2156" s="109" t="s">
        <v>16035</v>
      </c>
      <c r="E2156" s="109" t="s">
        <v>5558</v>
      </c>
      <c r="F2156" s="109" t="s">
        <v>16036</v>
      </c>
      <c r="G2156" s="110" t="s">
        <v>6248</v>
      </c>
      <c r="H2156" s="110" t="s">
        <v>7592</v>
      </c>
      <c r="I2156" s="110" t="s">
        <v>16037</v>
      </c>
    </row>
    <row r="2157" spans="1:9" ht="25.2" x14ac:dyDescent="0.3">
      <c r="A2157" s="109" t="s">
        <v>16038</v>
      </c>
      <c r="B2157" s="109" t="s">
        <v>15630</v>
      </c>
      <c r="C2157" s="109" t="s">
        <v>15630</v>
      </c>
      <c r="D2157" s="109" t="s">
        <v>16039</v>
      </c>
      <c r="E2157" s="109" t="s">
        <v>5558</v>
      </c>
      <c r="F2157" s="109" t="s">
        <v>16040</v>
      </c>
      <c r="G2157" s="110" t="s">
        <v>6248</v>
      </c>
      <c r="H2157" s="110" t="s">
        <v>7592</v>
      </c>
      <c r="I2157" s="110" t="s">
        <v>16041</v>
      </c>
    </row>
    <row r="2158" spans="1:9" ht="37.799999999999997" x14ac:dyDescent="0.3">
      <c r="A2158" s="109" t="s">
        <v>16042</v>
      </c>
      <c r="B2158" s="109" t="s">
        <v>15630</v>
      </c>
      <c r="C2158" s="109" t="s">
        <v>15630</v>
      </c>
      <c r="D2158" s="109" t="s">
        <v>16043</v>
      </c>
      <c r="E2158" s="109" t="s">
        <v>5558</v>
      </c>
      <c r="F2158" s="109" t="s">
        <v>16044</v>
      </c>
      <c r="G2158" s="110" t="s">
        <v>6248</v>
      </c>
      <c r="H2158" s="110" t="s">
        <v>16045</v>
      </c>
      <c r="I2158" s="110" t="s">
        <v>16046</v>
      </c>
    </row>
    <row r="2159" spans="1:9" ht="25.2" x14ac:dyDescent="0.3">
      <c r="A2159" s="109" t="s">
        <v>16047</v>
      </c>
      <c r="B2159" s="109" t="s">
        <v>15630</v>
      </c>
      <c r="C2159" s="109" t="s">
        <v>15630</v>
      </c>
      <c r="D2159" s="109" t="s">
        <v>1908</v>
      </c>
      <c r="E2159" s="109" t="s">
        <v>5558</v>
      </c>
      <c r="F2159" s="109" t="s">
        <v>16048</v>
      </c>
      <c r="G2159" s="110" t="s">
        <v>6248</v>
      </c>
      <c r="H2159" s="110" t="s">
        <v>16049</v>
      </c>
      <c r="I2159" s="110" t="s">
        <v>16050</v>
      </c>
    </row>
    <row r="2160" spans="1:9" ht="25.2" x14ac:dyDescent="0.3">
      <c r="A2160" s="109" t="s">
        <v>16051</v>
      </c>
      <c r="B2160" s="109" t="s">
        <v>15630</v>
      </c>
      <c r="C2160" s="109" t="s">
        <v>15630</v>
      </c>
      <c r="D2160" s="109" t="s">
        <v>16052</v>
      </c>
      <c r="E2160" s="109" t="s">
        <v>16053</v>
      </c>
      <c r="F2160" s="109" t="s">
        <v>16054</v>
      </c>
      <c r="G2160" s="110" t="s">
        <v>6248</v>
      </c>
      <c r="H2160" s="110" t="s">
        <v>16055</v>
      </c>
      <c r="I2160" s="110" t="s">
        <v>16056</v>
      </c>
    </row>
    <row r="2161" spans="1:9" ht="25.2" x14ac:dyDescent="0.3">
      <c r="A2161" s="109" t="s">
        <v>16057</v>
      </c>
      <c r="B2161" s="109" t="s">
        <v>15630</v>
      </c>
      <c r="C2161" s="109" t="s">
        <v>15630</v>
      </c>
      <c r="D2161" s="109" t="s">
        <v>16058</v>
      </c>
      <c r="E2161" s="109" t="s">
        <v>16053</v>
      </c>
      <c r="F2161" s="109" t="s">
        <v>16059</v>
      </c>
      <c r="G2161" s="110" t="s">
        <v>6248</v>
      </c>
      <c r="H2161" s="110" t="s">
        <v>16060</v>
      </c>
      <c r="I2161" s="110" t="s">
        <v>16061</v>
      </c>
    </row>
    <row r="2162" spans="1:9" ht="25.2" x14ac:dyDescent="0.3">
      <c r="A2162" s="109" t="s">
        <v>16062</v>
      </c>
      <c r="B2162" s="109" t="s">
        <v>15630</v>
      </c>
      <c r="C2162" s="109" t="s">
        <v>15630</v>
      </c>
      <c r="D2162" s="109" t="s">
        <v>16063</v>
      </c>
      <c r="E2162" s="109" t="s">
        <v>5558</v>
      </c>
      <c r="F2162" s="109" t="s">
        <v>16064</v>
      </c>
      <c r="G2162" s="110" t="s">
        <v>6248</v>
      </c>
      <c r="H2162" s="110" t="s">
        <v>16065</v>
      </c>
      <c r="I2162" s="110" t="s">
        <v>16066</v>
      </c>
    </row>
    <row r="2163" spans="1:9" ht="25.2" x14ac:dyDescent="0.3">
      <c r="A2163" s="109" t="s">
        <v>16067</v>
      </c>
      <c r="B2163" s="109" t="s">
        <v>15630</v>
      </c>
      <c r="C2163" s="109" t="s">
        <v>15630</v>
      </c>
      <c r="D2163" s="109" t="s">
        <v>5569</v>
      </c>
      <c r="E2163" s="109" t="s">
        <v>5558</v>
      </c>
      <c r="F2163" s="109" t="s">
        <v>2258</v>
      </c>
      <c r="G2163" s="110" t="s">
        <v>6248</v>
      </c>
      <c r="H2163" s="110" t="s">
        <v>6660</v>
      </c>
      <c r="I2163" s="110" t="s">
        <v>16068</v>
      </c>
    </row>
    <row r="2164" spans="1:9" ht="25.2" x14ac:dyDescent="0.3">
      <c r="A2164" s="109" t="s">
        <v>16069</v>
      </c>
      <c r="B2164" s="109" t="s">
        <v>15630</v>
      </c>
      <c r="C2164" s="109" t="s">
        <v>15630</v>
      </c>
      <c r="D2164" s="109" t="s">
        <v>1883</v>
      </c>
      <c r="E2164" s="109" t="s">
        <v>16070</v>
      </c>
      <c r="F2164" s="109" t="s">
        <v>10615</v>
      </c>
      <c r="G2164" s="110" t="s">
        <v>6248</v>
      </c>
      <c r="H2164" s="110" t="s">
        <v>16071</v>
      </c>
      <c r="I2164" s="110" t="s">
        <v>16072</v>
      </c>
    </row>
    <row r="2165" spans="1:9" ht="25.2" x14ac:dyDescent="0.3">
      <c r="A2165" s="109" t="s">
        <v>16073</v>
      </c>
      <c r="B2165" s="109" t="s">
        <v>15630</v>
      </c>
      <c r="C2165" s="109" t="s">
        <v>15630</v>
      </c>
      <c r="D2165" s="109" t="s">
        <v>16074</v>
      </c>
      <c r="E2165" s="109" t="s">
        <v>5558</v>
      </c>
      <c r="F2165" s="109" t="s">
        <v>16075</v>
      </c>
      <c r="G2165" s="110" t="s">
        <v>6248</v>
      </c>
      <c r="H2165" s="110" t="s">
        <v>8109</v>
      </c>
      <c r="I2165" s="110" t="s">
        <v>16076</v>
      </c>
    </row>
    <row r="2166" spans="1:9" ht="25.2" x14ac:dyDescent="0.3">
      <c r="A2166" s="109" t="s">
        <v>16077</v>
      </c>
      <c r="B2166" s="109" t="s">
        <v>15630</v>
      </c>
      <c r="C2166" s="109" t="s">
        <v>15630</v>
      </c>
      <c r="D2166" s="109" t="s">
        <v>16078</v>
      </c>
      <c r="E2166" s="109" t="s">
        <v>5558</v>
      </c>
      <c r="F2166" s="109" t="s">
        <v>16079</v>
      </c>
      <c r="G2166" s="110" t="s">
        <v>6248</v>
      </c>
      <c r="H2166" s="110" t="s">
        <v>8109</v>
      </c>
      <c r="I2166" s="110" t="s">
        <v>16080</v>
      </c>
    </row>
    <row r="2167" spans="1:9" ht="25.2" x14ac:dyDescent="0.3">
      <c r="A2167" s="109" t="s">
        <v>16081</v>
      </c>
      <c r="B2167" s="109" t="s">
        <v>15630</v>
      </c>
      <c r="C2167" s="109" t="s">
        <v>15630</v>
      </c>
      <c r="D2167" s="109" t="s">
        <v>5569</v>
      </c>
      <c r="E2167" s="109" t="s">
        <v>5558</v>
      </c>
      <c r="F2167" s="109" t="s">
        <v>2258</v>
      </c>
      <c r="G2167" s="110" t="s">
        <v>6248</v>
      </c>
      <c r="H2167" s="110" t="s">
        <v>16082</v>
      </c>
      <c r="I2167" s="110" t="s">
        <v>16083</v>
      </c>
    </row>
    <row r="2168" spans="1:9" ht="63" x14ac:dyDescent="0.3">
      <c r="A2168" s="109" t="s">
        <v>16084</v>
      </c>
      <c r="B2168" s="109" t="s">
        <v>15630</v>
      </c>
      <c r="C2168" s="109" t="s">
        <v>15630</v>
      </c>
      <c r="D2168" s="109" t="s">
        <v>15927</v>
      </c>
      <c r="E2168" s="109" t="s">
        <v>15927</v>
      </c>
      <c r="F2168" s="109" t="s">
        <v>16085</v>
      </c>
      <c r="G2168" s="110" t="s">
        <v>6248</v>
      </c>
      <c r="H2168" s="110" t="s">
        <v>9225</v>
      </c>
      <c r="I2168" s="110" t="s">
        <v>16086</v>
      </c>
    </row>
    <row r="2169" spans="1:9" ht="25.2" x14ac:dyDescent="0.3">
      <c r="A2169" s="109" t="s">
        <v>16087</v>
      </c>
      <c r="B2169" s="109" t="s">
        <v>15630</v>
      </c>
      <c r="C2169" s="109" t="s">
        <v>15630</v>
      </c>
      <c r="D2169" s="109" t="s">
        <v>16088</v>
      </c>
      <c r="E2169" s="109" t="s">
        <v>5558</v>
      </c>
      <c r="F2169" s="109" t="s">
        <v>16089</v>
      </c>
      <c r="G2169" s="110" t="s">
        <v>6248</v>
      </c>
      <c r="H2169" s="110" t="s">
        <v>16090</v>
      </c>
      <c r="I2169" s="110" t="s">
        <v>16091</v>
      </c>
    </row>
    <row r="2170" spans="1:9" ht="63" x14ac:dyDescent="0.3">
      <c r="A2170" s="109" t="s">
        <v>16092</v>
      </c>
      <c r="B2170" s="109" t="s">
        <v>15630</v>
      </c>
      <c r="C2170" s="109" t="s">
        <v>15630</v>
      </c>
      <c r="D2170" s="109" t="s">
        <v>16093</v>
      </c>
      <c r="E2170" s="109" t="s">
        <v>16093</v>
      </c>
      <c r="F2170" s="109" t="s">
        <v>16094</v>
      </c>
      <c r="G2170" s="110" t="s">
        <v>6248</v>
      </c>
      <c r="H2170" s="110" t="s">
        <v>15289</v>
      </c>
      <c r="I2170" s="110" t="s">
        <v>16095</v>
      </c>
    </row>
    <row r="2171" spans="1:9" ht="37.799999999999997" x14ac:dyDescent="0.3">
      <c r="A2171" s="109" t="s">
        <v>16096</v>
      </c>
      <c r="B2171" s="109" t="s">
        <v>15630</v>
      </c>
      <c r="C2171" s="109" t="s">
        <v>15630</v>
      </c>
      <c r="D2171" s="109" t="s">
        <v>16097</v>
      </c>
      <c r="E2171" s="109" t="s">
        <v>5558</v>
      </c>
      <c r="F2171" s="109" t="s">
        <v>16098</v>
      </c>
      <c r="G2171" s="110" t="s">
        <v>6248</v>
      </c>
      <c r="H2171" s="110" t="s">
        <v>16099</v>
      </c>
      <c r="I2171" s="110" t="s">
        <v>16100</v>
      </c>
    </row>
    <row r="2172" spans="1:9" ht="25.2" x14ac:dyDescent="0.3">
      <c r="A2172" s="109" t="s">
        <v>16101</v>
      </c>
      <c r="B2172" s="109" t="s">
        <v>15630</v>
      </c>
      <c r="C2172" s="109" t="s">
        <v>15630</v>
      </c>
      <c r="D2172" s="109" t="s">
        <v>16102</v>
      </c>
      <c r="E2172" s="109" t="s">
        <v>5558</v>
      </c>
      <c r="F2172" s="109" t="s">
        <v>16103</v>
      </c>
      <c r="G2172" s="110" t="s">
        <v>6248</v>
      </c>
      <c r="H2172" s="110" t="s">
        <v>14873</v>
      </c>
      <c r="I2172" s="110" t="s">
        <v>16104</v>
      </c>
    </row>
    <row r="2173" spans="1:9" ht="25.2" x14ac:dyDescent="0.3">
      <c r="A2173" s="109" t="s">
        <v>16105</v>
      </c>
      <c r="B2173" s="109" t="s">
        <v>15630</v>
      </c>
      <c r="C2173" s="109" t="s">
        <v>15630</v>
      </c>
      <c r="D2173" s="109" t="s">
        <v>16106</v>
      </c>
      <c r="E2173" s="109" t="s">
        <v>5558</v>
      </c>
      <c r="F2173" s="109" t="s">
        <v>16107</v>
      </c>
      <c r="G2173" s="110" t="s">
        <v>6248</v>
      </c>
      <c r="H2173" s="110" t="s">
        <v>16108</v>
      </c>
      <c r="I2173" s="110" t="s">
        <v>16109</v>
      </c>
    </row>
    <row r="2174" spans="1:9" ht="25.2" x14ac:dyDescent="0.3">
      <c r="A2174" s="109" t="s">
        <v>16110</v>
      </c>
      <c r="B2174" s="109" t="s">
        <v>15630</v>
      </c>
      <c r="C2174" s="109" t="s">
        <v>15630</v>
      </c>
      <c r="D2174" s="109" t="s">
        <v>16111</v>
      </c>
      <c r="E2174" s="109" t="s">
        <v>5558</v>
      </c>
      <c r="F2174" s="109" t="s">
        <v>16112</v>
      </c>
      <c r="G2174" s="110" t="s">
        <v>6248</v>
      </c>
      <c r="H2174" s="110" t="s">
        <v>16113</v>
      </c>
      <c r="I2174" s="110" t="s">
        <v>16114</v>
      </c>
    </row>
    <row r="2175" spans="1:9" ht="25.2" x14ac:dyDescent="0.3">
      <c r="A2175" s="109" t="s">
        <v>16115</v>
      </c>
      <c r="B2175" s="109" t="s">
        <v>15630</v>
      </c>
      <c r="C2175" s="109" t="s">
        <v>15630</v>
      </c>
      <c r="D2175" s="109" t="s">
        <v>16116</v>
      </c>
      <c r="E2175" s="109" t="s">
        <v>5558</v>
      </c>
      <c r="F2175" s="109" t="s">
        <v>16117</v>
      </c>
      <c r="G2175" s="110" t="s">
        <v>6248</v>
      </c>
      <c r="H2175" s="110" t="s">
        <v>16118</v>
      </c>
      <c r="I2175" s="110" t="s">
        <v>16119</v>
      </c>
    </row>
    <row r="2176" spans="1:9" ht="25.2" x14ac:dyDescent="0.3">
      <c r="A2176" s="109" t="s">
        <v>16120</v>
      </c>
      <c r="B2176" s="109" t="s">
        <v>15630</v>
      </c>
      <c r="C2176" s="109" t="s">
        <v>15630</v>
      </c>
      <c r="D2176" s="109" t="s">
        <v>5569</v>
      </c>
      <c r="E2176" s="109" t="s">
        <v>5558</v>
      </c>
      <c r="F2176" s="109" t="s">
        <v>2258</v>
      </c>
      <c r="G2176" s="110" t="s">
        <v>6248</v>
      </c>
      <c r="H2176" s="110" t="s">
        <v>16121</v>
      </c>
      <c r="I2176" s="110" t="s">
        <v>16122</v>
      </c>
    </row>
    <row r="2177" spans="1:9" ht="25.2" x14ac:dyDescent="0.3">
      <c r="A2177" s="109" t="s">
        <v>16123</v>
      </c>
      <c r="B2177" s="109" t="s">
        <v>15630</v>
      </c>
      <c r="C2177" s="109" t="s">
        <v>15630</v>
      </c>
      <c r="D2177" s="109" t="s">
        <v>1909</v>
      </c>
      <c r="E2177" s="109" t="s">
        <v>16124</v>
      </c>
      <c r="F2177" s="109" t="s">
        <v>6057</v>
      </c>
      <c r="G2177" s="110" t="s">
        <v>6248</v>
      </c>
      <c r="H2177" s="110" t="s">
        <v>16125</v>
      </c>
      <c r="I2177" s="110" t="s">
        <v>16126</v>
      </c>
    </row>
    <row r="2178" spans="1:9" ht="25.2" x14ac:dyDescent="0.3">
      <c r="A2178" s="109" t="s">
        <v>16127</v>
      </c>
      <c r="B2178" s="109" t="s">
        <v>15630</v>
      </c>
      <c r="C2178" s="109" t="s">
        <v>15630</v>
      </c>
      <c r="D2178" s="109" t="s">
        <v>16128</v>
      </c>
      <c r="E2178" s="109" t="s">
        <v>16129</v>
      </c>
      <c r="F2178" s="109" t="s">
        <v>7039</v>
      </c>
      <c r="G2178" s="110" t="s">
        <v>6248</v>
      </c>
      <c r="H2178" s="110" t="s">
        <v>16130</v>
      </c>
      <c r="I2178" s="110" t="s">
        <v>16131</v>
      </c>
    </row>
    <row r="2179" spans="1:9" ht="25.2" x14ac:dyDescent="0.3">
      <c r="A2179" s="109" t="s">
        <v>16132</v>
      </c>
      <c r="B2179" s="109" t="s">
        <v>15630</v>
      </c>
      <c r="C2179" s="109" t="s">
        <v>15630</v>
      </c>
      <c r="D2179" s="109" t="s">
        <v>16133</v>
      </c>
      <c r="E2179" s="109" t="s">
        <v>16134</v>
      </c>
      <c r="F2179" s="109" t="s">
        <v>16135</v>
      </c>
      <c r="G2179" s="110" t="s">
        <v>6248</v>
      </c>
      <c r="H2179" s="110" t="s">
        <v>16136</v>
      </c>
      <c r="I2179" s="110" t="s">
        <v>16137</v>
      </c>
    </row>
    <row r="2180" spans="1:9" ht="50.4" x14ac:dyDescent="0.3">
      <c r="A2180" s="109" t="s">
        <v>16138</v>
      </c>
      <c r="B2180" s="109" t="s">
        <v>15630</v>
      </c>
      <c r="C2180" s="109" t="s">
        <v>15630</v>
      </c>
      <c r="D2180" s="109" t="s">
        <v>16139</v>
      </c>
      <c r="E2180" s="109" t="s">
        <v>5558</v>
      </c>
      <c r="F2180" s="109" t="s">
        <v>16140</v>
      </c>
      <c r="G2180" s="110" t="s">
        <v>16141</v>
      </c>
      <c r="H2180" s="110" t="s">
        <v>6248</v>
      </c>
      <c r="I2180" s="110" t="s">
        <v>16142</v>
      </c>
    </row>
    <row r="2181" spans="1:9" ht="50.4" x14ac:dyDescent="0.3">
      <c r="A2181" s="109" t="s">
        <v>16143</v>
      </c>
      <c r="B2181" s="109" t="s">
        <v>15630</v>
      </c>
      <c r="C2181" s="109" t="s">
        <v>15630</v>
      </c>
      <c r="D2181" s="109" t="s">
        <v>16144</v>
      </c>
      <c r="E2181" s="109" t="s">
        <v>5558</v>
      </c>
      <c r="F2181" s="109" t="s">
        <v>16145</v>
      </c>
      <c r="G2181" s="110" t="s">
        <v>16146</v>
      </c>
      <c r="H2181" s="110" t="s">
        <v>6248</v>
      </c>
      <c r="I2181" s="110" t="s">
        <v>16147</v>
      </c>
    </row>
    <row r="2182" spans="1:9" ht="50.4" x14ac:dyDescent="0.3">
      <c r="A2182" s="109" t="s">
        <v>16148</v>
      </c>
      <c r="B2182" s="109" t="s">
        <v>15630</v>
      </c>
      <c r="C2182" s="109" t="s">
        <v>15630</v>
      </c>
      <c r="D2182" s="109" t="s">
        <v>16149</v>
      </c>
      <c r="E2182" s="109" t="s">
        <v>5558</v>
      </c>
      <c r="F2182" s="109" t="s">
        <v>16150</v>
      </c>
      <c r="G2182" s="110" t="s">
        <v>16151</v>
      </c>
      <c r="H2182" s="110" t="s">
        <v>6248</v>
      </c>
      <c r="I2182" s="110" t="s">
        <v>16152</v>
      </c>
    </row>
    <row r="2183" spans="1:9" ht="50.4" x14ac:dyDescent="0.3">
      <c r="A2183" s="109" t="s">
        <v>16153</v>
      </c>
      <c r="B2183" s="109" t="s">
        <v>15630</v>
      </c>
      <c r="C2183" s="109" t="s">
        <v>15630</v>
      </c>
      <c r="D2183" s="109" t="s">
        <v>16154</v>
      </c>
      <c r="E2183" s="109" t="s">
        <v>5558</v>
      </c>
      <c r="F2183" s="109" t="s">
        <v>16155</v>
      </c>
      <c r="G2183" s="110" t="s">
        <v>16156</v>
      </c>
      <c r="H2183" s="110" t="s">
        <v>6248</v>
      </c>
      <c r="I2183" s="110" t="s">
        <v>16157</v>
      </c>
    </row>
    <row r="2184" spans="1:9" ht="50.4" x14ac:dyDescent="0.3">
      <c r="A2184" s="109" t="s">
        <v>16158</v>
      </c>
      <c r="B2184" s="109" t="s">
        <v>15630</v>
      </c>
      <c r="C2184" s="109" t="s">
        <v>15630</v>
      </c>
      <c r="D2184" s="109" t="s">
        <v>16159</v>
      </c>
      <c r="E2184" s="109" t="s">
        <v>5558</v>
      </c>
      <c r="F2184" s="109" t="s">
        <v>16160</v>
      </c>
      <c r="G2184" s="110" t="s">
        <v>16161</v>
      </c>
      <c r="H2184" s="110" t="s">
        <v>6248</v>
      </c>
      <c r="I2184" s="110" t="s">
        <v>16162</v>
      </c>
    </row>
    <row r="2185" spans="1:9" ht="37.799999999999997" x14ac:dyDescent="0.3">
      <c r="A2185" s="109" t="s">
        <v>16163</v>
      </c>
      <c r="B2185" s="109" t="s">
        <v>15630</v>
      </c>
      <c r="C2185" s="109" t="s">
        <v>15630</v>
      </c>
      <c r="D2185" s="109" t="s">
        <v>16164</v>
      </c>
      <c r="E2185" s="109" t="s">
        <v>5558</v>
      </c>
      <c r="F2185" s="109" t="s">
        <v>16165</v>
      </c>
      <c r="G2185" s="110" t="s">
        <v>6248</v>
      </c>
      <c r="H2185" s="110" t="s">
        <v>7094</v>
      </c>
      <c r="I2185" s="110" t="s">
        <v>16166</v>
      </c>
    </row>
    <row r="2186" spans="1:9" ht="50.4" x14ac:dyDescent="0.3">
      <c r="A2186" s="109" t="s">
        <v>16167</v>
      </c>
      <c r="B2186" s="109" t="s">
        <v>15630</v>
      </c>
      <c r="C2186" s="109" t="s">
        <v>15630</v>
      </c>
      <c r="D2186" s="109" t="s">
        <v>16168</v>
      </c>
      <c r="E2186" s="109" t="s">
        <v>5558</v>
      </c>
      <c r="F2186" s="109" t="s">
        <v>16169</v>
      </c>
      <c r="G2186" s="110" t="s">
        <v>16170</v>
      </c>
      <c r="H2186" s="110" t="s">
        <v>6248</v>
      </c>
      <c r="I2186" s="110" t="s">
        <v>16171</v>
      </c>
    </row>
    <row r="2187" spans="1:9" ht="50.4" x14ac:dyDescent="0.3">
      <c r="A2187" s="109" t="s">
        <v>16172</v>
      </c>
      <c r="B2187" s="109" t="s">
        <v>15630</v>
      </c>
      <c r="C2187" s="109" t="s">
        <v>15630</v>
      </c>
      <c r="D2187" s="109" t="s">
        <v>16173</v>
      </c>
      <c r="E2187" s="109" t="s">
        <v>5558</v>
      </c>
      <c r="F2187" s="109" t="s">
        <v>16174</v>
      </c>
      <c r="G2187" s="110" t="s">
        <v>16175</v>
      </c>
      <c r="H2187" s="110" t="s">
        <v>6248</v>
      </c>
      <c r="I2187" s="110" t="s">
        <v>16176</v>
      </c>
    </row>
    <row r="2188" spans="1:9" ht="50.4" x14ac:dyDescent="0.3">
      <c r="A2188" s="109" t="s">
        <v>16177</v>
      </c>
      <c r="B2188" s="109" t="s">
        <v>15630</v>
      </c>
      <c r="C2188" s="109" t="s">
        <v>15630</v>
      </c>
      <c r="D2188" s="109" t="s">
        <v>16178</v>
      </c>
      <c r="E2188" s="109" t="s">
        <v>5558</v>
      </c>
      <c r="F2188" s="109" t="s">
        <v>16179</v>
      </c>
      <c r="G2188" s="110" t="s">
        <v>16180</v>
      </c>
      <c r="H2188" s="110" t="s">
        <v>6248</v>
      </c>
      <c r="I2188" s="110" t="s">
        <v>16181</v>
      </c>
    </row>
    <row r="2189" spans="1:9" ht="37.799999999999997" x14ac:dyDescent="0.3">
      <c r="A2189" s="109" t="s">
        <v>16182</v>
      </c>
      <c r="B2189" s="109" t="s">
        <v>15630</v>
      </c>
      <c r="C2189" s="109" t="s">
        <v>15630</v>
      </c>
      <c r="D2189" s="109" t="s">
        <v>16183</v>
      </c>
      <c r="E2189" s="109" t="s">
        <v>5558</v>
      </c>
      <c r="F2189" s="109" t="s">
        <v>16184</v>
      </c>
      <c r="G2189" s="110" t="s">
        <v>16185</v>
      </c>
      <c r="H2189" s="110" t="s">
        <v>6248</v>
      </c>
      <c r="I2189" s="110" t="s">
        <v>16186</v>
      </c>
    </row>
    <row r="2190" spans="1:9" ht="50.4" x14ac:dyDescent="0.3">
      <c r="A2190" s="109" t="s">
        <v>16187</v>
      </c>
      <c r="B2190" s="109" t="s">
        <v>15630</v>
      </c>
      <c r="C2190" s="109" t="s">
        <v>15630</v>
      </c>
      <c r="D2190" s="109" t="s">
        <v>16188</v>
      </c>
      <c r="E2190" s="109" t="s">
        <v>5558</v>
      </c>
      <c r="F2190" s="109" t="s">
        <v>16189</v>
      </c>
      <c r="G2190" s="110" t="s">
        <v>16190</v>
      </c>
      <c r="H2190" s="110" t="s">
        <v>6248</v>
      </c>
      <c r="I2190" s="110" t="s">
        <v>16191</v>
      </c>
    </row>
    <row r="2191" spans="1:9" ht="50.4" x14ac:dyDescent="0.3">
      <c r="A2191" s="109" t="s">
        <v>16192</v>
      </c>
      <c r="B2191" s="109" t="s">
        <v>15630</v>
      </c>
      <c r="C2191" s="109" t="s">
        <v>15630</v>
      </c>
      <c r="D2191" s="109" t="s">
        <v>16193</v>
      </c>
      <c r="E2191" s="109" t="s">
        <v>5558</v>
      </c>
      <c r="F2191" s="109" t="s">
        <v>16194</v>
      </c>
      <c r="G2191" s="110" t="s">
        <v>16195</v>
      </c>
      <c r="H2191" s="110" t="s">
        <v>6248</v>
      </c>
      <c r="I2191" s="110" t="s">
        <v>16196</v>
      </c>
    </row>
    <row r="2192" spans="1:9" ht="50.4" x14ac:dyDescent="0.3">
      <c r="A2192" s="109" t="s">
        <v>16197</v>
      </c>
      <c r="B2192" s="109" t="s">
        <v>15630</v>
      </c>
      <c r="C2192" s="109" t="s">
        <v>15630</v>
      </c>
      <c r="D2192" s="109" t="s">
        <v>16198</v>
      </c>
      <c r="E2192" s="109" t="s">
        <v>5558</v>
      </c>
      <c r="F2192" s="109" t="s">
        <v>16199</v>
      </c>
      <c r="G2192" s="110" t="s">
        <v>16200</v>
      </c>
      <c r="H2192" s="110" t="s">
        <v>6248</v>
      </c>
      <c r="I2192" s="110" t="s">
        <v>16201</v>
      </c>
    </row>
    <row r="2193" spans="1:9" ht="50.4" x14ac:dyDescent="0.3">
      <c r="A2193" s="109" t="s">
        <v>16202</v>
      </c>
      <c r="B2193" s="109" t="s">
        <v>15630</v>
      </c>
      <c r="C2193" s="109" t="s">
        <v>15630</v>
      </c>
      <c r="D2193" s="109" t="s">
        <v>16203</v>
      </c>
      <c r="E2193" s="109" t="s">
        <v>5558</v>
      </c>
      <c r="F2193" s="109" t="s">
        <v>16204</v>
      </c>
      <c r="G2193" s="110" t="s">
        <v>16205</v>
      </c>
      <c r="H2193" s="110" t="s">
        <v>6248</v>
      </c>
      <c r="I2193" s="110" t="s">
        <v>16206</v>
      </c>
    </row>
    <row r="2194" spans="1:9" ht="50.4" x14ac:dyDescent="0.3">
      <c r="A2194" s="109" t="s">
        <v>16207</v>
      </c>
      <c r="B2194" s="109" t="s">
        <v>15630</v>
      </c>
      <c r="C2194" s="109" t="s">
        <v>15630</v>
      </c>
      <c r="D2194" s="109" t="s">
        <v>16208</v>
      </c>
      <c r="E2194" s="109" t="s">
        <v>5558</v>
      </c>
      <c r="F2194" s="109" t="s">
        <v>16209</v>
      </c>
      <c r="G2194" s="110" t="s">
        <v>16210</v>
      </c>
      <c r="H2194" s="110" t="s">
        <v>6248</v>
      </c>
      <c r="I2194" s="110" t="s">
        <v>16211</v>
      </c>
    </row>
    <row r="2195" spans="1:9" ht="50.4" x14ac:dyDescent="0.3">
      <c r="A2195" s="109" t="s">
        <v>16212</v>
      </c>
      <c r="B2195" s="109" t="s">
        <v>15630</v>
      </c>
      <c r="C2195" s="109" t="s">
        <v>15630</v>
      </c>
      <c r="D2195" s="109" t="s">
        <v>16213</v>
      </c>
      <c r="E2195" s="109" t="s">
        <v>5558</v>
      </c>
      <c r="F2195" s="109" t="s">
        <v>16214</v>
      </c>
      <c r="G2195" s="110" t="s">
        <v>16215</v>
      </c>
      <c r="H2195" s="110" t="s">
        <v>6248</v>
      </c>
      <c r="I2195" s="110" t="s">
        <v>16216</v>
      </c>
    </row>
    <row r="2196" spans="1:9" ht="50.4" x14ac:dyDescent="0.3">
      <c r="A2196" s="109" t="s">
        <v>16217</v>
      </c>
      <c r="B2196" s="109" t="s">
        <v>15630</v>
      </c>
      <c r="C2196" s="109" t="s">
        <v>15630</v>
      </c>
      <c r="D2196" s="109" t="s">
        <v>16218</v>
      </c>
      <c r="E2196" s="109" t="s">
        <v>5558</v>
      </c>
      <c r="F2196" s="109" t="s">
        <v>16219</v>
      </c>
      <c r="G2196" s="110" t="s">
        <v>16220</v>
      </c>
      <c r="H2196" s="110" t="s">
        <v>6248</v>
      </c>
      <c r="I2196" s="110" t="s">
        <v>16221</v>
      </c>
    </row>
    <row r="2197" spans="1:9" ht="50.4" x14ac:dyDescent="0.3">
      <c r="A2197" s="109" t="s">
        <v>16222</v>
      </c>
      <c r="B2197" s="109" t="s">
        <v>15630</v>
      </c>
      <c r="C2197" s="109" t="s">
        <v>15630</v>
      </c>
      <c r="D2197" s="109" t="s">
        <v>16223</v>
      </c>
      <c r="E2197" s="109" t="s">
        <v>5558</v>
      </c>
      <c r="F2197" s="109" t="s">
        <v>16224</v>
      </c>
      <c r="G2197" s="110" t="s">
        <v>16225</v>
      </c>
      <c r="H2197" s="110" t="s">
        <v>6248</v>
      </c>
      <c r="I2197" s="110" t="s">
        <v>16226</v>
      </c>
    </row>
    <row r="2198" spans="1:9" ht="50.4" x14ac:dyDescent="0.3">
      <c r="A2198" s="109" t="s">
        <v>16227</v>
      </c>
      <c r="B2198" s="109" t="s">
        <v>15630</v>
      </c>
      <c r="C2198" s="109" t="s">
        <v>15630</v>
      </c>
      <c r="D2198" s="109" t="s">
        <v>16228</v>
      </c>
      <c r="E2198" s="109" t="s">
        <v>5558</v>
      </c>
      <c r="F2198" s="109" t="s">
        <v>16229</v>
      </c>
      <c r="G2198" s="110" t="s">
        <v>16230</v>
      </c>
      <c r="H2198" s="110" t="s">
        <v>6248</v>
      </c>
      <c r="I2198" s="110" t="s">
        <v>16231</v>
      </c>
    </row>
    <row r="2199" spans="1:9" ht="50.4" x14ac:dyDescent="0.3">
      <c r="A2199" s="109" t="s">
        <v>16232</v>
      </c>
      <c r="B2199" s="109" t="s">
        <v>15630</v>
      </c>
      <c r="C2199" s="109" t="s">
        <v>15630</v>
      </c>
      <c r="D2199" s="109" t="s">
        <v>16233</v>
      </c>
      <c r="E2199" s="109" t="s">
        <v>5558</v>
      </c>
      <c r="F2199" s="109" t="s">
        <v>16234</v>
      </c>
      <c r="G2199" s="110" t="s">
        <v>16235</v>
      </c>
      <c r="H2199" s="110" t="s">
        <v>6248</v>
      </c>
      <c r="I2199" s="110" t="s">
        <v>16236</v>
      </c>
    </row>
    <row r="2200" spans="1:9" ht="50.4" x14ac:dyDescent="0.3">
      <c r="A2200" s="109" t="s">
        <v>16237</v>
      </c>
      <c r="B2200" s="109" t="s">
        <v>15630</v>
      </c>
      <c r="C2200" s="109" t="s">
        <v>15630</v>
      </c>
      <c r="D2200" s="109" t="s">
        <v>16238</v>
      </c>
      <c r="E2200" s="109" t="s">
        <v>5558</v>
      </c>
      <c r="F2200" s="109" t="s">
        <v>16239</v>
      </c>
      <c r="G2200" s="110" t="s">
        <v>16240</v>
      </c>
      <c r="H2200" s="110" t="s">
        <v>6248</v>
      </c>
      <c r="I2200" s="110" t="s">
        <v>16241</v>
      </c>
    </row>
    <row r="2201" spans="1:9" ht="50.4" x14ac:dyDescent="0.3">
      <c r="A2201" s="109" t="s">
        <v>16242</v>
      </c>
      <c r="B2201" s="109" t="s">
        <v>15630</v>
      </c>
      <c r="C2201" s="109" t="s">
        <v>15630</v>
      </c>
      <c r="D2201" s="109" t="s">
        <v>16243</v>
      </c>
      <c r="E2201" s="109" t="s">
        <v>5558</v>
      </c>
      <c r="F2201" s="109" t="s">
        <v>16244</v>
      </c>
      <c r="G2201" s="110" t="s">
        <v>16245</v>
      </c>
      <c r="H2201" s="110" t="s">
        <v>6248</v>
      </c>
      <c r="I2201" s="110" t="s">
        <v>16246</v>
      </c>
    </row>
    <row r="2202" spans="1:9" ht="50.4" x14ac:dyDescent="0.3">
      <c r="A2202" s="109" t="s">
        <v>16247</v>
      </c>
      <c r="B2202" s="109" t="s">
        <v>15630</v>
      </c>
      <c r="C2202" s="109" t="s">
        <v>15630</v>
      </c>
      <c r="D2202" s="109" t="s">
        <v>16248</v>
      </c>
      <c r="E2202" s="109" t="s">
        <v>5558</v>
      </c>
      <c r="F2202" s="109" t="s">
        <v>16249</v>
      </c>
      <c r="G2202" s="110" t="s">
        <v>16250</v>
      </c>
      <c r="H2202" s="110" t="s">
        <v>6248</v>
      </c>
      <c r="I2202" s="110" t="s">
        <v>16251</v>
      </c>
    </row>
    <row r="2203" spans="1:9" ht="50.4" x14ac:dyDescent="0.3">
      <c r="A2203" s="109" t="s">
        <v>16252</v>
      </c>
      <c r="B2203" s="109" t="s">
        <v>15630</v>
      </c>
      <c r="C2203" s="109" t="s">
        <v>15630</v>
      </c>
      <c r="D2203" s="109" t="s">
        <v>16253</v>
      </c>
      <c r="E2203" s="109" t="s">
        <v>5558</v>
      </c>
      <c r="F2203" s="109" t="s">
        <v>16254</v>
      </c>
      <c r="G2203" s="110" t="s">
        <v>16255</v>
      </c>
      <c r="H2203" s="110" t="s">
        <v>6248</v>
      </c>
      <c r="I2203" s="110" t="s">
        <v>16256</v>
      </c>
    </row>
    <row r="2204" spans="1:9" ht="50.4" x14ac:dyDescent="0.3">
      <c r="A2204" s="109" t="s">
        <v>16257</v>
      </c>
      <c r="B2204" s="109" t="s">
        <v>15630</v>
      </c>
      <c r="C2204" s="109" t="s">
        <v>15630</v>
      </c>
      <c r="D2204" s="109" t="s">
        <v>16258</v>
      </c>
      <c r="E2204" s="109" t="s">
        <v>5558</v>
      </c>
      <c r="F2204" s="109" t="s">
        <v>16259</v>
      </c>
      <c r="G2204" s="110" t="s">
        <v>16260</v>
      </c>
      <c r="H2204" s="110" t="s">
        <v>6248</v>
      </c>
      <c r="I2204" s="110" t="s">
        <v>16261</v>
      </c>
    </row>
    <row r="2205" spans="1:9" ht="50.4" x14ac:dyDescent="0.3">
      <c r="A2205" s="109" t="s">
        <v>16262</v>
      </c>
      <c r="B2205" s="109" t="s">
        <v>15630</v>
      </c>
      <c r="C2205" s="109" t="s">
        <v>15630</v>
      </c>
      <c r="D2205" s="109" t="s">
        <v>16263</v>
      </c>
      <c r="E2205" s="109" t="s">
        <v>5558</v>
      </c>
      <c r="F2205" s="109" t="s">
        <v>16264</v>
      </c>
      <c r="G2205" s="110" t="s">
        <v>16265</v>
      </c>
      <c r="H2205" s="110" t="s">
        <v>6248</v>
      </c>
      <c r="I2205" s="110" t="s">
        <v>16266</v>
      </c>
    </row>
    <row r="2206" spans="1:9" ht="63" x14ac:dyDescent="0.3">
      <c r="A2206" s="109" t="s">
        <v>16267</v>
      </c>
      <c r="B2206" s="109" t="s">
        <v>15630</v>
      </c>
      <c r="C2206" s="109" t="s">
        <v>15630</v>
      </c>
      <c r="D2206" s="109" t="s">
        <v>16268</v>
      </c>
      <c r="E2206" s="109" t="s">
        <v>5558</v>
      </c>
      <c r="F2206" s="109" t="s">
        <v>16269</v>
      </c>
      <c r="G2206" s="110" t="s">
        <v>16270</v>
      </c>
      <c r="H2206" s="110" t="s">
        <v>6248</v>
      </c>
      <c r="I2206" s="110" t="s">
        <v>16271</v>
      </c>
    </row>
    <row r="2207" spans="1:9" ht="50.4" x14ac:dyDescent="0.3">
      <c r="A2207" s="109" t="s">
        <v>16272</v>
      </c>
      <c r="B2207" s="109" t="s">
        <v>15630</v>
      </c>
      <c r="C2207" s="109" t="s">
        <v>15630</v>
      </c>
      <c r="D2207" s="109" t="s">
        <v>16273</v>
      </c>
      <c r="E2207" s="109" t="s">
        <v>5558</v>
      </c>
      <c r="F2207" s="109" t="s">
        <v>16274</v>
      </c>
      <c r="G2207" s="110" t="s">
        <v>16275</v>
      </c>
      <c r="H2207" s="110" t="s">
        <v>6248</v>
      </c>
      <c r="I2207" s="110" t="s">
        <v>16276</v>
      </c>
    </row>
    <row r="2208" spans="1:9" ht="50.4" x14ac:dyDescent="0.3">
      <c r="A2208" s="109" t="s">
        <v>16277</v>
      </c>
      <c r="B2208" s="109" t="s">
        <v>15630</v>
      </c>
      <c r="C2208" s="109" t="s">
        <v>15630</v>
      </c>
      <c r="D2208" s="109" t="s">
        <v>16278</v>
      </c>
      <c r="E2208" s="109" t="s">
        <v>5558</v>
      </c>
      <c r="F2208" s="109" t="s">
        <v>16279</v>
      </c>
      <c r="G2208" s="110" t="s">
        <v>16280</v>
      </c>
      <c r="H2208" s="110" t="s">
        <v>6248</v>
      </c>
      <c r="I2208" s="110" t="s">
        <v>16281</v>
      </c>
    </row>
    <row r="2209" spans="1:9" ht="50.4" x14ac:dyDescent="0.3">
      <c r="A2209" s="109" t="s">
        <v>16282</v>
      </c>
      <c r="B2209" s="109" t="s">
        <v>15630</v>
      </c>
      <c r="C2209" s="109" t="s">
        <v>15630</v>
      </c>
      <c r="D2209" s="109" t="s">
        <v>16283</v>
      </c>
      <c r="E2209" s="109" t="s">
        <v>5558</v>
      </c>
      <c r="F2209" s="109" t="s">
        <v>16284</v>
      </c>
      <c r="G2209" s="110" t="s">
        <v>16285</v>
      </c>
      <c r="H2209" s="110" t="s">
        <v>6248</v>
      </c>
      <c r="I2209" s="110" t="s">
        <v>16286</v>
      </c>
    </row>
    <row r="2210" spans="1:9" ht="25.2" x14ac:dyDescent="0.3">
      <c r="A2210" s="109" t="s">
        <v>16287</v>
      </c>
      <c r="B2210" s="109" t="s">
        <v>15630</v>
      </c>
      <c r="C2210" s="109" t="s">
        <v>15630</v>
      </c>
      <c r="D2210" s="109" t="s">
        <v>5569</v>
      </c>
      <c r="E2210" s="109" t="s">
        <v>5558</v>
      </c>
      <c r="F2210" s="109" t="s">
        <v>2258</v>
      </c>
      <c r="G2210" s="110" t="s">
        <v>6248</v>
      </c>
      <c r="H2210" s="110" t="s">
        <v>16288</v>
      </c>
      <c r="I2210" s="110" t="s">
        <v>16289</v>
      </c>
    </row>
    <row r="2211" spans="1:9" ht="25.2" x14ac:dyDescent="0.3">
      <c r="A2211" s="109" t="s">
        <v>16290</v>
      </c>
      <c r="B2211" s="109" t="s">
        <v>15630</v>
      </c>
      <c r="C2211" s="109" t="s">
        <v>15630</v>
      </c>
      <c r="D2211" s="109" t="s">
        <v>16291</v>
      </c>
      <c r="E2211" s="109" t="s">
        <v>5558</v>
      </c>
      <c r="F2211" s="109" t="s">
        <v>16292</v>
      </c>
      <c r="G2211" s="110" t="s">
        <v>6248</v>
      </c>
      <c r="H2211" s="110" t="s">
        <v>16293</v>
      </c>
      <c r="I2211" s="110" t="s">
        <v>16294</v>
      </c>
    </row>
    <row r="2212" spans="1:9" ht="25.2" x14ac:dyDescent="0.3">
      <c r="A2212" s="109" t="s">
        <v>16295</v>
      </c>
      <c r="B2212" s="109" t="s">
        <v>15630</v>
      </c>
      <c r="C2212" s="109" t="s">
        <v>15630</v>
      </c>
      <c r="D2212" s="109" t="s">
        <v>16296</v>
      </c>
      <c r="E2212" s="109" t="s">
        <v>5558</v>
      </c>
      <c r="F2212" s="109" t="s">
        <v>16297</v>
      </c>
      <c r="G2212" s="110" t="s">
        <v>6248</v>
      </c>
      <c r="H2212" s="110" t="s">
        <v>14042</v>
      </c>
      <c r="I2212" s="110" t="s">
        <v>16298</v>
      </c>
    </row>
    <row r="2213" spans="1:9" ht="25.2" x14ac:dyDescent="0.3">
      <c r="A2213" s="109" t="s">
        <v>16299</v>
      </c>
      <c r="B2213" s="109" t="s">
        <v>15630</v>
      </c>
      <c r="C2213" s="109" t="s">
        <v>15630</v>
      </c>
      <c r="D2213" s="109" t="s">
        <v>16300</v>
      </c>
      <c r="E2213" s="109" t="s">
        <v>16301</v>
      </c>
      <c r="F2213" s="109" t="s">
        <v>7045</v>
      </c>
      <c r="G2213" s="110" t="s">
        <v>16302</v>
      </c>
      <c r="H2213" s="110" t="s">
        <v>6248</v>
      </c>
      <c r="I2213" s="110" t="s">
        <v>16303</v>
      </c>
    </row>
    <row r="2214" spans="1:9" ht="25.2" x14ac:dyDescent="0.3">
      <c r="A2214" s="109" t="s">
        <v>16304</v>
      </c>
      <c r="B2214" s="109" t="s">
        <v>15630</v>
      </c>
      <c r="C2214" s="109" t="s">
        <v>15630</v>
      </c>
      <c r="D2214" s="109" t="s">
        <v>1884</v>
      </c>
      <c r="E2214" s="109" t="s">
        <v>16305</v>
      </c>
      <c r="F2214" s="109" t="s">
        <v>12094</v>
      </c>
      <c r="G2214" s="110" t="s">
        <v>6248</v>
      </c>
      <c r="H2214" s="110" t="s">
        <v>16306</v>
      </c>
      <c r="I2214" s="110" t="s">
        <v>16307</v>
      </c>
    </row>
    <row r="2215" spans="1:9" ht="25.2" x14ac:dyDescent="0.3">
      <c r="A2215" s="109" t="s">
        <v>16308</v>
      </c>
      <c r="B2215" s="109" t="s">
        <v>15630</v>
      </c>
      <c r="C2215" s="109" t="s">
        <v>15630</v>
      </c>
      <c r="D2215" s="109" t="s">
        <v>16309</v>
      </c>
      <c r="E2215" s="109" t="s">
        <v>15965</v>
      </c>
      <c r="F2215" s="109" t="s">
        <v>16310</v>
      </c>
      <c r="G2215" s="110" t="s">
        <v>6248</v>
      </c>
      <c r="H2215" s="110" t="s">
        <v>16311</v>
      </c>
      <c r="I2215" s="110" t="s">
        <v>16312</v>
      </c>
    </row>
    <row r="2216" spans="1:9" ht="25.2" x14ac:dyDescent="0.3">
      <c r="A2216" s="109" t="s">
        <v>16313</v>
      </c>
      <c r="B2216" s="109" t="s">
        <v>15630</v>
      </c>
      <c r="C2216" s="109" t="s">
        <v>15630</v>
      </c>
      <c r="D2216" s="109" t="s">
        <v>16314</v>
      </c>
      <c r="E2216" s="109" t="s">
        <v>5558</v>
      </c>
      <c r="F2216" s="109" t="s">
        <v>16315</v>
      </c>
      <c r="G2216" s="110" t="s">
        <v>6248</v>
      </c>
      <c r="H2216" s="110" t="s">
        <v>16316</v>
      </c>
      <c r="I2216" s="110" t="s">
        <v>16317</v>
      </c>
    </row>
    <row r="2217" spans="1:9" ht="25.2" x14ac:dyDescent="0.3">
      <c r="A2217" s="109" t="s">
        <v>16318</v>
      </c>
      <c r="B2217" s="109" t="s">
        <v>15630</v>
      </c>
      <c r="C2217" s="109" t="s">
        <v>15630</v>
      </c>
      <c r="D2217" s="109" t="s">
        <v>16319</v>
      </c>
      <c r="E2217" s="109" t="s">
        <v>5558</v>
      </c>
      <c r="F2217" s="109" t="s">
        <v>16320</v>
      </c>
      <c r="G2217" s="110" t="s">
        <v>6248</v>
      </c>
      <c r="H2217" s="110" t="s">
        <v>16321</v>
      </c>
      <c r="I2217" s="110" t="s">
        <v>16322</v>
      </c>
    </row>
    <row r="2218" spans="1:9" ht="25.2" x14ac:dyDescent="0.3">
      <c r="A2218" s="109" t="s">
        <v>16323</v>
      </c>
      <c r="B2218" s="109" t="s">
        <v>15630</v>
      </c>
      <c r="C2218" s="109" t="s">
        <v>15630</v>
      </c>
      <c r="D2218" s="109" t="s">
        <v>2078</v>
      </c>
      <c r="E2218" s="109" t="s">
        <v>16324</v>
      </c>
      <c r="F2218" s="109" t="s">
        <v>16325</v>
      </c>
      <c r="G2218" s="110" t="s">
        <v>6248</v>
      </c>
      <c r="H2218" s="110" t="s">
        <v>16326</v>
      </c>
      <c r="I2218" s="110" t="s">
        <v>16327</v>
      </c>
    </row>
    <row r="2219" spans="1:9" ht="63" x14ac:dyDescent="0.3">
      <c r="A2219" s="109" t="s">
        <v>16328</v>
      </c>
      <c r="B2219" s="109" t="s">
        <v>15630</v>
      </c>
      <c r="C2219" s="109" t="s">
        <v>15630</v>
      </c>
      <c r="D2219" s="109" t="s">
        <v>8487</v>
      </c>
      <c r="E2219" s="109" t="s">
        <v>8487</v>
      </c>
      <c r="F2219" s="109" t="s">
        <v>16329</v>
      </c>
      <c r="G2219" s="110" t="s">
        <v>6248</v>
      </c>
      <c r="H2219" s="110" t="s">
        <v>6883</v>
      </c>
      <c r="I2219" s="110" t="s">
        <v>16330</v>
      </c>
    </row>
    <row r="2220" spans="1:9" ht="63" x14ac:dyDescent="0.3">
      <c r="A2220" s="109" t="s">
        <v>16331</v>
      </c>
      <c r="B2220" s="109" t="s">
        <v>15630</v>
      </c>
      <c r="C2220" s="109" t="s">
        <v>15630</v>
      </c>
      <c r="D2220" s="109" t="s">
        <v>7512</v>
      </c>
      <c r="E2220" s="109" t="s">
        <v>7512</v>
      </c>
      <c r="F2220" s="109" t="s">
        <v>16332</v>
      </c>
      <c r="G2220" s="110" t="s">
        <v>6248</v>
      </c>
      <c r="H2220" s="110" t="s">
        <v>16333</v>
      </c>
      <c r="I2220" s="110" t="s">
        <v>16334</v>
      </c>
    </row>
    <row r="2221" spans="1:9" ht="63" x14ac:dyDescent="0.3">
      <c r="A2221" s="109" t="s">
        <v>16335</v>
      </c>
      <c r="B2221" s="109" t="s">
        <v>15630</v>
      </c>
      <c r="C2221" s="109" t="s">
        <v>15630</v>
      </c>
      <c r="D2221" s="109" t="s">
        <v>14450</v>
      </c>
      <c r="E2221" s="109" t="s">
        <v>14450</v>
      </c>
      <c r="F2221" s="109" t="s">
        <v>16336</v>
      </c>
      <c r="G2221" s="110" t="s">
        <v>6248</v>
      </c>
      <c r="H2221" s="110" t="s">
        <v>6689</v>
      </c>
      <c r="I2221" s="110" t="s">
        <v>16337</v>
      </c>
    </row>
    <row r="2222" spans="1:9" ht="63" x14ac:dyDescent="0.3">
      <c r="A2222" s="109" t="s">
        <v>16338</v>
      </c>
      <c r="B2222" s="109" t="s">
        <v>15630</v>
      </c>
      <c r="C2222" s="109" t="s">
        <v>15630</v>
      </c>
      <c r="D2222" s="109" t="s">
        <v>6115</v>
      </c>
      <c r="E2222" s="109" t="s">
        <v>6115</v>
      </c>
      <c r="F2222" s="109" t="s">
        <v>6981</v>
      </c>
      <c r="G2222" s="110" t="s">
        <v>6248</v>
      </c>
      <c r="H2222" s="110" t="s">
        <v>6689</v>
      </c>
      <c r="I2222" s="110" t="s">
        <v>16339</v>
      </c>
    </row>
    <row r="2223" spans="1:9" ht="25.2" x14ac:dyDescent="0.3">
      <c r="A2223" s="109" t="s">
        <v>16340</v>
      </c>
      <c r="B2223" s="109" t="s">
        <v>15630</v>
      </c>
      <c r="C2223" s="109" t="s">
        <v>15630</v>
      </c>
      <c r="D2223" s="109" t="s">
        <v>16341</v>
      </c>
      <c r="E2223" s="109" t="s">
        <v>16342</v>
      </c>
      <c r="F2223" s="109" t="s">
        <v>16343</v>
      </c>
      <c r="G2223" s="110" t="s">
        <v>6248</v>
      </c>
      <c r="H2223" s="110" t="s">
        <v>16344</v>
      </c>
      <c r="I2223" s="110" t="s">
        <v>16345</v>
      </c>
    </row>
    <row r="2224" spans="1:9" ht="25.2" x14ac:dyDescent="0.3">
      <c r="A2224" s="109" t="s">
        <v>16346</v>
      </c>
      <c r="B2224" s="109" t="s">
        <v>15630</v>
      </c>
      <c r="C2224" s="109" t="s">
        <v>15630</v>
      </c>
      <c r="D2224" s="109" t="s">
        <v>16347</v>
      </c>
      <c r="E2224" s="109" t="s">
        <v>16301</v>
      </c>
      <c r="F2224" s="109" t="s">
        <v>7045</v>
      </c>
      <c r="G2224" s="110" t="s">
        <v>16348</v>
      </c>
      <c r="H2224" s="110" t="s">
        <v>6248</v>
      </c>
      <c r="I2224" s="110" t="s">
        <v>16349</v>
      </c>
    </row>
    <row r="2225" spans="1:9" ht="63" x14ac:dyDescent="0.3">
      <c r="A2225" s="109" t="s">
        <v>16350</v>
      </c>
      <c r="B2225" s="109" t="s">
        <v>15630</v>
      </c>
      <c r="C2225" s="109" t="s">
        <v>15630</v>
      </c>
      <c r="D2225" s="109" t="s">
        <v>9953</v>
      </c>
      <c r="E2225" s="109" t="s">
        <v>9953</v>
      </c>
      <c r="F2225" s="109" t="s">
        <v>16351</v>
      </c>
      <c r="G2225" s="110" t="s">
        <v>6248</v>
      </c>
      <c r="H2225" s="110" t="s">
        <v>16352</v>
      </c>
      <c r="I2225" s="110" t="s">
        <v>16353</v>
      </c>
    </row>
    <row r="2226" spans="1:9" ht="63" x14ac:dyDescent="0.3">
      <c r="A2226" s="109" t="s">
        <v>16354</v>
      </c>
      <c r="B2226" s="109" t="s">
        <v>15630</v>
      </c>
      <c r="C2226" s="109" t="s">
        <v>15630</v>
      </c>
      <c r="D2226" s="109" t="s">
        <v>16355</v>
      </c>
      <c r="E2226" s="109" t="s">
        <v>16355</v>
      </c>
      <c r="F2226" s="109" t="s">
        <v>16356</v>
      </c>
      <c r="G2226" s="110" t="s">
        <v>6248</v>
      </c>
      <c r="H2226" s="110" t="s">
        <v>16357</v>
      </c>
      <c r="I2226" s="110" t="s">
        <v>16358</v>
      </c>
    </row>
    <row r="2227" spans="1:9" ht="37.799999999999997" x14ac:dyDescent="0.3">
      <c r="A2227" s="109" t="s">
        <v>16359</v>
      </c>
      <c r="B2227" s="109" t="s">
        <v>15630</v>
      </c>
      <c r="C2227" s="109" t="s">
        <v>15630</v>
      </c>
      <c r="D2227" s="109" t="s">
        <v>16360</v>
      </c>
      <c r="E2227" s="109" t="s">
        <v>5558</v>
      </c>
      <c r="F2227" s="109" t="s">
        <v>16361</v>
      </c>
      <c r="G2227" s="110" t="s">
        <v>6248</v>
      </c>
      <c r="H2227" s="110" t="s">
        <v>16362</v>
      </c>
      <c r="I2227" s="110" t="s">
        <v>16363</v>
      </c>
    </row>
    <row r="2228" spans="1:9" ht="50.4" x14ac:dyDescent="0.3">
      <c r="A2228" s="109" t="s">
        <v>16364</v>
      </c>
      <c r="B2228" s="109" t="s">
        <v>15630</v>
      </c>
      <c r="C2228" s="109" t="s">
        <v>15630</v>
      </c>
      <c r="D2228" s="109" t="s">
        <v>16365</v>
      </c>
      <c r="E2228" s="109" t="s">
        <v>16365</v>
      </c>
      <c r="F2228" s="109" t="s">
        <v>16366</v>
      </c>
      <c r="G2228" s="110" t="s">
        <v>6248</v>
      </c>
      <c r="H2228" s="110" t="s">
        <v>16367</v>
      </c>
      <c r="I2228" s="110" t="s">
        <v>16368</v>
      </c>
    </row>
    <row r="2229" spans="1:9" ht="37.799999999999997" x14ac:dyDescent="0.3">
      <c r="A2229" s="109" t="s">
        <v>16369</v>
      </c>
      <c r="B2229" s="109" t="s">
        <v>15630</v>
      </c>
      <c r="C2229" s="109" t="s">
        <v>15630</v>
      </c>
      <c r="D2229" s="109" t="s">
        <v>16370</v>
      </c>
      <c r="E2229" s="109" t="s">
        <v>5558</v>
      </c>
      <c r="F2229" s="109" t="s">
        <v>16371</v>
      </c>
      <c r="G2229" s="110" t="s">
        <v>6248</v>
      </c>
      <c r="H2229" s="110" t="s">
        <v>16372</v>
      </c>
      <c r="I2229" s="110" t="s">
        <v>16373</v>
      </c>
    </row>
    <row r="2230" spans="1:9" ht="37.799999999999997" x14ac:dyDescent="0.3">
      <c r="A2230" s="109" t="s">
        <v>16374</v>
      </c>
      <c r="B2230" s="109" t="s">
        <v>15630</v>
      </c>
      <c r="C2230" s="109" t="s">
        <v>15630</v>
      </c>
      <c r="D2230" s="109" t="s">
        <v>16375</v>
      </c>
      <c r="E2230" s="109" t="s">
        <v>5558</v>
      </c>
      <c r="F2230" s="109" t="s">
        <v>16376</v>
      </c>
      <c r="G2230" s="110" t="s">
        <v>6248</v>
      </c>
      <c r="H2230" s="110" t="s">
        <v>16377</v>
      </c>
      <c r="I2230" s="110" t="s">
        <v>16378</v>
      </c>
    </row>
    <row r="2231" spans="1:9" ht="25.2" x14ac:dyDescent="0.3">
      <c r="A2231" s="109" t="s">
        <v>16379</v>
      </c>
      <c r="B2231" s="109" t="s">
        <v>15630</v>
      </c>
      <c r="C2231" s="109" t="s">
        <v>15630</v>
      </c>
      <c r="D2231" s="109" t="s">
        <v>16380</v>
      </c>
      <c r="E2231" s="109" t="s">
        <v>16381</v>
      </c>
      <c r="F2231" s="109" t="s">
        <v>16382</v>
      </c>
      <c r="G2231" s="110" t="s">
        <v>6248</v>
      </c>
      <c r="H2231" s="110" t="s">
        <v>16383</v>
      </c>
      <c r="I2231" s="110" t="s">
        <v>16384</v>
      </c>
    </row>
    <row r="2232" spans="1:9" ht="25.2" x14ac:dyDescent="0.3">
      <c r="A2232" s="109" t="s">
        <v>16385</v>
      </c>
      <c r="B2232" s="109" t="s">
        <v>15630</v>
      </c>
      <c r="C2232" s="109" t="s">
        <v>15630</v>
      </c>
      <c r="D2232" s="109" t="s">
        <v>16386</v>
      </c>
      <c r="E2232" s="109" t="s">
        <v>5558</v>
      </c>
      <c r="F2232" s="109" t="s">
        <v>16387</v>
      </c>
      <c r="G2232" s="110" t="s">
        <v>6248</v>
      </c>
      <c r="H2232" s="110" t="s">
        <v>16388</v>
      </c>
      <c r="I2232" s="110" t="s">
        <v>16389</v>
      </c>
    </row>
    <row r="2233" spans="1:9" ht="25.2" x14ac:dyDescent="0.3">
      <c r="A2233" s="109" t="s">
        <v>16390</v>
      </c>
      <c r="B2233" s="109" t="s">
        <v>15630</v>
      </c>
      <c r="C2233" s="109" t="s">
        <v>15630</v>
      </c>
      <c r="D2233" s="109" t="s">
        <v>16391</v>
      </c>
      <c r="E2233" s="109" t="s">
        <v>16392</v>
      </c>
      <c r="F2233" s="109" t="s">
        <v>5847</v>
      </c>
      <c r="G2233" s="110" t="s">
        <v>6248</v>
      </c>
      <c r="H2233" s="110" t="s">
        <v>16393</v>
      </c>
      <c r="I2233" s="110" t="s">
        <v>16394</v>
      </c>
    </row>
    <row r="2234" spans="1:9" ht="25.2" x14ac:dyDescent="0.3">
      <c r="A2234" s="109" t="s">
        <v>16395</v>
      </c>
      <c r="B2234" s="109" t="s">
        <v>15630</v>
      </c>
      <c r="C2234" s="109" t="s">
        <v>15630</v>
      </c>
      <c r="D2234" s="109" t="s">
        <v>16396</v>
      </c>
      <c r="E2234" s="109" t="s">
        <v>5558</v>
      </c>
      <c r="F2234" s="109" t="s">
        <v>16397</v>
      </c>
      <c r="G2234" s="110" t="s">
        <v>6248</v>
      </c>
      <c r="H2234" s="110" t="s">
        <v>16398</v>
      </c>
      <c r="I2234" s="110" t="s">
        <v>16399</v>
      </c>
    </row>
    <row r="2235" spans="1:9" ht="25.2" x14ac:dyDescent="0.3">
      <c r="A2235" s="109" t="s">
        <v>16400</v>
      </c>
      <c r="B2235" s="109" t="s">
        <v>15630</v>
      </c>
      <c r="C2235" s="109" t="s">
        <v>15630</v>
      </c>
      <c r="D2235" s="109" t="s">
        <v>16401</v>
      </c>
      <c r="E2235" s="109" t="s">
        <v>16301</v>
      </c>
      <c r="F2235" s="109" t="s">
        <v>7045</v>
      </c>
      <c r="G2235" s="110" t="s">
        <v>16402</v>
      </c>
      <c r="H2235" s="110" t="s">
        <v>6248</v>
      </c>
      <c r="I2235" s="110" t="s">
        <v>16403</v>
      </c>
    </row>
    <row r="2236" spans="1:9" ht="25.2" x14ac:dyDescent="0.3">
      <c r="A2236" s="109" t="s">
        <v>16404</v>
      </c>
      <c r="B2236" s="109" t="s">
        <v>15630</v>
      </c>
      <c r="C2236" s="109" t="s">
        <v>15630</v>
      </c>
      <c r="D2236" s="109" t="s">
        <v>16405</v>
      </c>
      <c r="E2236" s="109" t="s">
        <v>16406</v>
      </c>
      <c r="F2236" s="109" t="s">
        <v>14190</v>
      </c>
      <c r="G2236" s="110" t="s">
        <v>6248</v>
      </c>
      <c r="H2236" s="110" t="s">
        <v>16407</v>
      </c>
      <c r="I2236" s="110" t="s">
        <v>16408</v>
      </c>
    </row>
    <row r="2237" spans="1:9" ht="50.4" x14ac:dyDescent="0.3">
      <c r="A2237" s="109" t="s">
        <v>16409</v>
      </c>
      <c r="B2237" s="109" t="s">
        <v>15630</v>
      </c>
      <c r="C2237" s="109" t="s">
        <v>15630</v>
      </c>
      <c r="D2237" s="109" t="s">
        <v>16410</v>
      </c>
      <c r="E2237" s="109" t="s">
        <v>16411</v>
      </c>
      <c r="F2237" s="109" t="s">
        <v>16412</v>
      </c>
      <c r="G2237" s="110" t="s">
        <v>6248</v>
      </c>
      <c r="H2237" s="110" t="s">
        <v>7624</v>
      </c>
      <c r="I2237" s="110" t="s">
        <v>16413</v>
      </c>
    </row>
    <row r="2238" spans="1:9" ht="37.799999999999997" x14ac:dyDescent="0.3">
      <c r="A2238" s="109" t="s">
        <v>16414</v>
      </c>
      <c r="B2238" s="109" t="s">
        <v>15630</v>
      </c>
      <c r="C2238" s="109" t="s">
        <v>15630</v>
      </c>
      <c r="D2238" s="109" t="s">
        <v>16415</v>
      </c>
      <c r="E2238" s="109" t="s">
        <v>5558</v>
      </c>
      <c r="F2238" s="109" t="s">
        <v>16416</v>
      </c>
      <c r="G2238" s="110" t="s">
        <v>6248</v>
      </c>
      <c r="H2238" s="110" t="s">
        <v>16417</v>
      </c>
      <c r="I2238" s="110" t="s">
        <v>16418</v>
      </c>
    </row>
    <row r="2239" spans="1:9" ht="37.799999999999997" x14ac:dyDescent="0.3">
      <c r="A2239" s="109" t="s">
        <v>16419</v>
      </c>
      <c r="B2239" s="109" t="s">
        <v>15630</v>
      </c>
      <c r="C2239" s="109" t="s">
        <v>15630</v>
      </c>
      <c r="D2239" s="109" t="s">
        <v>16420</v>
      </c>
      <c r="E2239" s="109" t="s">
        <v>5558</v>
      </c>
      <c r="F2239" s="109" t="s">
        <v>16421</v>
      </c>
      <c r="G2239" s="110" t="s">
        <v>6248</v>
      </c>
      <c r="H2239" s="110" t="s">
        <v>16422</v>
      </c>
      <c r="I2239" s="110" t="s">
        <v>16423</v>
      </c>
    </row>
    <row r="2240" spans="1:9" ht="25.2" x14ac:dyDescent="0.3">
      <c r="A2240" s="109" t="s">
        <v>16424</v>
      </c>
      <c r="B2240" s="109" t="s">
        <v>15630</v>
      </c>
      <c r="C2240" s="109" t="s">
        <v>15630</v>
      </c>
      <c r="D2240" s="109" t="s">
        <v>16425</v>
      </c>
      <c r="E2240" s="109" t="s">
        <v>5558</v>
      </c>
      <c r="F2240" s="109" t="s">
        <v>16426</v>
      </c>
      <c r="G2240" s="110" t="s">
        <v>6248</v>
      </c>
      <c r="H2240" s="110" t="s">
        <v>7321</v>
      </c>
      <c r="I2240" s="110" t="s">
        <v>16427</v>
      </c>
    </row>
    <row r="2241" spans="1:9" ht="63" x14ac:dyDescent="0.3">
      <c r="A2241" s="109" t="s">
        <v>16428</v>
      </c>
      <c r="B2241" s="109" t="s">
        <v>15630</v>
      </c>
      <c r="C2241" s="109" t="s">
        <v>15630</v>
      </c>
      <c r="D2241" s="109" t="s">
        <v>11993</v>
      </c>
      <c r="E2241" s="109" t="s">
        <v>11993</v>
      </c>
      <c r="F2241" s="109" t="s">
        <v>16429</v>
      </c>
      <c r="G2241" s="110" t="s">
        <v>6248</v>
      </c>
      <c r="H2241" s="110" t="s">
        <v>16430</v>
      </c>
      <c r="I2241" s="110" t="s">
        <v>16431</v>
      </c>
    </row>
    <row r="2242" spans="1:9" ht="63" x14ac:dyDescent="0.3">
      <c r="A2242" s="109" t="s">
        <v>16432</v>
      </c>
      <c r="B2242" s="109" t="s">
        <v>15630</v>
      </c>
      <c r="C2242" s="109" t="s">
        <v>15630</v>
      </c>
      <c r="D2242" s="109" t="s">
        <v>10686</v>
      </c>
      <c r="E2242" s="109" t="s">
        <v>10686</v>
      </c>
      <c r="F2242" s="109" t="s">
        <v>16433</v>
      </c>
      <c r="G2242" s="110" t="s">
        <v>6248</v>
      </c>
      <c r="H2242" s="110" t="s">
        <v>16434</v>
      </c>
      <c r="I2242" s="110" t="s">
        <v>16435</v>
      </c>
    </row>
    <row r="2243" spans="1:9" ht="63" x14ac:dyDescent="0.3">
      <c r="A2243" s="109" t="s">
        <v>16436</v>
      </c>
      <c r="B2243" s="109" t="s">
        <v>15630</v>
      </c>
      <c r="C2243" s="109" t="s">
        <v>15630</v>
      </c>
      <c r="D2243" s="109" t="s">
        <v>16437</v>
      </c>
      <c r="E2243" s="109" t="s">
        <v>16437</v>
      </c>
      <c r="F2243" s="109" t="s">
        <v>16438</v>
      </c>
      <c r="G2243" s="110" t="s">
        <v>6248</v>
      </c>
      <c r="H2243" s="110" t="s">
        <v>16439</v>
      </c>
      <c r="I2243" s="110" t="s">
        <v>16440</v>
      </c>
    </row>
    <row r="2244" spans="1:9" ht="25.2" x14ac:dyDescent="0.3">
      <c r="A2244" s="109" t="s">
        <v>16441</v>
      </c>
      <c r="B2244" s="109" t="s">
        <v>15630</v>
      </c>
      <c r="C2244" s="109" t="s">
        <v>15630</v>
      </c>
      <c r="D2244" s="109" t="s">
        <v>1966</v>
      </c>
      <c r="E2244" s="109" t="s">
        <v>5558</v>
      </c>
      <c r="F2244" s="109" t="s">
        <v>16442</v>
      </c>
      <c r="G2244" s="110" t="s">
        <v>6248</v>
      </c>
      <c r="H2244" s="110" t="s">
        <v>16443</v>
      </c>
      <c r="I2244" s="110" t="s">
        <v>16444</v>
      </c>
    </row>
    <row r="2245" spans="1:9" ht="25.2" x14ac:dyDescent="0.3">
      <c r="A2245" s="109" t="s">
        <v>16445</v>
      </c>
      <c r="B2245" s="109" t="s">
        <v>15630</v>
      </c>
      <c r="C2245" s="109" t="s">
        <v>15630</v>
      </c>
      <c r="D2245" s="109" t="s">
        <v>16446</v>
      </c>
      <c r="E2245" s="109" t="s">
        <v>5558</v>
      </c>
      <c r="F2245" s="109" t="s">
        <v>16447</v>
      </c>
      <c r="G2245" s="110" t="s">
        <v>6248</v>
      </c>
      <c r="H2245" s="110" t="s">
        <v>16448</v>
      </c>
      <c r="I2245" s="110" t="s">
        <v>16449</v>
      </c>
    </row>
    <row r="2246" spans="1:9" ht="63" x14ac:dyDescent="0.3">
      <c r="A2246" s="109" t="s">
        <v>16450</v>
      </c>
      <c r="B2246" s="109" t="s">
        <v>15630</v>
      </c>
      <c r="C2246" s="109" t="s">
        <v>15630</v>
      </c>
      <c r="D2246" s="109" t="s">
        <v>9689</v>
      </c>
      <c r="E2246" s="109" t="s">
        <v>16451</v>
      </c>
      <c r="F2246" s="109" t="s">
        <v>16452</v>
      </c>
      <c r="G2246" s="110" t="s">
        <v>6248</v>
      </c>
      <c r="H2246" s="110" t="s">
        <v>7321</v>
      </c>
      <c r="I2246" s="110" t="s">
        <v>16453</v>
      </c>
    </row>
    <row r="2247" spans="1:9" ht="75.599999999999994" x14ac:dyDescent="0.3">
      <c r="A2247" s="109" t="s">
        <v>16454</v>
      </c>
      <c r="B2247" s="109" t="s">
        <v>15630</v>
      </c>
      <c r="C2247" s="109" t="s">
        <v>15630</v>
      </c>
      <c r="D2247" s="109" t="s">
        <v>6190</v>
      </c>
      <c r="E2247" s="109" t="s">
        <v>6190</v>
      </c>
      <c r="F2247" s="109" t="s">
        <v>16455</v>
      </c>
      <c r="G2247" s="110" t="s">
        <v>6248</v>
      </c>
      <c r="H2247" s="110" t="s">
        <v>16456</v>
      </c>
      <c r="I2247" s="110" t="s">
        <v>16457</v>
      </c>
    </row>
    <row r="2248" spans="1:9" ht="25.2" x14ac:dyDescent="0.3">
      <c r="A2248" s="109" t="s">
        <v>16458</v>
      </c>
      <c r="B2248" s="109" t="s">
        <v>15630</v>
      </c>
      <c r="C2248" s="109" t="s">
        <v>15630</v>
      </c>
      <c r="D2248" s="109" t="s">
        <v>16459</v>
      </c>
      <c r="E2248" s="109" t="s">
        <v>5558</v>
      </c>
      <c r="F2248" s="109" t="s">
        <v>16460</v>
      </c>
      <c r="G2248" s="110" t="s">
        <v>6248</v>
      </c>
      <c r="H2248" s="110" t="s">
        <v>6273</v>
      </c>
      <c r="I2248" s="110" t="s">
        <v>16461</v>
      </c>
    </row>
    <row r="2249" spans="1:9" ht="25.2" x14ac:dyDescent="0.3">
      <c r="A2249" s="109" t="s">
        <v>16462</v>
      </c>
      <c r="B2249" s="109" t="s">
        <v>15630</v>
      </c>
      <c r="C2249" s="109" t="s">
        <v>15630</v>
      </c>
      <c r="D2249" s="109" t="s">
        <v>16463</v>
      </c>
      <c r="E2249" s="109" t="s">
        <v>16464</v>
      </c>
      <c r="F2249" s="109" t="s">
        <v>16465</v>
      </c>
      <c r="G2249" s="110" t="s">
        <v>6248</v>
      </c>
      <c r="H2249" s="110" t="s">
        <v>16466</v>
      </c>
      <c r="I2249" s="110" t="s">
        <v>16467</v>
      </c>
    </row>
    <row r="2250" spans="1:9" ht="63" x14ac:dyDescent="0.3">
      <c r="A2250" s="109" t="s">
        <v>16468</v>
      </c>
      <c r="B2250" s="109" t="s">
        <v>15630</v>
      </c>
      <c r="C2250" s="109" t="s">
        <v>15630</v>
      </c>
      <c r="D2250" s="109" t="s">
        <v>16469</v>
      </c>
      <c r="E2250" s="109" t="s">
        <v>16469</v>
      </c>
      <c r="F2250" s="109" t="s">
        <v>16470</v>
      </c>
      <c r="G2250" s="110" t="s">
        <v>6248</v>
      </c>
      <c r="H2250" s="110" t="s">
        <v>16471</v>
      </c>
      <c r="I2250" s="110" t="s">
        <v>16472</v>
      </c>
    </row>
    <row r="2251" spans="1:9" ht="50.4" x14ac:dyDescent="0.3">
      <c r="A2251" s="109" t="s">
        <v>16473</v>
      </c>
      <c r="B2251" s="109" t="s">
        <v>15630</v>
      </c>
      <c r="C2251" s="109" t="s">
        <v>15630</v>
      </c>
      <c r="D2251" s="109" t="s">
        <v>16474</v>
      </c>
      <c r="E2251" s="109" t="s">
        <v>16474</v>
      </c>
      <c r="F2251" s="109" t="s">
        <v>16475</v>
      </c>
      <c r="G2251" s="110" t="s">
        <v>6248</v>
      </c>
      <c r="H2251" s="110" t="s">
        <v>16476</v>
      </c>
      <c r="I2251" s="110" t="s">
        <v>16477</v>
      </c>
    </row>
    <row r="2252" spans="1:9" ht="25.2" x14ac:dyDescent="0.3">
      <c r="A2252" s="109" t="s">
        <v>16478</v>
      </c>
      <c r="B2252" s="109" t="s">
        <v>15630</v>
      </c>
      <c r="C2252" s="109" t="s">
        <v>15630</v>
      </c>
      <c r="D2252" s="109" t="s">
        <v>16479</v>
      </c>
      <c r="E2252" s="109" t="s">
        <v>16480</v>
      </c>
      <c r="F2252" s="109" t="s">
        <v>16481</v>
      </c>
      <c r="G2252" s="110" t="s">
        <v>6248</v>
      </c>
      <c r="H2252" s="110" t="s">
        <v>16482</v>
      </c>
      <c r="I2252" s="110" t="s">
        <v>16483</v>
      </c>
    </row>
    <row r="2253" spans="1:9" ht="37.799999999999997" x14ac:dyDescent="0.3">
      <c r="A2253" s="109" t="s">
        <v>16484</v>
      </c>
      <c r="B2253" s="109" t="s">
        <v>15630</v>
      </c>
      <c r="C2253" s="109" t="s">
        <v>15630</v>
      </c>
      <c r="D2253" s="109" t="s">
        <v>16485</v>
      </c>
      <c r="E2253" s="109" t="s">
        <v>5558</v>
      </c>
      <c r="F2253" s="109" t="s">
        <v>16486</v>
      </c>
      <c r="G2253" s="110" t="s">
        <v>6248</v>
      </c>
      <c r="H2253" s="110" t="s">
        <v>16487</v>
      </c>
      <c r="I2253" s="110" t="s">
        <v>16488</v>
      </c>
    </row>
    <row r="2254" spans="1:9" ht="25.2" x14ac:dyDescent="0.3">
      <c r="A2254" s="109" t="s">
        <v>16489</v>
      </c>
      <c r="B2254" s="109" t="s">
        <v>15630</v>
      </c>
      <c r="C2254" s="109" t="s">
        <v>15630</v>
      </c>
      <c r="D2254" s="109" t="s">
        <v>16490</v>
      </c>
      <c r="E2254" s="109" t="s">
        <v>5558</v>
      </c>
      <c r="F2254" s="109" t="s">
        <v>16491</v>
      </c>
      <c r="G2254" s="110" t="s">
        <v>6248</v>
      </c>
      <c r="H2254" s="110" t="s">
        <v>16492</v>
      </c>
      <c r="I2254" s="110" t="s">
        <v>16493</v>
      </c>
    </row>
    <row r="2255" spans="1:9" ht="25.2" x14ac:dyDescent="0.3">
      <c r="A2255" s="109" t="s">
        <v>16494</v>
      </c>
      <c r="B2255" s="109" t="s">
        <v>15630</v>
      </c>
      <c r="C2255" s="109" t="s">
        <v>15630</v>
      </c>
      <c r="D2255" s="109" t="s">
        <v>16495</v>
      </c>
      <c r="E2255" s="109" t="s">
        <v>5558</v>
      </c>
      <c r="F2255" s="109" t="s">
        <v>16496</v>
      </c>
      <c r="G2255" s="110" t="s">
        <v>6248</v>
      </c>
      <c r="H2255" s="110" t="s">
        <v>16497</v>
      </c>
      <c r="I2255" s="110" t="s">
        <v>16498</v>
      </c>
    </row>
    <row r="2256" spans="1:9" ht="37.799999999999997" x14ac:dyDescent="0.3">
      <c r="A2256" s="109" t="s">
        <v>16499</v>
      </c>
      <c r="B2256" s="109" t="s">
        <v>15630</v>
      </c>
      <c r="C2256" s="109" t="s">
        <v>15630</v>
      </c>
      <c r="D2256" s="109" t="s">
        <v>16500</v>
      </c>
      <c r="E2256" s="109" t="s">
        <v>5558</v>
      </c>
      <c r="F2256" s="109" t="s">
        <v>16501</v>
      </c>
      <c r="G2256" s="110" t="s">
        <v>6248</v>
      </c>
      <c r="H2256" s="110" t="s">
        <v>15639</v>
      </c>
      <c r="I2256" s="110" t="s">
        <v>16502</v>
      </c>
    </row>
    <row r="2257" spans="1:9" ht="25.2" x14ac:dyDescent="0.3">
      <c r="A2257" s="109" t="s">
        <v>16503</v>
      </c>
      <c r="B2257" s="109" t="s">
        <v>15630</v>
      </c>
      <c r="C2257" s="109" t="s">
        <v>15630</v>
      </c>
      <c r="D2257" s="109" t="s">
        <v>16504</v>
      </c>
      <c r="E2257" s="109" t="s">
        <v>5558</v>
      </c>
      <c r="F2257" s="109" t="s">
        <v>16505</v>
      </c>
      <c r="G2257" s="110" t="s">
        <v>6248</v>
      </c>
      <c r="H2257" s="110" t="s">
        <v>7504</v>
      </c>
      <c r="I2257" s="110" t="s">
        <v>16506</v>
      </c>
    </row>
    <row r="2258" spans="1:9" ht="25.2" x14ac:dyDescent="0.3">
      <c r="A2258" s="109" t="s">
        <v>16507</v>
      </c>
      <c r="B2258" s="109" t="s">
        <v>15630</v>
      </c>
      <c r="C2258" s="109" t="s">
        <v>15630</v>
      </c>
      <c r="D2258" s="109" t="s">
        <v>16508</v>
      </c>
      <c r="E2258" s="109" t="s">
        <v>5558</v>
      </c>
      <c r="F2258" s="109" t="s">
        <v>16509</v>
      </c>
      <c r="G2258" s="110" t="s">
        <v>6248</v>
      </c>
      <c r="H2258" s="110" t="s">
        <v>16510</v>
      </c>
      <c r="I2258" s="110" t="s">
        <v>16511</v>
      </c>
    </row>
    <row r="2259" spans="1:9" ht="25.2" x14ac:dyDescent="0.3">
      <c r="A2259" s="109" t="s">
        <v>16512</v>
      </c>
      <c r="B2259" s="109" t="s">
        <v>15630</v>
      </c>
      <c r="C2259" s="109" t="s">
        <v>15630</v>
      </c>
      <c r="D2259" s="109" t="s">
        <v>16513</v>
      </c>
      <c r="E2259" s="109" t="s">
        <v>5558</v>
      </c>
      <c r="F2259" s="109" t="s">
        <v>16514</v>
      </c>
      <c r="G2259" s="110" t="s">
        <v>6248</v>
      </c>
      <c r="H2259" s="110" t="s">
        <v>16515</v>
      </c>
      <c r="I2259" s="110" t="s">
        <v>16516</v>
      </c>
    </row>
    <row r="2260" spans="1:9" ht="37.799999999999997" x14ac:dyDescent="0.3">
      <c r="A2260" s="109" t="s">
        <v>16517</v>
      </c>
      <c r="B2260" s="109" t="s">
        <v>15630</v>
      </c>
      <c r="C2260" s="109" t="s">
        <v>15630</v>
      </c>
      <c r="D2260" s="109" t="s">
        <v>16518</v>
      </c>
      <c r="E2260" s="109" t="s">
        <v>5558</v>
      </c>
      <c r="F2260" s="109" t="s">
        <v>16519</v>
      </c>
      <c r="G2260" s="110" t="s">
        <v>6248</v>
      </c>
      <c r="H2260" s="110" t="s">
        <v>16520</v>
      </c>
      <c r="I2260" s="110" t="s">
        <v>16521</v>
      </c>
    </row>
    <row r="2261" spans="1:9" ht="37.799999999999997" x14ac:dyDescent="0.3">
      <c r="A2261" s="109" t="s">
        <v>16522</v>
      </c>
      <c r="B2261" s="109" t="s">
        <v>15630</v>
      </c>
      <c r="C2261" s="109" t="s">
        <v>15630</v>
      </c>
      <c r="D2261" s="109" t="s">
        <v>16523</v>
      </c>
      <c r="E2261" s="109" t="s">
        <v>5558</v>
      </c>
      <c r="F2261" s="109" t="s">
        <v>16524</v>
      </c>
      <c r="G2261" s="110" t="s">
        <v>6248</v>
      </c>
      <c r="H2261" s="110" t="s">
        <v>16525</v>
      </c>
      <c r="I2261" s="110" t="s">
        <v>16526</v>
      </c>
    </row>
    <row r="2262" spans="1:9" ht="25.2" x14ac:dyDescent="0.3">
      <c r="A2262" s="109" t="s">
        <v>16527</v>
      </c>
      <c r="B2262" s="109" t="s">
        <v>15630</v>
      </c>
      <c r="C2262" s="109" t="s">
        <v>15630</v>
      </c>
      <c r="D2262" s="109" t="s">
        <v>16528</v>
      </c>
      <c r="E2262" s="109" t="s">
        <v>16529</v>
      </c>
      <c r="F2262" s="109" t="s">
        <v>16530</v>
      </c>
      <c r="G2262" s="110" t="s">
        <v>6248</v>
      </c>
      <c r="H2262" s="110" t="s">
        <v>16531</v>
      </c>
      <c r="I2262" s="110" t="s">
        <v>16532</v>
      </c>
    </row>
    <row r="2263" spans="1:9" ht="25.2" x14ac:dyDescent="0.3">
      <c r="A2263" s="109" t="s">
        <v>16533</v>
      </c>
      <c r="B2263" s="109" t="s">
        <v>15630</v>
      </c>
      <c r="C2263" s="109" t="s">
        <v>15630</v>
      </c>
      <c r="D2263" s="109" t="s">
        <v>16534</v>
      </c>
      <c r="E2263" s="109" t="s">
        <v>5558</v>
      </c>
      <c r="F2263" s="109" t="s">
        <v>16535</v>
      </c>
      <c r="G2263" s="110" t="s">
        <v>6248</v>
      </c>
      <c r="H2263" s="110" t="s">
        <v>13714</v>
      </c>
      <c r="I2263" s="110" t="s">
        <v>16536</v>
      </c>
    </row>
    <row r="2264" spans="1:9" ht="25.2" x14ac:dyDescent="0.3">
      <c r="A2264" s="109" t="s">
        <v>16537</v>
      </c>
      <c r="B2264" s="109" t="s">
        <v>15630</v>
      </c>
      <c r="C2264" s="109" t="s">
        <v>15630</v>
      </c>
      <c r="D2264" s="109" t="s">
        <v>16538</v>
      </c>
      <c r="E2264" s="109" t="s">
        <v>5558</v>
      </c>
      <c r="F2264" s="109" t="s">
        <v>16539</v>
      </c>
      <c r="G2264" s="110" t="s">
        <v>6248</v>
      </c>
      <c r="H2264" s="110" t="s">
        <v>16540</v>
      </c>
      <c r="I2264" s="110" t="s">
        <v>16541</v>
      </c>
    </row>
    <row r="2265" spans="1:9" ht="37.799999999999997" x14ac:dyDescent="0.3">
      <c r="A2265" s="109" t="s">
        <v>16542</v>
      </c>
      <c r="B2265" s="109" t="s">
        <v>15630</v>
      </c>
      <c r="C2265" s="109" t="s">
        <v>15630</v>
      </c>
      <c r="D2265" s="109" t="s">
        <v>16543</v>
      </c>
      <c r="E2265" s="109" t="s">
        <v>5558</v>
      </c>
      <c r="F2265" s="109" t="s">
        <v>16544</v>
      </c>
      <c r="G2265" s="110" t="s">
        <v>6248</v>
      </c>
      <c r="H2265" s="110" t="s">
        <v>16545</v>
      </c>
      <c r="I2265" s="110" t="s">
        <v>16546</v>
      </c>
    </row>
    <row r="2266" spans="1:9" ht="37.799999999999997" x14ac:dyDescent="0.3">
      <c r="A2266" s="109" t="s">
        <v>16547</v>
      </c>
      <c r="B2266" s="109" t="s">
        <v>15630</v>
      </c>
      <c r="C2266" s="109" t="s">
        <v>15630</v>
      </c>
      <c r="D2266" s="109" t="s">
        <v>16548</v>
      </c>
      <c r="E2266" s="109" t="s">
        <v>5558</v>
      </c>
      <c r="F2266" s="109" t="s">
        <v>16549</v>
      </c>
      <c r="G2266" s="110" t="s">
        <v>6248</v>
      </c>
      <c r="H2266" s="110" t="s">
        <v>6689</v>
      </c>
      <c r="I2266" s="110" t="s">
        <v>16550</v>
      </c>
    </row>
    <row r="2267" spans="1:9" ht="37.799999999999997" x14ac:dyDescent="0.3">
      <c r="A2267" s="109" t="s">
        <v>16551</v>
      </c>
      <c r="B2267" s="109" t="s">
        <v>15630</v>
      </c>
      <c r="C2267" s="109" t="s">
        <v>15630</v>
      </c>
      <c r="D2267" s="109" t="s">
        <v>16552</v>
      </c>
      <c r="E2267" s="109" t="s">
        <v>5558</v>
      </c>
      <c r="F2267" s="109" t="s">
        <v>16553</v>
      </c>
      <c r="G2267" s="110" t="s">
        <v>6248</v>
      </c>
      <c r="H2267" s="110" t="s">
        <v>16554</v>
      </c>
      <c r="I2267" s="110" t="s">
        <v>16555</v>
      </c>
    </row>
    <row r="2268" spans="1:9" ht="25.2" x14ac:dyDescent="0.3">
      <c r="A2268" s="109" t="s">
        <v>16556</v>
      </c>
      <c r="B2268" s="109" t="s">
        <v>15630</v>
      </c>
      <c r="C2268" s="109" t="s">
        <v>15630</v>
      </c>
      <c r="D2268" s="109" t="s">
        <v>16557</v>
      </c>
      <c r="E2268" s="109" t="s">
        <v>5558</v>
      </c>
      <c r="F2268" s="109" t="s">
        <v>16558</v>
      </c>
      <c r="G2268" s="110" t="s">
        <v>6248</v>
      </c>
      <c r="H2268" s="110" t="s">
        <v>6341</v>
      </c>
      <c r="I2268" s="110" t="s">
        <v>16559</v>
      </c>
    </row>
    <row r="2269" spans="1:9" ht="37.799999999999997" x14ac:dyDescent="0.3">
      <c r="A2269" s="109" t="s">
        <v>16560</v>
      </c>
      <c r="B2269" s="109" t="s">
        <v>15630</v>
      </c>
      <c r="C2269" s="109" t="s">
        <v>15630</v>
      </c>
      <c r="D2269" s="109" t="s">
        <v>16561</v>
      </c>
      <c r="E2269" s="109" t="s">
        <v>16561</v>
      </c>
      <c r="F2269" s="109" t="s">
        <v>16562</v>
      </c>
      <c r="G2269" s="110" t="s">
        <v>6248</v>
      </c>
      <c r="H2269" s="110" t="s">
        <v>16563</v>
      </c>
      <c r="I2269" s="110" t="s">
        <v>16564</v>
      </c>
    </row>
    <row r="2270" spans="1:9" ht="50.4" x14ac:dyDescent="0.3">
      <c r="A2270" s="109" t="s">
        <v>16565</v>
      </c>
      <c r="B2270" s="109" t="s">
        <v>15630</v>
      </c>
      <c r="C2270" s="109" t="s">
        <v>15630</v>
      </c>
      <c r="D2270" s="109" t="s">
        <v>16566</v>
      </c>
      <c r="E2270" s="109" t="s">
        <v>16566</v>
      </c>
      <c r="F2270" s="109" t="s">
        <v>16567</v>
      </c>
      <c r="G2270" s="110" t="s">
        <v>6248</v>
      </c>
      <c r="H2270" s="110" t="s">
        <v>16568</v>
      </c>
      <c r="I2270" s="110" t="s">
        <v>16569</v>
      </c>
    </row>
    <row r="2271" spans="1:9" ht="37.799999999999997" x14ac:dyDescent="0.3">
      <c r="A2271" s="109" t="s">
        <v>16570</v>
      </c>
      <c r="B2271" s="109" t="s">
        <v>15630</v>
      </c>
      <c r="C2271" s="109" t="s">
        <v>15630</v>
      </c>
      <c r="D2271" s="109" t="s">
        <v>16571</v>
      </c>
      <c r="E2271" s="109" t="s">
        <v>16566</v>
      </c>
      <c r="F2271" s="109" t="s">
        <v>16572</v>
      </c>
      <c r="G2271" s="110" t="s">
        <v>16568</v>
      </c>
      <c r="H2271" s="110" t="s">
        <v>6248</v>
      </c>
      <c r="I2271" s="110" t="s">
        <v>16564</v>
      </c>
    </row>
    <row r="2272" spans="1:9" ht="50.4" x14ac:dyDescent="0.3">
      <c r="A2272" s="109" t="s">
        <v>16573</v>
      </c>
      <c r="B2272" s="109" t="s">
        <v>15630</v>
      </c>
      <c r="C2272" s="109" t="s">
        <v>15630</v>
      </c>
      <c r="D2272" s="109" t="s">
        <v>16574</v>
      </c>
      <c r="E2272" s="109" t="s">
        <v>16574</v>
      </c>
      <c r="F2272" s="109" t="s">
        <v>16575</v>
      </c>
      <c r="G2272" s="110" t="s">
        <v>6248</v>
      </c>
      <c r="H2272" s="110" t="s">
        <v>7775</v>
      </c>
      <c r="I2272" s="110" t="s">
        <v>16576</v>
      </c>
    </row>
    <row r="2273" spans="1:9" ht="50.4" x14ac:dyDescent="0.3">
      <c r="A2273" s="109" t="s">
        <v>16577</v>
      </c>
      <c r="B2273" s="109" t="s">
        <v>15630</v>
      </c>
      <c r="C2273" s="109" t="s">
        <v>15630</v>
      </c>
      <c r="D2273" s="109" t="s">
        <v>16578</v>
      </c>
      <c r="E2273" s="109" t="s">
        <v>16578</v>
      </c>
      <c r="F2273" s="109" t="s">
        <v>16579</v>
      </c>
      <c r="G2273" s="110" t="s">
        <v>6248</v>
      </c>
      <c r="H2273" s="110" t="s">
        <v>9843</v>
      </c>
      <c r="I2273" s="110" t="s">
        <v>16580</v>
      </c>
    </row>
    <row r="2274" spans="1:9" ht="37.799999999999997" x14ac:dyDescent="0.3">
      <c r="A2274" s="109" t="s">
        <v>16581</v>
      </c>
      <c r="B2274" s="109" t="s">
        <v>15630</v>
      </c>
      <c r="C2274" s="109" t="s">
        <v>15630</v>
      </c>
      <c r="D2274" s="109" t="s">
        <v>16582</v>
      </c>
      <c r="E2274" s="109" t="s">
        <v>16583</v>
      </c>
      <c r="F2274" s="109" t="s">
        <v>16584</v>
      </c>
      <c r="G2274" s="110" t="s">
        <v>6248</v>
      </c>
      <c r="H2274" s="110" t="s">
        <v>10193</v>
      </c>
      <c r="I2274" s="110" t="s">
        <v>16585</v>
      </c>
    </row>
    <row r="2275" spans="1:9" ht="37.799999999999997" x14ac:dyDescent="0.3">
      <c r="A2275" s="109" t="s">
        <v>16586</v>
      </c>
      <c r="B2275" s="109" t="s">
        <v>15630</v>
      </c>
      <c r="C2275" s="109" t="s">
        <v>15630</v>
      </c>
      <c r="D2275" s="109" t="s">
        <v>16587</v>
      </c>
      <c r="E2275" s="109" t="s">
        <v>5558</v>
      </c>
      <c r="F2275" s="109" t="s">
        <v>16588</v>
      </c>
      <c r="G2275" s="110" t="s">
        <v>6248</v>
      </c>
      <c r="H2275" s="110" t="s">
        <v>16589</v>
      </c>
      <c r="I2275" s="110" t="s">
        <v>16590</v>
      </c>
    </row>
    <row r="2276" spans="1:9" ht="50.4" x14ac:dyDescent="0.3">
      <c r="A2276" s="109" t="s">
        <v>16591</v>
      </c>
      <c r="B2276" s="109" t="s">
        <v>15630</v>
      </c>
      <c r="C2276" s="109" t="s">
        <v>15630</v>
      </c>
      <c r="D2276" s="109" t="s">
        <v>16592</v>
      </c>
      <c r="E2276" s="109" t="s">
        <v>16592</v>
      </c>
      <c r="F2276" s="109" t="s">
        <v>16593</v>
      </c>
      <c r="G2276" s="110" t="s">
        <v>6248</v>
      </c>
      <c r="H2276" s="110" t="s">
        <v>16594</v>
      </c>
      <c r="I2276" s="110" t="s">
        <v>16595</v>
      </c>
    </row>
    <row r="2277" spans="1:9" ht="50.4" x14ac:dyDescent="0.3">
      <c r="A2277" s="109" t="s">
        <v>16596</v>
      </c>
      <c r="B2277" s="109" t="s">
        <v>15630</v>
      </c>
      <c r="C2277" s="109" t="s">
        <v>15630</v>
      </c>
      <c r="D2277" s="109" t="s">
        <v>16597</v>
      </c>
      <c r="E2277" s="109" t="s">
        <v>16597</v>
      </c>
      <c r="F2277" s="109" t="s">
        <v>16598</v>
      </c>
      <c r="G2277" s="110" t="s">
        <v>6248</v>
      </c>
      <c r="H2277" s="110" t="s">
        <v>16599</v>
      </c>
      <c r="I2277" s="110" t="s">
        <v>16600</v>
      </c>
    </row>
    <row r="2278" spans="1:9" ht="50.4" x14ac:dyDescent="0.3">
      <c r="A2278" s="109" t="s">
        <v>16601</v>
      </c>
      <c r="B2278" s="109" t="s">
        <v>15630</v>
      </c>
      <c r="C2278" s="109" t="s">
        <v>15630</v>
      </c>
      <c r="D2278" s="109" t="s">
        <v>16602</v>
      </c>
      <c r="E2278" s="109" t="s">
        <v>16602</v>
      </c>
      <c r="F2278" s="109" t="s">
        <v>16603</v>
      </c>
      <c r="G2278" s="110" t="s">
        <v>6248</v>
      </c>
      <c r="H2278" s="110" t="s">
        <v>16604</v>
      </c>
      <c r="I2278" s="110" t="s">
        <v>16605</v>
      </c>
    </row>
    <row r="2279" spans="1:9" ht="50.4" x14ac:dyDescent="0.3">
      <c r="A2279" s="109" t="s">
        <v>16606</v>
      </c>
      <c r="B2279" s="109" t="s">
        <v>15630</v>
      </c>
      <c r="C2279" s="109" t="s">
        <v>15630</v>
      </c>
      <c r="D2279" s="109" t="s">
        <v>16607</v>
      </c>
      <c r="E2279" s="109" t="s">
        <v>16607</v>
      </c>
      <c r="F2279" s="109" t="s">
        <v>16608</v>
      </c>
      <c r="G2279" s="110" t="s">
        <v>6248</v>
      </c>
      <c r="H2279" s="110" t="s">
        <v>7480</v>
      </c>
      <c r="I2279" s="110" t="s">
        <v>16609</v>
      </c>
    </row>
    <row r="2280" spans="1:9" ht="50.4" x14ac:dyDescent="0.3">
      <c r="A2280" s="109" t="s">
        <v>16610</v>
      </c>
      <c r="B2280" s="109" t="s">
        <v>15630</v>
      </c>
      <c r="C2280" s="109" t="s">
        <v>15630</v>
      </c>
      <c r="D2280" s="109" t="s">
        <v>7512</v>
      </c>
      <c r="E2280" s="109" t="s">
        <v>7512</v>
      </c>
      <c r="F2280" s="109" t="s">
        <v>16611</v>
      </c>
      <c r="G2280" s="110" t="s">
        <v>6248</v>
      </c>
      <c r="H2280" s="110" t="s">
        <v>16612</v>
      </c>
      <c r="I2280" s="110" t="s">
        <v>16613</v>
      </c>
    </row>
    <row r="2281" spans="1:9" ht="50.4" x14ac:dyDescent="0.3">
      <c r="A2281" s="109" t="s">
        <v>16614</v>
      </c>
      <c r="B2281" s="109" t="s">
        <v>15630</v>
      </c>
      <c r="C2281" s="109" t="s">
        <v>15630</v>
      </c>
      <c r="D2281" s="109" t="s">
        <v>16615</v>
      </c>
      <c r="E2281" s="109" t="s">
        <v>16615</v>
      </c>
      <c r="F2281" s="109" t="s">
        <v>16616</v>
      </c>
      <c r="G2281" s="110" t="s">
        <v>6248</v>
      </c>
      <c r="H2281" s="110" t="s">
        <v>10131</v>
      </c>
      <c r="I2281" s="110" t="s">
        <v>16617</v>
      </c>
    </row>
    <row r="2282" spans="1:9" ht="25.2" x14ac:dyDescent="0.3">
      <c r="A2282" s="109" t="s">
        <v>16618</v>
      </c>
      <c r="B2282" s="109" t="s">
        <v>15630</v>
      </c>
      <c r="C2282" s="109" t="s">
        <v>15630</v>
      </c>
      <c r="D2282" s="109" t="s">
        <v>5569</v>
      </c>
      <c r="E2282" s="109" t="s">
        <v>5558</v>
      </c>
      <c r="F2282" s="109" t="s">
        <v>2258</v>
      </c>
      <c r="G2282" s="110" t="s">
        <v>6248</v>
      </c>
      <c r="H2282" s="110" t="s">
        <v>16619</v>
      </c>
      <c r="I2282" s="110" t="s">
        <v>16620</v>
      </c>
    </row>
    <row r="2283" spans="1:9" ht="37.799999999999997" x14ac:dyDescent="0.3">
      <c r="A2283" s="109" t="s">
        <v>16621</v>
      </c>
      <c r="B2283" s="109" t="s">
        <v>15630</v>
      </c>
      <c r="C2283" s="109" t="s">
        <v>15630</v>
      </c>
      <c r="D2283" s="109" t="s">
        <v>16622</v>
      </c>
      <c r="E2283" s="109" t="s">
        <v>16623</v>
      </c>
      <c r="F2283" s="109" t="s">
        <v>16624</v>
      </c>
      <c r="G2283" s="110" t="s">
        <v>6248</v>
      </c>
      <c r="H2283" s="110" t="s">
        <v>16625</v>
      </c>
      <c r="I2283" s="110" t="s">
        <v>16626</v>
      </c>
    </row>
    <row r="2284" spans="1:9" ht="25.2" x14ac:dyDescent="0.3">
      <c r="A2284" s="109" t="s">
        <v>16627</v>
      </c>
      <c r="B2284" s="109" t="s">
        <v>15630</v>
      </c>
      <c r="C2284" s="109" t="s">
        <v>15630</v>
      </c>
      <c r="D2284" s="109" t="s">
        <v>9953</v>
      </c>
      <c r="E2284" s="109" t="s">
        <v>16628</v>
      </c>
      <c r="F2284" s="109" t="s">
        <v>16629</v>
      </c>
      <c r="G2284" s="110" t="s">
        <v>6248</v>
      </c>
      <c r="H2284" s="110" t="s">
        <v>16630</v>
      </c>
      <c r="I2284" s="110" t="s">
        <v>16631</v>
      </c>
    </row>
    <row r="2285" spans="1:9" ht="50.4" x14ac:dyDescent="0.3">
      <c r="A2285" s="109" t="s">
        <v>16632</v>
      </c>
      <c r="B2285" s="109" t="s">
        <v>15630</v>
      </c>
      <c r="C2285" s="109" t="s">
        <v>15630</v>
      </c>
      <c r="D2285" s="109" t="s">
        <v>16633</v>
      </c>
      <c r="E2285" s="109" t="s">
        <v>16633</v>
      </c>
      <c r="F2285" s="109" t="s">
        <v>16634</v>
      </c>
      <c r="G2285" s="110" t="s">
        <v>6248</v>
      </c>
      <c r="H2285" s="110" t="s">
        <v>16635</v>
      </c>
      <c r="I2285" s="110" t="s">
        <v>16636</v>
      </c>
    </row>
    <row r="2286" spans="1:9" ht="50.4" x14ac:dyDescent="0.3">
      <c r="A2286" s="109" t="s">
        <v>16637</v>
      </c>
      <c r="B2286" s="109" t="s">
        <v>15630</v>
      </c>
      <c r="C2286" s="109" t="s">
        <v>15630</v>
      </c>
      <c r="D2286" s="109" t="s">
        <v>7651</v>
      </c>
      <c r="E2286" s="109" t="s">
        <v>7651</v>
      </c>
      <c r="F2286" s="109" t="s">
        <v>16638</v>
      </c>
      <c r="G2286" s="110" t="s">
        <v>6248</v>
      </c>
      <c r="H2286" s="110" t="s">
        <v>16639</v>
      </c>
      <c r="I2286" s="110" t="s">
        <v>16640</v>
      </c>
    </row>
    <row r="2287" spans="1:9" ht="37.799999999999997" x14ac:dyDescent="0.3">
      <c r="A2287" s="109" t="s">
        <v>16641</v>
      </c>
      <c r="B2287" s="109" t="s">
        <v>15630</v>
      </c>
      <c r="C2287" s="109" t="s">
        <v>15630</v>
      </c>
      <c r="D2287" s="109" t="s">
        <v>16642</v>
      </c>
      <c r="E2287" s="109" t="s">
        <v>9998</v>
      </c>
      <c r="F2287" s="109" t="s">
        <v>16643</v>
      </c>
      <c r="G2287" s="110" t="s">
        <v>6248</v>
      </c>
      <c r="H2287" s="110" t="s">
        <v>16644</v>
      </c>
      <c r="I2287" s="110" t="s">
        <v>16645</v>
      </c>
    </row>
    <row r="2288" spans="1:9" ht="25.2" x14ac:dyDescent="0.3">
      <c r="A2288" s="109" t="s">
        <v>16646</v>
      </c>
      <c r="B2288" s="109" t="s">
        <v>15630</v>
      </c>
      <c r="C2288" s="109" t="s">
        <v>15630</v>
      </c>
      <c r="D2288" s="109" t="s">
        <v>16647</v>
      </c>
      <c r="E2288" s="109" t="s">
        <v>5558</v>
      </c>
      <c r="F2288" s="109" t="s">
        <v>16648</v>
      </c>
      <c r="G2288" s="110" t="s">
        <v>6248</v>
      </c>
      <c r="H2288" s="110" t="s">
        <v>6883</v>
      </c>
      <c r="I2288" s="110" t="s">
        <v>16649</v>
      </c>
    </row>
    <row r="2289" spans="1:9" ht="37.799999999999997" x14ac:dyDescent="0.3">
      <c r="A2289" s="109" t="s">
        <v>16650</v>
      </c>
      <c r="B2289" s="109" t="s">
        <v>15630</v>
      </c>
      <c r="C2289" s="109" t="s">
        <v>15630</v>
      </c>
      <c r="D2289" s="109" t="s">
        <v>16651</v>
      </c>
      <c r="E2289" s="109" t="s">
        <v>16651</v>
      </c>
      <c r="F2289" s="109" t="s">
        <v>16652</v>
      </c>
      <c r="G2289" s="110" t="s">
        <v>6248</v>
      </c>
      <c r="H2289" s="110" t="s">
        <v>16653</v>
      </c>
      <c r="I2289" s="110" t="s">
        <v>16654</v>
      </c>
    </row>
    <row r="2290" spans="1:9" ht="37.799999999999997" x14ac:dyDescent="0.3">
      <c r="A2290" s="109" t="s">
        <v>16655</v>
      </c>
      <c r="B2290" s="109" t="s">
        <v>15630</v>
      </c>
      <c r="C2290" s="109" t="s">
        <v>15630</v>
      </c>
      <c r="D2290" s="109" t="s">
        <v>16656</v>
      </c>
      <c r="E2290" s="109" t="s">
        <v>5558</v>
      </c>
      <c r="F2290" s="109" t="s">
        <v>16657</v>
      </c>
      <c r="G2290" s="110" t="s">
        <v>6248</v>
      </c>
      <c r="H2290" s="110" t="s">
        <v>16658</v>
      </c>
      <c r="I2290" s="110" t="s">
        <v>16659</v>
      </c>
    </row>
    <row r="2291" spans="1:9" ht="37.799999999999997" x14ac:dyDescent="0.3">
      <c r="A2291" s="109" t="s">
        <v>16660</v>
      </c>
      <c r="B2291" s="109" t="s">
        <v>15630</v>
      </c>
      <c r="C2291" s="109" t="s">
        <v>15630</v>
      </c>
      <c r="D2291" s="109" t="s">
        <v>16661</v>
      </c>
      <c r="E2291" s="109" t="s">
        <v>5558</v>
      </c>
      <c r="F2291" s="109" t="s">
        <v>16662</v>
      </c>
      <c r="G2291" s="110" t="s">
        <v>6248</v>
      </c>
      <c r="H2291" s="110" t="s">
        <v>7592</v>
      </c>
      <c r="I2291" s="110" t="s">
        <v>16663</v>
      </c>
    </row>
    <row r="2292" spans="1:9" ht="37.799999999999997" x14ac:dyDescent="0.3">
      <c r="A2292" s="109" t="s">
        <v>16664</v>
      </c>
      <c r="B2292" s="109" t="s">
        <v>15630</v>
      </c>
      <c r="C2292" s="109" t="s">
        <v>15630</v>
      </c>
      <c r="D2292" s="109" t="s">
        <v>16665</v>
      </c>
      <c r="E2292" s="109" t="s">
        <v>5558</v>
      </c>
      <c r="F2292" s="109" t="s">
        <v>16666</v>
      </c>
      <c r="G2292" s="110" t="s">
        <v>6248</v>
      </c>
      <c r="H2292" s="110" t="s">
        <v>6883</v>
      </c>
      <c r="I2292" s="110" t="s">
        <v>16667</v>
      </c>
    </row>
    <row r="2293" spans="1:9" ht="37.799999999999997" x14ac:dyDescent="0.3">
      <c r="A2293" s="109" t="s">
        <v>16668</v>
      </c>
      <c r="B2293" s="109" t="s">
        <v>15630</v>
      </c>
      <c r="C2293" s="109" t="s">
        <v>15630</v>
      </c>
      <c r="D2293" s="109" t="s">
        <v>16669</v>
      </c>
      <c r="E2293" s="109" t="s">
        <v>16670</v>
      </c>
      <c r="F2293" s="109" t="s">
        <v>16671</v>
      </c>
      <c r="G2293" s="110" t="s">
        <v>6248</v>
      </c>
      <c r="H2293" s="110" t="s">
        <v>11146</v>
      </c>
      <c r="I2293" s="110" t="s">
        <v>16672</v>
      </c>
    </row>
    <row r="2294" spans="1:9" ht="50.4" x14ac:dyDescent="0.3">
      <c r="A2294" s="109" t="s">
        <v>16673</v>
      </c>
      <c r="B2294" s="109" t="s">
        <v>15630</v>
      </c>
      <c r="C2294" s="109" t="s">
        <v>15630</v>
      </c>
      <c r="D2294" s="109" t="s">
        <v>16674</v>
      </c>
      <c r="E2294" s="109" t="s">
        <v>16674</v>
      </c>
      <c r="F2294" s="109" t="s">
        <v>16675</v>
      </c>
      <c r="G2294" s="110" t="s">
        <v>6248</v>
      </c>
      <c r="H2294" s="110" t="s">
        <v>16676</v>
      </c>
      <c r="I2294" s="110" t="s">
        <v>16677</v>
      </c>
    </row>
    <row r="2295" spans="1:9" ht="50.4" x14ac:dyDescent="0.3">
      <c r="A2295" s="109" t="s">
        <v>16678</v>
      </c>
      <c r="B2295" s="109" t="s">
        <v>15630</v>
      </c>
      <c r="C2295" s="109" t="s">
        <v>15630</v>
      </c>
      <c r="D2295" s="109" t="s">
        <v>12585</v>
      </c>
      <c r="E2295" s="109" t="s">
        <v>12585</v>
      </c>
      <c r="F2295" s="109" t="s">
        <v>16679</v>
      </c>
      <c r="G2295" s="110" t="s">
        <v>6248</v>
      </c>
      <c r="H2295" s="110" t="s">
        <v>16680</v>
      </c>
      <c r="I2295" s="110" t="s">
        <v>16681</v>
      </c>
    </row>
    <row r="2296" spans="1:9" ht="50.4" x14ac:dyDescent="0.3">
      <c r="A2296" s="109" t="s">
        <v>16682</v>
      </c>
      <c r="B2296" s="109" t="s">
        <v>15630</v>
      </c>
      <c r="C2296" s="109" t="s">
        <v>15630</v>
      </c>
      <c r="D2296" s="109" t="s">
        <v>10017</v>
      </c>
      <c r="E2296" s="109" t="s">
        <v>10017</v>
      </c>
      <c r="F2296" s="109" t="s">
        <v>16683</v>
      </c>
      <c r="G2296" s="110" t="s">
        <v>6248</v>
      </c>
      <c r="H2296" s="110" t="s">
        <v>16684</v>
      </c>
      <c r="I2296" s="110" t="s">
        <v>16685</v>
      </c>
    </row>
    <row r="2297" spans="1:9" ht="50.4" x14ac:dyDescent="0.3">
      <c r="A2297" s="109" t="s">
        <v>16686</v>
      </c>
      <c r="B2297" s="109" t="s">
        <v>15630</v>
      </c>
      <c r="C2297" s="109" t="s">
        <v>15630</v>
      </c>
      <c r="D2297" s="109" t="s">
        <v>16687</v>
      </c>
      <c r="E2297" s="109" t="s">
        <v>16687</v>
      </c>
      <c r="F2297" s="109" t="s">
        <v>16688</v>
      </c>
      <c r="G2297" s="110" t="s">
        <v>6248</v>
      </c>
      <c r="H2297" s="110" t="s">
        <v>16689</v>
      </c>
      <c r="I2297" s="110" t="s">
        <v>16690</v>
      </c>
    </row>
    <row r="2298" spans="1:9" ht="50.4" x14ac:dyDescent="0.3">
      <c r="A2298" s="109" t="s">
        <v>16691</v>
      </c>
      <c r="B2298" s="109" t="s">
        <v>15630</v>
      </c>
      <c r="C2298" s="109" t="s">
        <v>15630</v>
      </c>
      <c r="D2298" s="109" t="s">
        <v>16692</v>
      </c>
      <c r="E2298" s="109" t="s">
        <v>16692</v>
      </c>
      <c r="F2298" s="109" t="s">
        <v>16693</v>
      </c>
      <c r="G2298" s="110" t="s">
        <v>6248</v>
      </c>
      <c r="H2298" s="110" t="s">
        <v>16694</v>
      </c>
      <c r="I2298" s="110" t="s">
        <v>16695</v>
      </c>
    </row>
    <row r="2299" spans="1:9" ht="50.4" x14ac:dyDescent="0.3">
      <c r="A2299" s="109" t="s">
        <v>16696</v>
      </c>
      <c r="B2299" s="109" t="s">
        <v>15630</v>
      </c>
      <c r="C2299" s="109" t="s">
        <v>15630</v>
      </c>
      <c r="D2299" s="109" t="s">
        <v>16697</v>
      </c>
      <c r="E2299" s="109" t="s">
        <v>16697</v>
      </c>
      <c r="F2299" s="109" t="s">
        <v>16698</v>
      </c>
      <c r="G2299" s="110" t="s">
        <v>6248</v>
      </c>
      <c r="H2299" s="110" t="s">
        <v>16699</v>
      </c>
      <c r="I2299" s="110" t="s">
        <v>16700</v>
      </c>
    </row>
    <row r="2300" spans="1:9" ht="37.799999999999997" x14ac:dyDescent="0.3">
      <c r="A2300" s="109" t="s">
        <v>16701</v>
      </c>
      <c r="B2300" s="109" t="s">
        <v>15630</v>
      </c>
      <c r="C2300" s="109" t="s">
        <v>15630</v>
      </c>
      <c r="D2300" s="109" t="s">
        <v>6115</v>
      </c>
      <c r="E2300" s="109" t="s">
        <v>16702</v>
      </c>
      <c r="F2300" s="109" t="s">
        <v>16703</v>
      </c>
      <c r="G2300" s="110" t="s">
        <v>6248</v>
      </c>
      <c r="H2300" s="110" t="s">
        <v>16704</v>
      </c>
      <c r="I2300" s="110" t="s">
        <v>16705</v>
      </c>
    </row>
    <row r="2301" spans="1:9" ht="37.799999999999997" x14ac:dyDescent="0.3">
      <c r="A2301" s="109" t="s">
        <v>16706</v>
      </c>
      <c r="B2301" s="109" t="s">
        <v>15630</v>
      </c>
      <c r="C2301" s="109" t="s">
        <v>15630</v>
      </c>
      <c r="D2301" s="109" t="s">
        <v>16707</v>
      </c>
      <c r="E2301" s="109" t="s">
        <v>5558</v>
      </c>
      <c r="F2301" s="109" t="s">
        <v>16708</v>
      </c>
      <c r="G2301" s="110" t="s">
        <v>6248</v>
      </c>
      <c r="H2301" s="110" t="s">
        <v>16709</v>
      </c>
      <c r="I2301" s="110" t="s">
        <v>16710</v>
      </c>
    </row>
    <row r="2302" spans="1:9" ht="50.4" x14ac:dyDescent="0.3">
      <c r="A2302" s="109" t="s">
        <v>16711</v>
      </c>
      <c r="B2302" s="109" t="s">
        <v>15630</v>
      </c>
      <c r="C2302" s="109" t="s">
        <v>15630</v>
      </c>
      <c r="D2302" s="109" t="s">
        <v>16712</v>
      </c>
      <c r="E2302" s="109" t="s">
        <v>16712</v>
      </c>
      <c r="F2302" s="109" t="s">
        <v>16713</v>
      </c>
      <c r="G2302" s="110" t="s">
        <v>6248</v>
      </c>
      <c r="H2302" s="110" t="s">
        <v>16714</v>
      </c>
      <c r="I2302" s="110" t="s">
        <v>16715</v>
      </c>
    </row>
    <row r="2303" spans="1:9" ht="37.799999999999997" x14ac:dyDescent="0.3">
      <c r="A2303" s="109" t="s">
        <v>16716</v>
      </c>
      <c r="B2303" s="109" t="s">
        <v>15630</v>
      </c>
      <c r="C2303" s="109" t="s">
        <v>15630</v>
      </c>
      <c r="D2303" s="109" t="s">
        <v>16717</v>
      </c>
      <c r="E2303" s="109" t="s">
        <v>16717</v>
      </c>
      <c r="F2303" s="109" t="s">
        <v>16718</v>
      </c>
      <c r="G2303" s="110" t="s">
        <v>6248</v>
      </c>
      <c r="H2303" s="110" t="s">
        <v>16719</v>
      </c>
      <c r="I2303" s="110" t="s">
        <v>16720</v>
      </c>
    </row>
    <row r="2304" spans="1:9" ht="25.2" x14ac:dyDescent="0.3">
      <c r="A2304" s="109" t="s">
        <v>16721</v>
      </c>
      <c r="B2304" s="109" t="s">
        <v>15630</v>
      </c>
      <c r="C2304" s="109" t="s">
        <v>15630</v>
      </c>
      <c r="D2304" s="109" t="s">
        <v>16722</v>
      </c>
      <c r="E2304" s="109" t="s">
        <v>15257</v>
      </c>
      <c r="F2304" s="109" t="s">
        <v>15258</v>
      </c>
      <c r="G2304" s="110" t="s">
        <v>6248</v>
      </c>
      <c r="H2304" s="110" t="s">
        <v>16723</v>
      </c>
      <c r="I2304" s="110" t="s">
        <v>16724</v>
      </c>
    </row>
    <row r="2305" spans="1:9" ht="37.799999999999997" x14ac:dyDescent="0.3">
      <c r="A2305" s="109" t="s">
        <v>16725</v>
      </c>
      <c r="B2305" s="109" t="s">
        <v>15630</v>
      </c>
      <c r="C2305" s="109" t="s">
        <v>15630</v>
      </c>
      <c r="D2305" s="109" t="s">
        <v>16726</v>
      </c>
      <c r="E2305" s="109" t="s">
        <v>16726</v>
      </c>
      <c r="F2305" s="109" t="s">
        <v>16727</v>
      </c>
      <c r="G2305" s="110" t="s">
        <v>6248</v>
      </c>
      <c r="H2305" s="110" t="s">
        <v>16728</v>
      </c>
      <c r="I2305" s="110" t="s">
        <v>16729</v>
      </c>
    </row>
    <row r="2306" spans="1:9" ht="50.4" x14ac:dyDescent="0.3">
      <c r="A2306" s="109" t="s">
        <v>16730</v>
      </c>
      <c r="B2306" s="109" t="s">
        <v>15630</v>
      </c>
      <c r="C2306" s="109" t="s">
        <v>15630</v>
      </c>
      <c r="D2306" s="109" t="s">
        <v>16731</v>
      </c>
      <c r="E2306" s="109" t="s">
        <v>16731</v>
      </c>
      <c r="F2306" s="109" t="s">
        <v>16732</v>
      </c>
      <c r="G2306" s="110" t="s">
        <v>6248</v>
      </c>
      <c r="H2306" s="110" t="s">
        <v>16733</v>
      </c>
      <c r="I2306" s="110" t="s">
        <v>16734</v>
      </c>
    </row>
    <row r="2307" spans="1:9" ht="63" x14ac:dyDescent="0.3">
      <c r="A2307" s="109" t="s">
        <v>16735</v>
      </c>
      <c r="B2307" s="109" t="s">
        <v>15630</v>
      </c>
      <c r="C2307" s="109" t="s">
        <v>15630</v>
      </c>
      <c r="D2307" s="109" t="s">
        <v>16736</v>
      </c>
      <c r="E2307" s="109" t="s">
        <v>16736</v>
      </c>
      <c r="F2307" s="109" t="s">
        <v>16737</v>
      </c>
      <c r="G2307" s="110" t="s">
        <v>6248</v>
      </c>
      <c r="H2307" s="110" t="s">
        <v>7592</v>
      </c>
      <c r="I2307" s="110" t="s">
        <v>16738</v>
      </c>
    </row>
    <row r="2308" spans="1:9" ht="50.4" x14ac:dyDescent="0.3">
      <c r="A2308" s="109" t="s">
        <v>16739</v>
      </c>
      <c r="B2308" s="109" t="s">
        <v>15630</v>
      </c>
      <c r="C2308" s="109" t="s">
        <v>15630</v>
      </c>
      <c r="D2308" s="109" t="s">
        <v>16740</v>
      </c>
      <c r="E2308" s="109" t="s">
        <v>16740</v>
      </c>
      <c r="F2308" s="109" t="s">
        <v>16741</v>
      </c>
      <c r="G2308" s="110" t="s">
        <v>6248</v>
      </c>
      <c r="H2308" s="110" t="s">
        <v>16742</v>
      </c>
      <c r="I2308" s="110" t="s">
        <v>16743</v>
      </c>
    </row>
    <row r="2309" spans="1:9" ht="37.799999999999997" x14ac:dyDescent="0.3">
      <c r="A2309" s="109" t="s">
        <v>16744</v>
      </c>
      <c r="B2309" s="109" t="s">
        <v>15630</v>
      </c>
      <c r="C2309" s="109" t="s">
        <v>15630</v>
      </c>
      <c r="D2309" s="109" t="s">
        <v>16745</v>
      </c>
      <c r="E2309" s="109" t="s">
        <v>16746</v>
      </c>
      <c r="F2309" s="109" t="s">
        <v>16747</v>
      </c>
      <c r="G2309" s="110" t="s">
        <v>6248</v>
      </c>
      <c r="H2309" s="110" t="s">
        <v>16748</v>
      </c>
      <c r="I2309" s="110" t="s">
        <v>16749</v>
      </c>
    </row>
    <row r="2310" spans="1:9" ht="37.799999999999997" x14ac:dyDescent="0.3">
      <c r="A2310" s="109" t="s">
        <v>16750</v>
      </c>
      <c r="B2310" s="109" t="s">
        <v>15630</v>
      </c>
      <c r="C2310" s="109" t="s">
        <v>15630</v>
      </c>
      <c r="D2310" s="109" t="s">
        <v>9709</v>
      </c>
      <c r="E2310" s="109" t="s">
        <v>9709</v>
      </c>
      <c r="F2310" s="109" t="s">
        <v>16751</v>
      </c>
      <c r="G2310" s="110" t="s">
        <v>6248</v>
      </c>
      <c r="H2310" s="110" t="s">
        <v>16752</v>
      </c>
      <c r="I2310" s="110" t="s">
        <v>16753</v>
      </c>
    </row>
    <row r="2311" spans="1:9" ht="25.2" x14ac:dyDescent="0.3">
      <c r="A2311" s="109" t="s">
        <v>16754</v>
      </c>
      <c r="B2311" s="109" t="s">
        <v>15630</v>
      </c>
      <c r="C2311" s="109" t="s">
        <v>15630</v>
      </c>
      <c r="D2311" s="109" t="s">
        <v>16755</v>
      </c>
      <c r="E2311" s="109" t="s">
        <v>16756</v>
      </c>
      <c r="F2311" s="109" t="s">
        <v>16757</v>
      </c>
      <c r="G2311" s="110" t="s">
        <v>6248</v>
      </c>
      <c r="H2311" s="110" t="s">
        <v>16758</v>
      </c>
      <c r="I2311" s="110" t="s">
        <v>16759</v>
      </c>
    </row>
    <row r="2312" spans="1:9" ht="37.799999999999997" x14ac:dyDescent="0.3">
      <c r="A2312" s="109" t="s">
        <v>16760</v>
      </c>
      <c r="B2312" s="109" t="s">
        <v>15630</v>
      </c>
      <c r="C2312" s="109" t="s">
        <v>15630</v>
      </c>
      <c r="D2312" s="109" t="s">
        <v>16761</v>
      </c>
      <c r="E2312" s="109" t="s">
        <v>16746</v>
      </c>
      <c r="F2312" s="109" t="s">
        <v>16762</v>
      </c>
      <c r="G2312" s="110" t="s">
        <v>6248</v>
      </c>
      <c r="H2312" s="110" t="s">
        <v>8191</v>
      </c>
      <c r="I2312" s="110" t="s">
        <v>16763</v>
      </c>
    </row>
    <row r="2313" spans="1:9" ht="25.2" x14ac:dyDescent="0.3">
      <c r="A2313" s="109" t="s">
        <v>16764</v>
      </c>
      <c r="B2313" s="109" t="s">
        <v>15630</v>
      </c>
      <c r="C2313" s="109" t="s">
        <v>15630</v>
      </c>
      <c r="D2313" s="109" t="s">
        <v>5569</v>
      </c>
      <c r="E2313" s="109" t="s">
        <v>5558</v>
      </c>
      <c r="F2313" s="109" t="s">
        <v>2258</v>
      </c>
      <c r="G2313" s="110" t="s">
        <v>6248</v>
      </c>
      <c r="H2313" s="110" t="s">
        <v>16765</v>
      </c>
      <c r="I2313" s="110" t="s">
        <v>16766</v>
      </c>
    </row>
    <row r="2314" spans="1:9" ht="50.4" x14ac:dyDescent="0.3">
      <c r="A2314" s="109" t="s">
        <v>16767</v>
      </c>
      <c r="B2314" s="109" t="s">
        <v>15630</v>
      </c>
      <c r="C2314" s="109" t="s">
        <v>15630</v>
      </c>
      <c r="D2314" s="109" t="s">
        <v>16768</v>
      </c>
      <c r="E2314" s="109" t="s">
        <v>16768</v>
      </c>
      <c r="F2314" s="109" t="s">
        <v>16769</v>
      </c>
      <c r="G2314" s="110" t="s">
        <v>6248</v>
      </c>
      <c r="H2314" s="110" t="s">
        <v>16770</v>
      </c>
      <c r="I2314" s="110" t="s">
        <v>16771</v>
      </c>
    </row>
    <row r="2315" spans="1:9" ht="37.799999999999997" x14ac:dyDescent="0.3">
      <c r="A2315" s="109" t="s">
        <v>16772</v>
      </c>
      <c r="B2315" s="109" t="s">
        <v>15630</v>
      </c>
      <c r="C2315" s="109" t="s">
        <v>15630</v>
      </c>
      <c r="D2315" s="109" t="s">
        <v>9717</v>
      </c>
      <c r="E2315" s="109" t="s">
        <v>9717</v>
      </c>
      <c r="F2315" s="109" t="s">
        <v>16773</v>
      </c>
      <c r="G2315" s="110" t="s">
        <v>6248</v>
      </c>
      <c r="H2315" s="110" t="s">
        <v>16774</v>
      </c>
      <c r="I2315" s="110" t="s">
        <v>16775</v>
      </c>
    </row>
    <row r="2316" spans="1:9" ht="25.2" x14ac:dyDescent="0.3">
      <c r="A2316" s="109" t="s">
        <v>16776</v>
      </c>
      <c r="B2316" s="109" t="s">
        <v>15630</v>
      </c>
      <c r="C2316" s="109" t="s">
        <v>15630</v>
      </c>
      <c r="D2316" s="109" t="s">
        <v>16777</v>
      </c>
      <c r="E2316" s="109" t="s">
        <v>5558</v>
      </c>
      <c r="F2316" s="109" t="s">
        <v>16778</v>
      </c>
      <c r="G2316" s="110" t="s">
        <v>6248</v>
      </c>
      <c r="H2316" s="110" t="s">
        <v>16779</v>
      </c>
      <c r="I2316" s="110" t="s">
        <v>16780</v>
      </c>
    </row>
    <row r="2317" spans="1:9" ht="50.4" x14ac:dyDescent="0.3">
      <c r="A2317" s="109" t="s">
        <v>16781</v>
      </c>
      <c r="B2317" s="109" t="s">
        <v>15630</v>
      </c>
      <c r="C2317" s="109" t="s">
        <v>15630</v>
      </c>
      <c r="D2317" s="109" t="s">
        <v>16782</v>
      </c>
      <c r="E2317" s="109" t="s">
        <v>16782</v>
      </c>
      <c r="F2317" s="109" t="s">
        <v>16783</v>
      </c>
      <c r="G2317" s="110" t="s">
        <v>6248</v>
      </c>
      <c r="H2317" s="110" t="s">
        <v>16333</v>
      </c>
      <c r="I2317" s="110" t="s">
        <v>16784</v>
      </c>
    </row>
    <row r="2318" spans="1:9" ht="50.4" x14ac:dyDescent="0.3">
      <c r="A2318" s="109" t="s">
        <v>16785</v>
      </c>
      <c r="B2318" s="109" t="s">
        <v>15630</v>
      </c>
      <c r="C2318" s="109" t="s">
        <v>15630</v>
      </c>
      <c r="D2318" s="109" t="s">
        <v>16786</v>
      </c>
      <c r="E2318" s="109" t="s">
        <v>16786</v>
      </c>
      <c r="F2318" s="109" t="s">
        <v>16787</v>
      </c>
      <c r="G2318" s="110" t="s">
        <v>6248</v>
      </c>
      <c r="H2318" s="110" t="s">
        <v>16788</v>
      </c>
      <c r="I2318" s="110" t="s">
        <v>16789</v>
      </c>
    </row>
    <row r="2319" spans="1:9" ht="25.2" x14ac:dyDescent="0.3">
      <c r="A2319" s="109" t="s">
        <v>16790</v>
      </c>
      <c r="B2319" s="109" t="s">
        <v>15630</v>
      </c>
      <c r="C2319" s="109" t="s">
        <v>15630</v>
      </c>
      <c r="D2319" s="109" t="s">
        <v>16791</v>
      </c>
      <c r="E2319" s="109" t="s">
        <v>16792</v>
      </c>
      <c r="F2319" s="109" t="s">
        <v>8179</v>
      </c>
      <c r="G2319" s="110" t="s">
        <v>6248</v>
      </c>
      <c r="H2319" s="110" t="s">
        <v>16793</v>
      </c>
      <c r="I2319" s="110" t="s">
        <v>16794</v>
      </c>
    </row>
    <row r="2320" spans="1:9" ht="25.2" x14ac:dyDescent="0.3">
      <c r="A2320" s="109" t="s">
        <v>16795</v>
      </c>
      <c r="B2320" s="109" t="s">
        <v>15630</v>
      </c>
      <c r="C2320" s="109" t="s">
        <v>15630</v>
      </c>
      <c r="D2320" s="109" t="s">
        <v>16796</v>
      </c>
      <c r="E2320" s="109" t="s">
        <v>16797</v>
      </c>
      <c r="F2320" s="109" t="s">
        <v>7734</v>
      </c>
      <c r="G2320" s="110" t="s">
        <v>6248</v>
      </c>
      <c r="H2320" s="110" t="s">
        <v>16798</v>
      </c>
      <c r="I2320" s="110" t="s">
        <v>16799</v>
      </c>
    </row>
    <row r="2321" spans="1:9" ht="37.799999999999997" x14ac:dyDescent="0.3">
      <c r="A2321" s="109" t="s">
        <v>16800</v>
      </c>
      <c r="B2321" s="109" t="s">
        <v>15630</v>
      </c>
      <c r="C2321" s="109" t="s">
        <v>15630</v>
      </c>
      <c r="D2321" s="109" t="s">
        <v>16801</v>
      </c>
      <c r="E2321" s="109" t="s">
        <v>5558</v>
      </c>
      <c r="F2321" s="109" t="s">
        <v>16802</v>
      </c>
      <c r="G2321" s="110" t="s">
        <v>6248</v>
      </c>
      <c r="H2321" s="110" t="s">
        <v>16803</v>
      </c>
      <c r="I2321" s="110" t="s">
        <v>16804</v>
      </c>
    </row>
    <row r="2322" spans="1:9" ht="25.2" x14ac:dyDescent="0.3">
      <c r="A2322" s="109" t="s">
        <v>16805</v>
      </c>
      <c r="B2322" s="109" t="s">
        <v>15630</v>
      </c>
      <c r="C2322" s="109" t="s">
        <v>15630</v>
      </c>
      <c r="D2322" s="109" t="s">
        <v>16806</v>
      </c>
      <c r="E2322" s="109" t="s">
        <v>5558</v>
      </c>
      <c r="F2322" s="109" t="s">
        <v>16807</v>
      </c>
      <c r="G2322" s="110" t="s">
        <v>6248</v>
      </c>
      <c r="H2322" s="110" t="s">
        <v>16808</v>
      </c>
      <c r="I2322" s="110" t="s">
        <v>16809</v>
      </c>
    </row>
    <row r="2323" spans="1:9" ht="25.2" x14ac:dyDescent="0.3">
      <c r="A2323" s="109" t="s">
        <v>16810</v>
      </c>
      <c r="B2323" s="109" t="s">
        <v>15630</v>
      </c>
      <c r="C2323" s="109" t="s">
        <v>15630</v>
      </c>
      <c r="D2323" s="109" t="s">
        <v>16811</v>
      </c>
      <c r="E2323" s="109" t="s">
        <v>5558</v>
      </c>
      <c r="F2323" s="109" t="s">
        <v>16812</v>
      </c>
      <c r="G2323" s="110" t="s">
        <v>6248</v>
      </c>
      <c r="H2323" s="110" t="s">
        <v>16813</v>
      </c>
      <c r="I2323" s="110" t="s">
        <v>16814</v>
      </c>
    </row>
    <row r="2324" spans="1:9" ht="37.799999999999997" x14ac:dyDescent="0.3">
      <c r="A2324" s="109" t="s">
        <v>16815</v>
      </c>
      <c r="B2324" s="109" t="s">
        <v>15630</v>
      </c>
      <c r="C2324" s="109" t="s">
        <v>15630</v>
      </c>
      <c r="D2324" s="109" t="s">
        <v>16816</v>
      </c>
      <c r="E2324" s="109" t="s">
        <v>5558</v>
      </c>
      <c r="F2324" s="109" t="s">
        <v>16817</v>
      </c>
      <c r="G2324" s="110" t="s">
        <v>6248</v>
      </c>
      <c r="H2324" s="110" t="s">
        <v>16818</v>
      </c>
      <c r="I2324" s="110" t="s">
        <v>16819</v>
      </c>
    </row>
    <row r="2325" spans="1:9" ht="25.2" x14ac:dyDescent="0.3">
      <c r="A2325" s="109" t="s">
        <v>16820</v>
      </c>
      <c r="B2325" s="109" t="s">
        <v>15630</v>
      </c>
      <c r="C2325" s="109" t="s">
        <v>15630</v>
      </c>
      <c r="D2325" s="109" t="s">
        <v>16821</v>
      </c>
      <c r="E2325" s="109" t="s">
        <v>16822</v>
      </c>
      <c r="F2325" s="109" t="s">
        <v>16823</v>
      </c>
      <c r="G2325" s="110" t="s">
        <v>6248</v>
      </c>
      <c r="H2325" s="110" t="s">
        <v>16824</v>
      </c>
      <c r="I2325" s="110" t="s">
        <v>16825</v>
      </c>
    </row>
    <row r="2326" spans="1:9" ht="25.2" x14ac:dyDescent="0.3">
      <c r="A2326" s="109" t="s">
        <v>16826</v>
      </c>
      <c r="B2326" s="109" t="s">
        <v>15630</v>
      </c>
      <c r="C2326" s="109" t="s">
        <v>15630</v>
      </c>
      <c r="D2326" s="109" t="s">
        <v>16827</v>
      </c>
      <c r="E2326" s="109" t="s">
        <v>5558</v>
      </c>
      <c r="F2326" s="109" t="s">
        <v>16828</v>
      </c>
      <c r="G2326" s="110" t="s">
        <v>6248</v>
      </c>
      <c r="H2326" s="110" t="s">
        <v>16829</v>
      </c>
      <c r="I2326" s="110" t="s">
        <v>16830</v>
      </c>
    </row>
    <row r="2327" spans="1:9" ht="25.2" x14ac:dyDescent="0.3">
      <c r="A2327" s="109" t="s">
        <v>16831</v>
      </c>
      <c r="B2327" s="109" t="s">
        <v>15630</v>
      </c>
      <c r="C2327" s="109" t="s">
        <v>15630</v>
      </c>
      <c r="D2327" s="109" t="s">
        <v>16832</v>
      </c>
      <c r="E2327" s="109" t="s">
        <v>16833</v>
      </c>
      <c r="F2327" s="109" t="s">
        <v>16834</v>
      </c>
      <c r="G2327" s="110" t="s">
        <v>6248</v>
      </c>
      <c r="H2327" s="110" t="s">
        <v>16835</v>
      </c>
      <c r="I2327" s="110" t="s">
        <v>16836</v>
      </c>
    </row>
    <row r="2328" spans="1:9" ht="37.799999999999997" x14ac:dyDescent="0.3">
      <c r="A2328" s="109" t="s">
        <v>16837</v>
      </c>
      <c r="B2328" s="109" t="s">
        <v>15630</v>
      </c>
      <c r="C2328" s="109" t="s">
        <v>15630</v>
      </c>
      <c r="D2328" s="109" t="s">
        <v>16838</v>
      </c>
      <c r="E2328" s="109" t="s">
        <v>5558</v>
      </c>
      <c r="F2328" s="109" t="s">
        <v>16839</v>
      </c>
      <c r="G2328" s="110" t="s">
        <v>6248</v>
      </c>
      <c r="H2328" s="110" t="s">
        <v>16840</v>
      </c>
      <c r="I2328" s="110" t="s">
        <v>16841</v>
      </c>
    </row>
    <row r="2329" spans="1:9" ht="25.2" x14ac:dyDescent="0.3">
      <c r="A2329" s="109" t="s">
        <v>16842</v>
      </c>
      <c r="B2329" s="109" t="s">
        <v>16843</v>
      </c>
      <c r="C2329" s="109" t="s">
        <v>15630</v>
      </c>
      <c r="D2329" s="109" t="s">
        <v>16844</v>
      </c>
      <c r="E2329" s="109" t="s">
        <v>16845</v>
      </c>
      <c r="F2329" s="109" t="s">
        <v>16846</v>
      </c>
      <c r="G2329" s="110" t="s">
        <v>6248</v>
      </c>
      <c r="H2329" s="110" t="s">
        <v>16847</v>
      </c>
      <c r="I2329" s="110" t="s">
        <v>16848</v>
      </c>
    </row>
    <row r="2330" spans="1:9" ht="25.2" x14ac:dyDescent="0.3">
      <c r="A2330" s="109" t="s">
        <v>16849</v>
      </c>
      <c r="B2330" s="109" t="s">
        <v>16843</v>
      </c>
      <c r="C2330" s="109" t="s">
        <v>16843</v>
      </c>
      <c r="D2330" s="109" t="s">
        <v>16850</v>
      </c>
      <c r="E2330" s="109" t="s">
        <v>5558</v>
      </c>
      <c r="F2330" s="109" t="s">
        <v>16851</v>
      </c>
      <c r="G2330" s="110" t="s">
        <v>6248</v>
      </c>
      <c r="H2330" s="110" t="s">
        <v>7760</v>
      </c>
      <c r="I2330" s="110" t="s">
        <v>16852</v>
      </c>
    </row>
    <row r="2331" spans="1:9" ht="25.2" x14ac:dyDescent="0.3">
      <c r="A2331" s="109" t="s">
        <v>16853</v>
      </c>
      <c r="B2331" s="109" t="s">
        <v>16843</v>
      </c>
      <c r="C2331" s="109" t="s">
        <v>16843</v>
      </c>
      <c r="D2331" s="109" t="s">
        <v>5569</v>
      </c>
      <c r="E2331" s="109" t="s">
        <v>5558</v>
      </c>
      <c r="F2331" s="109" t="s">
        <v>2258</v>
      </c>
      <c r="G2331" s="110" t="s">
        <v>6248</v>
      </c>
      <c r="H2331" s="110" t="s">
        <v>16854</v>
      </c>
      <c r="I2331" s="110" t="s">
        <v>16855</v>
      </c>
    </row>
    <row r="2332" spans="1:9" ht="25.2" x14ac:dyDescent="0.3">
      <c r="A2332" s="109" t="s">
        <v>16856</v>
      </c>
      <c r="B2332" s="109" t="s">
        <v>16843</v>
      </c>
      <c r="C2332" s="109" t="s">
        <v>16843</v>
      </c>
      <c r="D2332" s="109" t="s">
        <v>5569</v>
      </c>
      <c r="E2332" s="109" t="s">
        <v>5558</v>
      </c>
      <c r="F2332" s="109" t="s">
        <v>2258</v>
      </c>
      <c r="G2332" s="110" t="s">
        <v>6248</v>
      </c>
      <c r="H2332" s="110" t="s">
        <v>16857</v>
      </c>
      <c r="I2332" s="110" t="s">
        <v>16858</v>
      </c>
    </row>
    <row r="2333" spans="1:9" ht="25.2" x14ac:dyDescent="0.3">
      <c r="A2333" s="109" t="s">
        <v>16859</v>
      </c>
      <c r="B2333" s="109" t="s">
        <v>16843</v>
      </c>
      <c r="C2333" s="109" t="s">
        <v>16843</v>
      </c>
      <c r="D2333" s="109" t="s">
        <v>16860</v>
      </c>
      <c r="E2333" s="109" t="s">
        <v>16861</v>
      </c>
      <c r="F2333" s="109" t="s">
        <v>16862</v>
      </c>
      <c r="G2333" s="110" t="s">
        <v>6248</v>
      </c>
      <c r="H2333" s="110" t="s">
        <v>16863</v>
      </c>
      <c r="I2333" s="110" t="s">
        <v>16864</v>
      </c>
    </row>
    <row r="2334" spans="1:9" ht="37.799999999999997" x14ac:dyDescent="0.3">
      <c r="A2334" s="109" t="s">
        <v>16865</v>
      </c>
      <c r="B2334" s="109" t="s">
        <v>16843</v>
      </c>
      <c r="C2334" s="109" t="s">
        <v>16843</v>
      </c>
      <c r="D2334" s="109" t="s">
        <v>16866</v>
      </c>
      <c r="E2334" s="109" t="s">
        <v>5558</v>
      </c>
      <c r="F2334" s="109" t="s">
        <v>16867</v>
      </c>
      <c r="G2334" s="110" t="s">
        <v>6248</v>
      </c>
      <c r="H2334" s="110" t="s">
        <v>16868</v>
      </c>
      <c r="I2334" s="110" t="s">
        <v>16869</v>
      </c>
    </row>
    <row r="2335" spans="1:9" ht="37.799999999999997" x14ac:dyDescent="0.3">
      <c r="A2335" s="109" t="s">
        <v>16870</v>
      </c>
      <c r="B2335" s="109" t="s">
        <v>16843</v>
      </c>
      <c r="C2335" s="109" t="s">
        <v>16843</v>
      </c>
      <c r="D2335" s="109" t="s">
        <v>2077</v>
      </c>
      <c r="E2335" s="109" t="s">
        <v>5558</v>
      </c>
      <c r="F2335" s="109" t="s">
        <v>16871</v>
      </c>
      <c r="G2335" s="110" t="s">
        <v>6248</v>
      </c>
      <c r="H2335" s="110" t="s">
        <v>16872</v>
      </c>
      <c r="I2335" s="110" t="s">
        <v>16873</v>
      </c>
    </row>
    <row r="2336" spans="1:9" ht="25.2" x14ac:dyDescent="0.3">
      <c r="A2336" s="109" t="s">
        <v>16874</v>
      </c>
      <c r="B2336" s="109" t="s">
        <v>16843</v>
      </c>
      <c r="C2336" s="109" t="s">
        <v>16843</v>
      </c>
      <c r="D2336" s="109" t="s">
        <v>16875</v>
      </c>
      <c r="E2336" s="109" t="s">
        <v>5558</v>
      </c>
      <c r="F2336" s="109" t="s">
        <v>16876</v>
      </c>
      <c r="G2336" s="110" t="s">
        <v>6248</v>
      </c>
      <c r="H2336" s="110" t="s">
        <v>16877</v>
      </c>
      <c r="I2336" s="110" t="s">
        <v>16878</v>
      </c>
    </row>
    <row r="2337" spans="1:9" ht="25.2" x14ac:dyDescent="0.3">
      <c r="A2337" s="109" t="s">
        <v>16879</v>
      </c>
      <c r="B2337" s="109" t="s">
        <v>16843</v>
      </c>
      <c r="C2337" s="109" t="s">
        <v>16843</v>
      </c>
      <c r="D2337" s="109" t="s">
        <v>16880</v>
      </c>
      <c r="E2337" s="109" t="s">
        <v>5558</v>
      </c>
      <c r="F2337" s="109" t="s">
        <v>16881</v>
      </c>
      <c r="G2337" s="110" t="s">
        <v>6248</v>
      </c>
      <c r="H2337" s="110" t="s">
        <v>9638</v>
      </c>
      <c r="I2337" s="110" t="s">
        <v>16882</v>
      </c>
    </row>
    <row r="2338" spans="1:9" ht="25.2" x14ac:dyDescent="0.3">
      <c r="A2338" s="109" t="s">
        <v>16883</v>
      </c>
      <c r="B2338" s="109" t="s">
        <v>16843</v>
      </c>
      <c r="C2338" s="109" t="s">
        <v>16843</v>
      </c>
      <c r="D2338" s="109" t="s">
        <v>16884</v>
      </c>
      <c r="E2338" s="109" t="s">
        <v>16885</v>
      </c>
      <c r="F2338" s="109" t="s">
        <v>13803</v>
      </c>
      <c r="G2338" s="110" t="s">
        <v>6248</v>
      </c>
      <c r="H2338" s="110" t="s">
        <v>16886</v>
      </c>
      <c r="I2338" s="110" t="s">
        <v>16887</v>
      </c>
    </row>
    <row r="2339" spans="1:9" ht="25.2" x14ac:dyDescent="0.3">
      <c r="A2339" s="109" t="s">
        <v>16888</v>
      </c>
      <c r="B2339" s="109" t="s">
        <v>16843</v>
      </c>
      <c r="C2339" s="109" t="s">
        <v>16843</v>
      </c>
      <c r="D2339" s="109" t="s">
        <v>16889</v>
      </c>
      <c r="E2339" s="109" t="s">
        <v>5558</v>
      </c>
      <c r="F2339" s="109" t="s">
        <v>16890</v>
      </c>
      <c r="G2339" s="110" t="s">
        <v>6248</v>
      </c>
      <c r="H2339" s="110" t="s">
        <v>16891</v>
      </c>
      <c r="I2339" s="110" t="s">
        <v>16892</v>
      </c>
    </row>
    <row r="2340" spans="1:9" ht="25.2" x14ac:dyDescent="0.3">
      <c r="A2340" s="109" t="s">
        <v>16893</v>
      </c>
      <c r="B2340" s="109" t="s">
        <v>16843</v>
      </c>
      <c r="C2340" s="109" t="s">
        <v>16843</v>
      </c>
      <c r="D2340" s="109" t="s">
        <v>16894</v>
      </c>
      <c r="E2340" s="109" t="s">
        <v>5558</v>
      </c>
      <c r="F2340" s="109" t="s">
        <v>16895</v>
      </c>
      <c r="G2340" s="110" t="s">
        <v>6248</v>
      </c>
      <c r="H2340" s="110" t="s">
        <v>7321</v>
      </c>
      <c r="I2340" s="110" t="s">
        <v>16896</v>
      </c>
    </row>
    <row r="2341" spans="1:9" ht="25.2" x14ac:dyDescent="0.3">
      <c r="A2341" s="109" t="s">
        <v>16897</v>
      </c>
      <c r="B2341" s="109" t="s">
        <v>16843</v>
      </c>
      <c r="C2341" s="109" t="s">
        <v>16843</v>
      </c>
      <c r="D2341" s="109" t="s">
        <v>16898</v>
      </c>
      <c r="E2341" s="109" t="s">
        <v>5558</v>
      </c>
      <c r="F2341" s="109" t="s">
        <v>16899</v>
      </c>
      <c r="G2341" s="110" t="s">
        <v>6248</v>
      </c>
      <c r="H2341" s="110" t="s">
        <v>6689</v>
      </c>
      <c r="I2341" s="110" t="s">
        <v>16900</v>
      </c>
    </row>
    <row r="2342" spans="1:9" ht="25.2" x14ac:dyDescent="0.3">
      <c r="A2342" s="109" t="s">
        <v>16901</v>
      </c>
      <c r="B2342" s="109" t="s">
        <v>16843</v>
      </c>
      <c r="C2342" s="109" t="s">
        <v>16843</v>
      </c>
      <c r="D2342" s="109" t="s">
        <v>16902</v>
      </c>
      <c r="E2342" s="109" t="s">
        <v>5558</v>
      </c>
      <c r="F2342" s="109" t="s">
        <v>16903</v>
      </c>
      <c r="G2342" s="110" t="s">
        <v>6248</v>
      </c>
      <c r="H2342" s="110" t="s">
        <v>6408</v>
      </c>
      <c r="I2342" s="110" t="s">
        <v>16904</v>
      </c>
    </row>
    <row r="2343" spans="1:9" ht="37.799999999999997" x14ac:dyDescent="0.3">
      <c r="A2343" s="109" t="s">
        <v>16905</v>
      </c>
      <c r="B2343" s="109" t="s">
        <v>16843</v>
      </c>
      <c r="C2343" s="109" t="s">
        <v>16843</v>
      </c>
      <c r="D2343" s="109" t="s">
        <v>16906</v>
      </c>
      <c r="E2343" s="109" t="s">
        <v>5558</v>
      </c>
      <c r="F2343" s="109" t="s">
        <v>16907</v>
      </c>
      <c r="G2343" s="110" t="s">
        <v>6248</v>
      </c>
      <c r="H2343" s="110" t="s">
        <v>9158</v>
      </c>
      <c r="I2343" s="110" t="s">
        <v>16908</v>
      </c>
    </row>
    <row r="2344" spans="1:9" ht="25.2" x14ac:dyDescent="0.3">
      <c r="A2344" s="109" t="s">
        <v>16909</v>
      </c>
      <c r="B2344" s="109" t="s">
        <v>16843</v>
      </c>
      <c r="C2344" s="109" t="s">
        <v>16843</v>
      </c>
      <c r="D2344" s="109" t="s">
        <v>16910</v>
      </c>
      <c r="E2344" s="109" t="s">
        <v>5558</v>
      </c>
      <c r="F2344" s="109" t="s">
        <v>16911</v>
      </c>
      <c r="G2344" s="110" t="s">
        <v>6248</v>
      </c>
      <c r="H2344" s="110" t="s">
        <v>16912</v>
      </c>
      <c r="I2344" s="110" t="s">
        <v>16913</v>
      </c>
    </row>
    <row r="2345" spans="1:9" ht="25.2" x14ac:dyDescent="0.3">
      <c r="A2345" s="109" t="s">
        <v>16914</v>
      </c>
      <c r="B2345" s="109" t="s">
        <v>16843</v>
      </c>
      <c r="C2345" s="109" t="s">
        <v>16843</v>
      </c>
      <c r="D2345" s="109" t="s">
        <v>16915</v>
      </c>
      <c r="E2345" s="109" t="s">
        <v>5558</v>
      </c>
      <c r="F2345" s="109" t="s">
        <v>16916</v>
      </c>
      <c r="G2345" s="110" t="s">
        <v>6248</v>
      </c>
      <c r="H2345" s="110" t="s">
        <v>6433</v>
      </c>
      <c r="I2345" s="110" t="s">
        <v>16917</v>
      </c>
    </row>
    <row r="2346" spans="1:9" ht="37.799999999999997" x14ac:dyDescent="0.3">
      <c r="A2346" s="109" t="s">
        <v>16918</v>
      </c>
      <c r="B2346" s="109" t="s">
        <v>16843</v>
      </c>
      <c r="C2346" s="109" t="s">
        <v>16843</v>
      </c>
      <c r="D2346" s="109" t="s">
        <v>16919</v>
      </c>
      <c r="E2346" s="109" t="s">
        <v>5558</v>
      </c>
      <c r="F2346" s="109" t="s">
        <v>16920</v>
      </c>
      <c r="G2346" s="110" t="s">
        <v>6248</v>
      </c>
      <c r="H2346" s="110" t="s">
        <v>6643</v>
      </c>
      <c r="I2346" s="110" t="s">
        <v>16921</v>
      </c>
    </row>
    <row r="2347" spans="1:9" ht="37.799999999999997" x14ac:dyDescent="0.3">
      <c r="A2347" s="109" t="s">
        <v>16922</v>
      </c>
      <c r="B2347" s="109" t="s">
        <v>16843</v>
      </c>
      <c r="C2347" s="109" t="s">
        <v>16843</v>
      </c>
      <c r="D2347" s="109" t="s">
        <v>16923</v>
      </c>
      <c r="E2347" s="109" t="s">
        <v>5558</v>
      </c>
      <c r="F2347" s="109" t="s">
        <v>16924</v>
      </c>
      <c r="G2347" s="110" t="s">
        <v>6248</v>
      </c>
      <c r="H2347" s="110" t="s">
        <v>6570</v>
      </c>
      <c r="I2347" s="110" t="s">
        <v>16925</v>
      </c>
    </row>
    <row r="2348" spans="1:9" ht="37.799999999999997" x14ac:dyDescent="0.3">
      <c r="A2348" s="109" t="s">
        <v>16926</v>
      </c>
      <c r="B2348" s="109" t="s">
        <v>16843</v>
      </c>
      <c r="C2348" s="109" t="s">
        <v>16843</v>
      </c>
      <c r="D2348" s="109" t="s">
        <v>16927</v>
      </c>
      <c r="E2348" s="109" t="s">
        <v>5558</v>
      </c>
      <c r="F2348" s="109" t="s">
        <v>16928</v>
      </c>
      <c r="G2348" s="110" t="s">
        <v>6248</v>
      </c>
      <c r="H2348" s="110" t="s">
        <v>6474</v>
      </c>
      <c r="I2348" s="110" t="s">
        <v>16929</v>
      </c>
    </row>
    <row r="2349" spans="1:9" ht="25.2" x14ac:dyDescent="0.3">
      <c r="A2349" s="109" t="s">
        <v>16930</v>
      </c>
      <c r="B2349" s="109" t="s">
        <v>16843</v>
      </c>
      <c r="C2349" s="109" t="s">
        <v>16843</v>
      </c>
      <c r="D2349" s="109" t="s">
        <v>16931</v>
      </c>
      <c r="E2349" s="109" t="s">
        <v>5558</v>
      </c>
      <c r="F2349" s="109" t="s">
        <v>16932</v>
      </c>
      <c r="G2349" s="110" t="s">
        <v>6248</v>
      </c>
      <c r="H2349" s="110" t="s">
        <v>16933</v>
      </c>
      <c r="I2349" s="110" t="s">
        <v>16934</v>
      </c>
    </row>
    <row r="2350" spans="1:9" ht="25.2" x14ac:dyDescent="0.3">
      <c r="A2350" s="109" t="s">
        <v>16935</v>
      </c>
      <c r="B2350" s="109" t="s">
        <v>16843</v>
      </c>
      <c r="C2350" s="109" t="s">
        <v>16843</v>
      </c>
      <c r="D2350" s="109" t="s">
        <v>16936</v>
      </c>
      <c r="E2350" s="109" t="s">
        <v>5558</v>
      </c>
      <c r="F2350" s="109" t="s">
        <v>16937</v>
      </c>
      <c r="G2350" s="110" t="s">
        <v>6248</v>
      </c>
      <c r="H2350" s="110" t="s">
        <v>6413</v>
      </c>
      <c r="I2350" s="110" t="s">
        <v>16938</v>
      </c>
    </row>
    <row r="2351" spans="1:9" ht="37.799999999999997" x14ac:dyDescent="0.3">
      <c r="A2351" s="109" t="s">
        <v>16939</v>
      </c>
      <c r="B2351" s="109" t="s">
        <v>16843</v>
      </c>
      <c r="C2351" s="109" t="s">
        <v>16843</v>
      </c>
      <c r="D2351" s="109" t="s">
        <v>16940</v>
      </c>
      <c r="E2351" s="109" t="s">
        <v>5558</v>
      </c>
      <c r="F2351" s="109" t="s">
        <v>16941</v>
      </c>
      <c r="G2351" s="110" t="s">
        <v>6248</v>
      </c>
      <c r="H2351" s="110" t="s">
        <v>6374</v>
      </c>
      <c r="I2351" s="110" t="s">
        <v>16942</v>
      </c>
    </row>
    <row r="2352" spans="1:9" ht="25.2" x14ac:dyDescent="0.3">
      <c r="A2352" s="109" t="s">
        <v>16943</v>
      </c>
      <c r="B2352" s="109" t="s">
        <v>16843</v>
      </c>
      <c r="C2352" s="109" t="s">
        <v>16843</v>
      </c>
      <c r="D2352" s="109" t="s">
        <v>16944</v>
      </c>
      <c r="E2352" s="109" t="s">
        <v>5558</v>
      </c>
      <c r="F2352" s="109" t="s">
        <v>16945</v>
      </c>
      <c r="G2352" s="110" t="s">
        <v>6248</v>
      </c>
      <c r="H2352" s="110" t="s">
        <v>6584</v>
      </c>
      <c r="I2352" s="110" t="s">
        <v>16946</v>
      </c>
    </row>
    <row r="2353" spans="1:9" ht="25.2" x14ac:dyDescent="0.3">
      <c r="A2353" s="109" t="s">
        <v>16947</v>
      </c>
      <c r="B2353" s="109" t="s">
        <v>16843</v>
      </c>
      <c r="C2353" s="109" t="s">
        <v>16843</v>
      </c>
      <c r="D2353" s="109" t="s">
        <v>16948</v>
      </c>
      <c r="E2353" s="109" t="s">
        <v>5558</v>
      </c>
      <c r="F2353" s="109" t="s">
        <v>16949</v>
      </c>
      <c r="G2353" s="110" t="s">
        <v>6248</v>
      </c>
      <c r="H2353" s="110" t="s">
        <v>7817</v>
      </c>
      <c r="I2353" s="110" t="s">
        <v>16950</v>
      </c>
    </row>
    <row r="2354" spans="1:9" ht="25.2" x14ac:dyDescent="0.3">
      <c r="A2354" s="109" t="s">
        <v>16951</v>
      </c>
      <c r="B2354" s="109" t="s">
        <v>16843</v>
      </c>
      <c r="C2354" s="109" t="s">
        <v>16843</v>
      </c>
      <c r="D2354" s="109" t="s">
        <v>16952</v>
      </c>
      <c r="E2354" s="109" t="s">
        <v>5558</v>
      </c>
      <c r="F2354" s="109" t="s">
        <v>16953</v>
      </c>
      <c r="G2354" s="110" t="s">
        <v>6248</v>
      </c>
      <c r="H2354" s="110" t="s">
        <v>6543</v>
      </c>
      <c r="I2354" s="110" t="s">
        <v>16954</v>
      </c>
    </row>
    <row r="2355" spans="1:9" ht="25.2" x14ac:dyDescent="0.3">
      <c r="A2355" s="109" t="s">
        <v>16955</v>
      </c>
      <c r="B2355" s="109" t="s">
        <v>16843</v>
      </c>
      <c r="C2355" s="109" t="s">
        <v>16843</v>
      </c>
      <c r="D2355" s="109" t="s">
        <v>16956</v>
      </c>
      <c r="E2355" s="109" t="s">
        <v>5558</v>
      </c>
      <c r="F2355" s="109" t="s">
        <v>16957</v>
      </c>
      <c r="G2355" s="110" t="s">
        <v>6248</v>
      </c>
      <c r="H2355" s="110" t="s">
        <v>6408</v>
      </c>
      <c r="I2355" s="110" t="s">
        <v>16958</v>
      </c>
    </row>
    <row r="2356" spans="1:9" ht="25.2" x14ac:dyDescent="0.3">
      <c r="A2356" s="109" t="s">
        <v>16959</v>
      </c>
      <c r="B2356" s="109" t="s">
        <v>16843</v>
      </c>
      <c r="C2356" s="109" t="s">
        <v>16843</v>
      </c>
      <c r="D2356" s="109" t="s">
        <v>16960</v>
      </c>
      <c r="E2356" s="109" t="s">
        <v>5558</v>
      </c>
      <c r="F2356" s="109" t="s">
        <v>16961</v>
      </c>
      <c r="G2356" s="110" t="s">
        <v>6248</v>
      </c>
      <c r="H2356" s="110" t="s">
        <v>6460</v>
      </c>
      <c r="I2356" s="110" t="s">
        <v>16962</v>
      </c>
    </row>
    <row r="2357" spans="1:9" ht="25.2" x14ac:dyDescent="0.3">
      <c r="A2357" s="109" t="s">
        <v>16963</v>
      </c>
      <c r="B2357" s="109" t="s">
        <v>16843</v>
      </c>
      <c r="C2357" s="109" t="s">
        <v>16843</v>
      </c>
      <c r="D2357" s="109" t="s">
        <v>16964</v>
      </c>
      <c r="E2357" s="109" t="s">
        <v>5558</v>
      </c>
      <c r="F2357" s="109" t="s">
        <v>16965</v>
      </c>
      <c r="G2357" s="110" t="s">
        <v>6248</v>
      </c>
      <c r="H2357" s="110" t="s">
        <v>9071</v>
      </c>
      <c r="I2357" s="110" t="s">
        <v>16966</v>
      </c>
    </row>
    <row r="2358" spans="1:9" ht="25.2" x14ac:dyDescent="0.3">
      <c r="A2358" s="109" t="s">
        <v>16967</v>
      </c>
      <c r="B2358" s="109" t="s">
        <v>16843</v>
      </c>
      <c r="C2358" s="109" t="s">
        <v>16843</v>
      </c>
      <c r="D2358" s="109" t="s">
        <v>16968</v>
      </c>
      <c r="E2358" s="109" t="s">
        <v>5558</v>
      </c>
      <c r="F2358" s="109" t="s">
        <v>16969</v>
      </c>
      <c r="G2358" s="110" t="s">
        <v>6248</v>
      </c>
      <c r="H2358" s="110" t="s">
        <v>6413</v>
      </c>
      <c r="I2358" s="110" t="s">
        <v>16970</v>
      </c>
    </row>
    <row r="2359" spans="1:9" ht="37.799999999999997" x14ac:dyDescent="0.3">
      <c r="A2359" s="109" t="s">
        <v>16971</v>
      </c>
      <c r="B2359" s="109" t="s">
        <v>16843</v>
      </c>
      <c r="C2359" s="109" t="s">
        <v>16843</v>
      </c>
      <c r="D2359" s="109" t="s">
        <v>16972</v>
      </c>
      <c r="E2359" s="109" t="s">
        <v>5558</v>
      </c>
      <c r="F2359" s="109" t="s">
        <v>16973</v>
      </c>
      <c r="G2359" s="110" t="s">
        <v>6248</v>
      </c>
      <c r="H2359" s="110" t="s">
        <v>6433</v>
      </c>
      <c r="I2359" s="110" t="s">
        <v>16974</v>
      </c>
    </row>
    <row r="2360" spans="1:9" ht="25.2" x14ac:dyDescent="0.3">
      <c r="A2360" s="109" t="s">
        <v>16975</v>
      </c>
      <c r="B2360" s="109" t="s">
        <v>16843</v>
      </c>
      <c r="C2360" s="109" t="s">
        <v>16843</v>
      </c>
      <c r="D2360" s="109" t="s">
        <v>16976</v>
      </c>
      <c r="E2360" s="109" t="s">
        <v>5558</v>
      </c>
      <c r="F2360" s="109" t="s">
        <v>16977</v>
      </c>
      <c r="G2360" s="110" t="s">
        <v>6248</v>
      </c>
      <c r="H2360" s="110" t="s">
        <v>6474</v>
      </c>
      <c r="I2360" s="110" t="s">
        <v>16978</v>
      </c>
    </row>
    <row r="2361" spans="1:9" ht="37.799999999999997" x14ac:dyDescent="0.3">
      <c r="A2361" s="109" t="s">
        <v>16979</v>
      </c>
      <c r="B2361" s="109" t="s">
        <v>16843</v>
      </c>
      <c r="C2361" s="109" t="s">
        <v>16843</v>
      </c>
      <c r="D2361" s="109" t="s">
        <v>16980</v>
      </c>
      <c r="E2361" s="109" t="s">
        <v>5558</v>
      </c>
      <c r="F2361" s="109" t="s">
        <v>16981</v>
      </c>
      <c r="G2361" s="110" t="s">
        <v>6248</v>
      </c>
      <c r="H2361" s="110" t="s">
        <v>6460</v>
      </c>
      <c r="I2361" s="110" t="s">
        <v>16982</v>
      </c>
    </row>
    <row r="2362" spans="1:9" ht="37.799999999999997" x14ac:dyDescent="0.3">
      <c r="A2362" s="109" t="s">
        <v>16983</v>
      </c>
      <c r="B2362" s="109" t="s">
        <v>16843</v>
      </c>
      <c r="C2362" s="109" t="s">
        <v>16843</v>
      </c>
      <c r="D2362" s="109" t="s">
        <v>16984</v>
      </c>
      <c r="E2362" s="109" t="s">
        <v>5558</v>
      </c>
      <c r="F2362" s="109" t="s">
        <v>16985</v>
      </c>
      <c r="G2362" s="110" t="s">
        <v>6248</v>
      </c>
      <c r="H2362" s="110" t="s">
        <v>10345</v>
      </c>
      <c r="I2362" s="110" t="s">
        <v>16986</v>
      </c>
    </row>
    <row r="2363" spans="1:9" ht="25.2" x14ac:dyDescent="0.3">
      <c r="A2363" s="109" t="s">
        <v>16987</v>
      </c>
      <c r="B2363" s="109" t="s">
        <v>16843</v>
      </c>
      <c r="C2363" s="109" t="s">
        <v>16843</v>
      </c>
      <c r="D2363" s="109" t="s">
        <v>16988</v>
      </c>
      <c r="E2363" s="109" t="s">
        <v>5558</v>
      </c>
      <c r="F2363" s="109" t="s">
        <v>16989</v>
      </c>
      <c r="G2363" s="110" t="s">
        <v>6248</v>
      </c>
      <c r="H2363" s="110" t="s">
        <v>12864</v>
      </c>
      <c r="I2363" s="110" t="s">
        <v>16990</v>
      </c>
    </row>
    <row r="2364" spans="1:9" ht="37.799999999999997" x14ac:dyDescent="0.3">
      <c r="A2364" s="109" t="s">
        <v>16991</v>
      </c>
      <c r="B2364" s="109" t="s">
        <v>16843</v>
      </c>
      <c r="C2364" s="109" t="s">
        <v>16843</v>
      </c>
      <c r="D2364" s="109" t="s">
        <v>16992</v>
      </c>
      <c r="E2364" s="109" t="s">
        <v>5558</v>
      </c>
      <c r="F2364" s="109" t="s">
        <v>16993</v>
      </c>
      <c r="G2364" s="110" t="s">
        <v>6248</v>
      </c>
      <c r="H2364" s="110" t="s">
        <v>6507</v>
      </c>
      <c r="I2364" s="110" t="s">
        <v>16994</v>
      </c>
    </row>
    <row r="2365" spans="1:9" ht="25.2" x14ac:dyDescent="0.3">
      <c r="A2365" s="109" t="s">
        <v>16995</v>
      </c>
      <c r="B2365" s="109" t="s">
        <v>16843</v>
      </c>
      <c r="C2365" s="109" t="s">
        <v>16843</v>
      </c>
      <c r="D2365" s="109" t="s">
        <v>16996</v>
      </c>
      <c r="E2365" s="109" t="s">
        <v>5558</v>
      </c>
      <c r="F2365" s="109" t="s">
        <v>16997</v>
      </c>
      <c r="G2365" s="110" t="s">
        <v>6248</v>
      </c>
      <c r="H2365" s="110" t="s">
        <v>7987</v>
      </c>
      <c r="I2365" s="110" t="s">
        <v>16998</v>
      </c>
    </row>
    <row r="2366" spans="1:9" ht="25.2" x14ac:dyDescent="0.3">
      <c r="A2366" s="109" t="s">
        <v>16999</v>
      </c>
      <c r="B2366" s="109" t="s">
        <v>16843</v>
      </c>
      <c r="C2366" s="109" t="s">
        <v>16843</v>
      </c>
      <c r="D2366" s="109" t="s">
        <v>17000</v>
      </c>
      <c r="E2366" s="109" t="s">
        <v>5558</v>
      </c>
      <c r="F2366" s="109" t="s">
        <v>17001</v>
      </c>
      <c r="G2366" s="110" t="s">
        <v>6248</v>
      </c>
      <c r="H2366" s="110" t="s">
        <v>17002</v>
      </c>
      <c r="I2366" s="110" t="s">
        <v>17003</v>
      </c>
    </row>
    <row r="2367" spans="1:9" ht="25.2" x14ac:dyDescent="0.3">
      <c r="A2367" s="109" t="s">
        <v>17004</v>
      </c>
      <c r="B2367" s="109" t="s">
        <v>16843</v>
      </c>
      <c r="C2367" s="109" t="s">
        <v>16843</v>
      </c>
      <c r="D2367" s="109" t="s">
        <v>17005</v>
      </c>
      <c r="E2367" s="109" t="s">
        <v>5558</v>
      </c>
      <c r="F2367" s="109" t="s">
        <v>17006</v>
      </c>
      <c r="G2367" s="110" t="s">
        <v>6248</v>
      </c>
      <c r="H2367" s="110" t="s">
        <v>6460</v>
      </c>
      <c r="I2367" s="110" t="s">
        <v>17007</v>
      </c>
    </row>
    <row r="2368" spans="1:9" ht="25.2" x14ac:dyDescent="0.3">
      <c r="A2368" s="109" t="s">
        <v>17008</v>
      </c>
      <c r="B2368" s="109" t="s">
        <v>16843</v>
      </c>
      <c r="C2368" s="109" t="s">
        <v>16843</v>
      </c>
      <c r="D2368" s="109" t="s">
        <v>17009</v>
      </c>
      <c r="E2368" s="109" t="s">
        <v>5558</v>
      </c>
      <c r="F2368" s="109" t="s">
        <v>17010</v>
      </c>
      <c r="G2368" s="110" t="s">
        <v>6248</v>
      </c>
      <c r="H2368" s="110" t="s">
        <v>6557</v>
      </c>
      <c r="I2368" s="110" t="s">
        <v>17011</v>
      </c>
    </row>
    <row r="2369" spans="1:9" ht="25.2" x14ac:dyDescent="0.3">
      <c r="A2369" s="109" t="s">
        <v>17012</v>
      </c>
      <c r="B2369" s="109" t="s">
        <v>16843</v>
      </c>
      <c r="C2369" s="109" t="s">
        <v>16843</v>
      </c>
      <c r="D2369" s="109" t="s">
        <v>17013</v>
      </c>
      <c r="E2369" s="109" t="s">
        <v>5558</v>
      </c>
      <c r="F2369" s="109" t="s">
        <v>17014</v>
      </c>
      <c r="G2369" s="110" t="s">
        <v>6248</v>
      </c>
      <c r="H2369" s="110" t="s">
        <v>6398</v>
      </c>
      <c r="I2369" s="110" t="s">
        <v>17015</v>
      </c>
    </row>
    <row r="2370" spans="1:9" ht="37.799999999999997" x14ac:dyDescent="0.3">
      <c r="A2370" s="109" t="s">
        <v>17016</v>
      </c>
      <c r="B2370" s="109" t="s">
        <v>16843</v>
      </c>
      <c r="C2370" s="109" t="s">
        <v>16843</v>
      </c>
      <c r="D2370" s="109" t="s">
        <v>17017</v>
      </c>
      <c r="E2370" s="109" t="s">
        <v>5558</v>
      </c>
      <c r="F2370" s="109" t="s">
        <v>17018</v>
      </c>
      <c r="G2370" s="110" t="s">
        <v>6248</v>
      </c>
      <c r="H2370" s="110" t="s">
        <v>17019</v>
      </c>
      <c r="I2370" s="110" t="s">
        <v>17020</v>
      </c>
    </row>
    <row r="2371" spans="1:9" ht="25.2" x14ac:dyDescent="0.3">
      <c r="A2371" s="109" t="s">
        <v>17021</v>
      </c>
      <c r="B2371" s="109" t="s">
        <v>16843</v>
      </c>
      <c r="C2371" s="109" t="s">
        <v>16843</v>
      </c>
      <c r="D2371" s="109" t="s">
        <v>17022</v>
      </c>
      <c r="E2371" s="109" t="s">
        <v>5558</v>
      </c>
      <c r="F2371" s="109" t="s">
        <v>17023</v>
      </c>
      <c r="G2371" s="110" t="s">
        <v>6248</v>
      </c>
      <c r="H2371" s="110" t="s">
        <v>17024</v>
      </c>
      <c r="I2371" s="110" t="s">
        <v>17025</v>
      </c>
    </row>
    <row r="2372" spans="1:9" ht="25.2" x14ac:dyDescent="0.3">
      <c r="A2372" s="109" t="s">
        <v>17026</v>
      </c>
      <c r="B2372" s="109" t="s">
        <v>16843</v>
      </c>
      <c r="C2372" s="109" t="s">
        <v>16843</v>
      </c>
      <c r="D2372" s="109" t="s">
        <v>17027</v>
      </c>
      <c r="E2372" s="109" t="s">
        <v>5558</v>
      </c>
      <c r="F2372" s="109" t="s">
        <v>17028</v>
      </c>
      <c r="G2372" s="110" t="s">
        <v>6248</v>
      </c>
      <c r="H2372" s="110" t="s">
        <v>6489</v>
      </c>
      <c r="I2372" s="110" t="s">
        <v>17029</v>
      </c>
    </row>
    <row r="2373" spans="1:9" ht="25.2" x14ac:dyDescent="0.3">
      <c r="A2373" s="109" t="s">
        <v>17030</v>
      </c>
      <c r="B2373" s="109" t="s">
        <v>16843</v>
      </c>
      <c r="C2373" s="109" t="s">
        <v>16843</v>
      </c>
      <c r="D2373" s="109" t="s">
        <v>17031</v>
      </c>
      <c r="E2373" s="109" t="s">
        <v>5558</v>
      </c>
      <c r="F2373" s="109" t="s">
        <v>17032</v>
      </c>
      <c r="G2373" s="110" t="s">
        <v>6248</v>
      </c>
      <c r="H2373" s="110" t="s">
        <v>7898</v>
      </c>
      <c r="I2373" s="110" t="s">
        <v>17033</v>
      </c>
    </row>
    <row r="2374" spans="1:9" ht="25.2" x14ac:dyDescent="0.3">
      <c r="A2374" s="109" t="s">
        <v>17034</v>
      </c>
      <c r="B2374" s="109" t="s">
        <v>16843</v>
      </c>
      <c r="C2374" s="109" t="s">
        <v>16843</v>
      </c>
      <c r="D2374" s="109" t="s">
        <v>17035</v>
      </c>
      <c r="E2374" s="109" t="s">
        <v>5558</v>
      </c>
      <c r="F2374" s="109" t="s">
        <v>17036</v>
      </c>
      <c r="G2374" s="110" t="s">
        <v>6248</v>
      </c>
      <c r="H2374" s="110" t="s">
        <v>7898</v>
      </c>
      <c r="I2374" s="110" t="s">
        <v>17037</v>
      </c>
    </row>
    <row r="2375" spans="1:9" ht="37.799999999999997" x14ac:dyDescent="0.3">
      <c r="A2375" s="109" t="s">
        <v>17038</v>
      </c>
      <c r="B2375" s="109" t="s">
        <v>16843</v>
      </c>
      <c r="C2375" s="109" t="s">
        <v>16843</v>
      </c>
      <c r="D2375" s="109" t="s">
        <v>17039</v>
      </c>
      <c r="E2375" s="109" t="s">
        <v>5558</v>
      </c>
      <c r="F2375" s="109" t="s">
        <v>17040</v>
      </c>
      <c r="G2375" s="110" t="s">
        <v>6248</v>
      </c>
      <c r="H2375" s="110" t="s">
        <v>17041</v>
      </c>
      <c r="I2375" s="110" t="s">
        <v>17042</v>
      </c>
    </row>
    <row r="2376" spans="1:9" ht="25.2" x14ac:dyDescent="0.3">
      <c r="A2376" s="109" t="s">
        <v>17043</v>
      </c>
      <c r="B2376" s="109" t="s">
        <v>16843</v>
      </c>
      <c r="C2376" s="109" t="s">
        <v>16843</v>
      </c>
      <c r="D2376" s="109" t="s">
        <v>17044</v>
      </c>
      <c r="E2376" s="109" t="s">
        <v>5558</v>
      </c>
      <c r="F2376" s="109" t="s">
        <v>17045</v>
      </c>
      <c r="G2376" s="110" t="s">
        <v>6248</v>
      </c>
      <c r="H2376" s="110" t="s">
        <v>6418</v>
      </c>
      <c r="I2376" s="110" t="s">
        <v>17046</v>
      </c>
    </row>
    <row r="2377" spans="1:9" ht="25.2" x14ac:dyDescent="0.3">
      <c r="A2377" s="109" t="s">
        <v>17047</v>
      </c>
      <c r="B2377" s="109" t="s">
        <v>16843</v>
      </c>
      <c r="C2377" s="109" t="s">
        <v>16843</v>
      </c>
      <c r="D2377" s="109" t="s">
        <v>17048</v>
      </c>
      <c r="E2377" s="109" t="s">
        <v>5558</v>
      </c>
      <c r="F2377" s="109" t="s">
        <v>17049</v>
      </c>
      <c r="G2377" s="110" t="s">
        <v>6248</v>
      </c>
      <c r="H2377" s="110" t="s">
        <v>17050</v>
      </c>
      <c r="I2377" s="110" t="s">
        <v>17051</v>
      </c>
    </row>
    <row r="2378" spans="1:9" ht="25.2" x14ac:dyDescent="0.3">
      <c r="A2378" s="109" t="s">
        <v>17052</v>
      </c>
      <c r="B2378" s="109" t="s">
        <v>16843</v>
      </c>
      <c r="C2378" s="109" t="s">
        <v>16843</v>
      </c>
      <c r="D2378" s="109" t="s">
        <v>17053</v>
      </c>
      <c r="E2378" s="109" t="s">
        <v>5558</v>
      </c>
      <c r="F2378" s="109" t="s">
        <v>17054</v>
      </c>
      <c r="G2378" s="110" t="s">
        <v>6248</v>
      </c>
      <c r="H2378" s="110" t="s">
        <v>6606</v>
      </c>
      <c r="I2378" s="110" t="s">
        <v>17055</v>
      </c>
    </row>
    <row r="2379" spans="1:9" ht="25.2" x14ac:dyDescent="0.3">
      <c r="A2379" s="109" t="s">
        <v>17056</v>
      </c>
      <c r="B2379" s="109" t="s">
        <v>16843</v>
      </c>
      <c r="C2379" s="109" t="s">
        <v>16843</v>
      </c>
      <c r="D2379" s="109" t="s">
        <v>17057</v>
      </c>
      <c r="E2379" s="109" t="s">
        <v>5558</v>
      </c>
      <c r="F2379" s="109" t="s">
        <v>17058</v>
      </c>
      <c r="G2379" s="110" t="s">
        <v>6248</v>
      </c>
      <c r="H2379" s="110" t="s">
        <v>17059</v>
      </c>
      <c r="I2379" s="110" t="s">
        <v>17060</v>
      </c>
    </row>
    <row r="2380" spans="1:9" ht="37.799999999999997" x14ac:dyDescent="0.3">
      <c r="A2380" s="109" t="s">
        <v>17061</v>
      </c>
      <c r="B2380" s="109" t="s">
        <v>16843</v>
      </c>
      <c r="C2380" s="109" t="s">
        <v>16843</v>
      </c>
      <c r="D2380" s="109" t="s">
        <v>17062</v>
      </c>
      <c r="E2380" s="109" t="s">
        <v>5558</v>
      </c>
      <c r="F2380" s="109" t="s">
        <v>17063</v>
      </c>
      <c r="G2380" s="110" t="s">
        <v>6248</v>
      </c>
      <c r="H2380" s="110" t="s">
        <v>6428</v>
      </c>
      <c r="I2380" s="110" t="s">
        <v>17064</v>
      </c>
    </row>
    <row r="2381" spans="1:9" ht="37.799999999999997" x14ac:dyDescent="0.3">
      <c r="A2381" s="109" t="s">
        <v>17065</v>
      </c>
      <c r="B2381" s="109" t="s">
        <v>16843</v>
      </c>
      <c r="C2381" s="109" t="s">
        <v>16843</v>
      </c>
      <c r="D2381" s="109" t="s">
        <v>17066</v>
      </c>
      <c r="E2381" s="109" t="s">
        <v>5558</v>
      </c>
      <c r="F2381" s="109" t="s">
        <v>17067</v>
      </c>
      <c r="G2381" s="110" t="s">
        <v>6248</v>
      </c>
      <c r="H2381" s="110" t="s">
        <v>17068</v>
      </c>
      <c r="I2381" s="110" t="s">
        <v>17069</v>
      </c>
    </row>
    <row r="2382" spans="1:9" ht="25.2" x14ac:dyDescent="0.3">
      <c r="A2382" s="109" t="s">
        <v>17070</v>
      </c>
      <c r="B2382" s="109" t="s">
        <v>16843</v>
      </c>
      <c r="C2382" s="109" t="s">
        <v>16843</v>
      </c>
      <c r="D2382" s="109" t="s">
        <v>17071</v>
      </c>
      <c r="E2382" s="109" t="s">
        <v>5558</v>
      </c>
      <c r="F2382" s="109" t="s">
        <v>17072</v>
      </c>
      <c r="G2382" s="110" t="s">
        <v>6248</v>
      </c>
      <c r="H2382" s="110" t="s">
        <v>6460</v>
      </c>
      <c r="I2382" s="110" t="s">
        <v>17073</v>
      </c>
    </row>
    <row r="2383" spans="1:9" ht="37.799999999999997" x14ac:dyDescent="0.3">
      <c r="A2383" s="109" t="s">
        <v>17074</v>
      </c>
      <c r="B2383" s="109" t="s">
        <v>16843</v>
      </c>
      <c r="C2383" s="109" t="s">
        <v>16843</v>
      </c>
      <c r="D2383" s="109" t="s">
        <v>17075</v>
      </c>
      <c r="E2383" s="109" t="s">
        <v>5558</v>
      </c>
      <c r="F2383" s="109" t="s">
        <v>17076</v>
      </c>
      <c r="G2383" s="110" t="s">
        <v>6248</v>
      </c>
      <c r="H2383" s="110" t="s">
        <v>6484</v>
      </c>
      <c r="I2383" s="110" t="s">
        <v>17077</v>
      </c>
    </row>
    <row r="2384" spans="1:9" ht="37.799999999999997" x14ac:dyDescent="0.3">
      <c r="A2384" s="109" t="s">
        <v>17078</v>
      </c>
      <c r="B2384" s="109" t="s">
        <v>16843</v>
      </c>
      <c r="C2384" s="109" t="s">
        <v>16843</v>
      </c>
      <c r="D2384" s="109" t="s">
        <v>17079</v>
      </c>
      <c r="E2384" s="109" t="s">
        <v>5558</v>
      </c>
      <c r="F2384" s="109" t="s">
        <v>17080</v>
      </c>
      <c r="G2384" s="110" t="s">
        <v>6248</v>
      </c>
      <c r="H2384" s="110" t="s">
        <v>17081</v>
      </c>
      <c r="I2384" s="110" t="s">
        <v>17082</v>
      </c>
    </row>
    <row r="2385" spans="1:9" ht="25.2" x14ac:dyDescent="0.3">
      <c r="A2385" s="109" t="s">
        <v>17083</v>
      </c>
      <c r="B2385" s="109" t="s">
        <v>16843</v>
      </c>
      <c r="C2385" s="109" t="s">
        <v>16843</v>
      </c>
      <c r="D2385" s="109" t="s">
        <v>17084</v>
      </c>
      <c r="E2385" s="109" t="s">
        <v>5558</v>
      </c>
      <c r="F2385" s="109" t="s">
        <v>17085</v>
      </c>
      <c r="G2385" s="110" t="s">
        <v>6248</v>
      </c>
      <c r="H2385" s="110" t="s">
        <v>17019</v>
      </c>
      <c r="I2385" s="110" t="s">
        <v>17086</v>
      </c>
    </row>
    <row r="2386" spans="1:9" ht="25.2" x14ac:dyDescent="0.3">
      <c r="A2386" s="109" t="s">
        <v>17087</v>
      </c>
      <c r="B2386" s="109" t="s">
        <v>16843</v>
      </c>
      <c r="C2386" s="109" t="s">
        <v>16843</v>
      </c>
      <c r="D2386" s="109" t="s">
        <v>17088</v>
      </c>
      <c r="E2386" s="109" t="s">
        <v>5558</v>
      </c>
      <c r="F2386" s="109" t="s">
        <v>17089</v>
      </c>
      <c r="G2386" s="110" t="s">
        <v>6248</v>
      </c>
      <c r="H2386" s="110" t="s">
        <v>17090</v>
      </c>
      <c r="I2386" s="110" t="s">
        <v>17091</v>
      </c>
    </row>
    <row r="2387" spans="1:9" ht="25.2" x14ac:dyDescent="0.3">
      <c r="A2387" s="109" t="s">
        <v>17092</v>
      </c>
      <c r="B2387" s="109" t="s">
        <v>16843</v>
      </c>
      <c r="C2387" s="109" t="s">
        <v>16843</v>
      </c>
      <c r="D2387" s="109" t="s">
        <v>17093</v>
      </c>
      <c r="E2387" s="109" t="s">
        <v>5558</v>
      </c>
      <c r="F2387" s="109" t="s">
        <v>17094</v>
      </c>
      <c r="G2387" s="110" t="s">
        <v>6248</v>
      </c>
      <c r="H2387" s="110" t="s">
        <v>6418</v>
      </c>
      <c r="I2387" s="110" t="s">
        <v>17095</v>
      </c>
    </row>
    <row r="2388" spans="1:9" ht="25.2" x14ac:dyDescent="0.3">
      <c r="A2388" s="109" t="s">
        <v>17096</v>
      </c>
      <c r="B2388" s="109" t="s">
        <v>16843</v>
      </c>
      <c r="C2388" s="109" t="s">
        <v>16843</v>
      </c>
      <c r="D2388" s="109" t="s">
        <v>17097</v>
      </c>
      <c r="E2388" s="109" t="s">
        <v>5558</v>
      </c>
      <c r="F2388" s="109" t="s">
        <v>17098</v>
      </c>
      <c r="G2388" s="110" t="s">
        <v>6248</v>
      </c>
      <c r="H2388" s="110" t="s">
        <v>7898</v>
      </c>
      <c r="I2388" s="110" t="s">
        <v>17099</v>
      </c>
    </row>
    <row r="2389" spans="1:9" ht="37.799999999999997" x14ac:dyDescent="0.3">
      <c r="A2389" s="109" t="s">
        <v>17100</v>
      </c>
      <c r="B2389" s="109" t="s">
        <v>16843</v>
      </c>
      <c r="C2389" s="109" t="s">
        <v>16843</v>
      </c>
      <c r="D2389" s="109" t="s">
        <v>17101</v>
      </c>
      <c r="E2389" s="109" t="s">
        <v>5558</v>
      </c>
      <c r="F2389" s="109" t="s">
        <v>17102</v>
      </c>
      <c r="G2389" s="110" t="s">
        <v>6248</v>
      </c>
      <c r="H2389" s="110" t="s">
        <v>14023</v>
      </c>
      <c r="I2389" s="110" t="s">
        <v>17103</v>
      </c>
    </row>
    <row r="2390" spans="1:9" ht="25.2" x14ac:dyDescent="0.3">
      <c r="A2390" s="109" t="s">
        <v>17104</v>
      </c>
      <c r="B2390" s="109" t="s">
        <v>16843</v>
      </c>
      <c r="C2390" s="109" t="s">
        <v>16843</v>
      </c>
      <c r="D2390" s="109" t="s">
        <v>17105</v>
      </c>
      <c r="E2390" s="109" t="s">
        <v>5558</v>
      </c>
      <c r="F2390" s="109" t="s">
        <v>17106</v>
      </c>
      <c r="G2390" s="110" t="s">
        <v>6248</v>
      </c>
      <c r="H2390" s="110" t="s">
        <v>17107</v>
      </c>
      <c r="I2390" s="110" t="s">
        <v>17108</v>
      </c>
    </row>
    <row r="2391" spans="1:9" ht="37.799999999999997" x14ac:dyDescent="0.3">
      <c r="A2391" s="109" t="s">
        <v>17109</v>
      </c>
      <c r="B2391" s="109" t="s">
        <v>16843</v>
      </c>
      <c r="C2391" s="109" t="s">
        <v>16843</v>
      </c>
      <c r="D2391" s="109" t="s">
        <v>17110</v>
      </c>
      <c r="E2391" s="109" t="s">
        <v>5558</v>
      </c>
      <c r="F2391" s="109" t="s">
        <v>17111</v>
      </c>
      <c r="G2391" s="110" t="s">
        <v>6248</v>
      </c>
      <c r="H2391" s="110" t="s">
        <v>17112</v>
      </c>
      <c r="I2391" s="110" t="s">
        <v>17113</v>
      </c>
    </row>
    <row r="2392" spans="1:9" ht="37.799999999999997" x14ac:dyDescent="0.3">
      <c r="A2392" s="109" t="s">
        <v>17114</v>
      </c>
      <c r="B2392" s="109" t="s">
        <v>16843</v>
      </c>
      <c r="C2392" s="109" t="s">
        <v>16843</v>
      </c>
      <c r="D2392" s="109" t="s">
        <v>17115</v>
      </c>
      <c r="E2392" s="109" t="s">
        <v>5558</v>
      </c>
      <c r="F2392" s="109" t="s">
        <v>17116</v>
      </c>
      <c r="G2392" s="110" t="s">
        <v>6248</v>
      </c>
      <c r="H2392" s="110" t="s">
        <v>6413</v>
      </c>
      <c r="I2392" s="110" t="s">
        <v>17117</v>
      </c>
    </row>
    <row r="2393" spans="1:9" ht="25.2" x14ac:dyDescent="0.3">
      <c r="A2393" s="109" t="s">
        <v>17118</v>
      </c>
      <c r="B2393" s="109" t="s">
        <v>16843</v>
      </c>
      <c r="C2393" s="109" t="s">
        <v>16843</v>
      </c>
      <c r="D2393" s="109" t="s">
        <v>17119</v>
      </c>
      <c r="E2393" s="109" t="s">
        <v>5558</v>
      </c>
      <c r="F2393" s="109" t="s">
        <v>17120</v>
      </c>
      <c r="G2393" s="110" t="s">
        <v>6248</v>
      </c>
      <c r="H2393" s="110" t="s">
        <v>6413</v>
      </c>
      <c r="I2393" s="110" t="s">
        <v>17121</v>
      </c>
    </row>
    <row r="2394" spans="1:9" ht="25.2" x14ac:dyDescent="0.3">
      <c r="A2394" s="109" t="s">
        <v>17122</v>
      </c>
      <c r="B2394" s="109" t="s">
        <v>16843</v>
      </c>
      <c r="C2394" s="109" t="s">
        <v>16843</v>
      </c>
      <c r="D2394" s="109" t="s">
        <v>17123</v>
      </c>
      <c r="E2394" s="109" t="s">
        <v>5558</v>
      </c>
      <c r="F2394" s="109" t="s">
        <v>17124</v>
      </c>
      <c r="G2394" s="110" t="s">
        <v>6248</v>
      </c>
      <c r="H2394" s="110" t="s">
        <v>17125</v>
      </c>
      <c r="I2394" s="110" t="s">
        <v>17126</v>
      </c>
    </row>
    <row r="2395" spans="1:9" ht="25.2" x14ac:dyDescent="0.3">
      <c r="A2395" s="109" t="s">
        <v>17127</v>
      </c>
      <c r="B2395" s="109" t="s">
        <v>16843</v>
      </c>
      <c r="C2395" s="109" t="s">
        <v>16843</v>
      </c>
      <c r="D2395" s="109" t="s">
        <v>17128</v>
      </c>
      <c r="E2395" s="109" t="s">
        <v>5558</v>
      </c>
      <c r="F2395" s="109" t="s">
        <v>17129</v>
      </c>
      <c r="G2395" s="110" t="s">
        <v>6248</v>
      </c>
      <c r="H2395" s="110" t="s">
        <v>6552</v>
      </c>
      <c r="I2395" s="110" t="s">
        <v>17130</v>
      </c>
    </row>
    <row r="2396" spans="1:9" ht="37.799999999999997" x14ac:dyDescent="0.3">
      <c r="A2396" s="109" t="s">
        <v>17131</v>
      </c>
      <c r="B2396" s="109" t="s">
        <v>16843</v>
      </c>
      <c r="C2396" s="109" t="s">
        <v>16843</v>
      </c>
      <c r="D2396" s="109" t="s">
        <v>17132</v>
      </c>
      <c r="E2396" s="109" t="s">
        <v>5558</v>
      </c>
      <c r="F2396" s="109" t="s">
        <v>17133</v>
      </c>
      <c r="G2396" s="110" t="s">
        <v>6248</v>
      </c>
      <c r="H2396" s="110" t="s">
        <v>6557</v>
      </c>
      <c r="I2396" s="110" t="s">
        <v>17134</v>
      </c>
    </row>
    <row r="2397" spans="1:9" ht="37.799999999999997" x14ac:dyDescent="0.3">
      <c r="A2397" s="109" t="s">
        <v>17135</v>
      </c>
      <c r="B2397" s="109" t="s">
        <v>16843</v>
      </c>
      <c r="C2397" s="109" t="s">
        <v>16843</v>
      </c>
      <c r="D2397" s="109" t="s">
        <v>17136</v>
      </c>
      <c r="E2397" s="109" t="s">
        <v>5558</v>
      </c>
      <c r="F2397" s="109" t="s">
        <v>17137</v>
      </c>
      <c r="G2397" s="110" t="s">
        <v>6248</v>
      </c>
      <c r="H2397" s="110" t="s">
        <v>6341</v>
      </c>
      <c r="I2397" s="110" t="s">
        <v>17138</v>
      </c>
    </row>
    <row r="2398" spans="1:9" ht="25.2" x14ac:dyDescent="0.3">
      <c r="A2398" s="109" t="s">
        <v>17139</v>
      </c>
      <c r="B2398" s="109" t="s">
        <v>16843</v>
      </c>
      <c r="C2398" s="109" t="s">
        <v>16843</v>
      </c>
      <c r="D2398" s="109" t="s">
        <v>17140</v>
      </c>
      <c r="E2398" s="109" t="s">
        <v>5558</v>
      </c>
      <c r="F2398" s="109" t="s">
        <v>17141</v>
      </c>
      <c r="G2398" s="110" t="s">
        <v>6248</v>
      </c>
      <c r="H2398" s="110" t="s">
        <v>6689</v>
      </c>
      <c r="I2398" s="110" t="s">
        <v>17142</v>
      </c>
    </row>
    <row r="2399" spans="1:9" ht="25.2" x14ac:dyDescent="0.3">
      <c r="A2399" s="109" t="s">
        <v>17143</v>
      </c>
      <c r="B2399" s="109" t="s">
        <v>16843</v>
      </c>
      <c r="C2399" s="109" t="s">
        <v>16843</v>
      </c>
      <c r="D2399" s="109" t="s">
        <v>17144</v>
      </c>
      <c r="E2399" s="109" t="s">
        <v>5558</v>
      </c>
      <c r="F2399" s="109" t="s">
        <v>17145</v>
      </c>
      <c r="G2399" s="110" t="s">
        <v>6248</v>
      </c>
      <c r="H2399" s="110" t="s">
        <v>17146</v>
      </c>
      <c r="I2399" s="110" t="s">
        <v>17147</v>
      </c>
    </row>
    <row r="2400" spans="1:9" ht="25.2" x14ac:dyDescent="0.3">
      <c r="A2400" s="109" t="s">
        <v>17148</v>
      </c>
      <c r="B2400" s="109" t="s">
        <v>16843</v>
      </c>
      <c r="C2400" s="109" t="s">
        <v>16843</v>
      </c>
      <c r="D2400" s="109" t="s">
        <v>2097</v>
      </c>
      <c r="E2400" s="109" t="s">
        <v>17149</v>
      </c>
      <c r="F2400" s="109" t="s">
        <v>17150</v>
      </c>
      <c r="G2400" s="110" t="s">
        <v>6248</v>
      </c>
      <c r="H2400" s="110" t="s">
        <v>17151</v>
      </c>
      <c r="I2400" s="110" t="s">
        <v>17152</v>
      </c>
    </row>
    <row r="2401" spans="1:9" ht="37.799999999999997" x14ac:dyDescent="0.3">
      <c r="A2401" s="109" t="s">
        <v>17153</v>
      </c>
      <c r="B2401" s="109" t="s">
        <v>16843</v>
      </c>
      <c r="C2401" s="109" t="s">
        <v>16843</v>
      </c>
      <c r="D2401" s="109" t="s">
        <v>17154</v>
      </c>
      <c r="E2401" s="109" t="s">
        <v>5558</v>
      </c>
      <c r="F2401" s="109" t="s">
        <v>17155</v>
      </c>
      <c r="G2401" s="110" t="s">
        <v>6248</v>
      </c>
      <c r="H2401" s="110" t="s">
        <v>17156</v>
      </c>
      <c r="I2401" s="110" t="s">
        <v>17157</v>
      </c>
    </row>
    <row r="2402" spans="1:9" ht="25.2" x14ac:dyDescent="0.3">
      <c r="A2402" s="109" t="s">
        <v>17158</v>
      </c>
      <c r="B2402" s="109" t="s">
        <v>16843</v>
      </c>
      <c r="C2402" s="109" t="s">
        <v>16843</v>
      </c>
      <c r="D2402" s="109" t="s">
        <v>5569</v>
      </c>
      <c r="E2402" s="109" t="s">
        <v>5558</v>
      </c>
      <c r="F2402" s="109" t="s">
        <v>2258</v>
      </c>
      <c r="G2402" s="110" t="s">
        <v>6248</v>
      </c>
      <c r="H2402" s="110" t="s">
        <v>17159</v>
      </c>
      <c r="I2402" s="110" t="s">
        <v>17160</v>
      </c>
    </row>
    <row r="2403" spans="1:9" ht="25.2" x14ac:dyDescent="0.3">
      <c r="A2403" s="109" t="s">
        <v>17161</v>
      </c>
      <c r="B2403" s="109" t="s">
        <v>16843</v>
      </c>
      <c r="C2403" s="109" t="s">
        <v>16843</v>
      </c>
      <c r="D2403" s="109" t="s">
        <v>17162</v>
      </c>
      <c r="E2403" s="109" t="s">
        <v>5558</v>
      </c>
      <c r="F2403" s="109" t="s">
        <v>17163</v>
      </c>
      <c r="G2403" s="110" t="s">
        <v>6248</v>
      </c>
      <c r="H2403" s="110" t="s">
        <v>6660</v>
      </c>
      <c r="I2403" s="110" t="s">
        <v>17164</v>
      </c>
    </row>
    <row r="2404" spans="1:9" ht="25.2" x14ac:dyDescent="0.3">
      <c r="A2404" s="109" t="s">
        <v>17165</v>
      </c>
      <c r="B2404" s="109" t="s">
        <v>16843</v>
      </c>
      <c r="C2404" s="109" t="s">
        <v>16843</v>
      </c>
      <c r="D2404" s="109" t="s">
        <v>2161</v>
      </c>
      <c r="E2404" s="109" t="s">
        <v>5558</v>
      </c>
      <c r="F2404" s="109" t="s">
        <v>17166</v>
      </c>
      <c r="G2404" s="110" t="s">
        <v>6248</v>
      </c>
      <c r="H2404" s="110" t="s">
        <v>17167</v>
      </c>
      <c r="I2404" s="110" t="s">
        <v>17168</v>
      </c>
    </row>
    <row r="2405" spans="1:9" ht="25.2" x14ac:dyDescent="0.3">
      <c r="A2405" s="109" t="s">
        <v>17169</v>
      </c>
      <c r="B2405" s="109" t="s">
        <v>16843</v>
      </c>
      <c r="C2405" s="109" t="s">
        <v>16843</v>
      </c>
      <c r="D2405" s="109" t="s">
        <v>17170</v>
      </c>
      <c r="E2405" s="109" t="s">
        <v>5558</v>
      </c>
      <c r="F2405" s="109" t="s">
        <v>17171</v>
      </c>
      <c r="G2405" s="110" t="s">
        <v>6248</v>
      </c>
      <c r="H2405" s="110" t="s">
        <v>17172</v>
      </c>
      <c r="I2405" s="110" t="s">
        <v>17173</v>
      </c>
    </row>
    <row r="2406" spans="1:9" ht="25.2" x14ac:dyDescent="0.3">
      <c r="A2406" s="109" t="s">
        <v>17174</v>
      </c>
      <c r="B2406" s="109" t="s">
        <v>16843</v>
      </c>
      <c r="C2406" s="109" t="s">
        <v>16843</v>
      </c>
      <c r="D2406" s="109" t="s">
        <v>5569</v>
      </c>
      <c r="E2406" s="109" t="s">
        <v>5558</v>
      </c>
      <c r="F2406" s="109" t="s">
        <v>2258</v>
      </c>
      <c r="G2406" s="110" t="s">
        <v>6248</v>
      </c>
      <c r="H2406" s="110" t="s">
        <v>17175</v>
      </c>
      <c r="I2406" s="110" t="s">
        <v>17176</v>
      </c>
    </row>
    <row r="2407" spans="1:9" ht="25.2" x14ac:dyDescent="0.3">
      <c r="A2407" s="109" t="s">
        <v>17177</v>
      </c>
      <c r="B2407" s="109" t="s">
        <v>16843</v>
      </c>
      <c r="C2407" s="109" t="s">
        <v>16843</v>
      </c>
      <c r="D2407" s="109" t="s">
        <v>17178</v>
      </c>
      <c r="E2407" s="109" t="s">
        <v>17179</v>
      </c>
      <c r="F2407" s="109" t="s">
        <v>9778</v>
      </c>
      <c r="G2407" s="110" t="s">
        <v>6248</v>
      </c>
      <c r="H2407" s="110" t="s">
        <v>6883</v>
      </c>
      <c r="I2407" s="110" t="s">
        <v>17180</v>
      </c>
    </row>
    <row r="2408" spans="1:9" ht="25.2" x14ac:dyDescent="0.3">
      <c r="A2408" s="109" t="s">
        <v>17181</v>
      </c>
      <c r="B2408" s="109" t="s">
        <v>16843</v>
      </c>
      <c r="C2408" s="109" t="s">
        <v>16843</v>
      </c>
      <c r="D2408" s="109" t="s">
        <v>17182</v>
      </c>
      <c r="E2408" s="109" t="s">
        <v>5558</v>
      </c>
      <c r="F2408" s="109" t="s">
        <v>17183</v>
      </c>
      <c r="G2408" s="110" t="s">
        <v>6248</v>
      </c>
      <c r="H2408" s="110" t="s">
        <v>17184</v>
      </c>
      <c r="I2408" s="110" t="s">
        <v>17185</v>
      </c>
    </row>
    <row r="2409" spans="1:9" ht="25.2" x14ac:dyDescent="0.3">
      <c r="A2409" s="109" t="s">
        <v>17186</v>
      </c>
      <c r="B2409" s="109" t="s">
        <v>16843</v>
      </c>
      <c r="C2409" s="109" t="s">
        <v>16843</v>
      </c>
      <c r="D2409" s="109" t="s">
        <v>5569</v>
      </c>
      <c r="E2409" s="109" t="s">
        <v>5558</v>
      </c>
      <c r="F2409" s="109" t="s">
        <v>2258</v>
      </c>
      <c r="G2409" s="110" t="s">
        <v>6248</v>
      </c>
      <c r="H2409" s="110" t="s">
        <v>17187</v>
      </c>
      <c r="I2409" s="110" t="s">
        <v>17188</v>
      </c>
    </row>
    <row r="2410" spans="1:9" ht="25.2" x14ac:dyDescent="0.3">
      <c r="A2410" s="109" t="s">
        <v>17189</v>
      </c>
      <c r="B2410" s="109" t="s">
        <v>16843</v>
      </c>
      <c r="C2410" s="109" t="s">
        <v>16843</v>
      </c>
      <c r="D2410" s="109" t="s">
        <v>17190</v>
      </c>
      <c r="E2410" s="109" t="s">
        <v>17191</v>
      </c>
      <c r="F2410" s="109" t="s">
        <v>17192</v>
      </c>
      <c r="G2410" s="110" t="s">
        <v>6248</v>
      </c>
      <c r="H2410" s="110" t="s">
        <v>9407</v>
      </c>
      <c r="I2410" s="110" t="s">
        <v>17193</v>
      </c>
    </row>
    <row r="2411" spans="1:9" ht="63" x14ac:dyDescent="0.3">
      <c r="A2411" s="109" t="s">
        <v>17194</v>
      </c>
      <c r="B2411" s="109" t="s">
        <v>16843</v>
      </c>
      <c r="C2411" s="109" t="s">
        <v>16843</v>
      </c>
      <c r="D2411" s="109" t="s">
        <v>6156</v>
      </c>
      <c r="E2411" s="109" t="s">
        <v>6156</v>
      </c>
      <c r="F2411" s="109" t="s">
        <v>17195</v>
      </c>
      <c r="G2411" s="110" t="s">
        <v>6248</v>
      </c>
      <c r="H2411" s="110" t="s">
        <v>17196</v>
      </c>
      <c r="I2411" s="110" t="s">
        <v>17197</v>
      </c>
    </row>
    <row r="2412" spans="1:9" ht="25.2" x14ac:dyDescent="0.3">
      <c r="A2412" s="109" t="s">
        <v>17198</v>
      </c>
      <c r="B2412" s="109" t="s">
        <v>16843</v>
      </c>
      <c r="C2412" s="109" t="s">
        <v>16843</v>
      </c>
      <c r="D2412" s="109" t="s">
        <v>17199</v>
      </c>
      <c r="E2412" s="109" t="s">
        <v>5558</v>
      </c>
      <c r="F2412" s="109" t="s">
        <v>17200</v>
      </c>
      <c r="G2412" s="110" t="s">
        <v>6248</v>
      </c>
      <c r="H2412" s="110" t="s">
        <v>17201</v>
      </c>
      <c r="I2412" s="110" t="s">
        <v>17202</v>
      </c>
    </row>
    <row r="2413" spans="1:9" ht="25.2" x14ac:dyDescent="0.3">
      <c r="A2413" s="109" t="s">
        <v>17203</v>
      </c>
      <c r="B2413" s="109" t="s">
        <v>16843</v>
      </c>
      <c r="C2413" s="109" t="s">
        <v>16843</v>
      </c>
      <c r="D2413" s="109" t="s">
        <v>17204</v>
      </c>
      <c r="E2413" s="109" t="s">
        <v>5558</v>
      </c>
      <c r="F2413" s="109" t="s">
        <v>17205</v>
      </c>
      <c r="G2413" s="110" t="s">
        <v>6248</v>
      </c>
      <c r="H2413" s="110" t="s">
        <v>6883</v>
      </c>
      <c r="I2413" s="110" t="s">
        <v>17206</v>
      </c>
    </row>
    <row r="2414" spans="1:9" ht="37.799999999999997" x14ac:dyDescent="0.3">
      <c r="A2414" s="109" t="s">
        <v>17207</v>
      </c>
      <c r="B2414" s="109" t="s">
        <v>16843</v>
      </c>
      <c r="C2414" s="109" t="s">
        <v>16843</v>
      </c>
      <c r="D2414" s="109" t="s">
        <v>17208</v>
      </c>
      <c r="E2414" s="109" t="s">
        <v>5558</v>
      </c>
      <c r="F2414" s="109" t="s">
        <v>17209</v>
      </c>
      <c r="G2414" s="110" t="s">
        <v>6248</v>
      </c>
      <c r="H2414" s="110" t="s">
        <v>17210</v>
      </c>
      <c r="I2414" s="110" t="s">
        <v>17211</v>
      </c>
    </row>
    <row r="2415" spans="1:9" ht="63" x14ac:dyDescent="0.3">
      <c r="A2415" s="109" t="s">
        <v>17212</v>
      </c>
      <c r="B2415" s="109" t="s">
        <v>16843</v>
      </c>
      <c r="C2415" s="109" t="s">
        <v>16843</v>
      </c>
      <c r="D2415" s="109" t="s">
        <v>17213</v>
      </c>
      <c r="E2415" s="109" t="s">
        <v>17213</v>
      </c>
      <c r="F2415" s="109" t="s">
        <v>17214</v>
      </c>
      <c r="G2415" s="110" t="s">
        <v>6248</v>
      </c>
      <c r="H2415" s="110" t="s">
        <v>6341</v>
      </c>
      <c r="I2415" s="110" t="s">
        <v>17215</v>
      </c>
    </row>
    <row r="2416" spans="1:9" ht="37.799999999999997" x14ac:dyDescent="0.3">
      <c r="A2416" s="109" t="s">
        <v>17216</v>
      </c>
      <c r="B2416" s="109" t="s">
        <v>16843</v>
      </c>
      <c r="C2416" s="109" t="s">
        <v>16843</v>
      </c>
      <c r="D2416" s="109" t="s">
        <v>2075</v>
      </c>
      <c r="E2416" s="109" t="s">
        <v>5558</v>
      </c>
      <c r="F2416" s="109" t="s">
        <v>17217</v>
      </c>
      <c r="G2416" s="110" t="s">
        <v>6248</v>
      </c>
      <c r="H2416" s="110" t="s">
        <v>6341</v>
      </c>
      <c r="I2416" s="110" t="s">
        <v>17218</v>
      </c>
    </row>
    <row r="2417" spans="1:9" ht="25.2" x14ac:dyDescent="0.3">
      <c r="A2417" s="109" t="s">
        <v>17219</v>
      </c>
      <c r="B2417" s="109" t="s">
        <v>16843</v>
      </c>
      <c r="C2417" s="109" t="s">
        <v>16843</v>
      </c>
      <c r="D2417" s="109" t="s">
        <v>17220</v>
      </c>
      <c r="E2417" s="109" t="s">
        <v>5558</v>
      </c>
      <c r="F2417" s="109" t="s">
        <v>17221</v>
      </c>
      <c r="G2417" s="110" t="s">
        <v>6248</v>
      </c>
      <c r="H2417" s="110" t="s">
        <v>17222</v>
      </c>
      <c r="I2417" s="110" t="s">
        <v>17223</v>
      </c>
    </row>
    <row r="2418" spans="1:9" ht="37.799999999999997" x14ac:dyDescent="0.3">
      <c r="A2418" s="109" t="s">
        <v>17224</v>
      </c>
      <c r="B2418" s="109" t="s">
        <v>16843</v>
      </c>
      <c r="C2418" s="109" t="s">
        <v>16843</v>
      </c>
      <c r="D2418" s="109" t="s">
        <v>17225</v>
      </c>
      <c r="E2418" s="109" t="s">
        <v>5558</v>
      </c>
      <c r="F2418" s="109" t="s">
        <v>17226</v>
      </c>
      <c r="G2418" s="110" t="s">
        <v>6248</v>
      </c>
      <c r="H2418" s="110" t="s">
        <v>17227</v>
      </c>
      <c r="I2418" s="110" t="s">
        <v>17228</v>
      </c>
    </row>
    <row r="2419" spans="1:9" ht="37.799999999999997" x14ac:dyDescent="0.3">
      <c r="A2419" s="109" t="s">
        <v>17229</v>
      </c>
      <c r="B2419" s="109" t="s">
        <v>16843</v>
      </c>
      <c r="C2419" s="109" t="s">
        <v>16843</v>
      </c>
      <c r="D2419" s="109" t="s">
        <v>17230</v>
      </c>
      <c r="E2419" s="109" t="s">
        <v>5558</v>
      </c>
      <c r="F2419" s="109" t="s">
        <v>17231</v>
      </c>
      <c r="G2419" s="110" t="s">
        <v>6248</v>
      </c>
      <c r="H2419" s="110" t="s">
        <v>17232</v>
      </c>
      <c r="I2419" s="110" t="s">
        <v>17233</v>
      </c>
    </row>
    <row r="2420" spans="1:9" ht="37.799999999999997" x14ac:dyDescent="0.3">
      <c r="A2420" s="109" t="s">
        <v>17234</v>
      </c>
      <c r="B2420" s="109" t="s">
        <v>16843</v>
      </c>
      <c r="C2420" s="109" t="s">
        <v>16843</v>
      </c>
      <c r="D2420" s="109" t="s">
        <v>17235</v>
      </c>
      <c r="E2420" s="109" t="s">
        <v>5558</v>
      </c>
      <c r="F2420" s="109" t="s">
        <v>17236</v>
      </c>
      <c r="G2420" s="110" t="s">
        <v>6248</v>
      </c>
      <c r="H2420" s="110" t="s">
        <v>6689</v>
      </c>
      <c r="I2420" s="110" t="s">
        <v>17237</v>
      </c>
    </row>
    <row r="2421" spans="1:9" ht="25.2" x14ac:dyDescent="0.3">
      <c r="A2421" s="109" t="s">
        <v>17238</v>
      </c>
      <c r="B2421" s="109" t="s">
        <v>16843</v>
      </c>
      <c r="C2421" s="109" t="s">
        <v>16843</v>
      </c>
      <c r="D2421" s="109" t="s">
        <v>17239</v>
      </c>
      <c r="E2421" s="109" t="s">
        <v>5558</v>
      </c>
      <c r="F2421" s="109" t="s">
        <v>17240</v>
      </c>
      <c r="G2421" s="110" t="s">
        <v>6248</v>
      </c>
      <c r="H2421" s="110" t="s">
        <v>17241</v>
      </c>
      <c r="I2421" s="110" t="s">
        <v>17242</v>
      </c>
    </row>
    <row r="2422" spans="1:9" ht="75.599999999999994" x14ac:dyDescent="0.3">
      <c r="A2422" s="109" t="s">
        <v>17243</v>
      </c>
      <c r="B2422" s="109" t="s">
        <v>16843</v>
      </c>
      <c r="C2422" s="109" t="s">
        <v>16843</v>
      </c>
      <c r="D2422" s="109" t="s">
        <v>17244</v>
      </c>
      <c r="E2422" s="109" t="s">
        <v>17244</v>
      </c>
      <c r="F2422" s="109" t="s">
        <v>17245</v>
      </c>
      <c r="G2422" s="110" t="s">
        <v>6248</v>
      </c>
      <c r="H2422" s="110" t="s">
        <v>17246</v>
      </c>
      <c r="I2422" s="110" t="s">
        <v>17247</v>
      </c>
    </row>
    <row r="2423" spans="1:9" ht="25.2" x14ac:dyDescent="0.3">
      <c r="A2423" s="109" t="s">
        <v>17248</v>
      </c>
      <c r="B2423" s="109" t="s">
        <v>16843</v>
      </c>
      <c r="C2423" s="109" t="s">
        <v>16843</v>
      </c>
      <c r="D2423" s="109" t="s">
        <v>2150</v>
      </c>
      <c r="E2423" s="109" t="s">
        <v>17249</v>
      </c>
      <c r="F2423" s="109" t="s">
        <v>7007</v>
      </c>
      <c r="G2423" s="110" t="s">
        <v>6248</v>
      </c>
      <c r="H2423" s="110" t="s">
        <v>17250</v>
      </c>
      <c r="I2423" s="110" t="s">
        <v>17251</v>
      </c>
    </row>
    <row r="2424" spans="1:9" ht="25.2" x14ac:dyDescent="0.3">
      <c r="A2424" s="109" t="s">
        <v>17252</v>
      </c>
      <c r="B2424" s="109" t="s">
        <v>16843</v>
      </c>
      <c r="C2424" s="109" t="s">
        <v>16843</v>
      </c>
      <c r="D2424" s="109" t="s">
        <v>5569</v>
      </c>
      <c r="E2424" s="109" t="s">
        <v>5558</v>
      </c>
      <c r="F2424" s="109" t="s">
        <v>2258</v>
      </c>
      <c r="G2424" s="110" t="s">
        <v>6248</v>
      </c>
      <c r="H2424" s="110" t="s">
        <v>17253</v>
      </c>
      <c r="I2424" s="110" t="s">
        <v>17254</v>
      </c>
    </row>
    <row r="2425" spans="1:9" ht="25.2" x14ac:dyDescent="0.3">
      <c r="A2425" s="109" t="s">
        <v>17255</v>
      </c>
      <c r="B2425" s="109" t="s">
        <v>16843</v>
      </c>
      <c r="C2425" s="109" t="s">
        <v>16843</v>
      </c>
      <c r="D2425" s="109" t="s">
        <v>2109</v>
      </c>
      <c r="E2425" s="109" t="s">
        <v>17256</v>
      </c>
      <c r="F2425" s="109" t="s">
        <v>17257</v>
      </c>
      <c r="G2425" s="110" t="s">
        <v>6248</v>
      </c>
      <c r="H2425" s="110" t="s">
        <v>17258</v>
      </c>
      <c r="I2425" s="110" t="s">
        <v>17259</v>
      </c>
    </row>
    <row r="2426" spans="1:9" ht="25.2" x14ac:dyDescent="0.3">
      <c r="A2426" s="109" t="s">
        <v>17260</v>
      </c>
      <c r="B2426" s="109" t="s">
        <v>16843</v>
      </c>
      <c r="C2426" s="109" t="s">
        <v>16843</v>
      </c>
      <c r="D2426" s="109" t="s">
        <v>2088</v>
      </c>
      <c r="E2426" s="109" t="s">
        <v>5558</v>
      </c>
      <c r="F2426" s="109" t="s">
        <v>17261</v>
      </c>
      <c r="G2426" s="110" t="s">
        <v>6248</v>
      </c>
      <c r="H2426" s="110" t="s">
        <v>17262</v>
      </c>
      <c r="I2426" s="110" t="s">
        <v>17263</v>
      </c>
    </row>
    <row r="2427" spans="1:9" ht="25.2" x14ac:dyDescent="0.3">
      <c r="A2427" s="109" t="s">
        <v>17264</v>
      </c>
      <c r="B2427" s="109" t="s">
        <v>16843</v>
      </c>
      <c r="C2427" s="109" t="s">
        <v>16843</v>
      </c>
      <c r="D2427" s="109" t="s">
        <v>2086</v>
      </c>
      <c r="E2427" s="109" t="s">
        <v>17265</v>
      </c>
      <c r="F2427" s="109" t="s">
        <v>7734</v>
      </c>
      <c r="G2427" s="110" t="s">
        <v>6248</v>
      </c>
      <c r="H2427" s="110" t="s">
        <v>17266</v>
      </c>
      <c r="I2427" s="110" t="s">
        <v>17267</v>
      </c>
    </row>
    <row r="2428" spans="1:9" ht="25.2" x14ac:dyDescent="0.3">
      <c r="A2428" s="109" t="s">
        <v>17268</v>
      </c>
      <c r="B2428" s="109" t="s">
        <v>16843</v>
      </c>
      <c r="C2428" s="109" t="s">
        <v>16843</v>
      </c>
      <c r="D2428" s="109" t="s">
        <v>5569</v>
      </c>
      <c r="E2428" s="109" t="s">
        <v>5558</v>
      </c>
      <c r="F2428" s="109" t="s">
        <v>2258</v>
      </c>
      <c r="G2428" s="110" t="s">
        <v>6248</v>
      </c>
      <c r="H2428" s="110" t="s">
        <v>17269</v>
      </c>
      <c r="I2428" s="110" t="s">
        <v>17270</v>
      </c>
    </row>
    <row r="2429" spans="1:9" ht="25.2" x14ac:dyDescent="0.3">
      <c r="A2429" s="109" t="s">
        <v>17271</v>
      </c>
      <c r="B2429" s="109" t="s">
        <v>16843</v>
      </c>
      <c r="C2429" s="109" t="s">
        <v>16843</v>
      </c>
      <c r="D2429" s="109" t="s">
        <v>5569</v>
      </c>
      <c r="E2429" s="109" t="s">
        <v>5558</v>
      </c>
      <c r="F2429" s="109" t="s">
        <v>2258</v>
      </c>
      <c r="G2429" s="110" t="s">
        <v>6248</v>
      </c>
      <c r="H2429" s="110" t="s">
        <v>17272</v>
      </c>
      <c r="I2429" s="110" t="s">
        <v>17273</v>
      </c>
    </row>
    <row r="2430" spans="1:9" ht="37.799999999999997" x14ac:dyDescent="0.3">
      <c r="A2430" s="109" t="s">
        <v>17274</v>
      </c>
      <c r="B2430" s="109" t="s">
        <v>16843</v>
      </c>
      <c r="C2430" s="109" t="s">
        <v>16843</v>
      </c>
      <c r="D2430" s="109" t="s">
        <v>17275</v>
      </c>
      <c r="E2430" s="109" t="s">
        <v>5558</v>
      </c>
      <c r="F2430" s="109" t="s">
        <v>17276</v>
      </c>
      <c r="G2430" s="110" t="s">
        <v>6248</v>
      </c>
      <c r="H2430" s="110" t="s">
        <v>7504</v>
      </c>
      <c r="I2430" s="110" t="s">
        <v>17277</v>
      </c>
    </row>
    <row r="2431" spans="1:9" ht="63" x14ac:dyDescent="0.3">
      <c r="A2431" s="109" t="s">
        <v>17278</v>
      </c>
      <c r="B2431" s="109" t="s">
        <v>16843</v>
      </c>
      <c r="C2431" s="109" t="s">
        <v>16843</v>
      </c>
      <c r="D2431" s="109" t="s">
        <v>17279</v>
      </c>
      <c r="E2431" s="109" t="s">
        <v>17279</v>
      </c>
      <c r="F2431" s="109" t="s">
        <v>17280</v>
      </c>
      <c r="G2431" s="110" t="s">
        <v>6248</v>
      </c>
      <c r="H2431" s="110" t="s">
        <v>17281</v>
      </c>
      <c r="I2431" s="110" t="s">
        <v>17282</v>
      </c>
    </row>
    <row r="2432" spans="1:9" ht="63" x14ac:dyDescent="0.3">
      <c r="A2432" s="109" t="s">
        <v>17283</v>
      </c>
      <c r="B2432" s="109" t="s">
        <v>16843</v>
      </c>
      <c r="C2432" s="109" t="s">
        <v>16843</v>
      </c>
      <c r="D2432" s="109" t="s">
        <v>17284</v>
      </c>
      <c r="E2432" s="109" t="s">
        <v>17284</v>
      </c>
      <c r="F2432" s="109" t="s">
        <v>17285</v>
      </c>
      <c r="G2432" s="110" t="s">
        <v>6248</v>
      </c>
      <c r="H2432" s="110" t="s">
        <v>17286</v>
      </c>
      <c r="I2432" s="110" t="s">
        <v>17287</v>
      </c>
    </row>
    <row r="2433" spans="1:9" ht="25.2" x14ac:dyDescent="0.3">
      <c r="A2433" s="109" t="s">
        <v>17288</v>
      </c>
      <c r="B2433" s="109" t="s">
        <v>16843</v>
      </c>
      <c r="C2433" s="109" t="s">
        <v>16843</v>
      </c>
      <c r="D2433" s="109" t="s">
        <v>17289</v>
      </c>
      <c r="E2433" s="109" t="s">
        <v>5558</v>
      </c>
      <c r="F2433" s="109" t="s">
        <v>17290</v>
      </c>
      <c r="G2433" s="110" t="s">
        <v>6248</v>
      </c>
      <c r="H2433" s="110" t="s">
        <v>10754</v>
      </c>
      <c r="I2433" s="110" t="s">
        <v>17291</v>
      </c>
    </row>
    <row r="2434" spans="1:9" ht="25.2" x14ac:dyDescent="0.3">
      <c r="A2434" s="109" t="s">
        <v>17292</v>
      </c>
      <c r="B2434" s="109" t="s">
        <v>16843</v>
      </c>
      <c r="C2434" s="109" t="s">
        <v>16843</v>
      </c>
      <c r="D2434" s="109" t="s">
        <v>5569</v>
      </c>
      <c r="E2434" s="109" t="s">
        <v>5558</v>
      </c>
      <c r="F2434" s="109" t="s">
        <v>2258</v>
      </c>
      <c r="G2434" s="110" t="s">
        <v>6248</v>
      </c>
      <c r="H2434" s="110" t="s">
        <v>17293</v>
      </c>
      <c r="I2434" s="110" t="s">
        <v>17294</v>
      </c>
    </row>
    <row r="2435" spans="1:9" ht="25.2" x14ac:dyDescent="0.3">
      <c r="A2435" s="109" t="s">
        <v>17295</v>
      </c>
      <c r="B2435" s="109" t="s">
        <v>16843</v>
      </c>
      <c r="C2435" s="109" t="s">
        <v>16843</v>
      </c>
      <c r="D2435" s="109" t="s">
        <v>5569</v>
      </c>
      <c r="E2435" s="109" t="s">
        <v>5558</v>
      </c>
      <c r="F2435" s="109" t="s">
        <v>2258</v>
      </c>
      <c r="G2435" s="110" t="s">
        <v>6248</v>
      </c>
      <c r="H2435" s="110" t="s">
        <v>17296</v>
      </c>
      <c r="I2435" s="110" t="s">
        <v>17297</v>
      </c>
    </row>
    <row r="2436" spans="1:9" ht="25.2" x14ac:dyDescent="0.3">
      <c r="A2436" s="109" t="s">
        <v>17298</v>
      </c>
      <c r="B2436" s="109" t="s">
        <v>16843</v>
      </c>
      <c r="C2436" s="109" t="s">
        <v>16843</v>
      </c>
      <c r="D2436" s="109" t="s">
        <v>17299</v>
      </c>
      <c r="E2436" s="109" t="s">
        <v>6713</v>
      </c>
      <c r="F2436" s="109" t="s">
        <v>8158</v>
      </c>
      <c r="G2436" s="110" t="s">
        <v>6248</v>
      </c>
      <c r="H2436" s="110" t="s">
        <v>17300</v>
      </c>
      <c r="I2436" s="110" t="s">
        <v>17301</v>
      </c>
    </row>
    <row r="2437" spans="1:9" ht="25.2" x14ac:dyDescent="0.3">
      <c r="A2437" s="109" t="s">
        <v>17302</v>
      </c>
      <c r="B2437" s="109" t="s">
        <v>16843</v>
      </c>
      <c r="C2437" s="109" t="s">
        <v>16843</v>
      </c>
      <c r="D2437" s="109" t="s">
        <v>17303</v>
      </c>
      <c r="E2437" s="109" t="s">
        <v>5932</v>
      </c>
      <c r="F2437" s="109" t="s">
        <v>15892</v>
      </c>
      <c r="G2437" s="110" t="s">
        <v>6248</v>
      </c>
      <c r="H2437" s="110" t="s">
        <v>17304</v>
      </c>
      <c r="I2437" s="110" t="s">
        <v>17305</v>
      </c>
    </row>
    <row r="2438" spans="1:9" ht="37.799999999999997" x14ac:dyDescent="0.3">
      <c r="A2438" s="109" t="s">
        <v>17306</v>
      </c>
      <c r="B2438" s="109" t="s">
        <v>16843</v>
      </c>
      <c r="C2438" s="109" t="s">
        <v>16843</v>
      </c>
      <c r="D2438" s="109" t="s">
        <v>17307</v>
      </c>
      <c r="E2438" s="109" t="s">
        <v>5558</v>
      </c>
      <c r="F2438" s="109" t="s">
        <v>17308</v>
      </c>
      <c r="G2438" s="110" t="s">
        <v>6248</v>
      </c>
      <c r="H2438" s="110" t="s">
        <v>17309</v>
      </c>
      <c r="I2438" s="110" t="s">
        <v>17310</v>
      </c>
    </row>
    <row r="2439" spans="1:9" ht="25.2" x14ac:dyDescent="0.3">
      <c r="A2439" s="109" t="s">
        <v>17311</v>
      </c>
      <c r="B2439" s="109" t="s">
        <v>16843</v>
      </c>
      <c r="C2439" s="109" t="s">
        <v>16843</v>
      </c>
      <c r="D2439" s="109" t="s">
        <v>5569</v>
      </c>
      <c r="E2439" s="109" t="s">
        <v>5558</v>
      </c>
      <c r="F2439" s="109" t="s">
        <v>2258</v>
      </c>
      <c r="G2439" s="110" t="s">
        <v>6248</v>
      </c>
      <c r="H2439" s="110" t="s">
        <v>17312</v>
      </c>
      <c r="I2439" s="110" t="s">
        <v>17313</v>
      </c>
    </row>
    <row r="2440" spans="1:9" ht="25.2" x14ac:dyDescent="0.3">
      <c r="A2440" s="109" t="s">
        <v>17314</v>
      </c>
      <c r="B2440" s="109" t="s">
        <v>16843</v>
      </c>
      <c r="C2440" s="109" t="s">
        <v>16843</v>
      </c>
      <c r="D2440" s="109" t="s">
        <v>5569</v>
      </c>
      <c r="E2440" s="109" t="s">
        <v>5558</v>
      </c>
      <c r="F2440" s="109" t="s">
        <v>2258</v>
      </c>
      <c r="G2440" s="110" t="s">
        <v>6248</v>
      </c>
      <c r="H2440" s="110" t="s">
        <v>17315</v>
      </c>
      <c r="I2440" s="110" t="s">
        <v>17316</v>
      </c>
    </row>
    <row r="2441" spans="1:9" ht="37.799999999999997" x14ac:dyDescent="0.3">
      <c r="A2441" s="109" t="s">
        <v>17317</v>
      </c>
      <c r="B2441" s="109" t="s">
        <v>16843</v>
      </c>
      <c r="C2441" s="109" t="s">
        <v>16843</v>
      </c>
      <c r="D2441" s="109" t="s">
        <v>17318</v>
      </c>
      <c r="E2441" s="109" t="s">
        <v>5558</v>
      </c>
      <c r="F2441" s="109" t="s">
        <v>17319</v>
      </c>
      <c r="G2441" s="110" t="s">
        <v>6248</v>
      </c>
      <c r="H2441" s="110" t="s">
        <v>17320</v>
      </c>
      <c r="I2441" s="110" t="s">
        <v>17321</v>
      </c>
    </row>
    <row r="2442" spans="1:9" ht="63" x14ac:dyDescent="0.3">
      <c r="A2442" s="109" t="s">
        <v>17322</v>
      </c>
      <c r="B2442" s="109" t="s">
        <v>16843</v>
      </c>
      <c r="C2442" s="109" t="s">
        <v>16843</v>
      </c>
      <c r="D2442" s="109" t="s">
        <v>17323</v>
      </c>
      <c r="E2442" s="109" t="s">
        <v>17323</v>
      </c>
      <c r="F2442" s="109" t="s">
        <v>17324</v>
      </c>
      <c r="G2442" s="110" t="s">
        <v>6248</v>
      </c>
      <c r="H2442" s="110" t="s">
        <v>17325</v>
      </c>
      <c r="I2442" s="110" t="s">
        <v>17326</v>
      </c>
    </row>
    <row r="2443" spans="1:9" ht="50.4" x14ac:dyDescent="0.3">
      <c r="A2443" s="109" t="s">
        <v>17327</v>
      </c>
      <c r="B2443" s="109" t="s">
        <v>16843</v>
      </c>
      <c r="C2443" s="109" t="s">
        <v>16843</v>
      </c>
      <c r="D2443" s="109" t="s">
        <v>7651</v>
      </c>
      <c r="E2443" s="109" t="s">
        <v>17328</v>
      </c>
      <c r="F2443" s="109" t="s">
        <v>17329</v>
      </c>
      <c r="G2443" s="110" t="s">
        <v>6248</v>
      </c>
      <c r="H2443" s="110" t="s">
        <v>17330</v>
      </c>
      <c r="I2443" s="110" t="s">
        <v>17331</v>
      </c>
    </row>
    <row r="2444" spans="1:9" ht="25.2" x14ac:dyDescent="0.3">
      <c r="A2444" s="109" t="s">
        <v>17332</v>
      </c>
      <c r="B2444" s="109" t="s">
        <v>16843</v>
      </c>
      <c r="C2444" s="109" t="s">
        <v>16843</v>
      </c>
      <c r="D2444" s="109" t="s">
        <v>17333</v>
      </c>
      <c r="E2444" s="109" t="s">
        <v>5558</v>
      </c>
      <c r="F2444" s="109" t="s">
        <v>17334</v>
      </c>
      <c r="G2444" s="110" t="s">
        <v>6248</v>
      </c>
      <c r="H2444" s="110" t="s">
        <v>17335</v>
      </c>
      <c r="I2444" s="110" t="s">
        <v>17336</v>
      </c>
    </row>
    <row r="2445" spans="1:9" ht="25.2" x14ac:dyDescent="0.3">
      <c r="A2445" s="109" t="s">
        <v>17337</v>
      </c>
      <c r="B2445" s="109" t="s">
        <v>16843</v>
      </c>
      <c r="C2445" s="109" t="s">
        <v>16843</v>
      </c>
      <c r="D2445" s="109" t="s">
        <v>17338</v>
      </c>
      <c r="E2445" s="109" t="s">
        <v>17339</v>
      </c>
      <c r="F2445" s="109" t="s">
        <v>6008</v>
      </c>
      <c r="G2445" s="110" t="s">
        <v>6248</v>
      </c>
      <c r="H2445" s="110" t="s">
        <v>17340</v>
      </c>
      <c r="I2445" s="110" t="s">
        <v>17341</v>
      </c>
    </row>
    <row r="2446" spans="1:9" ht="25.2" x14ac:dyDescent="0.3">
      <c r="A2446" s="109" t="s">
        <v>17342</v>
      </c>
      <c r="B2446" s="109" t="s">
        <v>16843</v>
      </c>
      <c r="C2446" s="109" t="s">
        <v>16843</v>
      </c>
      <c r="D2446" s="109" t="s">
        <v>17343</v>
      </c>
      <c r="E2446" s="109" t="s">
        <v>5558</v>
      </c>
      <c r="F2446" s="109" t="s">
        <v>17344</v>
      </c>
      <c r="G2446" s="110" t="s">
        <v>6248</v>
      </c>
      <c r="H2446" s="110" t="s">
        <v>17345</v>
      </c>
      <c r="I2446" s="110" t="s">
        <v>17346</v>
      </c>
    </row>
    <row r="2447" spans="1:9" ht="25.2" x14ac:dyDescent="0.3">
      <c r="A2447" s="109" t="s">
        <v>17347</v>
      </c>
      <c r="B2447" s="109" t="s">
        <v>16843</v>
      </c>
      <c r="C2447" s="109" t="s">
        <v>16843</v>
      </c>
      <c r="D2447" s="109" t="s">
        <v>2092</v>
      </c>
      <c r="E2447" s="109" t="s">
        <v>17348</v>
      </c>
      <c r="F2447" s="109" t="s">
        <v>17349</v>
      </c>
      <c r="G2447" s="110" t="s">
        <v>6248</v>
      </c>
      <c r="H2447" s="110" t="s">
        <v>17350</v>
      </c>
      <c r="I2447" s="110" t="s">
        <v>17351</v>
      </c>
    </row>
    <row r="2448" spans="1:9" ht="25.2" x14ac:dyDescent="0.3">
      <c r="A2448" s="109" t="s">
        <v>17352</v>
      </c>
      <c r="B2448" s="109" t="s">
        <v>16843</v>
      </c>
      <c r="C2448" s="109" t="s">
        <v>16843</v>
      </c>
      <c r="D2448" s="109" t="s">
        <v>5569</v>
      </c>
      <c r="E2448" s="109" t="s">
        <v>5558</v>
      </c>
      <c r="F2448" s="109" t="s">
        <v>2258</v>
      </c>
      <c r="G2448" s="110" t="s">
        <v>6248</v>
      </c>
      <c r="H2448" s="110" t="s">
        <v>17353</v>
      </c>
      <c r="I2448" s="110" t="s">
        <v>17354</v>
      </c>
    </row>
    <row r="2449" spans="1:9" ht="25.2" x14ac:dyDescent="0.3">
      <c r="A2449" s="109" t="s">
        <v>17355</v>
      </c>
      <c r="B2449" s="109" t="s">
        <v>16843</v>
      </c>
      <c r="C2449" s="109" t="s">
        <v>16843</v>
      </c>
      <c r="D2449" s="109" t="s">
        <v>17356</v>
      </c>
      <c r="E2449" s="109" t="s">
        <v>17357</v>
      </c>
      <c r="F2449" s="109" t="s">
        <v>6878</v>
      </c>
      <c r="G2449" s="110" t="s">
        <v>17358</v>
      </c>
      <c r="H2449" s="110" t="s">
        <v>6248</v>
      </c>
      <c r="I2449" s="110" t="s">
        <v>17359</v>
      </c>
    </row>
    <row r="2450" spans="1:9" ht="25.2" x14ac:dyDescent="0.3">
      <c r="A2450" s="109" t="s">
        <v>17360</v>
      </c>
      <c r="B2450" s="109" t="s">
        <v>16843</v>
      </c>
      <c r="C2450" s="109" t="s">
        <v>16843</v>
      </c>
      <c r="D2450" s="109" t="s">
        <v>2091</v>
      </c>
      <c r="E2450" s="109" t="s">
        <v>17361</v>
      </c>
      <c r="F2450" s="109" t="s">
        <v>17349</v>
      </c>
      <c r="G2450" s="110" t="s">
        <v>6248</v>
      </c>
      <c r="H2450" s="110" t="s">
        <v>6283</v>
      </c>
      <c r="I2450" s="110" t="s">
        <v>17362</v>
      </c>
    </row>
    <row r="2451" spans="1:9" ht="25.2" x14ac:dyDescent="0.3">
      <c r="A2451" s="109" t="s">
        <v>17363</v>
      </c>
      <c r="B2451" s="109" t="s">
        <v>16843</v>
      </c>
      <c r="C2451" s="109" t="s">
        <v>16843</v>
      </c>
      <c r="D2451" s="109" t="s">
        <v>17364</v>
      </c>
      <c r="E2451" s="109" t="s">
        <v>5558</v>
      </c>
      <c r="F2451" s="109" t="s">
        <v>17365</v>
      </c>
      <c r="G2451" s="110" t="s">
        <v>6248</v>
      </c>
      <c r="H2451" s="110" t="s">
        <v>15584</v>
      </c>
      <c r="I2451" s="110" t="s">
        <v>17366</v>
      </c>
    </row>
    <row r="2452" spans="1:9" ht="37.799999999999997" x14ac:dyDescent="0.3">
      <c r="A2452" s="109" t="s">
        <v>17367</v>
      </c>
      <c r="B2452" s="109" t="s">
        <v>16843</v>
      </c>
      <c r="C2452" s="109" t="s">
        <v>16843</v>
      </c>
      <c r="D2452" s="109" t="s">
        <v>17368</v>
      </c>
      <c r="E2452" s="109" t="s">
        <v>5558</v>
      </c>
      <c r="F2452" s="109" t="s">
        <v>17369</v>
      </c>
      <c r="G2452" s="110" t="s">
        <v>6248</v>
      </c>
      <c r="H2452" s="110" t="s">
        <v>17370</v>
      </c>
      <c r="I2452" s="110" t="s">
        <v>17371</v>
      </c>
    </row>
    <row r="2453" spans="1:9" ht="37.799999999999997" x14ac:dyDescent="0.3">
      <c r="A2453" s="109" t="s">
        <v>17372</v>
      </c>
      <c r="B2453" s="109" t="s">
        <v>16843</v>
      </c>
      <c r="C2453" s="109" t="s">
        <v>16843</v>
      </c>
      <c r="D2453" s="109" t="s">
        <v>17373</v>
      </c>
      <c r="E2453" s="109" t="s">
        <v>5558</v>
      </c>
      <c r="F2453" s="109" t="s">
        <v>17374</v>
      </c>
      <c r="G2453" s="110" t="s">
        <v>6248</v>
      </c>
      <c r="H2453" s="110" t="s">
        <v>17375</v>
      </c>
      <c r="I2453" s="110" t="s">
        <v>17376</v>
      </c>
    </row>
    <row r="2454" spans="1:9" ht="25.2" x14ac:dyDescent="0.3">
      <c r="A2454" s="109" t="s">
        <v>17377</v>
      </c>
      <c r="B2454" s="109" t="s">
        <v>16843</v>
      </c>
      <c r="C2454" s="109" t="s">
        <v>16843</v>
      </c>
      <c r="D2454" s="109" t="s">
        <v>17378</v>
      </c>
      <c r="E2454" s="109" t="s">
        <v>5558</v>
      </c>
      <c r="F2454" s="109" t="s">
        <v>17379</v>
      </c>
      <c r="G2454" s="110" t="s">
        <v>6248</v>
      </c>
      <c r="H2454" s="110" t="s">
        <v>17380</v>
      </c>
      <c r="I2454" s="110" t="s">
        <v>17381</v>
      </c>
    </row>
    <row r="2455" spans="1:9" ht="37.799999999999997" x14ac:dyDescent="0.3">
      <c r="A2455" s="109" t="s">
        <v>17382</v>
      </c>
      <c r="B2455" s="109" t="s">
        <v>16843</v>
      </c>
      <c r="C2455" s="109" t="s">
        <v>16843</v>
      </c>
      <c r="D2455" s="109" t="s">
        <v>17383</v>
      </c>
      <c r="E2455" s="109" t="s">
        <v>5558</v>
      </c>
      <c r="F2455" s="109" t="s">
        <v>17384</v>
      </c>
      <c r="G2455" s="110" t="s">
        <v>6248</v>
      </c>
      <c r="H2455" s="110" t="s">
        <v>8583</v>
      </c>
      <c r="I2455" s="110" t="s">
        <v>17385</v>
      </c>
    </row>
    <row r="2456" spans="1:9" ht="25.2" x14ac:dyDescent="0.3">
      <c r="A2456" s="109" t="s">
        <v>17386</v>
      </c>
      <c r="B2456" s="109" t="s">
        <v>16843</v>
      </c>
      <c r="C2456" s="109" t="s">
        <v>16843</v>
      </c>
      <c r="D2456" s="109" t="s">
        <v>17387</v>
      </c>
      <c r="E2456" s="109" t="s">
        <v>5558</v>
      </c>
      <c r="F2456" s="109" t="s">
        <v>17388</v>
      </c>
      <c r="G2456" s="110" t="s">
        <v>6248</v>
      </c>
      <c r="H2456" s="110" t="s">
        <v>6689</v>
      </c>
      <c r="I2456" s="110" t="s">
        <v>17389</v>
      </c>
    </row>
    <row r="2457" spans="1:9" ht="25.2" x14ac:dyDescent="0.3">
      <c r="A2457" s="109" t="s">
        <v>17390</v>
      </c>
      <c r="B2457" s="109" t="s">
        <v>16843</v>
      </c>
      <c r="C2457" s="109" t="s">
        <v>16843</v>
      </c>
      <c r="D2457" s="109" t="s">
        <v>17391</v>
      </c>
      <c r="E2457" s="109" t="s">
        <v>17392</v>
      </c>
      <c r="F2457" s="109" t="s">
        <v>11824</v>
      </c>
      <c r="G2457" s="110" t="s">
        <v>6248</v>
      </c>
      <c r="H2457" s="110" t="s">
        <v>6278</v>
      </c>
      <c r="I2457" s="110" t="s">
        <v>17393</v>
      </c>
    </row>
    <row r="2458" spans="1:9" ht="25.2" x14ac:dyDescent="0.3">
      <c r="A2458" s="109" t="s">
        <v>17394</v>
      </c>
      <c r="B2458" s="109" t="s">
        <v>16843</v>
      </c>
      <c r="C2458" s="109" t="s">
        <v>16843</v>
      </c>
      <c r="D2458" s="109" t="s">
        <v>5569</v>
      </c>
      <c r="E2458" s="109" t="s">
        <v>5558</v>
      </c>
      <c r="F2458" s="109" t="s">
        <v>2258</v>
      </c>
      <c r="G2458" s="110" t="s">
        <v>6248</v>
      </c>
      <c r="H2458" s="110" t="s">
        <v>17395</v>
      </c>
      <c r="I2458" s="110" t="s">
        <v>17396</v>
      </c>
    </row>
    <row r="2459" spans="1:9" ht="25.2" x14ac:dyDescent="0.3">
      <c r="A2459" s="109" t="s">
        <v>17397</v>
      </c>
      <c r="B2459" s="109" t="s">
        <v>16843</v>
      </c>
      <c r="C2459" s="109" t="s">
        <v>16843</v>
      </c>
      <c r="D2459" s="109" t="s">
        <v>5569</v>
      </c>
      <c r="E2459" s="109" t="s">
        <v>5558</v>
      </c>
      <c r="F2459" s="109" t="s">
        <v>2258</v>
      </c>
      <c r="G2459" s="110" t="s">
        <v>6248</v>
      </c>
      <c r="H2459" s="110" t="s">
        <v>17398</v>
      </c>
      <c r="I2459" s="110" t="s">
        <v>17399</v>
      </c>
    </row>
    <row r="2460" spans="1:9" ht="25.2" x14ac:dyDescent="0.3">
      <c r="A2460" s="109" t="s">
        <v>17400</v>
      </c>
      <c r="B2460" s="109" t="s">
        <v>16843</v>
      </c>
      <c r="C2460" s="109" t="s">
        <v>16843</v>
      </c>
      <c r="D2460" s="109" t="s">
        <v>5569</v>
      </c>
      <c r="E2460" s="109" t="s">
        <v>5558</v>
      </c>
      <c r="F2460" s="109" t="s">
        <v>2258</v>
      </c>
      <c r="G2460" s="110" t="s">
        <v>6248</v>
      </c>
      <c r="H2460" s="110" t="s">
        <v>17401</v>
      </c>
      <c r="I2460" s="110" t="s">
        <v>17402</v>
      </c>
    </row>
    <row r="2461" spans="1:9" ht="25.2" x14ac:dyDescent="0.3">
      <c r="A2461" s="109" t="s">
        <v>17403</v>
      </c>
      <c r="B2461" s="109" t="s">
        <v>16843</v>
      </c>
      <c r="C2461" s="109" t="s">
        <v>16843</v>
      </c>
      <c r="D2461" s="109" t="s">
        <v>2730</v>
      </c>
      <c r="E2461" s="109" t="s">
        <v>17404</v>
      </c>
      <c r="F2461" s="109" t="s">
        <v>17405</v>
      </c>
      <c r="G2461" s="110" t="s">
        <v>17406</v>
      </c>
      <c r="H2461" s="110" t="s">
        <v>6248</v>
      </c>
      <c r="I2461" s="110" t="s">
        <v>17407</v>
      </c>
    </row>
    <row r="2462" spans="1:9" ht="25.2" x14ac:dyDescent="0.3">
      <c r="A2462" s="109" t="s">
        <v>17408</v>
      </c>
      <c r="B2462" s="109" t="s">
        <v>16843</v>
      </c>
      <c r="C2462" s="109" t="s">
        <v>16843</v>
      </c>
      <c r="D2462" s="109" t="s">
        <v>17409</v>
      </c>
      <c r="E2462" s="109" t="s">
        <v>17410</v>
      </c>
      <c r="F2462" s="109" t="s">
        <v>7039</v>
      </c>
      <c r="G2462" s="110" t="s">
        <v>6248</v>
      </c>
      <c r="H2462" s="110" t="s">
        <v>17411</v>
      </c>
      <c r="I2462" s="110" t="s">
        <v>17412</v>
      </c>
    </row>
    <row r="2463" spans="1:9" ht="25.2" x14ac:dyDescent="0.3">
      <c r="A2463" s="109" t="s">
        <v>17413</v>
      </c>
      <c r="B2463" s="109" t="s">
        <v>16843</v>
      </c>
      <c r="C2463" s="109" t="s">
        <v>16843</v>
      </c>
      <c r="D2463" s="109" t="s">
        <v>17414</v>
      </c>
      <c r="E2463" s="109" t="s">
        <v>17415</v>
      </c>
      <c r="F2463" s="109" t="s">
        <v>7045</v>
      </c>
      <c r="G2463" s="110" t="s">
        <v>17416</v>
      </c>
      <c r="H2463" s="110" t="s">
        <v>6248</v>
      </c>
      <c r="I2463" s="110" t="s">
        <v>17417</v>
      </c>
    </row>
    <row r="2464" spans="1:9" ht="25.2" x14ac:dyDescent="0.3">
      <c r="A2464" s="109" t="s">
        <v>17418</v>
      </c>
      <c r="B2464" s="109" t="s">
        <v>16843</v>
      </c>
      <c r="C2464" s="109" t="s">
        <v>16843</v>
      </c>
      <c r="D2464" s="109" t="s">
        <v>5569</v>
      </c>
      <c r="E2464" s="109" t="s">
        <v>5558</v>
      </c>
      <c r="F2464" s="109" t="s">
        <v>2258</v>
      </c>
      <c r="G2464" s="110" t="s">
        <v>6248</v>
      </c>
      <c r="H2464" s="110" t="s">
        <v>17419</v>
      </c>
      <c r="I2464" s="110" t="s">
        <v>17420</v>
      </c>
    </row>
    <row r="2465" spans="1:9" ht="25.2" x14ac:dyDescent="0.3">
      <c r="A2465" s="109" t="s">
        <v>17421</v>
      </c>
      <c r="B2465" s="109" t="s">
        <v>16843</v>
      </c>
      <c r="C2465" s="109" t="s">
        <v>16843</v>
      </c>
      <c r="D2465" s="109" t="s">
        <v>17422</v>
      </c>
      <c r="E2465" s="109" t="s">
        <v>5558</v>
      </c>
      <c r="F2465" s="109" t="s">
        <v>17423</v>
      </c>
      <c r="G2465" s="110" t="s">
        <v>6248</v>
      </c>
      <c r="H2465" s="110" t="s">
        <v>17424</v>
      </c>
      <c r="I2465" s="110" t="s">
        <v>17425</v>
      </c>
    </row>
    <row r="2466" spans="1:9" ht="37.799999999999997" x14ac:dyDescent="0.3">
      <c r="A2466" s="109" t="s">
        <v>17426</v>
      </c>
      <c r="B2466" s="109" t="s">
        <v>16843</v>
      </c>
      <c r="C2466" s="109" t="s">
        <v>16843</v>
      </c>
      <c r="D2466" s="109" t="s">
        <v>17427</v>
      </c>
      <c r="E2466" s="109" t="s">
        <v>5558</v>
      </c>
      <c r="F2466" s="109" t="s">
        <v>17428</v>
      </c>
      <c r="G2466" s="110" t="s">
        <v>6248</v>
      </c>
      <c r="H2466" s="110" t="s">
        <v>17429</v>
      </c>
      <c r="I2466" s="110" t="s">
        <v>17430</v>
      </c>
    </row>
    <row r="2467" spans="1:9" ht="25.2" x14ac:dyDescent="0.3">
      <c r="A2467" s="109" t="s">
        <v>17431</v>
      </c>
      <c r="B2467" s="109" t="s">
        <v>16843</v>
      </c>
      <c r="C2467" s="109" t="s">
        <v>16843</v>
      </c>
      <c r="D2467" s="109" t="s">
        <v>2940</v>
      </c>
      <c r="E2467" s="109" t="s">
        <v>17432</v>
      </c>
      <c r="F2467" s="109" t="s">
        <v>17433</v>
      </c>
      <c r="G2467" s="110" t="s">
        <v>6248</v>
      </c>
      <c r="H2467" s="110" t="s">
        <v>17434</v>
      </c>
      <c r="I2467" s="110" t="s">
        <v>17435</v>
      </c>
    </row>
    <row r="2468" spans="1:9" ht="25.2" x14ac:dyDescent="0.3">
      <c r="A2468" s="109" t="s">
        <v>17436</v>
      </c>
      <c r="B2468" s="109" t="s">
        <v>16843</v>
      </c>
      <c r="C2468" s="109" t="s">
        <v>16843</v>
      </c>
      <c r="D2468" s="109" t="s">
        <v>17437</v>
      </c>
      <c r="E2468" s="109" t="s">
        <v>5558</v>
      </c>
      <c r="F2468" s="109" t="s">
        <v>17438</v>
      </c>
      <c r="G2468" s="110" t="s">
        <v>6248</v>
      </c>
      <c r="H2468" s="110" t="s">
        <v>17439</v>
      </c>
      <c r="I2468" s="110" t="s">
        <v>17440</v>
      </c>
    </row>
    <row r="2469" spans="1:9" ht="63" x14ac:dyDescent="0.3">
      <c r="A2469" s="109" t="s">
        <v>17441</v>
      </c>
      <c r="B2469" s="109" t="s">
        <v>16843</v>
      </c>
      <c r="C2469" s="109" t="s">
        <v>16843</v>
      </c>
      <c r="D2469" s="109" t="s">
        <v>17442</v>
      </c>
      <c r="E2469" s="109" t="s">
        <v>17442</v>
      </c>
      <c r="F2469" s="109" t="s">
        <v>17443</v>
      </c>
      <c r="G2469" s="110" t="s">
        <v>6248</v>
      </c>
      <c r="H2469" s="110" t="s">
        <v>17444</v>
      </c>
      <c r="I2469" s="110" t="s">
        <v>17445</v>
      </c>
    </row>
    <row r="2470" spans="1:9" ht="37.799999999999997" x14ac:dyDescent="0.3">
      <c r="A2470" s="109" t="s">
        <v>17446</v>
      </c>
      <c r="B2470" s="109" t="s">
        <v>16843</v>
      </c>
      <c r="C2470" s="109" t="s">
        <v>16843</v>
      </c>
      <c r="D2470" s="109" t="s">
        <v>17447</v>
      </c>
      <c r="E2470" s="109" t="s">
        <v>5558</v>
      </c>
      <c r="F2470" s="109" t="s">
        <v>17448</v>
      </c>
      <c r="G2470" s="110" t="s">
        <v>6248</v>
      </c>
      <c r="H2470" s="110" t="s">
        <v>7321</v>
      </c>
      <c r="I2470" s="110" t="s">
        <v>17449</v>
      </c>
    </row>
    <row r="2471" spans="1:9" ht="63" x14ac:dyDescent="0.3">
      <c r="A2471" s="109" t="s">
        <v>17450</v>
      </c>
      <c r="B2471" s="109" t="s">
        <v>16843</v>
      </c>
      <c r="C2471" s="109" t="s">
        <v>16843</v>
      </c>
      <c r="D2471" s="109" t="s">
        <v>17451</v>
      </c>
      <c r="E2471" s="109" t="s">
        <v>17451</v>
      </c>
      <c r="F2471" s="109" t="s">
        <v>17452</v>
      </c>
      <c r="G2471" s="110" t="s">
        <v>6248</v>
      </c>
      <c r="H2471" s="110" t="s">
        <v>17444</v>
      </c>
      <c r="I2471" s="110" t="s">
        <v>17453</v>
      </c>
    </row>
    <row r="2472" spans="1:9" ht="25.2" x14ac:dyDescent="0.3">
      <c r="A2472" s="109" t="s">
        <v>17454</v>
      </c>
      <c r="B2472" s="109" t="s">
        <v>16843</v>
      </c>
      <c r="C2472" s="109" t="s">
        <v>16843</v>
      </c>
      <c r="D2472" s="109" t="s">
        <v>17455</v>
      </c>
      <c r="E2472" s="109" t="s">
        <v>17456</v>
      </c>
      <c r="F2472" s="109" t="s">
        <v>17457</v>
      </c>
      <c r="G2472" s="110" t="s">
        <v>6248</v>
      </c>
      <c r="H2472" s="110" t="s">
        <v>17458</v>
      </c>
      <c r="I2472" s="110" t="s">
        <v>17459</v>
      </c>
    </row>
    <row r="2473" spans="1:9" ht="37.799999999999997" x14ac:dyDescent="0.3">
      <c r="A2473" s="109" t="s">
        <v>17460</v>
      </c>
      <c r="B2473" s="109" t="s">
        <v>16843</v>
      </c>
      <c r="C2473" s="109" t="s">
        <v>16843</v>
      </c>
      <c r="D2473" s="109" t="s">
        <v>17461</v>
      </c>
      <c r="E2473" s="109" t="s">
        <v>5558</v>
      </c>
      <c r="F2473" s="109" t="s">
        <v>17462</v>
      </c>
      <c r="G2473" s="110" t="s">
        <v>6248</v>
      </c>
      <c r="H2473" s="110" t="s">
        <v>17463</v>
      </c>
      <c r="I2473" s="110" t="s">
        <v>17464</v>
      </c>
    </row>
    <row r="2474" spans="1:9" ht="25.2" x14ac:dyDescent="0.3">
      <c r="A2474" s="109" t="s">
        <v>17465</v>
      </c>
      <c r="B2474" s="109" t="s">
        <v>16843</v>
      </c>
      <c r="C2474" s="109" t="s">
        <v>16843</v>
      </c>
      <c r="D2474" s="109" t="s">
        <v>5569</v>
      </c>
      <c r="E2474" s="109" t="s">
        <v>5558</v>
      </c>
      <c r="F2474" s="109" t="s">
        <v>2258</v>
      </c>
      <c r="G2474" s="110" t="s">
        <v>6248</v>
      </c>
      <c r="H2474" s="110" t="s">
        <v>17466</v>
      </c>
      <c r="I2474" s="110" t="s">
        <v>17467</v>
      </c>
    </row>
    <row r="2475" spans="1:9" ht="63" x14ac:dyDescent="0.3">
      <c r="A2475" s="109" t="s">
        <v>17468</v>
      </c>
      <c r="B2475" s="109" t="s">
        <v>16843</v>
      </c>
      <c r="C2475" s="109" t="s">
        <v>16843</v>
      </c>
      <c r="D2475" s="109" t="s">
        <v>17469</v>
      </c>
      <c r="E2475" s="109" t="s">
        <v>17469</v>
      </c>
      <c r="F2475" s="109" t="s">
        <v>17470</v>
      </c>
      <c r="G2475" s="110" t="s">
        <v>6248</v>
      </c>
      <c r="H2475" s="110" t="s">
        <v>17471</v>
      </c>
      <c r="I2475" s="110" t="s">
        <v>17472</v>
      </c>
    </row>
    <row r="2476" spans="1:9" ht="63" x14ac:dyDescent="0.3">
      <c r="A2476" s="109" t="s">
        <v>17473</v>
      </c>
      <c r="B2476" s="109" t="s">
        <v>16843</v>
      </c>
      <c r="C2476" s="109" t="s">
        <v>16843</v>
      </c>
      <c r="D2476" s="109" t="s">
        <v>17474</v>
      </c>
      <c r="E2476" s="109" t="s">
        <v>17474</v>
      </c>
      <c r="F2476" s="109" t="s">
        <v>17475</v>
      </c>
      <c r="G2476" s="110" t="s">
        <v>6248</v>
      </c>
      <c r="H2476" s="110" t="s">
        <v>17476</v>
      </c>
      <c r="I2476" s="110" t="s">
        <v>17477</v>
      </c>
    </row>
    <row r="2477" spans="1:9" ht="63" x14ac:dyDescent="0.3">
      <c r="A2477" s="109" t="s">
        <v>17478</v>
      </c>
      <c r="B2477" s="109" t="s">
        <v>16843</v>
      </c>
      <c r="C2477" s="109" t="s">
        <v>16843</v>
      </c>
      <c r="D2477" s="109" t="s">
        <v>17479</v>
      </c>
      <c r="E2477" s="109" t="s">
        <v>17479</v>
      </c>
      <c r="F2477" s="109" t="s">
        <v>17480</v>
      </c>
      <c r="G2477" s="110" t="s">
        <v>6248</v>
      </c>
      <c r="H2477" s="110" t="s">
        <v>10983</v>
      </c>
      <c r="I2477" s="110" t="s">
        <v>17481</v>
      </c>
    </row>
    <row r="2478" spans="1:9" ht="25.2" x14ac:dyDescent="0.3">
      <c r="A2478" s="109" t="s">
        <v>17482</v>
      </c>
      <c r="B2478" s="109" t="s">
        <v>16843</v>
      </c>
      <c r="C2478" s="109" t="s">
        <v>16843</v>
      </c>
      <c r="D2478" s="109" t="s">
        <v>17483</v>
      </c>
      <c r="E2478" s="109" t="s">
        <v>5558</v>
      </c>
      <c r="F2478" s="109" t="s">
        <v>17484</v>
      </c>
      <c r="G2478" s="110" t="s">
        <v>6248</v>
      </c>
      <c r="H2478" s="110" t="s">
        <v>17485</v>
      </c>
      <c r="I2478" s="110" t="s">
        <v>17486</v>
      </c>
    </row>
    <row r="2479" spans="1:9" ht="63" x14ac:dyDescent="0.3">
      <c r="A2479" s="109" t="s">
        <v>17487</v>
      </c>
      <c r="B2479" s="109" t="s">
        <v>16843</v>
      </c>
      <c r="C2479" s="109" t="s">
        <v>16843</v>
      </c>
      <c r="D2479" s="109" t="s">
        <v>17488</v>
      </c>
      <c r="E2479" s="109" t="s">
        <v>17488</v>
      </c>
      <c r="F2479" s="109" t="s">
        <v>17489</v>
      </c>
      <c r="G2479" s="110" t="s">
        <v>6248</v>
      </c>
      <c r="H2479" s="110" t="s">
        <v>17490</v>
      </c>
      <c r="I2479" s="110" t="s">
        <v>17491</v>
      </c>
    </row>
    <row r="2480" spans="1:9" ht="25.2" x14ac:dyDescent="0.3">
      <c r="A2480" s="109" t="s">
        <v>17492</v>
      </c>
      <c r="B2480" s="109" t="s">
        <v>16843</v>
      </c>
      <c r="C2480" s="109" t="s">
        <v>16843</v>
      </c>
      <c r="D2480" s="109" t="s">
        <v>5569</v>
      </c>
      <c r="E2480" s="109" t="s">
        <v>5558</v>
      </c>
      <c r="F2480" s="109" t="s">
        <v>2258</v>
      </c>
      <c r="G2480" s="110" t="s">
        <v>6248</v>
      </c>
      <c r="H2480" s="110" t="s">
        <v>17493</v>
      </c>
      <c r="I2480" s="110" t="s">
        <v>17494</v>
      </c>
    </row>
    <row r="2481" spans="1:9" ht="25.2" x14ac:dyDescent="0.3">
      <c r="A2481" s="109" t="s">
        <v>17495</v>
      </c>
      <c r="B2481" s="109" t="s">
        <v>16843</v>
      </c>
      <c r="C2481" s="109" t="s">
        <v>16843</v>
      </c>
      <c r="D2481" s="109" t="s">
        <v>5569</v>
      </c>
      <c r="E2481" s="109" t="s">
        <v>5558</v>
      </c>
      <c r="F2481" s="109" t="s">
        <v>2258</v>
      </c>
      <c r="G2481" s="110" t="s">
        <v>6248</v>
      </c>
      <c r="H2481" s="110" t="s">
        <v>17496</v>
      </c>
      <c r="I2481" s="110" t="s">
        <v>17497</v>
      </c>
    </row>
    <row r="2482" spans="1:9" ht="25.2" x14ac:dyDescent="0.3">
      <c r="A2482" s="109" t="s">
        <v>17498</v>
      </c>
      <c r="B2482" s="109" t="s">
        <v>16843</v>
      </c>
      <c r="C2482" s="109" t="s">
        <v>16843</v>
      </c>
      <c r="D2482" s="109" t="s">
        <v>5569</v>
      </c>
      <c r="E2482" s="109" t="s">
        <v>5558</v>
      </c>
      <c r="F2482" s="109" t="s">
        <v>2258</v>
      </c>
      <c r="G2482" s="110" t="s">
        <v>6248</v>
      </c>
      <c r="H2482" s="110" t="s">
        <v>9261</v>
      </c>
      <c r="I2482" s="110" t="s">
        <v>17499</v>
      </c>
    </row>
    <row r="2483" spans="1:9" ht="37.799999999999997" x14ac:dyDescent="0.3">
      <c r="A2483" s="109" t="s">
        <v>17500</v>
      </c>
      <c r="B2483" s="109" t="s">
        <v>16843</v>
      </c>
      <c r="C2483" s="109" t="s">
        <v>16843</v>
      </c>
      <c r="D2483" s="109" t="s">
        <v>17501</v>
      </c>
      <c r="E2483" s="109" t="s">
        <v>5558</v>
      </c>
      <c r="F2483" s="109" t="s">
        <v>17502</v>
      </c>
      <c r="G2483" s="110" t="s">
        <v>6248</v>
      </c>
      <c r="H2483" s="110" t="s">
        <v>6689</v>
      </c>
      <c r="I2483" s="110" t="s">
        <v>17503</v>
      </c>
    </row>
    <row r="2484" spans="1:9" ht="25.2" x14ac:dyDescent="0.3">
      <c r="A2484" s="109" t="s">
        <v>17504</v>
      </c>
      <c r="B2484" s="109" t="s">
        <v>16843</v>
      </c>
      <c r="C2484" s="109" t="s">
        <v>16843</v>
      </c>
      <c r="D2484" s="109" t="s">
        <v>17505</v>
      </c>
      <c r="E2484" s="109" t="s">
        <v>17506</v>
      </c>
      <c r="F2484" s="109" t="s">
        <v>10585</v>
      </c>
      <c r="G2484" s="110" t="s">
        <v>6248</v>
      </c>
      <c r="H2484" s="110" t="s">
        <v>17507</v>
      </c>
      <c r="I2484" s="110" t="s">
        <v>17508</v>
      </c>
    </row>
    <row r="2485" spans="1:9" ht="25.2" x14ac:dyDescent="0.3">
      <c r="A2485" s="109" t="s">
        <v>17509</v>
      </c>
      <c r="B2485" s="109" t="s">
        <v>16843</v>
      </c>
      <c r="C2485" s="109" t="s">
        <v>16843</v>
      </c>
      <c r="D2485" s="109" t="s">
        <v>17510</v>
      </c>
      <c r="E2485" s="109" t="s">
        <v>5558</v>
      </c>
      <c r="F2485" s="109" t="s">
        <v>17511</v>
      </c>
      <c r="G2485" s="110" t="s">
        <v>6248</v>
      </c>
      <c r="H2485" s="110" t="s">
        <v>9647</v>
      </c>
      <c r="I2485" s="110" t="s">
        <v>17512</v>
      </c>
    </row>
    <row r="2486" spans="1:9" ht="25.2" x14ac:dyDescent="0.3">
      <c r="A2486" s="109" t="s">
        <v>17513</v>
      </c>
      <c r="B2486" s="109" t="s">
        <v>16843</v>
      </c>
      <c r="C2486" s="109" t="s">
        <v>16843</v>
      </c>
      <c r="D2486" s="109" t="s">
        <v>17514</v>
      </c>
      <c r="E2486" s="109" t="s">
        <v>17515</v>
      </c>
      <c r="F2486" s="109" t="s">
        <v>7181</v>
      </c>
      <c r="G2486" s="110" t="s">
        <v>10844</v>
      </c>
      <c r="H2486" s="110" t="s">
        <v>6248</v>
      </c>
      <c r="I2486" s="110" t="s">
        <v>17516</v>
      </c>
    </row>
    <row r="2487" spans="1:9" ht="37.799999999999997" x14ac:dyDescent="0.3">
      <c r="A2487" s="109" t="s">
        <v>17517</v>
      </c>
      <c r="B2487" s="109" t="s">
        <v>16843</v>
      </c>
      <c r="C2487" s="109" t="s">
        <v>16843</v>
      </c>
      <c r="D2487" s="109" t="s">
        <v>17518</v>
      </c>
      <c r="E2487" s="109" t="s">
        <v>5558</v>
      </c>
      <c r="F2487" s="109" t="s">
        <v>17519</v>
      </c>
      <c r="G2487" s="110" t="s">
        <v>6248</v>
      </c>
      <c r="H2487" s="110" t="s">
        <v>6689</v>
      </c>
      <c r="I2487" s="110" t="s">
        <v>17520</v>
      </c>
    </row>
    <row r="2488" spans="1:9" ht="37.799999999999997" x14ac:dyDescent="0.3">
      <c r="A2488" s="109" t="s">
        <v>17521</v>
      </c>
      <c r="B2488" s="109" t="s">
        <v>16843</v>
      </c>
      <c r="C2488" s="109" t="s">
        <v>16843</v>
      </c>
      <c r="D2488" s="109" t="s">
        <v>2293</v>
      </c>
      <c r="E2488" s="109" t="s">
        <v>5558</v>
      </c>
      <c r="F2488" s="109" t="s">
        <v>17522</v>
      </c>
      <c r="G2488" s="110" t="s">
        <v>6248</v>
      </c>
      <c r="H2488" s="110" t="s">
        <v>17523</v>
      </c>
      <c r="I2488" s="110" t="s">
        <v>17524</v>
      </c>
    </row>
    <row r="2489" spans="1:9" ht="37.799999999999997" x14ac:dyDescent="0.3">
      <c r="A2489" s="109" t="s">
        <v>17525</v>
      </c>
      <c r="B2489" s="109" t="s">
        <v>16843</v>
      </c>
      <c r="C2489" s="109" t="s">
        <v>16843</v>
      </c>
      <c r="D2489" s="109" t="s">
        <v>17526</v>
      </c>
      <c r="E2489" s="109" t="s">
        <v>5558</v>
      </c>
      <c r="F2489" s="109" t="s">
        <v>17527</v>
      </c>
      <c r="G2489" s="110" t="s">
        <v>6248</v>
      </c>
      <c r="H2489" s="110" t="s">
        <v>6689</v>
      </c>
      <c r="I2489" s="110" t="s">
        <v>17528</v>
      </c>
    </row>
    <row r="2490" spans="1:9" ht="37.799999999999997" x14ac:dyDescent="0.3">
      <c r="A2490" s="109" t="s">
        <v>17529</v>
      </c>
      <c r="B2490" s="109" t="s">
        <v>16843</v>
      </c>
      <c r="C2490" s="109" t="s">
        <v>16843</v>
      </c>
      <c r="D2490" s="109" t="s">
        <v>17530</v>
      </c>
      <c r="E2490" s="109" t="s">
        <v>5558</v>
      </c>
      <c r="F2490" s="109" t="s">
        <v>17531</v>
      </c>
      <c r="G2490" s="110" t="s">
        <v>6248</v>
      </c>
      <c r="H2490" s="110" t="s">
        <v>6883</v>
      </c>
      <c r="I2490" s="110" t="s">
        <v>17532</v>
      </c>
    </row>
    <row r="2491" spans="1:9" ht="25.2" x14ac:dyDescent="0.3">
      <c r="A2491" s="109" t="s">
        <v>17533</v>
      </c>
      <c r="B2491" s="109" t="s">
        <v>16843</v>
      </c>
      <c r="C2491" s="109" t="s">
        <v>16843</v>
      </c>
      <c r="D2491" s="109" t="s">
        <v>17534</v>
      </c>
      <c r="E2491" s="109" t="s">
        <v>5558</v>
      </c>
      <c r="F2491" s="109" t="s">
        <v>17535</v>
      </c>
      <c r="G2491" s="110" t="s">
        <v>6248</v>
      </c>
      <c r="H2491" s="110" t="s">
        <v>17536</v>
      </c>
      <c r="I2491" s="110" t="s">
        <v>17537</v>
      </c>
    </row>
    <row r="2492" spans="1:9" ht="37.799999999999997" x14ac:dyDescent="0.3">
      <c r="A2492" s="109" t="s">
        <v>17538</v>
      </c>
      <c r="B2492" s="109" t="s">
        <v>16843</v>
      </c>
      <c r="C2492" s="109" t="s">
        <v>16843</v>
      </c>
      <c r="D2492" s="109" t="s">
        <v>17539</v>
      </c>
      <c r="E2492" s="109" t="s">
        <v>5558</v>
      </c>
      <c r="F2492" s="109" t="s">
        <v>17540</v>
      </c>
      <c r="G2492" s="110" t="s">
        <v>6248</v>
      </c>
      <c r="H2492" s="110" t="s">
        <v>17541</v>
      </c>
      <c r="I2492" s="110" t="s">
        <v>17542</v>
      </c>
    </row>
    <row r="2493" spans="1:9" ht="25.2" x14ac:dyDescent="0.3">
      <c r="A2493" s="109" t="s">
        <v>17543</v>
      </c>
      <c r="B2493" s="109" t="s">
        <v>16843</v>
      </c>
      <c r="C2493" s="109" t="s">
        <v>16843</v>
      </c>
      <c r="D2493" s="109" t="s">
        <v>17544</v>
      </c>
      <c r="E2493" s="109" t="s">
        <v>5558</v>
      </c>
      <c r="F2493" s="109" t="s">
        <v>17545</v>
      </c>
      <c r="G2493" s="110" t="s">
        <v>6248</v>
      </c>
      <c r="H2493" s="110" t="s">
        <v>14318</v>
      </c>
      <c r="I2493" s="110" t="s">
        <v>17546</v>
      </c>
    </row>
    <row r="2494" spans="1:9" ht="25.2" x14ac:dyDescent="0.3">
      <c r="A2494" s="109" t="s">
        <v>17547</v>
      </c>
      <c r="B2494" s="109" t="s">
        <v>16843</v>
      </c>
      <c r="C2494" s="109" t="s">
        <v>16843</v>
      </c>
      <c r="D2494" s="109" t="s">
        <v>17548</v>
      </c>
      <c r="E2494" s="109" t="s">
        <v>5558</v>
      </c>
      <c r="F2494" s="109" t="s">
        <v>17549</v>
      </c>
      <c r="G2494" s="110" t="s">
        <v>6248</v>
      </c>
      <c r="H2494" s="110" t="s">
        <v>17550</v>
      </c>
      <c r="I2494" s="110" t="s">
        <v>17551</v>
      </c>
    </row>
    <row r="2495" spans="1:9" ht="25.2" x14ac:dyDescent="0.3">
      <c r="A2495" s="109" t="s">
        <v>17552</v>
      </c>
      <c r="B2495" s="109" t="s">
        <v>16843</v>
      </c>
      <c r="C2495" s="109" t="s">
        <v>16843</v>
      </c>
      <c r="D2495" s="109" t="s">
        <v>17553</v>
      </c>
      <c r="E2495" s="109" t="s">
        <v>5558</v>
      </c>
      <c r="F2495" s="109" t="s">
        <v>17554</v>
      </c>
      <c r="G2495" s="110" t="s">
        <v>6248</v>
      </c>
      <c r="H2495" s="110" t="s">
        <v>17555</v>
      </c>
      <c r="I2495" s="110" t="s">
        <v>17556</v>
      </c>
    </row>
    <row r="2496" spans="1:9" ht="25.2" x14ac:dyDescent="0.3">
      <c r="A2496" s="109" t="s">
        <v>17557</v>
      </c>
      <c r="B2496" s="109" t="s">
        <v>16843</v>
      </c>
      <c r="C2496" s="109" t="s">
        <v>16843</v>
      </c>
      <c r="D2496" s="109" t="s">
        <v>17558</v>
      </c>
      <c r="E2496" s="109" t="s">
        <v>5558</v>
      </c>
      <c r="F2496" s="109" t="s">
        <v>17559</v>
      </c>
      <c r="G2496" s="110" t="s">
        <v>6248</v>
      </c>
      <c r="H2496" s="110" t="s">
        <v>6278</v>
      </c>
      <c r="I2496" s="110" t="s">
        <v>17560</v>
      </c>
    </row>
    <row r="2497" spans="1:9" ht="25.2" x14ac:dyDescent="0.3">
      <c r="A2497" s="109" t="s">
        <v>17561</v>
      </c>
      <c r="B2497" s="109" t="s">
        <v>16843</v>
      </c>
      <c r="C2497" s="109" t="s">
        <v>16843</v>
      </c>
      <c r="D2497" s="109" t="s">
        <v>17562</v>
      </c>
      <c r="E2497" s="109" t="s">
        <v>5558</v>
      </c>
      <c r="F2497" s="109" t="s">
        <v>17563</v>
      </c>
      <c r="G2497" s="110" t="s">
        <v>6248</v>
      </c>
      <c r="H2497" s="110" t="s">
        <v>17564</v>
      </c>
      <c r="I2497" s="110" t="s">
        <v>17565</v>
      </c>
    </row>
    <row r="2498" spans="1:9" ht="25.2" x14ac:dyDescent="0.3">
      <c r="A2498" s="109" t="s">
        <v>17566</v>
      </c>
      <c r="B2498" s="109" t="s">
        <v>16843</v>
      </c>
      <c r="C2498" s="109" t="s">
        <v>16843</v>
      </c>
      <c r="D2498" s="109" t="s">
        <v>17567</v>
      </c>
      <c r="E2498" s="109" t="s">
        <v>5558</v>
      </c>
      <c r="F2498" s="109" t="s">
        <v>17568</v>
      </c>
      <c r="G2498" s="110" t="s">
        <v>6248</v>
      </c>
      <c r="H2498" s="110" t="s">
        <v>12485</v>
      </c>
      <c r="I2498" s="110" t="s">
        <v>17569</v>
      </c>
    </row>
    <row r="2499" spans="1:9" ht="25.2" x14ac:dyDescent="0.3">
      <c r="A2499" s="109" t="s">
        <v>17570</v>
      </c>
      <c r="B2499" s="109" t="s">
        <v>16843</v>
      </c>
      <c r="C2499" s="109" t="s">
        <v>16843</v>
      </c>
      <c r="D2499" s="109" t="s">
        <v>5569</v>
      </c>
      <c r="E2499" s="109" t="s">
        <v>5558</v>
      </c>
      <c r="F2499" s="109" t="s">
        <v>2258</v>
      </c>
      <c r="G2499" s="110" t="s">
        <v>6248</v>
      </c>
      <c r="H2499" s="110" t="s">
        <v>17571</v>
      </c>
      <c r="I2499" s="110" t="s">
        <v>17572</v>
      </c>
    </row>
    <row r="2500" spans="1:9" ht="37.799999999999997" x14ac:dyDescent="0.3">
      <c r="A2500" s="109" t="s">
        <v>17573</v>
      </c>
      <c r="B2500" s="109" t="s">
        <v>16843</v>
      </c>
      <c r="C2500" s="109" t="s">
        <v>16843</v>
      </c>
      <c r="D2500" s="109" t="s">
        <v>17574</v>
      </c>
      <c r="E2500" s="109" t="s">
        <v>16583</v>
      </c>
      <c r="F2500" s="109" t="s">
        <v>17575</v>
      </c>
      <c r="G2500" s="110" t="s">
        <v>6248</v>
      </c>
      <c r="H2500" s="110" t="s">
        <v>8905</v>
      </c>
      <c r="I2500" s="110" t="s">
        <v>17576</v>
      </c>
    </row>
    <row r="2501" spans="1:9" ht="50.4" x14ac:dyDescent="0.3">
      <c r="A2501" s="109" t="s">
        <v>17577</v>
      </c>
      <c r="B2501" s="109" t="s">
        <v>16843</v>
      </c>
      <c r="C2501" s="109" t="s">
        <v>16843</v>
      </c>
      <c r="D2501" s="109" t="s">
        <v>17578</v>
      </c>
      <c r="E2501" s="109" t="s">
        <v>17578</v>
      </c>
      <c r="F2501" s="109" t="s">
        <v>17579</v>
      </c>
      <c r="G2501" s="110" t="s">
        <v>6248</v>
      </c>
      <c r="H2501" s="110" t="s">
        <v>17580</v>
      </c>
      <c r="I2501" s="110" t="s">
        <v>17581</v>
      </c>
    </row>
    <row r="2502" spans="1:9" ht="50.4" x14ac:dyDescent="0.3">
      <c r="A2502" s="109" t="s">
        <v>17582</v>
      </c>
      <c r="B2502" s="109" t="s">
        <v>16843</v>
      </c>
      <c r="C2502" s="109" t="s">
        <v>16843</v>
      </c>
      <c r="D2502" s="109" t="s">
        <v>6190</v>
      </c>
      <c r="E2502" s="109" t="s">
        <v>6190</v>
      </c>
      <c r="F2502" s="109" t="s">
        <v>17583</v>
      </c>
      <c r="G2502" s="110" t="s">
        <v>6248</v>
      </c>
      <c r="H2502" s="110" t="s">
        <v>17584</v>
      </c>
      <c r="I2502" s="110" t="s">
        <v>17585</v>
      </c>
    </row>
    <row r="2503" spans="1:9" ht="50.4" x14ac:dyDescent="0.3">
      <c r="A2503" s="109" t="s">
        <v>17586</v>
      </c>
      <c r="B2503" s="109" t="s">
        <v>16843</v>
      </c>
      <c r="C2503" s="109" t="s">
        <v>16843</v>
      </c>
      <c r="D2503" s="109" t="s">
        <v>17587</v>
      </c>
      <c r="E2503" s="109" t="s">
        <v>17587</v>
      </c>
      <c r="F2503" s="109" t="s">
        <v>17588</v>
      </c>
      <c r="G2503" s="110" t="s">
        <v>6248</v>
      </c>
      <c r="H2503" s="110" t="s">
        <v>17589</v>
      </c>
      <c r="I2503" s="110" t="s">
        <v>17590</v>
      </c>
    </row>
    <row r="2504" spans="1:9" ht="50.4" x14ac:dyDescent="0.3">
      <c r="A2504" s="109" t="s">
        <v>17591</v>
      </c>
      <c r="B2504" s="109" t="s">
        <v>16843</v>
      </c>
      <c r="C2504" s="109" t="s">
        <v>16843</v>
      </c>
      <c r="D2504" s="109" t="s">
        <v>17592</v>
      </c>
      <c r="E2504" s="109" t="s">
        <v>17592</v>
      </c>
      <c r="F2504" s="109" t="s">
        <v>17593</v>
      </c>
      <c r="G2504" s="110" t="s">
        <v>6248</v>
      </c>
      <c r="H2504" s="110" t="s">
        <v>17594</v>
      </c>
      <c r="I2504" s="110" t="s">
        <v>17595</v>
      </c>
    </row>
    <row r="2505" spans="1:9" ht="37.799999999999997" x14ac:dyDescent="0.3">
      <c r="A2505" s="109" t="s">
        <v>17596</v>
      </c>
      <c r="B2505" s="109" t="s">
        <v>16843</v>
      </c>
      <c r="C2505" s="109" t="s">
        <v>16843</v>
      </c>
      <c r="D2505" s="109" t="s">
        <v>17597</v>
      </c>
      <c r="E2505" s="109" t="s">
        <v>17597</v>
      </c>
      <c r="F2505" s="109" t="s">
        <v>17598</v>
      </c>
      <c r="G2505" s="110" t="s">
        <v>6248</v>
      </c>
      <c r="H2505" s="110" t="s">
        <v>17599</v>
      </c>
      <c r="I2505" s="110" t="s">
        <v>17600</v>
      </c>
    </row>
    <row r="2506" spans="1:9" ht="25.2" x14ac:dyDescent="0.3">
      <c r="A2506" s="109" t="s">
        <v>17601</v>
      </c>
      <c r="B2506" s="109" t="s">
        <v>16843</v>
      </c>
      <c r="C2506" s="109" t="s">
        <v>16843</v>
      </c>
      <c r="D2506" s="109" t="s">
        <v>17602</v>
      </c>
      <c r="E2506" s="109" t="s">
        <v>17603</v>
      </c>
      <c r="F2506" s="109" t="s">
        <v>16530</v>
      </c>
      <c r="G2506" s="110" t="s">
        <v>6248</v>
      </c>
      <c r="H2506" s="110" t="s">
        <v>17604</v>
      </c>
      <c r="I2506" s="110" t="s">
        <v>17605</v>
      </c>
    </row>
    <row r="2507" spans="1:9" ht="50.4" x14ac:dyDescent="0.3">
      <c r="A2507" s="109" t="s">
        <v>17606</v>
      </c>
      <c r="B2507" s="109" t="s">
        <v>16843</v>
      </c>
      <c r="C2507" s="109" t="s">
        <v>16843</v>
      </c>
      <c r="D2507" s="109" t="s">
        <v>17607</v>
      </c>
      <c r="E2507" s="109" t="s">
        <v>17607</v>
      </c>
      <c r="F2507" s="109" t="s">
        <v>17608</v>
      </c>
      <c r="G2507" s="110" t="s">
        <v>6248</v>
      </c>
      <c r="H2507" s="110" t="s">
        <v>17609</v>
      </c>
      <c r="I2507" s="110" t="s">
        <v>17610</v>
      </c>
    </row>
    <row r="2508" spans="1:9" ht="50.4" x14ac:dyDescent="0.3">
      <c r="A2508" s="109" t="s">
        <v>17611</v>
      </c>
      <c r="B2508" s="109" t="s">
        <v>16843</v>
      </c>
      <c r="C2508" s="109" t="s">
        <v>16843</v>
      </c>
      <c r="D2508" s="109" t="s">
        <v>17612</v>
      </c>
      <c r="E2508" s="109" t="s">
        <v>17612</v>
      </c>
      <c r="F2508" s="109" t="s">
        <v>17613</v>
      </c>
      <c r="G2508" s="110" t="s">
        <v>6248</v>
      </c>
      <c r="H2508" s="110" t="s">
        <v>17614</v>
      </c>
      <c r="I2508" s="110" t="s">
        <v>17615</v>
      </c>
    </row>
    <row r="2509" spans="1:9" ht="50.4" x14ac:dyDescent="0.3">
      <c r="A2509" s="109" t="s">
        <v>17616</v>
      </c>
      <c r="B2509" s="109" t="s">
        <v>16843</v>
      </c>
      <c r="C2509" s="109" t="s">
        <v>16843</v>
      </c>
      <c r="D2509" s="109" t="s">
        <v>17617</v>
      </c>
      <c r="E2509" s="109" t="s">
        <v>17617</v>
      </c>
      <c r="F2509" s="109" t="s">
        <v>17618</v>
      </c>
      <c r="G2509" s="110" t="s">
        <v>6248</v>
      </c>
      <c r="H2509" s="110" t="s">
        <v>17619</v>
      </c>
      <c r="I2509" s="110" t="s">
        <v>17620</v>
      </c>
    </row>
    <row r="2510" spans="1:9" ht="50.4" x14ac:dyDescent="0.3">
      <c r="A2510" s="109" t="s">
        <v>17621</v>
      </c>
      <c r="B2510" s="109" t="s">
        <v>16843</v>
      </c>
      <c r="C2510" s="109" t="s">
        <v>16843</v>
      </c>
      <c r="D2510" s="109" t="s">
        <v>17622</v>
      </c>
      <c r="E2510" s="109" t="s">
        <v>17622</v>
      </c>
      <c r="F2510" s="109" t="s">
        <v>17623</v>
      </c>
      <c r="G2510" s="110" t="s">
        <v>6248</v>
      </c>
      <c r="H2510" s="110" t="s">
        <v>17624</v>
      </c>
      <c r="I2510" s="110" t="s">
        <v>17625</v>
      </c>
    </row>
    <row r="2511" spans="1:9" ht="50.4" x14ac:dyDescent="0.3">
      <c r="A2511" s="109" t="s">
        <v>17626</v>
      </c>
      <c r="B2511" s="109" t="s">
        <v>16843</v>
      </c>
      <c r="C2511" s="109" t="s">
        <v>16843</v>
      </c>
      <c r="D2511" s="109" t="s">
        <v>17627</v>
      </c>
      <c r="E2511" s="109" t="s">
        <v>17627</v>
      </c>
      <c r="F2511" s="109" t="s">
        <v>17628</v>
      </c>
      <c r="G2511" s="110" t="s">
        <v>6248</v>
      </c>
      <c r="H2511" s="110" t="s">
        <v>17629</v>
      </c>
      <c r="I2511" s="110" t="s">
        <v>17630</v>
      </c>
    </row>
    <row r="2512" spans="1:9" ht="63" x14ac:dyDescent="0.3">
      <c r="A2512" s="109" t="s">
        <v>17631</v>
      </c>
      <c r="B2512" s="109" t="s">
        <v>16843</v>
      </c>
      <c r="C2512" s="109" t="s">
        <v>16843</v>
      </c>
      <c r="D2512" s="109" t="s">
        <v>17632</v>
      </c>
      <c r="E2512" s="109" t="s">
        <v>17632</v>
      </c>
      <c r="F2512" s="109" t="s">
        <v>17633</v>
      </c>
      <c r="G2512" s="110" t="s">
        <v>6248</v>
      </c>
      <c r="H2512" s="110" t="s">
        <v>6433</v>
      </c>
      <c r="I2512" s="110" t="s">
        <v>17634</v>
      </c>
    </row>
    <row r="2513" spans="1:9" ht="37.799999999999997" x14ac:dyDescent="0.3">
      <c r="A2513" s="109" t="s">
        <v>17635</v>
      </c>
      <c r="B2513" s="109" t="s">
        <v>16843</v>
      </c>
      <c r="C2513" s="109" t="s">
        <v>16843</v>
      </c>
      <c r="D2513" s="109" t="s">
        <v>17636</v>
      </c>
      <c r="E2513" s="109" t="s">
        <v>17636</v>
      </c>
      <c r="F2513" s="109" t="s">
        <v>17637</v>
      </c>
      <c r="G2513" s="110" t="s">
        <v>6248</v>
      </c>
      <c r="H2513" s="110" t="s">
        <v>17638</v>
      </c>
      <c r="I2513" s="110" t="s">
        <v>17639</v>
      </c>
    </row>
    <row r="2514" spans="1:9" ht="50.4" x14ac:dyDescent="0.3">
      <c r="A2514" s="109" t="s">
        <v>17640</v>
      </c>
      <c r="B2514" s="109" t="s">
        <v>16843</v>
      </c>
      <c r="C2514" s="109" t="s">
        <v>16843</v>
      </c>
      <c r="D2514" s="109" t="s">
        <v>17641</v>
      </c>
      <c r="E2514" s="109" t="s">
        <v>17641</v>
      </c>
      <c r="F2514" s="109" t="s">
        <v>17642</v>
      </c>
      <c r="G2514" s="110" t="s">
        <v>6248</v>
      </c>
      <c r="H2514" s="110" t="s">
        <v>17643</v>
      </c>
      <c r="I2514" s="110" t="s">
        <v>17644</v>
      </c>
    </row>
    <row r="2515" spans="1:9" ht="37.799999999999997" x14ac:dyDescent="0.3">
      <c r="A2515" s="109" t="s">
        <v>17645</v>
      </c>
      <c r="B2515" s="109" t="s">
        <v>16843</v>
      </c>
      <c r="C2515" s="109" t="s">
        <v>16843</v>
      </c>
      <c r="D2515" s="109" t="s">
        <v>14603</v>
      </c>
      <c r="E2515" s="109" t="s">
        <v>14603</v>
      </c>
      <c r="F2515" s="109" t="s">
        <v>17646</v>
      </c>
      <c r="G2515" s="110" t="s">
        <v>6248</v>
      </c>
      <c r="H2515" s="110" t="s">
        <v>17647</v>
      </c>
      <c r="I2515" s="110" t="s">
        <v>17648</v>
      </c>
    </row>
    <row r="2516" spans="1:9" ht="63" x14ac:dyDescent="0.3">
      <c r="A2516" s="109" t="s">
        <v>17649</v>
      </c>
      <c r="B2516" s="109" t="s">
        <v>16843</v>
      </c>
      <c r="C2516" s="109" t="s">
        <v>16843</v>
      </c>
      <c r="D2516" s="109" t="s">
        <v>17650</v>
      </c>
      <c r="E2516" s="109" t="s">
        <v>17650</v>
      </c>
      <c r="F2516" s="109" t="s">
        <v>17651</v>
      </c>
      <c r="G2516" s="110" t="s">
        <v>6248</v>
      </c>
      <c r="H2516" s="110" t="s">
        <v>6479</v>
      </c>
      <c r="I2516" s="110" t="s">
        <v>17652</v>
      </c>
    </row>
    <row r="2517" spans="1:9" ht="37.799999999999997" x14ac:dyDescent="0.3">
      <c r="A2517" s="109" t="s">
        <v>17653</v>
      </c>
      <c r="B2517" s="109" t="s">
        <v>16843</v>
      </c>
      <c r="C2517" s="109" t="s">
        <v>16843</v>
      </c>
      <c r="D2517" s="109" t="s">
        <v>17654</v>
      </c>
      <c r="E2517" s="109" t="s">
        <v>17654</v>
      </c>
      <c r="F2517" s="109" t="s">
        <v>17655</v>
      </c>
      <c r="G2517" s="110" t="s">
        <v>6248</v>
      </c>
      <c r="H2517" s="110" t="s">
        <v>17656</v>
      </c>
      <c r="I2517" s="110" t="s">
        <v>17657</v>
      </c>
    </row>
    <row r="2518" spans="1:9" ht="37.799999999999997" x14ac:dyDescent="0.3">
      <c r="A2518" s="109" t="s">
        <v>17658</v>
      </c>
      <c r="B2518" s="109" t="s">
        <v>16843</v>
      </c>
      <c r="C2518" s="109" t="s">
        <v>16843</v>
      </c>
      <c r="D2518" s="109" t="s">
        <v>17659</v>
      </c>
      <c r="E2518" s="109" t="s">
        <v>17659</v>
      </c>
      <c r="F2518" s="109" t="s">
        <v>17660</v>
      </c>
      <c r="G2518" s="110" t="s">
        <v>6248</v>
      </c>
      <c r="H2518" s="110" t="s">
        <v>17661</v>
      </c>
      <c r="I2518" s="110" t="s">
        <v>17662</v>
      </c>
    </row>
    <row r="2519" spans="1:9" ht="37.799999999999997" x14ac:dyDescent="0.3">
      <c r="A2519" s="109" t="s">
        <v>17663</v>
      </c>
      <c r="B2519" s="109" t="s">
        <v>16843</v>
      </c>
      <c r="C2519" s="109" t="s">
        <v>16843</v>
      </c>
      <c r="D2519" s="109" t="s">
        <v>17664</v>
      </c>
      <c r="E2519" s="109" t="s">
        <v>17664</v>
      </c>
      <c r="F2519" s="109" t="s">
        <v>17665</v>
      </c>
      <c r="G2519" s="110" t="s">
        <v>6248</v>
      </c>
      <c r="H2519" s="110" t="s">
        <v>17666</v>
      </c>
      <c r="I2519" s="110" t="s">
        <v>17667</v>
      </c>
    </row>
    <row r="2520" spans="1:9" ht="37.799999999999997" x14ac:dyDescent="0.3">
      <c r="A2520" s="109" t="s">
        <v>17668</v>
      </c>
      <c r="B2520" s="109" t="s">
        <v>16843</v>
      </c>
      <c r="C2520" s="109" t="s">
        <v>16843</v>
      </c>
      <c r="D2520" s="109" t="s">
        <v>17669</v>
      </c>
      <c r="E2520" s="109" t="s">
        <v>17669</v>
      </c>
      <c r="F2520" s="109" t="s">
        <v>17670</v>
      </c>
      <c r="G2520" s="110" t="s">
        <v>6248</v>
      </c>
      <c r="H2520" s="110" t="s">
        <v>17671</v>
      </c>
      <c r="I2520" s="110" t="s">
        <v>17672</v>
      </c>
    </row>
    <row r="2521" spans="1:9" ht="63" x14ac:dyDescent="0.3">
      <c r="A2521" s="109" t="s">
        <v>17673</v>
      </c>
      <c r="B2521" s="109" t="s">
        <v>16843</v>
      </c>
      <c r="C2521" s="109" t="s">
        <v>16843</v>
      </c>
      <c r="D2521" s="109" t="s">
        <v>17674</v>
      </c>
      <c r="E2521" s="109" t="s">
        <v>17674</v>
      </c>
      <c r="F2521" s="109" t="s">
        <v>17675</v>
      </c>
      <c r="G2521" s="110" t="s">
        <v>6248</v>
      </c>
      <c r="H2521" s="110" t="s">
        <v>17676</v>
      </c>
      <c r="I2521" s="110" t="s">
        <v>17677</v>
      </c>
    </row>
    <row r="2522" spans="1:9" ht="37.799999999999997" x14ac:dyDescent="0.3">
      <c r="A2522" s="109" t="s">
        <v>17678</v>
      </c>
      <c r="B2522" s="109" t="s">
        <v>16843</v>
      </c>
      <c r="C2522" s="109" t="s">
        <v>16843</v>
      </c>
      <c r="D2522" s="109" t="s">
        <v>9817</v>
      </c>
      <c r="E2522" s="109" t="s">
        <v>17679</v>
      </c>
      <c r="F2522" s="109" t="s">
        <v>17680</v>
      </c>
      <c r="G2522" s="110" t="s">
        <v>6248</v>
      </c>
      <c r="H2522" s="110" t="s">
        <v>17681</v>
      </c>
      <c r="I2522" s="110" t="s">
        <v>17682</v>
      </c>
    </row>
    <row r="2523" spans="1:9" ht="50.4" x14ac:dyDescent="0.3">
      <c r="A2523" s="109" t="s">
        <v>17683</v>
      </c>
      <c r="B2523" s="109" t="s">
        <v>16843</v>
      </c>
      <c r="C2523" s="109" t="s">
        <v>16843</v>
      </c>
      <c r="D2523" s="109" t="s">
        <v>7498</v>
      </c>
      <c r="E2523" s="109" t="s">
        <v>7498</v>
      </c>
      <c r="F2523" s="109" t="s">
        <v>17684</v>
      </c>
      <c r="G2523" s="110" t="s">
        <v>6248</v>
      </c>
      <c r="H2523" s="110" t="s">
        <v>17685</v>
      </c>
      <c r="I2523" s="110" t="s">
        <v>17686</v>
      </c>
    </row>
    <row r="2524" spans="1:9" ht="37.799999999999997" x14ac:dyDescent="0.3">
      <c r="A2524" s="109" t="s">
        <v>17687</v>
      </c>
      <c r="B2524" s="109" t="s">
        <v>16843</v>
      </c>
      <c r="C2524" s="109" t="s">
        <v>16843</v>
      </c>
      <c r="D2524" s="109" t="s">
        <v>8478</v>
      </c>
      <c r="E2524" s="109" t="s">
        <v>8478</v>
      </c>
      <c r="F2524" s="109" t="s">
        <v>17688</v>
      </c>
      <c r="G2524" s="110" t="s">
        <v>6248</v>
      </c>
      <c r="H2524" s="110" t="s">
        <v>17689</v>
      </c>
      <c r="I2524" s="110" t="s">
        <v>17690</v>
      </c>
    </row>
    <row r="2525" spans="1:9" ht="50.4" x14ac:dyDescent="0.3">
      <c r="A2525" s="109" t="s">
        <v>17691</v>
      </c>
      <c r="B2525" s="109" t="s">
        <v>16843</v>
      </c>
      <c r="C2525" s="109" t="s">
        <v>16843</v>
      </c>
      <c r="D2525" s="109" t="s">
        <v>17692</v>
      </c>
      <c r="E2525" s="109" t="s">
        <v>17692</v>
      </c>
      <c r="F2525" s="109" t="s">
        <v>17693</v>
      </c>
      <c r="G2525" s="110" t="s">
        <v>6248</v>
      </c>
      <c r="H2525" s="110" t="s">
        <v>17694</v>
      </c>
      <c r="I2525" s="110" t="s">
        <v>17695</v>
      </c>
    </row>
    <row r="2526" spans="1:9" ht="50.4" x14ac:dyDescent="0.3">
      <c r="A2526" s="109" t="s">
        <v>17696</v>
      </c>
      <c r="B2526" s="109" t="s">
        <v>16843</v>
      </c>
      <c r="C2526" s="109" t="s">
        <v>16843</v>
      </c>
      <c r="D2526" s="109" t="s">
        <v>17697</v>
      </c>
      <c r="E2526" s="109" t="s">
        <v>17697</v>
      </c>
      <c r="F2526" s="109" t="s">
        <v>17698</v>
      </c>
      <c r="G2526" s="110" t="s">
        <v>6248</v>
      </c>
      <c r="H2526" s="110" t="s">
        <v>17699</v>
      </c>
      <c r="I2526" s="110" t="s">
        <v>17700</v>
      </c>
    </row>
    <row r="2527" spans="1:9" ht="50.4" x14ac:dyDescent="0.3">
      <c r="A2527" s="109" t="s">
        <v>17701</v>
      </c>
      <c r="B2527" s="109" t="s">
        <v>16843</v>
      </c>
      <c r="C2527" s="109" t="s">
        <v>16843</v>
      </c>
      <c r="D2527" s="109" t="s">
        <v>17702</v>
      </c>
      <c r="E2527" s="109" t="s">
        <v>17702</v>
      </c>
      <c r="F2527" s="109" t="s">
        <v>17703</v>
      </c>
      <c r="G2527" s="110" t="s">
        <v>6248</v>
      </c>
      <c r="H2527" s="110" t="s">
        <v>17704</v>
      </c>
      <c r="I2527" s="110" t="s">
        <v>17705</v>
      </c>
    </row>
    <row r="2528" spans="1:9" ht="50.4" x14ac:dyDescent="0.3">
      <c r="A2528" s="109" t="s">
        <v>17706</v>
      </c>
      <c r="B2528" s="109" t="s">
        <v>16843</v>
      </c>
      <c r="C2528" s="109" t="s">
        <v>16843</v>
      </c>
      <c r="D2528" s="109" t="s">
        <v>17707</v>
      </c>
      <c r="E2528" s="109" t="s">
        <v>17707</v>
      </c>
      <c r="F2528" s="109" t="s">
        <v>17708</v>
      </c>
      <c r="G2528" s="110" t="s">
        <v>6248</v>
      </c>
      <c r="H2528" s="110" t="s">
        <v>17709</v>
      </c>
      <c r="I2528" s="110" t="s">
        <v>17710</v>
      </c>
    </row>
    <row r="2529" spans="1:9" ht="50.4" x14ac:dyDescent="0.3">
      <c r="A2529" s="109" t="s">
        <v>17711</v>
      </c>
      <c r="B2529" s="109" t="s">
        <v>16843</v>
      </c>
      <c r="C2529" s="109" t="s">
        <v>16843</v>
      </c>
      <c r="D2529" s="109" t="s">
        <v>17712</v>
      </c>
      <c r="E2529" s="109" t="s">
        <v>17712</v>
      </c>
      <c r="F2529" s="109" t="s">
        <v>17713</v>
      </c>
      <c r="G2529" s="110" t="s">
        <v>6248</v>
      </c>
      <c r="H2529" s="110" t="s">
        <v>17714</v>
      </c>
      <c r="I2529" s="110" t="s">
        <v>17715</v>
      </c>
    </row>
    <row r="2530" spans="1:9" ht="50.4" x14ac:dyDescent="0.3">
      <c r="A2530" s="109" t="s">
        <v>15122</v>
      </c>
      <c r="B2530" s="109" t="s">
        <v>16843</v>
      </c>
      <c r="C2530" s="109" t="s">
        <v>16843</v>
      </c>
      <c r="D2530" s="109" t="s">
        <v>17716</v>
      </c>
      <c r="E2530" s="109" t="s">
        <v>17716</v>
      </c>
      <c r="F2530" s="109" t="s">
        <v>17717</v>
      </c>
      <c r="G2530" s="110" t="s">
        <v>6248</v>
      </c>
      <c r="H2530" s="110" t="s">
        <v>17718</v>
      </c>
      <c r="I2530" s="110" t="s">
        <v>17719</v>
      </c>
    </row>
    <row r="2531" spans="1:9" ht="63" x14ac:dyDescent="0.3">
      <c r="A2531" s="109" t="s">
        <v>17720</v>
      </c>
      <c r="B2531" s="109" t="s">
        <v>16843</v>
      </c>
      <c r="C2531" s="109" t="s">
        <v>16843</v>
      </c>
      <c r="D2531" s="109" t="s">
        <v>17721</v>
      </c>
      <c r="E2531" s="109" t="s">
        <v>17721</v>
      </c>
      <c r="F2531" s="109" t="s">
        <v>17722</v>
      </c>
      <c r="G2531" s="110" t="s">
        <v>6248</v>
      </c>
      <c r="H2531" s="110" t="s">
        <v>17723</v>
      </c>
      <c r="I2531" s="110" t="s">
        <v>17724</v>
      </c>
    </row>
    <row r="2532" spans="1:9" ht="50.4" x14ac:dyDescent="0.3">
      <c r="A2532" s="109" t="s">
        <v>17725</v>
      </c>
      <c r="B2532" s="109" t="s">
        <v>16843</v>
      </c>
      <c r="C2532" s="109" t="s">
        <v>16843</v>
      </c>
      <c r="D2532" s="109" t="s">
        <v>12579</v>
      </c>
      <c r="E2532" s="109" t="s">
        <v>12579</v>
      </c>
      <c r="F2532" s="109" t="s">
        <v>17726</v>
      </c>
      <c r="G2532" s="110" t="s">
        <v>6248</v>
      </c>
      <c r="H2532" s="110" t="s">
        <v>17727</v>
      </c>
      <c r="I2532" s="110" t="s">
        <v>17728</v>
      </c>
    </row>
    <row r="2533" spans="1:9" ht="50.4" x14ac:dyDescent="0.3">
      <c r="A2533" s="109" t="s">
        <v>17729</v>
      </c>
      <c r="B2533" s="109" t="s">
        <v>16843</v>
      </c>
      <c r="C2533" s="109" t="s">
        <v>16843</v>
      </c>
      <c r="D2533" s="109" t="s">
        <v>17730</v>
      </c>
      <c r="E2533" s="109" t="s">
        <v>17730</v>
      </c>
      <c r="F2533" s="109" t="s">
        <v>17731</v>
      </c>
      <c r="G2533" s="110" t="s">
        <v>6248</v>
      </c>
      <c r="H2533" s="110" t="s">
        <v>17732</v>
      </c>
      <c r="I2533" s="110" t="s">
        <v>17733</v>
      </c>
    </row>
    <row r="2534" spans="1:9" ht="37.799999999999997" x14ac:dyDescent="0.3">
      <c r="A2534" s="109" t="s">
        <v>17734</v>
      </c>
      <c r="B2534" s="109" t="s">
        <v>16843</v>
      </c>
      <c r="C2534" s="109" t="s">
        <v>16843</v>
      </c>
      <c r="D2534" s="109" t="s">
        <v>17735</v>
      </c>
      <c r="E2534" s="109" t="s">
        <v>17735</v>
      </c>
      <c r="F2534" s="109" t="s">
        <v>17736</v>
      </c>
      <c r="G2534" s="110" t="s">
        <v>6248</v>
      </c>
      <c r="H2534" s="110" t="s">
        <v>17737</v>
      </c>
      <c r="I2534" s="110" t="s">
        <v>17738</v>
      </c>
    </row>
    <row r="2535" spans="1:9" ht="25.2" x14ac:dyDescent="0.3">
      <c r="A2535" s="109" t="s">
        <v>17739</v>
      </c>
      <c r="B2535" s="109" t="s">
        <v>16843</v>
      </c>
      <c r="C2535" s="109" t="s">
        <v>16843</v>
      </c>
      <c r="D2535" s="109" t="s">
        <v>17740</v>
      </c>
      <c r="E2535" s="109" t="s">
        <v>17741</v>
      </c>
      <c r="F2535" s="109" t="s">
        <v>17742</v>
      </c>
      <c r="G2535" s="110" t="s">
        <v>6248</v>
      </c>
      <c r="H2535" s="110" t="s">
        <v>17743</v>
      </c>
      <c r="I2535" s="110" t="s">
        <v>17744</v>
      </c>
    </row>
    <row r="2536" spans="1:9" ht="37.799999999999997" x14ac:dyDescent="0.3">
      <c r="A2536" s="109" t="s">
        <v>17745</v>
      </c>
      <c r="B2536" s="109" t="s">
        <v>16843</v>
      </c>
      <c r="C2536" s="109" t="s">
        <v>16843</v>
      </c>
      <c r="D2536" s="109" t="s">
        <v>17746</v>
      </c>
      <c r="E2536" s="109" t="s">
        <v>17747</v>
      </c>
      <c r="F2536" s="109" t="s">
        <v>17748</v>
      </c>
      <c r="G2536" s="110" t="s">
        <v>6248</v>
      </c>
      <c r="H2536" s="110" t="s">
        <v>17749</v>
      </c>
      <c r="I2536" s="110" t="s">
        <v>17750</v>
      </c>
    </row>
    <row r="2537" spans="1:9" ht="25.2" x14ac:dyDescent="0.3">
      <c r="A2537" s="109" t="s">
        <v>17751</v>
      </c>
      <c r="B2537" s="109" t="s">
        <v>16843</v>
      </c>
      <c r="C2537" s="109" t="s">
        <v>16843</v>
      </c>
      <c r="D2537" s="109" t="s">
        <v>16566</v>
      </c>
      <c r="E2537" s="109" t="s">
        <v>16628</v>
      </c>
      <c r="F2537" s="109" t="s">
        <v>17752</v>
      </c>
      <c r="G2537" s="110" t="s">
        <v>6248</v>
      </c>
      <c r="H2537" s="110" t="s">
        <v>16630</v>
      </c>
      <c r="I2537" s="110" t="s">
        <v>17753</v>
      </c>
    </row>
    <row r="2538" spans="1:9" ht="25.2" x14ac:dyDescent="0.3">
      <c r="A2538" s="109" t="s">
        <v>17754</v>
      </c>
      <c r="B2538" s="109" t="s">
        <v>16843</v>
      </c>
      <c r="C2538" s="109" t="s">
        <v>16843</v>
      </c>
      <c r="D2538" s="109" t="s">
        <v>17755</v>
      </c>
      <c r="E2538" s="109" t="s">
        <v>17756</v>
      </c>
      <c r="F2538" s="109" t="s">
        <v>17757</v>
      </c>
      <c r="G2538" s="110" t="s">
        <v>6248</v>
      </c>
      <c r="H2538" s="110" t="s">
        <v>17758</v>
      </c>
      <c r="I2538" s="110" t="s">
        <v>17759</v>
      </c>
    </row>
    <row r="2539" spans="1:9" ht="50.4" x14ac:dyDescent="0.3">
      <c r="A2539" s="109" t="s">
        <v>17760</v>
      </c>
      <c r="B2539" s="109" t="s">
        <v>16843</v>
      </c>
      <c r="C2539" s="109" t="s">
        <v>16843</v>
      </c>
      <c r="D2539" s="109" t="s">
        <v>17761</v>
      </c>
      <c r="E2539" s="109" t="s">
        <v>17761</v>
      </c>
      <c r="F2539" s="109" t="s">
        <v>17762</v>
      </c>
      <c r="G2539" s="110" t="s">
        <v>6248</v>
      </c>
      <c r="H2539" s="110" t="s">
        <v>6716</v>
      </c>
      <c r="I2539" s="110" t="s">
        <v>17763</v>
      </c>
    </row>
    <row r="2540" spans="1:9" ht="37.799999999999997" x14ac:dyDescent="0.3">
      <c r="A2540" s="109" t="s">
        <v>17764</v>
      </c>
      <c r="B2540" s="109" t="s">
        <v>16843</v>
      </c>
      <c r="C2540" s="109" t="s">
        <v>16843</v>
      </c>
      <c r="D2540" s="109" t="s">
        <v>17765</v>
      </c>
      <c r="E2540" s="109" t="s">
        <v>17766</v>
      </c>
      <c r="F2540" s="109" t="s">
        <v>17767</v>
      </c>
      <c r="G2540" s="110" t="s">
        <v>6248</v>
      </c>
      <c r="H2540" s="110" t="s">
        <v>17768</v>
      </c>
      <c r="I2540" s="110" t="s">
        <v>17769</v>
      </c>
    </row>
    <row r="2541" spans="1:9" ht="50.4" x14ac:dyDescent="0.3">
      <c r="A2541" s="109" t="s">
        <v>17770</v>
      </c>
      <c r="B2541" s="109" t="s">
        <v>16843</v>
      </c>
      <c r="C2541" s="109" t="s">
        <v>16843</v>
      </c>
      <c r="D2541" s="109" t="s">
        <v>17771</v>
      </c>
      <c r="E2541" s="109" t="s">
        <v>17771</v>
      </c>
      <c r="F2541" s="109" t="s">
        <v>17772</v>
      </c>
      <c r="G2541" s="110" t="s">
        <v>6248</v>
      </c>
      <c r="H2541" s="110" t="s">
        <v>17773</v>
      </c>
      <c r="I2541" s="110" t="s">
        <v>17774</v>
      </c>
    </row>
    <row r="2542" spans="1:9" ht="50.4" x14ac:dyDescent="0.3">
      <c r="A2542" s="109" t="s">
        <v>17775</v>
      </c>
      <c r="B2542" s="109" t="s">
        <v>16843</v>
      </c>
      <c r="C2542" s="109" t="s">
        <v>16843</v>
      </c>
      <c r="D2542" s="109" t="s">
        <v>17776</v>
      </c>
      <c r="E2542" s="109" t="s">
        <v>17776</v>
      </c>
      <c r="F2542" s="109" t="s">
        <v>17777</v>
      </c>
      <c r="G2542" s="110" t="s">
        <v>6248</v>
      </c>
      <c r="H2542" s="110" t="s">
        <v>17778</v>
      </c>
      <c r="I2542" s="110" t="s">
        <v>17779</v>
      </c>
    </row>
    <row r="2543" spans="1:9" ht="50.4" x14ac:dyDescent="0.3">
      <c r="A2543" s="109" t="s">
        <v>17780</v>
      </c>
      <c r="B2543" s="109" t="s">
        <v>16843</v>
      </c>
      <c r="C2543" s="109" t="s">
        <v>16843</v>
      </c>
      <c r="D2543" s="109" t="s">
        <v>17781</v>
      </c>
      <c r="E2543" s="109" t="s">
        <v>17781</v>
      </c>
      <c r="F2543" s="109" t="s">
        <v>17782</v>
      </c>
      <c r="G2543" s="110" t="s">
        <v>6248</v>
      </c>
      <c r="H2543" s="110" t="s">
        <v>17783</v>
      </c>
      <c r="I2543" s="110" t="s">
        <v>17784</v>
      </c>
    </row>
    <row r="2544" spans="1:9" ht="50.4" x14ac:dyDescent="0.3">
      <c r="A2544" s="109" t="s">
        <v>17785</v>
      </c>
      <c r="B2544" s="109" t="s">
        <v>16843</v>
      </c>
      <c r="C2544" s="109" t="s">
        <v>16843</v>
      </c>
      <c r="D2544" s="109" t="s">
        <v>17786</v>
      </c>
      <c r="E2544" s="109" t="s">
        <v>17786</v>
      </c>
      <c r="F2544" s="109" t="s">
        <v>17787</v>
      </c>
      <c r="G2544" s="110" t="s">
        <v>6248</v>
      </c>
      <c r="H2544" s="110" t="s">
        <v>7566</v>
      </c>
      <c r="I2544" s="110" t="s">
        <v>17788</v>
      </c>
    </row>
    <row r="2545" spans="1:9" ht="37.799999999999997" x14ac:dyDescent="0.3">
      <c r="A2545" s="109" t="s">
        <v>17789</v>
      </c>
      <c r="B2545" s="109" t="s">
        <v>16843</v>
      </c>
      <c r="C2545" s="109" t="s">
        <v>16843</v>
      </c>
      <c r="D2545" s="109" t="s">
        <v>17790</v>
      </c>
      <c r="E2545" s="109" t="s">
        <v>17791</v>
      </c>
      <c r="F2545" s="109" t="s">
        <v>17792</v>
      </c>
      <c r="G2545" s="110" t="s">
        <v>6248</v>
      </c>
      <c r="H2545" s="110" t="s">
        <v>17793</v>
      </c>
      <c r="I2545" s="110" t="s">
        <v>17794</v>
      </c>
    </row>
    <row r="2546" spans="1:9" ht="50.4" x14ac:dyDescent="0.3">
      <c r="A2546" s="109" t="s">
        <v>17795</v>
      </c>
      <c r="B2546" s="109" t="s">
        <v>16843</v>
      </c>
      <c r="C2546" s="109" t="s">
        <v>16843</v>
      </c>
      <c r="D2546" s="109" t="s">
        <v>17796</v>
      </c>
      <c r="E2546" s="109" t="s">
        <v>17796</v>
      </c>
      <c r="F2546" s="109" t="s">
        <v>17797</v>
      </c>
      <c r="G2546" s="110" t="s">
        <v>6248</v>
      </c>
      <c r="H2546" s="110" t="s">
        <v>17798</v>
      </c>
      <c r="I2546" s="110" t="s">
        <v>17799</v>
      </c>
    </row>
    <row r="2547" spans="1:9" ht="50.4" x14ac:dyDescent="0.3">
      <c r="A2547" s="109" t="s">
        <v>17800</v>
      </c>
      <c r="B2547" s="109" t="s">
        <v>16843</v>
      </c>
      <c r="C2547" s="109" t="s">
        <v>16843</v>
      </c>
      <c r="D2547" s="109" t="s">
        <v>17801</v>
      </c>
      <c r="E2547" s="109" t="s">
        <v>17801</v>
      </c>
      <c r="F2547" s="109" t="s">
        <v>17802</v>
      </c>
      <c r="G2547" s="110" t="s">
        <v>6248</v>
      </c>
      <c r="H2547" s="110" t="s">
        <v>17803</v>
      </c>
      <c r="I2547" s="110" t="s">
        <v>17804</v>
      </c>
    </row>
    <row r="2548" spans="1:9" ht="37.799999999999997" x14ac:dyDescent="0.3">
      <c r="A2548" s="109" t="s">
        <v>17805</v>
      </c>
      <c r="B2548" s="109" t="s">
        <v>16843</v>
      </c>
      <c r="C2548" s="109" t="s">
        <v>16843</v>
      </c>
      <c r="D2548" s="109" t="s">
        <v>6977</v>
      </c>
      <c r="E2548" s="109" t="s">
        <v>17806</v>
      </c>
      <c r="F2548" s="109" t="s">
        <v>17807</v>
      </c>
      <c r="G2548" s="110" t="s">
        <v>6248</v>
      </c>
      <c r="H2548" s="110" t="s">
        <v>17808</v>
      </c>
      <c r="I2548" s="110" t="s">
        <v>17809</v>
      </c>
    </row>
    <row r="2549" spans="1:9" ht="37.799999999999997" x14ac:dyDescent="0.3">
      <c r="A2549" s="109" t="s">
        <v>17810</v>
      </c>
      <c r="B2549" s="109" t="s">
        <v>16843</v>
      </c>
      <c r="C2549" s="109" t="s">
        <v>16843</v>
      </c>
      <c r="D2549" s="109" t="s">
        <v>12374</v>
      </c>
      <c r="E2549" s="109" t="s">
        <v>11268</v>
      </c>
      <c r="F2549" s="109" t="s">
        <v>17811</v>
      </c>
      <c r="G2549" s="110" t="s">
        <v>6248</v>
      </c>
      <c r="H2549" s="110" t="s">
        <v>6883</v>
      </c>
      <c r="I2549" s="110" t="s">
        <v>17812</v>
      </c>
    </row>
    <row r="2550" spans="1:9" ht="50.4" x14ac:dyDescent="0.3">
      <c r="A2550" s="109" t="s">
        <v>17813</v>
      </c>
      <c r="B2550" s="109" t="s">
        <v>16843</v>
      </c>
      <c r="C2550" s="109" t="s">
        <v>16843</v>
      </c>
      <c r="D2550" s="109" t="s">
        <v>17814</v>
      </c>
      <c r="E2550" s="109" t="s">
        <v>17814</v>
      </c>
      <c r="F2550" s="109" t="s">
        <v>17815</v>
      </c>
      <c r="G2550" s="110" t="s">
        <v>6248</v>
      </c>
      <c r="H2550" s="110" t="s">
        <v>17816</v>
      </c>
      <c r="I2550" s="110" t="s">
        <v>17817</v>
      </c>
    </row>
    <row r="2551" spans="1:9" ht="50.4" x14ac:dyDescent="0.3">
      <c r="A2551" s="109" t="s">
        <v>17818</v>
      </c>
      <c r="B2551" s="109" t="s">
        <v>16843</v>
      </c>
      <c r="C2551" s="109" t="s">
        <v>16843</v>
      </c>
      <c r="D2551" s="109" t="s">
        <v>17819</v>
      </c>
      <c r="E2551" s="109" t="s">
        <v>17819</v>
      </c>
      <c r="F2551" s="109" t="s">
        <v>17820</v>
      </c>
      <c r="G2551" s="110" t="s">
        <v>6248</v>
      </c>
      <c r="H2551" s="110" t="s">
        <v>6689</v>
      </c>
      <c r="I2551" s="110" t="s">
        <v>17821</v>
      </c>
    </row>
    <row r="2552" spans="1:9" ht="37.799999999999997" x14ac:dyDescent="0.3">
      <c r="A2552" s="109" t="s">
        <v>17822</v>
      </c>
      <c r="B2552" s="109" t="s">
        <v>16843</v>
      </c>
      <c r="C2552" s="109" t="s">
        <v>16843</v>
      </c>
      <c r="D2552" s="109" t="s">
        <v>17790</v>
      </c>
      <c r="E2552" s="109" t="s">
        <v>17790</v>
      </c>
      <c r="F2552" s="109" t="s">
        <v>17823</v>
      </c>
      <c r="G2552" s="110" t="s">
        <v>6248</v>
      </c>
      <c r="H2552" s="110" t="s">
        <v>17824</v>
      </c>
      <c r="I2552" s="110" t="s">
        <v>17825</v>
      </c>
    </row>
    <row r="2553" spans="1:9" ht="37.799999999999997" x14ac:dyDescent="0.3">
      <c r="A2553" s="109" t="s">
        <v>17826</v>
      </c>
      <c r="B2553" s="109" t="s">
        <v>16843</v>
      </c>
      <c r="C2553" s="109" t="s">
        <v>16843</v>
      </c>
      <c r="D2553" s="109" t="s">
        <v>17827</v>
      </c>
      <c r="E2553" s="109" t="s">
        <v>17827</v>
      </c>
      <c r="F2553" s="109" t="s">
        <v>17828</v>
      </c>
      <c r="G2553" s="110" t="s">
        <v>6248</v>
      </c>
      <c r="H2553" s="110" t="s">
        <v>17829</v>
      </c>
      <c r="I2553" s="110" t="s">
        <v>17830</v>
      </c>
    </row>
    <row r="2554" spans="1:9" ht="37.799999999999997" x14ac:dyDescent="0.3">
      <c r="A2554" s="109" t="s">
        <v>17831</v>
      </c>
      <c r="B2554" s="109" t="s">
        <v>16843</v>
      </c>
      <c r="C2554" s="109" t="s">
        <v>16843</v>
      </c>
      <c r="D2554" s="109" t="s">
        <v>17832</v>
      </c>
      <c r="E2554" s="109" t="s">
        <v>5558</v>
      </c>
      <c r="F2554" s="109" t="s">
        <v>17833</v>
      </c>
      <c r="G2554" s="110" t="s">
        <v>6248</v>
      </c>
      <c r="H2554" s="110" t="s">
        <v>17834</v>
      </c>
      <c r="I2554" s="110" t="s">
        <v>17835</v>
      </c>
    </row>
    <row r="2555" spans="1:9" ht="25.2" x14ac:dyDescent="0.3">
      <c r="A2555" s="109" t="s">
        <v>17836</v>
      </c>
      <c r="B2555" s="109" t="s">
        <v>16843</v>
      </c>
      <c r="C2555" s="109" t="s">
        <v>16843</v>
      </c>
      <c r="D2555" s="109" t="s">
        <v>17837</v>
      </c>
      <c r="E2555" s="109" t="s">
        <v>5558</v>
      </c>
      <c r="F2555" s="109" t="s">
        <v>17838</v>
      </c>
      <c r="G2555" s="110" t="s">
        <v>6248</v>
      </c>
      <c r="H2555" s="110" t="s">
        <v>17839</v>
      </c>
      <c r="I2555" s="110" t="s">
        <v>17840</v>
      </c>
    </row>
    <row r="2556" spans="1:9" ht="25.2" x14ac:dyDescent="0.3">
      <c r="A2556" s="109" t="s">
        <v>17841</v>
      </c>
      <c r="B2556" s="109" t="s">
        <v>16843</v>
      </c>
      <c r="C2556" s="109" t="s">
        <v>16843</v>
      </c>
      <c r="D2556" s="109" t="s">
        <v>17842</v>
      </c>
      <c r="E2556" s="109" t="s">
        <v>5558</v>
      </c>
      <c r="F2556" s="109" t="s">
        <v>17843</v>
      </c>
      <c r="G2556" s="110" t="s">
        <v>6248</v>
      </c>
      <c r="H2556" s="110" t="s">
        <v>17844</v>
      </c>
      <c r="I2556" s="110" t="s">
        <v>17845</v>
      </c>
    </row>
    <row r="2557" spans="1:9" ht="25.2" x14ac:dyDescent="0.3">
      <c r="A2557" s="109" t="s">
        <v>17846</v>
      </c>
      <c r="B2557" s="109" t="s">
        <v>16843</v>
      </c>
      <c r="C2557" s="109" t="s">
        <v>16843</v>
      </c>
      <c r="D2557" s="109" t="s">
        <v>17847</v>
      </c>
      <c r="E2557" s="109" t="s">
        <v>5558</v>
      </c>
      <c r="F2557" s="109" t="s">
        <v>17848</v>
      </c>
      <c r="G2557" s="110" t="s">
        <v>6248</v>
      </c>
      <c r="H2557" s="110" t="s">
        <v>17849</v>
      </c>
      <c r="I2557" s="110" t="s">
        <v>17850</v>
      </c>
    </row>
    <row r="2558" spans="1:9" ht="37.799999999999997" x14ac:dyDescent="0.3">
      <c r="A2558" s="109" t="s">
        <v>17851</v>
      </c>
      <c r="B2558" s="109" t="s">
        <v>16843</v>
      </c>
      <c r="C2558" s="109" t="s">
        <v>16843</v>
      </c>
      <c r="D2558" s="109" t="s">
        <v>17852</v>
      </c>
      <c r="E2558" s="109" t="s">
        <v>5558</v>
      </c>
      <c r="F2558" s="109" t="s">
        <v>17853</v>
      </c>
      <c r="G2558" s="110" t="s">
        <v>6248</v>
      </c>
      <c r="H2558" s="110" t="s">
        <v>8185</v>
      </c>
      <c r="I2558" s="110" t="s">
        <v>17854</v>
      </c>
    </row>
    <row r="2559" spans="1:9" ht="25.2" x14ac:dyDescent="0.3">
      <c r="A2559" s="109" t="s">
        <v>17855</v>
      </c>
      <c r="B2559" s="109" t="s">
        <v>16843</v>
      </c>
      <c r="C2559" s="109" t="s">
        <v>16843</v>
      </c>
      <c r="D2559" s="109" t="s">
        <v>5569</v>
      </c>
      <c r="E2559" s="109" t="s">
        <v>5558</v>
      </c>
      <c r="F2559" s="109" t="s">
        <v>2258</v>
      </c>
      <c r="G2559" s="110" t="s">
        <v>6248</v>
      </c>
      <c r="H2559" s="110" t="s">
        <v>17856</v>
      </c>
      <c r="I2559" s="110" t="s">
        <v>17857</v>
      </c>
    </row>
    <row r="2560" spans="1:9" ht="25.2" x14ac:dyDescent="0.3">
      <c r="A2560" s="109" t="s">
        <v>17858</v>
      </c>
      <c r="B2560" s="109" t="s">
        <v>16843</v>
      </c>
      <c r="C2560" s="109" t="s">
        <v>16843</v>
      </c>
      <c r="D2560" s="109" t="s">
        <v>2157</v>
      </c>
      <c r="E2560" s="109" t="s">
        <v>5558</v>
      </c>
      <c r="F2560" s="109" t="s">
        <v>17859</v>
      </c>
      <c r="G2560" s="110" t="s">
        <v>6248</v>
      </c>
      <c r="H2560" s="110" t="s">
        <v>6753</v>
      </c>
      <c r="I2560" s="110" t="s">
        <v>17860</v>
      </c>
    </row>
    <row r="2561" spans="1:9" ht="25.2" x14ac:dyDescent="0.3">
      <c r="A2561" s="109" t="s">
        <v>17861</v>
      </c>
      <c r="B2561" s="109" t="s">
        <v>16843</v>
      </c>
      <c r="C2561" s="109" t="s">
        <v>16843</v>
      </c>
      <c r="D2561" s="109" t="s">
        <v>17862</v>
      </c>
      <c r="E2561" s="109" t="s">
        <v>5558</v>
      </c>
      <c r="F2561" s="109" t="s">
        <v>17863</v>
      </c>
      <c r="G2561" s="110" t="s">
        <v>6248</v>
      </c>
      <c r="H2561" s="110" t="s">
        <v>6689</v>
      </c>
      <c r="I2561" s="110" t="s">
        <v>17864</v>
      </c>
    </row>
    <row r="2562" spans="1:9" ht="25.2" x14ac:dyDescent="0.3">
      <c r="A2562" s="109" t="s">
        <v>17865</v>
      </c>
      <c r="B2562" s="109" t="s">
        <v>16843</v>
      </c>
      <c r="C2562" s="109" t="s">
        <v>16843</v>
      </c>
      <c r="D2562" s="109" t="s">
        <v>17866</v>
      </c>
      <c r="E2562" s="109" t="s">
        <v>5558</v>
      </c>
      <c r="F2562" s="109" t="s">
        <v>17867</v>
      </c>
      <c r="G2562" s="110" t="s">
        <v>6248</v>
      </c>
      <c r="H2562" s="110" t="s">
        <v>17868</v>
      </c>
      <c r="I2562" s="110" t="s">
        <v>17869</v>
      </c>
    </row>
    <row r="2563" spans="1:9" ht="25.2" x14ac:dyDescent="0.3">
      <c r="A2563" s="109" t="s">
        <v>17870</v>
      </c>
      <c r="B2563" s="109" t="s">
        <v>16843</v>
      </c>
      <c r="C2563" s="109" t="s">
        <v>16843</v>
      </c>
      <c r="D2563" s="109" t="s">
        <v>17871</v>
      </c>
      <c r="E2563" s="109" t="s">
        <v>5558</v>
      </c>
      <c r="F2563" s="109" t="s">
        <v>17872</v>
      </c>
      <c r="G2563" s="110" t="s">
        <v>6248</v>
      </c>
      <c r="H2563" s="110" t="s">
        <v>17868</v>
      </c>
      <c r="I2563" s="110" t="s">
        <v>17873</v>
      </c>
    </row>
    <row r="2564" spans="1:9" ht="25.2" x14ac:dyDescent="0.3">
      <c r="A2564" s="109" t="s">
        <v>17874</v>
      </c>
      <c r="B2564" s="109" t="s">
        <v>16843</v>
      </c>
      <c r="C2564" s="109" t="s">
        <v>16843</v>
      </c>
      <c r="D2564" s="109" t="s">
        <v>5569</v>
      </c>
      <c r="E2564" s="109" t="s">
        <v>5558</v>
      </c>
      <c r="F2564" s="109" t="s">
        <v>2258</v>
      </c>
      <c r="G2564" s="110" t="s">
        <v>6248</v>
      </c>
      <c r="H2564" s="110" t="s">
        <v>9199</v>
      </c>
      <c r="I2564" s="110" t="s">
        <v>17875</v>
      </c>
    </row>
    <row r="2565" spans="1:9" ht="25.2" x14ac:dyDescent="0.3">
      <c r="A2565" s="109" t="s">
        <v>17876</v>
      </c>
      <c r="B2565" s="109" t="s">
        <v>16843</v>
      </c>
      <c r="C2565" s="109" t="s">
        <v>16843</v>
      </c>
      <c r="D2565" s="109" t="s">
        <v>17877</v>
      </c>
      <c r="E2565" s="109" t="s">
        <v>5558</v>
      </c>
      <c r="F2565" s="109" t="s">
        <v>17878</v>
      </c>
      <c r="G2565" s="110" t="s">
        <v>6248</v>
      </c>
      <c r="H2565" s="110" t="s">
        <v>17879</v>
      </c>
      <c r="I2565" s="110" t="s">
        <v>17880</v>
      </c>
    </row>
    <row r="2566" spans="1:9" ht="37.799999999999997" x14ac:dyDescent="0.3">
      <c r="A2566" s="109" t="s">
        <v>17881</v>
      </c>
      <c r="B2566" s="109" t="s">
        <v>16843</v>
      </c>
      <c r="C2566" s="109" t="s">
        <v>16843</v>
      </c>
      <c r="D2566" s="109" t="s">
        <v>17882</v>
      </c>
      <c r="E2566" s="109" t="s">
        <v>5558</v>
      </c>
      <c r="F2566" s="109" t="s">
        <v>17883</v>
      </c>
      <c r="G2566" s="110" t="s">
        <v>6248</v>
      </c>
      <c r="H2566" s="110" t="s">
        <v>17884</v>
      </c>
      <c r="I2566" s="110" t="s">
        <v>17885</v>
      </c>
    </row>
    <row r="2567" spans="1:9" ht="25.2" x14ac:dyDescent="0.3">
      <c r="A2567" s="109" t="s">
        <v>17886</v>
      </c>
      <c r="B2567" s="109" t="s">
        <v>16843</v>
      </c>
      <c r="C2567" s="109" t="s">
        <v>16843</v>
      </c>
      <c r="D2567" s="109" t="s">
        <v>5569</v>
      </c>
      <c r="E2567" s="109" t="s">
        <v>5558</v>
      </c>
      <c r="F2567" s="109" t="s">
        <v>2258</v>
      </c>
      <c r="G2567" s="110" t="s">
        <v>6248</v>
      </c>
      <c r="H2567" s="110" t="s">
        <v>17887</v>
      </c>
      <c r="I2567" s="110" t="s">
        <v>17888</v>
      </c>
    </row>
    <row r="2568" spans="1:9" ht="25.2" x14ac:dyDescent="0.3">
      <c r="A2568" s="109" t="s">
        <v>17889</v>
      </c>
      <c r="B2568" s="109" t="s">
        <v>16843</v>
      </c>
      <c r="C2568" s="109" t="s">
        <v>16843</v>
      </c>
      <c r="D2568" s="109" t="s">
        <v>17890</v>
      </c>
      <c r="E2568" s="109" t="s">
        <v>5558</v>
      </c>
      <c r="F2568" s="109" t="s">
        <v>17891</v>
      </c>
      <c r="G2568" s="110" t="s">
        <v>6248</v>
      </c>
      <c r="H2568" s="110" t="s">
        <v>12485</v>
      </c>
      <c r="I2568" s="110" t="s">
        <v>17892</v>
      </c>
    </row>
    <row r="2569" spans="1:9" ht="37.799999999999997" x14ac:dyDescent="0.3">
      <c r="A2569" s="109" t="s">
        <v>16464</v>
      </c>
      <c r="B2569" s="109" t="s">
        <v>16843</v>
      </c>
      <c r="C2569" s="109" t="s">
        <v>16843</v>
      </c>
      <c r="D2569" s="109" t="s">
        <v>17893</v>
      </c>
      <c r="E2569" s="109" t="s">
        <v>5558</v>
      </c>
      <c r="F2569" s="109" t="s">
        <v>17894</v>
      </c>
      <c r="G2569" s="110" t="s">
        <v>6248</v>
      </c>
      <c r="H2569" s="110" t="s">
        <v>17895</v>
      </c>
      <c r="I2569" s="110" t="s">
        <v>17896</v>
      </c>
    </row>
    <row r="2570" spans="1:9" ht="25.2" x14ac:dyDescent="0.3">
      <c r="A2570" s="109" t="s">
        <v>17897</v>
      </c>
      <c r="B2570" s="109" t="s">
        <v>16843</v>
      </c>
      <c r="C2570" s="109" t="s">
        <v>16843</v>
      </c>
      <c r="D2570" s="109" t="s">
        <v>2156</v>
      </c>
      <c r="E2570" s="109" t="s">
        <v>5558</v>
      </c>
      <c r="F2570" s="109" t="s">
        <v>17898</v>
      </c>
      <c r="G2570" s="110" t="s">
        <v>6248</v>
      </c>
      <c r="H2570" s="110" t="s">
        <v>15598</v>
      </c>
      <c r="I2570" s="110" t="s">
        <v>17899</v>
      </c>
    </row>
    <row r="2571" spans="1:9" ht="25.2" x14ac:dyDescent="0.3">
      <c r="A2571" s="109" t="s">
        <v>17900</v>
      </c>
      <c r="B2571" s="109" t="s">
        <v>16843</v>
      </c>
      <c r="C2571" s="109" t="s">
        <v>16843</v>
      </c>
      <c r="D2571" s="109" t="s">
        <v>17901</v>
      </c>
      <c r="E2571" s="109" t="s">
        <v>5558</v>
      </c>
      <c r="F2571" s="109" t="s">
        <v>17902</v>
      </c>
      <c r="G2571" s="110" t="s">
        <v>6248</v>
      </c>
      <c r="H2571" s="110" t="s">
        <v>15961</v>
      </c>
      <c r="I2571" s="110" t="s">
        <v>17903</v>
      </c>
    </row>
    <row r="2572" spans="1:9" ht="25.2" x14ac:dyDescent="0.3">
      <c r="A2572" s="109" t="s">
        <v>17904</v>
      </c>
      <c r="B2572" s="109" t="s">
        <v>16843</v>
      </c>
      <c r="C2572" s="109" t="s">
        <v>16843</v>
      </c>
      <c r="D2572" s="109" t="s">
        <v>17905</v>
      </c>
      <c r="E2572" s="109" t="s">
        <v>5558</v>
      </c>
      <c r="F2572" s="109" t="s">
        <v>17906</v>
      </c>
      <c r="G2572" s="110" t="s">
        <v>6248</v>
      </c>
      <c r="H2572" s="110" t="s">
        <v>17907</v>
      </c>
      <c r="I2572" s="110" t="s">
        <v>17908</v>
      </c>
    </row>
    <row r="2573" spans="1:9" ht="25.2" x14ac:dyDescent="0.3">
      <c r="A2573" s="109" t="s">
        <v>17909</v>
      </c>
      <c r="B2573" s="109" t="s">
        <v>16843</v>
      </c>
      <c r="C2573" s="109" t="s">
        <v>16843</v>
      </c>
      <c r="D2573" s="109" t="s">
        <v>17910</v>
      </c>
      <c r="E2573" s="109" t="s">
        <v>5558</v>
      </c>
      <c r="F2573" s="109" t="s">
        <v>17911</v>
      </c>
      <c r="G2573" s="110" t="s">
        <v>6248</v>
      </c>
      <c r="H2573" s="110" t="s">
        <v>17912</v>
      </c>
      <c r="I2573" s="110" t="s">
        <v>17913</v>
      </c>
    </row>
    <row r="2574" spans="1:9" ht="25.2" x14ac:dyDescent="0.3">
      <c r="A2574" s="109" t="s">
        <v>17914</v>
      </c>
      <c r="B2574" s="109" t="s">
        <v>16843</v>
      </c>
      <c r="C2574" s="109" t="s">
        <v>16843</v>
      </c>
      <c r="D2574" s="109" t="s">
        <v>17915</v>
      </c>
      <c r="E2574" s="109" t="s">
        <v>5558</v>
      </c>
      <c r="F2574" s="109" t="s">
        <v>17916</v>
      </c>
      <c r="G2574" s="110" t="s">
        <v>6248</v>
      </c>
      <c r="H2574" s="110" t="s">
        <v>17917</v>
      </c>
      <c r="I2574" s="110" t="s">
        <v>17918</v>
      </c>
    </row>
    <row r="2575" spans="1:9" ht="25.2" x14ac:dyDescent="0.3">
      <c r="A2575" s="109" t="s">
        <v>17919</v>
      </c>
      <c r="B2575" s="109" t="s">
        <v>16843</v>
      </c>
      <c r="C2575" s="109" t="s">
        <v>16843</v>
      </c>
      <c r="D2575" s="109" t="s">
        <v>17920</v>
      </c>
      <c r="E2575" s="109" t="s">
        <v>17921</v>
      </c>
      <c r="F2575" s="109" t="s">
        <v>17922</v>
      </c>
      <c r="G2575" s="110" t="s">
        <v>6248</v>
      </c>
      <c r="H2575" s="110" t="s">
        <v>17923</v>
      </c>
      <c r="I2575" s="110" t="s">
        <v>17924</v>
      </c>
    </row>
    <row r="2576" spans="1:9" ht="25.2" x14ac:dyDescent="0.3">
      <c r="A2576" s="109" t="s">
        <v>17925</v>
      </c>
      <c r="B2576" s="109" t="s">
        <v>16843</v>
      </c>
      <c r="C2576" s="109" t="s">
        <v>16843</v>
      </c>
      <c r="D2576" s="109" t="s">
        <v>17926</v>
      </c>
      <c r="E2576" s="109" t="s">
        <v>5558</v>
      </c>
      <c r="F2576" s="109" t="s">
        <v>17927</v>
      </c>
      <c r="G2576" s="110" t="s">
        <v>6248</v>
      </c>
      <c r="H2576" s="110" t="s">
        <v>17928</v>
      </c>
      <c r="I2576" s="110" t="s">
        <v>17929</v>
      </c>
    </row>
    <row r="2577" spans="1:9" ht="25.2" x14ac:dyDescent="0.3">
      <c r="A2577" s="109" t="s">
        <v>17930</v>
      </c>
      <c r="B2577" s="109" t="s">
        <v>16843</v>
      </c>
      <c r="C2577" s="109" t="s">
        <v>16843</v>
      </c>
      <c r="D2577" s="109" t="s">
        <v>17931</v>
      </c>
      <c r="E2577" s="109" t="s">
        <v>5558</v>
      </c>
      <c r="F2577" s="109" t="s">
        <v>17932</v>
      </c>
      <c r="G2577" s="110" t="s">
        <v>6248</v>
      </c>
      <c r="H2577" s="110" t="s">
        <v>17933</v>
      </c>
      <c r="I2577" s="110" t="s">
        <v>17934</v>
      </c>
    </row>
    <row r="2578" spans="1:9" ht="25.2" x14ac:dyDescent="0.3">
      <c r="A2578" s="109" t="s">
        <v>17935</v>
      </c>
      <c r="B2578" s="109" t="s">
        <v>16843</v>
      </c>
      <c r="C2578" s="109" t="s">
        <v>16843</v>
      </c>
      <c r="D2578" s="109" t="s">
        <v>17936</v>
      </c>
      <c r="E2578" s="109" t="s">
        <v>5558</v>
      </c>
      <c r="F2578" s="109" t="s">
        <v>17937</v>
      </c>
      <c r="G2578" s="110" t="s">
        <v>6248</v>
      </c>
      <c r="H2578" s="110" t="s">
        <v>17938</v>
      </c>
      <c r="I2578" s="110" t="s">
        <v>17939</v>
      </c>
    </row>
    <row r="2579" spans="1:9" ht="25.2" x14ac:dyDescent="0.3">
      <c r="A2579" s="109" t="s">
        <v>17940</v>
      </c>
      <c r="B2579" s="109" t="s">
        <v>16843</v>
      </c>
      <c r="C2579" s="109" t="s">
        <v>16843</v>
      </c>
      <c r="D2579" s="109" t="s">
        <v>17941</v>
      </c>
      <c r="E2579" s="109" t="s">
        <v>17942</v>
      </c>
      <c r="F2579" s="109" t="s">
        <v>17943</v>
      </c>
      <c r="G2579" s="110" t="s">
        <v>6248</v>
      </c>
      <c r="H2579" s="110" t="s">
        <v>17944</v>
      </c>
      <c r="I2579" s="110" t="s">
        <v>17945</v>
      </c>
    </row>
    <row r="2580" spans="1:9" ht="25.2" x14ac:dyDescent="0.3">
      <c r="A2580" s="109" t="s">
        <v>17946</v>
      </c>
      <c r="B2580" s="109" t="s">
        <v>17947</v>
      </c>
      <c r="C2580" s="109" t="s">
        <v>16843</v>
      </c>
      <c r="D2580" s="109" t="s">
        <v>17948</v>
      </c>
      <c r="E2580" s="109" t="s">
        <v>5558</v>
      </c>
      <c r="F2580" s="109" t="s">
        <v>17949</v>
      </c>
      <c r="G2580" s="110" t="s">
        <v>6248</v>
      </c>
      <c r="H2580" s="110" t="s">
        <v>7062</v>
      </c>
      <c r="I2580" s="110" t="s">
        <v>17950</v>
      </c>
    </row>
    <row r="2581" spans="1:9" ht="37.799999999999997" x14ac:dyDescent="0.3">
      <c r="A2581" s="109" t="s">
        <v>17951</v>
      </c>
      <c r="B2581" s="109" t="s">
        <v>17947</v>
      </c>
      <c r="C2581" s="109" t="s">
        <v>17947</v>
      </c>
      <c r="D2581" s="109" t="s">
        <v>2472</v>
      </c>
      <c r="E2581" s="109" t="s">
        <v>5558</v>
      </c>
      <c r="F2581" s="109" t="s">
        <v>17952</v>
      </c>
      <c r="G2581" s="110" t="s">
        <v>6248</v>
      </c>
      <c r="H2581" s="110" t="s">
        <v>17953</v>
      </c>
      <c r="I2581" s="110" t="s">
        <v>17954</v>
      </c>
    </row>
    <row r="2582" spans="1:9" ht="25.2" x14ac:dyDescent="0.3">
      <c r="A2582" s="109" t="s">
        <v>17955</v>
      </c>
      <c r="B2582" s="109" t="s">
        <v>17947</v>
      </c>
      <c r="C2582" s="109" t="s">
        <v>17947</v>
      </c>
      <c r="D2582" s="109" t="s">
        <v>17956</v>
      </c>
      <c r="E2582" s="109" t="s">
        <v>17957</v>
      </c>
      <c r="F2582" s="109" t="s">
        <v>17958</v>
      </c>
      <c r="G2582" s="110" t="s">
        <v>6248</v>
      </c>
      <c r="H2582" s="110" t="s">
        <v>17959</v>
      </c>
      <c r="I2582" s="110" t="s">
        <v>17960</v>
      </c>
    </row>
    <row r="2583" spans="1:9" ht="25.2" x14ac:dyDescent="0.3">
      <c r="A2583" s="109" t="s">
        <v>17961</v>
      </c>
      <c r="B2583" s="109" t="s">
        <v>17947</v>
      </c>
      <c r="C2583" s="109" t="s">
        <v>17947</v>
      </c>
      <c r="D2583" s="109" t="s">
        <v>17962</v>
      </c>
      <c r="E2583" s="109" t="s">
        <v>5558</v>
      </c>
      <c r="F2583" s="109" t="s">
        <v>17963</v>
      </c>
      <c r="G2583" s="110" t="s">
        <v>6248</v>
      </c>
      <c r="H2583" s="110" t="s">
        <v>12066</v>
      </c>
      <c r="I2583" s="110" t="s">
        <v>17964</v>
      </c>
    </row>
    <row r="2584" spans="1:9" ht="25.2" x14ac:dyDescent="0.3">
      <c r="A2584" s="109" t="s">
        <v>17965</v>
      </c>
      <c r="B2584" s="109" t="s">
        <v>17947</v>
      </c>
      <c r="C2584" s="109" t="s">
        <v>17947</v>
      </c>
      <c r="D2584" s="109" t="s">
        <v>5569</v>
      </c>
      <c r="E2584" s="109" t="s">
        <v>5558</v>
      </c>
      <c r="F2584" s="109" t="s">
        <v>2258</v>
      </c>
      <c r="G2584" s="110" t="s">
        <v>6248</v>
      </c>
      <c r="H2584" s="110" t="s">
        <v>17966</v>
      </c>
      <c r="I2584" s="110" t="s">
        <v>17967</v>
      </c>
    </row>
    <row r="2585" spans="1:9" ht="37.799999999999997" x14ac:dyDescent="0.3">
      <c r="A2585" s="109" t="s">
        <v>17968</v>
      </c>
      <c r="B2585" s="109" t="s">
        <v>17947</v>
      </c>
      <c r="C2585" s="109" t="s">
        <v>17947</v>
      </c>
      <c r="D2585" s="109" t="s">
        <v>17969</v>
      </c>
      <c r="E2585" s="109" t="s">
        <v>5558</v>
      </c>
      <c r="F2585" s="109" t="s">
        <v>17970</v>
      </c>
      <c r="G2585" s="110" t="s">
        <v>6248</v>
      </c>
      <c r="H2585" s="110" t="s">
        <v>17971</v>
      </c>
      <c r="I2585" s="110" t="s">
        <v>17972</v>
      </c>
    </row>
    <row r="2586" spans="1:9" ht="25.2" x14ac:dyDescent="0.3">
      <c r="A2586" s="109" t="s">
        <v>17973</v>
      </c>
      <c r="B2586" s="109" t="s">
        <v>17947</v>
      </c>
      <c r="C2586" s="109" t="s">
        <v>17947</v>
      </c>
      <c r="D2586" s="109" t="s">
        <v>17974</v>
      </c>
      <c r="E2586" s="109" t="s">
        <v>17515</v>
      </c>
      <c r="F2586" s="109" t="s">
        <v>7181</v>
      </c>
      <c r="G2586" s="110" t="s">
        <v>17975</v>
      </c>
      <c r="H2586" s="110" t="s">
        <v>6248</v>
      </c>
      <c r="I2586" s="110" t="s">
        <v>17976</v>
      </c>
    </row>
    <row r="2587" spans="1:9" ht="25.2" x14ac:dyDescent="0.3">
      <c r="A2587" s="109" t="s">
        <v>17977</v>
      </c>
      <c r="B2587" s="109" t="s">
        <v>17947</v>
      </c>
      <c r="C2587" s="109" t="s">
        <v>17947</v>
      </c>
      <c r="D2587" s="109" t="s">
        <v>17978</v>
      </c>
      <c r="E2587" s="109" t="s">
        <v>5558</v>
      </c>
      <c r="F2587" s="109" t="s">
        <v>17979</v>
      </c>
      <c r="G2587" s="110" t="s">
        <v>6248</v>
      </c>
      <c r="H2587" s="110" t="s">
        <v>17980</v>
      </c>
      <c r="I2587" s="110" t="s">
        <v>17981</v>
      </c>
    </row>
    <row r="2588" spans="1:9" ht="25.2" x14ac:dyDescent="0.3">
      <c r="A2588" s="109" t="s">
        <v>17982</v>
      </c>
      <c r="B2588" s="109" t="s">
        <v>17947</v>
      </c>
      <c r="C2588" s="109" t="s">
        <v>17947</v>
      </c>
      <c r="D2588" s="109" t="s">
        <v>17983</v>
      </c>
      <c r="E2588" s="109" t="s">
        <v>5558</v>
      </c>
      <c r="F2588" s="109" t="s">
        <v>17984</v>
      </c>
      <c r="G2588" s="110" t="s">
        <v>6248</v>
      </c>
      <c r="H2588" s="110" t="s">
        <v>6393</v>
      </c>
      <c r="I2588" s="110" t="s">
        <v>17985</v>
      </c>
    </row>
    <row r="2589" spans="1:9" ht="37.799999999999997" x14ac:dyDescent="0.3">
      <c r="A2589" s="109" t="s">
        <v>17986</v>
      </c>
      <c r="B2589" s="109" t="s">
        <v>17947</v>
      </c>
      <c r="C2589" s="109" t="s">
        <v>17947</v>
      </c>
      <c r="D2589" s="109" t="s">
        <v>17987</v>
      </c>
      <c r="E2589" s="109" t="s">
        <v>5558</v>
      </c>
      <c r="F2589" s="109" t="s">
        <v>17988</v>
      </c>
      <c r="G2589" s="110" t="s">
        <v>6248</v>
      </c>
      <c r="H2589" s="110" t="s">
        <v>8905</v>
      </c>
      <c r="I2589" s="110" t="s">
        <v>17989</v>
      </c>
    </row>
    <row r="2590" spans="1:9" ht="25.2" x14ac:dyDescent="0.3">
      <c r="A2590" s="109" t="s">
        <v>17990</v>
      </c>
      <c r="B2590" s="109" t="s">
        <v>17947</v>
      </c>
      <c r="C2590" s="109" t="s">
        <v>17947</v>
      </c>
      <c r="D2590" s="109" t="s">
        <v>17991</v>
      </c>
      <c r="E2590" s="109" t="s">
        <v>5558</v>
      </c>
      <c r="F2590" s="109" t="s">
        <v>17992</v>
      </c>
      <c r="G2590" s="110" t="s">
        <v>6248</v>
      </c>
      <c r="H2590" s="110" t="s">
        <v>17993</v>
      </c>
      <c r="I2590" s="110" t="s">
        <v>17994</v>
      </c>
    </row>
    <row r="2591" spans="1:9" ht="25.2" x14ac:dyDescent="0.3">
      <c r="A2591" s="109" t="s">
        <v>17995</v>
      </c>
      <c r="B2591" s="109" t="s">
        <v>17947</v>
      </c>
      <c r="C2591" s="109" t="s">
        <v>17947</v>
      </c>
      <c r="D2591" s="109" t="s">
        <v>17996</v>
      </c>
      <c r="E2591" s="109" t="s">
        <v>5558</v>
      </c>
      <c r="F2591" s="109" t="s">
        <v>17997</v>
      </c>
      <c r="G2591" s="110" t="s">
        <v>6248</v>
      </c>
      <c r="H2591" s="110" t="s">
        <v>17998</v>
      </c>
      <c r="I2591" s="110" t="s">
        <v>17999</v>
      </c>
    </row>
    <row r="2592" spans="1:9" ht="37.799999999999997" x14ac:dyDescent="0.3">
      <c r="A2592" s="109" t="s">
        <v>18000</v>
      </c>
      <c r="B2592" s="109" t="s">
        <v>17947</v>
      </c>
      <c r="C2592" s="109" t="s">
        <v>17947</v>
      </c>
      <c r="D2592" s="109" t="s">
        <v>18001</v>
      </c>
      <c r="E2592" s="109" t="s">
        <v>5558</v>
      </c>
      <c r="F2592" s="109" t="s">
        <v>18002</v>
      </c>
      <c r="G2592" s="110" t="s">
        <v>6248</v>
      </c>
      <c r="H2592" s="110" t="s">
        <v>6507</v>
      </c>
      <c r="I2592" s="110" t="s">
        <v>18003</v>
      </c>
    </row>
    <row r="2593" spans="1:9" ht="25.2" x14ac:dyDescent="0.3">
      <c r="A2593" s="109" t="s">
        <v>18004</v>
      </c>
      <c r="B2593" s="109" t="s">
        <v>17947</v>
      </c>
      <c r="C2593" s="109" t="s">
        <v>17947</v>
      </c>
      <c r="D2593" s="109" t="s">
        <v>18005</v>
      </c>
      <c r="E2593" s="109" t="s">
        <v>5558</v>
      </c>
      <c r="F2593" s="109" t="s">
        <v>18006</v>
      </c>
      <c r="G2593" s="110" t="s">
        <v>6248</v>
      </c>
      <c r="H2593" s="110" t="s">
        <v>13499</v>
      </c>
      <c r="I2593" s="110" t="s">
        <v>18007</v>
      </c>
    </row>
    <row r="2594" spans="1:9" ht="37.799999999999997" x14ac:dyDescent="0.3">
      <c r="A2594" s="109" t="s">
        <v>18008</v>
      </c>
      <c r="B2594" s="109" t="s">
        <v>17947</v>
      </c>
      <c r="C2594" s="109" t="s">
        <v>17947</v>
      </c>
      <c r="D2594" s="109" t="s">
        <v>18009</v>
      </c>
      <c r="E2594" s="109" t="s">
        <v>5558</v>
      </c>
      <c r="F2594" s="109" t="s">
        <v>18010</v>
      </c>
      <c r="G2594" s="110" t="s">
        <v>6248</v>
      </c>
      <c r="H2594" s="110" t="s">
        <v>6474</v>
      </c>
      <c r="I2594" s="110" t="s">
        <v>18011</v>
      </c>
    </row>
    <row r="2595" spans="1:9" ht="25.2" x14ac:dyDescent="0.3">
      <c r="A2595" s="109" t="s">
        <v>18012</v>
      </c>
      <c r="B2595" s="109" t="s">
        <v>17947</v>
      </c>
      <c r="C2595" s="109" t="s">
        <v>17947</v>
      </c>
      <c r="D2595" s="109" t="s">
        <v>18013</v>
      </c>
      <c r="E2595" s="109" t="s">
        <v>5558</v>
      </c>
      <c r="F2595" s="109" t="s">
        <v>18014</v>
      </c>
      <c r="G2595" s="110" t="s">
        <v>6248</v>
      </c>
      <c r="H2595" s="110" t="s">
        <v>6438</v>
      </c>
      <c r="I2595" s="110" t="s">
        <v>18015</v>
      </c>
    </row>
    <row r="2596" spans="1:9" ht="37.799999999999997" x14ac:dyDescent="0.3">
      <c r="A2596" s="109" t="s">
        <v>18016</v>
      </c>
      <c r="B2596" s="109" t="s">
        <v>17947</v>
      </c>
      <c r="C2596" s="109" t="s">
        <v>17947</v>
      </c>
      <c r="D2596" s="109" t="s">
        <v>18017</v>
      </c>
      <c r="E2596" s="109" t="s">
        <v>5558</v>
      </c>
      <c r="F2596" s="109" t="s">
        <v>18018</v>
      </c>
      <c r="G2596" s="110" t="s">
        <v>6248</v>
      </c>
      <c r="H2596" s="110" t="s">
        <v>18019</v>
      </c>
      <c r="I2596" s="110" t="s">
        <v>18020</v>
      </c>
    </row>
    <row r="2597" spans="1:9" ht="37.799999999999997" x14ac:dyDescent="0.3">
      <c r="A2597" s="109" t="s">
        <v>18021</v>
      </c>
      <c r="B2597" s="109" t="s">
        <v>17947</v>
      </c>
      <c r="C2597" s="109" t="s">
        <v>17947</v>
      </c>
      <c r="D2597" s="109" t="s">
        <v>18022</v>
      </c>
      <c r="E2597" s="109" t="s">
        <v>5558</v>
      </c>
      <c r="F2597" s="109" t="s">
        <v>18023</v>
      </c>
      <c r="G2597" s="110" t="s">
        <v>6248</v>
      </c>
      <c r="H2597" s="110" t="s">
        <v>9128</v>
      </c>
      <c r="I2597" s="110" t="s">
        <v>18024</v>
      </c>
    </row>
    <row r="2598" spans="1:9" ht="25.2" x14ac:dyDescent="0.3">
      <c r="A2598" s="109" t="s">
        <v>18025</v>
      </c>
      <c r="B2598" s="109" t="s">
        <v>17947</v>
      </c>
      <c r="C2598" s="109" t="s">
        <v>17947</v>
      </c>
      <c r="D2598" s="109" t="s">
        <v>18026</v>
      </c>
      <c r="E2598" s="109" t="s">
        <v>5558</v>
      </c>
      <c r="F2598" s="109" t="s">
        <v>18027</v>
      </c>
      <c r="G2598" s="110" t="s">
        <v>6248</v>
      </c>
      <c r="H2598" s="110" t="s">
        <v>7592</v>
      </c>
      <c r="I2598" s="110" t="s">
        <v>18028</v>
      </c>
    </row>
    <row r="2599" spans="1:9" ht="25.2" x14ac:dyDescent="0.3">
      <c r="A2599" s="109" t="s">
        <v>18029</v>
      </c>
      <c r="B2599" s="109" t="s">
        <v>17947</v>
      </c>
      <c r="C2599" s="109" t="s">
        <v>17947</v>
      </c>
      <c r="D2599" s="109" t="s">
        <v>18030</v>
      </c>
      <c r="E2599" s="109" t="s">
        <v>5558</v>
      </c>
      <c r="F2599" s="109" t="s">
        <v>18031</v>
      </c>
      <c r="G2599" s="110" t="s">
        <v>6248</v>
      </c>
      <c r="H2599" s="110" t="s">
        <v>9005</v>
      </c>
      <c r="I2599" s="110" t="s">
        <v>18032</v>
      </c>
    </row>
    <row r="2600" spans="1:9" ht="25.2" x14ac:dyDescent="0.3">
      <c r="A2600" s="109" t="s">
        <v>18033</v>
      </c>
      <c r="B2600" s="109" t="s">
        <v>17947</v>
      </c>
      <c r="C2600" s="109" t="s">
        <v>17947</v>
      </c>
      <c r="D2600" s="109" t="s">
        <v>18034</v>
      </c>
      <c r="E2600" s="109" t="s">
        <v>5558</v>
      </c>
      <c r="F2600" s="109" t="s">
        <v>18035</v>
      </c>
      <c r="G2600" s="110" t="s">
        <v>6248</v>
      </c>
      <c r="H2600" s="110" t="s">
        <v>6433</v>
      </c>
      <c r="I2600" s="110" t="s">
        <v>18036</v>
      </c>
    </row>
    <row r="2601" spans="1:9" ht="25.2" x14ac:dyDescent="0.3">
      <c r="A2601" s="109" t="s">
        <v>18037</v>
      </c>
      <c r="B2601" s="109" t="s">
        <v>17947</v>
      </c>
      <c r="C2601" s="109" t="s">
        <v>17947</v>
      </c>
      <c r="D2601" s="109" t="s">
        <v>18038</v>
      </c>
      <c r="E2601" s="109" t="s">
        <v>5558</v>
      </c>
      <c r="F2601" s="109" t="s">
        <v>18039</v>
      </c>
      <c r="G2601" s="110" t="s">
        <v>6248</v>
      </c>
      <c r="H2601" s="110" t="s">
        <v>6639</v>
      </c>
      <c r="I2601" s="110" t="s">
        <v>18040</v>
      </c>
    </row>
    <row r="2602" spans="1:9" ht="37.799999999999997" x14ac:dyDescent="0.3">
      <c r="A2602" s="109" t="s">
        <v>18041</v>
      </c>
      <c r="B2602" s="109" t="s">
        <v>17947</v>
      </c>
      <c r="C2602" s="109" t="s">
        <v>17947</v>
      </c>
      <c r="D2602" s="109" t="s">
        <v>18042</v>
      </c>
      <c r="E2602" s="109" t="s">
        <v>5558</v>
      </c>
      <c r="F2602" s="109" t="s">
        <v>18043</v>
      </c>
      <c r="G2602" s="110" t="s">
        <v>6248</v>
      </c>
      <c r="H2602" s="110" t="s">
        <v>7830</v>
      </c>
      <c r="I2602" s="110" t="s">
        <v>18044</v>
      </c>
    </row>
    <row r="2603" spans="1:9" ht="25.2" x14ac:dyDescent="0.3">
      <c r="A2603" s="109" t="s">
        <v>18045</v>
      </c>
      <c r="B2603" s="109" t="s">
        <v>17947</v>
      </c>
      <c r="C2603" s="109" t="s">
        <v>17947</v>
      </c>
      <c r="D2603" s="109" t="s">
        <v>18046</v>
      </c>
      <c r="E2603" s="109" t="s">
        <v>5558</v>
      </c>
      <c r="F2603" s="109" t="s">
        <v>18047</v>
      </c>
      <c r="G2603" s="110" t="s">
        <v>6248</v>
      </c>
      <c r="H2603" s="110" t="s">
        <v>6403</v>
      </c>
      <c r="I2603" s="110" t="s">
        <v>18048</v>
      </c>
    </row>
    <row r="2604" spans="1:9" ht="37.799999999999997" x14ac:dyDescent="0.3">
      <c r="A2604" s="109" t="s">
        <v>18049</v>
      </c>
      <c r="B2604" s="109" t="s">
        <v>17947</v>
      </c>
      <c r="C2604" s="109" t="s">
        <v>17947</v>
      </c>
      <c r="D2604" s="109" t="s">
        <v>18050</v>
      </c>
      <c r="E2604" s="109" t="s">
        <v>5558</v>
      </c>
      <c r="F2604" s="109" t="s">
        <v>18051</v>
      </c>
      <c r="G2604" s="110" t="s">
        <v>6248</v>
      </c>
      <c r="H2604" s="110" t="s">
        <v>6460</v>
      </c>
      <c r="I2604" s="110" t="s">
        <v>18052</v>
      </c>
    </row>
    <row r="2605" spans="1:9" ht="37.799999999999997" x14ac:dyDescent="0.3">
      <c r="A2605" s="109" t="s">
        <v>18053</v>
      </c>
      <c r="B2605" s="109" t="s">
        <v>17947</v>
      </c>
      <c r="C2605" s="109" t="s">
        <v>17947</v>
      </c>
      <c r="D2605" s="109" t="s">
        <v>18054</v>
      </c>
      <c r="E2605" s="109" t="s">
        <v>5558</v>
      </c>
      <c r="F2605" s="109" t="s">
        <v>18055</v>
      </c>
      <c r="G2605" s="110" t="s">
        <v>6248</v>
      </c>
      <c r="H2605" s="110" t="s">
        <v>15795</v>
      </c>
      <c r="I2605" s="110" t="s">
        <v>18056</v>
      </c>
    </row>
    <row r="2606" spans="1:9" ht="25.2" x14ac:dyDescent="0.3">
      <c r="A2606" s="109" t="s">
        <v>18057</v>
      </c>
      <c r="B2606" s="109" t="s">
        <v>17947</v>
      </c>
      <c r="C2606" s="109" t="s">
        <v>17947</v>
      </c>
      <c r="D2606" s="109" t="s">
        <v>18058</v>
      </c>
      <c r="E2606" s="109" t="s">
        <v>5558</v>
      </c>
      <c r="F2606" s="109" t="s">
        <v>18059</v>
      </c>
      <c r="G2606" s="110" t="s">
        <v>6248</v>
      </c>
      <c r="H2606" s="110" t="s">
        <v>7592</v>
      </c>
      <c r="I2606" s="110" t="s">
        <v>18060</v>
      </c>
    </row>
    <row r="2607" spans="1:9" ht="25.2" x14ac:dyDescent="0.3">
      <c r="A2607" s="109" t="s">
        <v>18061</v>
      </c>
      <c r="B2607" s="109" t="s">
        <v>17947</v>
      </c>
      <c r="C2607" s="109" t="s">
        <v>17947</v>
      </c>
      <c r="D2607" s="109" t="s">
        <v>18062</v>
      </c>
      <c r="E2607" s="109" t="s">
        <v>5558</v>
      </c>
      <c r="F2607" s="109" t="s">
        <v>18063</v>
      </c>
      <c r="G2607" s="110" t="s">
        <v>6248</v>
      </c>
      <c r="H2607" s="110" t="s">
        <v>9158</v>
      </c>
      <c r="I2607" s="110" t="s">
        <v>18064</v>
      </c>
    </row>
    <row r="2608" spans="1:9" ht="25.2" x14ac:dyDescent="0.3">
      <c r="A2608" s="109" t="s">
        <v>18065</v>
      </c>
      <c r="B2608" s="109" t="s">
        <v>17947</v>
      </c>
      <c r="C2608" s="109" t="s">
        <v>17947</v>
      </c>
      <c r="D2608" s="109" t="s">
        <v>18066</v>
      </c>
      <c r="E2608" s="109" t="s">
        <v>5558</v>
      </c>
      <c r="F2608" s="109" t="s">
        <v>18067</v>
      </c>
      <c r="G2608" s="110" t="s">
        <v>6248</v>
      </c>
      <c r="H2608" s="110" t="s">
        <v>8905</v>
      </c>
      <c r="I2608" s="110" t="s">
        <v>18068</v>
      </c>
    </row>
    <row r="2609" spans="1:9" ht="25.2" x14ac:dyDescent="0.3">
      <c r="A2609" s="109" t="s">
        <v>18069</v>
      </c>
      <c r="B2609" s="109" t="s">
        <v>17947</v>
      </c>
      <c r="C2609" s="109" t="s">
        <v>17947</v>
      </c>
      <c r="D2609" s="109" t="s">
        <v>18070</v>
      </c>
      <c r="E2609" s="109" t="s">
        <v>5558</v>
      </c>
      <c r="F2609" s="109" t="s">
        <v>18071</v>
      </c>
      <c r="G2609" s="110" t="s">
        <v>6248</v>
      </c>
      <c r="H2609" s="110" t="s">
        <v>6689</v>
      </c>
      <c r="I2609" s="110" t="s">
        <v>18072</v>
      </c>
    </row>
    <row r="2610" spans="1:9" ht="37.799999999999997" x14ac:dyDescent="0.3">
      <c r="A2610" s="109" t="s">
        <v>18073</v>
      </c>
      <c r="B2610" s="109" t="s">
        <v>17947</v>
      </c>
      <c r="C2610" s="109" t="s">
        <v>17947</v>
      </c>
      <c r="D2610" s="109" t="s">
        <v>18074</v>
      </c>
      <c r="E2610" s="109" t="s">
        <v>5558</v>
      </c>
      <c r="F2610" s="109" t="s">
        <v>18075</v>
      </c>
      <c r="G2610" s="110" t="s">
        <v>6248</v>
      </c>
      <c r="H2610" s="110" t="s">
        <v>6474</v>
      </c>
      <c r="I2610" s="110" t="s">
        <v>18076</v>
      </c>
    </row>
    <row r="2611" spans="1:9" ht="37.799999999999997" x14ac:dyDescent="0.3">
      <c r="A2611" s="109" t="s">
        <v>18077</v>
      </c>
      <c r="B2611" s="109" t="s">
        <v>17947</v>
      </c>
      <c r="C2611" s="109" t="s">
        <v>17947</v>
      </c>
      <c r="D2611" s="109" t="s">
        <v>18078</v>
      </c>
      <c r="E2611" s="109" t="s">
        <v>5558</v>
      </c>
      <c r="F2611" s="109" t="s">
        <v>18079</v>
      </c>
      <c r="G2611" s="110" t="s">
        <v>6248</v>
      </c>
      <c r="H2611" s="110" t="s">
        <v>18080</v>
      </c>
      <c r="I2611" s="110" t="s">
        <v>18081</v>
      </c>
    </row>
    <row r="2612" spans="1:9" ht="25.2" x14ac:dyDescent="0.3">
      <c r="A2612" s="109" t="s">
        <v>18082</v>
      </c>
      <c r="B2612" s="109" t="s">
        <v>17947</v>
      </c>
      <c r="C2612" s="109" t="s">
        <v>17947</v>
      </c>
      <c r="D2612" s="109" t="s">
        <v>18083</v>
      </c>
      <c r="E2612" s="109" t="s">
        <v>5558</v>
      </c>
      <c r="F2612" s="109" t="s">
        <v>18084</v>
      </c>
      <c r="G2612" s="110" t="s">
        <v>6248</v>
      </c>
      <c r="H2612" s="110" t="s">
        <v>6639</v>
      </c>
      <c r="I2612" s="110" t="s">
        <v>18085</v>
      </c>
    </row>
    <row r="2613" spans="1:9" ht="37.799999999999997" x14ac:dyDescent="0.3">
      <c r="A2613" s="109" t="s">
        <v>18086</v>
      </c>
      <c r="B2613" s="109" t="s">
        <v>17947</v>
      </c>
      <c r="C2613" s="109" t="s">
        <v>17947</v>
      </c>
      <c r="D2613" s="109" t="s">
        <v>18087</v>
      </c>
      <c r="E2613" s="109" t="s">
        <v>5558</v>
      </c>
      <c r="F2613" s="109" t="s">
        <v>18088</v>
      </c>
      <c r="G2613" s="110" t="s">
        <v>6248</v>
      </c>
      <c r="H2613" s="110" t="s">
        <v>7592</v>
      </c>
      <c r="I2613" s="110" t="s">
        <v>18089</v>
      </c>
    </row>
    <row r="2614" spans="1:9" ht="25.2" x14ac:dyDescent="0.3">
      <c r="A2614" s="109" t="s">
        <v>18090</v>
      </c>
      <c r="B2614" s="109" t="s">
        <v>17947</v>
      </c>
      <c r="C2614" s="109" t="s">
        <v>17947</v>
      </c>
      <c r="D2614" s="109" t="s">
        <v>18091</v>
      </c>
      <c r="E2614" s="109" t="s">
        <v>5558</v>
      </c>
      <c r="F2614" s="109" t="s">
        <v>18092</v>
      </c>
      <c r="G2614" s="110" t="s">
        <v>6248</v>
      </c>
      <c r="H2614" s="110" t="s">
        <v>8984</v>
      </c>
      <c r="I2614" s="110" t="s">
        <v>18093</v>
      </c>
    </row>
    <row r="2615" spans="1:9" ht="25.2" x14ac:dyDescent="0.3">
      <c r="A2615" s="109" t="s">
        <v>18094</v>
      </c>
      <c r="B2615" s="109" t="s">
        <v>17947</v>
      </c>
      <c r="C2615" s="109" t="s">
        <v>17947</v>
      </c>
      <c r="D2615" s="109" t="s">
        <v>18095</v>
      </c>
      <c r="E2615" s="109" t="s">
        <v>5558</v>
      </c>
      <c r="F2615" s="109" t="s">
        <v>18096</v>
      </c>
      <c r="G2615" s="110" t="s">
        <v>6248</v>
      </c>
      <c r="H2615" s="110" t="s">
        <v>12935</v>
      </c>
      <c r="I2615" s="110" t="s">
        <v>18097</v>
      </c>
    </row>
    <row r="2616" spans="1:9" ht="25.2" x14ac:dyDescent="0.3">
      <c r="A2616" s="109" t="s">
        <v>18098</v>
      </c>
      <c r="B2616" s="109" t="s">
        <v>17947</v>
      </c>
      <c r="C2616" s="109" t="s">
        <v>17947</v>
      </c>
      <c r="D2616" s="109" t="s">
        <v>18099</v>
      </c>
      <c r="E2616" s="109" t="s">
        <v>5558</v>
      </c>
      <c r="F2616" s="109" t="s">
        <v>18100</v>
      </c>
      <c r="G2616" s="110" t="s">
        <v>6248</v>
      </c>
      <c r="H2616" s="110" t="s">
        <v>9128</v>
      </c>
      <c r="I2616" s="110" t="s">
        <v>18101</v>
      </c>
    </row>
    <row r="2617" spans="1:9" ht="25.2" x14ac:dyDescent="0.3">
      <c r="A2617" s="109" t="s">
        <v>18102</v>
      </c>
      <c r="B2617" s="109" t="s">
        <v>17947</v>
      </c>
      <c r="C2617" s="109" t="s">
        <v>17947</v>
      </c>
      <c r="D2617" s="109" t="s">
        <v>18103</v>
      </c>
      <c r="E2617" s="109" t="s">
        <v>5558</v>
      </c>
      <c r="F2617" s="109" t="s">
        <v>18104</v>
      </c>
      <c r="G2617" s="110" t="s">
        <v>6248</v>
      </c>
      <c r="H2617" s="110" t="s">
        <v>6689</v>
      </c>
      <c r="I2617" s="110" t="s">
        <v>18105</v>
      </c>
    </row>
    <row r="2618" spans="1:9" ht="25.2" x14ac:dyDescent="0.3">
      <c r="A2618" s="109" t="s">
        <v>18106</v>
      </c>
      <c r="B2618" s="109" t="s">
        <v>17947</v>
      </c>
      <c r="C2618" s="109" t="s">
        <v>17947</v>
      </c>
      <c r="D2618" s="109" t="s">
        <v>18107</v>
      </c>
      <c r="E2618" s="109" t="s">
        <v>5558</v>
      </c>
      <c r="F2618" s="109" t="s">
        <v>18108</v>
      </c>
      <c r="G2618" s="110" t="s">
        <v>6248</v>
      </c>
      <c r="H2618" s="110" t="s">
        <v>7830</v>
      </c>
      <c r="I2618" s="110" t="s">
        <v>18109</v>
      </c>
    </row>
    <row r="2619" spans="1:9" ht="37.799999999999997" x14ac:dyDescent="0.3">
      <c r="A2619" s="109" t="s">
        <v>18110</v>
      </c>
      <c r="B2619" s="109" t="s">
        <v>17947</v>
      </c>
      <c r="C2619" s="109" t="s">
        <v>17947</v>
      </c>
      <c r="D2619" s="109" t="s">
        <v>18111</v>
      </c>
      <c r="E2619" s="109" t="s">
        <v>5558</v>
      </c>
      <c r="F2619" s="109" t="s">
        <v>18112</v>
      </c>
      <c r="G2619" s="110" t="s">
        <v>6248</v>
      </c>
      <c r="H2619" s="110" t="s">
        <v>18113</v>
      </c>
      <c r="I2619" s="110" t="s">
        <v>18114</v>
      </c>
    </row>
    <row r="2620" spans="1:9" ht="37.799999999999997" x14ac:dyDescent="0.3">
      <c r="A2620" s="109" t="s">
        <v>18115</v>
      </c>
      <c r="B2620" s="109" t="s">
        <v>17947</v>
      </c>
      <c r="C2620" s="109" t="s">
        <v>17947</v>
      </c>
      <c r="D2620" s="109" t="s">
        <v>18116</v>
      </c>
      <c r="E2620" s="109" t="s">
        <v>5558</v>
      </c>
      <c r="F2620" s="109" t="s">
        <v>18117</v>
      </c>
      <c r="G2620" s="110" t="s">
        <v>6248</v>
      </c>
      <c r="H2620" s="110" t="s">
        <v>18118</v>
      </c>
      <c r="I2620" s="110" t="s">
        <v>18119</v>
      </c>
    </row>
    <row r="2621" spans="1:9" ht="25.2" x14ac:dyDescent="0.3">
      <c r="A2621" s="109" t="s">
        <v>18120</v>
      </c>
      <c r="B2621" s="109" t="s">
        <v>17947</v>
      </c>
      <c r="C2621" s="109" t="s">
        <v>17947</v>
      </c>
      <c r="D2621" s="109" t="s">
        <v>18121</v>
      </c>
      <c r="E2621" s="109" t="s">
        <v>5558</v>
      </c>
      <c r="F2621" s="109" t="s">
        <v>18122</v>
      </c>
      <c r="G2621" s="110" t="s">
        <v>6248</v>
      </c>
      <c r="H2621" s="110" t="s">
        <v>7592</v>
      </c>
      <c r="I2621" s="110" t="s">
        <v>18123</v>
      </c>
    </row>
    <row r="2622" spans="1:9" ht="25.2" x14ac:dyDescent="0.3">
      <c r="A2622" s="109" t="s">
        <v>18124</v>
      </c>
      <c r="B2622" s="109" t="s">
        <v>17947</v>
      </c>
      <c r="C2622" s="109" t="s">
        <v>17947</v>
      </c>
      <c r="D2622" s="109" t="s">
        <v>18125</v>
      </c>
      <c r="E2622" s="109" t="s">
        <v>5558</v>
      </c>
      <c r="F2622" s="109" t="s">
        <v>18126</v>
      </c>
      <c r="G2622" s="110" t="s">
        <v>6248</v>
      </c>
      <c r="H2622" s="110" t="s">
        <v>6570</v>
      </c>
      <c r="I2622" s="110" t="s">
        <v>18127</v>
      </c>
    </row>
    <row r="2623" spans="1:9" ht="25.2" x14ac:dyDescent="0.3">
      <c r="A2623" s="109" t="s">
        <v>18128</v>
      </c>
      <c r="B2623" s="109" t="s">
        <v>17947</v>
      </c>
      <c r="C2623" s="109" t="s">
        <v>17947</v>
      </c>
      <c r="D2623" s="109" t="s">
        <v>18129</v>
      </c>
      <c r="E2623" s="109" t="s">
        <v>5558</v>
      </c>
      <c r="F2623" s="109" t="s">
        <v>18130</v>
      </c>
      <c r="G2623" s="110" t="s">
        <v>6248</v>
      </c>
      <c r="H2623" s="110" t="s">
        <v>6433</v>
      </c>
      <c r="I2623" s="110" t="s">
        <v>18131</v>
      </c>
    </row>
    <row r="2624" spans="1:9" ht="25.2" x14ac:dyDescent="0.3">
      <c r="A2624" s="109" t="s">
        <v>18132</v>
      </c>
      <c r="B2624" s="109" t="s">
        <v>17947</v>
      </c>
      <c r="C2624" s="109" t="s">
        <v>17947</v>
      </c>
      <c r="D2624" s="109" t="s">
        <v>18133</v>
      </c>
      <c r="E2624" s="109" t="s">
        <v>5558</v>
      </c>
      <c r="F2624" s="109" t="s">
        <v>18134</v>
      </c>
      <c r="G2624" s="110" t="s">
        <v>6248</v>
      </c>
      <c r="H2624" s="110" t="s">
        <v>6606</v>
      </c>
      <c r="I2624" s="110" t="s">
        <v>18135</v>
      </c>
    </row>
    <row r="2625" spans="1:9" ht="25.2" x14ac:dyDescent="0.3">
      <c r="A2625" s="109" t="s">
        <v>18136</v>
      </c>
      <c r="B2625" s="109" t="s">
        <v>17947</v>
      </c>
      <c r="C2625" s="109" t="s">
        <v>17947</v>
      </c>
      <c r="D2625" s="109" t="s">
        <v>18137</v>
      </c>
      <c r="E2625" s="109" t="s">
        <v>5558</v>
      </c>
      <c r="F2625" s="109" t="s">
        <v>18138</v>
      </c>
      <c r="G2625" s="110" t="s">
        <v>6248</v>
      </c>
      <c r="H2625" s="110" t="s">
        <v>6689</v>
      </c>
      <c r="I2625" s="110" t="s">
        <v>18139</v>
      </c>
    </row>
    <row r="2626" spans="1:9" ht="37.799999999999997" x14ac:dyDescent="0.3">
      <c r="A2626" s="109" t="s">
        <v>18140</v>
      </c>
      <c r="B2626" s="109" t="s">
        <v>17947</v>
      </c>
      <c r="C2626" s="109" t="s">
        <v>17947</v>
      </c>
      <c r="D2626" s="109" t="s">
        <v>18141</v>
      </c>
      <c r="E2626" s="109" t="s">
        <v>5558</v>
      </c>
      <c r="F2626" s="109" t="s">
        <v>18142</v>
      </c>
      <c r="G2626" s="110" t="s">
        <v>6248</v>
      </c>
      <c r="H2626" s="110" t="s">
        <v>7817</v>
      </c>
      <c r="I2626" s="110" t="s">
        <v>18143</v>
      </c>
    </row>
    <row r="2627" spans="1:9" ht="37.799999999999997" x14ac:dyDescent="0.3">
      <c r="A2627" s="109" t="s">
        <v>18144</v>
      </c>
      <c r="B2627" s="109" t="s">
        <v>17947</v>
      </c>
      <c r="C2627" s="109" t="s">
        <v>17947</v>
      </c>
      <c r="D2627" s="109" t="s">
        <v>18145</v>
      </c>
      <c r="E2627" s="109" t="s">
        <v>5558</v>
      </c>
      <c r="F2627" s="109" t="s">
        <v>18146</v>
      </c>
      <c r="G2627" s="110" t="s">
        <v>6248</v>
      </c>
      <c r="H2627" s="110" t="s">
        <v>8905</v>
      </c>
      <c r="I2627" s="110" t="s">
        <v>18147</v>
      </c>
    </row>
    <row r="2628" spans="1:9" ht="25.2" x14ac:dyDescent="0.3">
      <c r="A2628" s="109" t="s">
        <v>18148</v>
      </c>
      <c r="B2628" s="109" t="s">
        <v>17947</v>
      </c>
      <c r="C2628" s="109" t="s">
        <v>17947</v>
      </c>
      <c r="D2628" s="109" t="s">
        <v>18149</v>
      </c>
      <c r="E2628" s="109" t="s">
        <v>5558</v>
      </c>
      <c r="F2628" s="109" t="s">
        <v>18150</v>
      </c>
      <c r="G2628" s="110" t="s">
        <v>6248</v>
      </c>
      <c r="H2628" s="110" t="s">
        <v>12891</v>
      </c>
      <c r="I2628" s="110" t="s">
        <v>18151</v>
      </c>
    </row>
    <row r="2629" spans="1:9" ht="37.799999999999997" x14ac:dyDescent="0.3">
      <c r="A2629" s="109" t="s">
        <v>18152</v>
      </c>
      <c r="B2629" s="109" t="s">
        <v>17947</v>
      </c>
      <c r="C2629" s="109" t="s">
        <v>17947</v>
      </c>
      <c r="D2629" s="109" t="s">
        <v>18153</v>
      </c>
      <c r="E2629" s="109" t="s">
        <v>5558</v>
      </c>
      <c r="F2629" s="109" t="s">
        <v>18154</v>
      </c>
      <c r="G2629" s="110" t="s">
        <v>6248</v>
      </c>
      <c r="H2629" s="110" t="s">
        <v>6341</v>
      </c>
      <c r="I2629" s="110" t="s">
        <v>18155</v>
      </c>
    </row>
    <row r="2630" spans="1:9" ht="25.2" x14ac:dyDescent="0.3">
      <c r="A2630" s="109" t="s">
        <v>18156</v>
      </c>
      <c r="B2630" s="109" t="s">
        <v>17947</v>
      </c>
      <c r="C2630" s="109" t="s">
        <v>17947</v>
      </c>
      <c r="D2630" s="109" t="s">
        <v>5569</v>
      </c>
      <c r="E2630" s="109" t="s">
        <v>5558</v>
      </c>
      <c r="F2630" s="109" t="s">
        <v>2258</v>
      </c>
      <c r="G2630" s="110" t="s">
        <v>6248</v>
      </c>
      <c r="H2630" s="110" t="s">
        <v>18157</v>
      </c>
      <c r="I2630" s="110" t="s">
        <v>18158</v>
      </c>
    </row>
    <row r="2631" spans="1:9" ht="25.2" x14ac:dyDescent="0.3">
      <c r="A2631" s="109" t="s">
        <v>18159</v>
      </c>
      <c r="B2631" s="109" t="s">
        <v>17947</v>
      </c>
      <c r="C2631" s="109" t="s">
        <v>17947</v>
      </c>
      <c r="D2631" s="109" t="s">
        <v>18160</v>
      </c>
      <c r="E2631" s="109" t="s">
        <v>5558</v>
      </c>
      <c r="F2631" s="109" t="s">
        <v>18161</v>
      </c>
      <c r="G2631" s="110" t="s">
        <v>6248</v>
      </c>
      <c r="H2631" s="110" t="s">
        <v>18162</v>
      </c>
      <c r="I2631" s="110" t="s">
        <v>18163</v>
      </c>
    </row>
    <row r="2632" spans="1:9" ht="25.2" x14ac:dyDescent="0.3">
      <c r="A2632" s="109" t="s">
        <v>18164</v>
      </c>
      <c r="B2632" s="109" t="s">
        <v>17947</v>
      </c>
      <c r="C2632" s="109" t="s">
        <v>17947</v>
      </c>
      <c r="D2632" s="109" t="s">
        <v>18165</v>
      </c>
      <c r="E2632" s="109" t="s">
        <v>5558</v>
      </c>
      <c r="F2632" s="109" t="s">
        <v>18166</v>
      </c>
      <c r="G2632" s="110" t="s">
        <v>6248</v>
      </c>
      <c r="H2632" s="110" t="s">
        <v>18167</v>
      </c>
      <c r="I2632" s="110" t="s">
        <v>18168</v>
      </c>
    </row>
    <row r="2633" spans="1:9" ht="25.2" x14ac:dyDescent="0.3">
      <c r="A2633" s="109" t="s">
        <v>18169</v>
      </c>
      <c r="B2633" s="109" t="s">
        <v>17947</v>
      </c>
      <c r="C2633" s="109" t="s">
        <v>17947</v>
      </c>
      <c r="D2633" s="109" t="s">
        <v>18170</v>
      </c>
      <c r="E2633" s="109" t="s">
        <v>5558</v>
      </c>
      <c r="F2633" s="109" t="s">
        <v>18171</v>
      </c>
      <c r="G2633" s="110" t="s">
        <v>6248</v>
      </c>
      <c r="H2633" s="110" t="s">
        <v>18172</v>
      </c>
      <c r="I2633" s="110" t="s">
        <v>18173</v>
      </c>
    </row>
    <row r="2634" spans="1:9" ht="25.2" x14ac:dyDescent="0.3">
      <c r="A2634" s="109" t="s">
        <v>18174</v>
      </c>
      <c r="B2634" s="109" t="s">
        <v>17947</v>
      </c>
      <c r="C2634" s="109" t="s">
        <v>17947</v>
      </c>
      <c r="D2634" s="109" t="s">
        <v>18175</v>
      </c>
      <c r="E2634" s="109" t="s">
        <v>5558</v>
      </c>
      <c r="F2634" s="109" t="s">
        <v>18176</v>
      </c>
      <c r="G2634" s="110" t="s">
        <v>6248</v>
      </c>
      <c r="H2634" s="110" t="s">
        <v>18177</v>
      </c>
      <c r="I2634" s="110" t="s">
        <v>18178</v>
      </c>
    </row>
    <row r="2635" spans="1:9" ht="37.799999999999997" x14ac:dyDescent="0.3">
      <c r="A2635" s="109" t="s">
        <v>18179</v>
      </c>
      <c r="B2635" s="109" t="s">
        <v>17947</v>
      </c>
      <c r="C2635" s="109" t="s">
        <v>17947</v>
      </c>
      <c r="D2635" s="109" t="s">
        <v>18180</v>
      </c>
      <c r="E2635" s="109" t="s">
        <v>5558</v>
      </c>
      <c r="F2635" s="109" t="s">
        <v>18181</v>
      </c>
      <c r="G2635" s="110" t="s">
        <v>6248</v>
      </c>
      <c r="H2635" s="110" t="s">
        <v>18182</v>
      </c>
      <c r="I2635" s="110" t="s">
        <v>18183</v>
      </c>
    </row>
    <row r="2636" spans="1:9" ht="25.2" x14ac:dyDescent="0.3">
      <c r="A2636" s="109" t="s">
        <v>18184</v>
      </c>
      <c r="B2636" s="109" t="s">
        <v>17947</v>
      </c>
      <c r="C2636" s="109" t="s">
        <v>17947</v>
      </c>
      <c r="D2636" s="109" t="s">
        <v>18185</v>
      </c>
      <c r="E2636" s="109" t="s">
        <v>5558</v>
      </c>
      <c r="F2636" s="109" t="s">
        <v>18186</v>
      </c>
      <c r="G2636" s="110" t="s">
        <v>6248</v>
      </c>
      <c r="H2636" s="110" t="s">
        <v>18187</v>
      </c>
      <c r="I2636" s="110" t="s">
        <v>18188</v>
      </c>
    </row>
    <row r="2637" spans="1:9" ht="25.2" x14ac:dyDescent="0.3">
      <c r="A2637" s="109" t="s">
        <v>18189</v>
      </c>
      <c r="B2637" s="109" t="s">
        <v>17947</v>
      </c>
      <c r="C2637" s="109" t="s">
        <v>17947</v>
      </c>
      <c r="D2637" s="109" t="s">
        <v>2266</v>
      </c>
      <c r="E2637" s="109" t="s">
        <v>5558</v>
      </c>
      <c r="F2637" s="109" t="s">
        <v>18190</v>
      </c>
      <c r="G2637" s="110" t="s">
        <v>6248</v>
      </c>
      <c r="H2637" s="110" t="s">
        <v>18191</v>
      </c>
      <c r="I2637" s="110" t="s">
        <v>18192</v>
      </c>
    </row>
    <row r="2638" spans="1:9" ht="25.2" x14ac:dyDescent="0.3">
      <c r="A2638" s="109" t="s">
        <v>18193</v>
      </c>
      <c r="B2638" s="109" t="s">
        <v>17947</v>
      </c>
      <c r="C2638" s="109" t="s">
        <v>17947</v>
      </c>
      <c r="D2638" s="109" t="s">
        <v>18194</v>
      </c>
      <c r="E2638" s="109" t="s">
        <v>18195</v>
      </c>
      <c r="F2638" s="109" t="s">
        <v>12135</v>
      </c>
      <c r="G2638" s="110" t="s">
        <v>6248</v>
      </c>
      <c r="H2638" s="110" t="s">
        <v>18196</v>
      </c>
      <c r="I2638" s="110" t="s">
        <v>18197</v>
      </c>
    </row>
    <row r="2639" spans="1:9" ht="25.2" x14ac:dyDescent="0.3">
      <c r="A2639" s="109" t="s">
        <v>18198</v>
      </c>
      <c r="B2639" s="109" t="s">
        <v>17947</v>
      </c>
      <c r="C2639" s="109" t="s">
        <v>17947</v>
      </c>
      <c r="D2639" s="109" t="s">
        <v>18199</v>
      </c>
      <c r="E2639" s="109" t="s">
        <v>5558</v>
      </c>
      <c r="F2639" s="109" t="s">
        <v>18200</v>
      </c>
      <c r="G2639" s="110" t="s">
        <v>6248</v>
      </c>
      <c r="H2639" s="110" t="s">
        <v>18201</v>
      </c>
      <c r="I2639" s="110" t="s">
        <v>18202</v>
      </c>
    </row>
    <row r="2640" spans="1:9" ht="25.2" x14ac:dyDescent="0.3">
      <c r="A2640" s="109" t="s">
        <v>18203</v>
      </c>
      <c r="B2640" s="109" t="s">
        <v>17947</v>
      </c>
      <c r="C2640" s="109" t="s">
        <v>17947</v>
      </c>
      <c r="D2640" s="109" t="s">
        <v>18204</v>
      </c>
      <c r="E2640" s="109" t="s">
        <v>5558</v>
      </c>
      <c r="F2640" s="109" t="s">
        <v>18205</v>
      </c>
      <c r="G2640" s="110" t="s">
        <v>6248</v>
      </c>
      <c r="H2640" s="110" t="s">
        <v>7592</v>
      </c>
      <c r="I2640" s="110" t="s">
        <v>18206</v>
      </c>
    </row>
    <row r="2641" spans="1:9" ht="25.2" x14ac:dyDescent="0.3">
      <c r="A2641" s="109" t="s">
        <v>18207</v>
      </c>
      <c r="B2641" s="109" t="s">
        <v>17947</v>
      </c>
      <c r="C2641" s="109" t="s">
        <v>17947</v>
      </c>
      <c r="D2641" s="109" t="s">
        <v>18208</v>
      </c>
      <c r="E2641" s="109" t="s">
        <v>5558</v>
      </c>
      <c r="F2641" s="109" t="s">
        <v>18209</v>
      </c>
      <c r="G2641" s="110" t="s">
        <v>6248</v>
      </c>
      <c r="H2641" s="110" t="s">
        <v>18210</v>
      </c>
      <c r="I2641" s="110" t="s">
        <v>18211</v>
      </c>
    </row>
    <row r="2642" spans="1:9" ht="37.799999999999997" x14ac:dyDescent="0.3">
      <c r="A2642" s="109" t="s">
        <v>18212</v>
      </c>
      <c r="B2642" s="109" t="s">
        <v>17947</v>
      </c>
      <c r="C2642" s="109" t="s">
        <v>17947</v>
      </c>
      <c r="D2642" s="109" t="s">
        <v>18213</v>
      </c>
      <c r="E2642" s="109" t="s">
        <v>5558</v>
      </c>
      <c r="F2642" s="109" t="s">
        <v>18214</v>
      </c>
      <c r="G2642" s="110" t="s">
        <v>6248</v>
      </c>
      <c r="H2642" s="110" t="s">
        <v>18215</v>
      </c>
      <c r="I2642" s="110" t="s">
        <v>18216</v>
      </c>
    </row>
    <row r="2643" spans="1:9" ht="25.2" x14ac:dyDescent="0.3">
      <c r="A2643" s="109" t="s">
        <v>18217</v>
      </c>
      <c r="B2643" s="109" t="s">
        <v>17947</v>
      </c>
      <c r="C2643" s="109" t="s">
        <v>17947</v>
      </c>
      <c r="D2643" s="109" t="s">
        <v>5569</v>
      </c>
      <c r="E2643" s="109" t="s">
        <v>5558</v>
      </c>
      <c r="F2643" s="109" t="s">
        <v>2258</v>
      </c>
      <c r="G2643" s="110" t="s">
        <v>6248</v>
      </c>
      <c r="H2643" s="110" t="s">
        <v>18218</v>
      </c>
      <c r="I2643" s="110" t="s">
        <v>18219</v>
      </c>
    </row>
    <row r="2644" spans="1:9" ht="25.2" x14ac:dyDescent="0.3">
      <c r="A2644" s="109" t="s">
        <v>18220</v>
      </c>
      <c r="B2644" s="109" t="s">
        <v>17947</v>
      </c>
      <c r="C2644" s="109" t="s">
        <v>17947</v>
      </c>
      <c r="D2644" s="109" t="s">
        <v>18221</v>
      </c>
      <c r="E2644" s="109" t="s">
        <v>5558</v>
      </c>
      <c r="F2644" s="109" t="s">
        <v>18222</v>
      </c>
      <c r="G2644" s="110" t="s">
        <v>6248</v>
      </c>
      <c r="H2644" s="110" t="s">
        <v>18223</v>
      </c>
      <c r="I2644" s="110" t="s">
        <v>18224</v>
      </c>
    </row>
    <row r="2645" spans="1:9" ht="25.2" x14ac:dyDescent="0.3">
      <c r="A2645" s="109" t="s">
        <v>18225</v>
      </c>
      <c r="B2645" s="109" t="s">
        <v>17947</v>
      </c>
      <c r="C2645" s="109" t="s">
        <v>17947</v>
      </c>
      <c r="D2645" s="109" t="s">
        <v>18226</v>
      </c>
      <c r="E2645" s="109" t="s">
        <v>7617</v>
      </c>
      <c r="F2645" s="109" t="s">
        <v>7618</v>
      </c>
      <c r="G2645" s="110" t="s">
        <v>6248</v>
      </c>
      <c r="H2645" s="110" t="s">
        <v>7221</v>
      </c>
      <c r="I2645" s="110" t="s">
        <v>18227</v>
      </c>
    </row>
    <row r="2646" spans="1:9" ht="25.2" x14ac:dyDescent="0.3">
      <c r="A2646" s="109" t="s">
        <v>18228</v>
      </c>
      <c r="B2646" s="109" t="s">
        <v>17947</v>
      </c>
      <c r="C2646" s="109" t="s">
        <v>17947</v>
      </c>
      <c r="D2646" s="109" t="s">
        <v>2725</v>
      </c>
      <c r="E2646" s="109" t="s">
        <v>18229</v>
      </c>
      <c r="F2646" s="109" t="s">
        <v>18230</v>
      </c>
      <c r="G2646" s="110" t="s">
        <v>18231</v>
      </c>
      <c r="H2646" s="110" t="s">
        <v>6248</v>
      </c>
      <c r="I2646" s="110" t="s">
        <v>18232</v>
      </c>
    </row>
    <row r="2647" spans="1:9" ht="25.2" x14ac:dyDescent="0.3">
      <c r="A2647" s="109" t="s">
        <v>18233</v>
      </c>
      <c r="B2647" s="109" t="s">
        <v>17947</v>
      </c>
      <c r="C2647" s="109" t="s">
        <v>17947</v>
      </c>
      <c r="D2647" s="109" t="s">
        <v>18234</v>
      </c>
      <c r="E2647" s="109" t="s">
        <v>5558</v>
      </c>
      <c r="F2647" s="109" t="s">
        <v>18235</v>
      </c>
      <c r="G2647" s="110" t="s">
        <v>6248</v>
      </c>
      <c r="H2647" s="110" t="s">
        <v>18236</v>
      </c>
      <c r="I2647" s="110" t="s">
        <v>18237</v>
      </c>
    </row>
    <row r="2648" spans="1:9" ht="25.2" x14ac:dyDescent="0.3">
      <c r="A2648" s="109" t="s">
        <v>18238</v>
      </c>
      <c r="B2648" s="109" t="s">
        <v>17947</v>
      </c>
      <c r="C2648" s="109" t="s">
        <v>17947</v>
      </c>
      <c r="D2648" s="109" t="s">
        <v>18239</v>
      </c>
      <c r="E2648" s="109" t="s">
        <v>18240</v>
      </c>
      <c r="F2648" s="109" t="s">
        <v>18241</v>
      </c>
      <c r="G2648" s="110" t="s">
        <v>18242</v>
      </c>
      <c r="H2648" s="110" t="s">
        <v>6248</v>
      </c>
      <c r="I2648" s="110" t="s">
        <v>18243</v>
      </c>
    </row>
    <row r="2649" spans="1:9" ht="25.2" x14ac:dyDescent="0.3">
      <c r="A2649" s="109" t="s">
        <v>18244</v>
      </c>
      <c r="B2649" s="109" t="s">
        <v>17947</v>
      </c>
      <c r="C2649" s="109" t="s">
        <v>17947</v>
      </c>
      <c r="D2649" s="109" t="s">
        <v>18245</v>
      </c>
      <c r="E2649" s="109" t="s">
        <v>5558</v>
      </c>
      <c r="F2649" s="109" t="s">
        <v>18246</v>
      </c>
      <c r="G2649" s="110" t="s">
        <v>6248</v>
      </c>
      <c r="H2649" s="110" t="s">
        <v>18247</v>
      </c>
      <c r="I2649" s="110" t="s">
        <v>18248</v>
      </c>
    </row>
    <row r="2650" spans="1:9" ht="25.2" x14ac:dyDescent="0.3">
      <c r="A2650" s="109" t="s">
        <v>18249</v>
      </c>
      <c r="B2650" s="109" t="s">
        <v>17947</v>
      </c>
      <c r="C2650" s="109" t="s">
        <v>17947</v>
      </c>
      <c r="D2650" s="109" t="s">
        <v>18250</v>
      </c>
      <c r="E2650" s="109" t="s">
        <v>5558</v>
      </c>
      <c r="F2650" s="109" t="s">
        <v>18251</v>
      </c>
      <c r="G2650" s="110" t="s">
        <v>6248</v>
      </c>
      <c r="H2650" s="110" t="s">
        <v>18252</v>
      </c>
      <c r="I2650" s="110" t="s">
        <v>18253</v>
      </c>
    </row>
    <row r="2651" spans="1:9" ht="50.4" x14ac:dyDescent="0.3">
      <c r="A2651" s="109" t="s">
        <v>18254</v>
      </c>
      <c r="B2651" s="109" t="s">
        <v>17947</v>
      </c>
      <c r="C2651" s="109" t="s">
        <v>17947</v>
      </c>
      <c r="D2651" s="109" t="s">
        <v>2311</v>
      </c>
      <c r="E2651" s="109" t="s">
        <v>5558</v>
      </c>
      <c r="F2651" s="109" t="s">
        <v>18255</v>
      </c>
      <c r="G2651" s="110" t="s">
        <v>6248</v>
      </c>
      <c r="H2651" s="110" t="s">
        <v>18256</v>
      </c>
      <c r="I2651" s="110" t="s">
        <v>18257</v>
      </c>
    </row>
    <row r="2652" spans="1:9" ht="25.2" x14ac:dyDescent="0.3">
      <c r="A2652" s="109" t="s">
        <v>18258</v>
      </c>
      <c r="B2652" s="109" t="s">
        <v>17947</v>
      </c>
      <c r="C2652" s="109" t="s">
        <v>17947</v>
      </c>
      <c r="D2652" s="109" t="s">
        <v>18259</v>
      </c>
      <c r="E2652" s="109" t="s">
        <v>18260</v>
      </c>
      <c r="F2652" s="109" t="s">
        <v>18261</v>
      </c>
      <c r="G2652" s="110" t="s">
        <v>8746</v>
      </c>
      <c r="H2652" s="110" t="s">
        <v>6248</v>
      </c>
      <c r="I2652" s="110" t="s">
        <v>18262</v>
      </c>
    </row>
    <row r="2653" spans="1:9" ht="25.2" x14ac:dyDescent="0.3">
      <c r="A2653" s="109" t="s">
        <v>18263</v>
      </c>
      <c r="B2653" s="109" t="s">
        <v>17947</v>
      </c>
      <c r="C2653" s="109" t="s">
        <v>17947</v>
      </c>
      <c r="D2653" s="109" t="s">
        <v>18264</v>
      </c>
      <c r="E2653" s="109" t="s">
        <v>18265</v>
      </c>
      <c r="F2653" s="109" t="s">
        <v>18266</v>
      </c>
      <c r="G2653" s="110" t="s">
        <v>18267</v>
      </c>
      <c r="H2653" s="110" t="s">
        <v>6248</v>
      </c>
      <c r="I2653" s="110" t="s">
        <v>18268</v>
      </c>
    </row>
    <row r="2654" spans="1:9" ht="37.799999999999997" x14ac:dyDescent="0.3">
      <c r="A2654" s="109" t="s">
        <v>18269</v>
      </c>
      <c r="B2654" s="109" t="s">
        <v>17947</v>
      </c>
      <c r="C2654" s="109" t="s">
        <v>17947</v>
      </c>
      <c r="D2654" s="109" t="s">
        <v>18270</v>
      </c>
      <c r="E2654" s="109" t="s">
        <v>5558</v>
      </c>
      <c r="F2654" s="109" t="s">
        <v>18271</v>
      </c>
      <c r="G2654" s="110" t="s">
        <v>6248</v>
      </c>
      <c r="H2654" s="110" t="s">
        <v>18272</v>
      </c>
      <c r="I2654" s="110" t="s">
        <v>18273</v>
      </c>
    </row>
    <row r="2655" spans="1:9" ht="37.799999999999997" x14ac:dyDescent="0.3">
      <c r="A2655" s="109" t="s">
        <v>18274</v>
      </c>
      <c r="B2655" s="109" t="s">
        <v>17947</v>
      </c>
      <c r="C2655" s="109" t="s">
        <v>17947</v>
      </c>
      <c r="D2655" s="109" t="s">
        <v>18275</v>
      </c>
      <c r="E2655" s="109" t="s">
        <v>5558</v>
      </c>
      <c r="F2655" s="109" t="s">
        <v>18276</v>
      </c>
      <c r="G2655" s="110" t="s">
        <v>6248</v>
      </c>
      <c r="H2655" s="110" t="s">
        <v>18277</v>
      </c>
      <c r="I2655" s="110" t="s">
        <v>18278</v>
      </c>
    </row>
    <row r="2656" spans="1:9" ht="25.2" x14ac:dyDescent="0.3">
      <c r="A2656" s="109" t="s">
        <v>18279</v>
      </c>
      <c r="B2656" s="109" t="s">
        <v>17947</v>
      </c>
      <c r="C2656" s="109" t="s">
        <v>17947</v>
      </c>
      <c r="D2656" s="109" t="s">
        <v>5569</v>
      </c>
      <c r="E2656" s="109" t="s">
        <v>5558</v>
      </c>
      <c r="F2656" s="109" t="s">
        <v>2258</v>
      </c>
      <c r="G2656" s="110" t="s">
        <v>6248</v>
      </c>
      <c r="H2656" s="110" t="s">
        <v>18280</v>
      </c>
      <c r="I2656" s="110" t="s">
        <v>18281</v>
      </c>
    </row>
    <row r="2657" spans="1:9" ht="63" x14ac:dyDescent="0.3">
      <c r="A2657" s="109" t="s">
        <v>18282</v>
      </c>
      <c r="B2657" s="109" t="s">
        <v>17947</v>
      </c>
      <c r="C2657" s="109" t="s">
        <v>17947</v>
      </c>
      <c r="D2657" s="109" t="s">
        <v>7333</v>
      </c>
      <c r="E2657" s="109" t="s">
        <v>7333</v>
      </c>
      <c r="F2657" s="109" t="s">
        <v>18283</v>
      </c>
      <c r="G2657" s="110" t="s">
        <v>6248</v>
      </c>
      <c r="H2657" s="110" t="s">
        <v>8905</v>
      </c>
      <c r="I2657" s="110" t="s">
        <v>18284</v>
      </c>
    </row>
    <row r="2658" spans="1:9" ht="25.2" x14ac:dyDescent="0.3">
      <c r="A2658" s="109" t="s">
        <v>18285</v>
      </c>
      <c r="B2658" s="109" t="s">
        <v>17947</v>
      </c>
      <c r="C2658" s="109" t="s">
        <v>17947</v>
      </c>
      <c r="D2658" s="109" t="s">
        <v>18286</v>
      </c>
      <c r="E2658" s="109" t="s">
        <v>12093</v>
      </c>
      <c r="F2658" s="109" t="s">
        <v>18287</v>
      </c>
      <c r="G2658" s="110" t="s">
        <v>6248</v>
      </c>
      <c r="H2658" s="110" t="s">
        <v>18288</v>
      </c>
      <c r="I2658" s="110" t="s">
        <v>18289</v>
      </c>
    </row>
    <row r="2659" spans="1:9" ht="37.799999999999997" x14ac:dyDescent="0.3">
      <c r="A2659" s="109" t="s">
        <v>18290</v>
      </c>
      <c r="B2659" s="109" t="s">
        <v>17947</v>
      </c>
      <c r="C2659" s="109" t="s">
        <v>17947</v>
      </c>
      <c r="D2659" s="109" t="s">
        <v>2574</v>
      </c>
      <c r="E2659" s="109" t="s">
        <v>5558</v>
      </c>
      <c r="F2659" s="109" t="s">
        <v>18291</v>
      </c>
      <c r="G2659" s="110" t="s">
        <v>6248</v>
      </c>
      <c r="H2659" s="110" t="s">
        <v>18292</v>
      </c>
      <c r="I2659" s="110" t="s">
        <v>18293</v>
      </c>
    </row>
    <row r="2660" spans="1:9" ht="37.799999999999997" x14ac:dyDescent="0.3">
      <c r="A2660" s="109" t="s">
        <v>18294</v>
      </c>
      <c r="B2660" s="109" t="s">
        <v>17947</v>
      </c>
      <c r="C2660" s="109" t="s">
        <v>17947</v>
      </c>
      <c r="D2660" s="109" t="s">
        <v>18295</v>
      </c>
      <c r="E2660" s="109" t="s">
        <v>5558</v>
      </c>
      <c r="F2660" s="109" t="s">
        <v>18296</v>
      </c>
      <c r="G2660" s="110" t="s">
        <v>6248</v>
      </c>
      <c r="H2660" s="110" t="s">
        <v>18297</v>
      </c>
      <c r="I2660" s="110" t="s">
        <v>18298</v>
      </c>
    </row>
    <row r="2661" spans="1:9" ht="25.2" x14ac:dyDescent="0.3">
      <c r="A2661" s="109" t="s">
        <v>18299</v>
      </c>
      <c r="B2661" s="109" t="s">
        <v>17947</v>
      </c>
      <c r="C2661" s="109" t="s">
        <v>17947</v>
      </c>
      <c r="D2661" s="109" t="s">
        <v>18300</v>
      </c>
      <c r="E2661" s="109" t="s">
        <v>18301</v>
      </c>
      <c r="F2661" s="109" t="s">
        <v>6878</v>
      </c>
      <c r="G2661" s="110" t="s">
        <v>18302</v>
      </c>
      <c r="H2661" s="110" t="s">
        <v>6248</v>
      </c>
      <c r="I2661" s="110" t="s">
        <v>18303</v>
      </c>
    </row>
    <row r="2662" spans="1:9" ht="25.2" x14ac:dyDescent="0.3">
      <c r="A2662" s="109" t="s">
        <v>18304</v>
      </c>
      <c r="B2662" s="109" t="s">
        <v>17947</v>
      </c>
      <c r="C2662" s="109" t="s">
        <v>17947</v>
      </c>
      <c r="D2662" s="109" t="s">
        <v>18305</v>
      </c>
      <c r="E2662" s="109" t="s">
        <v>18306</v>
      </c>
      <c r="F2662" s="109" t="s">
        <v>7039</v>
      </c>
      <c r="G2662" s="110" t="s">
        <v>6248</v>
      </c>
      <c r="H2662" s="110" t="s">
        <v>18307</v>
      </c>
      <c r="I2662" s="110" t="s">
        <v>18308</v>
      </c>
    </row>
    <row r="2663" spans="1:9" ht="25.2" x14ac:dyDescent="0.3">
      <c r="A2663" s="109" t="s">
        <v>18309</v>
      </c>
      <c r="B2663" s="109" t="s">
        <v>17947</v>
      </c>
      <c r="C2663" s="109" t="s">
        <v>17947</v>
      </c>
      <c r="D2663" s="109" t="s">
        <v>18310</v>
      </c>
      <c r="E2663" s="109" t="s">
        <v>18301</v>
      </c>
      <c r="F2663" s="109" t="s">
        <v>6878</v>
      </c>
      <c r="G2663" s="110" t="s">
        <v>18311</v>
      </c>
      <c r="H2663" s="110" t="s">
        <v>6248</v>
      </c>
      <c r="I2663" s="110" t="s">
        <v>18312</v>
      </c>
    </row>
    <row r="2664" spans="1:9" ht="88.2" x14ac:dyDescent="0.3">
      <c r="A2664" s="109" t="s">
        <v>18313</v>
      </c>
      <c r="B2664" s="109" t="s">
        <v>17947</v>
      </c>
      <c r="C2664" s="109" t="s">
        <v>17947</v>
      </c>
      <c r="D2664" s="109" t="s">
        <v>18314</v>
      </c>
      <c r="E2664" s="109" t="s">
        <v>18314</v>
      </c>
      <c r="F2664" s="109" t="s">
        <v>18315</v>
      </c>
      <c r="G2664" s="110" t="s">
        <v>6248</v>
      </c>
      <c r="H2664" s="110" t="s">
        <v>18316</v>
      </c>
      <c r="I2664" s="110" t="s">
        <v>18317</v>
      </c>
    </row>
    <row r="2665" spans="1:9" ht="25.2" x14ac:dyDescent="0.3">
      <c r="A2665" s="109" t="s">
        <v>18318</v>
      </c>
      <c r="B2665" s="109" t="s">
        <v>17947</v>
      </c>
      <c r="C2665" s="109" t="s">
        <v>17947</v>
      </c>
      <c r="D2665" s="109" t="s">
        <v>18319</v>
      </c>
      <c r="E2665" s="109" t="s">
        <v>5558</v>
      </c>
      <c r="F2665" s="109" t="s">
        <v>18320</v>
      </c>
      <c r="G2665" s="110" t="s">
        <v>6248</v>
      </c>
      <c r="H2665" s="110" t="s">
        <v>18321</v>
      </c>
      <c r="I2665" s="110" t="s">
        <v>18322</v>
      </c>
    </row>
    <row r="2666" spans="1:9" ht="25.2" x14ac:dyDescent="0.3">
      <c r="A2666" s="109" t="s">
        <v>18323</v>
      </c>
      <c r="B2666" s="109" t="s">
        <v>17947</v>
      </c>
      <c r="C2666" s="109" t="s">
        <v>17947</v>
      </c>
      <c r="D2666" s="109" t="s">
        <v>18324</v>
      </c>
      <c r="E2666" s="109" t="s">
        <v>18325</v>
      </c>
      <c r="F2666" s="109" t="s">
        <v>14190</v>
      </c>
      <c r="G2666" s="110" t="s">
        <v>6248</v>
      </c>
      <c r="H2666" s="110" t="s">
        <v>18326</v>
      </c>
      <c r="I2666" s="110" t="s">
        <v>18327</v>
      </c>
    </row>
    <row r="2667" spans="1:9" ht="25.2" x14ac:dyDescent="0.3">
      <c r="A2667" s="109" t="s">
        <v>18328</v>
      </c>
      <c r="B2667" s="109" t="s">
        <v>17947</v>
      </c>
      <c r="C2667" s="109" t="s">
        <v>17947</v>
      </c>
      <c r="D2667" s="109" t="s">
        <v>18329</v>
      </c>
      <c r="E2667" s="109" t="s">
        <v>18330</v>
      </c>
      <c r="F2667" s="109" t="s">
        <v>14190</v>
      </c>
      <c r="G2667" s="110" t="s">
        <v>6248</v>
      </c>
      <c r="H2667" s="110" t="s">
        <v>18331</v>
      </c>
      <c r="I2667" s="110" t="s">
        <v>18332</v>
      </c>
    </row>
    <row r="2668" spans="1:9" ht="37.799999999999997" x14ac:dyDescent="0.3">
      <c r="A2668" s="109" t="s">
        <v>18333</v>
      </c>
      <c r="B2668" s="109" t="s">
        <v>17947</v>
      </c>
      <c r="C2668" s="109" t="s">
        <v>17947</v>
      </c>
      <c r="D2668" s="109" t="s">
        <v>18334</v>
      </c>
      <c r="E2668" s="109" t="s">
        <v>5558</v>
      </c>
      <c r="F2668" s="109" t="s">
        <v>18335</v>
      </c>
      <c r="G2668" s="110" t="s">
        <v>6248</v>
      </c>
      <c r="H2668" s="110" t="s">
        <v>18336</v>
      </c>
      <c r="I2668" s="110" t="s">
        <v>18337</v>
      </c>
    </row>
    <row r="2669" spans="1:9" ht="50.4" x14ac:dyDescent="0.3">
      <c r="A2669" s="109" t="s">
        <v>18338</v>
      </c>
      <c r="B2669" s="109" t="s">
        <v>17947</v>
      </c>
      <c r="C2669" s="109" t="s">
        <v>17947</v>
      </c>
      <c r="D2669" s="109" t="s">
        <v>9817</v>
      </c>
      <c r="E2669" s="109" t="s">
        <v>9817</v>
      </c>
      <c r="F2669" s="109" t="s">
        <v>18339</v>
      </c>
      <c r="G2669" s="110" t="s">
        <v>6248</v>
      </c>
      <c r="H2669" s="110" t="s">
        <v>18340</v>
      </c>
      <c r="I2669" s="110" t="s">
        <v>18341</v>
      </c>
    </row>
    <row r="2670" spans="1:9" ht="25.2" x14ac:dyDescent="0.3">
      <c r="A2670" s="109" t="s">
        <v>18342</v>
      </c>
      <c r="B2670" s="109" t="s">
        <v>17947</v>
      </c>
      <c r="C2670" s="109" t="s">
        <v>17947</v>
      </c>
      <c r="D2670" s="109" t="s">
        <v>18343</v>
      </c>
      <c r="E2670" s="109" t="s">
        <v>18344</v>
      </c>
      <c r="F2670" s="109" t="s">
        <v>18345</v>
      </c>
      <c r="G2670" s="110" t="s">
        <v>6248</v>
      </c>
      <c r="H2670" s="110" t="s">
        <v>18346</v>
      </c>
      <c r="I2670" s="110" t="s">
        <v>18347</v>
      </c>
    </row>
    <row r="2671" spans="1:9" ht="63" x14ac:dyDescent="0.3">
      <c r="A2671" s="109" t="s">
        <v>18348</v>
      </c>
      <c r="B2671" s="109" t="s">
        <v>17947</v>
      </c>
      <c r="C2671" s="109" t="s">
        <v>17947</v>
      </c>
      <c r="D2671" s="109" t="s">
        <v>7512</v>
      </c>
      <c r="E2671" s="109" t="s">
        <v>7512</v>
      </c>
      <c r="F2671" s="109" t="s">
        <v>18349</v>
      </c>
      <c r="G2671" s="110" t="s">
        <v>6248</v>
      </c>
      <c r="H2671" s="110" t="s">
        <v>6398</v>
      </c>
      <c r="I2671" s="110" t="s">
        <v>18350</v>
      </c>
    </row>
    <row r="2672" spans="1:9" ht="25.2" x14ac:dyDescent="0.3">
      <c r="A2672" s="109" t="s">
        <v>18351</v>
      </c>
      <c r="B2672" s="109" t="s">
        <v>17947</v>
      </c>
      <c r="C2672" s="109" t="s">
        <v>17947</v>
      </c>
      <c r="D2672" s="109" t="s">
        <v>18352</v>
      </c>
      <c r="E2672" s="109" t="s">
        <v>5558</v>
      </c>
      <c r="F2672" s="109" t="s">
        <v>18353</v>
      </c>
      <c r="G2672" s="110" t="s">
        <v>6248</v>
      </c>
      <c r="H2672" s="110" t="s">
        <v>6660</v>
      </c>
      <c r="I2672" s="110" t="s">
        <v>18354</v>
      </c>
    </row>
    <row r="2673" spans="1:9" ht="37.799999999999997" x14ac:dyDescent="0.3">
      <c r="A2673" s="109" t="s">
        <v>18355</v>
      </c>
      <c r="B2673" s="109" t="s">
        <v>17947</v>
      </c>
      <c r="C2673" s="109" t="s">
        <v>17947</v>
      </c>
      <c r="D2673" s="109" t="s">
        <v>18356</v>
      </c>
      <c r="E2673" s="109" t="s">
        <v>5558</v>
      </c>
      <c r="F2673" s="109" t="s">
        <v>18357</v>
      </c>
      <c r="G2673" s="110" t="s">
        <v>6248</v>
      </c>
      <c r="H2673" s="110" t="s">
        <v>18358</v>
      </c>
      <c r="I2673" s="110" t="s">
        <v>18359</v>
      </c>
    </row>
    <row r="2674" spans="1:9" ht="25.2" x14ac:dyDescent="0.3">
      <c r="A2674" s="109" t="s">
        <v>18360</v>
      </c>
      <c r="B2674" s="109" t="s">
        <v>17947</v>
      </c>
      <c r="C2674" s="109" t="s">
        <v>17947</v>
      </c>
      <c r="D2674" s="109" t="s">
        <v>18361</v>
      </c>
      <c r="E2674" s="109" t="s">
        <v>5558</v>
      </c>
      <c r="F2674" s="109" t="s">
        <v>18362</v>
      </c>
      <c r="G2674" s="110" t="s">
        <v>6248</v>
      </c>
      <c r="H2674" s="110" t="s">
        <v>7221</v>
      </c>
      <c r="I2674" s="110" t="s">
        <v>18363</v>
      </c>
    </row>
    <row r="2675" spans="1:9" ht="25.2" x14ac:dyDescent="0.3">
      <c r="A2675" s="109" t="s">
        <v>18364</v>
      </c>
      <c r="B2675" s="109" t="s">
        <v>17947</v>
      </c>
      <c r="C2675" s="109" t="s">
        <v>17947</v>
      </c>
      <c r="D2675" s="109" t="s">
        <v>18365</v>
      </c>
      <c r="E2675" s="109" t="s">
        <v>18366</v>
      </c>
      <c r="F2675" s="109" t="s">
        <v>6351</v>
      </c>
      <c r="G2675" s="110" t="s">
        <v>6248</v>
      </c>
      <c r="H2675" s="110" t="s">
        <v>18367</v>
      </c>
      <c r="I2675" s="110" t="s">
        <v>18368</v>
      </c>
    </row>
    <row r="2676" spans="1:9" ht="25.2" x14ac:dyDescent="0.3">
      <c r="A2676" s="109" t="s">
        <v>18369</v>
      </c>
      <c r="B2676" s="109" t="s">
        <v>17947</v>
      </c>
      <c r="C2676" s="109" t="s">
        <v>17947</v>
      </c>
      <c r="D2676" s="109" t="s">
        <v>18370</v>
      </c>
      <c r="E2676" s="109" t="s">
        <v>5558</v>
      </c>
      <c r="F2676" s="109" t="s">
        <v>18371</v>
      </c>
      <c r="G2676" s="110" t="s">
        <v>6248</v>
      </c>
      <c r="H2676" s="110" t="s">
        <v>18372</v>
      </c>
      <c r="I2676" s="110" t="s">
        <v>18373</v>
      </c>
    </row>
    <row r="2677" spans="1:9" ht="25.2" x14ac:dyDescent="0.3">
      <c r="A2677" s="109" t="s">
        <v>18374</v>
      </c>
      <c r="B2677" s="109" t="s">
        <v>17947</v>
      </c>
      <c r="C2677" s="109" t="s">
        <v>17947</v>
      </c>
      <c r="D2677" s="109" t="s">
        <v>18375</v>
      </c>
      <c r="E2677" s="109" t="s">
        <v>18376</v>
      </c>
      <c r="F2677" s="109" t="s">
        <v>14190</v>
      </c>
      <c r="G2677" s="110" t="s">
        <v>6248</v>
      </c>
      <c r="H2677" s="110" t="s">
        <v>18377</v>
      </c>
      <c r="I2677" s="110" t="s">
        <v>18378</v>
      </c>
    </row>
    <row r="2678" spans="1:9" ht="37.799999999999997" x14ac:dyDescent="0.3">
      <c r="A2678" s="109" t="s">
        <v>18379</v>
      </c>
      <c r="B2678" s="109" t="s">
        <v>17947</v>
      </c>
      <c r="C2678" s="109" t="s">
        <v>17947</v>
      </c>
      <c r="D2678" s="109" t="s">
        <v>18380</v>
      </c>
      <c r="E2678" s="109" t="s">
        <v>5558</v>
      </c>
      <c r="F2678" s="109" t="s">
        <v>18381</v>
      </c>
      <c r="G2678" s="110" t="s">
        <v>6248</v>
      </c>
      <c r="H2678" s="110" t="s">
        <v>18382</v>
      </c>
      <c r="I2678" s="110" t="s">
        <v>18383</v>
      </c>
    </row>
    <row r="2679" spans="1:9" ht="25.2" x14ac:dyDescent="0.3">
      <c r="A2679" s="109" t="s">
        <v>18384</v>
      </c>
      <c r="B2679" s="109" t="s">
        <v>17947</v>
      </c>
      <c r="C2679" s="109" t="s">
        <v>17947</v>
      </c>
      <c r="D2679" s="109" t="s">
        <v>18385</v>
      </c>
      <c r="E2679" s="109" t="s">
        <v>5558</v>
      </c>
      <c r="F2679" s="109" t="s">
        <v>18386</v>
      </c>
      <c r="G2679" s="110" t="s">
        <v>6248</v>
      </c>
      <c r="H2679" s="110" t="s">
        <v>10754</v>
      </c>
      <c r="I2679" s="110" t="s">
        <v>18387</v>
      </c>
    </row>
    <row r="2680" spans="1:9" ht="25.2" x14ac:dyDescent="0.3">
      <c r="A2680" s="109" t="s">
        <v>18388</v>
      </c>
      <c r="B2680" s="109" t="s">
        <v>17947</v>
      </c>
      <c r="C2680" s="109" t="s">
        <v>17947</v>
      </c>
      <c r="D2680" s="109" t="s">
        <v>18389</v>
      </c>
      <c r="E2680" s="109" t="s">
        <v>18306</v>
      </c>
      <c r="F2680" s="109" t="s">
        <v>7039</v>
      </c>
      <c r="G2680" s="110" t="s">
        <v>6248</v>
      </c>
      <c r="H2680" s="110" t="s">
        <v>18390</v>
      </c>
      <c r="I2680" s="110" t="s">
        <v>18391</v>
      </c>
    </row>
    <row r="2681" spans="1:9" ht="25.2" x14ac:dyDescent="0.3">
      <c r="A2681" s="109" t="s">
        <v>18392</v>
      </c>
      <c r="B2681" s="109" t="s">
        <v>17947</v>
      </c>
      <c r="C2681" s="109" t="s">
        <v>17947</v>
      </c>
      <c r="D2681" s="109" t="s">
        <v>18393</v>
      </c>
      <c r="E2681" s="109" t="s">
        <v>18394</v>
      </c>
      <c r="F2681" s="109" t="s">
        <v>18395</v>
      </c>
      <c r="G2681" s="110" t="s">
        <v>6248</v>
      </c>
      <c r="H2681" s="110" t="s">
        <v>18396</v>
      </c>
      <c r="I2681" s="110" t="s">
        <v>18397</v>
      </c>
    </row>
    <row r="2682" spans="1:9" ht="25.2" x14ac:dyDescent="0.3">
      <c r="A2682" s="109" t="s">
        <v>18398</v>
      </c>
      <c r="B2682" s="109" t="s">
        <v>17947</v>
      </c>
      <c r="C2682" s="109" t="s">
        <v>17947</v>
      </c>
      <c r="D2682" s="109" t="s">
        <v>18399</v>
      </c>
      <c r="E2682" s="109" t="s">
        <v>18400</v>
      </c>
      <c r="F2682" s="109" t="s">
        <v>7045</v>
      </c>
      <c r="G2682" s="110" t="s">
        <v>18401</v>
      </c>
      <c r="H2682" s="110" t="s">
        <v>6248</v>
      </c>
      <c r="I2682" s="110" t="s">
        <v>18402</v>
      </c>
    </row>
    <row r="2683" spans="1:9" ht="25.2" x14ac:dyDescent="0.3">
      <c r="A2683" s="109" t="s">
        <v>18403</v>
      </c>
      <c r="B2683" s="109" t="s">
        <v>17947</v>
      </c>
      <c r="C2683" s="109" t="s">
        <v>17947</v>
      </c>
      <c r="D2683" s="109" t="s">
        <v>18404</v>
      </c>
      <c r="E2683" s="109" t="s">
        <v>18405</v>
      </c>
      <c r="F2683" s="109" t="s">
        <v>13708</v>
      </c>
      <c r="G2683" s="110" t="s">
        <v>6248</v>
      </c>
      <c r="H2683" s="110" t="s">
        <v>18406</v>
      </c>
      <c r="I2683" s="110" t="s">
        <v>18407</v>
      </c>
    </row>
    <row r="2684" spans="1:9" ht="37.799999999999997" x14ac:dyDescent="0.3">
      <c r="A2684" s="109" t="s">
        <v>18408</v>
      </c>
      <c r="B2684" s="109" t="s">
        <v>17947</v>
      </c>
      <c r="C2684" s="109" t="s">
        <v>17947</v>
      </c>
      <c r="D2684" s="109" t="s">
        <v>2576</v>
      </c>
      <c r="E2684" s="109" t="s">
        <v>5558</v>
      </c>
      <c r="F2684" s="109" t="s">
        <v>18409</v>
      </c>
      <c r="G2684" s="110" t="s">
        <v>6248</v>
      </c>
      <c r="H2684" s="110" t="s">
        <v>18410</v>
      </c>
      <c r="I2684" s="110" t="s">
        <v>18411</v>
      </c>
    </row>
    <row r="2685" spans="1:9" ht="63" x14ac:dyDescent="0.3">
      <c r="A2685" s="109" t="s">
        <v>18412</v>
      </c>
      <c r="B2685" s="109" t="s">
        <v>17947</v>
      </c>
      <c r="C2685" s="109" t="s">
        <v>17947</v>
      </c>
      <c r="D2685" s="109" t="s">
        <v>18413</v>
      </c>
      <c r="E2685" s="109" t="s">
        <v>18413</v>
      </c>
      <c r="F2685" s="109" t="s">
        <v>18414</v>
      </c>
      <c r="G2685" s="110" t="s">
        <v>6248</v>
      </c>
      <c r="H2685" s="110" t="s">
        <v>18415</v>
      </c>
      <c r="I2685" s="110" t="s">
        <v>18416</v>
      </c>
    </row>
    <row r="2686" spans="1:9" ht="25.2" x14ac:dyDescent="0.3">
      <c r="A2686" s="109" t="s">
        <v>18417</v>
      </c>
      <c r="B2686" s="109" t="s">
        <v>17947</v>
      </c>
      <c r="C2686" s="109" t="s">
        <v>17947</v>
      </c>
      <c r="D2686" s="109" t="s">
        <v>2286</v>
      </c>
      <c r="E2686" s="109" t="s">
        <v>18418</v>
      </c>
      <c r="F2686" s="109" t="s">
        <v>7734</v>
      </c>
      <c r="G2686" s="110" t="s">
        <v>6248</v>
      </c>
      <c r="H2686" s="110" t="s">
        <v>18419</v>
      </c>
      <c r="I2686" s="110" t="s">
        <v>18420</v>
      </c>
    </row>
    <row r="2687" spans="1:9" ht="25.2" x14ac:dyDescent="0.3">
      <c r="A2687" s="109" t="s">
        <v>18421</v>
      </c>
      <c r="B2687" s="109" t="s">
        <v>17947</v>
      </c>
      <c r="C2687" s="109" t="s">
        <v>17947</v>
      </c>
      <c r="D2687" s="109" t="s">
        <v>18422</v>
      </c>
      <c r="E2687" s="109" t="s">
        <v>5558</v>
      </c>
      <c r="F2687" s="109" t="s">
        <v>18423</v>
      </c>
      <c r="G2687" s="110" t="s">
        <v>6248</v>
      </c>
      <c r="H2687" s="110" t="s">
        <v>18424</v>
      </c>
      <c r="I2687" s="110" t="s">
        <v>18425</v>
      </c>
    </row>
    <row r="2688" spans="1:9" ht="25.2" x14ac:dyDescent="0.3">
      <c r="A2688" s="109" t="s">
        <v>18426</v>
      </c>
      <c r="B2688" s="109" t="s">
        <v>17947</v>
      </c>
      <c r="C2688" s="109" t="s">
        <v>17947</v>
      </c>
      <c r="D2688" s="109" t="s">
        <v>18427</v>
      </c>
      <c r="E2688" s="109" t="s">
        <v>5558</v>
      </c>
      <c r="F2688" s="109" t="s">
        <v>18428</v>
      </c>
      <c r="G2688" s="110" t="s">
        <v>6248</v>
      </c>
      <c r="H2688" s="110" t="s">
        <v>18429</v>
      </c>
      <c r="I2688" s="110" t="s">
        <v>18430</v>
      </c>
    </row>
    <row r="2689" spans="1:9" ht="63" x14ac:dyDescent="0.3">
      <c r="A2689" s="109" t="s">
        <v>18431</v>
      </c>
      <c r="B2689" s="109" t="s">
        <v>17947</v>
      </c>
      <c r="C2689" s="109" t="s">
        <v>17947</v>
      </c>
      <c r="D2689" s="109" t="s">
        <v>18432</v>
      </c>
      <c r="E2689" s="109" t="s">
        <v>18432</v>
      </c>
      <c r="F2689" s="109" t="s">
        <v>18433</v>
      </c>
      <c r="G2689" s="110" t="s">
        <v>6248</v>
      </c>
      <c r="H2689" s="110" t="s">
        <v>18434</v>
      </c>
      <c r="I2689" s="110" t="s">
        <v>18435</v>
      </c>
    </row>
    <row r="2690" spans="1:9" ht="25.2" x14ac:dyDescent="0.3">
      <c r="A2690" s="109" t="s">
        <v>18436</v>
      </c>
      <c r="B2690" s="109" t="s">
        <v>17947</v>
      </c>
      <c r="C2690" s="109" t="s">
        <v>17947</v>
      </c>
      <c r="D2690" s="109" t="s">
        <v>18437</v>
      </c>
      <c r="E2690" s="109" t="s">
        <v>15257</v>
      </c>
      <c r="F2690" s="109" t="s">
        <v>15258</v>
      </c>
      <c r="G2690" s="110" t="s">
        <v>6248</v>
      </c>
      <c r="H2690" s="110" t="s">
        <v>18438</v>
      </c>
      <c r="I2690" s="110" t="s">
        <v>18439</v>
      </c>
    </row>
    <row r="2691" spans="1:9" ht="25.2" x14ac:dyDescent="0.3">
      <c r="A2691" s="109" t="s">
        <v>18440</v>
      </c>
      <c r="B2691" s="109" t="s">
        <v>17947</v>
      </c>
      <c r="C2691" s="109" t="s">
        <v>17947</v>
      </c>
      <c r="D2691" s="109" t="s">
        <v>18441</v>
      </c>
      <c r="E2691" s="109" t="s">
        <v>5965</v>
      </c>
      <c r="F2691" s="109" t="s">
        <v>5803</v>
      </c>
      <c r="G2691" s="110" t="s">
        <v>6248</v>
      </c>
      <c r="H2691" s="110" t="s">
        <v>18442</v>
      </c>
      <c r="I2691" s="110" t="s">
        <v>18443</v>
      </c>
    </row>
    <row r="2692" spans="1:9" ht="25.2" x14ac:dyDescent="0.3">
      <c r="A2692" s="109" t="s">
        <v>18444</v>
      </c>
      <c r="B2692" s="109" t="s">
        <v>17947</v>
      </c>
      <c r="C2692" s="109" t="s">
        <v>17947</v>
      </c>
      <c r="D2692" s="109" t="s">
        <v>18445</v>
      </c>
      <c r="E2692" s="109" t="s">
        <v>18446</v>
      </c>
      <c r="F2692" s="109" t="s">
        <v>5803</v>
      </c>
      <c r="G2692" s="110" t="s">
        <v>6248</v>
      </c>
      <c r="H2692" s="110" t="s">
        <v>18447</v>
      </c>
      <c r="I2692" s="110" t="s">
        <v>18448</v>
      </c>
    </row>
    <row r="2693" spans="1:9" ht="25.2" x14ac:dyDescent="0.3">
      <c r="A2693" s="109" t="s">
        <v>18449</v>
      </c>
      <c r="B2693" s="109" t="s">
        <v>17947</v>
      </c>
      <c r="C2693" s="109" t="s">
        <v>17947</v>
      </c>
      <c r="D2693" s="109" t="s">
        <v>2320</v>
      </c>
      <c r="E2693" s="109" t="s">
        <v>5558</v>
      </c>
      <c r="F2693" s="109" t="s">
        <v>18450</v>
      </c>
      <c r="G2693" s="110" t="s">
        <v>6248</v>
      </c>
      <c r="H2693" s="110" t="s">
        <v>6660</v>
      </c>
      <c r="I2693" s="110" t="s">
        <v>18451</v>
      </c>
    </row>
    <row r="2694" spans="1:9" ht="25.2" x14ac:dyDescent="0.3">
      <c r="A2694" s="109" t="s">
        <v>18452</v>
      </c>
      <c r="B2694" s="109" t="s">
        <v>17947</v>
      </c>
      <c r="C2694" s="109" t="s">
        <v>17947</v>
      </c>
      <c r="D2694" s="109" t="s">
        <v>2471</v>
      </c>
      <c r="E2694" s="109" t="s">
        <v>18453</v>
      </c>
      <c r="F2694" s="109" t="s">
        <v>18454</v>
      </c>
      <c r="G2694" s="110" t="s">
        <v>6248</v>
      </c>
      <c r="H2694" s="110" t="s">
        <v>18455</v>
      </c>
      <c r="I2694" s="110" t="s">
        <v>18456</v>
      </c>
    </row>
    <row r="2695" spans="1:9" ht="25.2" x14ac:dyDescent="0.3">
      <c r="A2695" s="109" t="s">
        <v>18457</v>
      </c>
      <c r="B2695" s="109" t="s">
        <v>17947</v>
      </c>
      <c r="C2695" s="109" t="s">
        <v>17947</v>
      </c>
      <c r="D2695" s="109" t="s">
        <v>18458</v>
      </c>
      <c r="E2695" s="109" t="s">
        <v>5854</v>
      </c>
      <c r="F2695" s="109" t="s">
        <v>6256</v>
      </c>
      <c r="G2695" s="110" t="s">
        <v>6248</v>
      </c>
      <c r="H2695" s="110" t="s">
        <v>18459</v>
      </c>
      <c r="I2695" s="110" t="s">
        <v>18460</v>
      </c>
    </row>
    <row r="2696" spans="1:9" ht="37.799999999999997" x14ac:dyDescent="0.3">
      <c r="A2696" s="109" t="s">
        <v>18461</v>
      </c>
      <c r="B2696" s="109" t="s">
        <v>17947</v>
      </c>
      <c r="C2696" s="109" t="s">
        <v>17947</v>
      </c>
      <c r="D2696" s="109" t="s">
        <v>18462</v>
      </c>
      <c r="E2696" s="109" t="s">
        <v>5558</v>
      </c>
      <c r="F2696" s="109" t="s">
        <v>18463</v>
      </c>
      <c r="G2696" s="110" t="s">
        <v>6248</v>
      </c>
      <c r="H2696" s="110" t="s">
        <v>18464</v>
      </c>
      <c r="I2696" s="110" t="s">
        <v>18465</v>
      </c>
    </row>
    <row r="2697" spans="1:9" ht="25.2" x14ac:dyDescent="0.3">
      <c r="A2697" s="109" t="s">
        <v>18466</v>
      </c>
      <c r="B2697" s="109" t="s">
        <v>17947</v>
      </c>
      <c r="C2697" s="109" t="s">
        <v>17947</v>
      </c>
      <c r="D2697" s="109" t="s">
        <v>18467</v>
      </c>
      <c r="E2697" s="109" t="s">
        <v>5558</v>
      </c>
      <c r="F2697" s="109" t="s">
        <v>18468</v>
      </c>
      <c r="G2697" s="110" t="s">
        <v>6248</v>
      </c>
      <c r="H2697" s="110" t="s">
        <v>18469</v>
      </c>
      <c r="I2697" s="110" t="s">
        <v>18470</v>
      </c>
    </row>
    <row r="2698" spans="1:9" ht="25.2" x14ac:dyDescent="0.3">
      <c r="A2698" s="109" t="s">
        <v>18471</v>
      </c>
      <c r="B2698" s="109" t="s">
        <v>17947</v>
      </c>
      <c r="C2698" s="109" t="s">
        <v>17947</v>
      </c>
      <c r="D2698" s="109" t="s">
        <v>18472</v>
      </c>
      <c r="E2698" s="109" t="s">
        <v>18473</v>
      </c>
      <c r="F2698" s="109" t="s">
        <v>18474</v>
      </c>
      <c r="G2698" s="110" t="s">
        <v>6248</v>
      </c>
      <c r="H2698" s="110" t="s">
        <v>18475</v>
      </c>
      <c r="I2698" s="110" t="s">
        <v>18476</v>
      </c>
    </row>
    <row r="2699" spans="1:9" ht="25.2" x14ac:dyDescent="0.3">
      <c r="A2699" s="109" t="s">
        <v>18477</v>
      </c>
      <c r="B2699" s="109" t="s">
        <v>17947</v>
      </c>
      <c r="C2699" s="109" t="s">
        <v>17947</v>
      </c>
      <c r="D2699" s="109" t="s">
        <v>18478</v>
      </c>
      <c r="E2699" s="109" t="s">
        <v>18479</v>
      </c>
      <c r="F2699" s="109" t="s">
        <v>18480</v>
      </c>
      <c r="G2699" s="110" t="s">
        <v>6248</v>
      </c>
      <c r="H2699" s="110" t="s">
        <v>18481</v>
      </c>
      <c r="I2699" s="110" t="s">
        <v>18482</v>
      </c>
    </row>
    <row r="2700" spans="1:9" ht="25.2" x14ac:dyDescent="0.3">
      <c r="A2700" s="109" t="s">
        <v>18483</v>
      </c>
      <c r="B2700" s="109" t="s">
        <v>17947</v>
      </c>
      <c r="C2700" s="109" t="s">
        <v>17947</v>
      </c>
      <c r="D2700" s="109" t="s">
        <v>18484</v>
      </c>
      <c r="E2700" s="109" t="s">
        <v>5558</v>
      </c>
      <c r="F2700" s="109" t="s">
        <v>18485</v>
      </c>
      <c r="G2700" s="110" t="s">
        <v>6248</v>
      </c>
      <c r="H2700" s="110" t="s">
        <v>18486</v>
      </c>
      <c r="I2700" s="110" t="s">
        <v>18487</v>
      </c>
    </row>
    <row r="2701" spans="1:9" ht="37.799999999999997" x14ac:dyDescent="0.3">
      <c r="A2701" s="109" t="s">
        <v>18488</v>
      </c>
      <c r="B2701" s="109" t="s">
        <v>17947</v>
      </c>
      <c r="C2701" s="109" t="s">
        <v>17947</v>
      </c>
      <c r="D2701" s="109" t="s">
        <v>18489</v>
      </c>
      <c r="E2701" s="109" t="s">
        <v>5558</v>
      </c>
      <c r="F2701" s="109" t="s">
        <v>18490</v>
      </c>
      <c r="G2701" s="110" t="s">
        <v>6248</v>
      </c>
      <c r="H2701" s="110" t="s">
        <v>18491</v>
      </c>
      <c r="I2701" s="110" t="s">
        <v>18492</v>
      </c>
    </row>
    <row r="2702" spans="1:9" ht="25.2" x14ac:dyDescent="0.3">
      <c r="A2702" s="109" t="s">
        <v>18493</v>
      </c>
      <c r="B2702" s="109" t="s">
        <v>17947</v>
      </c>
      <c r="C2702" s="109" t="s">
        <v>17947</v>
      </c>
      <c r="D2702" s="109" t="s">
        <v>2289</v>
      </c>
      <c r="E2702" s="109" t="s">
        <v>5558</v>
      </c>
      <c r="F2702" s="109" t="s">
        <v>18494</v>
      </c>
      <c r="G2702" s="110" t="s">
        <v>6248</v>
      </c>
      <c r="H2702" s="110" t="s">
        <v>18495</v>
      </c>
      <c r="I2702" s="110" t="s">
        <v>18496</v>
      </c>
    </row>
    <row r="2703" spans="1:9" ht="37.799999999999997" x14ac:dyDescent="0.3">
      <c r="A2703" s="109" t="s">
        <v>18497</v>
      </c>
      <c r="B2703" s="109" t="s">
        <v>17947</v>
      </c>
      <c r="C2703" s="109" t="s">
        <v>17947</v>
      </c>
      <c r="D2703" s="109" t="s">
        <v>18498</v>
      </c>
      <c r="E2703" s="109" t="s">
        <v>5558</v>
      </c>
      <c r="F2703" s="109" t="s">
        <v>18499</v>
      </c>
      <c r="G2703" s="110" t="s">
        <v>6248</v>
      </c>
      <c r="H2703" s="110" t="s">
        <v>11207</v>
      </c>
      <c r="I2703" s="110" t="s">
        <v>18500</v>
      </c>
    </row>
    <row r="2704" spans="1:9" ht="37.799999999999997" x14ac:dyDescent="0.3">
      <c r="A2704" s="109" t="s">
        <v>18501</v>
      </c>
      <c r="B2704" s="109" t="s">
        <v>17947</v>
      </c>
      <c r="C2704" s="109" t="s">
        <v>17947</v>
      </c>
      <c r="D2704" s="109" t="s">
        <v>2290</v>
      </c>
      <c r="E2704" s="109" t="s">
        <v>5558</v>
      </c>
      <c r="F2704" s="109" t="s">
        <v>18502</v>
      </c>
      <c r="G2704" s="110" t="s">
        <v>6248</v>
      </c>
      <c r="H2704" s="110" t="s">
        <v>12136</v>
      </c>
      <c r="I2704" s="110" t="s">
        <v>18503</v>
      </c>
    </row>
    <row r="2705" spans="1:9" ht="25.2" x14ac:dyDescent="0.3">
      <c r="A2705" s="109" t="s">
        <v>18504</v>
      </c>
      <c r="B2705" s="109" t="s">
        <v>17947</v>
      </c>
      <c r="C2705" s="109" t="s">
        <v>17947</v>
      </c>
      <c r="D2705" s="109" t="s">
        <v>18505</v>
      </c>
      <c r="E2705" s="109" t="s">
        <v>5558</v>
      </c>
      <c r="F2705" s="109" t="s">
        <v>18506</v>
      </c>
      <c r="G2705" s="110" t="s">
        <v>6248</v>
      </c>
      <c r="H2705" s="110" t="s">
        <v>18507</v>
      </c>
      <c r="I2705" s="110" t="s">
        <v>18508</v>
      </c>
    </row>
    <row r="2706" spans="1:9" ht="25.2" x14ac:dyDescent="0.3">
      <c r="A2706" s="109" t="s">
        <v>18509</v>
      </c>
      <c r="B2706" s="109" t="s">
        <v>17947</v>
      </c>
      <c r="C2706" s="109" t="s">
        <v>17947</v>
      </c>
      <c r="D2706" s="109" t="s">
        <v>5569</v>
      </c>
      <c r="E2706" s="109" t="s">
        <v>5558</v>
      </c>
      <c r="F2706" s="109" t="s">
        <v>2258</v>
      </c>
      <c r="G2706" s="110" t="s">
        <v>6248</v>
      </c>
      <c r="H2706" s="110" t="s">
        <v>18510</v>
      </c>
      <c r="I2706" s="110" t="s">
        <v>18511</v>
      </c>
    </row>
    <row r="2707" spans="1:9" ht="25.2" x14ac:dyDescent="0.3">
      <c r="A2707" s="109" t="s">
        <v>18512</v>
      </c>
      <c r="B2707" s="109" t="s">
        <v>17947</v>
      </c>
      <c r="C2707" s="109" t="s">
        <v>17947</v>
      </c>
      <c r="D2707" s="109" t="s">
        <v>18513</v>
      </c>
      <c r="E2707" s="109" t="s">
        <v>12093</v>
      </c>
      <c r="F2707" s="109" t="s">
        <v>18514</v>
      </c>
      <c r="G2707" s="110" t="s">
        <v>6248</v>
      </c>
      <c r="H2707" s="110" t="s">
        <v>18515</v>
      </c>
      <c r="I2707" s="110" t="s">
        <v>18516</v>
      </c>
    </row>
    <row r="2708" spans="1:9" ht="25.2" x14ac:dyDescent="0.3">
      <c r="A2708" s="109" t="s">
        <v>18517</v>
      </c>
      <c r="B2708" s="109" t="s">
        <v>17947</v>
      </c>
      <c r="C2708" s="109" t="s">
        <v>17947</v>
      </c>
      <c r="D2708" s="109" t="s">
        <v>18518</v>
      </c>
      <c r="E2708" s="109" t="s">
        <v>13050</v>
      </c>
      <c r="F2708" s="109" t="s">
        <v>13051</v>
      </c>
      <c r="G2708" s="110" t="s">
        <v>6248</v>
      </c>
      <c r="H2708" s="110" t="s">
        <v>18519</v>
      </c>
      <c r="I2708" s="110" t="s">
        <v>18520</v>
      </c>
    </row>
    <row r="2709" spans="1:9" ht="25.2" x14ac:dyDescent="0.3">
      <c r="A2709" s="109" t="s">
        <v>18521</v>
      </c>
      <c r="B2709" s="109" t="s">
        <v>17947</v>
      </c>
      <c r="C2709" s="109" t="s">
        <v>17947</v>
      </c>
      <c r="D2709" s="109" t="s">
        <v>18522</v>
      </c>
      <c r="E2709" s="109" t="s">
        <v>18523</v>
      </c>
      <c r="F2709" s="109" t="s">
        <v>12655</v>
      </c>
      <c r="G2709" s="110" t="s">
        <v>6248</v>
      </c>
      <c r="H2709" s="110" t="s">
        <v>18524</v>
      </c>
      <c r="I2709" s="110" t="s">
        <v>18525</v>
      </c>
    </row>
    <row r="2710" spans="1:9" ht="25.2" x14ac:dyDescent="0.3">
      <c r="A2710" s="109" t="s">
        <v>18526</v>
      </c>
      <c r="B2710" s="109" t="s">
        <v>17947</v>
      </c>
      <c r="C2710" s="109" t="s">
        <v>17947</v>
      </c>
      <c r="D2710" s="109" t="s">
        <v>2480</v>
      </c>
      <c r="E2710" s="109" t="s">
        <v>18527</v>
      </c>
      <c r="F2710" s="109" t="s">
        <v>18528</v>
      </c>
      <c r="G2710" s="110" t="s">
        <v>6248</v>
      </c>
      <c r="H2710" s="110" t="s">
        <v>18529</v>
      </c>
      <c r="I2710" s="110" t="s">
        <v>18530</v>
      </c>
    </row>
    <row r="2711" spans="1:9" ht="37.799999999999997" x14ac:dyDescent="0.3">
      <c r="A2711" s="109" t="s">
        <v>18531</v>
      </c>
      <c r="B2711" s="109" t="s">
        <v>17947</v>
      </c>
      <c r="C2711" s="109" t="s">
        <v>17947</v>
      </c>
      <c r="D2711" s="109" t="s">
        <v>18532</v>
      </c>
      <c r="E2711" s="109" t="s">
        <v>5558</v>
      </c>
      <c r="F2711" s="109" t="s">
        <v>18533</v>
      </c>
      <c r="G2711" s="110" t="s">
        <v>6248</v>
      </c>
      <c r="H2711" s="110" t="s">
        <v>18534</v>
      </c>
      <c r="I2711" s="110" t="s">
        <v>18535</v>
      </c>
    </row>
    <row r="2712" spans="1:9" ht="25.2" x14ac:dyDescent="0.3">
      <c r="A2712" s="109" t="s">
        <v>18536</v>
      </c>
      <c r="B2712" s="109" t="s">
        <v>17947</v>
      </c>
      <c r="C2712" s="109" t="s">
        <v>17947</v>
      </c>
      <c r="D2712" s="109" t="s">
        <v>5569</v>
      </c>
      <c r="E2712" s="109" t="s">
        <v>5558</v>
      </c>
      <c r="F2712" s="109" t="s">
        <v>2258</v>
      </c>
      <c r="G2712" s="110" t="s">
        <v>6248</v>
      </c>
      <c r="H2712" s="110" t="s">
        <v>18537</v>
      </c>
      <c r="I2712" s="110" t="s">
        <v>18538</v>
      </c>
    </row>
    <row r="2713" spans="1:9" ht="25.2" x14ac:dyDescent="0.3">
      <c r="A2713" s="109" t="s">
        <v>18539</v>
      </c>
      <c r="B2713" s="109" t="s">
        <v>17947</v>
      </c>
      <c r="C2713" s="109" t="s">
        <v>17947</v>
      </c>
      <c r="D2713" s="109" t="s">
        <v>18540</v>
      </c>
      <c r="E2713" s="109" t="s">
        <v>5558</v>
      </c>
      <c r="F2713" s="109" t="s">
        <v>18541</v>
      </c>
      <c r="G2713" s="110" t="s">
        <v>6248</v>
      </c>
      <c r="H2713" s="110" t="s">
        <v>18542</v>
      </c>
      <c r="I2713" s="110" t="s">
        <v>18543</v>
      </c>
    </row>
    <row r="2714" spans="1:9" ht="25.2" x14ac:dyDescent="0.3">
      <c r="A2714" s="109" t="s">
        <v>18544</v>
      </c>
      <c r="B2714" s="109" t="s">
        <v>17947</v>
      </c>
      <c r="C2714" s="109" t="s">
        <v>17947</v>
      </c>
      <c r="D2714" s="109" t="s">
        <v>5569</v>
      </c>
      <c r="E2714" s="109" t="s">
        <v>5558</v>
      </c>
      <c r="F2714" s="109" t="s">
        <v>2258</v>
      </c>
      <c r="G2714" s="110" t="s">
        <v>6248</v>
      </c>
      <c r="H2714" s="110" t="s">
        <v>18545</v>
      </c>
      <c r="I2714" s="110" t="s">
        <v>18546</v>
      </c>
    </row>
    <row r="2715" spans="1:9" ht="25.2" x14ac:dyDescent="0.3">
      <c r="A2715" s="109" t="s">
        <v>18547</v>
      </c>
      <c r="B2715" s="109" t="s">
        <v>17947</v>
      </c>
      <c r="C2715" s="109" t="s">
        <v>17947</v>
      </c>
      <c r="D2715" s="109" t="s">
        <v>18548</v>
      </c>
      <c r="E2715" s="109" t="s">
        <v>5558</v>
      </c>
      <c r="F2715" s="109" t="s">
        <v>2448</v>
      </c>
      <c r="G2715" s="110" t="s">
        <v>6248</v>
      </c>
      <c r="H2715" s="110" t="s">
        <v>6689</v>
      </c>
      <c r="I2715" s="110" t="s">
        <v>18549</v>
      </c>
    </row>
    <row r="2716" spans="1:9" ht="25.2" x14ac:dyDescent="0.3">
      <c r="A2716" s="109" t="s">
        <v>18550</v>
      </c>
      <c r="B2716" s="109" t="s">
        <v>17947</v>
      </c>
      <c r="C2716" s="109" t="s">
        <v>17947</v>
      </c>
      <c r="D2716" s="109" t="s">
        <v>18551</v>
      </c>
      <c r="E2716" s="109" t="s">
        <v>5558</v>
      </c>
      <c r="F2716" s="109" t="s">
        <v>2449</v>
      </c>
      <c r="G2716" s="110" t="s">
        <v>6248</v>
      </c>
      <c r="H2716" s="110" t="s">
        <v>6689</v>
      </c>
      <c r="I2716" s="110" t="s">
        <v>18552</v>
      </c>
    </row>
    <row r="2717" spans="1:9" ht="25.2" x14ac:dyDescent="0.3">
      <c r="A2717" s="109" t="s">
        <v>18553</v>
      </c>
      <c r="B2717" s="109" t="s">
        <v>17947</v>
      </c>
      <c r="C2717" s="109" t="s">
        <v>17947</v>
      </c>
      <c r="D2717" s="109" t="s">
        <v>18554</v>
      </c>
      <c r="E2717" s="109" t="s">
        <v>5558</v>
      </c>
      <c r="F2717" s="109" t="s">
        <v>2450</v>
      </c>
      <c r="G2717" s="110" t="s">
        <v>6248</v>
      </c>
      <c r="H2717" s="110" t="s">
        <v>18555</v>
      </c>
      <c r="I2717" s="110" t="s">
        <v>18556</v>
      </c>
    </row>
    <row r="2718" spans="1:9" ht="25.2" x14ac:dyDescent="0.3">
      <c r="A2718" s="109" t="s">
        <v>18557</v>
      </c>
      <c r="B2718" s="109" t="s">
        <v>17947</v>
      </c>
      <c r="C2718" s="109" t="s">
        <v>17947</v>
      </c>
      <c r="D2718" s="109" t="s">
        <v>18558</v>
      </c>
      <c r="E2718" s="109" t="s">
        <v>18559</v>
      </c>
      <c r="F2718" s="109" t="s">
        <v>18560</v>
      </c>
      <c r="G2718" s="110" t="s">
        <v>6248</v>
      </c>
      <c r="H2718" s="110" t="s">
        <v>15549</v>
      </c>
      <c r="I2718" s="110" t="s">
        <v>18561</v>
      </c>
    </row>
    <row r="2719" spans="1:9" ht="37.799999999999997" x14ac:dyDescent="0.3">
      <c r="A2719" s="109" t="s">
        <v>18562</v>
      </c>
      <c r="B2719" s="109" t="s">
        <v>17947</v>
      </c>
      <c r="C2719" s="109" t="s">
        <v>17947</v>
      </c>
      <c r="D2719" s="109" t="s">
        <v>18563</v>
      </c>
      <c r="E2719" s="109" t="s">
        <v>5558</v>
      </c>
      <c r="F2719" s="109" t="s">
        <v>18564</v>
      </c>
      <c r="G2719" s="110" t="s">
        <v>6248</v>
      </c>
      <c r="H2719" s="110" t="s">
        <v>18565</v>
      </c>
      <c r="I2719" s="110" t="s">
        <v>18566</v>
      </c>
    </row>
    <row r="2720" spans="1:9" ht="25.2" x14ac:dyDescent="0.3">
      <c r="A2720" s="109" t="s">
        <v>18567</v>
      </c>
      <c r="B2720" s="109" t="s">
        <v>17947</v>
      </c>
      <c r="C2720" s="109" t="s">
        <v>17947</v>
      </c>
      <c r="D2720" s="109" t="s">
        <v>18568</v>
      </c>
      <c r="E2720" s="109" t="s">
        <v>5558</v>
      </c>
      <c r="F2720" s="109" t="s">
        <v>18569</v>
      </c>
      <c r="G2720" s="110" t="s">
        <v>6248</v>
      </c>
      <c r="H2720" s="110" t="s">
        <v>18570</v>
      </c>
      <c r="I2720" s="110" t="s">
        <v>18571</v>
      </c>
    </row>
    <row r="2721" spans="1:9" ht="25.2" x14ac:dyDescent="0.3">
      <c r="A2721" s="109" t="s">
        <v>18572</v>
      </c>
      <c r="B2721" s="109" t="s">
        <v>17947</v>
      </c>
      <c r="C2721" s="109" t="s">
        <v>17947</v>
      </c>
      <c r="D2721" s="109" t="s">
        <v>18573</v>
      </c>
      <c r="E2721" s="109" t="s">
        <v>5558</v>
      </c>
      <c r="F2721" s="109" t="s">
        <v>18574</v>
      </c>
      <c r="G2721" s="110" t="s">
        <v>6248</v>
      </c>
      <c r="H2721" s="110" t="s">
        <v>6655</v>
      </c>
      <c r="I2721" s="110" t="s">
        <v>18575</v>
      </c>
    </row>
    <row r="2722" spans="1:9" ht="25.2" x14ac:dyDescent="0.3">
      <c r="A2722" s="109" t="s">
        <v>18576</v>
      </c>
      <c r="B2722" s="109" t="s">
        <v>17947</v>
      </c>
      <c r="C2722" s="109" t="s">
        <v>17947</v>
      </c>
      <c r="D2722" s="109" t="s">
        <v>18577</v>
      </c>
      <c r="E2722" s="109" t="s">
        <v>5558</v>
      </c>
      <c r="F2722" s="109" t="s">
        <v>18578</v>
      </c>
      <c r="G2722" s="110" t="s">
        <v>6248</v>
      </c>
      <c r="H2722" s="110" t="s">
        <v>18579</v>
      </c>
      <c r="I2722" s="110" t="s">
        <v>18580</v>
      </c>
    </row>
    <row r="2723" spans="1:9" ht="25.2" x14ac:dyDescent="0.3">
      <c r="A2723" s="109" t="s">
        <v>18581</v>
      </c>
      <c r="B2723" s="109" t="s">
        <v>17947</v>
      </c>
      <c r="C2723" s="109" t="s">
        <v>17947</v>
      </c>
      <c r="D2723" s="109" t="s">
        <v>18582</v>
      </c>
      <c r="E2723" s="109" t="s">
        <v>18583</v>
      </c>
      <c r="F2723" s="109" t="s">
        <v>18584</v>
      </c>
      <c r="G2723" s="110" t="s">
        <v>6248</v>
      </c>
      <c r="H2723" s="110" t="s">
        <v>18585</v>
      </c>
      <c r="I2723" s="110" t="s">
        <v>18586</v>
      </c>
    </row>
    <row r="2724" spans="1:9" ht="37.799999999999997" x14ac:dyDescent="0.3">
      <c r="A2724" s="109" t="s">
        <v>18587</v>
      </c>
      <c r="B2724" s="109" t="s">
        <v>17947</v>
      </c>
      <c r="C2724" s="109" t="s">
        <v>17947</v>
      </c>
      <c r="D2724" s="109" t="s">
        <v>18588</v>
      </c>
      <c r="E2724" s="109" t="s">
        <v>5558</v>
      </c>
      <c r="F2724" s="109" t="s">
        <v>18589</v>
      </c>
      <c r="G2724" s="110" t="s">
        <v>6248</v>
      </c>
      <c r="H2724" s="110" t="s">
        <v>6689</v>
      </c>
      <c r="I2724" s="110" t="s">
        <v>18590</v>
      </c>
    </row>
    <row r="2725" spans="1:9" ht="25.2" x14ac:dyDescent="0.3">
      <c r="A2725" s="109" t="s">
        <v>18591</v>
      </c>
      <c r="B2725" s="109" t="s">
        <v>17947</v>
      </c>
      <c r="C2725" s="109" t="s">
        <v>17947</v>
      </c>
      <c r="D2725" s="109" t="s">
        <v>3974</v>
      </c>
      <c r="E2725" s="109" t="s">
        <v>5558</v>
      </c>
      <c r="F2725" s="109" t="s">
        <v>18592</v>
      </c>
      <c r="G2725" s="110" t="s">
        <v>6248</v>
      </c>
      <c r="H2725" s="110" t="s">
        <v>18593</v>
      </c>
      <c r="I2725" s="110" t="s">
        <v>18594</v>
      </c>
    </row>
    <row r="2726" spans="1:9" ht="25.2" x14ac:dyDescent="0.3">
      <c r="A2726" s="109" t="s">
        <v>18595</v>
      </c>
      <c r="B2726" s="109" t="s">
        <v>17947</v>
      </c>
      <c r="C2726" s="109" t="s">
        <v>17947</v>
      </c>
      <c r="D2726" s="109" t="s">
        <v>18596</v>
      </c>
      <c r="E2726" s="109" t="s">
        <v>18597</v>
      </c>
      <c r="F2726" s="109" t="s">
        <v>18598</v>
      </c>
      <c r="G2726" s="110" t="s">
        <v>6248</v>
      </c>
      <c r="H2726" s="110" t="s">
        <v>18599</v>
      </c>
      <c r="I2726" s="110" t="s">
        <v>18600</v>
      </c>
    </row>
    <row r="2727" spans="1:9" ht="25.2" x14ac:dyDescent="0.3">
      <c r="A2727" s="109" t="s">
        <v>18601</v>
      </c>
      <c r="B2727" s="109" t="s">
        <v>17947</v>
      </c>
      <c r="C2727" s="109" t="s">
        <v>17947</v>
      </c>
      <c r="D2727" s="109" t="s">
        <v>18602</v>
      </c>
      <c r="E2727" s="109" t="s">
        <v>18603</v>
      </c>
      <c r="F2727" s="109" t="s">
        <v>18598</v>
      </c>
      <c r="G2727" s="110" t="s">
        <v>6248</v>
      </c>
      <c r="H2727" s="110" t="s">
        <v>18604</v>
      </c>
      <c r="I2727" s="110" t="s">
        <v>18605</v>
      </c>
    </row>
    <row r="2728" spans="1:9" ht="37.799999999999997" x14ac:dyDescent="0.3">
      <c r="A2728" s="109" t="s">
        <v>18606</v>
      </c>
      <c r="B2728" s="109" t="s">
        <v>17947</v>
      </c>
      <c r="C2728" s="109" t="s">
        <v>17947</v>
      </c>
      <c r="D2728" s="109" t="s">
        <v>18607</v>
      </c>
      <c r="E2728" s="109" t="s">
        <v>5558</v>
      </c>
      <c r="F2728" s="109" t="s">
        <v>18608</v>
      </c>
      <c r="G2728" s="110" t="s">
        <v>6248</v>
      </c>
      <c r="H2728" s="110" t="s">
        <v>18609</v>
      </c>
      <c r="I2728" s="110" t="s">
        <v>18610</v>
      </c>
    </row>
    <row r="2729" spans="1:9" ht="25.2" x14ac:dyDescent="0.3">
      <c r="A2729" s="109" t="s">
        <v>18611</v>
      </c>
      <c r="B2729" s="109" t="s">
        <v>17947</v>
      </c>
      <c r="C2729" s="109" t="s">
        <v>17947</v>
      </c>
      <c r="D2729" s="109" t="s">
        <v>18612</v>
      </c>
      <c r="E2729" s="109" t="s">
        <v>18613</v>
      </c>
      <c r="F2729" s="109" t="s">
        <v>8707</v>
      </c>
      <c r="G2729" s="110" t="s">
        <v>6248</v>
      </c>
      <c r="H2729" s="110" t="s">
        <v>18614</v>
      </c>
      <c r="I2729" s="110" t="s">
        <v>18615</v>
      </c>
    </row>
    <row r="2730" spans="1:9" ht="25.2" x14ac:dyDescent="0.3">
      <c r="A2730" s="109" t="s">
        <v>18616</v>
      </c>
      <c r="B2730" s="109" t="s">
        <v>17947</v>
      </c>
      <c r="C2730" s="109" t="s">
        <v>17947</v>
      </c>
      <c r="D2730" s="109" t="s">
        <v>18617</v>
      </c>
      <c r="E2730" s="109" t="s">
        <v>18618</v>
      </c>
      <c r="F2730" s="109" t="s">
        <v>8707</v>
      </c>
      <c r="G2730" s="110" t="s">
        <v>6248</v>
      </c>
      <c r="H2730" s="110" t="s">
        <v>11384</v>
      </c>
      <c r="I2730" s="110" t="s">
        <v>18619</v>
      </c>
    </row>
    <row r="2731" spans="1:9" ht="37.799999999999997" x14ac:dyDescent="0.3">
      <c r="A2731" s="109" t="s">
        <v>18620</v>
      </c>
      <c r="B2731" s="109" t="s">
        <v>17947</v>
      </c>
      <c r="C2731" s="109" t="s">
        <v>17947</v>
      </c>
      <c r="D2731" s="109" t="s">
        <v>2427</v>
      </c>
      <c r="E2731" s="109" t="s">
        <v>5558</v>
      </c>
      <c r="F2731" s="109" t="s">
        <v>18621</v>
      </c>
      <c r="G2731" s="110" t="s">
        <v>6248</v>
      </c>
      <c r="H2731" s="110" t="s">
        <v>18622</v>
      </c>
      <c r="I2731" s="110" t="s">
        <v>18623</v>
      </c>
    </row>
    <row r="2732" spans="1:9" ht="25.2" x14ac:dyDescent="0.3">
      <c r="A2732" s="109" t="s">
        <v>18624</v>
      </c>
      <c r="B2732" s="109" t="s">
        <v>17947</v>
      </c>
      <c r="C2732" s="109" t="s">
        <v>17947</v>
      </c>
      <c r="D2732" s="109" t="s">
        <v>18625</v>
      </c>
      <c r="E2732" s="109" t="s">
        <v>18626</v>
      </c>
      <c r="F2732" s="109" t="s">
        <v>8707</v>
      </c>
      <c r="G2732" s="110" t="s">
        <v>6248</v>
      </c>
      <c r="H2732" s="110" t="s">
        <v>18627</v>
      </c>
      <c r="I2732" s="110" t="s">
        <v>18628</v>
      </c>
    </row>
    <row r="2733" spans="1:9" ht="50.4" x14ac:dyDescent="0.3">
      <c r="A2733" s="109" t="s">
        <v>18629</v>
      </c>
      <c r="B2733" s="109" t="s">
        <v>17947</v>
      </c>
      <c r="C2733" s="109" t="s">
        <v>17947</v>
      </c>
      <c r="D2733" s="109" t="s">
        <v>11189</v>
      </c>
      <c r="E2733" s="109" t="s">
        <v>11189</v>
      </c>
      <c r="F2733" s="109" t="s">
        <v>18630</v>
      </c>
      <c r="G2733" s="110" t="s">
        <v>6248</v>
      </c>
      <c r="H2733" s="110" t="s">
        <v>18631</v>
      </c>
      <c r="I2733" s="110" t="s">
        <v>18632</v>
      </c>
    </row>
    <row r="2734" spans="1:9" ht="50.4" x14ac:dyDescent="0.3">
      <c r="A2734" s="109" t="s">
        <v>18633</v>
      </c>
      <c r="B2734" s="109" t="s">
        <v>17947</v>
      </c>
      <c r="C2734" s="109" t="s">
        <v>17947</v>
      </c>
      <c r="D2734" s="109" t="s">
        <v>6131</v>
      </c>
      <c r="E2734" s="109" t="s">
        <v>6131</v>
      </c>
      <c r="F2734" s="109" t="s">
        <v>18634</v>
      </c>
      <c r="G2734" s="110" t="s">
        <v>6248</v>
      </c>
      <c r="H2734" s="110" t="s">
        <v>18635</v>
      </c>
      <c r="I2734" s="110" t="s">
        <v>18636</v>
      </c>
    </row>
    <row r="2735" spans="1:9" ht="50.4" x14ac:dyDescent="0.3">
      <c r="A2735" s="109" t="s">
        <v>18637</v>
      </c>
      <c r="B2735" s="109" t="s">
        <v>17947</v>
      </c>
      <c r="C2735" s="109" t="s">
        <v>17947</v>
      </c>
      <c r="D2735" s="109" t="s">
        <v>18638</v>
      </c>
      <c r="E2735" s="109" t="s">
        <v>18638</v>
      </c>
      <c r="F2735" s="109" t="s">
        <v>18639</v>
      </c>
      <c r="G2735" s="110" t="s">
        <v>6248</v>
      </c>
      <c r="H2735" s="110" t="s">
        <v>18640</v>
      </c>
      <c r="I2735" s="110" t="s">
        <v>18641</v>
      </c>
    </row>
    <row r="2736" spans="1:9" ht="37.799999999999997" x14ac:dyDescent="0.3">
      <c r="A2736" s="109" t="s">
        <v>18642</v>
      </c>
      <c r="B2736" s="109" t="s">
        <v>17947</v>
      </c>
      <c r="C2736" s="109" t="s">
        <v>17947</v>
      </c>
      <c r="D2736" s="109" t="s">
        <v>18643</v>
      </c>
      <c r="E2736" s="109" t="s">
        <v>18644</v>
      </c>
      <c r="F2736" s="109" t="s">
        <v>18645</v>
      </c>
      <c r="G2736" s="110" t="s">
        <v>6248</v>
      </c>
      <c r="H2736" s="110" t="s">
        <v>18646</v>
      </c>
      <c r="I2736" s="110" t="s">
        <v>18647</v>
      </c>
    </row>
    <row r="2737" spans="1:9" ht="37.799999999999997" x14ac:dyDescent="0.3">
      <c r="A2737" s="109" t="s">
        <v>18648</v>
      </c>
      <c r="B2737" s="109" t="s">
        <v>17947</v>
      </c>
      <c r="C2737" s="109" t="s">
        <v>17947</v>
      </c>
      <c r="D2737" s="109" t="s">
        <v>18649</v>
      </c>
      <c r="E2737" s="109" t="s">
        <v>11190</v>
      </c>
      <c r="F2737" s="109" t="s">
        <v>18650</v>
      </c>
      <c r="G2737" s="110" t="s">
        <v>6248</v>
      </c>
      <c r="H2737" s="110" t="s">
        <v>18651</v>
      </c>
      <c r="I2737" s="110" t="s">
        <v>18652</v>
      </c>
    </row>
    <row r="2738" spans="1:9" ht="50.4" x14ac:dyDescent="0.3">
      <c r="A2738" s="109" t="s">
        <v>18653</v>
      </c>
      <c r="B2738" s="109" t="s">
        <v>17947</v>
      </c>
      <c r="C2738" s="109" t="s">
        <v>17947</v>
      </c>
      <c r="D2738" s="109" t="s">
        <v>16582</v>
      </c>
      <c r="E2738" s="109" t="s">
        <v>16582</v>
      </c>
      <c r="F2738" s="109" t="s">
        <v>18654</v>
      </c>
      <c r="G2738" s="110" t="s">
        <v>6248</v>
      </c>
      <c r="H2738" s="110" t="s">
        <v>18655</v>
      </c>
      <c r="I2738" s="110" t="s">
        <v>18656</v>
      </c>
    </row>
    <row r="2739" spans="1:9" ht="50.4" x14ac:dyDescent="0.3">
      <c r="A2739" s="109" t="s">
        <v>18657</v>
      </c>
      <c r="B2739" s="109" t="s">
        <v>17947</v>
      </c>
      <c r="C2739" s="109" t="s">
        <v>17947</v>
      </c>
      <c r="D2739" s="109" t="s">
        <v>18658</v>
      </c>
      <c r="E2739" s="109" t="s">
        <v>18658</v>
      </c>
      <c r="F2739" s="109" t="s">
        <v>18659</v>
      </c>
      <c r="G2739" s="110" t="s">
        <v>6248</v>
      </c>
      <c r="H2739" s="110" t="s">
        <v>18660</v>
      </c>
      <c r="I2739" s="110" t="s">
        <v>18661</v>
      </c>
    </row>
    <row r="2740" spans="1:9" ht="50.4" x14ac:dyDescent="0.3">
      <c r="A2740" s="109" t="s">
        <v>18662</v>
      </c>
      <c r="B2740" s="109" t="s">
        <v>17947</v>
      </c>
      <c r="C2740" s="109" t="s">
        <v>17947</v>
      </c>
      <c r="D2740" s="109" t="s">
        <v>18663</v>
      </c>
      <c r="E2740" s="109" t="s">
        <v>18663</v>
      </c>
      <c r="F2740" s="109" t="s">
        <v>18664</v>
      </c>
      <c r="G2740" s="110" t="s">
        <v>6248</v>
      </c>
      <c r="H2740" s="110" t="s">
        <v>18665</v>
      </c>
      <c r="I2740" s="110" t="s">
        <v>18666</v>
      </c>
    </row>
    <row r="2741" spans="1:9" ht="50.4" x14ac:dyDescent="0.3">
      <c r="A2741" s="109" t="s">
        <v>18667</v>
      </c>
      <c r="B2741" s="109" t="s">
        <v>17947</v>
      </c>
      <c r="C2741" s="109" t="s">
        <v>17947</v>
      </c>
      <c r="D2741" s="109" t="s">
        <v>18668</v>
      </c>
      <c r="E2741" s="109" t="s">
        <v>18668</v>
      </c>
      <c r="F2741" s="109" t="s">
        <v>18669</v>
      </c>
      <c r="G2741" s="110" t="s">
        <v>6248</v>
      </c>
      <c r="H2741" s="110" t="s">
        <v>18670</v>
      </c>
      <c r="I2741" s="110" t="s">
        <v>18671</v>
      </c>
    </row>
    <row r="2742" spans="1:9" ht="50.4" x14ac:dyDescent="0.3">
      <c r="A2742" s="109" t="s">
        <v>18672</v>
      </c>
      <c r="B2742" s="109" t="s">
        <v>17947</v>
      </c>
      <c r="C2742" s="109" t="s">
        <v>17947</v>
      </c>
      <c r="D2742" s="109" t="s">
        <v>18673</v>
      </c>
      <c r="E2742" s="109" t="s">
        <v>18673</v>
      </c>
      <c r="F2742" s="109" t="s">
        <v>18674</v>
      </c>
      <c r="G2742" s="110" t="s">
        <v>6248</v>
      </c>
      <c r="H2742" s="110" t="s">
        <v>18675</v>
      </c>
      <c r="I2742" s="110" t="s">
        <v>18676</v>
      </c>
    </row>
    <row r="2743" spans="1:9" ht="50.4" x14ac:dyDescent="0.3">
      <c r="A2743" s="109" t="s">
        <v>18677</v>
      </c>
      <c r="B2743" s="109" t="s">
        <v>17947</v>
      </c>
      <c r="C2743" s="109" t="s">
        <v>17947</v>
      </c>
      <c r="D2743" s="109" t="s">
        <v>18678</v>
      </c>
      <c r="E2743" s="109" t="s">
        <v>18678</v>
      </c>
      <c r="F2743" s="109" t="s">
        <v>18679</v>
      </c>
      <c r="G2743" s="110" t="s">
        <v>6248</v>
      </c>
      <c r="H2743" s="110" t="s">
        <v>18680</v>
      </c>
      <c r="I2743" s="110" t="s">
        <v>18681</v>
      </c>
    </row>
    <row r="2744" spans="1:9" ht="50.4" x14ac:dyDescent="0.3">
      <c r="A2744" s="109" t="s">
        <v>18682</v>
      </c>
      <c r="B2744" s="109" t="s">
        <v>17947</v>
      </c>
      <c r="C2744" s="109" t="s">
        <v>17947</v>
      </c>
      <c r="D2744" s="109" t="s">
        <v>18683</v>
      </c>
      <c r="E2744" s="109" t="s">
        <v>18683</v>
      </c>
      <c r="F2744" s="109" t="s">
        <v>18684</v>
      </c>
      <c r="G2744" s="110" t="s">
        <v>6248</v>
      </c>
      <c r="H2744" s="110" t="s">
        <v>18685</v>
      </c>
      <c r="I2744" s="110" t="s">
        <v>18686</v>
      </c>
    </row>
    <row r="2745" spans="1:9" ht="50.4" x14ac:dyDescent="0.3">
      <c r="A2745" s="109" t="s">
        <v>18687</v>
      </c>
      <c r="B2745" s="109" t="s">
        <v>17947</v>
      </c>
      <c r="C2745" s="109" t="s">
        <v>17947</v>
      </c>
      <c r="D2745" s="109" t="s">
        <v>18688</v>
      </c>
      <c r="E2745" s="109" t="s">
        <v>18688</v>
      </c>
      <c r="F2745" s="109" t="s">
        <v>18689</v>
      </c>
      <c r="G2745" s="110" t="s">
        <v>6248</v>
      </c>
      <c r="H2745" s="110" t="s">
        <v>18690</v>
      </c>
      <c r="I2745" s="110" t="s">
        <v>18691</v>
      </c>
    </row>
    <row r="2746" spans="1:9" ht="50.4" x14ac:dyDescent="0.3">
      <c r="A2746" s="109" t="s">
        <v>18692</v>
      </c>
      <c r="B2746" s="109" t="s">
        <v>17947</v>
      </c>
      <c r="C2746" s="109" t="s">
        <v>17947</v>
      </c>
      <c r="D2746" s="109" t="s">
        <v>18693</v>
      </c>
      <c r="E2746" s="109" t="s">
        <v>18693</v>
      </c>
      <c r="F2746" s="109" t="s">
        <v>18694</v>
      </c>
      <c r="G2746" s="110" t="s">
        <v>6248</v>
      </c>
      <c r="H2746" s="110" t="s">
        <v>18695</v>
      </c>
      <c r="I2746" s="110" t="s">
        <v>18696</v>
      </c>
    </row>
    <row r="2747" spans="1:9" ht="50.4" x14ac:dyDescent="0.3">
      <c r="A2747" s="109" t="s">
        <v>18697</v>
      </c>
      <c r="B2747" s="109" t="s">
        <v>17947</v>
      </c>
      <c r="C2747" s="109" t="s">
        <v>17947</v>
      </c>
      <c r="D2747" s="109" t="s">
        <v>18698</v>
      </c>
      <c r="E2747" s="109" t="s">
        <v>18698</v>
      </c>
      <c r="F2747" s="109" t="s">
        <v>18699</v>
      </c>
      <c r="G2747" s="110" t="s">
        <v>6248</v>
      </c>
      <c r="H2747" s="110" t="s">
        <v>18700</v>
      </c>
      <c r="I2747" s="110" t="s">
        <v>18701</v>
      </c>
    </row>
    <row r="2748" spans="1:9" ht="37.799999999999997" x14ac:dyDescent="0.3">
      <c r="A2748" s="109" t="s">
        <v>18702</v>
      </c>
      <c r="B2748" s="109" t="s">
        <v>17947</v>
      </c>
      <c r="C2748" s="109" t="s">
        <v>17947</v>
      </c>
      <c r="D2748" s="109" t="s">
        <v>6190</v>
      </c>
      <c r="E2748" s="109" t="s">
        <v>6190</v>
      </c>
      <c r="F2748" s="109" t="s">
        <v>18703</v>
      </c>
      <c r="G2748" s="110" t="s">
        <v>6248</v>
      </c>
      <c r="H2748" s="110" t="s">
        <v>18704</v>
      </c>
      <c r="I2748" s="110" t="s">
        <v>18705</v>
      </c>
    </row>
    <row r="2749" spans="1:9" ht="50.4" x14ac:dyDescent="0.3">
      <c r="A2749" s="109" t="s">
        <v>18706</v>
      </c>
      <c r="B2749" s="109" t="s">
        <v>17947</v>
      </c>
      <c r="C2749" s="109" t="s">
        <v>17947</v>
      </c>
      <c r="D2749" s="109" t="s">
        <v>6190</v>
      </c>
      <c r="E2749" s="109" t="s">
        <v>6190</v>
      </c>
      <c r="F2749" s="109" t="s">
        <v>17583</v>
      </c>
      <c r="G2749" s="110" t="s">
        <v>6248</v>
      </c>
      <c r="H2749" s="110" t="s">
        <v>18707</v>
      </c>
      <c r="I2749" s="110" t="s">
        <v>18708</v>
      </c>
    </row>
    <row r="2750" spans="1:9" ht="50.4" x14ac:dyDescent="0.3">
      <c r="A2750" s="109" t="s">
        <v>18709</v>
      </c>
      <c r="B2750" s="109" t="s">
        <v>17947</v>
      </c>
      <c r="C2750" s="109" t="s">
        <v>17947</v>
      </c>
      <c r="D2750" s="109" t="s">
        <v>7333</v>
      </c>
      <c r="E2750" s="109" t="s">
        <v>7333</v>
      </c>
      <c r="F2750" s="109" t="s">
        <v>18710</v>
      </c>
      <c r="G2750" s="110" t="s">
        <v>6248</v>
      </c>
      <c r="H2750" s="110" t="s">
        <v>18711</v>
      </c>
      <c r="I2750" s="110" t="s">
        <v>18712</v>
      </c>
    </row>
    <row r="2751" spans="1:9" ht="25.2" x14ac:dyDescent="0.3">
      <c r="A2751" s="109" t="s">
        <v>18713</v>
      </c>
      <c r="B2751" s="109" t="s">
        <v>17947</v>
      </c>
      <c r="C2751" s="109" t="s">
        <v>17947</v>
      </c>
      <c r="D2751" s="109" t="s">
        <v>18714</v>
      </c>
      <c r="E2751" s="109" t="s">
        <v>18715</v>
      </c>
      <c r="F2751" s="109" t="s">
        <v>18716</v>
      </c>
      <c r="G2751" s="110" t="s">
        <v>6248</v>
      </c>
      <c r="H2751" s="110" t="s">
        <v>18717</v>
      </c>
      <c r="I2751" s="110" t="s">
        <v>18718</v>
      </c>
    </row>
    <row r="2752" spans="1:9" ht="37.799999999999997" x14ac:dyDescent="0.3">
      <c r="A2752" s="109" t="s">
        <v>18719</v>
      </c>
      <c r="B2752" s="109" t="s">
        <v>17947</v>
      </c>
      <c r="C2752" s="109" t="s">
        <v>17947</v>
      </c>
      <c r="D2752" s="109" t="s">
        <v>12574</v>
      </c>
      <c r="E2752" s="109" t="s">
        <v>13597</v>
      </c>
      <c r="F2752" s="109" t="s">
        <v>18720</v>
      </c>
      <c r="G2752" s="110" t="s">
        <v>6248</v>
      </c>
      <c r="H2752" s="110" t="s">
        <v>18721</v>
      </c>
      <c r="I2752" s="110" t="s">
        <v>18722</v>
      </c>
    </row>
    <row r="2753" spans="1:9" ht="50.4" x14ac:dyDescent="0.3">
      <c r="A2753" s="109" t="s">
        <v>18723</v>
      </c>
      <c r="B2753" s="109" t="s">
        <v>17947</v>
      </c>
      <c r="C2753" s="109" t="s">
        <v>17947</v>
      </c>
      <c r="D2753" s="109" t="s">
        <v>18724</v>
      </c>
      <c r="E2753" s="109" t="s">
        <v>18724</v>
      </c>
      <c r="F2753" s="109" t="s">
        <v>18725</v>
      </c>
      <c r="G2753" s="110" t="s">
        <v>6248</v>
      </c>
      <c r="H2753" s="110" t="s">
        <v>18726</v>
      </c>
      <c r="I2753" s="110" t="s">
        <v>18727</v>
      </c>
    </row>
    <row r="2754" spans="1:9" ht="37.799999999999997" x14ac:dyDescent="0.3">
      <c r="A2754" s="109" t="s">
        <v>18728</v>
      </c>
      <c r="B2754" s="109" t="s">
        <v>17947</v>
      </c>
      <c r="C2754" s="109" t="s">
        <v>17947</v>
      </c>
      <c r="D2754" s="109" t="s">
        <v>18729</v>
      </c>
      <c r="E2754" s="109" t="s">
        <v>18729</v>
      </c>
      <c r="F2754" s="109" t="s">
        <v>18730</v>
      </c>
      <c r="G2754" s="110" t="s">
        <v>6248</v>
      </c>
      <c r="H2754" s="110" t="s">
        <v>18731</v>
      </c>
      <c r="I2754" s="110" t="s">
        <v>18732</v>
      </c>
    </row>
    <row r="2755" spans="1:9" ht="50.4" x14ac:dyDescent="0.3">
      <c r="A2755" s="109" t="s">
        <v>18733</v>
      </c>
      <c r="B2755" s="109" t="s">
        <v>17947</v>
      </c>
      <c r="C2755" s="109" t="s">
        <v>17947</v>
      </c>
      <c r="D2755" s="109" t="s">
        <v>18734</v>
      </c>
      <c r="E2755" s="109" t="s">
        <v>18734</v>
      </c>
      <c r="F2755" s="109" t="s">
        <v>18735</v>
      </c>
      <c r="G2755" s="110" t="s">
        <v>6248</v>
      </c>
      <c r="H2755" s="110" t="s">
        <v>18736</v>
      </c>
      <c r="I2755" s="110" t="s">
        <v>18737</v>
      </c>
    </row>
    <row r="2756" spans="1:9" ht="50.4" x14ac:dyDescent="0.3">
      <c r="A2756" s="109" t="s">
        <v>18738</v>
      </c>
      <c r="B2756" s="109" t="s">
        <v>17947</v>
      </c>
      <c r="C2756" s="109" t="s">
        <v>17947</v>
      </c>
      <c r="D2756" s="109" t="s">
        <v>8386</v>
      </c>
      <c r="E2756" s="109" t="s">
        <v>8386</v>
      </c>
      <c r="F2756" s="109" t="s">
        <v>18739</v>
      </c>
      <c r="G2756" s="110" t="s">
        <v>6248</v>
      </c>
      <c r="H2756" s="110" t="s">
        <v>18740</v>
      </c>
      <c r="I2756" s="110" t="s">
        <v>18741</v>
      </c>
    </row>
    <row r="2757" spans="1:9" ht="37.799999999999997" x14ac:dyDescent="0.3">
      <c r="A2757" s="109" t="s">
        <v>18742</v>
      </c>
      <c r="B2757" s="109" t="s">
        <v>17947</v>
      </c>
      <c r="C2757" s="109" t="s">
        <v>17947</v>
      </c>
      <c r="D2757" s="109" t="s">
        <v>11263</v>
      </c>
      <c r="E2757" s="109" t="s">
        <v>11263</v>
      </c>
      <c r="F2757" s="109" t="s">
        <v>18743</v>
      </c>
      <c r="G2757" s="110" t="s">
        <v>6248</v>
      </c>
      <c r="H2757" s="110" t="s">
        <v>6716</v>
      </c>
      <c r="I2757" s="110" t="s">
        <v>18744</v>
      </c>
    </row>
    <row r="2758" spans="1:9" ht="37.799999999999997" x14ac:dyDescent="0.3">
      <c r="A2758" s="109" t="s">
        <v>18745</v>
      </c>
      <c r="B2758" s="109" t="s">
        <v>17947</v>
      </c>
      <c r="C2758" s="109" t="s">
        <v>17947</v>
      </c>
      <c r="D2758" s="109" t="s">
        <v>18746</v>
      </c>
      <c r="E2758" s="109" t="s">
        <v>12449</v>
      </c>
      <c r="F2758" s="109" t="s">
        <v>18747</v>
      </c>
      <c r="G2758" s="110" t="s">
        <v>6248</v>
      </c>
      <c r="H2758" s="110" t="s">
        <v>18748</v>
      </c>
      <c r="I2758" s="110" t="s">
        <v>18749</v>
      </c>
    </row>
    <row r="2759" spans="1:9" ht="50.4" x14ac:dyDescent="0.3">
      <c r="A2759" s="109" t="s">
        <v>18750</v>
      </c>
      <c r="B2759" s="109" t="s">
        <v>17947</v>
      </c>
      <c r="C2759" s="109" t="s">
        <v>17947</v>
      </c>
      <c r="D2759" s="109" t="s">
        <v>18751</v>
      </c>
      <c r="E2759" s="109" t="s">
        <v>18751</v>
      </c>
      <c r="F2759" s="109" t="s">
        <v>18752</v>
      </c>
      <c r="G2759" s="110" t="s">
        <v>6248</v>
      </c>
      <c r="H2759" s="110" t="s">
        <v>18753</v>
      </c>
      <c r="I2759" s="110" t="s">
        <v>18754</v>
      </c>
    </row>
    <row r="2760" spans="1:9" ht="37.799999999999997" x14ac:dyDescent="0.3">
      <c r="A2760" s="109" t="s">
        <v>18755</v>
      </c>
      <c r="B2760" s="109" t="s">
        <v>17947</v>
      </c>
      <c r="C2760" s="109" t="s">
        <v>17947</v>
      </c>
      <c r="D2760" s="109" t="s">
        <v>18756</v>
      </c>
      <c r="E2760" s="109" t="s">
        <v>18757</v>
      </c>
      <c r="F2760" s="109" t="s">
        <v>18758</v>
      </c>
      <c r="G2760" s="110" t="s">
        <v>6248</v>
      </c>
      <c r="H2760" s="110" t="s">
        <v>18759</v>
      </c>
      <c r="I2760" s="110" t="s">
        <v>18760</v>
      </c>
    </row>
    <row r="2761" spans="1:9" ht="37.799999999999997" x14ac:dyDescent="0.3">
      <c r="A2761" s="109" t="s">
        <v>18761</v>
      </c>
      <c r="B2761" s="109" t="s">
        <v>17947</v>
      </c>
      <c r="C2761" s="109" t="s">
        <v>17947</v>
      </c>
      <c r="D2761" s="109" t="s">
        <v>18762</v>
      </c>
      <c r="E2761" s="109" t="s">
        <v>18763</v>
      </c>
      <c r="F2761" s="109" t="s">
        <v>18764</v>
      </c>
      <c r="G2761" s="110" t="s">
        <v>6248</v>
      </c>
      <c r="H2761" s="110" t="s">
        <v>18765</v>
      </c>
      <c r="I2761" s="110" t="s">
        <v>18766</v>
      </c>
    </row>
    <row r="2762" spans="1:9" ht="50.4" x14ac:dyDescent="0.3">
      <c r="A2762" s="109" t="s">
        <v>18767</v>
      </c>
      <c r="B2762" s="109" t="s">
        <v>17947</v>
      </c>
      <c r="C2762" s="109" t="s">
        <v>17947</v>
      </c>
      <c r="D2762" s="109" t="s">
        <v>9689</v>
      </c>
      <c r="E2762" s="109" t="s">
        <v>9689</v>
      </c>
      <c r="F2762" s="109" t="s">
        <v>18768</v>
      </c>
      <c r="G2762" s="110" t="s">
        <v>6248</v>
      </c>
      <c r="H2762" s="110" t="s">
        <v>18769</v>
      </c>
      <c r="I2762" s="110" t="s">
        <v>18770</v>
      </c>
    </row>
    <row r="2763" spans="1:9" ht="25.2" x14ac:dyDescent="0.3">
      <c r="A2763" s="109" t="s">
        <v>18771</v>
      </c>
      <c r="B2763" s="109" t="s">
        <v>17947</v>
      </c>
      <c r="C2763" s="109" t="s">
        <v>17947</v>
      </c>
      <c r="D2763" s="109" t="s">
        <v>18772</v>
      </c>
      <c r="E2763" s="109" t="s">
        <v>5558</v>
      </c>
      <c r="F2763" s="109" t="s">
        <v>18773</v>
      </c>
      <c r="G2763" s="110" t="s">
        <v>6248</v>
      </c>
      <c r="H2763" s="110" t="s">
        <v>18774</v>
      </c>
      <c r="I2763" s="110" t="s">
        <v>18775</v>
      </c>
    </row>
    <row r="2764" spans="1:9" ht="25.2" x14ac:dyDescent="0.3">
      <c r="A2764" s="109" t="s">
        <v>18776</v>
      </c>
      <c r="B2764" s="109" t="s">
        <v>17947</v>
      </c>
      <c r="C2764" s="109" t="s">
        <v>17947</v>
      </c>
      <c r="D2764" s="109" t="s">
        <v>5569</v>
      </c>
      <c r="E2764" s="109" t="s">
        <v>5558</v>
      </c>
      <c r="F2764" s="109" t="s">
        <v>2258</v>
      </c>
      <c r="G2764" s="110" t="s">
        <v>6248</v>
      </c>
      <c r="H2764" s="110" t="s">
        <v>18777</v>
      </c>
      <c r="I2764" s="110" t="s">
        <v>18778</v>
      </c>
    </row>
    <row r="2765" spans="1:9" ht="25.2" x14ac:dyDescent="0.3">
      <c r="A2765" s="109" t="s">
        <v>18779</v>
      </c>
      <c r="B2765" s="109" t="s">
        <v>17947</v>
      </c>
      <c r="C2765" s="109" t="s">
        <v>17947</v>
      </c>
      <c r="D2765" s="109" t="s">
        <v>5569</v>
      </c>
      <c r="E2765" s="109" t="s">
        <v>5558</v>
      </c>
      <c r="F2765" s="109" t="s">
        <v>2258</v>
      </c>
      <c r="G2765" s="110" t="s">
        <v>6248</v>
      </c>
      <c r="H2765" s="110" t="s">
        <v>18780</v>
      </c>
      <c r="I2765" s="110" t="s">
        <v>18781</v>
      </c>
    </row>
    <row r="2766" spans="1:9" ht="37.799999999999997" x14ac:dyDescent="0.3">
      <c r="A2766" s="109" t="s">
        <v>18782</v>
      </c>
      <c r="B2766" s="109" t="s">
        <v>17947</v>
      </c>
      <c r="C2766" s="109" t="s">
        <v>17947</v>
      </c>
      <c r="D2766" s="109" t="s">
        <v>9883</v>
      </c>
      <c r="E2766" s="109" t="s">
        <v>9883</v>
      </c>
      <c r="F2766" s="109" t="s">
        <v>18783</v>
      </c>
      <c r="G2766" s="110" t="s">
        <v>6248</v>
      </c>
      <c r="H2766" s="110" t="s">
        <v>18784</v>
      </c>
      <c r="I2766" s="110" t="s">
        <v>18785</v>
      </c>
    </row>
    <row r="2767" spans="1:9" ht="25.2" x14ac:dyDescent="0.3">
      <c r="A2767" s="109" t="s">
        <v>18786</v>
      </c>
      <c r="B2767" s="109" t="s">
        <v>17947</v>
      </c>
      <c r="C2767" s="109" t="s">
        <v>17947</v>
      </c>
      <c r="D2767" s="109" t="s">
        <v>18787</v>
      </c>
      <c r="E2767" s="109" t="s">
        <v>5558</v>
      </c>
      <c r="F2767" s="109" t="s">
        <v>18788</v>
      </c>
      <c r="G2767" s="110" t="s">
        <v>6248</v>
      </c>
      <c r="H2767" s="110" t="s">
        <v>7221</v>
      </c>
      <c r="I2767" s="110" t="s">
        <v>18789</v>
      </c>
    </row>
    <row r="2768" spans="1:9" ht="25.2" x14ac:dyDescent="0.3">
      <c r="A2768" s="109" t="s">
        <v>18790</v>
      </c>
      <c r="B2768" s="109" t="s">
        <v>17947</v>
      </c>
      <c r="C2768" s="109" t="s">
        <v>17947</v>
      </c>
      <c r="D2768" s="109" t="s">
        <v>18791</v>
      </c>
      <c r="E2768" s="109" t="s">
        <v>5558</v>
      </c>
      <c r="F2768" s="109" t="s">
        <v>18792</v>
      </c>
      <c r="G2768" s="110" t="s">
        <v>6248</v>
      </c>
      <c r="H2768" s="110" t="s">
        <v>18793</v>
      </c>
      <c r="I2768" s="110" t="s">
        <v>18794</v>
      </c>
    </row>
    <row r="2769" spans="1:9" ht="25.2" x14ac:dyDescent="0.3">
      <c r="A2769" s="109" t="s">
        <v>18795</v>
      </c>
      <c r="B2769" s="109" t="s">
        <v>17947</v>
      </c>
      <c r="C2769" s="109" t="s">
        <v>17947</v>
      </c>
      <c r="D2769" s="109" t="s">
        <v>5569</v>
      </c>
      <c r="E2769" s="109" t="s">
        <v>5558</v>
      </c>
      <c r="F2769" s="109" t="s">
        <v>2258</v>
      </c>
      <c r="G2769" s="110" t="s">
        <v>6248</v>
      </c>
      <c r="H2769" s="110" t="s">
        <v>18796</v>
      </c>
      <c r="I2769" s="110" t="s">
        <v>18797</v>
      </c>
    </row>
    <row r="2770" spans="1:9" ht="37.799999999999997" x14ac:dyDescent="0.3">
      <c r="A2770" s="109" t="s">
        <v>18798</v>
      </c>
      <c r="B2770" s="109" t="s">
        <v>17947</v>
      </c>
      <c r="C2770" s="109" t="s">
        <v>17947</v>
      </c>
      <c r="D2770" s="109" t="s">
        <v>18799</v>
      </c>
      <c r="E2770" s="109" t="s">
        <v>5558</v>
      </c>
      <c r="F2770" s="109" t="s">
        <v>18800</v>
      </c>
      <c r="G2770" s="110" t="s">
        <v>6248</v>
      </c>
      <c r="H2770" s="110" t="s">
        <v>18801</v>
      </c>
      <c r="I2770" s="110" t="s">
        <v>18802</v>
      </c>
    </row>
    <row r="2771" spans="1:9" ht="25.2" x14ac:dyDescent="0.3">
      <c r="A2771" s="109" t="s">
        <v>18803</v>
      </c>
      <c r="B2771" s="109" t="s">
        <v>17947</v>
      </c>
      <c r="C2771" s="109" t="s">
        <v>17947</v>
      </c>
      <c r="D2771" s="109" t="s">
        <v>18804</v>
      </c>
      <c r="E2771" s="109" t="s">
        <v>5558</v>
      </c>
      <c r="F2771" s="109" t="s">
        <v>18805</v>
      </c>
      <c r="G2771" s="110" t="s">
        <v>6248</v>
      </c>
      <c r="H2771" s="110" t="s">
        <v>18806</v>
      </c>
      <c r="I2771" s="110" t="s">
        <v>18807</v>
      </c>
    </row>
    <row r="2772" spans="1:9" ht="37.799999999999997" x14ac:dyDescent="0.3">
      <c r="A2772" s="109" t="s">
        <v>18808</v>
      </c>
      <c r="B2772" s="109" t="s">
        <v>17947</v>
      </c>
      <c r="C2772" s="109" t="s">
        <v>17947</v>
      </c>
      <c r="D2772" s="109" t="s">
        <v>18809</v>
      </c>
      <c r="E2772" s="109" t="s">
        <v>5558</v>
      </c>
      <c r="F2772" s="109" t="s">
        <v>18810</v>
      </c>
      <c r="G2772" s="110" t="s">
        <v>6248</v>
      </c>
      <c r="H2772" s="110" t="s">
        <v>18811</v>
      </c>
      <c r="I2772" s="110" t="s">
        <v>18812</v>
      </c>
    </row>
    <row r="2773" spans="1:9" ht="37.799999999999997" x14ac:dyDescent="0.3">
      <c r="A2773" s="109" t="s">
        <v>18813</v>
      </c>
      <c r="B2773" s="109" t="s">
        <v>17947</v>
      </c>
      <c r="C2773" s="109" t="s">
        <v>17947</v>
      </c>
      <c r="D2773" s="109" t="s">
        <v>18814</v>
      </c>
      <c r="E2773" s="109" t="s">
        <v>5558</v>
      </c>
      <c r="F2773" s="109" t="s">
        <v>18815</v>
      </c>
      <c r="G2773" s="110" t="s">
        <v>6248</v>
      </c>
      <c r="H2773" s="110" t="s">
        <v>18816</v>
      </c>
      <c r="I2773" s="110" t="s">
        <v>18817</v>
      </c>
    </row>
    <row r="2774" spans="1:9" ht="37.799999999999997" x14ac:dyDescent="0.3">
      <c r="A2774" s="109" t="s">
        <v>18818</v>
      </c>
      <c r="B2774" s="109" t="s">
        <v>17947</v>
      </c>
      <c r="C2774" s="109" t="s">
        <v>17947</v>
      </c>
      <c r="D2774" s="109" t="s">
        <v>18819</v>
      </c>
      <c r="E2774" s="109" t="s">
        <v>5558</v>
      </c>
      <c r="F2774" s="109" t="s">
        <v>18820</v>
      </c>
      <c r="G2774" s="110" t="s">
        <v>6248</v>
      </c>
      <c r="H2774" s="110" t="s">
        <v>18821</v>
      </c>
      <c r="I2774" s="110" t="s">
        <v>18822</v>
      </c>
    </row>
    <row r="2775" spans="1:9" ht="37.799999999999997" x14ac:dyDescent="0.3">
      <c r="A2775" s="109" t="s">
        <v>18823</v>
      </c>
      <c r="B2775" s="109" t="s">
        <v>17947</v>
      </c>
      <c r="C2775" s="109" t="s">
        <v>17947</v>
      </c>
      <c r="D2775" s="109" t="s">
        <v>18824</v>
      </c>
      <c r="E2775" s="109" t="s">
        <v>5558</v>
      </c>
      <c r="F2775" s="109" t="s">
        <v>18825</v>
      </c>
      <c r="G2775" s="110" t="s">
        <v>6248</v>
      </c>
      <c r="H2775" s="110" t="s">
        <v>18826</v>
      </c>
      <c r="I2775" s="110" t="s">
        <v>18827</v>
      </c>
    </row>
    <row r="2776" spans="1:9" ht="25.2" x14ac:dyDescent="0.3">
      <c r="A2776" s="109" t="s">
        <v>18828</v>
      </c>
      <c r="B2776" s="109" t="s">
        <v>17947</v>
      </c>
      <c r="C2776" s="109" t="s">
        <v>17947</v>
      </c>
      <c r="D2776" s="109" t="s">
        <v>18829</v>
      </c>
      <c r="E2776" s="109" t="s">
        <v>5558</v>
      </c>
      <c r="F2776" s="109" t="s">
        <v>18830</v>
      </c>
      <c r="G2776" s="110" t="s">
        <v>6248</v>
      </c>
      <c r="H2776" s="110" t="s">
        <v>9574</v>
      </c>
      <c r="I2776" s="110" t="s">
        <v>18831</v>
      </c>
    </row>
    <row r="2777" spans="1:9" ht="25.2" x14ac:dyDescent="0.3">
      <c r="A2777" s="109" t="s">
        <v>18832</v>
      </c>
      <c r="B2777" s="109" t="s">
        <v>17947</v>
      </c>
      <c r="C2777" s="109" t="s">
        <v>17947</v>
      </c>
      <c r="D2777" s="109" t="s">
        <v>18833</v>
      </c>
      <c r="E2777" s="109" t="s">
        <v>5558</v>
      </c>
      <c r="F2777" s="109" t="s">
        <v>18834</v>
      </c>
      <c r="G2777" s="110" t="s">
        <v>6248</v>
      </c>
      <c r="H2777" s="110" t="s">
        <v>14715</v>
      </c>
      <c r="I2777" s="110" t="s">
        <v>18835</v>
      </c>
    </row>
    <row r="2778" spans="1:9" ht="25.2" x14ac:dyDescent="0.3">
      <c r="A2778" s="109" t="s">
        <v>18836</v>
      </c>
      <c r="B2778" s="109" t="s">
        <v>17947</v>
      </c>
      <c r="C2778" s="109" t="s">
        <v>17947</v>
      </c>
      <c r="D2778" s="109" t="s">
        <v>18837</v>
      </c>
      <c r="E2778" s="109" t="s">
        <v>18838</v>
      </c>
      <c r="F2778" s="109" t="s">
        <v>6267</v>
      </c>
      <c r="G2778" s="110" t="s">
        <v>6248</v>
      </c>
      <c r="H2778" s="110" t="s">
        <v>18839</v>
      </c>
      <c r="I2778" s="110" t="s">
        <v>18840</v>
      </c>
    </row>
    <row r="2779" spans="1:9" ht="25.2" x14ac:dyDescent="0.3">
      <c r="A2779" s="109" t="s">
        <v>18841</v>
      </c>
      <c r="B2779" s="109" t="s">
        <v>17947</v>
      </c>
      <c r="C2779" s="109" t="s">
        <v>17947</v>
      </c>
      <c r="D2779" s="109" t="s">
        <v>18842</v>
      </c>
      <c r="E2779" s="109" t="s">
        <v>18843</v>
      </c>
      <c r="F2779" s="109" t="s">
        <v>6267</v>
      </c>
      <c r="G2779" s="110" t="s">
        <v>6248</v>
      </c>
      <c r="H2779" s="110" t="s">
        <v>18844</v>
      </c>
      <c r="I2779" s="110" t="s">
        <v>18845</v>
      </c>
    </row>
    <row r="2780" spans="1:9" ht="25.2" x14ac:dyDescent="0.3">
      <c r="A2780" s="109" t="s">
        <v>18846</v>
      </c>
      <c r="B2780" s="109" t="s">
        <v>17947</v>
      </c>
      <c r="C2780" s="109" t="s">
        <v>17947</v>
      </c>
      <c r="D2780" s="109" t="s">
        <v>18847</v>
      </c>
      <c r="E2780" s="109" t="s">
        <v>5558</v>
      </c>
      <c r="F2780" s="109" t="s">
        <v>18848</v>
      </c>
      <c r="G2780" s="110" t="s">
        <v>6248</v>
      </c>
      <c r="H2780" s="110" t="s">
        <v>7221</v>
      </c>
      <c r="I2780" s="110" t="s">
        <v>18849</v>
      </c>
    </row>
    <row r="2781" spans="1:9" ht="25.2" x14ac:dyDescent="0.3">
      <c r="A2781" s="109" t="s">
        <v>18850</v>
      </c>
      <c r="B2781" s="109" t="s">
        <v>18851</v>
      </c>
      <c r="C2781" s="109" t="s">
        <v>17947</v>
      </c>
      <c r="D2781" s="109" t="s">
        <v>18852</v>
      </c>
      <c r="E2781" s="109" t="s">
        <v>18853</v>
      </c>
      <c r="F2781" s="109" t="s">
        <v>8852</v>
      </c>
      <c r="G2781" s="110" t="s">
        <v>6248</v>
      </c>
      <c r="H2781" s="110" t="s">
        <v>18854</v>
      </c>
      <c r="I2781" s="110" t="s">
        <v>18855</v>
      </c>
    </row>
    <row r="2782" spans="1:9" ht="25.2" x14ac:dyDescent="0.3">
      <c r="A2782" s="109" t="s">
        <v>18856</v>
      </c>
      <c r="B2782" s="109" t="s">
        <v>18851</v>
      </c>
      <c r="C2782" s="109" t="s">
        <v>18851</v>
      </c>
      <c r="D2782" s="109" t="s">
        <v>18857</v>
      </c>
      <c r="E2782" s="109" t="s">
        <v>18858</v>
      </c>
      <c r="F2782" s="109" t="s">
        <v>17192</v>
      </c>
      <c r="G2782" s="110" t="s">
        <v>6248</v>
      </c>
      <c r="H2782" s="110" t="s">
        <v>18859</v>
      </c>
      <c r="I2782" s="110" t="s">
        <v>18860</v>
      </c>
    </row>
    <row r="2783" spans="1:9" ht="25.2" x14ac:dyDescent="0.3">
      <c r="A2783" s="109" t="s">
        <v>18861</v>
      </c>
      <c r="B2783" s="109" t="s">
        <v>18851</v>
      </c>
      <c r="C2783" s="109" t="s">
        <v>18851</v>
      </c>
      <c r="D2783" s="109" t="s">
        <v>18862</v>
      </c>
      <c r="E2783" s="109" t="s">
        <v>5558</v>
      </c>
      <c r="F2783" s="109" t="s">
        <v>18863</v>
      </c>
      <c r="G2783" s="110" t="s">
        <v>6248</v>
      </c>
      <c r="H2783" s="110" t="s">
        <v>18864</v>
      </c>
      <c r="I2783" s="110" t="s">
        <v>18865</v>
      </c>
    </row>
    <row r="2784" spans="1:9" ht="25.2" x14ac:dyDescent="0.3">
      <c r="A2784" s="109" t="s">
        <v>18866</v>
      </c>
      <c r="B2784" s="109" t="s">
        <v>18851</v>
      </c>
      <c r="C2784" s="109" t="s">
        <v>18851</v>
      </c>
      <c r="D2784" s="109" t="s">
        <v>18867</v>
      </c>
      <c r="E2784" s="109" t="s">
        <v>5558</v>
      </c>
      <c r="F2784" s="109" t="s">
        <v>18868</v>
      </c>
      <c r="G2784" s="110" t="s">
        <v>6248</v>
      </c>
      <c r="H2784" s="110" t="s">
        <v>18869</v>
      </c>
      <c r="I2784" s="110" t="s">
        <v>18870</v>
      </c>
    </row>
    <row r="2785" spans="1:9" ht="25.2" x14ac:dyDescent="0.3">
      <c r="A2785" s="109" t="s">
        <v>18871</v>
      </c>
      <c r="B2785" s="109" t="s">
        <v>18851</v>
      </c>
      <c r="C2785" s="109" t="s">
        <v>18851</v>
      </c>
      <c r="D2785" s="109" t="s">
        <v>18872</v>
      </c>
      <c r="E2785" s="109" t="s">
        <v>5558</v>
      </c>
      <c r="F2785" s="109" t="s">
        <v>18873</v>
      </c>
      <c r="G2785" s="110" t="s">
        <v>6248</v>
      </c>
      <c r="H2785" s="110" t="s">
        <v>6883</v>
      </c>
      <c r="I2785" s="110" t="s">
        <v>18874</v>
      </c>
    </row>
    <row r="2786" spans="1:9" ht="25.2" x14ac:dyDescent="0.3">
      <c r="A2786" s="109" t="s">
        <v>18875</v>
      </c>
      <c r="B2786" s="109" t="s">
        <v>18851</v>
      </c>
      <c r="C2786" s="109" t="s">
        <v>18851</v>
      </c>
      <c r="D2786" s="109" t="s">
        <v>18876</v>
      </c>
      <c r="E2786" s="109" t="s">
        <v>5558</v>
      </c>
      <c r="F2786" s="109" t="s">
        <v>18877</v>
      </c>
      <c r="G2786" s="110" t="s">
        <v>6248</v>
      </c>
      <c r="H2786" s="110" t="s">
        <v>7592</v>
      </c>
      <c r="I2786" s="110" t="s">
        <v>18878</v>
      </c>
    </row>
    <row r="2787" spans="1:9" ht="37.799999999999997" x14ac:dyDescent="0.3">
      <c r="A2787" s="109" t="s">
        <v>18879</v>
      </c>
      <c r="B2787" s="109" t="s">
        <v>18851</v>
      </c>
      <c r="C2787" s="109" t="s">
        <v>18851</v>
      </c>
      <c r="D2787" s="109" t="s">
        <v>18880</v>
      </c>
      <c r="E2787" s="109" t="s">
        <v>5558</v>
      </c>
      <c r="F2787" s="109" t="s">
        <v>18881</v>
      </c>
      <c r="G2787" s="110" t="s">
        <v>6248</v>
      </c>
      <c r="H2787" s="110" t="s">
        <v>9158</v>
      </c>
      <c r="I2787" s="110" t="s">
        <v>18882</v>
      </c>
    </row>
    <row r="2788" spans="1:9" ht="25.2" x14ac:dyDescent="0.3">
      <c r="A2788" s="109" t="s">
        <v>18883</v>
      </c>
      <c r="B2788" s="109" t="s">
        <v>18851</v>
      </c>
      <c r="C2788" s="109" t="s">
        <v>18851</v>
      </c>
      <c r="D2788" s="109" t="s">
        <v>18884</v>
      </c>
      <c r="E2788" s="109" t="s">
        <v>5558</v>
      </c>
      <c r="F2788" s="109" t="s">
        <v>18885</v>
      </c>
      <c r="G2788" s="110" t="s">
        <v>6248</v>
      </c>
      <c r="H2788" s="110" t="s">
        <v>6408</v>
      </c>
      <c r="I2788" s="110" t="s">
        <v>18886</v>
      </c>
    </row>
    <row r="2789" spans="1:9" ht="25.2" x14ac:dyDescent="0.3">
      <c r="A2789" s="109" t="s">
        <v>18887</v>
      </c>
      <c r="B2789" s="109" t="s">
        <v>18851</v>
      </c>
      <c r="C2789" s="109" t="s">
        <v>18851</v>
      </c>
      <c r="D2789" s="109" t="s">
        <v>18888</v>
      </c>
      <c r="E2789" s="109" t="s">
        <v>5558</v>
      </c>
      <c r="F2789" s="109" t="s">
        <v>18889</v>
      </c>
      <c r="G2789" s="110" t="s">
        <v>6248</v>
      </c>
      <c r="H2789" s="110" t="s">
        <v>6557</v>
      </c>
      <c r="I2789" s="110" t="s">
        <v>18890</v>
      </c>
    </row>
    <row r="2790" spans="1:9" ht="25.2" x14ac:dyDescent="0.3">
      <c r="A2790" s="109" t="s">
        <v>18891</v>
      </c>
      <c r="B2790" s="109" t="s">
        <v>18851</v>
      </c>
      <c r="C2790" s="109" t="s">
        <v>18851</v>
      </c>
      <c r="D2790" s="109" t="s">
        <v>18892</v>
      </c>
      <c r="E2790" s="109" t="s">
        <v>5558</v>
      </c>
      <c r="F2790" s="109" t="s">
        <v>18893</v>
      </c>
      <c r="G2790" s="110" t="s">
        <v>6248</v>
      </c>
      <c r="H2790" s="110" t="s">
        <v>8348</v>
      </c>
      <c r="I2790" s="110" t="s">
        <v>18894</v>
      </c>
    </row>
    <row r="2791" spans="1:9" ht="37.799999999999997" x14ac:dyDescent="0.3">
      <c r="A2791" s="109" t="s">
        <v>18895</v>
      </c>
      <c r="B2791" s="109" t="s">
        <v>18851</v>
      </c>
      <c r="C2791" s="109" t="s">
        <v>18851</v>
      </c>
      <c r="D2791" s="109" t="s">
        <v>18896</v>
      </c>
      <c r="E2791" s="109" t="s">
        <v>5558</v>
      </c>
      <c r="F2791" s="109" t="s">
        <v>18897</v>
      </c>
      <c r="G2791" s="110" t="s">
        <v>6248</v>
      </c>
      <c r="H2791" s="110" t="s">
        <v>7817</v>
      </c>
      <c r="I2791" s="110" t="s">
        <v>18898</v>
      </c>
    </row>
    <row r="2792" spans="1:9" ht="37.799999999999997" x14ac:dyDescent="0.3">
      <c r="A2792" s="109" t="s">
        <v>18899</v>
      </c>
      <c r="B2792" s="109" t="s">
        <v>18851</v>
      </c>
      <c r="C2792" s="109" t="s">
        <v>18851</v>
      </c>
      <c r="D2792" s="109" t="s">
        <v>18900</v>
      </c>
      <c r="E2792" s="109" t="s">
        <v>5558</v>
      </c>
      <c r="F2792" s="109" t="s">
        <v>18901</v>
      </c>
      <c r="G2792" s="110" t="s">
        <v>6248</v>
      </c>
      <c r="H2792" s="110" t="s">
        <v>6398</v>
      </c>
      <c r="I2792" s="110" t="s">
        <v>18902</v>
      </c>
    </row>
    <row r="2793" spans="1:9" ht="25.2" x14ac:dyDescent="0.3">
      <c r="A2793" s="109" t="s">
        <v>18903</v>
      </c>
      <c r="B2793" s="109" t="s">
        <v>18851</v>
      </c>
      <c r="C2793" s="109" t="s">
        <v>18851</v>
      </c>
      <c r="D2793" s="109" t="s">
        <v>18904</v>
      </c>
      <c r="E2793" s="109" t="s">
        <v>5558</v>
      </c>
      <c r="F2793" s="109" t="s">
        <v>18905</v>
      </c>
      <c r="G2793" s="110" t="s">
        <v>6248</v>
      </c>
      <c r="H2793" s="110" t="s">
        <v>7592</v>
      </c>
      <c r="I2793" s="110" t="s">
        <v>18906</v>
      </c>
    </row>
    <row r="2794" spans="1:9" ht="25.2" x14ac:dyDescent="0.3">
      <c r="A2794" s="109" t="s">
        <v>18907</v>
      </c>
      <c r="B2794" s="109" t="s">
        <v>18851</v>
      </c>
      <c r="C2794" s="109" t="s">
        <v>18851</v>
      </c>
      <c r="D2794" s="109" t="s">
        <v>18908</v>
      </c>
      <c r="E2794" s="109" t="s">
        <v>5558</v>
      </c>
      <c r="F2794" s="109" t="s">
        <v>18909</v>
      </c>
      <c r="G2794" s="110" t="s">
        <v>6248</v>
      </c>
      <c r="H2794" s="110" t="s">
        <v>9141</v>
      </c>
      <c r="I2794" s="110" t="s">
        <v>18910</v>
      </c>
    </row>
    <row r="2795" spans="1:9" ht="25.2" x14ac:dyDescent="0.3">
      <c r="A2795" s="109" t="s">
        <v>18911</v>
      </c>
      <c r="B2795" s="109" t="s">
        <v>18851</v>
      </c>
      <c r="C2795" s="109" t="s">
        <v>18851</v>
      </c>
      <c r="D2795" s="109" t="s">
        <v>18912</v>
      </c>
      <c r="E2795" s="109" t="s">
        <v>5558</v>
      </c>
      <c r="F2795" s="109" t="s">
        <v>18913</v>
      </c>
      <c r="G2795" s="110" t="s">
        <v>6248</v>
      </c>
      <c r="H2795" s="110" t="s">
        <v>6575</v>
      </c>
      <c r="I2795" s="110" t="s">
        <v>18914</v>
      </c>
    </row>
    <row r="2796" spans="1:9" ht="37.799999999999997" x14ac:dyDescent="0.3">
      <c r="A2796" s="109" t="s">
        <v>18915</v>
      </c>
      <c r="B2796" s="109" t="s">
        <v>18851</v>
      </c>
      <c r="C2796" s="109" t="s">
        <v>18851</v>
      </c>
      <c r="D2796" s="109" t="s">
        <v>18916</v>
      </c>
      <c r="E2796" s="109" t="s">
        <v>5558</v>
      </c>
      <c r="F2796" s="109" t="s">
        <v>18917</v>
      </c>
      <c r="G2796" s="110" t="s">
        <v>6248</v>
      </c>
      <c r="H2796" s="110" t="s">
        <v>7817</v>
      </c>
      <c r="I2796" s="110" t="s">
        <v>18918</v>
      </c>
    </row>
    <row r="2797" spans="1:9" ht="25.2" x14ac:dyDescent="0.3">
      <c r="A2797" s="109" t="s">
        <v>18919</v>
      </c>
      <c r="B2797" s="109" t="s">
        <v>18851</v>
      </c>
      <c r="C2797" s="109" t="s">
        <v>18851</v>
      </c>
      <c r="D2797" s="109" t="s">
        <v>18920</v>
      </c>
      <c r="E2797" s="109" t="s">
        <v>5558</v>
      </c>
      <c r="F2797" s="109" t="s">
        <v>18921</v>
      </c>
      <c r="G2797" s="110" t="s">
        <v>6248</v>
      </c>
      <c r="H2797" s="110" t="s">
        <v>6433</v>
      </c>
      <c r="I2797" s="110" t="s">
        <v>18922</v>
      </c>
    </row>
    <row r="2798" spans="1:9" ht="37.799999999999997" x14ac:dyDescent="0.3">
      <c r="A2798" s="109" t="s">
        <v>18923</v>
      </c>
      <c r="B2798" s="109" t="s">
        <v>18851</v>
      </c>
      <c r="C2798" s="109" t="s">
        <v>18851</v>
      </c>
      <c r="D2798" s="109" t="s">
        <v>18924</v>
      </c>
      <c r="E2798" s="109" t="s">
        <v>5558</v>
      </c>
      <c r="F2798" s="109" t="s">
        <v>18925</v>
      </c>
      <c r="G2798" s="110" t="s">
        <v>6248</v>
      </c>
      <c r="H2798" s="110" t="s">
        <v>6507</v>
      </c>
      <c r="I2798" s="110" t="s">
        <v>18926</v>
      </c>
    </row>
    <row r="2799" spans="1:9" ht="25.2" x14ac:dyDescent="0.3">
      <c r="A2799" s="109" t="s">
        <v>18927</v>
      </c>
      <c r="B2799" s="109" t="s">
        <v>18851</v>
      </c>
      <c r="C2799" s="109" t="s">
        <v>18851</v>
      </c>
      <c r="D2799" s="109" t="s">
        <v>18928</v>
      </c>
      <c r="E2799" s="109" t="s">
        <v>5558</v>
      </c>
      <c r="F2799" s="109" t="s">
        <v>18929</v>
      </c>
      <c r="G2799" s="110" t="s">
        <v>6248</v>
      </c>
      <c r="H2799" s="110" t="s">
        <v>18930</v>
      </c>
      <c r="I2799" s="110" t="s">
        <v>18931</v>
      </c>
    </row>
    <row r="2800" spans="1:9" ht="25.2" x14ac:dyDescent="0.3">
      <c r="A2800" s="109" t="s">
        <v>18932</v>
      </c>
      <c r="B2800" s="109" t="s">
        <v>18851</v>
      </c>
      <c r="C2800" s="109" t="s">
        <v>18851</v>
      </c>
      <c r="D2800" s="109" t="s">
        <v>18933</v>
      </c>
      <c r="E2800" s="109" t="s">
        <v>5558</v>
      </c>
      <c r="F2800" s="109" t="s">
        <v>18934</v>
      </c>
      <c r="G2800" s="110" t="s">
        <v>6248</v>
      </c>
      <c r="H2800" s="110" t="s">
        <v>6584</v>
      </c>
      <c r="I2800" s="110" t="s">
        <v>18935</v>
      </c>
    </row>
    <row r="2801" spans="1:9" ht="25.2" x14ac:dyDescent="0.3">
      <c r="A2801" s="109" t="s">
        <v>18936</v>
      </c>
      <c r="B2801" s="109" t="s">
        <v>18851</v>
      </c>
      <c r="C2801" s="109" t="s">
        <v>18851</v>
      </c>
      <c r="D2801" s="109" t="s">
        <v>18937</v>
      </c>
      <c r="E2801" s="109" t="s">
        <v>5558</v>
      </c>
      <c r="F2801" s="109" t="s">
        <v>18938</v>
      </c>
      <c r="G2801" s="110" t="s">
        <v>6248</v>
      </c>
      <c r="H2801" s="110" t="s">
        <v>6474</v>
      </c>
      <c r="I2801" s="110" t="s">
        <v>18939</v>
      </c>
    </row>
    <row r="2802" spans="1:9" ht="25.2" x14ac:dyDescent="0.3">
      <c r="A2802" s="109" t="s">
        <v>18940</v>
      </c>
      <c r="B2802" s="109" t="s">
        <v>18851</v>
      </c>
      <c r="C2802" s="109" t="s">
        <v>18851</v>
      </c>
      <c r="D2802" s="109" t="s">
        <v>18941</v>
      </c>
      <c r="E2802" s="109" t="s">
        <v>5558</v>
      </c>
      <c r="F2802" s="109" t="s">
        <v>18942</v>
      </c>
      <c r="G2802" s="110" t="s">
        <v>6248</v>
      </c>
      <c r="H2802" s="110" t="s">
        <v>7817</v>
      </c>
      <c r="I2802" s="110" t="s">
        <v>18943</v>
      </c>
    </row>
    <row r="2803" spans="1:9" ht="37.799999999999997" x14ac:dyDescent="0.3">
      <c r="A2803" s="109" t="s">
        <v>18944</v>
      </c>
      <c r="B2803" s="109" t="s">
        <v>18851</v>
      </c>
      <c r="C2803" s="109" t="s">
        <v>18851</v>
      </c>
      <c r="D2803" s="109" t="s">
        <v>18945</v>
      </c>
      <c r="E2803" s="109" t="s">
        <v>5558</v>
      </c>
      <c r="F2803" s="109" t="s">
        <v>18946</v>
      </c>
      <c r="G2803" s="110" t="s">
        <v>6248</v>
      </c>
      <c r="H2803" s="110" t="s">
        <v>7929</v>
      </c>
      <c r="I2803" s="110" t="s">
        <v>18947</v>
      </c>
    </row>
    <row r="2804" spans="1:9" ht="25.2" x14ac:dyDescent="0.3">
      <c r="A2804" s="109" t="s">
        <v>18948</v>
      </c>
      <c r="B2804" s="109" t="s">
        <v>18851</v>
      </c>
      <c r="C2804" s="109" t="s">
        <v>18851</v>
      </c>
      <c r="D2804" s="109" t="s">
        <v>18949</v>
      </c>
      <c r="E2804" s="109" t="s">
        <v>5558</v>
      </c>
      <c r="F2804" s="109" t="s">
        <v>18950</v>
      </c>
      <c r="G2804" s="110" t="s">
        <v>6248</v>
      </c>
      <c r="H2804" s="110" t="s">
        <v>7992</v>
      </c>
      <c r="I2804" s="110" t="s">
        <v>18951</v>
      </c>
    </row>
    <row r="2805" spans="1:9" ht="37.799999999999997" x14ac:dyDescent="0.3">
      <c r="A2805" s="109" t="s">
        <v>18952</v>
      </c>
      <c r="B2805" s="109" t="s">
        <v>18851</v>
      </c>
      <c r="C2805" s="109" t="s">
        <v>18851</v>
      </c>
      <c r="D2805" s="109" t="s">
        <v>18953</v>
      </c>
      <c r="E2805" s="109" t="s">
        <v>5558</v>
      </c>
      <c r="F2805" s="109" t="s">
        <v>18954</v>
      </c>
      <c r="G2805" s="110" t="s">
        <v>6248</v>
      </c>
      <c r="H2805" s="110" t="s">
        <v>18955</v>
      </c>
      <c r="I2805" s="110" t="s">
        <v>18956</v>
      </c>
    </row>
    <row r="2806" spans="1:9" ht="25.2" x14ac:dyDescent="0.3">
      <c r="A2806" s="109" t="s">
        <v>18957</v>
      </c>
      <c r="B2806" s="109" t="s">
        <v>18851</v>
      </c>
      <c r="C2806" s="109" t="s">
        <v>18851</v>
      </c>
      <c r="D2806" s="109" t="s">
        <v>18958</v>
      </c>
      <c r="E2806" s="109" t="s">
        <v>5558</v>
      </c>
      <c r="F2806" s="109" t="s">
        <v>18959</v>
      </c>
      <c r="G2806" s="110" t="s">
        <v>6248</v>
      </c>
      <c r="H2806" s="110" t="s">
        <v>6474</v>
      </c>
      <c r="I2806" s="110" t="s">
        <v>18960</v>
      </c>
    </row>
    <row r="2807" spans="1:9" ht="25.2" x14ac:dyDescent="0.3">
      <c r="A2807" s="109" t="s">
        <v>18961</v>
      </c>
      <c r="B2807" s="109" t="s">
        <v>18851</v>
      </c>
      <c r="C2807" s="109" t="s">
        <v>18851</v>
      </c>
      <c r="D2807" s="109" t="s">
        <v>18962</v>
      </c>
      <c r="E2807" s="109" t="s">
        <v>5558</v>
      </c>
      <c r="F2807" s="109" t="s">
        <v>18963</v>
      </c>
      <c r="G2807" s="110" t="s">
        <v>6248</v>
      </c>
      <c r="H2807" s="110" t="s">
        <v>12864</v>
      </c>
      <c r="I2807" s="110" t="s">
        <v>18964</v>
      </c>
    </row>
    <row r="2808" spans="1:9" ht="25.2" x14ac:dyDescent="0.3">
      <c r="A2808" s="109" t="s">
        <v>18965</v>
      </c>
      <c r="B2808" s="109" t="s">
        <v>18851</v>
      </c>
      <c r="C2808" s="109" t="s">
        <v>18851</v>
      </c>
      <c r="D2808" s="109" t="s">
        <v>18966</v>
      </c>
      <c r="E2808" s="109" t="s">
        <v>5558</v>
      </c>
      <c r="F2808" s="109" t="s">
        <v>18967</v>
      </c>
      <c r="G2808" s="110" t="s">
        <v>6248</v>
      </c>
      <c r="H2808" s="110" t="s">
        <v>7830</v>
      </c>
      <c r="I2808" s="110" t="s">
        <v>18968</v>
      </c>
    </row>
    <row r="2809" spans="1:9" ht="37.799999999999997" x14ac:dyDescent="0.3">
      <c r="A2809" s="109" t="s">
        <v>18969</v>
      </c>
      <c r="B2809" s="109" t="s">
        <v>18851</v>
      </c>
      <c r="C2809" s="109" t="s">
        <v>18851</v>
      </c>
      <c r="D2809" s="109" t="s">
        <v>18970</v>
      </c>
      <c r="E2809" s="109" t="s">
        <v>5558</v>
      </c>
      <c r="F2809" s="109" t="s">
        <v>18971</v>
      </c>
      <c r="G2809" s="110" t="s">
        <v>6248</v>
      </c>
      <c r="H2809" s="110" t="s">
        <v>8905</v>
      </c>
      <c r="I2809" s="110" t="s">
        <v>18972</v>
      </c>
    </row>
    <row r="2810" spans="1:9" ht="25.2" x14ac:dyDescent="0.3">
      <c r="A2810" s="109" t="s">
        <v>18973</v>
      </c>
      <c r="B2810" s="109" t="s">
        <v>18851</v>
      </c>
      <c r="C2810" s="109" t="s">
        <v>18851</v>
      </c>
      <c r="D2810" s="109" t="s">
        <v>18974</v>
      </c>
      <c r="E2810" s="109" t="s">
        <v>5558</v>
      </c>
      <c r="F2810" s="109" t="s">
        <v>18975</v>
      </c>
      <c r="G2810" s="110" t="s">
        <v>6248</v>
      </c>
      <c r="H2810" s="110" t="s">
        <v>18976</v>
      </c>
      <c r="I2810" s="110" t="s">
        <v>18977</v>
      </c>
    </row>
    <row r="2811" spans="1:9" ht="25.2" x14ac:dyDescent="0.3">
      <c r="A2811" s="109" t="s">
        <v>18978</v>
      </c>
      <c r="B2811" s="109" t="s">
        <v>18851</v>
      </c>
      <c r="C2811" s="109" t="s">
        <v>18851</v>
      </c>
      <c r="D2811" s="109" t="s">
        <v>18979</v>
      </c>
      <c r="E2811" s="109" t="s">
        <v>5558</v>
      </c>
      <c r="F2811" s="109" t="s">
        <v>18980</v>
      </c>
      <c r="G2811" s="110" t="s">
        <v>6248</v>
      </c>
      <c r="H2811" s="110" t="s">
        <v>9994</v>
      </c>
      <c r="I2811" s="110" t="s">
        <v>18981</v>
      </c>
    </row>
    <row r="2812" spans="1:9" ht="25.2" x14ac:dyDescent="0.3">
      <c r="A2812" s="109" t="s">
        <v>18982</v>
      </c>
      <c r="B2812" s="109" t="s">
        <v>18851</v>
      </c>
      <c r="C2812" s="109" t="s">
        <v>18851</v>
      </c>
      <c r="D2812" s="109" t="s">
        <v>18983</v>
      </c>
      <c r="E2812" s="109" t="s">
        <v>5558</v>
      </c>
      <c r="F2812" s="109" t="s">
        <v>18984</v>
      </c>
      <c r="G2812" s="110" t="s">
        <v>6248</v>
      </c>
      <c r="H2812" s="110" t="s">
        <v>10844</v>
      </c>
      <c r="I2812" s="110" t="s">
        <v>18985</v>
      </c>
    </row>
    <row r="2813" spans="1:9" ht="25.2" x14ac:dyDescent="0.3">
      <c r="A2813" s="109" t="s">
        <v>18986</v>
      </c>
      <c r="B2813" s="109" t="s">
        <v>18851</v>
      </c>
      <c r="C2813" s="109" t="s">
        <v>18851</v>
      </c>
      <c r="D2813" s="109" t="s">
        <v>18987</v>
      </c>
      <c r="E2813" s="109" t="s">
        <v>5558</v>
      </c>
      <c r="F2813" s="109" t="s">
        <v>18988</v>
      </c>
      <c r="G2813" s="110" t="s">
        <v>6248</v>
      </c>
      <c r="H2813" s="110" t="s">
        <v>6408</v>
      </c>
      <c r="I2813" s="110" t="s">
        <v>18989</v>
      </c>
    </row>
    <row r="2814" spans="1:9" ht="25.2" x14ac:dyDescent="0.3">
      <c r="A2814" s="109" t="s">
        <v>18990</v>
      </c>
      <c r="B2814" s="109" t="s">
        <v>18851</v>
      </c>
      <c r="C2814" s="109" t="s">
        <v>18851</v>
      </c>
      <c r="D2814" s="109" t="s">
        <v>18991</v>
      </c>
      <c r="E2814" s="109" t="s">
        <v>5558</v>
      </c>
      <c r="F2814" s="109" t="s">
        <v>18992</v>
      </c>
      <c r="G2814" s="110" t="s">
        <v>6248</v>
      </c>
      <c r="H2814" s="110" t="s">
        <v>7830</v>
      </c>
      <c r="I2814" s="110" t="s">
        <v>18993</v>
      </c>
    </row>
    <row r="2815" spans="1:9" ht="37.799999999999997" x14ac:dyDescent="0.3">
      <c r="A2815" s="109" t="s">
        <v>18994</v>
      </c>
      <c r="B2815" s="109" t="s">
        <v>18851</v>
      </c>
      <c r="C2815" s="109" t="s">
        <v>18851</v>
      </c>
      <c r="D2815" s="109" t="s">
        <v>18995</v>
      </c>
      <c r="E2815" s="109" t="s">
        <v>5558</v>
      </c>
      <c r="F2815" s="109" t="s">
        <v>18996</v>
      </c>
      <c r="G2815" s="110" t="s">
        <v>6248</v>
      </c>
      <c r="H2815" s="110" t="s">
        <v>12935</v>
      </c>
      <c r="I2815" s="110" t="s">
        <v>18997</v>
      </c>
    </row>
    <row r="2816" spans="1:9" ht="25.2" x14ac:dyDescent="0.3">
      <c r="A2816" s="109" t="s">
        <v>18998</v>
      </c>
      <c r="B2816" s="109" t="s">
        <v>18851</v>
      </c>
      <c r="C2816" s="109" t="s">
        <v>18851</v>
      </c>
      <c r="D2816" s="109" t="s">
        <v>18999</v>
      </c>
      <c r="E2816" s="109" t="s">
        <v>5558</v>
      </c>
      <c r="F2816" s="109" t="s">
        <v>19000</v>
      </c>
      <c r="G2816" s="110" t="s">
        <v>6248</v>
      </c>
      <c r="H2816" s="110" t="s">
        <v>6374</v>
      </c>
      <c r="I2816" s="110" t="s">
        <v>19001</v>
      </c>
    </row>
    <row r="2817" spans="1:9" ht="37.799999999999997" x14ac:dyDescent="0.3">
      <c r="A2817" s="109" t="s">
        <v>19002</v>
      </c>
      <c r="B2817" s="109" t="s">
        <v>18851</v>
      </c>
      <c r="C2817" s="109" t="s">
        <v>18851</v>
      </c>
      <c r="D2817" s="109" t="s">
        <v>19003</v>
      </c>
      <c r="E2817" s="109" t="s">
        <v>5558</v>
      </c>
      <c r="F2817" s="109" t="s">
        <v>19004</v>
      </c>
      <c r="G2817" s="110" t="s">
        <v>6248</v>
      </c>
      <c r="H2817" s="110" t="s">
        <v>8905</v>
      </c>
      <c r="I2817" s="110" t="s">
        <v>19005</v>
      </c>
    </row>
    <row r="2818" spans="1:9" ht="25.2" x14ac:dyDescent="0.3">
      <c r="A2818" s="109" t="s">
        <v>19006</v>
      </c>
      <c r="B2818" s="109" t="s">
        <v>18851</v>
      </c>
      <c r="C2818" s="109" t="s">
        <v>18851</v>
      </c>
      <c r="D2818" s="109" t="s">
        <v>19007</v>
      </c>
      <c r="E2818" s="109" t="s">
        <v>5558</v>
      </c>
      <c r="F2818" s="109" t="s">
        <v>19008</v>
      </c>
      <c r="G2818" s="110" t="s">
        <v>6248</v>
      </c>
      <c r="H2818" s="110" t="s">
        <v>6393</v>
      </c>
      <c r="I2818" s="110" t="s">
        <v>19009</v>
      </c>
    </row>
    <row r="2819" spans="1:9" ht="25.2" x14ac:dyDescent="0.3">
      <c r="A2819" s="109" t="s">
        <v>19010</v>
      </c>
      <c r="B2819" s="109" t="s">
        <v>18851</v>
      </c>
      <c r="C2819" s="109" t="s">
        <v>18851</v>
      </c>
      <c r="D2819" s="109" t="s">
        <v>19011</v>
      </c>
      <c r="E2819" s="109" t="s">
        <v>5558</v>
      </c>
      <c r="F2819" s="109" t="s">
        <v>19012</v>
      </c>
      <c r="G2819" s="110" t="s">
        <v>6248</v>
      </c>
      <c r="H2819" s="110" t="s">
        <v>6413</v>
      </c>
      <c r="I2819" s="110" t="s">
        <v>19013</v>
      </c>
    </row>
    <row r="2820" spans="1:9" ht="37.799999999999997" x14ac:dyDescent="0.3">
      <c r="A2820" s="109" t="s">
        <v>19014</v>
      </c>
      <c r="B2820" s="109" t="s">
        <v>18851</v>
      </c>
      <c r="C2820" s="109" t="s">
        <v>18851</v>
      </c>
      <c r="D2820" s="109" t="s">
        <v>19015</v>
      </c>
      <c r="E2820" s="109" t="s">
        <v>5558</v>
      </c>
      <c r="F2820" s="109" t="s">
        <v>19016</v>
      </c>
      <c r="G2820" s="110" t="s">
        <v>6248</v>
      </c>
      <c r="H2820" s="110" t="s">
        <v>13982</v>
      </c>
      <c r="I2820" s="110" t="s">
        <v>19017</v>
      </c>
    </row>
    <row r="2821" spans="1:9" ht="25.2" x14ac:dyDescent="0.3">
      <c r="A2821" s="109" t="s">
        <v>19018</v>
      </c>
      <c r="B2821" s="109" t="s">
        <v>18851</v>
      </c>
      <c r="C2821" s="109" t="s">
        <v>18851</v>
      </c>
      <c r="D2821" s="109" t="s">
        <v>19019</v>
      </c>
      <c r="E2821" s="109" t="s">
        <v>5558</v>
      </c>
      <c r="F2821" s="109" t="s">
        <v>19020</v>
      </c>
      <c r="G2821" s="110" t="s">
        <v>6248</v>
      </c>
      <c r="H2821" s="110" t="s">
        <v>6398</v>
      </c>
      <c r="I2821" s="110" t="s">
        <v>19021</v>
      </c>
    </row>
    <row r="2822" spans="1:9" ht="37.799999999999997" x14ac:dyDescent="0.3">
      <c r="A2822" s="109" t="s">
        <v>19022</v>
      </c>
      <c r="B2822" s="109" t="s">
        <v>18851</v>
      </c>
      <c r="C2822" s="109" t="s">
        <v>18851</v>
      </c>
      <c r="D2822" s="109" t="s">
        <v>19023</v>
      </c>
      <c r="E2822" s="109" t="s">
        <v>5558</v>
      </c>
      <c r="F2822" s="109" t="s">
        <v>19024</v>
      </c>
      <c r="G2822" s="110" t="s">
        <v>6248</v>
      </c>
      <c r="H2822" s="110" t="s">
        <v>6398</v>
      </c>
      <c r="I2822" s="110" t="s">
        <v>19025</v>
      </c>
    </row>
    <row r="2823" spans="1:9" ht="25.2" x14ac:dyDescent="0.3">
      <c r="A2823" s="109" t="s">
        <v>19026</v>
      </c>
      <c r="B2823" s="109" t="s">
        <v>18851</v>
      </c>
      <c r="C2823" s="109" t="s">
        <v>18851</v>
      </c>
      <c r="D2823" s="109" t="s">
        <v>19027</v>
      </c>
      <c r="E2823" s="109" t="s">
        <v>5558</v>
      </c>
      <c r="F2823" s="109" t="s">
        <v>19028</v>
      </c>
      <c r="G2823" s="110" t="s">
        <v>6248</v>
      </c>
      <c r="H2823" s="110" t="s">
        <v>19029</v>
      </c>
      <c r="I2823" s="110" t="s">
        <v>19030</v>
      </c>
    </row>
    <row r="2824" spans="1:9" ht="25.2" x14ac:dyDescent="0.3">
      <c r="A2824" s="109" t="s">
        <v>19031</v>
      </c>
      <c r="B2824" s="109" t="s">
        <v>18851</v>
      </c>
      <c r="C2824" s="109" t="s">
        <v>18851</v>
      </c>
      <c r="D2824" s="109" t="s">
        <v>19032</v>
      </c>
      <c r="E2824" s="109" t="s">
        <v>5558</v>
      </c>
      <c r="F2824" s="109" t="s">
        <v>19033</v>
      </c>
      <c r="G2824" s="110" t="s">
        <v>6248</v>
      </c>
      <c r="H2824" s="110" t="s">
        <v>6398</v>
      </c>
      <c r="I2824" s="110" t="s">
        <v>19034</v>
      </c>
    </row>
    <row r="2825" spans="1:9" ht="25.2" x14ac:dyDescent="0.3">
      <c r="A2825" s="109" t="s">
        <v>19035</v>
      </c>
      <c r="B2825" s="109" t="s">
        <v>18851</v>
      </c>
      <c r="C2825" s="109" t="s">
        <v>18851</v>
      </c>
      <c r="D2825" s="109" t="s">
        <v>5569</v>
      </c>
      <c r="E2825" s="109" t="s">
        <v>5558</v>
      </c>
      <c r="F2825" s="109" t="s">
        <v>2258</v>
      </c>
      <c r="G2825" s="110" t="s">
        <v>6248</v>
      </c>
      <c r="H2825" s="110" t="s">
        <v>19036</v>
      </c>
      <c r="I2825" s="110" t="s">
        <v>19037</v>
      </c>
    </row>
    <row r="2826" spans="1:9" ht="25.2" x14ac:dyDescent="0.3">
      <c r="A2826" s="109" t="s">
        <v>19038</v>
      </c>
      <c r="B2826" s="109" t="s">
        <v>18851</v>
      </c>
      <c r="C2826" s="109" t="s">
        <v>18851</v>
      </c>
      <c r="D2826" s="109" t="s">
        <v>19039</v>
      </c>
      <c r="E2826" s="109" t="s">
        <v>5558</v>
      </c>
      <c r="F2826" s="109" t="s">
        <v>19040</v>
      </c>
      <c r="G2826" s="110" t="s">
        <v>6248</v>
      </c>
      <c r="H2826" s="110" t="s">
        <v>19041</v>
      </c>
      <c r="I2826" s="110" t="s">
        <v>19042</v>
      </c>
    </row>
    <row r="2827" spans="1:9" ht="25.2" x14ac:dyDescent="0.3">
      <c r="A2827" s="109" t="s">
        <v>19043</v>
      </c>
      <c r="B2827" s="109" t="s">
        <v>18851</v>
      </c>
      <c r="C2827" s="109" t="s">
        <v>18851</v>
      </c>
      <c r="D2827" s="109" t="s">
        <v>19044</v>
      </c>
      <c r="E2827" s="109" t="s">
        <v>19045</v>
      </c>
      <c r="F2827" s="109" t="s">
        <v>19046</v>
      </c>
      <c r="G2827" s="110" t="s">
        <v>6248</v>
      </c>
      <c r="H2827" s="110" t="s">
        <v>19047</v>
      </c>
      <c r="I2827" s="110" t="s">
        <v>19048</v>
      </c>
    </row>
    <row r="2828" spans="1:9" ht="25.2" x14ac:dyDescent="0.3">
      <c r="A2828" s="109" t="s">
        <v>19049</v>
      </c>
      <c r="B2828" s="109" t="s">
        <v>18851</v>
      </c>
      <c r="C2828" s="109" t="s">
        <v>18851</v>
      </c>
      <c r="D2828" s="109" t="s">
        <v>19050</v>
      </c>
      <c r="E2828" s="109" t="s">
        <v>5558</v>
      </c>
      <c r="F2828" s="109" t="s">
        <v>19051</v>
      </c>
      <c r="G2828" s="110" t="s">
        <v>6248</v>
      </c>
      <c r="H2828" s="110" t="s">
        <v>19052</v>
      </c>
      <c r="I2828" s="110" t="s">
        <v>19053</v>
      </c>
    </row>
    <row r="2829" spans="1:9" ht="25.2" x14ac:dyDescent="0.3">
      <c r="A2829" s="109" t="s">
        <v>19054</v>
      </c>
      <c r="B2829" s="109" t="s">
        <v>18851</v>
      </c>
      <c r="C2829" s="109" t="s">
        <v>18851</v>
      </c>
      <c r="D2829" s="109" t="s">
        <v>2465</v>
      </c>
      <c r="E2829" s="109" t="s">
        <v>5558</v>
      </c>
      <c r="F2829" s="109" t="s">
        <v>19055</v>
      </c>
      <c r="G2829" s="110" t="s">
        <v>6248</v>
      </c>
      <c r="H2829" s="110" t="s">
        <v>19056</v>
      </c>
      <c r="I2829" s="110" t="s">
        <v>19057</v>
      </c>
    </row>
    <row r="2830" spans="1:9" ht="37.799999999999997" x14ac:dyDescent="0.3">
      <c r="A2830" s="109" t="s">
        <v>19058</v>
      </c>
      <c r="B2830" s="109" t="s">
        <v>18851</v>
      </c>
      <c r="C2830" s="109" t="s">
        <v>18851</v>
      </c>
      <c r="D2830" s="109" t="s">
        <v>19059</v>
      </c>
      <c r="E2830" s="109" t="s">
        <v>5558</v>
      </c>
      <c r="F2830" s="109" t="s">
        <v>19060</v>
      </c>
      <c r="G2830" s="110" t="s">
        <v>6248</v>
      </c>
      <c r="H2830" s="110" t="s">
        <v>19061</v>
      </c>
      <c r="I2830" s="110" t="s">
        <v>19062</v>
      </c>
    </row>
    <row r="2831" spans="1:9" ht="25.2" x14ac:dyDescent="0.3">
      <c r="A2831" s="109" t="s">
        <v>19063</v>
      </c>
      <c r="B2831" s="109" t="s">
        <v>18851</v>
      </c>
      <c r="C2831" s="109" t="s">
        <v>18851</v>
      </c>
      <c r="D2831" s="109" t="s">
        <v>5569</v>
      </c>
      <c r="E2831" s="109" t="s">
        <v>5558</v>
      </c>
      <c r="F2831" s="109" t="s">
        <v>2258</v>
      </c>
      <c r="G2831" s="110" t="s">
        <v>6248</v>
      </c>
      <c r="H2831" s="110" t="s">
        <v>19064</v>
      </c>
      <c r="I2831" s="110" t="s">
        <v>19065</v>
      </c>
    </row>
    <row r="2832" spans="1:9" ht="25.2" x14ac:dyDescent="0.3">
      <c r="A2832" s="109" t="s">
        <v>19066</v>
      </c>
      <c r="B2832" s="109" t="s">
        <v>18851</v>
      </c>
      <c r="C2832" s="109" t="s">
        <v>18851</v>
      </c>
      <c r="D2832" s="109" t="s">
        <v>19067</v>
      </c>
      <c r="E2832" s="109" t="s">
        <v>19068</v>
      </c>
      <c r="F2832" s="109" t="s">
        <v>6878</v>
      </c>
      <c r="G2832" s="110" t="s">
        <v>19069</v>
      </c>
      <c r="H2832" s="110" t="s">
        <v>6248</v>
      </c>
      <c r="I2832" s="110" t="s">
        <v>19070</v>
      </c>
    </row>
    <row r="2833" spans="1:9" ht="25.2" x14ac:dyDescent="0.3">
      <c r="A2833" s="109" t="s">
        <v>19071</v>
      </c>
      <c r="B2833" s="109" t="s">
        <v>18851</v>
      </c>
      <c r="C2833" s="109" t="s">
        <v>18851</v>
      </c>
      <c r="D2833" s="109" t="s">
        <v>19072</v>
      </c>
      <c r="E2833" s="109" t="s">
        <v>19073</v>
      </c>
      <c r="F2833" s="109" t="s">
        <v>19074</v>
      </c>
      <c r="G2833" s="110" t="s">
        <v>6248</v>
      </c>
      <c r="H2833" s="110" t="s">
        <v>19075</v>
      </c>
      <c r="I2833" s="110" t="s">
        <v>19076</v>
      </c>
    </row>
    <row r="2834" spans="1:9" ht="25.2" x14ac:dyDescent="0.3">
      <c r="A2834" s="109" t="s">
        <v>19077</v>
      </c>
      <c r="B2834" s="109" t="s">
        <v>18851</v>
      </c>
      <c r="C2834" s="109" t="s">
        <v>18851</v>
      </c>
      <c r="D2834" s="109" t="s">
        <v>19078</v>
      </c>
      <c r="E2834" s="109" t="s">
        <v>5558</v>
      </c>
      <c r="F2834" s="109" t="s">
        <v>19079</v>
      </c>
      <c r="G2834" s="110" t="s">
        <v>6248</v>
      </c>
      <c r="H2834" s="110" t="s">
        <v>14568</v>
      </c>
      <c r="I2834" s="110" t="s">
        <v>19080</v>
      </c>
    </row>
    <row r="2835" spans="1:9" ht="25.2" x14ac:dyDescent="0.3">
      <c r="A2835" s="109" t="s">
        <v>19081</v>
      </c>
      <c r="B2835" s="109" t="s">
        <v>18851</v>
      </c>
      <c r="C2835" s="109" t="s">
        <v>18851</v>
      </c>
      <c r="D2835" s="109" t="s">
        <v>19082</v>
      </c>
      <c r="E2835" s="109" t="s">
        <v>19083</v>
      </c>
      <c r="F2835" s="109" t="s">
        <v>19074</v>
      </c>
      <c r="G2835" s="110" t="s">
        <v>6248</v>
      </c>
      <c r="H2835" s="110" t="s">
        <v>19084</v>
      </c>
      <c r="I2835" s="110" t="s">
        <v>19085</v>
      </c>
    </row>
    <row r="2836" spans="1:9" ht="25.2" x14ac:dyDescent="0.3">
      <c r="A2836" s="109" t="s">
        <v>19086</v>
      </c>
      <c r="B2836" s="109" t="s">
        <v>18851</v>
      </c>
      <c r="C2836" s="109" t="s">
        <v>18851</v>
      </c>
      <c r="D2836" s="109" t="s">
        <v>19087</v>
      </c>
      <c r="E2836" s="109" t="s">
        <v>19088</v>
      </c>
      <c r="F2836" s="109" t="s">
        <v>10662</v>
      </c>
      <c r="G2836" s="110" t="s">
        <v>6248</v>
      </c>
      <c r="H2836" s="110" t="s">
        <v>19089</v>
      </c>
      <c r="I2836" s="110" t="s">
        <v>19090</v>
      </c>
    </row>
    <row r="2837" spans="1:9" ht="25.2" x14ac:dyDescent="0.3">
      <c r="A2837" s="109" t="s">
        <v>19091</v>
      </c>
      <c r="B2837" s="109" t="s">
        <v>18851</v>
      </c>
      <c r="C2837" s="109" t="s">
        <v>18851</v>
      </c>
      <c r="D2837" s="109" t="s">
        <v>19092</v>
      </c>
      <c r="E2837" s="109" t="s">
        <v>19093</v>
      </c>
      <c r="F2837" s="109" t="s">
        <v>19094</v>
      </c>
      <c r="G2837" s="110" t="s">
        <v>19095</v>
      </c>
      <c r="H2837" s="110" t="s">
        <v>6248</v>
      </c>
      <c r="I2837" s="110" t="s">
        <v>19096</v>
      </c>
    </row>
    <row r="2838" spans="1:9" ht="25.2" x14ac:dyDescent="0.3">
      <c r="A2838" s="109" t="s">
        <v>19097</v>
      </c>
      <c r="B2838" s="109" t="s">
        <v>18851</v>
      </c>
      <c r="C2838" s="109" t="s">
        <v>18851</v>
      </c>
      <c r="D2838" s="109" t="s">
        <v>19098</v>
      </c>
      <c r="E2838" s="109" t="s">
        <v>19093</v>
      </c>
      <c r="F2838" s="109" t="s">
        <v>19099</v>
      </c>
      <c r="G2838" s="110" t="s">
        <v>7254</v>
      </c>
      <c r="H2838" s="110" t="s">
        <v>6248</v>
      </c>
      <c r="I2838" s="110" t="s">
        <v>19100</v>
      </c>
    </row>
    <row r="2839" spans="1:9" ht="25.2" x14ac:dyDescent="0.3">
      <c r="A2839" s="109" t="s">
        <v>19101</v>
      </c>
      <c r="B2839" s="109" t="s">
        <v>18851</v>
      </c>
      <c r="C2839" s="109" t="s">
        <v>18851</v>
      </c>
      <c r="D2839" s="109" t="s">
        <v>19102</v>
      </c>
      <c r="E2839" s="109" t="s">
        <v>19093</v>
      </c>
      <c r="F2839" s="109" t="s">
        <v>19103</v>
      </c>
      <c r="G2839" s="110" t="s">
        <v>11819</v>
      </c>
      <c r="H2839" s="110" t="s">
        <v>6248</v>
      </c>
      <c r="I2839" s="110" t="s">
        <v>19104</v>
      </c>
    </row>
    <row r="2840" spans="1:9" ht="25.2" x14ac:dyDescent="0.3">
      <c r="A2840" s="109" t="s">
        <v>19105</v>
      </c>
      <c r="B2840" s="109" t="s">
        <v>18851</v>
      </c>
      <c r="C2840" s="109" t="s">
        <v>18851</v>
      </c>
      <c r="D2840" s="109" t="s">
        <v>19106</v>
      </c>
      <c r="E2840" s="109" t="s">
        <v>19107</v>
      </c>
      <c r="F2840" s="109" t="s">
        <v>19074</v>
      </c>
      <c r="G2840" s="110" t="s">
        <v>6248</v>
      </c>
      <c r="H2840" s="110" t="s">
        <v>19108</v>
      </c>
      <c r="I2840" s="110" t="s">
        <v>19109</v>
      </c>
    </row>
    <row r="2841" spans="1:9" ht="37.799999999999997" x14ac:dyDescent="0.3">
      <c r="A2841" s="109" t="s">
        <v>19110</v>
      </c>
      <c r="B2841" s="109" t="s">
        <v>18851</v>
      </c>
      <c r="C2841" s="109" t="s">
        <v>18851</v>
      </c>
      <c r="D2841" s="109" t="s">
        <v>19111</v>
      </c>
      <c r="E2841" s="109" t="s">
        <v>5558</v>
      </c>
      <c r="F2841" s="109" t="s">
        <v>19112</v>
      </c>
      <c r="G2841" s="110" t="s">
        <v>6248</v>
      </c>
      <c r="H2841" s="110" t="s">
        <v>19113</v>
      </c>
      <c r="I2841" s="110" t="s">
        <v>19114</v>
      </c>
    </row>
    <row r="2842" spans="1:9" ht="25.2" x14ac:dyDescent="0.3">
      <c r="A2842" s="109" t="s">
        <v>19115</v>
      </c>
      <c r="B2842" s="109" t="s">
        <v>18851</v>
      </c>
      <c r="C2842" s="109" t="s">
        <v>18851</v>
      </c>
      <c r="D2842" s="109" t="s">
        <v>5569</v>
      </c>
      <c r="E2842" s="109" t="s">
        <v>5558</v>
      </c>
      <c r="F2842" s="109" t="s">
        <v>2258</v>
      </c>
      <c r="G2842" s="110" t="s">
        <v>6248</v>
      </c>
      <c r="H2842" s="110" t="s">
        <v>19116</v>
      </c>
      <c r="I2842" s="110" t="s">
        <v>19117</v>
      </c>
    </row>
    <row r="2843" spans="1:9" ht="25.2" x14ac:dyDescent="0.3">
      <c r="A2843" s="109" t="s">
        <v>19118</v>
      </c>
      <c r="B2843" s="109" t="s">
        <v>18851</v>
      </c>
      <c r="C2843" s="109" t="s">
        <v>18851</v>
      </c>
      <c r="D2843" s="109" t="s">
        <v>19119</v>
      </c>
      <c r="E2843" s="109" t="s">
        <v>6174</v>
      </c>
      <c r="F2843" s="109" t="s">
        <v>7236</v>
      </c>
      <c r="G2843" s="110" t="s">
        <v>6248</v>
      </c>
      <c r="H2843" s="110" t="s">
        <v>19120</v>
      </c>
      <c r="I2843" s="110" t="s">
        <v>19121</v>
      </c>
    </row>
    <row r="2844" spans="1:9" ht="25.2" x14ac:dyDescent="0.3">
      <c r="A2844" s="109" t="s">
        <v>19122</v>
      </c>
      <c r="B2844" s="109" t="s">
        <v>18851</v>
      </c>
      <c r="C2844" s="109" t="s">
        <v>18851</v>
      </c>
      <c r="D2844" s="109" t="s">
        <v>5569</v>
      </c>
      <c r="E2844" s="109" t="s">
        <v>5558</v>
      </c>
      <c r="F2844" s="109" t="s">
        <v>2258</v>
      </c>
      <c r="G2844" s="110" t="s">
        <v>6248</v>
      </c>
      <c r="H2844" s="110" t="s">
        <v>19123</v>
      </c>
      <c r="I2844" s="110" t="s">
        <v>19124</v>
      </c>
    </row>
    <row r="2845" spans="1:9" ht="25.2" x14ac:dyDescent="0.3">
      <c r="A2845" s="109" t="s">
        <v>19125</v>
      </c>
      <c r="B2845" s="109" t="s">
        <v>18851</v>
      </c>
      <c r="C2845" s="109" t="s">
        <v>18851</v>
      </c>
      <c r="D2845" s="109" t="s">
        <v>19126</v>
      </c>
      <c r="E2845" s="109" t="s">
        <v>5558</v>
      </c>
      <c r="F2845" s="109" t="s">
        <v>19127</v>
      </c>
      <c r="G2845" s="110" t="s">
        <v>6248</v>
      </c>
      <c r="H2845" s="110" t="s">
        <v>19128</v>
      </c>
      <c r="I2845" s="110" t="s">
        <v>19129</v>
      </c>
    </row>
    <row r="2846" spans="1:9" ht="25.2" x14ac:dyDescent="0.3">
      <c r="A2846" s="109" t="s">
        <v>19130</v>
      </c>
      <c r="B2846" s="109" t="s">
        <v>18851</v>
      </c>
      <c r="C2846" s="109" t="s">
        <v>18851</v>
      </c>
      <c r="D2846" s="109" t="s">
        <v>19131</v>
      </c>
      <c r="E2846" s="109" t="s">
        <v>12093</v>
      </c>
      <c r="F2846" s="109" t="s">
        <v>18514</v>
      </c>
      <c r="G2846" s="110" t="s">
        <v>6248</v>
      </c>
      <c r="H2846" s="110" t="s">
        <v>19132</v>
      </c>
      <c r="I2846" s="110" t="s">
        <v>19133</v>
      </c>
    </row>
    <row r="2847" spans="1:9" ht="25.2" x14ac:dyDescent="0.3">
      <c r="A2847" s="109" t="s">
        <v>19134</v>
      </c>
      <c r="B2847" s="109" t="s">
        <v>18851</v>
      </c>
      <c r="C2847" s="109" t="s">
        <v>18851</v>
      </c>
      <c r="D2847" s="109" t="s">
        <v>19135</v>
      </c>
      <c r="E2847" s="109" t="s">
        <v>12093</v>
      </c>
      <c r="F2847" s="109" t="s">
        <v>18287</v>
      </c>
      <c r="G2847" s="110" t="s">
        <v>6248</v>
      </c>
      <c r="H2847" s="110" t="s">
        <v>19136</v>
      </c>
      <c r="I2847" s="110" t="s">
        <v>19137</v>
      </c>
    </row>
    <row r="2848" spans="1:9" ht="25.2" x14ac:dyDescent="0.3">
      <c r="A2848" s="109" t="s">
        <v>19138</v>
      </c>
      <c r="B2848" s="109" t="s">
        <v>18851</v>
      </c>
      <c r="C2848" s="109" t="s">
        <v>18851</v>
      </c>
      <c r="D2848" s="109" t="s">
        <v>19139</v>
      </c>
      <c r="E2848" s="109" t="s">
        <v>5558</v>
      </c>
      <c r="F2848" s="109" t="s">
        <v>19140</v>
      </c>
      <c r="G2848" s="110" t="s">
        <v>6248</v>
      </c>
      <c r="H2848" s="110" t="s">
        <v>19141</v>
      </c>
      <c r="I2848" s="110" t="s">
        <v>19142</v>
      </c>
    </row>
    <row r="2849" spans="1:9" ht="25.2" x14ac:dyDescent="0.3">
      <c r="A2849" s="109" t="s">
        <v>19143</v>
      </c>
      <c r="B2849" s="109" t="s">
        <v>18851</v>
      </c>
      <c r="C2849" s="109" t="s">
        <v>18851</v>
      </c>
      <c r="D2849" s="109" t="s">
        <v>19144</v>
      </c>
      <c r="E2849" s="109" t="s">
        <v>19145</v>
      </c>
      <c r="F2849" s="109" t="s">
        <v>8309</v>
      </c>
      <c r="G2849" s="110" t="s">
        <v>6248</v>
      </c>
      <c r="H2849" s="110" t="s">
        <v>19146</v>
      </c>
      <c r="I2849" s="110" t="s">
        <v>19147</v>
      </c>
    </row>
    <row r="2850" spans="1:9" ht="25.2" x14ac:dyDescent="0.3">
      <c r="A2850" s="109" t="s">
        <v>19148</v>
      </c>
      <c r="B2850" s="109" t="s">
        <v>18851</v>
      </c>
      <c r="C2850" s="109" t="s">
        <v>18851</v>
      </c>
      <c r="D2850" s="109" t="s">
        <v>19149</v>
      </c>
      <c r="E2850" s="109" t="s">
        <v>19150</v>
      </c>
      <c r="F2850" s="109" t="s">
        <v>19151</v>
      </c>
      <c r="G2850" s="110" t="s">
        <v>6248</v>
      </c>
      <c r="H2850" s="110" t="s">
        <v>19152</v>
      </c>
      <c r="I2850" s="110" t="s">
        <v>19153</v>
      </c>
    </row>
    <row r="2851" spans="1:9" ht="25.2" x14ac:dyDescent="0.3">
      <c r="A2851" s="109" t="s">
        <v>19154</v>
      </c>
      <c r="B2851" s="109" t="s">
        <v>18851</v>
      </c>
      <c r="C2851" s="109" t="s">
        <v>18851</v>
      </c>
      <c r="D2851" s="109" t="s">
        <v>19155</v>
      </c>
      <c r="E2851" s="109" t="s">
        <v>19156</v>
      </c>
      <c r="F2851" s="109" t="s">
        <v>19151</v>
      </c>
      <c r="G2851" s="110" t="s">
        <v>6248</v>
      </c>
      <c r="H2851" s="110" t="s">
        <v>19157</v>
      </c>
      <c r="I2851" s="110" t="s">
        <v>19158</v>
      </c>
    </row>
    <row r="2852" spans="1:9" ht="25.2" x14ac:dyDescent="0.3">
      <c r="A2852" s="109" t="s">
        <v>19159</v>
      </c>
      <c r="B2852" s="109" t="s">
        <v>18851</v>
      </c>
      <c r="C2852" s="109" t="s">
        <v>18851</v>
      </c>
      <c r="D2852" s="109" t="s">
        <v>19160</v>
      </c>
      <c r="E2852" s="109" t="s">
        <v>19161</v>
      </c>
      <c r="F2852" s="109" t="s">
        <v>5817</v>
      </c>
      <c r="G2852" s="110" t="s">
        <v>6248</v>
      </c>
      <c r="H2852" s="110" t="s">
        <v>19162</v>
      </c>
      <c r="I2852" s="110" t="s">
        <v>19163</v>
      </c>
    </row>
    <row r="2853" spans="1:9" ht="25.2" x14ac:dyDescent="0.3">
      <c r="A2853" s="109" t="s">
        <v>19164</v>
      </c>
      <c r="B2853" s="109" t="s">
        <v>18851</v>
      </c>
      <c r="C2853" s="109" t="s">
        <v>18851</v>
      </c>
      <c r="D2853" s="109" t="s">
        <v>19165</v>
      </c>
      <c r="E2853" s="109" t="s">
        <v>5558</v>
      </c>
      <c r="F2853" s="109" t="s">
        <v>19166</v>
      </c>
      <c r="G2853" s="110" t="s">
        <v>6248</v>
      </c>
      <c r="H2853" s="110" t="s">
        <v>19167</v>
      </c>
      <c r="I2853" s="110" t="s">
        <v>19168</v>
      </c>
    </row>
    <row r="2854" spans="1:9" ht="25.2" x14ac:dyDescent="0.3">
      <c r="A2854" s="109" t="s">
        <v>19169</v>
      </c>
      <c r="B2854" s="109" t="s">
        <v>18851</v>
      </c>
      <c r="C2854" s="109" t="s">
        <v>18851</v>
      </c>
      <c r="D2854" s="109" t="s">
        <v>19170</v>
      </c>
      <c r="E2854" s="109" t="s">
        <v>5558</v>
      </c>
      <c r="F2854" s="109" t="s">
        <v>19171</v>
      </c>
      <c r="G2854" s="110" t="s">
        <v>6248</v>
      </c>
      <c r="H2854" s="110" t="s">
        <v>19172</v>
      </c>
      <c r="I2854" s="110" t="s">
        <v>19173</v>
      </c>
    </row>
    <row r="2855" spans="1:9" ht="25.2" x14ac:dyDescent="0.3">
      <c r="A2855" s="109" t="s">
        <v>19174</v>
      </c>
      <c r="B2855" s="109" t="s">
        <v>18851</v>
      </c>
      <c r="C2855" s="109" t="s">
        <v>18851</v>
      </c>
      <c r="D2855" s="109" t="s">
        <v>19175</v>
      </c>
      <c r="E2855" s="109" t="s">
        <v>5558</v>
      </c>
      <c r="F2855" s="109" t="s">
        <v>19176</v>
      </c>
      <c r="G2855" s="110" t="s">
        <v>6248</v>
      </c>
      <c r="H2855" s="110" t="s">
        <v>19177</v>
      </c>
      <c r="I2855" s="110" t="s">
        <v>19178</v>
      </c>
    </row>
    <row r="2856" spans="1:9" ht="25.2" x14ac:dyDescent="0.3">
      <c r="A2856" s="109" t="s">
        <v>19179</v>
      </c>
      <c r="B2856" s="109" t="s">
        <v>18851</v>
      </c>
      <c r="C2856" s="109" t="s">
        <v>18851</v>
      </c>
      <c r="D2856" s="109" t="s">
        <v>19180</v>
      </c>
      <c r="E2856" s="109" t="s">
        <v>5558</v>
      </c>
      <c r="F2856" s="109" t="s">
        <v>19181</v>
      </c>
      <c r="G2856" s="110" t="s">
        <v>6248</v>
      </c>
      <c r="H2856" s="110" t="s">
        <v>19182</v>
      </c>
      <c r="I2856" s="110" t="s">
        <v>19183</v>
      </c>
    </row>
    <row r="2857" spans="1:9" ht="25.2" x14ac:dyDescent="0.3">
      <c r="A2857" s="109" t="s">
        <v>19184</v>
      </c>
      <c r="B2857" s="109" t="s">
        <v>18851</v>
      </c>
      <c r="C2857" s="109" t="s">
        <v>18851</v>
      </c>
      <c r="D2857" s="109" t="s">
        <v>2442</v>
      </c>
      <c r="E2857" s="109" t="s">
        <v>19185</v>
      </c>
      <c r="F2857" s="109" t="s">
        <v>10615</v>
      </c>
      <c r="G2857" s="110" t="s">
        <v>6248</v>
      </c>
      <c r="H2857" s="110" t="s">
        <v>15454</v>
      </c>
      <c r="I2857" s="110" t="s">
        <v>19186</v>
      </c>
    </row>
    <row r="2858" spans="1:9" ht="25.2" x14ac:dyDescent="0.3">
      <c r="A2858" s="109" t="s">
        <v>19187</v>
      </c>
      <c r="B2858" s="109" t="s">
        <v>18851</v>
      </c>
      <c r="C2858" s="109" t="s">
        <v>18851</v>
      </c>
      <c r="D2858" s="109" t="s">
        <v>5569</v>
      </c>
      <c r="E2858" s="109" t="s">
        <v>5558</v>
      </c>
      <c r="F2858" s="109" t="s">
        <v>2258</v>
      </c>
      <c r="G2858" s="110" t="s">
        <v>6248</v>
      </c>
      <c r="H2858" s="110" t="s">
        <v>19188</v>
      </c>
      <c r="I2858" s="110" t="s">
        <v>19189</v>
      </c>
    </row>
    <row r="2859" spans="1:9" ht="25.2" x14ac:dyDescent="0.3">
      <c r="A2859" s="109" t="s">
        <v>19190</v>
      </c>
      <c r="B2859" s="109" t="s">
        <v>18851</v>
      </c>
      <c r="C2859" s="109" t="s">
        <v>18851</v>
      </c>
      <c r="D2859" s="109" t="s">
        <v>19191</v>
      </c>
      <c r="E2859" s="109" t="s">
        <v>5558</v>
      </c>
      <c r="F2859" s="109" t="s">
        <v>19192</v>
      </c>
      <c r="G2859" s="110" t="s">
        <v>6248</v>
      </c>
      <c r="H2859" s="110" t="s">
        <v>19193</v>
      </c>
      <c r="I2859" s="110" t="s">
        <v>19194</v>
      </c>
    </row>
    <row r="2860" spans="1:9" ht="25.2" x14ac:dyDescent="0.3">
      <c r="A2860" s="109" t="s">
        <v>19195</v>
      </c>
      <c r="B2860" s="109" t="s">
        <v>18851</v>
      </c>
      <c r="C2860" s="109" t="s">
        <v>18851</v>
      </c>
      <c r="D2860" s="109" t="s">
        <v>19196</v>
      </c>
      <c r="E2860" s="109" t="s">
        <v>5558</v>
      </c>
      <c r="F2860" s="109" t="s">
        <v>19197</v>
      </c>
      <c r="G2860" s="110" t="s">
        <v>6248</v>
      </c>
      <c r="H2860" s="110" t="s">
        <v>19198</v>
      </c>
      <c r="I2860" s="110" t="s">
        <v>19199</v>
      </c>
    </row>
    <row r="2861" spans="1:9" ht="25.2" x14ac:dyDescent="0.3">
      <c r="A2861" s="109" t="s">
        <v>19200</v>
      </c>
      <c r="B2861" s="109" t="s">
        <v>18851</v>
      </c>
      <c r="C2861" s="109" t="s">
        <v>18851</v>
      </c>
      <c r="D2861" s="109" t="s">
        <v>19201</v>
      </c>
      <c r="E2861" s="109" t="s">
        <v>5558</v>
      </c>
      <c r="F2861" s="109" t="s">
        <v>19202</v>
      </c>
      <c r="G2861" s="110" t="s">
        <v>6248</v>
      </c>
      <c r="H2861" s="110" t="s">
        <v>16288</v>
      </c>
      <c r="I2861" s="110" t="s">
        <v>19203</v>
      </c>
    </row>
    <row r="2862" spans="1:9" ht="37.799999999999997" x14ac:dyDescent="0.3">
      <c r="A2862" s="109" t="s">
        <v>19204</v>
      </c>
      <c r="B2862" s="109" t="s">
        <v>18851</v>
      </c>
      <c r="C2862" s="109" t="s">
        <v>18851</v>
      </c>
      <c r="D2862" s="109" t="s">
        <v>19205</v>
      </c>
      <c r="E2862" s="109" t="s">
        <v>5558</v>
      </c>
      <c r="F2862" s="109" t="s">
        <v>19206</v>
      </c>
      <c r="G2862" s="110" t="s">
        <v>6248</v>
      </c>
      <c r="H2862" s="110" t="s">
        <v>19207</v>
      </c>
      <c r="I2862" s="110" t="s">
        <v>19208</v>
      </c>
    </row>
    <row r="2863" spans="1:9" ht="25.2" x14ac:dyDescent="0.3">
      <c r="A2863" s="109" t="s">
        <v>19209</v>
      </c>
      <c r="B2863" s="109" t="s">
        <v>18851</v>
      </c>
      <c r="C2863" s="109" t="s">
        <v>18851</v>
      </c>
      <c r="D2863" s="109" t="s">
        <v>19210</v>
      </c>
      <c r="E2863" s="109" t="s">
        <v>19211</v>
      </c>
      <c r="F2863" s="109" t="s">
        <v>19212</v>
      </c>
      <c r="G2863" s="110" t="s">
        <v>6248</v>
      </c>
      <c r="H2863" s="110" t="s">
        <v>19213</v>
      </c>
      <c r="I2863" s="110" t="s">
        <v>19214</v>
      </c>
    </row>
    <row r="2864" spans="1:9" ht="25.2" x14ac:dyDescent="0.3">
      <c r="A2864" s="109" t="s">
        <v>19215</v>
      </c>
      <c r="B2864" s="109" t="s">
        <v>18851</v>
      </c>
      <c r="C2864" s="109" t="s">
        <v>18851</v>
      </c>
      <c r="D2864" s="109" t="s">
        <v>19216</v>
      </c>
      <c r="E2864" s="109" t="s">
        <v>5558</v>
      </c>
      <c r="F2864" s="109" t="s">
        <v>19217</v>
      </c>
      <c r="G2864" s="110" t="s">
        <v>6248</v>
      </c>
      <c r="H2864" s="110" t="s">
        <v>19218</v>
      </c>
      <c r="I2864" s="110" t="s">
        <v>19219</v>
      </c>
    </row>
    <row r="2865" spans="1:9" ht="25.2" x14ac:dyDescent="0.3">
      <c r="A2865" s="109" t="s">
        <v>19220</v>
      </c>
      <c r="B2865" s="109" t="s">
        <v>18851</v>
      </c>
      <c r="C2865" s="109" t="s">
        <v>18851</v>
      </c>
      <c r="D2865" s="109" t="s">
        <v>19221</v>
      </c>
      <c r="E2865" s="109" t="s">
        <v>5558</v>
      </c>
      <c r="F2865" s="109" t="s">
        <v>19222</v>
      </c>
      <c r="G2865" s="110" t="s">
        <v>6248</v>
      </c>
      <c r="H2865" s="110" t="s">
        <v>6689</v>
      </c>
      <c r="I2865" s="110" t="s">
        <v>19223</v>
      </c>
    </row>
    <row r="2866" spans="1:9" ht="25.2" x14ac:dyDescent="0.3">
      <c r="A2866" s="109" t="s">
        <v>19224</v>
      </c>
      <c r="B2866" s="109" t="s">
        <v>18851</v>
      </c>
      <c r="C2866" s="109" t="s">
        <v>18851</v>
      </c>
      <c r="D2866" s="109" t="s">
        <v>5569</v>
      </c>
      <c r="E2866" s="109" t="s">
        <v>5558</v>
      </c>
      <c r="F2866" s="109" t="s">
        <v>2258</v>
      </c>
      <c r="G2866" s="110" t="s">
        <v>6248</v>
      </c>
      <c r="H2866" s="110" t="s">
        <v>19225</v>
      </c>
      <c r="I2866" s="110" t="s">
        <v>19226</v>
      </c>
    </row>
    <row r="2867" spans="1:9" ht="25.2" x14ac:dyDescent="0.3">
      <c r="A2867" s="109" t="s">
        <v>19227</v>
      </c>
      <c r="B2867" s="109" t="s">
        <v>18851</v>
      </c>
      <c r="C2867" s="109" t="s">
        <v>18851</v>
      </c>
      <c r="D2867" s="109" t="s">
        <v>19228</v>
      </c>
      <c r="E2867" s="109" t="s">
        <v>19229</v>
      </c>
      <c r="F2867" s="109" t="s">
        <v>19230</v>
      </c>
      <c r="G2867" s="110" t="s">
        <v>6248</v>
      </c>
      <c r="H2867" s="110" t="s">
        <v>19231</v>
      </c>
      <c r="I2867" s="110" t="s">
        <v>19232</v>
      </c>
    </row>
    <row r="2868" spans="1:9" ht="25.2" x14ac:dyDescent="0.3">
      <c r="A2868" s="109" t="s">
        <v>19233</v>
      </c>
      <c r="B2868" s="109" t="s">
        <v>18851</v>
      </c>
      <c r="C2868" s="109" t="s">
        <v>18851</v>
      </c>
      <c r="D2868" s="109" t="s">
        <v>19234</v>
      </c>
      <c r="E2868" s="109" t="s">
        <v>19235</v>
      </c>
      <c r="F2868" s="109" t="s">
        <v>19236</v>
      </c>
      <c r="G2868" s="110" t="s">
        <v>6248</v>
      </c>
      <c r="H2868" s="110" t="s">
        <v>19237</v>
      </c>
      <c r="I2868" s="110" t="s">
        <v>19238</v>
      </c>
    </row>
    <row r="2869" spans="1:9" ht="25.2" x14ac:dyDescent="0.3">
      <c r="A2869" s="109" t="s">
        <v>19239</v>
      </c>
      <c r="B2869" s="109" t="s">
        <v>18851</v>
      </c>
      <c r="C2869" s="109" t="s">
        <v>18851</v>
      </c>
      <c r="D2869" s="109" t="s">
        <v>19240</v>
      </c>
      <c r="E2869" s="109" t="s">
        <v>19241</v>
      </c>
      <c r="F2869" s="109" t="s">
        <v>7039</v>
      </c>
      <c r="G2869" s="110" t="s">
        <v>6248</v>
      </c>
      <c r="H2869" s="110" t="s">
        <v>19242</v>
      </c>
      <c r="I2869" s="110" t="s">
        <v>19243</v>
      </c>
    </row>
    <row r="2870" spans="1:9" ht="25.2" x14ac:dyDescent="0.3">
      <c r="A2870" s="109" t="s">
        <v>19244</v>
      </c>
      <c r="B2870" s="109" t="s">
        <v>18851</v>
      </c>
      <c r="C2870" s="109" t="s">
        <v>18851</v>
      </c>
      <c r="D2870" s="109" t="s">
        <v>19245</v>
      </c>
      <c r="E2870" s="109" t="s">
        <v>5558</v>
      </c>
      <c r="F2870" s="109" t="s">
        <v>19246</v>
      </c>
      <c r="G2870" s="110" t="s">
        <v>6248</v>
      </c>
      <c r="H2870" s="110" t="s">
        <v>19247</v>
      </c>
      <c r="I2870" s="110" t="s">
        <v>19248</v>
      </c>
    </row>
    <row r="2871" spans="1:9" ht="25.2" x14ac:dyDescent="0.3">
      <c r="A2871" s="109" t="s">
        <v>19249</v>
      </c>
      <c r="B2871" s="109" t="s">
        <v>18851</v>
      </c>
      <c r="C2871" s="109" t="s">
        <v>18851</v>
      </c>
      <c r="D2871" s="109" t="s">
        <v>19250</v>
      </c>
      <c r="E2871" s="109" t="s">
        <v>19251</v>
      </c>
      <c r="F2871" s="109" t="s">
        <v>8190</v>
      </c>
      <c r="G2871" s="110" t="s">
        <v>6248</v>
      </c>
      <c r="H2871" s="110" t="s">
        <v>10272</v>
      </c>
      <c r="I2871" s="110" t="s">
        <v>19252</v>
      </c>
    </row>
    <row r="2872" spans="1:9" ht="25.2" x14ac:dyDescent="0.3">
      <c r="A2872" s="109" t="s">
        <v>19253</v>
      </c>
      <c r="B2872" s="109" t="s">
        <v>18851</v>
      </c>
      <c r="C2872" s="109" t="s">
        <v>18851</v>
      </c>
      <c r="D2872" s="109" t="s">
        <v>19254</v>
      </c>
      <c r="E2872" s="109" t="s">
        <v>19068</v>
      </c>
      <c r="F2872" s="109" t="s">
        <v>6878</v>
      </c>
      <c r="G2872" s="110" t="s">
        <v>6557</v>
      </c>
      <c r="H2872" s="110" t="s">
        <v>6248</v>
      </c>
      <c r="I2872" s="110" t="s">
        <v>19255</v>
      </c>
    </row>
    <row r="2873" spans="1:9" ht="25.2" x14ac:dyDescent="0.3">
      <c r="A2873" s="109" t="s">
        <v>19256</v>
      </c>
      <c r="B2873" s="109" t="s">
        <v>18851</v>
      </c>
      <c r="C2873" s="109" t="s">
        <v>18851</v>
      </c>
      <c r="D2873" s="109" t="s">
        <v>19257</v>
      </c>
      <c r="E2873" s="109" t="s">
        <v>7190</v>
      </c>
      <c r="F2873" s="109" t="s">
        <v>7191</v>
      </c>
      <c r="G2873" s="110" t="s">
        <v>6248</v>
      </c>
      <c r="H2873" s="110" t="s">
        <v>19258</v>
      </c>
      <c r="I2873" s="110" t="s">
        <v>19259</v>
      </c>
    </row>
    <row r="2874" spans="1:9" ht="63" x14ac:dyDescent="0.3">
      <c r="A2874" s="109" t="s">
        <v>19260</v>
      </c>
      <c r="B2874" s="109" t="s">
        <v>18851</v>
      </c>
      <c r="C2874" s="109" t="s">
        <v>18851</v>
      </c>
      <c r="D2874" s="109" t="s">
        <v>19261</v>
      </c>
      <c r="E2874" s="109" t="s">
        <v>19261</v>
      </c>
      <c r="F2874" s="109" t="s">
        <v>19262</v>
      </c>
      <c r="G2874" s="110" t="s">
        <v>6248</v>
      </c>
      <c r="H2874" s="110" t="s">
        <v>19263</v>
      </c>
      <c r="I2874" s="110" t="s">
        <v>19264</v>
      </c>
    </row>
    <row r="2875" spans="1:9" ht="63" x14ac:dyDescent="0.3">
      <c r="A2875" s="109" t="s">
        <v>19265</v>
      </c>
      <c r="B2875" s="109" t="s">
        <v>18851</v>
      </c>
      <c r="C2875" s="109" t="s">
        <v>18851</v>
      </c>
      <c r="D2875" s="109" t="s">
        <v>19266</v>
      </c>
      <c r="E2875" s="109" t="s">
        <v>19266</v>
      </c>
      <c r="F2875" s="109" t="s">
        <v>19267</v>
      </c>
      <c r="G2875" s="110" t="s">
        <v>6248</v>
      </c>
      <c r="H2875" s="110" t="s">
        <v>19268</v>
      </c>
      <c r="I2875" s="110" t="s">
        <v>19269</v>
      </c>
    </row>
    <row r="2876" spans="1:9" ht="75.599999999999994" x14ac:dyDescent="0.3">
      <c r="A2876" s="109" t="s">
        <v>19270</v>
      </c>
      <c r="B2876" s="109" t="s">
        <v>18851</v>
      </c>
      <c r="C2876" s="109" t="s">
        <v>18851</v>
      </c>
      <c r="D2876" s="109" t="s">
        <v>19271</v>
      </c>
      <c r="E2876" s="109" t="s">
        <v>19271</v>
      </c>
      <c r="F2876" s="109" t="s">
        <v>19272</v>
      </c>
      <c r="G2876" s="110" t="s">
        <v>6248</v>
      </c>
      <c r="H2876" s="110" t="s">
        <v>19273</v>
      </c>
      <c r="I2876" s="110" t="s">
        <v>19274</v>
      </c>
    </row>
    <row r="2877" spans="1:9" ht="25.2" x14ac:dyDescent="0.3">
      <c r="A2877" s="109" t="s">
        <v>19275</v>
      </c>
      <c r="B2877" s="109" t="s">
        <v>18851</v>
      </c>
      <c r="C2877" s="109" t="s">
        <v>18851</v>
      </c>
      <c r="D2877" s="109" t="s">
        <v>19276</v>
      </c>
      <c r="E2877" s="109" t="s">
        <v>5558</v>
      </c>
      <c r="F2877" s="109" t="s">
        <v>19277</v>
      </c>
      <c r="G2877" s="110" t="s">
        <v>6248</v>
      </c>
      <c r="H2877" s="110" t="s">
        <v>6352</v>
      </c>
      <c r="I2877" s="110" t="s">
        <v>19278</v>
      </c>
    </row>
    <row r="2878" spans="1:9" ht="25.2" x14ac:dyDescent="0.3">
      <c r="A2878" s="109" t="s">
        <v>19279</v>
      </c>
      <c r="B2878" s="109" t="s">
        <v>18851</v>
      </c>
      <c r="C2878" s="109" t="s">
        <v>18851</v>
      </c>
      <c r="D2878" s="109" t="s">
        <v>19280</v>
      </c>
      <c r="E2878" s="109" t="s">
        <v>19281</v>
      </c>
      <c r="F2878" s="109" t="s">
        <v>7045</v>
      </c>
      <c r="G2878" s="110" t="s">
        <v>19282</v>
      </c>
      <c r="H2878" s="110" t="s">
        <v>6248</v>
      </c>
      <c r="I2878" s="110" t="s">
        <v>19283</v>
      </c>
    </row>
    <row r="2879" spans="1:9" ht="75.599999999999994" x14ac:dyDescent="0.3">
      <c r="A2879" s="109" t="s">
        <v>19284</v>
      </c>
      <c r="B2879" s="109" t="s">
        <v>18851</v>
      </c>
      <c r="C2879" s="109" t="s">
        <v>18851</v>
      </c>
      <c r="D2879" s="109" t="s">
        <v>19285</v>
      </c>
      <c r="E2879" s="109" t="s">
        <v>19285</v>
      </c>
      <c r="F2879" s="109" t="s">
        <v>19286</v>
      </c>
      <c r="G2879" s="110" t="s">
        <v>6248</v>
      </c>
      <c r="H2879" s="110" t="s">
        <v>19287</v>
      </c>
      <c r="I2879" s="110" t="s">
        <v>19288</v>
      </c>
    </row>
    <row r="2880" spans="1:9" ht="25.2" x14ac:dyDescent="0.3">
      <c r="A2880" s="109" t="s">
        <v>19289</v>
      </c>
      <c r="B2880" s="109" t="s">
        <v>18851</v>
      </c>
      <c r="C2880" s="109" t="s">
        <v>18851</v>
      </c>
      <c r="D2880" s="109" t="s">
        <v>2728</v>
      </c>
      <c r="E2880" s="109" t="s">
        <v>19290</v>
      </c>
      <c r="F2880" s="109" t="s">
        <v>19291</v>
      </c>
      <c r="G2880" s="110" t="s">
        <v>19292</v>
      </c>
      <c r="H2880" s="110" t="s">
        <v>6248</v>
      </c>
      <c r="I2880" s="110" t="s">
        <v>19293</v>
      </c>
    </row>
    <row r="2881" spans="1:9" ht="25.2" x14ac:dyDescent="0.3">
      <c r="A2881" s="109" t="s">
        <v>19294</v>
      </c>
      <c r="B2881" s="109" t="s">
        <v>18851</v>
      </c>
      <c r="C2881" s="109" t="s">
        <v>18851</v>
      </c>
      <c r="D2881" s="109" t="s">
        <v>2727</v>
      </c>
      <c r="E2881" s="109" t="s">
        <v>19290</v>
      </c>
      <c r="F2881" s="109" t="s">
        <v>19291</v>
      </c>
      <c r="G2881" s="110" t="s">
        <v>19295</v>
      </c>
      <c r="H2881" s="110" t="s">
        <v>6248</v>
      </c>
      <c r="I2881" s="110" t="s">
        <v>19296</v>
      </c>
    </row>
    <row r="2882" spans="1:9" ht="25.2" x14ac:dyDescent="0.3">
      <c r="A2882" s="109" t="s">
        <v>19297</v>
      </c>
      <c r="B2882" s="109" t="s">
        <v>18851</v>
      </c>
      <c r="C2882" s="109" t="s">
        <v>18851</v>
      </c>
      <c r="D2882" s="109" t="s">
        <v>19298</v>
      </c>
      <c r="E2882" s="109" t="s">
        <v>19299</v>
      </c>
      <c r="F2882" s="109" t="s">
        <v>19300</v>
      </c>
      <c r="G2882" s="110" t="s">
        <v>6248</v>
      </c>
      <c r="H2882" s="110" t="s">
        <v>19301</v>
      </c>
      <c r="I2882" s="110" t="s">
        <v>19302</v>
      </c>
    </row>
    <row r="2883" spans="1:9" ht="25.2" x14ac:dyDescent="0.3">
      <c r="A2883" s="109" t="s">
        <v>19303</v>
      </c>
      <c r="B2883" s="109" t="s">
        <v>18851</v>
      </c>
      <c r="C2883" s="109" t="s">
        <v>18851</v>
      </c>
      <c r="D2883" s="109" t="s">
        <v>19304</v>
      </c>
      <c r="E2883" s="109" t="s">
        <v>5558</v>
      </c>
      <c r="F2883" s="109" t="s">
        <v>19305</v>
      </c>
      <c r="G2883" s="110" t="s">
        <v>6248</v>
      </c>
      <c r="H2883" s="110" t="s">
        <v>19306</v>
      </c>
      <c r="I2883" s="110" t="s">
        <v>19307</v>
      </c>
    </row>
    <row r="2884" spans="1:9" ht="37.799999999999997" x14ac:dyDescent="0.3">
      <c r="A2884" s="109" t="s">
        <v>19308</v>
      </c>
      <c r="B2884" s="109" t="s">
        <v>18851</v>
      </c>
      <c r="C2884" s="109" t="s">
        <v>18851</v>
      </c>
      <c r="D2884" s="109" t="s">
        <v>19309</v>
      </c>
      <c r="E2884" s="109" t="s">
        <v>5558</v>
      </c>
      <c r="F2884" s="109" t="s">
        <v>19310</v>
      </c>
      <c r="G2884" s="110" t="s">
        <v>6248</v>
      </c>
      <c r="H2884" s="110" t="s">
        <v>11207</v>
      </c>
      <c r="I2884" s="110" t="s">
        <v>19311</v>
      </c>
    </row>
    <row r="2885" spans="1:9" ht="25.2" x14ac:dyDescent="0.3">
      <c r="A2885" s="109" t="s">
        <v>19312</v>
      </c>
      <c r="B2885" s="109" t="s">
        <v>18851</v>
      </c>
      <c r="C2885" s="109" t="s">
        <v>18851</v>
      </c>
      <c r="D2885" s="109" t="s">
        <v>19313</v>
      </c>
      <c r="E2885" s="109" t="s">
        <v>19314</v>
      </c>
      <c r="F2885" s="109" t="s">
        <v>19315</v>
      </c>
      <c r="G2885" s="110" t="s">
        <v>6248</v>
      </c>
      <c r="H2885" s="110" t="s">
        <v>19316</v>
      </c>
      <c r="I2885" s="110" t="s">
        <v>19317</v>
      </c>
    </row>
    <row r="2886" spans="1:9" ht="25.2" x14ac:dyDescent="0.3">
      <c r="A2886" s="109" t="s">
        <v>19318</v>
      </c>
      <c r="B2886" s="109" t="s">
        <v>18851</v>
      </c>
      <c r="C2886" s="109" t="s">
        <v>18851</v>
      </c>
      <c r="D2886" s="109" t="s">
        <v>2475</v>
      </c>
      <c r="E2886" s="109" t="s">
        <v>5558</v>
      </c>
      <c r="F2886" s="109" t="s">
        <v>19319</v>
      </c>
      <c r="G2886" s="110" t="s">
        <v>6248</v>
      </c>
      <c r="H2886" s="110" t="s">
        <v>19320</v>
      </c>
      <c r="I2886" s="110" t="s">
        <v>19321</v>
      </c>
    </row>
    <row r="2887" spans="1:9" ht="25.2" x14ac:dyDescent="0.3">
      <c r="A2887" s="109" t="s">
        <v>19322</v>
      </c>
      <c r="B2887" s="109" t="s">
        <v>18851</v>
      </c>
      <c r="C2887" s="109" t="s">
        <v>18851</v>
      </c>
      <c r="D2887" s="109" t="s">
        <v>19323</v>
      </c>
      <c r="E2887" s="109" t="s">
        <v>19324</v>
      </c>
      <c r="F2887" s="109" t="s">
        <v>19325</v>
      </c>
      <c r="G2887" s="110" t="s">
        <v>6248</v>
      </c>
      <c r="H2887" s="110" t="s">
        <v>6660</v>
      </c>
      <c r="I2887" s="110" t="s">
        <v>19326</v>
      </c>
    </row>
    <row r="2888" spans="1:9" ht="37.799999999999997" x14ac:dyDescent="0.3">
      <c r="A2888" s="109" t="s">
        <v>19327</v>
      </c>
      <c r="B2888" s="109" t="s">
        <v>18851</v>
      </c>
      <c r="C2888" s="109" t="s">
        <v>18851</v>
      </c>
      <c r="D2888" s="109" t="s">
        <v>19328</v>
      </c>
      <c r="E2888" s="109" t="s">
        <v>5558</v>
      </c>
      <c r="F2888" s="109" t="s">
        <v>19329</v>
      </c>
      <c r="G2888" s="110" t="s">
        <v>6248</v>
      </c>
      <c r="H2888" s="110" t="s">
        <v>19330</v>
      </c>
      <c r="I2888" s="110" t="s">
        <v>19331</v>
      </c>
    </row>
    <row r="2889" spans="1:9" ht="25.2" x14ac:dyDescent="0.3">
      <c r="A2889" s="109" t="s">
        <v>19332</v>
      </c>
      <c r="B2889" s="109" t="s">
        <v>18851</v>
      </c>
      <c r="C2889" s="109" t="s">
        <v>18851</v>
      </c>
      <c r="D2889" s="109" t="s">
        <v>19333</v>
      </c>
      <c r="E2889" s="109" t="s">
        <v>5558</v>
      </c>
      <c r="F2889" s="109" t="s">
        <v>19334</v>
      </c>
      <c r="G2889" s="110" t="s">
        <v>6248</v>
      </c>
      <c r="H2889" s="110" t="s">
        <v>19335</v>
      </c>
      <c r="I2889" s="110" t="s">
        <v>19336</v>
      </c>
    </row>
    <row r="2890" spans="1:9" ht="25.2" x14ac:dyDescent="0.3">
      <c r="A2890" s="109" t="s">
        <v>19337</v>
      </c>
      <c r="B2890" s="109" t="s">
        <v>18851</v>
      </c>
      <c r="C2890" s="109" t="s">
        <v>18851</v>
      </c>
      <c r="D2890" s="109" t="s">
        <v>19338</v>
      </c>
      <c r="E2890" s="109" t="s">
        <v>5558</v>
      </c>
      <c r="F2890" s="109" t="s">
        <v>19339</v>
      </c>
      <c r="G2890" s="110" t="s">
        <v>6248</v>
      </c>
      <c r="H2890" s="110" t="s">
        <v>6655</v>
      </c>
      <c r="I2890" s="110" t="s">
        <v>19340</v>
      </c>
    </row>
    <row r="2891" spans="1:9" ht="25.2" x14ac:dyDescent="0.3">
      <c r="A2891" s="109" t="s">
        <v>19341</v>
      </c>
      <c r="B2891" s="109" t="s">
        <v>18851</v>
      </c>
      <c r="C2891" s="109" t="s">
        <v>18851</v>
      </c>
      <c r="D2891" s="109" t="s">
        <v>5569</v>
      </c>
      <c r="E2891" s="109" t="s">
        <v>5558</v>
      </c>
      <c r="F2891" s="109" t="s">
        <v>2258</v>
      </c>
      <c r="G2891" s="110" t="s">
        <v>6248</v>
      </c>
      <c r="H2891" s="110" t="s">
        <v>19342</v>
      </c>
      <c r="I2891" s="110" t="s">
        <v>19343</v>
      </c>
    </row>
    <row r="2892" spans="1:9" ht="25.2" x14ac:dyDescent="0.3">
      <c r="A2892" s="109" t="s">
        <v>19344</v>
      </c>
      <c r="B2892" s="109" t="s">
        <v>18851</v>
      </c>
      <c r="C2892" s="109" t="s">
        <v>18851</v>
      </c>
      <c r="D2892" s="109" t="s">
        <v>5569</v>
      </c>
      <c r="E2892" s="109" t="s">
        <v>5558</v>
      </c>
      <c r="F2892" s="109" t="s">
        <v>2258</v>
      </c>
      <c r="G2892" s="110" t="s">
        <v>6248</v>
      </c>
      <c r="H2892" s="110" t="s">
        <v>19345</v>
      </c>
      <c r="I2892" s="110" t="s">
        <v>19346</v>
      </c>
    </row>
    <row r="2893" spans="1:9" ht="75.599999999999994" x14ac:dyDescent="0.3">
      <c r="A2893" s="109" t="s">
        <v>19347</v>
      </c>
      <c r="B2893" s="109" t="s">
        <v>18851</v>
      </c>
      <c r="C2893" s="109" t="s">
        <v>18851</v>
      </c>
      <c r="D2893" s="109" t="s">
        <v>19348</v>
      </c>
      <c r="E2893" s="109" t="s">
        <v>19348</v>
      </c>
      <c r="F2893" s="109" t="s">
        <v>19349</v>
      </c>
      <c r="G2893" s="110" t="s">
        <v>6248</v>
      </c>
      <c r="H2893" s="110" t="s">
        <v>19350</v>
      </c>
      <c r="I2893" s="110" t="s">
        <v>19351</v>
      </c>
    </row>
    <row r="2894" spans="1:9" ht="25.2" x14ac:dyDescent="0.3">
      <c r="A2894" s="109" t="s">
        <v>19352</v>
      </c>
      <c r="B2894" s="109" t="s">
        <v>18851</v>
      </c>
      <c r="C2894" s="109" t="s">
        <v>18851</v>
      </c>
      <c r="D2894" s="109" t="s">
        <v>19353</v>
      </c>
      <c r="E2894" s="109" t="s">
        <v>19354</v>
      </c>
      <c r="F2894" s="109" t="s">
        <v>19355</v>
      </c>
      <c r="G2894" s="110" t="s">
        <v>19356</v>
      </c>
      <c r="H2894" s="110" t="s">
        <v>6248</v>
      </c>
      <c r="I2894" s="110" t="s">
        <v>19357</v>
      </c>
    </row>
    <row r="2895" spans="1:9" ht="25.2" x14ac:dyDescent="0.3">
      <c r="A2895" s="109" t="s">
        <v>19358</v>
      </c>
      <c r="B2895" s="109" t="s">
        <v>18851</v>
      </c>
      <c r="C2895" s="109" t="s">
        <v>18851</v>
      </c>
      <c r="D2895" s="109" t="s">
        <v>19359</v>
      </c>
      <c r="E2895" s="109" t="s">
        <v>19360</v>
      </c>
      <c r="F2895" s="109" t="s">
        <v>19361</v>
      </c>
      <c r="G2895" s="110" t="s">
        <v>6248</v>
      </c>
      <c r="H2895" s="110" t="s">
        <v>9261</v>
      </c>
      <c r="I2895" s="110" t="s">
        <v>19362</v>
      </c>
    </row>
    <row r="2896" spans="1:9" ht="37.799999999999997" x14ac:dyDescent="0.3">
      <c r="A2896" s="109" t="s">
        <v>19363</v>
      </c>
      <c r="B2896" s="109" t="s">
        <v>18851</v>
      </c>
      <c r="C2896" s="109" t="s">
        <v>18851</v>
      </c>
      <c r="D2896" s="109" t="s">
        <v>19364</v>
      </c>
      <c r="E2896" s="109" t="s">
        <v>5558</v>
      </c>
      <c r="F2896" s="109" t="s">
        <v>19365</v>
      </c>
      <c r="G2896" s="110" t="s">
        <v>6248</v>
      </c>
      <c r="H2896" s="110" t="s">
        <v>19366</v>
      </c>
      <c r="I2896" s="110" t="s">
        <v>19367</v>
      </c>
    </row>
    <row r="2897" spans="1:9" ht="25.2" x14ac:dyDescent="0.3">
      <c r="A2897" s="109" t="s">
        <v>19368</v>
      </c>
      <c r="B2897" s="109" t="s">
        <v>18851</v>
      </c>
      <c r="C2897" s="109" t="s">
        <v>18851</v>
      </c>
      <c r="D2897" s="109" t="s">
        <v>19369</v>
      </c>
      <c r="E2897" s="109" t="s">
        <v>19370</v>
      </c>
      <c r="F2897" s="109" t="s">
        <v>9778</v>
      </c>
      <c r="G2897" s="110" t="s">
        <v>6248</v>
      </c>
      <c r="H2897" s="110" t="s">
        <v>9779</v>
      </c>
      <c r="I2897" s="110" t="s">
        <v>19371</v>
      </c>
    </row>
    <row r="2898" spans="1:9" ht="37.799999999999997" x14ac:dyDescent="0.3">
      <c r="A2898" s="109" t="s">
        <v>19372</v>
      </c>
      <c r="B2898" s="109" t="s">
        <v>18851</v>
      </c>
      <c r="C2898" s="109" t="s">
        <v>18851</v>
      </c>
      <c r="D2898" s="109" t="s">
        <v>19373</v>
      </c>
      <c r="E2898" s="109" t="s">
        <v>5558</v>
      </c>
      <c r="F2898" s="109" t="s">
        <v>19374</v>
      </c>
      <c r="G2898" s="110" t="s">
        <v>6248</v>
      </c>
      <c r="H2898" s="110" t="s">
        <v>19375</v>
      </c>
      <c r="I2898" s="110" t="s">
        <v>19376</v>
      </c>
    </row>
    <row r="2899" spans="1:9" ht="25.2" x14ac:dyDescent="0.3">
      <c r="A2899" s="109" t="s">
        <v>19377</v>
      </c>
      <c r="B2899" s="109" t="s">
        <v>18851</v>
      </c>
      <c r="C2899" s="109" t="s">
        <v>18851</v>
      </c>
      <c r="D2899" s="109" t="s">
        <v>5569</v>
      </c>
      <c r="E2899" s="109" t="s">
        <v>5558</v>
      </c>
      <c r="F2899" s="109" t="s">
        <v>2258</v>
      </c>
      <c r="G2899" s="110" t="s">
        <v>6248</v>
      </c>
      <c r="H2899" s="110" t="s">
        <v>19366</v>
      </c>
      <c r="I2899" s="110" t="s">
        <v>19378</v>
      </c>
    </row>
    <row r="2900" spans="1:9" ht="25.2" x14ac:dyDescent="0.3">
      <c r="A2900" s="109" t="s">
        <v>19379</v>
      </c>
      <c r="B2900" s="109" t="s">
        <v>18851</v>
      </c>
      <c r="C2900" s="109" t="s">
        <v>18851</v>
      </c>
      <c r="D2900" s="109" t="s">
        <v>5772</v>
      </c>
      <c r="E2900" s="109" t="s">
        <v>5558</v>
      </c>
      <c r="F2900" s="109" t="s">
        <v>2258</v>
      </c>
      <c r="G2900" s="110" t="s">
        <v>6248</v>
      </c>
      <c r="H2900" s="110" t="s">
        <v>19380</v>
      </c>
      <c r="I2900" s="110" t="s">
        <v>19381</v>
      </c>
    </row>
    <row r="2901" spans="1:9" ht="25.2" x14ac:dyDescent="0.3">
      <c r="A2901" s="109" t="s">
        <v>19382</v>
      </c>
      <c r="B2901" s="109" t="s">
        <v>18851</v>
      </c>
      <c r="C2901" s="109" t="s">
        <v>18851</v>
      </c>
      <c r="D2901" s="109" t="s">
        <v>2457</v>
      </c>
      <c r="E2901" s="109" t="s">
        <v>19383</v>
      </c>
      <c r="F2901" s="109" t="s">
        <v>7007</v>
      </c>
      <c r="G2901" s="110" t="s">
        <v>6248</v>
      </c>
      <c r="H2901" s="110" t="s">
        <v>19384</v>
      </c>
      <c r="I2901" s="110" t="s">
        <v>19385</v>
      </c>
    </row>
    <row r="2902" spans="1:9" ht="25.2" x14ac:dyDescent="0.3">
      <c r="A2902" s="109" t="s">
        <v>19386</v>
      </c>
      <c r="B2902" s="109" t="s">
        <v>18851</v>
      </c>
      <c r="C2902" s="109" t="s">
        <v>18851</v>
      </c>
      <c r="D2902" s="109" t="s">
        <v>19387</v>
      </c>
      <c r="E2902" s="109" t="s">
        <v>5558</v>
      </c>
      <c r="F2902" s="109" t="s">
        <v>19388</v>
      </c>
      <c r="G2902" s="110" t="s">
        <v>6248</v>
      </c>
      <c r="H2902" s="110" t="s">
        <v>19389</v>
      </c>
      <c r="I2902" s="110" t="s">
        <v>19390</v>
      </c>
    </row>
    <row r="2903" spans="1:9" ht="25.2" x14ac:dyDescent="0.3">
      <c r="A2903" s="109" t="s">
        <v>19391</v>
      </c>
      <c r="B2903" s="109" t="s">
        <v>18851</v>
      </c>
      <c r="C2903" s="109" t="s">
        <v>18851</v>
      </c>
      <c r="D2903" s="109" t="s">
        <v>19392</v>
      </c>
      <c r="E2903" s="109" t="s">
        <v>5558</v>
      </c>
      <c r="F2903" s="109" t="s">
        <v>19393</v>
      </c>
      <c r="G2903" s="110" t="s">
        <v>6248</v>
      </c>
      <c r="H2903" s="110" t="s">
        <v>19394</v>
      </c>
      <c r="I2903" s="110" t="s">
        <v>19395</v>
      </c>
    </row>
    <row r="2904" spans="1:9" ht="25.2" x14ac:dyDescent="0.3">
      <c r="A2904" s="109" t="s">
        <v>19396</v>
      </c>
      <c r="B2904" s="109" t="s">
        <v>18851</v>
      </c>
      <c r="C2904" s="109" t="s">
        <v>18851</v>
      </c>
      <c r="D2904" s="109" t="s">
        <v>5569</v>
      </c>
      <c r="E2904" s="109" t="s">
        <v>5558</v>
      </c>
      <c r="F2904" s="109" t="s">
        <v>2258</v>
      </c>
      <c r="G2904" s="110" t="s">
        <v>6248</v>
      </c>
      <c r="H2904" s="110" t="s">
        <v>19397</v>
      </c>
      <c r="I2904" s="110" t="s">
        <v>19398</v>
      </c>
    </row>
    <row r="2905" spans="1:9" ht="25.2" x14ac:dyDescent="0.3">
      <c r="A2905" s="109" t="s">
        <v>19399</v>
      </c>
      <c r="B2905" s="109" t="s">
        <v>18851</v>
      </c>
      <c r="C2905" s="109" t="s">
        <v>18851</v>
      </c>
      <c r="D2905" s="109" t="s">
        <v>19400</v>
      </c>
      <c r="E2905" s="109" t="s">
        <v>5558</v>
      </c>
      <c r="F2905" s="109" t="s">
        <v>19401</v>
      </c>
      <c r="G2905" s="110" t="s">
        <v>6248</v>
      </c>
      <c r="H2905" s="110" t="s">
        <v>19402</v>
      </c>
      <c r="I2905" s="110" t="s">
        <v>19403</v>
      </c>
    </row>
    <row r="2906" spans="1:9" ht="25.2" x14ac:dyDescent="0.3">
      <c r="A2906" s="109" t="s">
        <v>19404</v>
      </c>
      <c r="B2906" s="109" t="s">
        <v>18851</v>
      </c>
      <c r="C2906" s="109" t="s">
        <v>18851</v>
      </c>
      <c r="D2906" s="109" t="s">
        <v>19405</v>
      </c>
      <c r="E2906" s="109" t="s">
        <v>5558</v>
      </c>
      <c r="F2906" s="109" t="s">
        <v>19406</v>
      </c>
      <c r="G2906" s="110" t="s">
        <v>6248</v>
      </c>
      <c r="H2906" s="110" t="s">
        <v>19402</v>
      </c>
      <c r="I2906" s="110" t="s">
        <v>19407</v>
      </c>
    </row>
    <row r="2907" spans="1:9" ht="25.2" x14ac:dyDescent="0.3">
      <c r="A2907" s="109" t="s">
        <v>19408</v>
      </c>
      <c r="B2907" s="109" t="s">
        <v>18851</v>
      </c>
      <c r="C2907" s="109" t="s">
        <v>18851</v>
      </c>
      <c r="D2907" s="109" t="s">
        <v>19409</v>
      </c>
      <c r="E2907" s="109" t="s">
        <v>5558</v>
      </c>
      <c r="F2907" s="109" t="s">
        <v>19410</v>
      </c>
      <c r="G2907" s="110" t="s">
        <v>6248</v>
      </c>
      <c r="H2907" s="110" t="s">
        <v>16108</v>
      </c>
      <c r="I2907" s="110" t="s">
        <v>19411</v>
      </c>
    </row>
    <row r="2908" spans="1:9" ht="37.799999999999997" x14ac:dyDescent="0.3">
      <c r="A2908" s="109" t="s">
        <v>19412</v>
      </c>
      <c r="B2908" s="109" t="s">
        <v>18851</v>
      </c>
      <c r="C2908" s="109" t="s">
        <v>18851</v>
      </c>
      <c r="D2908" s="109" t="s">
        <v>19413</v>
      </c>
      <c r="E2908" s="109" t="s">
        <v>5558</v>
      </c>
      <c r="F2908" s="109" t="s">
        <v>19414</v>
      </c>
      <c r="G2908" s="110" t="s">
        <v>6248</v>
      </c>
      <c r="H2908" s="110" t="s">
        <v>7504</v>
      </c>
      <c r="I2908" s="110" t="s">
        <v>19415</v>
      </c>
    </row>
    <row r="2909" spans="1:9" ht="63" x14ac:dyDescent="0.3">
      <c r="A2909" s="109" t="s">
        <v>19416</v>
      </c>
      <c r="B2909" s="109" t="s">
        <v>18851</v>
      </c>
      <c r="C2909" s="109" t="s">
        <v>18851</v>
      </c>
      <c r="D2909" s="109" t="s">
        <v>19417</v>
      </c>
      <c r="E2909" s="109" t="s">
        <v>19417</v>
      </c>
      <c r="F2909" s="109" t="s">
        <v>19418</v>
      </c>
      <c r="G2909" s="110" t="s">
        <v>6248</v>
      </c>
      <c r="H2909" s="110" t="s">
        <v>19419</v>
      </c>
      <c r="I2909" s="110" t="s">
        <v>19420</v>
      </c>
    </row>
    <row r="2910" spans="1:9" ht="25.2" x14ac:dyDescent="0.3">
      <c r="A2910" s="109" t="s">
        <v>19421</v>
      </c>
      <c r="B2910" s="109" t="s">
        <v>18851</v>
      </c>
      <c r="C2910" s="109" t="s">
        <v>18851</v>
      </c>
      <c r="D2910" s="109" t="s">
        <v>19422</v>
      </c>
      <c r="E2910" s="109" t="s">
        <v>5558</v>
      </c>
      <c r="F2910" s="109" t="s">
        <v>19423</v>
      </c>
      <c r="G2910" s="110" t="s">
        <v>6248</v>
      </c>
      <c r="H2910" s="110" t="s">
        <v>19424</v>
      </c>
      <c r="I2910" s="110" t="s">
        <v>19425</v>
      </c>
    </row>
    <row r="2911" spans="1:9" ht="25.2" x14ac:dyDescent="0.3">
      <c r="A2911" s="109" t="s">
        <v>19426</v>
      </c>
      <c r="B2911" s="109" t="s">
        <v>18851</v>
      </c>
      <c r="C2911" s="109" t="s">
        <v>18851</v>
      </c>
      <c r="D2911" s="109" t="s">
        <v>19427</v>
      </c>
      <c r="E2911" s="109" t="s">
        <v>5558</v>
      </c>
      <c r="F2911" s="109" t="s">
        <v>19428</v>
      </c>
      <c r="G2911" s="110" t="s">
        <v>6248</v>
      </c>
      <c r="H2911" s="110" t="s">
        <v>6684</v>
      </c>
      <c r="I2911" s="110" t="s">
        <v>19429</v>
      </c>
    </row>
    <row r="2912" spans="1:9" ht="25.2" x14ac:dyDescent="0.3">
      <c r="A2912" s="109" t="s">
        <v>19430</v>
      </c>
      <c r="B2912" s="109" t="s">
        <v>18851</v>
      </c>
      <c r="C2912" s="109" t="s">
        <v>18851</v>
      </c>
      <c r="D2912" s="109" t="s">
        <v>5569</v>
      </c>
      <c r="E2912" s="109" t="s">
        <v>5558</v>
      </c>
      <c r="F2912" s="109" t="s">
        <v>2258</v>
      </c>
      <c r="G2912" s="110" t="s">
        <v>6248</v>
      </c>
      <c r="H2912" s="110" t="s">
        <v>19431</v>
      </c>
      <c r="I2912" s="110" t="s">
        <v>19432</v>
      </c>
    </row>
    <row r="2913" spans="1:9" ht="25.2" x14ac:dyDescent="0.3">
      <c r="A2913" s="109" t="s">
        <v>19433</v>
      </c>
      <c r="B2913" s="109" t="s">
        <v>18851</v>
      </c>
      <c r="C2913" s="109" t="s">
        <v>18851</v>
      </c>
      <c r="D2913" s="109" t="s">
        <v>5569</v>
      </c>
      <c r="E2913" s="109" t="s">
        <v>5558</v>
      </c>
      <c r="F2913" s="109" t="s">
        <v>2258</v>
      </c>
      <c r="G2913" s="110" t="s">
        <v>6248</v>
      </c>
      <c r="H2913" s="110" t="s">
        <v>6883</v>
      </c>
      <c r="I2913" s="110" t="s">
        <v>19434</v>
      </c>
    </row>
    <row r="2914" spans="1:9" ht="25.2" x14ac:dyDescent="0.3">
      <c r="A2914" s="109" t="s">
        <v>19435</v>
      </c>
      <c r="B2914" s="109" t="s">
        <v>18851</v>
      </c>
      <c r="C2914" s="109" t="s">
        <v>18851</v>
      </c>
      <c r="D2914" s="109" t="s">
        <v>19436</v>
      </c>
      <c r="E2914" s="109" t="s">
        <v>7282</v>
      </c>
      <c r="F2914" s="109" t="s">
        <v>7283</v>
      </c>
      <c r="G2914" s="110" t="s">
        <v>6248</v>
      </c>
      <c r="H2914" s="110" t="s">
        <v>19437</v>
      </c>
      <c r="I2914" s="110" t="s">
        <v>19438</v>
      </c>
    </row>
    <row r="2915" spans="1:9" ht="25.2" x14ac:dyDescent="0.3">
      <c r="A2915" s="109" t="s">
        <v>19439</v>
      </c>
      <c r="B2915" s="109" t="s">
        <v>18851</v>
      </c>
      <c r="C2915" s="109" t="s">
        <v>18851</v>
      </c>
      <c r="D2915" s="109" t="s">
        <v>5569</v>
      </c>
      <c r="E2915" s="109" t="s">
        <v>5558</v>
      </c>
      <c r="F2915" s="109" t="s">
        <v>2258</v>
      </c>
      <c r="G2915" s="110" t="s">
        <v>6248</v>
      </c>
      <c r="H2915" s="110" t="s">
        <v>19440</v>
      </c>
      <c r="I2915" s="110" t="s">
        <v>19441</v>
      </c>
    </row>
    <row r="2916" spans="1:9" ht="25.2" x14ac:dyDescent="0.3">
      <c r="A2916" s="109" t="s">
        <v>19442</v>
      </c>
      <c r="B2916" s="109" t="s">
        <v>18851</v>
      </c>
      <c r="C2916" s="109" t="s">
        <v>18851</v>
      </c>
      <c r="D2916" s="109" t="s">
        <v>19443</v>
      </c>
      <c r="E2916" s="109" t="s">
        <v>19444</v>
      </c>
      <c r="F2916" s="109" t="s">
        <v>19445</v>
      </c>
      <c r="G2916" s="110" t="s">
        <v>6248</v>
      </c>
      <c r="H2916" s="110" t="s">
        <v>19446</v>
      </c>
      <c r="I2916" s="110" t="s">
        <v>19447</v>
      </c>
    </row>
    <row r="2917" spans="1:9" ht="25.2" x14ac:dyDescent="0.3">
      <c r="A2917" s="109" t="s">
        <v>19448</v>
      </c>
      <c r="B2917" s="109" t="s">
        <v>18851</v>
      </c>
      <c r="C2917" s="109" t="s">
        <v>18851</v>
      </c>
      <c r="D2917" s="109" t="s">
        <v>19449</v>
      </c>
      <c r="E2917" s="109" t="s">
        <v>5558</v>
      </c>
      <c r="F2917" s="109" t="s">
        <v>19450</v>
      </c>
      <c r="G2917" s="110" t="s">
        <v>6248</v>
      </c>
      <c r="H2917" s="110" t="s">
        <v>6660</v>
      </c>
      <c r="I2917" s="110" t="s">
        <v>19451</v>
      </c>
    </row>
    <row r="2918" spans="1:9" ht="50.4" x14ac:dyDescent="0.3">
      <c r="A2918" s="109" t="s">
        <v>19452</v>
      </c>
      <c r="B2918" s="109" t="s">
        <v>18851</v>
      </c>
      <c r="C2918" s="109" t="s">
        <v>18851</v>
      </c>
      <c r="D2918" s="109" t="s">
        <v>19453</v>
      </c>
      <c r="E2918" s="109" t="s">
        <v>19453</v>
      </c>
      <c r="F2918" s="109" t="s">
        <v>19454</v>
      </c>
      <c r="G2918" s="110" t="s">
        <v>6248</v>
      </c>
      <c r="H2918" s="110" t="s">
        <v>19455</v>
      </c>
      <c r="I2918" s="110" t="s">
        <v>19456</v>
      </c>
    </row>
    <row r="2919" spans="1:9" ht="50.4" x14ac:dyDescent="0.3">
      <c r="A2919" s="109" t="s">
        <v>19457</v>
      </c>
      <c r="B2919" s="109" t="s">
        <v>18851</v>
      </c>
      <c r="C2919" s="109" t="s">
        <v>18851</v>
      </c>
      <c r="D2919" s="109" t="s">
        <v>19458</v>
      </c>
      <c r="E2919" s="109" t="s">
        <v>19458</v>
      </c>
      <c r="F2919" s="109" t="s">
        <v>19459</v>
      </c>
      <c r="G2919" s="110" t="s">
        <v>6248</v>
      </c>
      <c r="H2919" s="110" t="s">
        <v>19460</v>
      </c>
      <c r="I2919" s="110" t="s">
        <v>19461</v>
      </c>
    </row>
    <row r="2920" spans="1:9" ht="37.799999999999997" x14ac:dyDescent="0.3">
      <c r="A2920" s="109" t="s">
        <v>19462</v>
      </c>
      <c r="B2920" s="109" t="s">
        <v>18851</v>
      </c>
      <c r="C2920" s="109" t="s">
        <v>18851</v>
      </c>
      <c r="D2920" s="109" t="s">
        <v>19463</v>
      </c>
      <c r="E2920" s="109" t="s">
        <v>19464</v>
      </c>
      <c r="F2920" s="109" t="s">
        <v>19465</v>
      </c>
      <c r="G2920" s="110" t="s">
        <v>6248</v>
      </c>
      <c r="H2920" s="110" t="s">
        <v>19466</v>
      </c>
      <c r="I2920" s="110" t="s">
        <v>19467</v>
      </c>
    </row>
    <row r="2921" spans="1:9" ht="50.4" x14ac:dyDescent="0.3">
      <c r="A2921" s="109" t="s">
        <v>19468</v>
      </c>
      <c r="B2921" s="109" t="s">
        <v>18851</v>
      </c>
      <c r="C2921" s="109" t="s">
        <v>18851</v>
      </c>
      <c r="D2921" s="109" t="s">
        <v>19469</v>
      </c>
      <c r="E2921" s="109" t="s">
        <v>19469</v>
      </c>
      <c r="F2921" s="109" t="s">
        <v>19470</v>
      </c>
      <c r="G2921" s="110" t="s">
        <v>6248</v>
      </c>
      <c r="H2921" s="110" t="s">
        <v>19471</v>
      </c>
      <c r="I2921" s="110" t="s">
        <v>19472</v>
      </c>
    </row>
    <row r="2922" spans="1:9" ht="50.4" x14ac:dyDescent="0.3">
      <c r="A2922" s="109" t="s">
        <v>19473</v>
      </c>
      <c r="B2922" s="109" t="s">
        <v>18851</v>
      </c>
      <c r="C2922" s="109" t="s">
        <v>18851</v>
      </c>
      <c r="D2922" s="109" t="s">
        <v>19474</v>
      </c>
      <c r="E2922" s="109" t="s">
        <v>19474</v>
      </c>
      <c r="F2922" s="109" t="s">
        <v>19475</v>
      </c>
      <c r="G2922" s="110" t="s">
        <v>6248</v>
      </c>
      <c r="H2922" s="110" t="s">
        <v>19476</v>
      </c>
      <c r="I2922" s="110" t="s">
        <v>19477</v>
      </c>
    </row>
    <row r="2923" spans="1:9" ht="50.4" x14ac:dyDescent="0.3">
      <c r="A2923" s="109" t="s">
        <v>19478</v>
      </c>
      <c r="B2923" s="109" t="s">
        <v>18851</v>
      </c>
      <c r="C2923" s="109" t="s">
        <v>18851</v>
      </c>
      <c r="D2923" s="109" t="s">
        <v>19479</v>
      </c>
      <c r="E2923" s="109" t="s">
        <v>19479</v>
      </c>
      <c r="F2923" s="109" t="s">
        <v>19480</v>
      </c>
      <c r="G2923" s="110" t="s">
        <v>6248</v>
      </c>
      <c r="H2923" s="110" t="s">
        <v>19481</v>
      </c>
      <c r="I2923" s="110" t="s">
        <v>19482</v>
      </c>
    </row>
    <row r="2924" spans="1:9" ht="50.4" x14ac:dyDescent="0.3">
      <c r="A2924" s="109" t="s">
        <v>19483</v>
      </c>
      <c r="B2924" s="109" t="s">
        <v>18851</v>
      </c>
      <c r="C2924" s="109" t="s">
        <v>18851</v>
      </c>
      <c r="D2924" s="109" t="s">
        <v>19484</v>
      </c>
      <c r="E2924" s="109" t="s">
        <v>19484</v>
      </c>
      <c r="F2924" s="109" t="s">
        <v>19485</v>
      </c>
      <c r="G2924" s="110" t="s">
        <v>6248</v>
      </c>
      <c r="H2924" s="110" t="s">
        <v>19486</v>
      </c>
      <c r="I2924" s="110" t="s">
        <v>19487</v>
      </c>
    </row>
    <row r="2925" spans="1:9" ht="50.4" x14ac:dyDescent="0.3">
      <c r="A2925" s="109" t="s">
        <v>19488</v>
      </c>
      <c r="B2925" s="109" t="s">
        <v>18851</v>
      </c>
      <c r="C2925" s="109" t="s">
        <v>18851</v>
      </c>
      <c r="D2925" s="109" t="s">
        <v>19489</v>
      </c>
      <c r="E2925" s="109" t="s">
        <v>19489</v>
      </c>
      <c r="F2925" s="109" t="s">
        <v>19490</v>
      </c>
      <c r="G2925" s="110" t="s">
        <v>6248</v>
      </c>
      <c r="H2925" s="110" t="s">
        <v>19491</v>
      </c>
      <c r="I2925" s="110" t="s">
        <v>19492</v>
      </c>
    </row>
    <row r="2926" spans="1:9" ht="50.4" x14ac:dyDescent="0.3">
      <c r="A2926" s="109" t="s">
        <v>19493</v>
      </c>
      <c r="B2926" s="109" t="s">
        <v>18851</v>
      </c>
      <c r="C2926" s="109" t="s">
        <v>18851</v>
      </c>
      <c r="D2926" s="109" t="s">
        <v>6058</v>
      </c>
      <c r="E2926" s="109" t="s">
        <v>6058</v>
      </c>
      <c r="F2926" s="109" t="s">
        <v>19494</v>
      </c>
      <c r="G2926" s="110" t="s">
        <v>6248</v>
      </c>
      <c r="H2926" s="110" t="s">
        <v>19036</v>
      </c>
      <c r="I2926" s="110" t="s">
        <v>19495</v>
      </c>
    </row>
    <row r="2927" spans="1:9" ht="50.4" x14ac:dyDescent="0.3">
      <c r="A2927" s="109" t="s">
        <v>19496</v>
      </c>
      <c r="B2927" s="109" t="s">
        <v>18851</v>
      </c>
      <c r="C2927" s="109" t="s">
        <v>18851</v>
      </c>
      <c r="D2927" s="109" t="s">
        <v>19497</v>
      </c>
      <c r="E2927" s="109" t="s">
        <v>19497</v>
      </c>
      <c r="F2927" s="109" t="s">
        <v>19498</v>
      </c>
      <c r="G2927" s="110" t="s">
        <v>6248</v>
      </c>
      <c r="H2927" s="110" t="s">
        <v>19499</v>
      </c>
      <c r="I2927" s="110" t="s">
        <v>19500</v>
      </c>
    </row>
    <row r="2928" spans="1:9" ht="50.4" x14ac:dyDescent="0.3">
      <c r="A2928" s="109" t="s">
        <v>19501</v>
      </c>
      <c r="B2928" s="109" t="s">
        <v>18851</v>
      </c>
      <c r="C2928" s="109" t="s">
        <v>18851</v>
      </c>
      <c r="D2928" s="109" t="s">
        <v>11292</v>
      </c>
      <c r="E2928" s="109" t="s">
        <v>11292</v>
      </c>
      <c r="F2928" s="109" t="s">
        <v>19502</v>
      </c>
      <c r="G2928" s="110" t="s">
        <v>6248</v>
      </c>
      <c r="H2928" s="110" t="s">
        <v>19503</v>
      </c>
      <c r="I2928" s="110" t="s">
        <v>19504</v>
      </c>
    </row>
    <row r="2929" spans="1:9" ht="50.4" x14ac:dyDescent="0.3">
      <c r="A2929" s="109" t="s">
        <v>19505</v>
      </c>
      <c r="B2929" s="109" t="s">
        <v>18851</v>
      </c>
      <c r="C2929" s="109" t="s">
        <v>18851</v>
      </c>
      <c r="D2929" s="109" t="s">
        <v>18746</v>
      </c>
      <c r="E2929" s="109" t="s">
        <v>18746</v>
      </c>
      <c r="F2929" s="109" t="s">
        <v>19506</v>
      </c>
      <c r="G2929" s="110" t="s">
        <v>6248</v>
      </c>
      <c r="H2929" s="110" t="s">
        <v>16568</v>
      </c>
      <c r="I2929" s="110" t="s">
        <v>19507</v>
      </c>
    </row>
    <row r="2930" spans="1:9" ht="50.4" x14ac:dyDescent="0.3">
      <c r="A2930" s="109" t="s">
        <v>19508</v>
      </c>
      <c r="B2930" s="109" t="s">
        <v>18851</v>
      </c>
      <c r="C2930" s="109" t="s">
        <v>18851</v>
      </c>
      <c r="D2930" s="109" t="s">
        <v>19509</v>
      </c>
      <c r="E2930" s="109" t="s">
        <v>19509</v>
      </c>
      <c r="F2930" s="109" t="s">
        <v>19510</v>
      </c>
      <c r="G2930" s="110" t="s">
        <v>6248</v>
      </c>
      <c r="H2930" s="110" t="s">
        <v>19511</v>
      </c>
      <c r="I2930" s="110" t="s">
        <v>19512</v>
      </c>
    </row>
    <row r="2931" spans="1:9" ht="50.4" x14ac:dyDescent="0.3">
      <c r="A2931" s="109" t="s">
        <v>19513</v>
      </c>
      <c r="B2931" s="109" t="s">
        <v>18851</v>
      </c>
      <c r="C2931" s="109" t="s">
        <v>18851</v>
      </c>
      <c r="D2931" s="109" t="s">
        <v>19514</v>
      </c>
      <c r="E2931" s="109" t="s">
        <v>19514</v>
      </c>
      <c r="F2931" s="109" t="s">
        <v>19515</v>
      </c>
      <c r="G2931" s="110" t="s">
        <v>6248</v>
      </c>
      <c r="H2931" s="110" t="s">
        <v>19516</v>
      </c>
      <c r="I2931" s="110" t="s">
        <v>19517</v>
      </c>
    </row>
    <row r="2932" spans="1:9" ht="25.2" x14ac:dyDescent="0.3">
      <c r="A2932" s="109" t="s">
        <v>19518</v>
      </c>
      <c r="B2932" s="109" t="s">
        <v>18851</v>
      </c>
      <c r="C2932" s="109" t="s">
        <v>18851</v>
      </c>
      <c r="D2932" s="109" t="s">
        <v>19519</v>
      </c>
      <c r="E2932" s="109" t="s">
        <v>19520</v>
      </c>
      <c r="F2932" s="109" t="s">
        <v>19521</v>
      </c>
      <c r="G2932" s="110" t="s">
        <v>6248</v>
      </c>
      <c r="H2932" s="110" t="s">
        <v>19522</v>
      </c>
      <c r="I2932" s="110" t="s">
        <v>19523</v>
      </c>
    </row>
    <row r="2933" spans="1:9" ht="25.2" x14ac:dyDescent="0.3">
      <c r="A2933" s="109" t="s">
        <v>19524</v>
      </c>
      <c r="B2933" s="109" t="s">
        <v>18851</v>
      </c>
      <c r="C2933" s="109" t="s">
        <v>18851</v>
      </c>
      <c r="D2933" s="109" t="s">
        <v>19525</v>
      </c>
      <c r="E2933" s="109" t="s">
        <v>19526</v>
      </c>
      <c r="F2933" s="109" t="s">
        <v>16846</v>
      </c>
      <c r="G2933" s="110" t="s">
        <v>6248</v>
      </c>
      <c r="H2933" s="110" t="s">
        <v>19527</v>
      </c>
      <c r="I2933" s="110" t="s">
        <v>19528</v>
      </c>
    </row>
    <row r="2934" spans="1:9" ht="37.799999999999997" x14ac:dyDescent="0.3">
      <c r="A2934" s="109" t="s">
        <v>19529</v>
      </c>
      <c r="B2934" s="109" t="s">
        <v>18851</v>
      </c>
      <c r="C2934" s="109" t="s">
        <v>18851</v>
      </c>
      <c r="D2934" s="109" t="s">
        <v>19530</v>
      </c>
      <c r="E2934" s="109" t="s">
        <v>19530</v>
      </c>
      <c r="F2934" s="109" t="s">
        <v>19531</v>
      </c>
      <c r="G2934" s="110" t="s">
        <v>6248</v>
      </c>
      <c r="H2934" s="110" t="s">
        <v>19532</v>
      </c>
      <c r="I2934" s="110" t="s">
        <v>19533</v>
      </c>
    </row>
    <row r="2935" spans="1:9" ht="50.4" x14ac:dyDescent="0.3">
      <c r="A2935" s="109" t="s">
        <v>19534</v>
      </c>
      <c r="B2935" s="109" t="s">
        <v>18851</v>
      </c>
      <c r="C2935" s="109" t="s">
        <v>18851</v>
      </c>
      <c r="D2935" s="109" t="s">
        <v>19535</v>
      </c>
      <c r="E2935" s="109" t="s">
        <v>19535</v>
      </c>
      <c r="F2935" s="109" t="s">
        <v>19536</v>
      </c>
      <c r="G2935" s="110" t="s">
        <v>6248</v>
      </c>
      <c r="H2935" s="110" t="s">
        <v>19537</v>
      </c>
      <c r="I2935" s="110" t="s">
        <v>19538</v>
      </c>
    </row>
    <row r="2936" spans="1:9" ht="63" x14ac:dyDescent="0.3">
      <c r="A2936" s="109" t="s">
        <v>19539</v>
      </c>
      <c r="B2936" s="109" t="s">
        <v>18851</v>
      </c>
      <c r="C2936" s="109" t="s">
        <v>18851</v>
      </c>
      <c r="D2936" s="109" t="s">
        <v>12374</v>
      </c>
      <c r="E2936" s="109" t="s">
        <v>12374</v>
      </c>
      <c r="F2936" s="109" t="s">
        <v>19540</v>
      </c>
      <c r="G2936" s="110" t="s">
        <v>6248</v>
      </c>
      <c r="H2936" s="110" t="s">
        <v>19541</v>
      </c>
      <c r="I2936" s="110" t="s">
        <v>19542</v>
      </c>
    </row>
    <row r="2937" spans="1:9" ht="50.4" x14ac:dyDescent="0.3">
      <c r="A2937" s="109" t="s">
        <v>19543</v>
      </c>
      <c r="B2937" s="109" t="s">
        <v>18851</v>
      </c>
      <c r="C2937" s="109" t="s">
        <v>18851</v>
      </c>
      <c r="D2937" s="109" t="s">
        <v>19544</v>
      </c>
      <c r="E2937" s="109" t="s">
        <v>19544</v>
      </c>
      <c r="F2937" s="109" t="s">
        <v>19545</v>
      </c>
      <c r="G2937" s="110" t="s">
        <v>6248</v>
      </c>
      <c r="H2937" s="110" t="s">
        <v>19546</v>
      </c>
      <c r="I2937" s="110" t="s">
        <v>19547</v>
      </c>
    </row>
    <row r="2938" spans="1:9" ht="25.2" x14ac:dyDescent="0.3">
      <c r="A2938" s="109" t="s">
        <v>19548</v>
      </c>
      <c r="B2938" s="109" t="s">
        <v>18851</v>
      </c>
      <c r="C2938" s="109" t="s">
        <v>18851</v>
      </c>
      <c r="D2938" s="109" t="s">
        <v>19549</v>
      </c>
      <c r="E2938" s="109" t="s">
        <v>19550</v>
      </c>
      <c r="F2938" s="109" t="s">
        <v>19551</v>
      </c>
      <c r="G2938" s="110" t="s">
        <v>6248</v>
      </c>
      <c r="H2938" s="110" t="s">
        <v>19552</v>
      </c>
      <c r="I2938" s="110" t="s">
        <v>19553</v>
      </c>
    </row>
    <row r="2939" spans="1:9" ht="50.4" x14ac:dyDescent="0.3">
      <c r="A2939" s="109" t="s">
        <v>19554</v>
      </c>
      <c r="B2939" s="109" t="s">
        <v>18851</v>
      </c>
      <c r="C2939" s="109" t="s">
        <v>18851</v>
      </c>
      <c r="D2939" s="109" t="s">
        <v>19555</v>
      </c>
      <c r="E2939" s="109" t="s">
        <v>19555</v>
      </c>
      <c r="F2939" s="109" t="s">
        <v>19556</v>
      </c>
      <c r="G2939" s="110" t="s">
        <v>6248</v>
      </c>
      <c r="H2939" s="110" t="s">
        <v>19557</v>
      </c>
      <c r="I2939" s="110" t="s">
        <v>19558</v>
      </c>
    </row>
    <row r="2940" spans="1:9" ht="37.799999999999997" x14ac:dyDescent="0.3">
      <c r="A2940" s="109" t="s">
        <v>19559</v>
      </c>
      <c r="B2940" s="109" t="s">
        <v>18851</v>
      </c>
      <c r="C2940" s="109" t="s">
        <v>18851</v>
      </c>
      <c r="D2940" s="109" t="s">
        <v>19560</v>
      </c>
      <c r="E2940" s="109" t="s">
        <v>19561</v>
      </c>
      <c r="F2940" s="109" t="s">
        <v>19562</v>
      </c>
      <c r="G2940" s="110" t="s">
        <v>6248</v>
      </c>
      <c r="H2940" s="110" t="s">
        <v>19563</v>
      </c>
      <c r="I2940" s="110" t="s">
        <v>19564</v>
      </c>
    </row>
    <row r="2941" spans="1:9" ht="37.799999999999997" x14ac:dyDescent="0.3">
      <c r="A2941" s="109" t="s">
        <v>19565</v>
      </c>
      <c r="B2941" s="109" t="s">
        <v>18851</v>
      </c>
      <c r="C2941" s="109" t="s">
        <v>18851</v>
      </c>
      <c r="D2941" s="109" t="s">
        <v>2476</v>
      </c>
      <c r="E2941" s="109" t="s">
        <v>5558</v>
      </c>
      <c r="F2941" s="109" t="s">
        <v>19566</v>
      </c>
      <c r="G2941" s="110" t="s">
        <v>6248</v>
      </c>
      <c r="H2941" s="110" t="s">
        <v>19567</v>
      </c>
      <c r="I2941" s="110" t="s">
        <v>19568</v>
      </c>
    </row>
    <row r="2942" spans="1:9" ht="25.2" x14ac:dyDescent="0.3">
      <c r="A2942" s="109" t="s">
        <v>19569</v>
      </c>
      <c r="B2942" s="109" t="s">
        <v>18851</v>
      </c>
      <c r="C2942" s="109" t="s">
        <v>18851</v>
      </c>
      <c r="D2942" s="109" t="s">
        <v>19570</v>
      </c>
      <c r="E2942" s="109" t="s">
        <v>5558</v>
      </c>
      <c r="F2942" s="109" t="s">
        <v>19571</v>
      </c>
      <c r="G2942" s="110" t="s">
        <v>6248</v>
      </c>
      <c r="H2942" s="110" t="s">
        <v>7624</v>
      </c>
      <c r="I2942" s="110" t="s">
        <v>19572</v>
      </c>
    </row>
    <row r="2943" spans="1:9" ht="50.4" x14ac:dyDescent="0.3">
      <c r="A2943" s="109" t="s">
        <v>19573</v>
      </c>
      <c r="B2943" s="109" t="s">
        <v>18851</v>
      </c>
      <c r="C2943" s="109" t="s">
        <v>18851</v>
      </c>
      <c r="D2943" s="109" t="s">
        <v>13069</v>
      </c>
      <c r="E2943" s="109" t="s">
        <v>13069</v>
      </c>
      <c r="F2943" s="109" t="s">
        <v>19574</v>
      </c>
      <c r="G2943" s="110" t="s">
        <v>6248</v>
      </c>
      <c r="H2943" s="110" t="s">
        <v>19575</v>
      </c>
      <c r="I2943" s="110" t="s">
        <v>19576</v>
      </c>
    </row>
    <row r="2944" spans="1:9" ht="37.799999999999997" x14ac:dyDescent="0.3">
      <c r="A2944" s="109" t="s">
        <v>19577</v>
      </c>
      <c r="B2944" s="109" t="s">
        <v>18851</v>
      </c>
      <c r="C2944" s="109" t="s">
        <v>18851</v>
      </c>
      <c r="D2944" s="109" t="s">
        <v>19578</v>
      </c>
      <c r="E2944" s="109" t="s">
        <v>19579</v>
      </c>
      <c r="F2944" s="109" t="s">
        <v>19580</v>
      </c>
      <c r="G2944" s="110" t="s">
        <v>6248</v>
      </c>
      <c r="H2944" s="110" t="s">
        <v>19581</v>
      </c>
      <c r="I2944" s="110" t="s">
        <v>19582</v>
      </c>
    </row>
    <row r="2945" spans="1:9" ht="50.4" x14ac:dyDescent="0.3">
      <c r="A2945" s="109" t="s">
        <v>19583</v>
      </c>
      <c r="B2945" s="109" t="s">
        <v>18851</v>
      </c>
      <c r="C2945" s="109" t="s">
        <v>18851</v>
      </c>
      <c r="D2945" s="109" t="s">
        <v>13293</v>
      </c>
      <c r="E2945" s="109" t="s">
        <v>13293</v>
      </c>
      <c r="F2945" s="109" t="s">
        <v>19584</v>
      </c>
      <c r="G2945" s="110" t="s">
        <v>6248</v>
      </c>
      <c r="H2945" s="110" t="s">
        <v>9833</v>
      </c>
      <c r="I2945" s="110" t="s">
        <v>19585</v>
      </c>
    </row>
    <row r="2946" spans="1:9" ht="37.799999999999997" x14ac:dyDescent="0.3">
      <c r="A2946" s="109" t="s">
        <v>19586</v>
      </c>
      <c r="B2946" s="109" t="s">
        <v>18851</v>
      </c>
      <c r="C2946" s="109" t="s">
        <v>18851</v>
      </c>
      <c r="D2946" s="109" t="s">
        <v>19587</v>
      </c>
      <c r="E2946" s="109" t="s">
        <v>5558</v>
      </c>
      <c r="F2946" s="109" t="s">
        <v>19588</v>
      </c>
      <c r="G2946" s="110" t="s">
        <v>6248</v>
      </c>
      <c r="H2946" s="110" t="s">
        <v>6883</v>
      </c>
      <c r="I2946" s="110" t="s">
        <v>19589</v>
      </c>
    </row>
    <row r="2947" spans="1:9" ht="50.4" x14ac:dyDescent="0.3">
      <c r="A2947" s="109" t="s">
        <v>19590</v>
      </c>
      <c r="B2947" s="109" t="s">
        <v>18851</v>
      </c>
      <c r="C2947" s="109" t="s">
        <v>18851</v>
      </c>
      <c r="D2947" s="109" t="s">
        <v>19591</v>
      </c>
      <c r="E2947" s="109" t="s">
        <v>19591</v>
      </c>
      <c r="F2947" s="109" t="s">
        <v>19592</v>
      </c>
      <c r="G2947" s="110" t="s">
        <v>6248</v>
      </c>
      <c r="H2947" s="110" t="s">
        <v>19593</v>
      </c>
      <c r="I2947" s="110" t="s">
        <v>19594</v>
      </c>
    </row>
    <row r="2948" spans="1:9" ht="50.4" x14ac:dyDescent="0.3">
      <c r="A2948" s="109" t="s">
        <v>19595</v>
      </c>
      <c r="B2948" s="109" t="s">
        <v>18851</v>
      </c>
      <c r="C2948" s="109" t="s">
        <v>18851</v>
      </c>
      <c r="D2948" s="109" t="s">
        <v>19596</v>
      </c>
      <c r="E2948" s="109" t="s">
        <v>19596</v>
      </c>
      <c r="F2948" s="109" t="s">
        <v>19597</v>
      </c>
      <c r="G2948" s="110" t="s">
        <v>6248</v>
      </c>
      <c r="H2948" s="110" t="s">
        <v>19598</v>
      </c>
      <c r="I2948" s="110" t="s">
        <v>19599</v>
      </c>
    </row>
    <row r="2949" spans="1:9" ht="50.4" x14ac:dyDescent="0.3">
      <c r="A2949" s="109" t="s">
        <v>19600</v>
      </c>
      <c r="B2949" s="109" t="s">
        <v>18851</v>
      </c>
      <c r="C2949" s="109" t="s">
        <v>18851</v>
      </c>
      <c r="D2949" s="109" t="s">
        <v>16566</v>
      </c>
      <c r="E2949" s="109" t="s">
        <v>16566</v>
      </c>
      <c r="F2949" s="109" t="s">
        <v>19601</v>
      </c>
      <c r="G2949" s="110" t="s">
        <v>6248</v>
      </c>
      <c r="H2949" s="110" t="s">
        <v>19602</v>
      </c>
      <c r="I2949" s="110" t="s">
        <v>19603</v>
      </c>
    </row>
    <row r="2950" spans="1:9" ht="50.4" x14ac:dyDescent="0.3">
      <c r="A2950" s="109" t="s">
        <v>19604</v>
      </c>
      <c r="B2950" s="109" t="s">
        <v>18851</v>
      </c>
      <c r="C2950" s="109" t="s">
        <v>18851</v>
      </c>
      <c r="D2950" s="109" t="s">
        <v>13681</v>
      </c>
      <c r="E2950" s="109" t="s">
        <v>13681</v>
      </c>
      <c r="F2950" s="109" t="s">
        <v>19605</v>
      </c>
      <c r="G2950" s="110" t="s">
        <v>6248</v>
      </c>
      <c r="H2950" s="110" t="s">
        <v>19606</v>
      </c>
      <c r="I2950" s="110" t="s">
        <v>19607</v>
      </c>
    </row>
    <row r="2951" spans="1:9" ht="25.2" x14ac:dyDescent="0.3">
      <c r="A2951" s="109" t="s">
        <v>19608</v>
      </c>
      <c r="B2951" s="109" t="s">
        <v>18851</v>
      </c>
      <c r="C2951" s="109" t="s">
        <v>18851</v>
      </c>
      <c r="D2951" s="109" t="s">
        <v>19609</v>
      </c>
      <c r="E2951" s="109" t="s">
        <v>5558</v>
      </c>
      <c r="F2951" s="109" t="s">
        <v>19610</v>
      </c>
      <c r="G2951" s="110" t="s">
        <v>6248</v>
      </c>
      <c r="H2951" s="110" t="s">
        <v>19611</v>
      </c>
      <c r="I2951" s="110" t="s">
        <v>19612</v>
      </c>
    </row>
    <row r="2952" spans="1:9" ht="25.2" x14ac:dyDescent="0.3">
      <c r="A2952" s="109" t="s">
        <v>19613</v>
      </c>
      <c r="B2952" s="109" t="s">
        <v>18851</v>
      </c>
      <c r="C2952" s="109" t="s">
        <v>18851</v>
      </c>
      <c r="D2952" s="109" t="s">
        <v>19614</v>
      </c>
      <c r="E2952" s="109" t="s">
        <v>5558</v>
      </c>
      <c r="F2952" s="109" t="s">
        <v>19615</v>
      </c>
      <c r="G2952" s="110" t="s">
        <v>6248</v>
      </c>
      <c r="H2952" s="110" t="s">
        <v>19616</v>
      </c>
      <c r="I2952" s="110" t="s">
        <v>19617</v>
      </c>
    </row>
    <row r="2953" spans="1:9" ht="25.2" x14ac:dyDescent="0.3">
      <c r="A2953" s="109" t="s">
        <v>19618</v>
      </c>
      <c r="B2953" s="109" t="s">
        <v>18851</v>
      </c>
      <c r="C2953" s="109" t="s">
        <v>18851</v>
      </c>
      <c r="D2953" s="109" t="s">
        <v>19619</v>
      </c>
      <c r="E2953" s="109" t="s">
        <v>5809</v>
      </c>
      <c r="F2953" s="109" t="s">
        <v>5810</v>
      </c>
      <c r="G2953" s="110" t="s">
        <v>6248</v>
      </c>
      <c r="H2953" s="110" t="s">
        <v>19620</v>
      </c>
      <c r="I2953" s="110" t="s">
        <v>19621</v>
      </c>
    </row>
    <row r="2954" spans="1:9" ht="25.2" x14ac:dyDescent="0.3">
      <c r="A2954" s="109" t="s">
        <v>19622</v>
      </c>
      <c r="B2954" s="109" t="s">
        <v>18851</v>
      </c>
      <c r="C2954" s="109" t="s">
        <v>18851</v>
      </c>
      <c r="D2954" s="109" t="s">
        <v>19623</v>
      </c>
      <c r="E2954" s="109" t="s">
        <v>19624</v>
      </c>
      <c r="F2954" s="109" t="s">
        <v>19625</v>
      </c>
      <c r="G2954" s="110" t="s">
        <v>6248</v>
      </c>
      <c r="H2954" s="110" t="s">
        <v>19626</v>
      </c>
      <c r="I2954" s="110" t="s">
        <v>19627</v>
      </c>
    </row>
    <row r="2955" spans="1:9" ht="37.799999999999997" x14ac:dyDescent="0.3">
      <c r="A2955" s="109" t="s">
        <v>19628</v>
      </c>
      <c r="B2955" s="109" t="s">
        <v>18851</v>
      </c>
      <c r="C2955" s="109" t="s">
        <v>18851</v>
      </c>
      <c r="D2955" s="109" t="s">
        <v>19629</v>
      </c>
      <c r="E2955" s="109" t="s">
        <v>5558</v>
      </c>
      <c r="F2955" s="109" t="s">
        <v>19630</v>
      </c>
      <c r="G2955" s="110" t="s">
        <v>6248</v>
      </c>
      <c r="H2955" s="110" t="s">
        <v>8756</v>
      </c>
      <c r="I2955" s="110" t="s">
        <v>19631</v>
      </c>
    </row>
    <row r="2956" spans="1:9" ht="25.2" x14ac:dyDescent="0.3">
      <c r="A2956" s="109" t="s">
        <v>19632</v>
      </c>
      <c r="B2956" s="109" t="s">
        <v>18851</v>
      </c>
      <c r="C2956" s="109" t="s">
        <v>18851</v>
      </c>
      <c r="D2956" s="109" t="s">
        <v>19633</v>
      </c>
      <c r="E2956" s="109" t="s">
        <v>19634</v>
      </c>
      <c r="F2956" s="109" t="s">
        <v>6325</v>
      </c>
      <c r="G2956" s="110" t="s">
        <v>6248</v>
      </c>
      <c r="H2956" s="110" t="s">
        <v>19635</v>
      </c>
      <c r="I2956" s="110" t="s">
        <v>19636</v>
      </c>
    </row>
    <row r="2957" spans="1:9" ht="25.2" x14ac:dyDescent="0.3">
      <c r="A2957" s="109" t="s">
        <v>19637</v>
      </c>
      <c r="B2957" s="109" t="s">
        <v>18851</v>
      </c>
      <c r="C2957" s="109" t="s">
        <v>18851</v>
      </c>
      <c r="D2957" s="109" t="s">
        <v>19638</v>
      </c>
      <c r="E2957" s="109" t="s">
        <v>5558</v>
      </c>
      <c r="F2957" s="109" t="s">
        <v>19639</v>
      </c>
      <c r="G2957" s="110" t="s">
        <v>6248</v>
      </c>
      <c r="H2957" s="110" t="s">
        <v>19640</v>
      </c>
      <c r="I2957" s="110" t="s">
        <v>19641</v>
      </c>
    </row>
    <row r="2958" spans="1:9" ht="25.2" x14ac:dyDescent="0.3">
      <c r="A2958" s="109" t="s">
        <v>19642</v>
      </c>
      <c r="B2958" s="109" t="s">
        <v>18851</v>
      </c>
      <c r="C2958" s="109" t="s">
        <v>18851</v>
      </c>
      <c r="D2958" s="109" t="s">
        <v>19643</v>
      </c>
      <c r="E2958" s="109" t="s">
        <v>13797</v>
      </c>
      <c r="F2958" s="109" t="s">
        <v>13798</v>
      </c>
      <c r="G2958" s="110" t="s">
        <v>6248</v>
      </c>
      <c r="H2958" s="110" t="s">
        <v>19644</v>
      </c>
      <c r="I2958" s="110" t="s">
        <v>19645</v>
      </c>
    </row>
    <row r="2959" spans="1:9" ht="25.2" x14ac:dyDescent="0.3">
      <c r="A2959" s="109" t="s">
        <v>19646</v>
      </c>
      <c r="B2959" s="109" t="s">
        <v>18851</v>
      </c>
      <c r="C2959" s="109" t="s">
        <v>18851</v>
      </c>
      <c r="D2959" s="109" t="s">
        <v>19647</v>
      </c>
      <c r="E2959" s="109" t="s">
        <v>5558</v>
      </c>
      <c r="F2959" s="109" t="s">
        <v>19648</v>
      </c>
      <c r="G2959" s="110" t="s">
        <v>6248</v>
      </c>
      <c r="H2959" s="110" t="s">
        <v>19649</v>
      </c>
      <c r="I2959" s="110" t="s">
        <v>19650</v>
      </c>
    </row>
    <row r="2960" spans="1:9" ht="37.799999999999997" x14ac:dyDescent="0.3">
      <c r="A2960" s="109" t="s">
        <v>19651</v>
      </c>
      <c r="B2960" s="109" t="s">
        <v>18851</v>
      </c>
      <c r="C2960" s="109" t="s">
        <v>18851</v>
      </c>
      <c r="D2960" s="109" t="s">
        <v>19652</v>
      </c>
      <c r="E2960" s="109" t="s">
        <v>5558</v>
      </c>
      <c r="F2960" s="109" t="s">
        <v>19653</v>
      </c>
      <c r="G2960" s="110" t="s">
        <v>6248</v>
      </c>
      <c r="H2960" s="110" t="s">
        <v>15598</v>
      </c>
      <c r="I2960" s="110" t="s">
        <v>19654</v>
      </c>
    </row>
    <row r="2961" spans="1:9" ht="37.799999999999997" x14ac:dyDescent="0.3">
      <c r="A2961" s="109" t="s">
        <v>19655</v>
      </c>
      <c r="B2961" s="109" t="s">
        <v>18851</v>
      </c>
      <c r="C2961" s="109" t="s">
        <v>18851</v>
      </c>
      <c r="D2961" s="109" t="s">
        <v>19656</v>
      </c>
      <c r="E2961" s="109" t="s">
        <v>5558</v>
      </c>
      <c r="F2961" s="109" t="s">
        <v>19657</v>
      </c>
      <c r="G2961" s="110" t="s">
        <v>6248</v>
      </c>
      <c r="H2961" s="110" t="s">
        <v>19658</v>
      </c>
      <c r="I2961" s="110" t="s">
        <v>19659</v>
      </c>
    </row>
    <row r="2962" spans="1:9" ht="37.799999999999997" x14ac:dyDescent="0.3">
      <c r="A2962" s="109" t="s">
        <v>19660</v>
      </c>
      <c r="B2962" s="109" t="s">
        <v>18851</v>
      </c>
      <c r="C2962" s="109" t="s">
        <v>18851</v>
      </c>
      <c r="D2962" s="109" t="s">
        <v>19661</v>
      </c>
      <c r="E2962" s="109" t="s">
        <v>5558</v>
      </c>
      <c r="F2962" s="109" t="s">
        <v>19662</v>
      </c>
      <c r="G2962" s="110" t="s">
        <v>6248</v>
      </c>
      <c r="H2962" s="110" t="s">
        <v>19663</v>
      </c>
      <c r="I2962" s="110" t="s">
        <v>19664</v>
      </c>
    </row>
    <row r="2963" spans="1:9" ht="25.2" x14ac:dyDescent="0.3">
      <c r="A2963" s="109" t="s">
        <v>19665</v>
      </c>
      <c r="B2963" s="109" t="s">
        <v>18851</v>
      </c>
      <c r="C2963" s="109" t="s">
        <v>18851</v>
      </c>
      <c r="D2963" s="109" t="s">
        <v>19666</v>
      </c>
      <c r="E2963" s="109" t="s">
        <v>19667</v>
      </c>
      <c r="F2963" s="109" t="s">
        <v>19668</v>
      </c>
      <c r="G2963" s="110" t="s">
        <v>6248</v>
      </c>
      <c r="H2963" s="110" t="s">
        <v>6278</v>
      </c>
      <c r="I2963" s="110" t="s">
        <v>19669</v>
      </c>
    </row>
    <row r="2964" spans="1:9" ht="37.799999999999997" x14ac:dyDescent="0.3">
      <c r="A2964" s="109" t="s">
        <v>19670</v>
      </c>
      <c r="B2964" s="109" t="s">
        <v>19671</v>
      </c>
      <c r="C2964" s="109" t="s">
        <v>18851</v>
      </c>
      <c r="D2964" s="109" t="s">
        <v>19672</v>
      </c>
      <c r="E2964" s="109" t="s">
        <v>5558</v>
      </c>
      <c r="F2964" s="109" t="s">
        <v>19673</v>
      </c>
      <c r="G2964" s="110" t="s">
        <v>6248</v>
      </c>
      <c r="H2964" s="110" t="s">
        <v>16835</v>
      </c>
      <c r="I2964" s="110" t="s">
        <v>19674</v>
      </c>
    </row>
    <row r="2965" spans="1:9" ht="25.2" x14ac:dyDescent="0.3">
      <c r="A2965" s="109" t="s">
        <v>19675</v>
      </c>
      <c r="B2965" s="109" t="s">
        <v>19671</v>
      </c>
      <c r="C2965" s="109" t="s">
        <v>19671</v>
      </c>
      <c r="D2965" s="109" t="s">
        <v>19676</v>
      </c>
      <c r="E2965" s="109" t="s">
        <v>5558</v>
      </c>
      <c r="F2965" s="109" t="s">
        <v>19677</v>
      </c>
      <c r="G2965" s="110" t="s">
        <v>6248</v>
      </c>
      <c r="H2965" s="110" t="s">
        <v>16808</v>
      </c>
      <c r="I2965" s="110" t="s">
        <v>19678</v>
      </c>
    </row>
    <row r="2966" spans="1:9" ht="25.2" x14ac:dyDescent="0.3">
      <c r="A2966" s="109" t="s">
        <v>19679</v>
      </c>
      <c r="B2966" s="109" t="s">
        <v>19671</v>
      </c>
      <c r="C2966" s="109" t="s">
        <v>19671</v>
      </c>
      <c r="D2966" s="109" t="s">
        <v>19680</v>
      </c>
      <c r="E2966" s="109" t="s">
        <v>10868</v>
      </c>
      <c r="F2966" s="109" t="s">
        <v>8094</v>
      </c>
      <c r="G2966" s="110" t="s">
        <v>6248</v>
      </c>
      <c r="H2966" s="110" t="s">
        <v>19681</v>
      </c>
      <c r="I2966" s="110" t="s">
        <v>19682</v>
      </c>
    </row>
    <row r="2967" spans="1:9" ht="25.2" x14ac:dyDescent="0.3">
      <c r="A2967" s="109" t="s">
        <v>19683</v>
      </c>
      <c r="B2967" s="109" t="s">
        <v>19671</v>
      </c>
      <c r="C2967" s="109" t="s">
        <v>19671</v>
      </c>
      <c r="D2967" s="109" t="s">
        <v>2757</v>
      </c>
      <c r="E2967" s="109" t="s">
        <v>5558</v>
      </c>
      <c r="F2967" s="109" t="s">
        <v>19684</v>
      </c>
      <c r="G2967" s="110" t="s">
        <v>6248</v>
      </c>
      <c r="H2967" s="110" t="s">
        <v>6689</v>
      </c>
      <c r="I2967" s="110" t="s">
        <v>19685</v>
      </c>
    </row>
    <row r="2968" spans="1:9" ht="37.799999999999997" x14ac:dyDescent="0.3">
      <c r="A2968" s="109" t="s">
        <v>19686</v>
      </c>
      <c r="B2968" s="109" t="s">
        <v>19671</v>
      </c>
      <c r="C2968" s="109" t="s">
        <v>19671</v>
      </c>
      <c r="D2968" s="109" t="s">
        <v>19687</v>
      </c>
      <c r="E2968" s="109" t="s">
        <v>5558</v>
      </c>
      <c r="F2968" s="109" t="s">
        <v>19688</v>
      </c>
      <c r="G2968" s="110" t="s">
        <v>6248</v>
      </c>
      <c r="H2968" s="110" t="s">
        <v>19689</v>
      </c>
      <c r="I2968" s="110" t="s">
        <v>19690</v>
      </c>
    </row>
    <row r="2969" spans="1:9" ht="37.799999999999997" x14ac:dyDescent="0.3">
      <c r="A2969" s="109" t="s">
        <v>19691</v>
      </c>
      <c r="B2969" s="109" t="s">
        <v>19671</v>
      </c>
      <c r="C2969" s="109" t="s">
        <v>19671</v>
      </c>
      <c r="D2969" s="109" t="s">
        <v>2590</v>
      </c>
      <c r="E2969" s="109" t="s">
        <v>5558</v>
      </c>
      <c r="F2969" s="109" t="s">
        <v>19692</v>
      </c>
      <c r="G2969" s="110" t="s">
        <v>6248</v>
      </c>
      <c r="H2969" s="110" t="s">
        <v>19693</v>
      </c>
      <c r="I2969" s="110" t="s">
        <v>19694</v>
      </c>
    </row>
    <row r="2970" spans="1:9" ht="25.2" x14ac:dyDescent="0.3">
      <c r="A2970" s="109" t="s">
        <v>19695</v>
      </c>
      <c r="B2970" s="109" t="s">
        <v>19671</v>
      </c>
      <c r="C2970" s="109" t="s">
        <v>19671</v>
      </c>
      <c r="D2970" s="109" t="s">
        <v>2585</v>
      </c>
      <c r="E2970" s="109" t="s">
        <v>5558</v>
      </c>
      <c r="F2970" s="109" t="s">
        <v>19696</v>
      </c>
      <c r="G2970" s="110" t="s">
        <v>6248</v>
      </c>
      <c r="H2970" s="110" t="s">
        <v>19697</v>
      </c>
      <c r="I2970" s="110" t="s">
        <v>19698</v>
      </c>
    </row>
    <row r="2971" spans="1:9" ht="25.2" x14ac:dyDescent="0.3">
      <c r="A2971" s="109" t="s">
        <v>19699</v>
      </c>
      <c r="B2971" s="109" t="s">
        <v>19671</v>
      </c>
      <c r="C2971" s="109" t="s">
        <v>19671</v>
      </c>
      <c r="D2971" s="109" t="s">
        <v>19700</v>
      </c>
      <c r="E2971" s="109" t="s">
        <v>6010</v>
      </c>
      <c r="F2971" s="109" t="s">
        <v>19701</v>
      </c>
      <c r="G2971" s="110" t="s">
        <v>6248</v>
      </c>
      <c r="H2971" s="110" t="s">
        <v>19702</v>
      </c>
      <c r="I2971" s="110" t="s">
        <v>19703</v>
      </c>
    </row>
    <row r="2972" spans="1:9" ht="37.799999999999997" x14ac:dyDescent="0.3">
      <c r="A2972" s="109" t="s">
        <v>19704</v>
      </c>
      <c r="B2972" s="109" t="s">
        <v>19671</v>
      </c>
      <c r="C2972" s="109" t="s">
        <v>19671</v>
      </c>
      <c r="D2972" s="109" t="s">
        <v>2936</v>
      </c>
      <c r="E2972" s="109" t="s">
        <v>5558</v>
      </c>
      <c r="F2972" s="109" t="s">
        <v>19705</v>
      </c>
      <c r="G2972" s="110" t="s">
        <v>6248</v>
      </c>
      <c r="H2972" s="110" t="s">
        <v>11426</v>
      </c>
      <c r="I2972" s="110" t="s">
        <v>19706</v>
      </c>
    </row>
    <row r="2973" spans="1:9" ht="25.2" x14ac:dyDescent="0.3">
      <c r="A2973" s="109" t="s">
        <v>19707</v>
      </c>
      <c r="B2973" s="109" t="s">
        <v>19671</v>
      </c>
      <c r="C2973" s="109" t="s">
        <v>19671</v>
      </c>
      <c r="D2973" s="109" t="s">
        <v>19708</v>
      </c>
      <c r="E2973" s="109" t="s">
        <v>19709</v>
      </c>
      <c r="F2973" s="109" t="s">
        <v>19710</v>
      </c>
      <c r="G2973" s="110" t="s">
        <v>6248</v>
      </c>
      <c r="H2973" s="110" t="s">
        <v>19711</v>
      </c>
      <c r="I2973" s="110" t="s">
        <v>19712</v>
      </c>
    </row>
    <row r="2974" spans="1:9" ht="25.2" x14ac:dyDescent="0.3">
      <c r="A2974" s="109" t="s">
        <v>19713</v>
      </c>
      <c r="B2974" s="109" t="s">
        <v>19671</v>
      </c>
      <c r="C2974" s="109" t="s">
        <v>19671</v>
      </c>
      <c r="D2974" s="109" t="s">
        <v>19714</v>
      </c>
      <c r="E2974" s="109" t="s">
        <v>5558</v>
      </c>
      <c r="F2974" s="109" t="s">
        <v>19715</v>
      </c>
      <c r="G2974" s="110" t="s">
        <v>6248</v>
      </c>
      <c r="H2974" s="110" t="s">
        <v>6634</v>
      </c>
      <c r="I2974" s="110" t="s">
        <v>19716</v>
      </c>
    </row>
    <row r="2975" spans="1:9" ht="37.799999999999997" x14ac:dyDescent="0.3">
      <c r="A2975" s="109" t="s">
        <v>19717</v>
      </c>
      <c r="B2975" s="109" t="s">
        <v>19671</v>
      </c>
      <c r="C2975" s="109" t="s">
        <v>19671</v>
      </c>
      <c r="D2975" s="109" t="s">
        <v>19718</v>
      </c>
      <c r="E2975" s="109" t="s">
        <v>5558</v>
      </c>
      <c r="F2975" s="109" t="s">
        <v>19719</v>
      </c>
      <c r="G2975" s="110" t="s">
        <v>6248</v>
      </c>
      <c r="H2975" s="110" t="s">
        <v>6507</v>
      </c>
      <c r="I2975" s="110" t="s">
        <v>19720</v>
      </c>
    </row>
    <row r="2976" spans="1:9" ht="25.2" x14ac:dyDescent="0.3">
      <c r="A2976" s="109" t="s">
        <v>19721</v>
      </c>
      <c r="B2976" s="109" t="s">
        <v>19671</v>
      </c>
      <c r="C2976" s="109" t="s">
        <v>19671</v>
      </c>
      <c r="D2976" s="109" t="s">
        <v>19722</v>
      </c>
      <c r="E2976" s="109" t="s">
        <v>5558</v>
      </c>
      <c r="F2976" s="109" t="s">
        <v>19723</v>
      </c>
      <c r="G2976" s="110" t="s">
        <v>6248</v>
      </c>
      <c r="H2976" s="110" t="s">
        <v>6507</v>
      </c>
      <c r="I2976" s="110" t="s">
        <v>19724</v>
      </c>
    </row>
    <row r="2977" spans="1:9" ht="25.2" x14ac:dyDescent="0.3">
      <c r="A2977" s="109" t="s">
        <v>19725</v>
      </c>
      <c r="B2977" s="109" t="s">
        <v>19671</v>
      </c>
      <c r="C2977" s="109" t="s">
        <v>19671</v>
      </c>
      <c r="D2977" s="109" t="s">
        <v>19726</v>
      </c>
      <c r="E2977" s="109" t="s">
        <v>5558</v>
      </c>
      <c r="F2977" s="109" t="s">
        <v>19727</v>
      </c>
      <c r="G2977" s="110" t="s">
        <v>6248</v>
      </c>
      <c r="H2977" s="110" t="s">
        <v>9329</v>
      </c>
      <c r="I2977" s="110" t="s">
        <v>19728</v>
      </c>
    </row>
    <row r="2978" spans="1:9" ht="37.799999999999997" x14ac:dyDescent="0.3">
      <c r="A2978" s="109" t="s">
        <v>19729</v>
      </c>
      <c r="B2978" s="109" t="s">
        <v>19671</v>
      </c>
      <c r="C2978" s="109" t="s">
        <v>19671</v>
      </c>
      <c r="D2978" s="109" t="s">
        <v>19730</v>
      </c>
      <c r="E2978" s="109" t="s">
        <v>5558</v>
      </c>
      <c r="F2978" s="109" t="s">
        <v>19731</v>
      </c>
      <c r="G2978" s="110" t="s">
        <v>6248</v>
      </c>
      <c r="H2978" s="110" t="s">
        <v>7898</v>
      </c>
      <c r="I2978" s="110" t="s">
        <v>19732</v>
      </c>
    </row>
    <row r="2979" spans="1:9" ht="37.799999999999997" x14ac:dyDescent="0.3">
      <c r="A2979" s="109" t="s">
        <v>19733</v>
      </c>
      <c r="B2979" s="109" t="s">
        <v>19671</v>
      </c>
      <c r="C2979" s="109" t="s">
        <v>19671</v>
      </c>
      <c r="D2979" s="109" t="s">
        <v>19734</v>
      </c>
      <c r="E2979" s="109" t="s">
        <v>5558</v>
      </c>
      <c r="F2979" s="109" t="s">
        <v>19735</v>
      </c>
      <c r="G2979" s="110" t="s">
        <v>6248</v>
      </c>
      <c r="H2979" s="110" t="s">
        <v>6393</v>
      </c>
      <c r="I2979" s="110" t="s">
        <v>19736</v>
      </c>
    </row>
    <row r="2980" spans="1:9" ht="37.799999999999997" x14ac:dyDescent="0.3">
      <c r="A2980" s="109" t="s">
        <v>19737</v>
      </c>
      <c r="B2980" s="109" t="s">
        <v>19671</v>
      </c>
      <c r="C2980" s="109" t="s">
        <v>19671</v>
      </c>
      <c r="D2980" s="109" t="s">
        <v>19738</v>
      </c>
      <c r="E2980" s="109" t="s">
        <v>5558</v>
      </c>
      <c r="F2980" s="109" t="s">
        <v>19739</v>
      </c>
      <c r="G2980" s="110" t="s">
        <v>6248</v>
      </c>
      <c r="H2980" s="110" t="s">
        <v>7830</v>
      </c>
      <c r="I2980" s="110" t="s">
        <v>19740</v>
      </c>
    </row>
    <row r="2981" spans="1:9" ht="25.2" x14ac:dyDescent="0.3">
      <c r="A2981" s="109" t="s">
        <v>19741</v>
      </c>
      <c r="B2981" s="109" t="s">
        <v>19671</v>
      </c>
      <c r="C2981" s="109" t="s">
        <v>19671</v>
      </c>
      <c r="D2981" s="109" t="s">
        <v>19742</v>
      </c>
      <c r="E2981" s="109" t="s">
        <v>5558</v>
      </c>
      <c r="F2981" s="109" t="s">
        <v>19743</v>
      </c>
      <c r="G2981" s="110" t="s">
        <v>6248</v>
      </c>
      <c r="H2981" s="110" t="s">
        <v>14942</v>
      </c>
      <c r="I2981" s="110" t="s">
        <v>19744</v>
      </c>
    </row>
    <row r="2982" spans="1:9" ht="37.799999999999997" x14ac:dyDescent="0.3">
      <c r="A2982" s="109" t="s">
        <v>19745</v>
      </c>
      <c r="B2982" s="109" t="s">
        <v>19671</v>
      </c>
      <c r="C2982" s="109" t="s">
        <v>19671</v>
      </c>
      <c r="D2982" s="109" t="s">
        <v>19746</v>
      </c>
      <c r="E2982" s="109" t="s">
        <v>5558</v>
      </c>
      <c r="F2982" s="109" t="s">
        <v>19747</v>
      </c>
      <c r="G2982" s="110" t="s">
        <v>6248</v>
      </c>
      <c r="H2982" s="110" t="s">
        <v>6507</v>
      </c>
      <c r="I2982" s="110" t="s">
        <v>19748</v>
      </c>
    </row>
    <row r="2983" spans="1:9" ht="25.2" x14ac:dyDescent="0.3">
      <c r="A2983" s="109" t="s">
        <v>19749</v>
      </c>
      <c r="B2983" s="109" t="s">
        <v>19671</v>
      </c>
      <c r="C2983" s="109" t="s">
        <v>19671</v>
      </c>
      <c r="D2983" s="109" t="s">
        <v>19750</v>
      </c>
      <c r="E2983" s="109" t="s">
        <v>5558</v>
      </c>
      <c r="F2983" s="109" t="s">
        <v>19751</v>
      </c>
      <c r="G2983" s="110" t="s">
        <v>6248</v>
      </c>
      <c r="H2983" s="110" t="s">
        <v>12935</v>
      </c>
      <c r="I2983" s="110" t="s">
        <v>19752</v>
      </c>
    </row>
    <row r="2984" spans="1:9" ht="37.799999999999997" x14ac:dyDescent="0.3">
      <c r="A2984" s="109" t="s">
        <v>19753</v>
      </c>
      <c r="B2984" s="109" t="s">
        <v>19671</v>
      </c>
      <c r="C2984" s="109" t="s">
        <v>19671</v>
      </c>
      <c r="D2984" s="109" t="s">
        <v>19754</v>
      </c>
      <c r="E2984" s="109" t="s">
        <v>5558</v>
      </c>
      <c r="F2984" s="109" t="s">
        <v>19755</v>
      </c>
      <c r="G2984" s="110" t="s">
        <v>6248</v>
      </c>
      <c r="H2984" s="110" t="s">
        <v>9329</v>
      </c>
      <c r="I2984" s="110" t="s">
        <v>19756</v>
      </c>
    </row>
    <row r="2985" spans="1:9" ht="25.2" x14ac:dyDescent="0.3">
      <c r="A2985" s="109" t="s">
        <v>19757</v>
      </c>
      <c r="B2985" s="109" t="s">
        <v>19671</v>
      </c>
      <c r="C2985" s="109" t="s">
        <v>19671</v>
      </c>
      <c r="D2985" s="109" t="s">
        <v>19758</v>
      </c>
      <c r="E2985" s="109" t="s">
        <v>5558</v>
      </c>
      <c r="F2985" s="109" t="s">
        <v>19759</v>
      </c>
      <c r="G2985" s="110" t="s">
        <v>6248</v>
      </c>
      <c r="H2985" s="110" t="s">
        <v>7592</v>
      </c>
      <c r="I2985" s="110" t="s">
        <v>19760</v>
      </c>
    </row>
    <row r="2986" spans="1:9" ht="25.2" x14ac:dyDescent="0.3">
      <c r="A2986" s="109" t="s">
        <v>19761</v>
      </c>
      <c r="B2986" s="109" t="s">
        <v>19671</v>
      </c>
      <c r="C2986" s="109" t="s">
        <v>19671</v>
      </c>
      <c r="D2986" s="109" t="s">
        <v>19762</v>
      </c>
      <c r="E2986" s="109" t="s">
        <v>5558</v>
      </c>
      <c r="F2986" s="109" t="s">
        <v>19763</v>
      </c>
      <c r="G2986" s="110" t="s">
        <v>6248</v>
      </c>
      <c r="H2986" s="110" t="s">
        <v>6433</v>
      </c>
      <c r="I2986" s="110" t="s">
        <v>19764</v>
      </c>
    </row>
    <row r="2987" spans="1:9" ht="25.2" x14ac:dyDescent="0.3">
      <c r="A2987" s="109" t="s">
        <v>19765</v>
      </c>
      <c r="B2987" s="109" t="s">
        <v>19671</v>
      </c>
      <c r="C2987" s="109" t="s">
        <v>19671</v>
      </c>
      <c r="D2987" s="109" t="s">
        <v>19766</v>
      </c>
      <c r="E2987" s="109" t="s">
        <v>5558</v>
      </c>
      <c r="F2987" s="109" t="s">
        <v>19767</v>
      </c>
      <c r="G2987" s="110" t="s">
        <v>6248</v>
      </c>
      <c r="H2987" s="110" t="s">
        <v>6393</v>
      </c>
      <c r="I2987" s="110" t="s">
        <v>19768</v>
      </c>
    </row>
    <row r="2988" spans="1:9" ht="25.2" x14ac:dyDescent="0.3">
      <c r="A2988" s="109" t="s">
        <v>19769</v>
      </c>
      <c r="B2988" s="109" t="s">
        <v>19671</v>
      </c>
      <c r="C2988" s="109" t="s">
        <v>19671</v>
      </c>
      <c r="D2988" s="109" t="s">
        <v>19770</v>
      </c>
      <c r="E2988" s="109" t="s">
        <v>5558</v>
      </c>
      <c r="F2988" s="109" t="s">
        <v>19771</v>
      </c>
      <c r="G2988" s="110" t="s">
        <v>6248</v>
      </c>
      <c r="H2988" s="110" t="s">
        <v>6474</v>
      </c>
      <c r="I2988" s="110" t="s">
        <v>19772</v>
      </c>
    </row>
    <row r="2989" spans="1:9" ht="25.2" x14ac:dyDescent="0.3">
      <c r="A2989" s="109" t="s">
        <v>19773</v>
      </c>
      <c r="B2989" s="109" t="s">
        <v>19671</v>
      </c>
      <c r="C2989" s="109" t="s">
        <v>19671</v>
      </c>
      <c r="D2989" s="109" t="s">
        <v>19774</v>
      </c>
      <c r="E2989" s="109" t="s">
        <v>5558</v>
      </c>
      <c r="F2989" s="109" t="s">
        <v>19775</v>
      </c>
      <c r="G2989" s="110" t="s">
        <v>6248</v>
      </c>
      <c r="H2989" s="110" t="s">
        <v>17704</v>
      </c>
      <c r="I2989" s="110" t="s">
        <v>19776</v>
      </c>
    </row>
    <row r="2990" spans="1:9" ht="25.2" x14ac:dyDescent="0.3">
      <c r="A2990" s="109" t="s">
        <v>19777</v>
      </c>
      <c r="B2990" s="109" t="s">
        <v>19671</v>
      </c>
      <c r="C2990" s="109" t="s">
        <v>19671</v>
      </c>
      <c r="D2990" s="109" t="s">
        <v>19778</v>
      </c>
      <c r="E2990" s="109" t="s">
        <v>5558</v>
      </c>
      <c r="F2990" s="109" t="s">
        <v>19779</v>
      </c>
      <c r="G2990" s="110" t="s">
        <v>6248</v>
      </c>
      <c r="H2990" s="110" t="s">
        <v>7817</v>
      </c>
      <c r="I2990" s="110" t="s">
        <v>19780</v>
      </c>
    </row>
    <row r="2991" spans="1:9" ht="37.799999999999997" x14ac:dyDescent="0.3">
      <c r="A2991" s="109" t="s">
        <v>19781</v>
      </c>
      <c r="B2991" s="109" t="s">
        <v>19671</v>
      </c>
      <c r="C2991" s="109" t="s">
        <v>19671</v>
      </c>
      <c r="D2991" s="109" t="s">
        <v>19782</v>
      </c>
      <c r="E2991" s="109" t="s">
        <v>5558</v>
      </c>
      <c r="F2991" s="109" t="s">
        <v>19783</v>
      </c>
      <c r="G2991" s="110" t="s">
        <v>6248</v>
      </c>
      <c r="H2991" s="110" t="s">
        <v>6398</v>
      </c>
      <c r="I2991" s="110" t="s">
        <v>19784</v>
      </c>
    </row>
    <row r="2992" spans="1:9" ht="25.2" x14ac:dyDescent="0.3">
      <c r="A2992" s="109" t="s">
        <v>19785</v>
      </c>
      <c r="B2992" s="109" t="s">
        <v>19671</v>
      </c>
      <c r="C2992" s="109" t="s">
        <v>19671</v>
      </c>
      <c r="D2992" s="109" t="s">
        <v>19786</v>
      </c>
      <c r="E2992" s="109" t="s">
        <v>5558</v>
      </c>
      <c r="F2992" s="109" t="s">
        <v>19787</v>
      </c>
      <c r="G2992" s="110" t="s">
        <v>6248</v>
      </c>
      <c r="H2992" s="110" t="s">
        <v>7592</v>
      </c>
      <c r="I2992" s="110" t="s">
        <v>19788</v>
      </c>
    </row>
    <row r="2993" spans="1:9" ht="25.2" x14ac:dyDescent="0.3">
      <c r="A2993" s="109" t="s">
        <v>19789</v>
      </c>
      <c r="B2993" s="109" t="s">
        <v>19671</v>
      </c>
      <c r="C2993" s="109" t="s">
        <v>19671</v>
      </c>
      <c r="D2993" s="109" t="s">
        <v>19790</v>
      </c>
      <c r="E2993" s="109" t="s">
        <v>5558</v>
      </c>
      <c r="F2993" s="109" t="s">
        <v>19791</v>
      </c>
      <c r="G2993" s="110" t="s">
        <v>6248</v>
      </c>
      <c r="H2993" s="110" t="s">
        <v>6393</v>
      </c>
      <c r="I2993" s="110" t="s">
        <v>19792</v>
      </c>
    </row>
    <row r="2994" spans="1:9" ht="37.799999999999997" x14ac:dyDescent="0.3">
      <c r="A2994" s="109" t="s">
        <v>19793</v>
      </c>
      <c r="B2994" s="109" t="s">
        <v>19671</v>
      </c>
      <c r="C2994" s="109" t="s">
        <v>19671</v>
      </c>
      <c r="D2994" s="109" t="s">
        <v>19794</v>
      </c>
      <c r="E2994" s="109" t="s">
        <v>5558</v>
      </c>
      <c r="F2994" s="109" t="s">
        <v>19795</v>
      </c>
      <c r="G2994" s="110" t="s">
        <v>6248</v>
      </c>
      <c r="H2994" s="110" t="s">
        <v>9071</v>
      </c>
      <c r="I2994" s="110" t="s">
        <v>19796</v>
      </c>
    </row>
    <row r="2995" spans="1:9" ht="25.2" x14ac:dyDescent="0.3">
      <c r="A2995" s="109" t="s">
        <v>19797</v>
      </c>
      <c r="B2995" s="109" t="s">
        <v>19671</v>
      </c>
      <c r="C2995" s="109" t="s">
        <v>19671</v>
      </c>
      <c r="D2995" s="109" t="s">
        <v>19798</v>
      </c>
      <c r="E2995" s="109" t="s">
        <v>5558</v>
      </c>
      <c r="F2995" s="109" t="s">
        <v>19799</v>
      </c>
      <c r="G2995" s="110" t="s">
        <v>6248</v>
      </c>
      <c r="H2995" s="110" t="s">
        <v>14963</v>
      </c>
      <c r="I2995" s="110" t="s">
        <v>19800</v>
      </c>
    </row>
    <row r="2996" spans="1:9" ht="25.2" x14ac:dyDescent="0.3">
      <c r="A2996" s="109" t="s">
        <v>19801</v>
      </c>
      <c r="B2996" s="109" t="s">
        <v>19671</v>
      </c>
      <c r="C2996" s="109" t="s">
        <v>19671</v>
      </c>
      <c r="D2996" s="109" t="s">
        <v>19802</v>
      </c>
      <c r="E2996" s="109" t="s">
        <v>5558</v>
      </c>
      <c r="F2996" s="109" t="s">
        <v>19803</v>
      </c>
      <c r="G2996" s="110" t="s">
        <v>6248</v>
      </c>
      <c r="H2996" s="110" t="s">
        <v>9141</v>
      </c>
      <c r="I2996" s="110" t="s">
        <v>19804</v>
      </c>
    </row>
    <row r="2997" spans="1:9" ht="25.2" x14ac:dyDescent="0.3">
      <c r="A2997" s="109" t="s">
        <v>19805</v>
      </c>
      <c r="B2997" s="109" t="s">
        <v>19671</v>
      </c>
      <c r="C2997" s="109" t="s">
        <v>19671</v>
      </c>
      <c r="D2997" s="109" t="s">
        <v>19806</v>
      </c>
      <c r="E2997" s="109" t="s">
        <v>5558</v>
      </c>
      <c r="F2997" s="109" t="s">
        <v>19807</v>
      </c>
      <c r="G2997" s="110" t="s">
        <v>6248</v>
      </c>
      <c r="H2997" s="110" t="s">
        <v>12208</v>
      </c>
      <c r="I2997" s="110" t="s">
        <v>19808</v>
      </c>
    </row>
    <row r="2998" spans="1:9" ht="37.799999999999997" x14ac:dyDescent="0.3">
      <c r="A2998" s="109" t="s">
        <v>19809</v>
      </c>
      <c r="B2998" s="109" t="s">
        <v>19671</v>
      </c>
      <c r="C2998" s="109" t="s">
        <v>19671</v>
      </c>
      <c r="D2998" s="109" t="s">
        <v>19810</v>
      </c>
      <c r="E2998" s="109" t="s">
        <v>5558</v>
      </c>
      <c r="F2998" s="109" t="s">
        <v>19811</v>
      </c>
      <c r="G2998" s="110" t="s">
        <v>6248</v>
      </c>
      <c r="H2998" s="110" t="s">
        <v>6374</v>
      </c>
      <c r="I2998" s="110" t="s">
        <v>19812</v>
      </c>
    </row>
    <row r="2999" spans="1:9" ht="37.799999999999997" x14ac:dyDescent="0.3">
      <c r="A2999" s="109" t="s">
        <v>19813</v>
      </c>
      <c r="B2999" s="109" t="s">
        <v>19671</v>
      </c>
      <c r="C2999" s="109" t="s">
        <v>19671</v>
      </c>
      <c r="D2999" s="109" t="s">
        <v>19814</v>
      </c>
      <c r="E2999" s="109" t="s">
        <v>5558</v>
      </c>
      <c r="F2999" s="109" t="s">
        <v>19815</v>
      </c>
      <c r="G2999" s="110" t="s">
        <v>6248</v>
      </c>
      <c r="H2999" s="110" t="s">
        <v>6413</v>
      </c>
      <c r="I2999" s="110" t="s">
        <v>19816</v>
      </c>
    </row>
    <row r="3000" spans="1:9" ht="25.2" x14ac:dyDescent="0.3">
      <c r="A3000" s="109" t="s">
        <v>19817</v>
      </c>
      <c r="B3000" s="109" t="s">
        <v>19671</v>
      </c>
      <c r="C3000" s="109" t="s">
        <v>19671</v>
      </c>
      <c r="D3000" s="109" t="s">
        <v>19818</v>
      </c>
      <c r="E3000" s="109" t="s">
        <v>5558</v>
      </c>
      <c r="F3000" s="109" t="s">
        <v>19819</v>
      </c>
      <c r="G3000" s="110" t="s">
        <v>6248</v>
      </c>
      <c r="H3000" s="110" t="s">
        <v>10345</v>
      </c>
      <c r="I3000" s="110" t="s">
        <v>19820</v>
      </c>
    </row>
    <row r="3001" spans="1:9" ht="37.799999999999997" x14ac:dyDescent="0.3">
      <c r="A3001" s="109" t="s">
        <v>19821</v>
      </c>
      <c r="B3001" s="109" t="s">
        <v>19671</v>
      </c>
      <c r="C3001" s="109" t="s">
        <v>19671</v>
      </c>
      <c r="D3001" s="109" t="s">
        <v>19822</v>
      </c>
      <c r="E3001" s="109" t="s">
        <v>5558</v>
      </c>
      <c r="F3001" s="109" t="s">
        <v>19823</v>
      </c>
      <c r="G3001" s="110" t="s">
        <v>6248</v>
      </c>
      <c r="H3001" s="110" t="s">
        <v>8984</v>
      </c>
      <c r="I3001" s="110" t="s">
        <v>19824</v>
      </c>
    </row>
    <row r="3002" spans="1:9" ht="25.2" x14ac:dyDescent="0.3">
      <c r="A3002" s="109" t="s">
        <v>19825</v>
      </c>
      <c r="B3002" s="109" t="s">
        <v>19671</v>
      </c>
      <c r="C3002" s="109" t="s">
        <v>19671</v>
      </c>
      <c r="D3002" s="109" t="s">
        <v>19826</v>
      </c>
      <c r="E3002" s="109" t="s">
        <v>5558</v>
      </c>
      <c r="F3002" s="109" t="s">
        <v>19827</v>
      </c>
      <c r="G3002" s="110" t="s">
        <v>6248</v>
      </c>
      <c r="H3002" s="110" t="s">
        <v>6433</v>
      </c>
      <c r="I3002" s="110" t="s">
        <v>19828</v>
      </c>
    </row>
    <row r="3003" spans="1:9" ht="25.2" x14ac:dyDescent="0.3">
      <c r="A3003" s="109" t="s">
        <v>19829</v>
      </c>
      <c r="B3003" s="109" t="s">
        <v>19671</v>
      </c>
      <c r="C3003" s="109" t="s">
        <v>19671</v>
      </c>
      <c r="D3003" s="109" t="s">
        <v>19830</v>
      </c>
      <c r="E3003" s="109" t="s">
        <v>5558</v>
      </c>
      <c r="F3003" s="109" t="s">
        <v>19831</v>
      </c>
      <c r="G3003" s="110" t="s">
        <v>6248</v>
      </c>
      <c r="H3003" s="110" t="s">
        <v>19832</v>
      </c>
      <c r="I3003" s="110" t="s">
        <v>19833</v>
      </c>
    </row>
    <row r="3004" spans="1:9" ht="37.799999999999997" x14ac:dyDescent="0.3">
      <c r="A3004" s="109" t="s">
        <v>19834</v>
      </c>
      <c r="B3004" s="109" t="s">
        <v>19671</v>
      </c>
      <c r="C3004" s="109" t="s">
        <v>19671</v>
      </c>
      <c r="D3004" s="109" t="s">
        <v>19835</v>
      </c>
      <c r="E3004" s="109" t="s">
        <v>5558</v>
      </c>
      <c r="F3004" s="109" t="s">
        <v>19836</v>
      </c>
      <c r="G3004" s="110" t="s">
        <v>6248</v>
      </c>
      <c r="H3004" s="110" t="s">
        <v>6413</v>
      </c>
      <c r="I3004" s="110" t="s">
        <v>19837</v>
      </c>
    </row>
    <row r="3005" spans="1:9" ht="37.799999999999997" x14ac:dyDescent="0.3">
      <c r="A3005" s="109" t="s">
        <v>19838</v>
      </c>
      <c r="B3005" s="109" t="s">
        <v>19671</v>
      </c>
      <c r="C3005" s="109" t="s">
        <v>19671</v>
      </c>
      <c r="D3005" s="109" t="s">
        <v>19839</v>
      </c>
      <c r="E3005" s="109" t="s">
        <v>5558</v>
      </c>
      <c r="F3005" s="109" t="s">
        <v>19840</v>
      </c>
      <c r="G3005" s="110" t="s">
        <v>6248</v>
      </c>
      <c r="H3005" s="110" t="s">
        <v>7592</v>
      </c>
      <c r="I3005" s="110" t="s">
        <v>19841</v>
      </c>
    </row>
    <row r="3006" spans="1:9" ht="25.2" x14ac:dyDescent="0.3">
      <c r="A3006" s="109" t="s">
        <v>19842</v>
      </c>
      <c r="B3006" s="109" t="s">
        <v>19671</v>
      </c>
      <c r="C3006" s="109" t="s">
        <v>19671</v>
      </c>
      <c r="D3006" s="109" t="s">
        <v>19843</v>
      </c>
      <c r="E3006" s="109" t="s">
        <v>5558</v>
      </c>
      <c r="F3006" s="109" t="s">
        <v>19844</v>
      </c>
      <c r="G3006" s="110" t="s">
        <v>6248</v>
      </c>
      <c r="H3006" s="110" t="s">
        <v>9018</v>
      </c>
      <c r="I3006" s="110" t="s">
        <v>19845</v>
      </c>
    </row>
    <row r="3007" spans="1:9" ht="25.2" x14ac:dyDescent="0.3">
      <c r="A3007" s="109" t="s">
        <v>19846</v>
      </c>
      <c r="B3007" s="109" t="s">
        <v>19671</v>
      </c>
      <c r="C3007" s="109" t="s">
        <v>19671</v>
      </c>
      <c r="D3007" s="109" t="s">
        <v>19847</v>
      </c>
      <c r="E3007" s="109" t="s">
        <v>5558</v>
      </c>
      <c r="F3007" s="109" t="s">
        <v>19848</v>
      </c>
      <c r="G3007" s="110" t="s">
        <v>6248</v>
      </c>
      <c r="H3007" s="110" t="s">
        <v>6398</v>
      </c>
      <c r="I3007" s="110" t="s">
        <v>19849</v>
      </c>
    </row>
    <row r="3008" spans="1:9" ht="25.2" x14ac:dyDescent="0.3">
      <c r="A3008" s="109" t="s">
        <v>19850</v>
      </c>
      <c r="B3008" s="109" t="s">
        <v>19671</v>
      </c>
      <c r="C3008" s="109" t="s">
        <v>19671</v>
      </c>
      <c r="D3008" s="109" t="s">
        <v>19851</v>
      </c>
      <c r="E3008" s="109" t="s">
        <v>5558</v>
      </c>
      <c r="F3008" s="109" t="s">
        <v>19852</v>
      </c>
      <c r="G3008" s="110" t="s">
        <v>6248</v>
      </c>
      <c r="H3008" s="110" t="s">
        <v>11619</v>
      </c>
      <c r="I3008" s="110" t="s">
        <v>19853</v>
      </c>
    </row>
    <row r="3009" spans="1:9" ht="37.799999999999997" x14ac:dyDescent="0.3">
      <c r="A3009" s="109" t="s">
        <v>19854</v>
      </c>
      <c r="B3009" s="109" t="s">
        <v>19671</v>
      </c>
      <c r="C3009" s="109" t="s">
        <v>19671</v>
      </c>
      <c r="D3009" s="109" t="s">
        <v>19855</v>
      </c>
      <c r="E3009" s="109" t="s">
        <v>5558</v>
      </c>
      <c r="F3009" s="109" t="s">
        <v>19856</v>
      </c>
      <c r="G3009" s="110" t="s">
        <v>6248</v>
      </c>
      <c r="H3009" s="110" t="s">
        <v>6398</v>
      </c>
      <c r="I3009" s="110" t="s">
        <v>19857</v>
      </c>
    </row>
    <row r="3010" spans="1:9" ht="25.2" x14ac:dyDescent="0.3">
      <c r="A3010" s="109" t="s">
        <v>19858</v>
      </c>
      <c r="B3010" s="109" t="s">
        <v>19671</v>
      </c>
      <c r="C3010" s="109" t="s">
        <v>19671</v>
      </c>
      <c r="D3010" s="109" t="s">
        <v>19859</v>
      </c>
      <c r="E3010" s="109" t="s">
        <v>5558</v>
      </c>
      <c r="F3010" s="109" t="s">
        <v>19860</v>
      </c>
      <c r="G3010" s="110" t="s">
        <v>6248</v>
      </c>
      <c r="H3010" s="110" t="s">
        <v>6689</v>
      </c>
      <c r="I3010" s="110" t="s">
        <v>19861</v>
      </c>
    </row>
    <row r="3011" spans="1:9" ht="25.2" x14ac:dyDescent="0.3">
      <c r="A3011" s="109" t="s">
        <v>19862</v>
      </c>
      <c r="B3011" s="109" t="s">
        <v>19671</v>
      </c>
      <c r="C3011" s="109" t="s">
        <v>19671</v>
      </c>
      <c r="D3011" s="109" t="s">
        <v>19863</v>
      </c>
      <c r="E3011" s="109" t="s">
        <v>5558</v>
      </c>
      <c r="F3011" s="109" t="s">
        <v>19864</v>
      </c>
      <c r="G3011" s="110" t="s">
        <v>6248</v>
      </c>
      <c r="H3011" s="110" t="s">
        <v>7817</v>
      </c>
      <c r="I3011" s="110" t="s">
        <v>19865</v>
      </c>
    </row>
    <row r="3012" spans="1:9" ht="25.2" x14ac:dyDescent="0.3">
      <c r="A3012" s="109" t="s">
        <v>19866</v>
      </c>
      <c r="B3012" s="109" t="s">
        <v>19671</v>
      </c>
      <c r="C3012" s="109" t="s">
        <v>19671</v>
      </c>
      <c r="D3012" s="109" t="s">
        <v>19867</v>
      </c>
      <c r="E3012" s="109" t="s">
        <v>5558</v>
      </c>
      <c r="F3012" s="109" t="s">
        <v>19807</v>
      </c>
      <c r="G3012" s="110" t="s">
        <v>6248</v>
      </c>
      <c r="H3012" s="110" t="s">
        <v>11847</v>
      </c>
      <c r="I3012" s="110" t="s">
        <v>19868</v>
      </c>
    </row>
    <row r="3013" spans="1:9" ht="25.2" x14ac:dyDescent="0.3">
      <c r="A3013" s="109" t="s">
        <v>19869</v>
      </c>
      <c r="B3013" s="109" t="s">
        <v>19671</v>
      </c>
      <c r="C3013" s="109" t="s">
        <v>19671</v>
      </c>
      <c r="D3013" s="109" t="s">
        <v>19870</v>
      </c>
      <c r="E3013" s="109" t="s">
        <v>5558</v>
      </c>
      <c r="F3013" s="109" t="s">
        <v>19871</v>
      </c>
      <c r="G3013" s="110" t="s">
        <v>6248</v>
      </c>
      <c r="H3013" s="110" t="s">
        <v>9199</v>
      </c>
      <c r="I3013" s="110" t="s">
        <v>19872</v>
      </c>
    </row>
    <row r="3014" spans="1:9" ht="25.2" x14ac:dyDescent="0.3">
      <c r="A3014" s="109" t="s">
        <v>19873</v>
      </c>
      <c r="B3014" s="109" t="s">
        <v>19671</v>
      </c>
      <c r="C3014" s="109" t="s">
        <v>19671</v>
      </c>
      <c r="D3014" s="109" t="s">
        <v>5569</v>
      </c>
      <c r="E3014" s="109" t="s">
        <v>5558</v>
      </c>
      <c r="F3014" s="109" t="s">
        <v>2258</v>
      </c>
      <c r="G3014" s="110" t="s">
        <v>6248</v>
      </c>
      <c r="H3014" s="110" t="s">
        <v>19874</v>
      </c>
      <c r="I3014" s="110" t="s">
        <v>19875</v>
      </c>
    </row>
    <row r="3015" spans="1:9" ht="25.2" x14ac:dyDescent="0.3">
      <c r="A3015" s="109" t="s">
        <v>19876</v>
      </c>
      <c r="B3015" s="109" t="s">
        <v>19671</v>
      </c>
      <c r="C3015" s="109" t="s">
        <v>19671</v>
      </c>
      <c r="D3015" s="109" t="s">
        <v>19877</v>
      </c>
      <c r="E3015" s="109" t="s">
        <v>5558</v>
      </c>
      <c r="F3015" s="109" t="s">
        <v>19878</v>
      </c>
      <c r="G3015" s="110" t="s">
        <v>6248</v>
      </c>
      <c r="H3015" s="110" t="s">
        <v>19879</v>
      </c>
      <c r="I3015" s="110" t="s">
        <v>19880</v>
      </c>
    </row>
    <row r="3016" spans="1:9" ht="25.2" x14ac:dyDescent="0.3">
      <c r="A3016" s="109" t="s">
        <v>19881</v>
      </c>
      <c r="B3016" s="109" t="s">
        <v>19671</v>
      </c>
      <c r="C3016" s="109" t="s">
        <v>19671</v>
      </c>
      <c r="D3016" s="109" t="s">
        <v>19882</v>
      </c>
      <c r="E3016" s="109" t="s">
        <v>19883</v>
      </c>
      <c r="F3016" s="109" t="s">
        <v>19884</v>
      </c>
      <c r="G3016" s="110" t="s">
        <v>6248</v>
      </c>
      <c r="H3016" s="110" t="s">
        <v>19885</v>
      </c>
      <c r="I3016" s="110" t="s">
        <v>19886</v>
      </c>
    </row>
    <row r="3017" spans="1:9" ht="25.2" x14ac:dyDescent="0.3">
      <c r="A3017" s="109" t="s">
        <v>19887</v>
      </c>
      <c r="B3017" s="109" t="s">
        <v>19671</v>
      </c>
      <c r="C3017" s="109" t="s">
        <v>19671</v>
      </c>
      <c r="D3017" s="109" t="s">
        <v>19888</v>
      </c>
      <c r="E3017" s="109" t="s">
        <v>5558</v>
      </c>
      <c r="F3017" s="109" t="s">
        <v>19889</v>
      </c>
      <c r="G3017" s="110" t="s">
        <v>6248</v>
      </c>
      <c r="H3017" s="110" t="s">
        <v>6968</v>
      </c>
      <c r="I3017" s="110" t="s">
        <v>19890</v>
      </c>
    </row>
    <row r="3018" spans="1:9" ht="37.799999999999997" x14ac:dyDescent="0.3">
      <c r="A3018" s="109" t="s">
        <v>19891</v>
      </c>
      <c r="B3018" s="109" t="s">
        <v>19671</v>
      </c>
      <c r="C3018" s="109" t="s">
        <v>19671</v>
      </c>
      <c r="D3018" s="109" t="s">
        <v>19892</v>
      </c>
      <c r="E3018" s="109" t="s">
        <v>5558</v>
      </c>
      <c r="F3018" s="109" t="s">
        <v>19893</v>
      </c>
      <c r="G3018" s="110" t="s">
        <v>6248</v>
      </c>
      <c r="H3018" s="110" t="s">
        <v>19894</v>
      </c>
      <c r="I3018" s="110" t="s">
        <v>19895</v>
      </c>
    </row>
    <row r="3019" spans="1:9" ht="37.799999999999997" x14ac:dyDescent="0.3">
      <c r="A3019" s="109" t="s">
        <v>19896</v>
      </c>
      <c r="B3019" s="109" t="s">
        <v>19671</v>
      </c>
      <c r="C3019" s="109" t="s">
        <v>19671</v>
      </c>
      <c r="D3019" s="109" t="s">
        <v>19897</v>
      </c>
      <c r="E3019" s="109" t="s">
        <v>5558</v>
      </c>
      <c r="F3019" s="109" t="s">
        <v>19898</v>
      </c>
      <c r="G3019" s="110" t="s">
        <v>6248</v>
      </c>
      <c r="H3019" s="110" t="s">
        <v>19899</v>
      </c>
      <c r="I3019" s="110" t="s">
        <v>19900</v>
      </c>
    </row>
    <row r="3020" spans="1:9" ht="25.2" x14ac:dyDescent="0.3">
      <c r="A3020" s="109" t="s">
        <v>19901</v>
      </c>
      <c r="B3020" s="109" t="s">
        <v>19671</v>
      </c>
      <c r="C3020" s="109" t="s">
        <v>19671</v>
      </c>
      <c r="D3020" s="109" t="s">
        <v>19902</v>
      </c>
      <c r="E3020" s="109" t="s">
        <v>19903</v>
      </c>
      <c r="F3020" s="109" t="s">
        <v>6878</v>
      </c>
      <c r="G3020" s="110" t="s">
        <v>19904</v>
      </c>
      <c r="H3020" s="110" t="s">
        <v>6248</v>
      </c>
      <c r="I3020" s="110" t="s">
        <v>19905</v>
      </c>
    </row>
    <row r="3021" spans="1:9" ht="37.799999999999997" x14ac:dyDescent="0.3">
      <c r="A3021" s="109" t="s">
        <v>19906</v>
      </c>
      <c r="B3021" s="109" t="s">
        <v>19671</v>
      </c>
      <c r="C3021" s="109" t="s">
        <v>19671</v>
      </c>
      <c r="D3021" s="109" t="s">
        <v>19907</v>
      </c>
      <c r="E3021" s="109" t="s">
        <v>5558</v>
      </c>
      <c r="F3021" s="109" t="s">
        <v>19908</v>
      </c>
      <c r="G3021" s="110" t="s">
        <v>6248</v>
      </c>
      <c r="H3021" s="110" t="s">
        <v>19909</v>
      </c>
      <c r="I3021" s="110" t="s">
        <v>19910</v>
      </c>
    </row>
    <row r="3022" spans="1:9" ht="25.2" x14ac:dyDescent="0.3">
      <c r="A3022" s="109" t="s">
        <v>19911</v>
      </c>
      <c r="B3022" s="109" t="s">
        <v>19671</v>
      </c>
      <c r="C3022" s="109" t="s">
        <v>19671</v>
      </c>
      <c r="D3022" s="109" t="s">
        <v>19912</v>
      </c>
      <c r="E3022" s="109" t="s">
        <v>19913</v>
      </c>
      <c r="F3022" s="109" t="s">
        <v>6368</v>
      </c>
      <c r="G3022" s="110" t="s">
        <v>10312</v>
      </c>
      <c r="H3022" s="110" t="s">
        <v>6248</v>
      </c>
      <c r="I3022" s="110" t="s">
        <v>19914</v>
      </c>
    </row>
    <row r="3023" spans="1:9" ht="37.799999999999997" x14ac:dyDescent="0.3">
      <c r="A3023" s="109" t="s">
        <v>19915</v>
      </c>
      <c r="B3023" s="109" t="s">
        <v>19671</v>
      </c>
      <c r="C3023" s="109" t="s">
        <v>19671</v>
      </c>
      <c r="D3023" s="109" t="s">
        <v>19916</v>
      </c>
      <c r="E3023" s="109" t="s">
        <v>5558</v>
      </c>
      <c r="F3023" s="109" t="s">
        <v>19917</v>
      </c>
      <c r="G3023" s="110" t="s">
        <v>6248</v>
      </c>
      <c r="H3023" s="110" t="s">
        <v>19918</v>
      </c>
      <c r="I3023" s="110" t="s">
        <v>19919</v>
      </c>
    </row>
    <row r="3024" spans="1:9" ht="37.799999999999997" x14ac:dyDescent="0.3">
      <c r="A3024" s="109" t="s">
        <v>19920</v>
      </c>
      <c r="B3024" s="109" t="s">
        <v>19671</v>
      </c>
      <c r="C3024" s="109" t="s">
        <v>19671</v>
      </c>
      <c r="D3024" s="109" t="s">
        <v>19921</v>
      </c>
      <c r="E3024" s="109" t="s">
        <v>5558</v>
      </c>
      <c r="F3024" s="109" t="s">
        <v>19922</v>
      </c>
      <c r="G3024" s="110" t="s">
        <v>6248</v>
      </c>
      <c r="H3024" s="110" t="s">
        <v>19923</v>
      </c>
      <c r="I3024" s="110" t="s">
        <v>19924</v>
      </c>
    </row>
    <row r="3025" spans="1:9" ht="25.2" x14ac:dyDescent="0.3">
      <c r="A3025" s="109" t="s">
        <v>19925</v>
      </c>
      <c r="B3025" s="109" t="s">
        <v>19671</v>
      </c>
      <c r="C3025" s="109" t="s">
        <v>19671</v>
      </c>
      <c r="D3025" s="109" t="s">
        <v>2632</v>
      </c>
      <c r="E3025" s="109" t="s">
        <v>5558</v>
      </c>
      <c r="F3025" s="109" t="s">
        <v>19926</v>
      </c>
      <c r="G3025" s="110" t="s">
        <v>6248</v>
      </c>
      <c r="H3025" s="110" t="s">
        <v>19927</v>
      </c>
      <c r="I3025" s="110" t="s">
        <v>19928</v>
      </c>
    </row>
    <row r="3026" spans="1:9" ht="37.799999999999997" x14ac:dyDescent="0.3">
      <c r="A3026" s="109" t="s">
        <v>19929</v>
      </c>
      <c r="B3026" s="109" t="s">
        <v>19671</v>
      </c>
      <c r="C3026" s="109" t="s">
        <v>19671</v>
      </c>
      <c r="D3026" s="109" t="s">
        <v>19930</v>
      </c>
      <c r="E3026" s="109" t="s">
        <v>5558</v>
      </c>
      <c r="F3026" s="109" t="s">
        <v>19931</v>
      </c>
      <c r="G3026" s="110" t="s">
        <v>6248</v>
      </c>
      <c r="H3026" s="110" t="s">
        <v>19932</v>
      </c>
      <c r="I3026" s="110" t="s">
        <v>19933</v>
      </c>
    </row>
    <row r="3027" spans="1:9" ht="37.799999999999997" x14ac:dyDescent="0.3">
      <c r="A3027" s="109" t="s">
        <v>19934</v>
      </c>
      <c r="B3027" s="109" t="s">
        <v>19671</v>
      </c>
      <c r="C3027" s="109" t="s">
        <v>19671</v>
      </c>
      <c r="D3027" s="109" t="s">
        <v>19935</v>
      </c>
      <c r="E3027" s="109" t="s">
        <v>5558</v>
      </c>
      <c r="F3027" s="109" t="s">
        <v>19936</v>
      </c>
      <c r="G3027" s="110" t="s">
        <v>6248</v>
      </c>
      <c r="H3027" s="110" t="s">
        <v>19937</v>
      </c>
      <c r="I3027" s="110" t="s">
        <v>19938</v>
      </c>
    </row>
    <row r="3028" spans="1:9" ht="25.2" x14ac:dyDescent="0.3">
      <c r="A3028" s="109" t="s">
        <v>19939</v>
      </c>
      <c r="B3028" s="109" t="s">
        <v>19671</v>
      </c>
      <c r="C3028" s="109" t="s">
        <v>19671</v>
      </c>
      <c r="D3028" s="109" t="s">
        <v>19940</v>
      </c>
      <c r="E3028" s="109" t="s">
        <v>5558</v>
      </c>
      <c r="F3028" s="109" t="s">
        <v>19941</v>
      </c>
      <c r="G3028" s="110" t="s">
        <v>6248</v>
      </c>
      <c r="H3028" s="110" t="s">
        <v>19942</v>
      </c>
      <c r="I3028" s="110" t="s">
        <v>19943</v>
      </c>
    </row>
    <row r="3029" spans="1:9" ht="25.2" x14ac:dyDescent="0.3">
      <c r="A3029" s="109" t="s">
        <v>19944</v>
      </c>
      <c r="B3029" s="109" t="s">
        <v>19671</v>
      </c>
      <c r="C3029" s="109" t="s">
        <v>19671</v>
      </c>
      <c r="D3029" s="109" t="s">
        <v>2615</v>
      </c>
      <c r="E3029" s="109" t="s">
        <v>6174</v>
      </c>
      <c r="F3029" s="109" t="s">
        <v>19945</v>
      </c>
      <c r="G3029" s="110" t="s">
        <v>6248</v>
      </c>
      <c r="H3029" s="110" t="s">
        <v>19946</v>
      </c>
      <c r="I3029" s="110" t="s">
        <v>19947</v>
      </c>
    </row>
    <row r="3030" spans="1:9" ht="25.2" x14ac:dyDescent="0.3">
      <c r="A3030" s="109" t="s">
        <v>19948</v>
      </c>
      <c r="B3030" s="109" t="s">
        <v>19671</v>
      </c>
      <c r="C3030" s="109" t="s">
        <v>19671</v>
      </c>
      <c r="D3030" s="109" t="s">
        <v>19949</v>
      </c>
      <c r="E3030" s="109" t="s">
        <v>5558</v>
      </c>
      <c r="F3030" s="109" t="s">
        <v>19950</v>
      </c>
      <c r="G3030" s="110" t="s">
        <v>6248</v>
      </c>
      <c r="H3030" s="110" t="s">
        <v>19951</v>
      </c>
      <c r="I3030" s="110" t="s">
        <v>19952</v>
      </c>
    </row>
    <row r="3031" spans="1:9" ht="37.799999999999997" x14ac:dyDescent="0.3">
      <c r="A3031" s="109" t="s">
        <v>19953</v>
      </c>
      <c r="B3031" s="109" t="s">
        <v>19671</v>
      </c>
      <c r="C3031" s="109" t="s">
        <v>19671</v>
      </c>
      <c r="D3031" s="109" t="s">
        <v>19954</v>
      </c>
      <c r="E3031" s="109" t="s">
        <v>5558</v>
      </c>
      <c r="F3031" s="109" t="s">
        <v>19955</v>
      </c>
      <c r="G3031" s="110" t="s">
        <v>6248</v>
      </c>
      <c r="H3031" s="110" t="s">
        <v>7987</v>
      </c>
      <c r="I3031" s="110" t="s">
        <v>19956</v>
      </c>
    </row>
    <row r="3032" spans="1:9" ht="25.2" x14ac:dyDescent="0.3">
      <c r="A3032" s="109" t="s">
        <v>19957</v>
      </c>
      <c r="B3032" s="109" t="s">
        <v>19671</v>
      </c>
      <c r="C3032" s="109" t="s">
        <v>19671</v>
      </c>
      <c r="D3032" s="109" t="s">
        <v>19958</v>
      </c>
      <c r="E3032" s="109" t="s">
        <v>5558</v>
      </c>
      <c r="F3032" s="109" t="s">
        <v>19959</v>
      </c>
      <c r="G3032" s="110" t="s">
        <v>6248</v>
      </c>
      <c r="H3032" s="110" t="s">
        <v>6689</v>
      </c>
      <c r="I3032" s="110" t="s">
        <v>19960</v>
      </c>
    </row>
    <row r="3033" spans="1:9" ht="25.2" x14ac:dyDescent="0.3">
      <c r="A3033" s="109" t="s">
        <v>19961</v>
      </c>
      <c r="B3033" s="109" t="s">
        <v>19671</v>
      </c>
      <c r="C3033" s="109" t="s">
        <v>19671</v>
      </c>
      <c r="D3033" s="109" t="s">
        <v>19962</v>
      </c>
      <c r="E3033" s="109" t="s">
        <v>5558</v>
      </c>
      <c r="F3033" s="109" t="s">
        <v>19963</v>
      </c>
      <c r="G3033" s="110" t="s">
        <v>6248</v>
      </c>
      <c r="H3033" s="110" t="s">
        <v>19964</v>
      </c>
      <c r="I3033" s="110" t="s">
        <v>19965</v>
      </c>
    </row>
    <row r="3034" spans="1:9" ht="25.2" x14ac:dyDescent="0.3">
      <c r="A3034" s="109" t="s">
        <v>19966</v>
      </c>
      <c r="B3034" s="109" t="s">
        <v>19671</v>
      </c>
      <c r="C3034" s="109" t="s">
        <v>19671</v>
      </c>
      <c r="D3034" s="109" t="s">
        <v>19967</v>
      </c>
      <c r="E3034" s="109" t="s">
        <v>19968</v>
      </c>
      <c r="F3034" s="109" t="s">
        <v>7039</v>
      </c>
      <c r="G3034" s="110" t="s">
        <v>6248</v>
      </c>
      <c r="H3034" s="110" t="s">
        <v>19969</v>
      </c>
      <c r="I3034" s="110" t="s">
        <v>19970</v>
      </c>
    </row>
    <row r="3035" spans="1:9" ht="37.799999999999997" x14ac:dyDescent="0.3">
      <c r="A3035" s="109" t="s">
        <v>19971</v>
      </c>
      <c r="B3035" s="109" t="s">
        <v>19671</v>
      </c>
      <c r="C3035" s="109" t="s">
        <v>19671</v>
      </c>
      <c r="D3035" s="109" t="s">
        <v>19972</v>
      </c>
      <c r="E3035" s="109" t="s">
        <v>5558</v>
      </c>
      <c r="F3035" s="109" t="s">
        <v>19973</v>
      </c>
      <c r="G3035" s="110" t="s">
        <v>6248</v>
      </c>
      <c r="H3035" s="110" t="s">
        <v>19974</v>
      </c>
      <c r="I3035" s="110" t="s">
        <v>19975</v>
      </c>
    </row>
    <row r="3036" spans="1:9" ht="25.2" x14ac:dyDescent="0.3">
      <c r="A3036" s="109" t="s">
        <v>19976</v>
      </c>
      <c r="B3036" s="109" t="s">
        <v>19671</v>
      </c>
      <c r="C3036" s="109" t="s">
        <v>19671</v>
      </c>
      <c r="D3036" s="109" t="s">
        <v>19977</v>
      </c>
      <c r="E3036" s="109" t="s">
        <v>19978</v>
      </c>
      <c r="F3036" s="109" t="s">
        <v>19979</v>
      </c>
      <c r="G3036" s="110" t="s">
        <v>6248</v>
      </c>
      <c r="H3036" s="110" t="s">
        <v>19980</v>
      </c>
      <c r="I3036" s="110" t="s">
        <v>19981</v>
      </c>
    </row>
    <row r="3037" spans="1:9" ht="25.2" x14ac:dyDescent="0.3">
      <c r="A3037" s="109" t="s">
        <v>19982</v>
      </c>
      <c r="B3037" s="109" t="s">
        <v>19671</v>
      </c>
      <c r="C3037" s="109" t="s">
        <v>19671</v>
      </c>
      <c r="D3037" s="109" t="s">
        <v>19983</v>
      </c>
      <c r="E3037" s="109" t="s">
        <v>5558</v>
      </c>
      <c r="F3037" s="109" t="s">
        <v>19984</v>
      </c>
      <c r="G3037" s="110" t="s">
        <v>6248</v>
      </c>
      <c r="H3037" s="110" t="s">
        <v>19985</v>
      </c>
      <c r="I3037" s="110" t="s">
        <v>19986</v>
      </c>
    </row>
    <row r="3038" spans="1:9" ht="37.799999999999997" x14ac:dyDescent="0.3">
      <c r="A3038" s="109" t="s">
        <v>19987</v>
      </c>
      <c r="B3038" s="109" t="s">
        <v>19671</v>
      </c>
      <c r="C3038" s="109" t="s">
        <v>19671</v>
      </c>
      <c r="D3038" s="109" t="s">
        <v>19988</v>
      </c>
      <c r="E3038" s="109" t="s">
        <v>5558</v>
      </c>
      <c r="F3038" s="109" t="s">
        <v>19989</v>
      </c>
      <c r="G3038" s="110" t="s">
        <v>6248</v>
      </c>
      <c r="H3038" s="110" t="s">
        <v>19990</v>
      </c>
      <c r="I3038" s="110" t="s">
        <v>19991</v>
      </c>
    </row>
    <row r="3039" spans="1:9" ht="37.799999999999997" x14ac:dyDescent="0.3">
      <c r="A3039" s="109" t="s">
        <v>19992</v>
      </c>
      <c r="B3039" s="109" t="s">
        <v>19671</v>
      </c>
      <c r="C3039" s="109" t="s">
        <v>19671</v>
      </c>
      <c r="D3039" s="109" t="s">
        <v>19993</v>
      </c>
      <c r="E3039" s="109" t="s">
        <v>5558</v>
      </c>
      <c r="F3039" s="109" t="s">
        <v>19994</v>
      </c>
      <c r="G3039" s="110" t="s">
        <v>6248</v>
      </c>
      <c r="H3039" s="110" t="s">
        <v>6352</v>
      </c>
      <c r="I3039" s="110" t="s">
        <v>19995</v>
      </c>
    </row>
    <row r="3040" spans="1:9" ht="25.2" x14ac:dyDescent="0.3">
      <c r="A3040" s="109" t="s">
        <v>19996</v>
      </c>
      <c r="B3040" s="109" t="s">
        <v>19671</v>
      </c>
      <c r="C3040" s="109" t="s">
        <v>19671</v>
      </c>
      <c r="D3040" s="109" t="s">
        <v>19997</v>
      </c>
      <c r="E3040" s="109" t="s">
        <v>5558</v>
      </c>
      <c r="F3040" s="109" t="s">
        <v>19998</v>
      </c>
      <c r="G3040" s="110" t="s">
        <v>6248</v>
      </c>
      <c r="H3040" s="110" t="s">
        <v>19999</v>
      </c>
      <c r="I3040" s="110" t="s">
        <v>20000</v>
      </c>
    </row>
    <row r="3041" spans="1:9" ht="25.2" x14ac:dyDescent="0.3">
      <c r="A3041" s="109" t="s">
        <v>20001</v>
      </c>
      <c r="B3041" s="109" t="s">
        <v>19671</v>
      </c>
      <c r="C3041" s="109" t="s">
        <v>19671</v>
      </c>
      <c r="D3041" s="109" t="s">
        <v>20002</v>
      </c>
      <c r="E3041" s="109" t="s">
        <v>20003</v>
      </c>
      <c r="F3041" s="109" t="s">
        <v>20004</v>
      </c>
      <c r="G3041" s="110" t="s">
        <v>6248</v>
      </c>
      <c r="H3041" s="110" t="s">
        <v>20005</v>
      </c>
      <c r="I3041" s="110" t="s">
        <v>20006</v>
      </c>
    </row>
    <row r="3042" spans="1:9" ht="25.2" x14ac:dyDescent="0.3">
      <c r="A3042" s="109" t="s">
        <v>20007</v>
      </c>
      <c r="B3042" s="109" t="s">
        <v>19671</v>
      </c>
      <c r="C3042" s="109" t="s">
        <v>19671</v>
      </c>
      <c r="D3042" s="109" t="s">
        <v>20008</v>
      </c>
      <c r="E3042" s="109" t="s">
        <v>20009</v>
      </c>
      <c r="F3042" s="109" t="s">
        <v>7045</v>
      </c>
      <c r="G3042" s="110" t="s">
        <v>20010</v>
      </c>
      <c r="H3042" s="110" t="s">
        <v>6248</v>
      </c>
      <c r="I3042" s="110" t="s">
        <v>20011</v>
      </c>
    </row>
    <row r="3043" spans="1:9" ht="25.2" x14ac:dyDescent="0.3">
      <c r="A3043" s="109" t="s">
        <v>20012</v>
      </c>
      <c r="B3043" s="109" t="s">
        <v>19671</v>
      </c>
      <c r="C3043" s="109" t="s">
        <v>19671</v>
      </c>
      <c r="D3043" s="109" t="s">
        <v>20013</v>
      </c>
      <c r="E3043" s="109" t="s">
        <v>5558</v>
      </c>
      <c r="F3043" s="109" t="s">
        <v>20014</v>
      </c>
      <c r="G3043" s="110" t="s">
        <v>6248</v>
      </c>
      <c r="H3043" s="110" t="s">
        <v>7094</v>
      </c>
      <c r="I3043" s="110" t="s">
        <v>20015</v>
      </c>
    </row>
    <row r="3044" spans="1:9" ht="25.2" x14ac:dyDescent="0.3">
      <c r="A3044" s="109" t="s">
        <v>20016</v>
      </c>
      <c r="B3044" s="109" t="s">
        <v>19671</v>
      </c>
      <c r="C3044" s="109" t="s">
        <v>19671</v>
      </c>
      <c r="D3044" s="109" t="s">
        <v>20017</v>
      </c>
      <c r="E3044" s="109" t="s">
        <v>5558</v>
      </c>
      <c r="F3044" s="109" t="s">
        <v>20018</v>
      </c>
      <c r="G3044" s="110" t="s">
        <v>6248</v>
      </c>
      <c r="H3044" s="110" t="s">
        <v>20019</v>
      </c>
      <c r="I3044" s="110" t="s">
        <v>20020</v>
      </c>
    </row>
    <row r="3045" spans="1:9" ht="25.2" x14ac:dyDescent="0.3">
      <c r="A3045" s="109" t="s">
        <v>20021</v>
      </c>
      <c r="B3045" s="109" t="s">
        <v>19671</v>
      </c>
      <c r="C3045" s="109" t="s">
        <v>19671</v>
      </c>
      <c r="D3045" s="109" t="s">
        <v>2653</v>
      </c>
      <c r="E3045" s="109" t="s">
        <v>5558</v>
      </c>
      <c r="F3045" s="109" t="s">
        <v>20022</v>
      </c>
      <c r="G3045" s="110" t="s">
        <v>6248</v>
      </c>
      <c r="H3045" s="110" t="s">
        <v>20023</v>
      </c>
      <c r="I3045" s="110" t="s">
        <v>20024</v>
      </c>
    </row>
    <row r="3046" spans="1:9" ht="25.2" x14ac:dyDescent="0.3">
      <c r="A3046" s="109" t="s">
        <v>20025</v>
      </c>
      <c r="B3046" s="109" t="s">
        <v>19671</v>
      </c>
      <c r="C3046" s="109" t="s">
        <v>19671</v>
      </c>
      <c r="D3046" s="109" t="s">
        <v>20026</v>
      </c>
      <c r="E3046" s="109" t="s">
        <v>20027</v>
      </c>
      <c r="F3046" s="109" t="s">
        <v>20028</v>
      </c>
      <c r="G3046" s="110" t="s">
        <v>20029</v>
      </c>
      <c r="H3046" s="110" t="s">
        <v>6248</v>
      </c>
      <c r="I3046" s="110" t="s">
        <v>20030</v>
      </c>
    </row>
    <row r="3047" spans="1:9" ht="25.2" x14ac:dyDescent="0.3">
      <c r="A3047" s="109" t="s">
        <v>20031</v>
      </c>
      <c r="B3047" s="109" t="s">
        <v>19671</v>
      </c>
      <c r="C3047" s="109" t="s">
        <v>19671</v>
      </c>
      <c r="D3047" s="109" t="s">
        <v>20032</v>
      </c>
      <c r="E3047" s="109" t="s">
        <v>20027</v>
      </c>
      <c r="F3047" s="109" t="s">
        <v>20033</v>
      </c>
      <c r="G3047" s="110" t="s">
        <v>7254</v>
      </c>
      <c r="H3047" s="110" t="s">
        <v>6248</v>
      </c>
      <c r="I3047" s="110" t="s">
        <v>20034</v>
      </c>
    </row>
    <row r="3048" spans="1:9" ht="25.2" x14ac:dyDescent="0.3">
      <c r="A3048" s="109" t="s">
        <v>20035</v>
      </c>
      <c r="B3048" s="109" t="s">
        <v>19671</v>
      </c>
      <c r="C3048" s="109" t="s">
        <v>19671</v>
      </c>
      <c r="D3048" s="109" t="s">
        <v>20036</v>
      </c>
      <c r="E3048" s="109" t="s">
        <v>5558</v>
      </c>
      <c r="F3048" s="109" t="s">
        <v>20037</v>
      </c>
      <c r="G3048" s="110" t="s">
        <v>6248</v>
      </c>
      <c r="H3048" s="110" t="s">
        <v>20038</v>
      </c>
      <c r="I3048" s="110" t="s">
        <v>20039</v>
      </c>
    </row>
    <row r="3049" spans="1:9" ht="75.599999999999994" x14ac:dyDescent="0.3">
      <c r="A3049" s="109" t="s">
        <v>20040</v>
      </c>
      <c r="B3049" s="109" t="s">
        <v>19671</v>
      </c>
      <c r="C3049" s="109" t="s">
        <v>19671</v>
      </c>
      <c r="D3049" s="109" t="s">
        <v>20041</v>
      </c>
      <c r="E3049" s="109" t="s">
        <v>20041</v>
      </c>
      <c r="F3049" s="109" t="s">
        <v>20042</v>
      </c>
      <c r="G3049" s="110" t="s">
        <v>6248</v>
      </c>
      <c r="H3049" s="110" t="s">
        <v>20043</v>
      </c>
      <c r="I3049" s="110" t="s">
        <v>20044</v>
      </c>
    </row>
    <row r="3050" spans="1:9" ht="25.2" x14ac:dyDescent="0.3">
      <c r="A3050" s="109" t="s">
        <v>20045</v>
      </c>
      <c r="B3050" s="109" t="s">
        <v>19671</v>
      </c>
      <c r="C3050" s="109" t="s">
        <v>19671</v>
      </c>
      <c r="D3050" s="109" t="s">
        <v>20046</v>
      </c>
      <c r="E3050" s="109" t="s">
        <v>5558</v>
      </c>
      <c r="F3050" s="109" t="s">
        <v>20047</v>
      </c>
      <c r="G3050" s="110" t="s">
        <v>6248</v>
      </c>
      <c r="H3050" s="110" t="s">
        <v>20048</v>
      </c>
      <c r="I3050" s="110" t="s">
        <v>20049</v>
      </c>
    </row>
    <row r="3051" spans="1:9" ht="25.2" x14ac:dyDescent="0.3">
      <c r="A3051" s="109" t="s">
        <v>20050</v>
      </c>
      <c r="B3051" s="109" t="s">
        <v>19671</v>
      </c>
      <c r="C3051" s="109" t="s">
        <v>19671</v>
      </c>
      <c r="D3051" s="109" t="s">
        <v>2609</v>
      </c>
      <c r="E3051" s="109" t="s">
        <v>20051</v>
      </c>
      <c r="F3051" s="109" t="s">
        <v>17150</v>
      </c>
      <c r="G3051" s="110" t="s">
        <v>6248</v>
      </c>
      <c r="H3051" s="110" t="s">
        <v>20052</v>
      </c>
      <c r="I3051" s="110" t="s">
        <v>20053</v>
      </c>
    </row>
    <row r="3052" spans="1:9" ht="25.2" x14ac:dyDescent="0.3">
      <c r="A3052" s="109" t="s">
        <v>20054</v>
      </c>
      <c r="B3052" s="109" t="s">
        <v>19671</v>
      </c>
      <c r="C3052" s="109" t="s">
        <v>19671</v>
      </c>
      <c r="D3052" s="109" t="s">
        <v>20055</v>
      </c>
      <c r="E3052" s="109" t="s">
        <v>5558</v>
      </c>
      <c r="F3052" s="109" t="s">
        <v>20056</v>
      </c>
      <c r="G3052" s="110" t="s">
        <v>6248</v>
      </c>
      <c r="H3052" s="110" t="s">
        <v>20057</v>
      </c>
      <c r="I3052" s="110" t="s">
        <v>20058</v>
      </c>
    </row>
    <row r="3053" spans="1:9" ht="25.2" x14ac:dyDescent="0.3">
      <c r="A3053" s="109" t="s">
        <v>20059</v>
      </c>
      <c r="B3053" s="109" t="s">
        <v>19671</v>
      </c>
      <c r="C3053" s="109" t="s">
        <v>19671</v>
      </c>
      <c r="D3053" s="109" t="s">
        <v>20060</v>
      </c>
      <c r="E3053" s="109" t="s">
        <v>5558</v>
      </c>
      <c r="F3053" s="109" t="s">
        <v>20061</v>
      </c>
      <c r="G3053" s="110" t="s">
        <v>6248</v>
      </c>
      <c r="H3053" s="110" t="s">
        <v>20062</v>
      </c>
      <c r="I3053" s="110" t="s">
        <v>20063</v>
      </c>
    </row>
    <row r="3054" spans="1:9" ht="25.2" x14ac:dyDescent="0.3">
      <c r="A3054" s="109" t="s">
        <v>20064</v>
      </c>
      <c r="B3054" s="109" t="s">
        <v>19671</v>
      </c>
      <c r="C3054" s="109" t="s">
        <v>19671</v>
      </c>
      <c r="D3054" s="109" t="s">
        <v>20065</v>
      </c>
      <c r="E3054" s="109" t="s">
        <v>7196</v>
      </c>
      <c r="F3054" s="109" t="s">
        <v>5777</v>
      </c>
      <c r="G3054" s="110" t="s">
        <v>6248</v>
      </c>
      <c r="H3054" s="110" t="s">
        <v>20066</v>
      </c>
      <c r="I3054" s="110" t="s">
        <v>20067</v>
      </c>
    </row>
    <row r="3055" spans="1:9" ht="25.2" x14ac:dyDescent="0.3">
      <c r="A3055" s="109" t="s">
        <v>20068</v>
      </c>
      <c r="B3055" s="109" t="s">
        <v>19671</v>
      </c>
      <c r="C3055" s="109" t="s">
        <v>19671</v>
      </c>
      <c r="D3055" s="109" t="s">
        <v>5569</v>
      </c>
      <c r="E3055" s="109" t="s">
        <v>5558</v>
      </c>
      <c r="F3055" s="109" t="s">
        <v>2258</v>
      </c>
      <c r="G3055" s="110" t="s">
        <v>6248</v>
      </c>
      <c r="H3055" s="110" t="s">
        <v>20069</v>
      </c>
      <c r="I3055" s="110" t="s">
        <v>20070</v>
      </c>
    </row>
    <row r="3056" spans="1:9" ht="25.2" x14ac:dyDescent="0.3">
      <c r="A3056" s="109" t="s">
        <v>20071</v>
      </c>
      <c r="B3056" s="109" t="s">
        <v>19671</v>
      </c>
      <c r="C3056" s="109" t="s">
        <v>19671</v>
      </c>
      <c r="D3056" s="109" t="s">
        <v>20072</v>
      </c>
      <c r="E3056" s="109" t="s">
        <v>5558</v>
      </c>
      <c r="F3056" s="109" t="s">
        <v>20073</v>
      </c>
      <c r="G3056" s="110" t="s">
        <v>6248</v>
      </c>
      <c r="H3056" s="110" t="s">
        <v>20074</v>
      </c>
      <c r="I3056" s="110" t="s">
        <v>20075</v>
      </c>
    </row>
    <row r="3057" spans="1:9" ht="25.2" x14ac:dyDescent="0.3">
      <c r="A3057" s="109" t="s">
        <v>20076</v>
      </c>
      <c r="B3057" s="109" t="s">
        <v>19671</v>
      </c>
      <c r="C3057" s="109" t="s">
        <v>19671</v>
      </c>
      <c r="D3057" s="109" t="s">
        <v>20077</v>
      </c>
      <c r="E3057" s="109" t="s">
        <v>7196</v>
      </c>
      <c r="F3057" s="109" t="s">
        <v>5777</v>
      </c>
      <c r="G3057" s="110" t="s">
        <v>6248</v>
      </c>
      <c r="H3057" s="110" t="s">
        <v>20078</v>
      </c>
      <c r="I3057" s="110" t="s">
        <v>20079</v>
      </c>
    </row>
    <row r="3058" spans="1:9" ht="25.2" x14ac:dyDescent="0.3">
      <c r="A3058" s="109" t="s">
        <v>20080</v>
      </c>
      <c r="B3058" s="109" t="s">
        <v>19671</v>
      </c>
      <c r="C3058" s="109" t="s">
        <v>19671</v>
      </c>
      <c r="D3058" s="109" t="s">
        <v>20081</v>
      </c>
      <c r="E3058" s="109" t="s">
        <v>5558</v>
      </c>
      <c r="F3058" s="109" t="s">
        <v>20082</v>
      </c>
      <c r="G3058" s="110" t="s">
        <v>6248</v>
      </c>
      <c r="H3058" s="110" t="s">
        <v>8583</v>
      </c>
      <c r="I3058" s="110" t="s">
        <v>20083</v>
      </c>
    </row>
    <row r="3059" spans="1:9" ht="25.2" x14ac:dyDescent="0.3">
      <c r="A3059" s="109" t="s">
        <v>20084</v>
      </c>
      <c r="B3059" s="109" t="s">
        <v>19671</v>
      </c>
      <c r="C3059" s="109" t="s">
        <v>19671</v>
      </c>
      <c r="D3059" s="109" t="s">
        <v>2674</v>
      </c>
      <c r="E3059" s="109" t="s">
        <v>5569</v>
      </c>
      <c r="F3059" s="109" t="s">
        <v>20085</v>
      </c>
      <c r="G3059" s="110" t="s">
        <v>6248</v>
      </c>
      <c r="H3059" s="110" t="s">
        <v>20086</v>
      </c>
      <c r="I3059" s="110" t="s">
        <v>20087</v>
      </c>
    </row>
    <row r="3060" spans="1:9" ht="25.2" x14ac:dyDescent="0.3">
      <c r="A3060" s="109" t="s">
        <v>20088</v>
      </c>
      <c r="B3060" s="109" t="s">
        <v>19671</v>
      </c>
      <c r="C3060" s="109" t="s">
        <v>19671</v>
      </c>
      <c r="D3060" s="109" t="s">
        <v>20089</v>
      </c>
      <c r="E3060" s="109" t="s">
        <v>20027</v>
      </c>
      <c r="F3060" s="109" t="s">
        <v>20090</v>
      </c>
      <c r="G3060" s="110" t="s">
        <v>20091</v>
      </c>
      <c r="H3060" s="110" t="s">
        <v>6248</v>
      </c>
      <c r="I3060" s="110" t="s">
        <v>20092</v>
      </c>
    </row>
    <row r="3061" spans="1:9" ht="25.2" x14ac:dyDescent="0.3">
      <c r="A3061" s="109" t="s">
        <v>20093</v>
      </c>
      <c r="B3061" s="109" t="s">
        <v>19671</v>
      </c>
      <c r="C3061" s="109" t="s">
        <v>19671</v>
      </c>
      <c r="D3061" s="109" t="s">
        <v>20094</v>
      </c>
      <c r="E3061" s="109" t="s">
        <v>20027</v>
      </c>
      <c r="F3061" s="109" t="s">
        <v>20095</v>
      </c>
      <c r="G3061" s="110" t="s">
        <v>7254</v>
      </c>
      <c r="H3061" s="110" t="s">
        <v>6248</v>
      </c>
      <c r="I3061" s="110" t="s">
        <v>20096</v>
      </c>
    </row>
    <row r="3062" spans="1:9" ht="25.2" x14ac:dyDescent="0.3">
      <c r="A3062" s="109" t="s">
        <v>20097</v>
      </c>
      <c r="B3062" s="109" t="s">
        <v>19671</v>
      </c>
      <c r="C3062" s="109" t="s">
        <v>19671</v>
      </c>
      <c r="D3062" s="109" t="s">
        <v>20098</v>
      </c>
      <c r="E3062" s="109" t="s">
        <v>5558</v>
      </c>
      <c r="F3062" s="109" t="s">
        <v>20099</v>
      </c>
      <c r="G3062" s="110" t="s">
        <v>6248</v>
      </c>
      <c r="H3062" s="110" t="s">
        <v>20100</v>
      </c>
      <c r="I3062" s="110" t="s">
        <v>20101</v>
      </c>
    </row>
    <row r="3063" spans="1:9" ht="25.2" x14ac:dyDescent="0.3">
      <c r="A3063" s="109" t="s">
        <v>20102</v>
      </c>
      <c r="B3063" s="109" t="s">
        <v>19671</v>
      </c>
      <c r="C3063" s="109" t="s">
        <v>19671</v>
      </c>
      <c r="D3063" s="109" t="s">
        <v>20103</v>
      </c>
      <c r="E3063" s="109" t="s">
        <v>5932</v>
      </c>
      <c r="F3063" s="109" t="s">
        <v>15892</v>
      </c>
      <c r="G3063" s="110" t="s">
        <v>6248</v>
      </c>
      <c r="H3063" s="110" t="s">
        <v>20104</v>
      </c>
      <c r="I3063" s="110" t="s">
        <v>20105</v>
      </c>
    </row>
    <row r="3064" spans="1:9" ht="25.2" x14ac:dyDescent="0.3">
      <c r="A3064" s="109" t="s">
        <v>20106</v>
      </c>
      <c r="B3064" s="109" t="s">
        <v>19671</v>
      </c>
      <c r="C3064" s="109" t="s">
        <v>19671</v>
      </c>
      <c r="D3064" s="109" t="s">
        <v>20107</v>
      </c>
      <c r="E3064" s="109" t="s">
        <v>5558</v>
      </c>
      <c r="F3064" s="109" t="s">
        <v>20108</v>
      </c>
      <c r="G3064" s="110" t="s">
        <v>6248</v>
      </c>
      <c r="H3064" s="110" t="s">
        <v>20109</v>
      </c>
      <c r="I3064" s="110" t="s">
        <v>20110</v>
      </c>
    </row>
    <row r="3065" spans="1:9" ht="25.2" x14ac:dyDescent="0.3">
      <c r="A3065" s="109" t="s">
        <v>20111</v>
      </c>
      <c r="B3065" s="109" t="s">
        <v>19671</v>
      </c>
      <c r="C3065" s="109" t="s">
        <v>19671</v>
      </c>
      <c r="D3065" s="109" t="s">
        <v>20112</v>
      </c>
      <c r="E3065" s="109" t="s">
        <v>20113</v>
      </c>
      <c r="F3065" s="109" t="s">
        <v>16481</v>
      </c>
      <c r="G3065" s="110" t="s">
        <v>6248</v>
      </c>
      <c r="H3065" s="110" t="s">
        <v>20114</v>
      </c>
      <c r="I3065" s="110" t="s">
        <v>20115</v>
      </c>
    </row>
    <row r="3066" spans="1:9" ht="25.2" x14ac:dyDescent="0.3">
      <c r="A3066" s="109" t="s">
        <v>20116</v>
      </c>
      <c r="B3066" s="109" t="s">
        <v>19671</v>
      </c>
      <c r="C3066" s="109" t="s">
        <v>19671</v>
      </c>
      <c r="D3066" s="109" t="s">
        <v>20117</v>
      </c>
      <c r="E3066" s="109" t="s">
        <v>18446</v>
      </c>
      <c r="F3066" s="109" t="s">
        <v>5803</v>
      </c>
      <c r="G3066" s="110" t="s">
        <v>6248</v>
      </c>
      <c r="H3066" s="110" t="s">
        <v>20118</v>
      </c>
      <c r="I3066" s="110" t="s">
        <v>20119</v>
      </c>
    </row>
    <row r="3067" spans="1:9" ht="25.2" x14ac:dyDescent="0.3">
      <c r="A3067" s="109" t="s">
        <v>20120</v>
      </c>
      <c r="B3067" s="109" t="s">
        <v>19671</v>
      </c>
      <c r="C3067" s="109" t="s">
        <v>19671</v>
      </c>
      <c r="D3067" s="109" t="s">
        <v>20121</v>
      </c>
      <c r="E3067" s="109" t="s">
        <v>5932</v>
      </c>
      <c r="F3067" s="109" t="s">
        <v>15902</v>
      </c>
      <c r="G3067" s="110" t="s">
        <v>6248</v>
      </c>
      <c r="H3067" s="110" t="s">
        <v>20122</v>
      </c>
      <c r="I3067" s="110" t="s">
        <v>20123</v>
      </c>
    </row>
    <row r="3068" spans="1:9" ht="63" x14ac:dyDescent="0.3">
      <c r="A3068" s="109" t="s">
        <v>20124</v>
      </c>
      <c r="B3068" s="109" t="s">
        <v>19671</v>
      </c>
      <c r="C3068" s="109" t="s">
        <v>19671</v>
      </c>
      <c r="D3068" s="109" t="s">
        <v>12517</v>
      </c>
      <c r="E3068" s="109" t="s">
        <v>12517</v>
      </c>
      <c r="F3068" s="109" t="s">
        <v>13381</v>
      </c>
      <c r="G3068" s="110" t="s">
        <v>6248</v>
      </c>
      <c r="H3068" s="110" t="s">
        <v>8756</v>
      </c>
      <c r="I3068" s="110" t="s">
        <v>20125</v>
      </c>
    </row>
    <row r="3069" spans="1:9" ht="25.2" x14ac:dyDescent="0.3">
      <c r="A3069" s="109" t="s">
        <v>20126</v>
      </c>
      <c r="B3069" s="109" t="s">
        <v>19671</v>
      </c>
      <c r="C3069" s="109" t="s">
        <v>19671</v>
      </c>
      <c r="D3069" s="109" t="s">
        <v>20127</v>
      </c>
      <c r="E3069" s="109" t="s">
        <v>5932</v>
      </c>
      <c r="F3069" s="109" t="s">
        <v>15933</v>
      </c>
      <c r="G3069" s="110" t="s">
        <v>6248</v>
      </c>
      <c r="H3069" s="110" t="s">
        <v>20128</v>
      </c>
      <c r="I3069" s="110" t="s">
        <v>20129</v>
      </c>
    </row>
    <row r="3070" spans="1:9" ht="25.2" x14ac:dyDescent="0.3">
      <c r="A3070" s="109" t="s">
        <v>20130</v>
      </c>
      <c r="B3070" s="109" t="s">
        <v>19671</v>
      </c>
      <c r="C3070" s="109" t="s">
        <v>19671</v>
      </c>
      <c r="D3070" s="109" t="s">
        <v>20131</v>
      </c>
      <c r="E3070" s="109" t="s">
        <v>20132</v>
      </c>
      <c r="F3070" s="109" t="s">
        <v>8341</v>
      </c>
      <c r="G3070" s="110" t="s">
        <v>6248</v>
      </c>
      <c r="H3070" s="110" t="s">
        <v>20133</v>
      </c>
      <c r="I3070" s="110" t="s">
        <v>20134</v>
      </c>
    </row>
    <row r="3071" spans="1:9" ht="25.2" x14ac:dyDescent="0.3">
      <c r="A3071" s="109" t="s">
        <v>20135</v>
      </c>
      <c r="B3071" s="109" t="s">
        <v>19671</v>
      </c>
      <c r="C3071" s="109" t="s">
        <v>19671</v>
      </c>
      <c r="D3071" s="109" t="s">
        <v>20136</v>
      </c>
      <c r="E3071" s="109" t="s">
        <v>15965</v>
      </c>
      <c r="F3071" s="109" t="s">
        <v>16310</v>
      </c>
      <c r="G3071" s="110" t="s">
        <v>6248</v>
      </c>
      <c r="H3071" s="110" t="s">
        <v>20137</v>
      </c>
      <c r="I3071" s="110" t="s">
        <v>20138</v>
      </c>
    </row>
    <row r="3072" spans="1:9" ht="25.2" x14ac:dyDescent="0.3">
      <c r="A3072" s="109" t="s">
        <v>20139</v>
      </c>
      <c r="B3072" s="109" t="s">
        <v>19671</v>
      </c>
      <c r="C3072" s="109" t="s">
        <v>19671</v>
      </c>
      <c r="D3072" s="109" t="s">
        <v>20140</v>
      </c>
      <c r="E3072" s="109" t="s">
        <v>5558</v>
      </c>
      <c r="F3072" s="109" t="s">
        <v>20141</v>
      </c>
      <c r="G3072" s="110" t="s">
        <v>6248</v>
      </c>
      <c r="H3072" s="110" t="s">
        <v>20142</v>
      </c>
      <c r="I3072" s="110" t="s">
        <v>20143</v>
      </c>
    </row>
    <row r="3073" spans="1:9" ht="50.4" x14ac:dyDescent="0.3">
      <c r="A3073" s="109" t="s">
        <v>20144</v>
      </c>
      <c r="B3073" s="109" t="s">
        <v>19671</v>
      </c>
      <c r="C3073" s="109" t="s">
        <v>19671</v>
      </c>
      <c r="D3073" s="109" t="s">
        <v>20145</v>
      </c>
      <c r="E3073" s="109" t="s">
        <v>5558</v>
      </c>
      <c r="F3073" s="109" t="s">
        <v>20146</v>
      </c>
      <c r="G3073" s="110" t="s">
        <v>6248</v>
      </c>
      <c r="H3073" s="110" t="s">
        <v>20147</v>
      </c>
      <c r="I3073" s="110" t="s">
        <v>20148</v>
      </c>
    </row>
    <row r="3074" spans="1:9" ht="25.2" x14ac:dyDescent="0.3">
      <c r="A3074" s="109" t="s">
        <v>20149</v>
      </c>
      <c r="B3074" s="109" t="s">
        <v>19671</v>
      </c>
      <c r="C3074" s="109" t="s">
        <v>19671</v>
      </c>
      <c r="D3074" s="109" t="s">
        <v>20150</v>
      </c>
      <c r="E3074" s="109" t="s">
        <v>5558</v>
      </c>
      <c r="F3074" s="109" t="s">
        <v>20151</v>
      </c>
      <c r="G3074" s="110" t="s">
        <v>6248</v>
      </c>
      <c r="H3074" s="110" t="s">
        <v>20152</v>
      </c>
      <c r="I3074" s="110" t="s">
        <v>20153</v>
      </c>
    </row>
    <row r="3075" spans="1:9" ht="25.2" x14ac:dyDescent="0.3">
      <c r="A3075" s="109" t="s">
        <v>20154</v>
      </c>
      <c r="B3075" s="109" t="s">
        <v>19671</v>
      </c>
      <c r="C3075" s="109" t="s">
        <v>19671</v>
      </c>
      <c r="D3075" s="109" t="s">
        <v>5569</v>
      </c>
      <c r="E3075" s="109" t="s">
        <v>5558</v>
      </c>
      <c r="F3075" s="109" t="s">
        <v>2258</v>
      </c>
      <c r="G3075" s="110" t="s">
        <v>6248</v>
      </c>
      <c r="H3075" s="110" t="s">
        <v>20155</v>
      </c>
      <c r="I3075" s="110" t="s">
        <v>20156</v>
      </c>
    </row>
    <row r="3076" spans="1:9" ht="25.2" x14ac:dyDescent="0.3">
      <c r="A3076" s="109" t="s">
        <v>20157</v>
      </c>
      <c r="B3076" s="109" t="s">
        <v>19671</v>
      </c>
      <c r="C3076" s="109" t="s">
        <v>19671</v>
      </c>
      <c r="D3076" s="109" t="s">
        <v>5569</v>
      </c>
      <c r="E3076" s="109" t="s">
        <v>5558</v>
      </c>
      <c r="F3076" s="109" t="s">
        <v>2258</v>
      </c>
      <c r="G3076" s="110" t="s">
        <v>6248</v>
      </c>
      <c r="H3076" s="110" t="s">
        <v>20158</v>
      </c>
      <c r="I3076" s="110" t="s">
        <v>20159</v>
      </c>
    </row>
    <row r="3077" spans="1:9" ht="25.2" x14ac:dyDescent="0.3">
      <c r="A3077" s="109" t="s">
        <v>20160</v>
      </c>
      <c r="B3077" s="109" t="s">
        <v>19671</v>
      </c>
      <c r="C3077" s="109" t="s">
        <v>19671</v>
      </c>
      <c r="D3077" s="109" t="s">
        <v>5569</v>
      </c>
      <c r="E3077" s="109" t="s">
        <v>5558</v>
      </c>
      <c r="F3077" s="109" t="s">
        <v>2258</v>
      </c>
      <c r="G3077" s="110" t="s">
        <v>6248</v>
      </c>
      <c r="H3077" s="110" t="s">
        <v>20161</v>
      </c>
      <c r="I3077" s="110" t="s">
        <v>20162</v>
      </c>
    </row>
    <row r="3078" spans="1:9" ht="25.2" x14ac:dyDescent="0.3">
      <c r="A3078" s="109" t="s">
        <v>20163</v>
      </c>
      <c r="B3078" s="109" t="s">
        <v>19671</v>
      </c>
      <c r="C3078" s="109" t="s">
        <v>19671</v>
      </c>
      <c r="D3078" s="109" t="s">
        <v>20164</v>
      </c>
      <c r="E3078" s="109" t="s">
        <v>5558</v>
      </c>
      <c r="F3078" s="109" t="s">
        <v>20165</v>
      </c>
      <c r="G3078" s="110" t="s">
        <v>6248</v>
      </c>
      <c r="H3078" s="110" t="s">
        <v>20166</v>
      </c>
      <c r="I3078" s="110" t="s">
        <v>20167</v>
      </c>
    </row>
    <row r="3079" spans="1:9" ht="25.2" x14ac:dyDescent="0.3">
      <c r="A3079" s="109" t="s">
        <v>20168</v>
      </c>
      <c r="B3079" s="109" t="s">
        <v>19671</v>
      </c>
      <c r="C3079" s="109" t="s">
        <v>19671</v>
      </c>
      <c r="D3079" s="109" t="s">
        <v>5569</v>
      </c>
      <c r="E3079" s="109" t="s">
        <v>5558</v>
      </c>
      <c r="F3079" s="109" t="s">
        <v>2258</v>
      </c>
      <c r="G3079" s="110" t="s">
        <v>6248</v>
      </c>
      <c r="H3079" s="110" t="s">
        <v>20169</v>
      </c>
      <c r="I3079" s="110" t="s">
        <v>20170</v>
      </c>
    </row>
    <row r="3080" spans="1:9" ht="25.2" x14ac:dyDescent="0.3">
      <c r="A3080" s="109" t="s">
        <v>20171</v>
      </c>
      <c r="B3080" s="109" t="s">
        <v>19671</v>
      </c>
      <c r="C3080" s="109" t="s">
        <v>19671</v>
      </c>
      <c r="D3080" s="109" t="s">
        <v>20172</v>
      </c>
      <c r="E3080" s="109" t="s">
        <v>20173</v>
      </c>
      <c r="F3080" s="109" t="s">
        <v>20174</v>
      </c>
      <c r="G3080" s="110" t="s">
        <v>6248</v>
      </c>
      <c r="H3080" s="110" t="s">
        <v>20175</v>
      </c>
      <c r="I3080" s="110" t="s">
        <v>20176</v>
      </c>
    </row>
    <row r="3081" spans="1:9" ht="25.2" x14ac:dyDescent="0.3">
      <c r="A3081" s="109" t="s">
        <v>20177</v>
      </c>
      <c r="B3081" s="109" t="s">
        <v>19671</v>
      </c>
      <c r="C3081" s="109" t="s">
        <v>19671</v>
      </c>
      <c r="D3081" s="109" t="s">
        <v>2626</v>
      </c>
      <c r="E3081" s="109" t="s">
        <v>20178</v>
      </c>
      <c r="F3081" s="109" t="s">
        <v>14422</v>
      </c>
      <c r="G3081" s="110" t="s">
        <v>6248</v>
      </c>
      <c r="H3081" s="110" t="s">
        <v>20179</v>
      </c>
      <c r="I3081" s="110" t="s">
        <v>20180</v>
      </c>
    </row>
    <row r="3082" spans="1:9" ht="25.2" x14ac:dyDescent="0.3">
      <c r="A3082" s="109" t="s">
        <v>20181</v>
      </c>
      <c r="B3082" s="109" t="s">
        <v>19671</v>
      </c>
      <c r="C3082" s="109" t="s">
        <v>19671</v>
      </c>
      <c r="D3082" s="109" t="s">
        <v>5569</v>
      </c>
      <c r="E3082" s="109" t="s">
        <v>5558</v>
      </c>
      <c r="F3082" s="109" t="s">
        <v>2258</v>
      </c>
      <c r="G3082" s="110" t="s">
        <v>6248</v>
      </c>
      <c r="H3082" s="110" t="s">
        <v>20182</v>
      </c>
      <c r="I3082" s="110" t="s">
        <v>20183</v>
      </c>
    </row>
    <row r="3083" spans="1:9" ht="25.2" x14ac:dyDescent="0.3">
      <c r="A3083" s="109" t="s">
        <v>20184</v>
      </c>
      <c r="B3083" s="109" t="s">
        <v>19671</v>
      </c>
      <c r="C3083" s="109" t="s">
        <v>19671</v>
      </c>
      <c r="D3083" s="109" t="s">
        <v>20185</v>
      </c>
      <c r="E3083" s="109" t="s">
        <v>5558</v>
      </c>
      <c r="F3083" s="109" t="s">
        <v>20186</v>
      </c>
      <c r="G3083" s="110" t="s">
        <v>6248</v>
      </c>
      <c r="H3083" s="110" t="s">
        <v>8191</v>
      </c>
      <c r="I3083" s="110" t="s">
        <v>20187</v>
      </c>
    </row>
    <row r="3084" spans="1:9" ht="63" x14ac:dyDescent="0.3">
      <c r="A3084" s="109" t="s">
        <v>20188</v>
      </c>
      <c r="B3084" s="109" t="s">
        <v>19671</v>
      </c>
      <c r="C3084" s="109" t="s">
        <v>19671</v>
      </c>
      <c r="D3084" s="109" t="s">
        <v>12374</v>
      </c>
      <c r="E3084" s="109" t="s">
        <v>12374</v>
      </c>
      <c r="F3084" s="109" t="s">
        <v>20189</v>
      </c>
      <c r="G3084" s="110" t="s">
        <v>6248</v>
      </c>
      <c r="H3084" s="110" t="s">
        <v>20190</v>
      </c>
      <c r="I3084" s="110" t="s">
        <v>20191</v>
      </c>
    </row>
    <row r="3085" spans="1:9" ht="75.599999999999994" x14ac:dyDescent="0.3">
      <c r="A3085" s="109" t="s">
        <v>20192</v>
      </c>
      <c r="B3085" s="109" t="s">
        <v>19671</v>
      </c>
      <c r="C3085" s="109" t="s">
        <v>19671</v>
      </c>
      <c r="D3085" s="109" t="s">
        <v>20193</v>
      </c>
      <c r="E3085" s="109" t="s">
        <v>20193</v>
      </c>
      <c r="F3085" s="109" t="s">
        <v>20194</v>
      </c>
      <c r="G3085" s="110" t="s">
        <v>6248</v>
      </c>
      <c r="H3085" s="110" t="s">
        <v>6689</v>
      </c>
      <c r="I3085" s="110" t="s">
        <v>20195</v>
      </c>
    </row>
    <row r="3086" spans="1:9" ht="75.599999999999994" x14ac:dyDescent="0.3">
      <c r="A3086" s="109" t="s">
        <v>20196</v>
      </c>
      <c r="B3086" s="109" t="s">
        <v>19671</v>
      </c>
      <c r="C3086" s="109" t="s">
        <v>19671</v>
      </c>
      <c r="D3086" s="109" t="s">
        <v>20197</v>
      </c>
      <c r="E3086" s="109" t="s">
        <v>20197</v>
      </c>
      <c r="F3086" s="109" t="s">
        <v>20198</v>
      </c>
      <c r="G3086" s="110" t="s">
        <v>6248</v>
      </c>
      <c r="H3086" s="110" t="s">
        <v>20199</v>
      </c>
      <c r="I3086" s="110" t="s">
        <v>20200</v>
      </c>
    </row>
    <row r="3087" spans="1:9" ht="25.2" x14ac:dyDescent="0.3">
      <c r="A3087" s="109" t="s">
        <v>20201</v>
      </c>
      <c r="B3087" s="109" t="s">
        <v>19671</v>
      </c>
      <c r="C3087" s="109" t="s">
        <v>19671</v>
      </c>
      <c r="D3087" s="109" t="s">
        <v>2758</v>
      </c>
      <c r="E3087" s="109" t="s">
        <v>5932</v>
      </c>
      <c r="F3087" s="109" t="s">
        <v>7263</v>
      </c>
      <c r="G3087" s="110" t="s">
        <v>6248</v>
      </c>
      <c r="H3087" s="110" t="s">
        <v>20202</v>
      </c>
      <c r="I3087" s="110" t="s">
        <v>20203</v>
      </c>
    </row>
    <row r="3088" spans="1:9" ht="37.799999999999997" x14ac:dyDescent="0.3">
      <c r="A3088" s="109" t="s">
        <v>20204</v>
      </c>
      <c r="B3088" s="109" t="s">
        <v>19671</v>
      </c>
      <c r="C3088" s="109" t="s">
        <v>19671</v>
      </c>
      <c r="D3088" s="109" t="s">
        <v>20205</v>
      </c>
      <c r="E3088" s="109" t="s">
        <v>5558</v>
      </c>
      <c r="F3088" s="109" t="s">
        <v>20206</v>
      </c>
      <c r="G3088" s="110" t="s">
        <v>6248</v>
      </c>
      <c r="H3088" s="110" t="s">
        <v>20207</v>
      </c>
      <c r="I3088" s="110" t="s">
        <v>20208</v>
      </c>
    </row>
    <row r="3089" spans="1:9" ht="25.2" x14ac:dyDescent="0.3">
      <c r="A3089" s="109" t="s">
        <v>20209</v>
      </c>
      <c r="B3089" s="109" t="s">
        <v>19671</v>
      </c>
      <c r="C3089" s="109" t="s">
        <v>19671</v>
      </c>
      <c r="D3089" s="109" t="s">
        <v>5569</v>
      </c>
      <c r="E3089" s="109" t="s">
        <v>5558</v>
      </c>
      <c r="F3089" s="109" t="s">
        <v>2258</v>
      </c>
      <c r="G3089" s="110" t="s">
        <v>6248</v>
      </c>
      <c r="H3089" s="110" t="s">
        <v>20210</v>
      </c>
      <c r="I3089" s="110" t="s">
        <v>20211</v>
      </c>
    </row>
    <row r="3090" spans="1:9" ht="25.2" x14ac:dyDescent="0.3">
      <c r="A3090" s="109" t="s">
        <v>20212</v>
      </c>
      <c r="B3090" s="109" t="s">
        <v>19671</v>
      </c>
      <c r="C3090" s="109" t="s">
        <v>19671</v>
      </c>
      <c r="D3090" s="109" t="s">
        <v>20213</v>
      </c>
      <c r="E3090" s="109" t="s">
        <v>5558</v>
      </c>
      <c r="F3090" s="109" t="s">
        <v>20214</v>
      </c>
      <c r="G3090" s="110" t="s">
        <v>6248</v>
      </c>
      <c r="H3090" s="110" t="s">
        <v>6310</v>
      </c>
      <c r="I3090" s="110" t="s">
        <v>20215</v>
      </c>
    </row>
    <row r="3091" spans="1:9" ht="37.799999999999997" x14ac:dyDescent="0.3">
      <c r="A3091" s="109" t="s">
        <v>20216</v>
      </c>
      <c r="B3091" s="109" t="s">
        <v>19671</v>
      </c>
      <c r="C3091" s="109" t="s">
        <v>19671</v>
      </c>
      <c r="D3091" s="109" t="s">
        <v>20217</v>
      </c>
      <c r="E3091" s="109" t="s">
        <v>5558</v>
      </c>
      <c r="F3091" s="109" t="s">
        <v>20218</v>
      </c>
      <c r="G3091" s="110" t="s">
        <v>6248</v>
      </c>
      <c r="H3091" s="110" t="s">
        <v>10621</v>
      </c>
      <c r="I3091" s="110" t="s">
        <v>20219</v>
      </c>
    </row>
    <row r="3092" spans="1:9" ht="37.799999999999997" x14ac:dyDescent="0.3">
      <c r="A3092" s="109" t="s">
        <v>20220</v>
      </c>
      <c r="B3092" s="109" t="s">
        <v>19671</v>
      </c>
      <c r="C3092" s="109" t="s">
        <v>19671</v>
      </c>
      <c r="D3092" s="109" t="s">
        <v>20221</v>
      </c>
      <c r="E3092" s="109" t="s">
        <v>5558</v>
      </c>
      <c r="F3092" s="109" t="s">
        <v>20222</v>
      </c>
      <c r="G3092" s="110" t="s">
        <v>6248</v>
      </c>
      <c r="H3092" s="110" t="s">
        <v>20223</v>
      </c>
      <c r="I3092" s="110" t="s">
        <v>20224</v>
      </c>
    </row>
    <row r="3093" spans="1:9" ht="50.4" x14ac:dyDescent="0.3">
      <c r="A3093" s="109" t="s">
        <v>20225</v>
      </c>
      <c r="B3093" s="109" t="s">
        <v>19671</v>
      </c>
      <c r="C3093" s="109" t="s">
        <v>19671</v>
      </c>
      <c r="D3093" s="109" t="s">
        <v>20226</v>
      </c>
      <c r="E3093" s="109" t="s">
        <v>20226</v>
      </c>
      <c r="F3093" s="109" t="s">
        <v>20227</v>
      </c>
      <c r="G3093" s="110" t="s">
        <v>6248</v>
      </c>
      <c r="H3093" s="110" t="s">
        <v>20228</v>
      </c>
      <c r="I3093" s="110" t="s">
        <v>20229</v>
      </c>
    </row>
    <row r="3094" spans="1:9" ht="50.4" x14ac:dyDescent="0.3">
      <c r="A3094" s="109" t="s">
        <v>20230</v>
      </c>
      <c r="B3094" s="109" t="s">
        <v>19671</v>
      </c>
      <c r="C3094" s="109" t="s">
        <v>19671</v>
      </c>
      <c r="D3094" s="109" t="s">
        <v>20231</v>
      </c>
      <c r="E3094" s="109" t="s">
        <v>20231</v>
      </c>
      <c r="F3094" s="109" t="s">
        <v>20232</v>
      </c>
      <c r="G3094" s="110" t="s">
        <v>6248</v>
      </c>
      <c r="H3094" s="110" t="s">
        <v>20233</v>
      </c>
      <c r="I3094" s="110" t="s">
        <v>20234</v>
      </c>
    </row>
    <row r="3095" spans="1:9" ht="25.2" x14ac:dyDescent="0.3">
      <c r="A3095" s="109" t="s">
        <v>20235</v>
      </c>
      <c r="B3095" s="109" t="s">
        <v>19671</v>
      </c>
      <c r="C3095" s="109" t="s">
        <v>19671</v>
      </c>
      <c r="D3095" s="109" t="s">
        <v>20236</v>
      </c>
      <c r="E3095" s="109" t="s">
        <v>12355</v>
      </c>
      <c r="F3095" s="109" t="s">
        <v>20237</v>
      </c>
      <c r="G3095" s="110" t="s">
        <v>6248</v>
      </c>
      <c r="H3095" s="110" t="s">
        <v>20238</v>
      </c>
      <c r="I3095" s="110" t="s">
        <v>20239</v>
      </c>
    </row>
    <row r="3096" spans="1:9" ht="50.4" x14ac:dyDescent="0.3">
      <c r="A3096" s="109" t="s">
        <v>20240</v>
      </c>
      <c r="B3096" s="109" t="s">
        <v>19671</v>
      </c>
      <c r="C3096" s="109" t="s">
        <v>19671</v>
      </c>
      <c r="D3096" s="109" t="s">
        <v>20241</v>
      </c>
      <c r="E3096" s="109" t="s">
        <v>20241</v>
      </c>
      <c r="F3096" s="109" t="s">
        <v>20242</v>
      </c>
      <c r="G3096" s="110" t="s">
        <v>6248</v>
      </c>
      <c r="H3096" s="110" t="s">
        <v>20243</v>
      </c>
      <c r="I3096" s="110" t="s">
        <v>20244</v>
      </c>
    </row>
    <row r="3097" spans="1:9" ht="25.2" x14ac:dyDescent="0.3">
      <c r="A3097" s="109" t="s">
        <v>20245</v>
      </c>
      <c r="B3097" s="109" t="s">
        <v>19671</v>
      </c>
      <c r="C3097" s="109" t="s">
        <v>19671</v>
      </c>
      <c r="D3097" s="109" t="s">
        <v>20246</v>
      </c>
      <c r="E3097" s="109" t="s">
        <v>11135</v>
      </c>
      <c r="F3097" s="109" t="s">
        <v>20247</v>
      </c>
      <c r="G3097" s="110" t="s">
        <v>6248</v>
      </c>
      <c r="H3097" s="110" t="s">
        <v>20248</v>
      </c>
      <c r="I3097" s="110" t="s">
        <v>20249</v>
      </c>
    </row>
    <row r="3098" spans="1:9" ht="50.4" x14ac:dyDescent="0.3">
      <c r="A3098" s="109" t="s">
        <v>20250</v>
      </c>
      <c r="B3098" s="109" t="s">
        <v>19671</v>
      </c>
      <c r="C3098" s="109" t="s">
        <v>19671</v>
      </c>
      <c r="D3098" s="109" t="s">
        <v>19530</v>
      </c>
      <c r="E3098" s="109" t="s">
        <v>19530</v>
      </c>
      <c r="F3098" s="109" t="s">
        <v>20251</v>
      </c>
      <c r="G3098" s="110" t="s">
        <v>6248</v>
      </c>
      <c r="H3098" s="110" t="s">
        <v>10993</v>
      </c>
      <c r="I3098" s="110" t="s">
        <v>20252</v>
      </c>
    </row>
    <row r="3099" spans="1:9" ht="50.4" x14ac:dyDescent="0.3">
      <c r="A3099" s="109" t="s">
        <v>20253</v>
      </c>
      <c r="B3099" s="109" t="s">
        <v>19671</v>
      </c>
      <c r="C3099" s="109" t="s">
        <v>19671</v>
      </c>
      <c r="D3099" s="109" t="s">
        <v>20254</v>
      </c>
      <c r="E3099" s="109" t="s">
        <v>20254</v>
      </c>
      <c r="F3099" s="109" t="s">
        <v>20255</v>
      </c>
      <c r="G3099" s="110" t="s">
        <v>6248</v>
      </c>
      <c r="H3099" s="110" t="s">
        <v>20256</v>
      </c>
      <c r="I3099" s="110" t="s">
        <v>20257</v>
      </c>
    </row>
    <row r="3100" spans="1:9" ht="50.4" x14ac:dyDescent="0.3">
      <c r="A3100" s="109" t="s">
        <v>20258</v>
      </c>
      <c r="B3100" s="109" t="s">
        <v>19671</v>
      </c>
      <c r="C3100" s="109" t="s">
        <v>19671</v>
      </c>
      <c r="D3100" s="109" t="s">
        <v>20259</v>
      </c>
      <c r="E3100" s="109" t="s">
        <v>20259</v>
      </c>
      <c r="F3100" s="109" t="s">
        <v>20260</v>
      </c>
      <c r="G3100" s="110" t="s">
        <v>6248</v>
      </c>
      <c r="H3100" s="110" t="s">
        <v>9261</v>
      </c>
      <c r="I3100" s="110" t="s">
        <v>20261</v>
      </c>
    </row>
    <row r="3101" spans="1:9" ht="50.4" x14ac:dyDescent="0.3">
      <c r="A3101" s="109" t="s">
        <v>20262</v>
      </c>
      <c r="B3101" s="109" t="s">
        <v>19671</v>
      </c>
      <c r="C3101" s="109" t="s">
        <v>19671</v>
      </c>
      <c r="D3101" s="109" t="s">
        <v>20263</v>
      </c>
      <c r="E3101" s="109" t="s">
        <v>20263</v>
      </c>
      <c r="F3101" s="109" t="s">
        <v>20264</v>
      </c>
      <c r="G3101" s="110" t="s">
        <v>6248</v>
      </c>
      <c r="H3101" s="110" t="s">
        <v>20265</v>
      </c>
      <c r="I3101" s="110" t="s">
        <v>20266</v>
      </c>
    </row>
    <row r="3102" spans="1:9" ht="25.2" x14ac:dyDescent="0.3">
      <c r="A3102" s="109" t="s">
        <v>20267</v>
      </c>
      <c r="B3102" s="109" t="s">
        <v>19671</v>
      </c>
      <c r="C3102" s="109" t="s">
        <v>19671</v>
      </c>
      <c r="D3102" s="109" t="s">
        <v>2937</v>
      </c>
      <c r="E3102" s="109" t="s">
        <v>5558</v>
      </c>
      <c r="F3102" s="109" t="s">
        <v>20268</v>
      </c>
      <c r="G3102" s="110" t="s">
        <v>6248</v>
      </c>
      <c r="H3102" s="110" t="s">
        <v>20269</v>
      </c>
      <c r="I3102" s="110" t="s">
        <v>20270</v>
      </c>
    </row>
    <row r="3103" spans="1:9" ht="50.4" x14ac:dyDescent="0.3">
      <c r="A3103" s="109" t="s">
        <v>20271</v>
      </c>
      <c r="B3103" s="109" t="s">
        <v>19671</v>
      </c>
      <c r="C3103" s="109" t="s">
        <v>19671</v>
      </c>
      <c r="D3103" s="109" t="s">
        <v>13659</v>
      </c>
      <c r="E3103" s="109" t="s">
        <v>13659</v>
      </c>
      <c r="F3103" s="109" t="s">
        <v>20272</v>
      </c>
      <c r="G3103" s="110" t="s">
        <v>6248</v>
      </c>
      <c r="H3103" s="110" t="s">
        <v>20273</v>
      </c>
      <c r="I3103" s="110" t="s">
        <v>20274</v>
      </c>
    </row>
    <row r="3104" spans="1:9" ht="50.4" x14ac:dyDescent="0.3">
      <c r="A3104" s="109" t="s">
        <v>20275</v>
      </c>
      <c r="B3104" s="109" t="s">
        <v>19671</v>
      </c>
      <c r="C3104" s="109" t="s">
        <v>19671</v>
      </c>
      <c r="D3104" s="109" t="s">
        <v>20276</v>
      </c>
      <c r="E3104" s="109" t="s">
        <v>20276</v>
      </c>
      <c r="F3104" s="109" t="s">
        <v>20277</v>
      </c>
      <c r="G3104" s="110" t="s">
        <v>6248</v>
      </c>
      <c r="H3104" s="110" t="s">
        <v>12123</v>
      </c>
      <c r="I3104" s="110" t="s">
        <v>20278</v>
      </c>
    </row>
    <row r="3105" spans="1:9" ht="25.2" x14ac:dyDescent="0.3">
      <c r="A3105" s="109" t="s">
        <v>20279</v>
      </c>
      <c r="B3105" s="109" t="s">
        <v>19671</v>
      </c>
      <c r="C3105" s="109" t="s">
        <v>19671</v>
      </c>
      <c r="D3105" s="109" t="s">
        <v>20280</v>
      </c>
      <c r="E3105" s="109" t="s">
        <v>5558</v>
      </c>
      <c r="F3105" s="109" t="s">
        <v>20281</v>
      </c>
      <c r="G3105" s="110" t="s">
        <v>6248</v>
      </c>
      <c r="H3105" s="110" t="s">
        <v>20282</v>
      </c>
      <c r="I3105" s="110" t="s">
        <v>20283</v>
      </c>
    </row>
    <row r="3106" spans="1:9" ht="25.2" x14ac:dyDescent="0.3">
      <c r="A3106" s="109" t="s">
        <v>20284</v>
      </c>
      <c r="B3106" s="109" t="s">
        <v>19671</v>
      </c>
      <c r="C3106" s="109" t="s">
        <v>19671</v>
      </c>
      <c r="D3106" s="109" t="s">
        <v>20285</v>
      </c>
      <c r="E3106" s="109" t="s">
        <v>12355</v>
      </c>
      <c r="F3106" s="109" t="s">
        <v>20286</v>
      </c>
      <c r="G3106" s="110" t="s">
        <v>6248</v>
      </c>
      <c r="H3106" s="110" t="s">
        <v>20287</v>
      </c>
      <c r="I3106" s="110" t="s">
        <v>20288</v>
      </c>
    </row>
    <row r="3107" spans="1:9" ht="25.2" x14ac:dyDescent="0.3">
      <c r="A3107" s="109" t="s">
        <v>20289</v>
      </c>
      <c r="B3107" s="109" t="s">
        <v>19671</v>
      </c>
      <c r="C3107" s="109" t="s">
        <v>19671</v>
      </c>
      <c r="D3107" s="109" t="s">
        <v>2734</v>
      </c>
      <c r="E3107" s="109" t="s">
        <v>5558</v>
      </c>
      <c r="F3107" s="109" t="s">
        <v>20290</v>
      </c>
      <c r="G3107" s="110" t="s">
        <v>6248</v>
      </c>
      <c r="H3107" s="110" t="s">
        <v>20291</v>
      </c>
      <c r="I3107" s="110" t="s">
        <v>20292</v>
      </c>
    </row>
    <row r="3108" spans="1:9" ht="50.4" x14ac:dyDescent="0.3">
      <c r="A3108" s="109" t="s">
        <v>20293</v>
      </c>
      <c r="B3108" s="109" t="s">
        <v>19671</v>
      </c>
      <c r="C3108" s="109" t="s">
        <v>19671</v>
      </c>
      <c r="D3108" s="109" t="s">
        <v>20294</v>
      </c>
      <c r="E3108" s="109" t="s">
        <v>20294</v>
      </c>
      <c r="F3108" s="109" t="s">
        <v>20295</v>
      </c>
      <c r="G3108" s="110" t="s">
        <v>6248</v>
      </c>
      <c r="H3108" s="110" t="s">
        <v>6689</v>
      </c>
      <c r="I3108" s="110" t="s">
        <v>20296</v>
      </c>
    </row>
    <row r="3109" spans="1:9" ht="37.799999999999997" x14ac:dyDescent="0.3">
      <c r="A3109" s="109" t="s">
        <v>20297</v>
      </c>
      <c r="B3109" s="109" t="s">
        <v>19671</v>
      </c>
      <c r="C3109" s="109" t="s">
        <v>19671</v>
      </c>
      <c r="D3109" s="109" t="s">
        <v>20298</v>
      </c>
      <c r="E3109" s="109" t="s">
        <v>5558</v>
      </c>
      <c r="F3109" s="109" t="s">
        <v>20299</v>
      </c>
      <c r="G3109" s="110" t="s">
        <v>6248</v>
      </c>
      <c r="H3109" s="110" t="s">
        <v>20300</v>
      </c>
      <c r="I3109" s="110" t="s">
        <v>20301</v>
      </c>
    </row>
    <row r="3110" spans="1:9" ht="50.4" x14ac:dyDescent="0.3">
      <c r="A3110" s="109" t="s">
        <v>20302</v>
      </c>
      <c r="B3110" s="109" t="s">
        <v>19671</v>
      </c>
      <c r="C3110" s="109" t="s">
        <v>19671</v>
      </c>
      <c r="D3110" s="109" t="s">
        <v>20303</v>
      </c>
      <c r="E3110" s="109" t="s">
        <v>20303</v>
      </c>
      <c r="F3110" s="109" t="s">
        <v>20304</v>
      </c>
      <c r="G3110" s="110" t="s">
        <v>6248</v>
      </c>
      <c r="H3110" s="110" t="s">
        <v>20305</v>
      </c>
      <c r="I3110" s="110" t="s">
        <v>20306</v>
      </c>
    </row>
    <row r="3111" spans="1:9" ht="63" x14ac:dyDescent="0.3">
      <c r="A3111" s="109" t="s">
        <v>20307</v>
      </c>
      <c r="B3111" s="109" t="s">
        <v>19671</v>
      </c>
      <c r="C3111" s="109" t="s">
        <v>19671</v>
      </c>
      <c r="D3111" s="109" t="s">
        <v>6023</v>
      </c>
      <c r="E3111" s="109" t="s">
        <v>6023</v>
      </c>
      <c r="F3111" s="109" t="s">
        <v>20308</v>
      </c>
      <c r="G3111" s="110" t="s">
        <v>6248</v>
      </c>
      <c r="H3111" s="110" t="s">
        <v>7817</v>
      </c>
      <c r="I3111" s="110" t="s">
        <v>20309</v>
      </c>
    </row>
    <row r="3112" spans="1:9" ht="50.4" x14ac:dyDescent="0.3">
      <c r="A3112" s="109" t="s">
        <v>20310</v>
      </c>
      <c r="B3112" s="109" t="s">
        <v>19671</v>
      </c>
      <c r="C3112" s="109" t="s">
        <v>19671</v>
      </c>
      <c r="D3112" s="109" t="s">
        <v>20311</v>
      </c>
      <c r="E3112" s="109" t="s">
        <v>20311</v>
      </c>
      <c r="F3112" s="109" t="s">
        <v>20312</v>
      </c>
      <c r="G3112" s="110" t="s">
        <v>6248</v>
      </c>
      <c r="H3112" s="110" t="s">
        <v>20313</v>
      </c>
      <c r="I3112" s="110" t="s">
        <v>20314</v>
      </c>
    </row>
    <row r="3113" spans="1:9" ht="50.4" x14ac:dyDescent="0.3">
      <c r="A3113" s="109" t="s">
        <v>20315</v>
      </c>
      <c r="B3113" s="109" t="s">
        <v>19671</v>
      </c>
      <c r="C3113" s="109" t="s">
        <v>19671</v>
      </c>
      <c r="D3113" s="109" t="s">
        <v>20316</v>
      </c>
      <c r="E3113" s="109" t="s">
        <v>20316</v>
      </c>
      <c r="F3113" s="109" t="s">
        <v>20317</v>
      </c>
      <c r="G3113" s="110" t="s">
        <v>6248</v>
      </c>
      <c r="H3113" s="110" t="s">
        <v>6346</v>
      </c>
      <c r="I3113" s="110" t="s">
        <v>20318</v>
      </c>
    </row>
    <row r="3114" spans="1:9" ht="50.4" x14ac:dyDescent="0.3">
      <c r="A3114" s="109" t="s">
        <v>20319</v>
      </c>
      <c r="B3114" s="109" t="s">
        <v>19671</v>
      </c>
      <c r="C3114" s="109" t="s">
        <v>19671</v>
      </c>
      <c r="D3114" s="109" t="s">
        <v>20320</v>
      </c>
      <c r="E3114" s="109" t="s">
        <v>20320</v>
      </c>
      <c r="F3114" s="109" t="s">
        <v>20321</v>
      </c>
      <c r="G3114" s="110" t="s">
        <v>6248</v>
      </c>
      <c r="H3114" s="110" t="s">
        <v>20322</v>
      </c>
      <c r="I3114" s="110" t="s">
        <v>20323</v>
      </c>
    </row>
    <row r="3115" spans="1:9" ht="37.799999999999997" x14ac:dyDescent="0.3">
      <c r="A3115" s="109" t="s">
        <v>20324</v>
      </c>
      <c r="B3115" s="109" t="s">
        <v>19671</v>
      </c>
      <c r="C3115" s="109" t="s">
        <v>19671</v>
      </c>
      <c r="D3115" s="109" t="s">
        <v>20325</v>
      </c>
      <c r="E3115" s="109" t="s">
        <v>14240</v>
      </c>
      <c r="F3115" s="109" t="s">
        <v>20326</v>
      </c>
      <c r="G3115" s="110" t="s">
        <v>6248</v>
      </c>
      <c r="H3115" s="110" t="s">
        <v>20327</v>
      </c>
      <c r="I3115" s="110" t="s">
        <v>20328</v>
      </c>
    </row>
    <row r="3116" spans="1:9" ht="37.799999999999997" x14ac:dyDescent="0.3">
      <c r="A3116" s="109" t="s">
        <v>20329</v>
      </c>
      <c r="B3116" s="109" t="s">
        <v>19671</v>
      </c>
      <c r="C3116" s="109" t="s">
        <v>19671</v>
      </c>
      <c r="D3116" s="109" t="s">
        <v>20330</v>
      </c>
      <c r="E3116" s="109" t="s">
        <v>20331</v>
      </c>
      <c r="F3116" s="109" t="s">
        <v>20332</v>
      </c>
      <c r="G3116" s="110" t="s">
        <v>6248</v>
      </c>
      <c r="H3116" s="110" t="s">
        <v>20333</v>
      </c>
      <c r="I3116" s="110" t="s">
        <v>20334</v>
      </c>
    </row>
    <row r="3117" spans="1:9" ht="25.2" x14ac:dyDescent="0.3">
      <c r="A3117" s="109" t="s">
        <v>20335</v>
      </c>
      <c r="B3117" s="109" t="s">
        <v>19671</v>
      </c>
      <c r="C3117" s="109" t="s">
        <v>19671</v>
      </c>
      <c r="D3117" s="109" t="s">
        <v>20336</v>
      </c>
      <c r="E3117" s="109" t="s">
        <v>5558</v>
      </c>
      <c r="F3117" s="109" t="s">
        <v>20337</v>
      </c>
      <c r="G3117" s="110" t="s">
        <v>6248</v>
      </c>
      <c r="H3117" s="110" t="s">
        <v>19424</v>
      </c>
      <c r="I3117" s="110" t="s">
        <v>20338</v>
      </c>
    </row>
    <row r="3118" spans="1:9" ht="37.799999999999997" x14ac:dyDescent="0.3">
      <c r="A3118" s="109" t="s">
        <v>20339</v>
      </c>
      <c r="B3118" s="109" t="s">
        <v>19671</v>
      </c>
      <c r="C3118" s="109" t="s">
        <v>19671</v>
      </c>
      <c r="D3118" s="109" t="s">
        <v>20340</v>
      </c>
      <c r="E3118" s="109" t="s">
        <v>20340</v>
      </c>
      <c r="F3118" s="109" t="s">
        <v>20341</v>
      </c>
      <c r="G3118" s="110" t="s">
        <v>6248</v>
      </c>
      <c r="H3118" s="110" t="s">
        <v>20342</v>
      </c>
      <c r="I3118" s="110" t="s">
        <v>20343</v>
      </c>
    </row>
    <row r="3119" spans="1:9" ht="37.799999999999997" x14ac:dyDescent="0.3">
      <c r="A3119" s="109" t="s">
        <v>20344</v>
      </c>
      <c r="B3119" s="109" t="s">
        <v>19671</v>
      </c>
      <c r="C3119" s="109" t="s">
        <v>19671</v>
      </c>
      <c r="D3119" s="109" t="s">
        <v>20345</v>
      </c>
      <c r="E3119" s="109" t="s">
        <v>20346</v>
      </c>
      <c r="F3119" s="109" t="s">
        <v>20347</v>
      </c>
      <c r="G3119" s="110" t="s">
        <v>6248</v>
      </c>
      <c r="H3119" s="110" t="s">
        <v>20348</v>
      </c>
      <c r="I3119" s="110" t="s">
        <v>20349</v>
      </c>
    </row>
    <row r="3120" spans="1:9" ht="50.4" x14ac:dyDescent="0.3">
      <c r="A3120" s="109" t="s">
        <v>20350</v>
      </c>
      <c r="B3120" s="109" t="s">
        <v>19671</v>
      </c>
      <c r="C3120" s="109" t="s">
        <v>19671</v>
      </c>
      <c r="D3120" s="109" t="s">
        <v>20351</v>
      </c>
      <c r="E3120" s="109" t="s">
        <v>20351</v>
      </c>
      <c r="F3120" s="109" t="s">
        <v>20352</v>
      </c>
      <c r="G3120" s="110" t="s">
        <v>6248</v>
      </c>
      <c r="H3120" s="110" t="s">
        <v>20353</v>
      </c>
      <c r="I3120" s="110" t="s">
        <v>20354</v>
      </c>
    </row>
    <row r="3121" spans="1:9" ht="50.4" x14ac:dyDescent="0.3">
      <c r="A3121" s="109" t="s">
        <v>20355</v>
      </c>
      <c r="B3121" s="109" t="s">
        <v>19671</v>
      </c>
      <c r="C3121" s="109" t="s">
        <v>19671</v>
      </c>
      <c r="D3121" s="109" t="s">
        <v>20356</v>
      </c>
      <c r="E3121" s="109" t="s">
        <v>20356</v>
      </c>
      <c r="F3121" s="109" t="s">
        <v>20357</v>
      </c>
      <c r="G3121" s="110" t="s">
        <v>6248</v>
      </c>
      <c r="H3121" s="110" t="s">
        <v>20358</v>
      </c>
      <c r="I3121" s="110" t="s">
        <v>20359</v>
      </c>
    </row>
    <row r="3122" spans="1:9" ht="37.799999999999997" x14ac:dyDescent="0.3">
      <c r="A3122" s="109" t="s">
        <v>20360</v>
      </c>
      <c r="B3122" s="109" t="s">
        <v>19671</v>
      </c>
      <c r="C3122" s="109" t="s">
        <v>19671</v>
      </c>
      <c r="D3122" s="109" t="s">
        <v>20361</v>
      </c>
      <c r="E3122" s="109" t="s">
        <v>20346</v>
      </c>
      <c r="F3122" s="109" t="s">
        <v>20362</v>
      </c>
      <c r="G3122" s="110" t="s">
        <v>6248</v>
      </c>
      <c r="H3122" s="110" t="s">
        <v>20363</v>
      </c>
      <c r="I3122" s="110" t="s">
        <v>20364</v>
      </c>
    </row>
    <row r="3123" spans="1:9" ht="50.4" x14ac:dyDescent="0.3">
      <c r="A3123" s="109" t="s">
        <v>20365</v>
      </c>
      <c r="B3123" s="109" t="s">
        <v>19671</v>
      </c>
      <c r="C3123" s="109" t="s">
        <v>19671</v>
      </c>
      <c r="D3123" s="109" t="s">
        <v>20366</v>
      </c>
      <c r="E3123" s="109" t="s">
        <v>20366</v>
      </c>
      <c r="F3123" s="109" t="s">
        <v>20367</v>
      </c>
      <c r="G3123" s="110" t="s">
        <v>6248</v>
      </c>
      <c r="H3123" s="110" t="s">
        <v>20368</v>
      </c>
      <c r="I3123" s="110" t="s">
        <v>20369</v>
      </c>
    </row>
    <row r="3124" spans="1:9" ht="37.799999999999997" x14ac:dyDescent="0.3">
      <c r="A3124" s="109" t="s">
        <v>20370</v>
      </c>
      <c r="B3124" s="109" t="s">
        <v>19671</v>
      </c>
      <c r="C3124" s="109" t="s">
        <v>19671</v>
      </c>
      <c r="D3124" s="109" t="s">
        <v>20371</v>
      </c>
      <c r="E3124" s="109" t="s">
        <v>5558</v>
      </c>
      <c r="F3124" s="109" t="s">
        <v>20372</v>
      </c>
      <c r="G3124" s="110" t="s">
        <v>6248</v>
      </c>
      <c r="H3124" s="110" t="s">
        <v>6660</v>
      </c>
      <c r="I3124" s="110" t="s">
        <v>20373</v>
      </c>
    </row>
    <row r="3125" spans="1:9" ht="50.4" x14ac:dyDescent="0.3">
      <c r="A3125" s="109" t="s">
        <v>20374</v>
      </c>
      <c r="B3125" s="109" t="s">
        <v>19671</v>
      </c>
      <c r="C3125" s="109" t="s">
        <v>19671</v>
      </c>
      <c r="D3125" s="109" t="s">
        <v>8478</v>
      </c>
      <c r="E3125" s="109" t="s">
        <v>8478</v>
      </c>
      <c r="F3125" s="109" t="s">
        <v>20375</v>
      </c>
      <c r="G3125" s="110" t="s">
        <v>6248</v>
      </c>
      <c r="H3125" s="110" t="s">
        <v>20376</v>
      </c>
      <c r="I3125" s="110" t="s">
        <v>20377</v>
      </c>
    </row>
    <row r="3126" spans="1:9" ht="25.2" x14ac:dyDescent="0.3">
      <c r="A3126" s="109" t="s">
        <v>20378</v>
      </c>
      <c r="B3126" s="109" t="s">
        <v>19671</v>
      </c>
      <c r="C3126" s="109" t="s">
        <v>19671</v>
      </c>
      <c r="D3126" s="109" t="s">
        <v>20379</v>
      </c>
      <c r="E3126" s="109" t="s">
        <v>20380</v>
      </c>
      <c r="F3126" s="109" t="s">
        <v>7181</v>
      </c>
      <c r="G3126" s="110" t="s">
        <v>20091</v>
      </c>
      <c r="H3126" s="110" t="s">
        <v>6248</v>
      </c>
      <c r="I3126" s="110" t="s">
        <v>20381</v>
      </c>
    </row>
    <row r="3127" spans="1:9" ht="25.2" x14ac:dyDescent="0.3">
      <c r="A3127" s="109" t="s">
        <v>20382</v>
      </c>
      <c r="B3127" s="109" t="s">
        <v>19671</v>
      </c>
      <c r="C3127" s="109" t="s">
        <v>19671</v>
      </c>
      <c r="D3127" s="109" t="s">
        <v>2733</v>
      </c>
      <c r="E3127" s="109" t="s">
        <v>5558</v>
      </c>
      <c r="F3127" s="109" t="s">
        <v>20383</v>
      </c>
      <c r="G3127" s="110" t="s">
        <v>6248</v>
      </c>
      <c r="H3127" s="110" t="s">
        <v>11384</v>
      </c>
      <c r="I3127" s="110" t="s">
        <v>20384</v>
      </c>
    </row>
    <row r="3128" spans="1:9" ht="25.2" x14ac:dyDescent="0.3">
      <c r="A3128" s="109" t="s">
        <v>20385</v>
      </c>
      <c r="B3128" s="109" t="s">
        <v>19671</v>
      </c>
      <c r="C3128" s="109" t="s">
        <v>19671</v>
      </c>
      <c r="D3128" s="109" t="s">
        <v>20386</v>
      </c>
      <c r="E3128" s="109" t="s">
        <v>5558</v>
      </c>
      <c r="F3128" s="109" t="s">
        <v>20387</v>
      </c>
      <c r="G3128" s="110" t="s">
        <v>6248</v>
      </c>
      <c r="H3128" s="110" t="s">
        <v>12485</v>
      </c>
      <c r="I3128" s="110" t="s">
        <v>20388</v>
      </c>
    </row>
    <row r="3129" spans="1:9" ht="37.799999999999997" x14ac:dyDescent="0.3">
      <c r="A3129" s="109" t="s">
        <v>20389</v>
      </c>
      <c r="B3129" s="109" t="s">
        <v>19671</v>
      </c>
      <c r="C3129" s="109" t="s">
        <v>19671</v>
      </c>
      <c r="D3129" s="109" t="s">
        <v>20390</v>
      </c>
      <c r="E3129" s="109" t="s">
        <v>5558</v>
      </c>
      <c r="F3129" s="109" t="s">
        <v>20391</v>
      </c>
      <c r="G3129" s="110" t="s">
        <v>6248</v>
      </c>
      <c r="H3129" s="110" t="s">
        <v>7208</v>
      </c>
      <c r="I3129" s="110" t="s">
        <v>20392</v>
      </c>
    </row>
    <row r="3130" spans="1:9" ht="25.2" x14ac:dyDescent="0.3">
      <c r="A3130" s="109" t="s">
        <v>20393</v>
      </c>
      <c r="B3130" s="109" t="s">
        <v>19671</v>
      </c>
      <c r="C3130" s="109" t="s">
        <v>19671</v>
      </c>
      <c r="D3130" s="109" t="s">
        <v>20394</v>
      </c>
      <c r="E3130" s="109" t="s">
        <v>5558</v>
      </c>
      <c r="F3130" s="109" t="s">
        <v>20395</v>
      </c>
      <c r="G3130" s="110" t="s">
        <v>6248</v>
      </c>
      <c r="H3130" s="110" t="s">
        <v>7624</v>
      </c>
      <c r="I3130" s="110" t="s">
        <v>20396</v>
      </c>
    </row>
    <row r="3131" spans="1:9" ht="25.2" x14ac:dyDescent="0.3">
      <c r="A3131" s="109" t="s">
        <v>20397</v>
      </c>
      <c r="B3131" s="109" t="s">
        <v>19671</v>
      </c>
      <c r="C3131" s="109" t="s">
        <v>19671</v>
      </c>
      <c r="D3131" s="109" t="s">
        <v>20398</v>
      </c>
      <c r="E3131" s="109" t="s">
        <v>20399</v>
      </c>
      <c r="F3131" s="109" t="s">
        <v>6033</v>
      </c>
      <c r="G3131" s="110" t="s">
        <v>6248</v>
      </c>
      <c r="H3131" s="110" t="s">
        <v>20400</v>
      </c>
      <c r="I3131" s="110" t="s">
        <v>20401</v>
      </c>
    </row>
    <row r="3132" spans="1:9" ht="37.799999999999997" x14ac:dyDescent="0.3">
      <c r="A3132" s="109" t="s">
        <v>20402</v>
      </c>
      <c r="B3132" s="109" t="s">
        <v>20403</v>
      </c>
      <c r="C3132" s="109" t="s">
        <v>20403</v>
      </c>
      <c r="D3132" s="109" t="s">
        <v>3945</v>
      </c>
      <c r="E3132" s="109" t="s">
        <v>5558</v>
      </c>
      <c r="F3132" s="109" t="s">
        <v>20404</v>
      </c>
      <c r="G3132" s="110" t="s">
        <v>6248</v>
      </c>
      <c r="H3132" s="110" t="s">
        <v>20405</v>
      </c>
      <c r="I3132" s="110" t="s">
        <v>20406</v>
      </c>
    </row>
    <row r="3133" spans="1:9" ht="37.799999999999997" x14ac:dyDescent="0.3">
      <c r="A3133" s="109" t="s">
        <v>20407</v>
      </c>
      <c r="B3133" s="109" t="s">
        <v>20403</v>
      </c>
      <c r="C3133" s="109" t="s">
        <v>20403</v>
      </c>
      <c r="D3133" s="109" t="s">
        <v>20408</v>
      </c>
      <c r="E3133" s="109" t="s">
        <v>5558</v>
      </c>
      <c r="F3133" s="109" t="s">
        <v>20409</v>
      </c>
      <c r="G3133" s="110" t="s">
        <v>6248</v>
      </c>
      <c r="H3133" s="110" t="s">
        <v>20410</v>
      </c>
      <c r="I3133" s="110" t="s">
        <v>20411</v>
      </c>
    </row>
    <row r="3134" spans="1:9" ht="25.2" x14ac:dyDescent="0.3">
      <c r="A3134" s="109" t="s">
        <v>20412</v>
      </c>
      <c r="B3134" s="109" t="s">
        <v>20403</v>
      </c>
      <c r="C3134" s="109" t="s">
        <v>20403</v>
      </c>
      <c r="D3134" s="109" t="s">
        <v>20413</v>
      </c>
      <c r="E3134" s="109" t="s">
        <v>20414</v>
      </c>
      <c r="F3134" s="109" t="s">
        <v>6768</v>
      </c>
      <c r="G3134" s="110" t="s">
        <v>6248</v>
      </c>
      <c r="H3134" s="110" t="s">
        <v>20415</v>
      </c>
      <c r="I3134" s="110" t="s">
        <v>20416</v>
      </c>
    </row>
    <row r="3135" spans="1:9" ht="25.2" x14ac:dyDescent="0.3">
      <c r="A3135" s="109" t="s">
        <v>20417</v>
      </c>
      <c r="B3135" s="109" t="s">
        <v>20403</v>
      </c>
      <c r="C3135" s="109" t="s">
        <v>20403</v>
      </c>
      <c r="D3135" s="109" t="s">
        <v>20418</v>
      </c>
      <c r="E3135" s="109" t="s">
        <v>20419</v>
      </c>
      <c r="F3135" s="109" t="s">
        <v>6768</v>
      </c>
      <c r="G3135" s="110" t="s">
        <v>6248</v>
      </c>
      <c r="H3135" s="110" t="s">
        <v>20420</v>
      </c>
      <c r="I3135" s="110" t="s">
        <v>20421</v>
      </c>
    </row>
    <row r="3136" spans="1:9" ht="37.799999999999997" x14ac:dyDescent="0.3">
      <c r="A3136" s="109" t="s">
        <v>20422</v>
      </c>
      <c r="B3136" s="109" t="s">
        <v>20403</v>
      </c>
      <c r="C3136" s="109" t="s">
        <v>20403</v>
      </c>
      <c r="D3136" s="109" t="s">
        <v>20423</v>
      </c>
      <c r="E3136" s="109" t="s">
        <v>5558</v>
      </c>
      <c r="F3136" s="109" t="s">
        <v>20424</v>
      </c>
      <c r="G3136" s="110" t="s">
        <v>6248</v>
      </c>
      <c r="H3136" s="110" t="s">
        <v>20425</v>
      </c>
      <c r="I3136" s="110" t="s">
        <v>20426</v>
      </c>
    </row>
    <row r="3137" spans="1:9" ht="37.799999999999997" x14ac:dyDescent="0.3">
      <c r="A3137" s="109" t="s">
        <v>20427</v>
      </c>
      <c r="B3137" s="109" t="s">
        <v>20403</v>
      </c>
      <c r="C3137" s="109" t="s">
        <v>20403</v>
      </c>
      <c r="D3137" s="109" t="s">
        <v>20428</v>
      </c>
      <c r="E3137" s="109" t="s">
        <v>5558</v>
      </c>
      <c r="F3137" s="109" t="s">
        <v>20429</v>
      </c>
      <c r="G3137" s="110" t="s">
        <v>6248</v>
      </c>
      <c r="H3137" s="110" t="s">
        <v>20430</v>
      </c>
      <c r="I3137" s="110" t="s">
        <v>20431</v>
      </c>
    </row>
    <row r="3138" spans="1:9" ht="37.799999999999997" x14ac:dyDescent="0.3">
      <c r="A3138" s="109" t="s">
        <v>20432</v>
      </c>
      <c r="B3138" s="109" t="s">
        <v>20403</v>
      </c>
      <c r="C3138" s="109" t="s">
        <v>20403</v>
      </c>
      <c r="D3138" s="109" t="s">
        <v>20433</v>
      </c>
      <c r="E3138" s="109" t="s">
        <v>5558</v>
      </c>
      <c r="F3138" s="109" t="s">
        <v>20434</v>
      </c>
      <c r="G3138" s="110" t="s">
        <v>6248</v>
      </c>
      <c r="H3138" s="110" t="s">
        <v>20435</v>
      </c>
      <c r="I3138" s="110" t="s">
        <v>20436</v>
      </c>
    </row>
    <row r="3139" spans="1:9" ht="37.799999999999997" x14ac:dyDescent="0.3">
      <c r="A3139" s="109" t="s">
        <v>20437</v>
      </c>
      <c r="B3139" s="109" t="s">
        <v>20403</v>
      </c>
      <c r="C3139" s="109" t="s">
        <v>20403</v>
      </c>
      <c r="D3139" s="109" t="s">
        <v>20438</v>
      </c>
      <c r="E3139" s="109" t="s">
        <v>5558</v>
      </c>
      <c r="F3139" s="109" t="s">
        <v>20439</v>
      </c>
      <c r="G3139" s="110" t="s">
        <v>6248</v>
      </c>
      <c r="H3139" s="110" t="s">
        <v>20440</v>
      </c>
      <c r="I3139" s="110" t="s">
        <v>20441</v>
      </c>
    </row>
    <row r="3140" spans="1:9" ht="25.2" x14ac:dyDescent="0.3">
      <c r="A3140" s="109" t="s">
        <v>20442</v>
      </c>
      <c r="B3140" s="109" t="s">
        <v>20403</v>
      </c>
      <c r="C3140" s="109" t="s">
        <v>20403</v>
      </c>
      <c r="D3140" s="109" t="s">
        <v>20443</v>
      </c>
      <c r="E3140" s="109" t="s">
        <v>5558</v>
      </c>
      <c r="F3140" s="109" t="s">
        <v>20444</v>
      </c>
      <c r="G3140" s="110" t="s">
        <v>6248</v>
      </c>
      <c r="H3140" s="110" t="s">
        <v>12886</v>
      </c>
      <c r="I3140" s="110" t="s">
        <v>20445</v>
      </c>
    </row>
    <row r="3141" spans="1:9" ht="37.799999999999997" x14ac:dyDescent="0.3">
      <c r="A3141" s="109" t="s">
        <v>20446</v>
      </c>
      <c r="B3141" s="109" t="s">
        <v>20403</v>
      </c>
      <c r="C3141" s="109" t="s">
        <v>20403</v>
      </c>
      <c r="D3141" s="109" t="s">
        <v>20447</v>
      </c>
      <c r="E3141" s="109" t="s">
        <v>5558</v>
      </c>
      <c r="F3141" s="109" t="s">
        <v>20448</v>
      </c>
      <c r="G3141" s="110" t="s">
        <v>6248</v>
      </c>
      <c r="H3141" s="110" t="s">
        <v>6507</v>
      </c>
      <c r="I3141" s="110" t="s">
        <v>20449</v>
      </c>
    </row>
    <row r="3142" spans="1:9" ht="37.799999999999997" x14ac:dyDescent="0.3">
      <c r="A3142" s="109" t="s">
        <v>20450</v>
      </c>
      <c r="B3142" s="109" t="s">
        <v>20403</v>
      </c>
      <c r="C3142" s="109" t="s">
        <v>20403</v>
      </c>
      <c r="D3142" s="109" t="s">
        <v>20451</v>
      </c>
      <c r="E3142" s="109" t="s">
        <v>5558</v>
      </c>
      <c r="F3142" s="109" t="s">
        <v>20452</v>
      </c>
      <c r="G3142" s="110" t="s">
        <v>6248</v>
      </c>
      <c r="H3142" s="110" t="s">
        <v>8905</v>
      </c>
      <c r="I3142" s="110" t="s">
        <v>20453</v>
      </c>
    </row>
    <row r="3143" spans="1:9" ht="37.799999999999997" x14ac:dyDescent="0.3">
      <c r="A3143" s="109" t="s">
        <v>20454</v>
      </c>
      <c r="B3143" s="109" t="s">
        <v>20403</v>
      </c>
      <c r="C3143" s="109" t="s">
        <v>20403</v>
      </c>
      <c r="D3143" s="109" t="s">
        <v>20455</v>
      </c>
      <c r="E3143" s="109" t="s">
        <v>5558</v>
      </c>
      <c r="F3143" s="109" t="s">
        <v>20456</v>
      </c>
      <c r="G3143" s="110" t="s">
        <v>6248</v>
      </c>
      <c r="H3143" s="110" t="s">
        <v>7817</v>
      </c>
      <c r="I3143" s="110" t="s">
        <v>20457</v>
      </c>
    </row>
    <row r="3144" spans="1:9" ht="37.799999999999997" x14ac:dyDescent="0.3">
      <c r="A3144" s="109" t="s">
        <v>20458</v>
      </c>
      <c r="B3144" s="109" t="s">
        <v>20403</v>
      </c>
      <c r="C3144" s="109" t="s">
        <v>20403</v>
      </c>
      <c r="D3144" s="109" t="s">
        <v>20459</v>
      </c>
      <c r="E3144" s="109" t="s">
        <v>5558</v>
      </c>
      <c r="F3144" s="109" t="s">
        <v>20460</v>
      </c>
      <c r="G3144" s="110" t="s">
        <v>6248</v>
      </c>
      <c r="H3144" s="110" t="s">
        <v>6575</v>
      </c>
      <c r="I3144" s="110" t="s">
        <v>20461</v>
      </c>
    </row>
    <row r="3145" spans="1:9" ht="25.2" x14ac:dyDescent="0.3">
      <c r="A3145" s="109" t="s">
        <v>20462</v>
      </c>
      <c r="B3145" s="109" t="s">
        <v>20403</v>
      </c>
      <c r="C3145" s="109" t="s">
        <v>20403</v>
      </c>
      <c r="D3145" s="109" t="s">
        <v>20463</v>
      </c>
      <c r="E3145" s="109" t="s">
        <v>5558</v>
      </c>
      <c r="F3145" s="109" t="s">
        <v>20464</v>
      </c>
      <c r="G3145" s="110" t="s">
        <v>6248</v>
      </c>
      <c r="H3145" s="110" t="s">
        <v>6753</v>
      </c>
      <c r="I3145" s="110" t="s">
        <v>20465</v>
      </c>
    </row>
    <row r="3146" spans="1:9" ht="37.799999999999997" x14ac:dyDescent="0.3">
      <c r="A3146" s="109" t="s">
        <v>20466</v>
      </c>
      <c r="B3146" s="109" t="s">
        <v>20403</v>
      </c>
      <c r="C3146" s="109" t="s">
        <v>20403</v>
      </c>
      <c r="D3146" s="109" t="s">
        <v>20467</v>
      </c>
      <c r="E3146" s="109" t="s">
        <v>5558</v>
      </c>
      <c r="F3146" s="109" t="s">
        <v>20468</v>
      </c>
      <c r="G3146" s="110" t="s">
        <v>6248</v>
      </c>
      <c r="H3146" s="110" t="s">
        <v>7592</v>
      </c>
      <c r="I3146" s="110" t="s">
        <v>20469</v>
      </c>
    </row>
    <row r="3147" spans="1:9" ht="25.2" x14ac:dyDescent="0.3">
      <c r="A3147" s="109" t="s">
        <v>20470</v>
      </c>
      <c r="B3147" s="109" t="s">
        <v>20403</v>
      </c>
      <c r="C3147" s="109" t="s">
        <v>20403</v>
      </c>
      <c r="D3147" s="109" t="s">
        <v>20471</v>
      </c>
      <c r="E3147" s="109" t="s">
        <v>5558</v>
      </c>
      <c r="F3147" s="109" t="s">
        <v>20472</v>
      </c>
      <c r="G3147" s="110" t="s">
        <v>6248</v>
      </c>
      <c r="H3147" s="110" t="s">
        <v>6474</v>
      </c>
      <c r="I3147" s="110" t="s">
        <v>20473</v>
      </c>
    </row>
    <row r="3148" spans="1:9" ht="37.799999999999997" x14ac:dyDescent="0.3">
      <c r="A3148" s="109" t="s">
        <v>20474</v>
      </c>
      <c r="B3148" s="109" t="s">
        <v>20403</v>
      </c>
      <c r="C3148" s="109" t="s">
        <v>20403</v>
      </c>
      <c r="D3148" s="109" t="s">
        <v>20475</v>
      </c>
      <c r="E3148" s="109" t="s">
        <v>5558</v>
      </c>
      <c r="F3148" s="109" t="s">
        <v>20476</v>
      </c>
      <c r="G3148" s="110" t="s">
        <v>6248</v>
      </c>
      <c r="H3148" s="110" t="s">
        <v>8905</v>
      </c>
      <c r="I3148" s="110" t="s">
        <v>20477</v>
      </c>
    </row>
    <row r="3149" spans="1:9" ht="25.2" x14ac:dyDescent="0.3">
      <c r="A3149" s="109" t="s">
        <v>20478</v>
      </c>
      <c r="B3149" s="109" t="s">
        <v>20403</v>
      </c>
      <c r="C3149" s="109" t="s">
        <v>20403</v>
      </c>
      <c r="D3149" s="109" t="s">
        <v>20479</v>
      </c>
      <c r="E3149" s="109" t="s">
        <v>5558</v>
      </c>
      <c r="F3149" s="109" t="s">
        <v>20480</v>
      </c>
      <c r="G3149" s="110" t="s">
        <v>6248</v>
      </c>
      <c r="H3149" s="110" t="s">
        <v>6393</v>
      </c>
      <c r="I3149" s="110" t="s">
        <v>20481</v>
      </c>
    </row>
    <row r="3150" spans="1:9" ht="25.2" x14ac:dyDescent="0.3">
      <c r="A3150" s="109" t="s">
        <v>20482</v>
      </c>
      <c r="B3150" s="109" t="s">
        <v>20403</v>
      </c>
      <c r="C3150" s="109" t="s">
        <v>20403</v>
      </c>
      <c r="D3150" s="109" t="s">
        <v>20483</v>
      </c>
      <c r="E3150" s="109" t="s">
        <v>5558</v>
      </c>
      <c r="F3150" s="109" t="s">
        <v>20484</v>
      </c>
      <c r="G3150" s="110" t="s">
        <v>6248</v>
      </c>
      <c r="H3150" s="110" t="s">
        <v>7817</v>
      </c>
      <c r="I3150" s="110" t="s">
        <v>20485</v>
      </c>
    </row>
    <row r="3151" spans="1:9" ht="25.2" x14ac:dyDescent="0.3">
      <c r="A3151" s="109" t="s">
        <v>20486</v>
      </c>
      <c r="B3151" s="109" t="s">
        <v>20403</v>
      </c>
      <c r="C3151" s="109" t="s">
        <v>20403</v>
      </c>
      <c r="D3151" s="109" t="s">
        <v>20487</v>
      </c>
      <c r="E3151" s="109" t="s">
        <v>5558</v>
      </c>
      <c r="F3151" s="109" t="s">
        <v>20488</v>
      </c>
      <c r="G3151" s="110" t="s">
        <v>6248</v>
      </c>
      <c r="H3151" s="110" t="s">
        <v>20489</v>
      </c>
      <c r="I3151" s="110" t="s">
        <v>20490</v>
      </c>
    </row>
    <row r="3152" spans="1:9" ht="25.2" x14ac:dyDescent="0.3">
      <c r="A3152" s="109" t="s">
        <v>20491</v>
      </c>
      <c r="B3152" s="109" t="s">
        <v>20403</v>
      </c>
      <c r="C3152" s="109" t="s">
        <v>20403</v>
      </c>
      <c r="D3152" s="109" t="s">
        <v>20492</v>
      </c>
      <c r="E3152" s="109" t="s">
        <v>5558</v>
      </c>
      <c r="F3152" s="109" t="s">
        <v>20493</v>
      </c>
      <c r="G3152" s="110" t="s">
        <v>6248</v>
      </c>
      <c r="H3152" s="110" t="s">
        <v>7817</v>
      </c>
      <c r="I3152" s="110" t="s">
        <v>20494</v>
      </c>
    </row>
    <row r="3153" spans="1:9" ht="37.799999999999997" x14ac:dyDescent="0.3">
      <c r="A3153" s="109" t="s">
        <v>20495</v>
      </c>
      <c r="B3153" s="109" t="s">
        <v>20403</v>
      </c>
      <c r="C3153" s="109" t="s">
        <v>20403</v>
      </c>
      <c r="D3153" s="109" t="s">
        <v>20496</v>
      </c>
      <c r="E3153" s="109" t="s">
        <v>5558</v>
      </c>
      <c r="F3153" s="109" t="s">
        <v>20497</v>
      </c>
      <c r="G3153" s="110" t="s">
        <v>6248</v>
      </c>
      <c r="H3153" s="110" t="s">
        <v>6507</v>
      </c>
      <c r="I3153" s="110" t="s">
        <v>20498</v>
      </c>
    </row>
    <row r="3154" spans="1:9" ht="25.2" x14ac:dyDescent="0.3">
      <c r="A3154" s="109" t="s">
        <v>20499</v>
      </c>
      <c r="B3154" s="109" t="s">
        <v>20403</v>
      </c>
      <c r="C3154" s="109" t="s">
        <v>20403</v>
      </c>
      <c r="D3154" s="109" t="s">
        <v>20500</v>
      </c>
      <c r="E3154" s="109" t="s">
        <v>5558</v>
      </c>
      <c r="F3154" s="109" t="s">
        <v>20501</v>
      </c>
      <c r="G3154" s="110" t="s">
        <v>6248</v>
      </c>
      <c r="H3154" s="110" t="s">
        <v>20502</v>
      </c>
      <c r="I3154" s="110" t="s">
        <v>20503</v>
      </c>
    </row>
    <row r="3155" spans="1:9" ht="37.799999999999997" x14ac:dyDescent="0.3">
      <c r="A3155" s="109" t="s">
        <v>20504</v>
      </c>
      <c r="B3155" s="109" t="s">
        <v>20403</v>
      </c>
      <c r="C3155" s="109" t="s">
        <v>20403</v>
      </c>
      <c r="D3155" s="109" t="s">
        <v>20505</v>
      </c>
      <c r="E3155" s="109" t="s">
        <v>5558</v>
      </c>
      <c r="F3155" s="109" t="s">
        <v>20506</v>
      </c>
      <c r="G3155" s="110" t="s">
        <v>6248</v>
      </c>
      <c r="H3155" s="110" t="s">
        <v>7817</v>
      </c>
      <c r="I3155" s="110" t="s">
        <v>20507</v>
      </c>
    </row>
    <row r="3156" spans="1:9" ht="25.2" x14ac:dyDescent="0.3">
      <c r="A3156" s="109" t="s">
        <v>20508</v>
      </c>
      <c r="B3156" s="109" t="s">
        <v>20403</v>
      </c>
      <c r="C3156" s="109" t="s">
        <v>20403</v>
      </c>
      <c r="D3156" s="109" t="s">
        <v>20509</v>
      </c>
      <c r="E3156" s="109" t="s">
        <v>5558</v>
      </c>
      <c r="F3156" s="109" t="s">
        <v>20510</v>
      </c>
      <c r="G3156" s="110" t="s">
        <v>6248</v>
      </c>
      <c r="H3156" s="110" t="s">
        <v>7592</v>
      </c>
      <c r="I3156" s="110" t="s">
        <v>20511</v>
      </c>
    </row>
    <row r="3157" spans="1:9" ht="25.2" x14ac:dyDescent="0.3">
      <c r="A3157" s="109" t="s">
        <v>20512</v>
      </c>
      <c r="B3157" s="109" t="s">
        <v>20403</v>
      </c>
      <c r="C3157" s="109" t="s">
        <v>20403</v>
      </c>
      <c r="D3157" s="109" t="s">
        <v>20513</v>
      </c>
      <c r="E3157" s="109" t="s">
        <v>5558</v>
      </c>
      <c r="F3157" s="109" t="s">
        <v>20514</v>
      </c>
      <c r="G3157" s="110" t="s">
        <v>6248</v>
      </c>
      <c r="H3157" s="110" t="s">
        <v>7884</v>
      </c>
      <c r="I3157" s="110" t="s">
        <v>20515</v>
      </c>
    </row>
    <row r="3158" spans="1:9" ht="37.799999999999997" x14ac:dyDescent="0.3">
      <c r="A3158" s="109" t="s">
        <v>20516</v>
      </c>
      <c r="B3158" s="109" t="s">
        <v>20403</v>
      </c>
      <c r="C3158" s="109" t="s">
        <v>20403</v>
      </c>
      <c r="D3158" s="109" t="s">
        <v>20517</v>
      </c>
      <c r="E3158" s="109" t="s">
        <v>5558</v>
      </c>
      <c r="F3158" s="109" t="s">
        <v>20518</v>
      </c>
      <c r="G3158" s="110" t="s">
        <v>6248</v>
      </c>
      <c r="H3158" s="110" t="s">
        <v>6474</v>
      </c>
      <c r="I3158" s="110" t="s">
        <v>20519</v>
      </c>
    </row>
    <row r="3159" spans="1:9" ht="25.2" x14ac:dyDescent="0.3">
      <c r="A3159" s="109" t="s">
        <v>20520</v>
      </c>
      <c r="B3159" s="109" t="s">
        <v>20403</v>
      </c>
      <c r="C3159" s="109" t="s">
        <v>20403</v>
      </c>
      <c r="D3159" s="109" t="s">
        <v>20521</v>
      </c>
      <c r="E3159" s="109" t="s">
        <v>5558</v>
      </c>
      <c r="F3159" s="109" t="s">
        <v>20522</v>
      </c>
      <c r="G3159" s="110" t="s">
        <v>6248</v>
      </c>
      <c r="H3159" s="110" t="s">
        <v>8905</v>
      </c>
      <c r="I3159" s="110" t="s">
        <v>20523</v>
      </c>
    </row>
    <row r="3160" spans="1:9" ht="37.799999999999997" x14ac:dyDescent="0.3">
      <c r="A3160" s="109" t="s">
        <v>20524</v>
      </c>
      <c r="B3160" s="109" t="s">
        <v>20403</v>
      </c>
      <c r="C3160" s="109" t="s">
        <v>20403</v>
      </c>
      <c r="D3160" s="109" t="s">
        <v>20525</v>
      </c>
      <c r="E3160" s="109" t="s">
        <v>5558</v>
      </c>
      <c r="F3160" s="109" t="s">
        <v>20526</v>
      </c>
      <c r="G3160" s="110" t="s">
        <v>6248</v>
      </c>
      <c r="H3160" s="110" t="s">
        <v>12935</v>
      </c>
      <c r="I3160" s="110" t="s">
        <v>20527</v>
      </c>
    </row>
    <row r="3161" spans="1:9" ht="25.2" x14ac:dyDescent="0.3">
      <c r="A3161" s="109" t="s">
        <v>20528</v>
      </c>
      <c r="B3161" s="109" t="s">
        <v>20403</v>
      </c>
      <c r="C3161" s="109" t="s">
        <v>20403</v>
      </c>
      <c r="D3161" s="109" t="s">
        <v>20529</v>
      </c>
      <c r="E3161" s="109" t="s">
        <v>5558</v>
      </c>
      <c r="F3161" s="109" t="s">
        <v>20530</v>
      </c>
      <c r="G3161" s="110" t="s">
        <v>6248</v>
      </c>
      <c r="H3161" s="110" t="s">
        <v>6403</v>
      </c>
      <c r="I3161" s="110" t="s">
        <v>20531</v>
      </c>
    </row>
    <row r="3162" spans="1:9" ht="25.2" x14ac:dyDescent="0.3">
      <c r="A3162" s="109" t="s">
        <v>20532</v>
      </c>
      <c r="B3162" s="109" t="s">
        <v>20403</v>
      </c>
      <c r="C3162" s="109" t="s">
        <v>20403</v>
      </c>
      <c r="D3162" s="109" t="s">
        <v>20533</v>
      </c>
      <c r="E3162" s="109" t="s">
        <v>5558</v>
      </c>
      <c r="F3162" s="109" t="s">
        <v>20534</v>
      </c>
      <c r="G3162" s="110" t="s">
        <v>6248</v>
      </c>
      <c r="H3162" s="110" t="s">
        <v>7817</v>
      </c>
      <c r="I3162" s="110" t="s">
        <v>20535</v>
      </c>
    </row>
    <row r="3163" spans="1:9" ht="25.2" x14ac:dyDescent="0.3">
      <c r="A3163" s="109" t="s">
        <v>20536</v>
      </c>
      <c r="B3163" s="109" t="s">
        <v>20403</v>
      </c>
      <c r="C3163" s="109" t="s">
        <v>20403</v>
      </c>
      <c r="D3163" s="109" t="s">
        <v>20537</v>
      </c>
      <c r="E3163" s="109" t="s">
        <v>5558</v>
      </c>
      <c r="F3163" s="109" t="s">
        <v>20538</v>
      </c>
      <c r="G3163" s="110" t="s">
        <v>6248</v>
      </c>
      <c r="H3163" s="110" t="s">
        <v>8961</v>
      </c>
      <c r="I3163" s="110" t="s">
        <v>20539</v>
      </c>
    </row>
    <row r="3164" spans="1:9" ht="25.2" x14ac:dyDescent="0.3">
      <c r="A3164" s="109" t="s">
        <v>20540</v>
      </c>
      <c r="B3164" s="109" t="s">
        <v>20403</v>
      </c>
      <c r="C3164" s="109" t="s">
        <v>20403</v>
      </c>
      <c r="D3164" s="109" t="s">
        <v>20541</v>
      </c>
      <c r="E3164" s="109" t="s">
        <v>5558</v>
      </c>
      <c r="F3164" s="109" t="s">
        <v>20542</v>
      </c>
      <c r="G3164" s="110" t="s">
        <v>6248</v>
      </c>
      <c r="H3164" s="110" t="s">
        <v>6413</v>
      </c>
      <c r="I3164" s="110" t="s">
        <v>20543</v>
      </c>
    </row>
    <row r="3165" spans="1:9" ht="25.2" x14ac:dyDescent="0.3">
      <c r="A3165" s="109" t="s">
        <v>20544</v>
      </c>
      <c r="B3165" s="109" t="s">
        <v>20403</v>
      </c>
      <c r="C3165" s="109" t="s">
        <v>20403</v>
      </c>
      <c r="D3165" s="109" t="s">
        <v>20545</v>
      </c>
      <c r="E3165" s="109" t="s">
        <v>5558</v>
      </c>
      <c r="F3165" s="109" t="s">
        <v>20546</v>
      </c>
      <c r="G3165" s="110" t="s">
        <v>6248</v>
      </c>
      <c r="H3165" s="110" t="s">
        <v>6398</v>
      </c>
      <c r="I3165" s="110" t="s">
        <v>20547</v>
      </c>
    </row>
    <row r="3166" spans="1:9" ht="25.2" x14ac:dyDescent="0.3">
      <c r="A3166" s="109" t="s">
        <v>20548</v>
      </c>
      <c r="B3166" s="109" t="s">
        <v>20403</v>
      </c>
      <c r="C3166" s="109" t="s">
        <v>20403</v>
      </c>
      <c r="D3166" s="109" t="s">
        <v>20549</v>
      </c>
      <c r="E3166" s="109" t="s">
        <v>5558</v>
      </c>
      <c r="F3166" s="109" t="s">
        <v>20550</v>
      </c>
      <c r="G3166" s="110" t="s">
        <v>6248</v>
      </c>
      <c r="H3166" s="110" t="s">
        <v>6575</v>
      </c>
      <c r="I3166" s="110" t="s">
        <v>20551</v>
      </c>
    </row>
    <row r="3167" spans="1:9" ht="25.2" x14ac:dyDescent="0.3">
      <c r="A3167" s="109" t="s">
        <v>20552</v>
      </c>
      <c r="B3167" s="109" t="s">
        <v>20403</v>
      </c>
      <c r="C3167" s="109" t="s">
        <v>20403</v>
      </c>
      <c r="D3167" s="109" t="s">
        <v>20553</v>
      </c>
      <c r="E3167" s="109" t="s">
        <v>5558</v>
      </c>
      <c r="F3167" s="109" t="s">
        <v>20554</v>
      </c>
      <c r="G3167" s="110" t="s">
        <v>6248</v>
      </c>
      <c r="H3167" s="110" t="s">
        <v>6398</v>
      </c>
      <c r="I3167" s="110" t="s">
        <v>20555</v>
      </c>
    </row>
    <row r="3168" spans="1:9" ht="25.2" x14ac:dyDescent="0.3">
      <c r="A3168" s="109" t="s">
        <v>20556</v>
      </c>
      <c r="B3168" s="109" t="s">
        <v>20403</v>
      </c>
      <c r="C3168" s="109" t="s">
        <v>20403</v>
      </c>
      <c r="D3168" s="109" t="s">
        <v>20557</v>
      </c>
      <c r="E3168" s="109" t="s">
        <v>5558</v>
      </c>
      <c r="F3168" s="109" t="s">
        <v>20558</v>
      </c>
      <c r="G3168" s="110" t="s">
        <v>6248</v>
      </c>
      <c r="H3168" s="110" t="s">
        <v>9128</v>
      </c>
      <c r="I3168" s="110" t="s">
        <v>20559</v>
      </c>
    </row>
    <row r="3169" spans="1:9" ht="25.2" x14ac:dyDescent="0.3">
      <c r="A3169" s="109" t="s">
        <v>20560</v>
      </c>
      <c r="B3169" s="109" t="s">
        <v>20403</v>
      </c>
      <c r="C3169" s="109" t="s">
        <v>20403</v>
      </c>
      <c r="D3169" s="109" t="s">
        <v>20561</v>
      </c>
      <c r="E3169" s="109" t="s">
        <v>5558</v>
      </c>
      <c r="F3169" s="109" t="s">
        <v>20562</v>
      </c>
      <c r="G3169" s="110" t="s">
        <v>6248</v>
      </c>
      <c r="H3169" s="110" t="s">
        <v>7947</v>
      </c>
      <c r="I3169" s="110" t="s">
        <v>20563</v>
      </c>
    </row>
    <row r="3170" spans="1:9" ht="37.799999999999997" x14ac:dyDescent="0.3">
      <c r="A3170" s="109" t="s">
        <v>20564</v>
      </c>
      <c r="B3170" s="109" t="s">
        <v>20403</v>
      </c>
      <c r="C3170" s="109" t="s">
        <v>20403</v>
      </c>
      <c r="D3170" s="109" t="s">
        <v>20565</v>
      </c>
      <c r="E3170" s="109" t="s">
        <v>5558</v>
      </c>
      <c r="F3170" s="109" t="s">
        <v>20566</v>
      </c>
      <c r="G3170" s="110" t="s">
        <v>6248</v>
      </c>
      <c r="H3170" s="110" t="s">
        <v>6620</v>
      </c>
      <c r="I3170" s="110" t="s">
        <v>20567</v>
      </c>
    </row>
    <row r="3171" spans="1:9" ht="25.2" x14ac:dyDescent="0.3">
      <c r="A3171" s="109" t="s">
        <v>20568</v>
      </c>
      <c r="B3171" s="109" t="s">
        <v>20403</v>
      </c>
      <c r="C3171" s="109" t="s">
        <v>20403</v>
      </c>
      <c r="D3171" s="109" t="s">
        <v>20569</v>
      </c>
      <c r="E3171" s="109" t="s">
        <v>5558</v>
      </c>
      <c r="F3171" s="109" t="s">
        <v>20570</v>
      </c>
      <c r="G3171" s="110" t="s">
        <v>6248</v>
      </c>
      <c r="H3171" s="110" t="s">
        <v>20571</v>
      </c>
      <c r="I3171" s="110" t="s">
        <v>20572</v>
      </c>
    </row>
    <row r="3172" spans="1:9" ht="37.799999999999997" x14ac:dyDescent="0.3">
      <c r="A3172" s="109" t="s">
        <v>20573</v>
      </c>
      <c r="B3172" s="109" t="s">
        <v>20403</v>
      </c>
      <c r="C3172" s="109" t="s">
        <v>20403</v>
      </c>
      <c r="D3172" s="109" t="s">
        <v>20574</v>
      </c>
      <c r="E3172" s="109" t="s">
        <v>5558</v>
      </c>
      <c r="F3172" s="109" t="s">
        <v>20575</v>
      </c>
      <c r="G3172" s="110" t="s">
        <v>6248</v>
      </c>
      <c r="H3172" s="110" t="s">
        <v>6557</v>
      </c>
      <c r="I3172" s="110" t="s">
        <v>20576</v>
      </c>
    </row>
    <row r="3173" spans="1:9" ht="25.2" x14ac:dyDescent="0.3">
      <c r="A3173" s="109" t="s">
        <v>20577</v>
      </c>
      <c r="B3173" s="109" t="s">
        <v>20403</v>
      </c>
      <c r="C3173" s="109" t="s">
        <v>20403</v>
      </c>
      <c r="D3173" s="109" t="s">
        <v>20578</v>
      </c>
      <c r="E3173" s="109" t="s">
        <v>5558</v>
      </c>
      <c r="F3173" s="109" t="s">
        <v>20579</v>
      </c>
      <c r="G3173" s="110" t="s">
        <v>6248</v>
      </c>
      <c r="H3173" s="110" t="s">
        <v>7817</v>
      </c>
      <c r="I3173" s="110" t="s">
        <v>20580</v>
      </c>
    </row>
    <row r="3174" spans="1:9" ht="25.2" x14ac:dyDescent="0.3">
      <c r="A3174" s="109" t="s">
        <v>20581</v>
      </c>
      <c r="B3174" s="109" t="s">
        <v>20403</v>
      </c>
      <c r="C3174" s="109" t="s">
        <v>20403</v>
      </c>
      <c r="D3174" s="109" t="s">
        <v>20582</v>
      </c>
      <c r="E3174" s="109" t="s">
        <v>5558</v>
      </c>
      <c r="F3174" s="109" t="s">
        <v>20583</v>
      </c>
      <c r="G3174" s="110" t="s">
        <v>6248</v>
      </c>
      <c r="H3174" s="110" t="s">
        <v>20584</v>
      </c>
      <c r="I3174" s="110" t="s">
        <v>20585</v>
      </c>
    </row>
    <row r="3175" spans="1:9" ht="25.2" x14ac:dyDescent="0.3">
      <c r="A3175" s="109" t="s">
        <v>20586</v>
      </c>
      <c r="B3175" s="109" t="s">
        <v>20403</v>
      </c>
      <c r="C3175" s="109" t="s">
        <v>20403</v>
      </c>
      <c r="D3175" s="109" t="s">
        <v>2735</v>
      </c>
      <c r="E3175" s="109" t="s">
        <v>5558</v>
      </c>
      <c r="F3175" s="109" t="s">
        <v>20587</v>
      </c>
      <c r="G3175" s="110" t="s">
        <v>6248</v>
      </c>
      <c r="H3175" s="110" t="s">
        <v>20588</v>
      </c>
      <c r="I3175" s="110" t="s">
        <v>20589</v>
      </c>
    </row>
    <row r="3176" spans="1:9" ht="37.799999999999997" x14ac:dyDescent="0.3">
      <c r="A3176" s="109" t="s">
        <v>20590</v>
      </c>
      <c r="B3176" s="109" t="s">
        <v>20403</v>
      </c>
      <c r="C3176" s="109" t="s">
        <v>20403</v>
      </c>
      <c r="D3176" s="109" t="s">
        <v>20591</v>
      </c>
      <c r="E3176" s="109" t="s">
        <v>5558</v>
      </c>
      <c r="F3176" s="109" t="s">
        <v>20592</v>
      </c>
      <c r="G3176" s="110" t="s">
        <v>6248</v>
      </c>
      <c r="H3176" s="110" t="s">
        <v>20593</v>
      </c>
      <c r="I3176" s="110" t="s">
        <v>20594</v>
      </c>
    </row>
    <row r="3177" spans="1:9" ht="37.799999999999997" x14ac:dyDescent="0.3">
      <c r="A3177" s="109" t="s">
        <v>20595</v>
      </c>
      <c r="B3177" s="109" t="s">
        <v>20403</v>
      </c>
      <c r="C3177" s="109" t="s">
        <v>20403</v>
      </c>
      <c r="D3177" s="109" t="s">
        <v>20596</v>
      </c>
      <c r="E3177" s="109" t="s">
        <v>5558</v>
      </c>
      <c r="F3177" s="109" t="s">
        <v>20597</v>
      </c>
      <c r="G3177" s="110" t="s">
        <v>6248</v>
      </c>
      <c r="H3177" s="110" t="s">
        <v>20598</v>
      </c>
      <c r="I3177" s="110" t="s">
        <v>20599</v>
      </c>
    </row>
    <row r="3178" spans="1:9" ht="25.2" x14ac:dyDescent="0.3">
      <c r="A3178" s="109" t="s">
        <v>20600</v>
      </c>
      <c r="B3178" s="109" t="s">
        <v>20403</v>
      </c>
      <c r="C3178" s="109" t="s">
        <v>20403</v>
      </c>
      <c r="D3178" s="109" t="s">
        <v>2935</v>
      </c>
      <c r="E3178" s="109" t="s">
        <v>5558</v>
      </c>
      <c r="F3178" s="109" t="s">
        <v>20601</v>
      </c>
      <c r="G3178" s="110" t="s">
        <v>6248</v>
      </c>
      <c r="H3178" s="110" t="s">
        <v>20602</v>
      </c>
      <c r="I3178" s="110" t="s">
        <v>20603</v>
      </c>
    </row>
    <row r="3179" spans="1:9" ht="25.2" x14ac:dyDescent="0.3">
      <c r="A3179" s="109" t="s">
        <v>20604</v>
      </c>
      <c r="B3179" s="109" t="s">
        <v>20403</v>
      </c>
      <c r="C3179" s="109" t="s">
        <v>20403</v>
      </c>
      <c r="D3179" s="109" t="s">
        <v>2756</v>
      </c>
      <c r="E3179" s="109" t="s">
        <v>5558</v>
      </c>
      <c r="F3179" s="109" t="s">
        <v>20605</v>
      </c>
      <c r="G3179" s="110" t="s">
        <v>6248</v>
      </c>
      <c r="H3179" s="110" t="s">
        <v>6689</v>
      </c>
      <c r="I3179" s="110" t="s">
        <v>20606</v>
      </c>
    </row>
    <row r="3180" spans="1:9" ht="37.799999999999997" x14ac:dyDescent="0.3">
      <c r="A3180" s="109" t="s">
        <v>20607</v>
      </c>
      <c r="B3180" s="109" t="s">
        <v>20403</v>
      </c>
      <c r="C3180" s="109" t="s">
        <v>20403</v>
      </c>
      <c r="D3180" s="109" t="s">
        <v>20608</v>
      </c>
      <c r="E3180" s="109" t="s">
        <v>5558</v>
      </c>
      <c r="F3180" s="109" t="s">
        <v>20609</v>
      </c>
      <c r="G3180" s="110" t="s">
        <v>6248</v>
      </c>
      <c r="H3180" s="110" t="s">
        <v>20610</v>
      </c>
      <c r="I3180" s="110" t="s">
        <v>20611</v>
      </c>
    </row>
    <row r="3181" spans="1:9" ht="25.2" x14ac:dyDescent="0.3">
      <c r="A3181" s="109" t="s">
        <v>20612</v>
      </c>
      <c r="B3181" s="109" t="s">
        <v>20403</v>
      </c>
      <c r="C3181" s="109" t="s">
        <v>20403</v>
      </c>
      <c r="D3181" s="109" t="s">
        <v>20613</v>
      </c>
      <c r="E3181" s="109" t="s">
        <v>5558</v>
      </c>
      <c r="F3181" s="109" t="s">
        <v>20614</v>
      </c>
      <c r="G3181" s="110" t="s">
        <v>6248</v>
      </c>
      <c r="H3181" s="110" t="s">
        <v>6883</v>
      </c>
      <c r="I3181" s="110" t="s">
        <v>20615</v>
      </c>
    </row>
    <row r="3182" spans="1:9" ht="25.2" x14ac:dyDescent="0.3">
      <c r="A3182" s="109" t="s">
        <v>20616</v>
      </c>
      <c r="B3182" s="109" t="s">
        <v>20403</v>
      </c>
      <c r="C3182" s="109" t="s">
        <v>20403</v>
      </c>
      <c r="D3182" s="109" t="s">
        <v>2736</v>
      </c>
      <c r="E3182" s="109" t="s">
        <v>5558</v>
      </c>
      <c r="F3182" s="109" t="s">
        <v>20617</v>
      </c>
      <c r="G3182" s="110" t="s">
        <v>6248</v>
      </c>
      <c r="H3182" s="110" t="s">
        <v>6273</v>
      </c>
      <c r="I3182" s="110" t="s">
        <v>20618</v>
      </c>
    </row>
    <row r="3183" spans="1:9" ht="25.2" x14ac:dyDescent="0.3">
      <c r="A3183" s="109" t="s">
        <v>20619</v>
      </c>
      <c r="B3183" s="109" t="s">
        <v>20403</v>
      </c>
      <c r="C3183" s="109" t="s">
        <v>20403</v>
      </c>
      <c r="D3183" s="109" t="s">
        <v>20620</v>
      </c>
      <c r="E3183" s="109" t="s">
        <v>20621</v>
      </c>
      <c r="F3183" s="109" t="s">
        <v>6878</v>
      </c>
      <c r="G3183" s="110" t="s">
        <v>20622</v>
      </c>
      <c r="H3183" s="110" t="s">
        <v>6248</v>
      </c>
      <c r="I3183" s="110" t="s">
        <v>20623</v>
      </c>
    </row>
    <row r="3184" spans="1:9" ht="37.799999999999997" x14ac:dyDescent="0.3">
      <c r="A3184" s="109" t="s">
        <v>20624</v>
      </c>
      <c r="B3184" s="109" t="s">
        <v>20403</v>
      </c>
      <c r="C3184" s="109" t="s">
        <v>20403</v>
      </c>
      <c r="D3184" s="109" t="s">
        <v>20625</v>
      </c>
      <c r="E3184" s="109" t="s">
        <v>5558</v>
      </c>
      <c r="F3184" s="109" t="s">
        <v>20626</v>
      </c>
      <c r="G3184" s="110" t="s">
        <v>6248</v>
      </c>
      <c r="H3184" s="110" t="s">
        <v>20627</v>
      </c>
      <c r="I3184" s="110" t="s">
        <v>20628</v>
      </c>
    </row>
    <row r="3185" spans="1:9" ht="37.799999999999997" x14ac:dyDescent="0.3">
      <c r="A3185" s="109" t="s">
        <v>20629</v>
      </c>
      <c r="B3185" s="109" t="s">
        <v>20403</v>
      </c>
      <c r="C3185" s="109" t="s">
        <v>20403</v>
      </c>
      <c r="D3185" s="109" t="s">
        <v>20630</v>
      </c>
      <c r="E3185" s="109" t="s">
        <v>5558</v>
      </c>
      <c r="F3185" s="109" t="s">
        <v>20631</v>
      </c>
      <c r="G3185" s="110" t="s">
        <v>6248</v>
      </c>
      <c r="H3185" s="110" t="s">
        <v>20632</v>
      </c>
      <c r="I3185" s="110" t="s">
        <v>20633</v>
      </c>
    </row>
    <row r="3186" spans="1:9" ht="25.2" x14ac:dyDescent="0.3">
      <c r="A3186" s="109" t="s">
        <v>20634</v>
      </c>
      <c r="B3186" s="109" t="s">
        <v>20403</v>
      </c>
      <c r="C3186" s="109" t="s">
        <v>20403</v>
      </c>
      <c r="D3186" s="109" t="s">
        <v>20635</v>
      </c>
      <c r="E3186" s="109" t="s">
        <v>20636</v>
      </c>
      <c r="F3186" s="109" t="s">
        <v>9318</v>
      </c>
      <c r="G3186" s="110" t="s">
        <v>6248</v>
      </c>
      <c r="H3186" s="110" t="s">
        <v>20637</v>
      </c>
      <c r="I3186" s="110" t="s">
        <v>20638</v>
      </c>
    </row>
    <row r="3187" spans="1:9" ht="25.2" x14ac:dyDescent="0.3">
      <c r="A3187" s="109" t="s">
        <v>20639</v>
      </c>
      <c r="B3187" s="109" t="s">
        <v>20403</v>
      </c>
      <c r="C3187" s="109" t="s">
        <v>20403</v>
      </c>
      <c r="D3187" s="109" t="s">
        <v>20640</v>
      </c>
      <c r="E3187" s="109" t="s">
        <v>20641</v>
      </c>
      <c r="F3187" s="109" t="s">
        <v>7039</v>
      </c>
      <c r="G3187" s="110" t="s">
        <v>6248</v>
      </c>
      <c r="H3187" s="110" t="s">
        <v>20642</v>
      </c>
      <c r="I3187" s="110" t="s">
        <v>20643</v>
      </c>
    </row>
    <row r="3188" spans="1:9" ht="25.2" x14ac:dyDescent="0.3">
      <c r="A3188" s="109" t="s">
        <v>20644</v>
      </c>
      <c r="B3188" s="109" t="s">
        <v>20403</v>
      </c>
      <c r="C3188" s="109" t="s">
        <v>20403</v>
      </c>
      <c r="D3188" s="109" t="s">
        <v>20645</v>
      </c>
      <c r="E3188" s="109" t="s">
        <v>5558</v>
      </c>
      <c r="F3188" s="109" t="s">
        <v>20646</v>
      </c>
      <c r="G3188" s="110" t="s">
        <v>6248</v>
      </c>
      <c r="H3188" s="110" t="s">
        <v>20647</v>
      </c>
      <c r="I3188" s="110" t="s">
        <v>20648</v>
      </c>
    </row>
    <row r="3189" spans="1:9" ht="63" x14ac:dyDescent="0.3">
      <c r="A3189" s="109" t="s">
        <v>20649</v>
      </c>
      <c r="B3189" s="109" t="s">
        <v>20403</v>
      </c>
      <c r="C3189" s="109" t="s">
        <v>20403</v>
      </c>
      <c r="D3189" s="109" t="s">
        <v>7498</v>
      </c>
      <c r="E3189" s="109" t="s">
        <v>7498</v>
      </c>
      <c r="F3189" s="109" t="s">
        <v>20650</v>
      </c>
      <c r="G3189" s="110" t="s">
        <v>6248</v>
      </c>
      <c r="H3189" s="110" t="s">
        <v>7592</v>
      </c>
      <c r="I3189" s="110" t="s">
        <v>20651</v>
      </c>
    </row>
    <row r="3190" spans="1:9" ht="75.599999999999994" x14ac:dyDescent="0.3">
      <c r="A3190" s="109" t="s">
        <v>20652</v>
      </c>
      <c r="B3190" s="109" t="s">
        <v>20403</v>
      </c>
      <c r="C3190" s="109" t="s">
        <v>20403</v>
      </c>
      <c r="D3190" s="109" t="s">
        <v>20653</v>
      </c>
      <c r="E3190" s="109" t="s">
        <v>20653</v>
      </c>
      <c r="F3190" s="109" t="s">
        <v>20654</v>
      </c>
      <c r="G3190" s="110" t="s">
        <v>6248</v>
      </c>
      <c r="H3190" s="110" t="s">
        <v>20655</v>
      </c>
      <c r="I3190" s="110" t="s">
        <v>20656</v>
      </c>
    </row>
    <row r="3191" spans="1:9" ht="25.2" x14ac:dyDescent="0.3">
      <c r="A3191" s="109" t="s">
        <v>20657</v>
      </c>
      <c r="B3191" s="109" t="s">
        <v>20403</v>
      </c>
      <c r="C3191" s="109" t="s">
        <v>20403</v>
      </c>
      <c r="D3191" s="109" t="s">
        <v>5569</v>
      </c>
      <c r="E3191" s="109" t="s">
        <v>5558</v>
      </c>
      <c r="F3191" s="109" t="s">
        <v>2258</v>
      </c>
      <c r="G3191" s="110" t="s">
        <v>6248</v>
      </c>
      <c r="H3191" s="110" t="s">
        <v>20658</v>
      </c>
      <c r="I3191" s="110" t="s">
        <v>20659</v>
      </c>
    </row>
    <row r="3192" spans="1:9" ht="37.799999999999997" x14ac:dyDescent="0.3">
      <c r="A3192" s="109" t="s">
        <v>20660</v>
      </c>
      <c r="B3192" s="109" t="s">
        <v>20403</v>
      </c>
      <c r="C3192" s="109" t="s">
        <v>20403</v>
      </c>
      <c r="D3192" s="109" t="s">
        <v>20661</v>
      </c>
      <c r="E3192" s="109" t="s">
        <v>5558</v>
      </c>
      <c r="F3192" s="109" t="s">
        <v>20662</v>
      </c>
      <c r="G3192" s="110" t="s">
        <v>6248</v>
      </c>
      <c r="H3192" s="110" t="s">
        <v>20663</v>
      </c>
      <c r="I3192" s="110" t="s">
        <v>20664</v>
      </c>
    </row>
    <row r="3193" spans="1:9" ht="25.2" x14ac:dyDescent="0.3">
      <c r="A3193" s="109" t="s">
        <v>20665</v>
      </c>
      <c r="B3193" s="109" t="s">
        <v>20403</v>
      </c>
      <c r="C3193" s="109" t="s">
        <v>20403</v>
      </c>
      <c r="D3193" s="109" t="s">
        <v>20666</v>
      </c>
      <c r="E3193" s="109" t="s">
        <v>5558</v>
      </c>
      <c r="F3193" s="109" t="s">
        <v>20667</v>
      </c>
      <c r="G3193" s="110" t="s">
        <v>6248</v>
      </c>
      <c r="H3193" s="110" t="s">
        <v>20668</v>
      </c>
      <c r="I3193" s="110" t="s">
        <v>20669</v>
      </c>
    </row>
    <row r="3194" spans="1:9" ht="37.799999999999997" x14ac:dyDescent="0.3">
      <c r="A3194" s="109" t="s">
        <v>20670</v>
      </c>
      <c r="B3194" s="109" t="s">
        <v>20403</v>
      </c>
      <c r="C3194" s="109" t="s">
        <v>20403</v>
      </c>
      <c r="D3194" s="109" t="s">
        <v>20671</v>
      </c>
      <c r="E3194" s="109" t="s">
        <v>5558</v>
      </c>
      <c r="F3194" s="109" t="s">
        <v>20672</v>
      </c>
      <c r="G3194" s="110" t="s">
        <v>6248</v>
      </c>
      <c r="H3194" s="110" t="s">
        <v>20673</v>
      </c>
      <c r="I3194" s="110" t="s">
        <v>20674</v>
      </c>
    </row>
    <row r="3195" spans="1:9" ht="25.2" x14ac:dyDescent="0.3">
      <c r="A3195" s="109" t="s">
        <v>20675</v>
      </c>
      <c r="B3195" s="109" t="s">
        <v>20403</v>
      </c>
      <c r="C3195" s="109" t="s">
        <v>20403</v>
      </c>
      <c r="D3195" s="109" t="s">
        <v>2945</v>
      </c>
      <c r="E3195" s="109" t="s">
        <v>20676</v>
      </c>
      <c r="F3195" s="109" t="s">
        <v>15252</v>
      </c>
      <c r="G3195" s="110" t="s">
        <v>6248</v>
      </c>
      <c r="H3195" s="110" t="s">
        <v>20677</v>
      </c>
      <c r="I3195" s="110" t="s">
        <v>20678</v>
      </c>
    </row>
    <row r="3196" spans="1:9" ht="37.799999999999997" x14ac:dyDescent="0.3">
      <c r="A3196" s="109" t="s">
        <v>20679</v>
      </c>
      <c r="B3196" s="109" t="s">
        <v>20403</v>
      </c>
      <c r="C3196" s="109" t="s">
        <v>20403</v>
      </c>
      <c r="D3196" s="109" t="s">
        <v>2740</v>
      </c>
      <c r="E3196" s="109" t="s">
        <v>5558</v>
      </c>
      <c r="F3196" s="109" t="s">
        <v>20680</v>
      </c>
      <c r="G3196" s="110" t="s">
        <v>6248</v>
      </c>
      <c r="H3196" s="110" t="s">
        <v>20681</v>
      </c>
      <c r="I3196" s="110" t="s">
        <v>20682</v>
      </c>
    </row>
    <row r="3197" spans="1:9" ht="25.2" x14ac:dyDescent="0.3">
      <c r="A3197" s="109" t="s">
        <v>20683</v>
      </c>
      <c r="B3197" s="109" t="s">
        <v>20403</v>
      </c>
      <c r="C3197" s="109" t="s">
        <v>20403</v>
      </c>
      <c r="D3197" s="109" t="s">
        <v>20684</v>
      </c>
      <c r="E3197" s="109" t="s">
        <v>5558</v>
      </c>
      <c r="F3197" s="109" t="s">
        <v>20685</v>
      </c>
      <c r="G3197" s="110" t="s">
        <v>6248</v>
      </c>
      <c r="H3197" s="110" t="s">
        <v>20686</v>
      </c>
      <c r="I3197" s="110" t="s">
        <v>20687</v>
      </c>
    </row>
    <row r="3198" spans="1:9" ht="50.4" x14ac:dyDescent="0.3">
      <c r="A3198" s="109" t="s">
        <v>20688</v>
      </c>
      <c r="B3198" s="109" t="s">
        <v>20403</v>
      </c>
      <c r="C3198" s="109" t="s">
        <v>20403</v>
      </c>
      <c r="D3198" s="109" t="s">
        <v>20689</v>
      </c>
      <c r="E3198" s="109" t="s">
        <v>20689</v>
      </c>
      <c r="F3198" s="109" t="s">
        <v>20690</v>
      </c>
      <c r="G3198" s="110" t="s">
        <v>6248</v>
      </c>
      <c r="H3198" s="110" t="s">
        <v>20691</v>
      </c>
      <c r="I3198" s="110" t="s">
        <v>20692</v>
      </c>
    </row>
    <row r="3199" spans="1:9" ht="75.599999999999994" x14ac:dyDescent="0.3">
      <c r="A3199" s="109" t="s">
        <v>20693</v>
      </c>
      <c r="B3199" s="109" t="s">
        <v>20403</v>
      </c>
      <c r="C3199" s="109" t="s">
        <v>20403</v>
      </c>
      <c r="D3199" s="109" t="s">
        <v>8420</v>
      </c>
      <c r="E3199" s="109" t="s">
        <v>8420</v>
      </c>
      <c r="F3199" s="109" t="s">
        <v>20694</v>
      </c>
      <c r="G3199" s="110" t="s">
        <v>6248</v>
      </c>
      <c r="H3199" s="110" t="s">
        <v>20695</v>
      </c>
      <c r="I3199" s="110" t="s">
        <v>20696</v>
      </c>
    </row>
    <row r="3200" spans="1:9" ht="50.4" x14ac:dyDescent="0.3">
      <c r="A3200" s="109" t="s">
        <v>20697</v>
      </c>
      <c r="B3200" s="109" t="s">
        <v>20403</v>
      </c>
      <c r="C3200" s="109" t="s">
        <v>20403</v>
      </c>
      <c r="D3200" s="109" t="s">
        <v>20698</v>
      </c>
      <c r="E3200" s="109" t="s">
        <v>20698</v>
      </c>
      <c r="F3200" s="109" t="s">
        <v>20699</v>
      </c>
      <c r="G3200" s="110" t="s">
        <v>6248</v>
      </c>
      <c r="H3200" s="110" t="s">
        <v>20700</v>
      </c>
      <c r="I3200" s="110" t="s">
        <v>20701</v>
      </c>
    </row>
    <row r="3201" spans="1:9" ht="37.799999999999997" x14ac:dyDescent="0.3">
      <c r="A3201" s="109" t="s">
        <v>20702</v>
      </c>
      <c r="B3201" s="109" t="s">
        <v>20403</v>
      </c>
      <c r="C3201" s="109" t="s">
        <v>20403</v>
      </c>
      <c r="D3201" s="109" t="s">
        <v>20703</v>
      </c>
      <c r="E3201" s="109" t="s">
        <v>5558</v>
      </c>
      <c r="F3201" s="109" t="s">
        <v>20704</v>
      </c>
      <c r="G3201" s="110" t="s">
        <v>6248</v>
      </c>
      <c r="H3201" s="110" t="s">
        <v>20705</v>
      </c>
      <c r="I3201" s="110" t="s">
        <v>20706</v>
      </c>
    </row>
    <row r="3202" spans="1:9" ht="25.2" x14ac:dyDescent="0.3">
      <c r="A3202" s="109" t="s">
        <v>20707</v>
      </c>
      <c r="B3202" s="109" t="s">
        <v>20403</v>
      </c>
      <c r="C3202" s="109" t="s">
        <v>20403</v>
      </c>
      <c r="D3202" s="109" t="s">
        <v>20708</v>
      </c>
      <c r="E3202" s="109" t="s">
        <v>5558</v>
      </c>
      <c r="F3202" s="109" t="s">
        <v>20709</v>
      </c>
      <c r="G3202" s="110" t="s">
        <v>6248</v>
      </c>
      <c r="H3202" s="110" t="s">
        <v>20710</v>
      </c>
      <c r="I3202" s="110" t="s">
        <v>20711</v>
      </c>
    </row>
    <row r="3203" spans="1:9" ht="25.2" x14ac:dyDescent="0.3">
      <c r="A3203" s="109" t="s">
        <v>20712</v>
      </c>
      <c r="B3203" s="109" t="s">
        <v>20403</v>
      </c>
      <c r="C3203" s="109" t="s">
        <v>20403</v>
      </c>
      <c r="D3203" s="109" t="s">
        <v>5569</v>
      </c>
      <c r="E3203" s="109" t="s">
        <v>5558</v>
      </c>
      <c r="F3203" s="109" t="s">
        <v>2258</v>
      </c>
      <c r="G3203" s="110" t="s">
        <v>6248</v>
      </c>
      <c r="H3203" s="110" t="s">
        <v>13084</v>
      </c>
      <c r="I3203" s="110" t="s">
        <v>20713</v>
      </c>
    </row>
    <row r="3204" spans="1:9" ht="25.2" x14ac:dyDescent="0.3">
      <c r="A3204" s="109" t="s">
        <v>20714</v>
      </c>
      <c r="B3204" s="109" t="s">
        <v>20403</v>
      </c>
      <c r="C3204" s="109" t="s">
        <v>20403</v>
      </c>
      <c r="D3204" s="109" t="s">
        <v>20715</v>
      </c>
      <c r="E3204" s="109" t="s">
        <v>5558</v>
      </c>
      <c r="F3204" s="109" t="s">
        <v>20716</v>
      </c>
      <c r="G3204" s="110" t="s">
        <v>6248</v>
      </c>
      <c r="H3204" s="110" t="s">
        <v>6341</v>
      </c>
      <c r="I3204" s="110" t="s">
        <v>20717</v>
      </c>
    </row>
    <row r="3205" spans="1:9" ht="25.2" x14ac:dyDescent="0.3">
      <c r="A3205" s="109" t="s">
        <v>20718</v>
      </c>
      <c r="B3205" s="109" t="s">
        <v>20403</v>
      </c>
      <c r="C3205" s="109" t="s">
        <v>20403</v>
      </c>
      <c r="D3205" s="109" t="s">
        <v>20719</v>
      </c>
      <c r="E3205" s="109" t="s">
        <v>5558</v>
      </c>
      <c r="F3205" s="109" t="s">
        <v>20720</v>
      </c>
      <c r="G3205" s="110" t="s">
        <v>6248</v>
      </c>
      <c r="H3205" s="110" t="s">
        <v>12266</v>
      </c>
      <c r="I3205" s="110" t="s">
        <v>20721</v>
      </c>
    </row>
    <row r="3206" spans="1:9" ht="25.2" x14ac:dyDescent="0.3">
      <c r="A3206" s="109" t="s">
        <v>20722</v>
      </c>
      <c r="B3206" s="109" t="s">
        <v>20403</v>
      </c>
      <c r="C3206" s="109" t="s">
        <v>20403</v>
      </c>
      <c r="D3206" s="109" t="s">
        <v>20723</v>
      </c>
      <c r="E3206" s="109" t="s">
        <v>5558</v>
      </c>
      <c r="F3206" s="109" t="s">
        <v>20724</v>
      </c>
      <c r="G3206" s="110" t="s">
        <v>6248</v>
      </c>
      <c r="H3206" s="110" t="s">
        <v>6655</v>
      </c>
      <c r="I3206" s="110" t="s">
        <v>20725</v>
      </c>
    </row>
    <row r="3207" spans="1:9" ht="25.2" x14ac:dyDescent="0.3">
      <c r="A3207" s="109" t="s">
        <v>20726</v>
      </c>
      <c r="B3207" s="109" t="s">
        <v>20403</v>
      </c>
      <c r="C3207" s="109" t="s">
        <v>20403</v>
      </c>
      <c r="D3207" s="109" t="s">
        <v>5569</v>
      </c>
      <c r="E3207" s="109" t="s">
        <v>5558</v>
      </c>
      <c r="F3207" s="109" t="s">
        <v>2258</v>
      </c>
      <c r="G3207" s="110" t="s">
        <v>6248</v>
      </c>
      <c r="H3207" s="110" t="s">
        <v>20727</v>
      </c>
      <c r="I3207" s="110" t="s">
        <v>20728</v>
      </c>
    </row>
    <row r="3208" spans="1:9" ht="25.2" x14ac:dyDescent="0.3">
      <c r="A3208" s="109" t="s">
        <v>20729</v>
      </c>
      <c r="B3208" s="109" t="s">
        <v>20403</v>
      </c>
      <c r="C3208" s="109" t="s">
        <v>20403</v>
      </c>
      <c r="D3208" s="109" t="s">
        <v>3238</v>
      </c>
      <c r="E3208" s="109" t="s">
        <v>5558</v>
      </c>
      <c r="F3208" s="109" t="s">
        <v>20730</v>
      </c>
      <c r="G3208" s="110" t="s">
        <v>6248</v>
      </c>
      <c r="H3208" s="110" t="s">
        <v>20731</v>
      </c>
      <c r="I3208" s="110" t="s">
        <v>20732</v>
      </c>
    </row>
    <row r="3209" spans="1:9" ht="37.799999999999997" x14ac:dyDescent="0.3">
      <c r="A3209" s="109" t="s">
        <v>20733</v>
      </c>
      <c r="B3209" s="109" t="s">
        <v>20403</v>
      </c>
      <c r="C3209" s="109" t="s">
        <v>20403</v>
      </c>
      <c r="D3209" s="109" t="s">
        <v>3237</v>
      </c>
      <c r="E3209" s="109" t="s">
        <v>5558</v>
      </c>
      <c r="F3209" s="109" t="s">
        <v>20734</v>
      </c>
      <c r="G3209" s="110" t="s">
        <v>6248</v>
      </c>
      <c r="H3209" s="110" t="s">
        <v>20735</v>
      </c>
      <c r="I3209" s="110" t="s">
        <v>20736</v>
      </c>
    </row>
    <row r="3210" spans="1:9" ht="37.799999999999997" x14ac:dyDescent="0.3">
      <c r="A3210" s="109" t="s">
        <v>20737</v>
      </c>
      <c r="B3210" s="109" t="s">
        <v>20403</v>
      </c>
      <c r="C3210" s="109" t="s">
        <v>20403</v>
      </c>
      <c r="D3210" s="109" t="s">
        <v>20738</v>
      </c>
      <c r="E3210" s="109" t="s">
        <v>5558</v>
      </c>
      <c r="F3210" s="109" t="s">
        <v>20739</v>
      </c>
      <c r="G3210" s="110" t="s">
        <v>6248</v>
      </c>
      <c r="H3210" s="110" t="s">
        <v>7504</v>
      </c>
      <c r="I3210" s="110" t="s">
        <v>20740</v>
      </c>
    </row>
    <row r="3211" spans="1:9" ht="37.799999999999997" x14ac:dyDescent="0.3">
      <c r="A3211" s="109" t="s">
        <v>20741</v>
      </c>
      <c r="B3211" s="109" t="s">
        <v>20403</v>
      </c>
      <c r="C3211" s="109" t="s">
        <v>20403</v>
      </c>
      <c r="D3211" s="109" t="s">
        <v>2765</v>
      </c>
      <c r="E3211" s="109" t="s">
        <v>5558</v>
      </c>
      <c r="F3211" s="109" t="s">
        <v>20742</v>
      </c>
      <c r="G3211" s="110" t="s">
        <v>6248</v>
      </c>
      <c r="H3211" s="110" t="s">
        <v>20743</v>
      </c>
      <c r="I3211" s="110" t="s">
        <v>20744</v>
      </c>
    </row>
    <row r="3212" spans="1:9" ht="25.2" x14ac:dyDescent="0.3">
      <c r="A3212" s="109" t="s">
        <v>20745</v>
      </c>
      <c r="B3212" s="109" t="s">
        <v>20403</v>
      </c>
      <c r="C3212" s="109" t="s">
        <v>20403</v>
      </c>
      <c r="D3212" s="109" t="s">
        <v>2752</v>
      </c>
      <c r="E3212" s="109" t="s">
        <v>5558</v>
      </c>
      <c r="F3212" s="109" t="s">
        <v>20746</v>
      </c>
      <c r="G3212" s="110" t="s">
        <v>6248</v>
      </c>
      <c r="H3212" s="110" t="s">
        <v>20747</v>
      </c>
      <c r="I3212" s="110" t="s">
        <v>20748</v>
      </c>
    </row>
    <row r="3213" spans="1:9" ht="50.4" x14ac:dyDescent="0.3">
      <c r="A3213" s="109" t="s">
        <v>20749</v>
      </c>
      <c r="B3213" s="109" t="s">
        <v>20403</v>
      </c>
      <c r="C3213" s="109" t="s">
        <v>20403</v>
      </c>
      <c r="D3213" s="109" t="s">
        <v>20750</v>
      </c>
      <c r="E3213" s="109" t="s">
        <v>20750</v>
      </c>
      <c r="F3213" s="109" t="s">
        <v>20751</v>
      </c>
      <c r="G3213" s="110" t="s">
        <v>6248</v>
      </c>
      <c r="H3213" s="110" t="s">
        <v>20752</v>
      </c>
      <c r="I3213" s="110" t="s">
        <v>20753</v>
      </c>
    </row>
    <row r="3214" spans="1:9" ht="50.4" x14ac:dyDescent="0.3">
      <c r="A3214" s="109" t="s">
        <v>20754</v>
      </c>
      <c r="B3214" s="109" t="s">
        <v>20403</v>
      </c>
      <c r="C3214" s="109" t="s">
        <v>20403</v>
      </c>
      <c r="D3214" s="109" t="s">
        <v>20755</v>
      </c>
      <c r="E3214" s="109" t="s">
        <v>20755</v>
      </c>
      <c r="F3214" s="109" t="s">
        <v>20756</v>
      </c>
      <c r="G3214" s="110" t="s">
        <v>6248</v>
      </c>
      <c r="H3214" s="110" t="s">
        <v>20757</v>
      </c>
      <c r="I3214" s="110" t="s">
        <v>20758</v>
      </c>
    </row>
    <row r="3215" spans="1:9" ht="50.4" x14ac:dyDescent="0.3">
      <c r="A3215" s="109" t="s">
        <v>20759</v>
      </c>
      <c r="B3215" s="109" t="s">
        <v>20403</v>
      </c>
      <c r="C3215" s="109" t="s">
        <v>20403</v>
      </c>
      <c r="D3215" s="109" t="s">
        <v>20760</v>
      </c>
      <c r="E3215" s="109" t="s">
        <v>20760</v>
      </c>
      <c r="F3215" s="109" t="s">
        <v>20761</v>
      </c>
      <c r="G3215" s="110" t="s">
        <v>6248</v>
      </c>
      <c r="H3215" s="110" t="s">
        <v>20762</v>
      </c>
      <c r="I3215" s="110" t="s">
        <v>20763</v>
      </c>
    </row>
    <row r="3216" spans="1:9" ht="50.4" x14ac:dyDescent="0.3">
      <c r="A3216" s="109" t="s">
        <v>20764</v>
      </c>
      <c r="B3216" s="109" t="s">
        <v>20403</v>
      </c>
      <c r="C3216" s="109" t="s">
        <v>20403</v>
      </c>
      <c r="D3216" s="109" t="s">
        <v>20765</v>
      </c>
      <c r="E3216" s="109" t="s">
        <v>20765</v>
      </c>
      <c r="F3216" s="109" t="s">
        <v>20766</v>
      </c>
      <c r="G3216" s="110" t="s">
        <v>6248</v>
      </c>
      <c r="H3216" s="110" t="s">
        <v>20767</v>
      </c>
      <c r="I3216" s="110" t="s">
        <v>20768</v>
      </c>
    </row>
    <row r="3217" spans="1:9" ht="63" x14ac:dyDescent="0.3">
      <c r="A3217" s="109" t="s">
        <v>20769</v>
      </c>
      <c r="B3217" s="109" t="s">
        <v>20403</v>
      </c>
      <c r="C3217" s="109" t="s">
        <v>20403</v>
      </c>
      <c r="D3217" s="109" t="s">
        <v>20770</v>
      </c>
      <c r="E3217" s="109" t="s">
        <v>20770</v>
      </c>
      <c r="F3217" s="109" t="s">
        <v>20771</v>
      </c>
      <c r="G3217" s="110" t="s">
        <v>6248</v>
      </c>
      <c r="H3217" s="110" t="s">
        <v>20772</v>
      </c>
      <c r="I3217" s="110" t="s">
        <v>20773</v>
      </c>
    </row>
    <row r="3218" spans="1:9" ht="37.799999999999997" x14ac:dyDescent="0.3">
      <c r="A3218" s="109" t="s">
        <v>20774</v>
      </c>
      <c r="B3218" s="109" t="s">
        <v>20403</v>
      </c>
      <c r="C3218" s="109" t="s">
        <v>20403</v>
      </c>
      <c r="D3218" s="109" t="s">
        <v>20775</v>
      </c>
      <c r="E3218" s="109" t="s">
        <v>20776</v>
      </c>
      <c r="F3218" s="109" t="s">
        <v>20777</v>
      </c>
      <c r="G3218" s="110" t="s">
        <v>6248</v>
      </c>
      <c r="H3218" s="110" t="s">
        <v>20778</v>
      </c>
      <c r="I3218" s="110" t="s">
        <v>20779</v>
      </c>
    </row>
    <row r="3219" spans="1:9" ht="25.2" x14ac:dyDescent="0.3">
      <c r="A3219" s="109" t="s">
        <v>20780</v>
      </c>
      <c r="B3219" s="109" t="s">
        <v>20403</v>
      </c>
      <c r="C3219" s="109" t="s">
        <v>20403</v>
      </c>
      <c r="D3219" s="109" t="s">
        <v>6058</v>
      </c>
      <c r="E3219" s="109" t="s">
        <v>5558</v>
      </c>
      <c r="F3219" s="109" t="s">
        <v>20781</v>
      </c>
      <c r="G3219" s="110" t="s">
        <v>6248</v>
      </c>
      <c r="H3219" s="110" t="s">
        <v>20782</v>
      </c>
      <c r="I3219" s="110" t="s">
        <v>20783</v>
      </c>
    </row>
    <row r="3220" spans="1:9" ht="50.4" x14ac:dyDescent="0.3">
      <c r="A3220" s="109" t="s">
        <v>20784</v>
      </c>
      <c r="B3220" s="109" t="s">
        <v>20403</v>
      </c>
      <c r="C3220" s="109" t="s">
        <v>20403</v>
      </c>
      <c r="D3220" s="109" t="s">
        <v>20785</v>
      </c>
      <c r="E3220" s="109" t="s">
        <v>20785</v>
      </c>
      <c r="F3220" s="109" t="s">
        <v>20786</v>
      </c>
      <c r="G3220" s="110" t="s">
        <v>6248</v>
      </c>
      <c r="H3220" s="110" t="s">
        <v>20787</v>
      </c>
      <c r="I3220" s="110" t="s">
        <v>20788</v>
      </c>
    </row>
    <row r="3221" spans="1:9" ht="50.4" x14ac:dyDescent="0.3">
      <c r="A3221" s="109" t="s">
        <v>20789</v>
      </c>
      <c r="B3221" s="109" t="s">
        <v>20403</v>
      </c>
      <c r="C3221" s="109" t="s">
        <v>20403</v>
      </c>
      <c r="D3221" s="109" t="s">
        <v>20790</v>
      </c>
      <c r="E3221" s="109" t="s">
        <v>20790</v>
      </c>
      <c r="F3221" s="109" t="s">
        <v>20791</v>
      </c>
      <c r="G3221" s="110" t="s">
        <v>6248</v>
      </c>
      <c r="H3221" s="110" t="s">
        <v>20792</v>
      </c>
      <c r="I3221" s="110" t="s">
        <v>20793</v>
      </c>
    </row>
    <row r="3222" spans="1:9" ht="50.4" x14ac:dyDescent="0.3">
      <c r="A3222" s="109" t="s">
        <v>20794</v>
      </c>
      <c r="B3222" s="109" t="s">
        <v>20403</v>
      </c>
      <c r="C3222" s="109" t="s">
        <v>20403</v>
      </c>
      <c r="D3222" s="109" t="s">
        <v>20795</v>
      </c>
      <c r="E3222" s="109" t="s">
        <v>20795</v>
      </c>
      <c r="F3222" s="109" t="s">
        <v>20796</v>
      </c>
      <c r="G3222" s="110" t="s">
        <v>6248</v>
      </c>
      <c r="H3222" s="110" t="s">
        <v>20797</v>
      </c>
      <c r="I3222" s="110" t="s">
        <v>20798</v>
      </c>
    </row>
    <row r="3223" spans="1:9" ht="50.4" x14ac:dyDescent="0.3">
      <c r="A3223" s="109" t="s">
        <v>20799</v>
      </c>
      <c r="B3223" s="109" t="s">
        <v>20403</v>
      </c>
      <c r="C3223" s="109" t="s">
        <v>20403</v>
      </c>
      <c r="D3223" s="109" t="s">
        <v>20800</v>
      </c>
      <c r="E3223" s="109" t="s">
        <v>20800</v>
      </c>
      <c r="F3223" s="109" t="s">
        <v>20801</v>
      </c>
      <c r="G3223" s="110" t="s">
        <v>6248</v>
      </c>
      <c r="H3223" s="110" t="s">
        <v>20802</v>
      </c>
      <c r="I3223" s="110" t="s">
        <v>20803</v>
      </c>
    </row>
    <row r="3224" spans="1:9" ht="50.4" x14ac:dyDescent="0.3">
      <c r="A3224" s="109" t="s">
        <v>20804</v>
      </c>
      <c r="B3224" s="109" t="s">
        <v>20403</v>
      </c>
      <c r="C3224" s="109" t="s">
        <v>20403</v>
      </c>
      <c r="D3224" s="109" t="s">
        <v>17801</v>
      </c>
      <c r="E3224" s="109" t="s">
        <v>17801</v>
      </c>
      <c r="F3224" s="109" t="s">
        <v>20805</v>
      </c>
      <c r="G3224" s="110" t="s">
        <v>6248</v>
      </c>
      <c r="H3224" s="110" t="s">
        <v>20806</v>
      </c>
      <c r="I3224" s="110" t="s">
        <v>20807</v>
      </c>
    </row>
    <row r="3225" spans="1:9" ht="50.4" x14ac:dyDescent="0.3">
      <c r="A3225" s="109" t="s">
        <v>20808</v>
      </c>
      <c r="B3225" s="109" t="s">
        <v>20403</v>
      </c>
      <c r="C3225" s="109" t="s">
        <v>20403</v>
      </c>
      <c r="D3225" s="109" t="s">
        <v>20809</v>
      </c>
      <c r="E3225" s="109" t="s">
        <v>20809</v>
      </c>
      <c r="F3225" s="109" t="s">
        <v>20810</v>
      </c>
      <c r="G3225" s="110" t="s">
        <v>6248</v>
      </c>
      <c r="H3225" s="110" t="s">
        <v>20811</v>
      </c>
      <c r="I3225" s="110" t="s">
        <v>20812</v>
      </c>
    </row>
    <row r="3226" spans="1:9" ht="50.4" x14ac:dyDescent="0.3">
      <c r="A3226" s="109" t="s">
        <v>20813</v>
      </c>
      <c r="B3226" s="109" t="s">
        <v>20403</v>
      </c>
      <c r="C3226" s="109" t="s">
        <v>20403</v>
      </c>
      <c r="D3226" s="109" t="s">
        <v>20814</v>
      </c>
      <c r="E3226" s="109" t="s">
        <v>20814</v>
      </c>
      <c r="F3226" s="109" t="s">
        <v>20815</v>
      </c>
      <c r="G3226" s="110" t="s">
        <v>6248</v>
      </c>
      <c r="H3226" s="110" t="s">
        <v>6689</v>
      </c>
      <c r="I3226" s="110" t="s">
        <v>20816</v>
      </c>
    </row>
    <row r="3227" spans="1:9" ht="50.4" x14ac:dyDescent="0.3">
      <c r="A3227" s="109" t="s">
        <v>20817</v>
      </c>
      <c r="B3227" s="109" t="s">
        <v>20403</v>
      </c>
      <c r="C3227" s="109" t="s">
        <v>20403</v>
      </c>
      <c r="D3227" s="109" t="s">
        <v>19463</v>
      </c>
      <c r="E3227" s="109" t="s">
        <v>19463</v>
      </c>
      <c r="F3227" s="109" t="s">
        <v>20818</v>
      </c>
      <c r="G3227" s="110" t="s">
        <v>6248</v>
      </c>
      <c r="H3227" s="110" t="s">
        <v>20819</v>
      </c>
      <c r="I3227" s="110" t="s">
        <v>20820</v>
      </c>
    </row>
    <row r="3228" spans="1:9" ht="37.799999999999997" x14ac:dyDescent="0.3">
      <c r="A3228" s="109" t="s">
        <v>20821</v>
      </c>
      <c r="B3228" s="109" t="s">
        <v>20403</v>
      </c>
      <c r="C3228" s="109" t="s">
        <v>20403</v>
      </c>
      <c r="D3228" s="109" t="s">
        <v>12448</v>
      </c>
      <c r="E3228" s="109" t="s">
        <v>20822</v>
      </c>
      <c r="F3228" s="109" t="s">
        <v>20823</v>
      </c>
      <c r="G3228" s="110" t="s">
        <v>6248</v>
      </c>
      <c r="H3228" s="110" t="s">
        <v>20824</v>
      </c>
      <c r="I3228" s="110" t="s">
        <v>20825</v>
      </c>
    </row>
    <row r="3229" spans="1:9" ht="37.799999999999997" x14ac:dyDescent="0.3">
      <c r="A3229" s="109" t="s">
        <v>20826</v>
      </c>
      <c r="B3229" s="109" t="s">
        <v>20403</v>
      </c>
      <c r="C3229" s="109" t="s">
        <v>20403</v>
      </c>
      <c r="D3229" s="109" t="s">
        <v>20827</v>
      </c>
      <c r="E3229" s="109" t="s">
        <v>20827</v>
      </c>
      <c r="F3229" s="109" t="s">
        <v>20828</v>
      </c>
      <c r="G3229" s="110" t="s">
        <v>6248</v>
      </c>
      <c r="H3229" s="110" t="s">
        <v>20829</v>
      </c>
      <c r="I3229" s="110" t="s">
        <v>20830</v>
      </c>
    </row>
    <row r="3230" spans="1:9" ht="37.799999999999997" x14ac:dyDescent="0.3">
      <c r="A3230" s="109" t="s">
        <v>20831</v>
      </c>
      <c r="B3230" s="109" t="s">
        <v>20403</v>
      </c>
      <c r="C3230" s="109" t="s">
        <v>20403</v>
      </c>
      <c r="D3230" s="109" t="s">
        <v>20832</v>
      </c>
      <c r="E3230" s="109" t="s">
        <v>20832</v>
      </c>
      <c r="F3230" s="109" t="s">
        <v>20833</v>
      </c>
      <c r="G3230" s="110" t="s">
        <v>6248</v>
      </c>
      <c r="H3230" s="110" t="s">
        <v>20834</v>
      </c>
      <c r="I3230" s="110" t="s">
        <v>20835</v>
      </c>
    </row>
    <row r="3231" spans="1:9" ht="63" x14ac:dyDescent="0.3">
      <c r="A3231" s="109" t="s">
        <v>20836</v>
      </c>
      <c r="B3231" s="109" t="s">
        <v>20403</v>
      </c>
      <c r="C3231" s="109" t="s">
        <v>20403</v>
      </c>
      <c r="D3231" s="109" t="s">
        <v>20837</v>
      </c>
      <c r="E3231" s="109" t="s">
        <v>20837</v>
      </c>
      <c r="F3231" s="109" t="s">
        <v>20838</v>
      </c>
      <c r="G3231" s="110" t="s">
        <v>6248</v>
      </c>
      <c r="H3231" s="110" t="s">
        <v>6689</v>
      </c>
      <c r="I3231" s="110" t="s">
        <v>20839</v>
      </c>
    </row>
    <row r="3232" spans="1:9" ht="50.4" x14ac:dyDescent="0.3">
      <c r="A3232" s="109" t="s">
        <v>20840</v>
      </c>
      <c r="B3232" s="109" t="s">
        <v>20403</v>
      </c>
      <c r="C3232" s="109" t="s">
        <v>20403</v>
      </c>
      <c r="D3232" s="109" t="s">
        <v>20841</v>
      </c>
      <c r="E3232" s="109" t="s">
        <v>20841</v>
      </c>
      <c r="F3232" s="109" t="s">
        <v>20842</v>
      </c>
      <c r="G3232" s="110" t="s">
        <v>6248</v>
      </c>
      <c r="H3232" s="110" t="s">
        <v>20843</v>
      </c>
      <c r="I3232" s="110" t="s">
        <v>20844</v>
      </c>
    </row>
    <row r="3233" spans="1:9" ht="50.4" x14ac:dyDescent="0.3">
      <c r="A3233" s="109" t="s">
        <v>20845</v>
      </c>
      <c r="B3233" s="109" t="s">
        <v>20403</v>
      </c>
      <c r="C3233" s="109" t="s">
        <v>20403</v>
      </c>
      <c r="D3233" s="109" t="s">
        <v>20846</v>
      </c>
      <c r="E3233" s="109" t="s">
        <v>20846</v>
      </c>
      <c r="F3233" s="109" t="s">
        <v>20847</v>
      </c>
      <c r="G3233" s="110" t="s">
        <v>6248</v>
      </c>
      <c r="H3233" s="110" t="s">
        <v>20848</v>
      </c>
      <c r="I3233" s="110" t="s">
        <v>20849</v>
      </c>
    </row>
    <row r="3234" spans="1:9" ht="63" x14ac:dyDescent="0.3">
      <c r="A3234" s="109" t="s">
        <v>20850</v>
      </c>
      <c r="B3234" s="109" t="s">
        <v>20403</v>
      </c>
      <c r="C3234" s="109" t="s">
        <v>20403</v>
      </c>
      <c r="D3234" s="109" t="s">
        <v>20851</v>
      </c>
      <c r="E3234" s="109" t="s">
        <v>20851</v>
      </c>
      <c r="F3234" s="109" t="s">
        <v>20852</v>
      </c>
      <c r="G3234" s="110" t="s">
        <v>6248</v>
      </c>
      <c r="H3234" s="110" t="s">
        <v>20853</v>
      </c>
      <c r="I3234" s="110" t="s">
        <v>20854</v>
      </c>
    </row>
    <row r="3235" spans="1:9" ht="37.799999999999997" x14ac:dyDescent="0.3">
      <c r="A3235" s="109" t="s">
        <v>20855</v>
      </c>
      <c r="B3235" s="109" t="s">
        <v>20403</v>
      </c>
      <c r="C3235" s="109" t="s">
        <v>20403</v>
      </c>
      <c r="D3235" s="109" t="s">
        <v>20856</v>
      </c>
      <c r="E3235" s="109" t="s">
        <v>20857</v>
      </c>
      <c r="F3235" s="109" t="s">
        <v>20858</v>
      </c>
      <c r="G3235" s="110" t="s">
        <v>6248</v>
      </c>
      <c r="H3235" s="110" t="s">
        <v>20859</v>
      </c>
      <c r="I3235" s="110" t="s">
        <v>20860</v>
      </c>
    </row>
    <row r="3236" spans="1:9" ht="50.4" x14ac:dyDescent="0.3">
      <c r="A3236" s="109" t="s">
        <v>20861</v>
      </c>
      <c r="B3236" s="109" t="s">
        <v>20403</v>
      </c>
      <c r="C3236" s="109" t="s">
        <v>20403</v>
      </c>
      <c r="D3236" s="109" t="s">
        <v>20862</v>
      </c>
      <c r="E3236" s="109" t="s">
        <v>20862</v>
      </c>
      <c r="F3236" s="109" t="s">
        <v>20863</v>
      </c>
      <c r="G3236" s="110" t="s">
        <v>6248</v>
      </c>
      <c r="H3236" s="110" t="s">
        <v>20864</v>
      </c>
      <c r="I3236" s="110" t="s">
        <v>20865</v>
      </c>
    </row>
    <row r="3237" spans="1:9" ht="37.799999999999997" x14ac:dyDescent="0.3">
      <c r="A3237" s="109" t="s">
        <v>20866</v>
      </c>
      <c r="B3237" s="109" t="s">
        <v>20403</v>
      </c>
      <c r="C3237" s="109" t="s">
        <v>20403</v>
      </c>
      <c r="D3237" s="109" t="s">
        <v>20867</v>
      </c>
      <c r="E3237" s="109" t="s">
        <v>20868</v>
      </c>
      <c r="F3237" s="109" t="s">
        <v>20869</v>
      </c>
      <c r="G3237" s="110" t="s">
        <v>6248</v>
      </c>
      <c r="H3237" s="110" t="s">
        <v>20870</v>
      </c>
      <c r="I3237" s="110" t="s">
        <v>20871</v>
      </c>
    </row>
    <row r="3238" spans="1:9" ht="37.799999999999997" x14ac:dyDescent="0.3">
      <c r="A3238" s="109" t="s">
        <v>20872</v>
      </c>
      <c r="B3238" s="109" t="s">
        <v>20403</v>
      </c>
      <c r="C3238" s="109" t="s">
        <v>20403</v>
      </c>
      <c r="D3238" s="109" t="s">
        <v>20873</v>
      </c>
      <c r="E3238" s="109" t="s">
        <v>5558</v>
      </c>
      <c r="F3238" s="109" t="s">
        <v>20874</v>
      </c>
      <c r="G3238" s="110" t="s">
        <v>6248</v>
      </c>
      <c r="H3238" s="110" t="s">
        <v>20875</v>
      </c>
      <c r="I3238" s="110" t="s">
        <v>20876</v>
      </c>
    </row>
    <row r="3239" spans="1:9" ht="25.2" x14ac:dyDescent="0.3">
      <c r="A3239" s="109" t="s">
        <v>20877</v>
      </c>
      <c r="B3239" s="109" t="s">
        <v>20403</v>
      </c>
      <c r="C3239" s="109" t="s">
        <v>20403</v>
      </c>
      <c r="D3239" s="109" t="s">
        <v>20878</v>
      </c>
      <c r="E3239" s="109" t="s">
        <v>20879</v>
      </c>
      <c r="F3239" s="109" t="s">
        <v>20880</v>
      </c>
      <c r="G3239" s="110" t="s">
        <v>6248</v>
      </c>
      <c r="H3239" s="110" t="s">
        <v>20881</v>
      </c>
      <c r="I3239" s="110" t="s">
        <v>20882</v>
      </c>
    </row>
    <row r="3240" spans="1:9" ht="50.4" x14ac:dyDescent="0.3">
      <c r="A3240" s="109" t="s">
        <v>20883</v>
      </c>
      <c r="B3240" s="109" t="s">
        <v>20403</v>
      </c>
      <c r="C3240" s="109" t="s">
        <v>20403</v>
      </c>
      <c r="D3240" s="109" t="s">
        <v>10026</v>
      </c>
      <c r="E3240" s="109" t="s">
        <v>10026</v>
      </c>
      <c r="F3240" s="109" t="s">
        <v>20884</v>
      </c>
      <c r="G3240" s="110" t="s">
        <v>6248</v>
      </c>
      <c r="H3240" s="110" t="s">
        <v>20885</v>
      </c>
      <c r="I3240" s="110" t="s">
        <v>20886</v>
      </c>
    </row>
    <row r="3241" spans="1:9" ht="50.4" x14ac:dyDescent="0.3">
      <c r="A3241" s="109" t="s">
        <v>20887</v>
      </c>
      <c r="B3241" s="109" t="s">
        <v>20403</v>
      </c>
      <c r="C3241" s="109" t="s">
        <v>20403</v>
      </c>
      <c r="D3241" s="109" t="s">
        <v>20888</v>
      </c>
      <c r="E3241" s="109" t="s">
        <v>20888</v>
      </c>
      <c r="F3241" s="109" t="s">
        <v>20889</v>
      </c>
      <c r="G3241" s="110" t="s">
        <v>6248</v>
      </c>
      <c r="H3241" s="110" t="s">
        <v>20890</v>
      </c>
      <c r="I3241" s="110" t="s">
        <v>20891</v>
      </c>
    </row>
    <row r="3242" spans="1:9" ht="25.2" x14ac:dyDescent="0.3">
      <c r="A3242" s="109" t="s">
        <v>20892</v>
      </c>
      <c r="B3242" s="109" t="s">
        <v>20403</v>
      </c>
      <c r="C3242" s="109" t="s">
        <v>20403</v>
      </c>
      <c r="D3242" s="109" t="s">
        <v>20893</v>
      </c>
      <c r="E3242" s="109" t="s">
        <v>14502</v>
      </c>
      <c r="F3242" s="109" t="s">
        <v>20894</v>
      </c>
      <c r="G3242" s="110" t="s">
        <v>6248</v>
      </c>
      <c r="H3242" s="110" t="s">
        <v>7221</v>
      </c>
      <c r="I3242" s="110" t="s">
        <v>20895</v>
      </c>
    </row>
    <row r="3243" spans="1:9" ht="50.4" x14ac:dyDescent="0.3">
      <c r="A3243" s="109" t="s">
        <v>20896</v>
      </c>
      <c r="B3243" s="109" t="s">
        <v>20403</v>
      </c>
      <c r="C3243" s="109" t="s">
        <v>20403</v>
      </c>
      <c r="D3243" s="109" t="s">
        <v>20897</v>
      </c>
      <c r="E3243" s="109" t="s">
        <v>20897</v>
      </c>
      <c r="F3243" s="109" t="s">
        <v>20898</v>
      </c>
      <c r="G3243" s="110" t="s">
        <v>6248</v>
      </c>
      <c r="H3243" s="110" t="s">
        <v>20899</v>
      </c>
      <c r="I3243" s="110" t="s">
        <v>20900</v>
      </c>
    </row>
    <row r="3244" spans="1:9" ht="50.4" x14ac:dyDescent="0.3">
      <c r="A3244" s="109" t="s">
        <v>20901</v>
      </c>
      <c r="B3244" s="109" t="s">
        <v>20403</v>
      </c>
      <c r="C3244" s="109" t="s">
        <v>20403</v>
      </c>
      <c r="D3244" s="109" t="s">
        <v>20653</v>
      </c>
      <c r="E3244" s="109" t="s">
        <v>20653</v>
      </c>
      <c r="F3244" s="109" t="s">
        <v>20902</v>
      </c>
      <c r="G3244" s="110" t="s">
        <v>6248</v>
      </c>
      <c r="H3244" s="110" t="s">
        <v>20903</v>
      </c>
      <c r="I3244" s="110" t="s">
        <v>20904</v>
      </c>
    </row>
    <row r="3245" spans="1:9" ht="50.4" x14ac:dyDescent="0.3">
      <c r="A3245" s="109" t="s">
        <v>20905</v>
      </c>
      <c r="B3245" s="109" t="s">
        <v>20403</v>
      </c>
      <c r="C3245" s="109" t="s">
        <v>20403</v>
      </c>
      <c r="D3245" s="109" t="s">
        <v>20906</v>
      </c>
      <c r="E3245" s="109" t="s">
        <v>20906</v>
      </c>
      <c r="F3245" s="109" t="s">
        <v>20907</v>
      </c>
      <c r="G3245" s="110" t="s">
        <v>6248</v>
      </c>
      <c r="H3245" s="110" t="s">
        <v>20908</v>
      </c>
      <c r="I3245" s="110" t="s">
        <v>20909</v>
      </c>
    </row>
    <row r="3246" spans="1:9" ht="37.799999999999997" x14ac:dyDescent="0.3">
      <c r="A3246" s="109" t="s">
        <v>20910</v>
      </c>
      <c r="B3246" s="109" t="s">
        <v>20403</v>
      </c>
      <c r="C3246" s="109" t="s">
        <v>20403</v>
      </c>
      <c r="D3246" s="109" t="s">
        <v>20911</v>
      </c>
      <c r="E3246" s="109" t="s">
        <v>5558</v>
      </c>
      <c r="F3246" s="109" t="s">
        <v>20912</v>
      </c>
      <c r="G3246" s="110" t="s">
        <v>6248</v>
      </c>
      <c r="H3246" s="110" t="s">
        <v>20913</v>
      </c>
      <c r="I3246" s="110" t="s">
        <v>20914</v>
      </c>
    </row>
    <row r="3247" spans="1:9" ht="25.2" x14ac:dyDescent="0.3">
      <c r="A3247" s="109" t="s">
        <v>20915</v>
      </c>
      <c r="B3247" s="109" t="s">
        <v>20403</v>
      </c>
      <c r="C3247" s="109" t="s">
        <v>20403</v>
      </c>
      <c r="D3247" s="109" t="s">
        <v>20916</v>
      </c>
      <c r="E3247" s="109" t="s">
        <v>5558</v>
      </c>
      <c r="F3247" s="109" t="s">
        <v>20917</v>
      </c>
      <c r="G3247" s="110" t="s">
        <v>6248</v>
      </c>
      <c r="H3247" s="110" t="s">
        <v>6883</v>
      </c>
      <c r="I3247" s="110" t="s">
        <v>20918</v>
      </c>
    </row>
    <row r="3248" spans="1:9" ht="37.799999999999997" x14ac:dyDescent="0.3">
      <c r="A3248" s="109" t="s">
        <v>20919</v>
      </c>
      <c r="B3248" s="109" t="s">
        <v>20920</v>
      </c>
      <c r="C3248" s="109" t="s">
        <v>20403</v>
      </c>
      <c r="D3248" s="109" t="s">
        <v>20921</v>
      </c>
      <c r="E3248" s="109" t="s">
        <v>5558</v>
      </c>
      <c r="F3248" s="109" t="s">
        <v>20922</v>
      </c>
      <c r="G3248" s="110" t="s">
        <v>6248</v>
      </c>
      <c r="H3248" s="110" t="s">
        <v>20923</v>
      </c>
      <c r="I3248" s="110" t="s">
        <v>20924</v>
      </c>
    </row>
    <row r="3249" spans="1:9" ht="37.799999999999997" x14ac:dyDescent="0.3">
      <c r="A3249" s="109" t="s">
        <v>20925</v>
      </c>
      <c r="B3249" s="109" t="s">
        <v>20920</v>
      </c>
      <c r="C3249" s="109" t="s">
        <v>20920</v>
      </c>
      <c r="D3249" s="109" t="s">
        <v>20926</v>
      </c>
      <c r="E3249" s="109" t="s">
        <v>5558</v>
      </c>
      <c r="F3249" s="109" t="s">
        <v>20927</v>
      </c>
      <c r="G3249" s="110" t="s">
        <v>6248</v>
      </c>
      <c r="H3249" s="110" t="s">
        <v>20928</v>
      </c>
      <c r="I3249" s="110" t="s">
        <v>20929</v>
      </c>
    </row>
    <row r="3250" spans="1:9" ht="25.2" x14ac:dyDescent="0.3">
      <c r="A3250" s="109" t="s">
        <v>20930</v>
      </c>
      <c r="B3250" s="109" t="s">
        <v>20920</v>
      </c>
      <c r="C3250" s="109" t="s">
        <v>20920</v>
      </c>
      <c r="D3250" s="109" t="s">
        <v>2834</v>
      </c>
      <c r="E3250" s="109" t="s">
        <v>5558</v>
      </c>
      <c r="F3250" s="109" t="s">
        <v>20931</v>
      </c>
      <c r="G3250" s="110" t="s">
        <v>6248</v>
      </c>
      <c r="H3250" s="110" t="s">
        <v>20932</v>
      </c>
      <c r="I3250" s="110" t="s">
        <v>20933</v>
      </c>
    </row>
    <row r="3251" spans="1:9" ht="37.799999999999997" x14ac:dyDescent="0.3">
      <c r="A3251" s="109" t="s">
        <v>20934</v>
      </c>
      <c r="B3251" s="109" t="s">
        <v>20920</v>
      </c>
      <c r="C3251" s="109" t="s">
        <v>20920</v>
      </c>
      <c r="D3251" s="109" t="s">
        <v>2978</v>
      </c>
      <c r="E3251" s="109" t="s">
        <v>5558</v>
      </c>
      <c r="F3251" s="109" t="s">
        <v>20935</v>
      </c>
      <c r="G3251" s="110" t="s">
        <v>6248</v>
      </c>
      <c r="H3251" s="110" t="s">
        <v>8746</v>
      </c>
      <c r="I3251" s="110" t="s">
        <v>20936</v>
      </c>
    </row>
    <row r="3252" spans="1:9" ht="25.2" x14ac:dyDescent="0.3">
      <c r="A3252" s="109" t="s">
        <v>20937</v>
      </c>
      <c r="B3252" s="109" t="s">
        <v>20920</v>
      </c>
      <c r="C3252" s="109" t="s">
        <v>20920</v>
      </c>
      <c r="D3252" s="109" t="s">
        <v>20938</v>
      </c>
      <c r="E3252" s="109" t="s">
        <v>5558</v>
      </c>
      <c r="F3252" s="109" t="s">
        <v>20939</v>
      </c>
      <c r="G3252" s="110" t="s">
        <v>6248</v>
      </c>
      <c r="H3252" s="110" t="s">
        <v>9222</v>
      </c>
      <c r="I3252" s="110" t="s">
        <v>20940</v>
      </c>
    </row>
    <row r="3253" spans="1:9" ht="25.2" x14ac:dyDescent="0.3">
      <c r="A3253" s="109" t="s">
        <v>20941</v>
      </c>
      <c r="B3253" s="109" t="s">
        <v>20920</v>
      </c>
      <c r="C3253" s="109" t="s">
        <v>20920</v>
      </c>
      <c r="D3253" s="109" t="s">
        <v>20942</v>
      </c>
      <c r="E3253" s="109" t="s">
        <v>20943</v>
      </c>
      <c r="F3253" s="109" t="s">
        <v>6008</v>
      </c>
      <c r="G3253" s="110" t="s">
        <v>6248</v>
      </c>
      <c r="H3253" s="110" t="s">
        <v>20944</v>
      </c>
      <c r="I3253" s="110" t="s">
        <v>20945</v>
      </c>
    </row>
    <row r="3254" spans="1:9" ht="37.799999999999997" x14ac:dyDescent="0.3">
      <c r="A3254" s="109" t="s">
        <v>20946</v>
      </c>
      <c r="B3254" s="109" t="s">
        <v>20920</v>
      </c>
      <c r="C3254" s="109" t="s">
        <v>20920</v>
      </c>
      <c r="D3254" s="109" t="s">
        <v>20947</v>
      </c>
      <c r="E3254" s="109" t="s">
        <v>5558</v>
      </c>
      <c r="F3254" s="109" t="s">
        <v>20948</v>
      </c>
      <c r="G3254" s="110" t="s">
        <v>6248</v>
      </c>
      <c r="H3254" s="110" t="s">
        <v>20949</v>
      </c>
      <c r="I3254" s="110" t="s">
        <v>20950</v>
      </c>
    </row>
    <row r="3255" spans="1:9" ht="25.2" x14ac:dyDescent="0.3">
      <c r="A3255" s="109" t="s">
        <v>20951</v>
      </c>
      <c r="B3255" s="109" t="s">
        <v>20920</v>
      </c>
      <c r="C3255" s="109" t="s">
        <v>20920</v>
      </c>
      <c r="D3255" s="109" t="s">
        <v>20952</v>
      </c>
      <c r="E3255" s="109" t="s">
        <v>5558</v>
      </c>
      <c r="F3255" s="109" t="s">
        <v>20953</v>
      </c>
      <c r="G3255" s="110" t="s">
        <v>6248</v>
      </c>
      <c r="H3255" s="110" t="s">
        <v>6655</v>
      </c>
      <c r="I3255" s="110" t="s">
        <v>20954</v>
      </c>
    </row>
    <row r="3256" spans="1:9" ht="25.2" x14ac:dyDescent="0.3">
      <c r="A3256" s="109" t="s">
        <v>20955</v>
      </c>
      <c r="B3256" s="109" t="s">
        <v>20920</v>
      </c>
      <c r="C3256" s="109" t="s">
        <v>20920</v>
      </c>
      <c r="D3256" s="109" t="s">
        <v>20956</v>
      </c>
      <c r="E3256" s="109" t="s">
        <v>5558</v>
      </c>
      <c r="F3256" s="109" t="s">
        <v>20957</v>
      </c>
      <c r="G3256" s="110" t="s">
        <v>6248</v>
      </c>
      <c r="H3256" s="110" t="s">
        <v>20958</v>
      </c>
      <c r="I3256" s="110" t="s">
        <v>20959</v>
      </c>
    </row>
    <row r="3257" spans="1:9" ht="37.799999999999997" x14ac:dyDescent="0.3">
      <c r="A3257" s="109" t="s">
        <v>20960</v>
      </c>
      <c r="B3257" s="109" t="s">
        <v>20920</v>
      </c>
      <c r="C3257" s="109" t="s">
        <v>20920</v>
      </c>
      <c r="D3257" s="109" t="s">
        <v>20961</v>
      </c>
      <c r="E3257" s="109" t="s">
        <v>5558</v>
      </c>
      <c r="F3257" s="109" t="s">
        <v>20962</v>
      </c>
      <c r="G3257" s="110" t="s">
        <v>6248</v>
      </c>
      <c r="H3257" s="110" t="s">
        <v>8185</v>
      </c>
      <c r="I3257" s="110" t="s">
        <v>20963</v>
      </c>
    </row>
    <row r="3258" spans="1:9" ht="25.2" x14ac:dyDescent="0.3">
      <c r="A3258" s="109" t="s">
        <v>20964</v>
      </c>
      <c r="B3258" s="109" t="s">
        <v>20920</v>
      </c>
      <c r="C3258" s="109" t="s">
        <v>20920</v>
      </c>
      <c r="D3258" s="109" t="s">
        <v>20965</v>
      </c>
      <c r="E3258" s="109" t="s">
        <v>20966</v>
      </c>
      <c r="F3258" s="109" t="s">
        <v>8190</v>
      </c>
      <c r="G3258" s="110" t="s">
        <v>6248</v>
      </c>
      <c r="H3258" s="110" t="s">
        <v>9407</v>
      </c>
      <c r="I3258" s="110" t="s">
        <v>20967</v>
      </c>
    </row>
    <row r="3259" spans="1:9" ht="25.2" x14ac:dyDescent="0.3">
      <c r="A3259" s="109" t="s">
        <v>20968</v>
      </c>
      <c r="B3259" s="109" t="s">
        <v>20920</v>
      </c>
      <c r="C3259" s="109" t="s">
        <v>20920</v>
      </c>
      <c r="D3259" s="109" t="s">
        <v>20969</v>
      </c>
      <c r="E3259" s="109" t="s">
        <v>5558</v>
      </c>
      <c r="F3259" s="109" t="s">
        <v>20970</v>
      </c>
      <c r="G3259" s="110" t="s">
        <v>6248</v>
      </c>
      <c r="H3259" s="110" t="s">
        <v>8052</v>
      </c>
      <c r="I3259" s="110" t="s">
        <v>20971</v>
      </c>
    </row>
    <row r="3260" spans="1:9" ht="37.799999999999997" x14ac:dyDescent="0.3">
      <c r="A3260" s="109" t="s">
        <v>20972</v>
      </c>
      <c r="B3260" s="109" t="s">
        <v>20920</v>
      </c>
      <c r="C3260" s="109" t="s">
        <v>20920</v>
      </c>
      <c r="D3260" s="109" t="s">
        <v>20973</v>
      </c>
      <c r="E3260" s="109" t="s">
        <v>5558</v>
      </c>
      <c r="F3260" s="109" t="s">
        <v>20974</v>
      </c>
      <c r="G3260" s="110" t="s">
        <v>6248</v>
      </c>
      <c r="H3260" s="110" t="s">
        <v>20975</v>
      </c>
      <c r="I3260" s="110" t="s">
        <v>20976</v>
      </c>
    </row>
    <row r="3261" spans="1:9" ht="37.799999999999997" x14ac:dyDescent="0.3">
      <c r="A3261" s="109" t="s">
        <v>20977</v>
      </c>
      <c r="B3261" s="109" t="s">
        <v>20920</v>
      </c>
      <c r="C3261" s="109" t="s">
        <v>20920</v>
      </c>
      <c r="D3261" s="109" t="s">
        <v>20978</v>
      </c>
      <c r="E3261" s="109" t="s">
        <v>5558</v>
      </c>
      <c r="F3261" s="109" t="s">
        <v>20979</v>
      </c>
      <c r="G3261" s="110" t="s">
        <v>6248</v>
      </c>
      <c r="H3261" s="110" t="s">
        <v>6689</v>
      </c>
      <c r="I3261" s="110" t="s">
        <v>20980</v>
      </c>
    </row>
    <row r="3262" spans="1:9" ht="25.2" x14ac:dyDescent="0.3">
      <c r="A3262" s="109" t="s">
        <v>20981</v>
      </c>
      <c r="B3262" s="109" t="s">
        <v>20920</v>
      </c>
      <c r="C3262" s="109" t="s">
        <v>20920</v>
      </c>
      <c r="D3262" s="109" t="s">
        <v>20982</v>
      </c>
      <c r="E3262" s="109" t="s">
        <v>5558</v>
      </c>
      <c r="F3262" s="109" t="s">
        <v>20983</v>
      </c>
      <c r="G3262" s="110" t="s">
        <v>6248</v>
      </c>
      <c r="H3262" s="110" t="s">
        <v>20984</v>
      </c>
      <c r="I3262" s="110" t="s">
        <v>20985</v>
      </c>
    </row>
    <row r="3263" spans="1:9" ht="37.799999999999997" x14ac:dyDescent="0.3">
      <c r="A3263" s="109" t="s">
        <v>20986</v>
      </c>
      <c r="B3263" s="109" t="s">
        <v>20920</v>
      </c>
      <c r="C3263" s="109" t="s">
        <v>20920</v>
      </c>
      <c r="D3263" s="109" t="s">
        <v>20987</v>
      </c>
      <c r="E3263" s="109" t="s">
        <v>5558</v>
      </c>
      <c r="F3263" s="109" t="s">
        <v>20988</v>
      </c>
      <c r="G3263" s="110" t="s">
        <v>6248</v>
      </c>
      <c r="H3263" s="110" t="s">
        <v>20989</v>
      </c>
      <c r="I3263" s="110" t="s">
        <v>20990</v>
      </c>
    </row>
    <row r="3264" spans="1:9" ht="37.799999999999997" x14ac:dyDescent="0.3">
      <c r="A3264" s="109" t="s">
        <v>20991</v>
      </c>
      <c r="B3264" s="109" t="s">
        <v>20920</v>
      </c>
      <c r="C3264" s="109" t="s">
        <v>20920</v>
      </c>
      <c r="D3264" s="109" t="s">
        <v>20992</v>
      </c>
      <c r="E3264" s="109" t="s">
        <v>5558</v>
      </c>
      <c r="F3264" s="109" t="s">
        <v>20993</v>
      </c>
      <c r="G3264" s="110" t="s">
        <v>6248</v>
      </c>
      <c r="H3264" s="110" t="s">
        <v>20994</v>
      </c>
      <c r="I3264" s="110" t="s">
        <v>20995</v>
      </c>
    </row>
    <row r="3265" spans="1:9" ht="25.2" x14ac:dyDescent="0.3">
      <c r="A3265" s="109" t="s">
        <v>20996</v>
      </c>
      <c r="B3265" s="109" t="s">
        <v>20920</v>
      </c>
      <c r="C3265" s="109" t="s">
        <v>20920</v>
      </c>
      <c r="D3265" s="109" t="s">
        <v>20997</v>
      </c>
      <c r="E3265" s="109" t="s">
        <v>5558</v>
      </c>
      <c r="F3265" s="109" t="s">
        <v>20998</v>
      </c>
      <c r="G3265" s="110" t="s">
        <v>6248</v>
      </c>
      <c r="H3265" s="110" t="s">
        <v>20999</v>
      </c>
      <c r="I3265" s="110" t="s">
        <v>21000</v>
      </c>
    </row>
    <row r="3266" spans="1:9" ht="25.2" x14ac:dyDescent="0.3">
      <c r="A3266" s="109" t="s">
        <v>21001</v>
      </c>
      <c r="B3266" s="109" t="s">
        <v>20920</v>
      </c>
      <c r="C3266" s="109" t="s">
        <v>20920</v>
      </c>
      <c r="D3266" s="109" t="s">
        <v>21002</v>
      </c>
      <c r="E3266" s="109" t="s">
        <v>5558</v>
      </c>
      <c r="F3266" s="109" t="s">
        <v>21003</v>
      </c>
      <c r="G3266" s="110" t="s">
        <v>6248</v>
      </c>
      <c r="H3266" s="110" t="s">
        <v>21004</v>
      </c>
      <c r="I3266" s="110" t="s">
        <v>21005</v>
      </c>
    </row>
    <row r="3267" spans="1:9" ht="25.2" x14ac:dyDescent="0.3">
      <c r="A3267" s="109" t="s">
        <v>21006</v>
      </c>
      <c r="B3267" s="109" t="s">
        <v>21007</v>
      </c>
      <c r="C3267" s="109" t="s">
        <v>21007</v>
      </c>
      <c r="D3267" s="109" t="s">
        <v>21008</v>
      </c>
      <c r="E3267" s="109" t="s">
        <v>5558</v>
      </c>
      <c r="F3267" s="109" t="s">
        <v>21009</v>
      </c>
      <c r="G3267" s="110" t="s">
        <v>6248</v>
      </c>
      <c r="H3267" s="110" t="s">
        <v>7817</v>
      </c>
      <c r="I3267" s="110" t="s">
        <v>21010</v>
      </c>
    </row>
    <row r="3268" spans="1:9" ht="25.2" x14ac:dyDescent="0.3">
      <c r="A3268" s="109" t="s">
        <v>21011</v>
      </c>
      <c r="B3268" s="109" t="s">
        <v>21007</v>
      </c>
      <c r="C3268" s="109" t="s">
        <v>21007</v>
      </c>
      <c r="D3268" s="109" t="s">
        <v>21012</v>
      </c>
      <c r="E3268" s="109" t="s">
        <v>5558</v>
      </c>
      <c r="F3268" s="109" t="s">
        <v>21013</v>
      </c>
      <c r="G3268" s="110" t="s">
        <v>6248</v>
      </c>
      <c r="H3268" s="110" t="s">
        <v>7504</v>
      </c>
      <c r="I3268" s="110" t="s">
        <v>21014</v>
      </c>
    </row>
    <row r="3269" spans="1:9" ht="25.2" x14ac:dyDescent="0.3">
      <c r="A3269" s="109" t="s">
        <v>21015</v>
      </c>
      <c r="B3269" s="109" t="s">
        <v>21007</v>
      </c>
      <c r="C3269" s="109" t="s">
        <v>21007</v>
      </c>
      <c r="D3269" s="109" t="s">
        <v>2968</v>
      </c>
      <c r="E3269" s="109" t="s">
        <v>5558</v>
      </c>
      <c r="F3269" s="109" t="s">
        <v>21016</v>
      </c>
      <c r="G3269" s="110" t="s">
        <v>6248</v>
      </c>
      <c r="H3269" s="110" t="s">
        <v>21017</v>
      </c>
      <c r="I3269" s="110" t="s">
        <v>21018</v>
      </c>
    </row>
    <row r="3270" spans="1:9" ht="25.2" x14ac:dyDescent="0.3">
      <c r="A3270" s="109" t="s">
        <v>21019</v>
      </c>
      <c r="B3270" s="109" t="s">
        <v>21007</v>
      </c>
      <c r="C3270" s="109" t="s">
        <v>21007</v>
      </c>
      <c r="D3270" s="109" t="s">
        <v>21020</v>
      </c>
      <c r="E3270" s="109" t="s">
        <v>5558</v>
      </c>
      <c r="F3270" s="109" t="s">
        <v>21021</v>
      </c>
      <c r="G3270" s="110" t="s">
        <v>6248</v>
      </c>
      <c r="H3270" s="110" t="s">
        <v>21022</v>
      </c>
      <c r="I3270" s="110" t="s">
        <v>21023</v>
      </c>
    </row>
    <row r="3271" spans="1:9" ht="25.2" x14ac:dyDescent="0.3">
      <c r="A3271" s="109" t="s">
        <v>21024</v>
      </c>
      <c r="B3271" s="109" t="s">
        <v>21007</v>
      </c>
      <c r="C3271" s="109" t="s">
        <v>21007</v>
      </c>
      <c r="D3271" s="109" t="s">
        <v>21025</v>
      </c>
      <c r="E3271" s="109" t="s">
        <v>5558</v>
      </c>
      <c r="F3271" s="109" t="s">
        <v>21026</v>
      </c>
      <c r="G3271" s="110" t="s">
        <v>6248</v>
      </c>
      <c r="H3271" s="110" t="s">
        <v>21027</v>
      </c>
      <c r="I3271" s="110" t="s">
        <v>21028</v>
      </c>
    </row>
    <row r="3272" spans="1:9" ht="25.2" x14ac:dyDescent="0.3">
      <c r="A3272" s="109" t="s">
        <v>21029</v>
      </c>
      <c r="B3272" s="109" t="s">
        <v>21007</v>
      </c>
      <c r="C3272" s="109" t="s">
        <v>21007</v>
      </c>
      <c r="D3272" s="109" t="s">
        <v>21030</v>
      </c>
      <c r="E3272" s="109" t="s">
        <v>5558</v>
      </c>
      <c r="F3272" s="109" t="s">
        <v>21031</v>
      </c>
      <c r="G3272" s="110" t="s">
        <v>6248</v>
      </c>
      <c r="H3272" s="110" t="s">
        <v>21032</v>
      </c>
      <c r="I3272" s="110" t="s">
        <v>21033</v>
      </c>
    </row>
    <row r="3273" spans="1:9" ht="25.2" x14ac:dyDescent="0.3">
      <c r="A3273" s="109" t="s">
        <v>21034</v>
      </c>
      <c r="B3273" s="109" t="s">
        <v>21007</v>
      </c>
      <c r="C3273" s="109" t="s">
        <v>21007</v>
      </c>
      <c r="D3273" s="109" t="s">
        <v>5569</v>
      </c>
      <c r="E3273" s="109" t="s">
        <v>5558</v>
      </c>
      <c r="F3273" s="109" t="s">
        <v>2258</v>
      </c>
      <c r="G3273" s="110" t="s">
        <v>6248</v>
      </c>
      <c r="H3273" s="110" t="s">
        <v>21035</v>
      </c>
      <c r="I3273" s="110" t="s">
        <v>21036</v>
      </c>
    </row>
    <row r="3274" spans="1:9" ht="37.799999999999997" x14ac:dyDescent="0.3">
      <c r="A3274" s="109" t="s">
        <v>21037</v>
      </c>
      <c r="B3274" s="109" t="s">
        <v>21007</v>
      </c>
      <c r="C3274" s="109" t="s">
        <v>21007</v>
      </c>
      <c r="D3274" s="109" t="s">
        <v>21038</v>
      </c>
      <c r="E3274" s="109" t="s">
        <v>5558</v>
      </c>
      <c r="F3274" s="109" t="s">
        <v>21039</v>
      </c>
      <c r="G3274" s="110" t="s">
        <v>6248</v>
      </c>
      <c r="H3274" s="110" t="s">
        <v>9461</v>
      </c>
      <c r="I3274" s="110" t="s">
        <v>21040</v>
      </c>
    </row>
    <row r="3275" spans="1:9" ht="25.2" x14ac:dyDescent="0.3">
      <c r="A3275" s="109" t="s">
        <v>21041</v>
      </c>
      <c r="B3275" s="109" t="s">
        <v>21007</v>
      </c>
      <c r="C3275" s="109" t="s">
        <v>21007</v>
      </c>
      <c r="D3275" s="109" t="s">
        <v>21042</v>
      </c>
      <c r="E3275" s="109" t="s">
        <v>21043</v>
      </c>
      <c r="F3275" s="109" t="s">
        <v>5915</v>
      </c>
      <c r="G3275" s="110" t="s">
        <v>6248</v>
      </c>
      <c r="H3275" s="110" t="s">
        <v>21044</v>
      </c>
      <c r="I3275" s="110" t="s">
        <v>21045</v>
      </c>
    </row>
    <row r="3276" spans="1:9" ht="25.2" x14ac:dyDescent="0.3">
      <c r="A3276" s="109" t="s">
        <v>21046</v>
      </c>
      <c r="B3276" s="109" t="s">
        <v>21007</v>
      </c>
      <c r="C3276" s="109" t="s">
        <v>21007</v>
      </c>
      <c r="D3276" s="109" t="s">
        <v>21047</v>
      </c>
      <c r="E3276" s="109" t="s">
        <v>5558</v>
      </c>
      <c r="F3276" s="109" t="s">
        <v>21048</v>
      </c>
      <c r="G3276" s="110" t="s">
        <v>6248</v>
      </c>
      <c r="H3276" s="110" t="s">
        <v>21049</v>
      </c>
      <c r="I3276" s="110" t="s">
        <v>21050</v>
      </c>
    </row>
    <row r="3277" spans="1:9" ht="25.2" x14ac:dyDescent="0.3">
      <c r="A3277" s="109" t="s">
        <v>21051</v>
      </c>
      <c r="B3277" s="109" t="s">
        <v>21007</v>
      </c>
      <c r="C3277" s="109" t="s">
        <v>21007</v>
      </c>
      <c r="D3277" s="109" t="s">
        <v>2979</v>
      </c>
      <c r="E3277" s="109" t="s">
        <v>21052</v>
      </c>
      <c r="F3277" s="109" t="s">
        <v>10765</v>
      </c>
      <c r="G3277" s="110" t="s">
        <v>6248</v>
      </c>
      <c r="H3277" s="110" t="s">
        <v>21053</v>
      </c>
      <c r="I3277" s="110" t="s">
        <v>21054</v>
      </c>
    </row>
    <row r="3278" spans="1:9" ht="25.2" x14ac:dyDescent="0.3">
      <c r="A3278" s="109" t="s">
        <v>21055</v>
      </c>
      <c r="B3278" s="109" t="s">
        <v>21007</v>
      </c>
      <c r="C3278" s="109" t="s">
        <v>21007</v>
      </c>
      <c r="D3278" s="109" t="s">
        <v>21056</v>
      </c>
      <c r="E3278" s="109" t="s">
        <v>5558</v>
      </c>
      <c r="F3278" s="109" t="s">
        <v>21057</v>
      </c>
      <c r="G3278" s="110" t="s">
        <v>6248</v>
      </c>
      <c r="H3278" s="110" t="s">
        <v>21058</v>
      </c>
      <c r="I3278" s="110" t="s">
        <v>21059</v>
      </c>
    </row>
    <row r="3279" spans="1:9" ht="25.2" x14ac:dyDescent="0.3">
      <c r="A3279" s="109" t="s">
        <v>21060</v>
      </c>
      <c r="B3279" s="109" t="s">
        <v>21007</v>
      </c>
      <c r="C3279" s="109" t="s">
        <v>21007</v>
      </c>
      <c r="D3279" s="109" t="s">
        <v>21061</v>
      </c>
      <c r="E3279" s="109" t="s">
        <v>5558</v>
      </c>
      <c r="F3279" s="109" t="s">
        <v>21062</v>
      </c>
      <c r="G3279" s="110" t="s">
        <v>6248</v>
      </c>
      <c r="H3279" s="110" t="s">
        <v>21063</v>
      </c>
      <c r="I3279" s="110" t="s">
        <v>21064</v>
      </c>
    </row>
    <row r="3280" spans="1:9" ht="25.2" x14ac:dyDescent="0.3">
      <c r="A3280" s="109" t="s">
        <v>21065</v>
      </c>
      <c r="B3280" s="109" t="s">
        <v>21007</v>
      </c>
      <c r="C3280" s="109" t="s">
        <v>21007</v>
      </c>
      <c r="D3280" s="109" t="s">
        <v>21066</v>
      </c>
      <c r="E3280" s="109" t="s">
        <v>5558</v>
      </c>
      <c r="F3280" s="109" t="s">
        <v>21067</v>
      </c>
      <c r="G3280" s="110" t="s">
        <v>6248</v>
      </c>
      <c r="H3280" s="110" t="s">
        <v>21068</v>
      </c>
      <c r="I3280" s="110" t="s">
        <v>21069</v>
      </c>
    </row>
    <row r="3281" spans="1:9" ht="25.2" x14ac:dyDescent="0.3">
      <c r="A3281" s="109" t="s">
        <v>21070</v>
      </c>
      <c r="B3281" s="109" t="s">
        <v>21007</v>
      </c>
      <c r="C3281" s="109" t="s">
        <v>21007</v>
      </c>
      <c r="D3281" s="109" t="s">
        <v>21071</v>
      </c>
      <c r="E3281" s="109" t="s">
        <v>5558</v>
      </c>
      <c r="F3281" s="109" t="s">
        <v>21072</v>
      </c>
      <c r="G3281" s="110" t="s">
        <v>6248</v>
      </c>
      <c r="H3281" s="110" t="s">
        <v>21073</v>
      </c>
      <c r="I3281" s="110" t="s">
        <v>21074</v>
      </c>
    </row>
    <row r="3282" spans="1:9" ht="25.2" x14ac:dyDescent="0.3">
      <c r="A3282" s="109" t="s">
        <v>21075</v>
      </c>
      <c r="B3282" s="109" t="s">
        <v>21007</v>
      </c>
      <c r="C3282" s="109" t="s">
        <v>21007</v>
      </c>
      <c r="D3282" s="109" t="s">
        <v>2977</v>
      </c>
      <c r="E3282" s="109" t="s">
        <v>5558</v>
      </c>
      <c r="F3282" s="109" t="s">
        <v>21076</v>
      </c>
      <c r="G3282" s="110" t="s">
        <v>6248</v>
      </c>
      <c r="H3282" s="110" t="s">
        <v>21077</v>
      </c>
      <c r="I3282" s="110" t="s">
        <v>21078</v>
      </c>
    </row>
    <row r="3283" spans="1:9" ht="37.799999999999997" x14ac:dyDescent="0.3">
      <c r="A3283" s="109" t="s">
        <v>21079</v>
      </c>
      <c r="B3283" s="109" t="s">
        <v>21007</v>
      </c>
      <c r="C3283" s="109" t="s">
        <v>21007</v>
      </c>
      <c r="D3283" s="109" t="s">
        <v>3264</v>
      </c>
      <c r="E3283" s="109" t="s">
        <v>5558</v>
      </c>
      <c r="F3283" s="109" t="s">
        <v>21080</v>
      </c>
      <c r="G3283" s="110" t="s">
        <v>6248</v>
      </c>
      <c r="H3283" s="110" t="s">
        <v>21081</v>
      </c>
      <c r="I3283" s="110" t="s">
        <v>21082</v>
      </c>
    </row>
    <row r="3284" spans="1:9" ht="25.2" x14ac:dyDescent="0.3">
      <c r="A3284" s="109" t="s">
        <v>21083</v>
      </c>
      <c r="B3284" s="109" t="s">
        <v>21007</v>
      </c>
      <c r="C3284" s="109" t="s">
        <v>21007</v>
      </c>
      <c r="D3284" s="109" t="s">
        <v>21084</v>
      </c>
      <c r="E3284" s="109" t="s">
        <v>21085</v>
      </c>
      <c r="F3284" s="109" t="s">
        <v>19884</v>
      </c>
      <c r="G3284" s="110" t="s">
        <v>6248</v>
      </c>
      <c r="H3284" s="110" t="s">
        <v>21086</v>
      </c>
      <c r="I3284" s="110" t="s">
        <v>21087</v>
      </c>
    </row>
    <row r="3285" spans="1:9" ht="37.799999999999997" x14ac:dyDescent="0.3">
      <c r="A3285" s="109" t="s">
        <v>21088</v>
      </c>
      <c r="B3285" s="109" t="s">
        <v>21007</v>
      </c>
      <c r="C3285" s="109" t="s">
        <v>21007</v>
      </c>
      <c r="D3285" s="109" t="s">
        <v>21089</v>
      </c>
      <c r="E3285" s="109" t="s">
        <v>5558</v>
      </c>
      <c r="F3285" s="109" t="s">
        <v>21090</v>
      </c>
      <c r="G3285" s="110" t="s">
        <v>6248</v>
      </c>
      <c r="H3285" s="110" t="s">
        <v>6398</v>
      </c>
      <c r="I3285" s="110" t="s">
        <v>21091</v>
      </c>
    </row>
    <row r="3286" spans="1:9" ht="37.799999999999997" x14ac:dyDescent="0.3">
      <c r="A3286" s="109" t="s">
        <v>21092</v>
      </c>
      <c r="B3286" s="109" t="s">
        <v>21007</v>
      </c>
      <c r="C3286" s="109" t="s">
        <v>21007</v>
      </c>
      <c r="D3286" s="109" t="s">
        <v>21093</v>
      </c>
      <c r="E3286" s="109" t="s">
        <v>5558</v>
      </c>
      <c r="F3286" s="109" t="s">
        <v>21094</v>
      </c>
      <c r="G3286" s="110" t="s">
        <v>6248</v>
      </c>
      <c r="H3286" s="110" t="s">
        <v>7592</v>
      </c>
      <c r="I3286" s="110" t="s">
        <v>21095</v>
      </c>
    </row>
    <row r="3287" spans="1:9" ht="37.799999999999997" x14ac:dyDescent="0.3">
      <c r="A3287" s="109" t="s">
        <v>21096</v>
      </c>
      <c r="B3287" s="109" t="s">
        <v>21007</v>
      </c>
      <c r="C3287" s="109" t="s">
        <v>21007</v>
      </c>
      <c r="D3287" s="109" t="s">
        <v>21097</v>
      </c>
      <c r="E3287" s="109" t="s">
        <v>5558</v>
      </c>
      <c r="F3287" s="109" t="s">
        <v>21098</v>
      </c>
      <c r="G3287" s="110" t="s">
        <v>6248</v>
      </c>
      <c r="H3287" s="110" t="s">
        <v>8984</v>
      </c>
      <c r="I3287" s="110" t="s">
        <v>21099</v>
      </c>
    </row>
    <row r="3288" spans="1:9" ht="25.2" x14ac:dyDescent="0.3">
      <c r="A3288" s="109" t="s">
        <v>21100</v>
      </c>
      <c r="B3288" s="109" t="s">
        <v>21007</v>
      </c>
      <c r="C3288" s="109" t="s">
        <v>21007</v>
      </c>
      <c r="D3288" s="109" t="s">
        <v>21101</v>
      </c>
      <c r="E3288" s="109" t="s">
        <v>5558</v>
      </c>
      <c r="F3288" s="109" t="s">
        <v>21102</v>
      </c>
      <c r="G3288" s="110" t="s">
        <v>6248</v>
      </c>
      <c r="H3288" s="110" t="s">
        <v>7898</v>
      </c>
      <c r="I3288" s="110" t="s">
        <v>21103</v>
      </c>
    </row>
    <row r="3289" spans="1:9" ht="25.2" x14ac:dyDescent="0.3">
      <c r="A3289" s="109" t="s">
        <v>21104</v>
      </c>
      <c r="B3289" s="109" t="s">
        <v>21007</v>
      </c>
      <c r="C3289" s="109" t="s">
        <v>21007</v>
      </c>
      <c r="D3289" s="109" t="s">
        <v>21105</v>
      </c>
      <c r="E3289" s="109" t="s">
        <v>5558</v>
      </c>
      <c r="F3289" s="109" t="s">
        <v>21106</v>
      </c>
      <c r="G3289" s="110" t="s">
        <v>6248</v>
      </c>
      <c r="H3289" s="110" t="s">
        <v>7830</v>
      </c>
      <c r="I3289" s="110" t="s">
        <v>21107</v>
      </c>
    </row>
    <row r="3290" spans="1:9" ht="25.2" x14ac:dyDescent="0.3">
      <c r="A3290" s="109" t="s">
        <v>21108</v>
      </c>
      <c r="B3290" s="109" t="s">
        <v>21007</v>
      </c>
      <c r="C3290" s="109" t="s">
        <v>21007</v>
      </c>
      <c r="D3290" s="109" t="s">
        <v>21109</v>
      </c>
      <c r="E3290" s="109" t="s">
        <v>5558</v>
      </c>
      <c r="F3290" s="109" t="s">
        <v>21110</v>
      </c>
      <c r="G3290" s="110" t="s">
        <v>6248</v>
      </c>
      <c r="H3290" s="110" t="s">
        <v>7830</v>
      </c>
      <c r="I3290" s="110" t="s">
        <v>21111</v>
      </c>
    </row>
    <row r="3291" spans="1:9" ht="25.2" x14ac:dyDescent="0.3">
      <c r="A3291" s="109" t="s">
        <v>21112</v>
      </c>
      <c r="B3291" s="109" t="s">
        <v>21007</v>
      </c>
      <c r="C3291" s="109" t="s">
        <v>21007</v>
      </c>
      <c r="D3291" s="109" t="s">
        <v>21113</v>
      </c>
      <c r="E3291" s="109" t="s">
        <v>5558</v>
      </c>
      <c r="F3291" s="109" t="s">
        <v>21114</v>
      </c>
      <c r="G3291" s="110" t="s">
        <v>6248</v>
      </c>
      <c r="H3291" s="110" t="s">
        <v>21115</v>
      </c>
      <c r="I3291" s="110" t="s">
        <v>21116</v>
      </c>
    </row>
    <row r="3292" spans="1:9" ht="37.799999999999997" x14ac:dyDescent="0.3">
      <c r="A3292" s="109" t="s">
        <v>21117</v>
      </c>
      <c r="B3292" s="109" t="s">
        <v>21007</v>
      </c>
      <c r="C3292" s="109" t="s">
        <v>21007</v>
      </c>
      <c r="D3292" s="109" t="s">
        <v>21118</v>
      </c>
      <c r="E3292" s="109" t="s">
        <v>5558</v>
      </c>
      <c r="F3292" s="109" t="s">
        <v>21119</v>
      </c>
      <c r="G3292" s="110" t="s">
        <v>6248</v>
      </c>
      <c r="H3292" s="110" t="s">
        <v>6474</v>
      </c>
      <c r="I3292" s="110" t="s">
        <v>21120</v>
      </c>
    </row>
    <row r="3293" spans="1:9" ht="25.2" x14ac:dyDescent="0.3">
      <c r="A3293" s="109" t="s">
        <v>21121</v>
      </c>
      <c r="B3293" s="109" t="s">
        <v>21007</v>
      </c>
      <c r="C3293" s="109" t="s">
        <v>21007</v>
      </c>
      <c r="D3293" s="109" t="s">
        <v>21122</v>
      </c>
      <c r="E3293" s="109" t="s">
        <v>5558</v>
      </c>
      <c r="F3293" s="109" t="s">
        <v>21123</v>
      </c>
      <c r="G3293" s="110" t="s">
        <v>6248</v>
      </c>
      <c r="H3293" s="110" t="s">
        <v>6489</v>
      </c>
      <c r="I3293" s="110" t="s">
        <v>21124</v>
      </c>
    </row>
    <row r="3294" spans="1:9" ht="25.2" x14ac:dyDescent="0.3">
      <c r="A3294" s="109" t="s">
        <v>21125</v>
      </c>
      <c r="B3294" s="109" t="s">
        <v>21007</v>
      </c>
      <c r="C3294" s="109" t="s">
        <v>21007</v>
      </c>
      <c r="D3294" s="109" t="s">
        <v>21126</v>
      </c>
      <c r="E3294" s="109" t="s">
        <v>5558</v>
      </c>
      <c r="F3294" s="109" t="s">
        <v>21127</v>
      </c>
      <c r="G3294" s="110" t="s">
        <v>6248</v>
      </c>
      <c r="H3294" s="110" t="s">
        <v>12935</v>
      </c>
      <c r="I3294" s="110" t="s">
        <v>21128</v>
      </c>
    </row>
    <row r="3295" spans="1:9" ht="25.2" x14ac:dyDescent="0.3">
      <c r="A3295" s="109" t="s">
        <v>21129</v>
      </c>
      <c r="B3295" s="109" t="s">
        <v>21007</v>
      </c>
      <c r="C3295" s="109" t="s">
        <v>21007</v>
      </c>
      <c r="D3295" s="109" t="s">
        <v>21130</v>
      </c>
      <c r="E3295" s="109" t="s">
        <v>5558</v>
      </c>
      <c r="F3295" s="109" t="s">
        <v>21131</v>
      </c>
      <c r="G3295" s="110" t="s">
        <v>6248</v>
      </c>
      <c r="H3295" s="110" t="s">
        <v>21132</v>
      </c>
      <c r="I3295" s="110" t="s">
        <v>21133</v>
      </c>
    </row>
    <row r="3296" spans="1:9" ht="25.2" x14ac:dyDescent="0.3">
      <c r="A3296" s="109" t="s">
        <v>21134</v>
      </c>
      <c r="B3296" s="109" t="s">
        <v>21007</v>
      </c>
      <c r="C3296" s="109" t="s">
        <v>21007</v>
      </c>
      <c r="D3296" s="109" t="s">
        <v>21135</v>
      </c>
      <c r="E3296" s="109" t="s">
        <v>5558</v>
      </c>
      <c r="F3296" s="109" t="s">
        <v>21131</v>
      </c>
      <c r="G3296" s="110" t="s">
        <v>6248</v>
      </c>
      <c r="H3296" s="110" t="s">
        <v>12208</v>
      </c>
      <c r="I3296" s="110" t="s">
        <v>21136</v>
      </c>
    </row>
    <row r="3297" spans="1:9" ht="25.2" x14ac:dyDescent="0.3">
      <c r="A3297" s="109" t="s">
        <v>21137</v>
      </c>
      <c r="B3297" s="109" t="s">
        <v>21007</v>
      </c>
      <c r="C3297" s="109" t="s">
        <v>21007</v>
      </c>
      <c r="D3297" s="109" t="s">
        <v>21138</v>
      </c>
      <c r="E3297" s="109" t="s">
        <v>5558</v>
      </c>
      <c r="F3297" s="109" t="s">
        <v>21139</v>
      </c>
      <c r="G3297" s="110" t="s">
        <v>6248</v>
      </c>
      <c r="H3297" s="110" t="s">
        <v>21140</v>
      </c>
      <c r="I3297" s="110" t="s">
        <v>21141</v>
      </c>
    </row>
    <row r="3298" spans="1:9" ht="25.2" x14ac:dyDescent="0.3">
      <c r="A3298" s="109" t="s">
        <v>21142</v>
      </c>
      <c r="B3298" s="109" t="s">
        <v>21007</v>
      </c>
      <c r="C3298" s="109" t="s">
        <v>21007</v>
      </c>
      <c r="D3298" s="109" t="s">
        <v>21143</v>
      </c>
      <c r="E3298" s="109" t="s">
        <v>5558</v>
      </c>
      <c r="F3298" s="109" t="s">
        <v>21144</v>
      </c>
      <c r="G3298" s="110" t="s">
        <v>6248</v>
      </c>
      <c r="H3298" s="110" t="s">
        <v>7817</v>
      </c>
      <c r="I3298" s="110" t="s">
        <v>21145</v>
      </c>
    </row>
    <row r="3299" spans="1:9" ht="37.799999999999997" x14ac:dyDescent="0.3">
      <c r="A3299" s="109" t="s">
        <v>21146</v>
      </c>
      <c r="B3299" s="109" t="s">
        <v>21007</v>
      </c>
      <c r="C3299" s="109" t="s">
        <v>21007</v>
      </c>
      <c r="D3299" s="109" t="s">
        <v>21147</v>
      </c>
      <c r="E3299" s="109" t="s">
        <v>5558</v>
      </c>
      <c r="F3299" s="109" t="s">
        <v>21148</v>
      </c>
      <c r="G3299" s="110" t="s">
        <v>6248</v>
      </c>
      <c r="H3299" s="110" t="s">
        <v>7817</v>
      </c>
      <c r="I3299" s="110" t="s">
        <v>21149</v>
      </c>
    </row>
    <row r="3300" spans="1:9" ht="25.2" x14ac:dyDescent="0.3">
      <c r="A3300" s="109" t="s">
        <v>21150</v>
      </c>
      <c r="B3300" s="109" t="s">
        <v>21007</v>
      </c>
      <c r="C3300" s="109" t="s">
        <v>21007</v>
      </c>
      <c r="D3300" s="109" t="s">
        <v>21151</v>
      </c>
      <c r="E3300" s="109" t="s">
        <v>5558</v>
      </c>
      <c r="F3300" s="109" t="s">
        <v>21152</v>
      </c>
      <c r="G3300" s="110" t="s">
        <v>6248</v>
      </c>
      <c r="H3300" s="110" t="s">
        <v>8905</v>
      </c>
      <c r="I3300" s="110" t="s">
        <v>21153</v>
      </c>
    </row>
    <row r="3301" spans="1:9" ht="37.799999999999997" x14ac:dyDescent="0.3">
      <c r="A3301" s="109" t="s">
        <v>21154</v>
      </c>
      <c r="B3301" s="109" t="s">
        <v>21007</v>
      </c>
      <c r="C3301" s="109" t="s">
        <v>21007</v>
      </c>
      <c r="D3301" s="109" t="s">
        <v>21155</v>
      </c>
      <c r="E3301" s="109" t="s">
        <v>5558</v>
      </c>
      <c r="F3301" s="109" t="s">
        <v>21156</v>
      </c>
      <c r="G3301" s="110" t="s">
        <v>6248</v>
      </c>
      <c r="H3301" s="110" t="s">
        <v>7817</v>
      </c>
      <c r="I3301" s="110" t="s">
        <v>21157</v>
      </c>
    </row>
    <row r="3302" spans="1:9" ht="25.2" x14ac:dyDescent="0.3">
      <c r="A3302" s="109" t="s">
        <v>21158</v>
      </c>
      <c r="B3302" s="109" t="s">
        <v>21007</v>
      </c>
      <c r="C3302" s="109" t="s">
        <v>21007</v>
      </c>
      <c r="D3302" s="109" t="s">
        <v>21159</v>
      </c>
      <c r="E3302" s="109" t="s">
        <v>5558</v>
      </c>
      <c r="F3302" s="109" t="s">
        <v>21160</v>
      </c>
      <c r="G3302" s="110" t="s">
        <v>6248</v>
      </c>
      <c r="H3302" s="110" t="s">
        <v>6474</v>
      </c>
      <c r="I3302" s="110" t="s">
        <v>21161</v>
      </c>
    </row>
    <row r="3303" spans="1:9" ht="25.2" x14ac:dyDescent="0.3">
      <c r="A3303" s="109" t="s">
        <v>21162</v>
      </c>
      <c r="B3303" s="109" t="s">
        <v>21007</v>
      </c>
      <c r="C3303" s="109" t="s">
        <v>21007</v>
      </c>
      <c r="D3303" s="109" t="s">
        <v>21163</v>
      </c>
      <c r="E3303" s="109" t="s">
        <v>5558</v>
      </c>
      <c r="F3303" s="109" t="s">
        <v>21164</v>
      </c>
      <c r="G3303" s="110" t="s">
        <v>6248</v>
      </c>
      <c r="H3303" s="110" t="s">
        <v>6408</v>
      </c>
      <c r="I3303" s="110" t="s">
        <v>21165</v>
      </c>
    </row>
    <row r="3304" spans="1:9" ht="25.2" x14ac:dyDescent="0.3">
      <c r="A3304" s="109" t="s">
        <v>21166</v>
      </c>
      <c r="B3304" s="109" t="s">
        <v>21007</v>
      </c>
      <c r="C3304" s="109" t="s">
        <v>21007</v>
      </c>
      <c r="D3304" s="109" t="s">
        <v>21167</v>
      </c>
      <c r="E3304" s="109" t="s">
        <v>5558</v>
      </c>
      <c r="F3304" s="109" t="s">
        <v>21168</v>
      </c>
      <c r="G3304" s="110" t="s">
        <v>6398</v>
      </c>
      <c r="H3304" s="110" t="s">
        <v>6248</v>
      </c>
      <c r="I3304" s="110" t="s">
        <v>21169</v>
      </c>
    </row>
    <row r="3305" spans="1:9" ht="25.2" x14ac:dyDescent="0.3">
      <c r="A3305" s="109" t="s">
        <v>21170</v>
      </c>
      <c r="B3305" s="109" t="s">
        <v>21007</v>
      </c>
      <c r="C3305" s="109" t="s">
        <v>21007</v>
      </c>
      <c r="D3305" s="109" t="s">
        <v>21171</v>
      </c>
      <c r="E3305" s="109" t="s">
        <v>5558</v>
      </c>
      <c r="F3305" s="109" t="s">
        <v>21172</v>
      </c>
      <c r="G3305" s="110" t="s">
        <v>6248</v>
      </c>
      <c r="H3305" s="110" t="s">
        <v>21173</v>
      </c>
      <c r="I3305" s="110" t="s">
        <v>21174</v>
      </c>
    </row>
    <row r="3306" spans="1:9" ht="25.2" x14ac:dyDescent="0.3">
      <c r="A3306" s="109" t="s">
        <v>21175</v>
      </c>
      <c r="B3306" s="109" t="s">
        <v>21007</v>
      </c>
      <c r="C3306" s="109" t="s">
        <v>21007</v>
      </c>
      <c r="D3306" s="109" t="s">
        <v>21176</v>
      </c>
      <c r="E3306" s="109" t="s">
        <v>5558</v>
      </c>
      <c r="F3306" s="109" t="s">
        <v>21177</v>
      </c>
      <c r="G3306" s="110" t="s">
        <v>6248</v>
      </c>
      <c r="H3306" s="110" t="s">
        <v>6398</v>
      </c>
      <c r="I3306" s="110" t="s">
        <v>21178</v>
      </c>
    </row>
    <row r="3307" spans="1:9" ht="37.799999999999997" x14ac:dyDescent="0.3">
      <c r="A3307" s="109" t="s">
        <v>21179</v>
      </c>
      <c r="B3307" s="109" t="s">
        <v>21007</v>
      </c>
      <c r="C3307" s="109" t="s">
        <v>21007</v>
      </c>
      <c r="D3307" s="109" t="s">
        <v>21180</v>
      </c>
      <c r="E3307" s="109" t="s">
        <v>5558</v>
      </c>
      <c r="F3307" s="109" t="s">
        <v>21181</v>
      </c>
      <c r="G3307" s="110" t="s">
        <v>6248</v>
      </c>
      <c r="H3307" s="110" t="s">
        <v>6460</v>
      </c>
      <c r="I3307" s="110" t="s">
        <v>21182</v>
      </c>
    </row>
    <row r="3308" spans="1:9" ht="25.2" x14ac:dyDescent="0.3">
      <c r="A3308" s="109" t="s">
        <v>21183</v>
      </c>
      <c r="B3308" s="109" t="s">
        <v>21007</v>
      </c>
      <c r="C3308" s="109" t="s">
        <v>21007</v>
      </c>
      <c r="D3308" s="109" t="s">
        <v>21184</v>
      </c>
      <c r="E3308" s="109" t="s">
        <v>5558</v>
      </c>
      <c r="F3308" s="109" t="s">
        <v>21185</v>
      </c>
      <c r="G3308" s="110" t="s">
        <v>6248</v>
      </c>
      <c r="H3308" s="110" t="s">
        <v>11525</v>
      </c>
      <c r="I3308" s="110" t="s">
        <v>21186</v>
      </c>
    </row>
    <row r="3309" spans="1:9" ht="25.2" x14ac:dyDescent="0.3">
      <c r="A3309" s="109" t="s">
        <v>21187</v>
      </c>
      <c r="B3309" s="109" t="s">
        <v>21007</v>
      </c>
      <c r="C3309" s="109" t="s">
        <v>21007</v>
      </c>
      <c r="D3309" s="109" t="s">
        <v>21188</v>
      </c>
      <c r="E3309" s="109" t="s">
        <v>5558</v>
      </c>
      <c r="F3309" s="109" t="s">
        <v>21189</v>
      </c>
      <c r="G3309" s="110" t="s">
        <v>6248</v>
      </c>
      <c r="H3309" s="110" t="s">
        <v>21190</v>
      </c>
      <c r="I3309" s="110" t="s">
        <v>21191</v>
      </c>
    </row>
    <row r="3310" spans="1:9" ht="25.2" x14ac:dyDescent="0.3">
      <c r="A3310" s="109" t="s">
        <v>21192</v>
      </c>
      <c r="B3310" s="109" t="s">
        <v>21007</v>
      </c>
      <c r="C3310" s="109" t="s">
        <v>21007</v>
      </c>
      <c r="D3310" s="109" t="s">
        <v>21193</v>
      </c>
      <c r="E3310" s="109" t="s">
        <v>5558</v>
      </c>
      <c r="F3310" s="109" t="s">
        <v>21194</v>
      </c>
      <c r="G3310" s="110" t="s">
        <v>6248</v>
      </c>
      <c r="H3310" s="110" t="s">
        <v>6883</v>
      </c>
      <c r="I3310" s="110" t="s">
        <v>21195</v>
      </c>
    </row>
    <row r="3311" spans="1:9" ht="37.799999999999997" x14ac:dyDescent="0.3">
      <c r="A3311" s="109" t="s">
        <v>21196</v>
      </c>
      <c r="B3311" s="109" t="s">
        <v>21007</v>
      </c>
      <c r="C3311" s="109" t="s">
        <v>21007</v>
      </c>
      <c r="D3311" s="109" t="s">
        <v>21197</v>
      </c>
      <c r="E3311" s="109" t="s">
        <v>5558</v>
      </c>
      <c r="F3311" s="109" t="s">
        <v>21198</v>
      </c>
      <c r="G3311" s="110" t="s">
        <v>6248</v>
      </c>
      <c r="H3311" s="110" t="s">
        <v>8348</v>
      </c>
      <c r="I3311" s="110" t="s">
        <v>21199</v>
      </c>
    </row>
    <row r="3312" spans="1:9" ht="25.2" x14ac:dyDescent="0.3">
      <c r="A3312" s="109" t="s">
        <v>21200</v>
      </c>
      <c r="B3312" s="109" t="s">
        <v>21007</v>
      </c>
      <c r="C3312" s="109" t="s">
        <v>21007</v>
      </c>
      <c r="D3312" s="109" t="s">
        <v>21201</v>
      </c>
      <c r="E3312" s="109" t="s">
        <v>5558</v>
      </c>
      <c r="F3312" s="109" t="s">
        <v>21202</v>
      </c>
      <c r="G3312" s="110" t="s">
        <v>6248</v>
      </c>
      <c r="H3312" s="110" t="s">
        <v>6601</v>
      </c>
      <c r="I3312" s="110" t="s">
        <v>21203</v>
      </c>
    </row>
    <row r="3313" spans="1:9" ht="25.2" x14ac:dyDescent="0.3">
      <c r="A3313" s="109" t="s">
        <v>21204</v>
      </c>
      <c r="B3313" s="109" t="s">
        <v>21007</v>
      </c>
      <c r="C3313" s="109" t="s">
        <v>21007</v>
      </c>
      <c r="D3313" s="109" t="s">
        <v>21205</v>
      </c>
      <c r="E3313" s="109" t="s">
        <v>5558</v>
      </c>
      <c r="F3313" s="109" t="s">
        <v>21206</v>
      </c>
      <c r="G3313" s="110" t="s">
        <v>6248</v>
      </c>
      <c r="H3313" s="110" t="s">
        <v>6398</v>
      </c>
      <c r="I3313" s="110" t="s">
        <v>21207</v>
      </c>
    </row>
    <row r="3314" spans="1:9" ht="25.2" x14ac:dyDescent="0.3">
      <c r="A3314" s="109" t="s">
        <v>21208</v>
      </c>
      <c r="B3314" s="109" t="s">
        <v>21007</v>
      </c>
      <c r="C3314" s="109" t="s">
        <v>21007</v>
      </c>
      <c r="D3314" s="109" t="s">
        <v>21209</v>
      </c>
      <c r="E3314" s="109" t="s">
        <v>5558</v>
      </c>
      <c r="F3314" s="109" t="s">
        <v>21210</v>
      </c>
      <c r="G3314" s="110" t="s">
        <v>6248</v>
      </c>
      <c r="H3314" s="110" t="s">
        <v>6398</v>
      </c>
      <c r="I3314" s="110" t="s">
        <v>21211</v>
      </c>
    </row>
    <row r="3315" spans="1:9" ht="25.2" x14ac:dyDescent="0.3">
      <c r="A3315" s="109" t="s">
        <v>21212</v>
      </c>
      <c r="B3315" s="109" t="s">
        <v>21007</v>
      </c>
      <c r="C3315" s="109" t="s">
        <v>21007</v>
      </c>
      <c r="D3315" s="109" t="s">
        <v>21213</v>
      </c>
      <c r="E3315" s="109" t="s">
        <v>5558</v>
      </c>
      <c r="F3315" s="109" t="s">
        <v>21214</v>
      </c>
      <c r="G3315" s="110" t="s">
        <v>6248</v>
      </c>
      <c r="H3315" s="110" t="s">
        <v>6507</v>
      </c>
      <c r="I3315" s="110" t="s">
        <v>21215</v>
      </c>
    </row>
    <row r="3316" spans="1:9" ht="25.2" x14ac:dyDescent="0.3">
      <c r="A3316" s="109" t="s">
        <v>21216</v>
      </c>
      <c r="B3316" s="109" t="s">
        <v>21007</v>
      </c>
      <c r="C3316" s="109" t="s">
        <v>21007</v>
      </c>
      <c r="D3316" s="109" t="s">
        <v>21217</v>
      </c>
      <c r="E3316" s="109" t="s">
        <v>5558</v>
      </c>
      <c r="F3316" s="109" t="s">
        <v>21218</v>
      </c>
      <c r="G3316" s="110" t="s">
        <v>6248</v>
      </c>
      <c r="H3316" s="110" t="s">
        <v>7863</v>
      </c>
      <c r="I3316" s="110" t="s">
        <v>21219</v>
      </c>
    </row>
    <row r="3317" spans="1:9" ht="25.2" x14ac:dyDescent="0.3">
      <c r="A3317" s="109" t="s">
        <v>21220</v>
      </c>
      <c r="B3317" s="109" t="s">
        <v>21007</v>
      </c>
      <c r="C3317" s="109" t="s">
        <v>21007</v>
      </c>
      <c r="D3317" s="109" t="s">
        <v>21221</v>
      </c>
      <c r="E3317" s="109" t="s">
        <v>5558</v>
      </c>
      <c r="F3317" s="109" t="s">
        <v>21222</v>
      </c>
      <c r="G3317" s="110" t="s">
        <v>6248</v>
      </c>
      <c r="H3317" s="110" t="s">
        <v>6408</v>
      </c>
      <c r="I3317" s="110" t="s">
        <v>21223</v>
      </c>
    </row>
    <row r="3318" spans="1:9" ht="25.2" x14ac:dyDescent="0.3">
      <c r="A3318" s="109" t="s">
        <v>21224</v>
      </c>
      <c r="B3318" s="109" t="s">
        <v>21007</v>
      </c>
      <c r="C3318" s="109" t="s">
        <v>21007</v>
      </c>
      <c r="D3318" s="109" t="s">
        <v>21225</v>
      </c>
      <c r="E3318" s="109" t="s">
        <v>5558</v>
      </c>
      <c r="F3318" s="109" t="s">
        <v>21226</v>
      </c>
      <c r="G3318" s="110" t="s">
        <v>6248</v>
      </c>
      <c r="H3318" s="110" t="s">
        <v>6460</v>
      </c>
      <c r="I3318" s="110" t="s">
        <v>21227</v>
      </c>
    </row>
    <row r="3319" spans="1:9" ht="37.799999999999997" x14ac:dyDescent="0.3">
      <c r="A3319" s="109" t="s">
        <v>21228</v>
      </c>
      <c r="B3319" s="109" t="s">
        <v>21007</v>
      </c>
      <c r="C3319" s="109" t="s">
        <v>21007</v>
      </c>
      <c r="D3319" s="109" t="s">
        <v>21229</v>
      </c>
      <c r="E3319" s="109" t="s">
        <v>5558</v>
      </c>
      <c r="F3319" s="109" t="s">
        <v>21230</v>
      </c>
      <c r="G3319" s="110" t="s">
        <v>6248</v>
      </c>
      <c r="H3319" s="110" t="s">
        <v>6413</v>
      </c>
      <c r="I3319" s="110" t="s">
        <v>21231</v>
      </c>
    </row>
    <row r="3320" spans="1:9" ht="37.799999999999997" x14ac:dyDescent="0.3">
      <c r="A3320" s="109" t="s">
        <v>21232</v>
      </c>
      <c r="B3320" s="109" t="s">
        <v>21007</v>
      </c>
      <c r="C3320" s="109" t="s">
        <v>21007</v>
      </c>
      <c r="D3320" s="109" t="s">
        <v>21233</v>
      </c>
      <c r="E3320" s="109" t="s">
        <v>5558</v>
      </c>
      <c r="F3320" s="109" t="s">
        <v>21234</v>
      </c>
      <c r="G3320" s="110" t="s">
        <v>6248</v>
      </c>
      <c r="H3320" s="110" t="s">
        <v>6689</v>
      </c>
      <c r="I3320" s="110" t="s">
        <v>21235</v>
      </c>
    </row>
    <row r="3321" spans="1:9" ht="25.2" x14ac:dyDescent="0.3">
      <c r="A3321" s="109" t="s">
        <v>21236</v>
      </c>
      <c r="B3321" s="109" t="s">
        <v>21007</v>
      </c>
      <c r="C3321" s="109" t="s">
        <v>21007</v>
      </c>
      <c r="D3321" s="109" t="s">
        <v>21237</v>
      </c>
      <c r="E3321" s="109" t="s">
        <v>5558</v>
      </c>
      <c r="F3321" s="109" t="s">
        <v>21238</v>
      </c>
      <c r="G3321" s="110" t="s">
        <v>6248</v>
      </c>
      <c r="H3321" s="110" t="s">
        <v>6474</v>
      </c>
      <c r="I3321" s="110" t="s">
        <v>21239</v>
      </c>
    </row>
    <row r="3322" spans="1:9" ht="25.2" x14ac:dyDescent="0.3">
      <c r="A3322" s="109" t="s">
        <v>21240</v>
      </c>
      <c r="B3322" s="109" t="s">
        <v>21007</v>
      </c>
      <c r="C3322" s="109" t="s">
        <v>21007</v>
      </c>
      <c r="D3322" s="109" t="s">
        <v>21241</v>
      </c>
      <c r="E3322" s="109" t="s">
        <v>5558</v>
      </c>
      <c r="F3322" s="109" t="s">
        <v>21242</v>
      </c>
      <c r="G3322" s="110" t="s">
        <v>6248</v>
      </c>
      <c r="H3322" s="110" t="s">
        <v>6575</v>
      </c>
      <c r="I3322" s="110" t="s">
        <v>21243</v>
      </c>
    </row>
    <row r="3323" spans="1:9" ht="25.2" x14ac:dyDescent="0.3">
      <c r="A3323" s="109" t="s">
        <v>21244</v>
      </c>
      <c r="B3323" s="109" t="s">
        <v>21007</v>
      </c>
      <c r="C3323" s="109" t="s">
        <v>21007</v>
      </c>
      <c r="D3323" s="109" t="s">
        <v>21245</v>
      </c>
      <c r="E3323" s="109" t="s">
        <v>5558</v>
      </c>
      <c r="F3323" s="109" t="s">
        <v>21246</v>
      </c>
      <c r="G3323" s="110" t="s">
        <v>6248</v>
      </c>
      <c r="H3323" s="110" t="s">
        <v>12935</v>
      </c>
      <c r="I3323" s="110" t="s">
        <v>21247</v>
      </c>
    </row>
    <row r="3324" spans="1:9" ht="25.2" x14ac:dyDescent="0.3">
      <c r="A3324" s="109" t="s">
        <v>21248</v>
      </c>
      <c r="B3324" s="109" t="s">
        <v>21007</v>
      </c>
      <c r="C3324" s="109" t="s">
        <v>21007</v>
      </c>
      <c r="D3324" s="109" t="s">
        <v>21249</v>
      </c>
      <c r="E3324" s="109" t="s">
        <v>5558</v>
      </c>
      <c r="F3324" s="109" t="s">
        <v>21250</v>
      </c>
      <c r="G3324" s="110" t="s">
        <v>6248</v>
      </c>
      <c r="H3324" s="110" t="s">
        <v>7817</v>
      </c>
      <c r="I3324" s="110" t="s">
        <v>21251</v>
      </c>
    </row>
    <row r="3325" spans="1:9" ht="25.2" x14ac:dyDescent="0.3">
      <c r="A3325" s="109" t="s">
        <v>21252</v>
      </c>
      <c r="B3325" s="109" t="s">
        <v>21007</v>
      </c>
      <c r="C3325" s="109" t="s">
        <v>21007</v>
      </c>
      <c r="D3325" s="109" t="s">
        <v>21253</v>
      </c>
      <c r="E3325" s="109" t="s">
        <v>5558</v>
      </c>
      <c r="F3325" s="109" t="s">
        <v>21254</v>
      </c>
      <c r="G3325" s="110" t="s">
        <v>6248</v>
      </c>
      <c r="H3325" s="110" t="s">
        <v>6689</v>
      </c>
      <c r="I3325" s="110" t="s">
        <v>21255</v>
      </c>
    </row>
    <row r="3326" spans="1:9" ht="37.799999999999997" x14ac:dyDescent="0.3">
      <c r="A3326" s="109" t="s">
        <v>21256</v>
      </c>
      <c r="B3326" s="109" t="s">
        <v>21007</v>
      </c>
      <c r="C3326" s="109" t="s">
        <v>21007</v>
      </c>
      <c r="D3326" s="109" t="s">
        <v>21257</v>
      </c>
      <c r="E3326" s="109" t="s">
        <v>5558</v>
      </c>
      <c r="F3326" s="109" t="s">
        <v>21258</v>
      </c>
      <c r="G3326" s="110" t="s">
        <v>6248</v>
      </c>
      <c r="H3326" s="110" t="s">
        <v>6403</v>
      </c>
      <c r="I3326" s="110" t="s">
        <v>21259</v>
      </c>
    </row>
    <row r="3327" spans="1:9" ht="37.799999999999997" x14ac:dyDescent="0.3">
      <c r="A3327" s="109" t="s">
        <v>21260</v>
      </c>
      <c r="B3327" s="109" t="s">
        <v>21007</v>
      </c>
      <c r="C3327" s="109" t="s">
        <v>21007</v>
      </c>
      <c r="D3327" s="109" t="s">
        <v>21261</v>
      </c>
      <c r="E3327" s="109" t="s">
        <v>5558</v>
      </c>
      <c r="F3327" s="109" t="s">
        <v>21262</v>
      </c>
      <c r="G3327" s="110" t="s">
        <v>6248</v>
      </c>
      <c r="H3327" s="110" t="s">
        <v>6413</v>
      </c>
      <c r="I3327" s="110" t="s">
        <v>21263</v>
      </c>
    </row>
    <row r="3328" spans="1:9" ht="25.2" x14ac:dyDescent="0.3">
      <c r="A3328" s="109" t="s">
        <v>21264</v>
      </c>
      <c r="B3328" s="109" t="s">
        <v>21007</v>
      </c>
      <c r="C3328" s="109" t="s">
        <v>21007</v>
      </c>
      <c r="D3328" s="109" t="s">
        <v>21265</v>
      </c>
      <c r="E3328" s="109" t="s">
        <v>5558</v>
      </c>
      <c r="F3328" s="109" t="s">
        <v>21266</v>
      </c>
      <c r="G3328" s="110" t="s">
        <v>6248</v>
      </c>
      <c r="H3328" s="110" t="s">
        <v>6398</v>
      </c>
      <c r="I3328" s="110" t="s">
        <v>21267</v>
      </c>
    </row>
    <row r="3329" spans="1:9" ht="25.2" x14ac:dyDescent="0.3">
      <c r="A3329" s="109" t="s">
        <v>21268</v>
      </c>
      <c r="B3329" s="109" t="s">
        <v>21007</v>
      </c>
      <c r="C3329" s="109" t="s">
        <v>21007</v>
      </c>
      <c r="D3329" s="109" t="s">
        <v>21269</v>
      </c>
      <c r="E3329" s="109" t="s">
        <v>5558</v>
      </c>
      <c r="F3329" s="109" t="s">
        <v>21270</v>
      </c>
      <c r="G3329" s="110" t="s">
        <v>6248</v>
      </c>
      <c r="H3329" s="110" t="s">
        <v>6346</v>
      </c>
      <c r="I3329" s="110" t="s">
        <v>21271</v>
      </c>
    </row>
    <row r="3330" spans="1:9" ht="25.2" x14ac:dyDescent="0.3">
      <c r="A3330" s="109" t="s">
        <v>21272</v>
      </c>
      <c r="B3330" s="109" t="s">
        <v>21007</v>
      </c>
      <c r="C3330" s="109" t="s">
        <v>21007</v>
      </c>
      <c r="D3330" s="109" t="s">
        <v>21273</v>
      </c>
      <c r="E3330" s="109" t="s">
        <v>5558</v>
      </c>
      <c r="F3330" s="109" t="s">
        <v>6696</v>
      </c>
      <c r="G3330" s="110" t="s">
        <v>21274</v>
      </c>
      <c r="H3330" s="110" t="s">
        <v>6248</v>
      </c>
      <c r="I3330" s="110" t="s">
        <v>21275</v>
      </c>
    </row>
    <row r="3331" spans="1:9" ht="25.2" x14ac:dyDescent="0.3">
      <c r="A3331" s="109" t="s">
        <v>21276</v>
      </c>
      <c r="B3331" s="109" t="s">
        <v>21007</v>
      </c>
      <c r="C3331" s="109" t="s">
        <v>21007</v>
      </c>
      <c r="D3331" s="109" t="s">
        <v>21277</v>
      </c>
      <c r="E3331" s="109" t="s">
        <v>21278</v>
      </c>
      <c r="F3331" s="109" t="s">
        <v>21279</v>
      </c>
      <c r="G3331" s="110" t="s">
        <v>6248</v>
      </c>
      <c r="H3331" s="110" t="s">
        <v>21280</v>
      </c>
      <c r="I3331" s="110" t="s">
        <v>21281</v>
      </c>
    </row>
    <row r="3332" spans="1:9" ht="25.2" x14ac:dyDescent="0.3">
      <c r="A3332" s="109" t="s">
        <v>21282</v>
      </c>
      <c r="B3332" s="109" t="s">
        <v>21007</v>
      </c>
      <c r="C3332" s="109" t="s">
        <v>21007</v>
      </c>
      <c r="D3332" s="109" t="s">
        <v>21283</v>
      </c>
      <c r="E3332" s="109" t="s">
        <v>5558</v>
      </c>
      <c r="F3332" s="109" t="s">
        <v>21284</v>
      </c>
      <c r="G3332" s="110" t="s">
        <v>6248</v>
      </c>
      <c r="H3332" s="110" t="s">
        <v>21285</v>
      </c>
      <c r="I3332" s="110" t="s">
        <v>21286</v>
      </c>
    </row>
    <row r="3333" spans="1:9" ht="75.599999999999994" x14ac:dyDescent="0.3">
      <c r="A3333" s="109" t="s">
        <v>21287</v>
      </c>
      <c r="B3333" s="109" t="s">
        <v>21007</v>
      </c>
      <c r="C3333" s="109" t="s">
        <v>21007</v>
      </c>
      <c r="D3333" s="109" t="s">
        <v>21288</v>
      </c>
      <c r="E3333" s="109" t="s">
        <v>21288</v>
      </c>
      <c r="F3333" s="109" t="s">
        <v>21289</v>
      </c>
      <c r="G3333" s="110" t="s">
        <v>6248</v>
      </c>
      <c r="H3333" s="110" t="s">
        <v>21290</v>
      </c>
      <c r="I3333" s="110" t="s">
        <v>21291</v>
      </c>
    </row>
    <row r="3334" spans="1:9" ht="25.2" x14ac:dyDescent="0.3">
      <c r="A3334" s="109" t="s">
        <v>21292</v>
      </c>
      <c r="B3334" s="109" t="s">
        <v>21007</v>
      </c>
      <c r="C3334" s="109" t="s">
        <v>21007</v>
      </c>
      <c r="D3334" s="109" t="s">
        <v>21293</v>
      </c>
      <c r="E3334" s="109" t="s">
        <v>21294</v>
      </c>
      <c r="F3334" s="109" t="s">
        <v>21295</v>
      </c>
      <c r="G3334" s="110" t="s">
        <v>6248</v>
      </c>
      <c r="H3334" s="110" t="s">
        <v>21296</v>
      </c>
      <c r="I3334" s="110" t="s">
        <v>21297</v>
      </c>
    </row>
    <row r="3335" spans="1:9" ht="25.2" x14ac:dyDescent="0.3">
      <c r="A3335" s="109" t="s">
        <v>21298</v>
      </c>
      <c r="B3335" s="109" t="s">
        <v>21007</v>
      </c>
      <c r="C3335" s="109" t="s">
        <v>21007</v>
      </c>
      <c r="D3335" s="109" t="s">
        <v>21299</v>
      </c>
      <c r="E3335" s="109" t="s">
        <v>21300</v>
      </c>
      <c r="F3335" s="109" t="s">
        <v>6878</v>
      </c>
      <c r="G3335" s="110" t="s">
        <v>21301</v>
      </c>
      <c r="H3335" s="110" t="s">
        <v>6248</v>
      </c>
      <c r="I3335" s="110" t="s">
        <v>21302</v>
      </c>
    </row>
    <row r="3336" spans="1:9" ht="25.2" x14ac:dyDescent="0.3">
      <c r="A3336" s="109" t="s">
        <v>21303</v>
      </c>
      <c r="B3336" s="109" t="s">
        <v>21007</v>
      </c>
      <c r="C3336" s="109" t="s">
        <v>21007</v>
      </c>
      <c r="D3336" s="109" t="s">
        <v>21304</v>
      </c>
      <c r="E3336" s="109" t="s">
        <v>21300</v>
      </c>
      <c r="F3336" s="109" t="s">
        <v>6878</v>
      </c>
      <c r="G3336" s="110" t="s">
        <v>21305</v>
      </c>
      <c r="H3336" s="110" t="s">
        <v>6248</v>
      </c>
      <c r="I3336" s="110" t="s">
        <v>21306</v>
      </c>
    </row>
    <row r="3337" spans="1:9" ht="25.2" x14ac:dyDescent="0.3">
      <c r="A3337" s="109" t="s">
        <v>21307</v>
      </c>
      <c r="B3337" s="109" t="s">
        <v>21007</v>
      </c>
      <c r="C3337" s="109" t="s">
        <v>21007</v>
      </c>
      <c r="D3337" s="109" t="s">
        <v>21308</v>
      </c>
      <c r="E3337" s="109" t="s">
        <v>5558</v>
      </c>
      <c r="F3337" s="109" t="s">
        <v>21309</v>
      </c>
      <c r="G3337" s="110" t="s">
        <v>6248</v>
      </c>
      <c r="H3337" s="110" t="s">
        <v>6655</v>
      </c>
      <c r="I3337" s="110" t="s">
        <v>21310</v>
      </c>
    </row>
    <row r="3338" spans="1:9" ht="37.799999999999997" x14ac:dyDescent="0.3">
      <c r="A3338" s="109" t="s">
        <v>21311</v>
      </c>
      <c r="B3338" s="109" t="s">
        <v>21007</v>
      </c>
      <c r="C3338" s="109" t="s">
        <v>21007</v>
      </c>
      <c r="D3338" s="109" t="s">
        <v>21312</v>
      </c>
      <c r="E3338" s="109" t="s">
        <v>5558</v>
      </c>
      <c r="F3338" s="109" t="s">
        <v>21313</v>
      </c>
      <c r="G3338" s="110" t="s">
        <v>6248</v>
      </c>
      <c r="H3338" s="110" t="s">
        <v>21314</v>
      </c>
      <c r="I3338" s="110" t="s">
        <v>21315</v>
      </c>
    </row>
    <row r="3339" spans="1:9" ht="25.2" x14ac:dyDescent="0.3">
      <c r="A3339" s="109" t="s">
        <v>21316</v>
      </c>
      <c r="B3339" s="109" t="s">
        <v>21007</v>
      </c>
      <c r="C3339" s="109" t="s">
        <v>21007</v>
      </c>
      <c r="D3339" s="109" t="s">
        <v>5569</v>
      </c>
      <c r="E3339" s="109" t="s">
        <v>5558</v>
      </c>
      <c r="F3339" s="109" t="s">
        <v>2258</v>
      </c>
      <c r="G3339" s="110" t="s">
        <v>6248</v>
      </c>
      <c r="H3339" s="110" t="s">
        <v>8185</v>
      </c>
      <c r="I3339" s="110" t="s">
        <v>21317</v>
      </c>
    </row>
    <row r="3340" spans="1:9" ht="37.799999999999997" x14ac:dyDescent="0.3">
      <c r="A3340" s="109" t="s">
        <v>21318</v>
      </c>
      <c r="B3340" s="109" t="s">
        <v>21007</v>
      </c>
      <c r="C3340" s="109" t="s">
        <v>21007</v>
      </c>
      <c r="D3340" s="109" t="s">
        <v>21319</v>
      </c>
      <c r="E3340" s="109" t="s">
        <v>5558</v>
      </c>
      <c r="F3340" s="109" t="s">
        <v>21320</v>
      </c>
      <c r="G3340" s="110" t="s">
        <v>6248</v>
      </c>
      <c r="H3340" s="110" t="s">
        <v>21321</v>
      </c>
      <c r="I3340" s="110" t="s">
        <v>21322</v>
      </c>
    </row>
    <row r="3341" spans="1:9" ht="37.799999999999997" x14ac:dyDescent="0.3">
      <c r="A3341" s="109" t="s">
        <v>21323</v>
      </c>
      <c r="B3341" s="109" t="s">
        <v>21007</v>
      </c>
      <c r="C3341" s="109" t="s">
        <v>21007</v>
      </c>
      <c r="D3341" s="109" t="s">
        <v>21324</v>
      </c>
      <c r="E3341" s="109" t="s">
        <v>5558</v>
      </c>
      <c r="F3341" s="109" t="s">
        <v>21325</v>
      </c>
      <c r="G3341" s="110" t="s">
        <v>6248</v>
      </c>
      <c r="H3341" s="110" t="s">
        <v>7624</v>
      </c>
      <c r="I3341" s="110" t="s">
        <v>21326</v>
      </c>
    </row>
    <row r="3342" spans="1:9" ht="25.2" x14ac:dyDescent="0.3">
      <c r="A3342" s="109" t="s">
        <v>21327</v>
      </c>
      <c r="B3342" s="109" t="s">
        <v>21007</v>
      </c>
      <c r="C3342" s="109" t="s">
        <v>21007</v>
      </c>
      <c r="D3342" s="109" t="s">
        <v>21328</v>
      </c>
      <c r="E3342" s="109" t="s">
        <v>21329</v>
      </c>
      <c r="F3342" s="109" t="s">
        <v>21330</v>
      </c>
      <c r="G3342" s="110" t="s">
        <v>6248</v>
      </c>
      <c r="H3342" s="110" t="s">
        <v>21331</v>
      </c>
      <c r="I3342" s="110" t="s">
        <v>21332</v>
      </c>
    </row>
    <row r="3343" spans="1:9" ht="25.2" x14ac:dyDescent="0.3">
      <c r="A3343" s="109" t="s">
        <v>21333</v>
      </c>
      <c r="B3343" s="109" t="s">
        <v>21007</v>
      </c>
      <c r="C3343" s="109" t="s">
        <v>21007</v>
      </c>
      <c r="D3343" s="109" t="s">
        <v>21334</v>
      </c>
      <c r="E3343" s="109" t="s">
        <v>5558</v>
      </c>
      <c r="F3343" s="109" t="s">
        <v>21335</v>
      </c>
      <c r="G3343" s="110" t="s">
        <v>6248</v>
      </c>
      <c r="H3343" s="110" t="s">
        <v>6352</v>
      </c>
      <c r="I3343" s="110" t="s">
        <v>21336</v>
      </c>
    </row>
    <row r="3344" spans="1:9" ht="63" x14ac:dyDescent="0.3">
      <c r="A3344" s="109" t="s">
        <v>21337</v>
      </c>
      <c r="B3344" s="109" t="s">
        <v>21007</v>
      </c>
      <c r="C3344" s="109" t="s">
        <v>21007</v>
      </c>
      <c r="D3344" s="109" t="s">
        <v>21338</v>
      </c>
      <c r="E3344" s="109" t="s">
        <v>21338</v>
      </c>
      <c r="F3344" s="109" t="s">
        <v>21339</v>
      </c>
      <c r="G3344" s="110" t="s">
        <v>6248</v>
      </c>
      <c r="H3344" s="110" t="s">
        <v>6341</v>
      </c>
      <c r="I3344" s="110" t="s">
        <v>21340</v>
      </c>
    </row>
    <row r="3345" spans="1:9" ht="25.2" x14ac:dyDescent="0.3">
      <c r="A3345" s="109" t="s">
        <v>21341</v>
      </c>
      <c r="B3345" s="109" t="s">
        <v>21007</v>
      </c>
      <c r="C3345" s="109" t="s">
        <v>21007</v>
      </c>
      <c r="D3345" s="109" t="s">
        <v>5569</v>
      </c>
      <c r="E3345" s="109" t="s">
        <v>5558</v>
      </c>
      <c r="F3345" s="109" t="s">
        <v>2258</v>
      </c>
      <c r="G3345" s="110" t="s">
        <v>6248</v>
      </c>
      <c r="H3345" s="110" t="s">
        <v>21342</v>
      </c>
      <c r="I3345" s="110" t="s">
        <v>21343</v>
      </c>
    </row>
    <row r="3346" spans="1:9" ht="25.2" x14ac:dyDescent="0.3">
      <c r="A3346" s="109" t="s">
        <v>21344</v>
      </c>
      <c r="B3346" s="109" t="s">
        <v>21007</v>
      </c>
      <c r="C3346" s="109" t="s">
        <v>21007</v>
      </c>
      <c r="D3346" s="109" t="s">
        <v>21345</v>
      </c>
      <c r="E3346" s="109" t="s">
        <v>5558</v>
      </c>
      <c r="F3346" s="109" t="s">
        <v>21346</v>
      </c>
      <c r="G3346" s="110" t="s">
        <v>6248</v>
      </c>
      <c r="H3346" s="110" t="s">
        <v>21347</v>
      </c>
      <c r="I3346" s="110" t="s">
        <v>21348</v>
      </c>
    </row>
    <row r="3347" spans="1:9" ht="37.799999999999997" x14ac:dyDescent="0.3">
      <c r="A3347" s="109" t="s">
        <v>21349</v>
      </c>
      <c r="B3347" s="109" t="s">
        <v>21007</v>
      </c>
      <c r="C3347" s="109" t="s">
        <v>21007</v>
      </c>
      <c r="D3347" s="109" t="s">
        <v>21350</v>
      </c>
      <c r="E3347" s="109" t="s">
        <v>5558</v>
      </c>
      <c r="F3347" s="109" t="s">
        <v>21351</v>
      </c>
      <c r="G3347" s="110" t="s">
        <v>6248</v>
      </c>
      <c r="H3347" s="110" t="s">
        <v>15449</v>
      </c>
      <c r="I3347" s="110" t="s">
        <v>21352</v>
      </c>
    </row>
    <row r="3348" spans="1:9" ht="25.2" x14ac:dyDescent="0.3">
      <c r="A3348" s="109" t="s">
        <v>21353</v>
      </c>
      <c r="B3348" s="109" t="s">
        <v>21007</v>
      </c>
      <c r="C3348" s="109" t="s">
        <v>21007</v>
      </c>
      <c r="D3348" s="109" t="s">
        <v>21354</v>
      </c>
      <c r="E3348" s="109" t="s">
        <v>21355</v>
      </c>
      <c r="F3348" s="109" t="s">
        <v>9661</v>
      </c>
      <c r="G3348" s="110" t="s">
        <v>6248</v>
      </c>
      <c r="H3348" s="110" t="s">
        <v>21356</v>
      </c>
      <c r="I3348" s="110" t="s">
        <v>21357</v>
      </c>
    </row>
    <row r="3349" spans="1:9" ht="63" x14ac:dyDescent="0.3">
      <c r="A3349" s="109" t="s">
        <v>21358</v>
      </c>
      <c r="B3349" s="109" t="s">
        <v>21007</v>
      </c>
      <c r="C3349" s="109" t="s">
        <v>21007</v>
      </c>
      <c r="D3349" s="109" t="s">
        <v>21359</v>
      </c>
      <c r="E3349" s="109" t="s">
        <v>21359</v>
      </c>
      <c r="F3349" s="109" t="s">
        <v>21360</v>
      </c>
      <c r="G3349" s="110" t="s">
        <v>6248</v>
      </c>
      <c r="H3349" s="110" t="s">
        <v>6639</v>
      </c>
      <c r="I3349" s="110" t="s">
        <v>21361</v>
      </c>
    </row>
    <row r="3350" spans="1:9" ht="37.799999999999997" x14ac:dyDescent="0.3">
      <c r="A3350" s="109" t="s">
        <v>21362</v>
      </c>
      <c r="B3350" s="109" t="s">
        <v>21007</v>
      </c>
      <c r="C3350" s="109" t="s">
        <v>21007</v>
      </c>
      <c r="D3350" s="109" t="s">
        <v>21363</v>
      </c>
      <c r="E3350" s="109" t="s">
        <v>5558</v>
      </c>
      <c r="F3350" s="109" t="s">
        <v>21364</v>
      </c>
      <c r="G3350" s="110" t="s">
        <v>6248</v>
      </c>
      <c r="H3350" s="110" t="s">
        <v>21365</v>
      </c>
      <c r="I3350" s="110" t="s">
        <v>21366</v>
      </c>
    </row>
    <row r="3351" spans="1:9" ht="25.2" x14ac:dyDescent="0.3">
      <c r="A3351" s="109" t="s">
        <v>21367</v>
      </c>
      <c r="B3351" s="109" t="s">
        <v>21007</v>
      </c>
      <c r="C3351" s="109" t="s">
        <v>21007</v>
      </c>
      <c r="D3351" s="109" t="s">
        <v>21368</v>
      </c>
      <c r="E3351" s="109" t="s">
        <v>5558</v>
      </c>
      <c r="F3351" s="109" t="s">
        <v>21369</v>
      </c>
      <c r="G3351" s="110" t="s">
        <v>6248</v>
      </c>
      <c r="H3351" s="110" t="s">
        <v>6883</v>
      </c>
      <c r="I3351" s="110" t="s">
        <v>21370</v>
      </c>
    </row>
    <row r="3352" spans="1:9" ht="63" x14ac:dyDescent="0.3">
      <c r="A3352" s="109" t="s">
        <v>21371</v>
      </c>
      <c r="B3352" s="109" t="s">
        <v>21007</v>
      </c>
      <c r="C3352" s="109" t="s">
        <v>21007</v>
      </c>
      <c r="D3352" s="109" t="s">
        <v>21372</v>
      </c>
      <c r="E3352" s="109" t="s">
        <v>21372</v>
      </c>
      <c r="F3352" s="109" t="s">
        <v>21373</v>
      </c>
      <c r="G3352" s="110" t="s">
        <v>6248</v>
      </c>
      <c r="H3352" s="110" t="s">
        <v>6689</v>
      </c>
      <c r="I3352" s="110" t="s">
        <v>21374</v>
      </c>
    </row>
    <row r="3353" spans="1:9" ht="25.2" x14ac:dyDescent="0.3">
      <c r="A3353" s="109" t="s">
        <v>21375</v>
      </c>
      <c r="B3353" s="109" t="s">
        <v>21007</v>
      </c>
      <c r="C3353" s="109" t="s">
        <v>21007</v>
      </c>
      <c r="D3353" s="109" t="s">
        <v>21376</v>
      </c>
      <c r="E3353" s="109" t="s">
        <v>5558</v>
      </c>
      <c r="F3353" s="109" t="s">
        <v>21377</v>
      </c>
      <c r="G3353" s="110" t="s">
        <v>6248</v>
      </c>
      <c r="H3353" s="110" t="s">
        <v>21378</v>
      </c>
      <c r="I3353" s="110" t="s">
        <v>21379</v>
      </c>
    </row>
    <row r="3354" spans="1:9" ht="37.799999999999997" x14ac:dyDescent="0.3">
      <c r="A3354" s="109" t="s">
        <v>21380</v>
      </c>
      <c r="B3354" s="109" t="s">
        <v>21007</v>
      </c>
      <c r="C3354" s="109" t="s">
        <v>21007</v>
      </c>
      <c r="D3354" s="109" t="s">
        <v>21381</v>
      </c>
      <c r="E3354" s="109" t="s">
        <v>5558</v>
      </c>
      <c r="F3354" s="109" t="s">
        <v>21382</v>
      </c>
      <c r="G3354" s="110" t="s">
        <v>6248</v>
      </c>
      <c r="H3354" s="110" t="s">
        <v>21383</v>
      </c>
      <c r="I3354" s="110" t="s">
        <v>21384</v>
      </c>
    </row>
    <row r="3355" spans="1:9" ht="63" x14ac:dyDescent="0.3">
      <c r="A3355" s="109" t="s">
        <v>21385</v>
      </c>
      <c r="B3355" s="109" t="s">
        <v>21007</v>
      </c>
      <c r="C3355" s="109" t="s">
        <v>21007</v>
      </c>
      <c r="D3355" s="109" t="s">
        <v>21386</v>
      </c>
      <c r="E3355" s="109" t="s">
        <v>21386</v>
      </c>
      <c r="F3355" s="109" t="s">
        <v>21387</v>
      </c>
      <c r="G3355" s="110" t="s">
        <v>6248</v>
      </c>
      <c r="H3355" s="110" t="s">
        <v>6689</v>
      </c>
      <c r="I3355" s="110" t="s">
        <v>21388</v>
      </c>
    </row>
    <row r="3356" spans="1:9" ht="25.2" x14ac:dyDescent="0.3">
      <c r="A3356" s="109" t="s">
        <v>21389</v>
      </c>
      <c r="B3356" s="109" t="s">
        <v>21007</v>
      </c>
      <c r="C3356" s="109" t="s">
        <v>21007</v>
      </c>
      <c r="D3356" s="109" t="s">
        <v>21390</v>
      </c>
      <c r="E3356" s="109" t="s">
        <v>21391</v>
      </c>
      <c r="F3356" s="109" t="s">
        <v>21392</v>
      </c>
      <c r="G3356" s="110" t="s">
        <v>6248</v>
      </c>
      <c r="H3356" s="110" t="s">
        <v>21393</v>
      </c>
      <c r="I3356" s="110" t="s">
        <v>21394</v>
      </c>
    </row>
    <row r="3357" spans="1:9" ht="25.2" x14ac:dyDescent="0.3">
      <c r="A3357" s="109" t="s">
        <v>21395</v>
      </c>
      <c r="B3357" s="109" t="s">
        <v>21007</v>
      </c>
      <c r="C3357" s="109" t="s">
        <v>21007</v>
      </c>
      <c r="D3357" s="109" t="s">
        <v>21396</v>
      </c>
      <c r="E3357" s="109" t="s">
        <v>21397</v>
      </c>
      <c r="F3357" s="109" t="s">
        <v>18345</v>
      </c>
      <c r="G3357" s="110" t="s">
        <v>6248</v>
      </c>
      <c r="H3357" s="110" t="s">
        <v>21398</v>
      </c>
      <c r="I3357" s="110" t="s">
        <v>21399</v>
      </c>
    </row>
    <row r="3358" spans="1:9" ht="25.2" x14ac:dyDescent="0.3">
      <c r="A3358" s="109" t="s">
        <v>21400</v>
      </c>
      <c r="B3358" s="109" t="s">
        <v>21007</v>
      </c>
      <c r="C3358" s="109" t="s">
        <v>21007</v>
      </c>
      <c r="D3358" s="109" t="s">
        <v>5569</v>
      </c>
      <c r="E3358" s="109" t="s">
        <v>5558</v>
      </c>
      <c r="F3358" s="109" t="s">
        <v>2258</v>
      </c>
      <c r="G3358" s="110" t="s">
        <v>6248</v>
      </c>
      <c r="H3358" s="110" t="s">
        <v>21401</v>
      </c>
      <c r="I3358" s="110" t="s">
        <v>21402</v>
      </c>
    </row>
    <row r="3359" spans="1:9" ht="37.799999999999997" x14ac:dyDescent="0.3">
      <c r="A3359" s="109" t="s">
        <v>21403</v>
      </c>
      <c r="B3359" s="109" t="s">
        <v>21007</v>
      </c>
      <c r="C3359" s="109" t="s">
        <v>21007</v>
      </c>
      <c r="D3359" s="109" t="s">
        <v>21404</v>
      </c>
      <c r="E3359" s="109" t="s">
        <v>5558</v>
      </c>
      <c r="F3359" s="109" t="s">
        <v>21405</v>
      </c>
      <c r="G3359" s="110" t="s">
        <v>6248</v>
      </c>
      <c r="H3359" s="110" t="s">
        <v>21406</v>
      </c>
      <c r="I3359" s="110" t="s">
        <v>21407</v>
      </c>
    </row>
    <row r="3360" spans="1:9" ht="25.2" x14ac:dyDescent="0.3">
      <c r="A3360" s="109" t="s">
        <v>21408</v>
      </c>
      <c r="B3360" s="109" t="s">
        <v>21007</v>
      </c>
      <c r="C3360" s="109" t="s">
        <v>21007</v>
      </c>
      <c r="D3360" s="109" t="s">
        <v>21409</v>
      </c>
      <c r="E3360" s="109" t="s">
        <v>21410</v>
      </c>
      <c r="F3360" s="109" t="s">
        <v>7039</v>
      </c>
      <c r="G3360" s="110" t="s">
        <v>6248</v>
      </c>
      <c r="H3360" s="110" t="s">
        <v>21411</v>
      </c>
      <c r="I3360" s="110" t="s">
        <v>21412</v>
      </c>
    </row>
    <row r="3361" spans="1:9" ht="25.2" x14ac:dyDescent="0.3">
      <c r="A3361" s="109" t="s">
        <v>21413</v>
      </c>
      <c r="B3361" s="109" t="s">
        <v>21007</v>
      </c>
      <c r="C3361" s="109" t="s">
        <v>21007</v>
      </c>
      <c r="D3361" s="109" t="s">
        <v>21414</v>
      </c>
      <c r="E3361" s="109" t="s">
        <v>8414</v>
      </c>
      <c r="F3361" s="109" t="s">
        <v>8914</v>
      </c>
      <c r="G3361" s="110" t="s">
        <v>6248</v>
      </c>
      <c r="H3361" s="110" t="s">
        <v>21415</v>
      </c>
      <c r="I3361" s="110" t="s">
        <v>21416</v>
      </c>
    </row>
    <row r="3362" spans="1:9" ht="37.799999999999997" x14ac:dyDescent="0.3">
      <c r="A3362" s="109" t="s">
        <v>21417</v>
      </c>
      <c r="B3362" s="109" t="s">
        <v>21007</v>
      </c>
      <c r="C3362" s="109" t="s">
        <v>21007</v>
      </c>
      <c r="D3362" s="109" t="s">
        <v>21418</v>
      </c>
      <c r="E3362" s="109" t="s">
        <v>5558</v>
      </c>
      <c r="F3362" s="109" t="s">
        <v>21419</v>
      </c>
      <c r="G3362" s="110" t="s">
        <v>6248</v>
      </c>
      <c r="H3362" s="110" t="s">
        <v>21420</v>
      </c>
      <c r="I3362" s="110" t="s">
        <v>21421</v>
      </c>
    </row>
    <row r="3363" spans="1:9" ht="37.799999999999997" x14ac:dyDescent="0.3">
      <c r="A3363" s="109" t="s">
        <v>21422</v>
      </c>
      <c r="B3363" s="109" t="s">
        <v>21007</v>
      </c>
      <c r="C3363" s="109" t="s">
        <v>21007</v>
      </c>
      <c r="D3363" s="109" t="s">
        <v>21423</v>
      </c>
      <c r="E3363" s="109" t="s">
        <v>5558</v>
      </c>
      <c r="F3363" s="109" t="s">
        <v>21424</v>
      </c>
      <c r="G3363" s="110" t="s">
        <v>6248</v>
      </c>
      <c r="H3363" s="110" t="s">
        <v>21425</v>
      </c>
      <c r="I3363" s="110" t="s">
        <v>21426</v>
      </c>
    </row>
    <row r="3364" spans="1:9" ht="25.2" x14ac:dyDescent="0.3">
      <c r="A3364" s="109" t="s">
        <v>21427</v>
      </c>
      <c r="B3364" s="109" t="s">
        <v>21007</v>
      </c>
      <c r="C3364" s="109" t="s">
        <v>21007</v>
      </c>
      <c r="D3364" s="109" t="s">
        <v>21428</v>
      </c>
      <c r="E3364" s="109" t="s">
        <v>5558</v>
      </c>
      <c r="F3364" s="109" t="s">
        <v>21429</v>
      </c>
      <c r="G3364" s="110" t="s">
        <v>6248</v>
      </c>
      <c r="H3364" s="110" t="s">
        <v>21430</v>
      </c>
      <c r="I3364" s="110" t="s">
        <v>21431</v>
      </c>
    </row>
    <row r="3365" spans="1:9" ht="25.2" x14ac:dyDescent="0.3">
      <c r="A3365" s="109" t="s">
        <v>21432</v>
      </c>
      <c r="B3365" s="109" t="s">
        <v>21007</v>
      </c>
      <c r="C3365" s="109" t="s">
        <v>21007</v>
      </c>
      <c r="D3365" s="109" t="s">
        <v>21433</v>
      </c>
      <c r="E3365" s="109" t="s">
        <v>5558</v>
      </c>
      <c r="F3365" s="109" t="s">
        <v>21434</v>
      </c>
      <c r="G3365" s="110" t="s">
        <v>6248</v>
      </c>
      <c r="H3365" s="110" t="s">
        <v>11131</v>
      </c>
      <c r="I3365" s="110" t="s">
        <v>21435</v>
      </c>
    </row>
    <row r="3366" spans="1:9" ht="50.4" x14ac:dyDescent="0.3">
      <c r="A3366" s="109" t="s">
        <v>21436</v>
      </c>
      <c r="B3366" s="109" t="s">
        <v>21007</v>
      </c>
      <c r="C3366" s="109" t="s">
        <v>21007</v>
      </c>
      <c r="D3366" s="109" t="s">
        <v>8478</v>
      </c>
      <c r="E3366" s="109" t="s">
        <v>21437</v>
      </c>
      <c r="F3366" s="109" t="s">
        <v>21438</v>
      </c>
      <c r="G3366" s="110" t="s">
        <v>6248</v>
      </c>
      <c r="H3366" s="110" t="s">
        <v>21439</v>
      </c>
      <c r="I3366" s="110" t="s">
        <v>21440</v>
      </c>
    </row>
    <row r="3367" spans="1:9" ht="25.2" x14ac:dyDescent="0.3">
      <c r="A3367" s="109" t="s">
        <v>21441</v>
      </c>
      <c r="B3367" s="109" t="s">
        <v>21007</v>
      </c>
      <c r="C3367" s="109" t="s">
        <v>21007</v>
      </c>
      <c r="D3367" s="109" t="s">
        <v>21442</v>
      </c>
      <c r="E3367" s="109" t="s">
        <v>21443</v>
      </c>
      <c r="F3367" s="109" t="s">
        <v>21444</v>
      </c>
      <c r="G3367" s="110" t="s">
        <v>6248</v>
      </c>
      <c r="H3367" s="110" t="s">
        <v>9741</v>
      </c>
      <c r="I3367" s="110" t="s">
        <v>21445</v>
      </c>
    </row>
    <row r="3368" spans="1:9" ht="25.2" x14ac:dyDescent="0.3">
      <c r="A3368" s="109" t="s">
        <v>21446</v>
      </c>
      <c r="B3368" s="109" t="s">
        <v>21007</v>
      </c>
      <c r="C3368" s="109" t="s">
        <v>21007</v>
      </c>
      <c r="D3368" s="109" t="s">
        <v>21447</v>
      </c>
      <c r="E3368" s="109" t="s">
        <v>21448</v>
      </c>
      <c r="F3368" s="109" t="s">
        <v>21449</v>
      </c>
      <c r="G3368" s="110" t="s">
        <v>6248</v>
      </c>
      <c r="H3368" s="110" t="s">
        <v>21450</v>
      </c>
      <c r="I3368" s="110" t="s">
        <v>21451</v>
      </c>
    </row>
    <row r="3369" spans="1:9" ht="25.2" x14ac:dyDescent="0.3">
      <c r="A3369" s="109" t="s">
        <v>21452</v>
      </c>
      <c r="B3369" s="109" t="s">
        <v>21007</v>
      </c>
      <c r="C3369" s="109" t="s">
        <v>21007</v>
      </c>
      <c r="D3369" s="109" t="s">
        <v>21453</v>
      </c>
      <c r="E3369" s="109" t="s">
        <v>21454</v>
      </c>
      <c r="F3369" s="109" t="s">
        <v>7045</v>
      </c>
      <c r="G3369" s="110" t="s">
        <v>21455</v>
      </c>
      <c r="H3369" s="110" t="s">
        <v>6248</v>
      </c>
      <c r="I3369" s="110" t="s">
        <v>21456</v>
      </c>
    </row>
    <row r="3370" spans="1:9" ht="37.799999999999997" x14ac:dyDescent="0.3">
      <c r="A3370" s="109" t="s">
        <v>21457</v>
      </c>
      <c r="B3370" s="109" t="s">
        <v>21007</v>
      </c>
      <c r="C3370" s="109" t="s">
        <v>21007</v>
      </c>
      <c r="D3370" s="109" t="s">
        <v>2960</v>
      </c>
      <c r="E3370" s="109" t="s">
        <v>5558</v>
      </c>
      <c r="F3370" s="109" t="s">
        <v>21458</v>
      </c>
      <c r="G3370" s="110" t="s">
        <v>6248</v>
      </c>
      <c r="H3370" s="110" t="s">
        <v>21459</v>
      </c>
      <c r="I3370" s="110" t="s">
        <v>21460</v>
      </c>
    </row>
    <row r="3371" spans="1:9" ht="25.2" x14ac:dyDescent="0.3">
      <c r="A3371" s="109" t="s">
        <v>21461</v>
      </c>
      <c r="B3371" s="109" t="s">
        <v>21007</v>
      </c>
      <c r="C3371" s="109" t="s">
        <v>21007</v>
      </c>
      <c r="D3371" s="109" t="s">
        <v>21462</v>
      </c>
      <c r="E3371" s="109" t="s">
        <v>21463</v>
      </c>
      <c r="F3371" s="109" t="s">
        <v>21464</v>
      </c>
      <c r="G3371" s="110" t="s">
        <v>6248</v>
      </c>
      <c r="H3371" s="110" t="s">
        <v>21465</v>
      </c>
      <c r="I3371" s="110" t="s">
        <v>21466</v>
      </c>
    </row>
    <row r="3372" spans="1:9" ht="25.2" x14ac:dyDescent="0.3">
      <c r="A3372" s="109" t="s">
        <v>21467</v>
      </c>
      <c r="B3372" s="109" t="s">
        <v>21007</v>
      </c>
      <c r="C3372" s="109" t="s">
        <v>21007</v>
      </c>
      <c r="D3372" s="109" t="s">
        <v>21468</v>
      </c>
      <c r="E3372" s="109" t="s">
        <v>21469</v>
      </c>
      <c r="F3372" s="109" t="s">
        <v>21464</v>
      </c>
      <c r="G3372" s="110" t="s">
        <v>6248</v>
      </c>
      <c r="H3372" s="110" t="s">
        <v>21470</v>
      </c>
      <c r="I3372" s="110" t="s">
        <v>21471</v>
      </c>
    </row>
    <row r="3373" spans="1:9" ht="25.2" x14ac:dyDescent="0.3">
      <c r="A3373" s="109" t="s">
        <v>21472</v>
      </c>
      <c r="B3373" s="109" t="s">
        <v>21007</v>
      </c>
      <c r="C3373" s="109" t="s">
        <v>21007</v>
      </c>
      <c r="D3373" s="109" t="s">
        <v>21473</v>
      </c>
      <c r="E3373" s="109" t="s">
        <v>21474</v>
      </c>
      <c r="F3373" s="109" t="s">
        <v>21464</v>
      </c>
      <c r="G3373" s="110" t="s">
        <v>6248</v>
      </c>
      <c r="H3373" s="110" t="s">
        <v>21475</v>
      </c>
      <c r="I3373" s="110" t="s">
        <v>21476</v>
      </c>
    </row>
    <row r="3374" spans="1:9" ht="25.2" x14ac:dyDescent="0.3">
      <c r="A3374" s="109" t="s">
        <v>21477</v>
      </c>
      <c r="B3374" s="109" t="s">
        <v>21007</v>
      </c>
      <c r="C3374" s="109" t="s">
        <v>21007</v>
      </c>
      <c r="D3374" s="109" t="s">
        <v>21478</v>
      </c>
      <c r="E3374" s="109" t="s">
        <v>21479</v>
      </c>
      <c r="F3374" s="109" t="s">
        <v>21480</v>
      </c>
      <c r="G3374" s="110" t="s">
        <v>21481</v>
      </c>
      <c r="H3374" s="110" t="s">
        <v>6248</v>
      </c>
      <c r="I3374" s="110" t="s">
        <v>21482</v>
      </c>
    </row>
    <row r="3375" spans="1:9" ht="25.2" x14ac:dyDescent="0.3">
      <c r="A3375" s="109" t="s">
        <v>21483</v>
      </c>
      <c r="B3375" s="109" t="s">
        <v>21007</v>
      </c>
      <c r="C3375" s="109" t="s">
        <v>21007</v>
      </c>
      <c r="D3375" s="109" t="s">
        <v>21484</v>
      </c>
      <c r="E3375" s="109" t="s">
        <v>21479</v>
      </c>
      <c r="F3375" s="109" t="s">
        <v>21485</v>
      </c>
      <c r="G3375" s="110" t="s">
        <v>7254</v>
      </c>
      <c r="H3375" s="110" t="s">
        <v>6248</v>
      </c>
      <c r="I3375" s="110" t="s">
        <v>21486</v>
      </c>
    </row>
    <row r="3376" spans="1:9" ht="25.2" x14ac:dyDescent="0.3">
      <c r="A3376" s="109" t="s">
        <v>21487</v>
      </c>
      <c r="B3376" s="109" t="s">
        <v>21007</v>
      </c>
      <c r="C3376" s="109" t="s">
        <v>21007</v>
      </c>
      <c r="D3376" s="109" t="s">
        <v>21488</v>
      </c>
      <c r="E3376" s="109" t="s">
        <v>5558</v>
      </c>
      <c r="F3376" s="109" t="s">
        <v>21489</v>
      </c>
      <c r="G3376" s="110" t="s">
        <v>6248</v>
      </c>
      <c r="H3376" s="110" t="s">
        <v>21490</v>
      </c>
      <c r="I3376" s="110" t="s">
        <v>21491</v>
      </c>
    </row>
    <row r="3377" spans="1:9" ht="37.799999999999997" x14ac:dyDescent="0.3">
      <c r="A3377" s="109" t="s">
        <v>21492</v>
      </c>
      <c r="B3377" s="109" t="s">
        <v>21007</v>
      </c>
      <c r="C3377" s="109" t="s">
        <v>21007</v>
      </c>
      <c r="D3377" s="109" t="s">
        <v>21493</v>
      </c>
      <c r="E3377" s="109" t="s">
        <v>5558</v>
      </c>
      <c r="F3377" s="109" t="s">
        <v>21494</v>
      </c>
      <c r="G3377" s="110" t="s">
        <v>6248</v>
      </c>
      <c r="H3377" s="110" t="s">
        <v>21495</v>
      </c>
      <c r="I3377" s="110" t="s">
        <v>21496</v>
      </c>
    </row>
    <row r="3378" spans="1:9" ht="25.2" x14ac:dyDescent="0.3">
      <c r="A3378" s="109" t="s">
        <v>21497</v>
      </c>
      <c r="B3378" s="109" t="s">
        <v>21007</v>
      </c>
      <c r="C3378" s="109" t="s">
        <v>21007</v>
      </c>
      <c r="D3378" s="109" t="s">
        <v>5569</v>
      </c>
      <c r="E3378" s="109" t="s">
        <v>5558</v>
      </c>
      <c r="F3378" s="109" t="s">
        <v>2258</v>
      </c>
      <c r="G3378" s="110" t="s">
        <v>6248</v>
      </c>
      <c r="H3378" s="110" t="s">
        <v>21498</v>
      </c>
      <c r="I3378" s="110" t="s">
        <v>21499</v>
      </c>
    </row>
    <row r="3379" spans="1:9" ht="25.2" x14ac:dyDescent="0.3">
      <c r="A3379" s="109" t="s">
        <v>21500</v>
      </c>
      <c r="B3379" s="109" t="s">
        <v>21007</v>
      </c>
      <c r="C3379" s="109" t="s">
        <v>21007</v>
      </c>
      <c r="D3379" s="109" t="s">
        <v>21501</v>
      </c>
      <c r="E3379" s="109" t="s">
        <v>5558</v>
      </c>
      <c r="F3379" s="109" t="s">
        <v>21502</v>
      </c>
      <c r="G3379" s="110" t="s">
        <v>6248</v>
      </c>
      <c r="H3379" s="110" t="s">
        <v>21503</v>
      </c>
      <c r="I3379" s="110" t="s">
        <v>21504</v>
      </c>
    </row>
    <row r="3380" spans="1:9" ht="37.799999999999997" x14ac:dyDescent="0.3">
      <c r="A3380" s="109" t="s">
        <v>21505</v>
      </c>
      <c r="B3380" s="109" t="s">
        <v>21007</v>
      </c>
      <c r="C3380" s="109" t="s">
        <v>21007</v>
      </c>
      <c r="D3380" s="109" t="s">
        <v>21506</v>
      </c>
      <c r="E3380" s="109" t="s">
        <v>5558</v>
      </c>
      <c r="F3380" s="109" t="s">
        <v>21507</v>
      </c>
      <c r="G3380" s="110" t="s">
        <v>6248</v>
      </c>
      <c r="H3380" s="110" t="s">
        <v>21508</v>
      </c>
      <c r="I3380" s="110" t="s">
        <v>21509</v>
      </c>
    </row>
    <row r="3381" spans="1:9" ht="25.2" x14ac:dyDescent="0.3">
      <c r="A3381" s="109" t="s">
        <v>21510</v>
      </c>
      <c r="B3381" s="109" t="s">
        <v>21007</v>
      </c>
      <c r="C3381" s="109" t="s">
        <v>21007</v>
      </c>
      <c r="D3381" s="109" t="s">
        <v>21511</v>
      </c>
      <c r="E3381" s="109" t="s">
        <v>5558</v>
      </c>
      <c r="F3381" s="109" t="s">
        <v>21512</v>
      </c>
      <c r="G3381" s="110" t="s">
        <v>6248</v>
      </c>
      <c r="H3381" s="110" t="s">
        <v>21513</v>
      </c>
      <c r="I3381" s="110" t="s">
        <v>21514</v>
      </c>
    </row>
    <row r="3382" spans="1:9" ht="25.2" x14ac:dyDescent="0.3">
      <c r="A3382" s="109" t="s">
        <v>21515</v>
      </c>
      <c r="B3382" s="109" t="s">
        <v>21007</v>
      </c>
      <c r="C3382" s="109" t="s">
        <v>21007</v>
      </c>
      <c r="D3382" s="109" t="s">
        <v>21516</v>
      </c>
      <c r="E3382" s="109" t="s">
        <v>5558</v>
      </c>
      <c r="F3382" s="109" t="s">
        <v>21517</v>
      </c>
      <c r="G3382" s="110" t="s">
        <v>6248</v>
      </c>
      <c r="H3382" s="110" t="s">
        <v>21518</v>
      </c>
      <c r="I3382" s="110" t="s">
        <v>21519</v>
      </c>
    </row>
    <row r="3383" spans="1:9" ht="25.2" x14ac:dyDescent="0.3">
      <c r="A3383" s="109" t="s">
        <v>21520</v>
      </c>
      <c r="B3383" s="109" t="s">
        <v>21007</v>
      </c>
      <c r="C3383" s="109" t="s">
        <v>21007</v>
      </c>
      <c r="D3383" s="109" t="s">
        <v>21521</v>
      </c>
      <c r="E3383" s="109" t="s">
        <v>5558</v>
      </c>
      <c r="F3383" s="109" t="s">
        <v>21522</v>
      </c>
      <c r="G3383" s="110" t="s">
        <v>6248</v>
      </c>
      <c r="H3383" s="110" t="s">
        <v>21523</v>
      </c>
      <c r="I3383" s="110" t="s">
        <v>21524</v>
      </c>
    </row>
    <row r="3384" spans="1:9" ht="25.2" x14ac:dyDescent="0.3">
      <c r="A3384" s="109" t="s">
        <v>21525</v>
      </c>
      <c r="B3384" s="109" t="s">
        <v>21007</v>
      </c>
      <c r="C3384" s="109" t="s">
        <v>21007</v>
      </c>
      <c r="D3384" s="109" t="s">
        <v>21526</v>
      </c>
      <c r="E3384" s="109" t="s">
        <v>5558</v>
      </c>
      <c r="F3384" s="109" t="s">
        <v>21527</v>
      </c>
      <c r="G3384" s="110" t="s">
        <v>6248</v>
      </c>
      <c r="H3384" s="110" t="s">
        <v>21528</v>
      </c>
      <c r="I3384" s="110" t="s">
        <v>21529</v>
      </c>
    </row>
    <row r="3385" spans="1:9" ht="37.799999999999997" x14ac:dyDescent="0.3">
      <c r="A3385" s="109" t="s">
        <v>21530</v>
      </c>
      <c r="B3385" s="109" t="s">
        <v>21007</v>
      </c>
      <c r="C3385" s="109" t="s">
        <v>21007</v>
      </c>
      <c r="D3385" s="109" t="s">
        <v>21531</v>
      </c>
      <c r="E3385" s="109" t="s">
        <v>5558</v>
      </c>
      <c r="F3385" s="109" t="s">
        <v>21532</v>
      </c>
      <c r="G3385" s="110" t="s">
        <v>6248</v>
      </c>
      <c r="H3385" s="110" t="s">
        <v>21533</v>
      </c>
      <c r="I3385" s="110" t="s">
        <v>21534</v>
      </c>
    </row>
    <row r="3386" spans="1:9" ht="25.2" x14ac:dyDescent="0.3">
      <c r="A3386" s="109" t="s">
        <v>21535</v>
      </c>
      <c r="B3386" s="109" t="s">
        <v>21007</v>
      </c>
      <c r="C3386" s="109" t="s">
        <v>21007</v>
      </c>
      <c r="D3386" s="109" t="s">
        <v>5569</v>
      </c>
      <c r="E3386" s="109" t="s">
        <v>5558</v>
      </c>
      <c r="F3386" s="109" t="s">
        <v>2258</v>
      </c>
      <c r="G3386" s="110" t="s">
        <v>6248</v>
      </c>
      <c r="H3386" s="110" t="s">
        <v>21536</v>
      </c>
      <c r="I3386" s="110" t="s">
        <v>21537</v>
      </c>
    </row>
    <row r="3387" spans="1:9" ht="37.799999999999997" x14ac:dyDescent="0.3">
      <c r="A3387" s="109" t="s">
        <v>21538</v>
      </c>
      <c r="B3387" s="109" t="s">
        <v>21007</v>
      </c>
      <c r="C3387" s="109" t="s">
        <v>21007</v>
      </c>
      <c r="D3387" s="109" t="s">
        <v>21539</v>
      </c>
      <c r="E3387" s="109" t="s">
        <v>5558</v>
      </c>
      <c r="F3387" s="109" t="s">
        <v>21540</v>
      </c>
      <c r="G3387" s="110" t="s">
        <v>6248</v>
      </c>
      <c r="H3387" s="110" t="s">
        <v>21541</v>
      </c>
      <c r="I3387" s="110" t="s">
        <v>21542</v>
      </c>
    </row>
    <row r="3388" spans="1:9" ht="63" x14ac:dyDescent="0.3">
      <c r="A3388" s="109" t="s">
        <v>21543</v>
      </c>
      <c r="B3388" s="109" t="s">
        <v>21007</v>
      </c>
      <c r="C3388" s="109" t="s">
        <v>21007</v>
      </c>
      <c r="D3388" s="109" t="s">
        <v>21544</v>
      </c>
      <c r="E3388" s="109" t="s">
        <v>21544</v>
      </c>
      <c r="F3388" s="109" t="s">
        <v>21545</v>
      </c>
      <c r="G3388" s="110" t="s">
        <v>6248</v>
      </c>
      <c r="H3388" s="110" t="s">
        <v>21546</v>
      </c>
      <c r="I3388" s="110" t="s">
        <v>21547</v>
      </c>
    </row>
    <row r="3389" spans="1:9" ht="50.4" x14ac:dyDescent="0.3">
      <c r="A3389" s="109" t="s">
        <v>21548</v>
      </c>
      <c r="B3389" s="109" t="s">
        <v>21007</v>
      </c>
      <c r="C3389" s="109" t="s">
        <v>21007</v>
      </c>
      <c r="D3389" s="109" t="s">
        <v>21549</v>
      </c>
      <c r="E3389" s="109" t="s">
        <v>21549</v>
      </c>
      <c r="F3389" s="109" t="s">
        <v>21550</v>
      </c>
      <c r="G3389" s="110" t="s">
        <v>6248</v>
      </c>
      <c r="H3389" s="110" t="s">
        <v>21551</v>
      </c>
      <c r="I3389" s="110" t="s">
        <v>21552</v>
      </c>
    </row>
    <row r="3390" spans="1:9" ht="63" x14ac:dyDescent="0.3">
      <c r="A3390" s="109" t="s">
        <v>21553</v>
      </c>
      <c r="B3390" s="109" t="s">
        <v>21007</v>
      </c>
      <c r="C3390" s="109" t="s">
        <v>21007</v>
      </c>
      <c r="D3390" s="109" t="s">
        <v>21554</v>
      </c>
      <c r="E3390" s="109" t="s">
        <v>21554</v>
      </c>
      <c r="F3390" s="109" t="s">
        <v>21555</v>
      </c>
      <c r="G3390" s="110" t="s">
        <v>6248</v>
      </c>
      <c r="H3390" s="110" t="s">
        <v>21556</v>
      </c>
      <c r="I3390" s="110" t="s">
        <v>21557</v>
      </c>
    </row>
    <row r="3391" spans="1:9" ht="37.799999999999997" x14ac:dyDescent="0.3">
      <c r="A3391" s="109" t="s">
        <v>21558</v>
      </c>
      <c r="B3391" s="109" t="s">
        <v>21007</v>
      </c>
      <c r="C3391" s="109" t="s">
        <v>21007</v>
      </c>
      <c r="D3391" s="109" t="s">
        <v>21559</v>
      </c>
      <c r="E3391" s="109" t="s">
        <v>5558</v>
      </c>
      <c r="F3391" s="109" t="s">
        <v>21560</v>
      </c>
      <c r="G3391" s="110" t="s">
        <v>6248</v>
      </c>
      <c r="H3391" s="110" t="s">
        <v>21561</v>
      </c>
      <c r="I3391" s="110" t="s">
        <v>21562</v>
      </c>
    </row>
    <row r="3392" spans="1:9" ht="25.2" x14ac:dyDescent="0.3">
      <c r="A3392" s="109" t="s">
        <v>21563</v>
      </c>
      <c r="B3392" s="109" t="s">
        <v>21007</v>
      </c>
      <c r="C3392" s="109" t="s">
        <v>21007</v>
      </c>
      <c r="D3392" s="109" t="s">
        <v>2984</v>
      </c>
      <c r="E3392" s="109" t="s">
        <v>5558</v>
      </c>
      <c r="F3392" s="109" t="s">
        <v>21564</v>
      </c>
      <c r="G3392" s="110" t="s">
        <v>6248</v>
      </c>
      <c r="H3392" s="110" t="s">
        <v>21565</v>
      </c>
      <c r="I3392" s="110" t="s">
        <v>21566</v>
      </c>
    </row>
    <row r="3393" spans="1:9" ht="37.799999999999997" x14ac:dyDescent="0.3">
      <c r="A3393" s="109" t="s">
        <v>21567</v>
      </c>
      <c r="B3393" s="109" t="s">
        <v>21007</v>
      </c>
      <c r="C3393" s="109" t="s">
        <v>21007</v>
      </c>
      <c r="D3393" s="109" t="s">
        <v>21568</v>
      </c>
      <c r="E3393" s="109" t="s">
        <v>5558</v>
      </c>
      <c r="F3393" s="109" t="s">
        <v>21569</v>
      </c>
      <c r="G3393" s="110" t="s">
        <v>6248</v>
      </c>
      <c r="H3393" s="110" t="s">
        <v>21570</v>
      </c>
      <c r="I3393" s="110" t="s">
        <v>21571</v>
      </c>
    </row>
    <row r="3394" spans="1:9" ht="75.599999999999994" x14ac:dyDescent="0.3">
      <c r="A3394" s="109" t="s">
        <v>21572</v>
      </c>
      <c r="B3394" s="109" t="s">
        <v>21007</v>
      </c>
      <c r="C3394" s="109" t="s">
        <v>21007</v>
      </c>
      <c r="D3394" s="109" t="s">
        <v>21573</v>
      </c>
      <c r="E3394" s="109" t="s">
        <v>21573</v>
      </c>
      <c r="F3394" s="109" t="s">
        <v>21574</v>
      </c>
      <c r="G3394" s="110" t="s">
        <v>6248</v>
      </c>
      <c r="H3394" s="110" t="s">
        <v>21575</v>
      </c>
      <c r="I3394" s="110" t="s">
        <v>21576</v>
      </c>
    </row>
    <row r="3395" spans="1:9" ht="25.2" x14ac:dyDescent="0.3">
      <c r="A3395" s="109" t="s">
        <v>21577</v>
      </c>
      <c r="B3395" s="109" t="s">
        <v>21007</v>
      </c>
      <c r="C3395" s="109" t="s">
        <v>21007</v>
      </c>
      <c r="D3395" s="109" t="s">
        <v>5569</v>
      </c>
      <c r="E3395" s="109" t="s">
        <v>5558</v>
      </c>
      <c r="F3395" s="109" t="s">
        <v>2258</v>
      </c>
      <c r="G3395" s="110" t="s">
        <v>6248</v>
      </c>
      <c r="H3395" s="110" t="s">
        <v>21578</v>
      </c>
      <c r="I3395" s="110" t="s">
        <v>21579</v>
      </c>
    </row>
    <row r="3396" spans="1:9" ht="25.2" x14ac:dyDescent="0.3">
      <c r="A3396" s="109" t="s">
        <v>21580</v>
      </c>
      <c r="B3396" s="109" t="s">
        <v>21007</v>
      </c>
      <c r="C3396" s="109" t="s">
        <v>21007</v>
      </c>
      <c r="D3396" s="109" t="s">
        <v>21581</v>
      </c>
      <c r="E3396" s="109" t="s">
        <v>5558</v>
      </c>
      <c r="F3396" s="109" t="s">
        <v>21582</v>
      </c>
      <c r="G3396" s="110" t="s">
        <v>6248</v>
      </c>
      <c r="H3396" s="110" t="s">
        <v>21583</v>
      </c>
      <c r="I3396" s="110" t="s">
        <v>21584</v>
      </c>
    </row>
    <row r="3397" spans="1:9" ht="50.4" x14ac:dyDescent="0.3">
      <c r="A3397" s="109" t="s">
        <v>21585</v>
      </c>
      <c r="B3397" s="109" t="s">
        <v>21007</v>
      </c>
      <c r="C3397" s="109" t="s">
        <v>21007</v>
      </c>
      <c r="D3397" s="109" t="s">
        <v>8386</v>
      </c>
      <c r="E3397" s="109" t="s">
        <v>8386</v>
      </c>
      <c r="F3397" s="109" t="s">
        <v>21586</v>
      </c>
      <c r="G3397" s="110" t="s">
        <v>6248</v>
      </c>
      <c r="H3397" s="110" t="s">
        <v>21587</v>
      </c>
      <c r="I3397" s="110" t="s">
        <v>21588</v>
      </c>
    </row>
    <row r="3398" spans="1:9" ht="25.2" x14ac:dyDescent="0.3">
      <c r="A3398" s="109" t="s">
        <v>21589</v>
      </c>
      <c r="B3398" s="109" t="s">
        <v>21007</v>
      </c>
      <c r="C3398" s="109" t="s">
        <v>21007</v>
      </c>
      <c r="D3398" s="109" t="s">
        <v>21590</v>
      </c>
      <c r="E3398" s="109" t="s">
        <v>5558</v>
      </c>
      <c r="F3398" s="109" t="s">
        <v>21591</v>
      </c>
      <c r="G3398" s="110" t="s">
        <v>6248</v>
      </c>
      <c r="H3398" s="110" t="s">
        <v>21592</v>
      </c>
      <c r="I3398" s="110" t="s">
        <v>21593</v>
      </c>
    </row>
    <row r="3399" spans="1:9" ht="63" x14ac:dyDescent="0.3">
      <c r="A3399" s="109" t="s">
        <v>21594</v>
      </c>
      <c r="B3399" s="109" t="s">
        <v>21007</v>
      </c>
      <c r="C3399" s="109" t="s">
        <v>21007</v>
      </c>
      <c r="D3399" s="109" t="s">
        <v>21595</v>
      </c>
      <c r="E3399" s="109" t="s">
        <v>21595</v>
      </c>
      <c r="F3399" s="109" t="s">
        <v>21596</v>
      </c>
      <c r="G3399" s="110" t="s">
        <v>6248</v>
      </c>
      <c r="H3399" s="110" t="s">
        <v>21597</v>
      </c>
      <c r="I3399" s="110" t="s">
        <v>21598</v>
      </c>
    </row>
    <row r="3400" spans="1:9" ht="37.799999999999997" x14ac:dyDescent="0.3">
      <c r="A3400" s="109" t="s">
        <v>21599</v>
      </c>
      <c r="B3400" s="109" t="s">
        <v>21007</v>
      </c>
      <c r="C3400" s="109" t="s">
        <v>21007</v>
      </c>
      <c r="D3400" s="109" t="s">
        <v>2973</v>
      </c>
      <c r="E3400" s="109" t="s">
        <v>5558</v>
      </c>
      <c r="F3400" s="109" t="s">
        <v>21600</v>
      </c>
      <c r="G3400" s="110" t="s">
        <v>6248</v>
      </c>
      <c r="H3400" s="110" t="s">
        <v>21601</v>
      </c>
      <c r="I3400" s="110" t="s">
        <v>21602</v>
      </c>
    </row>
    <row r="3401" spans="1:9" ht="25.2" x14ac:dyDescent="0.3">
      <c r="A3401" s="109" t="s">
        <v>21603</v>
      </c>
      <c r="B3401" s="109" t="s">
        <v>21007</v>
      </c>
      <c r="C3401" s="109" t="s">
        <v>21007</v>
      </c>
      <c r="D3401" s="109" t="s">
        <v>21604</v>
      </c>
      <c r="E3401" s="109" t="s">
        <v>21605</v>
      </c>
      <c r="F3401" s="109" t="s">
        <v>17433</v>
      </c>
      <c r="G3401" s="110" t="s">
        <v>6248</v>
      </c>
      <c r="H3401" s="110" t="s">
        <v>21606</v>
      </c>
      <c r="I3401" s="110" t="s">
        <v>21607</v>
      </c>
    </row>
    <row r="3402" spans="1:9" ht="25.2" x14ac:dyDescent="0.3">
      <c r="A3402" s="109" t="s">
        <v>21608</v>
      </c>
      <c r="B3402" s="109" t="s">
        <v>21007</v>
      </c>
      <c r="C3402" s="109" t="s">
        <v>21007</v>
      </c>
      <c r="D3402" s="109" t="s">
        <v>21609</v>
      </c>
      <c r="E3402" s="109" t="s">
        <v>5558</v>
      </c>
      <c r="F3402" s="109" t="s">
        <v>21610</v>
      </c>
      <c r="G3402" s="110" t="s">
        <v>6248</v>
      </c>
      <c r="H3402" s="110" t="s">
        <v>21611</v>
      </c>
      <c r="I3402" s="110" t="s">
        <v>21612</v>
      </c>
    </row>
    <row r="3403" spans="1:9" ht="37.799999999999997" x14ac:dyDescent="0.3">
      <c r="A3403" s="109" t="s">
        <v>21613</v>
      </c>
      <c r="B3403" s="109" t="s">
        <v>21007</v>
      </c>
      <c r="C3403" s="109" t="s">
        <v>21007</v>
      </c>
      <c r="D3403" s="109" t="s">
        <v>21614</v>
      </c>
      <c r="E3403" s="109" t="s">
        <v>5558</v>
      </c>
      <c r="F3403" s="109" t="s">
        <v>21615</v>
      </c>
      <c r="G3403" s="110" t="s">
        <v>6248</v>
      </c>
      <c r="H3403" s="110" t="s">
        <v>21616</v>
      </c>
      <c r="I3403" s="110" t="s">
        <v>21617</v>
      </c>
    </row>
    <row r="3404" spans="1:9" ht="37.799999999999997" x14ac:dyDescent="0.3">
      <c r="A3404" s="109" t="s">
        <v>21618</v>
      </c>
      <c r="B3404" s="109" t="s">
        <v>21007</v>
      </c>
      <c r="C3404" s="109" t="s">
        <v>21007</v>
      </c>
      <c r="D3404" s="109" t="s">
        <v>21619</v>
      </c>
      <c r="E3404" s="109" t="s">
        <v>5558</v>
      </c>
      <c r="F3404" s="109" t="s">
        <v>21620</v>
      </c>
      <c r="G3404" s="110" t="s">
        <v>6248</v>
      </c>
      <c r="H3404" s="110" t="s">
        <v>9199</v>
      </c>
      <c r="I3404" s="110" t="s">
        <v>21621</v>
      </c>
    </row>
    <row r="3405" spans="1:9" ht="25.2" x14ac:dyDescent="0.3">
      <c r="A3405" s="109" t="s">
        <v>21622</v>
      </c>
      <c r="B3405" s="109" t="s">
        <v>21007</v>
      </c>
      <c r="C3405" s="109" t="s">
        <v>21007</v>
      </c>
      <c r="D3405" s="109" t="s">
        <v>21623</v>
      </c>
      <c r="E3405" s="109" t="s">
        <v>5932</v>
      </c>
      <c r="F3405" s="109" t="s">
        <v>15933</v>
      </c>
      <c r="G3405" s="110" t="s">
        <v>6248</v>
      </c>
      <c r="H3405" s="110" t="s">
        <v>21624</v>
      </c>
      <c r="I3405" s="110" t="s">
        <v>21625</v>
      </c>
    </row>
    <row r="3406" spans="1:9" ht="25.2" x14ac:dyDescent="0.3">
      <c r="A3406" s="109" t="s">
        <v>21626</v>
      </c>
      <c r="B3406" s="109" t="s">
        <v>21007</v>
      </c>
      <c r="C3406" s="109" t="s">
        <v>21007</v>
      </c>
      <c r="D3406" s="109" t="s">
        <v>21627</v>
      </c>
      <c r="E3406" s="109" t="s">
        <v>21628</v>
      </c>
      <c r="F3406" s="109" t="s">
        <v>21629</v>
      </c>
      <c r="G3406" s="110" t="s">
        <v>6248</v>
      </c>
      <c r="H3406" s="110" t="s">
        <v>21630</v>
      </c>
      <c r="I3406" s="110" t="s">
        <v>21631</v>
      </c>
    </row>
    <row r="3407" spans="1:9" ht="50.4" x14ac:dyDescent="0.3">
      <c r="A3407" s="109" t="s">
        <v>21632</v>
      </c>
      <c r="B3407" s="109" t="s">
        <v>21007</v>
      </c>
      <c r="C3407" s="109" t="s">
        <v>21007</v>
      </c>
      <c r="D3407" s="109" t="s">
        <v>21633</v>
      </c>
      <c r="E3407" s="109" t="s">
        <v>21634</v>
      </c>
      <c r="F3407" s="109" t="s">
        <v>21635</v>
      </c>
      <c r="G3407" s="110" t="s">
        <v>6248</v>
      </c>
      <c r="H3407" s="110" t="s">
        <v>21636</v>
      </c>
      <c r="I3407" s="110" t="s">
        <v>21637</v>
      </c>
    </row>
    <row r="3408" spans="1:9" ht="25.2" x14ac:dyDescent="0.3">
      <c r="A3408" s="109" t="s">
        <v>21638</v>
      </c>
      <c r="B3408" s="109" t="s">
        <v>21007</v>
      </c>
      <c r="C3408" s="109" t="s">
        <v>21007</v>
      </c>
      <c r="D3408" s="109" t="s">
        <v>21639</v>
      </c>
      <c r="E3408" s="109" t="s">
        <v>5932</v>
      </c>
      <c r="F3408" s="109" t="s">
        <v>15892</v>
      </c>
      <c r="G3408" s="110" t="s">
        <v>6248</v>
      </c>
      <c r="H3408" s="110" t="s">
        <v>21640</v>
      </c>
      <c r="I3408" s="110" t="s">
        <v>21641</v>
      </c>
    </row>
    <row r="3409" spans="1:9" ht="25.2" x14ac:dyDescent="0.3">
      <c r="A3409" s="109" t="s">
        <v>21642</v>
      </c>
      <c r="B3409" s="109" t="s">
        <v>21007</v>
      </c>
      <c r="C3409" s="109" t="s">
        <v>21007</v>
      </c>
      <c r="D3409" s="109" t="s">
        <v>3017</v>
      </c>
      <c r="E3409" s="109" t="s">
        <v>21643</v>
      </c>
      <c r="F3409" s="109" t="s">
        <v>17150</v>
      </c>
      <c r="G3409" s="110" t="s">
        <v>6248</v>
      </c>
      <c r="H3409" s="110" t="s">
        <v>21644</v>
      </c>
      <c r="I3409" s="110" t="s">
        <v>21645</v>
      </c>
    </row>
    <row r="3410" spans="1:9" ht="25.2" x14ac:dyDescent="0.3">
      <c r="A3410" s="109" t="s">
        <v>21646</v>
      </c>
      <c r="B3410" s="109" t="s">
        <v>21007</v>
      </c>
      <c r="C3410" s="109" t="s">
        <v>21007</v>
      </c>
      <c r="D3410" s="109" t="s">
        <v>5569</v>
      </c>
      <c r="E3410" s="109" t="s">
        <v>5558</v>
      </c>
      <c r="F3410" s="109" t="s">
        <v>2258</v>
      </c>
      <c r="G3410" s="110" t="s">
        <v>6248</v>
      </c>
      <c r="H3410" s="110" t="s">
        <v>21578</v>
      </c>
      <c r="I3410" s="110" t="s">
        <v>21647</v>
      </c>
    </row>
    <row r="3411" spans="1:9" ht="25.2" x14ac:dyDescent="0.3">
      <c r="A3411" s="109" t="s">
        <v>21648</v>
      </c>
      <c r="B3411" s="109" t="s">
        <v>21007</v>
      </c>
      <c r="C3411" s="109" t="s">
        <v>21007</v>
      </c>
      <c r="D3411" s="109" t="s">
        <v>21649</v>
      </c>
      <c r="E3411" s="109" t="s">
        <v>5558</v>
      </c>
      <c r="F3411" s="109" t="s">
        <v>21650</v>
      </c>
      <c r="G3411" s="110" t="s">
        <v>6248</v>
      </c>
      <c r="H3411" s="110" t="s">
        <v>21651</v>
      </c>
      <c r="I3411" s="110" t="s">
        <v>21652</v>
      </c>
    </row>
    <row r="3412" spans="1:9" ht="25.2" x14ac:dyDescent="0.3">
      <c r="A3412" s="109" t="s">
        <v>21653</v>
      </c>
      <c r="B3412" s="109" t="s">
        <v>21007</v>
      </c>
      <c r="C3412" s="109" t="s">
        <v>21007</v>
      </c>
      <c r="D3412" s="109" t="s">
        <v>21654</v>
      </c>
      <c r="E3412" s="109" t="s">
        <v>5558</v>
      </c>
      <c r="F3412" s="109" t="s">
        <v>21655</v>
      </c>
      <c r="G3412" s="110" t="s">
        <v>6248</v>
      </c>
      <c r="H3412" s="110" t="s">
        <v>21656</v>
      </c>
      <c r="I3412" s="110" t="s">
        <v>21657</v>
      </c>
    </row>
    <row r="3413" spans="1:9" ht="25.2" x14ac:dyDescent="0.3">
      <c r="A3413" s="109" t="s">
        <v>21658</v>
      </c>
      <c r="B3413" s="109" t="s">
        <v>21007</v>
      </c>
      <c r="C3413" s="109" t="s">
        <v>21007</v>
      </c>
      <c r="D3413" s="109" t="s">
        <v>21659</v>
      </c>
      <c r="E3413" s="109" t="s">
        <v>5558</v>
      </c>
      <c r="F3413" s="109" t="s">
        <v>21660</v>
      </c>
      <c r="G3413" s="110" t="s">
        <v>6248</v>
      </c>
      <c r="H3413" s="110" t="s">
        <v>21661</v>
      </c>
      <c r="I3413" s="110" t="s">
        <v>21662</v>
      </c>
    </row>
    <row r="3414" spans="1:9" ht="25.2" x14ac:dyDescent="0.3">
      <c r="A3414" s="109" t="s">
        <v>21663</v>
      </c>
      <c r="B3414" s="109" t="s">
        <v>21007</v>
      </c>
      <c r="C3414" s="109" t="s">
        <v>21007</v>
      </c>
      <c r="D3414" s="109" t="s">
        <v>21664</v>
      </c>
      <c r="E3414" s="109" t="s">
        <v>5558</v>
      </c>
      <c r="F3414" s="109" t="s">
        <v>21665</v>
      </c>
      <c r="G3414" s="110" t="s">
        <v>6248</v>
      </c>
      <c r="H3414" s="110" t="s">
        <v>21666</v>
      </c>
      <c r="I3414" s="110" t="s">
        <v>21667</v>
      </c>
    </row>
    <row r="3415" spans="1:9" ht="25.2" x14ac:dyDescent="0.3">
      <c r="A3415" s="109" t="s">
        <v>21668</v>
      </c>
      <c r="B3415" s="109" t="s">
        <v>21007</v>
      </c>
      <c r="C3415" s="109" t="s">
        <v>21007</v>
      </c>
      <c r="D3415" s="109" t="s">
        <v>21669</v>
      </c>
      <c r="E3415" s="109" t="s">
        <v>5558</v>
      </c>
      <c r="F3415" s="109" t="s">
        <v>21670</v>
      </c>
      <c r="G3415" s="110" t="s">
        <v>6248</v>
      </c>
      <c r="H3415" s="110" t="s">
        <v>9407</v>
      </c>
      <c r="I3415" s="110" t="s">
        <v>21671</v>
      </c>
    </row>
    <row r="3416" spans="1:9" ht="25.2" x14ac:dyDescent="0.3">
      <c r="A3416" s="109" t="s">
        <v>21672</v>
      </c>
      <c r="B3416" s="109" t="s">
        <v>21007</v>
      </c>
      <c r="C3416" s="109" t="s">
        <v>21007</v>
      </c>
      <c r="D3416" s="109" t="s">
        <v>21673</v>
      </c>
      <c r="E3416" s="109" t="s">
        <v>5558</v>
      </c>
      <c r="F3416" s="109" t="s">
        <v>21674</v>
      </c>
      <c r="G3416" s="110" t="s">
        <v>6248</v>
      </c>
      <c r="H3416" s="110" t="s">
        <v>21675</v>
      </c>
      <c r="I3416" s="110" t="s">
        <v>21676</v>
      </c>
    </row>
    <row r="3417" spans="1:9" ht="25.2" x14ac:dyDescent="0.3">
      <c r="A3417" s="109" t="s">
        <v>21677</v>
      </c>
      <c r="B3417" s="109" t="s">
        <v>21007</v>
      </c>
      <c r="C3417" s="109" t="s">
        <v>21007</v>
      </c>
      <c r="D3417" s="109" t="s">
        <v>21678</v>
      </c>
      <c r="E3417" s="109" t="s">
        <v>21679</v>
      </c>
      <c r="F3417" s="109" t="s">
        <v>6351</v>
      </c>
      <c r="G3417" s="110" t="s">
        <v>6248</v>
      </c>
      <c r="H3417" s="110" t="s">
        <v>9324</v>
      </c>
      <c r="I3417" s="110" t="s">
        <v>21680</v>
      </c>
    </row>
    <row r="3418" spans="1:9" ht="25.2" x14ac:dyDescent="0.3">
      <c r="A3418" s="109" t="s">
        <v>21681</v>
      </c>
      <c r="B3418" s="109" t="s">
        <v>21007</v>
      </c>
      <c r="C3418" s="109" t="s">
        <v>21007</v>
      </c>
      <c r="D3418" s="109" t="s">
        <v>21682</v>
      </c>
      <c r="E3418" s="109" t="s">
        <v>5558</v>
      </c>
      <c r="F3418" s="109" t="s">
        <v>21683</v>
      </c>
      <c r="G3418" s="110" t="s">
        <v>6248</v>
      </c>
      <c r="H3418" s="110" t="s">
        <v>21684</v>
      </c>
      <c r="I3418" s="110" t="s">
        <v>21685</v>
      </c>
    </row>
    <row r="3419" spans="1:9" ht="25.2" x14ac:dyDescent="0.3">
      <c r="A3419" s="109" t="s">
        <v>21686</v>
      </c>
      <c r="B3419" s="109" t="s">
        <v>21007</v>
      </c>
      <c r="C3419" s="109" t="s">
        <v>21007</v>
      </c>
      <c r="D3419" s="109" t="s">
        <v>21687</v>
      </c>
      <c r="E3419" s="109" t="s">
        <v>5558</v>
      </c>
      <c r="F3419" s="109" t="s">
        <v>21688</v>
      </c>
      <c r="G3419" s="110" t="s">
        <v>6248</v>
      </c>
      <c r="H3419" s="110" t="s">
        <v>6398</v>
      </c>
      <c r="I3419" s="110" t="s">
        <v>21689</v>
      </c>
    </row>
    <row r="3420" spans="1:9" ht="50.4" x14ac:dyDescent="0.3">
      <c r="A3420" s="109" t="s">
        <v>21690</v>
      </c>
      <c r="B3420" s="109" t="s">
        <v>21007</v>
      </c>
      <c r="C3420" s="109" t="s">
        <v>21007</v>
      </c>
      <c r="D3420" s="109" t="s">
        <v>21691</v>
      </c>
      <c r="E3420" s="109" t="s">
        <v>21691</v>
      </c>
      <c r="F3420" s="109" t="s">
        <v>21692</v>
      </c>
      <c r="G3420" s="110" t="s">
        <v>6248</v>
      </c>
      <c r="H3420" s="110" t="s">
        <v>21693</v>
      </c>
      <c r="I3420" s="110" t="s">
        <v>21694</v>
      </c>
    </row>
    <row r="3421" spans="1:9" ht="50.4" x14ac:dyDescent="0.3">
      <c r="A3421" s="109" t="s">
        <v>21695</v>
      </c>
      <c r="B3421" s="109" t="s">
        <v>21007</v>
      </c>
      <c r="C3421" s="109" t="s">
        <v>21007</v>
      </c>
      <c r="D3421" s="109" t="s">
        <v>21696</v>
      </c>
      <c r="E3421" s="109" t="s">
        <v>21696</v>
      </c>
      <c r="F3421" s="109" t="s">
        <v>21697</v>
      </c>
      <c r="G3421" s="110" t="s">
        <v>6248</v>
      </c>
      <c r="H3421" s="110" t="s">
        <v>21698</v>
      </c>
      <c r="I3421" s="110" t="s">
        <v>21699</v>
      </c>
    </row>
    <row r="3422" spans="1:9" ht="50.4" x14ac:dyDescent="0.3">
      <c r="A3422" s="109" t="s">
        <v>21700</v>
      </c>
      <c r="B3422" s="109" t="s">
        <v>21007</v>
      </c>
      <c r="C3422" s="109" t="s">
        <v>21007</v>
      </c>
      <c r="D3422" s="109" t="s">
        <v>21701</v>
      </c>
      <c r="E3422" s="109" t="s">
        <v>21701</v>
      </c>
      <c r="F3422" s="109" t="s">
        <v>21702</v>
      </c>
      <c r="G3422" s="110" t="s">
        <v>6248</v>
      </c>
      <c r="H3422" s="110" t="s">
        <v>21703</v>
      </c>
      <c r="I3422" s="110" t="s">
        <v>21704</v>
      </c>
    </row>
    <row r="3423" spans="1:9" ht="50.4" x14ac:dyDescent="0.3">
      <c r="A3423" s="109" t="s">
        <v>21705</v>
      </c>
      <c r="B3423" s="109" t="s">
        <v>21007</v>
      </c>
      <c r="C3423" s="109" t="s">
        <v>21007</v>
      </c>
      <c r="D3423" s="109" t="s">
        <v>21706</v>
      </c>
      <c r="E3423" s="109" t="s">
        <v>21706</v>
      </c>
      <c r="F3423" s="109" t="s">
        <v>21707</v>
      </c>
      <c r="G3423" s="110" t="s">
        <v>6248</v>
      </c>
      <c r="H3423" s="110" t="s">
        <v>21708</v>
      </c>
      <c r="I3423" s="110" t="s">
        <v>21709</v>
      </c>
    </row>
    <row r="3424" spans="1:9" ht="50.4" x14ac:dyDescent="0.3">
      <c r="A3424" s="109" t="s">
        <v>21710</v>
      </c>
      <c r="B3424" s="109" t="s">
        <v>21007</v>
      </c>
      <c r="C3424" s="109" t="s">
        <v>21007</v>
      </c>
      <c r="D3424" s="109" t="s">
        <v>14689</v>
      </c>
      <c r="E3424" s="109" t="s">
        <v>14689</v>
      </c>
      <c r="F3424" s="109" t="s">
        <v>21711</v>
      </c>
      <c r="G3424" s="110" t="s">
        <v>6248</v>
      </c>
      <c r="H3424" s="110" t="s">
        <v>21712</v>
      </c>
      <c r="I3424" s="110" t="s">
        <v>21713</v>
      </c>
    </row>
    <row r="3425" spans="1:9" ht="50.4" x14ac:dyDescent="0.3">
      <c r="A3425" s="109" t="s">
        <v>21714</v>
      </c>
      <c r="B3425" s="109" t="s">
        <v>21007</v>
      </c>
      <c r="C3425" s="109" t="s">
        <v>21007</v>
      </c>
      <c r="D3425" s="109" t="s">
        <v>14550</v>
      </c>
      <c r="E3425" s="109" t="s">
        <v>14550</v>
      </c>
      <c r="F3425" s="109" t="s">
        <v>21715</v>
      </c>
      <c r="G3425" s="110" t="s">
        <v>6248</v>
      </c>
      <c r="H3425" s="110" t="s">
        <v>14720</v>
      </c>
      <c r="I3425" s="110" t="s">
        <v>21716</v>
      </c>
    </row>
    <row r="3426" spans="1:9" ht="37.799999999999997" x14ac:dyDescent="0.3">
      <c r="A3426" s="109" t="s">
        <v>21717</v>
      </c>
      <c r="B3426" s="109" t="s">
        <v>21007</v>
      </c>
      <c r="C3426" s="109" t="s">
        <v>21007</v>
      </c>
      <c r="D3426" s="109" t="s">
        <v>21718</v>
      </c>
      <c r="E3426" s="109" t="s">
        <v>21718</v>
      </c>
      <c r="F3426" s="109" t="s">
        <v>21719</v>
      </c>
      <c r="G3426" s="110" t="s">
        <v>6248</v>
      </c>
      <c r="H3426" s="110" t="s">
        <v>21720</v>
      </c>
      <c r="I3426" s="110" t="s">
        <v>21721</v>
      </c>
    </row>
    <row r="3427" spans="1:9" ht="25.2" x14ac:dyDescent="0.3">
      <c r="A3427" s="109" t="s">
        <v>21722</v>
      </c>
      <c r="B3427" s="109" t="s">
        <v>21007</v>
      </c>
      <c r="C3427" s="109" t="s">
        <v>21007</v>
      </c>
      <c r="D3427" s="109" t="s">
        <v>21723</v>
      </c>
      <c r="E3427" s="109" t="s">
        <v>5558</v>
      </c>
      <c r="F3427" s="109" t="s">
        <v>21724</v>
      </c>
      <c r="G3427" s="110" t="s">
        <v>6248</v>
      </c>
      <c r="H3427" s="110" t="s">
        <v>9261</v>
      </c>
      <c r="I3427" s="110" t="s">
        <v>21725</v>
      </c>
    </row>
    <row r="3428" spans="1:9" ht="50.4" x14ac:dyDescent="0.3">
      <c r="A3428" s="109" t="s">
        <v>21726</v>
      </c>
      <c r="B3428" s="109" t="s">
        <v>21007</v>
      </c>
      <c r="C3428" s="109" t="s">
        <v>21007</v>
      </c>
      <c r="D3428" s="109" t="s">
        <v>21727</v>
      </c>
      <c r="E3428" s="109" t="s">
        <v>21727</v>
      </c>
      <c r="F3428" s="109" t="s">
        <v>21728</v>
      </c>
      <c r="G3428" s="110" t="s">
        <v>6248</v>
      </c>
      <c r="H3428" s="110" t="s">
        <v>21729</v>
      </c>
      <c r="I3428" s="110" t="s">
        <v>21730</v>
      </c>
    </row>
    <row r="3429" spans="1:9" ht="37.799999999999997" x14ac:dyDescent="0.3">
      <c r="A3429" s="109" t="s">
        <v>21731</v>
      </c>
      <c r="B3429" s="109" t="s">
        <v>21007</v>
      </c>
      <c r="C3429" s="109" t="s">
        <v>21007</v>
      </c>
      <c r="D3429" s="109" t="s">
        <v>21732</v>
      </c>
      <c r="E3429" s="109" t="s">
        <v>21732</v>
      </c>
      <c r="F3429" s="109" t="s">
        <v>21733</v>
      </c>
      <c r="G3429" s="110" t="s">
        <v>6248</v>
      </c>
      <c r="H3429" s="110" t="s">
        <v>21734</v>
      </c>
      <c r="I3429" s="110" t="s">
        <v>21735</v>
      </c>
    </row>
    <row r="3430" spans="1:9" ht="50.4" x14ac:dyDescent="0.3">
      <c r="A3430" s="109" t="s">
        <v>21736</v>
      </c>
      <c r="B3430" s="109" t="s">
        <v>21007</v>
      </c>
      <c r="C3430" s="109" t="s">
        <v>21007</v>
      </c>
      <c r="D3430" s="109" t="s">
        <v>21737</v>
      </c>
      <c r="E3430" s="109" t="s">
        <v>21737</v>
      </c>
      <c r="F3430" s="109" t="s">
        <v>21738</v>
      </c>
      <c r="G3430" s="110" t="s">
        <v>6248</v>
      </c>
      <c r="H3430" s="110" t="s">
        <v>21739</v>
      </c>
      <c r="I3430" s="110" t="s">
        <v>21740</v>
      </c>
    </row>
    <row r="3431" spans="1:9" ht="50.4" x14ac:dyDescent="0.3">
      <c r="A3431" s="109" t="s">
        <v>21741</v>
      </c>
      <c r="B3431" s="109" t="s">
        <v>21007</v>
      </c>
      <c r="C3431" s="109" t="s">
        <v>21007</v>
      </c>
      <c r="D3431" s="109" t="s">
        <v>21742</v>
      </c>
      <c r="E3431" s="109" t="s">
        <v>21742</v>
      </c>
      <c r="F3431" s="109" t="s">
        <v>21743</v>
      </c>
      <c r="G3431" s="110" t="s">
        <v>6248</v>
      </c>
      <c r="H3431" s="110" t="s">
        <v>10272</v>
      </c>
      <c r="I3431" s="110" t="s">
        <v>21744</v>
      </c>
    </row>
    <row r="3432" spans="1:9" ht="50.4" x14ac:dyDescent="0.3">
      <c r="A3432" s="109" t="s">
        <v>21745</v>
      </c>
      <c r="B3432" s="109" t="s">
        <v>21007</v>
      </c>
      <c r="C3432" s="109" t="s">
        <v>21007</v>
      </c>
      <c r="D3432" s="109" t="s">
        <v>21746</v>
      </c>
      <c r="E3432" s="109" t="s">
        <v>21746</v>
      </c>
      <c r="F3432" s="109" t="s">
        <v>21747</v>
      </c>
      <c r="G3432" s="110" t="s">
        <v>6248</v>
      </c>
      <c r="H3432" s="110" t="s">
        <v>21748</v>
      </c>
      <c r="I3432" s="110" t="s">
        <v>21749</v>
      </c>
    </row>
    <row r="3433" spans="1:9" ht="50.4" x14ac:dyDescent="0.3">
      <c r="A3433" s="109" t="s">
        <v>21750</v>
      </c>
      <c r="B3433" s="109" t="s">
        <v>21007</v>
      </c>
      <c r="C3433" s="109" t="s">
        <v>21007</v>
      </c>
      <c r="D3433" s="109" t="s">
        <v>21751</v>
      </c>
      <c r="E3433" s="109" t="s">
        <v>21751</v>
      </c>
      <c r="F3433" s="109" t="s">
        <v>21752</v>
      </c>
      <c r="G3433" s="110" t="s">
        <v>6248</v>
      </c>
      <c r="H3433" s="110" t="s">
        <v>21753</v>
      </c>
      <c r="I3433" s="110" t="s">
        <v>21754</v>
      </c>
    </row>
    <row r="3434" spans="1:9" ht="50.4" x14ac:dyDescent="0.3">
      <c r="A3434" s="109" t="s">
        <v>21755</v>
      </c>
      <c r="B3434" s="109" t="s">
        <v>21007</v>
      </c>
      <c r="C3434" s="109" t="s">
        <v>21007</v>
      </c>
      <c r="D3434" s="109" t="s">
        <v>21756</v>
      </c>
      <c r="E3434" s="109" t="s">
        <v>21756</v>
      </c>
      <c r="F3434" s="109" t="s">
        <v>21757</v>
      </c>
      <c r="G3434" s="110" t="s">
        <v>6248</v>
      </c>
      <c r="H3434" s="110" t="s">
        <v>21758</v>
      </c>
      <c r="I3434" s="110" t="s">
        <v>21759</v>
      </c>
    </row>
    <row r="3435" spans="1:9" ht="50.4" x14ac:dyDescent="0.3">
      <c r="A3435" s="109" t="s">
        <v>21760</v>
      </c>
      <c r="B3435" s="109" t="s">
        <v>21007</v>
      </c>
      <c r="C3435" s="109" t="s">
        <v>21007</v>
      </c>
      <c r="D3435" s="109" t="s">
        <v>21761</v>
      </c>
      <c r="E3435" s="109" t="s">
        <v>21761</v>
      </c>
      <c r="F3435" s="109" t="s">
        <v>21762</v>
      </c>
      <c r="G3435" s="110" t="s">
        <v>6248</v>
      </c>
      <c r="H3435" s="110" t="s">
        <v>21763</v>
      </c>
      <c r="I3435" s="110" t="s">
        <v>21764</v>
      </c>
    </row>
    <row r="3436" spans="1:9" ht="50.4" x14ac:dyDescent="0.3">
      <c r="A3436" s="109" t="s">
        <v>21765</v>
      </c>
      <c r="B3436" s="109" t="s">
        <v>21007</v>
      </c>
      <c r="C3436" s="109" t="s">
        <v>21007</v>
      </c>
      <c r="D3436" s="109" t="s">
        <v>11836</v>
      </c>
      <c r="E3436" s="109" t="s">
        <v>11836</v>
      </c>
      <c r="F3436" s="109" t="s">
        <v>21766</v>
      </c>
      <c r="G3436" s="110" t="s">
        <v>6248</v>
      </c>
      <c r="H3436" s="110" t="s">
        <v>21767</v>
      </c>
      <c r="I3436" s="110" t="s">
        <v>21768</v>
      </c>
    </row>
    <row r="3437" spans="1:9" ht="50.4" x14ac:dyDescent="0.3">
      <c r="A3437" s="109" t="s">
        <v>21769</v>
      </c>
      <c r="B3437" s="109" t="s">
        <v>21007</v>
      </c>
      <c r="C3437" s="109" t="s">
        <v>21007</v>
      </c>
      <c r="D3437" s="109" t="s">
        <v>9709</v>
      </c>
      <c r="E3437" s="109" t="s">
        <v>9709</v>
      </c>
      <c r="F3437" s="109" t="s">
        <v>21770</v>
      </c>
      <c r="G3437" s="110" t="s">
        <v>6248</v>
      </c>
      <c r="H3437" s="110" t="s">
        <v>21771</v>
      </c>
      <c r="I3437" s="110" t="s">
        <v>21772</v>
      </c>
    </row>
    <row r="3438" spans="1:9" ht="50.4" x14ac:dyDescent="0.3">
      <c r="A3438" s="109" t="s">
        <v>21773</v>
      </c>
      <c r="B3438" s="109" t="s">
        <v>21007</v>
      </c>
      <c r="C3438" s="109" t="s">
        <v>21007</v>
      </c>
      <c r="D3438" s="109" t="s">
        <v>21774</v>
      </c>
      <c r="E3438" s="109" t="s">
        <v>21774</v>
      </c>
      <c r="F3438" s="109" t="s">
        <v>21775</v>
      </c>
      <c r="G3438" s="110" t="s">
        <v>6248</v>
      </c>
      <c r="H3438" s="110" t="s">
        <v>9225</v>
      </c>
      <c r="I3438" s="110" t="s">
        <v>21776</v>
      </c>
    </row>
    <row r="3439" spans="1:9" ht="50.4" x14ac:dyDescent="0.3">
      <c r="A3439" s="109" t="s">
        <v>21777</v>
      </c>
      <c r="B3439" s="109" t="s">
        <v>21007</v>
      </c>
      <c r="C3439" s="109" t="s">
        <v>21007</v>
      </c>
      <c r="D3439" s="109" t="s">
        <v>21778</v>
      </c>
      <c r="E3439" s="109" t="s">
        <v>21778</v>
      </c>
      <c r="F3439" s="109" t="s">
        <v>21779</v>
      </c>
      <c r="G3439" s="110" t="s">
        <v>6248</v>
      </c>
      <c r="H3439" s="110" t="s">
        <v>6689</v>
      </c>
      <c r="I3439" s="110" t="s">
        <v>21780</v>
      </c>
    </row>
    <row r="3440" spans="1:9" ht="50.4" x14ac:dyDescent="0.3">
      <c r="A3440" s="109" t="s">
        <v>21781</v>
      </c>
      <c r="B3440" s="109" t="s">
        <v>21007</v>
      </c>
      <c r="C3440" s="109" t="s">
        <v>21007</v>
      </c>
      <c r="D3440" s="109" t="s">
        <v>18746</v>
      </c>
      <c r="E3440" s="109" t="s">
        <v>18746</v>
      </c>
      <c r="F3440" s="109" t="s">
        <v>21782</v>
      </c>
      <c r="G3440" s="110" t="s">
        <v>6248</v>
      </c>
      <c r="H3440" s="110" t="s">
        <v>21783</v>
      </c>
      <c r="I3440" s="110" t="s">
        <v>21784</v>
      </c>
    </row>
    <row r="3441" spans="1:9" ht="25.2" x14ac:dyDescent="0.3">
      <c r="A3441" s="109" t="s">
        <v>21785</v>
      </c>
      <c r="B3441" s="109" t="s">
        <v>21007</v>
      </c>
      <c r="C3441" s="109" t="s">
        <v>21007</v>
      </c>
      <c r="D3441" s="109" t="s">
        <v>21786</v>
      </c>
      <c r="E3441" s="109" t="s">
        <v>5558</v>
      </c>
      <c r="F3441" s="109" t="s">
        <v>21787</v>
      </c>
      <c r="G3441" s="110" t="s">
        <v>6248</v>
      </c>
      <c r="H3441" s="110" t="s">
        <v>21788</v>
      </c>
      <c r="I3441" s="110" t="s">
        <v>21789</v>
      </c>
    </row>
    <row r="3442" spans="1:9" ht="50.4" x14ac:dyDescent="0.3">
      <c r="A3442" s="109" t="s">
        <v>21790</v>
      </c>
      <c r="B3442" s="109" t="s">
        <v>21007</v>
      </c>
      <c r="C3442" s="109" t="s">
        <v>21007</v>
      </c>
      <c r="D3442" s="109" t="s">
        <v>21791</v>
      </c>
      <c r="E3442" s="109" t="s">
        <v>21791</v>
      </c>
      <c r="F3442" s="109" t="s">
        <v>21792</v>
      </c>
      <c r="G3442" s="110" t="s">
        <v>6248</v>
      </c>
      <c r="H3442" s="110" t="s">
        <v>21793</v>
      </c>
      <c r="I3442" s="110" t="s">
        <v>21794</v>
      </c>
    </row>
    <row r="3443" spans="1:9" ht="37.799999999999997" x14ac:dyDescent="0.3">
      <c r="A3443" s="109" t="s">
        <v>21795</v>
      </c>
      <c r="B3443" s="109" t="s">
        <v>21007</v>
      </c>
      <c r="C3443" s="109" t="s">
        <v>21007</v>
      </c>
      <c r="D3443" s="109" t="s">
        <v>21796</v>
      </c>
      <c r="E3443" s="109" t="s">
        <v>21797</v>
      </c>
      <c r="F3443" s="109" t="s">
        <v>21798</v>
      </c>
      <c r="G3443" s="110" t="s">
        <v>6248</v>
      </c>
      <c r="H3443" s="110" t="s">
        <v>21799</v>
      </c>
      <c r="I3443" s="110" t="s">
        <v>21800</v>
      </c>
    </row>
    <row r="3444" spans="1:9" ht="37.799999999999997" x14ac:dyDescent="0.3">
      <c r="A3444" s="109" t="s">
        <v>21801</v>
      </c>
      <c r="B3444" s="109" t="s">
        <v>21007</v>
      </c>
      <c r="C3444" s="109" t="s">
        <v>21007</v>
      </c>
      <c r="D3444" s="109" t="s">
        <v>21802</v>
      </c>
      <c r="E3444" s="109" t="s">
        <v>21797</v>
      </c>
      <c r="F3444" s="109" t="s">
        <v>21803</v>
      </c>
      <c r="G3444" s="110" t="s">
        <v>21799</v>
      </c>
      <c r="H3444" s="110" t="s">
        <v>6248</v>
      </c>
      <c r="I3444" s="110" t="s">
        <v>21794</v>
      </c>
    </row>
    <row r="3445" spans="1:9" ht="50.4" x14ac:dyDescent="0.3">
      <c r="A3445" s="109" t="s">
        <v>21804</v>
      </c>
      <c r="B3445" s="109" t="s">
        <v>21007</v>
      </c>
      <c r="C3445" s="109" t="s">
        <v>21007</v>
      </c>
      <c r="D3445" s="109" t="s">
        <v>21805</v>
      </c>
      <c r="E3445" s="109" t="s">
        <v>21805</v>
      </c>
      <c r="F3445" s="109" t="s">
        <v>21806</v>
      </c>
      <c r="G3445" s="110" t="s">
        <v>6248</v>
      </c>
      <c r="H3445" s="110" t="s">
        <v>21807</v>
      </c>
      <c r="I3445" s="110" t="s">
        <v>21808</v>
      </c>
    </row>
    <row r="3446" spans="1:9" ht="50.4" x14ac:dyDescent="0.3">
      <c r="A3446" s="109" t="s">
        <v>21809</v>
      </c>
      <c r="B3446" s="109" t="s">
        <v>21007</v>
      </c>
      <c r="C3446" s="109" t="s">
        <v>21007</v>
      </c>
      <c r="D3446" s="109" t="s">
        <v>12032</v>
      </c>
      <c r="E3446" s="109" t="s">
        <v>12032</v>
      </c>
      <c r="F3446" s="109" t="s">
        <v>21810</v>
      </c>
      <c r="G3446" s="110" t="s">
        <v>6248</v>
      </c>
      <c r="H3446" s="110" t="s">
        <v>18336</v>
      </c>
      <c r="I3446" s="110" t="s">
        <v>21811</v>
      </c>
    </row>
    <row r="3447" spans="1:9" ht="50.4" x14ac:dyDescent="0.3">
      <c r="A3447" s="109" t="s">
        <v>13125</v>
      </c>
      <c r="B3447" s="109" t="s">
        <v>21007</v>
      </c>
      <c r="C3447" s="109" t="s">
        <v>21007</v>
      </c>
      <c r="D3447" s="109" t="s">
        <v>21812</v>
      </c>
      <c r="E3447" s="109" t="s">
        <v>21812</v>
      </c>
      <c r="F3447" s="109" t="s">
        <v>21813</v>
      </c>
      <c r="G3447" s="110" t="s">
        <v>6248</v>
      </c>
      <c r="H3447" s="110" t="s">
        <v>21814</v>
      </c>
      <c r="I3447" s="110" t="s">
        <v>21815</v>
      </c>
    </row>
    <row r="3448" spans="1:9" ht="37.799999999999997" x14ac:dyDescent="0.3">
      <c r="A3448" s="109" t="s">
        <v>21816</v>
      </c>
      <c r="B3448" s="109" t="s">
        <v>21007</v>
      </c>
      <c r="C3448" s="109" t="s">
        <v>21007</v>
      </c>
      <c r="D3448" s="109" t="s">
        <v>7535</v>
      </c>
      <c r="E3448" s="109" t="s">
        <v>21817</v>
      </c>
      <c r="F3448" s="109" t="s">
        <v>21818</v>
      </c>
      <c r="G3448" s="110" t="s">
        <v>6248</v>
      </c>
      <c r="H3448" s="110" t="s">
        <v>21819</v>
      </c>
      <c r="I3448" s="110" t="s">
        <v>21820</v>
      </c>
    </row>
    <row r="3449" spans="1:9" ht="50.4" x14ac:dyDescent="0.3">
      <c r="A3449" s="109" t="s">
        <v>21821</v>
      </c>
      <c r="B3449" s="109" t="s">
        <v>21007</v>
      </c>
      <c r="C3449" s="109" t="s">
        <v>21007</v>
      </c>
      <c r="D3449" s="109" t="s">
        <v>16582</v>
      </c>
      <c r="E3449" s="109" t="s">
        <v>16582</v>
      </c>
      <c r="F3449" s="109" t="s">
        <v>21822</v>
      </c>
      <c r="G3449" s="110" t="s">
        <v>6248</v>
      </c>
      <c r="H3449" s="110" t="s">
        <v>10272</v>
      </c>
      <c r="I3449" s="110" t="s">
        <v>21823</v>
      </c>
    </row>
    <row r="3450" spans="1:9" ht="50.4" x14ac:dyDescent="0.3">
      <c r="A3450" s="109" t="s">
        <v>21824</v>
      </c>
      <c r="B3450" s="109" t="s">
        <v>21007</v>
      </c>
      <c r="C3450" s="109" t="s">
        <v>21007</v>
      </c>
      <c r="D3450" s="109" t="s">
        <v>21825</v>
      </c>
      <c r="E3450" s="109" t="s">
        <v>21825</v>
      </c>
      <c r="F3450" s="109" t="s">
        <v>21826</v>
      </c>
      <c r="G3450" s="110" t="s">
        <v>6248</v>
      </c>
      <c r="H3450" s="110" t="s">
        <v>21827</v>
      </c>
      <c r="I3450" s="110" t="s">
        <v>21828</v>
      </c>
    </row>
    <row r="3451" spans="1:9" ht="50.4" x14ac:dyDescent="0.3">
      <c r="A3451" s="109" t="s">
        <v>21829</v>
      </c>
      <c r="B3451" s="109" t="s">
        <v>21007</v>
      </c>
      <c r="C3451" s="109" t="s">
        <v>21007</v>
      </c>
      <c r="D3451" s="109" t="s">
        <v>21830</v>
      </c>
      <c r="E3451" s="109" t="s">
        <v>21830</v>
      </c>
      <c r="F3451" s="109" t="s">
        <v>21831</v>
      </c>
      <c r="G3451" s="110" t="s">
        <v>6248</v>
      </c>
      <c r="H3451" s="110" t="s">
        <v>21832</v>
      </c>
      <c r="I3451" s="110" t="s">
        <v>21833</v>
      </c>
    </row>
    <row r="3452" spans="1:9" ht="37.799999999999997" x14ac:dyDescent="0.3">
      <c r="A3452" s="109" t="s">
        <v>21834</v>
      </c>
      <c r="B3452" s="109" t="s">
        <v>21007</v>
      </c>
      <c r="C3452" s="109" t="s">
        <v>21007</v>
      </c>
      <c r="D3452" s="109" t="s">
        <v>21835</v>
      </c>
      <c r="E3452" s="109" t="s">
        <v>21835</v>
      </c>
      <c r="F3452" s="109" t="s">
        <v>21836</v>
      </c>
      <c r="G3452" s="110" t="s">
        <v>6248</v>
      </c>
      <c r="H3452" s="110" t="s">
        <v>21837</v>
      </c>
      <c r="I3452" s="110" t="s">
        <v>21838</v>
      </c>
    </row>
    <row r="3453" spans="1:9" ht="50.4" x14ac:dyDescent="0.3">
      <c r="A3453" s="109" t="s">
        <v>21839</v>
      </c>
      <c r="B3453" s="109" t="s">
        <v>21007</v>
      </c>
      <c r="C3453" s="109" t="s">
        <v>21007</v>
      </c>
      <c r="D3453" s="109" t="s">
        <v>21840</v>
      </c>
      <c r="E3453" s="109" t="s">
        <v>21840</v>
      </c>
      <c r="F3453" s="109" t="s">
        <v>21841</v>
      </c>
      <c r="G3453" s="110" t="s">
        <v>6248</v>
      </c>
      <c r="H3453" s="110" t="s">
        <v>7221</v>
      </c>
      <c r="I3453" s="110" t="s">
        <v>21842</v>
      </c>
    </row>
    <row r="3454" spans="1:9" ht="25.2" x14ac:dyDescent="0.3">
      <c r="A3454" s="109" t="s">
        <v>21843</v>
      </c>
      <c r="B3454" s="109" t="s">
        <v>21007</v>
      </c>
      <c r="C3454" s="109" t="s">
        <v>21007</v>
      </c>
      <c r="D3454" s="109" t="s">
        <v>21844</v>
      </c>
      <c r="E3454" s="109" t="s">
        <v>21845</v>
      </c>
      <c r="F3454" s="109" t="s">
        <v>21846</v>
      </c>
      <c r="G3454" s="110" t="s">
        <v>6248</v>
      </c>
      <c r="H3454" s="110" t="s">
        <v>21847</v>
      </c>
      <c r="I3454" s="110" t="s">
        <v>21848</v>
      </c>
    </row>
    <row r="3455" spans="1:9" ht="63" x14ac:dyDescent="0.3">
      <c r="A3455" s="109" t="s">
        <v>21849</v>
      </c>
      <c r="B3455" s="109" t="s">
        <v>21007</v>
      </c>
      <c r="C3455" s="109" t="s">
        <v>21007</v>
      </c>
      <c r="D3455" s="109" t="s">
        <v>21850</v>
      </c>
      <c r="E3455" s="109" t="s">
        <v>21850</v>
      </c>
      <c r="F3455" s="109" t="s">
        <v>21851</v>
      </c>
      <c r="G3455" s="110" t="s">
        <v>6248</v>
      </c>
      <c r="H3455" s="110" t="s">
        <v>21852</v>
      </c>
      <c r="I3455" s="110" t="s">
        <v>21853</v>
      </c>
    </row>
    <row r="3456" spans="1:9" ht="50.4" x14ac:dyDescent="0.3">
      <c r="A3456" s="109" t="s">
        <v>21854</v>
      </c>
      <c r="B3456" s="109" t="s">
        <v>21007</v>
      </c>
      <c r="C3456" s="109" t="s">
        <v>21007</v>
      </c>
      <c r="D3456" s="109" t="s">
        <v>21855</v>
      </c>
      <c r="E3456" s="109" t="s">
        <v>21855</v>
      </c>
      <c r="F3456" s="109" t="s">
        <v>21856</v>
      </c>
      <c r="G3456" s="110" t="s">
        <v>6248</v>
      </c>
      <c r="H3456" s="110" t="s">
        <v>9833</v>
      </c>
      <c r="I3456" s="110" t="s">
        <v>21857</v>
      </c>
    </row>
    <row r="3457" spans="1:9" ht="50.4" x14ac:dyDescent="0.3">
      <c r="A3457" s="109" t="s">
        <v>21858</v>
      </c>
      <c r="B3457" s="109" t="s">
        <v>21007</v>
      </c>
      <c r="C3457" s="109" t="s">
        <v>21007</v>
      </c>
      <c r="D3457" s="109" t="s">
        <v>8386</v>
      </c>
      <c r="E3457" s="109" t="s">
        <v>8386</v>
      </c>
      <c r="F3457" s="109" t="s">
        <v>21859</v>
      </c>
      <c r="G3457" s="110" t="s">
        <v>6248</v>
      </c>
      <c r="H3457" s="110" t="s">
        <v>7321</v>
      </c>
      <c r="I3457" s="110" t="s">
        <v>21860</v>
      </c>
    </row>
    <row r="3458" spans="1:9" ht="50.4" x14ac:dyDescent="0.3">
      <c r="A3458" s="109" t="s">
        <v>21861</v>
      </c>
      <c r="B3458" s="109" t="s">
        <v>21007</v>
      </c>
      <c r="C3458" s="109" t="s">
        <v>21007</v>
      </c>
      <c r="D3458" s="109" t="s">
        <v>21862</v>
      </c>
      <c r="E3458" s="109" t="s">
        <v>21862</v>
      </c>
      <c r="F3458" s="109" t="s">
        <v>21863</v>
      </c>
      <c r="G3458" s="110" t="s">
        <v>6248</v>
      </c>
      <c r="H3458" s="110" t="s">
        <v>6689</v>
      </c>
      <c r="I3458" s="110" t="s">
        <v>21864</v>
      </c>
    </row>
    <row r="3459" spans="1:9" ht="50.4" x14ac:dyDescent="0.3">
      <c r="A3459" s="109" t="s">
        <v>21865</v>
      </c>
      <c r="B3459" s="109" t="s">
        <v>21007</v>
      </c>
      <c r="C3459" s="109" t="s">
        <v>21007</v>
      </c>
      <c r="D3459" s="109" t="s">
        <v>3125</v>
      </c>
      <c r="E3459" s="109" t="s">
        <v>5558</v>
      </c>
      <c r="F3459" s="109" t="s">
        <v>21866</v>
      </c>
      <c r="G3459" s="110" t="s">
        <v>6248</v>
      </c>
      <c r="H3459" s="110" t="s">
        <v>21867</v>
      </c>
      <c r="I3459" s="110" t="s">
        <v>21868</v>
      </c>
    </row>
    <row r="3460" spans="1:9" ht="25.2" x14ac:dyDescent="0.3">
      <c r="A3460" s="109" t="s">
        <v>21869</v>
      </c>
      <c r="B3460" s="109" t="s">
        <v>21007</v>
      </c>
      <c r="C3460" s="109" t="s">
        <v>21007</v>
      </c>
      <c r="D3460" s="109" t="s">
        <v>2995</v>
      </c>
      <c r="E3460" s="109" t="s">
        <v>5558</v>
      </c>
      <c r="F3460" s="109" t="s">
        <v>21870</v>
      </c>
      <c r="G3460" s="110" t="s">
        <v>6248</v>
      </c>
      <c r="H3460" s="110" t="s">
        <v>21871</v>
      </c>
      <c r="I3460" s="110" t="s">
        <v>21872</v>
      </c>
    </row>
    <row r="3461" spans="1:9" ht="25.2" x14ac:dyDescent="0.3">
      <c r="A3461" s="109" t="s">
        <v>21873</v>
      </c>
      <c r="B3461" s="109" t="s">
        <v>21007</v>
      </c>
      <c r="C3461" s="109" t="s">
        <v>21007</v>
      </c>
      <c r="D3461" s="109" t="s">
        <v>21874</v>
      </c>
      <c r="E3461" s="109" t="s">
        <v>21875</v>
      </c>
      <c r="F3461" s="109" t="s">
        <v>21876</v>
      </c>
      <c r="G3461" s="110" t="s">
        <v>6248</v>
      </c>
      <c r="H3461" s="110" t="s">
        <v>21877</v>
      </c>
      <c r="I3461" s="110" t="s">
        <v>21878</v>
      </c>
    </row>
    <row r="3462" spans="1:9" ht="37.799999999999997" x14ac:dyDescent="0.3">
      <c r="A3462" s="109" t="s">
        <v>21879</v>
      </c>
      <c r="B3462" s="109" t="s">
        <v>21007</v>
      </c>
      <c r="C3462" s="109" t="s">
        <v>21007</v>
      </c>
      <c r="D3462" s="109" t="s">
        <v>3138</v>
      </c>
      <c r="E3462" s="109" t="s">
        <v>5558</v>
      </c>
      <c r="F3462" s="109" t="s">
        <v>21880</v>
      </c>
      <c r="G3462" s="110" t="s">
        <v>6248</v>
      </c>
      <c r="H3462" s="110" t="s">
        <v>21881</v>
      </c>
      <c r="I3462" s="110" t="s">
        <v>21882</v>
      </c>
    </row>
    <row r="3463" spans="1:9" ht="25.2" x14ac:dyDescent="0.3">
      <c r="A3463" s="109" t="s">
        <v>21883</v>
      </c>
      <c r="B3463" s="109" t="s">
        <v>21007</v>
      </c>
      <c r="C3463" s="109" t="s">
        <v>21007</v>
      </c>
      <c r="D3463" s="109" t="s">
        <v>21884</v>
      </c>
      <c r="E3463" s="109" t="s">
        <v>21885</v>
      </c>
      <c r="F3463" s="109" t="s">
        <v>8707</v>
      </c>
      <c r="G3463" s="110" t="s">
        <v>6248</v>
      </c>
      <c r="H3463" s="110" t="s">
        <v>21886</v>
      </c>
      <c r="I3463" s="110" t="s">
        <v>21887</v>
      </c>
    </row>
    <row r="3464" spans="1:9" ht="25.2" x14ac:dyDescent="0.3">
      <c r="A3464" s="109" t="s">
        <v>21888</v>
      </c>
      <c r="B3464" s="109" t="s">
        <v>21007</v>
      </c>
      <c r="C3464" s="109" t="s">
        <v>21007</v>
      </c>
      <c r="D3464" s="109" t="s">
        <v>21889</v>
      </c>
      <c r="E3464" s="109" t="s">
        <v>5558</v>
      </c>
      <c r="F3464" s="109" t="s">
        <v>21890</v>
      </c>
      <c r="G3464" s="110" t="s">
        <v>6248</v>
      </c>
      <c r="H3464" s="110" t="s">
        <v>9461</v>
      </c>
      <c r="I3464" s="110" t="s">
        <v>21891</v>
      </c>
    </row>
    <row r="3465" spans="1:9" ht="25.2" x14ac:dyDescent="0.3">
      <c r="A3465" s="109" t="s">
        <v>21892</v>
      </c>
      <c r="B3465" s="109" t="s">
        <v>21007</v>
      </c>
      <c r="C3465" s="109" t="s">
        <v>21007</v>
      </c>
      <c r="D3465" s="109" t="s">
        <v>21893</v>
      </c>
      <c r="E3465" s="109" t="s">
        <v>5558</v>
      </c>
      <c r="F3465" s="109" t="s">
        <v>21894</v>
      </c>
      <c r="G3465" s="110" t="s">
        <v>6248</v>
      </c>
      <c r="H3465" s="110" t="s">
        <v>21895</v>
      </c>
      <c r="I3465" s="110" t="s">
        <v>21896</v>
      </c>
    </row>
    <row r="3466" spans="1:9" ht="25.2" x14ac:dyDescent="0.3">
      <c r="A3466" s="109" t="s">
        <v>21897</v>
      </c>
      <c r="B3466" s="109" t="s">
        <v>21007</v>
      </c>
      <c r="C3466" s="109" t="s">
        <v>21007</v>
      </c>
      <c r="D3466" s="109" t="s">
        <v>21898</v>
      </c>
      <c r="E3466" s="109" t="s">
        <v>5558</v>
      </c>
      <c r="F3466" s="109" t="s">
        <v>21899</v>
      </c>
      <c r="G3466" s="110" t="s">
        <v>6248</v>
      </c>
      <c r="H3466" s="110" t="s">
        <v>6689</v>
      </c>
      <c r="I3466" s="110" t="s">
        <v>21900</v>
      </c>
    </row>
    <row r="3467" spans="1:9" ht="25.2" x14ac:dyDescent="0.3">
      <c r="A3467" s="109" t="s">
        <v>21901</v>
      </c>
      <c r="B3467" s="109" t="s">
        <v>21007</v>
      </c>
      <c r="C3467" s="109" t="s">
        <v>21007</v>
      </c>
      <c r="D3467" s="109" t="s">
        <v>21902</v>
      </c>
      <c r="E3467" s="109" t="s">
        <v>5558</v>
      </c>
      <c r="F3467" s="109" t="s">
        <v>21903</v>
      </c>
      <c r="G3467" s="110" t="s">
        <v>6248</v>
      </c>
      <c r="H3467" s="110" t="s">
        <v>6341</v>
      </c>
      <c r="I3467" s="110" t="s">
        <v>21904</v>
      </c>
    </row>
    <row r="3468" spans="1:9" ht="37.799999999999997" x14ac:dyDescent="0.3">
      <c r="A3468" s="109" t="s">
        <v>21905</v>
      </c>
      <c r="B3468" s="109" t="s">
        <v>21007</v>
      </c>
      <c r="C3468" s="109" t="s">
        <v>21007</v>
      </c>
      <c r="D3468" s="109" t="s">
        <v>3137</v>
      </c>
      <c r="E3468" s="109" t="s">
        <v>5558</v>
      </c>
      <c r="F3468" s="109" t="s">
        <v>21906</v>
      </c>
      <c r="G3468" s="110" t="s">
        <v>6248</v>
      </c>
      <c r="H3468" s="110" t="s">
        <v>21907</v>
      </c>
      <c r="I3468" s="110" t="s">
        <v>21908</v>
      </c>
    </row>
    <row r="3469" spans="1:9" ht="37.799999999999997" x14ac:dyDescent="0.3">
      <c r="A3469" s="109" t="s">
        <v>21909</v>
      </c>
      <c r="B3469" s="109" t="s">
        <v>21007</v>
      </c>
      <c r="C3469" s="109" t="s">
        <v>21007</v>
      </c>
      <c r="D3469" s="109" t="s">
        <v>21910</v>
      </c>
      <c r="E3469" s="109" t="s">
        <v>5558</v>
      </c>
      <c r="F3469" s="109" t="s">
        <v>21911</v>
      </c>
      <c r="G3469" s="110" t="s">
        <v>6248</v>
      </c>
      <c r="H3469" s="110" t="s">
        <v>7321</v>
      </c>
      <c r="I3469" s="110" t="s">
        <v>21912</v>
      </c>
    </row>
    <row r="3470" spans="1:9" ht="37.799999999999997" x14ac:dyDescent="0.3">
      <c r="A3470" s="109" t="s">
        <v>21913</v>
      </c>
      <c r="B3470" s="109" t="s">
        <v>21007</v>
      </c>
      <c r="C3470" s="109" t="s">
        <v>21007</v>
      </c>
      <c r="D3470" s="109" t="s">
        <v>21914</v>
      </c>
      <c r="E3470" s="109" t="s">
        <v>5558</v>
      </c>
      <c r="F3470" s="109" t="s">
        <v>21915</v>
      </c>
      <c r="G3470" s="110" t="s">
        <v>6248</v>
      </c>
      <c r="H3470" s="110" t="s">
        <v>21916</v>
      </c>
      <c r="I3470" s="110" t="s">
        <v>21917</v>
      </c>
    </row>
    <row r="3471" spans="1:9" ht="25.2" x14ac:dyDescent="0.3">
      <c r="A3471" s="109" t="s">
        <v>21918</v>
      </c>
      <c r="B3471" s="109" t="s">
        <v>21007</v>
      </c>
      <c r="C3471" s="109" t="s">
        <v>21007</v>
      </c>
      <c r="D3471" s="109" t="s">
        <v>21919</v>
      </c>
      <c r="E3471" s="109" t="s">
        <v>5558</v>
      </c>
      <c r="F3471" s="109" t="s">
        <v>21920</v>
      </c>
      <c r="G3471" s="110" t="s">
        <v>6248</v>
      </c>
      <c r="H3471" s="110" t="s">
        <v>21921</v>
      </c>
      <c r="I3471" s="110" t="s">
        <v>21922</v>
      </c>
    </row>
    <row r="3472" spans="1:9" ht="25.2" x14ac:dyDescent="0.3">
      <c r="A3472" s="109" t="s">
        <v>21923</v>
      </c>
      <c r="B3472" s="109" t="s">
        <v>21007</v>
      </c>
      <c r="C3472" s="109" t="s">
        <v>21007</v>
      </c>
      <c r="D3472" s="109" t="s">
        <v>3089</v>
      </c>
      <c r="E3472" s="109" t="s">
        <v>21924</v>
      </c>
      <c r="F3472" s="109" t="s">
        <v>12135</v>
      </c>
      <c r="G3472" s="110" t="s">
        <v>6248</v>
      </c>
      <c r="H3472" s="110" t="s">
        <v>21925</v>
      </c>
      <c r="I3472" s="110" t="s">
        <v>21926</v>
      </c>
    </row>
    <row r="3473" spans="1:9" ht="25.2" x14ac:dyDescent="0.3">
      <c r="A3473" s="109" t="s">
        <v>21927</v>
      </c>
      <c r="B3473" s="109" t="s">
        <v>21928</v>
      </c>
      <c r="C3473" s="109" t="s">
        <v>21928</v>
      </c>
      <c r="D3473" s="109" t="s">
        <v>3095</v>
      </c>
      <c r="E3473" s="109" t="s">
        <v>21929</v>
      </c>
      <c r="F3473" s="109" t="s">
        <v>10266</v>
      </c>
      <c r="G3473" s="110" t="s">
        <v>6248</v>
      </c>
      <c r="H3473" s="110" t="s">
        <v>21930</v>
      </c>
      <c r="I3473" s="110" t="s">
        <v>21931</v>
      </c>
    </row>
    <row r="3474" spans="1:9" ht="25.2" x14ac:dyDescent="0.3">
      <c r="A3474" s="109" t="s">
        <v>21932</v>
      </c>
      <c r="B3474" s="109" t="s">
        <v>21928</v>
      </c>
      <c r="C3474" s="109" t="s">
        <v>21928</v>
      </c>
      <c r="D3474" s="109" t="s">
        <v>3094</v>
      </c>
      <c r="E3474" s="109" t="s">
        <v>21933</v>
      </c>
      <c r="F3474" s="109" t="s">
        <v>10266</v>
      </c>
      <c r="G3474" s="110" t="s">
        <v>6248</v>
      </c>
      <c r="H3474" s="110" t="s">
        <v>21934</v>
      </c>
      <c r="I3474" s="110" t="s">
        <v>21935</v>
      </c>
    </row>
    <row r="3475" spans="1:9" ht="25.2" x14ac:dyDescent="0.3">
      <c r="A3475" s="109" t="s">
        <v>21936</v>
      </c>
      <c r="B3475" s="109" t="s">
        <v>21928</v>
      </c>
      <c r="C3475" s="109" t="s">
        <v>21928</v>
      </c>
      <c r="D3475" s="109" t="s">
        <v>21937</v>
      </c>
      <c r="E3475" s="109" t="s">
        <v>5558</v>
      </c>
      <c r="F3475" s="109" t="s">
        <v>21938</v>
      </c>
      <c r="G3475" s="110" t="s">
        <v>6248</v>
      </c>
      <c r="H3475" s="110" t="s">
        <v>21939</v>
      </c>
      <c r="I3475" s="110" t="s">
        <v>21940</v>
      </c>
    </row>
    <row r="3476" spans="1:9" ht="37.799999999999997" x14ac:dyDescent="0.3">
      <c r="A3476" s="109" t="s">
        <v>21941</v>
      </c>
      <c r="B3476" s="109" t="s">
        <v>21928</v>
      </c>
      <c r="C3476" s="109" t="s">
        <v>21928</v>
      </c>
      <c r="D3476" s="109" t="s">
        <v>21942</v>
      </c>
      <c r="E3476" s="109" t="s">
        <v>5558</v>
      </c>
      <c r="F3476" s="109" t="s">
        <v>21943</v>
      </c>
      <c r="G3476" s="110" t="s">
        <v>6248</v>
      </c>
      <c r="H3476" s="110" t="s">
        <v>21944</v>
      </c>
      <c r="I3476" s="110" t="s">
        <v>21945</v>
      </c>
    </row>
    <row r="3477" spans="1:9" ht="37.799999999999997" x14ac:dyDescent="0.3">
      <c r="A3477" s="109" t="s">
        <v>21946</v>
      </c>
      <c r="B3477" s="109" t="s">
        <v>21928</v>
      </c>
      <c r="C3477" s="109" t="s">
        <v>21928</v>
      </c>
      <c r="D3477" s="109" t="s">
        <v>21947</v>
      </c>
      <c r="E3477" s="109" t="s">
        <v>5558</v>
      </c>
      <c r="F3477" s="109" t="s">
        <v>21948</v>
      </c>
      <c r="G3477" s="110" t="s">
        <v>6248</v>
      </c>
      <c r="H3477" s="110" t="s">
        <v>6310</v>
      </c>
      <c r="I3477" s="110" t="s">
        <v>21949</v>
      </c>
    </row>
    <row r="3478" spans="1:9" ht="25.2" x14ac:dyDescent="0.3">
      <c r="A3478" s="109" t="s">
        <v>21950</v>
      </c>
      <c r="B3478" s="109" t="s">
        <v>21928</v>
      </c>
      <c r="C3478" s="109" t="s">
        <v>21928</v>
      </c>
      <c r="D3478" s="109" t="s">
        <v>21951</v>
      </c>
      <c r="E3478" s="109" t="s">
        <v>5558</v>
      </c>
      <c r="F3478" s="109" t="s">
        <v>21952</v>
      </c>
      <c r="G3478" s="110" t="s">
        <v>6248</v>
      </c>
      <c r="H3478" s="110" t="s">
        <v>21953</v>
      </c>
      <c r="I3478" s="110" t="s">
        <v>21954</v>
      </c>
    </row>
    <row r="3479" spans="1:9" ht="25.2" x14ac:dyDescent="0.3">
      <c r="A3479" s="109" t="s">
        <v>21955</v>
      </c>
      <c r="B3479" s="109" t="s">
        <v>21928</v>
      </c>
      <c r="C3479" s="109" t="s">
        <v>21928</v>
      </c>
      <c r="D3479" s="109" t="s">
        <v>21956</v>
      </c>
      <c r="E3479" s="109" t="s">
        <v>21957</v>
      </c>
      <c r="F3479" s="109" t="s">
        <v>15035</v>
      </c>
      <c r="G3479" s="110" t="s">
        <v>6248</v>
      </c>
      <c r="H3479" s="110" t="s">
        <v>9261</v>
      </c>
      <c r="I3479" s="110" t="s">
        <v>21958</v>
      </c>
    </row>
    <row r="3480" spans="1:9" ht="25.2" x14ac:dyDescent="0.3">
      <c r="A3480" s="109" t="s">
        <v>21959</v>
      </c>
      <c r="B3480" s="109" t="s">
        <v>21928</v>
      </c>
      <c r="C3480" s="109" t="s">
        <v>21928</v>
      </c>
      <c r="D3480" s="109" t="s">
        <v>21960</v>
      </c>
      <c r="E3480" s="109" t="s">
        <v>5558</v>
      </c>
      <c r="F3480" s="109" t="s">
        <v>21961</v>
      </c>
      <c r="G3480" s="110" t="s">
        <v>6248</v>
      </c>
      <c r="H3480" s="110" t="s">
        <v>7898</v>
      </c>
      <c r="I3480" s="110" t="s">
        <v>21962</v>
      </c>
    </row>
    <row r="3481" spans="1:9" ht="37.799999999999997" x14ac:dyDescent="0.3">
      <c r="A3481" s="109" t="s">
        <v>21963</v>
      </c>
      <c r="B3481" s="109" t="s">
        <v>21928</v>
      </c>
      <c r="C3481" s="109" t="s">
        <v>21928</v>
      </c>
      <c r="D3481" s="109" t="s">
        <v>21964</v>
      </c>
      <c r="E3481" s="109" t="s">
        <v>5558</v>
      </c>
      <c r="F3481" s="109" t="s">
        <v>21965</v>
      </c>
      <c r="G3481" s="110" t="s">
        <v>6248</v>
      </c>
      <c r="H3481" s="110" t="s">
        <v>8984</v>
      </c>
      <c r="I3481" s="110" t="s">
        <v>21966</v>
      </c>
    </row>
    <row r="3482" spans="1:9" ht="25.2" x14ac:dyDescent="0.3">
      <c r="A3482" s="109" t="s">
        <v>21967</v>
      </c>
      <c r="B3482" s="109" t="s">
        <v>21928</v>
      </c>
      <c r="C3482" s="109" t="s">
        <v>21928</v>
      </c>
      <c r="D3482" s="109" t="s">
        <v>21968</v>
      </c>
      <c r="E3482" s="109" t="s">
        <v>5558</v>
      </c>
      <c r="F3482" s="109" t="s">
        <v>21969</v>
      </c>
      <c r="G3482" s="110" t="s">
        <v>6248</v>
      </c>
      <c r="H3482" s="110" t="s">
        <v>9018</v>
      </c>
      <c r="I3482" s="110" t="s">
        <v>21970</v>
      </c>
    </row>
    <row r="3483" spans="1:9" ht="25.2" x14ac:dyDescent="0.3">
      <c r="A3483" s="109" t="s">
        <v>21971</v>
      </c>
      <c r="B3483" s="109" t="s">
        <v>21928</v>
      </c>
      <c r="C3483" s="109" t="s">
        <v>21928</v>
      </c>
      <c r="D3483" s="109" t="s">
        <v>21972</v>
      </c>
      <c r="E3483" s="109" t="s">
        <v>5558</v>
      </c>
      <c r="F3483" s="109" t="s">
        <v>21973</v>
      </c>
      <c r="G3483" s="110" t="s">
        <v>6248</v>
      </c>
      <c r="H3483" s="110" t="s">
        <v>21974</v>
      </c>
      <c r="I3483" s="110" t="s">
        <v>21975</v>
      </c>
    </row>
    <row r="3484" spans="1:9" ht="25.2" x14ac:dyDescent="0.3">
      <c r="A3484" s="109" t="s">
        <v>21976</v>
      </c>
      <c r="B3484" s="109" t="s">
        <v>21928</v>
      </c>
      <c r="C3484" s="109" t="s">
        <v>21928</v>
      </c>
      <c r="D3484" s="109" t="s">
        <v>21977</v>
      </c>
      <c r="E3484" s="109" t="s">
        <v>5558</v>
      </c>
      <c r="F3484" s="109" t="s">
        <v>21978</v>
      </c>
      <c r="G3484" s="110" t="s">
        <v>6248</v>
      </c>
      <c r="H3484" s="110" t="s">
        <v>6584</v>
      </c>
      <c r="I3484" s="110" t="s">
        <v>21979</v>
      </c>
    </row>
    <row r="3485" spans="1:9" ht="37.799999999999997" x14ac:dyDescent="0.3">
      <c r="A3485" s="109" t="s">
        <v>21980</v>
      </c>
      <c r="B3485" s="109" t="s">
        <v>21928</v>
      </c>
      <c r="C3485" s="109" t="s">
        <v>21928</v>
      </c>
      <c r="D3485" s="109" t="s">
        <v>21981</v>
      </c>
      <c r="E3485" s="109" t="s">
        <v>5558</v>
      </c>
      <c r="F3485" s="109" t="s">
        <v>21982</v>
      </c>
      <c r="G3485" s="110" t="s">
        <v>6248</v>
      </c>
      <c r="H3485" s="110" t="s">
        <v>6413</v>
      </c>
      <c r="I3485" s="110" t="s">
        <v>21983</v>
      </c>
    </row>
    <row r="3486" spans="1:9" ht="37.799999999999997" x14ac:dyDescent="0.3">
      <c r="A3486" s="109" t="s">
        <v>21984</v>
      </c>
      <c r="B3486" s="109" t="s">
        <v>21928</v>
      </c>
      <c r="C3486" s="109" t="s">
        <v>21928</v>
      </c>
      <c r="D3486" s="109" t="s">
        <v>21985</v>
      </c>
      <c r="E3486" s="109" t="s">
        <v>5558</v>
      </c>
      <c r="F3486" s="109" t="s">
        <v>21986</v>
      </c>
      <c r="G3486" s="110" t="s">
        <v>6248</v>
      </c>
      <c r="H3486" s="110" t="s">
        <v>6474</v>
      </c>
      <c r="I3486" s="110" t="s">
        <v>21987</v>
      </c>
    </row>
    <row r="3487" spans="1:9" ht="25.2" x14ac:dyDescent="0.3">
      <c r="A3487" s="109" t="s">
        <v>21988</v>
      </c>
      <c r="B3487" s="109" t="s">
        <v>21928</v>
      </c>
      <c r="C3487" s="109" t="s">
        <v>21928</v>
      </c>
      <c r="D3487" s="109" t="s">
        <v>21989</v>
      </c>
      <c r="E3487" s="109" t="s">
        <v>5558</v>
      </c>
      <c r="F3487" s="109" t="s">
        <v>21990</v>
      </c>
      <c r="G3487" s="110" t="s">
        <v>6248</v>
      </c>
      <c r="H3487" s="110" t="s">
        <v>6479</v>
      </c>
      <c r="I3487" s="110" t="s">
        <v>21991</v>
      </c>
    </row>
    <row r="3488" spans="1:9" ht="37.799999999999997" x14ac:dyDescent="0.3">
      <c r="A3488" s="109" t="s">
        <v>21992</v>
      </c>
      <c r="B3488" s="109" t="s">
        <v>21928</v>
      </c>
      <c r="C3488" s="109" t="s">
        <v>21928</v>
      </c>
      <c r="D3488" s="109" t="s">
        <v>21993</v>
      </c>
      <c r="E3488" s="109" t="s">
        <v>5558</v>
      </c>
      <c r="F3488" s="109" t="s">
        <v>21994</v>
      </c>
      <c r="G3488" s="110" t="s">
        <v>6248</v>
      </c>
      <c r="H3488" s="110" t="s">
        <v>21995</v>
      </c>
      <c r="I3488" s="110" t="s">
        <v>21996</v>
      </c>
    </row>
    <row r="3489" spans="1:9" ht="25.2" x14ac:dyDescent="0.3">
      <c r="A3489" s="109" t="s">
        <v>21997</v>
      </c>
      <c r="B3489" s="109" t="s">
        <v>21928</v>
      </c>
      <c r="C3489" s="109" t="s">
        <v>21928</v>
      </c>
      <c r="D3489" s="109" t="s">
        <v>21998</v>
      </c>
      <c r="E3489" s="109" t="s">
        <v>5558</v>
      </c>
      <c r="F3489" s="109" t="s">
        <v>21999</v>
      </c>
      <c r="G3489" s="110" t="s">
        <v>6248</v>
      </c>
      <c r="H3489" s="110" t="s">
        <v>22000</v>
      </c>
      <c r="I3489" s="110" t="s">
        <v>22001</v>
      </c>
    </row>
    <row r="3490" spans="1:9" ht="25.2" x14ac:dyDescent="0.3">
      <c r="A3490" s="109" t="s">
        <v>22002</v>
      </c>
      <c r="B3490" s="109" t="s">
        <v>21928</v>
      </c>
      <c r="C3490" s="109" t="s">
        <v>21928</v>
      </c>
      <c r="D3490" s="109" t="s">
        <v>22003</v>
      </c>
      <c r="E3490" s="109" t="s">
        <v>5558</v>
      </c>
      <c r="F3490" s="109" t="s">
        <v>22004</v>
      </c>
      <c r="G3490" s="110" t="s">
        <v>6248</v>
      </c>
      <c r="H3490" s="110" t="s">
        <v>6433</v>
      </c>
      <c r="I3490" s="110" t="s">
        <v>22005</v>
      </c>
    </row>
    <row r="3491" spans="1:9" ht="25.2" x14ac:dyDescent="0.3">
      <c r="A3491" s="109" t="s">
        <v>22006</v>
      </c>
      <c r="B3491" s="109" t="s">
        <v>21928</v>
      </c>
      <c r="C3491" s="109" t="s">
        <v>21928</v>
      </c>
      <c r="D3491" s="109" t="s">
        <v>22007</v>
      </c>
      <c r="E3491" s="109" t="s">
        <v>5558</v>
      </c>
      <c r="F3491" s="109" t="s">
        <v>22008</v>
      </c>
      <c r="G3491" s="110" t="s">
        <v>6248</v>
      </c>
      <c r="H3491" s="110" t="s">
        <v>10362</v>
      </c>
      <c r="I3491" s="110" t="s">
        <v>22009</v>
      </c>
    </row>
    <row r="3492" spans="1:9" ht="25.2" x14ac:dyDescent="0.3">
      <c r="A3492" s="109" t="s">
        <v>22010</v>
      </c>
      <c r="B3492" s="109" t="s">
        <v>21928</v>
      </c>
      <c r="C3492" s="109" t="s">
        <v>21928</v>
      </c>
      <c r="D3492" s="109" t="s">
        <v>22011</v>
      </c>
      <c r="E3492" s="109" t="s">
        <v>5558</v>
      </c>
      <c r="F3492" s="109" t="s">
        <v>22012</v>
      </c>
      <c r="G3492" s="110" t="s">
        <v>6248</v>
      </c>
      <c r="H3492" s="110" t="s">
        <v>8984</v>
      </c>
      <c r="I3492" s="110" t="s">
        <v>22013</v>
      </c>
    </row>
    <row r="3493" spans="1:9" ht="37.799999999999997" x14ac:dyDescent="0.3">
      <c r="A3493" s="109" t="s">
        <v>22014</v>
      </c>
      <c r="B3493" s="109" t="s">
        <v>21928</v>
      </c>
      <c r="C3493" s="109" t="s">
        <v>21928</v>
      </c>
      <c r="D3493" s="109" t="s">
        <v>22015</v>
      </c>
      <c r="E3493" s="109" t="s">
        <v>5558</v>
      </c>
      <c r="F3493" s="109" t="s">
        <v>22016</v>
      </c>
      <c r="G3493" s="110" t="s">
        <v>6248</v>
      </c>
      <c r="H3493" s="110" t="s">
        <v>6543</v>
      </c>
      <c r="I3493" s="110" t="s">
        <v>22017</v>
      </c>
    </row>
    <row r="3494" spans="1:9" ht="25.2" x14ac:dyDescent="0.3">
      <c r="A3494" s="109" t="s">
        <v>22018</v>
      </c>
      <c r="B3494" s="109" t="s">
        <v>21928</v>
      </c>
      <c r="C3494" s="109" t="s">
        <v>21928</v>
      </c>
      <c r="D3494" s="109" t="s">
        <v>22019</v>
      </c>
      <c r="E3494" s="109" t="s">
        <v>5558</v>
      </c>
      <c r="F3494" s="109" t="s">
        <v>22020</v>
      </c>
      <c r="G3494" s="110" t="s">
        <v>6248</v>
      </c>
      <c r="H3494" s="110" t="s">
        <v>7817</v>
      </c>
      <c r="I3494" s="110" t="s">
        <v>22021</v>
      </c>
    </row>
    <row r="3495" spans="1:9" ht="25.2" x14ac:dyDescent="0.3">
      <c r="A3495" s="109" t="s">
        <v>22022</v>
      </c>
      <c r="B3495" s="109" t="s">
        <v>21928</v>
      </c>
      <c r="C3495" s="109" t="s">
        <v>21928</v>
      </c>
      <c r="D3495" s="109" t="s">
        <v>22023</v>
      </c>
      <c r="E3495" s="109" t="s">
        <v>5558</v>
      </c>
      <c r="F3495" s="109" t="s">
        <v>22024</v>
      </c>
      <c r="G3495" s="110" t="s">
        <v>6248</v>
      </c>
      <c r="H3495" s="110" t="s">
        <v>6398</v>
      </c>
      <c r="I3495" s="110" t="s">
        <v>22025</v>
      </c>
    </row>
    <row r="3496" spans="1:9" ht="25.2" x14ac:dyDescent="0.3">
      <c r="A3496" s="109" t="s">
        <v>22026</v>
      </c>
      <c r="B3496" s="109" t="s">
        <v>21928</v>
      </c>
      <c r="C3496" s="109" t="s">
        <v>21928</v>
      </c>
      <c r="D3496" s="109" t="s">
        <v>22027</v>
      </c>
      <c r="E3496" s="109" t="s">
        <v>5558</v>
      </c>
      <c r="F3496" s="109" t="s">
        <v>22028</v>
      </c>
      <c r="G3496" s="110" t="s">
        <v>6248</v>
      </c>
      <c r="H3496" s="110" t="s">
        <v>7830</v>
      </c>
      <c r="I3496" s="110" t="s">
        <v>22029</v>
      </c>
    </row>
    <row r="3497" spans="1:9" ht="25.2" x14ac:dyDescent="0.3">
      <c r="A3497" s="109" t="s">
        <v>22030</v>
      </c>
      <c r="B3497" s="109" t="s">
        <v>21928</v>
      </c>
      <c r="C3497" s="109" t="s">
        <v>21928</v>
      </c>
      <c r="D3497" s="109" t="s">
        <v>22031</v>
      </c>
      <c r="E3497" s="109" t="s">
        <v>5558</v>
      </c>
      <c r="F3497" s="109" t="s">
        <v>22032</v>
      </c>
      <c r="G3497" s="110" t="s">
        <v>6248</v>
      </c>
      <c r="H3497" s="110" t="s">
        <v>6474</v>
      </c>
      <c r="I3497" s="110" t="s">
        <v>22033</v>
      </c>
    </row>
    <row r="3498" spans="1:9" ht="25.2" x14ac:dyDescent="0.3">
      <c r="A3498" s="109" t="s">
        <v>22034</v>
      </c>
      <c r="B3498" s="109" t="s">
        <v>21928</v>
      </c>
      <c r="C3498" s="109" t="s">
        <v>21928</v>
      </c>
      <c r="D3498" s="109" t="s">
        <v>22035</v>
      </c>
      <c r="E3498" s="109" t="s">
        <v>5558</v>
      </c>
      <c r="F3498" s="109" t="s">
        <v>22036</v>
      </c>
      <c r="G3498" s="110" t="s">
        <v>6248</v>
      </c>
      <c r="H3498" s="110" t="s">
        <v>9141</v>
      </c>
      <c r="I3498" s="110" t="s">
        <v>22037</v>
      </c>
    </row>
    <row r="3499" spans="1:9" ht="37.799999999999997" x14ac:dyDescent="0.3">
      <c r="A3499" s="109" t="s">
        <v>22038</v>
      </c>
      <c r="B3499" s="109" t="s">
        <v>21928</v>
      </c>
      <c r="C3499" s="109" t="s">
        <v>21928</v>
      </c>
      <c r="D3499" s="109" t="s">
        <v>22039</v>
      </c>
      <c r="E3499" s="109" t="s">
        <v>5558</v>
      </c>
      <c r="F3499" s="109" t="s">
        <v>22040</v>
      </c>
      <c r="G3499" s="110" t="s">
        <v>6248</v>
      </c>
      <c r="H3499" s="110" t="s">
        <v>6543</v>
      </c>
      <c r="I3499" s="110" t="s">
        <v>22041</v>
      </c>
    </row>
    <row r="3500" spans="1:9" ht="25.2" x14ac:dyDescent="0.3">
      <c r="A3500" s="109" t="s">
        <v>22042</v>
      </c>
      <c r="B3500" s="109" t="s">
        <v>21928</v>
      </c>
      <c r="C3500" s="109" t="s">
        <v>21928</v>
      </c>
      <c r="D3500" s="109" t="s">
        <v>22043</v>
      </c>
      <c r="E3500" s="109" t="s">
        <v>5558</v>
      </c>
      <c r="F3500" s="109" t="s">
        <v>22044</v>
      </c>
      <c r="G3500" s="110" t="s">
        <v>6248</v>
      </c>
      <c r="H3500" s="110" t="s">
        <v>22045</v>
      </c>
      <c r="I3500" s="110" t="s">
        <v>22046</v>
      </c>
    </row>
    <row r="3501" spans="1:9" ht="37.799999999999997" x14ac:dyDescent="0.3">
      <c r="A3501" s="109" t="s">
        <v>22047</v>
      </c>
      <c r="B3501" s="109" t="s">
        <v>21928</v>
      </c>
      <c r="C3501" s="109" t="s">
        <v>21928</v>
      </c>
      <c r="D3501" s="109" t="s">
        <v>22048</v>
      </c>
      <c r="E3501" s="109" t="s">
        <v>5558</v>
      </c>
      <c r="F3501" s="109" t="s">
        <v>22049</v>
      </c>
      <c r="G3501" s="110" t="s">
        <v>6248</v>
      </c>
      <c r="H3501" s="110" t="s">
        <v>6557</v>
      </c>
      <c r="I3501" s="110" t="s">
        <v>22050</v>
      </c>
    </row>
    <row r="3502" spans="1:9" ht="37.799999999999997" x14ac:dyDescent="0.3">
      <c r="A3502" s="109" t="s">
        <v>22051</v>
      </c>
      <c r="B3502" s="109" t="s">
        <v>21928</v>
      </c>
      <c r="C3502" s="109" t="s">
        <v>21928</v>
      </c>
      <c r="D3502" s="109" t="s">
        <v>22052</v>
      </c>
      <c r="E3502" s="109" t="s">
        <v>5558</v>
      </c>
      <c r="F3502" s="109" t="s">
        <v>22053</v>
      </c>
      <c r="G3502" s="110" t="s">
        <v>6248</v>
      </c>
      <c r="H3502" s="110" t="s">
        <v>6689</v>
      </c>
      <c r="I3502" s="110" t="s">
        <v>22054</v>
      </c>
    </row>
    <row r="3503" spans="1:9" ht="25.2" x14ac:dyDescent="0.3">
      <c r="A3503" s="109" t="s">
        <v>22055</v>
      </c>
      <c r="B3503" s="109" t="s">
        <v>21928</v>
      </c>
      <c r="C3503" s="109" t="s">
        <v>21928</v>
      </c>
      <c r="D3503" s="109" t="s">
        <v>22056</v>
      </c>
      <c r="E3503" s="109" t="s">
        <v>5558</v>
      </c>
      <c r="F3503" s="109" t="s">
        <v>22057</v>
      </c>
      <c r="G3503" s="110" t="s">
        <v>6248</v>
      </c>
      <c r="H3503" s="110" t="s">
        <v>7808</v>
      </c>
      <c r="I3503" s="110" t="s">
        <v>22058</v>
      </c>
    </row>
    <row r="3504" spans="1:9" ht="25.2" x14ac:dyDescent="0.3">
      <c r="A3504" s="109" t="s">
        <v>22059</v>
      </c>
      <c r="B3504" s="109" t="s">
        <v>21928</v>
      </c>
      <c r="C3504" s="109" t="s">
        <v>21928</v>
      </c>
      <c r="D3504" s="109" t="s">
        <v>22060</v>
      </c>
      <c r="E3504" s="109" t="s">
        <v>5558</v>
      </c>
      <c r="F3504" s="109" t="s">
        <v>22061</v>
      </c>
      <c r="G3504" s="110" t="s">
        <v>6248</v>
      </c>
      <c r="H3504" s="110" t="s">
        <v>6557</v>
      </c>
      <c r="I3504" s="110" t="s">
        <v>22062</v>
      </c>
    </row>
    <row r="3505" spans="1:9" ht="25.2" x14ac:dyDescent="0.3">
      <c r="A3505" s="109" t="s">
        <v>22063</v>
      </c>
      <c r="B3505" s="109" t="s">
        <v>21928</v>
      </c>
      <c r="C3505" s="109" t="s">
        <v>21928</v>
      </c>
      <c r="D3505" s="109" t="s">
        <v>22064</v>
      </c>
      <c r="E3505" s="109" t="s">
        <v>5558</v>
      </c>
      <c r="F3505" s="109" t="s">
        <v>22065</v>
      </c>
      <c r="G3505" s="110" t="s">
        <v>6248</v>
      </c>
      <c r="H3505" s="110" t="s">
        <v>9329</v>
      </c>
      <c r="I3505" s="110" t="s">
        <v>22066</v>
      </c>
    </row>
    <row r="3506" spans="1:9" ht="37.799999999999997" x14ac:dyDescent="0.3">
      <c r="A3506" s="109" t="s">
        <v>22067</v>
      </c>
      <c r="B3506" s="109" t="s">
        <v>21928</v>
      </c>
      <c r="C3506" s="109" t="s">
        <v>21928</v>
      </c>
      <c r="D3506" s="109" t="s">
        <v>22068</v>
      </c>
      <c r="E3506" s="109" t="s">
        <v>5558</v>
      </c>
      <c r="F3506" s="109" t="s">
        <v>22069</v>
      </c>
      <c r="G3506" s="110" t="s">
        <v>6248</v>
      </c>
      <c r="H3506" s="110" t="s">
        <v>6570</v>
      </c>
      <c r="I3506" s="110" t="s">
        <v>22070</v>
      </c>
    </row>
    <row r="3507" spans="1:9" ht="25.2" x14ac:dyDescent="0.3">
      <c r="A3507" s="109" t="s">
        <v>22071</v>
      </c>
      <c r="B3507" s="109" t="s">
        <v>21928</v>
      </c>
      <c r="C3507" s="109" t="s">
        <v>21928</v>
      </c>
      <c r="D3507" s="109" t="s">
        <v>22072</v>
      </c>
      <c r="E3507" s="109" t="s">
        <v>5558</v>
      </c>
      <c r="F3507" s="109" t="s">
        <v>22073</v>
      </c>
      <c r="G3507" s="110" t="s">
        <v>6248</v>
      </c>
      <c r="H3507" s="110" t="s">
        <v>9037</v>
      </c>
      <c r="I3507" s="110" t="s">
        <v>22074</v>
      </c>
    </row>
    <row r="3508" spans="1:9" ht="37.799999999999997" x14ac:dyDescent="0.3">
      <c r="A3508" s="109" t="s">
        <v>22075</v>
      </c>
      <c r="B3508" s="109" t="s">
        <v>21928</v>
      </c>
      <c r="C3508" s="109" t="s">
        <v>21928</v>
      </c>
      <c r="D3508" s="109" t="s">
        <v>22076</v>
      </c>
      <c r="E3508" s="109" t="s">
        <v>5558</v>
      </c>
      <c r="F3508" s="109" t="s">
        <v>22077</v>
      </c>
      <c r="G3508" s="110" t="s">
        <v>6248</v>
      </c>
      <c r="H3508" s="110" t="s">
        <v>6634</v>
      </c>
      <c r="I3508" s="110" t="s">
        <v>22078</v>
      </c>
    </row>
    <row r="3509" spans="1:9" ht="25.2" x14ac:dyDescent="0.3">
      <c r="A3509" s="109" t="s">
        <v>22079</v>
      </c>
      <c r="B3509" s="109" t="s">
        <v>21928</v>
      </c>
      <c r="C3509" s="109" t="s">
        <v>21928</v>
      </c>
      <c r="D3509" s="109" t="s">
        <v>22080</v>
      </c>
      <c r="E3509" s="109" t="s">
        <v>5558</v>
      </c>
      <c r="F3509" s="109" t="s">
        <v>22081</v>
      </c>
      <c r="G3509" s="110" t="s">
        <v>6248</v>
      </c>
      <c r="H3509" s="110" t="s">
        <v>8905</v>
      </c>
      <c r="I3509" s="110" t="s">
        <v>22082</v>
      </c>
    </row>
    <row r="3510" spans="1:9" ht="37.799999999999997" x14ac:dyDescent="0.3">
      <c r="A3510" s="109" t="s">
        <v>22083</v>
      </c>
      <c r="B3510" s="109" t="s">
        <v>21928</v>
      </c>
      <c r="C3510" s="109" t="s">
        <v>21928</v>
      </c>
      <c r="D3510" s="109" t="s">
        <v>22084</v>
      </c>
      <c r="E3510" s="109" t="s">
        <v>5558</v>
      </c>
      <c r="F3510" s="109" t="s">
        <v>22085</v>
      </c>
      <c r="G3510" s="110" t="s">
        <v>6248</v>
      </c>
      <c r="H3510" s="110" t="s">
        <v>6413</v>
      </c>
      <c r="I3510" s="110" t="s">
        <v>22086</v>
      </c>
    </row>
    <row r="3511" spans="1:9" ht="25.2" x14ac:dyDescent="0.3">
      <c r="A3511" s="109" t="s">
        <v>22087</v>
      </c>
      <c r="B3511" s="109" t="s">
        <v>21928</v>
      </c>
      <c r="C3511" s="109" t="s">
        <v>21928</v>
      </c>
      <c r="D3511" s="109" t="s">
        <v>22088</v>
      </c>
      <c r="E3511" s="109" t="s">
        <v>5558</v>
      </c>
      <c r="F3511" s="109" t="s">
        <v>22089</v>
      </c>
      <c r="G3511" s="110" t="s">
        <v>6248</v>
      </c>
      <c r="H3511" s="110" t="s">
        <v>15164</v>
      </c>
      <c r="I3511" s="110" t="s">
        <v>22090</v>
      </c>
    </row>
    <row r="3512" spans="1:9" ht="25.2" x14ac:dyDescent="0.3">
      <c r="A3512" s="109" t="s">
        <v>22091</v>
      </c>
      <c r="B3512" s="109" t="s">
        <v>21928</v>
      </c>
      <c r="C3512" s="109" t="s">
        <v>21928</v>
      </c>
      <c r="D3512" s="109" t="s">
        <v>22092</v>
      </c>
      <c r="E3512" s="109" t="s">
        <v>5558</v>
      </c>
      <c r="F3512" s="109" t="s">
        <v>22093</v>
      </c>
      <c r="G3512" s="110" t="s">
        <v>6248</v>
      </c>
      <c r="H3512" s="110" t="s">
        <v>10469</v>
      </c>
      <c r="I3512" s="110" t="s">
        <v>22094</v>
      </c>
    </row>
    <row r="3513" spans="1:9" ht="25.2" x14ac:dyDescent="0.3">
      <c r="A3513" s="109" t="s">
        <v>22095</v>
      </c>
      <c r="B3513" s="109" t="s">
        <v>21928</v>
      </c>
      <c r="C3513" s="109" t="s">
        <v>21928</v>
      </c>
      <c r="D3513" s="109" t="s">
        <v>22096</v>
      </c>
      <c r="E3513" s="109" t="s">
        <v>5558</v>
      </c>
      <c r="F3513" s="109" t="s">
        <v>22097</v>
      </c>
      <c r="G3513" s="110" t="s">
        <v>6248</v>
      </c>
      <c r="H3513" s="110" t="s">
        <v>6398</v>
      </c>
      <c r="I3513" s="110" t="s">
        <v>22098</v>
      </c>
    </row>
    <row r="3514" spans="1:9" ht="37.799999999999997" x14ac:dyDescent="0.3">
      <c r="A3514" s="109" t="s">
        <v>22099</v>
      </c>
      <c r="B3514" s="109" t="s">
        <v>21928</v>
      </c>
      <c r="C3514" s="109" t="s">
        <v>21928</v>
      </c>
      <c r="D3514" s="109" t="s">
        <v>22100</v>
      </c>
      <c r="E3514" s="109" t="s">
        <v>5558</v>
      </c>
      <c r="F3514" s="109" t="s">
        <v>22101</v>
      </c>
      <c r="G3514" s="110" t="s">
        <v>6248</v>
      </c>
      <c r="H3514" s="110" t="s">
        <v>12935</v>
      </c>
      <c r="I3514" s="110" t="s">
        <v>22102</v>
      </c>
    </row>
    <row r="3515" spans="1:9" ht="37.799999999999997" x14ac:dyDescent="0.3">
      <c r="A3515" s="109" t="s">
        <v>22103</v>
      </c>
      <c r="B3515" s="109" t="s">
        <v>21928</v>
      </c>
      <c r="C3515" s="109" t="s">
        <v>21928</v>
      </c>
      <c r="D3515" s="109" t="s">
        <v>22104</v>
      </c>
      <c r="E3515" s="109" t="s">
        <v>5558</v>
      </c>
      <c r="F3515" s="109" t="s">
        <v>22105</v>
      </c>
      <c r="G3515" s="110" t="s">
        <v>6248</v>
      </c>
      <c r="H3515" s="110" t="s">
        <v>6433</v>
      </c>
      <c r="I3515" s="110" t="s">
        <v>22106</v>
      </c>
    </row>
    <row r="3516" spans="1:9" ht="25.2" x14ac:dyDescent="0.3">
      <c r="A3516" s="109" t="s">
        <v>22107</v>
      </c>
      <c r="B3516" s="109" t="s">
        <v>21928</v>
      </c>
      <c r="C3516" s="109" t="s">
        <v>21928</v>
      </c>
      <c r="D3516" s="109" t="s">
        <v>22108</v>
      </c>
      <c r="E3516" s="109" t="s">
        <v>5558</v>
      </c>
      <c r="F3516" s="109" t="s">
        <v>22109</v>
      </c>
      <c r="G3516" s="110" t="s">
        <v>6248</v>
      </c>
      <c r="H3516" s="110" t="s">
        <v>22110</v>
      </c>
      <c r="I3516" s="110" t="s">
        <v>22111</v>
      </c>
    </row>
    <row r="3517" spans="1:9" ht="37.799999999999997" x14ac:dyDescent="0.3">
      <c r="A3517" s="109" t="s">
        <v>22112</v>
      </c>
      <c r="B3517" s="109" t="s">
        <v>21928</v>
      </c>
      <c r="C3517" s="109" t="s">
        <v>21928</v>
      </c>
      <c r="D3517" s="109" t="s">
        <v>22113</v>
      </c>
      <c r="E3517" s="109" t="s">
        <v>5558</v>
      </c>
      <c r="F3517" s="109" t="s">
        <v>22114</v>
      </c>
      <c r="G3517" s="110" t="s">
        <v>6248</v>
      </c>
      <c r="H3517" s="110" t="s">
        <v>6494</v>
      </c>
      <c r="I3517" s="110" t="s">
        <v>22115</v>
      </c>
    </row>
    <row r="3518" spans="1:9" ht="25.2" x14ac:dyDescent="0.3">
      <c r="A3518" s="109" t="s">
        <v>22116</v>
      </c>
      <c r="B3518" s="109" t="s">
        <v>21928</v>
      </c>
      <c r="C3518" s="109" t="s">
        <v>21928</v>
      </c>
      <c r="D3518" s="109" t="s">
        <v>22117</v>
      </c>
      <c r="E3518" s="109" t="s">
        <v>5558</v>
      </c>
      <c r="F3518" s="109" t="s">
        <v>22118</v>
      </c>
      <c r="G3518" s="110" t="s">
        <v>6248</v>
      </c>
      <c r="H3518" s="110" t="s">
        <v>9071</v>
      </c>
      <c r="I3518" s="110" t="s">
        <v>22119</v>
      </c>
    </row>
    <row r="3519" spans="1:9" ht="25.2" x14ac:dyDescent="0.3">
      <c r="A3519" s="109" t="s">
        <v>22120</v>
      </c>
      <c r="B3519" s="109" t="s">
        <v>21928</v>
      </c>
      <c r="C3519" s="109" t="s">
        <v>21928</v>
      </c>
      <c r="D3519" s="109" t="s">
        <v>22121</v>
      </c>
      <c r="E3519" s="109" t="s">
        <v>5558</v>
      </c>
      <c r="F3519" s="109" t="s">
        <v>22122</v>
      </c>
      <c r="G3519" s="110" t="s">
        <v>6248</v>
      </c>
      <c r="H3519" s="110" t="s">
        <v>22123</v>
      </c>
      <c r="I3519" s="110" t="s">
        <v>22124</v>
      </c>
    </row>
    <row r="3520" spans="1:9" ht="37.799999999999997" x14ac:dyDescent="0.3">
      <c r="A3520" s="109" t="s">
        <v>22125</v>
      </c>
      <c r="B3520" s="109" t="s">
        <v>21928</v>
      </c>
      <c r="C3520" s="109" t="s">
        <v>21928</v>
      </c>
      <c r="D3520" s="109" t="s">
        <v>22126</v>
      </c>
      <c r="E3520" s="109" t="s">
        <v>5558</v>
      </c>
      <c r="F3520" s="109" t="s">
        <v>22127</v>
      </c>
      <c r="G3520" s="110" t="s">
        <v>6248</v>
      </c>
      <c r="H3520" s="110" t="s">
        <v>22128</v>
      </c>
      <c r="I3520" s="110" t="s">
        <v>22129</v>
      </c>
    </row>
    <row r="3521" spans="1:9" ht="37.799999999999997" x14ac:dyDescent="0.3">
      <c r="A3521" s="109" t="s">
        <v>22130</v>
      </c>
      <c r="B3521" s="109" t="s">
        <v>21928</v>
      </c>
      <c r="C3521" s="109" t="s">
        <v>21928</v>
      </c>
      <c r="D3521" s="109" t="s">
        <v>22131</v>
      </c>
      <c r="E3521" s="109" t="s">
        <v>5558</v>
      </c>
      <c r="F3521" s="109" t="s">
        <v>22132</v>
      </c>
      <c r="G3521" s="110" t="s">
        <v>6248</v>
      </c>
      <c r="H3521" s="110" t="s">
        <v>6398</v>
      </c>
      <c r="I3521" s="110" t="s">
        <v>22133</v>
      </c>
    </row>
    <row r="3522" spans="1:9" ht="25.2" x14ac:dyDescent="0.3">
      <c r="A3522" s="109" t="s">
        <v>22134</v>
      </c>
      <c r="B3522" s="109" t="s">
        <v>21928</v>
      </c>
      <c r="C3522" s="109" t="s">
        <v>21928</v>
      </c>
      <c r="D3522" s="109" t="s">
        <v>22135</v>
      </c>
      <c r="E3522" s="109" t="s">
        <v>5558</v>
      </c>
      <c r="F3522" s="109" t="s">
        <v>22136</v>
      </c>
      <c r="G3522" s="110" t="s">
        <v>6248</v>
      </c>
      <c r="H3522" s="110" t="s">
        <v>17868</v>
      </c>
      <c r="I3522" s="110" t="s">
        <v>22137</v>
      </c>
    </row>
    <row r="3523" spans="1:9" ht="25.2" x14ac:dyDescent="0.3">
      <c r="A3523" s="109" t="s">
        <v>22138</v>
      </c>
      <c r="B3523" s="109" t="s">
        <v>21928</v>
      </c>
      <c r="C3523" s="109" t="s">
        <v>21928</v>
      </c>
      <c r="D3523" s="109" t="s">
        <v>22139</v>
      </c>
      <c r="E3523" s="109" t="s">
        <v>5558</v>
      </c>
      <c r="F3523" s="109" t="s">
        <v>22140</v>
      </c>
      <c r="G3523" s="110" t="s">
        <v>6248</v>
      </c>
      <c r="H3523" s="110" t="s">
        <v>7817</v>
      </c>
      <c r="I3523" s="110" t="s">
        <v>22141</v>
      </c>
    </row>
    <row r="3524" spans="1:9" ht="37.799999999999997" x14ac:dyDescent="0.3">
      <c r="A3524" s="109" t="s">
        <v>22142</v>
      </c>
      <c r="B3524" s="109" t="s">
        <v>21928</v>
      </c>
      <c r="C3524" s="109" t="s">
        <v>21928</v>
      </c>
      <c r="D3524" s="109" t="s">
        <v>22143</v>
      </c>
      <c r="E3524" s="109" t="s">
        <v>5558</v>
      </c>
      <c r="F3524" s="109" t="s">
        <v>22144</v>
      </c>
      <c r="G3524" s="110" t="s">
        <v>6248</v>
      </c>
      <c r="H3524" s="110" t="s">
        <v>7898</v>
      </c>
      <c r="I3524" s="110" t="s">
        <v>22145</v>
      </c>
    </row>
    <row r="3525" spans="1:9" ht="25.2" x14ac:dyDescent="0.3">
      <c r="A3525" s="109" t="s">
        <v>22146</v>
      </c>
      <c r="B3525" s="109" t="s">
        <v>21928</v>
      </c>
      <c r="C3525" s="109" t="s">
        <v>21928</v>
      </c>
      <c r="D3525" s="109" t="s">
        <v>22147</v>
      </c>
      <c r="E3525" s="109" t="s">
        <v>5558</v>
      </c>
      <c r="F3525" s="109" t="s">
        <v>22148</v>
      </c>
      <c r="G3525" s="110" t="s">
        <v>6248</v>
      </c>
      <c r="H3525" s="110" t="s">
        <v>6398</v>
      </c>
      <c r="I3525" s="110" t="s">
        <v>22149</v>
      </c>
    </row>
    <row r="3526" spans="1:9" ht="37.799999999999997" x14ac:dyDescent="0.3">
      <c r="A3526" s="109" t="s">
        <v>22150</v>
      </c>
      <c r="B3526" s="109" t="s">
        <v>21928</v>
      </c>
      <c r="C3526" s="109" t="s">
        <v>21928</v>
      </c>
      <c r="D3526" s="109" t="s">
        <v>22151</v>
      </c>
      <c r="E3526" s="109" t="s">
        <v>5558</v>
      </c>
      <c r="F3526" s="109" t="s">
        <v>22152</v>
      </c>
      <c r="G3526" s="110" t="s">
        <v>6248</v>
      </c>
      <c r="H3526" s="110" t="s">
        <v>6413</v>
      </c>
      <c r="I3526" s="110" t="s">
        <v>22153</v>
      </c>
    </row>
    <row r="3527" spans="1:9" ht="37.799999999999997" x14ac:dyDescent="0.3">
      <c r="A3527" s="109" t="s">
        <v>22154</v>
      </c>
      <c r="B3527" s="109" t="s">
        <v>21928</v>
      </c>
      <c r="C3527" s="109" t="s">
        <v>21928</v>
      </c>
      <c r="D3527" s="109" t="s">
        <v>22155</v>
      </c>
      <c r="E3527" s="109" t="s">
        <v>5558</v>
      </c>
      <c r="F3527" s="109" t="s">
        <v>22156</v>
      </c>
      <c r="G3527" s="110" t="s">
        <v>6248</v>
      </c>
      <c r="H3527" s="110" t="s">
        <v>8961</v>
      </c>
      <c r="I3527" s="110" t="s">
        <v>22157</v>
      </c>
    </row>
    <row r="3528" spans="1:9" ht="25.2" x14ac:dyDescent="0.3">
      <c r="A3528" s="109" t="s">
        <v>22158</v>
      </c>
      <c r="B3528" s="109" t="s">
        <v>21928</v>
      </c>
      <c r="C3528" s="109" t="s">
        <v>21928</v>
      </c>
      <c r="D3528" s="109" t="s">
        <v>22159</v>
      </c>
      <c r="E3528" s="109" t="s">
        <v>5558</v>
      </c>
      <c r="F3528" s="109" t="s">
        <v>22160</v>
      </c>
      <c r="G3528" s="110" t="s">
        <v>6248</v>
      </c>
      <c r="H3528" s="110" t="s">
        <v>6460</v>
      </c>
      <c r="I3528" s="110" t="s">
        <v>22161</v>
      </c>
    </row>
    <row r="3529" spans="1:9" ht="37.799999999999997" x14ac:dyDescent="0.3">
      <c r="A3529" s="109" t="s">
        <v>22162</v>
      </c>
      <c r="B3529" s="109" t="s">
        <v>21928</v>
      </c>
      <c r="C3529" s="109" t="s">
        <v>21928</v>
      </c>
      <c r="D3529" s="109" t="s">
        <v>22163</v>
      </c>
      <c r="E3529" s="109" t="s">
        <v>5558</v>
      </c>
      <c r="F3529" s="109" t="s">
        <v>22164</v>
      </c>
      <c r="G3529" s="110" t="s">
        <v>6248</v>
      </c>
      <c r="H3529" s="110" t="s">
        <v>22165</v>
      </c>
      <c r="I3529" s="110" t="s">
        <v>22166</v>
      </c>
    </row>
    <row r="3530" spans="1:9" ht="37.799999999999997" x14ac:dyDescent="0.3">
      <c r="A3530" s="109" t="s">
        <v>22167</v>
      </c>
      <c r="B3530" s="109" t="s">
        <v>21928</v>
      </c>
      <c r="C3530" s="109" t="s">
        <v>21928</v>
      </c>
      <c r="D3530" s="109" t="s">
        <v>22168</v>
      </c>
      <c r="E3530" s="109" t="s">
        <v>5558</v>
      </c>
      <c r="F3530" s="109" t="s">
        <v>22169</v>
      </c>
      <c r="G3530" s="110" t="s">
        <v>6248</v>
      </c>
      <c r="H3530" s="110" t="s">
        <v>8598</v>
      </c>
      <c r="I3530" s="110" t="s">
        <v>22170</v>
      </c>
    </row>
    <row r="3531" spans="1:9" ht="25.2" x14ac:dyDescent="0.3">
      <c r="A3531" s="109" t="s">
        <v>22171</v>
      </c>
      <c r="B3531" s="109" t="s">
        <v>21928</v>
      </c>
      <c r="C3531" s="109" t="s">
        <v>21928</v>
      </c>
      <c r="D3531" s="109" t="s">
        <v>22172</v>
      </c>
      <c r="E3531" s="109" t="s">
        <v>22173</v>
      </c>
      <c r="F3531" s="109" t="s">
        <v>22174</v>
      </c>
      <c r="G3531" s="110" t="s">
        <v>6248</v>
      </c>
      <c r="H3531" s="110" t="s">
        <v>22175</v>
      </c>
      <c r="I3531" s="110" t="s">
        <v>22176</v>
      </c>
    </row>
    <row r="3532" spans="1:9" ht="37.799999999999997" x14ac:dyDescent="0.3">
      <c r="A3532" s="109" t="s">
        <v>22177</v>
      </c>
      <c r="B3532" s="109" t="s">
        <v>21928</v>
      </c>
      <c r="C3532" s="109" t="s">
        <v>21928</v>
      </c>
      <c r="D3532" s="109" t="s">
        <v>22178</v>
      </c>
      <c r="E3532" s="109" t="s">
        <v>22179</v>
      </c>
      <c r="F3532" s="109" t="s">
        <v>10171</v>
      </c>
      <c r="G3532" s="110" t="s">
        <v>6248</v>
      </c>
      <c r="H3532" s="110" t="s">
        <v>22180</v>
      </c>
      <c r="I3532" s="110" t="s">
        <v>22181</v>
      </c>
    </row>
    <row r="3533" spans="1:9" ht="25.2" x14ac:dyDescent="0.3">
      <c r="A3533" s="109" t="s">
        <v>22182</v>
      </c>
      <c r="B3533" s="109" t="s">
        <v>21928</v>
      </c>
      <c r="C3533" s="109" t="s">
        <v>21928</v>
      </c>
      <c r="D3533" s="109" t="s">
        <v>22183</v>
      </c>
      <c r="E3533" s="109" t="s">
        <v>5558</v>
      </c>
      <c r="F3533" s="109" t="s">
        <v>22184</v>
      </c>
      <c r="G3533" s="110" t="s">
        <v>6248</v>
      </c>
      <c r="H3533" s="110" t="s">
        <v>7321</v>
      </c>
      <c r="I3533" s="110" t="s">
        <v>22185</v>
      </c>
    </row>
    <row r="3534" spans="1:9" ht="37.799999999999997" x14ac:dyDescent="0.3">
      <c r="A3534" s="109" t="s">
        <v>22186</v>
      </c>
      <c r="B3534" s="109" t="s">
        <v>21928</v>
      </c>
      <c r="C3534" s="109" t="s">
        <v>21928</v>
      </c>
      <c r="D3534" s="109" t="s">
        <v>22187</v>
      </c>
      <c r="E3534" s="109" t="s">
        <v>5558</v>
      </c>
      <c r="F3534" s="109" t="s">
        <v>22188</v>
      </c>
      <c r="G3534" s="110" t="s">
        <v>6248</v>
      </c>
      <c r="H3534" s="110" t="s">
        <v>22189</v>
      </c>
      <c r="I3534" s="110" t="s">
        <v>22190</v>
      </c>
    </row>
    <row r="3535" spans="1:9" ht="25.2" x14ac:dyDescent="0.3">
      <c r="A3535" s="109" t="s">
        <v>22191</v>
      </c>
      <c r="B3535" s="109" t="s">
        <v>21928</v>
      </c>
      <c r="C3535" s="109" t="s">
        <v>21928</v>
      </c>
      <c r="D3535" s="109" t="s">
        <v>22192</v>
      </c>
      <c r="E3535" s="109" t="s">
        <v>22193</v>
      </c>
      <c r="F3535" s="109" t="s">
        <v>9661</v>
      </c>
      <c r="G3535" s="110" t="s">
        <v>6248</v>
      </c>
      <c r="H3535" s="110" t="s">
        <v>22194</v>
      </c>
      <c r="I3535" s="110" t="s">
        <v>22195</v>
      </c>
    </row>
    <row r="3536" spans="1:9" ht="37.799999999999997" x14ac:dyDescent="0.3">
      <c r="A3536" s="109" t="s">
        <v>22196</v>
      </c>
      <c r="B3536" s="109" t="s">
        <v>21928</v>
      </c>
      <c r="C3536" s="109" t="s">
        <v>21928</v>
      </c>
      <c r="D3536" s="109" t="s">
        <v>22197</v>
      </c>
      <c r="E3536" s="109" t="s">
        <v>5558</v>
      </c>
      <c r="F3536" s="109" t="s">
        <v>22198</v>
      </c>
      <c r="G3536" s="110" t="s">
        <v>6248</v>
      </c>
      <c r="H3536" s="110" t="s">
        <v>22199</v>
      </c>
      <c r="I3536" s="110" t="s">
        <v>22200</v>
      </c>
    </row>
    <row r="3537" spans="1:9" ht="25.2" x14ac:dyDescent="0.3">
      <c r="A3537" s="109" t="s">
        <v>22201</v>
      </c>
      <c r="B3537" s="109" t="s">
        <v>21928</v>
      </c>
      <c r="C3537" s="109" t="s">
        <v>21928</v>
      </c>
      <c r="D3537" s="109" t="s">
        <v>22202</v>
      </c>
      <c r="E3537" s="109" t="s">
        <v>5558</v>
      </c>
      <c r="F3537" s="109" t="s">
        <v>22203</v>
      </c>
      <c r="G3537" s="110" t="s">
        <v>6248</v>
      </c>
      <c r="H3537" s="110" t="s">
        <v>22204</v>
      </c>
      <c r="I3537" s="110" t="s">
        <v>22205</v>
      </c>
    </row>
    <row r="3538" spans="1:9" ht="25.2" x14ac:dyDescent="0.3">
      <c r="A3538" s="109" t="s">
        <v>22206</v>
      </c>
      <c r="B3538" s="109" t="s">
        <v>21928</v>
      </c>
      <c r="C3538" s="109" t="s">
        <v>21928</v>
      </c>
      <c r="D3538" s="109" t="s">
        <v>3241</v>
      </c>
      <c r="E3538" s="109" t="s">
        <v>22207</v>
      </c>
      <c r="F3538" s="109" t="s">
        <v>7123</v>
      </c>
      <c r="G3538" s="110" t="s">
        <v>6248</v>
      </c>
      <c r="H3538" s="110" t="s">
        <v>22208</v>
      </c>
      <c r="I3538" s="110" t="s">
        <v>22209</v>
      </c>
    </row>
    <row r="3539" spans="1:9" ht="25.2" x14ac:dyDescent="0.3">
      <c r="A3539" s="109" t="s">
        <v>22210</v>
      </c>
      <c r="B3539" s="109" t="s">
        <v>21928</v>
      </c>
      <c r="C3539" s="109" t="s">
        <v>21928</v>
      </c>
      <c r="D3539" s="109" t="s">
        <v>22211</v>
      </c>
      <c r="E3539" s="109" t="s">
        <v>22212</v>
      </c>
      <c r="F3539" s="109" t="s">
        <v>22213</v>
      </c>
      <c r="G3539" s="110" t="s">
        <v>6248</v>
      </c>
      <c r="H3539" s="110" t="s">
        <v>22214</v>
      </c>
      <c r="I3539" s="110" t="s">
        <v>22215</v>
      </c>
    </row>
    <row r="3540" spans="1:9" ht="25.2" x14ac:dyDescent="0.3">
      <c r="A3540" s="109" t="s">
        <v>22216</v>
      </c>
      <c r="B3540" s="109" t="s">
        <v>21928</v>
      </c>
      <c r="C3540" s="109" t="s">
        <v>21928</v>
      </c>
      <c r="D3540" s="109" t="s">
        <v>22217</v>
      </c>
      <c r="E3540" s="109" t="s">
        <v>21142</v>
      </c>
      <c r="F3540" s="109" t="s">
        <v>22218</v>
      </c>
      <c r="G3540" s="110" t="s">
        <v>6248</v>
      </c>
      <c r="H3540" s="110" t="s">
        <v>22219</v>
      </c>
      <c r="I3540" s="110" t="s">
        <v>22220</v>
      </c>
    </row>
    <row r="3541" spans="1:9" ht="25.2" x14ac:dyDescent="0.3">
      <c r="A3541" s="109" t="s">
        <v>22221</v>
      </c>
      <c r="B3541" s="109" t="s">
        <v>21928</v>
      </c>
      <c r="C3541" s="109" t="s">
        <v>21928</v>
      </c>
      <c r="D3541" s="109" t="s">
        <v>5569</v>
      </c>
      <c r="E3541" s="109" t="s">
        <v>5558</v>
      </c>
      <c r="F3541" s="109" t="s">
        <v>2258</v>
      </c>
      <c r="G3541" s="110" t="s">
        <v>6248</v>
      </c>
      <c r="H3541" s="110" t="s">
        <v>22222</v>
      </c>
      <c r="I3541" s="110" t="s">
        <v>22223</v>
      </c>
    </row>
    <row r="3542" spans="1:9" ht="50.4" x14ac:dyDescent="0.3">
      <c r="A3542" s="109" t="s">
        <v>22224</v>
      </c>
      <c r="B3542" s="109" t="s">
        <v>21928</v>
      </c>
      <c r="C3542" s="109" t="s">
        <v>21928</v>
      </c>
      <c r="D3542" s="109" t="s">
        <v>22225</v>
      </c>
      <c r="E3542" s="109" t="s">
        <v>22226</v>
      </c>
      <c r="F3542" s="109" t="s">
        <v>22227</v>
      </c>
      <c r="G3542" s="110" t="s">
        <v>6248</v>
      </c>
      <c r="H3542" s="110" t="s">
        <v>22228</v>
      </c>
      <c r="I3542" s="110" t="s">
        <v>22229</v>
      </c>
    </row>
    <row r="3543" spans="1:9" ht="25.2" x14ac:dyDescent="0.3">
      <c r="A3543" s="109" t="s">
        <v>22230</v>
      </c>
      <c r="B3543" s="109" t="s">
        <v>21928</v>
      </c>
      <c r="C3543" s="109" t="s">
        <v>21928</v>
      </c>
      <c r="D3543" s="109" t="s">
        <v>3324</v>
      </c>
      <c r="E3543" s="109" t="s">
        <v>5558</v>
      </c>
      <c r="F3543" s="109" t="s">
        <v>22231</v>
      </c>
      <c r="G3543" s="110" t="s">
        <v>6248</v>
      </c>
      <c r="H3543" s="110" t="s">
        <v>22232</v>
      </c>
      <c r="I3543" s="110" t="s">
        <v>22233</v>
      </c>
    </row>
    <row r="3544" spans="1:9" ht="63" x14ac:dyDescent="0.3">
      <c r="A3544" s="109" t="s">
        <v>22234</v>
      </c>
      <c r="B3544" s="109" t="s">
        <v>21928</v>
      </c>
      <c r="C3544" s="109" t="s">
        <v>21928</v>
      </c>
      <c r="D3544" s="109" t="s">
        <v>22235</v>
      </c>
      <c r="E3544" s="109" t="s">
        <v>22235</v>
      </c>
      <c r="F3544" s="109" t="s">
        <v>22236</v>
      </c>
      <c r="G3544" s="110" t="s">
        <v>6248</v>
      </c>
      <c r="H3544" s="110" t="s">
        <v>6341</v>
      </c>
      <c r="I3544" s="110" t="s">
        <v>22237</v>
      </c>
    </row>
    <row r="3545" spans="1:9" ht="63" x14ac:dyDescent="0.3">
      <c r="A3545" s="109" t="s">
        <v>22238</v>
      </c>
      <c r="B3545" s="109" t="s">
        <v>21928</v>
      </c>
      <c r="C3545" s="109" t="s">
        <v>21928</v>
      </c>
      <c r="D3545" s="109" t="s">
        <v>22239</v>
      </c>
      <c r="E3545" s="109" t="s">
        <v>22239</v>
      </c>
      <c r="F3545" s="109" t="s">
        <v>22240</v>
      </c>
      <c r="G3545" s="110" t="s">
        <v>6248</v>
      </c>
      <c r="H3545" s="110" t="s">
        <v>6352</v>
      </c>
      <c r="I3545" s="110" t="s">
        <v>22241</v>
      </c>
    </row>
    <row r="3546" spans="1:9" ht="25.2" x14ac:dyDescent="0.3">
      <c r="A3546" s="109" t="s">
        <v>22242</v>
      </c>
      <c r="B3546" s="109" t="s">
        <v>21928</v>
      </c>
      <c r="C3546" s="109" t="s">
        <v>21928</v>
      </c>
      <c r="D3546" s="109" t="s">
        <v>22243</v>
      </c>
      <c r="E3546" s="109" t="s">
        <v>22244</v>
      </c>
      <c r="F3546" s="109" t="s">
        <v>6878</v>
      </c>
      <c r="G3546" s="110" t="s">
        <v>22245</v>
      </c>
      <c r="H3546" s="110" t="s">
        <v>6248</v>
      </c>
      <c r="I3546" s="110" t="s">
        <v>22246</v>
      </c>
    </row>
    <row r="3547" spans="1:9" ht="25.2" x14ac:dyDescent="0.3">
      <c r="A3547" s="109" t="s">
        <v>22247</v>
      </c>
      <c r="B3547" s="109" t="s">
        <v>21928</v>
      </c>
      <c r="C3547" s="109" t="s">
        <v>21928</v>
      </c>
      <c r="D3547" s="109" t="s">
        <v>22248</v>
      </c>
      <c r="E3547" s="109" t="s">
        <v>22249</v>
      </c>
      <c r="F3547" s="109" t="s">
        <v>7039</v>
      </c>
      <c r="G3547" s="110" t="s">
        <v>6248</v>
      </c>
      <c r="H3547" s="110" t="s">
        <v>22250</v>
      </c>
      <c r="I3547" s="110" t="s">
        <v>22251</v>
      </c>
    </row>
    <row r="3548" spans="1:9" ht="25.2" x14ac:dyDescent="0.3">
      <c r="A3548" s="109" t="s">
        <v>22252</v>
      </c>
      <c r="B3548" s="109" t="s">
        <v>21928</v>
      </c>
      <c r="C3548" s="109" t="s">
        <v>21928</v>
      </c>
      <c r="D3548" s="109" t="s">
        <v>3240</v>
      </c>
      <c r="E3548" s="109" t="s">
        <v>10893</v>
      </c>
      <c r="F3548" s="109" t="s">
        <v>10894</v>
      </c>
      <c r="G3548" s="110" t="s">
        <v>22253</v>
      </c>
      <c r="H3548" s="110" t="s">
        <v>6248</v>
      </c>
      <c r="I3548" s="110" t="s">
        <v>22254</v>
      </c>
    </row>
    <row r="3549" spans="1:9" ht="37.799999999999997" x14ac:dyDescent="0.3">
      <c r="A3549" s="109" t="s">
        <v>22255</v>
      </c>
      <c r="B3549" s="109" t="s">
        <v>21928</v>
      </c>
      <c r="C3549" s="109" t="s">
        <v>21928</v>
      </c>
      <c r="D3549" s="109" t="s">
        <v>22256</v>
      </c>
      <c r="E3549" s="109" t="s">
        <v>5558</v>
      </c>
      <c r="F3549" s="109" t="s">
        <v>22257</v>
      </c>
      <c r="G3549" s="110" t="s">
        <v>6248</v>
      </c>
      <c r="H3549" s="110" t="s">
        <v>22258</v>
      </c>
      <c r="I3549" s="110" t="s">
        <v>22259</v>
      </c>
    </row>
    <row r="3550" spans="1:9" ht="25.2" x14ac:dyDescent="0.3">
      <c r="A3550" s="109" t="s">
        <v>22260</v>
      </c>
      <c r="B3550" s="109" t="s">
        <v>21928</v>
      </c>
      <c r="C3550" s="109" t="s">
        <v>21928</v>
      </c>
      <c r="D3550" s="109" t="s">
        <v>22261</v>
      </c>
      <c r="E3550" s="109" t="s">
        <v>5558</v>
      </c>
      <c r="F3550" s="109" t="s">
        <v>22262</v>
      </c>
      <c r="G3550" s="110" t="s">
        <v>6248</v>
      </c>
      <c r="H3550" s="110" t="s">
        <v>22263</v>
      </c>
      <c r="I3550" s="110" t="s">
        <v>22264</v>
      </c>
    </row>
    <row r="3551" spans="1:9" ht="25.2" x14ac:dyDescent="0.3">
      <c r="A3551" s="109" t="s">
        <v>22265</v>
      </c>
      <c r="B3551" s="109" t="s">
        <v>21928</v>
      </c>
      <c r="C3551" s="109" t="s">
        <v>21928</v>
      </c>
      <c r="D3551" s="109" t="s">
        <v>22266</v>
      </c>
      <c r="E3551" s="109" t="s">
        <v>5558</v>
      </c>
      <c r="F3551" s="109" t="s">
        <v>22267</v>
      </c>
      <c r="G3551" s="110" t="s">
        <v>6248</v>
      </c>
      <c r="H3551" s="110" t="s">
        <v>22268</v>
      </c>
      <c r="I3551" s="110" t="s">
        <v>22269</v>
      </c>
    </row>
    <row r="3552" spans="1:9" ht="25.2" x14ac:dyDescent="0.3">
      <c r="A3552" s="109" t="s">
        <v>22270</v>
      </c>
      <c r="B3552" s="109" t="s">
        <v>21928</v>
      </c>
      <c r="C3552" s="109" t="s">
        <v>21928</v>
      </c>
      <c r="D3552" s="109" t="s">
        <v>22271</v>
      </c>
      <c r="E3552" s="109" t="s">
        <v>22272</v>
      </c>
      <c r="F3552" s="109" t="s">
        <v>8179</v>
      </c>
      <c r="G3552" s="110" t="s">
        <v>6248</v>
      </c>
      <c r="H3552" s="110" t="s">
        <v>22273</v>
      </c>
      <c r="I3552" s="110" t="s">
        <v>22274</v>
      </c>
    </row>
    <row r="3553" spans="1:9" ht="25.2" x14ac:dyDescent="0.3">
      <c r="A3553" s="109" t="s">
        <v>22275</v>
      </c>
      <c r="B3553" s="109" t="s">
        <v>21928</v>
      </c>
      <c r="C3553" s="109" t="s">
        <v>21928</v>
      </c>
      <c r="D3553" s="109" t="s">
        <v>22276</v>
      </c>
      <c r="E3553" s="109" t="s">
        <v>22277</v>
      </c>
      <c r="F3553" s="109" t="s">
        <v>6847</v>
      </c>
      <c r="G3553" s="110" t="s">
        <v>6248</v>
      </c>
      <c r="H3553" s="110" t="s">
        <v>22278</v>
      </c>
      <c r="I3553" s="110" t="s">
        <v>22279</v>
      </c>
    </row>
    <row r="3554" spans="1:9" ht="25.2" x14ac:dyDescent="0.3">
      <c r="A3554" s="109" t="s">
        <v>22280</v>
      </c>
      <c r="B3554" s="109" t="s">
        <v>21928</v>
      </c>
      <c r="C3554" s="109" t="s">
        <v>21928</v>
      </c>
      <c r="D3554" s="109" t="s">
        <v>22281</v>
      </c>
      <c r="E3554" s="109" t="s">
        <v>5558</v>
      </c>
      <c r="F3554" s="109" t="s">
        <v>22282</v>
      </c>
      <c r="G3554" s="110" t="s">
        <v>6248</v>
      </c>
      <c r="H3554" s="110" t="s">
        <v>22283</v>
      </c>
      <c r="I3554" s="110" t="s">
        <v>22284</v>
      </c>
    </row>
    <row r="3555" spans="1:9" ht="25.2" x14ac:dyDescent="0.3">
      <c r="A3555" s="109" t="s">
        <v>22285</v>
      </c>
      <c r="B3555" s="109" t="s">
        <v>21928</v>
      </c>
      <c r="C3555" s="109" t="s">
        <v>21928</v>
      </c>
      <c r="D3555" s="109" t="s">
        <v>3157</v>
      </c>
      <c r="E3555" s="109" t="s">
        <v>22286</v>
      </c>
      <c r="F3555" s="109" t="s">
        <v>17257</v>
      </c>
      <c r="G3555" s="110" t="s">
        <v>6248</v>
      </c>
      <c r="H3555" s="110" t="s">
        <v>10136</v>
      </c>
      <c r="I3555" s="110" t="s">
        <v>22287</v>
      </c>
    </row>
    <row r="3556" spans="1:9" ht="37.799999999999997" x14ac:dyDescent="0.3">
      <c r="A3556" s="109" t="s">
        <v>22288</v>
      </c>
      <c r="B3556" s="109" t="s">
        <v>21928</v>
      </c>
      <c r="C3556" s="109" t="s">
        <v>21928</v>
      </c>
      <c r="D3556" s="109" t="s">
        <v>22289</v>
      </c>
      <c r="E3556" s="109" t="s">
        <v>5558</v>
      </c>
      <c r="F3556" s="109" t="s">
        <v>22290</v>
      </c>
      <c r="G3556" s="110" t="s">
        <v>6248</v>
      </c>
      <c r="H3556" s="110" t="s">
        <v>22291</v>
      </c>
      <c r="I3556" s="110" t="s">
        <v>22292</v>
      </c>
    </row>
    <row r="3557" spans="1:9" ht="25.2" x14ac:dyDescent="0.3">
      <c r="A3557" s="109" t="s">
        <v>22293</v>
      </c>
      <c r="B3557" s="109" t="s">
        <v>21928</v>
      </c>
      <c r="C3557" s="109" t="s">
        <v>21928</v>
      </c>
      <c r="D3557" s="109" t="s">
        <v>22294</v>
      </c>
      <c r="E3557" s="109" t="s">
        <v>5558</v>
      </c>
      <c r="F3557" s="109" t="s">
        <v>22295</v>
      </c>
      <c r="G3557" s="110" t="s">
        <v>6248</v>
      </c>
      <c r="H3557" s="110" t="s">
        <v>22296</v>
      </c>
      <c r="I3557" s="110" t="s">
        <v>22297</v>
      </c>
    </row>
    <row r="3558" spans="1:9" ht="25.2" x14ac:dyDescent="0.3">
      <c r="A3558" s="109" t="s">
        <v>22298</v>
      </c>
      <c r="B3558" s="109" t="s">
        <v>21928</v>
      </c>
      <c r="C3558" s="109" t="s">
        <v>21928</v>
      </c>
      <c r="D3558" s="109" t="s">
        <v>22299</v>
      </c>
      <c r="E3558" s="109" t="s">
        <v>5558</v>
      </c>
      <c r="F3558" s="109" t="s">
        <v>22300</v>
      </c>
      <c r="G3558" s="110" t="s">
        <v>6248</v>
      </c>
      <c r="H3558" s="110" t="s">
        <v>22301</v>
      </c>
      <c r="I3558" s="110" t="s">
        <v>22302</v>
      </c>
    </row>
    <row r="3559" spans="1:9" ht="25.2" x14ac:dyDescent="0.3">
      <c r="A3559" s="109" t="s">
        <v>22303</v>
      </c>
      <c r="B3559" s="109" t="s">
        <v>21928</v>
      </c>
      <c r="C3559" s="109" t="s">
        <v>21928</v>
      </c>
      <c r="D3559" s="109" t="s">
        <v>22304</v>
      </c>
      <c r="E3559" s="109" t="s">
        <v>5558</v>
      </c>
      <c r="F3559" s="109" t="s">
        <v>22305</v>
      </c>
      <c r="G3559" s="110" t="s">
        <v>6248</v>
      </c>
      <c r="H3559" s="110" t="s">
        <v>9422</v>
      </c>
      <c r="I3559" s="110" t="s">
        <v>22306</v>
      </c>
    </row>
    <row r="3560" spans="1:9" ht="25.2" x14ac:dyDescent="0.3">
      <c r="A3560" s="109" t="s">
        <v>22307</v>
      </c>
      <c r="B3560" s="109" t="s">
        <v>21928</v>
      </c>
      <c r="C3560" s="109" t="s">
        <v>21928</v>
      </c>
      <c r="D3560" s="109" t="s">
        <v>22308</v>
      </c>
      <c r="E3560" s="109" t="s">
        <v>5558</v>
      </c>
      <c r="F3560" s="109" t="s">
        <v>22309</v>
      </c>
      <c r="G3560" s="110" t="s">
        <v>6248</v>
      </c>
      <c r="H3560" s="110" t="s">
        <v>22310</v>
      </c>
      <c r="I3560" s="110" t="s">
        <v>22311</v>
      </c>
    </row>
    <row r="3561" spans="1:9" ht="37.799999999999997" x14ac:dyDescent="0.3">
      <c r="A3561" s="109" t="s">
        <v>22312</v>
      </c>
      <c r="B3561" s="109" t="s">
        <v>21928</v>
      </c>
      <c r="C3561" s="109" t="s">
        <v>21928</v>
      </c>
      <c r="D3561" s="109" t="s">
        <v>3180</v>
      </c>
      <c r="E3561" s="109" t="s">
        <v>5558</v>
      </c>
      <c r="F3561" s="109" t="s">
        <v>22313</v>
      </c>
      <c r="G3561" s="110" t="s">
        <v>6248</v>
      </c>
      <c r="H3561" s="110" t="s">
        <v>22314</v>
      </c>
      <c r="I3561" s="110" t="s">
        <v>22315</v>
      </c>
    </row>
    <row r="3562" spans="1:9" ht="25.2" x14ac:dyDescent="0.3">
      <c r="A3562" s="109" t="s">
        <v>22316</v>
      </c>
      <c r="B3562" s="109" t="s">
        <v>21928</v>
      </c>
      <c r="C3562" s="109" t="s">
        <v>21928</v>
      </c>
      <c r="D3562" s="109" t="s">
        <v>22317</v>
      </c>
      <c r="E3562" s="109" t="s">
        <v>5558</v>
      </c>
      <c r="F3562" s="109" t="s">
        <v>22318</v>
      </c>
      <c r="G3562" s="110" t="s">
        <v>6248</v>
      </c>
      <c r="H3562" s="110" t="s">
        <v>22319</v>
      </c>
      <c r="I3562" s="110" t="s">
        <v>22320</v>
      </c>
    </row>
    <row r="3563" spans="1:9" ht="25.2" x14ac:dyDescent="0.3">
      <c r="A3563" s="109" t="s">
        <v>22321</v>
      </c>
      <c r="B3563" s="109" t="s">
        <v>21928</v>
      </c>
      <c r="C3563" s="109" t="s">
        <v>21928</v>
      </c>
      <c r="D3563" s="109" t="s">
        <v>22322</v>
      </c>
      <c r="E3563" s="109" t="s">
        <v>5558</v>
      </c>
      <c r="F3563" s="109" t="s">
        <v>22323</v>
      </c>
      <c r="G3563" s="110" t="s">
        <v>6248</v>
      </c>
      <c r="H3563" s="110" t="s">
        <v>22324</v>
      </c>
      <c r="I3563" s="110" t="s">
        <v>22325</v>
      </c>
    </row>
    <row r="3564" spans="1:9" ht="25.2" x14ac:dyDescent="0.3">
      <c r="A3564" s="109" t="s">
        <v>22326</v>
      </c>
      <c r="B3564" s="109" t="s">
        <v>21928</v>
      </c>
      <c r="C3564" s="109" t="s">
        <v>21928</v>
      </c>
      <c r="D3564" s="109" t="s">
        <v>22327</v>
      </c>
      <c r="E3564" s="109" t="s">
        <v>22328</v>
      </c>
      <c r="F3564" s="109" t="s">
        <v>10251</v>
      </c>
      <c r="G3564" s="110" t="s">
        <v>6248</v>
      </c>
      <c r="H3564" s="110" t="s">
        <v>22329</v>
      </c>
      <c r="I3564" s="110" t="s">
        <v>22330</v>
      </c>
    </row>
    <row r="3565" spans="1:9" ht="25.2" x14ac:dyDescent="0.3">
      <c r="A3565" s="109" t="s">
        <v>22331</v>
      </c>
      <c r="B3565" s="109" t="s">
        <v>21928</v>
      </c>
      <c r="C3565" s="109" t="s">
        <v>21928</v>
      </c>
      <c r="D3565" s="109" t="s">
        <v>22332</v>
      </c>
      <c r="E3565" s="109" t="s">
        <v>5558</v>
      </c>
      <c r="F3565" s="109" t="s">
        <v>22333</v>
      </c>
      <c r="G3565" s="110" t="s">
        <v>6248</v>
      </c>
      <c r="H3565" s="110" t="s">
        <v>9261</v>
      </c>
      <c r="I3565" s="110" t="s">
        <v>22334</v>
      </c>
    </row>
    <row r="3566" spans="1:9" ht="63" x14ac:dyDescent="0.3">
      <c r="A3566" s="109" t="s">
        <v>22335</v>
      </c>
      <c r="B3566" s="109" t="s">
        <v>21928</v>
      </c>
      <c r="C3566" s="109" t="s">
        <v>21928</v>
      </c>
      <c r="D3566" s="109" t="s">
        <v>22336</v>
      </c>
      <c r="E3566" s="109" t="s">
        <v>22336</v>
      </c>
      <c r="F3566" s="109" t="s">
        <v>22337</v>
      </c>
      <c r="G3566" s="110" t="s">
        <v>6248</v>
      </c>
      <c r="H3566" s="110" t="s">
        <v>22338</v>
      </c>
      <c r="I3566" s="110" t="s">
        <v>22339</v>
      </c>
    </row>
    <row r="3567" spans="1:9" ht="25.2" x14ac:dyDescent="0.3">
      <c r="A3567" s="109" t="s">
        <v>22340</v>
      </c>
      <c r="B3567" s="109" t="s">
        <v>21928</v>
      </c>
      <c r="C3567" s="109" t="s">
        <v>21928</v>
      </c>
      <c r="D3567" s="109" t="s">
        <v>22341</v>
      </c>
      <c r="E3567" s="109" t="s">
        <v>5558</v>
      </c>
      <c r="F3567" s="109" t="s">
        <v>22342</v>
      </c>
      <c r="G3567" s="110" t="s">
        <v>6248</v>
      </c>
      <c r="H3567" s="110" t="s">
        <v>6341</v>
      </c>
      <c r="I3567" s="110" t="s">
        <v>22343</v>
      </c>
    </row>
    <row r="3568" spans="1:9" ht="25.2" x14ac:dyDescent="0.3">
      <c r="A3568" s="109" t="s">
        <v>22344</v>
      </c>
      <c r="B3568" s="109" t="s">
        <v>21928</v>
      </c>
      <c r="C3568" s="109" t="s">
        <v>21928</v>
      </c>
      <c r="D3568" s="109" t="s">
        <v>22345</v>
      </c>
      <c r="E3568" s="109" t="s">
        <v>5558</v>
      </c>
      <c r="F3568" s="109" t="s">
        <v>22346</v>
      </c>
      <c r="G3568" s="110" t="s">
        <v>6248</v>
      </c>
      <c r="H3568" s="110" t="s">
        <v>22347</v>
      </c>
      <c r="I3568" s="110" t="s">
        <v>22348</v>
      </c>
    </row>
    <row r="3569" spans="1:9" ht="25.2" x14ac:dyDescent="0.3">
      <c r="A3569" s="109" t="s">
        <v>22349</v>
      </c>
      <c r="B3569" s="109" t="s">
        <v>21928</v>
      </c>
      <c r="C3569" s="109" t="s">
        <v>21928</v>
      </c>
      <c r="D3569" s="109" t="s">
        <v>3239</v>
      </c>
      <c r="E3569" s="109" t="s">
        <v>22350</v>
      </c>
      <c r="F3569" s="109" t="s">
        <v>22351</v>
      </c>
      <c r="G3569" s="110" t="s">
        <v>22352</v>
      </c>
      <c r="H3569" s="110" t="s">
        <v>6248</v>
      </c>
      <c r="I3569" s="110" t="s">
        <v>22353</v>
      </c>
    </row>
    <row r="3570" spans="1:9" ht="25.2" x14ac:dyDescent="0.3">
      <c r="A3570" s="109" t="s">
        <v>22354</v>
      </c>
      <c r="B3570" s="109" t="s">
        <v>21928</v>
      </c>
      <c r="C3570" s="109" t="s">
        <v>21928</v>
      </c>
      <c r="D3570" s="109" t="s">
        <v>22355</v>
      </c>
      <c r="E3570" s="109" t="s">
        <v>22356</v>
      </c>
      <c r="F3570" s="109" t="s">
        <v>7045</v>
      </c>
      <c r="G3570" s="110" t="s">
        <v>22357</v>
      </c>
      <c r="H3570" s="110" t="s">
        <v>6248</v>
      </c>
      <c r="I3570" s="110" t="s">
        <v>22358</v>
      </c>
    </row>
    <row r="3571" spans="1:9" ht="25.2" x14ac:dyDescent="0.3">
      <c r="A3571" s="109" t="s">
        <v>22359</v>
      </c>
      <c r="B3571" s="109" t="s">
        <v>21928</v>
      </c>
      <c r="C3571" s="109" t="s">
        <v>21928</v>
      </c>
      <c r="D3571" s="109" t="s">
        <v>3584</v>
      </c>
      <c r="E3571" s="109" t="s">
        <v>22360</v>
      </c>
      <c r="F3571" s="109" t="s">
        <v>22361</v>
      </c>
      <c r="G3571" s="110" t="s">
        <v>22362</v>
      </c>
      <c r="H3571" s="110" t="s">
        <v>6248</v>
      </c>
      <c r="I3571" s="110" t="s">
        <v>22363</v>
      </c>
    </row>
    <row r="3572" spans="1:9" ht="25.2" x14ac:dyDescent="0.3">
      <c r="A3572" s="109" t="s">
        <v>22364</v>
      </c>
      <c r="B3572" s="109" t="s">
        <v>21928</v>
      </c>
      <c r="C3572" s="109" t="s">
        <v>21928</v>
      </c>
      <c r="D3572" s="109" t="s">
        <v>3245</v>
      </c>
      <c r="E3572" s="109" t="s">
        <v>22365</v>
      </c>
      <c r="F3572" s="109" t="s">
        <v>22366</v>
      </c>
      <c r="G3572" s="110" t="s">
        <v>22367</v>
      </c>
      <c r="H3572" s="110" t="s">
        <v>6248</v>
      </c>
      <c r="I3572" s="110" t="s">
        <v>22368</v>
      </c>
    </row>
    <row r="3573" spans="1:9" ht="25.2" x14ac:dyDescent="0.3">
      <c r="A3573" s="109" t="s">
        <v>22369</v>
      </c>
      <c r="B3573" s="109" t="s">
        <v>21928</v>
      </c>
      <c r="C3573" s="109" t="s">
        <v>21928</v>
      </c>
      <c r="D3573" s="109" t="s">
        <v>3247</v>
      </c>
      <c r="E3573" s="109" t="s">
        <v>22370</v>
      </c>
      <c r="F3573" s="109" t="s">
        <v>22371</v>
      </c>
      <c r="G3573" s="110" t="s">
        <v>22372</v>
      </c>
      <c r="H3573" s="110" t="s">
        <v>6248</v>
      </c>
      <c r="I3573" s="110" t="s">
        <v>22373</v>
      </c>
    </row>
    <row r="3574" spans="1:9" ht="25.2" x14ac:dyDescent="0.3">
      <c r="A3574" s="109" t="s">
        <v>22374</v>
      </c>
      <c r="B3574" s="109" t="s">
        <v>21928</v>
      </c>
      <c r="C3574" s="109" t="s">
        <v>21928</v>
      </c>
      <c r="D3574" s="109" t="s">
        <v>3242</v>
      </c>
      <c r="E3574" s="109" t="s">
        <v>22375</v>
      </c>
      <c r="F3574" s="109" t="s">
        <v>22376</v>
      </c>
      <c r="G3574" s="110" t="s">
        <v>22377</v>
      </c>
      <c r="H3574" s="110" t="s">
        <v>6248</v>
      </c>
      <c r="I3574" s="110" t="s">
        <v>22378</v>
      </c>
    </row>
    <row r="3575" spans="1:9" ht="25.2" x14ac:dyDescent="0.3">
      <c r="A3575" s="109" t="s">
        <v>22379</v>
      </c>
      <c r="B3575" s="109" t="s">
        <v>21928</v>
      </c>
      <c r="C3575" s="109" t="s">
        <v>21928</v>
      </c>
      <c r="D3575" s="109" t="s">
        <v>3246</v>
      </c>
      <c r="E3575" s="109" t="s">
        <v>22380</v>
      </c>
      <c r="F3575" s="109" t="s">
        <v>22381</v>
      </c>
      <c r="G3575" s="110" t="s">
        <v>22382</v>
      </c>
      <c r="H3575" s="110" t="s">
        <v>6248</v>
      </c>
      <c r="I3575" s="110" t="s">
        <v>22383</v>
      </c>
    </row>
    <row r="3576" spans="1:9" ht="25.2" x14ac:dyDescent="0.3">
      <c r="A3576" s="109" t="s">
        <v>22384</v>
      </c>
      <c r="B3576" s="109" t="s">
        <v>21928</v>
      </c>
      <c r="C3576" s="109" t="s">
        <v>21928</v>
      </c>
      <c r="D3576" s="109" t="s">
        <v>3243</v>
      </c>
      <c r="E3576" s="109" t="s">
        <v>22385</v>
      </c>
      <c r="F3576" s="109" t="s">
        <v>22386</v>
      </c>
      <c r="G3576" s="110" t="s">
        <v>22387</v>
      </c>
      <c r="H3576" s="110" t="s">
        <v>6248</v>
      </c>
      <c r="I3576" s="110" t="s">
        <v>22388</v>
      </c>
    </row>
    <row r="3577" spans="1:9" ht="25.2" x14ac:dyDescent="0.3">
      <c r="A3577" s="109" t="s">
        <v>22389</v>
      </c>
      <c r="B3577" s="109" t="s">
        <v>21928</v>
      </c>
      <c r="C3577" s="109" t="s">
        <v>21928</v>
      </c>
      <c r="D3577" s="109" t="s">
        <v>3244</v>
      </c>
      <c r="E3577" s="109" t="s">
        <v>22390</v>
      </c>
      <c r="F3577" s="109" t="s">
        <v>22391</v>
      </c>
      <c r="G3577" s="110" t="s">
        <v>22392</v>
      </c>
      <c r="H3577" s="110" t="s">
        <v>6248</v>
      </c>
      <c r="I3577" s="110" t="s">
        <v>22393</v>
      </c>
    </row>
    <row r="3578" spans="1:9" ht="37.799999999999997" x14ac:dyDescent="0.3">
      <c r="A3578" s="109" t="s">
        <v>22394</v>
      </c>
      <c r="B3578" s="109" t="s">
        <v>21928</v>
      </c>
      <c r="C3578" s="109" t="s">
        <v>21928</v>
      </c>
      <c r="D3578" s="109" t="s">
        <v>22395</v>
      </c>
      <c r="E3578" s="109" t="s">
        <v>5558</v>
      </c>
      <c r="F3578" s="109" t="s">
        <v>22396</v>
      </c>
      <c r="G3578" s="110" t="s">
        <v>6248</v>
      </c>
      <c r="H3578" s="110" t="s">
        <v>22397</v>
      </c>
      <c r="I3578" s="110" t="s">
        <v>22398</v>
      </c>
    </row>
    <row r="3579" spans="1:9" ht="25.2" x14ac:dyDescent="0.3">
      <c r="A3579" s="109" t="s">
        <v>22399</v>
      </c>
      <c r="B3579" s="109" t="s">
        <v>21928</v>
      </c>
      <c r="C3579" s="109" t="s">
        <v>21928</v>
      </c>
      <c r="D3579" s="109" t="s">
        <v>22400</v>
      </c>
      <c r="E3579" s="109" t="s">
        <v>5558</v>
      </c>
      <c r="F3579" s="109" t="s">
        <v>22401</v>
      </c>
      <c r="G3579" s="110" t="s">
        <v>6248</v>
      </c>
      <c r="H3579" s="110" t="s">
        <v>6689</v>
      </c>
      <c r="I3579" s="110" t="s">
        <v>22402</v>
      </c>
    </row>
    <row r="3580" spans="1:9" ht="63" x14ac:dyDescent="0.3">
      <c r="A3580" s="109" t="s">
        <v>22403</v>
      </c>
      <c r="B3580" s="109" t="s">
        <v>21928</v>
      </c>
      <c r="C3580" s="109" t="s">
        <v>21928</v>
      </c>
      <c r="D3580" s="109" t="s">
        <v>22404</v>
      </c>
      <c r="E3580" s="109" t="s">
        <v>22404</v>
      </c>
      <c r="F3580" s="109" t="s">
        <v>22405</v>
      </c>
      <c r="G3580" s="110" t="s">
        <v>6248</v>
      </c>
      <c r="H3580" s="110" t="s">
        <v>22406</v>
      </c>
      <c r="I3580" s="110" t="s">
        <v>22407</v>
      </c>
    </row>
    <row r="3581" spans="1:9" ht="37.799999999999997" x14ac:dyDescent="0.3">
      <c r="A3581" s="109" t="s">
        <v>22408</v>
      </c>
      <c r="B3581" s="109" t="s">
        <v>21928</v>
      </c>
      <c r="C3581" s="109" t="s">
        <v>21928</v>
      </c>
      <c r="D3581" s="109" t="s">
        <v>22409</v>
      </c>
      <c r="E3581" s="109" t="s">
        <v>5558</v>
      </c>
      <c r="F3581" s="109" t="s">
        <v>22410</v>
      </c>
      <c r="G3581" s="110" t="s">
        <v>6248</v>
      </c>
      <c r="H3581" s="110" t="s">
        <v>22411</v>
      </c>
      <c r="I3581" s="110" t="s">
        <v>22412</v>
      </c>
    </row>
    <row r="3582" spans="1:9" ht="37.799999999999997" x14ac:dyDescent="0.3">
      <c r="A3582" s="109" t="s">
        <v>22413</v>
      </c>
      <c r="B3582" s="109" t="s">
        <v>21928</v>
      </c>
      <c r="C3582" s="109" t="s">
        <v>21928</v>
      </c>
      <c r="D3582" s="109" t="s">
        <v>22414</v>
      </c>
      <c r="E3582" s="109" t="s">
        <v>5558</v>
      </c>
      <c r="F3582" s="109" t="s">
        <v>22415</v>
      </c>
      <c r="G3582" s="110" t="s">
        <v>6248</v>
      </c>
      <c r="H3582" s="110" t="s">
        <v>22416</v>
      </c>
      <c r="I3582" s="110" t="s">
        <v>22417</v>
      </c>
    </row>
    <row r="3583" spans="1:9" ht="25.2" x14ac:dyDescent="0.3">
      <c r="A3583" s="109" t="s">
        <v>22418</v>
      </c>
      <c r="B3583" s="109" t="s">
        <v>21928</v>
      </c>
      <c r="C3583" s="109" t="s">
        <v>21928</v>
      </c>
      <c r="D3583" s="109" t="s">
        <v>22419</v>
      </c>
      <c r="E3583" s="109" t="s">
        <v>22420</v>
      </c>
      <c r="F3583" s="109" t="s">
        <v>11989</v>
      </c>
      <c r="G3583" s="110" t="s">
        <v>6248</v>
      </c>
      <c r="H3583" s="110" t="s">
        <v>22421</v>
      </c>
      <c r="I3583" s="110" t="s">
        <v>22422</v>
      </c>
    </row>
    <row r="3584" spans="1:9" ht="25.2" x14ac:dyDescent="0.3">
      <c r="A3584" s="109" t="s">
        <v>22423</v>
      </c>
      <c r="B3584" s="109" t="s">
        <v>21928</v>
      </c>
      <c r="C3584" s="109" t="s">
        <v>21928</v>
      </c>
      <c r="D3584" s="109" t="s">
        <v>3119</v>
      </c>
      <c r="E3584" s="109" t="s">
        <v>5558</v>
      </c>
      <c r="F3584" s="109" t="s">
        <v>22424</v>
      </c>
      <c r="G3584" s="110" t="s">
        <v>6248</v>
      </c>
      <c r="H3584" s="110" t="s">
        <v>22425</v>
      </c>
      <c r="I3584" s="110" t="s">
        <v>22426</v>
      </c>
    </row>
    <row r="3585" spans="1:9" ht="37.799999999999997" x14ac:dyDescent="0.3">
      <c r="A3585" s="109" t="s">
        <v>22427</v>
      </c>
      <c r="B3585" s="109" t="s">
        <v>21928</v>
      </c>
      <c r="C3585" s="109" t="s">
        <v>21928</v>
      </c>
      <c r="D3585" s="109" t="s">
        <v>22428</v>
      </c>
      <c r="E3585" s="109" t="s">
        <v>5558</v>
      </c>
      <c r="F3585" s="109" t="s">
        <v>22429</v>
      </c>
      <c r="G3585" s="110" t="s">
        <v>6248</v>
      </c>
      <c r="H3585" s="110" t="s">
        <v>22430</v>
      </c>
      <c r="I3585" s="110" t="s">
        <v>22431</v>
      </c>
    </row>
    <row r="3586" spans="1:9" ht="25.2" x14ac:dyDescent="0.3">
      <c r="A3586" s="109" t="s">
        <v>22432</v>
      </c>
      <c r="B3586" s="109" t="s">
        <v>21928</v>
      </c>
      <c r="C3586" s="109" t="s">
        <v>21928</v>
      </c>
      <c r="D3586" s="109" t="s">
        <v>22433</v>
      </c>
      <c r="E3586" s="109" t="s">
        <v>5558</v>
      </c>
      <c r="F3586" s="109" t="s">
        <v>22434</v>
      </c>
      <c r="G3586" s="110" t="s">
        <v>6248</v>
      </c>
      <c r="H3586" s="110" t="s">
        <v>22435</v>
      </c>
      <c r="I3586" s="110" t="s">
        <v>22436</v>
      </c>
    </row>
    <row r="3587" spans="1:9" ht="25.2" x14ac:dyDescent="0.3">
      <c r="A3587" s="109" t="s">
        <v>22437</v>
      </c>
      <c r="B3587" s="109" t="s">
        <v>21928</v>
      </c>
      <c r="C3587" s="109" t="s">
        <v>21928</v>
      </c>
      <c r="D3587" s="109" t="s">
        <v>22438</v>
      </c>
      <c r="E3587" s="109" t="s">
        <v>5558</v>
      </c>
      <c r="F3587" s="109" t="s">
        <v>22439</v>
      </c>
      <c r="G3587" s="110" t="s">
        <v>6248</v>
      </c>
      <c r="H3587" s="110" t="s">
        <v>22440</v>
      </c>
      <c r="I3587" s="110" t="s">
        <v>22441</v>
      </c>
    </row>
    <row r="3588" spans="1:9" ht="25.2" x14ac:dyDescent="0.3">
      <c r="A3588" s="109" t="s">
        <v>22442</v>
      </c>
      <c r="B3588" s="109" t="s">
        <v>21928</v>
      </c>
      <c r="C3588" s="109" t="s">
        <v>21928</v>
      </c>
      <c r="D3588" s="109" t="s">
        <v>22443</v>
      </c>
      <c r="E3588" s="109" t="s">
        <v>5558</v>
      </c>
      <c r="F3588" s="109" t="s">
        <v>22444</v>
      </c>
      <c r="G3588" s="110" t="s">
        <v>6248</v>
      </c>
      <c r="H3588" s="110" t="s">
        <v>22445</v>
      </c>
      <c r="I3588" s="110" t="s">
        <v>22446</v>
      </c>
    </row>
    <row r="3589" spans="1:9" ht="37.799999999999997" x14ac:dyDescent="0.3">
      <c r="A3589" s="109" t="s">
        <v>22447</v>
      </c>
      <c r="B3589" s="109" t="s">
        <v>21928</v>
      </c>
      <c r="C3589" s="109" t="s">
        <v>21928</v>
      </c>
      <c r="D3589" s="109" t="s">
        <v>22448</v>
      </c>
      <c r="E3589" s="109" t="s">
        <v>5558</v>
      </c>
      <c r="F3589" s="109" t="s">
        <v>22449</v>
      </c>
      <c r="G3589" s="110" t="s">
        <v>6248</v>
      </c>
      <c r="H3589" s="110" t="s">
        <v>15544</v>
      </c>
      <c r="I3589" s="110" t="s">
        <v>22450</v>
      </c>
    </row>
    <row r="3590" spans="1:9" ht="25.2" x14ac:dyDescent="0.3">
      <c r="A3590" s="109" t="s">
        <v>22451</v>
      </c>
      <c r="B3590" s="109" t="s">
        <v>21928</v>
      </c>
      <c r="C3590" s="109" t="s">
        <v>21928</v>
      </c>
      <c r="D3590" s="109" t="s">
        <v>22452</v>
      </c>
      <c r="E3590" s="109" t="s">
        <v>5558</v>
      </c>
      <c r="F3590" s="109" t="s">
        <v>22453</v>
      </c>
      <c r="G3590" s="110" t="s">
        <v>6248</v>
      </c>
      <c r="H3590" s="110" t="s">
        <v>7321</v>
      </c>
      <c r="I3590" s="110" t="s">
        <v>22454</v>
      </c>
    </row>
    <row r="3591" spans="1:9" ht="37.799999999999997" x14ac:dyDescent="0.3">
      <c r="A3591" s="109" t="s">
        <v>22455</v>
      </c>
      <c r="B3591" s="109" t="s">
        <v>21928</v>
      </c>
      <c r="C3591" s="109" t="s">
        <v>21928</v>
      </c>
      <c r="D3591" s="109" t="s">
        <v>22456</v>
      </c>
      <c r="E3591" s="109" t="s">
        <v>5558</v>
      </c>
      <c r="F3591" s="109" t="s">
        <v>22457</v>
      </c>
      <c r="G3591" s="110" t="s">
        <v>6248</v>
      </c>
      <c r="H3591" s="110" t="s">
        <v>13096</v>
      </c>
      <c r="I3591" s="110" t="s">
        <v>22458</v>
      </c>
    </row>
    <row r="3592" spans="1:9" ht="50.4" x14ac:dyDescent="0.3">
      <c r="A3592" s="109" t="s">
        <v>22459</v>
      </c>
      <c r="B3592" s="109" t="s">
        <v>21928</v>
      </c>
      <c r="C3592" s="109" t="s">
        <v>21928</v>
      </c>
      <c r="D3592" s="109" t="s">
        <v>11993</v>
      </c>
      <c r="E3592" s="109" t="s">
        <v>11993</v>
      </c>
      <c r="F3592" s="109" t="s">
        <v>22460</v>
      </c>
      <c r="G3592" s="110" t="s">
        <v>6248</v>
      </c>
      <c r="H3592" s="110" t="s">
        <v>21661</v>
      </c>
      <c r="I3592" s="110" t="s">
        <v>22461</v>
      </c>
    </row>
    <row r="3593" spans="1:9" ht="25.2" x14ac:dyDescent="0.3">
      <c r="A3593" s="109" t="s">
        <v>22462</v>
      </c>
      <c r="B3593" s="109" t="s">
        <v>21928</v>
      </c>
      <c r="C3593" s="109" t="s">
        <v>21928</v>
      </c>
      <c r="D3593" s="109" t="s">
        <v>22463</v>
      </c>
      <c r="E3593" s="109" t="s">
        <v>5558</v>
      </c>
      <c r="F3593" s="109" t="s">
        <v>22464</v>
      </c>
      <c r="G3593" s="110" t="s">
        <v>6248</v>
      </c>
      <c r="H3593" s="110" t="s">
        <v>22465</v>
      </c>
      <c r="I3593" s="110" t="s">
        <v>22466</v>
      </c>
    </row>
    <row r="3594" spans="1:9" ht="25.2" x14ac:dyDescent="0.3">
      <c r="A3594" s="109" t="s">
        <v>22467</v>
      </c>
      <c r="B3594" s="109" t="s">
        <v>21928</v>
      </c>
      <c r="C3594" s="109" t="s">
        <v>21928</v>
      </c>
      <c r="D3594" s="109" t="s">
        <v>22468</v>
      </c>
      <c r="E3594" s="109" t="s">
        <v>5558</v>
      </c>
      <c r="F3594" s="109" t="s">
        <v>22469</v>
      </c>
      <c r="G3594" s="110" t="s">
        <v>6248</v>
      </c>
      <c r="H3594" s="110" t="s">
        <v>22470</v>
      </c>
      <c r="I3594" s="110" t="s">
        <v>22471</v>
      </c>
    </row>
    <row r="3595" spans="1:9" ht="25.2" x14ac:dyDescent="0.3">
      <c r="A3595" s="109" t="s">
        <v>22472</v>
      </c>
      <c r="B3595" s="109" t="s">
        <v>21928</v>
      </c>
      <c r="C3595" s="109" t="s">
        <v>21928</v>
      </c>
      <c r="D3595" s="109" t="s">
        <v>22473</v>
      </c>
      <c r="E3595" s="109" t="s">
        <v>5558</v>
      </c>
      <c r="F3595" s="109" t="s">
        <v>22474</v>
      </c>
      <c r="G3595" s="110" t="s">
        <v>6248</v>
      </c>
      <c r="H3595" s="110" t="s">
        <v>22475</v>
      </c>
      <c r="I3595" s="110" t="s">
        <v>22476</v>
      </c>
    </row>
    <row r="3596" spans="1:9" ht="25.2" x14ac:dyDescent="0.3">
      <c r="A3596" s="109" t="s">
        <v>22477</v>
      </c>
      <c r="B3596" s="109" t="s">
        <v>21928</v>
      </c>
      <c r="C3596" s="109" t="s">
        <v>21928</v>
      </c>
      <c r="D3596" s="109" t="s">
        <v>22478</v>
      </c>
      <c r="E3596" s="109" t="s">
        <v>5558</v>
      </c>
      <c r="F3596" s="109" t="s">
        <v>22479</v>
      </c>
      <c r="G3596" s="110" t="s">
        <v>6248</v>
      </c>
      <c r="H3596" s="110" t="s">
        <v>22480</v>
      </c>
      <c r="I3596" s="110" t="s">
        <v>22481</v>
      </c>
    </row>
    <row r="3597" spans="1:9" ht="25.2" x14ac:dyDescent="0.3">
      <c r="A3597" s="109" t="s">
        <v>22482</v>
      </c>
      <c r="B3597" s="109" t="s">
        <v>21928</v>
      </c>
      <c r="C3597" s="109" t="s">
        <v>21928</v>
      </c>
      <c r="D3597" s="109" t="s">
        <v>22483</v>
      </c>
      <c r="E3597" s="109" t="s">
        <v>5558</v>
      </c>
      <c r="F3597" s="109" t="s">
        <v>22484</v>
      </c>
      <c r="G3597" s="110" t="s">
        <v>6248</v>
      </c>
      <c r="H3597" s="110" t="s">
        <v>22485</v>
      </c>
      <c r="I3597" s="110" t="s">
        <v>22486</v>
      </c>
    </row>
    <row r="3598" spans="1:9" ht="25.2" x14ac:dyDescent="0.3">
      <c r="A3598" s="109" t="s">
        <v>22487</v>
      </c>
      <c r="B3598" s="109" t="s">
        <v>21928</v>
      </c>
      <c r="C3598" s="109" t="s">
        <v>21928</v>
      </c>
      <c r="D3598" s="109" t="s">
        <v>22488</v>
      </c>
      <c r="E3598" s="109" t="s">
        <v>5558</v>
      </c>
      <c r="F3598" s="109" t="s">
        <v>22489</v>
      </c>
      <c r="G3598" s="110" t="s">
        <v>6248</v>
      </c>
      <c r="H3598" s="110" t="s">
        <v>22490</v>
      </c>
      <c r="I3598" s="110" t="s">
        <v>22491</v>
      </c>
    </row>
    <row r="3599" spans="1:9" ht="25.2" x14ac:dyDescent="0.3">
      <c r="A3599" s="109" t="s">
        <v>22492</v>
      </c>
      <c r="B3599" s="109" t="s">
        <v>21928</v>
      </c>
      <c r="C3599" s="109" t="s">
        <v>21928</v>
      </c>
      <c r="D3599" s="109" t="s">
        <v>22493</v>
      </c>
      <c r="E3599" s="109" t="s">
        <v>5558</v>
      </c>
      <c r="F3599" s="109" t="s">
        <v>22494</v>
      </c>
      <c r="G3599" s="110" t="s">
        <v>6248</v>
      </c>
      <c r="H3599" s="110" t="s">
        <v>22495</v>
      </c>
      <c r="I3599" s="110" t="s">
        <v>22496</v>
      </c>
    </row>
    <row r="3600" spans="1:9" ht="25.2" x14ac:dyDescent="0.3">
      <c r="A3600" s="109" t="s">
        <v>22497</v>
      </c>
      <c r="B3600" s="109" t="s">
        <v>21928</v>
      </c>
      <c r="C3600" s="109" t="s">
        <v>21928</v>
      </c>
      <c r="D3600" s="109" t="s">
        <v>5352</v>
      </c>
      <c r="E3600" s="109" t="s">
        <v>5558</v>
      </c>
      <c r="F3600" s="109" t="s">
        <v>22498</v>
      </c>
      <c r="G3600" s="110" t="s">
        <v>6248</v>
      </c>
      <c r="H3600" s="110" t="s">
        <v>22499</v>
      </c>
      <c r="I3600" s="110" t="s">
        <v>22500</v>
      </c>
    </row>
    <row r="3601" spans="1:9" ht="25.2" x14ac:dyDescent="0.3">
      <c r="A3601" s="109" t="s">
        <v>22501</v>
      </c>
      <c r="B3601" s="109" t="s">
        <v>21928</v>
      </c>
      <c r="C3601" s="109" t="s">
        <v>21928</v>
      </c>
      <c r="D3601" s="109" t="s">
        <v>22502</v>
      </c>
      <c r="E3601" s="109" t="s">
        <v>5558</v>
      </c>
      <c r="F3601" s="109" t="s">
        <v>22503</v>
      </c>
      <c r="G3601" s="110" t="s">
        <v>6248</v>
      </c>
      <c r="H3601" s="110" t="s">
        <v>22504</v>
      </c>
      <c r="I3601" s="110" t="s">
        <v>22505</v>
      </c>
    </row>
    <row r="3602" spans="1:9" ht="25.2" x14ac:dyDescent="0.3">
      <c r="A3602" s="109" t="s">
        <v>22506</v>
      </c>
      <c r="B3602" s="109" t="s">
        <v>21928</v>
      </c>
      <c r="C3602" s="109" t="s">
        <v>21928</v>
      </c>
      <c r="D3602" s="109" t="s">
        <v>22507</v>
      </c>
      <c r="E3602" s="109" t="s">
        <v>5558</v>
      </c>
      <c r="F3602" s="109" t="s">
        <v>22508</v>
      </c>
      <c r="G3602" s="110" t="s">
        <v>6248</v>
      </c>
      <c r="H3602" s="110" t="s">
        <v>22509</v>
      </c>
      <c r="I3602" s="110" t="s">
        <v>22510</v>
      </c>
    </row>
    <row r="3603" spans="1:9" ht="25.2" x14ac:dyDescent="0.3">
      <c r="A3603" s="109" t="s">
        <v>22511</v>
      </c>
      <c r="B3603" s="109" t="s">
        <v>21928</v>
      </c>
      <c r="C3603" s="109" t="s">
        <v>21928</v>
      </c>
      <c r="D3603" s="109" t="s">
        <v>22512</v>
      </c>
      <c r="E3603" s="109" t="s">
        <v>5558</v>
      </c>
      <c r="F3603" s="109" t="s">
        <v>22513</v>
      </c>
      <c r="G3603" s="110" t="s">
        <v>6248</v>
      </c>
      <c r="H3603" s="110" t="s">
        <v>22514</v>
      </c>
      <c r="I3603" s="110" t="s">
        <v>22515</v>
      </c>
    </row>
    <row r="3604" spans="1:9" ht="25.2" x14ac:dyDescent="0.3">
      <c r="A3604" s="109" t="s">
        <v>22516</v>
      </c>
      <c r="B3604" s="109" t="s">
        <v>21928</v>
      </c>
      <c r="C3604" s="109" t="s">
        <v>21928</v>
      </c>
      <c r="D3604" s="109" t="s">
        <v>22517</v>
      </c>
      <c r="E3604" s="109" t="s">
        <v>5558</v>
      </c>
      <c r="F3604" s="109" t="s">
        <v>22518</v>
      </c>
      <c r="G3604" s="110" t="s">
        <v>6248</v>
      </c>
      <c r="H3604" s="110" t="s">
        <v>22519</v>
      </c>
      <c r="I3604" s="110" t="s">
        <v>22520</v>
      </c>
    </row>
    <row r="3605" spans="1:9" ht="25.2" x14ac:dyDescent="0.3">
      <c r="A3605" s="109" t="s">
        <v>22521</v>
      </c>
      <c r="B3605" s="109" t="s">
        <v>21928</v>
      </c>
      <c r="C3605" s="109" t="s">
        <v>21928</v>
      </c>
      <c r="D3605" s="109" t="s">
        <v>3141</v>
      </c>
      <c r="E3605" s="109" t="s">
        <v>5558</v>
      </c>
      <c r="F3605" s="109" t="s">
        <v>22522</v>
      </c>
      <c r="G3605" s="110" t="s">
        <v>6248</v>
      </c>
      <c r="H3605" s="110" t="s">
        <v>22523</v>
      </c>
      <c r="I3605" s="110" t="s">
        <v>22524</v>
      </c>
    </row>
    <row r="3606" spans="1:9" ht="25.2" x14ac:dyDescent="0.3">
      <c r="A3606" s="109" t="s">
        <v>22525</v>
      </c>
      <c r="B3606" s="109" t="s">
        <v>21928</v>
      </c>
      <c r="C3606" s="109" t="s">
        <v>21928</v>
      </c>
      <c r="D3606" s="109" t="s">
        <v>22526</v>
      </c>
      <c r="E3606" s="109" t="s">
        <v>22527</v>
      </c>
      <c r="F3606" s="109" t="s">
        <v>15252</v>
      </c>
      <c r="G3606" s="110" t="s">
        <v>6248</v>
      </c>
      <c r="H3606" s="110" t="s">
        <v>22528</v>
      </c>
      <c r="I3606" s="110" t="s">
        <v>22529</v>
      </c>
    </row>
    <row r="3607" spans="1:9" ht="50.4" x14ac:dyDescent="0.3">
      <c r="A3607" s="109" t="s">
        <v>22530</v>
      </c>
      <c r="B3607" s="109" t="s">
        <v>21928</v>
      </c>
      <c r="C3607" s="109" t="s">
        <v>21928</v>
      </c>
      <c r="D3607" s="109" t="s">
        <v>7441</v>
      </c>
      <c r="E3607" s="109" t="s">
        <v>7441</v>
      </c>
      <c r="F3607" s="109" t="s">
        <v>22531</v>
      </c>
      <c r="G3607" s="110" t="s">
        <v>6248</v>
      </c>
      <c r="H3607" s="110" t="s">
        <v>22532</v>
      </c>
      <c r="I3607" s="110" t="s">
        <v>22533</v>
      </c>
    </row>
    <row r="3608" spans="1:9" ht="37.799999999999997" x14ac:dyDescent="0.3">
      <c r="A3608" s="109" t="s">
        <v>22534</v>
      </c>
      <c r="B3608" s="109" t="s">
        <v>21928</v>
      </c>
      <c r="C3608" s="109" t="s">
        <v>21928</v>
      </c>
      <c r="D3608" s="109" t="s">
        <v>22535</v>
      </c>
      <c r="E3608" s="109" t="s">
        <v>5558</v>
      </c>
      <c r="F3608" s="109" t="s">
        <v>22536</v>
      </c>
      <c r="G3608" s="110" t="s">
        <v>6248</v>
      </c>
      <c r="H3608" s="110" t="s">
        <v>22537</v>
      </c>
      <c r="I3608" s="110" t="s">
        <v>22538</v>
      </c>
    </row>
    <row r="3609" spans="1:9" ht="63" x14ac:dyDescent="0.3">
      <c r="A3609" s="109" t="s">
        <v>22539</v>
      </c>
      <c r="B3609" s="109" t="s">
        <v>21928</v>
      </c>
      <c r="C3609" s="109" t="s">
        <v>21928</v>
      </c>
      <c r="D3609" s="109" t="s">
        <v>17697</v>
      </c>
      <c r="E3609" s="109" t="s">
        <v>17697</v>
      </c>
      <c r="F3609" s="109" t="s">
        <v>22540</v>
      </c>
      <c r="G3609" s="110" t="s">
        <v>6248</v>
      </c>
      <c r="H3609" s="110" t="s">
        <v>22541</v>
      </c>
      <c r="I3609" s="110" t="s">
        <v>22542</v>
      </c>
    </row>
    <row r="3610" spans="1:9" ht="63" x14ac:dyDescent="0.3">
      <c r="A3610" s="109" t="s">
        <v>22543</v>
      </c>
      <c r="B3610" s="109" t="s">
        <v>21928</v>
      </c>
      <c r="C3610" s="109" t="s">
        <v>21928</v>
      </c>
      <c r="D3610" s="109" t="s">
        <v>22544</v>
      </c>
      <c r="E3610" s="109" t="s">
        <v>22544</v>
      </c>
      <c r="F3610" s="109" t="s">
        <v>22545</v>
      </c>
      <c r="G3610" s="110" t="s">
        <v>6248</v>
      </c>
      <c r="H3610" s="110" t="s">
        <v>22546</v>
      </c>
      <c r="I3610" s="110" t="s">
        <v>22547</v>
      </c>
    </row>
    <row r="3611" spans="1:9" ht="25.2" x14ac:dyDescent="0.3">
      <c r="A3611" s="109" t="s">
        <v>22548</v>
      </c>
      <c r="B3611" s="109" t="s">
        <v>21928</v>
      </c>
      <c r="C3611" s="109" t="s">
        <v>21928</v>
      </c>
      <c r="D3611" s="109" t="s">
        <v>22549</v>
      </c>
      <c r="E3611" s="109" t="s">
        <v>22550</v>
      </c>
      <c r="F3611" s="109" t="s">
        <v>22551</v>
      </c>
      <c r="G3611" s="110" t="s">
        <v>6248</v>
      </c>
      <c r="H3611" s="110" t="s">
        <v>22552</v>
      </c>
      <c r="I3611" s="110" t="s">
        <v>22553</v>
      </c>
    </row>
    <row r="3612" spans="1:9" ht="25.2" x14ac:dyDescent="0.3">
      <c r="A3612" s="109" t="s">
        <v>22554</v>
      </c>
      <c r="B3612" s="109" t="s">
        <v>21928</v>
      </c>
      <c r="C3612" s="109" t="s">
        <v>21928</v>
      </c>
      <c r="D3612" s="109" t="s">
        <v>22555</v>
      </c>
      <c r="E3612" s="109" t="s">
        <v>5558</v>
      </c>
      <c r="F3612" s="109" t="s">
        <v>22556</v>
      </c>
      <c r="G3612" s="110" t="s">
        <v>6248</v>
      </c>
      <c r="H3612" s="110" t="s">
        <v>22557</v>
      </c>
      <c r="I3612" s="110" t="s">
        <v>22558</v>
      </c>
    </row>
    <row r="3613" spans="1:9" ht="37.799999999999997" x14ac:dyDescent="0.3">
      <c r="A3613" s="109" t="s">
        <v>22559</v>
      </c>
      <c r="B3613" s="109" t="s">
        <v>21928</v>
      </c>
      <c r="C3613" s="109" t="s">
        <v>21928</v>
      </c>
      <c r="D3613" s="109" t="s">
        <v>3158</v>
      </c>
      <c r="E3613" s="109" t="s">
        <v>5558</v>
      </c>
      <c r="F3613" s="109" t="s">
        <v>22560</v>
      </c>
      <c r="G3613" s="110" t="s">
        <v>6248</v>
      </c>
      <c r="H3613" s="110" t="s">
        <v>22561</v>
      </c>
      <c r="I3613" s="110" t="s">
        <v>22562</v>
      </c>
    </row>
    <row r="3614" spans="1:9" ht="25.2" x14ac:dyDescent="0.3">
      <c r="A3614" s="109" t="s">
        <v>22563</v>
      </c>
      <c r="B3614" s="109" t="s">
        <v>21928</v>
      </c>
      <c r="C3614" s="109" t="s">
        <v>21928</v>
      </c>
      <c r="D3614" s="109" t="s">
        <v>22564</v>
      </c>
      <c r="E3614" s="109" t="s">
        <v>22565</v>
      </c>
      <c r="F3614" s="109" t="s">
        <v>7181</v>
      </c>
      <c r="G3614" s="110" t="s">
        <v>12208</v>
      </c>
      <c r="H3614" s="110" t="s">
        <v>6248</v>
      </c>
      <c r="I3614" s="110" t="s">
        <v>22566</v>
      </c>
    </row>
    <row r="3615" spans="1:9" ht="25.2" x14ac:dyDescent="0.3">
      <c r="A3615" s="109" t="s">
        <v>22567</v>
      </c>
      <c r="B3615" s="109" t="s">
        <v>21928</v>
      </c>
      <c r="C3615" s="109" t="s">
        <v>21928</v>
      </c>
      <c r="D3615" s="109" t="s">
        <v>22568</v>
      </c>
      <c r="E3615" s="109" t="s">
        <v>22569</v>
      </c>
      <c r="F3615" s="109" t="s">
        <v>6768</v>
      </c>
      <c r="G3615" s="110" t="s">
        <v>6248</v>
      </c>
      <c r="H3615" s="110" t="s">
        <v>22570</v>
      </c>
      <c r="I3615" s="110" t="s">
        <v>22571</v>
      </c>
    </row>
    <row r="3616" spans="1:9" ht="25.2" x14ac:dyDescent="0.3">
      <c r="A3616" s="109" t="s">
        <v>22572</v>
      </c>
      <c r="B3616" s="109" t="s">
        <v>21928</v>
      </c>
      <c r="C3616" s="109" t="s">
        <v>21928</v>
      </c>
      <c r="D3616" s="109" t="s">
        <v>22573</v>
      </c>
      <c r="E3616" s="109" t="s">
        <v>22574</v>
      </c>
      <c r="F3616" s="109" t="s">
        <v>22575</v>
      </c>
      <c r="G3616" s="110" t="s">
        <v>6248</v>
      </c>
      <c r="H3616" s="110" t="s">
        <v>22576</v>
      </c>
      <c r="I3616" s="110" t="s">
        <v>22577</v>
      </c>
    </row>
    <row r="3617" spans="1:9" ht="25.2" x14ac:dyDescent="0.3">
      <c r="A3617" s="109" t="s">
        <v>22578</v>
      </c>
      <c r="B3617" s="109" t="s">
        <v>21928</v>
      </c>
      <c r="C3617" s="109" t="s">
        <v>21928</v>
      </c>
      <c r="D3617" s="109" t="s">
        <v>22579</v>
      </c>
      <c r="E3617" s="109" t="s">
        <v>22580</v>
      </c>
      <c r="F3617" s="109" t="s">
        <v>9318</v>
      </c>
      <c r="G3617" s="110" t="s">
        <v>6248</v>
      </c>
      <c r="H3617" s="110" t="s">
        <v>22581</v>
      </c>
      <c r="I3617" s="110" t="s">
        <v>22582</v>
      </c>
    </row>
    <row r="3618" spans="1:9" ht="37.799999999999997" x14ac:dyDescent="0.3">
      <c r="A3618" s="109" t="s">
        <v>22583</v>
      </c>
      <c r="B3618" s="109" t="s">
        <v>21928</v>
      </c>
      <c r="C3618" s="109" t="s">
        <v>21928</v>
      </c>
      <c r="D3618" s="109" t="s">
        <v>22584</v>
      </c>
      <c r="E3618" s="109" t="s">
        <v>5558</v>
      </c>
      <c r="F3618" s="109" t="s">
        <v>22585</v>
      </c>
      <c r="G3618" s="110" t="s">
        <v>6248</v>
      </c>
      <c r="H3618" s="110" t="s">
        <v>22586</v>
      </c>
      <c r="I3618" s="110" t="s">
        <v>22587</v>
      </c>
    </row>
    <row r="3619" spans="1:9" ht="25.2" x14ac:dyDescent="0.3">
      <c r="A3619" s="109" t="s">
        <v>22588</v>
      </c>
      <c r="B3619" s="109" t="s">
        <v>21928</v>
      </c>
      <c r="C3619" s="109" t="s">
        <v>21928</v>
      </c>
      <c r="D3619" s="109" t="s">
        <v>3154</v>
      </c>
      <c r="E3619" s="109" t="s">
        <v>5558</v>
      </c>
      <c r="F3619" s="109" t="s">
        <v>22589</v>
      </c>
      <c r="G3619" s="110" t="s">
        <v>6248</v>
      </c>
      <c r="H3619" s="110" t="s">
        <v>22590</v>
      </c>
      <c r="I3619" s="110" t="s">
        <v>22591</v>
      </c>
    </row>
    <row r="3620" spans="1:9" ht="50.4" x14ac:dyDescent="0.3">
      <c r="A3620" s="109" t="s">
        <v>22592</v>
      </c>
      <c r="B3620" s="109" t="s">
        <v>21928</v>
      </c>
      <c r="C3620" s="109" t="s">
        <v>21928</v>
      </c>
      <c r="D3620" s="109" t="s">
        <v>18746</v>
      </c>
      <c r="E3620" s="109" t="s">
        <v>22593</v>
      </c>
      <c r="F3620" s="109" t="s">
        <v>22594</v>
      </c>
      <c r="G3620" s="110" t="s">
        <v>6248</v>
      </c>
      <c r="H3620" s="110" t="s">
        <v>22595</v>
      </c>
      <c r="I3620" s="110" t="s">
        <v>22596</v>
      </c>
    </row>
    <row r="3621" spans="1:9" ht="50.4" x14ac:dyDescent="0.3">
      <c r="A3621" s="109" t="s">
        <v>22597</v>
      </c>
      <c r="B3621" s="109" t="s">
        <v>21928</v>
      </c>
      <c r="C3621" s="109" t="s">
        <v>21928</v>
      </c>
      <c r="D3621" s="109" t="s">
        <v>22598</v>
      </c>
      <c r="E3621" s="109" t="s">
        <v>22593</v>
      </c>
      <c r="F3621" s="109" t="s">
        <v>22599</v>
      </c>
      <c r="G3621" s="110" t="s">
        <v>22595</v>
      </c>
      <c r="H3621" s="110" t="s">
        <v>6248</v>
      </c>
      <c r="I3621" s="110" t="s">
        <v>22591</v>
      </c>
    </row>
    <row r="3622" spans="1:9" ht="37.799999999999997" x14ac:dyDescent="0.3">
      <c r="A3622" s="109" t="s">
        <v>22600</v>
      </c>
      <c r="B3622" s="109" t="s">
        <v>21928</v>
      </c>
      <c r="C3622" s="109" t="s">
        <v>21928</v>
      </c>
      <c r="D3622" s="109" t="s">
        <v>22601</v>
      </c>
      <c r="E3622" s="109" t="s">
        <v>5558</v>
      </c>
      <c r="F3622" s="109" t="s">
        <v>22602</v>
      </c>
      <c r="G3622" s="110" t="s">
        <v>6248</v>
      </c>
      <c r="H3622" s="110" t="s">
        <v>22603</v>
      </c>
      <c r="I3622" s="110" t="s">
        <v>22604</v>
      </c>
    </row>
    <row r="3623" spans="1:9" ht="25.2" x14ac:dyDescent="0.3">
      <c r="A3623" s="109" t="s">
        <v>22605</v>
      </c>
      <c r="B3623" s="109" t="s">
        <v>21928</v>
      </c>
      <c r="C3623" s="109" t="s">
        <v>21928</v>
      </c>
      <c r="D3623" s="109" t="s">
        <v>5569</v>
      </c>
      <c r="E3623" s="109" t="s">
        <v>5558</v>
      </c>
      <c r="F3623" s="109" t="s">
        <v>2258</v>
      </c>
      <c r="G3623" s="110" t="s">
        <v>6248</v>
      </c>
      <c r="H3623" s="110" t="s">
        <v>22606</v>
      </c>
      <c r="I3623" s="110" t="s">
        <v>22607</v>
      </c>
    </row>
    <row r="3624" spans="1:9" ht="37.799999999999997" x14ac:dyDescent="0.3">
      <c r="A3624" s="109" t="s">
        <v>22608</v>
      </c>
      <c r="B3624" s="109" t="s">
        <v>21928</v>
      </c>
      <c r="C3624" s="109" t="s">
        <v>21928</v>
      </c>
      <c r="D3624" s="109" t="s">
        <v>3163</v>
      </c>
      <c r="E3624" s="109" t="s">
        <v>5558</v>
      </c>
      <c r="F3624" s="109" t="s">
        <v>22609</v>
      </c>
      <c r="G3624" s="110" t="s">
        <v>6248</v>
      </c>
      <c r="H3624" s="110" t="s">
        <v>22610</v>
      </c>
      <c r="I3624" s="110" t="s">
        <v>22611</v>
      </c>
    </row>
    <row r="3625" spans="1:9" ht="25.2" x14ac:dyDescent="0.3">
      <c r="A3625" s="109" t="s">
        <v>22612</v>
      </c>
      <c r="B3625" s="109" t="s">
        <v>21928</v>
      </c>
      <c r="C3625" s="109" t="s">
        <v>21928</v>
      </c>
      <c r="D3625" s="109" t="s">
        <v>22613</v>
      </c>
      <c r="E3625" s="109" t="s">
        <v>5558</v>
      </c>
      <c r="F3625" s="109" t="s">
        <v>22614</v>
      </c>
      <c r="G3625" s="110" t="s">
        <v>6248</v>
      </c>
      <c r="H3625" s="110" t="s">
        <v>22615</v>
      </c>
      <c r="I3625" s="110" t="s">
        <v>22616</v>
      </c>
    </row>
    <row r="3626" spans="1:9" ht="25.2" x14ac:dyDescent="0.3">
      <c r="A3626" s="109" t="s">
        <v>22617</v>
      </c>
      <c r="B3626" s="109" t="s">
        <v>21928</v>
      </c>
      <c r="C3626" s="109" t="s">
        <v>21928</v>
      </c>
      <c r="D3626" s="109" t="s">
        <v>22618</v>
      </c>
      <c r="E3626" s="109" t="s">
        <v>5558</v>
      </c>
      <c r="F3626" s="109" t="s">
        <v>22619</v>
      </c>
      <c r="G3626" s="110" t="s">
        <v>6248</v>
      </c>
      <c r="H3626" s="110" t="s">
        <v>22620</v>
      </c>
      <c r="I3626" s="110" t="s">
        <v>22621</v>
      </c>
    </row>
    <row r="3627" spans="1:9" ht="25.2" x14ac:dyDescent="0.3">
      <c r="A3627" s="109" t="s">
        <v>22622</v>
      </c>
      <c r="B3627" s="109" t="s">
        <v>21928</v>
      </c>
      <c r="C3627" s="109" t="s">
        <v>21928</v>
      </c>
      <c r="D3627" s="109" t="s">
        <v>22623</v>
      </c>
      <c r="E3627" s="109" t="s">
        <v>22624</v>
      </c>
      <c r="F3627" s="109" t="s">
        <v>14367</v>
      </c>
      <c r="G3627" s="110" t="s">
        <v>6248</v>
      </c>
      <c r="H3627" s="110" t="s">
        <v>22625</v>
      </c>
      <c r="I3627" s="110" t="s">
        <v>22626</v>
      </c>
    </row>
    <row r="3628" spans="1:9" ht="25.2" x14ac:dyDescent="0.3">
      <c r="A3628" s="109" t="s">
        <v>22627</v>
      </c>
      <c r="B3628" s="109" t="s">
        <v>21928</v>
      </c>
      <c r="C3628" s="109" t="s">
        <v>21928</v>
      </c>
      <c r="D3628" s="109" t="s">
        <v>22628</v>
      </c>
      <c r="E3628" s="109" t="s">
        <v>22629</v>
      </c>
      <c r="F3628" s="109" t="s">
        <v>22630</v>
      </c>
      <c r="G3628" s="110" t="s">
        <v>6248</v>
      </c>
      <c r="H3628" s="110" t="s">
        <v>22631</v>
      </c>
      <c r="I3628" s="110" t="s">
        <v>22632</v>
      </c>
    </row>
    <row r="3629" spans="1:9" ht="25.2" x14ac:dyDescent="0.3">
      <c r="A3629" s="109" t="s">
        <v>22633</v>
      </c>
      <c r="B3629" s="109" t="s">
        <v>21928</v>
      </c>
      <c r="C3629" s="109" t="s">
        <v>21928</v>
      </c>
      <c r="D3629" s="109" t="s">
        <v>22634</v>
      </c>
      <c r="E3629" s="109" t="s">
        <v>5932</v>
      </c>
      <c r="F3629" s="109" t="s">
        <v>19979</v>
      </c>
      <c r="G3629" s="110" t="s">
        <v>6248</v>
      </c>
      <c r="H3629" s="110" t="s">
        <v>22635</v>
      </c>
      <c r="I3629" s="110" t="s">
        <v>22636</v>
      </c>
    </row>
    <row r="3630" spans="1:9" ht="25.2" x14ac:dyDescent="0.3">
      <c r="A3630" s="109" t="s">
        <v>22637</v>
      </c>
      <c r="B3630" s="109" t="s">
        <v>21928</v>
      </c>
      <c r="C3630" s="109" t="s">
        <v>21928</v>
      </c>
      <c r="D3630" s="109" t="s">
        <v>22638</v>
      </c>
      <c r="E3630" s="109" t="s">
        <v>5558</v>
      </c>
      <c r="F3630" s="109" t="s">
        <v>22639</v>
      </c>
      <c r="G3630" s="110" t="s">
        <v>6248</v>
      </c>
      <c r="H3630" s="110" t="s">
        <v>13714</v>
      </c>
      <c r="I3630" s="110" t="s">
        <v>22640</v>
      </c>
    </row>
    <row r="3631" spans="1:9" ht="25.2" x14ac:dyDescent="0.3">
      <c r="A3631" s="109" t="s">
        <v>22641</v>
      </c>
      <c r="B3631" s="109" t="s">
        <v>21928</v>
      </c>
      <c r="C3631" s="109" t="s">
        <v>21928</v>
      </c>
      <c r="D3631" s="109" t="s">
        <v>22642</v>
      </c>
      <c r="E3631" s="109" t="s">
        <v>5558</v>
      </c>
      <c r="F3631" s="109" t="s">
        <v>22643</v>
      </c>
      <c r="G3631" s="110" t="s">
        <v>6248</v>
      </c>
      <c r="H3631" s="110" t="s">
        <v>22644</v>
      </c>
      <c r="I3631" s="110" t="s">
        <v>22645</v>
      </c>
    </row>
    <row r="3632" spans="1:9" ht="25.2" x14ac:dyDescent="0.3">
      <c r="A3632" s="109" t="s">
        <v>22646</v>
      </c>
      <c r="B3632" s="109" t="s">
        <v>21928</v>
      </c>
      <c r="C3632" s="109" t="s">
        <v>21928</v>
      </c>
      <c r="D3632" s="109" t="s">
        <v>22647</v>
      </c>
      <c r="E3632" s="109" t="s">
        <v>15257</v>
      </c>
      <c r="F3632" s="109" t="s">
        <v>15258</v>
      </c>
      <c r="G3632" s="110" t="s">
        <v>6248</v>
      </c>
      <c r="H3632" s="110" t="s">
        <v>22648</v>
      </c>
      <c r="I3632" s="110" t="s">
        <v>22649</v>
      </c>
    </row>
    <row r="3633" spans="1:9" ht="25.2" x14ac:dyDescent="0.3">
      <c r="A3633" s="109" t="s">
        <v>22650</v>
      </c>
      <c r="B3633" s="109" t="s">
        <v>21928</v>
      </c>
      <c r="C3633" s="109" t="s">
        <v>21928</v>
      </c>
      <c r="D3633" s="109" t="s">
        <v>22651</v>
      </c>
      <c r="E3633" s="109" t="s">
        <v>5558</v>
      </c>
      <c r="F3633" s="109" t="s">
        <v>22652</v>
      </c>
      <c r="G3633" s="110" t="s">
        <v>6248</v>
      </c>
      <c r="H3633" s="110" t="s">
        <v>6273</v>
      </c>
      <c r="I3633" s="110" t="s">
        <v>22653</v>
      </c>
    </row>
    <row r="3634" spans="1:9" ht="37.799999999999997" x14ac:dyDescent="0.3">
      <c r="A3634" s="109" t="s">
        <v>22654</v>
      </c>
      <c r="B3634" s="109" t="s">
        <v>21928</v>
      </c>
      <c r="C3634" s="109" t="s">
        <v>21928</v>
      </c>
      <c r="D3634" s="109" t="s">
        <v>22655</v>
      </c>
      <c r="E3634" s="109" t="s">
        <v>5558</v>
      </c>
      <c r="F3634" s="109" t="s">
        <v>22656</v>
      </c>
      <c r="G3634" s="110" t="s">
        <v>6248</v>
      </c>
      <c r="H3634" s="110" t="s">
        <v>22657</v>
      </c>
      <c r="I3634" s="110" t="s">
        <v>22658</v>
      </c>
    </row>
    <row r="3635" spans="1:9" ht="25.2" x14ac:dyDescent="0.3">
      <c r="A3635" s="109" t="s">
        <v>22659</v>
      </c>
      <c r="B3635" s="109" t="s">
        <v>21928</v>
      </c>
      <c r="C3635" s="109" t="s">
        <v>21928</v>
      </c>
      <c r="D3635" s="109" t="s">
        <v>22660</v>
      </c>
      <c r="E3635" s="109" t="s">
        <v>22661</v>
      </c>
      <c r="F3635" s="109" t="s">
        <v>22662</v>
      </c>
      <c r="G3635" s="110" t="s">
        <v>6248</v>
      </c>
      <c r="H3635" s="110" t="s">
        <v>22663</v>
      </c>
      <c r="I3635" s="110" t="s">
        <v>22664</v>
      </c>
    </row>
    <row r="3636" spans="1:9" ht="37.799999999999997" x14ac:dyDescent="0.3">
      <c r="A3636" s="109" t="s">
        <v>22665</v>
      </c>
      <c r="B3636" s="109" t="s">
        <v>21928</v>
      </c>
      <c r="C3636" s="109" t="s">
        <v>21928</v>
      </c>
      <c r="D3636" s="109" t="s">
        <v>22666</v>
      </c>
      <c r="E3636" s="109" t="s">
        <v>5558</v>
      </c>
      <c r="F3636" s="109" t="s">
        <v>22667</v>
      </c>
      <c r="G3636" s="110" t="s">
        <v>6248</v>
      </c>
      <c r="H3636" s="110" t="s">
        <v>22668</v>
      </c>
      <c r="I3636" s="110" t="s">
        <v>22669</v>
      </c>
    </row>
    <row r="3637" spans="1:9" ht="37.799999999999997" x14ac:dyDescent="0.3">
      <c r="A3637" s="109" t="s">
        <v>22670</v>
      </c>
      <c r="B3637" s="109" t="s">
        <v>21928</v>
      </c>
      <c r="C3637" s="109" t="s">
        <v>21928</v>
      </c>
      <c r="D3637" s="109" t="s">
        <v>22671</v>
      </c>
      <c r="E3637" s="109" t="s">
        <v>5558</v>
      </c>
      <c r="F3637" s="109" t="s">
        <v>22672</v>
      </c>
      <c r="G3637" s="110" t="s">
        <v>6248</v>
      </c>
      <c r="H3637" s="110" t="s">
        <v>22673</v>
      </c>
      <c r="I3637" s="110" t="s">
        <v>22674</v>
      </c>
    </row>
    <row r="3638" spans="1:9" ht="25.2" x14ac:dyDescent="0.3">
      <c r="A3638" s="109" t="s">
        <v>22675</v>
      </c>
      <c r="B3638" s="109" t="s">
        <v>21928</v>
      </c>
      <c r="C3638" s="109" t="s">
        <v>21928</v>
      </c>
      <c r="D3638" s="109" t="s">
        <v>22676</v>
      </c>
      <c r="E3638" s="109" t="s">
        <v>5558</v>
      </c>
      <c r="F3638" s="109" t="s">
        <v>22677</v>
      </c>
      <c r="G3638" s="110" t="s">
        <v>6248</v>
      </c>
      <c r="H3638" s="110" t="s">
        <v>22678</v>
      </c>
      <c r="I3638" s="110" t="s">
        <v>22679</v>
      </c>
    </row>
    <row r="3639" spans="1:9" ht="50.4" x14ac:dyDescent="0.3">
      <c r="A3639" s="109" t="s">
        <v>22680</v>
      </c>
      <c r="B3639" s="109" t="s">
        <v>21928</v>
      </c>
      <c r="C3639" s="109" t="s">
        <v>21928</v>
      </c>
      <c r="D3639" s="109" t="s">
        <v>22681</v>
      </c>
      <c r="E3639" s="109" t="s">
        <v>22681</v>
      </c>
      <c r="F3639" s="109" t="s">
        <v>22682</v>
      </c>
      <c r="G3639" s="110" t="s">
        <v>6248</v>
      </c>
      <c r="H3639" s="110" t="s">
        <v>9329</v>
      </c>
      <c r="I3639" s="110" t="s">
        <v>22683</v>
      </c>
    </row>
    <row r="3640" spans="1:9" ht="50.4" x14ac:dyDescent="0.3">
      <c r="A3640" s="109" t="s">
        <v>22684</v>
      </c>
      <c r="B3640" s="109" t="s">
        <v>21928</v>
      </c>
      <c r="C3640" s="109" t="s">
        <v>21928</v>
      </c>
      <c r="D3640" s="109" t="s">
        <v>22685</v>
      </c>
      <c r="E3640" s="109" t="s">
        <v>22685</v>
      </c>
      <c r="F3640" s="109" t="s">
        <v>22686</v>
      </c>
      <c r="G3640" s="110" t="s">
        <v>6248</v>
      </c>
      <c r="H3640" s="110" t="s">
        <v>22687</v>
      </c>
      <c r="I3640" s="110" t="s">
        <v>22688</v>
      </c>
    </row>
    <row r="3641" spans="1:9" ht="63" x14ac:dyDescent="0.3">
      <c r="A3641" s="109" t="s">
        <v>22689</v>
      </c>
      <c r="B3641" s="109" t="s">
        <v>21928</v>
      </c>
      <c r="C3641" s="109" t="s">
        <v>21928</v>
      </c>
      <c r="D3641" s="109" t="s">
        <v>22690</v>
      </c>
      <c r="E3641" s="109" t="s">
        <v>22690</v>
      </c>
      <c r="F3641" s="109" t="s">
        <v>22691</v>
      </c>
      <c r="G3641" s="110" t="s">
        <v>6248</v>
      </c>
      <c r="H3641" s="110" t="s">
        <v>22692</v>
      </c>
      <c r="I3641" s="110" t="s">
        <v>22693</v>
      </c>
    </row>
    <row r="3642" spans="1:9" ht="37.799999999999997" x14ac:dyDescent="0.3">
      <c r="A3642" s="109" t="s">
        <v>22694</v>
      </c>
      <c r="B3642" s="109" t="s">
        <v>21928</v>
      </c>
      <c r="C3642" s="109" t="s">
        <v>21928</v>
      </c>
      <c r="D3642" s="109" t="s">
        <v>22695</v>
      </c>
      <c r="E3642" s="109" t="s">
        <v>22695</v>
      </c>
      <c r="F3642" s="109" t="s">
        <v>22696</v>
      </c>
      <c r="G3642" s="110" t="s">
        <v>6248</v>
      </c>
      <c r="H3642" s="110" t="s">
        <v>22697</v>
      </c>
      <c r="I3642" s="110" t="s">
        <v>22698</v>
      </c>
    </row>
    <row r="3643" spans="1:9" ht="37.799999999999997" x14ac:dyDescent="0.3">
      <c r="A3643" s="109" t="s">
        <v>22699</v>
      </c>
      <c r="B3643" s="109" t="s">
        <v>21928</v>
      </c>
      <c r="C3643" s="109" t="s">
        <v>21928</v>
      </c>
      <c r="D3643" s="109" t="s">
        <v>22700</v>
      </c>
      <c r="E3643" s="109" t="s">
        <v>5558</v>
      </c>
      <c r="F3643" s="109" t="s">
        <v>22701</v>
      </c>
      <c r="G3643" s="110" t="s">
        <v>6248</v>
      </c>
      <c r="H3643" s="110" t="s">
        <v>22702</v>
      </c>
      <c r="I3643" s="110" t="s">
        <v>22703</v>
      </c>
    </row>
    <row r="3644" spans="1:9" ht="50.4" x14ac:dyDescent="0.3">
      <c r="A3644" s="109" t="s">
        <v>22704</v>
      </c>
      <c r="B3644" s="109" t="s">
        <v>21928</v>
      </c>
      <c r="C3644" s="109" t="s">
        <v>21928</v>
      </c>
      <c r="D3644" s="109" t="s">
        <v>22705</v>
      </c>
      <c r="E3644" s="109" t="s">
        <v>22705</v>
      </c>
      <c r="F3644" s="109" t="s">
        <v>22706</v>
      </c>
      <c r="G3644" s="110" t="s">
        <v>6248</v>
      </c>
      <c r="H3644" s="110" t="s">
        <v>9446</v>
      </c>
      <c r="I3644" s="110" t="s">
        <v>22707</v>
      </c>
    </row>
    <row r="3645" spans="1:9" ht="25.2" x14ac:dyDescent="0.3">
      <c r="A3645" s="109" t="s">
        <v>22708</v>
      </c>
      <c r="B3645" s="109" t="s">
        <v>21928</v>
      </c>
      <c r="C3645" s="109" t="s">
        <v>21928</v>
      </c>
      <c r="D3645" s="109" t="s">
        <v>22709</v>
      </c>
      <c r="E3645" s="109" t="s">
        <v>5558</v>
      </c>
      <c r="F3645" s="109" t="s">
        <v>22710</v>
      </c>
      <c r="G3645" s="110" t="s">
        <v>6248</v>
      </c>
      <c r="H3645" s="110" t="s">
        <v>22711</v>
      </c>
      <c r="I3645" s="110" t="s">
        <v>22712</v>
      </c>
    </row>
    <row r="3646" spans="1:9" ht="50.4" x14ac:dyDescent="0.3">
      <c r="A3646" s="109" t="s">
        <v>22713</v>
      </c>
      <c r="B3646" s="109" t="s">
        <v>21928</v>
      </c>
      <c r="C3646" s="109" t="s">
        <v>21928</v>
      </c>
      <c r="D3646" s="109" t="s">
        <v>11149</v>
      </c>
      <c r="E3646" s="109" t="s">
        <v>11149</v>
      </c>
      <c r="F3646" s="109" t="s">
        <v>22714</v>
      </c>
      <c r="G3646" s="110" t="s">
        <v>6248</v>
      </c>
      <c r="H3646" s="110" t="s">
        <v>22715</v>
      </c>
      <c r="I3646" s="110" t="s">
        <v>22716</v>
      </c>
    </row>
    <row r="3647" spans="1:9" ht="50.4" x14ac:dyDescent="0.3">
      <c r="A3647" s="109" t="s">
        <v>22717</v>
      </c>
      <c r="B3647" s="109" t="s">
        <v>21928</v>
      </c>
      <c r="C3647" s="109" t="s">
        <v>21928</v>
      </c>
      <c r="D3647" s="109" t="s">
        <v>22718</v>
      </c>
      <c r="E3647" s="109" t="s">
        <v>22718</v>
      </c>
      <c r="F3647" s="109" t="s">
        <v>22719</v>
      </c>
      <c r="G3647" s="110" t="s">
        <v>6248</v>
      </c>
      <c r="H3647" s="110" t="s">
        <v>22720</v>
      </c>
      <c r="I3647" s="110" t="s">
        <v>22721</v>
      </c>
    </row>
    <row r="3648" spans="1:9" ht="50.4" x14ac:dyDescent="0.3">
      <c r="A3648" s="109" t="s">
        <v>22722</v>
      </c>
      <c r="B3648" s="109" t="s">
        <v>21928</v>
      </c>
      <c r="C3648" s="109" t="s">
        <v>21928</v>
      </c>
      <c r="D3648" s="109" t="s">
        <v>13602</v>
      </c>
      <c r="E3648" s="109" t="s">
        <v>13602</v>
      </c>
      <c r="F3648" s="109" t="s">
        <v>22723</v>
      </c>
      <c r="G3648" s="110" t="s">
        <v>6248</v>
      </c>
      <c r="H3648" s="110" t="s">
        <v>8109</v>
      </c>
      <c r="I3648" s="110" t="s">
        <v>22724</v>
      </c>
    </row>
    <row r="3649" spans="1:9" ht="50.4" x14ac:dyDescent="0.3">
      <c r="A3649" s="109" t="s">
        <v>22725</v>
      </c>
      <c r="B3649" s="109" t="s">
        <v>21928</v>
      </c>
      <c r="C3649" s="109" t="s">
        <v>21928</v>
      </c>
      <c r="D3649" s="109" t="s">
        <v>22726</v>
      </c>
      <c r="E3649" s="109" t="s">
        <v>22726</v>
      </c>
      <c r="F3649" s="109" t="s">
        <v>22727</v>
      </c>
      <c r="G3649" s="110" t="s">
        <v>6248</v>
      </c>
      <c r="H3649" s="110" t="s">
        <v>22728</v>
      </c>
      <c r="I3649" s="110" t="s">
        <v>22729</v>
      </c>
    </row>
    <row r="3650" spans="1:9" ht="50.4" x14ac:dyDescent="0.3">
      <c r="A3650" s="109" t="s">
        <v>22730</v>
      </c>
      <c r="B3650" s="109" t="s">
        <v>21928</v>
      </c>
      <c r="C3650" s="109" t="s">
        <v>21928</v>
      </c>
      <c r="D3650" s="109" t="s">
        <v>12315</v>
      </c>
      <c r="E3650" s="109" t="s">
        <v>12315</v>
      </c>
      <c r="F3650" s="109" t="s">
        <v>22731</v>
      </c>
      <c r="G3650" s="110" t="s">
        <v>6248</v>
      </c>
      <c r="H3650" s="110" t="s">
        <v>22732</v>
      </c>
      <c r="I3650" s="110" t="s">
        <v>22733</v>
      </c>
    </row>
    <row r="3651" spans="1:9" ht="50.4" x14ac:dyDescent="0.3">
      <c r="A3651" s="109" t="s">
        <v>22734</v>
      </c>
      <c r="B3651" s="109" t="s">
        <v>21928</v>
      </c>
      <c r="C3651" s="109" t="s">
        <v>21928</v>
      </c>
      <c r="D3651" s="109" t="s">
        <v>22735</v>
      </c>
      <c r="E3651" s="109" t="s">
        <v>22735</v>
      </c>
      <c r="F3651" s="109" t="s">
        <v>22736</v>
      </c>
      <c r="G3651" s="110" t="s">
        <v>6248</v>
      </c>
      <c r="H3651" s="110" t="s">
        <v>22737</v>
      </c>
      <c r="I3651" s="110" t="s">
        <v>22738</v>
      </c>
    </row>
    <row r="3652" spans="1:9" ht="50.4" x14ac:dyDescent="0.3">
      <c r="A3652" s="109" t="s">
        <v>22739</v>
      </c>
      <c r="B3652" s="109" t="s">
        <v>21928</v>
      </c>
      <c r="C3652" s="109" t="s">
        <v>21928</v>
      </c>
      <c r="D3652" s="109" t="s">
        <v>8487</v>
      </c>
      <c r="E3652" s="109" t="s">
        <v>8487</v>
      </c>
      <c r="F3652" s="109" t="s">
        <v>22740</v>
      </c>
      <c r="G3652" s="110" t="s">
        <v>6248</v>
      </c>
      <c r="H3652" s="110" t="s">
        <v>22741</v>
      </c>
      <c r="I3652" s="110" t="s">
        <v>22742</v>
      </c>
    </row>
    <row r="3653" spans="1:9" ht="50.4" x14ac:dyDescent="0.3">
      <c r="A3653" s="109" t="s">
        <v>22743</v>
      </c>
      <c r="B3653" s="109" t="s">
        <v>21928</v>
      </c>
      <c r="C3653" s="109" t="s">
        <v>21928</v>
      </c>
      <c r="D3653" s="109" t="s">
        <v>22744</v>
      </c>
      <c r="E3653" s="109" t="s">
        <v>22744</v>
      </c>
      <c r="F3653" s="109" t="s">
        <v>22745</v>
      </c>
      <c r="G3653" s="110" t="s">
        <v>6248</v>
      </c>
      <c r="H3653" s="110" t="s">
        <v>22746</v>
      </c>
      <c r="I3653" s="110" t="s">
        <v>22747</v>
      </c>
    </row>
    <row r="3654" spans="1:9" ht="50.4" x14ac:dyDescent="0.3">
      <c r="A3654" s="109" t="s">
        <v>22748</v>
      </c>
      <c r="B3654" s="109" t="s">
        <v>21928</v>
      </c>
      <c r="C3654" s="109" t="s">
        <v>21928</v>
      </c>
      <c r="D3654" s="109" t="s">
        <v>12418</v>
      </c>
      <c r="E3654" s="109" t="s">
        <v>12418</v>
      </c>
      <c r="F3654" s="109" t="s">
        <v>22749</v>
      </c>
      <c r="G3654" s="110" t="s">
        <v>6248</v>
      </c>
      <c r="H3654" s="110" t="s">
        <v>22750</v>
      </c>
      <c r="I3654" s="110" t="s">
        <v>22751</v>
      </c>
    </row>
    <row r="3655" spans="1:9" ht="50.4" x14ac:dyDescent="0.3">
      <c r="A3655" s="109" t="s">
        <v>22752</v>
      </c>
      <c r="B3655" s="109" t="s">
        <v>21928</v>
      </c>
      <c r="C3655" s="109" t="s">
        <v>21928</v>
      </c>
      <c r="D3655" s="109" t="s">
        <v>22753</v>
      </c>
      <c r="E3655" s="109" t="s">
        <v>22753</v>
      </c>
      <c r="F3655" s="109" t="s">
        <v>22754</v>
      </c>
      <c r="G3655" s="110" t="s">
        <v>6248</v>
      </c>
      <c r="H3655" s="110" t="s">
        <v>22755</v>
      </c>
      <c r="I3655" s="110" t="s">
        <v>22756</v>
      </c>
    </row>
    <row r="3656" spans="1:9" ht="50.4" x14ac:dyDescent="0.3">
      <c r="A3656" s="109" t="s">
        <v>22757</v>
      </c>
      <c r="B3656" s="109" t="s">
        <v>21928</v>
      </c>
      <c r="C3656" s="109" t="s">
        <v>21928</v>
      </c>
      <c r="D3656" s="109" t="s">
        <v>22758</v>
      </c>
      <c r="E3656" s="109" t="s">
        <v>22758</v>
      </c>
      <c r="F3656" s="109" t="s">
        <v>22759</v>
      </c>
      <c r="G3656" s="110" t="s">
        <v>6248</v>
      </c>
      <c r="H3656" s="110" t="s">
        <v>22760</v>
      </c>
      <c r="I3656" s="110" t="s">
        <v>22761</v>
      </c>
    </row>
    <row r="3657" spans="1:9" ht="50.4" x14ac:dyDescent="0.3">
      <c r="A3657" s="109" t="s">
        <v>22762</v>
      </c>
      <c r="B3657" s="109" t="s">
        <v>21928</v>
      </c>
      <c r="C3657" s="109" t="s">
        <v>21928</v>
      </c>
      <c r="D3657" s="109" t="s">
        <v>22763</v>
      </c>
      <c r="E3657" s="109" t="s">
        <v>22763</v>
      </c>
      <c r="F3657" s="109" t="s">
        <v>22764</v>
      </c>
      <c r="G3657" s="110" t="s">
        <v>6248</v>
      </c>
      <c r="H3657" s="110" t="s">
        <v>22765</v>
      </c>
      <c r="I3657" s="110" t="s">
        <v>22766</v>
      </c>
    </row>
    <row r="3658" spans="1:9" ht="50.4" x14ac:dyDescent="0.3">
      <c r="A3658" s="109" t="s">
        <v>22767</v>
      </c>
      <c r="B3658" s="109" t="s">
        <v>21928</v>
      </c>
      <c r="C3658" s="109" t="s">
        <v>21928</v>
      </c>
      <c r="D3658" s="109" t="s">
        <v>22768</v>
      </c>
      <c r="E3658" s="109" t="s">
        <v>22768</v>
      </c>
      <c r="F3658" s="109" t="s">
        <v>22769</v>
      </c>
      <c r="G3658" s="110" t="s">
        <v>6248</v>
      </c>
      <c r="H3658" s="110" t="s">
        <v>22770</v>
      </c>
      <c r="I3658" s="110" t="s">
        <v>22771</v>
      </c>
    </row>
    <row r="3659" spans="1:9" ht="50.4" x14ac:dyDescent="0.3">
      <c r="A3659" s="109" t="s">
        <v>22772</v>
      </c>
      <c r="B3659" s="109" t="s">
        <v>21928</v>
      </c>
      <c r="C3659" s="109" t="s">
        <v>21928</v>
      </c>
      <c r="D3659" s="109" t="s">
        <v>22773</v>
      </c>
      <c r="E3659" s="109" t="s">
        <v>22773</v>
      </c>
      <c r="F3659" s="109" t="s">
        <v>22774</v>
      </c>
      <c r="G3659" s="110" t="s">
        <v>6248</v>
      </c>
      <c r="H3659" s="110" t="s">
        <v>22775</v>
      </c>
      <c r="I3659" s="110" t="s">
        <v>22776</v>
      </c>
    </row>
    <row r="3660" spans="1:9" ht="50.4" x14ac:dyDescent="0.3">
      <c r="A3660" s="109" t="s">
        <v>22777</v>
      </c>
      <c r="B3660" s="109" t="s">
        <v>21928</v>
      </c>
      <c r="C3660" s="109" t="s">
        <v>21928</v>
      </c>
      <c r="D3660" s="109" t="s">
        <v>22778</v>
      </c>
      <c r="E3660" s="109" t="s">
        <v>22778</v>
      </c>
      <c r="F3660" s="109" t="s">
        <v>22779</v>
      </c>
      <c r="G3660" s="110" t="s">
        <v>6248</v>
      </c>
      <c r="H3660" s="110" t="s">
        <v>22780</v>
      </c>
      <c r="I3660" s="110" t="s">
        <v>22781</v>
      </c>
    </row>
    <row r="3661" spans="1:9" ht="63" x14ac:dyDescent="0.3">
      <c r="A3661" s="109" t="s">
        <v>22782</v>
      </c>
      <c r="B3661" s="109" t="s">
        <v>21928</v>
      </c>
      <c r="C3661" s="109" t="s">
        <v>21928</v>
      </c>
      <c r="D3661" s="109" t="s">
        <v>22783</v>
      </c>
      <c r="E3661" s="109" t="s">
        <v>22783</v>
      </c>
      <c r="F3661" s="109" t="s">
        <v>22784</v>
      </c>
      <c r="G3661" s="110" t="s">
        <v>6248</v>
      </c>
      <c r="H3661" s="110" t="s">
        <v>9407</v>
      </c>
      <c r="I3661" s="110" t="s">
        <v>22785</v>
      </c>
    </row>
    <row r="3662" spans="1:9" ht="50.4" x14ac:dyDescent="0.3">
      <c r="A3662" s="109" t="s">
        <v>22786</v>
      </c>
      <c r="B3662" s="109" t="s">
        <v>21928</v>
      </c>
      <c r="C3662" s="109" t="s">
        <v>21928</v>
      </c>
      <c r="D3662" s="109" t="s">
        <v>22787</v>
      </c>
      <c r="E3662" s="109" t="s">
        <v>22787</v>
      </c>
      <c r="F3662" s="109" t="s">
        <v>22788</v>
      </c>
      <c r="G3662" s="110" t="s">
        <v>6248</v>
      </c>
      <c r="H3662" s="110" t="s">
        <v>22789</v>
      </c>
      <c r="I3662" s="110" t="s">
        <v>22790</v>
      </c>
    </row>
    <row r="3663" spans="1:9" ht="50.4" x14ac:dyDescent="0.3">
      <c r="A3663" s="109" t="s">
        <v>22791</v>
      </c>
      <c r="B3663" s="109" t="s">
        <v>21928</v>
      </c>
      <c r="C3663" s="109" t="s">
        <v>21928</v>
      </c>
      <c r="D3663" s="109" t="s">
        <v>22792</v>
      </c>
      <c r="E3663" s="109" t="s">
        <v>22792</v>
      </c>
      <c r="F3663" s="109" t="s">
        <v>22793</v>
      </c>
      <c r="G3663" s="110" t="s">
        <v>6248</v>
      </c>
      <c r="H3663" s="110" t="s">
        <v>22794</v>
      </c>
      <c r="I3663" s="110" t="s">
        <v>22795</v>
      </c>
    </row>
    <row r="3664" spans="1:9" ht="50.4" x14ac:dyDescent="0.3">
      <c r="A3664" s="109" t="s">
        <v>22796</v>
      </c>
      <c r="B3664" s="109" t="s">
        <v>21928</v>
      </c>
      <c r="C3664" s="109" t="s">
        <v>21928</v>
      </c>
      <c r="D3664" s="109" t="s">
        <v>22797</v>
      </c>
      <c r="E3664" s="109" t="s">
        <v>22797</v>
      </c>
      <c r="F3664" s="109" t="s">
        <v>22798</v>
      </c>
      <c r="G3664" s="110" t="s">
        <v>6248</v>
      </c>
      <c r="H3664" s="110" t="s">
        <v>22799</v>
      </c>
      <c r="I3664" s="110" t="s">
        <v>22800</v>
      </c>
    </row>
    <row r="3665" spans="1:9" ht="50.4" x14ac:dyDescent="0.3">
      <c r="A3665" s="109" t="s">
        <v>22801</v>
      </c>
      <c r="B3665" s="109" t="s">
        <v>21928</v>
      </c>
      <c r="C3665" s="109" t="s">
        <v>21928</v>
      </c>
      <c r="D3665" s="109" t="s">
        <v>22802</v>
      </c>
      <c r="E3665" s="109" t="s">
        <v>22802</v>
      </c>
      <c r="F3665" s="109" t="s">
        <v>22803</v>
      </c>
      <c r="G3665" s="110" t="s">
        <v>6248</v>
      </c>
      <c r="H3665" s="110" t="s">
        <v>22804</v>
      </c>
      <c r="I3665" s="110" t="s">
        <v>22805</v>
      </c>
    </row>
    <row r="3666" spans="1:9" ht="50.4" x14ac:dyDescent="0.3">
      <c r="A3666" s="109" t="s">
        <v>22806</v>
      </c>
      <c r="B3666" s="109" t="s">
        <v>21928</v>
      </c>
      <c r="C3666" s="109" t="s">
        <v>21928</v>
      </c>
      <c r="D3666" s="109" t="s">
        <v>19417</v>
      </c>
      <c r="E3666" s="109" t="s">
        <v>19417</v>
      </c>
      <c r="F3666" s="109" t="s">
        <v>22807</v>
      </c>
      <c r="G3666" s="110" t="s">
        <v>6248</v>
      </c>
      <c r="H3666" s="110" t="s">
        <v>12951</v>
      </c>
      <c r="I3666" s="110" t="s">
        <v>22808</v>
      </c>
    </row>
    <row r="3667" spans="1:9" ht="37.799999999999997" x14ac:dyDescent="0.3">
      <c r="A3667" s="109" t="s">
        <v>22809</v>
      </c>
      <c r="B3667" s="109" t="s">
        <v>21928</v>
      </c>
      <c r="C3667" s="109" t="s">
        <v>21928</v>
      </c>
      <c r="D3667" s="109" t="s">
        <v>22810</v>
      </c>
      <c r="E3667" s="109" t="s">
        <v>5558</v>
      </c>
      <c r="F3667" s="109" t="s">
        <v>22811</v>
      </c>
      <c r="G3667" s="110" t="s">
        <v>6248</v>
      </c>
      <c r="H3667" s="110" t="s">
        <v>22812</v>
      </c>
      <c r="I3667" s="110" t="s">
        <v>22813</v>
      </c>
    </row>
    <row r="3668" spans="1:9" ht="50.4" x14ac:dyDescent="0.3">
      <c r="A3668" s="109" t="s">
        <v>22814</v>
      </c>
      <c r="B3668" s="109" t="s">
        <v>21928</v>
      </c>
      <c r="C3668" s="109" t="s">
        <v>21928</v>
      </c>
      <c r="D3668" s="109" t="s">
        <v>14450</v>
      </c>
      <c r="E3668" s="109" t="s">
        <v>14450</v>
      </c>
      <c r="F3668" s="109" t="s">
        <v>22815</v>
      </c>
      <c r="G3668" s="110" t="s">
        <v>6248</v>
      </c>
      <c r="H3668" s="110" t="s">
        <v>22816</v>
      </c>
      <c r="I3668" s="110" t="s">
        <v>22817</v>
      </c>
    </row>
    <row r="3669" spans="1:9" ht="50.4" x14ac:dyDescent="0.3">
      <c r="A3669" s="109" t="s">
        <v>22818</v>
      </c>
      <c r="B3669" s="109" t="s">
        <v>21928</v>
      </c>
      <c r="C3669" s="109" t="s">
        <v>21928</v>
      </c>
      <c r="D3669" s="109" t="s">
        <v>22819</v>
      </c>
      <c r="E3669" s="109" t="s">
        <v>22819</v>
      </c>
      <c r="F3669" s="109" t="s">
        <v>22820</v>
      </c>
      <c r="G3669" s="110" t="s">
        <v>6248</v>
      </c>
      <c r="H3669" s="110" t="s">
        <v>22821</v>
      </c>
      <c r="I3669" s="110" t="s">
        <v>22822</v>
      </c>
    </row>
    <row r="3670" spans="1:9" ht="50.4" x14ac:dyDescent="0.3">
      <c r="A3670" s="109" t="s">
        <v>22823</v>
      </c>
      <c r="B3670" s="109" t="s">
        <v>21928</v>
      </c>
      <c r="C3670" s="109" t="s">
        <v>21928</v>
      </c>
      <c r="D3670" s="109" t="s">
        <v>22824</v>
      </c>
      <c r="E3670" s="109" t="s">
        <v>22824</v>
      </c>
      <c r="F3670" s="109" t="s">
        <v>22825</v>
      </c>
      <c r="G3670" s="110" t="s">
        <v>6248</v>
      </c>
      <c r="H3670" s="110" t="s">
        <v>22826</v>
      </c>
      <c r="I3670" s="110" t="s">
        <v>22827</v>
      </c>
    </row>
    <row r="3671" spans="1:9" ht="50.4" x14ac:dyDescent="0.3">
      <c r="A3671" s="109" t="s">
        <v>22828</v>
      </c>
      <c r="B3671" s="109" t="s">
        <v>21928</v>
      </c>
      <c r="C3671" s="109" t="s">
        <v>21928</v>
      </c>
      <c r="D3671" s="109" t="s">
        <v>22829</v>
      </c>
      <c r="E3671" s="109" t="s">
        <v>22829</v>
      </c>
      <c r="F3671" s="109" t="s">
        <v>22830</v>
      </c>
      <c r="G3671" s="110" t="s">
        <v>6248</v>
      </c>
      <c r="H3671" s="110" t="s">
        <v>19177</v>
      </c>
      <c r="I3671" s="110" t="s">
        <v>22831</v>
      </c>
    </row>
    <row r="3672" spans="1:9" ht="50.4" x14ac:dyDescent="0.3">
      <c r="A3672" s="109" t="s">
        <v>22832</v>
      </c>
      <c r="B3672" s="109" t="s">
        <v>21928</v>
      </c>
      <c r="C3672" s="109" t="s">
        <v>21928</v>
      </c>
      <c r="D3672" s="109" t="s">
        <v>16768</v>
      </c>
      <c r="E3672" s="109" t="s">
        <v>16768</v>
      </c>
      <c r="F3672" s="109" t="s">
        <v>22833</v>
      </c>
      <c r="G3672" s="110" t="s">
        <v>6248</v>
      </c>
      <c r="H3672" s="110" t="s">
        <v>22834</v>
      </c>
      <c r="I3672" s="110" t="s">
        <v>22835</v>
      </c>
    </row>
    <row r="3673" spans="1:9" ht="50.4" x14ac:dyDescent="0.3">
      <c r="A3673" s="109" t="s">
        <v>22836</v>
      </c>
      <c r="B3673" s="109" t="s">
        <v>21928</v>
      </c>
      <c r="C3673" s="109" t="s">
        <v>21928</v>
      </c>
      <c r="D3673" s="109" t="s">
        <v>22837</v>
      </c>
      <c r="E3673" s="109" t="s">
        <v>22837</v>
      </c>
      <c r="F3673" s="109" t="s">
        <v>22838</v>
      </c>
      <c r="G3673" s="110" t="s">
        <v>6248</v>
      </c>
      <c r="H3673" s="110" t="s">
        <v>22839</v>
      </c>
      <c r="I3673" s="110" t="s">
        <v>22840</v>
      </c>
    </row>
    <row r="3674" spans="1:9" ht="50.4" x14ac:dyDescent="0.3">
      <c r="A3674" s="109" t="s">
        <v>22841</v>
      </c>
      <c r="B3674" s="109" t="s">
        <v>21928</v>
      </c>
      <c r="C3674" s="109" t="s">
        <v>21928</v>
      </c>
      <c r="D3674" s="109" t="s">
        <v>22842</v>
      </c>
      <c r="E3674" s="109" t="s">
        <v>22842</v>
      </c>
      <c r="F3674" s="109" t="s">
        <v>22843</v>
      </c>
      <c r="G3674" s="110" t="s">
        <v>6248</v>
      </c>
      <c r="H3674" s="110" t="s">
        <v>22844</v>
      </c>
      <c r="I3674" s="110" t="s">
        <v>22845</v>
      </c>
    </row>
    <row r="3675" spans="1:9" ht="50.4" x14ac:dyDescent="0.3">
      <c r="A3675" s="109" t="s">
        <v>22846</v>
      </c>
      <c r="B3675" s="109" t="s">
        <v>21928</v>
      </c>
      <c r="C3675" s="109" t="s">
        <v>21928</v>
      </c>
      <c r="D3675" s="109" t="s">
        <v>20653</v>
      </c>
      <c r="E3675" s="109" t="s">
        <v>20653</v>
      </c>
      <c r="F3675" s="109" t="s">
        <v>22847</v>
      </c>
      <c r="G3675" s="110" t="s">
        <v>6248</v>
      </c>
      <c r="H3675" s="110" t="s">
        <v>22848</v>
      </c>
      <c r="I3675" s="110" t="s">
        <v>22849</v>
      </c>
    </row>
    <row r="3676" spans="1:9" ht="37.799999999999997" x14ac:dyDescent="0.3">
      <c r="A3676" s="109" t="s">
        <v>22850</v>
      </c>
      <c r="B3676" s="109" t="s">
        <v>21928</v>
      </c>
      <c r="C3676" s="109" t="s">
        <v>21928</v>
      </c>
      <c r="D3676" s="109" t="s">
        <v>22851</v>
      </c>
      <c r="E3676" s="109" t="s">
        <v>22851</v>
      </c>
      <c r="F3676" s="109" t="s">
        <v>22852</v>
      </c>
      <c r="G3676" s="110" t="s">
        <v>6248</v>
      </c>
      <c r="H3676" s="110" t="s">
        <v>22853</v>
      </c>
      <c r="I3676" s="110" t="s">
        <v>22854</v>
      </c>
    </row>
    <row r="3677" spans="1:9" ht="50.4" x14ac:dyDescent="0.3">
      <c r="A3677" s="109" t="s">
        <v>22855</v>
      </c>
      <c r="B3677" s="109" t="s">
        <v>21928</v>
      </c>
      <c r="C3677" s="109" t="s">
        <v>21928</v>
      </c>
      <c r="D3677" s="109" t="s">
        <v>22856</v>
      </c>
      <c r="E3677" s="109" t="s">
        <v>22856</v>
      </c>
      <c r="F3677" s="109" t="s">
        <v>22857</v>
      </c>
      <c r="G3677" s="110" t="s">
        <v>6248</v>
      </c>
      <c r="H3677" s="110" t="s">
        <v>22858</v>
      </c>
      <c r="I3677" s="110" t="s">
        <v>22859</v>
      </c>
    </row>
    <row r="3678" spans="1:9" ht="50.4" x14ac:dyDescent="0.3">
      <c r="A3678" s="109" t="s">
        <v>22860</v>
      </c>
      <c r="B3678" s="109" t="s">
        <v>21928</v>
      </c>
      <c r="C3678" s="109" t="s">
        <v>21928</v>
      </c>
      <c r="D3678" s="109" t="s">
        <v>6190</v>
      </c>
      <c r="E3678" s="109" t="s">
        <v>6190</v>
      </c>
      <c r="F3678" s="109" t="s">
        <v>22861</v>
      </c>
      <c r="G3678" s="110" t="s">
        <v>6248</v>
      </c>
      <c r="H3678" s="110" t="s">
        <v>22862</v>
      </c>
      <c r="I3678" s="110" t="s">
        <v>22863</v>
      </c>
    </row>
    <row r="3679" spans="1:9" ht="50.4" x14ac:dyDescent="0.3">
      <c r="A3679" s="109" t="s">
        <v>22864</v>
      </c>
      <c r="B3679" s="109" t="s">
        <v>21928</v>
      </c>
      <c r="C3679" s="109" t="s">
        <v>21928</v>
      </c>
      <c r="D3679" s="109" t="s">
        <v>22865</v>
      </c>
      <c r="E3679" s="109" t="s">
        <v>22865</v>
      </c>
      <c r="F3679" s="109" t="s">
        <v>22866</v>
      </c>
      <c r="G3679" s="110" t="s">
        <v>6248</v>
      </c>
      <c r="H3679" s="110" t="s">
        <v>22867</v>
      </c>
      <c r="I3679" s="110" t="s">
        <v>22868</v>
      </c>
    </row>
    <row r="3680" spans="1:9" ht="25.2" x14ac:dyDescent="0.3">
      <c r="A3680" s="109" t="s">
        <v>22869</v>
      </c>
      <c r="B3680" s="109" t="s">
        <v>21928</v>
      </c>
      <c r="C3680" s="109" t="s">
        <v>21928</v>
      </c>
      <c r="D3680" s="109" t="s">
        <v>22870</v>
      </c>
      <c r="E3680" s="109" t="s">
        <v>5558</v>
      </c>
      <c r="F3680" s="109" t="s">
        <v>22871</v>
      </c>
      <c r="G3680" s="110" t="s">
        <v>6248</v>
      </c>
      <c r="H3680" s="110" t="s">
        <v>22872</v>
      </c>
      <c r="I3680" s="110" t="s">
        <v>22873</v>
      </c>
    </row>
    <row r="3681" spans="1:9" ht="50.4" x14ac:dyDescent="0.3">
      <c r="A3681" s="109" t="s">
        <v>22874</v>
      </c>
      <c r="B3681" s="109" t="s">
        <v>21928</v>
      </c>
      <c r="C3681" s="109" t="s">
        <v>21928</v>
      </c>
      <c r="D3681" s="109" t="s">
        <v>22875</v>
      </c>
      <c r="E3681" s="109" t="s">
        <v>22875</v>
      </c>
      <c r="F3681" s="109" t="s">
        <v>22876</v>
      </c>
      <c r="G3681" s="110" t="s">
        <v>6248</v>
      </c>
      <c r="H3681" s="110" t="s">
        <v>22877</v>
      </c>
      <c r="I3681" s="110" t="s">
        <v>22878</v>
      </c>
    </row>
    <row r="3682" spans="1:9" ht="50.4" x14ac:dyDescent="0.3">
      <c r="A3682" s="109" t="s">
        <v>22879</v>
      </c>
      <c r="B3682" s="109" t="s">
        <v>21928</v>
      </c>
      <c r="C3682" s="109" t="s">
        <v>21928</v>
      </c>
      <c r="D3682" s="109" t="s">
        <v>22880</v>
      </c>
      <c r="E3682" s="109" t="s">
        <v>22880</v>
      </c>
      <c r="F3682" s="109" t="s">
        <v>22881</v>
      </c>
      <c r="G3682" s="110" t="s">
        <v>6248</v>
      </c>
      <c r="H3682" s="110" t="s">
        <v>22882</v>
      </c>
      <c r="I3682" s="110" t="s">
        <v>22883</v>
      </c>
    </row>
    <row r="3683" spans="1:9" ht="50.4" x14ac:dyDescent="0.3">
      <c r="A3683" s="109" t="s">
        <v>22884</v>
      </c>
      <c r="B3683" s="109" t="s">
        <v>21928</v>
      </c>
      <c r="C3683" s="109" t="s">
        <v>21928</v>
      </c>
      <c r="D3683" s="109" t="s">
        <v>7512</v>
      </c>
      <c r="E3683" s="109" t="s">
        <v>7512</v>
      </c>
      <c r="F3683" s="109" t="s">
        <v>22885</v>
      </c>
      <c r="G3683" s="110" t="s">
        <v>6248</v>
      </c>
      <c r="H3683" s="110" t="s">
        <v>22886</v>
      </c>
      <c r="I3683" s="110" t="s">
        <v>22887</v>
      </c>
    </row>
    <row r="3684" spans="1:9" ht="50.4" x14ac:dyDescent="0.3">
      <c r="A3684" s="109" t="s">
        <v>22888</v>
      </c>
      <c r="B3684" s="109" t="s">
        <v>21928</v>
      </c>
      <c r="C3684" s="109" t="s">
        <v>21928</v>
      </c>
      <c r="D3684" s="109" t="s">
        <v>7512</v>
      </c>
      <c r="E3684" s="109" t="s">
        <v>7512</v>
      </c>
      <c r="F3684" s="109" t="s">
        <v>22889</v>
      </c>
      <c r="G3684" s="110" t="s">
        <v>6248</v>
      </c>
      <c r="H3684" s="110" t="s">
        <v>7128</v>
      </c>
      <c r="I3684" s="110" t="s">
        <v>22890</v>
      </c>
    </row>
    <row r="3685" spans="1:9" ht="50.4" x14ac:dyDescent="0.3">
      <c r="A3685" s="109" t="s">
        <v>22891</v>
      </c>
      <c r="B3685" s="109" t="s">
        <v>21928</v>
      </c>
      <c r="C3685" s="109" t="s">
        <v>21928</v>
      </c>
      <c r="D3685" s="109" t="s">
        <v>20888</v>
      </c>
      <c r="E3685" s="109" t="s">
        <v>20888</v>
      </c>
      <c r="F3685" s="109" t="s">
        <v>22892</v>
      </c>
      <c r="G3685" s="110" t="s">
        <v>6248</v>
      </c>
      <c r="H3685" s="110" t="s">
        <v>22893</v>
      </c>
      <c r="I3685" s="110" t="s">
        <v>22894</v>
      </c>
    </row>
    <row r="3686" spans="1:9" ht="50.4" x14ac:dyDescent="0.3">
      <c r="A3686" s="109" t="s">
        <v>22895</v>
      </c>
      <c r="B3686" s="109" t="s">
        <v>21928</v>
      </c>
      <c r="C3686" s="109" t="s">
        <v>21928</v>
      </c>
      <c r="D3686" s="109" t="s">
        <v>22896</v>
      </c>
      <c r="E3686" s="109" t="s">
        <v>22896</v>
      </c>
      <c r="F3686" s="109" t="s">
        <v>22897</v>
      </c>
      <c r="G3686" s="110" t="s">
        <v>6248</v>
      </c>
      <c r="H3686" s="110" t="s">
        <v>22898</v>
      </c>
      <c r="I3686" s="110" t="s">
        <v>22899</v>
      </c>
    </row>
    <row r="3687" spans="1:9" ht="50.4" x14ac:dyDescent="0.3">
      <c r="A3687" s="109" t="s">
        <v>22900</v>
      </c>
      <c r="B3687" s="109" t="s">
        <v>21928</v>
      </c>
      <c r="C3687" s="109" t="s">
        <v>21928</v>
      </c>
      <c r="D3687" s="109" t="s">
        <v>22901</v>
      </c>
      <c r="E3687" s="109" t="s">
        <v>22901</v>
      </c>
      <c r="F3687" s="109" t="s">
        <v>22902</v>
      </c>
      <c r="G3687" s="110" t="s">
        <v>6248</v>
      </c>
      <c r="H3687" s="110" t="s">
        <v>22903</v>
      </c>
      <c r="I3687" s="110" t="s">
        <v>22904</v>
      </c>
    </row>
    <row r="3688" spans="1:9" ht="50.4" x14ac:dyDescent="0.3">
      <c r="A3688" s="109" t="s">
        <v>22905</v>
      </c>
      <c r="B3688" s="109" t="s">
        <v>21928</v>
      </c>
      <c r="C3688" s="109" t="s">
        <v>21928</v>
      </c>
      <c r="D3688" s="109" t="s">
        <v>22906</v>
      </c>
      <c r="E3688" s="109" t="s">
        <v>22906</v>
      </c>
      <c r="F3688" s="109" t="s">
        <v>22907</v>
      </c>
      <c r="G3688" s="110" t="s">
        <v>6248</v>
      </c>
      <c r="H3688" s="110" t="s">
        <v>22908</v>
      </c>
      <c r="I3688" s="110" t="s">
        <v>22909</v>
      </c>
    </row>
    <row r="3689" spans="1:9" ht="37.799999999999997" x14ac:dyDescent="0.3">
      <c r="A3689" s="109" t="s">
        <v>22910</v>
      </c>
      <c r="B3689" s="109" t="s">
        <v>21928</v>
      </c>
      <c r="C3689" s="109" t="s">
        <v>21928</v>
      </c>
      <c r="D3689" s="109" t="s">
        <v>22911</v>
      </c>
      <c r="E3689" s="109" t="s">
        <v>22911</v>
      </c>
      <c r="F3689" s="109" t="s">
        <v>22912</v>
      </c>
      <c r="G3689" s="110" t="s">
        <v>6248</v>
      </c>
      <c r="H3689" s="110" t="s">
        <v>22913</v>
      </c>
      <c r="I3689" s="110" t="s">
        <v>22914</v>
      </c>
    </row>
    <row r="3690" spans="1:9" ht="50.4" x14ac:dyDescent="0.3">
      <c r="A3690" s="109" t="s">
        <v>22915</v>
      </c>
      <c r="B3690" s="109" t="s">
        <v>21928</v>
      </c>
      <c r="C3690" s="109" t="s">
        <v>21928</v>
      </c>
      <c r="D3690" s="109" t="s">
        <v>22916</v>
      </c>
      <c r="E3690" s="109" t="s">
        <v>22916</v>
      </c>
      <c r="F3690" s="109" t="s">
        <v>22917</v>
      </c>
      <c r="G3690" s="110" t="s">
        <v>6248</v>
      </c>
      <c r="H3690" s="110" t="s">
        <v>22918</v>
      </c>
      <c r="I3690" s="110" t="s">
        <v>22919</v>
      </c>
    </row>
    <row r="3691" spans="1:9" ht="37.799999999999997" x14ac:dyDescent="0.3">
      <c r="A3691" s="109" t="s">
        <v>22920</v>
      </c>
      <c r="B3691" s="109" t="s">
        <v>21928</v>
      </c>
      <c r="C3691" s="109" t="s">
        <v>21928</v>
      </c>
      <c r="D3691" s="109" t="s">
        <v>22921</v>
      </c>
      <c r="E3691" s="109" t="s">
        <v>5558</v>
      </c>
      <c r="F3691" s="109" t="s">
        <v>22922</v>
      </c>
      <c r="G3691" s="110" t="s">
        <v>6248</v>
      </c>
      <c r="H3691" s="110" t="s">
        <v>22923</v>
      </c>
      <c r="I3691" s="110" t="s">
        <v>22924</v>
      </c>
    </row>
    <row r="3692" spans="1:9" ht="25.2" x14ac:dyDescent="0.3">
      <c r="A3692" s="109" t="s">
        <v>22925</v>
      </c>
      <c r="B3692" s="109" t="s">
        <v>21928</v>
      </c>
      <c r="C3692" s="109" t="s">
        <v>21928</v>
      </c>
      <c r="D3692" s="109" t="s">
        <v>22926</v>
      </c>
      <c r="E3692" s="109" t="s">
        <v>5558</v>
      </c>
      <c r="F3692" s="109" t="s">
        <v>22927</v>
      </c>
      <c r="G3692" s="110" t="s">
        <v>6248</v>
      </c>
      <c r="H3692" s="110" t="s">
        <v>22928</v>
      </c>
      <c r="I3692" s="110" t="s">
        <v>22929</v>
      </c>
    </row>
    <row r="3693" spans="1:9" ht="25.2" x14ac:dyDescent="0.3">
      <c r="A3693" s="109" t="s">
        <v>22930</v>
      </c>
      <c r="B3693" s="109" t="s">
        <v>21928</v>
      </c>
      <c r="C3693" s="109" t="s">
        <v>21928</v>
      </c>
      <c r="D3693" s="109" t="s">
        <v>22931</v>
      </c>
      <c r="E3693" s="109" t="s">
        <v>5558</v>
      </c>
      <c r="F3693" s="109" t="s">
        <v>22932</v>
      </c>
      <c r="G3693" s="110" t="s">
        <v>6248</v>
      </c>
      <c r="H3693" s="110" t="s">
        <v>22933</v>
      </c>
      <c r="I3693" s="110" t="s">
        <v>22934</v>
      </c>
    </row>
    <row r="3694" spans="1:9" ht="37.799999999999997" x14ac:dyDescent="0.3">
      <c r="A3694" s="109" t="s">
        <v>22935</v>
      </c>
      <c r="B3694" s="109" t="s">
        <v>21928</v>
      </c>
      <c r="C3694" s="109" t="s">
        <v>21928</v>
      </c>
      <c r="D3694" s="109" t="s">
        <v>22936</v>
      </c>
      <c r="E3694" s="109" t="s">
        <v>5558</v>
      </c>
      <c r="F3694" s="109" t="s">
        <v>22937</v>
      </c>
      <c r="G3694" s="110" t="s">
        <v>6248</v>
      </c>
      <c r="H3694" s="110" t="s">
        <v>22938</v>
      </c>
      <c r="I3694" s="110" t="s">
        <v>22939</v>
      </c>
    </row>
    <row r="3695" spans="1:9" ht="37.799999999999997" x14ac:dyDescent="0.3">
      <c r="A3695" s="109" t="s">
        <v>22940</v>
      </c>
      <c r="B3695" s="109" t="s">
        <v>21928</v>
      </c>
      <c r="C3695" s="109" t="s">
        <v>21928</v>
      </c>
      <c r="D3695" s="109" t="s">
        <v>22941</v>
      </c>
      <c r="E3695" s="109" t="s">
        <v>5558</v>
      </c>
      <c r="F3695" s="109" t="s">
        <v>22942</v>
      </c>
      <c r="G3695" s="110" t="s">
        <v>6248</v>
      </c>
      <c r="H3695" s="110" t="s">
        <v>22943</v>
      </c>
      <c r="I3695" s="110" t="s">
        <v>22944</v>
      </c>
    </row>
    <row r="3696" spans="1:9" ht="25.2" x14ac:dyDescent="0.3">
      <c r="A3696" s="109" t="s">
        <v>22945</v>
      </c>
      <c r="B3696" s="109" t="s">
        <v>21928</v>
      </c>
      <c r="C3696" s="109" t="s">
        <v>21928</v>
      </c>
      <c r="D3696" s="109" t="s">
        <v>22946</v>
      </c>
      <c r="E3696" s="109" t="s">
        <v>5558</v>
      </c>
      <c r="F3696" s="109" t="s">
        <v>22947</v>
      </c>
      <c r="G3696" s="110" t="s">
        <v>6248</v>
      </c>
      <c r="H3696" s="110" t="s">
        <v>6341</v>
      </c>
      <c r="I3696" s="110" t="s">
        <v>22948</v>
      </c>
    </row>
    <row r="3697" spans="1:9" ht="25.2" x14ac:dyDescent="0.3">
      <c r="A3697" s="109" t="s">
        <v>22949</v>
      </c>
      <c r="B3697" s="109" t="s">
        <v>21928</v>
      </c>
      <c r="C3697" s="109" t="s">
        <v>21928</v>
      </c>
      <c r="D3697" s="109" t="s">
        <v>22950</v>
      </c>
      <c r="E3697" s="109" t="s">
        <v>5558</v>
      </c>
      <c r="F3697" s="109" t="s">
        <v>22951</v>
      </c>
      <c r="G3697" s="110" t="s">
        <v>6248</v>
      </c>
      <c r="H3697" s="110" t="s">
        <v>7321</v>
      </c>
      <c r="I3697" s="110" t="s">
        <v>22952</v>
      </c>
    </row>
    <row r="3698" spans="1:9" ht="37.799999999999997" x14ac:dyDescent="0.3">
      <c r="A3698" s="109" t="s">
        <v>22953</v>
      </c>
      <c r="B3698" s="109" t="s">
        <v>21928</v>
      </c>
      <c r="C3698" s="109" t="s">
        <v>21928</v>
      </c>
      <c r="D3698" s="109" t="s">
        <v>22954</v>
      </c>
      <c r="E3698" s="109" t="s">
        <v>5558</v>
      </c>
      <c r="F3698" s="109" t="s">
        <v>22955</v>
      </c>
      <c r="G3698" s="110" t="s">
        <v>6248</v>
      </c>
      <c r="H3698" s="110" t="s">
        <v>6660</v>
      </c>
      <c r="I3698" s="110" t="s">
        <v>22956</v>
      </c>
    </row>
    <row r="3699" spans="1:9" ht="25.2" x14ac:dyDescent="0.3">
      <c r="A3699" s="109" t="s">
        <v>22957</v>
      </c>
      <c r="B3699" s="109" t="s">
        <v>21928</v>
      </c>
      <c r="C3699" s="109" t="s">
        <v>21928</v>
      </c>
      <c r="D3699" s="109" t="s">
        <v>22958</v>
      </c>
      <c r="E3699" s="109" t="s">
        <v>5558</v>
      </c>
      <c r="F3699" s="109" t="s">
        <v>22959</v>
      </c>
      <c r="G3699" s="110" t="s">
        <v>6248</v>
      </c>
      <c r="H3699" s="110" t="s">
        <v>21430</v>
      </c>
      <c r="I3699" s="110" t="s">
        <v>22960</v>
      </c>
    </row>
    <row r="3700" spans="1:9" ht="25.2" x14ac:dyDescent="0.3">
      <c r="A3700" s="109" t="s">
        <v>22961</v>
      </c>
      <c r="B3700" s="109" t="s">
        <v>21928</v>
      </c>
      <c r="C3700" s="109" t="s">
        <v>21928</v>
      </c>
      <c r="D3700" s="109" t="s">
        <v>22962</v>
      </c>
      <c r="E3700" s="109" t="s">
        <v>22963</v>
      </c>
      <c r="F3700" s="109" t="s">
        <v>6267</v>
      </c>
      <c r="G3700" s="110" t="s">
        <v>6248</v>
      </c>
      <c r="H3700" s="110" t="s">
        <v>22964</v>
      </c>
      <c r="I3700" s="110" t="s">
        <v>22965</v>
      </c>
    </row>
    <row r="3701" spans="1:9" ht="25.2" x14ac:dyDescent="0.3">
      <c r="A3701" s="109" t="s">
        <v>22966</v>
      </c>
      <c r="B3701" s="109" t="s">
        <v>21928</v>
      </c>
      <c r="C3701" s="109" t="s">
        <v>21928</v>
      </c>
      <c r="D3701" s="109" t="s">
        <v>22967</v>
      </c>
      <c r="E3701" s="109" t="s">
        <v>5558</v>
      </c>
      <c r="F3701" s="109" t="s">
        <v>22968</v>
      </c>
      <c r="G3701" s="110" t="s">
        <v>6248</v>
      </c>
      <c r="H3701" s="110" t="s">
        <v>15579</v>
      </c>
      <c r="I3701" s="110" t="s">
        <v>22969</v>
      </c>
    </row>
    <row r="3702" spans="1:9" ht="37.799999999999997" x14ac:dyDescent="0.3">
      <c r="A3702" s="109" t="s">
        <v>22970</v>
      </c>
      <c r="B3702" s="109" t="s">
        <v>21928</v>
      </c>
      <c r="C3702" s="109" t="s">
        <v>21928</v>
      </c>
      <c r="D3702" s="109" t="s">
        <v>22971</v>
      </c>
      <c r="E3702" s="109" t="s">
        <v>5558</v>
      </c>
      <c r="F3702" s="109" t="s">
        <v>22972</v>
      </c>
      <c r="G3702" s="110" t="s">
        <v>6248</v>
      </c>
      <c r="H3702" s="110" t="s">
        <v>6689</v>
      </c>
      <c r="I3702" s="110" t="s">
        <v>22973</v>
      </c>
    </row>
    <row r="3703" spans="1:9" ht="37.799999999999997" x14ac:dyDescent="0.3">
      <c r="A3703" s="109" t="s">
        <v>22974</v>
      </c>
      <c r="B3703" s="109" t="s">
        <v>21928</v>
      </c>
      <c r="C3703" s="109" t="s">
        <v>21928</v>
      </c>
      <c r="D3703" s="109" t="s">
        <v>22975</v>
      </c>
      <c r="E3703" s="109" t="s">
        <v>5558</v>
      </c>
      <c r="F3703" s="109" t="s">
        <v>22976</v>
      </c>
      <c r="G3703" s="110" t="s">
        <v>6248</v>
      </c>
      <c r="H3703" s="110" t="s">
        <v>22977</v>
      </c>
      <c r="I3703" s="110" t="s">
        <v>22978</v>
      </c>
    </row>
    <row r="3704" spans="1:9" ht="25.2" x14ac:dyDescent="0.3">
      <c r="A3704" s="109" t="s">
        <v>22979</v>
      </c>
      <c r="B3704" s="109" t="s">
        <v>21928</v>
      </c>
      <c r="C3704" s="109" t="s">
        <v>21928</v>
      </c>
      <c r="D3704" s="109" t="s">
        <v>22980</v>
      </c>
      <c r="E3704" s="109" t="s">
        <v>5558</v>
      </c>
      <c r="F3704" s="109" t="s">
        <v>22981</v>
      </c>
      <c r="G3704" s="110" t="s">
        <v>6248</v>
      </c>
      <c r="H3704" s="110" t="s">
        <v>22982</v>
      </c>
      <c r="I3704" s="110" t="s">
        <v>22983</v>
      </c>
    </row>
    <row r="3705" spans="1:9" ht="25.2" x14ac:dyDescent="0.3">
      <c r="A3705" s="109" t="s">
        <v>22984</v>
      </c>
      <c r="B3705" s="109" t="s">
        <v>22985</v>
      </c>
      <c r="C3705" s="109" t="s">
        <v>22985</v>
      </c>
      <c r="D3705" s="109" t="s">
        <v>22986</v>
      </c>
      <c r="E3705" s="109" t="s">
        <v>22987</v>
      </c>
      <c r="F3705" s="109" t="s">
        <v>22988</v>
      </c>
      <c r="G3705" s="110" t="s">
        <v>6248</v>
      </c>
      <c r="H3705" s="110" t="s">
        <v>22989</v>
      </c>
      <c r="I3705" s="110" t="s">
        <v>22990</v>
      </c>
    </row>
    <row r="3706" spans="1:9" ht="37.799999999999997" x14ac:dyDescent="0.3">
      <c r="A3706" s="109" t="s">
        <v>22991</v>
      </c>
      <c r="B3706" s="109" t="s">
        <v>22985</v>
      </c>
      <c r="C3706" s="109" t="s">
        <v>22985</v>
      </c>
      <c r="D3706" s="109" t="s">
        <v>22992</v>
      </c>
      <c r="E3706" s="109" t="s">
        <v>5558</v>
      </c>
      <c r="F3706" s="109" t="s">
        <v>22993</v>
      </c>
      <c r="G3706" s="110" t="s">
        <v>6248</v>
      </c>
      <c r="H3706" s="110" t="s">
        <v>22994</v>
      </c>
      <c r="I3706" s="110" t="s">
        <v>22995</v>
      </c>
    </row>
    <row r="3707" spans="1:9" ht="37.799999999999997" x14ac:dyDescent="0.3">
      <c r="A3707" s="109" t="s">
        <v>22996</v>
      </c>
      <c r="B3707" s="109" t="s">
        <v>22985</v>
      </c>
      <c r="C3707" s="109" t="s">
        <v>22985</v>
      </c>
      <c r="D3707" s="109" t="s">
        <v>22997</v>
      </c>
      <c r="E3707" s="109" t="s">
        <v>5558</v>
      </c>
      <c r="F3707" s="109" t="s">
        <v>22998</v>
      </c>
      <c r="G3707" s="110" t="s">
        <v>6248</v>
      </c>
      <c r="H3707" s="110" t="s">
        <v>22999</v>
      </c>
      <c r="I3707" s="110" t="s">
        <v>23000</v>
      </c>
    </row>
    <row r="3708" spans="1:9" ht="25.2" x14ac:dyDescent="0.3">
      <c r="A3708" s="109" t="s">
        <v>23001</v>
      </c>
      <c r="B3708" s="109" t="s">
        <v>22985</v>
      </c>
      <c r="C3708" s="109" t="s">
        <v>22985</v>
      </c>
      <c r="D3708" s="109" t="s">
        <v>23002</v>
      </c>
      <c r="E3708" s="109" t="s">
        <v>23003</v>
      </c>
      <c r="F3708" s="109" t="s">
        <v>14190</v>
      </c>
      <c r="G3708" s="110" t="s">
        <v>6248</v>
      </c>
      <c r="H3708" s="110" t="s">
        <v>23004</v>
      </c>
      <c r="I3708" s="110" t="s">
        <v>23005</v>
      </c>
    </row>
    <row r="3709" spans="1:9" ht="25.2" x14ac:dyDescent="0.3">
      <c r="A3709" s="109" t="s">
        <v>23006</v>
      </c>
      <c r="B3709" s="109" t="s">
        <v>22985</v>
      </c>
      <c r="C3709" s="109" t="s">
        <v>22985</v>
      </c>
      <c r="D3709" s="109" t="s">
        <v>23007</v>
      </c>
      <c r="E3709" s="109" t="s">
        <v>5558</v>
      </c>
      <c r="F3709" s="109" t="s">
        <v>23008</v>
      </c>
      <c r="G3709" s="110" t="s">
        <v>6248</v>
      </c>
      <c r="H3709" s="110" t="s">
        <v>23009</v>
      </c>
      <c r="I3709" s="110" t="s">
        <v>23010</v>
      </c>
    </row>
    <row r="3710" spans="1:9" ht="25.2" x14ac:dyDescent="0.3">
      <c r="A3710" s="109" t="s">
        <v>23011</v>
      </c>
      <c r="B3710" s="109" t="s">
        <v>22985</v>
      </c>
      <c r="C3710" s="109" t="s">
        <v>22985</v>
      </c>
      <c r="D3710" s="109" t="s">
        <v>5569</v>
      </c>
      <c r="E3710" s="109" t="s">
        <v>5558</v>
      </c>
      <c r="F3710" s="109" t="s">
        <v>2258</v>
      </c>
      <c r="G3710" s="110" t="s">
        <v>6248</v>
      </c>
      <c r="H3710" s="110" t="s">
        <v>23012</v>
      </c>
      <c r="I3710" s="110" t="s">
        <v>23013</v>
      </c>
    </row>
    <row r="3711" spans="1:9" ht="25.2" x14ac:dyDescent="0.3">
      <c r="A3711" s="109" t="s">
        <v>23014</v>
      </c>
      <c r="B3711" s="109" t="s">
        <v>22985</v>
      </c>
      <c r="C3711" s="109" t="s">
        <v>22985</v>
      </c>
      <c r="D3711" s="109" t="s">
        <v>23015</v>
      </c>
      <c r="E3711" s="109" t="s">
        <v>5558</v>
      </c>
      <c r="F3711" s="109" t="s">
        <v>23016</v>
      </c>
      <c r="G3711" s="110" t="s">
        <v>6248</v>
      </c>
      <c r="H3711" s="110" t="s">
        <v>6507</v>
      </c>
      <c r="I3711" s="110" t="s">
        <v>23017</v>
      </c>
    </row>
    <row r="3712" spans="1:9" ht="37.799999999999997" x14ac:dyDescent="0.3">
      <c r="A3712" s="109" t="s">
        <v>23018</v>
      </c>
      <c r="B3712" s="109" t="s">
        <v>22985</v>
      </c>
      <c r="C3712" s="109" t="s">
        <v>22985</v>
      </c>
      <c r="D3712" s="109" t="s">
        <v>23019</v>
      </c>
      <c r="E3712" s="109" t="s">
        <v>5558</v>
      </c>
      <c r="F3712" s="109" t="s">
        <v>23020</v>
      </c>
      <c r="G3712" s="110" t="s">
        <v>6248</v>
      </c>
      <c r="H3712" s="110" t="s">
        <v>9141</v>
      </c>
      <c r="I3712" s="110" t="s">
        <v>23021</v>
      </c>
    </row>
    <row r="3713" spans="1:9" ht="25.2" x14ac:dyDescent="0.3">
      <c r="A3713" s="109" t="s">
        <v>23022</v>
      </c>
      <c r="B3713" s="109" t="s">
        <v>22985</v>
      </c>
      <c r="C3713" s="109" t="s">
        <v>22985</v>
      </c>
      <c r="D3713" s="109" t="s">
        <v>23023</v>
      </c>
      <c r="E3713" s="109" t="s">
        <v>5558</v>
      </c>
      <c r="F3713" s="109" t="s">
        <v>23024</v>
      </c>
      <c r="G3713" s="110" t="s">
        <v>6248</v>
      </c>
      <c r="H3713" s="110" t="s">
        <v>7592</v>
      </c>
      <c r="I3713" s="110" t="s">
        <v>23025</v>
      </c>
    </row>
    <row r="3714" spans="1:9" ht="25.2" x14ac:dyDescent="0.3">
      <c r="A3714" s="109" t="s">
        <v>23026</v>
      </c>
      <c r="B3714" s="109" t="s">
        <v>22985</v>
      </c>
      <c r="C3714" s="109" t="s">
        <v>22985</v>
      </c>
      <c r="D3714" s="109" t="s">
        <v>23027</v>
      </c>
      <c r="E3714" s="109" t="s">
        <v>5558</v>
      </c>
      <c r="F3714" s="109" t="s">
        <v>23028</v>
      </c>
      <c r="G3714" s="110" t="s">
        <v>6248</v>
      </c>
      <c r="H3714" s="110" t="s">
        <v>7592</v>
      </c>
      <c r="I3714" s="110" t="s">
        <v>23029</v>
      </c>
    </row>
    <row r="3715" spans="1:9" ht="25.2" x14ac:dyDescent="0.3">
      <c r="A3715" s="109" t="s">
        <v>23030</v>
      </c>
      <c r="B3715" s="109" t="s">
        <v>22985</v>
      </c>
      <c r="C3715" s="109" t="s">
        <v>22985</v>
      </c>
      <c r="D3715" s="109" t="s">
        <v>23031</v>
      </c>
      <c r="E3715" s="109" t="s">
        <v>5558</v>
      </c>
      <c r="F3715" s="109" t="s">
        <v>23032</v>
      </c>
      <c r="G3715" s="110" t="s">
        <v>6248</v>
      </c>
      <c r="H3715" s="110" t="s">
        <v>8905</v>
      </c>
      <c r="I3715" s="110" t="s">
        <v>23033</v>
      </c>
    </row>
    <row r="3716" spans="1:9" ht="37.799999999999997" x14ac:dyDescent="0.3">
      <c r="A3716" s="109" t="s">
        <v>23034</v>
      </c>
      <c r="B3716" s="109" t="s">
        <v>22985</v>
      </c>
      <c r="C3716" s="109" t="s">
        <v>22985</v>
      </c>
      <c r="D3716" s="109" t="s">
        <v>23035</v>
      </c>
      <c r="E3716" s="109" t="s">
        <v>5558</v>
      </c>
      <c r="F3716" s="109" t="s">
        <v>23036</v>
      </c>
      <c r="G3716" s="110" t="s">
        <v>6248</v>
      </c>
      <c r="H3716" s="110" t="s">
        <v>23037</v>
      </c>
      <c r="I3716" s="110" t="s">
        <v>23038</v>
      </c>
    </row>
    <row r="3717" spans="1:9" ht="25.2" x14ac:dyDescent="0.3">
      <c r="A3717" s="109" t="s">
        <v>23039</v>
      </c>
      <c r="B3717" s="109" t="s">
        <v>22985</v>
      </c>
      <c r="C3717" s="109" t="s">
        <v>22985</v>
      </c>
      <c r="D3717" s="109" t="s">
        <v>23040</v>
      </c>
      <c r="E3717" s="109" t="s">
        <v>5558</v>
      </c>
      <c r="F3717" s="109" t="s">
        <v>23041</v>
      </c>
      <c r="G3717" s="110" t="s">
        <v>6248</v>
      </c>
      <c r="H3717" s="110" t="s">
        <v>6507</v>
      </c>
      <c r="I3717" s="110" t="s">
        <v>23042</v>
      </c>
    </row>
    <row r="3718" spans="1:9" ht="25.2" x14ac:dyDescent="0.3">
      <c r="A3718" s="109" t="s">
        <v>23043</v>
      </c>
      <c r="B3718" s="109" t="s">
        <v>22985</v>
      </c>
      <c r="C3718" s="109" t="s">
        <v>22985</v>
      </c>
      <c r="D3718" s="109" t="s">
        <v>23044</v>
      </c>
      <c r="E3718" s="109" t="s">
        <v>5558</v>
      </c>
      <c r="F3718" s="109" t="s">
        <v>23045</v>
      </c>
      <c r="G3718" s="110" t="s">
        <v>6248</v>
      </c>
      <c r="H3718" s="110" t="s">
        <v>6507</v>
      </c>
      <c r="I3718" s="110" t="s">
        <v>23046</v>
      </c>
    </row>
    <row r="3719" spans="1:9" ht="37.799999999999997" x14ac:dyDescent="0.3">
      <c r="A3719" s="109" t="s">
        <v>23047</v>
      </c>
      <c r="B3719" s="109" t="s">
        <v>22985</v>
      </c>
      <c r="C3719" s="109" t="s">
        <v>22985</v>
      </c>
      <c r="D3719" s="109" t="s">
        <v>23048</v>
      </c>
      <c r="E3719" s="109" t="s">
        <v>5558</v>
      </c>
      <c r="F3719" s="109" t="s">
        <v>23049</v>
      </c>
      <c r="G3719" s="110" t="s">
        <v>6248</v>
      </c>
      <c r="H3719" s="110" t="s">
        <v>7817</v>
      </c>
      <c r="I3719" s="110" t="s">
        <v>23050</v>
      </c>
    </row>
    <row r="3720" spans="1:9" ht="25.2" x14ac:dyDescent="0.3">
      <c r="A3720" s="109" t="s">
        <v>23051</v>
      </c>
      <c r="B3720" s="109" t="s">
        <v>22985</v>
      </c>
      <c r="C3720" s="109" t="s">
        <v>22985</v>
      </c>
      <c r="D3720" s="109" t="s">
        <v>23052</v>
      </c>
      <c r="E3720" s="109" t="s">
        <v>5558</v>
      </c>
      <c r="F3720" s="109" t="s">
        <v>23053</v>
      </c>
      <c r="G3720" s="110" t="s">
        <v>6248</v>
      </c>
      <c r="H3720" s="110" t="s">
        <v>6389</v>
      </c>
      <c r="I3720" s="110" t="s">
        <v>23054</v>
      </c>
    </row>
    <row r="3721" spans="1:9" ht="25.2" x14ac:dyDescent="0.3">
      <c r="A3721" s="109" t="s">
        <v>23055</v>
      </c>
      <c r="B3721" s="109" t="s">
        <v>22985</v>
      </c>
      <c r="C3721" s="109" t="s">
        <v>22985</v>
      </c>
      <c r="D3721" s="109" t="s">
        <v>23056</v>
      </c>
      <c r="E3721" s="109" t="s">
        <v>5558</v>
      </c>
      <c r="F3721" s="109" t="s">
        <v>23057</v>
      </c>
      <c r="G3721" s="110" t="s">
        <v>6248</v>
      </c>
      <c r="H3721" s="110" t="s">
        <v>6474</v>
      </c>
      <c r="I3721" s="110" t="s">
        <v>23058</v>
      </c>
    </row>
    <row r="3722" spans="1:9" ht="25.2" x14ac:dyDescent="0.3">
      <c r="A3722" s="109" t="s">
        <v>23059</v>
      </c>
      <c r="B3722" s="109" t="s">
        <v>22985</v>
      </c>
      <c r="C3722" s="109" t="s">
        <v>22985</v>
      </c>
      <c r="D3722" s="109" t="s">
        <v>23060</v>
      </c>
      <c r="E3722" s="109" t="s">
        <v>5558</v>
      </c>
      <c r="F3722" s="109" t="s">
        <v>23061</v>
      </c>
      <c r="G3722" s="110" t="s">
        <v>6248</v>
      </c>
      <c r="H3722" s="110" t="s">
        <v>8905</v>
      </c>
      <c r="I3722" s="110" t="s">
        <v>23062</v>
      </c>
    </row>
    <row r="3723" spans="1:9" ht="37.799999999999997" x14ac:dyDescent="0.3">
      <c r="A3723" s="109" t="s">
        <v>23063</v>
      </c>
      <c r="B3723" s="109" t="s">
        <v>22985</v>
      </c>
      <c r="C3723" s="109" t="s">
        <v>22985</v>
      </c>
      <c r="D3723" s="109" t="s">
        <v>23064</v>
      </c>
      <c r="E3723" s="109" t="s">
        <v>5558</v>
      </c>
      <c r="F3723" s="109" t="s">
        <v>23065</v>
      </c>
      <c r="G3723" s="110" t="s">
        <v>6248</v>
      </c>
      <c r="H3723" s="110" t="s">
        <v>9005</v>
      </c>
      <c r="I3723" s="110" t="s">
        <v>23066</v>
      </c>
    </row>
    <row r="3724" spans="1:9" ht="25.2" x14ac:dyDescent="0.3">
      <c r="A3724" s="109" t="s">
        <v>23067</v>
      </c>
      <c r="B3724" s="109" t="s">
        <v>22985</v>
      </c>
      <c r="C3724" s="109" t="s">
        <v>22985</v>
      </c>
      <c r="D3724" s="109" t="s">
        <v>23068</v>
      </c>
      <c r="E3724" s="109" t="s">
        <v>5558</v>
      </c>
      <c r="F3724" s="109" t="s">
        <v>23069</v>
      </c>
      <c r="G3724" s="110" t="s">
        <v>6248</v>
      </c>
      <c r="H3724" s="110" t="s">
        <v>9005</v>
      </c>
      <c r="I3724" s="110" t="s">
        <v>23070</v>
      </c>
    </row>
    <row r="3725" spans="1:9" ht="37.799999999999997" x14ac:dyDescent="0.3">
      <c r="A3725" s="109" t="s">
        <v>23071</v>
      </c>
      <c r="B3725" s="109" t="s">
        <v>22985</v>
      </c>
      <c r="C3725" s="109" t="s">
        <v>22985</v>
      </c>
      <c r="D3725" s="109" t="s">
        <v>23072</v>
      </c>
      <c r="E3725" s="109" t="s">
        <v>5558</v>
      </c>
      <c r="F3725" s="109" t="s">
        <v>23073</v>
      </c>
      <c r="G3725" s="110" t="s">
        <v>6248</v>
      </c>
      <c r="H3725" s="110" t="s">
        <v>9158</v>
      </c>
      <c r="I3725" s="110" t="s">
        <v>23074</v>
      </c>
    </row>
    <row r="3726" spans="1:9" ht="25.2" x14ac:dyDescent="0.3">
      <c r="A3726" s="109" t="s">
        <v>23075</v>
      </c>
      <c r="B3726" s="109" t="s">
        <v>22985</v>
      </c>
      <c r="C3726" s="109" t="s">
        <v>22985</v>
      </c>
      <c r="D3726" s="109" t="s">
        <v>23076</v>
      </c>
      <c r="E3726" s="109" t="s">
        <v>5558</v>
      </c>
      <c r="F3726" s="109" t="s">
        <v>23077</v>
      </c>
      <c r="G3726" s="110" t="s">
        <v>6248</v>
      </c>
      <c r="H3726" s="110" t="s">
        <v>6575</v>
      </c>
      <c r="I3726" s="110" t="s">
        <v>23078</v>
      </c>
    </row>
    <row r="3727" spans="1:9" ht="25.2" x14ac:dyDescent="0.3">
      <c r="A3727" s="109" t="s">
        <v>23079</v>
      </c>
      <c r="B3727" s="109" t="s">
        <v>22985</v>
      </c>
      <c r="C3727" s="109" t="s">
        <v>22985</v>
      </c>
      <c r="D3727" s="109" t="s">
        <v>23080</v>
      </c>
      <c r="E3727" s="109" t="s">
        <v>5558</v>
      </c>
      <c r="F3727" s="109" t="s">
        <v>23081</v>
      </c>
      <c r="G3727" s="110" t="s">
        <v>6248</v>
      </c>
      <c r="H3727" s="110" t="s">
        <v>6570</v>
      </c>
      <c r="I3727" s="110" t="s">
        <v>23082</v>
      </c>
    </row>
    <row r="3728" spans="1:9" ht="25.2" x14ac:dyDescent="0.3">
      <c r="A3728" s="109" t="s">
        <v>23083</v>
      </c>
      <c r="B3728" s="109" t="s">
        <v>22985</v>
      </c>
      <c r="C3728" s="109" t="s">
        <v>22985</v>
      </c>
      <c r="D3728" s="109" t="s">
        <v>23084</v>
      </c>
      <c r="E3728" s="109" t="s">
        <v>5558</v>
      </c>
      <c r="F3728" s="109" t="s">
        <v>23085</v>
      </c>
      <c r="G3728" s="110" t="s">
        <v>6248</v>
      </c>
      <c r="H3728" s="110" t="s">
        <v>7898</v>
      </c>
      <c r="I3728" s="110" t="s">
        <v>23086</v>
      </c>
    </row>
    <row r="3729" spans="1:9" ht="37.799999999999997" x14ac:dyDescent="0.3">
      <c r="A3729" s="109" t="s">
        <v>23087</v>
      </c>
      <c r="B3729" s="109" t="s">
        <v>22985</v>
      </c>
      <c r="C3729" s="109" t="s">
        <v>22985</v>
      </c>
      <c r="D3729" s="109" t="s">
        <v>23088</v>
      </c>
      <c r="E3729" s="109" t="s">
        <v>5558</v>
      </c>
      <c r="F3729" s="109" t="s">
        <v>23089</v>
      </c>
      <c r="G3729" s="110" t="s">
        <v>6248</v>
      </c>
      <c r="H3729" s="110" t="s">
        <v>6374</v>
      </c>
      <c r="I3729" s="110" t="s">
        <v>23090</v>
      </c>
    </row>
    <row r="3730" spans="1:9" ht="25.2" x14ac:dyDescent="0.3">
      <c r="A3730" s="109" t="s">
        <v>23091</v>
      </c>
      <c r="B3730" s="109" t="s">
        <v>22985</v>
      </c>
      <c r="C3730" s="109" t="s">
        <v>22985</v>
      </c>
      <c r="D3730" s="109" t="s">
        <v>23092</v>
      </c>
      <c r="E3730" s="109" t="s">
        <v>5558</v>
      </c>
      <c r="F3730" s="109" t="s">
        <v>23093</v>
      </c>
      <c r="G3730" s="110" t="s">
        <v>6248</v>
      </c>
      <c r="H3730" s="110" t="s">
        <v>6517</v>
      </c>
      <c r="I3730" s="110" t="s">
        <v>23094</v>
      </c>
    </row>
    <row r="3731" spans="1:9" ht="25.2" x14ac:dyDescent="0.3">
      <c r="A3731" s="109" t="s">
        <v>23095</v>
      </c>
      <c r="B3731" s="109" t="s">
        <v>22985</v>
      </c>
      <c r="C3731" s="109" t="s">
        <v>22985</v>
      </c>
      <c r="D3731" s="109" t="s">
        <v>23096</v>
      </c>
      <c r="E3731" s="109" t="s">
        <v>5558</v>
      </c>
      <c r="F3731" s="109" t="s">
        <v>23097</v>
      </c>
      <c r="G3731" s="110" t="s">
        <v>6248</v>
      </c>
      <c r="H3731" s="110" t="s">
        <v>6575</v>
      </c>
      <c r="I3731" s="110" t="s">
        <v>23098</v>
      </c>
    </row>
    <row r="3732" spans="1:9" ht="37.799999999999997" x14ac:dyDescent="0.3">
      <c r="A3732" s="109" t="s">
        <v>23099</v>
      </c>
      <c r="B3732" s="109" t="s">
        <v>22985</v>
      </c>
      <c r="C3732" s="109" t="s">
        <v>22985</v>
      </c>
      <c r="D3732" s="109" t="s">
        <v>23100</v>
      </c>
      <c r="E3732" s="109" t="s">
        <v>5558</v>
      </c>
      <c r="F3732" s="109" t="s">
        <v>23101</v>
      </c>
      <c r="G3732" s="110" t="s">
        <v>6248</v>
      </c>
      <c r="H3732" s="110" t="s">
        <v>6393</v>
      </c>
      <c r="I3732" s="110" t="s">
        <v>23102</v>
      </c>
    </row>
    <row r="3733" spans="1:9" ht="25.2" x14ac:dyDescent="0.3">
      <c r="A3733" s="109" t="s">
        <v>23103</v>
      </c>
      <c r="B3733" s="109" t="s">
        <v>22985</v>
      </c>
      <c r="C3733" s="109" t="s">
        <v>22985</v>
      </c>
      <c r="D3733" s="109" t="s">
        <v>23104</v>
      </c>
      <c r="E3733" s="109" t="s">
        <v>5558</v>
      </c>
      <c r="F3733" s="109" t="s">
        <v>23105</v>
      </c>
      <c r="G3733" s="110" t="s">
        <v>6248</v>
      </c>
      <c r="H3733" s="110" t="s">
        <v>7128</v>
      </c>
      <c r="I3733" s="110" t="s">
        <v>23106</v>
      </c>
    </row>
    <row r="3734" spans="1:9" ht="25.2" x14ac:dyDescent="0.3">
      <c r="A3734" s="109" t="s">
        <v>23107</v>
      </c>
      <c r="B3734" s="109" t="s">
        <v>22985</v>
      </c>
      <c r="C3734" s="109" t="s">
        <v>22985</v>
      </c>
      <c r="D3734" s="109" t="s">
        <v>23108</v>
      </c>
      <c r="E3734" s="109" t="s">
        <v>5558</v>
      </c>
      <c r="F3734" s="109" t="s">
        <v>23109</v>
      </c>
      <c r="G3734" s="110" t="s">
        <v>6248</v>
      </c>
      <c r="H3734" s="110" t="s">
        <v>7898</v>
      </c>
      <c r="I3734" s="110" t="s">
        <v>23110</v>
      </c>
    </row>
    <row r="3735" spans="1:9" ht="25.2" x14ac:dyDescent="0.3">
      <c r="A3735" s="109" t="s">
        <v>23111</v>
      </c>
      <c r="B3735" s="109" t="s">
        <v>22985</v>
      </c>
      <c r="C3735" s="109" t="s">
        <v>22985</v>
      </c>
      <c r="D3735" s="109" t="s">
        <v>23112</v>
      </c>
      <c r="E3735" s="109" t="s">
        <v>5558</v>
      </c>
      <c r="F3735" s="109" t="s">
        <v>23113</v>
      </c>
      <c r="G3735" s="110" t="s">
        <v>6248</v>
      </c>
      <c r="H3735" s="110" t="s">
        <v>14963</v>
      </c>
      <c r="I3735" s="110" t="s">
        <v>23114</v>
      </c>
    </row>
    <row r="3736" spans="1:9" ht="37.799999999999997" x14ac:dyDescent="0.3">
      <c r="A3736" s="109" t="s">
        <v>23115</v>
      </c>
      <c r="B3736" s="109" t="s">
        <v>22985</v>
      </c>
      <c r="C3736" s="109" t="s">
        <v>22985</v>
      </c>
      <c r="D3736" s="109" t="s">
        <v>23116</v>
      </c>
      <c r="E3736" s="109" t="s">
        <v>5558</v>
      </c>
      <c r="F3736" s="109" t="s">
        <v>23117</v>
      </c>
      <c r="G3736" s="110" t="s">
        <v>6248</v>
      </c>
      <c r="H3736" s="110" t="s">
        <v>8905</v>
      </c>
      <c r="I3736" s="110" t="s">
        <v>23118</v>
      </c>
    </row>
    <row r="3737" spans="1:9" ht="25.2" x14ac:dyDescent="0.3">
      <c r="A3737" s="109" t="s">
        <v>23119</v>
      </c>
      <c r="B3737" s="109" t="s">
        <v>22985</v>
      </c>
      <c r="C3737" s="109" t="s">
        <v>22985</v>
      </c>
      <c r="D3737" s="109" t="s">
        <v>23120</v>
      </c>
      <c r="E3737" s="109" t="s">
        <v>5558</v>
      </c>
      <c r="F3737" s="109" t="s">
        <v>23121</v>
      </c>
      <c r="G3737" s="110" t="s">
        <v>6248</v>
      </c>
      <c r="H3737" s="110" t="s">
        <v>6393</v>
      </c>
      <c r="I3737" s="110" t="s">
        <v>23122</v>
      </c>
    </row>
    <row r="3738" spans="1:9" ht="37.799999999999997" x14ac:dyDescent="0.3">
      <c r="A3738" s="109" t="s">
        <v>23123</v>
      </c>
      <c r="B3738" s="109" t="s">
        <v>22985</v>
      </c>
      <c r="C3738" s="109" t="s">
        <v>22985</v>
      </c>
      <c r="D3738" s="109" t="s">
        <v>23124</v>
      </c>
      <c r="E3738" s="109" t="s">
        <v>5558</v>
      </c>
      <c r="F3738" s="109" t="s">
        <v>23125</v>
      </c>
      <c r="G3738" s="110" t="s">
        <v>6248</v>
      </c>
      <c r="H3738" s="110" t="s">
        <v>7592</v>
      </c>
      <c r="I3738" s="110" t="s">
        <v>23126</v>
      </c>
    </row>
    <row r="3739" spans="1:9" ht="37.799999999999997" x14ac:dyDescent="0.3">
      <c r="A3739" s="109" t="s">
        <v>23127</v>
      </c>
      <c r="B3739" s="109" t="s">
        <v>22985</v>
      </c>
      <c r="C3739" s="109" t="s">
        <v>22985</v>
      </c>
      <c r="D3739" s="109" t="s">
        <v>23128</v>
      </c>
      <c r="E3739" s="109" t="s">
        <v>5558</v>
      </c>
      <c r="F3739" s="109" t="s">
        <v>23129</v>
      </c>
      <c r="G3739" s="110" t="s">
        <v>6248</v>
      </c>
      <c r="H3739" s="110" t="s">
        <v>23130</v>
      </c>
      <c r="I3739" s="110" t="s">
        <v>23131</v>
      </c>
    </row>
    <row r="3740" spans="1:9" ht="25.2" x14ac:dyDescent="0.3">
      <c r="A3740" s="109" t="s">
        <v>23132</v>
      </c>
      <c r="B3740" s="109" t="s">
        <v>22985</v>
      </c>
      <c r="C3740" s="109" t="s">
        <v>22985</v>
      </c>
      <c r="D3740" s="109" t="s">
        <v>23133</v>
      </c>
      <c r="E3740" s="109" t="s">
        <v>5558</v>
      </c>
      <c r="F3740" s="109" t="s">
        <v>23134</v>
      </c>
      <c r="G3740" s="110" t="s">
        <v>6248</v>
      </c>
      <c r="H3740" s="110" t="s">
        <v>23135</v>
      </c>
      <c r="I3740" s="110" t="s">
        <v>23136</v>
      </c>
    </row>
    <row r="3741" spans="1:9" ht="25.2" x14ac:dyDescent="0.3">
      <c r="A3741" s="109" t="s">
        <v>23137</v>
      </c>
      <c r="B3741" s="109" t="s">
        <v>22985</v>
      </c>
      <c r="C3741" s="109" t="s">
        <v>22985</v>
      </c>
      <c r="D3741" s="109" t="s">
        <v>23138</v>
      </c>
      <c r="E3741" s="109" t="s">
        <v>5558</v>
      </c>
      <c r="F3741" s="109" t="s">
        <v>23139</v>
      </c>
      <c r="G3741" s="110" t="s">
        <v>6248</v>
      </c>
      <c r="H3741" s="110" t="s">
        <v>6398</v>
      </c>
      <c r="I3741" s="110" t="s">
        <v>23140</v>
      </c>
    </row>
    <row r="3742" spans="1:9" ht="37.799999999999997" x14ac:dyDescent="0.3">
      <c r="A3742" s="109" t="s">
        <v>23141</v>
      </c>
      <c r="B3742" s="109" t="s">
        <v>22985</v>
      </c>
      <c r="C3742" s="109" t="s">
        <v>22985</v>
      </c>
      <c r="D3742" s="109" t="s">
        <v>23142</v>
      </c>
      <c r="E3742" s="109" t="s">
        <v>5558</v>
      </c>
      <c r="F3742" s="109" t="s">
        <v>23143</v>
      </c>
      <c r="G3742" s="110" t="s">
        <v>6248</v>
      </c>
      <c r="H3742" s="110" t="s">
        <v>12935</v>
      </c>
      <c r="I3742" s="110" t="s">
        <v>23144</v>
      </c>
    </row>
    <row r="3743" spans="1:9" ht="25.2" x14ac:dyDescent="0.3">
      <c r="A3743" s="109" t="s">
        <v>23145</v>
      </c>
      <c r="B3743" s="109" t="s">
        <v>22985</v>
      </c>
      <c r="C3743" s="109" t="s">
        <v>22985</v>
      </c>
      <c r="D3743" s="109" t="s">
        <v>23146</v>
      </c>
      <c r="E3743" s="109" t="s">
        <v>5558</v>
      </c>
      <c r="F3743" s="109" t="s">
        <v>23147</v>
      </c>
      <c r="G3743" s="110" t="s">
        <v>6248</v>
      </c>
      <c r="H3743" s="110" t="s">
        <v>23148</v>
      </c>
      <c r="I3743" s="110" t="s">
        <v>23149</v>
      </c>
    </row>
    <row r="3744" spans="1:9" ht="37.799999999999997" x14ac:dyDescent="0.3">
      <c r="A3744" s="109" t="s">
        <v>23150</v>
      </c>
      <c r="B3744" s="109" t="s">
        <v>22985</v>
      </c>
      <c r="C3744" s="109" t="s">
        <v>22985</v>
      </c>
      <c r="D3744" s="109" t="s">
        <v>23151</v>
      </c>
      <c r="E3744" s="109" t="s">
        <v>5558</v>
      </c>
      <c r="F3744" s="109" t="s">
        <v>23152</v>
      </c>
      <c r="G3744" s="110" t="s">
        <v>6248</v>
      </c>
      <c r="H3744" s="110" t="s">
        <v>23153</v>
      </c>
      <c r="I3744" s="110" t="s">
        <v>23154</v>
      </c>
    </row>
    <row r="3745" spans="1:9" ht="25.2" x14ac:dyDescent="0.3">
      <c r="A3745" s="109" t="s">
        <v>23155</v>
      </c>
      <c r="B3745" s="109" t="s">
        <v>22985</v>
      </c>
      <c r="C3745" s="109" t="s">
        <v>22985</v>
      </c>
      <c r="D3745" s="109" t="s">
        <v>23156</v>
      </c>
      <c r="E3745" s="109" t="s">
        <v>23157</v>
      </c>
      <c r="F3745" s="109" t="s">
        <v>10749</v>
      </c>
      <c r="G3745" s="110" t="s">
        <v>6248</v>
      </c>
      <c r="H3745" s="110" t="s">
        <v>23158</v>
      </c>
      <c r="I3745" s="110" t="s">
        <v>23159</v>
      </c>
    </row>
    <row r="3746" spans="1:9" ht="37.799999999999997" x14ac:dyDescent="0.3">
      <c r="A3746" s="109" t="s">
        <v>23160</v>
      </c>
      <c r="B3746" s="109" t="s">
        <v>22985</v>
      </c>
      <c r="C3746" s="109" t="s">
        <v>22985</v>
      </c>
      <c r="D3746" s="109" t="s">
        <v>23161</v>
      </c>
      <c r="E3746" s="109" t="s">
        <v>5558</v>
      </c>
      <c r="F3746" s="109" t="s">
        <v>23162</v>
      </c>
      <c r="G3746" s="110" t="s">
        <v>6248</v>
      </c>
      <c r="H3746" s="110" t="s">
        <v>23163</v>
      </c>
      <c r="I3746" s="110" t="s">
        <v>23164</v>
      </c>
    </row>
    <row r="3747" spans="1:9" ht="37.799999999999997" x14ac:dyDescent="0.3">
      <c r="A3747" s="109" t="s">
        <v>23165</v>
      </c>
      <c r="B3747" s="109" t="s">
        <v>22985</v>
      </c>
      <c r="C3747" s="109" t="s">
        <v>22985</v>
      </c>
      <c r="D3747" s="109" t="s">
        <v>23166</v>
      </c>
      <c r="E3747" s="109" t="s">
        <v>5558</v>
      </c>
      <c r="F3747" s="109" t="s">
        <v>23167</v>
      </c>
      <c r="G3747" s="110" t="s">
        <v>6248</v>
      </c>
      <c r="H3747" s="110" t="s">
        <v>23168</v>
      </c>
      <c r="I3747" s="110" t="s">
        <v>23169</v>
      </c>
    </row>
    <row r="3748" spans="1:9" ht="25.2" x14ac:dyDescent="0.3">
      <c r="A3748" s="109" t="s">
        <v>23170</v>
      </c>
      <c r="B3748" s="109" t="s">
        <v>22985</v>
      </c>
      <c r="C3748" s="109" t="s">
        <v>22985</v>
      </c>
      <c r="D3748" s="109" t="s">
        <v>23171</v>
      </c>
      <c r="E3748" s="109" t="s">
        <v>5558</v>
      </c>
      <c r="F3748" s="109" t="s">
        <v>23172</v>
      </c>
      <c r="G3748" s="110" t="s">
        <v>6248</v>
      </c>
      <c r="H3748" s="110" t="s">
        <v>7321</v>
      </c>
      <c r="I3748" s="110" t="s">
        <v>23173</v>
      </c>
    </row>
    <row r="3749" spans="1:9" ht="37.799999999999997" x14ac:dyDescent="0.3">
      <c r="A3749" s="109" t="s">
        <v>23174</v>
      </c>
      <c r="B3749" s="109" t="s">
        <v>22985</v>
      </c>
      <c r="C3749" s="109" t="s">
        <v>22985</v>
      </c>
      <c r="D3749" s="109" t="s">
        <v>23175</v>
      </c>
      <c r="E3749" s="109" t="s">
        <v>5558</v>
      </c>
      <c r="F3749" s="109" t="s">
        <v>23176</v>
      </c>
      <c r="G3749" s="110" t="s">
        <v>6248</v>
      </c>
      <c r="H3749" s="110" t="s">
        <v>6689</v>
      </c>
      <c r="I3749" s="110" t="s">
        <v>23177</v>
      </c>
    </row>
    <row r="3750" spans="1:9" ht="37.799999999999997" x14ac:dyDescent="0.3">
      <c r="A3750" s="109" t="s">
        <v>23178</v>
      </c>
      <c r="B3750" s="109" t="s">
        <v>22985</v>
      </c>
      <c r="C3750" s="109" t="s">
        <v>22985</v>
      </c>
      <c r="D3750" s="109" t="s">
        <v>23179</v>
      </c>
      <c r="E3750" s="109" t="s">
        <v>5558</v>
      </c>
      <c r="F3750" s="109" t="s">
        <v>23180</v>
      </c>
      <c r="G3750" s="110" t="s">
        <v>6248</v>
      </c>
      <c r="H3750" s="110" t="s">
        <v>6689</v>
      </c>
      <c r="I3750" s="110" t="s">
        <v>23181</v>
      </c>
    </row>
    <row r="3751" spans="1:9" ht="37.799999999999997" x14ac:dyDescent="0.3">
      <c r="A3751" s="109" t="s">
        <v>23182</v>
      </c>
      <c r="B3751" s="109" t="s">
        <v>22985</v>
      </c>
      <c r="C3751" s="109" t="s">
        <v>22985</v>
      </c>
      <c r="D3751" s="109" t="s">
        <v>23183</v>
      </c>
      <c r="E3751" s="109" t="s">
        <v>5558</v>
      </c>
      <c r="F3751" s="109" t="s">
        <v>23184</v>
      </c>
      <c r="G3751" s="110" t="s">
        <v>6248</v>
      </c>
      <c r="H3751" s="110" t="s">
        <v>23185</v>
      </c>
      <c r="I3751" s="110" t="s">
        <v>23186</v>
      </c>
    </row>
    <row r="3752" spans="1:9" ht="25.2" x14ac:dyDescent="0.3">
      <c r="A3752" s="109" t="s">
        <v>23187</v>
      </c>
      <c r="B3752" s="109" t="s">
        <v>22985</v>
      </c>
      <c r="C3752" s="109" t="s">
        <v>22985</v>
      </c>
      <c r="D3752" s="109" t="s">
        <v>23188</v>
      </c>
      <c r="E3752" s="109" t="s">
        <v>5558</v>
      </c>
      <c r="F3752" s="109" t="s">
        <v>23189</v>
      </c>
      <c r="G3752" s="110" t="s">
        <v>6248</v>
      </c>
      <c r="H3752" s="110" t="s">
        <v>23190</v>
      </c>
      <c r="I3752" s="110" t="s">
        <v>23191</v>
      </c>
    </row>
    <row r="3753" spans="1:9" ht="25.2" x14ac:dyDescent="0.3">
      <c r="A3753" s="109" t="s">
        <v>23192</v>
      </c>
      <c r="B3753" s="109" t="s">
        <v>22985</v>
      </c>
      <c r="C3753" s="109" t="s">
        <v>22985</v>
      </c>
      <c r="D3753" s="109" t="s">
        <v>23193</v>
      </c>
      <c r="E3753" s="109" t="s">
        <v>5558</v>
      </c>
      <c r="F3753" s="109" t="s">
        <v>23194</v>
      </c>
      <c r="G3753" s="110" t="s">
        <v>6248</v>
      </c>
      <c r="H3753" s="110" t="s">
        <v>23195</v>
      </c>
      <c r="I3753" s="110" t="s">
        <v>23196</v>
      </c>
    </row>
    <row r="3754" spans="1:9" ht="25.2" x14ac:dyDescent="0.3">
      <c r="A3754" s="109" t="s">
        <v>23197</v>
      </c>
      <c r="B3754" s="109" t="s">
        <v>22985</v>
      </c>
      <c r="C3754" s="109" t="s">
        <v>22985</v>
      </c>
      <c r="D3754" s="109" t="s">
        <v>5569</v>
      </c>
      <c r="E3754" s="109" t="s">
        <v>5558</v>
      </c>
      <c r="F3754" s="109" t="s">
        <v>2258</v>
      </c>
      <c r="G3754" s="110" t="s">
        <v>6248</v>
      </c>
      <c r="H3754" s="110" t="s">
        <v>9574</v>
      </c>
      <c r="I3754" s="110" t="s">
        <v>23198</v>
      </c>
    </row>
    <row r="3755" spans="1:9" ht="37.799999999999997" x14ac:dyDescent="0.3">
      <c r="A3755" s="109" t="s">
        <v>23199</v>
      </c>
      <c r="B3755" s="109" t="s">
        <v>22985</v>
      </c>
      <c r="C3755" s="109" t="s">
        <v>22985</v>
      </c>
      <c r="D3755" s="109" t="s">
        <v>23200</v>
      </c>
      <c r="E3755" s="109" t="s">
        <v>5558</v>
      </c>
      <c r="F3755" s="109" t="s">
        <v>23201</v>
      </c>
      <c r="G3755" s="110" t="s">
        <v>6248</v>
      </c>
      <c r="H3755" s="110" t="s">
        <v>23202</v>
      </c>
      <c r="I3755" s="110" t="s">
        <v>23203</v>
      </c>
    </row>
    <row r="3756" spans="1:9" ht="25.2" x14ac:dyDescent="0.3">
      <c r="A3756" s="109" t="s">
        <v>23204</v>
      </c>
      <c r="B3756" s="109" t="s">
        <v>22985</v>
      </c>
      <c r="C3756" s="109" t="s">
        <v>22985</v>
      </c>
      <c r="D3756" s="109" t="s">
        <v>23205</v>
      </c>
      <c r="E3756" s="109" t="s">
        <v>23206</v>
      </c>
      <c r="F3756" s="109" t="s">
        <v>10289</v>
      </c>
      <c r="G3756" s="110" t="s">
        <v>6248</v>
      </c>
      <c r="H3756" s="110" t="s">
        <v>23207</v>
      </c>
      <c r="I3756" s="110" t="s">
        <v>23208</v>
      </c>
    </row>
    <row r="3757" spans="1:9" ht="25.2" x14ac:dyDescent="0.3">
      <c r="A3757" s="109" t="s">
        <v>23209</v>
      </c>
      <c r="B3757" s="109" t="s">
        <v>22985</v>
      </c>
      <c r="C3757" s="109" t="s">
        <v>22985</v>
      </c>
      <c r="D3757" s="109" t="s">
        <v>23210</v>
      </c>
      <c r="E3757" s="109" t="s">
        <v>23211</v>
      </c>
      <c r="F3757" s="109" t="s">
        <v>19884</v>
      </c>
      <c r="G3757" s="110" t="s">
        <v>6248</v>
      </c>
      <c r="H3757" s="110" t="s">
        <v>19885</v>
      </c>
      <c r="I3757" s="110" t="s">
        <v>23212</v>
      </c>
    </row>
    <row r="3758" spans="1:9" ht="37.799999999999997" x14ac:dyDescent="0.3">
      <c r="A3758" s="109" t="s">
        <v>23213</v>
      </c>
      <c r="B3758" s="109" t="s">
        <v>22985</v>
      </c>
      <c r="C3758" s="109" t="s">
        <v>22985</v>
      </c>
      <c r="D3758" s="109" t="s">
        <v>23214</v>
      </c>
      <c r="E3758" s="109" t="s">
        <v>5558</v>
      </c>
      <c r="F3758" s="109" t="s">
        <v>23215</v>
      </c>
      <c r="G3758" s="110" t="s">
        <v>6248</v>
      </c>
      <c r="H3758" s="110" t="s">
        <v>8445</v>
      </c>
      <c r="I3758" s="110" t="s">
        <v>23216</v>
      </c>
    </row>
    <row r="3759" spans="1:9" ht="37.799999999999997" x14ac:dyDescent="0.3">
      <c r="A3759" s="109" t="s">
        <v>23217</v>
      </c>
      <c r="B3759" s="109" t="s">
        <v>22985</v>
      </c>
      <c r="C3759" s="109" t="s">
        <v>22985</v>
      </c>
      <c r="D3759" s="109" t="s">
        <v>23218</v>
      </c>
      <c r="E3759" s="109" t="s">
        <v>5558</v>
      </c>
      <c r="F3759" s="109" t="s">
        <v>23219</v>
      </c>
      <c r="G3759" s="110" t="s">
        <v>6248</v>
      </c>
      <c r="H3759" s="110" t="s">
        <v>23220</v>
      </c>
      <c r="I3759" s="110" t="s">
        <v>23221</v>
      </c>
    </row>
    <row r="3760" spans="1:9" ht="37.799999999999997" x14ac:dyDescent="0.3">
      <c r="A3760" s="109" t="s">
        <v>23222</v>
      </c>
      <c r="B3760" s="109" t="s">
        <v>22985</v>
      </c>
      <c r="C3760" s="109" t="s">
        <v>22985</v>
      </c>
      <c r="D3760" s="109" t="s">
        <v>23223</v>
      </c>
      <c r="E3760" s="109" t="s">
        <v>5558</v>
      </c>
      <c r="F3760" s="109" t="s">
        <v>23224</v>
      </c>
      <c r="G3760" s="110" t="s">
        <v>6248</v>
      </c>
      <c r="H3760" s="110" t="s">
        <v>23225</v>
      </c>
      <c r="I3760" s="110" t="s">
        <v>23226</v>
      </c>
    </row>
    <row r="3761" spans="1:9" ht="25.2" x14ac:dyDescent="0.3">
      <c r="A3761" s="109" t="s">
        <v>23227</v>
      </c>
      <c r="B3761" s="109" t="s">
        <v>22985</v>
      </c>
      <c r="C3761" s="109" t="s">
        <v>22985</v>
      </c>
      <c r="D3761" s="109" t="s">
        <v>23228</v>
      </c>
      <c r="E3761" s="109" t="s">
        <v>23229</v>
      </c>
      <c r="F3761" s="109" t="s">
        <v>23230</v>
      </c>
      <c r="G3761" s="110" t="s">
        <v>23231</v>
      </c>
      <c r="H3761" s="110" t="s">
        <v>6248</v>
      </c>
      <c r="I3761" s="110" t="s">
        <v>23232</v>
      </c>
    </row>
    <row r="3762" spans="1:9" ht="25.2" x14ac:dyDescent="0.3">
      <c r="A3762" s="109" t="s">
        <v>23233</v>
      </c>
      <c r="B3762" s="109" t="s">
        <v>22985</v>
      </c>
      <c r="C3762" s="109" t="s">
        <v>22985</v>
      </c>
      <c r="D3762" s="109" t="s">
        <v>23234</v>
      </c>
      <c r="E3762" s="109" t="s">
        <v>23235</v>
      </c>
      <c r="F3762" s="109" t="s">
        <v>23236</v>
      </c>
      <c r="G3762" s="110" t="s">
        <v>23237</v>
      </c>
      <c r="H3762" s="110" t="s">
        <v>6248</v>
      </c>
      <c r="I3762" s="110" t="s">
        <v>23238</v>
      </c>
    </row>
    <row r="3763" spans="1:9" ht="25.2" x14ac:dyDescent="0.3">
      <c r="A3763" s="109" t="s">
        <v>23239</v>
      </c>
      <c r="B3763" s="109" t="s">
        <v>22985</v>
      </c>
      <c r="C3763" s="109" t="s">
        <v>22985</v>
      </c>
      <c r="D3763" s="109" t="s">
        <v>23240</v>
      </c>
      <c r="E3763" s="109" t="s">
        <v>23235</v>
      </c>
      <c r="F3763" s="109" t="s">
        <v>23241</v>
      </c>
      <c r="G3763" s="110" t="s">
        <v>23242</v>
      </c>
      <c r="H3763" s="110" t="s">
        <v>6248</v>
      </c>
      <c r="I3763" s="110" t="s">
        <v>23243</v>
      </c>
    </row>
    <row r="3764" spans="1:9" ht="25.2" x14ac:dyDescent="0.3">
      <c r="A3764" s="109" t="s">
        <v>23244</v>
      </c>
      <c r="B3764" s="109" t="s">
        <v>22985</v>
      </c>
      <c r="C3764" s="109" t="s">
        <v>22985</v>
      </c>
      <c r="D3764" s="109" t="s">
        <v>23245</v>
      </c>
      <c r="E3764" s="109" t="s">
        <v>23235</v>
      </c>
      <c r="F3764" s="109" t="s">
        <v>23246</v>
      </c>
      <c r="G3764" s="110" t="s">
        <v>7254</v>
      </c>
      <c r="H3764" s="110" t="s">
        <v>6248</v>
      </c>
      <c r="I3764" s="110" t="s">
        <v>23247</v>
      </c>
    </row>
    <row r="3765" spans="1:9" ht="25.2" x14ac:dyDescent="0.3">
      <c r="A3765" s="109" t="s">
        <v>23248</v>
      </c>
      <c r="B3765" s="109" t="s">
        <v>22985</v>
      </c>
      <c r="C3765" s="109" t="s">
        <v>22985</v>
      </c>
      <c r="D3765" s="109" t="s">
        <v>23249</v>
      </c>
      <c r="E3765" s="109" t="s">
        <v>23235</v>
      </c>
      <c r="F3765" s="109" t="s">
        <v>23250</v>
      </c>
      <c r="G3765" s="110" t="s">
        <v>7254</v>
      </c>
      <c r="H3765" s="110" t="s">
        <v>6248</v>
      </c>
      <c r="I3765" s="110" t="s">
        <v>23251</v>
      </c>
    </row>
    <row r="3766" spans="1:9" ht="25.2" x14ac:dyDescent="0.3">
      <c r="A3766" s="109" t="s">
        <v>23252</v>
      </c>
      <c r="B3766" s="109" t="s">
        <v>22985</v>
      </c>
      <c r="C3766" s="109" t="s">
        <v>22985</v>
      </c>
      <c r="D3766" s="109" t="s">
        <v>23253</v>
      </c>
      <c r="E3766" s="109" t="s">
        <v>23235</v>
      </c>
      <c r="F3766" s="109" t="s">
        <v>23254</v>
      </c>
      <c r="G3766" s="110" t="s">
        <v>11819</v>
      </c>
      <c r="H3766" s="110" t="s">
        <v>6248</v>
      </c>
      <c r="I3766" s="110" t="s">
        <v>23255</v>
      </c>
    </row>
    <row r="3767" spans="1:9" ht="25.2" x14ac:dyDescent="0.3">
      <c r="A3767" s="109" t="s">
        <v>23256</v>
      </c>
      <c r="B3767" s="109" t="s">
        <v>22985</v>
      </c>
      <c r="C3767" s="109" t="s">
        <v>22985</v>
      </c>
      <c r="D3767" s="109" t="s">
        <v>23257</v>
      </c>
      <c r="E3767" s="109" t="s">
        <v>23229</v>
      </c>
      <c r="F3767" s="109" t="s">
        <v>23258</v>
      </c>
      <c r="G3767" s="110" t="s">
        <v>7254</v>
      </c>
      <c r="H3767" s="110" t="s">
        <v>6248</v>
      </c>
      <c r="I3767" s="110" t="s">
        <v>23259</v>
      </c>
    </row>
    <row r="3768" spans="1:9" ht="25.2" x14ac:dyDescent="0.3">
      <c r="A3768" s="109" t="s">
        <v>23260</v>
      </c>
      <c r="B3768" s="109" t="s">
        <v>22985</v>
      </c>
      <c r="C3768" s="109" t="s">
        <v>22985</v>
      </c>
      <c r="D3768" s="109" t="s">
        <v>23261</v>
      </c>
      <c r="E3768" s="109" t="s">
        <v>23235</v>
      </c>
      <c r="F3768" s="109" t="s">
        <v>23262</v>
      </c>
      <c r="G3768" s="110" t="s">
        <v>11819</v>
      </c>
      <c r="H3768" s="110" t="s">
        <v>6248</v>
      </c>
      <c r="I3768" s="110" t="s">
        <v>23263</v>
      </c>
    </row>
    <row r="3769" spans="1:9" ht="25.2" x14ac:dyDescent="0.3">
      <c r="A3769" s="109" t="s">
        <v>23264</v>
      </c>
      <c r="B3769" s="109" t="s">
        <v>22985</v>
      </c>
      <c r="C3769" s="109" t="s">
        <v>22985</v>
      </c>
      <c r="D3769" s="109" t="s">
        <v>23265</v>
      </c>
      <c r="E3769" s="109" t="s">
        <v>23229</v>
      </c>
      <c r="F3769" s="109" t="s">
        <v>23266</v>
      </c>
      <c r="G3769" s="110" t="s">
        <v>11819</v>
      </c>
      <c r="H3769" s="110" t="s">
        <v>6248</v>
      </c>
      <c r="I3769" s="110" t="s">
        <v>23267</v>
      </c>
    </row>
    <row r="3770" spans="1:9" ht="37.799999999999997" x14ac:dyDescent="0.3">
      <c r="A3770" s="109" t="s">
        <v>23268</v>
      </c>
      <c r="B3770" s="109" t="s">
        <v>22985</v>
      </c>
      <c r="C3770" s="109" t="s">
        <v>22985</v>
      </c>
      <c r="D3770" s="109" t="s">
        <v>3967</v>
      </c>
      <c r="E3770" s="109" t="s">
        <v>5558</v>
      </c>
      <c r="F3770" s="109" t="s">
        <v>23269</v>
      </c>
      <c r="G3770" s="110" t="s">
        <v>6248</v>
      </c>
      <c r="H3770" s="110" t="s">
        <v>23270</v>
      </c>
      <c r="I3770" s="110" t="s">
        <v>23271</v>
      </c>
    </row>
    <row r="3771" spans="1:9" ht="25.2" x14ac:dyDescent="0.3">
      <c r="A3771" s="109" t="s">
        <v>23272</v>
      </c>
      <c r="B3771" s="109" t="s">
        <v>22985</v>
      </c>
      <c r="C3771" s="109" t="s">
        <v>22985</v>
      </c>
      <c r="D3771" s="109" t="s">
        <v>23273</v>
      </c>
      <c r="E3771" s="109" t="s">
        <v>23274</v>
      </c>
      <c r="F3771" s="109" t="s">
        <v>23275</v>
      </c>
      <c r="G3771" s="110" t="s">
        <v>23276</v>
      </c>
      <c r="H3771" s="110" t="s">
        <v>6248</v>
      </c>
      <c r="I3771" s="110" t="s">
        <v>23277</v>
      </c>
    </row>
    <row r="3772" spans="1:9" ht="25.2" x14ac:dyDescent="0.3">
      <c r="A3772" s="109" t="s">
        <v>23278</v>
      </c>
      <c r="B3772" s="109" t="s">
        <v>22985</v>
      </c>
      <c r="C3772" s="109" t="s">
        <v>22985</v>
      </c>
      <c r="D3772" s="109" t="s">
        <v>23279</v>
      </c>
      <c r="E3772" s="109" t="s">
        <v>23280</v>
      </c>
      <c r="F3772" s="109" t="s">
        <v>23281</v>
      </c>
      <c r="G3772" s="110" t="s">
        <v>23282</v>
      </c>
      <c r="H3772" s="110" t="s">
        <v>6248</v>
      </c>
      <c r="I3772" s="110" t="s">
        <v>23283</v>
      </c>
    </row>
    <row r="3773" spans="1:9" ht="25.2" x14ac:dyDescent="0.3">
      <c r="A3773" s="109" t="s">
        <v>23284</v>
      </c>
      <c r="B3773" s="109" t="s">
        <v>22985</v>
      </c>
      <c r="C3773" s="109" t="s">
        <v>22985</v>
      </c>
      <c r="D3773" s="109" t="s">
        <v>23285</v>
      </c>
      <c r="E3773" s="109" t="s">
        <v>5558</v>
      </c>
      <c r="F3773" s="109" t="s">
        <v>23286</v>
      </c>
      <c r="G3773" s="110" t="s">
        <v>6248</v>
      </c>
      <c r="H3773" s="110" t="s">
        <v>23287</v>
      </c>
      <c r="I3773" s="110" t="s">
        <v>23288</v>
      </c>
    </row>
    <row r="3774" spans="1:9" ht="25.2" x14ac:dyDescent="0.3">
      <c r="A3774" s="109" t="s">
        <v>23289</v>
      </c>
      <c r="B3774" s="109" t="s">
        <v>22985</v>
      </c>
      <c r="C3774" s="109" t="s">
        <v>22985</v>
      </c>
      <c r="D3774" s="109" t="s">
        <v>23290</v>
      </c>
      <c r="E3774" s="109" t="s">
        <v>23291</v>
      </c>
      <c r="F3774" s="109" t="s">
        <v>21330</v>
      </c>
      <c r="G3774" s="110" t="s">
        <v>6248</v>
      </c>
      <c r="H3774" s="110" t="s">
        <v>23292</v>
      </c>
      <c r="I3774" s="110" t="s">
        <v>23293</v>
      </c>
    </row>
    <row r="3775" spans="1:9" ht="37.799999999999997" x14ac:dyDescent="0.3">
      <c r="A3775" s="109" t="s">
        <v>23294</v>
      </c>
      <c r="B3775" s="109" t="s">
        <v>22985</v>
      </c>
      <c r="C3775" s="109" t="s">
        <v>22985</v>
      </c>
      <c r="D3775" s="109" t="s">
        <v>23295</v>
      </c>
      <c r="E3775" s="109" t="s">
        <v>5558</v>
      </c>
      <c r="F3775" s="109" t="s">
        <v>23296</v>
      </c>
      <c r="G3775" s="110" t="s">
        <v>6248</v>
      </c>
      <c r="H3775" s="110" t="s">
        <v>23297</v>
      </c>
      <c r="I3775" s="110" t="s">
        <v>23298</v>
      </c>
    </row>
    <row r="3776" spans="1:9" ht="25.2" x14ac:dyDescent="0.3">
      <c r="A3776" s="109" t="s">
        <v>23299</v>
      </c>
      <c r="B3776" s="109" t="s">
        <v>22985</v>
      </c>
      <c r="C3776" s="109" t="s">
        <v>22985</v>
      </c>
      <c r="D3776" s="109" t="s">
        <v>23300</v>
      </c>
      <c r="E3776" s="109" t="s">
        <v>23301</v>
      </c>
      <c r="F3776" s="109" t="s">
        <v>23302</v>
      </c>
      <c r="G3776" s="110" t="s">
        <v>6248</v>
      </c>
      <c r="H3776" s="110" t="s">
        <v>23303</v>
      </c>
      <c r="I3776" s="110" t="s">
        <v>23304</v>
      </c>
    </row>
    <row r="3777" spans="1:9" ht="25.2" x14ac:dyDescent="0.3">
      <c r="A3777" s="109" t="s">
        <v>23305</v>
      </c>
      <c r="B3777" s="109" t="s">
        <v>22985</v>
      </c>
      <c r="C3777" s="109" t="s">
        <v>22985</v>
      </c>
      <c r="D3777" s="109" t="s">
        <v>23306</v>
      </c>
      <c r="E3777" s="109" t="s">
        <v>23307</v>
      </c>
      <c r="F3777" s="109" t="s">
        <v>10914</v>
      </c>
      <c r="G3777" s="110" t="s">
        <v>6248</v>
      </c>
      <c r="H3777" s="110" t="s">
        <v>23308</v>
      </c>
      <c r="I3777" s="110" t="s">
        <v>23309</v>
      </c>
    </row>
    <row r="3778" spans="1:9" ht="63" x14ac:dyDescent="0.3">
      <c r="A3778" s="109" t="s">
        <v>23310</v>
      </c>
      <c r="B3778" s="109" t="s">
        <v>22985</v>
      </c>
      <c r="C3778" s="109" t="s">
        <v>22985</v>
      </c>
      <c r="D3778" s="109" t="s">
        <v>23311</v>
      </c>
      <c r="E3778" s="109" t="s">
        <v>23311</v>
      </c>
      <c r="F3778" s="109" t="s">
        <v>23312</v>
      </c>
      <c r="G3778" s="110" t="s">
        <v>6248</v>
      </c>
      <c r="H3778" s="110" t="s">
        <v>23313</v>
      </c>
      <c r="I3778" s="110" t="s">
        <v>23314</v>
      </c>
    </row>
    <row r="3779" spans="1:9" ht="25.2" x14ac:dyDescent="0.3">
      <c r="A3779" s="109" t="s">
        <v>23315</v>
      </c>
      <c r="B3779" s="109" t="s">
        <v>22985</v>
      </c>
      <c r="C3779" s="109" t="s">
        <v>22985</v>
      </c>
      <c r="D3779" s="109" t="s">
        <v>23316</v>
      </c>
      <c r="E3779" s="109" t="s">
        <v>5558</v>
      </c>
      <c r="F3779" s="109" t="s">
        <v>23317</v>
      </c>
      <c r="G3779" s="110" t="s">
        <v>6248</v>
      </c>
      <c r="H3779" s="110" t="s">
        <v>23318</v>
      </c>
      <c r="I3779" s="110" t="s">
        <v>23319</v>
      </c>
    </row>
    <row r="3780" spans="1:9" ht="25.2" x14ac:dyDescent="0.3">
      <c r="A3780" s="109" t="s">
        <v>23320</v>
      </c>
      <c r="B3780" s="109" t="s">
        <v>22985</v>
      </c>
      <c r="C3780" s="109" t="s">
        <v>22985</v>
      </c>
      <c r="D3780" s="109" t="s">
        <v>23321</v>
      </c>
      <c r="E3780" s="109" t="s">
        <v>23322</v>
      </c>
      <c r="F3780" s="109" t="s">
        <v>6878</v>
      </c>
      <c r="G3780" s="110" t="s">
        <v>23323</v>
      </c>
      <c r="H3780" s="110" t="s">
        <v>6248</v>
      </c>
      <c r="I3780" s="110" t="s">
        <v>23324</v>
      </c>
    </row>
    <row r="3781" spans="1:9" ht="25.2" x14ac:dyDescent="0.3">
      <c r="A3781" s="109" t="s">
        <v>23325</v>
      </c>
      <c r="B3781" s="109" t="s">
        <v>22985</v>
      </c>
      <c r="C3781" s="109" t="s">
        <v>22985</v>
      </c>
      <c r="D3781" s="109" t="s">
        <v>23326</v>
      </c>
      <c r="E3781" s="109" t="s">
        <v>23327</v>
      </c>
      <c r="F3781" s="109" t="s">
        <v>7039</v>
      </c>
      <c r="G3781" s="110" t="s">
        <v>6248</v>
      </c>
      <c r="H3781" s="110" t="s">
        <v>18307</v>
      </c>
      <c r="I3781" s="110" t="s">
        <v>23328</v>
      </c>
    </row>
    <row r="3782" spans="1:9" ht="25.2" x14ac:dyDescent="0.3">
      <c r="A3782" s="109" t="s">
        <v>23329</v>
      </c>
      <c r="B3782" s="109" t="s">
        <v>22985</v>
      </c>
      <c r="C3782" s="109" t="s">
        <v>22985</v>
      </c>
      <c r="D3782" s="109" t="s">
        <v>23330</v>
      </c>
      <c r="E3782" s="109" t="s">
        <v>23322</v>
      </c>
      <c r="F3782" s="109" t="s">
        <v>6878</v>
      </c>
      <c r="G3782" s="110" t="s">
        <v>23331</v>
      </c>
      <c r="H3782" s="110" t="s">
        <v>6248</v>
      </c>
      <c r="I3782" s="110" t="s">
        <v>23332</v>
      </c>
    </row>
    <row r="3783" spans="1:9" ht="25.2" x14ac:dyDescent="0.3">
      <c r="A3783" s="109" t="s">
        <v>23333</v>
      </c>
      <c r="B3783" s="109" t="s">
        <v>22985</v>
      </c>
      <c r="C3783" s="109" t="s">
        <v>22985</v>
      </c>
      <c r="D3783" s="109" t="s">
        <v>3265</v>
      </c>
      <c r="E3783" s="109" t="s">
        <v>5558</v>
      </c>
      <c r="F3783" s="109" t="s">
        <v>23334</v>
      </c>
      <c r="G3783" s="110" t="s">
        <v>6248</v>
      </c>
      <c r="H3783" s="110" t="s">
        <v>8185</v>
      </c>
      <c r="I3783" s="110" t="s">
        <v>23335</v>
      </c>
    </row>
    <row r="3784" spans="1:9" ht="63" x14ac:dyDescent="0.3">
      <c r="A3784" s="109" t="s">
        <v>23336</v>
      </c>
      <c r="B3784" s="109" t="s">
        <v>22985</v>
      </c>
      <c r="C3784" s="109" t="s">
        <v>22985</v>
      </c>
      <c r="D3784" s="109" t="s">
        <v>23337</v>
      </c>
      <c r="E3784" s="109" t="s">
        <v>23337</v>
      </c>
      <c r="F3784" s="109" t="s">
        <v>23338</v>
      </c>
      <c r="G3784" s="110" t="s">
        <v>6248</v>
      </c>
      <c r="H3784" s="110" t="s">
        <v>23339</v>
      </c>
      <c r="I3784" s="110" t="s">
        <v>23340</v>
      </c>
    </row>
    <row r="3785" spans="1:9" ht="37.799999999999997" x14ac:dyDescent="0.3">
      <c r="A3785" s="109" t="s">
        <v>23341</v>
      </c>
      <c r="B3785" s="109" t="s">
        <v>22985</v>
      </c>
      <c r="C3785" s="109" t="s">
        <v>22985</v>
      </c>
      <c r="D3785" s="109" t="s">
        <v>23342</v>
      </c>
      <c r="E3785" s="109" t="s">
        <v>5558</v>
      </c>
      <c r="F3785" s="109" t="s">
        <v>23343</v>
      </c>
      <c r="G3785" s="110" t="s">
        <v>6248</v>
      </c>
      <c r="H3785" s="110" t="s">
        <v>6689</v>
      </c>
      <c r="I3785" s="110" t="s">
        <v>23344</v>
      </c>
    </row>
    <row r="3786" spans="1:9" ht="37.799999999999997" x14ac:dyDescent="0.3">
      <c r="A3786" s="109" t="s">
        <v>23345</v>
      </c>
      <c r="B3786" s="109" t="s">
        <v>22985</v>
      </c>
      <c r="C3786" s="109" t="s">
        <v>22985</v>
      </c>
      <c r="D3786" s="109" t="s">
        <v>23346</v>
      </c>
      <c r="E3786" s="109" t="s">
        <v>5558</v>
      </c>
      <c r="F3786" s="109" t="s">
        <v>23347</v>
      </c>
      <c r="G3786" s="110" t="s">
        <v>6248</v>
      </c>
      <c r="H3786" s="110" t="s">
        <v>6689</v>
      </c>
      <c r="I3786" s="110" t="s">
        <v>23348</v>
      </c>
    </row>
    <row r="3787" spans="1:9" ht="37.799999999999997" x14ac:dyDescent="0.3">
      <c r="A3787" s="109" t="s">
        <v>23349</v>
      </c>
      <c r="B3787" s="109" t="s">
        <v>22985</v>
      </c>
      <c r="C3787" s="109" t="s">
        <v>22985</v>
      </c>
      <c r="D3787" s="109" t="s">
        <v>23350</v>
      </c>
      <c r="E3787" s="109" t="s">
        <v>5558</v>
      </c>
      <c r="F3787" s="109" t="s">
        <v>23351</v>
      </c>
      <c r="G3787" s="110" t="s">
        <v>6248</v>
      </c>
      <c r="H3787" s="110" t="s">
        <v>23352</v>
      </c>
      <c r="I3787" s="110" t="s">
        <v>23353</v>
      </c>
    </row>
    <row r="3788" spans="1:9" ht="25.2" x14ac:dyDescent="0.3">
      <c r="A3788" s="109" t="s">
        <v>23354</v>
      </c>
      <c r="B3788" s="109" t="s">
        <v>22985</v>
      </c>
      <c r="C3788" s="109" t="s">
        <v>22985</v>
      </c>
      <c r="D3788" s="109" t="s">
        <v>23355</v>
      </c>
      <c r="E3788" s="109" t="s">
        <v>5558</v>
      </c>
      <c r="F3788" s="109" t="s">
        <v>23356</v>
      </c>
      <c r="G3788" s="110" t="s">
        <v>6248</v>
      </c>
      <c r="H3788" s="110" t="s">
        <v>23357</v>
      </c>
      <c r="I3788" s="110" t="s">
        <v>23358</v>
      </c>
    </row>
    <row r="3789" spans="1:9" ht="25.2" x14ac:dyDescent="0.3">
      <c r="A3789" s="109" t="s">
        <v>23359</v>
      </c>
      <c r="B3789" s="109" t="s">
        <v>22985</v>
      </c>
      <c r="C3789" s="109" t="s">
        <v>22985</v>
      </c>
      <c r="D3789" s="109" t="s">
        <v>23360</v>
      </c>
      <c r="E3789" s="109" t="s">
        <v>5558</v>
      </c>
      <c r="F3789" s="109" t="s">
        <v>23361</v>
      </c>
      <c r="G3789" s="110" t="s">
        <v>6248</v>
      </c>
      <c r="H3789" s="110" t="s">
        <v>22673</v>
      </c>
      <c r="I3789" s="110" t="s">
        <v>23362</v>
      </c>
    </row>
    <row r="3790" spans="1:9" ht="25.2" x14ac:dyDescent="0.3">
      <c r="A3790" s="109" t="s">
        <v>23363</v>
      </c>
      <c r="B3790" s="109" t="s">
        <v>22985</v>
      </c>
      <c r="C3790" s="109" t="s">
        <v>22985</v>
      </c>
      <c r="D3790" s="109" t="s">
        <v>23364</v>
      </c>
      <c r="E3790" s="109" t="s">
        <v>23365</v>
      </c>
      <c r="F3790" s="109" t="s">
        <v>8207</v>
      </c>
      <c r="G3790" s="110" t="s">
        <v>6248</v>
      </c>
      <c r="H3790" s="110" t="s">
        <v>23366</v>
      </c>
      <c r="I3790" s="110" t="s">
        <v>23367</v>
      </c>
    </row>
    <row r="3791" spans="1:9" ht="50.4" x14ac:dyDescent="0.3">
      <c r="A3791" s="109" t="s">
        <v>23368</v>
      </c>
      <c r="B3791" s="109" t="s">
        <v>22985</v>
      </c>
      <c r="C3791" s="109" t="s">
        <v>22985</v>
      </c>
      <c r="D3791" s="109" t="s">
        <v>23369</v>
      </c>
      <c r="E3791" s="109" t="s">
        <v>5558</v>
      </c>
      <c r="F3791" s="109" t="s">
        <v>23370</v>
      </c>
      <c r="G3791" s="110" t="s">
        <v>23371</v>
      </c>
      <c r="H3791" s="110" t="s">
        <v>6248</v>
      </c>
      <c r="I3791" s="110" t="s">
        <v>23372</v>
      </c>
    </row>
    <row r="3792" spans="1:9" ht="37.799999999999997" x14ac:dyDescent="0.3">
      <c r="A3792" s="109" t="s">
        <v>23373</v>
      </c>
      <c r="B3792" s="109" t="s">
        <v>22985</v>
      </c>
      <c r="C3792" s="109" t="s">
        <v>22985</v>
      </c>
      <c r="D3792" s="109" t="s">
        <v>23374</v>
      </c>
      <c r="E3792" s="109" t="s">
        <v>5558</v>
      </c>
      <c r="F3792" s="109" t="s">
        <v>23375</v>
      </c>
      <c r="G3792" s="110" t="s">
        <v>23376</v>
      </c>
      <c r="H3792" s="110" t="s">
        <v>6248</v>
      </c>
      <c r="I3792" s="110" t="s">
        <v>23377</v>
      </c>
    </row>
    <row r="3793" spans="1:9" ht="37.799999999999997" x14ac:dyDescent="0.3">
      <c r="A3793" s="109" t="s">
        <v>23378</v>
      </c>
      <c r="B3793" s="109" t="s">
        <v>22985</v>
      </c>
      <c r="C3793" s="109" t="s">
        <v>22985</v>
      </c>
      <c r="D3793" s="109" t="s">
        <v>23379</v>
      </c>
      <c r="E3793" s="109" t="s">
        <v>5558</v>
      </c>
      <c r="F3793" s="109" t="s">
        <v>23380</v>
      </c>
      <c r="G3793" s="110" t="s">
        <v>23381</v>
      </c>
      <c r="H3793" s="110" t="s">
        <v>6248</v>
      </c>
      <c r="I3793" s="110" t="s">
        <v>23382</v>
      </c>
    </row>
    <row r="3794" spans="1:9" ht="37.799999999999997" x14ac:dyDescent="0.3">
      <c r="A3794" s="109" t="s">
        <v>23383</v>
      </c>
      <c r="B3794" s="109" t="s">
        <v>22985</v>
      </c>
      <c r="C3794" s="109" t="s">
        <v>22985</v>
      </c>
      <c r="D3794" s="109" t="s">
        <v>23384</v>
      </c>
      <c r="E3794" s="109" t="s">
        <v>5558</v>
      </c>
      <c r="F3794" s="109" t="s">
        <v>23385</v>
      </c>
      <c r="G3794" s="110" t="s">
        <v>23386</v>
      </c>
      <c r="H3794" s="110" t="s">
        <v>6248</v>
      </c>
      <c r="I3794" s="110" t="s">
        <v>23387</v>
      </c>
    </row>
    <row r="3795" spans="1:9" ht="50.4" x14ac:dyDescent="0.3">
      <c r="A3795" s="109" t="s">
        <v>23388</v>
      </c>
      <c r="B3795" s="109" t="s">
        <v>22985</v>
      </c>
      <c r="C3795" s="109" t="s">
        <v>22985</v>
      </c>
      <c r="D3795" s="109" t="s">
        <v>23389</v>
      </c>
      <c r="E3795" s="109" t="s">
        <v>5558</v>
      </c>
      <c r="F3795" s="109" t="s">
        <v>23390</v>
      </c>
      <c r="G3795" s="110" t="s">
        <v>23391</v>
      </c>
      <c r="H3795" s="110" t="s">
        <v>6248</v>
      </c>
      <c r="I3795" s="110" t="s">
        <v>23392</v>
      </c>
    </row>
    <row r="3796" spans="1:9" ht="50.4" x14ac:dyDescent="0.3">
      <c r="A3796" s="109" t="s">
        <v>23393</v>
      </c>
      <c r="B3796" s="109" t="s">
        <v>22985</v>
      </c>
      <c r="C3796" s="109" t="s">
        <v>22985</v>
      </c>
      <c r="D3796" s="109" t="s">
        <v>23394</v>
      </c>
      <c r="E3796" s="109" t="s">
        <v>5558</v>
      </c>
      <c r="F3796" s="109" t="s">
        <v>23395</v>
      </c>
      <c r="G3796" s="110" t="s">
        <v>23396</v>
      </c>
      <c r="H3796" s="110" t="s">
        <v>6248</v>
      </c>
      <c r="I3796" s="110" t="s">
        <v>23397</v>
      </c>
    </row>
    <row r="3797" spans="1:9" ht="50.4" x14ac:dyDescent="0.3">
      <c r="A3797" s="109" t="s">
        <v>23398</v>
      </c>
      <c r="B3797" s="109" t="s">
        <v>22985</v>
      </c>
      <c r="C3797" s="109" t="s">
        <v>22985</v>
      </c>
      <c r="D3797" s="109" t="s">
        <v>23399</v>
      </c>
      <c r="E3797" s="109" t="s">
        <v>5558</v>
      </c>
      <c r="F3797" s="109" t="s">
        <v>23400</v>
      </c>
      <c r="G3797" s="110" t="s">
        <v>23401</v>
      </c>
      <c r="H3797" s="110" t="s">
        <v>6248</v>
      </c>
      <c r="I3797" s="110" t="s">
        <v>23402</v>
      </c>
    </row>
    <row r="3798" spans="1:9" ht="50.4" x14ac:dyDescent="0.3">
      <c r="A3798" s="109" t="s">
        <v>23403</v>
      </c>
      <c r="B3798" s="109" t="s">
        <v>22985</v>
      </c>
      <c r="C3798" s="109" t="s">
        <v>22985</v>
      </c>
      <c r="D3798" s="109" t="s">
        <v>23404</v>
      </c>
      <c r="E3798" s="109" t="s">
        <v>5558</v>
      </c>
      <c r="F3798" s="109" t="s">
        <v>23405</v>
      </c>
      <c r="G3798" s="110" t="s">
        <v>23406</v>
      </c>
      <c r="H3798" s="110" t="s">
        <v>6248</v>
      </c>
      <c r="I3798" s="110" t="s">
        <v>23407</v>
      </c>
    </row>
    <row r="3799" spans="1:9" ht="37.799999999999997" x14ac:dyDescent="0.3">
      <c r="A3799" s="109" t="s">
        <v>23408</v>
      </c>
      <c r="B3799" s="109" t="s">
        <v>22985</v>
      </c>
      <c r="C3799" s="109" t="s">
        <v>22985</v>
      </c>
      <c r="D3799" s="109" t="s">
        <v>23409</v>
      </c>
      <c r="E3799" s="109" t="s">
        <v>5558</v>
      </c>
      <c r="F3799" s="109" t="s">
        <v>23410</v>
      </c>
      <c r="G3799" s="110" t="s">
        <v>23411</v>
      </c>
      <c r="H3799" s="110" t="s">
        <v>6248</v>
      </c>
      <c r="I3799" s="110" t="s">
        <v>23412</v>
      </c>
    </row>
    <row r="3800" spans="1:9" ht="37.799999999999997" x14ac:dyDescent="0.3">
      <c r="A3800" s="109" t="s">
        <v>23413</v>
      </c>
      <c r="B3800" s="109" t="s">
        <v>22985</v>
      </c>
      <c r="C3800" s="109" t="s">
        <v>22985</v>
      </c>
      <c r="D3800" s="109" t="s">
        <v>23414</v>
      </c>
      <c r="E3800" s="109" t="s">
        <v>5558</v>
      </c>
      <c r="F3800" s="109" t="s">
        <v>23415</v>
      </c>
      <c r="G3800" s="110" t="s">
        <v>23416</v>
      </c>
      <c r="H3800" s="110" t="s">
        <v>6248</v>
      </c>
      <c r="I3800" s="110" t="s">
        <v>23417</v>
      </c>
    </row>
    <row r="3801" spans="1:9" ht="50.4" x14ac:dyDescent="0.3">
      <c r="A3801" s="109" t="s">
        <v>23418</v>
      </c>
      <c r="B3801" s="109" t="s">
        <v>22985</v>
      </c>
      <c r="C3801" s="109" t="s">
        <v>22985</v>
      </c>
      <c r="D3801" s="109" t="s">
        <v>23419</v>
      </c>
      <c r="E3801" s="109" t="s">
        <v>5558</v>
      </c>
      <c r="F3801" s="109" t="s">
        <v>23420</v>
      </c>
      <c r="G3801" s="110" t="s">
        <v>23421</v>
      </c>
      <c r="H3801" s="110" t="s">
        <v>6248</v>
      </c>
      <c r="I3801" s="110" t="s">
        <v>23422</v>
      </c>
    </row>
    <row r="3802" spans="1:9" ht="50.4" x14ac:dyDescent="0.3">
      <c r="A3802" s="109" t="s">
        <v>23423</v>
      </c>
      <c r="B3802" s="109" t="s">
        <v>22985</v>
      </c>
      <c r="C3802" s="109" t="s">
        <v>22985</v>
      </c>
      <c r="D3802" s="109" t="s">
        <v>23424</v>
      </c>
      <c r="E3802" s="109" t="s">
        <v>5558</v>
      </c>
      <c r="F3802" s="109" t="s">
        <v>23425</v>
      </c>
      <c r="G3802" s="110" t="s">
        <v>23426</v>
      </c>
      <c r="H3802" s="110" t="s">
        <v>6248</v>
      </c>
      <c r="I3802" s="110" t="s">
        <v>23427</v>
      </c>
    </row>
    <row r="3803" spans="1:9" ht="37.799999999999997" x14ac:dyDescent="0.3">
      <c r="A3803" s="109" t="s">
        <v>23428</v>
      </c>
      <c r="B3803" s="109" t="s">
        <v>22985</v>
      </c>
      <c r="C3803" s="109" t="s">
        <v>22985</v>
      </c>
      <c r="D3803" s="109" t="s">
        <v>23429</v>
      </c>
      <c r="E3803" s="109" t="s">
        <v>5558</v>
      </c>
      <c r="F3803" s="109" t="s">
        <v>23430</v>
      </c>
      <c r="G3803" s="110" t="s">
        <v>23431</v>
      </c>
      <c r="H3803" s="110" t="s">
        <v>6248</v>
      </c>
      <c r="I3803" s="110" t="s">
        <v>23432</v>
      </c>
    </row>
    <row r="3804" spans="1:9" ht="37.799999999999997" x14ac:dyDescent="0.3">
      <c r="A3804" s="109" t="s">
        <v>23433</v>
      </c>
      <c r="B3804" s="109" t="s">
        <v>22985</v>
      </c>
      <c r="C3804" s="109" t="s">
        <v>22985</v>
      </c>
      <c r="D3804" s="109" t="s">
        <v>23434</v>
      </c>
      <c r="E3804" s="109" t="s">
        <v>5558</v>
      </c>
      <c r="F3804" s="109" t="s">
        <v>23435</v>
      </c>
      <c r="G3804" s="110" t="s">
        <v>23436</v>
      </c>
      <c r="H3804" s="110" t="s">
        <v>6248</v>
      </c>
      <c r="I3804" s="110" t="s">
        <v>23437</v>
      </c>
    </row>
    <row r="3805" spans="1:9" ht="37.799999999999997" x14ac:dyDescent="0.3">
      <c r="A3805" s="109" t="s">
        <v>23438</v>
      </c>
      <c r="B3805" s="109" t="s">
        <v>22985</v>
      </c>
      <c r="C3805" s="109" t="s">
        <v>22985</v>
      </c>
      <c r="D3805" s="109" t="s">
        <v>23439</v>
      </c>
      <c r="E3805" s="109" t="s">
        <v>5558</v>
      </c>
      <c r="F3805" s="109" t="s">
        <v>23440</v>
      </c>
      <c r="G3805" s="110" t="s">
        <v>23441</v>
      </c>
      <c r="H3805" s="110" t="s">
        <v>6248</v>
      </c>
      <c r="I3805" s="110" t="s">
        <v>23442</v>
      </c>
    </row>
    <row r="3806" spans="1:9" ht="37.799999999999997" x14ac:dyDescent="0.3">
      <c r="A3806" s="109" t="s">
        <v>23443</v>
      </c>
      <c r="B3806" s="109" t="s">
        <v>22985</v>
      </c>
      <c r="C3806" s="109" t="s">
        <v>22985</v>
      </c>
      <c r="D3806" s="109" t="s">
        <v>23444</v>
      </c>
      <c r="E3806" s="109" t="s">
        <v>5558</v>
      </c>
      <c r="F3806" s="109" t="s">
        <v>23445</v>
      </c>
      <c r="G3806" s="110" t="s">
        <v>23446</v>
      </c>
      <c r="H3806" s="110" t="s">
        <v>6248</v>
      </c>
      <c r="I3806" s="110" t="s">
        <v>23447</v>
      </c>
    </row>
    <row r="3807" spans="1:9" ht="50.4" x14ac:dyDescent="0.3">
      <c r="A3807" s="109" t="s">
        <v>23448</v>
      </c>
      <c r="B3807" s="109" t="s">
        <v>22985</v>
      </c>
      <c r="C3807" s="109" t="s">
        <v>22985</v>
      </c>
      <c r="D3807" s="109" t="s">
        <v>23449</v>
      </c>
      <c r="E3807" s="109" t="s">
        <v>5558</v>
      </c>
      <c r="F3807" s="109" t="s">
        <v>23450</v>
      </c>
      <c r="G3807" s="110" t="s">
        <v>23451</v>
      </c>
      <c r="H3807" s="110" t="s">
        <v>6248</v>
      </c>
      <c r="I3807" s="110" t="s">
        <v>23452</v>
      </c>
    </row>
    <row r="3808" spans="1:9" ht="37.799999999999997" x14ac:dyDescent="0.3">
      <c r="A3808" s="109" t="s">
        <v>23453</v>
      </c>
      <c r="B3808" s="109" t="s">
        <v>22985</v>
      </c>
      <c r="C3808" s="109" t="s">
        <v>22985</v>
      </c>
      <c r="D3808" s="109" t="s">
        <v>23454</v>
      </c>
      <c r="E3808" s="109" t="s">
        <v>5558</v>
      </c>
      <c r="F3808" s="109" t="s">
        <v>23455</v>
      </c>
      <c r="G3808" s="110" t="s">
        <v>23456</v>
      </c>
      <c r="H3808" s="110" t="s">
        <v>6248</v>
      </c>
      <c r="I3808" s="110" t="s">
        <v>23457</v>
      </c>
    </row>
    <row r="3809" spans="1:9" ht="50.4" x14ac:dyDescent="0.3">
      <c r="A3809" s="109" t="s">
        <v>23458</v>
      </c>
      <c r="B3809" s="109" t="s">
        <v>22985</v>
      </c>
      <c r="C3809" s="109" t="s">
        <v>22985</v>
      </c>
      <c r="D3809" s="109" t="s">
        <v>23459</v>
      </c>
      <c r="E3809" s="109" t="s">
        <v>5558</v>
      </c>
      <c r="F3809" s="109" t="s">
        <v>23460</v>
      </c>
      <c r="G3809" s="110" t="s">
        <v>23461</v>
      </c>
      <c r="H3809" s="110" t="s">
        <v>6248</v>
      </c>
      <c r="I3809" s="110" t="s">
        <v>23462</v>
      </c>
    </row>
    <row r="3810" spans="1:9" ht="50.4" x14ac:dyDescent="0.3">
      <c r="A3810" s="109" t="s">
        <v>23463</v>
      </c>
      <c r="B3810" s="109" t="s">
        <v>22985</v>
      </c>
      <c r="C3810" s="109" t="s">
        <v>22985</v>
      </c>
      <c r="D3810" s="109" t="s">
        <v>23464</v>
      </c>
      <c r="E3810" s="109" t="s">
        <v>5558</v>
      </c>
      <c r="F3810" s="109" t="s">
        <v>23465</v>
      </c>
      <c r="G3810" s="110" t="s">
        <v>23466</v>
      </c>
      <c r="H3810" s="110" t="s">
        <v>6248</v>
      </c>
      <c r="I3810" s="110" t="s">
        <v>23467</v>
      </c>
    </row>
    <row r="3811" spans="1:9" ht="50.4" x14ac:dyDescent="0.3">
      <c r="A3811" s="109" t="s">
        <v>23468</v>
      </c>
      <c r="B3811" s="109" t="s">
        <v>22985</v>
      </c>
      <c r="C3811" s="109" t="s">
        <v>22985</v>
      </c>
      <c r="D3811" s="109" t="s">
        <v>23469</v>
      </c>
      <c r="E3811" s="109" t="s">
        <v>5558</v>
      </c>
      <c r="F3811" s="109" t="s">
        <v>23470</v>
      </c>
      <c r="G3811" s="110" t="s">
        <v>23471</v>
      </c>
      <c r="H3811" s="110" t="s">
        <v>6248</v>
      </c>
      <c r="I3811" s="110" t="s">
        <v>23472</v>
      </c>
    </row>
    <row r="3812" spans="1:9" ht="50.4" x14ac:dyDescent="0.3">
      <c r="A3812" s="109" t="s">
        <v>23473</v>
      </c>
      <c r="B3812" s="109" t="s">
        <v>22985</v>
      </c>
      <c r="C3812" s="109" t="s">
        <v>22985</v>
      </c>
      <c r="D3812" s="109" t="s">
        <v>23474</v>
      </c>
      <c r="E3812" s="109" t="s">
        <v>5558</v>
      </c>
      <c r="F3812" s="109" t="s">
        <v>23475</v>
      </c>
      <c r="G3812" s="110" t="s">
        <v>23476</v>
      </c>
      <c r="H3812" s="110" t="s">
        <v>6248</v>
      </c>
      <c r="I3812" s="110" t="s">
        <v>23477</v>
      </c>
    </row>
    <row r="3813" spans="1:9" ht="50.4" x14ac:dyDescent="0.3">
      <c r="A3813" s="109" t="s">
        <v>23478</v>
      </c>
      <c r="B3813" s="109" t="s">
        <v>22985</v>
      </c>
      <c r="C3813" s="109" t="s">
        <v>22985</v>
      </c>
      <c r="D3813" s="109" t="s">
        <v>23479</v>
      </c>
      <c r="E3813" s="109" t="s">
        <v>5558</v>
      </c>
      <c r="F3813" s="109" t="s">
        <v>23480</v>
      </c>
      <c r="G3813" s="110" t="s">
        <v>23481</v>
      </c>
      <c r="H3813" s="110" t="s">
        <v>6248</v>
      </c>
      <c r="I3813" s="110" t="s">
        <v>23482</v>
      </c>
    </row>
    <row r="3814" spans="1:9" ht="50.4" x14ac:dyDescent="0.3">
      <c r="A3814" s="109" t="s">
        <v>23483</v>
      </c>
      <c r="B3814" s="109" t="s">
        <v>22985</v>
      </c>
      <c r="C3814" s="109" t="s">
        <v>22985</v>
      </c>
      <c r="D3814" s="109" t="s">
        <v>23484</v>
      </c>
      <c r="E3814" s="109" t="s">
        <v>5558</v>
      </c>
      <c r="F3814" s="109" t="s">
        <v>23485</v>
      </c>
      <c r="G3814" s="110" t="s">
        <v>23486</v>
      </c>
      <c r="H3814" s="110" t="s">
        <v>6248</v>
      </c>
      <c r="I3814" s="110" t="s">
        <v>23487</v>
      </c>
    </row>
    <row r="3815" spans="1:9" ht="50.4" x14ac:dyDescent="0.3">
      <c r="A3815" s="109" t="s">
        <v>23488</v>
      </c>
      <c r="B3815" s="109" t="s">
        <v>22985</v>
      </c>
      <c r="C3815" s="109" t="s">
        <v>22985</v>
      </c>
      <c r="D3815" s="109" t="s">
        <v>23489</v>
      </c>
      <c r="E3815" s="109" t="s">
        <v>5558</v>
      </c>
      <c r="F3815" s="109" t="s">
        <v>23490</v>
      </c>
      <c r="G3815" s="110" t="s">
        <v>23491</v>
      </c>
      <c r="H3815" s="110" t="s">
        <v>6248</v>
      </c>
      <c r="I3815" s="110" t="s">
        <v>23492</v>
      </c>
    </row>
    <row r="3816" spans="1:9" ht="50.4" x14ac:dyDescent="0.3">
      <c r="A3816" s="109" t="s">
        <v>23493</v>
      </c>
      <c r="B3816" s="109" t="s">
        <v>22985</v>
      </c>
      <c r="C3816" s="109" t="s">
        <v>22985</v>
      </c>
      <c r="D3816" s="109" t="s">
        <v>23494</v>
      </c>
      <c r="E3816" s="109" t="s">
        <v>5558</v>
      </c>
      <c r="F3816" s="109" t="s">
        <v>23495</v>
      </c>
      <c r="G3816" s="110" t="s">
        <v>23496</v>
      </c>
      <c r="H3816" s="110" t="s">
        <v>6248</v>
      </c>
      <c r="I3816" s="110" t="s">
        <v>23497</v>
      </c>
    </row>
    <row r="3817" spans="1:9" ht="50.4" x14ac:dyDescent="0.3">
      <c r="A3817" s="109" t="s">
        <v>23498</v>
      </c>
      <c r="B3817" s="109" t="s">
        <v>22985</v>
      </c>
      <c r="C3817" s="109" t="s">
        <v>22985</v>
      </c>
      <c r="D3817" s="109" t="s">
        <v>23499</v>
      </c>
      <c r="E3817" s="109" t="s">
        <v>5558</v>
      </c>
      <c r="F3817" s="109" t="s">
        <v>23500</v>
      </c>
      <c r="G3817" s="110" t="s">
        <v>23501</v>
      </c>
      <c r="H3817" s="110" t="s">
        <v>6248</v>
      </c>
      <c r="I3817" s="110" t="s">
        <v>23502</v>
      </c>
    </row>
    <row r="3818" spans="1:9" ht="50.4" x14ac:dyDescent="0.3">
      <c r="A3818" s="109" t="s">
        <v>23503</v>
      </c>
      <c r="B3818" s="109" t="s">
        <v>22985</v>
      </c>
      <c r="C3818" s="109" t="s">
        <v>22985</v>
      </c>
      <c r="D3818" s="109" t="s">
        <v>23504</v>
      </c>
      <c r="E3818" s="109" t="s">
        <v>5558</v>
      </c>
      <c r="F3818" s="109" t="s">
        <v>23505</v>
      </c>
      <c r="G3818" s="110" t="s">
        <v>23506</v>
      </c>
      <c r="H3818" s="110" t="s">
        <v>6248</v>
      </c>
      <c r="I3818" s="110" t="s">
        <v>23507</v>
      </c>
    </row>
    <row r="3819" spans="1:9" ht="50.4" x14ac:dyDescent="0.3">
      <c r="A3819" s="109" t="s">
        <v>23508</v>
      </c>
      <c r="B3819" s="109" t="s">
        <v>22985</v>
      </c>
      <c r="C3819" s="109" t="s">
        <v>22985</v>
      </c>
      <c r="D3819" s="109" t="s">
        <v>23509</v>
      </c>
      <c r="E3819" s="109" t="s">
        <v>5558</v>
      </c>
      <c r="F3819" s="109" t="s">
        <v>23510</v>
      </c>
      <c r="G3819" s="110" t="s">
        <v>23511</v>
      </c>
      <c r="H3819" s="110" t="s">
        <v>6248</v>
      </c>
      <c r="I3819" s="110" t="s">
        <v>23512</v>
      </c>
    </row>
    <row r="3820" spans="1:9" ht="25.2" x14ac:dyDescent="0.3">
      <c r="A3820" s="109" t="s">
        <v>23513</v>
      </c>
      <c r="B3820" s="109" t="s">
        <v>22985</v>
      </c>
      <c r="C3820" s="109" t="s">
        <v>22985</v>
      </c>
      <c r="D3820" s="109" t="s">
        <v>23514</v>
      </c>
      <c r="E3820" s="109" t="s">
        <v>5558</v>
      </c>
      <c r="F3820" s="109" t="s">
        <v>23515</v>
      </c>
      <c r="G3820" s="110" t="s">
        <v>6248</v>
      </c>
      <c r="H3820" s="110" t="s">
        <v>23516</v>
      </c>
      <c r="I3820" s="110" t="s">
        <v>23517</v>
      </c>
    </row>
    <row r="3821" spans="1:9" ht="25.2" x14ac:dyDescent="0.3">
      <c r="A3821" s="109" t="s">
        <v>23518</v>
      </c>
      <c r="B3821" s="109" t="s">
        <v>22985</v>
      </c>
      <c r="C3821" s="109" t="s">
        <v>22985</v>
      </c>
      <c r="D3821" s="109" t="s">
        <v>23519</v>
      </c>
      <c r="E3821" s="109" t="s">
        <v>23520</v>
      </c>
      <c r="F3821" s="109" t="s">
        <v>7734</v>
      </c>
      <c r="G3821" s="110" t="s">
        <v>6248</v>
      </c>
      <c r="H3821" s="110" t="s">
        <v>23521</v>
      </c>
      <c r="I3821" s="110" t="s">
        <v>23522</v>
      </c>
    </row>
    <row r="3822" spans="1:9" ht="25.2" x14ac:dyDescent="0.3">
      <c r="A3822" s="109" t="s">
        <v>23523</v>
      </c>
      <c r="B3822" s="109" t="s">
        <v>22985</v>
      </c>
      <c r="C3822" s="109" t="s">
        <v>22985</v>
      </c>
      <c r="D3822" s="109" t="s">
        <v>23524</v>
      </c>
      <c r="E3822" s="109" t="s">
        <v>23525</v>
      </c>
      <c r="F3822" s="109" t="s">
        <v>6351</v>
      </c>
      <c r="G3822" s="110" t="s">
        <v>6248</v>
      </c>
      <c r="H3822" s="110" t="s">
        <v>13185</v>
      </c>
      <c r="I3822" s="110" t="s">
        <v>23526</v>
      </c>
    </row>
    <row r="3823" spans="1:9" ht="50.4" x14ac:dyDescent="0.3">
      <c r="A3823" s="109" t="s">
        <v>23527</v>
      </c>
      <c r="B3823" s="109" t="s">
        <v>22985</v>
      </c>
      <c r="C3823" s="109" t="s">
        <v>22985</v>
      </c>
      <c r="D3823" s="109" t="s">
        <v>12032</v>
      </c>
      <c r="E3823" s="109" t="s">
        <v>22593</v>
      </c>
      <c r="F3823" s="109" t="s">
        <v>23528</v>
      </c>
      <c r="G3823" s="110" t="s">
        <v>6248</v>
      </c>
      <c r="H3823" s="110" t="s">
        <v>22595</v>
      </c>
      <c r="I3823" s="110" t="s">
        <v>23529</v>
      </c>
    </row>
    <row r="3824" spans="1:9" ht="25.2" x14ac:dyDescent="0.3">
      <c r="A3824" s="109" t="s">
        <v>23530</v>
      </c>
      <c r="B3824" s="109" t="s">
        <v>22985</v>
      </c>
      <c r="C3824" s="109" t="s">
        <v>22985</v>
      </c>
      <c r="D3824" s="109" t="s">
        <v>23531</v>
      </c>
      <c r="E3824" s="109" t="s">
        <v>5558</v>
      </c>
      <c r="F3824" s="109" t="s">
        <v>23532</v>
      </c>
      <c r="G3824" s="110" t="s">
        <v>6248</v>
      </c>
      <c r="H3824" s="110" t="s">
        <v>23533</v>
      </c>
      <c r="I3824" s="110" t="s">
        <v>23534</v>
      </c>
    </row>
    <row r="3825" spans="1:9" ht="25.2" x14ac:dyDescent="0.3">
      <c r="A3825" s="109" t="s">
        <v>23535</v>
      </c>
      <c r="B3825" s="109" t="s">
        <v>22985</v>
      </c>
      <c r="C3825" s="109" t="s">
        <v>22985</v>
      </c>
      <c r="D3825" s="109" t="s">
        <v>23536</v>
      </c>
      <c r="E3825" s="109" t="s">
        <v>23537</v>
      </c>
      <c r="F3825" s="109" t="s">
        <v>22551</v>
      </c>
      <c r="G3825" s="110" t="s">
        <v>6248</v>
      </c>
      <c r="H3825" s="110" t="s">
        <v>19552</v>
      </c>
      <c r="I3825" s="110" t="s">
        <v>23538</v>
      </c>
    </row>
    <row r="3826" spans="1:9" ht="37.799999999999997" x14ac:dyDescent="0.3">
      <c r="A3826" s="109" t="s">
        <v>23539</v>
      </c>
      <c r="B3826" s="109" t="s">
        <v>22985</v>
      </c>
      <c r="C3826" s="109" t="s">
        <v>22985</v>
      </c>
      <c r="D3826" s="109" t="s">
        <v>23540</v>
      </c>
      <c r="E3826" s="109" t="s">
        <v>5558</v>
      </c>
      <c r="F3826" s="109" t="s">
        <v>23541</v>
      </c>
      <c r="G3826" s="110" t="s">
        <v>6248</v>
      </c>
      <c r="H3826" s="110" t="s">
        <v>23542</v>
      </c>
      <c r="I3826" s="110" t="s">
        <v>23543</v>
      </c>
    </row>
    <row r="3827" spans="1:9" ht="37.799999999999997" x14ac:dyDescent="0.3">
      <c r="A3827" s="109" t="s">
        <v>23544</v>
      </c>
      <c r="B3827" s="109" t="s">
        <v>22985</v>
      </c>
      <c r="C3827" s="109" t="s">
        <v>22985</v>
      </c>
      <c r="D3827" s="109" t="s">
        <v>23545</v>
      </c>
      <c r="E3827" s="109" t="s">
        <v>5558</v>
      </c>
      <c r="F3827" s="109" t="s">
        <v>23546</v>
      </c>
      <c r="G3827" s="110" t="s">
        <v>6248</v>
      </c>
      <c r="H3827" s="110" t="s">
        <v>23547</v>
      </c>
      <c r="I3827" s="110" t="s">
        <v>23548</v>
      </c>
    </row>
    <row r="3828" spans="1:9" ht="25.2" x14ac:dyDescent="0.3">
      <c r="A3828" s="109" t="s">
        <v>23549</v>
      </c>
      <c r="B3828" s="109" t="s">
        <v>22985</v>
      </c>
      <c r="C3828" s="109" t="s">
        <v>22985</v>
      </c>
      <c r="D3828" s="109" t="s">
        <v>5569</v>
      </c>
      <c r="E3828" s="109" t="s">
        <v>5558</v>
      </c>
      <c r="F3828" s="109" t="s">
        <v>2258</v>
      </c>
      <c r="G3828" s="110" t="s">
        <v>6248</v>
      </c>
      <c r="H3828" s="110" t="s">
        <v>6418</v>
      </c>
      <c r="I3828" s="110" t="s">
        <v>23550</v>
      </c>
    </row>
    <row r="3829" spans="1:9" ht="63" x14ac:dyDescent="0.3">
      <c r="A3829" s="109" t="s">
        <v>23551</v>
      </c>
      <c r="B3829" s="109" t="s">
        <v>22985</v>
      </c>
      <c r="C3829" s="109" t="s">
        <v>22985</v>
      </c>
      <c r="D3829" s="109" t="s">
        <v>23552</v>
      </c>
      <c r="E3829" s="109" t="s">
        <v>23552</v>
      </c>
      <c r="F3829" s="109" t="s">
        <v>23553</v>
      </c>
      <c r="G3829" s="110" t="s">
        <v>6248</v>
      </c>
      <c r="H3829" s="110" t="s">
        <v>23554</v>
      </c>
      <c r="I3829" s="110" t="s">
        <v>23555</v>
      </c>
    </row>
    <row r="3830" spans="1:9" ht="63" x14ac:dyDescent="0.3">
      <c r="A3830" s="109" t="s">
        <v>23556</v>
      </c>
      <c r="B3830" s="109" t="s">
        <v>22985</v>
      </c>
      <c r="C3830" s="109" t="s">
        <v>22985</v>
      </c>
      <c r="D3830" s="109" t="s">
        <v>7540</v>
      </c>
      <c r="E3830" s="109" t="s">
        <v>7540</v>
      </c>
      <c r="F3830" s="109" t="s">
        <v>23557</v>
      </c>
      <c r="G3830" s="110" t="s">
        <v>6248</v>
      </c>
      <c r="H3830" s="110" t="s">
        <v>23558</v>
      </c>
      <c r="I3830" s="110" t="s">
        <v>23559</v>
      </c>
    </row>
    <row r="3831" spans="1:9" ht="37.799999999999997" x14ac:dyDescent="0.3">
      <c r="A3831" s="109" t="s">
        <v>23560</v>
      </c>
      <c r="B3831" s="109" t="s">
        <v>22985</v>
      </c>
      <c r="C3831" s="109" t="s">
        <v>22985</v>
      </c>
      <c r="D3831" s="109" t="s">
        <v>23561</v>
      </c>
      <c r="E3831" s="109" t="s">
        <v>5558</v>
      </c>
      <c r="F3831" s="109" t="s">
        <v>23562</v>
      </c>
      <c r="G3831" s="110" t="s">
        <v>6248</v>
      </c>
      <c r="H3831" s="110" t="s">
        <v>23563</v>
      </c>
      <c r="I3831" s="110" t="s">
        <v>23564</v>
      </c>
    </row>
    <row r="3832" spans="1:9" ht="63" x14ac:dyDescent="0.3">
      <c r="A3832" s="109" t="s">
        <v>23565</v>
      </c>
      <c r="B3832" s="109" t="s">
        <v>22985</v>
      </c>
      <c r="C3832" s="109" t="s">
        <v>22985</v>
      </c>
      <c r="D3832" s="109" t="s">
        <v>23566</v>
      </c>
      <c r="E3832" s="109" t="s">
        <v>23566</v>
      </c>
      <c r="F3832" s="109" t="s">
        <v>23567</v>
      </c>
      <c r="G3832" s="110" t="s">
        <v>6248</v>
      </c>
      <c r="H3832" s="110" t="s">
        <v>9434</v>
      </c>
      <c r="I3832" s="110" t="s">
        <v>23568</v>
      </c>
    </row>
    <row r="3833" spans="1:9" ht="37.799999999999997" x14ac:dyDescent="0.3">
      <c r="A3833" s="109" t="s">
        <v>23569</v>
      </c>
      <c r="B3833" s="109" t="s">
        <v>22985</v>
      </c>
      <c r="C3833" s="109" t="s">
        <v>22985</v>
      </c>
      <c r="D3833" s="109" t="s">
        <v>23570</v>
      </c>
      <c r="E3833" s="109" t="s">
        <v>5558</v>
      </c>
      <c r="F3833" s="109" t="s">
        <v>23571</v>
      </c>
      <c r="G3833" s="110" t="s">
        <v>6248</v>
      </c>
      <c r="H3833" s="110" t="s">
        <v>23572</v>
      </c>
      <c r="I3833" s="110" t="s">
        <v>23573</v>
      </c>
    </row>
    <row r="3834" spans="1:9" ht="25.2" x14ac:dyDescent="0.3">
      <c r="A3834" s="109" t="s">
        <v>23574</v>
      </c>
      <c r="B3834" s="109" t="s">
        <v>22985</v>
      </c>
      <c r="C3834" s="109" t="s">
        <v>22985</v>
      </c>
      <c r="D3834" s="109" t="s">
        <v>23575</v>
      </c>
      <c r="E3834" s="109" t="s">
        <v>23327</v>
      </c>
      <c r="F3834" s="109" t="s">
        <v>7039</v>
      </c>
      <c r="G3834" s="110" t="s">
        <v>6248</v>
      </c>
      <c r="H3834" s="110" t="s">
        <v>23576</v>
      </c>
      <c r="I3834" s="110" t="s">
        <v>23577</v>
      </c>
    </row>
    <row r="3835" spans="1:9" ht="25.2" x14ac:dyDescent="0.3">
      <c r="A3835" s="109" t="s">
        <v>23578</v>
      </c>
      <c r="B3835" s="109" t="s">
        <v>22985</v>
      </c>
      <c r="C3835" s="109" t="s">
        <v>22985</v>
      </c>
      <c r="D3835" s="109" t="s">
        <v>23579</v>
      </c>
      <c r="E3835" s="109" t="s">
        <v>23580</v>
      </c>
      <c r="F3835" s="109" t="s">
        <v>7039</v>
      </c>
      <c r="G3835" s="110" t="s">
        <v>6248</v>
      </c>
      <c r="H3835" s="110" t="s">
        <v>23581</v>
      </c>
      <c r="I3835" s="110" t="s">
        <v>23582</v>
      </c>
    </row>
    <row r="3836" spans="1:9" ht="25.2" x14ac:dyDescent="0.3">
      <c r="A3836" s="109" t="s">
        <v>23583</v>
      </c>
      <c r="B3836" s="109" t="s">
        <v>22985</v>
      </c>
      <c r="C3836" s="109" t="s">
        <v>22985</v>
      </c>
      <c r="D3836" s="109" t="s">
        <v>3701</v>
      </c>
      <c r="E3836" s="109" t="s">
        <v>23584</v>
      </c>
      <c r="F3836" s="109" t="s">
        <v>22351</v>
      </c>
      <c r="G3836" s="110" t="s">
        <v>23585</v>
      </c>
      <c r="H3836" s="110" t="s">
        <v>6248</v>
      </c>
      <c r="I3836" s="110" t="s">
        <v>23586</v>
      </c>
    </row>
    <row r="3837" spans="1:9" ht="25.2" x14ac:dyDescent="0.3">
      <c r="A3837" s="109" t="s">
        <v>23587</v>
      </c>
      <c r="B3837" s="109" t="s">
        <v>22985</v>
      </c>
      <c r="C3837" s="109" t="s">
        <v>22985</v>
      </c>
      <c r="D3837" s="109" t="s">
        <v>23588</v>
      </c>
      <c r="E3837" s="109" t="s">
        <v>23589</v>
      </c>
      <c r="F3837" s="109" t="s">
        <v>7045</v>
      </c>
      <c r="G3837" s="110" t="s">
        <v>23590</v>
      </c>
      <c r="H3837" s="110" t="s">
        <v>6248</v>
      </c>
      <c r="I3837" s="110" t="s">
        <v>23591</v>
      </c>
    </row>
    <row r="3838" spans="1:9" ht="63" x14ac:dyDescent="0.3">
      <c r="A3838" s="109" t="s">
        <v>23592</v>
      </c>
      <c r="B3838" s="109" t="s">
        <v>22985</v>
      </c>
      <c r="C3838" s="109" t="s">
        <v>22985</v>
      </c>
      <c r="D3838" s="109" t="s">
        <v>23593</v>
      </c>
      <c r="E3838" s="109" t="s">
        <v>23593</v>
      </c>
      <c r="F3838" s="109" t="s">
        <v>23594</v>
      </c>
      <c r="G3838" s="110" t="s">
        <v>6248</v>
      </c>
      <c r="H3838" s="110" t="s">
        <v>23595</v>
      </c>
      <c r="I3838" s="110" t="s">
        <v>23596</v>
      </c>
    </row>
    <row r="3839" spans="1:9" ht="63" x14ac:dyDescent="0.3">
      <c r="A3839" s="109" t="s">
        <v>23597</v>
      </c>
      <c r="B3839" s="109" t="s">
        <v>22985</v>
      </c>
      <c r="C3839" s="109" t="s">
        <v>22985</v>
      </c>
      <c r="D3839" s="109" t="s">
        <v>23598</v>
      </c>
      <c r="E3839" s="109" t="s">
        <v>23598</v>
      </c>
      <c r="F3839" s="109" t="s">
        <v>23599</v>
      </c>
      <c r="G3839" s="110" t="s">
        <v>6248</v>
      </c>
      <c r="H3839" s="110" t="s">
        <v>23600</v>
      </c>
      <c r="I3839" s="110" t="s">
        <v>23601</v>
      </c>
    </row>
    <row r="3840" spans="1:9" ht="25.2" x14ac:dyDescent="0.3">
      <c r="A3840" s="109" t="s">
        <v>23602</v>
      </c>
      <c r="B3840" s="109" t="s">
        <v>22985</v>
      </c>
      <c r="C3840" s="109" t="s">
        <v>22985</v>
      </c>
      <c r="D3840" s="109" t="s">
        <v>23603</v>
      </c>
      <c r="E3840" s="109" t="s">
        <v>23604</v>
      </c>
      <c r="F3840" s="109" t="s">
        <v>13026</v>
      </c>
      <c r="G3840" s="110" t="s">
        <v>6248</v>
      </c>
      <c r="H3840" s="110" t="s">
        <v>23605</v>
      </c>
      <c r="I3840" s="110" t="s">
        <v>23606</v>
      </c>
    </row>
    <row r="3841" spans="1:9" ht="25.2" x14ac:dyDescent="0.3">
      <c r="A3841" s="109" t="s">
        <v>23607</v>
      </c>
      <c r="B3841" s="109" t="s">
        <v>22985</v>
      </c>
      <c r="C3841" s="109" t="s">
        <v>22985</v>
      </c>
      <c r="D3841" s="109" t="s">
        <v>23608</v>
      </c>
      <c r="E3841" s="109" t="s">
        <v>19229</v>
      </c>
      <c r="F3841" s="109" t="s">
        <v>19230</v>
      </c>
      <c r="G3841" s="110" t="s">
        <v>6248</v>
      </c>
      <c r="H3841" s="110" t="s">
        <v>23609</v>
      </c>
      <c r="I3841" s="110" t="s">
        <v>23610</v>
      </c>
    </row>
    <row r="3842" spans="1:9" ht="25.2" x14ac:dyDescent="0.3">
      <c r="A3842" s="109" t="s">
        <v>23611</v>
      </c>
      <c r="B3842" s="109" t="s">
        <v>22985</v>
      </c>
      <c r="C3842" s="109" t="s">
        <v>22985</v>
      </c>
      <c r="D3842" s="109" t="s">
        <v>23612</v>
      </c>
      <c r="E3842" s="109" t="s">
        <v>23613</v>
      </c>
      <c r="F3842" s="109" t="s">
        <v>23614</v>
      </c>
      <c r="G3842" s="110" t="s">
        <v>23615</v>
      </c>
      <c r="H3842" s="110" t="s">
        <v>6248</v>
      </c>
      <c r="I3842" s="110" t="s">
        <v>23616</v>
      </c>
    </row>
    <row r="3843" spans="1:9" ht="25.2" x14ac:dyDescent="0.3">
      <c r="A3843" s="109" t="s">
        <v>23617</v>
      </c>
      <c r="B3843" s="109" t="s">
        <v>22985</v>
      </c>
      <c r="C3843" s="109" t="s">
        <v>22985</v>
      </c>
      <c r="D3843" s="109" t="s">
        <v>23618</v>
      </c>
      <c r="E3843" s="109" t="s">
        <v>23613</v>
      </c>
      <c r="F3843" s="109" t="s">
        <v>23619</v>
      </c>
      <c r="G3843" s="110" t="s">
        <v>7254</v>
      </c>
      <c r="H3843" s="110" t="s">
        <v>6248</v>
      </c>
      <c r="I3843" s="110" t="s">
        <v>23620</v>
      </c>
    </row>
    <row r="3844" spans="1:9" ht="25.2" x14ac:dyDescent="0.3">
      <c r="A3844" s="109" t="s">
        <v>23621</v>
      </c>
      <c r="B3844" s="109" t="s">
        <v>22985</v>
      </c>
      <c r="C3844" s="109" t="s">
        <v>22985</v>
      </c>
      <c r="D3844" s="109" t="s">
        <v>5569</v>
      </c>
      <c r="E3844" s="109" t="s">
        <v>5558</v>
      </c>
      <c r="F3844" s="109" t="s">
        <v>2258</v>
      </c>
      <c r="G3844" s="110" t="s">
        <v>6248</v>
      </c>
      <c r="H3844" s="110" t="s">
        <v>23622</v>
      </c>
      <c r="I3844" s="110" t="s">
        <v>23623</v>
      </c>
    </row>
    <row r="3845" spans="1:9" ht="25.2" x14ac:dyDescent="0.3">
      <c r="A3845" s="109" t="s">
        <v>23624</v>
      </c>
      <c r="B3845" s="109" t="s">
        <v>22985</v>
      </c>
      <c r="C3845" s="109" t="s">
        <v>22985</v>
      </c>
      <c r="D3845" s="109" t="s">
        <v>23625</v>
      </c>
      <c r="E3845" s="109" t="s">
        <v>23626</v>
      </c>
      <c r="F3845" s="109" t="s">
        <v>9367</v>
      </c>
      <c r="G3845" s="110" t="s">
        <v>6248</v>
      </c>
      <c r="H3845" s="110" t="s">
        <v>23627</v>
      </c>
      <c r="I3845" s="110" t="s">
        <v>23628</v>
      </c>
    </row>
    <row r="3846" spans="1:9" ht="37.799999999999997" x14ac:dyDescent="0.3">
      <c r="A3846" s="109" t="s">
        <v>23629</v>
      </c>
      <c r="B3846" s="109" t="s">
        <v>22985</v>
      </c>
      <c r="C3846" s="109" t="s">
        <v>22985</v>
      </c>
      <c r="D3846" s="109" t="s">
        <v>23630</v>
      </c>
      <c r="E3846" s="109" t="s">
        <v>5558</v>
      </c>
      <c r="F3846" s="109" t="s">
        <v>23631</v>
      </c>
      <c r="G3846" s="110" t="s">
        <v>6248</v>
      </c>
      <c r="H3846" s="110" t="s">
        <v>23632</v>
      </c>
      <c r="I3846" s="110" t="s">
        <v>23633</v>
      </c>
    </row>
    <row r="3847" spans="1:9" ht="25.2" x14ac:dyDescent="0.3">
      <c r="A3847" s="109" t="s">
        <v>23634</v>
      </c>
      <c r="B3847" s="109" t="s">
        <v>22985</v>
      </c>
      <c r="C3847" s="109" t="s">
        <v>22985</v>
      </c>
      <c r="D3847" s="109" t="s">
        <v>3289</v>
      </c>
      <c r="E3847" s="109" t="s">
        <v>23635</v>
      </c>
      <c r="F3847" s="109" t="s">
        <v>6176</v>
      </c>
      <c r="G3847" s="110" t="s">
        <v>6248</v>
      </c>
      <c r="H3847" s="110" t="s">
        <v>23636</v>
      </c>
      <c r="I3847" s="110" t="s">
        <v>23637</v>
      </c>
    </row>
    <row r="3848" spans="1:9" ht="37.799999999999997" x14ac:dyDescent="0.3">
      <c r="A3848" s="109" t="s">
        <v>23638</v>
      </c>
      <c r="B3848" s="109" t="s">
        <v>22985</v>
      </c>
      <c r="C3848" s="109" t="s">
        <v>22985</v>
      </c>
      <c r="D3848" s="109" t="s">
        <v>23639</v>
      </c>
      <c r="E3848" s="109" t="s">
        <v>5558</v>
      </c>
      <c r="F3848" s="109" t="s">
        <v>23640</v>
      </c>
      <c r="G3848" s="110" t="s">
        <v>6248</v>
      </c>
      <c r="H3848" s="110" t="s">
        <v>23641</v>
      </c>
      <c r="I3848" s="110" t="s">
        <v>23642</v>
      </c>
    </row>
    <row r="3849" spans="1:9" ht="25.2" x14ac:dyDescent="0.3">
      <c r="A3849" s="109" t="s">
        <v>23643</v>
      </c>
      <c r="B3849" s="109" t="s">
        <v>22985</v>
      </c>
      <c r="C3849" s="109" t="s">
        <v>22985</v>
      </c>
      <c r="D3849" s="109" t="s">
        <v>23644</v>
      </c>
      <c r="E3849" s="109" t="s">
        <v>5558</v>
      </c>
      <c r="F3849" s="109" t="s">
        <v>23645</v>
      </c>
      <c r="G3849" s="110" t="s">
        <v>6248</v>
      </c>
      <c r="H3849" s="110" t="s">
        <v>23646</v>
      </c>
      <c r="I3849" s="110" t="s">
        <v>23647</v>
      </c>
    </row>
    <row r="3850" spans="1:9" ht="25.2" x14ac:dyDescent="0.3">
      <c r="A3850" s="109" t="s">
        <v>23648</v>
      </c>
      <c r="B3850" s="109" t="s">
        <v>22985</v>
      </c>
      <c r="C3850" s="109" t="s">
        <v>22985</v>
      </c>
      <c r="D3850" s="109" t="s">
        <v>23649</v>
      </c>
      <c r="E3850" s="109" t="s">
        <v>5809</v>
      </c>
      <c r="F3850" s="109" t="s">
        <v>5810</v>
      </c>
      <c r="G3850" s="110" t="s">
        <v>6248</v>
      </c>
      <c r="H3850" s="110" t="s">
        <v>23650</v>
      </c>
      <c r="I3850" s="110" t="s">
        <v>23651</v>
      </c>
    </row>
    <row r="3851" spans="1:9" ht="25.2" x14ac:dyDescent="0.3">
      <c r="A3851" s="109" t="s">
        <v>23652</v>
      </c>
      <c r="B3851" s="109" t="s">
        <v>22985</v>
      </c>
      <c r="C3851" s="109" t="s">
        <v>22985</v>
      </c>
      <c r="D3851" s="109" t="s">
        <v>23653</v>
      </c>
      <c r="E3851" s="109" t="s">
        <v>5809</v>
      </c>
      <c r="F3851" s="109" t="s">
        <v>5810</v>
      </c>
      <c r="G3851" s="110" t="s">
        <v>6248</v>
      </c>
      <c r="H3851" s="110" t="s">
        <v>23654</v>
      </c>
      <c r="I3851" s="110" t="s">
        <v>23655</v>
      </c>
    </row>
    <row r="3852" spans="1:9" ht="25.2" x14ac:dyDescent="0.3">
      <c r="A3852" s="109" t="s">
        <v>23656</v>
      </c>
      <c r="B3852" s="109" t="s">
        <v>22985</v>
      </c>
      <c r="C3852" s="109" t="s">
        <v>22985</v>
      </c>
      <c r="D3852" s="109" t="s">
        <v>23657</v>
      </c>
      <c r="E3852" s="109" t="s">
        <v>23589</v>
      </c>
      <c r="F3852" s="109" t="s">
        <v>7045</v>
      </c>
      <c r="G3852" s="110" t="s">
        <v>23658</v>
      </c>
      <c r="H3852" s="110" t="s">
        <v>6248</v>
      </c>
      <c r="I3852" s="110" t="s">
        <v>23659</v>
      </c>
    </row>
    <row r="3853" spans="1:9" ht="25.2" x14ac:dyDescent="0.3">
      <c r="A3853" s="109" t="s">
        <v>23660</v>
      </c>
      <c r="B3853" s="109" t="s">
        <v>22985</v>
      </c>
      <c r="C3853" s="109" t="s">
        <v>22985</v>
      </c>
      <c r="D3853" s="109" t="s">
        <v>3296</v>
      </c>
      <c r="E3853" s="109" t="s">
        <v>5558</v>
      </c>
      <c r="F3853" s="109" t="s">
        <v>23661</v>
      </c>
      <c r="G3853" s="110" t="s">
        <v>6248</v>
      </c>
      <c r="H3853" s="110" t="s">
        <v>23662</v>
      </c>
      <c r="I3853" s="110" t="s">
        <v>23663</v>
      </c>
    </row>
    <row r="3854" spans="1:9" ht="25.2" x14ac:dyDescent="0.3">
      <c r="A3854" s="109" t="s">
        <v>23664</v>
      </c>
      <c r="B3854" s="109" t="s">
        <v>22985</v>
      </c>
      <c r="C3854" s="109" t="s">
        <v>22985</v>
      </c>
      <c r="D3854" s="109" t="s">
        <v>23665</v>
      </c>
      <c r="E3854" s="109" t="s">
        <v>23666</v>
      </c>
      <c r="F3854" s="109" t="s">
        <v>8321</v>
      </c>
      <c r="G3854" s="110" t="s">
        <v>6248</v>
      </c>
      <c r="H3854" s="110" t="s">
        <v>23667</v>
      </c>
      <c r="I3854" s="110" t="s">
        <v>23668</v>
      </c>
    </row>
    <row r="3855" spans="1:9" ht="25.2" x14ac:dyDescent="0.3">
      <c r="A3855" s="109" t="s">
        <v>23669</v>
      </c>
      <c r="B3855" s="109" t="s">
        <v>22985</v>
      </c>
      <c r="C3855" s="109" t="s">
        <v>22985</v>
      </c>
      <c r="D3855" s="109" t="s">
        <v>23670</v>
      </c>
      <c r="E3855" s="109" t="s">
        <v>5558</v>
      </c>
      <c r="F3855" s="109" t="s">
        <v>23671</v>
      </c>
      <c r="G3855" s="110" t="s">
        <v>6248</v>
      </c>
      <c r="H3855" s="110" t="s">
        <v>23672</v>
      </c>
      <c r="I3855" s="110" t="s">
        <v>23673</v>
      </c>
    </row>
    <row r="3856" spans="1:9" ht="25.2" x14ac:dyDescent="0.3">
      <c r="A3856" s="109" t="s">
        <v>23674</v>
      </c>
      <c r="B3856" s="109" t="s">
        <v>22985</v>
      </c>
      <c r="C3856" s="109" t="s">
        <v>22985</v>
      </c>
      <c r="D3856" s="109" t="s">
        <v>5569</v>
      </c>
      <c r="E3856" s="109" t="s">
        <v>5558</v>
      </c>
      <c r="F3856" s="109" t="s">
        <v>2258</v>
      </c>
      <c r="G3856" s="110" t="s">
        <v>6248</v>
      </c>
      <c r="H3856" s="110" t="s">
        <v>23675</v>
      </c>
      <c r="I3856" s="110" t="s">
        <v>23676</v>
      </c>
    </row>
    <row r="3857" spans="1:9" ht="25.2" x14ac:dyDescent="0.3">
      <c r="A3857" s="109" t="s">
        <v>23677</v>
      </c>
      <c r="B3857" s="109" t="s">
        <v>22985</v>
      </c>
      <c r="C3857" s="109" t="s">
        <v>22985</v>
      </c>
      <c r="D3857" s="109" t="s">
        <v>5569</v>
      </c>
      <c r="E3857" s="109" t="s">
        <v>5558</v>
      </c>
      <c r="F3857" s="109" t="s">
        <v>2258</v>
      </c>
      <c r="G3857" s="110" t="s">
        <v>6248</v>
      </c>
      <c r="H3857" s="110" t="s">
        <v>23678</v>
      </c>
      <c r="I3857" s="110" t="s">
        <v>23679</v>
      </c>
    </row>
    <row r="3858" spans="1:9" ht="25.2" x14ac:dyDescent="0.3">
      <c r="A3858" s="109" t="s">
        <v>23680</v>
      </c>
      <c r="B3858" s="109" t="s">
        <v>22985</v>
      </c>
      <c r="C3858" s="109" t="s">
        <v>22985</v>
      </c>
      <c r="D3858" s="109" t="s">
        <v>5569</v>
      </c>
      <c r="E3858" s="109" t="s">
        <v>5558</v>
      </c>
      <c r="F3858" s="109" t="s">
        <v>2258</v>
      </c>
      <c r="G3858" s="110" t="s">
        <v>6248</v>
      </c>
      <c r="H3858" s="110" t="s">
        <v>23681</v>
      </c>
      <c r="I3858" s="110" t="s">
        <v>23682</v>
      </c>
    </row>
    <row r="3859" spans="1:9" ht="25.2" x14ac:dyDescent="0.3">
      <c r="A3859" s="109" t="s">
        <v>23683</v>
      </c>
      <c r="B3859" s="109" t="s">
        <v>22985</v>
      </c>
      <c r="C3859" s="109" t="s">
        <v>22985</v>
      </c>
      <c r="D3859" s="109" t="s">
        <v>5569</v>
      </c>
      <c r="E3859" s="109" t="s">
        <v>5558</v>
      </c>
      <c r="F3859" s="109" t="s">
        <v>2258</v>
      </c>
      <c r="G3859" s="110" t="s">
        <v>6248</v>
      </c>
      <c r="H3859" s="110" t="s">
        <v>23684</v>
      </c>
      <c r="I3859" s="110" t="s">
        <v>23685</v>
      </c>
    </row>
    <row r="3860" spans="1:9" ht="25.2" x14ac:dyDescent="0.3">
      <c r="A3860" s="109" t="s">
        <v>23686</v>
      </c>
      <c r="B3860" s="109" t="s">
        <v>22985</v>
      </c>
      <c r="C3860" s="109" t="s">
        <v>22985</v>
      </c>
      <c r="D3860" s="109" t="s">
        <v>5569</v>
      </c>
      <c r="E3860" s="109" t="s">
        <v>5558</v>
      </c>
      <c r="F3860" s="109" t="s">
        <v>2258</v>
      </c>
      <c r="G3860" s="110" t="s">
        <v>6248</v>
      </c>
      <c r="H3860" s="110" t="s">
        <v>23687</v>
      </c>
      <c r="I3860" s="110" t="s">
        <v>23688</v>
      </c>
    </row>
    <row r="3861" spans="1:9" ht="25.2" x14ac:dyDescent="0.3">
      <c r="A3861" s="109" t="s">
        <v>23689</v>
      </c>
      <c r="B3861" s="109" t="s">
        <v>22985</v>
      </c>
      <c r="C3861" s="109" t="s">
        <v>22985</v>
      </c>
      <c r="D3861" s="109" t="s">
        <v>5569</v>
      </c>
      <c r="E3861" s="109" t="s">
        <v>5558</v>
      </c>
      <c r="F3861" s="109" t="s">
        <v>2258</v>
      </c>
      <c r="G3861" s="110" t="s">
        <v>6248</v>
      </c>
      <c r="H3861" s="110" t="s">
        <v>23690</v>
      </c>
      <c r="I3861" s="110" t="s">
        <v>23691</v>
      </c>
    </row>
    <row r="3862" spans="1:9" ht="25.2" x14ac:dyDescent="0.3">
      <c r="A3862" s="109" t="s">
        <v>23692</v>
      </c>
      <c r="B3862" s="109" t="s">
        <v>22985</v>
      </c>
      <c r="C3862" s="109" t="s">
        <v>22985</v>
      </c>
      <c r="D3862" s="109" t="s">
        <v>3334</v>
      </c>
      <c r="E3862" s="109" t="s">
        <v>23693</v>
      </c>
      <c r="F3862" s="109" t="s">
        <v>7734</v>
      </c>
      <c r="G3862" s="110" t="s">
        <v>6248</v>
      </c>
      <c r="H3862" s="110" t="s">
        <v>23694</v>
      </c>
      <c r="I3862" s="110" t="s">
        <v>23695</v>
      </c>
    </row>
    <row r="3863" spans="1:9" ht="25.2" x14ac:dyDescent="0.3">
      <c r="A3863" s="109" t="s">
        <v>23696</v>
      </c>
      <c r="B3863" s="109" t="s">
        <v>22985</v>
      </c>
      <c r="C3863" s="109" t="s">
        <v>22985</v>
      </c>
      <c r="D3863" s="109" t="s">
        <v>23697</v>
      </c>
      <c r="E3863" s="109" t="s">
        <v>5558</v>
      </c>
      <c r="F3863" s="109" t="s">
        <v>23698</v>
      </c>
      <c r="G3863" s="110" t="s">
        <v>6248</v>
      </c>
      <c r="H3863" s="110" t="s">
        <v>9261</v>
      </c>
      <c r="I3863" s="110" t="s">
        <v>23699</v>
      </c>
    </row>
    <row r="3864" spans="1:9" ht="25.2" x14ac:dyDescent="0.3">
      <c r="A3864" s="109" t="s">
        <v>23700</v>
      </c>
      <c r="B3864" s="109" t="s">
        <v>22985</v>
      </c>
      <c r="C3864" s="109" t="s">
        <v>22985</v>
      </c>
      <c r="D3864" s="109" t="s">
        <v>23701</v>
      </c>
      <c r="E3864" s="109" t="s">
        <v>5558</v>
      </c>
      <c r="F3864" s="109" t="s">
        <v>23702</v>
      </c>
      <c r="G3864" s="110" t="s">
        <v>6248</v>
      </c>
      <c r="H3864" s="110" t="s">
        <v>9261</v>
      </c>
      <c r="I3864" s="110" t="s">
        <v>23703</v>
      </c>
    </row>
    <row r="3865" spans="1:9" ht="25.2" x14ac:dyDescent="0.3">
      <c r="A3865" s="109" t="s">
        <v>23704</v>
      </c>
      <c r="B3865" s="109" t="s">
        <v>22985</v>
      </c>
      <c r="C3865" s="109" t="s">
        <v>22985</v>
      </c>
      <c r="D3865" s="109" t="s">
        <v>23705</v>
      </c>
      <c r="E3865" s="109" t="s">
        <v>5558</v>
      </c>
      <c r="F3865" s="109" t="s">
        <v>23706</v>
      </c>
      <c r="G3865" s="110" t="s">
        <v>6248</v>
      </c>
      <c r="H3865" s="110" t="s">
        <v>23707</v>
      </c>
      <c r="I3865" s="110" t="s">
        <v>23708</v>
      </c>
    </row>
    <row r="3866" spans="1:9" ht="25.2" x14ac:dyDescent="0.3">
      <c r="A3866" s="109" t="s">
        <v>23709</v>
      </c>
      <c r="B3866" s="109" t="s">
        <v>22985</v>
      </c>
      <c r="C3866" s="109" t="s">
        <v>22985</v>
      </c>
      <c r="D3866" s="109" t="s">
        <v>23710</v>
      </c>
      <c r="E3866" s="109" t="s">
        <v>13050</v>
      </c>
      <c r="F3866" s="109" t="s">
        <v>13051</v>
      </c>
      <c r="G3866" s="110" t="s">
        <v>6248</v>
      </c>
      <c r="H3866" s="110" t="s">
        <v>23711</v>
      </c>
      <c r="I3866" s="110" t="s">
        <v>23712</v>
      </c>
    </row>
    <row r="3867" spans="1:9" ht="37.799999999999997" x14ac:dyDescent="0.3">
      <c r="A3867" s="109" t="s">
        <v>23713</v>
      </c>
      <c r="B3867" s="109" t="s">
        <v>22985</v>
      </c>
      <c r="C3867" s="109" t="s">
        <v>22985</v>
      </c>
      <c r="D3867" s="109" t="s">
        <v>23714</v>
      </c>
      <c r="E3867" s="109" t="s">
        <v>5558</v>
      </c>
      <c r="F3867" s="109" t="s">
        <v>23715</v>
      </c>
      <c r="G3867" s="110" t="s">
        <v>6248</v>
      </c>
      <c r="H3867" s="110" t="s">
        <v>23716</v>
      </c>
      <c r="I3867" s="110" t="s">
        <v>23717</v>
      </c>
    </row>
    <row r="3868" spans="1:9" ht="25.2" x14ac:dyDescent="0.3">
      <c r="A3868" s="109" t="s">
        <v>23718</v>
      </c>
      <c r="B3868" s="109" t="s">
        <v>22985</v>
      </c>
      <c r="C3868" s="109" t="s">
        <v>22985</v>
      </c>
      <c r="D3868" s="109" t="s">
        <v>23719</v>
      </c>
      <c r="E3868" s="109" t="s">
        <v>5558</v>
      </c>
      <c r="F3868" s="109" t="s">
        <v>23720</v>
      </c>
      <c r="G3868" s="110" t="s">
        <v>6248</v>
      </c>
      <c r="H3868" s="110" t="s">
        <v>23721</v>
      </c>
      <c r="I3868" s="110" t="s">
        <v>23722</v>
      </c>
    </row>
    <row r="3869" spans="1:9" ht="63" x14ac:dyDescent="0.3">
      <c r="A3869" s="109" t="s">
        <v>23723</v>
      </c>
      <c r="B3869" s="109" t="s">
        <v>22985</v>
      </c>
      <c r="C3869" s="109" t="s">
        <v>22985</v>
      </c>
      <c r="D3869" s="109" t="s">
        <v>16566</v>
      </c>
      <c r="E3869" s="109" t="s">
        <v>16566</v>
      </c>
      <c r="F3869" s="109" t="s">
        <v>23724</v>
      </c>
      <c r="G3869" s="110" t="s">
        <v>6248</v>
      </c>
      <c r="H3869" s="110" t="s">
        <v>23725</v>
      </c>
      <c r="I3869" s="110" t="s">
        <v>23726</v>
      </c>
    </row>
    <row r="3870" spans="1:9" ht="37.799999999999997" x14ac:dyDescent="0.3">
      <c r="A3870" s="109" t="s">
        <v>23727</v>
      </c>
      <c r="B3870" s="109" t="s">
        <v>22985</v>
      </c>
      <c r="C3870" s="109" t="s">
        <v>22985</v>
      </c>
      <c r="D3870" s="109" t="s">
        <v>23728</v>
      </c>
      <c r="E3870" s="109" t="s">
        <v>5558</v>
      </c>
      <c r="F3870" s="109" t="s">
        <v>23729</v>
      </c>
      <c r="G3870" s="110" t="s">
        <v>6248</v>
      </c>
      <c r="H3870" s="110" t="s">
        <v>23730</v>
      </c>
      <c r="I3870" s="110" t="s">
        <v>23731</v>
      </c>
    </row>
    <row r="3871" spans="1:9" ht="37.799999999999997" x14ac:dyDescent="0.3">
      <c r="A3871" s="109" t="s">
        <v>23732</v>
      </c>
      <c r="B3871" s="109" t="s">
        <v>22985</v>
      </c>
      <c r="C3871" s="109" t="s">
        <v>22985</v>
      </c>
      <c r="D3871" s="109" t="s">
        <v>23733</v>
      </c>
      <c r="E3871" s="109" t="s">
        <v>5558</v>
      </c>
      <c r="F3871" s="109" t="s">
        <v>23734</v>
      </c>
      <c r="G3871" s="110" t="s">
        <v>6248</v>
      </c>
      <c r="H3871" s="110" t="s">
        <v>23735</v>
      </c>
      <c r="I3871" s="110" t="s">
        <v>23736</v>
      </c>
    </row>
    <row r="3872" spans="1:9" ht="75.599999999999994" x14ac:dyDescent="0.3">
      <c r="A3872" s="109" t="s">
        <v>23737</v>
      </c>
      <c r="B3872" s="109" t="s">
        <v>22985</v>
      </c>
      <c r="C3872" s="109" t="s">
        <v>22985</v>
      </c>
      <c r="D3872" s="109" t="s">
        <v>12448</v>
      </c>
      <c r="E3872" s="109" t="s">
        <v>12448</v>
      </c>
      <c r="F3872" s="109" t="s">
        <v>23738</v>
      </c>
      <c r="G3872" s="110" t="s">
        <v>6248</v>
      </c>
      <c r="H3872" s="110" t="s">
        <v>23739</v>
      </c>
      <c r="I3872" s="110" t="s">
        <v>23740</v>
      </c>
    </row>
    <row r="3873" spans="1:9" ht="63" x14ac:dyDescent="0.3">
      <c r="A3873" s="109" t="s">
        <v>23741</v>
      </c>
      <c r="B3873" s="109" t="s">
        <v>22985</v>
      </c>
      <c r="C3873" s="109" t="s">
        <v>22985</v>
      </c>
      <c r="D3873" s="109" t="s">
        <v>23742</v>
      </c>
      <c r="E3873" s="109" t="s">
        <v>23742</v>
      </c>
      <c r="F3873" s="109" t="s">
        <v>23743</v>
      </c>
      <c r="G3873" s="110" t="s">
        <v>6248</v>
      </c>
      <c r="H3873" s="110" t="s">
        <v>23744</v>
      </c>
      <c r="I3873" s="110" t="s">
        <v>23745</v>
      </c>
    </row>
    <row r="3874" spans="1:9" ht="25.2" x14ac:dyDescent="0.3">
      <c r="A3874" s="109" t="s">
        <v>23746</v>
      </c>
      <c r="B3874" s="109" t="s">
        <v>22985</v>
      </c>
      <c r="C3874" s="109" t="s">
        <v>22985</v>
      </c>
      <c r="D3874" s="109" t="s">
        <v>3662</v>
      </c>
      <c r="E3874" s="109" t="s">
        <v>17432</v>
      </c>
      <c r="F3874" s="109" t="s">
        <v>17433</v>
      </c>
      <c r="G3874" s="110" t="s">
        <v>6248</v>
      </c>
      <c r="H3874" s="110" t="s">
        <v>23747</v>
      </c>
      <c r="I3874" s="110" t="s">
        <v>23748</v>
      </c>
    </row>
    <row r="3875" spans="1:9" ht="63" x14ac:dyDescent="0.3">
      <c r="A3875" s="109" t="s">
        <v>23749</v>
      </c>
      <c r="B3875" s="109" t="s">
        <v>22985</v>
      </c>
      <c r="C3875" s="109" t="s">
        <v>22985</v>
      </c>
      <c r="D3875" s="109" t="s">
        <v>23750</v>
      </c>
      <c r="E3875" s="109" t="s">
        <v>23750</v>
      </c>
      <c r="F3875" s="109" t="s">
        <v>23751</v>
      </c>
      <c r="G3875" s="110" t="s">
        <v>6248</v>
      </c>
      <c r="H3875" s="110" t="s">
        <v>23752</v>
      </c>
      <c r="I3875" s="110" t="s">
        <v>23753</v>
      </c>
    </row>
    <row r="3876" spans="1:9" ht="50.4" x14ac:dyDescent="0.3">
      <c r="A3876" s="109" t="s">
        <v>23754</v>
      </c>
      <c r="B3876" s="109" t="s">
        <v>22985</v>
      </c>
      <c r="C3876" s="109" t="s">
        <v>22985</v>
      </c>
      <c r="D3876" s="109" t="s">
        <v>23755</v>
      </c>
      <c r="E3876" s="109" t="s">
        <v>23755</v>
      </c>
      <c r="F3876" s="109" t="s">
        <v>23756</v>
      </c>
      <c r="G3876" s="110" t="s">
        <v>6248</v>
      </c>
      <c r="H3876" s="110" t="s">
        <v>23757</v>
      </c>
      <c r="I3876" s="110" t="s">
        <v>23758</v>
      </c>
    </row>
    <row r="3877" spans="1:9" ht="25.2" x14ac:dyDescent="0.3">
      <c r="A3877" s="109" t="s">
        <v>23759</v>
      </c>
      <c r="B3877" s="109" t="s">
        <v>22985</v>
      </c>
      <c r="C3877" s="109" t="s">
        <v>22985</v>
      </c>
      <c r="D3877" s="109" t="s">
        <v>23760</v>
      </c>
      <c r="E3877" s="109" t="s">
        <v>23761</v>
      </c>
      <c r="F3877" s="109" t="s">
        <v>7181</v>
      </c>
      <c r="G3877" s="110" t="s">
        <v>20091</v>
      </c>
      <c r="H3877" s="110" t="s">
        <v>6248</v>
      </c>
      <c r="I3877" s="110" t="s">
        <v>23762</v>
      </c>
    </row>
    <row r="3878" spans="1:9" ht="25.2" x14ac:dyDescent="0.3">
      <c r="A3878" s="109" t="s">
        <v>23763</v>
      </c>
      <c r="B3878" s="109" t="s">
        <v>22985</v>
      </c>
      <c r="C3878" s="109" t="s">
        <v>22985</v>
      </c>
      <c r="D3878" s="109" t="s">
        <v>3320</v>
      </c>
      <c r="E3878" s="109" t="s">
        <v>23764</v>
      </c>
      <c r="F3878" s="109" t="s">
        <v>23765</v>
      </c>
      <c r="G3878" s="110" t="s">
        <v>6248</v>
      </c>
      <c r="H3878" s="110" t="s">
        <v>23766</v>
      </c>
      <c r="I3878" s="110" t="s">
        <v>23767</v>
      </c>
    </row>
    <row r="3879" spans="1:9" ht="25.2" x14ac:dyDescent="0.3">
      <c r="A3879" s="109" t="s">
        <v>23768</v>
      </c>
      <c r="B3879" s="109" t="s">
        <v>22985</v>
      </c>
      <c r="C3879" s="109" t="s">
        <v>22985</v>
      </c>
      <c r="D3879" s="109" t="s">
        <v>23769</v>
      </c>
      <c r="E3879" s="109" t="s">
        <v>23770</v>
      </c>
      <c r="F3879" s="109" t="s">
        <v>12655</v>
      </c>
      <c r="G3879" s="110" t="s">
        <v>6248</v>
      </c>
      <c r="H3879" s="110" t="s">
        <v>23771</v>
      </c>
      <c r="I3879" s="110" t="s">
        <v>23772</v>
      </c>
    </row>
    <row r="3880" spans="1:9" ht="25.2" x14ac:dyDescent="0.3">
      <c r="A3880" s="109" t="s">
        <v>23773</v>
      </c>
      <c r="B3880" s="109" t="s">
        <v>22985</v>
      </c>
      <c r="C3880" s="109" t="s">
        <v>22985</v>
      </c>
      <c r="D3880" s="109" t="s">
        <v>23774</v>
      </c>
      <c r="E3880" s="109" t="s">
        <v>23775</v>
      </c>
      <c r="F3880" s="109" t="s">
        <v>7283</v>
      </c>
      <c r="G3880" s="110" t="s">
        <v>6248</v>
      </c>
      <c r="H3880" s="110" t="s">
        <v>23776</v>
      </c>
      <c r="I3880" s="110" t="s">
        <v>23777</v>
      </c>
    </row>
    <row r="3881" spans="1:9" ht="25.2" x14ac:dyDescent="0.3">
      <c r="A3881" s="109" t="s">
        <v>23778</v>
      </c>
      <c r="B3881" s="109" t="s">
        <v>22985</v>
      </c>
      <c r="C3881" s="109" t="s">
        <v>22985</v>
      </c>
      <c r="D3881" s="109" t="s">
        <v>23779</v>
      </c>
      <c r="E3881" s="109" t="s">
        <v>5558</v>
      </c>
      <c r="F3881" s="109" t="s">
        <v>23780</v>
      </c>
      <c r="G3881" s="110" t="s">
        <v>6248</v>
      </c>
      <c r="H3881" s="110" t="s">
        <v>8939</v>
      </c>
      <c r="I3881" s="110" t="s">
        <v>23781</v>
      </c>
    </row>
    <row r="3882" spans="1:9" ht="25.2" x14ac:dyDescent="0.3">
      <c r="A3882" s="109" t="s">
        <v>23782</v>
      </c>
      <c r="B3882" s="109" t="s">
        <v>22985</v>
      </c>
      <c r="C3882" s="109" t="s">
        <v>22985</v>
      </c>
      <c r="D3882" s="109" t="s">
        <v>3348</v>
      </c>
      <c r="E3882" s="109" t="s">
        <v>5558</v>
      </c>
      <c r="F3882" s="109" t="s">
        <v>23783</v>
      </c>
      <c r="G3882" s="110" t="s">
        <v>6248</v>
      </c>
      <c r="H3882" s="110" t="s">
        <v>23784</v>
      </c>
      <c r="I3882" s="110" t="s">
        <v>23785</v>
      </c>
    </row>
    <row r="3883" spans="1:9" ht="25.2" x14ac:dyDescent="0.3">
      <c r="A3883" s="109" t="s">
        <v>23786</v>
      </c>
      <c r="B3883" s="109" t="s">
        <v>22985</v>
      </c>
      <c r="C3883" s="109" t="s">
        <v>22985</v>
      </c>
      <c r="D3883" s="109" t="s">
        <v>5569</v>
      </c>
      <c r="E3883" s="109" t="s">
        <v>5558</v>
      </c>
      <c r="F3883" s="109" t="s">
        <v>2258</v>
      </c>
      <c r="G3883" s="110" t="s">
        <v>6248</v>
      </c>
      <c r="H3883" s="110" t="s">
        <v>23787</v>
      </c>
      <c r="I3883" s="110" t="s">
        <v>23788</v>
      </c>
    </row>
    <row r="3884" spans="1:9" ht="25.2" x14ac:dyDescent="0.3">
      <c r="A3884" s="109" t="s">
        <v>23789</v>
      </c>
      <c r="B3884" s="109" t="s">
        <v>22985</v>
      </c>
      <c r="C3884" s="109" t="s">
        <v>22985</v>
      </c>
      <c r="D3884" s="109" t="s">
        <v>23790</v>
      </c>
      <c r="E3884" s="109" t="s">
        <v>5854</v>
      </c>
      <c r="F3884" s="109" t="s">
        <v>5985</v>
      </c>
      <c r="G3884" s="110" t="s">
        <v>6248</v>
      </c>
      <c r="H3884" s="110" t="s">
        <v>23791</v>
      </c>
      <c r="I3884" s="110" t="s">
        <v>23792</v>
      </c>
    </row>
    <row r="3885" spans="1:9" ht="25.2" x14ac:dyDescent="0.3">
      <c r="A3885" s="109" t="s">
        <v>23793</v>
      </c>
      <c r="B3885" s="109" t="s">
        <v>22985</v>
      </c>
      <c r="C3885" s="109" t="s">
        <v>22985</v>
      </c>
      <c r="D3885" s="109" t="s">
        <v>23794</v>
      </c>
      <c r="E3885" s="109" t="s">
        <v>23795</v>
      </c>
      <c r="F3885" s="109" t="s">
        <v>5985</v>
      </c>
      <c r="G3885" s="110" t="s">
        <v>6248</v>
      </c>
      <c r="H3885" s="110" t="s">
        <v>23796</v>
      </c>
      <c r="I3885" s="110" t="s">
        <v>23797</v>
      </c>
    </row>
    <row r="3886" spans="1:9" ht="25.2" x14ac:dyDescent="0.3">
      <c r="A3886" s="109" t="s">
        <v>23798</v>
      </c>
      <c r="B3886" s="109" t="s">
        <v>22985</v>
      </c>
      <c r="C3886" s="109" t="s">
        <v>22985</v>
      </c>
      <c r="D3886" s="109" t="s">
        <v>23799</v>
      </c>
      <c r="E3886" s="109" t="s">
        <v>23800</v>
      </c>
      <c r="F3886" s="109" t="s">
        <v>5985</v>
      </c>
      <c r="G3886" s="110" t="s">
        <v>6248</v>
      </c>
      <c r="H3886" s="110" t="s">
        <v>23801</v>
      </c>
      <c r="I3886" s="110" t="s">
        <v>23802</v>
      </c>
    </row>
    <row r="3887" spans="1:9" ht="25.2" x14ac:dyDescent="0.3">
      <c r="A3887" s="109" t="s">
        <v>23803</v>
      </c>
      <c r="B3887" s="109" t="s">
        <v>22985</v>
      </c>
      <c r="C3887" s="109" t="s">
        <v>22985</v>
      </c>
      <c r="D3887" s="109" t="s">
        <v>23804</v>
      </c>
      <c r="E3887" s="109" t="s">
        <v>21391</v>
      </c>
      <c r="F3887" s="109" t="s">
        <v>21392</v>
      </c>
      <c r="G3887" s="110" t="s">
        <v>6248</v>
      </c>
      <c r="H3887" s="110" t="s">
        <v>23805</v>
      </c>
      <c r="I3887" s="110" t="s">
        <v>23806</v>
      </c>
    </row>
    <row r="3888" spans="1:9" ht="25.2" x14ac:dyDescent="0.3">
      <c r="A3888" s="109" t="s">
        <v>23807</v>
      </c>
      <c r="B3888" s="109" t="s">
        <v>22985</v>
      </c>
      <c r="C3888" s="109" t="s">
        <v>22985</v>
      </c>
      <c r="D3888" s="109" t="s">
        <v>23808</v>
      </c>
      <c r="E3888" s="109" t="s">
        <v>23809</v>
      </c>
      <c r="F3888" s="109" t="s">
        <v>19979</v>
      </c>
      <c r="G3888" s="110" t="s">
        <v>6248</v>
      </c>
      <c r="H3888" s="110" t="s">
        <v>23810</v>
      </c>
      <c r="I3888" s="110" t="s">
        <v>23811</v>
      </c>
    </row>
    <row r="3889" spans="1:9" ht="25.2" x14ac:dyDescent="0.3">
      <c r="A3889" s="109" t="s">
        <v>23812</v>
      </c>
      <c r="B3889" s="109" t="s">
        <v>22985</v>
      </c>
      <c r="C3889" s="109" t="s">
        <v>22985</v>
      </c>
      <c r="D3889" s="109" t="s">
        <v>23813</v>
      </c>
      <c r="E3889" s="109" t="s">
        <v>23814</v>
      </c>
      <c r="F3889" s="109" t="s">
        <v>19979</v>
      </c>
      <c r="G3889" s="110" t="s">
        <v>6248</v>
      </c>
      <c r="H3889" s="110" t="s">
        <v>23815</v>
      </c>
      <c r="I3889" s="110" t="s">
        <v>23816</v>
      </c>
    </row>
    <row r="3890" spans="1:9" ht="25.2" x14ac:dyDescent="0.3">
      <c r="A3890" s="109" t="s">
        <v>23817</v>
      </c>
      <c r="B3890" s="109" t="s">
        <v>22985</v>
      </c>
      <c r="C3890" s="109" t="s">
        <v>22985</v>
      </c>
      <c r="D3890" s="109" t="s">
        <v>23818</v>
      </c>
      <c r="E3890" s="109" t="s">
        <v>5932</v>
      </c>
      <c r="F3890" s="109" t="s">
        <v>8309</v>
      </c>
      <c r="G3890" s="110" t="s">
        <v>6248</v>
      </c>
      <c r="H3890" s="110" t="s">
        <v>23819</v>
      </c>
      <c r="I3890" s="110" t="s">
        <v>23820</v>
      </c>
    </row>
    <row r="3891" spans="1:9" ht="37.799999999999997" x14ac:dyDescent="0.3">
      <c r="A3891" s="109" t="s">
        <v>23821</v>
      </c>
      <c r="B3891" s="109" t="s">
        <v>22985</v>
      </c>
      <c r="C3891" s="109" t="s">
        <v>22985</v>
      </c>
      <c r="D3891" s="109" t="s">
        <v>23822</v>
      </c>
      <c r="E3891" s="109" t="s">
        <v>5558</v>
      </c>
      <c r="F3891" s="109" t="s">
        <v>23823</v>
      </c>
      <c r="G3891" s="110" t="s">
        <v>6248</v>
      </c>
      <c r="H3891" s="110" t="s">
        <v>23824</v>
      </c>
      <c r="I3891" s="110" t="s">
        <v>23825</v>
      </c>
    </row>
    <row r="3892" spans="1:9" ht="25.2" x14ac:dyDescent="0.3">
      <c r="A3892" s="109" t="s">
        <v>23826</v>
      </c>
      <c r="B3892" s="109" t="s">
        <v>22985</v>
      </c>
      <c r="C3892" s="109" t="s">
        <v>22985</v>
      </c>
      <c r="D3892" s="109" t="s">
        <v>23827</v>
      </c>
      <c r="E3892" s="109" t="s">
        <v>5558</v>
      </c>
      <c r="F3892" s="109" t="s">
        <v>23828</v>
      </c>
      <c r="G3892" s="110" t="s">
        <v>6248</v>
      </c>
      <c r="H3892" s="110" t="s">
        <v>9261</v>
      </c>
      <c r="I3892" s="110" t="s">
        <v>23829</v>
      </c>
    </row>
    <row r="3893" spans="1:9" ht="25.2" x14ac:dyDescent="0.3">
      <c r="A3893" s="109" t="s">
        <v>23830</v>
      </c>
      <c r="B3893" s="109" t="s">
        <v>22985</v>
      </c>
      <c r="C3893" s="109" t="s">
        <v>22985</v>
      </c>
      <c r="D3893" s="109" t="s">
        <v>23831</v>
      </c>
      <c r="E3893" s="109" t="s">
        <v>5558</v>
      </c>
      <c r="F3893" s="109" t="s">
        <v>23832</v>
      </c>
      <c r="G3893" s="110" t="s">
        <v>6248</v>
      </c>
      <c r="H3893" s="110" t="s">
        <v>23833</v>
      </c>
      <c r="I3893" s="110" t="s">
        <v>23834</v>
      </c>
    </row>
    <row r="3894" spans="1:9" ht="25.2" x14ac:dyDescent="0.3">
      <c r="A3894" s="109" t="s">
        <v>23835</v>
      </c>
      <c r="B3894" s="109" t="s">
        <v>22985</v>
      </c>
      <c r="C3894" s="109" t="s">
        <v>22985</v>
      </c>
      <c r="D3894" s="109" t="s">
        <v>3359</v>
      </c>
      <c r="E3894" s="109" t="s">
        <v>5558</v>
      </c>
      <c r="F3894" s="109" t="s">
        <v>23836</v>
      </c>
      <c r="G3894" s="110" t="s">
        <v>6248</v>
      </c>
      <c r="H3894" s="110" t="s">
        <v>23837</v>
      </c>
      <c r="I3894" s="110" t="s">
        <v>23838</v>
      </c>
    </row>
    <row r="3895" spans="1:9" ht="25.2" x14ac:dyDescent="0.3">
      <c r="A3895" s="109" t="s">
        <v>23839</v>
      </c>
      <c r="B3895" s="109" t="s">
        <v>22985</v>
      </c>
      <c r="C3895" s="109" t="s">
        <v>22985</v>
      </c>
      <c r="D3895" s="109" t="s">
        <v>23840</v>
      </c>
      <c r="E3895" s="109" t="s">
        <v>5558</v>
      </c>
      <c r="F3895" s="109" t="s">
        <v>23841</v>
      </c>
      <c r="G3895" s="110" t="s">
        <v>6248</v>
      </c>
      <c r="H3895" s="110" t="s">
        <v>23842</v>
      </c>
      <c r="I3895" s="110" t="s">
        <v>23843</v>
      </c>
    </row>
    <row r="3896" spans="1:9" ht="25.2" x14ac:dyDescent="0.3">
      <c r="A3896" s="109" t="s">
        <v>23844</v>
      </c>
      <c r="B3896" s="109" t="s">
        <v>22985</v>
      </c>
      <c r="C3896" s="109" t="s">
        <v>22985</v>
      </c>
      <c r="D3896" s="109" t="s">
        <v>3494</v>
      </c>
      <c r="E3896" s="109" t="s">
        <v>5558</v>
      </c>
      <c r="F3896" s="109" t="s">
        <v>23845</v>
      </c>
      <c r="G3896" s="110" t="s">
        <v>6248</v>
      </c>
      <c r="H3896" s="110" t="s">
        <v>23846</v>
      </c>
      <c r="I3896" s="110" t="s">
        <v>23847</v>
      </c>
    </row>
    <row r="3897" spans="1:9" ht="25.2" x14ac:dyDescent="0.3">
      <c r="A3897" s="109" t="s">
        <v>23848</v>
      </c>
      <c r="B3897" s="109" t="s">
        <v>22985</v>
      </c>
      <c r="C3897" s="109" t="s">
        <v>22985</v>
      </c>
      <c r="D3897" s="109" t="s">
        <v>3364</v>
      </c>
      <c r="E3897" s="109" t="s">
        <v>5558</v>
      </c>
      <c r="F3897" s="109" t="s">
        <v>23849</v>
      </c>
      <c r="G3897" s="110" t="s">
        <v>6248</v>
      </c>
      <c r="H3897" s="110" t="s">
        <v>23850</v>
      </c>
      <c r="I3897" s="110" t="s">
        <v>23851</v>
      </c>
    </row>
    <row r="3898" spans="1:9" ht="25.2" x14ac:dyDescent="0.3">
      <c r="A3898" s="109" t="s">
        <v>23852</v>
      </c>
      <c r="B3898" s="109" t="s">
        <v>22985</v>
      </c>
      <c r="C3898" s="109" t="s">
        <v>22985</v>
      </c>
      <c r="D3898" s="109" t="s">
        <v>23853</v>
      </c>
      <c r="E3898" s="109" t="s">
        <v>23854</v>
      </c>
      <c r="F3898" s="109" t="s">
        <v>23855</v>
      </c>
      <c r="G3898" s="110" t="s">
        <v>6248</v>
      </c>
      <c r="H3898" s="110" t="s">
        <v>23856</v>
      </c>
      <c r="I3898" s="110" t="s">
        <v>23857</v>
      </c>
    </row>
    <row r="3899" spans="1:9" ht="25.2" x14ac:dyDescent="0.3">
      <c r="A3899" s="109" t="s">
        <v>23858</v>
      </c>
      <c r="B3899" s="109" t="s">
        <v>22985</v>
      </c>
      <c r="C3899" s="109" t="s">
        <v>22985</v>
      </c>
      <c r="D3899" s="109" t="s">
        <v>23859</v>
      </c>
      <c r="E3899" s="109" t="s">
        <v>5932</v>
      </c>
      <c r="F3899" s="109" t="s">
        <v>19979</v>
      </c>
      <c r="G3899" s="110" t="s">
        <v>6248</v>
      </c>
      <c r="H3899" s="110" t="s">
        <v>23860</v>
      </c>
      <c r="I3899" s="110" t="s">
        <v>23861</v>
      </c>
    </row>
    <row r="3900" spans="1:9" ht="25.2" x14ac:dyDescent="0.3">
      <c r="A3900" s="109" t="s">
        <v>23862</v>
      </c>
      <c r="B3900" s="109" t="s">
        <v>22985</v>
      </c>
      <c r="C3900" s="109" t="s">
        <v>22985</v>
      </c>
      <c r="D3900" s="109" t="s">
        <v>23863</v>
      </c>
      <c r="E3900" s="109" t="s">
        <v>19229</v>
      </c>
      <c r="F3900" s="109" t="s">
        <v>19230</v>
      </c>
      <c r="G3900" s="110" t="s">
        <v>6248</v>
      </c>
      <c r="H3900" s="110" t="s">
        <v>23864</v>
      </c>
      <c r="I3900" s="110" t="s">
        <v>23865</v>
      </c>
    </row>
    <row r="3901" spans="1:9" ht="25.2" x14ac:dyDescent="0.3">
      <c r="A3901" s="109" t="s">
        <v>23866</v>
      </c>
      <c r="B3901" s="109" t="s">
        <v>22985</v>
      </c>
      <c r="C3901" s="109" t="s">
        <v>22985</v>
      </c>
      <c r="D3901" s="109" t="s">
        <v>23867</v>
      </c>
      <c r="E3901" s="109" t="s">
        <v>5558</v>
      </c>
      <c r="F3901" s="109" t="s">
        <v>23868</v>
      </c>
      <c r="G3901" s="110" t="s">
        <v>6248</v>
      </c>
      <c r="H3901" s="110" t="s">
        <v>23869</v>
      </c>
      <c r="I3901" s="110" t="s">
        <v>23870</v>
      </c>
    </row>
    <row r="3902" spans="1:9" ht="25.2" x14ac:dyDescent="0.3">
      <c r="A3902" s="109" t="s">
        <v>23871</v>
      </c>
      <c r="B3902" s="109" t="s">
        <v>22985</v>
      </c>
      <c r="C3902" s="109" t="s">
        <v>22985</v>
      </c>
      <c r="D3902" s="109" t="s">
        <v>23872</v>
      </c>
      <c r="E3902" s="109" t="s">
        <v>5558</v>
      </c>
      <c r="F3902" s="109" t="s">
        <v>23873</v>
      </c>
      <c r="G3902" s="110" t="s">
        <v>6248</v>
      </c>
      <c r="H3902" s="110" t="s">
        <v>22268</v>
      </c>
      <c r="I3902" s="110" t="s">
        <v>23874</v>
      </c>
    </row>
    <row r="3903" spans="1:9" ht="37.799999999999997" x14ac:dyDescent="0.3">
      <c r="A3903" s="109" t="s">
        <v>23875</v>
      </c>
      <c r="B3903" s="109" t="s">
        <v>22985</v>
      </c>
      <c r="C3903" s="109" t="s">
        <v>22985</v>
      </c>
      <c r="D3903" s="109" t="s">
        <v>23876</v>
      </c>
      <c r="E3903" s="109" t="s">
        <v>5558</v>
      </c>
      <c r="F3903" s="109" t="s">
        <v>23877</v>
      </c>
      <c r="G3903" s="110" t="s">
        <v>6248</v>
      </c>
      <c r="H3903" s="110" t="s">
        <v>6660</v>
      </c>
      <c r="I3903" s="110" t="s">
        <v>23878</v>
      </c>
    </row>
    <row r="3904" spans="1:9" ht="25.2" x14ac:dyDescent="0.3">
      <c r="A3904" s="109" t="s">
        <v>23879</v>
      </c>
      <c r="B3904" s="109" t="s">
        <v>22985</v>
      </c>
      <c r="C3904" s="109" t="s">
        <v>22985</v>
      </c>
      <c r="D3904" s="109" t="s">
        <v>3970</v>
      </c>
      <c r="E3904" s="109" t="s">
        <v>23880</v>
      </c>
      <c r="F3904" s="109" t="s">
        <v>10266</v>
      </c>
      <c r="G3904" s="110" t="s">
        <v>6248</v>
      </c>
      <c r="H3904" s="110" t="s">
        <v>23881</v>
      </c>
      <c r="I3904" s="110" t="s">
        <v>23882</v>
      </c>
    </row>
    <row r="3905" spans="1:9" ht="50.4" x14ac:dyDescent="0.3">
      <c r="A3905" s="109" t="s">
        <v>23883</v>
      </c>
      <c r="B3905" s="109" t="s">
        <v>22985</v>
      </c>
      <c r="C3905" s="109" t="s">
        <v>22985</v>
      </c>
      <c r="D3905" s="109" t="s">
        <v>11993</v>
      </c>
      <c r="E3905" s="109" t="s">
        <v>11993</v>
      </c>
      <c r="F3905" s="109" t="s">
        <v>23884</v>
      </c>
      <c r="G3905" s="110" t="s">
        <v>6248</v>
      </c>
      <c r="H3905" s="110" t="s">
        <v>18336</v>
      </c>
      <c r="I3905" s="110" t="s">
        <v>23885</v>
      </c>
    </row>
    <row r="3906" spans="1:9" ht="50.4" x14ac:dyDescent="0.3">
      <c r="A3906" s="109" t="s">
        <v>23886</v>
      </c>
      <c r="B3906" s="109" t="s">
        <v>22985</v>
      </c>
      <c r="C3906" s="109" t="s">
        <v>22985</v>
      </c>
      <c r="D3906" s="109" t="s">
        <v>23887</v>
      </c>
      <c r="E3906" s="109" t="s">
        <v>23887</v>
      </c>
      <c r="F3906" s="109" t="s">
        <v>23888</v>
      </c>
      <c r="G3906" s="110" t="s">
        <v>6248</v>
      </c>
      <c r="H3906" s="110" t="s">
        <v>23889</v>
      </c>
      <c r="I3906" s="110" t="s">
        <v>23890</v>
      </c>
    </row>
    <row r="3907" spans="1:9" ht="50.4" x14ac:dyDescent="0.3">
      <c r="A3907" s="109" t="s">
        <v>23891</v>
      </c>
      <c r="B3907" s="109" t="s">
        <v>22985</v>
      </c>
      <c r="C3907" s="109" t="s">
        <v>22985</v>
      </c>
      <c r="D3907" s="109" t="s">
        <v>23892</v>
      </c>
      <c r="E3907" s="109" t="s">
        <v>23892</v>
      </c>
      <c r="F3907" s="109" t="s">
        <v>23893</v>
      </c>
      <c r="G3907" s="110" t="s">
        <v>6248</v>
      </c>
      <c r="H3907" s="110" t="s">
        <v>6341</v>
      </c>
      <c r="I3907" s="110" t="s">
        <v>23894</v>
      </c>
    </row>
    <row r="3908" spans="1:9" ht="50.4" x14ac:dyDescent="0.3">
      <c r="A3908" s="109" t="s">
        <v>23895</v>
      </c>
      <c r="B3908" s="109" t="s">
        <v>22985</v>
      </c>
      <c r="C3908" s="109" t="s">
        <v>22985</v>
      </c>
      <c r="D3908" s="109" t="s">
        <v>23896</v>
      </c>
      <c r="E3908" s="109" t="s">
        <v>23896</v>
      </c>
      <c r="F3908" s="109" t="s">
        <v>23897</v>
      </c>
      <c r="G3908" s="110" t="s">
        <v>6248</v>
      </c>
      <c r="H3908" s="110" t="s">
        <v>23898</v>
      </c>
      <c r="I3908" s="110" t="s">
        <v>23899</v>
      </c>
    </row>
    <row r="3909" spans="1:9" ht="37.799999999999997" x14ac:dyDescent="0.3">
      <c r="A3909" s="109" t="s">
        <v>23900</v>
      </c>
      <c r="B3909" s="109" t="s">
        <v>22985</v>
      </c>
      <c r="C3909" s="109" t="s">
        <v>22985</v>
      </c>
      <c r="D3909" s="109" t="s">
        <v>23901</v>
      </c>
      <c r="E3909" s="109" t="s">
        <v>23901</v>
      </c>
      <c r="F3909" s="109" t="s">
        <v>23902</v>
      </c>
      <c r="G3909" s="110" t="s">
        <v>6248</v>
      </c>
      <c r="H3909" s="110" t="s">
        <v>23903</v>
      </c>
      <c r="I3909" s="110" t="s">
        <v>23904</v>
      </c>
    </row>
    <row r="3910" spans="1:9" ht="25.2" x14ac:dyDescent="0.3">
      <c r="A3910" s="109" t="s">
        <v>23905</v>
      </c>
      <c r="B3910" s="109" t="s">
        <v>22985</v>
      </c>
      <c r="C3910" s="109" t="s">
        <v>22985</v>
      </c>
      <c r="D3910" s="109" t="s">
        <v>23906</v>
      </c>
      <c r="E3910" s="109" t="s">
        <v>11159</v>
      </c>
      <c r="F3910" s="109" t="s">
        <v>23907</v>
      </c>
      <c r="G3910" s="110" t="s">
        <v>6248</v>
      </c>
      <c r="H3910" s="110" t="s">
        <v>23908</v>
      </c>
      <c r="I3910" s="110" t="s">
        <v>23909</v>
      </c>
    </row>
    <row r="3911" spans="1:9" ht="50.4" x14ac:dyDescent="0.3">
      <c r="A3911" s="109" t="s">
        <v>23910</v>
      </c>
      <c r="B3911" s="109" t="s">
        <v>22985</v>
      </c>
      <c r="C3911" s="109" t="s">
        <v>22985</v>
      </c>
      <c r="D3911" s="109" t="s">
        <v>23911</v>
      </c>
      <c r="E3911" s="109" t="s">
        <v>23911</v>
      </c>
      <c r="F3911" s="109" t="s">
        <v>23912</v>
      </c>
      <c r="G3911" s="110" t="s">
        <v>6248</v>
      </c>
      <c r="H3911" s="110" t="s">
        <v>23913</v>
      </c>
      <c r="I3911" s="110" t="s">
        <v>23914</v>
      </c>
    </row>
    <row r="3912" spans="1:9" ht="50.4" x14ac:dyDescent="0.3">
      <c r="A3912" s="109" t="s">
        <v>23915</v>
      </c>
      <c r="B3912" s="109" t="s">
        <v>22985</v>
      </c>
      <c r="C3912" s="109" t="s">
        <v>22985</v>
      </c>
      <c r="D3912" s="109" t="s">
        <v>8478</v>
      </c>
      <c r="E3912" s="109" t="s">
        <v>8478</v>
      </c>
      <c r="F3912" s="109" t="s">
        <v>23916</v>
      </c>
      <c r="G3912" s="110" t="s">
        <v>6248</v>
      </c>
      <c r="H3912" s="110" t="s">
        <v>23917</v>
      </c>
      <c r="I3912" s="110" t="s">
        <v>23918</v>
      </c>
    </row>
    <row r="3913" spans="1:9" ht="50.4" x14ac:dyDescent="0.3">
      <c r="A3913" s="109" t="s">
        <v>23919</v>
      </c>
      <c r="B3913" s="109" t="s">
        <v>22985</v>
      </c>
      <c r="C3913" s="109" t="s">
        <v>22985</v>
      </c>
      <c r="D3913" s="109" t="s">
        <v>23920</v>
      </c>
      <c r="E3913" s="109" t="s">
        <v>23920</v>
      </c>
      <c r="F3913" s="109" t="s">
        <v>23921</v>
      </c>
      <c r="G3913" s="110" t="s">
        <v>6248</v>
      </c>
      <c r="H3913" s="110" t="s">
        <v>23922</v>
      </c>
      <c r="I3913" s="110" t="s">
        <v>23923</v>
      </c>
    </row>
    <row r="3914" spans="1:9" ht="37.799999999999997" x14ac:dyDescent="0.3">
      <c r="A3914" s="109" t="s">
        <v>23924</v>
      </c>
      <c r="B3914" s="109" t="s">
        <v>22985</v>
      </c>
      <c r="C3914" s="109" t="s">
        <v>22985</v>
      </c>
      <c r="D3914" s="109" t="s">
        <v>23925</v>
      </c>
      <c r="E3914" s="109" t="s">
        <v>23926</v>
      </c>
      <c r="F3914" s="109" t="s">
        <v>23927</v>
      </c>
      <c r="G3914" s="110" t="s">
        <v>6248</v>
      </c>
      <c r="H3914" s="110" t="s">
        <v>23928</v>
      </c>
      <c r="I3914" s="110" t="s">
        <v>23929</v>
      </c>
    </row>
    <row r="3915" spans="1:9" ht="50.4" x14ac:dyDescent="0.3">
      <c r="A3915" s="109" t="s">
        <v>23930</v>
      </c>
      <c r="B3915" s="109" t="s">
        <v>22985</v>
      </c>
      <c r="C3915" s="109" t="s">
        <v>22985</v>
      </c>
      <c r="D3915" s="109" t="s">
        <v>23931</v>
      </c>
      <c r="E3915" s="109" t="s">
        <v>23931</v>
      </c>
      <c r="F3915" s="109" t="s">
        <v>23932</v>
      </c>
      <c r="G3915" s="110" t="s">
        <v>6248</v>
      </c>
      <c r="H3915" s="110" t="s">
        <v>23933</v>
      </c>
      <c r="I3915" s="110" t="s">
        <v>23934</v>
      </c>
    </row>
    <row r="3916" spans="1:9" ht="50.4" x14ac:dyDescent="0.3">
      <c r="A3916" s="109" t="s">
        <v>23935</v>
      </c>
      <c r="B3916" s="109" t="s">
        <v>22985</v>
      </c>
      <c r="C3916" s="109" t="s">
        <v>22985</v>
      </c>
      <c r="D3916" s="109" t="s">
        <v>23936</v>
      </c>
      <c r="E3916" s="109" t="s">
        <v>23936</v>
      </c>
      <c r="F3916" s="109" t="s">
        <v>23937</v>
      </c>
      <c r="G3916" s="110" t="s">
        <v>6248</v>
      </c>
      <c r="H3916" s="110" t="s">
        <v>23938</v>
      </c>
      <c r="I3916" s="110" t="s">
        <v>23939</v>
      </c>
    </row>
    <row r="3917" spans="1:9" ht="50.4" x14ac:dyDescent="0.3">
      <c r="A3917" s="109" t="s">
        <v>23940</v>
      </c>
      <c r="B3917" s="109" t="s">
        <v>22985</v>
      </c>
      <c r="C3917" s="109" t="s">
        <v>22985</v>
      </c>
      <c r="D3917" s="109" t="s">
        <v>23941</v>
      </c>
      <c r="E3917" s="109" t="s">
        <v>23941</v>
      </c>
      <c r="F3917" s="109" t="s">
        <v>23942</v>
      </c>
      <c r="G3917" s="110" t="s">
        <v>6248</v>
      </c>
      <c r="H3917" s="110" t="s">
        <v>23943</v>
      </c>
      <c r="I3917" s="110" t="s">
        <v>23944</v>
      </c>
    </row>
    <row r="3918" spans="1:9" ht="50.4" x14ac:dyDescent="0.3">
      <c r="A3918" s="109" t="s">
        <v>23945</v>
      </c>
      <c r="B3918" s="109" t="s">
        <v>22985</v>
      </c>
      <c r="C3918" s="109" t="s">
        <v>22985</v>
      </c>
      <c r="D3918" s="109" t="s">
        <v>8478</v>
      </c>
      <c r="E3918" s="109" t="s">
        <v>8478</v>
      </c>
      <c r="F3918" s="109" t="s">
        <v>23946</v>
      </c>
      <c r="G3918" s="110" t="s">
        <v>6248</v>
      </c>
      <c r="H3918" s="110" t="s">
        <v>23947</v>
      </c>
      <c r="I3918" s="110" t="s">
        <v>23948</v>
      </c>
    </row>
    <row r="3919" spans="1:9" ht="50.4" x14ac:dyDescent="0.3">
      <c r="A3919" s="109" t="s">
        <v>23949</v>
      </c>
      <c r="B3919" s="109" t="s">
        <v>22985</v>
      </c>
      <c r="C3919" s="109" t="s">
        <v>22985</v>
      </c>
      <c r="D3919" s="109" t="s">
        <v>23950</v>
      </c>
      <c r="E3919" s="109" t="s">
        <v>23950</v>
      </c>
      <c r="F3919" s="109" t="s">
        <v>23951</v>
      </c>
      <c r="G3919" s="110" t="s">
        <v>6248</v>
      </c>
      <c r="H3919" s="110" t="s">
        <v>6689</v>
      </c>
      <c r="I3919" s="110" t="s">
        <v>23952</v>
      </c>
    </row>
    <row r="3920" spans="1:9" ht="37.799999999999997" x14ac:dyDescent="0.3">
      <c r="A3920" s="109" t="s">
        <v>23953</v>
      </c>
      <c r="B3920" s="109" t="s">
        <v>22985</v>
      </c>
      <c r="C3920" s="109" t="s">
        <v>22985</v>
      </c>
      <c r="D3920" s="109" t="s">
        <v>23954</v>
      </c>
      <c r="E3920" s="109" t="s">
        <v>23954</v>
      </c>
      <c r="F3920" s="109" t="s">
        <v>23955</v>
      </c>
      <c r="G3920" s="110" t="s">
        <v>6248</v>
      </c>
      <c r="H3920" s="110" t="s">
        <v>23956</v>
      </c>
      <c r="I3920" s="110" t="s">
        <v>23957</v>
      </c>
    </row>
    <row r="3921" spans="1:9" ht="50.4" x14ac:dyDescent="0.3">
      <c r="A3921" s="109" t="s">
        <v>23958</v>
      </c>
      <c r="B3921" s="109" t="s">
        <v>22985</v>
      </c>
      <c r="C3921" s="109" t="s">
        <v>22985</v>
      </c>
      <c r="D3921" s="109" t="s">
        <v>23959</v>
      </c>
      <c r="E3921" s="109" t="s">
        <v>23959</v>
      </c>
      <c r="F3921" s="109" t="s">
        <v>23960</v>
      </c>
      <c r="G3921" s="110" t="s">
        <v>6248</v>
      </c>
      <c r="H3921" s="110" t="s">
        <v>23961</v>
      </c>
      <c r="I3921" s="110" t="s">
        <v>23962</v>
      </c>
    </row>
    <row r="3922" spans="1:9" ht="37.799999999999997" x14ac:dyDescent="0.3">
      <c r="A3922" s="109" t="s">
        <v>23963</v>
      </c>
      <c r="B3922" s="109" t="s">
        <v>22985</v>
      </c>
      <c r="C3922" s="109" t="s">
        <v>22985</v>
      </c>
      <c r="D3922" s="109" t="s">
        <v>23964</v>
      </c>
      <c r="E3922" s="109" t="s">
        <v>23959</v>
      </c>
      <c r="F3922" s="109" t="s">
        <v>23965</v>
      </c>
      <c r="G3922" s="110" t="s">
        <v>23961</v>
      </c>
      <c r="H3922" s="110" t="s">
        <v>6248</v>
      </c>
      <c r="I3922" s="110" t="s">
        <v>23957</v>
      </c>
    </row>
    <row r="3923" spans="1:9" ht="50.4" x14ac:dyDescent="0.3">
      <c r="A3923" s="109" t="s">
        <v>23966</v>
      </c>
      <c r="B3923" s="109" t="s">
        <v>22985</v>
      </c>
      <c r="C3923" s="109" t="s">
        <v>22985</v>
      </c>
      <c r="D3923" s="109" t="s">
        <v>14470</v>
      </c>
      <c r="E3923" s="109" t="s">
        <v>14470</v>
      </c>
      <c r="F3923" s="109" t="s">
        <v>23967</v>
      </c>
      <c r="G3923" s="110" t="s">
        <v>6248</v>
      </c>
      <c r="H3923" s="110" t="s">
        <v>23968</v>
      </c>
      <c r="I3923" s="110" t="s">
        <v>23969</v>
      </c>
    </row>
    <row r="3924" spans="1:9" ht="37.799999999999997" x14ac:dyDescent="0.3">
      <c r="A3924" s="109" t="s">
        <v>23970</v>
      </c>
      <c r="B3924" s="109" t="s">
        <v>22985</v>
      </c>
      <c r="C3924" s="109" t="s">
        <v>22985</v>
      </c>
      <c r="D3924" s="109" t="s">
        <v>23971</v>
      </c>
      <c r="E3924" s="109" t="s">
        <v>14470</v>
      </c>
      <c r="F3924" s="109" t="s">
        <v>23972</v>
      </c>
      <c r="G3924" s="110" t="s">
        <v>23968</v>
      </c>
      <c r="H3924" s="110" t="s">
        <v>6248</v>
      </c>
      <c r="I3924" s="110" t="s">
        <v>23957</v>
      </c>
    </row>
    <row r="3925" spans="1:9" ht="37.799999999999997" x14ac:dyDescent="0.3">
      <c r="A3925" s="109" t="s">
        <v>23973</v>
      </c>
      <c r="B3925" s="109" t="s">
        <v>22985</v>
      </c>
      <c r="C3925" s="109" t="s">
        <v>22985</v>
      </c>
      <c r="D3925" s="109" t="s">
        <v>23974</v>
      </c>
      <c r="E3925" s="109" t="s">
        <v>23975</v>
      </c>
      <c r="F3925" s="109" t="s">
        <v>23976</v>
      </c>
      <c r="G3925" s="110" t="s">
        <v>6248</v>
      </c>
      <c r="H3925" s="110" t="s">
        <v>8905</v>
      </c>
      <c r="I3925" s="110" t="s">
        <v>23977</v>
      </c>
    </row>
    <row r="3926" spans="1:9" ht="50.4" x14ac:dyDescent="0.3">
      <c r="A3926" s="109" t="s">
        <v>23978</v>
      </c>
      <c r="B3926" s="109" t="s">
        <v>22985</v>
      </c>
      <c r="C3926" s="109" t="s">
        <v>22985</v>
      </c>
      <c r="D3926" s="109" t="s">
        <v>9930</v>
      </c>
      <c r="E3926" s="109" t="s">
        <v>9930</v>
      </c>
      <c r="F3926" s="109" t="s">
        <v>23979</v>
      </c>
      <c r="G3926" s="110" t="s">
        <v>6248</v>
      </c>
      <c r="H3926" s="110" t="s">
        <v>23980</v>
      </c>
      <c r="I3926" s="110" t="s">
        <v>23981</v>
      </c>
    </row>
    <row r="3927" spans="1:9" ht="50.4" x14ac:dyDescent="0.3">
      <c r="A3927" s="109" t="s">
        <v>23982</v>
      </c>
      <c r="B3927" s="109" t="s">
        <v>22985</v>
      </c>
      <c r="C3927" s="109" t="s">
        <v>22985</v>
      </c>
      <c r="D3927" s="109" t="s">
        <v>7472</v>
      </c>
      <c r="E3927" s="109" t="s">
        <v>7472</v>
      </c>
      <c r="F3927" s="109" t="s">
        <v>23983</v>
      </c>
      <c r="G3927" s="110" t="s">
        <v>6248</v>
      </c>
      <c r="H3927" s="110" t="s">
        <v>23984</v>
      </c>
      <c r="I3927" s="110" t="s">
        <v>23985</v>
      </c>
    </row>
    <row r="3928" spans="1:9" ht="25.2" x14ac:dyDescent="0.3">
      <c r="A3928" s="109" t="s">
        <v>23986</v>
      </c>
      <c r="B3928" s="109" t="s">
        <v>22985</v>
      </c>
      <c r="C3928" s="109" t="s">
        <v>22985</v>
      </c>
      <c r="D3928" s="109" t="s">
        <v>23987</v>
      </c>
      <c r="E3928" s="109" t="s">
        <v>23988</v>
      </c>
      <c r="F3928" s="109" t="s">
        <v>23989</v>
      </c>
      <c r="G3928" s="110" t="s">
        <v>6248</v>
      </c>
      <c r="H3928" s="110" t="s">
        <v>23990</v>
      </c>
      <c r="I3928" s="110" t="s">
        <v>23991</v>
      </c>
    </row>
    <row r="3929" spans="1:9" ht="50.4" x14ac:dyDescent="0.3">
      <c r="A3929" s="109" t="s">
        <v>23992</v>
      </c>
      <c r="B3929" s="109" t="s">
        <v>22985</v>
      </c>
      <c r="C3929" s="109" t="s">
        <v>22985</v>
      </c>
      <c r="D3929" s="109" t="s">
        <v>20294</v>
      </c>
      <c r="E3929" s="109" t="s">
        <v>20294</v>
      </c>
      <c r="F3929" s="109" t="s">
        <v>23993</v>
      </c>
      <c r="G3929" s="110" t="s">
        <v>6248</v>
      </c>
      <c r="H3929" s="110" t="s">
        <v>23994</v>
      </c>
      <c r="I3929" s="110" t="s">
        <v>23995</v>
      </c>
    </row>
    <row r="3930" spans="1:9" ht="37.799999999999997" x14ac:dyDescent="0.3">
      <c r="A3930" s="109" t="s">
        <v>23996</v>
      </c>
      <c r="B3930" s="109" t="s">
        <v>22985</v>
      </c>
      <c r="C3930" s="109" t="s">
        <v>22985</v>
      </c>
      <c r="D3930" s="109" t="s">
        <v>23997</v>
      </c>
      <c r="E3930" s="109" t="s">
        <v>20294</v>
      </c>
      <c r="F3930" s="109" t="s">
        <v>23998</v>
      </c>
      <c r="G3930" s="110" t="s">
        <v>23994</v>
      </c>
      <c r="H3930" s="110" t="s">
        <v>6248</v>
      </c>
      <c r="I3930" s="110" t="s">
        <v>23991</v>
      </c>
    </row>
    <row r="3931" spans="1:9" ht="37.799999999999997" x14ac:dyDescent="0.3">
      <c r="A3931" s="109" t="s">
        <v>23999</v>
      </c>
      <c r="B3931" s="109" t="s">
        <v>22985</v>
      </c>
      <c r="C3931" s="109" t="s">
        <v>22985</v>
      </c>
      <c r="D3931" s="109" t="s">
        <v>24000</v>
      </c>
      <c r="E3931" s="109" t="s">
        <v>16583</v>
      </c>
      <c r="F3931" s="109" t="s">
        <v>24001</v>
      </c>
      <c r="G3931" s="110" t="s">
        <v>6248</v>
      </c>
      <c r="H3931" s="110" t="s">
        <v>19552</v>
      </c>
      <c r="I3931" s="110" t="s">
        <v>24002</v>
      </c>
    </row>
    <row r="3932" spans="1:9" ht="50.4" x14ac:dyDescent="0.3">
      <c r="A3932" s="109" t="s">
        <v>24003</v>
      </c>
      <c r="B3932" s="109" t="s">
        <v>22985</v>
      </c>
      <c r="C3932" s="109" t="s">
        <v>22985</v>
      </c>
      <c r="D3932" s="109" t="s">
        <v>24004</v>
      </c>
      <c r="E3932" s="109" t="s">
        <v>24004</v>
      </c>
      <c r="F3932" s="109" t="s">
        <v>24005</v>
      </c>
      <c r="G3932" s="110" t="s">
        <v>6248</v>
      </c>
      <c r="H3932" s="110" t="s">
        <v>24006</v>
      </c>
      <c r="I3932" s="110" t="s">
        <v>24007</v>
      </c>
    </row>
    <row r="3933" spans="1:9" ht="25.2" x14ac:dyDescent="0.3">
      <c r="A3933" s="109" t="s">
        <v>24008</v>
      </c>
      <c r="B3933" s="109" t="s">
        <v>22985</v>
      </c>
      <c r="C3933" s="109" t="s">
        <v>22985</v>
      </c>
      <c r="D3933" s="109" t="s">
        <v>5569</v>
      </c>
      <c r="E3933" s="109" t="s">
        <v>5558</v>
      </c>
      <c r="F3933" s="109" t="s">
        <v>2258</v>
      </c>
      <c r="G3933" s="110" t="s">
        <v>6248</v>
      </c>
      <c r="H3933" s="110" t="s">
        <v>24009</v>
      </c>
      <c r="I3933" s="110" t="s">
        <v>24010</v>
      </c>
    </row>
    <row r="3934" spans="1:9" ht="25.2" x14ac:dyDescent="0.3">
      <c r="A3934" s="109" t="s">
        <v>24011</v>
      </c>
      <c r="B3934" s="109" t="s">
        <v>22985</v>
      </c>
      <c r="C3934" s="109" t="s">
        <v>22985</v>
      </c>
      <c r="D3934" s="109" t="s">
        <v>5569</v>
      </c>
      <c r="E3934" s="109" t="s">
        <v>5558</v>
      </c>
      <c r="F3934" s="109" t="s">
        <v>2258</v>
      </c>
      <c r="G3934" s="110" t="s">
        <v>6248</v>
      </c>
      <c r="H3934" s="110" t="s">
        <v>24012</v>
      </c>
      <c r="I3934" s="110" t="s">
        <v>24013</v>
      </c>
    </row>
    <row r="3935" spans="1:9" ht="37.799999999999997" x14ac:dyDescent="0.3">
      <c r="A3935" s="109" t="s">
        <v>24014</v>
      </c>
      <c r="B3935" s="109" t="s">
        <v>22985</v>
      </c>
      <c r="C3935" s="109" t="s">
        <v>22985</v>
      </c>
      <c r="D3935" s="109" t="s">
        <v>24015</v>
      </c>
      <c r="E3935" s="109" t="s">
        <v>5558</v>
      </c>
      <c r="F3935" s="109" t="s">
        <v>24016</v>
      </c>
      <c r="G3935" s="110" t="s">
        <v>6248</v>
      </c>
      <c r="H3935" s="110" t="s">
        <v>7094</v>
      </c>
      <c r="I3935" s="110" t="s">
        <v>24017</v>
      </c>
    </row>
    <row r="3936" spans="1:9" ht="25.2" x14ac:dyDescent="0.3">
      <c r="A3936" s="109" t="s">
        <v>24018</v>
      </c>
      <c r="B3936" s="109" t="s">
        <v>22985</v>
      </c>
      <c r="C3936" s="109" t="s">
        <v>22985</v>
      </c>
      <c r="D3936" s="109" t="s">
        <v>24019</v>
      </c>
      <c r="E3936" s="109" t="s">
        <v>5558</v>
      </c>
      <c r="F3936" s="109" t="s">
        <v>24020</v>
      </c>
      <c r="G3936" s="110" t="s">
        <v>6248</v>
      </c>
      <c r="H3936" s="110" t="s">
        <v>24021</v>
      </c>
      <c r="I3936" s="110" t="s">
        <v>24022</v>
      </c>
    </row>
    <row r="3937" spans="1:9" ht="25.2" x14ac:dyDescent="0.3">
      <c r="A3937" s="109" t="s">
        <v>24023</v>
      </c>
      <c r="B3937" s="109" t="s">
        <v>22985</v>
      </c>
      <c r="C3937" s="109" t="s">
        <v>22985</v>
      </c>
      <c r="D3937" s="109" t="s">
        <v>24024</v>
      </c>
      <c r="E3937" s="109" t="s">
        <v>6174</v>
      </c>
      <c r="F3937" s="109" t="s">
        <v>12635</v>
      </c>
      <c r="G3937" s="110" t="s">
        <v>6248</v>
      </c>
      <c r="H3937" s="110" t="s">
        <v>24025</v>
      </c>
      <c r="I3937" s="110" t="s">
        <v>24026</v>
      </c>
    </row>
    <row r="3938" spans="1:9" ht="25.2" x14ac:dyDescent="0.3">
      <c r="A3938" s="109" t="s">
        <v>24027</v>
      </c>
      <c r="B3938" s="109" t="s">
        <v>22985</v>
      </c>
      <c r="C3938" s="109" t="s">
        <v>22985</v>
      </c>
      <c r="D3938" s="109" t="s">
        <v>24028</v>
      </c>
      <c r="E3938" s="109" t="s">
        <v>5558</v>
      </c>
      <c r="F3938" s="109" t="s">
        <v>24029</v>
      </c>
      <c r="G3938" s="110" t="s">
        <v>6248</v>
      </c>
      <c r="H3938" s="110" t="s">
        <v>24030</v>
      </c>
      <c r="I3938" s="110" t="s">
        <v>24031</v>
      </c>
    </row>
    <row r="3939" spans="1:9" ht="25.2" x14ac:dyDescent="0.3">
      <c r="A3939" s="109" t="s">
        <v>24032</v>
      </c>
      <c r="B3939" s="109" t="s">
        <v>22985</v>
      </c>
      <c r="C3939" s="109" t="s">
        <v>22985</v>
      </c>
      <c r="D3939" s="109" t="s">
        <v>24033</v>
      </c>
      <c r="E3939" s="109" t="s">
        <v>5558</v>
      </c>
      <c r="F3939" s="109" t="s">
        <v>24034</v>
      </c>
      <c r="G3939" s="110" t="s">
        <v>6248</v>
      </c>
      <c r="H3939" s="110" t="s">
        <v>6341</v>
      </c>
      <c r="I3939" s="110" t="s">
        <v>24035</v>
      </c>
    </row>
    <row r="3940" spans="1:9" ht="25.2" x14ac:dyDescent="0.3">
      <c r="A3940" s="109" t="s">
        <v>24036</v>
      </c>
      <c r="B3940" s="109" t="s">
        <v>22985</v>
      </c>
      <c r="C3940" s="109" t="s">
        <v>22985</v>
      </c>
      <c r="D3940" s="109" t="s">
        <v>24037</v>
      </c>
      <c r="E3940" s="109" t="s">
        <v>24038</v>
      </c>
      <c r="F3940" s="109" t="s">
        <v>24039</v>
      </c>
      <c r="G3940" s="110" t="s">
        <v>6248</v>
      </c>
      <c r="H3940" s="110" t="s">
        <v>24040</v>
      </c>
      <c r="I3940" s="110" t="s">
        <v>24041</v>
      </c>
    </row>
    <row r="3941" spans="1:9" ht="37.799999999999997" x14ac:dyDescent="0.3">
      <c r="A3941" s="109" t="s">
        <v>24042</v>
      </c>
      <c r="B3941" s="109" t="s">
        <v>22985</v>
      </c>
      <c r="C3941" s="109" t="s">
        <v>22985</v>
      </c>
      <c r="D3941" s="109" t="s">
        <v>24043</v>
      </c>
      <c r="E3941" s="109" t="s">
        <v>5558</v>
      </c>
      <c r="F3941" s="109" t="s">
        <v>24044</v>
      </c>
      <c r="G3941" s="110" t="s">
        <v>6248</v>
      </c>
      <c r="H3941" s="110" t="s">
        <v>24045</v>
      </c>
      <c r="I3941" s="110" t="s">
        <v>24046</v>
      </c>
    </row>
    <row r="3942" spans="1:9" ht="37.799999999999997" x14ac:dyDescent="0.3">
      <c r="A3942" s="109" t="s">
        <v>24047</v>
      </c>
      <c r="B3942" s="109" t="s">
        <v>22985</v>
      </c>
      <c r="C3942" s="109" t="s">
        <v>22985</v>
      </c>
      <c r="D3942" s="109" t="s">
        <v>24048</v>
      </c>
      <c r="E3942" s="109" t="s">
        <v>5558</v>
      </c>
      <c r="F3942" s="109" t="s">
        <v>24049</v>
      </c>
      <c r="G3942" s="110" t="s">
        <v>6248</v>
      </c>
      <c r="H3942" s="110" t="s">
        <v>24050</v>
      </c>
      <c r="I3942" s="110" t="s">
        <v>24051</v>
      </c>
    </row>
    <row r="3943" spans="1:9" ht="25.2" x14ac:dyDescent="0.3">
      <c r="A3943" s="109" t="s">
        <v>24052</v>
      </c>
      <c r="B3943" s="109" t="s">
        <v>22985</v>
      </c>
      <c r="C3943" s="109" t="s">
        <v>22985</v>
      </c>
      <c r="D3943" s="109" t="s">
        <v>24053</v>
      </c>
      <c r="E3943" s="109" t="s">
        <v>5558</v>
      </c>
      <c r="F3943" s="109" t="s">
        <v>24054</v>
      </c>
      <c r="G3943" s="110" t="s">
        <v>6248</v>
      </c>
      <c r="H3943" s="110" t="s">
        <v>24055</v>
      </c>
      <c r="I3943" s="110" t="s">
        <v>24056</v>
      </c>
    </row>
    <row r="3944" spans="1:9" ht="25.2" x14ac:dyDescent="0.3">
      <c r="A3944" s="109" t="s">
        <v>24057</v>
      </c>
      <c r="B3944" s="109" t="s">
        <v>22985</v>
      </c>
      <c r="C3944" s="109" t="s">
        <v>22985</v>
      </c>
      <c r="D3944" s="109" t="s">
        <v>24058</v>
      </c>
      <c r="E3944" s="109" t="s">
        <v>24059</v>
      </c>
      <c r="F3944" s="109" t="s">
        <v>6267</v>
      </c>
      <c r="G3944" s="110" t="s">
        <v>6248</v>
      </c>
      <c r="H3944" s="110" t="s">
        <v>24060</v>
      </c>
      <c r="I3944" s="110" t="s">
        <v>24061</v>
      </c>
    </row>
    <row r="3945" spans="1:9" ht="25.2" x14ac:dyDescent="0.3">
      <c r="A3945" s="109" t="s">
        <v>24062</v>
      </c>
      <c r="B3945" s="109" t="s">
        <v>22985</v>
      </c>
      <c r="C3945" s="109" t="s">
        <v>22985</v>
      </c>
      <c r="D3945" s="109" t="s">
        <v>24063</v>
      </c>
      <c r="E3945" s="109" t="s">
        <v>24064</v>
      </c>
      <c r="F3945" s="109" t="s">
        <v>6267</v>
      </c>
      <c r="G3945" s="110" t="s">
        <v>6248</v>
      </c>
      <c r="H3945" s="110" t="s">
        <v>24065</v>
      </c>
      <c r="I3945" s="110" t="s">
        <v>24066</v>
      </c>
    </row>
    <row r="3946" spans="1:9" ht="25.2" x14ac:dyDescent="0.3">
      <c r="A3946" s="109" t="s">
        <v>24067</v>
      </c>
      <c r="B3946" s="109" t="s">
        <v>22985</v>
      </c>
      <c r="C3946" s="109" t="s">
        <v>22985</v>
      </c>
      <c r="D3946" s="109" t="s">
        <v>24068</v>
      </c>
      <c r="E3946" s="109" t="s">
        <v>5558</v>
      </c>
      <c r="F3946" s="109" t="s">
        <v>24069</v>
      </c>
      <c r="G3946" s="110" t="s">
        <v>6248</v>
      </c>
      <c r="H3946" s="110" t="s">
        <v>24070</v>
      </c>
      <c r="I3946" s="110" t="s">
        <v>24071</v>
      </c>
    </row>
    <row r="3947" spans="1:9" ht="25.2" x14ac:dyDescent="0.3">
      <c r="A3947" s="109" t="s">
        <v>24072</v>
      </c>
      <c r="B3947" s="109" t="s">
        <v>22985</v>
      </c>
      <c r="C3947" s="109" t="s">
        <v>22985</v>
      </c>
      <c r="D3947" s="109" t="s">
        <v>24073</v>
      </c>
      <c r="E3947" s="109" t="s">
        <v>5558</v>
      </c>
      <c r="F3947" s="109" t="s">
        <v>24074</v>
      </c>
      <c r="G3947" s="110" t="s">
        <v>6248</v>
      </c>
      <c r="H3947" s="110" t="s">
        <v>6341</v>
      </c>
      <c r="I3947" s="110" t="s">
        <v>24075</v>
      </c>
    </row>
    <row r="3948" spans="1:9" ht="37.799999999999997" x14ac:dyDescent="0.3">
      <c r="A3948" s="109" t="s">
        <v>24076</v>
      </c>
      <c r="B3948" s="109" t="s">
        <v>22985</v>
      </c>
      <c r="C3948" s="109" t="s">
        <v>22985</v>
      </c>
      <c r="D3948" s="109" t="s">
        <v>24077</v>
      </c>
      <c r="E3948" s="109" t="s">
        <v>5558</v>
      </c>
      <c r="F3948" s="109" t="s">
        <v>24078</v>
      </c>
      <c r="G3948" s="110" t="s">
        <v>6248</v>
      </c>
      <c r="H3948" s="110" t="s">
        <v>24079</v>
      </c>
      <c r="I3948" s="110" t="s">
        <v>24080</v>
      </c>
    </row>
    <row r="3949" spans="1:9" ht="25.2" x14ac:dyDescent="0.3">
      <c r="A3949" s="109" t="s">
        <v>24081</v>
      </c>
      <c r="B3949" s="109" t="s">
        <v>24082</v>
      </c>
      <c r="C3949" s="109" t="s">
        <v>24082</v>
      </c>
      <c r="D3949" s="109" t="s">
        <v>24083</v>
      </c>
      <c r="E3949" s="109" t="s">
        <v>5558</v>
      </c>
      <c r="F3949" s="109" t="s">
        <v>24084</v>
      </c>
      <c r="G3949" s="110" t="s">
        <v>6248</v>
      </c>
      <c r="H3949" s="110" t="s">
        <v>24085</v>
      </c>
      <c r="I3949" s="110" t="s">
        <v>24086</v>
      </c>
    </row>
    <row r="3950" spans="1:9" ht="25.2" x14ac:dyDescent="0.3">
      <c r="A3950" s="109" t="s">
        <v>24087</v>
      </c>
      <c r="B3950" s="109" t="s">
        <v>24082</v>
      </c>
      <c r="C3950" s="109" t="s">
        <v>24082</v>
      </c>
      <c r="D3950" s="109" t="s">
        <v>24088</v>
      </c>
      <c r="E3950" s="109" t="s">
        <v>5558</v>
      </c>
      <c r="F3950" s="109" t="s">
        <v>24089</v>
      </c>
      <c r="G3950" s="110" t="s">
        <v>6248</v>
      </c>
      <c r="H3950" s="110" t="s">
        <v>24090</v>
      </c>
      <c r="I3950" s="110" t="s">
        <v>24091</v>
      </c>
    </row>
    <row r="3951" spans="1:9" ht="25.2" x14ac:dyDescent="0.3">
      <c r="A3951" s="109" t="s">
        <v>24092</v>
      </c>
      <c r="B3951" s="109" t="s">
        <v>24082</v>
      </c>
      <c r="C3951" s="109" t="s">
        <v>24082</v>
      </c>
      <c r="D3951" s="109" t="s">
        <v>24093</v>
      </c>
      <c r="E3951" s="109" t="s">
        <v>5854</v>
      </c>
      <c r="F3951" s="109" t="s">
        <v>6256</v>
      </c>
      <c r="G3951" s="110" t="s">
        <v>6248</v>
      </c>
      <c r="H3951" s="110" t="s">
        <v>24094</v>
      </c>
      <c r="I3951" s="110" t="s">
        <v>24095</v>
      </c>
    </row>
    <row r="3952" spans="1:9" ht="25.2" x14ac:dyDescent="0.3">
      <c r="A3952" s="109" t="s">
        <v>24096</v>
      </c>
      <c r="B3952" s="109" t="s">
        <v>24082</v>
      </c>
      <c r="C3952" s="109" t="s">
        <v>24082</v>
      </c>
      <c r="D3952" s="109" t="s">
        <v>24097</v>
      </c>
      <c r="E3952" s="109" t="s">
        <v>5558</v>
      </c>
      <c r="F3952" s="109" t="s">
        <v>24098</v>
      </c>
      <c r="G3952" s="110" t="s">
        <v>6248</v>
      </c>
      <c r="H3952" s="110" t="s">
        <v>6883</v>
      </c>
      <c r="I3952" s="110" t="s">
        <v>24099</v>
      </c>
    </row>
    <row r="3953" spans="1:9" ht="25.2" x14ac:dyDescent="0.3">
      <c r="A3953" s="109" t="s">
        <v>24100</v>
      </c>
      <c r="B3953" s="109" t="s">
        <v>24082</v>
      </c>
      <c r="C3953" s="109" t="s">
        <v>24082</v>
      </c>
      <c r="D3953" s="109" t="s">
        <v>3746</v>
      </c>
      <c r="E3953" s="109" t="s">
        <v>5558</v>
      </c>
      <c r="F3953" s="109" t="s">
        <v>24101</v>
      </c>
      <c r="G3953" s="110" t="s">
        <v>6248</v>
      </c>
      <c r="H3953" s="110" t="s">
        <v>24102</v>
      </c>
      <c r="I3953" s="110" t="s">
        <v>24103</v>
      </c>
    </row>
    <row r="3954" spans="1:9" ht="25.2" x14ac:dyDescent="0.3">
      <c r="A3954" s="109" t="s">
        <v>24104</v>
      </c>
      <c r="B3954" s="109" t="s">
        <v>24082</v>
      </c>
      <c r="C3954" s="109" t="s">
        <v>24082</v>
      </c>
      <c r="D3954" s="109" t="s">
        <v>24105</v>
      </c>
      <c r="E3954" s="109" t="s">
        <v>24106</v>
      </c>
      <c r="F3954" s="109" t="s">
        <v>6368</v>
      </c>
      <c r="G3954" s="110" t="s">
        <v>10788</v>
      </c>
      <c r="H3954" s="110" t="s">
        <v>6248</v>
      </c>
      <c r="I3954" s="110" t="s">
        <v>24107</v>
      </c>
    </row>
    <row r="3955" spans="1:9" ht="37.799999999999997" x14ac:dyDescent="0.3">
      <c r="A3955" s="109" t="s">
        <v>24108</v>
      </c>
      <c r="B3955" s="109" t="s">
        <v>24082</v>
      </c>
      <c r="C3955" s="109" t="s">
        <v>24082</v>
      </c>
      <c r="D3955" s="109" t="s">
        <v>24109</v>
      </c>
      <c r="E3955" s="109" t="s">
        <v>5558</v>
      </c>
      <c r="F3955" s="109" t="s">
        <v>24110</v>
      </c>
      <c r="G3955" s="110" t="s">
        <v>6248</v>
      </c>
      <c r="H3955" s="110" t="s">
        <v>24111</v>
      </c>
      <c r="I3955" s="110" t="s">
        <v>24112</v>
      </c>
    </row>
    <row r="3956" spans="1:9" ht="37.799999999999997" x14ac:dyDescent="0.3">
      <c r="A3956" s="109" t="s">
        <v>24113</v>
      </c>
      <c r="B3956" s="109" t="s">
        <v>24082</v>
      </c>
      <c r="C3956" s="109" t="s">
        <v>24082</v>
      </c>
      <c r="D3956" s="109" t="s">
        <v>24114</v>
      </c>
      <c r="E3956" s="109" t="s">
        <v>5558</v>
      </c>
      <c r="F3956" s="109" t="s">
        <v>24115</v>
      </c>
      <c r="G3956" s="110" t="s">
        <v>6248</v>
      </c>
      <c r="H3956" s="110" t="s">
        <v>24116</v>
      </c>
      <c r="I3956" s="110" t="s">
        <v>24117</v>
      </c>
    </row>
    <row r="3957" spans="1:9" ht="25.2" x14ac:dyDescent="0.3">
      <c r="A3957" s="109" t="s">
        <v>24118</v>
      </c>
      <c r="B3957" s="109" t="s">
        <v>24082</v>
      </c>
      <c r="C3957" s="109" t="s">
        <v>24082</v>
      </c>
      <c r="D3957" s="109" t="s">
        <v>24119</v>
      </c>
      <c r="E3957" s="109" t="s">
        <v>5558</v>
      </c>
      <c r="F3957" s="109" t="s">
        <v>24120</v>
      </c>
      <c r="G3957" s="110" t="s">
        <v>6248</v>
      </c>
      <c r="H3957" s="110" t="s">
        <v>6403</v>
      </c>
      <c r="I3957" s="110" t="s">
        <v>24121</v>
      </c>
    </row>
    <row r="3958" spans="1:9" ht="37.799999999999997" x14ac:dyDescent="0.3">
      <c r="A3958" s="109" t="s">
        <v>24122</v>
      </c>
      <c r="B3958" s="109" t="s">
        <v>24082</v>
      </c>
      <c r="C3958" s="109" t="s">
        <v>24082</v>
      </c>
      <c r="D3958" s="109" t="s">
        <v>24123</v>
      </c>
      <c r="E3958" s="109" t="s">
        <v>5558</v>
      </c>
      <c r="F3958" s="109" t="s">
        <v>24124</v>
      </c>
      <c r="G3958" s="110" t="s">
        <v>6248</v>
      </c>
      <c r="H3958" s="110" t="s">
        <v>9141</v>
      </c>
      <c r="I3958" s="110" t="s">
        <v>24125</v>
      </c>
    </row>
    <row r="3959" spans="1:9" ht="25.2" x14ac:dyDescent="0.3">
      <c r="A3959" s="109" t="s">
        <v>24126</v>
      </c>
      <c r="B3959" s="109" t="s">
        <v>24082</v>
      </c>
      <c r="C3959" s="109" t="s">
        <v>24082</v>
      </c>
      <c r="D3959" s="109" t="s">
        <v>24127</v>
      </c>
      <c r="E3959" s="109" t="s">
        <v>5558</v>
      </c>
      <c r="F3959" s="109" t="s">
        <v>24128</v>
      </c>
      <c r="G3959" s="110" t="s">
        <v>6248</v>
      </c>
      <c r="H3959" s="110" t="s">
        <v>6398</v>
      </c>
      <c r="I3959" s="110" t="s">
        <v>24129</v>
      </c>
    </row>
    <row r="3960" spans="1:9" ht="25.2" x14ac:dyDescent="0.3">
      <c r="A3960" s="109" t="s">
        <v>24130</v>
      </c>
      <c r="B3960" s="109" t="s">
        <v>24082</v>
      </c>
      <c r="C3960" s="109" t="s">
        <v>24082</v>
      </c>
      <c r="D3960" s="109" t="s">
        <v>24131</v>
      </c>
      <c r="E3960" s="109" t="s">
        <v>5558</v>
      </c>
      <c r="F3960" s="109" t="s">
        <v>24132</v>
      </c>
      <c r="G3960" s="110" t="s">
        <v>6248</v>
      </c>
      <c r="H3960" s="110" t="s">
        <v>9158</v>
      </c>
      <c r="I3960" s="110" t="s">
        <v>24133</v>
      </c>
    </row>
    <row r="3961" spans="1:9" ht="37.799999999999997" x14ac:dyDescent="0.3">
      <c r="A3961" s="109" t="s">
        <v>24134</v>
      </c>
      <c r="B3961" s="109" t="s">
        <v>24082</v>
      </c>
      <c r="C3961" s="109" t="s">
        <v>24082</v>
      </c>
      <c r="D3961" s="109" t="s">
        <v>24135</v>
      </c>
      <c r="E3961" s="109" t="s">
        <v>5558</v>
      </c>
      <c r="F3961" s="109" t="s">
        <v>24136</v>
      </c>
      <c r="G3961" s="110" t="s">
        <v>6248</v>
      </c>
      <c r="H3961" s="110" t="s">
        <v>6474</v>
      </c>
      <c r="I3961" s="110" t="s">
        <v>24137</v>
      </c>
    </row>
    <row r="3962" spans="1:9" ht="37.799999999999997" x14ac:dyDescent="0.3">
      <c r="A3962" s="109" t="s">
        <v>24138</v>
      </c>
      <c r="B3962" s="109" t="s">
        <v>24082</v>
      </c>
      <c r="C3962" s="109" t="s">
        <v>24082</v>
      </c>
      <c r="D3962" s="109" t="s">
        <v>24139</v>
      </c>
      <c r="E3962" s="109" t="s">
        <v>5558</v>
      </c>
      <c r="F3962" s="109" t="s">
        <v>24140</v>
      </c>
      <c r="G3962" s="110" t="s">
        <v>6248</v>
      </c>
      <c r="H3962" s="110" t="s">
        <v>6433</v>
      </c>
      <c r="I3962" s="110" t="s">
        <v>24141</v>
      </c>
    </row>
    <row r="3963" spans="1:9" ht="25.2" x14ac:dyDescent="0.3">
      <c r="A3963" s="109" t="s">
        <v>24142</v>
      </c>
      <c r="B3963" s="109" t="s">
        <v>24082</v>
      </c>
      <c r="C3963" s="109" t="s">
        <v>24082</v>
      </c>
      <c r="D3963" s="109" t="s">
        <v>24143</v>
      </c>
      <c r="E3963" s="109" t="s">
        <v>5558</v>
      </c>
      <c r="F3963" s="109" t="s">
        <v>24144</v>
      </c>
      <c r="G3963" s="110" t="s">
        <v>6248</v>
      </c>
      <c r="H3963" s="110" t="s">
        <v>9158</v>
      </c>
      <c r="I3963" s="110" t="s">
        <v>24145</v>
      </c>
    </row>
    <row r="3964" spans="1:9" ht="37.799999999999997" x14ac:dyDescent="0.3">
      <c r="A3964" s="109" t="s">
        <v>24146</v>
      </c>
      <c r="B3964" s="109" t="s">
        <v>24082</v>
      </c>
      <c r="C3964" s="109" t="s">
        <v>24082</v>
      </c>
      <c r="D3964" s="109" t="s">
        <v>24147</v>
      </c>
      <c r="E3964" s="109" t="s">
        <v>5558</v>
      </c>
      <c r="F3964" s="109" t="s">
        <v>24148</v>
      </c>
      <c r="G3964" s="110" t="s">
        <v>6248</v>
      </c>
      <c r="H3964" s="110" t="s">
        <v>6507</v>
      </c>
      <c r="I3964" s="110" t="s">
        <v>24149</v>
      </c>
    </row>
    <row r="3965" spans="1:9" ht="25.2" x14ac:dyDescent="0.3">
      <c r="A3965" s="109" t="s">
        <v>24150</v>
      </c>
      <c r="B3965" s="109" t="s">
        <v>24082</v>
      </c>
      <c r="C3965" s="109" t="s">
        <v>24082</v>
      </c>
      <c r="D3965" s="109" t="s">
        <v>24151</v>
      </c>
      <c r="E3965" s="109" t="s">
        <v>5558</v>
      </c>
      <c r="F3965" s="109" t="s">
        <v>24152</v>
      </c>
      <c r="G3965" s="110" t="s">
        <v>6248</v>
      </c>
      <c r="H3965" s="110" t="s">
        <v>22045</v>
      </c>
      <c r="I3965" s="110" t="s">
        <v>24153</v>
      </c>
    </row>
    <row r="3966" spans="1:9" ht="25.2" x14ac:dyDescent="0.3">
      <c r="A3966" s="109" t="s">
        <v>24154</v>
      </c>
      <c r="B3966" s="109" t="s">
        <v>24082</v>
      </c>
      <c r="C3966" s="109" t="s">
        <v>24082</v>
      </c>
      <c r="D3966" s="109" t="s">
        <v>24155</v>
      </c>
      <c r="E3966" s="109" t="s">
        <v>5558</v>
      </c>
      <c r="F3966" s="109" t="s">
        <v>24156</v>
      </c>
      <c r="G3966" s="110" t="s">
        <v>6248</v>
      </c>
      <c r="H3966" s="110" t="s">
        <v>8905</v>
      </c>
      <c r="I3966" s="110" t="s">
        <v>24157</v>
      </c>
    </row>
    <row r="3967" spans="1:9" ht="25.2" x14ac:dyDescent="0.3">
      <c r="A3967" s="109" t="s">
        <v>24158</v>
      </c>
      <c r="B3967" s="109" t="s">
        <v>24082</v>
      </c>
      <c r="C3967" s="109" t="s">
        <v>24082</v>
      </c>
      <c r="D3967" s="109" t="s">
        <v>24159</v>
      </c>
      <c r="E3967" s="109" t="s">
        <v>5558</v>
      </c>
      <c r="F3967" s="109" t="s">
        <v>24160</v>
      </c>
      <c r="G3967" s="110" t="s">
        <v>6248</v>
      </c>
      <c r="H3967" s="110" t="s">
        <v>13982</v>
      </c>
      <c r="I3967" s="110" t="s">
        <v>24161</v>
      </c>
    </row>
    <row r="3968" spans="1:9" ht="37.799999999999997" x14ac:dyDescent="0.3">
      <c r="A3968" s="109" t="s">
        <v>24162</v>
      </c>
      <c r="B3968" s="109" t="s">
        <v>24082</v>
      </c>
      <c r="C3968" s="109" t="s">
        <v>24082</v>
      </c>
      <c r="D3968" s="109" t="s">
        <v>24163</v>
      </c>
      <c r="E3968" s="109" t="s">
        <v>5558</v>
      </c>
      <c r="F3968" s="109" t="s">
        <v>24164</v>
      </c>
      <c r="G3968" s="110" t="s">
        <v>6248</v>
      </c>
      <c r="H3968" s="110" t="s">
        <v>6393</v>
      </c>
      <c r="I3968" s="110" t="s">
        <v>24165</v>
      </c>
    </row>
    <row r="3969" spans="1:9" ht="25.2" x14ac:dyDescent="0.3">
      <c r="A3969" s="109" t="s">
        <v>24166</v>
      </c>
      <c r="B3969" s="109" t="s">
        <v>24082</v>
      </c>
      <c r="C3969" s="109" t="s">
        <v>24082</v>
      </c>
      <c r="D3969" s="109" t="s">
        <v>24167</v>
      </c>
      <c r="E3969" s="109" t="s">
        <v>5558</v>
      </c>
      <c r="F3969" s="109" t="s">
        <v>24168</v>
      </c>
      <c r="G3969" s="110" t="s">
        <v>6248</v>
      </c>
      <c r="H3969" s="110" t="s">
        <v>6433</v>
      </c>
      <c r="I3969" s="110" t="s">
        <v>24169</v>
      </c>
    </row>
    <row r="3970" spans="1:9" ht="25.2" x14ac:dyDescent="0.3">
      <c r="A3970" s="109" t="s">
        <v>24170</v>
      </c>
      <c r="B3970" s="109" t="s">
        <v>24082</v>
      </c>
      <c r="C3970" s="109" t="s">
        <v>24082</v>
      </c>
      <c r="D3970" s="109" t="s">
        <v>24171</v>
      </c>
      <c r="E3970" s="109" t="s">
        <v>5558</v>
      </c>
      <c r="F3970" s="109" t="s">
        <v>24172</v>
      </c>
      <c r="G3970" s="110" t="s">
        <v>6248</v>
      </c>
      <c r="H3970" s="110" t="s">
        <v>6689</v>
      </c>
      <c r="I3970" s="110" t="s">
        <v>24173</v>
      </c>
    </row>
    <row r="3971" spans="1:9" ht="25.2" x14ac:dyDescent="0.3">
      <c r="A3971" s="109" t="s">
        <v>24174</v>
      </c>
      <c r="B3971" s="109" t="s">
        <v>24082</v>
      </c>
      <c r="C3971" s="109" t="s">
        <v>24082</v>
      </c>
      <c r="D3971" s="109" t="s">
        <v>24175</v>
      </c>
      <c r="E3971" s="109" t="s">
        <v>5558</v>
      </c>
      <c r="F3971" s="109" t="s">
        <v>24176</v>
      </c>
      <c r="G3971" s="110" t="s">
        <v>6248</v>
      </c>
      <c r="H3971" s="110" t="s">
        <v>12935</v>
      </c>
      <c r="I3971" s="110" t="s">
        <v>24177</v>
      </c>
    </row>
    <row r="3972" spans="1:9" ht="25.2" x14ac:dyDescent="0.3">
      <c r="A3972" s="109" t="s">
        <v>24178</v>
      </c>
      <c r="B3972" s="109" t="s">
        <v>24082</v>
      </c>
      <c r="C3972" s="109" t="s">
        <v>24082</v>
      </c>
      <c r="D3972" s="109" t="s">
        <v>24179</v>
      </c>
      <c r="E3972" s="109" t="s">
        <v>5558</v>
      </c>
      <c r="F3972" s="109" t="s">
        <v>24180</v>
      </c>
      <c r="G3972" s="110" t="s">
        <v>6248</v>
      </c>
      <c r="H3972" s="110" t="s">
        <v>9141</v>
      </c>
      <c r="I3972" s="110" t="s">
        <v>24181</v>
      </c>
    </row>
    <row r="3973" spans="1:9" ht="37.799999999999997" x14ac:dyDescent="0.3">
      <c r="A3973" s="109" t="s">
        <v>24182</v>
      </c>
      <c r="B3973" s="109" t="s">
        <v>24082</v>
      </c>
      <c r="C3973" s="109" t="s">
        <v>24082</v>
      </c>
      <c r="D3973" s="109" t="s">
        <v>24183</v>
      </c>
      <c r="E3973" s="109" t="s">
        <v>5558</v>
      </c>
      <c r="F3973" s="109" t="s">
        <v>24184</v>
      </c>
      <c r="G3973" s="110" t="s">
        <v>6248</v>
      </c>
      <c r="H3973" s="110" t="s">
        <v>7817</v>
      </c>
      <c r="I3973" s="110" t="s">
        <v>24185</v>
      </c>
    </row>
    <row r="3974" spans="1:9" ht="25.2" x14ac:dyDescent="0.3">
      <c r="A3974" s="109" t="s">
        <v>24186</v>
      </c>
      <c r="B3974" s="109" t="s">
        <v>24082</v>
      </c>
      <c r="C3974" s="109" t="s">
        <v>24082</v>
      </c>
      <c r="D3974" s="109" t="s">
        <v>24187</v>
      </c>
      <c r="E3974" s="109" t="s">
        <v>5558</v>
      </c>
      <c r="F3974" s="109" t="s">
        <v>24188</v>
      </c>
      <c r="G3974" s="110" t="s">
        <v>6248</v>
      </c>
      <c r="H3974" s="110" t="s">
        <v>6398</v>
      </c>
      <c r="I3974" s="110" t="s">
        <v>24189</v>
      </c>
    </row>
    <row r="3975" spans="1:9" ht="25.2" x14ac:dyDescent="0.3">
      <c r="A3975" s="109" t="s">
        <v>24190</v>
      </c>
      <c r="B3975" s="109" t="s">
        <v>24082</v>
      </c>
      <c r="C3975" s="109" t="s">
        <v>24082</v>
      </c>
      <c r="D3975" s="109" t="s">
        <v>24191</v>
      </c>
      <c r="E3975" s="109" t="s">
        <v>5558</v>
      </c>
      <c r="F3975" s="109" t="s">
        <v>24192</v>
      </c>
      <c r="G3975" s="110" t="s">
        <v>6248</v>
      </c>
      <c r="H3975" s="110" t="s">
        <v>6403</v>
      </c>
      <c r="I3975" s="110" t="s">
        <v>24193</v>
      </c>
    </row>
    <row r="3976" spans="1:9" ht="37.799999999999997" x14ac:dyDescent="0.3">
      <c r="A3976" s="109" t="s">
        <v>24194</v>
      </c>
      <c r="B3976" s="109" t="s">
        <v>24082</v>
      </c>
      <c r="C3976" s="109" t="s">
        <v>24082</v>
      </c>
      <c r="D3976" s="109" t="s">
        <v>24195</v>
      </c>
      <c r="E3976" s="109" t="s">
        <v>5558</v>
      </c>
      <c r="F3976" s="109" t="s">
        <v>24196</v>
      </c>
      <c r="G3976" s="110" t="s">
        <v>6248</v>
      </c>
      <c r="H3976" s="110" t="s">
        <v>8905</v>
      </c>
      <c r="I3976" s="110" t="s">
        <v>24197</v>
      </c>
    </row>
    <row r="3977" spans="1:9" ht="25.2" x14ac:dyDescent="0.3">
      <c r="A3977" s="109" t="s">
        <v>24198</v>
      </c>
      <c r="B3977" s="109" t="s">
        <v>24082</v>
      </c>
      <c r="C3977" s="109" t="s">
        <v>24082</v>
      </c>
      <c r="D3977" s="109" t="s">
        <v>24199</v>
      </c>
      <c r="E3977" s="109" t="s">
        <v>5558</v>
      </c>
      <c r="F3977" s="109" t="s">
        <v>24200</v>
      </c>
      <c r="G3977" s="110" t="s">
        <v>6248</v>
      </c>
      <c r="H3977" s="110" t="s">
        <v>6601</v>
      </c>
      <c r="I3977" s="110" t="s">
        <v>24201</v>
      </c>
    </row>
    <row r="3978" spans="1:9" ht="37.799999999999997" x14ac:dyDescent="0.3">
      <c r="A3978" s="109" t="s">
        <v>24202</v>
      </c>
      <c r="B3978" s="109" t="s">
        <v>24082</v>
      </c>
      <c r="C3978" s="109" t="s">
        <v>24082</v>
      </c>
      <c r="D3978" s="109" t="s">
        <v>24203</v>
      </c>
      <c r="E3978" s="109" t="s">
        <v>5558</v>
      </c>
      <c r="F3978" s="109" t="s">
        <v>24204</v>
      </c>
      <c r="G3978" s="110" t="s">
        <v>6248</v>
      </c>
      <c r="H3978" s="110" t="s">
        <v>9128</v>
      </c>
      <c r="I3978" s="110" t="s">
        <v>24205</v>
      </c>
    </row>
    <row r="3979" spans="1:9" ht="37.799999999999997" x14ac:dyDescent="0.3">
      <c r="A3979" s="109" t="s">
        <v>24206</v>
      </c>
      <c r="B3979" s="109" t="s">
        <v>24082</v>
      </c>
      <c r="C3979" s="109" t="s">
        <v>24082</v>
      </c>
      <c r="D3979" s="109" t="s">
        <v>24207</v>
      </c>
      <c r="E3979" s="109" t="s">
        <v>5558</v>
      </c>
      <c r="F3979" s="109" t="s">
        <v>24208</v>
      </c>
      <c r="G3979" s="110" t="s">
        <v>6248</v>
      </c>
      <c r="H3979" s="110" t="s">
        <v>9329</v>
      </c>
      <c r="I3979" s="110" t="s">
        <v>24209</v>
      </c>
    </row>
    <row r="3980" spans="1:9" ht="25.2" x14ac:dyDescent="0.3">
      <c r="A3980" s="109" t="s">
        <v>24210</v>
      </c>
      <c r="B3980" s="109" t="s">
        <v>24082</v>
      </c>
      <c r="C3980" s="109" t="s">
        <v>24082</v>
      </c>
      <c r="D3980" s="109" t="s">
        <v>24211</v>
      </c>
      <c r="E3980" s="109" t="s">
        <v>5558</v>
      </c>
      <c r="F3980" s="109" t="s">
        <v>24212</v>
      </c>
      <c r="G3980" s="110" t="s">
        <v>6248</v>
      </c>
      <c r="H3980" s="110" t="s">
        <v>24213</v>
      </c>
      <c r="I3980" s="110" t="s">
        <v>24214</v>
      </c>
    </row>
    <row r="3981" spans="1:9" ht="25.2" x14ac:dyDescent="0.3">
      <c r="A3981" s="109" t="s">
        <v>24215</v>
      </c>
      <c r="B3981" s="109" t="s">
        <v>24082</v>
      </c>
      <c r="C3981" s="109" t="s">
        <v>24082</v>
      </c>
      <c r="D3981" s="109" t="s">
        <v>24216</v>
      </c>
      <c r="E3981" s="109" t="s">
        <v>5558</v>
      </c>
      <c r="F3981" s="109" t="s">
        <v>24217</v>
      </c>
      <c r="G3981" s="110" t="s">
        <v>6248</v>
      </c>
      <c r="H3981" s="110" t="s">
        <v>6584</v>
      </c>
      <c r="I3981" s="110" t="s">
        <v>24218</v>
      </c>
    </row>
    <row r="3982" spans="1:9" ht="25.2" x14ac:dyDescent="0.3">
      <c r="A3982" s="109" t="s">
        <v>24219</v>
      </c>
      <c r="B3982" s="109" t="s">
        <v>24082</v>
      </c>
      <c r="C3982" s="109" t="s">
        <v>24082</v>
      </c>
      <c r="D3982" s="109" t="s">
        <v>24220</v>
      </c>
      <c r="E3982" s="109" t="s">
        <v>5558</v>
      </c>
      <c r="F3982" s="109" t="s">
        <v>24221</v>
      </c>
      <c r="G3982" s="110" t="s">
        <v>6248</v>
      </c>
      <c r="H3982" s="110" t="s">
        <v>6474</v>
      </c>
      <c r="I3982" s="110" t="s">
        <v>24222</v>
      </c>
    </row>
    <row r="3983" spans="1:9" ht="25.2" x14ac:dyDescent="0.3">
      <c r="A3983" s="109" t="s">
        <v>24223</v>
      </c>
      <c r="B3983" s="109" t="s">
        <v>24082</v>
      </c>
      <c r="C3983" s="109" t="s">
        <v>24082</v>
      </c>
      <c r="D3983" s="109" t="s">
        <v>24224</v>
      </c>
      <c r="E3983" s="109" t="s">
        <v>5558</v>
      </c>
      <c r="F3983" s="109" t="s">
        <v>24225</v>
      </c>
      <c r="G3983" s="110" t="s">
        <v>6248</v>
      </c>
      <c r="H3983" s="110" t="s">
        <v>8905</v>
      </c>
      <c r="I3983" s="110" t="s">
        <v>24226</v>
      </c>
    </row>
    <row r="3984" spans="1:9" ht="25.2" x14ac:dyDescent="0.3">
      <c r="A3984" s="109" t="s">
        <v>24227</v>
      </c>
      <c r="B3984" s="109" t="s">
        <v>24082</v>
      </c>
      <c r="C3984" s="109" t="s">
        <v>24082</v>
      </c>
      <c r="D3984" s="109" t="s">
        <v>24228</v>
      </c>
      <c r="E3984" s="109" t="s">
        <v>5558</v>
      </c>
      <c r="F3984" s="109" t="s">
        <v>24229</v>
      </c>
      <c r="G3984" s="110" t="s">
        <v>6248</v>
      </c>
      <c r="H3984" s="110" t="s">
        <v>6557</v>
      </c>
      <c r="I3984" s="110" t="s">
        <v>24230</v>
      </c>
    </row>
    <row r="3985" spans="1:9" ht="25.2" x14ac:dyDescent="0.3">
      <c r="A3985" s="109" t="s">
        <v>24231</v>
      </c>
      <c r="B3985" s="109" t="s">
        <v>24082</v>
      </c>
      <c r="C3985" s="109" t="s">
        <v>24082</v>
      </c>
      <c r="D3985" s="109" t="s">
        <v>24232</v>
      </c>
      <c r="E3985" s="109" t="s">
        <v>5558</v>
      </c>
      <c r="F3985" s="109" t="s">
        <v>24233</v>
      </c>
      <c r="G3985" s="110" t="s">
        <v>6248</v>
      </c>
      <c r="H3985" s="110" t="s">
        <v>24234</v>
      </c>
      <c r="I3985" s="110" t="s">
        <v>24235</v>
      </c>
    </row>
    <row r="3986" spans="1:9" ht="37.799999999999997" x14ac:dyDescent="0.3">
      <c r="A3986" s="109" t="s">
        <v>24236</v>
      </c>
      <c r="B3986" s="109" t="s">
        <v>24082</v>
      </c>
      <c r="C3986" s="109" t="s">
        <v>24082</v>
      </c>
      <c r="D3986" s="109" t="s">
        <v>24237</v>
      </c>
      <c r="E3986" s="109" t="s">
        <v>5558</v>
      </c>
      <c r="F3986" s="109" t="s">
        <v>24238</v>
      </c>
      <c r="G3986" s="110" t="s">
        <v>6248</v>
      </c>
      <c r="H3986" s="110" t="s">
        <v>6413</v>
      </c>
      <c r="I3986" s="110" t="s">
        <v>24239</v>
      </c>
    </row>
    <row r="3987" spans="1:9" ht="37.799999999999997" x14ac:dyDescent="0.3">
      <c r="A3987" s="109" t="s">
        <v>24240</v>
      </c>
      <c r="B3987" s="109" t="s">
        <v>24082</v>
      </c>
      <c r="C3987" s="109" t="s">
        <v>24082</v>
      </c>
      <c r="D3987" s="109" t="s">
        <v>24241</v>
      </c>
      <c r="E3987" s="109" t="s">
        <v>5558</v>
      </c>
      <c r="F3987" s="109" t="s">
        <v>24242</v>
      </c>
      <c r="G3987" s="110" t="s">
        <v>6248</v>
      </c>
      <c r="H3987" s="110" t="s">
        <v>6398</v>
      </c>
      <c r="I3987" s="110" t="s">
        <v>24243</v>
      </c>
    </row>
    <row r="3988" spans="1:9" ht="37.799999999999997" x14ac:dyDescent="0.3">
      <c r="A3988" s="109" t="s">
        <v>24244</v>
      </c>
      <c r="B3988" s="109" t="s">
        <v>24082</v>
      </c>
      <c r="C3988" s="109" t="s">
        <v>24082</v>
      </c>
      <c r="D3988" s="109" t="s">
        <v>24245</v>
      </c>
      <c r="E3988" s="109" t="s">
        <v>5558</v>
      </c>
      <c r="F3988" s="109" t="s">
        <v>24246</v>
      </c>
      <c r="G3988" s="110" t="s">
        <v>6248</v>
      </c>
      <c r="H3988" s="110" t="s">
        <v>24247</v>
      </c>
      <c r="I3988" s="110" t="s">
        <v>24248</v>
      </c>
    </row>
    <row r="3989" spans="1:9" ht="25.2" x14ac:dyDescent="0.3">
      <c r="A3989" s="109" t="s">
        <v>24249</v>
      </c>
      <c r="B3989" s="109" t="s">
        <v>24082</v>
      </c>
      <c r="C3989" s="109" t="s">
        <v>24082</v>
      </c>
      <c r="D3989" s="109" t="s">
        <v>24250</v>
      </c>
      <c r="E3989" s="109" t="s">
        <v>5558</v>
      </c>
      <c r="F3989" s="109" t="s">
        <v>24251</v>
      </c>
      <c r="G3989" s="110" t="s">
        <v>6248</v>
      </c>
      <c r="H3989" s="110" t="s">
        <v>7898</v>
      </c>
      <c r="I3989" s="110" t="s">
        <v>24252</v>
      </c>
    </row>
    <row r="3990" spans="1:9" ht="25.2" x14ac:dyDescent="0.3">
      <c r="A3990" s="109" t="s">
        <v>24253</v>
      </c>
      <c r="B3990" s="109" t="s">
        <v>24082</v>
      </c>
      <c r="C3990" s="109" t="s">
        <v>24082</v>
      </c>
      <c r="D3990" s="109" t="s">
        <v>24254</v>
      </c>
      <c r="E3990" s="109" t="s">
        <v>5558</v>
      </c>
      <c r="F3990" s="109" t="s">
        <v>24255</v>
      </c>
      <c r="G3990" s="110" t="s">
        <v>6248</v>
      </c>
      <c r="H3990" s="110" t="s">
        <v>6403</v>
      </c>
      <c r="I3990" s="110" t="s">
        <v>24256</v>
      </c>
    </row>
    <row r="3991" spans="1:9" ht="25.2" x14ac:dyDescent="0.3">
      <c r="A3991" s="109" t="s">
        <v>24257</v>
      </c>
      <c r="B3991" s="109" t="s">
        <v>24082</v>
      </c>
      <c r="C3991" s="109" t="s">
        <v>24082</v>
      </c>
      <c r="D3991" s="109" t="s">
        <v>24258</v>
      </c>
      <c r="E3991" s="109" t="s">
        <v>5558</v>
      </c>
      <c r="F3991" s="109" t="s">
        <v>24259</v>
      </c>
      <c r="G3991" s="110" t="s">
        <v>6248</v>
      </c>
      <c r="H3991" s="110" t="s">
        <v>8348</v>
      </c>
      <c r="I3991" s="110" t="s">
        <v>24260</v>
      </c>
    </row>
    <row r="3992" spans="1:9" ht="37.799999999999997" x14ac:dyDescent="0.3">
      <c r="A3992" s="109" t="s">
        <v>24261</v>
      </c>
      <c r="B3992" s="109" t="s">
        <v>24082</v>
      </c>
      <c r="C3992" s="109" t="s">
        <v>24082</v>
      </c>
      <c r="D3992" s="109" t="s">
        <v>24262</v>
      </c>
      <c r="E3992" s="109" t="s">
        <v>5558</v>
      </c>
      <c r="F3992" s="109" t="s">
        <v>24263</v>
      </c>
      <c r="G3992" s="110" t="s">
        <v>6248</v>
      </c>
      <c r="H3992" s="110" t="s">
        <v>9329</v>
      </c>
      <c r="I3992" s="110" t="s">
        <v>24264</v>
      </c>
    </row>
    <row r="3993" spans="1:9" ht="25.2" x14ac:dyDescent="0.3">
      <c r="A3993" s="109" t="s">
        <v>24265</v>
      </c>
      <c r="B3993" s="109" t="s">
        <v>24082</v>
      </c>
      <c r="C3993" s="109" t="s">
        <v>24082</v>
      </c>
      <c r="D3993" s="109" t="s">
        <v>24266</v>
      </c>
      <c r="E3993" s="109" t="s">
        <v>5558</v>
      </c>
      <c r="F3993" s="109" t="s">
        <v>24267</v>
      </c>
      <c r="G3993" s="110" t="s">
        <v>6248</v>
      </c>
      <c r="H3993" s="110" t="s">
        <v>6489</v>
      </c>
      <c r="I3993" s="110" t="s">
        <v>24268</v>
      </c>
    </row>
    <row r="3994" spans="1:9" ht="25.2" x14ac:dyDescent="0.3">
      <c r="A3994" s="109" t="s">
        <v>24269</v>
      </c>
      <c r="B3994" s="109" t="s">
        <v>24082</v>
      </c>
      <c r="C3994" s="109" t="s">
        <v>24082</v>
      </c>
      <c r="D3994" s="109" t="s">
        <v>24270</v>
      </c>
      <c r="E3994" s="109" t="s">
        <v>5558</v>
      </c>
      <c r="F3994" s="109" t="s">
        <v>24271</v>
      </c>
      <c r="G3994" s="110" t="s">
        <v>6248</v>
      </c>
      <c r="H3994" s="110" t="s">
        <v>6584</v>
      </c>
      <c r="I3994" s="110" t="s">
        <v>24272</v>
      </c>
    </row>
    <row r="3995" spans="1:9" ht="25.2" x14ac:dyDescent="0.3">
      <c r="A3995" s="109" t="s">
        <v>24273</v>
      </c>
      <c r="B3995" s="109" t="s">
        <v>24082</v>
      </c>
      <c r="C3995" s="109" t="s">
        <v>24082</v>
      </c>
      <c r="D3995" s="109" t="s">
        <v>24274</v>
      </c>
      <c r="E3995" s="109" t="s">
        <v>5558</v>
      </c>
      <c r="F3995" s="109" t="s">
        <v>24275</v>
      </c>
      <c r="G3995" s="110" t="s">
        <v>6248</v>
      </c>
      <c r="H3995" s="110" t="s">
        <v>7817</v>
      </c>
      <c r="I3995" s="110" t="s">
        <v>24276</v>
      </c>
    </row>
    <row r="3996" spans="1:9" ht="25.2" x14ac:dyDescent="0.3">
      <c r="A3996" s="109" t="s">
        <v>24277</v>
      </c>
      <c r="B3996" s="109" t="s">
        <v>24082</v>
      </c>
      <c r="C3996" s="109" t="s">
        <v>24082</v>
      </c>
      <c r="D3996" s="109" t="s">
        <v>24278</v>
      </c>
      <c r="E3996" s="109" t="s">
        <v>5558</v>
      </c>
      <c r="F3996" s="109" t="s">
        <v>24279</v>
      </c>
      <c r="G3996" s="110" t="s">
        <v>6248</v>
      </c>
      <c r="H3996" s="110" t="s">
        <v>7592</v>
      </c>
      <c r="I3996" s="110" t="s">
        <v>24280</v>
      </c>
    </row>
    <row r="3997" spans="1:9" ht="25.2" x14ac:dyDescent="0.3">
      <c r="A3997" s="109" t="s">
        <v>24281</v>
      </c>
      <c r="B3997" s="109" t="s">
        <v>24082</v>
      </c>
      <c r="C3997" s="109" t="s">
        <v>24082</v>
      </c>
      <c r="D3997" s="109" t="s">
        <v>24282</v>
      </c>
      <c r="E3997" s="109" t="s">
        <v>5558</v>
      </c>
      <c r="F3997" s="109" t="s">
        <v>24283</v>
      </c>
      <c r="G3997" s="110" t="s">
        <v>6248</v>
      </c>
      <c r="H3997" s="110" t="s">
        <v>7952</v>
      </c>
      <c r="I3997" s="110" t="s">
        <v>24284</v>
      </c>
    </row>
    <row r="3998" spans="1:9" ht="37.799999999999997" x14ac:dyDescent="0.3">
      <c r="A3998" s="109" t="s">
        <v>24285</v>
      </c>
      <c r="B3998" s="109" t="s">
        <v>24082</v>
      </c>
      <c r="C3998" s="109" t="s">
        <v>24082</v>
      </c>
      <c r="D3998" s="109" t="s">
        <v>24286</v>
      </c>
      <c r="E3998" s="109" t="s">
        <v>5558</v>
      </c>
      <c r="F3998" s="109" t="s">
        <v>24287</v>
      </c>
      <c r="G3998" s="110" t="s">
        <v>6248</v>
      </c>
      <c r="H3998" s="110" t="s">
        <v>7485</v>
      </c>
      <c r="I3998" s="110" t="s">
        <v>24288</v>
      </c>
    </row>
    <row r="3999" spans="1:9" ht="25.2" x14ac:dyDescent="0.3">
      <c r="A3999" s="109" t="s">
        <v>24289</v>
      </c>
      <c r="B3999" s="109" t="s">
        <v>24082</v>
      </c>
      <c r="C3999" s="109" t="s">
        <v>24082</v>
      </c>
      <c r="D3999" s="109" t="s">
        <v>24290</v>
      </c>
      <c r="E3999" s="109" t="s">
        <v>5558</v>
      </c>
      <c r="F3999" s="109" t="s">
        <v>24291</v>
      </c>
      <c r="G3999" s="110" t="s">
        <v>6248</v>
      </c>
      <c r="H3999" s="110" t="s">
        <v>24292</v>
      </c>
      <c r="I3999" s="110" t="s">
        <v>24293</v>
      </c>
    </row>
    <row r="4000" spans="1:9" ht="37.799999999999997" x14ac:dyDescent="0.3">
      <c r="A4000" s="109" t="s">
        <v>24294</v>
      </c>
      <c r="B4000" s="109" t="s">
        <v>24082</v>
      </c>
      <c r="C4000" s="109" t="s">
        <v>24082</v>
      </c>
      <c r="D4000" s="109" t="s">
        <v>24295</v>
      </c>
      <c r="E4000" s="109" t="s">
        <v>5558</v>
      </c>
      <c r="F4000" s="109" t="s">
        <v>24296</v>
      </c>
      <c r="G4000" s="110" t="s">
        <v>6248</v>
      </c>
      <c r="H4000" s="110" t="s">
        <v>6418</v>
      </c>
      <c r="I4000" s="110" t="s">
        <v>24297</v>
      </c>
    </row>
    <row r="4001" spans="1:9" ht="25.2" x14ac:dyDescent="0.3">
      <c r="A4001" s="109" t="s">
        <v>24298</v>
      </c>
      <c r="B4001" s="109" t="s">
        <v>24082</v>
      </c>
      <c r="C4001" s="109" t="s">
        <v>24082</v>
      </c>
      <c r="D4001" s="109" t="s">
        <v>24299</v>
      </c>
      <c r="E4001" s="109" t="s">
        <v>5558</v>
      </c>
      <c r="F4001" s="109" t="s">
        <v>24300</v>
      </c>
      <c r="G4001" s="110" t="s">
        <v>6248</v>
      </c>
      <c r="H4001" s="110" t="s">
        <v>6433</v>
      </c>
      <c r="I4001" s="110" t="s">
        <v>24301</v>
      </c>
    </row>
    <row r="4002" spans="1:9" ht="25.2" x14ac:dyDescent="0.3">
      <c r="A4002" s="109" t="s">
        <v>24302</v>
      </c>
      <c r="B4002" s="109" t="s">
        <v>24082</v>
      </c>
      <c r="C4002" s="109" t="s">
        <v>24082</v>
      </c>
      <c r="D4002" s="109" t="s">
        <v>24303</v>
      </c>
      <c r="E4002" s="109" t="s">
        <v>5558</v>
      </c>
      <c r="F4002" s="109" t="s">
        <v>24304</v>
      </c>
      <c r="G4002" s="110" t="s">
        <v>6248</v>
      </c>
      <c r="H4002" s="110" t="s">
        <v>7062</v>
      </c>
      <c r="I4002" s="110" t="s">
        <v>24305</v>
      </c>
    </row>
    <row r="4003" spans="1:9" ht="25.2" x14ac:dyDescent="0.3">
      <c r="A4003" s="109" t="s">
        <v>24306</v>
      </c>
      <c r="B4003" s="109" t="s">
        <v>24082</v>
      </c>
      <c r="C4003" s="109" t="s">
        <v>24082</v>
      </c>
      <c r="D4003" s="109" t="s">
        <v>24307</v>
      </c>
      <c r="E4003" s="109" t="s">
        <v>5558</v>
      </c>
      <c r="F4003" s="109" t="s">
        <v>24308</v>
      </c>
      <c r="G4003" s="110" t="s">
        <v>12935</v>
      </c>
      <c r="H4003" s="110" t="s">
        <v>6248</v>
      </c>
      <c r="I4003" s="110" t="s">
        <v>24309</v>
      </c>
    </row>
    <row r="4004" spans="1:9" ht="37.799999999999997" x14ac:dyDescent="0.3">
      <c r="A4004" s="109" t="s">
        <v>24310</v>
      </c>
      <c r="B4004" s="109" t="s">
        <v>24082</v>
      </c>
      <c r="C4004" s="109" t="s">
        <v>24082</v>
      </c>
      <c r="D4004" s="109" t="s">
        <v>24311</v>
      </c>
      <c r="E4004" s="109" t="s">
        <v>5558</v>
      </c>
      <c r="F4004" s="109" t="s">
        <v>24312</v>
      </c>
      <c r="G4004" s="110" t="s">
        <v>6248</v>
      </c>
      <c r="H4004" s="110" t="s">
        <v>6393</v>
      </c>
      <c r="I4004" s="110" t="s">
        <v>24313</v>
      </c>
    </row>
    <row r="4005" spans="1:9" ht="25.2" x14ac:dyDescent="0.3">
      <c r="A4005" s="109" t="s">
        <v>24314</v>
      </c>
      <c r="B4005" s="109" t="s">
        <v>24082</v>
      </c>
      <c r="C4005" s="109" t="s">
        <v>24082</v>
      </c>
      <c r="D4005" s="109" t="s">
        <v>24315</v>
      </c>
      <c r="E4005" s="109" t="s">
        <v>5558</v>
      </c>
      <c r="F4005" s="109" t="s">
        <v>24316</v>
      </c>
      <c r="G4005" s="110" t="s">
        <v>24292</v>
      </c>
      <c r="H4005" s="110" t="s">
        <v>6248</v>
      </c>
      <c r="I4005" s="110" t="s">
        <v>24317</v>
      </c>
    </row>
    <row r="4006" spans="1:9" ht="37.799999999999997" x14ac:dyDescent="0.3">
      <c r="A4006" s="109" t="s">
        <v>24318</v>
      </c>
      <c r="B4006" s="109" t="s">
        <v>24082</v>
      </c>
      <c r="C4006" s="109" t="s">
        <v>24082</v>
      </c>
      <c r="D4006" s="109" t="s">
        <v>24319</v>
      </c>
      <c r="E4006" s="109" t="s">
        <v>5558</v>
      </c>
      <c r="F4006" s="109" t="s">
        <v>24320</v>
      </c>
      <c r="G4006" s="110" t="s">
        <v>6248</v>
      </c>
      <c r="H4006" s="110" t="s">
        <v>24321</v>
      </c>
      <c r="I4006" s="110" t="s">
        <v>24322</v>
      </c>
    </row>
    <row r="4007" spans="1:9" ht="25.2" x14ac:dyDescent="0.3">
      <c r="A4007" s="109" t="s">
        <v>24323</v>
      </c>
      <c r="B4007" s="109" t="s">
        <v>24082</v>
      </c>
      <c r="C4007" s="109" t="s">
        <v>24082</v>
      </c>
      <c r="D4007" s="109" t="s">
        <v>24324</v>
      </c>
      <c r="E4007" s="109" t="s">
        <v>5558</v>
      </c>
      <c r="F4007" s="109" t="s">
        <v>24325</v>
      </c>
      <c r="G4007" s="110" t="s">
        <v>6248</v>
      </c>
      <c r="H4007" s="110" t="s">
        <v>22268</v>
      </c>
      <c r="I4007" s="110" t="s">
        <v>24326</v>
      </c>
    </row>
    <row r="4008" spans="1:9" ht="25.2" x14ac:dyDescent="0.3">
      <c r="A4008" s="109" t="s">
        <v>24327</v>
      </c>
      <c r="B4008" s="109" t="s">
        <v>24082</v>
      </c>
      <c r="C4008" s="109" t="s">
        <v>24082</v>
      </c>
      <c r="D4008" s="109" t="s">
        <v>24328</v>
      </c>
      <c r="E4008" s="109" t="s">
        <v>6813</v>
      </c>
      <c r="F4008" s="109" t="s">
        <v>22174</v>
      </c>
      <c r="G4008" s="110" t="s">
        <v>6248</v>
      </c>
      <c r="H4008" s="110" t="s">
        <v>24329</v>
      </c>
      <c r="I4008" s="110" t="s">
        <v>24330</v>
      </c>
    </row>
    <row r="4009" spans="1:9" ht="25.2" x14ac:dyDescent="0.3">
      <c r="A4009" s="109" t="s">
        <v>24331</v>
      </c>
      <c r="B4009" s="109" t="s">
        <v>24082</v>
      </c>
      <c r="C4009" s="109" t="s">
        <v>24082</v>
      </c>
      <c r="D4009" s="109" t="s">
        <v>3440</v>
      </c>
      <c r="E4009" s="109" t="s">
        <v>24332</v>
      </c>
      <c r="F4009" s="109" t="s">
        <v>24333</v>
      </c>
      <c r="G4009" s="110" t="s">
        <v>24334</v>
      </c>
      <c r="H4009" s="110" t="s">
        <v>6248</v>
      </c>
      <c r="I4009" s="110" t="s">
        <v>24335</v>
      </c>
    </row>
    <row r="4010" spans="1:9" ht="25.2" x14ac:dyDescent="0.3">
      <c r="A4010" s="109" t="s">
        <v>24336</v>
      </c>
      <c r="B4010" s="109" t="s">
        <v>24082</v>
      </c>
      <c r="C4010" s="109" t="s">
        <v>24082</v>
      </c>
      <c r="D4010" s="109" t="s">
        <v>24337</v>
      </c>
      <c r="E4010" s="109" t="s">
        <v>24332</v>
      </c>
      <c r="F4010" s="109" t="s">
        <v>24338</v>
      </c>
      <c r="G4010" s="110" t="s">
        <v>7254</v>
      </c>
      <c r="H4010" s="110" t="s">
        <v>6248</v>
      </c>
      <c r="I4010" s="110" t="s">
        <v>24339</v>
      </c>
    </row>
    <row r="4011" spans="1:9" ht="25.2" x14ac:dyDescent="0.3">
      <c r="A4011" s="109" t="s">
        <v>24340</v>
      </c>
      <c r="B4011" s="109" t="s">
        <v>24082</v>
      </c>
      <c r="C4011" s="109" t="s">
        <v>24082</v>
      </c>
      <c r="D4011" s="109" t="s">
        <v>24341</v>
      </c>
      <c r="E4011" s="109" t="s">
        <v>24332</v>
      </c>
      <c r="F4011" s="109" t="s">
        <v>24342</v>
      </c>
      <c r="G4011" s="110" t="s">
        <v>11819</v>
      </c>
      <c r="H4011" s="110" t="s">
        <v>6248</v>
      </c>
      <c r="I4011" s="110" t="s">
        <v>24343</v>
      </c>
    </row>
    <row r="4012" spans="1:9" ht="37.799999999999997" x14ac:dyDescent="0.3">
      <c r="A4012" s="109" t="s">
        <v>24344</v>
      </c>
      <c r="B4012" s="109" t="s">
        <v>24082</v>
      </c>
      <c r="C4012" s="109" t="s">
        <v>24082</v>
      </c>
      <c r="D4012" s="109" t="s">
        <v>24345</v>
      </c>
      <c r="E4012" s="109" t="s">
        <v>5558</v>
      </c>
      <c r="F4012" s="109" t="s">
        <v>24346</v>
      </c>
      <c r="G4012" s="110" t="s">
        <v>6248</v>
      </c>
      <c r="H4012" s="110" t="s">
        <v>24347</v>
      </c>
      <c r="I4012" s="110" t="s">
        <v>24348</v>
      </c>
    </row>
    <row r="4013" spans="1:9" ht="25.2" x14ac:dyDescent="0.3">
      <c r="A4013" s="109" t="s">
        <v>24349</v>
      </c>
      <c r="B4013" s="109" t="s">
        <v>24082</v>
      </c>
      <c r="C4013" s="109" t="s">
        <v>24082</v>
      </c>
      <c r="D4013" s="109" t="s">
        <v>24350</v>
      </c>
      <c r="E4013" s="109" t="s">
        <v>21278</v>
      </c>
      <c r="F4013" s="109" t="s">
        <v>21279</v>
      </c>
      <c r="G4013" s="110" t="s">
        <v>6248</v>
      </c>
      <c r="H4013" s="110" t="s">
        <v>6352</v>
      </c>
      <c r="I4013" s="110" t="s">
        <v>24351</v>
      </c>
    </row>
    <row r="4014" spans="1:9" ht="37.799999999999997" x14ac:dyDescent="0.3">
      <c r="A4014" s="109" t="s">
        <v>24352</v>
      </c>
      <c r="B4014" s="109" t="s">
        <v>24082</v>
      </c>
      <c r="C4014" s="109" t="s">
        <v>24082</v>
      </c>
      <c r="D4014" s="109" t="s">
        <v>24353</v>
      </c>
      <c r="E4014" s="109" t="s">
        <v>5558</v>
      </c>
      <c r="F4014" s="109" t="s">
        <v>24354</v>
      </c>
      <c r="G4014" s="110" t="s">
        <v>6248</v>
      </c>
      <c r="H4014" s="110" t="s">
        <v>8445</v>
      </c>
      <c r="I4014" s="110" t="s">
        <v>24355</v>
      </c>
    </row>
    <row r="4015" spans="1:9" ht="25.2" x14ac:dyDescent="0.3">
      <c r="A4015" s="109" t="s">
        <v>24356</v>
      </c>
      <c r="B4015" s="109" t="s">
        <v>24082</v>
      </c>
      <c r="C4015" s="109" t="s">
        <v>24082</v>
      </c>
      <c r="D4015" s="109" t="s">
        <v>24357</v>
      </c>
      <c r="E4015" s="109" t="s">
        <v>24358</v>
      </c>
      <c r="F4015" s="109" t="s">
        <v>21295</v>
      </c>
      <c r="G4015" s="110" t="s">
        <v>6248</v>
      </c>
      <c r="H4015" s="110" t="s">
        <v>24359</v>
      </c>
      <c r="I4015" s="110" t="s">
        <v>24360</v>
      </c>
    </row>
    <row r="4016" spans="1:9" ht="37.799999999999997" x14ac:dyDescent="0.3">
      <c r="A4016" s="109" t="s">
        <v>24361</v>
      </c>
      <c r="B4016" s="109" t="s">
        <v>24082</v>
      </c>
      <c r="C4016" s="109" t="s">
        <v>24082</v>
      </c>
      <c r="D4016" s="109" t="s">
        <v>24362</v>
      </c>
      <c r="E4016" s="109" t="s">
        <v>5558</v>
      </c>
      <c r="F4016" s="109" t="s">
        <v>24363</v>
      </c>
      <c r="G4016" s="110" t="s">
        <v>6248</v>
      </c>
      <c r="H4016" s="110" t="s">
        <v>24364</v>
      </c>
      <c r="I4016" s="110" t="s">
        <v>24365</v>
      </c>
    </row>
    <row r="4017" spans="1:9" ht="25.2" x14ac:dyDescent="0.3">
      <c r="A4017" s="109" t="s">
        <v>24366</v>
      </c>
      <c r="B4017" s="109" t="s">
        <v>24082</v>
      </c>
      <c r="C4017" s="109" t="s">
        <v>24082</v>
      </c>
      <c r="D4017" s="109" t="s">
        <v>24367</v>
      </c>
      <c r="E4017" s="109" t="s">
        <v>5558</v>
      </c>
      <c r="F4017" s="109" t="s">
        <v>24368</v>
      </c>
      <c r="G4017" s="110" t="s">
        <v>6248</v>
      </c>
      <c r="H4017" s="110" t="s">
        <v>6352</v>
      </c>
      <c r="I4017" s="110" t="s">
        <v>24369</v>
      </c>
    </row>
    <row r="4018" spans="1:9" ht="25.2" x14ac:dyDescent="0.3">
      <c r="A4018" s="109" t="s">
        <v>24370</v>
      </c>
      <c r="B4018" s="109" t="s">
        <v>24082</v>
      </c>
      <c r="C4018" s="109" t="s">
        <v>24082</v>
      </c>
      <c r="D4018" s="109" t="s">
        <v>24371</v>
      </c>
      <c r="E4018" s="109" t="s">
        <v>5558</v>
      </c>
      <c r="F4018" s="109" t="s">
        <v>24372</v>
      </c>
      <c r="G4018" s="110" t="s">
        <v>6248</v>
      </c>
      <c r="H4018" s="110" t="s">
        <v>24373</v>
      </c>
      <c r="I4018" s="110" t="s">
        <v>24374</v>
      </c>
    </row>
    <row r="4019" spans="1:9" ht="25.2" x14ac:dyDescent="0.3">
      <c r="A4019" s="109" t="s">
        <v>24375</v>
      </c>
      <c r="B4019" s="109" t="s">
        <v>24082</v>
      </c>
      <c r="C4019" s="109" t="s">
        <v>24082</v>
      </c>
      <c r="D4019" s="109" t="s">
        <v>24376</v>
      </c>
      <c r="E4019" s="109" t="s">
        <v>5558</v>
      </c>
      <c r="F4019" s="109" t="s">
        <v>24377</v>
      </c>
      <c r="G4019" s="110" t="s">
        <v>6248</v>
      </c>
      <c r="H4019" s="110" t="s">
        <v>24378</v>
      </c>
      <c r="I4019" s="110" t="s">
        <v>24379</v>
      </c>
    </row>
    <row r="4020" spans="1:9" ht="25.2" x14ac:dyDescent="0.3">
      <c r="A4020" s="109" t="s">
        <v>24380</v>
      </c>
      <c r="B4020" s="109" t="s">
        <v>24082</v>
      </c>
      <c r="C4020" s="109" t="s">
        <v>24082</v>
      </c>
      <c r="D4020" s="109" t="s">
        <v>24381</v>
      </c>
      <c r="E4020" s="109" t="s">
        <v>13050</v>
      </c>
      <c r="F4020" s="109" t="s">
        <v>13051</v>
      </c>
      <c r="G4020" s="110" t="s">
        <v>6248</v>
      </c>
      <c r="H4020" s="110" t="s">
        <v>24382</v>
      </c>
      <c r="I4020" s="110" t="s">
        <v>24383</v>
      </c>
    </row>
    <row r="4021" spans="1:9" ht="25.2" x14ac:dyDescent="0.3">
      <c r="A4021" s="109" t="s">
        <v>24384</v>
      </c>
      <c r="B4021" s="109" t="s">
        <v>24082</v>
      </c>
      <c r="C4021" s="109" t="s">
        <v>24082</v>
      </c>
      <c r="D4021" s="109" t="s">
        <v>24385</v>
      </c>
      <c r="E4021" s="109" t="s">
        <v>5558</v>
      </c>
      <c r="F4021" s="109" t="s">
        <v>24386</v>
      </c>
      <c r="G4021" s="110" t="s">
        <v>6248</v>
      </c>
      <c r="H4021" s="110" t="s">
        <v>6620</v>
      </c>
      <c r="I4021" s="110" t="s">
        <v>24387</v>
      </c>
    </row>
    <row r="4022" spans="1:9" ht="25.2" x14ac:dyDescent="0.3">
      <c r="A4022" s="109" t="s">
        <v>24388</v>
      </c>
      <c r="B4022" s="109" t="s">
        <v>24082</v>
      </c>
      <c r="C4022" s="109" t="s">
        <v>24082</v>
      </c>
      <c r="D4022" s="109" t="s">
        <v>24389</v>
      </c>
      <c r="E4022" s="109" t="s">
        <v>5558</v>
      </c>
      <c r="F4022" s="109" t="s">
        <v>24390</v>
      </c>
      <c r="G4022" s="110" t="s">
        <v>6248</v>
      </c>
      <c r="H4022" s="110" t="s">
        <v>24391</v>
      </c>
      <c r="I4022" s="110" t="s">
        <v>24392</v>
      </c>
    </row>
    <row r="4023" spans="1:9" ht="37.799999999999997" x14ac:dyDescent="0.3">
      <c r="A4023" s="109" t="s">
        <v>24393</v>
      </c>
      <c r="B4023" s="109" t="s">
        <v>24082</v>
      </c>
      <c r="C4023" s="109" t="s">
        <v>24082</v>
      </c>
      <c r="D4023" s="109" t="s">
        <v>3846</v>
      </c>
      <c r="E4023" s="109" t="s">
        <v>5558</v>
      </c>
      <c r="F4023" s="109" t="s">
        <v>24394</v>
      </c>
      <c r="G4023" s="110" t="s">
        <v>6248</v>
      </c>
      <c r="H4023" s="110" t="s">
        <v>24395</v>
      </c>
      <c r="I4023" s="110" t="s">
        <v>24396</v>
      </c>
    </row>
    <row r="4024" spans="1:9" ht="25.2" x14ac:dyDescent="0.3">
      <c r="A4024" s="109" t="s">
        <v>24397</v>
      </c>
      <c r="B4024" s="109" t="s">
        <v>24082</v>
      </c>
      <c r="C4024" s="109" t="s">
        <v>24082</v>
      </c>
      <c r="D4024" s="109" t="s">
        <v>24398</v>
      </c>
      <c r="E4024" s="109" t="s">
        <v>5558</v>
      </c>
      <c r="F4024" s="109" t="s">
        <v>24399</v>
      </c>
      <c r="G4024" s="110" t="s">
        <v>6248</v>
      </c>
      <c r="H4024" s="110" t="s">
        <v>24400</v>
      </c>
      <c r="I4024" s="110" t="s">
        <v>24401</v>
      </c>
    </row>
    <row r="4025" spans="1:9" ht="37.799999999999997" x14ac:dyDescent="0.3">
      <c r="A4025" s="109" t="s">
        <v>24402</v>
      </c>
      <c r="B4025" s="109" t="s">
        <v>24082</v>
      </c>
      <c r="C4025" s="109" t="s">
        <v>24082</v>
      </c>
      <c r="D4025" s="109" t="s">
        <v>3583</v>
      </c>
      <c r="E4025" s="109" t="s">
        <v>5558</v>
      </c>
      <c r="F4025" s="109" t="s">
        <v>24403</v>
      </c>
      <c r="G4025" s="110" t="s">
        <v>6248</v>
      </c>
      <c r="H4025" s="110" t="s">
        <v>24404</v>
      </c>
      <c r="I4025" s="110" t="s">
        <v>24405</v>
      </c>
    </row>
    <row r="4026" spans="1:9" ht="25.2" x14ac:dyDescent="0.3">
      <c r="A4026" s="109" t="s">
        <v>24406</v>
      </c>
      <c r="B4026" s="109" t="s">
        <v>24082</v>
      </c>
      <c r="C4026" s="109" t="s">
        <v>24082</v>
      </c>
      <c r="D4026" s="109" t="s">
        <v>24407</v>
      </c>
      <c r="E4026" s="109" t="s">
        <v>5558</v>
      </c>
      <c r="F4026" s="109" t="s">
        <v>24408</v>
      </c>
      <c r="G4026" s="110" t="s">
        <v>6248</v>
      </c>
      <c r="H4026" s="110" t="s">
        <v>6320</v>
      </c>
      <c r="I4026" s="110" t="s">
        <v>24409</v>
      </c>
    </row>
    <row r="4027" spans="1:9" ht="25.2" x14ac:dyDescent="0.3">
      <c r="A4027" s="109" t="s">
        <v>24410</v>
      </c>
      <c r="B4027" s="109" t="s">
        <v>24082</v>
      </c>
      <c r="C4027" s="109" t="s">
        <v>24082</v>
      </c>
      <c r="D4027" s="109" t="s">
        <v>3447</v>
      </c>
      <c r="E4027" s="109" t="s">
        <v>5558</v>
      </c>
      <c r="F4027" s="109" t="s">
        <v>24411</v>
      </c>
      <c r="G4027" s="110" t="s">
        <v>6248</v>
      </c>
      <c r="H4027" s="110" t="s">
        <v>24412</v>
      </c>
      <c r="I4027" s="110" t="s">
        <v>24413</v>
      </c>
    </row>
    <row r="4028" spans="1:9" ht="25.2" x14ac:dyDescent="0.3">
      <c r="A4028" s="109" t="s">
        <v>24414</v>
      </c>
      <c r="B4028" s="109" t="s">
        <v>24082</v>
      </c>
      <c r="C4028" s="109" t="s">
        <v>24082</v>
      </c>
      <c r="D4028" s="109" t="s">
        <v>24415</v>
      </c>
      <c r="E4028" s="109" t="s">
        <v>5558</v>
      </c>
      <c r="F4028" s="109" t="s">
        <v>24416</v>
      </c>
      <c r="G4028" s="110" t="s">
        <v>6248</v>
      </c>
      <c r="H4028" s="110" t="s">
        <v>24417</v>
      </c>
      <c r="I4028" s="110" t="s">
        <v>24418</v>
      </c>
    </row>
    <row r="4029" spans="1:9" ht="37.799999999999997" x14ac:dyDescent="0.3">
      <c r="A4029" s="109" t="s">
        <v>24419</v>
      </c>
      <c r="B4029" s="109" t="s">
        <v>24082</v>
      </c>
      <c r="C4029" s="109" t="s">
        <v>24082</v>
      </c>
      <c r="D4029" s="109" t="s">
        <v>3520</v>
      </c>
      <c r="E4029" s="109" t="s">
        <v>5558</v>
      </c>
      <c r="F4029" s="109" t="s">
        <v>24420</v>
      </c>
      <c r="G4029" s="110" t="s">
        <v>6248</v>
      </c>
      <c r="H4029" s="110" t="s">
        <v>24421</v>
      </c>
      <c r="I4029" s="110" t="s">
        <v>24422</v>
      </c>
    </row>
    <row r="4030" spans="1:9" ht="25.2" x14ac:dyDescent="0.3">
      <c r="A4030" s="109" t="s">
        <v>24423</v>
      </c>
      <c r="B4030" s="109" t="s">
        <v>24082</v>
      </c>
      <c r="C4030" s="109" t="s">
        <v>24082</v>
      </c>
      <c r="D4030" s="109" t="s">
        <v>24424</v>
      </c>
      <c r="E4030" s="109" t="s">
        <v>24425</v>
      </c>
      <c r="F4030" s="109" t="s">
        <v>24426</v>
      </c>
      <c r="G4030" s="110" t="s">
        <v>6248</v>
      </c>
      <c r="H4030" s="110" t="s">
        <v>24427</v>
      </c>
      <c r="I4030" s="110" t="s">
        <v>24428</v>
      </c>
    </row>
    <row r="4031" spans="1:9" ht="25.2" x14ac:dyDescent="0.3">
      <c r="A4031" s="109" t="s">
        <v>24429</v>
      </c>
      <c r="B4031" s="109" t="s">
        <v>24082</v>
      </c>
      <c r="C4031" s="109" t="s">
        <v>24082</v>
      </c>
      <c r="D4031" s="109" t="s">
        <v>24430</v>
      </c>
      <c r="E4031" s="109" t="s">
        <v>24431</v>
      </c>
      <c r="F4031" s="109" t="s">
        <v>6878</v>
      </c>
      <c r="G4031" s="110" t="s">
        <v>24432</v>
      </c>
      <c r="H4031" s="110" t="s">
        <v>6248</v>
      </c>
      <c r="I4031" s="110" t="s">
        <v>24433</v>
      </c>
    </row>
    <row r="4032" spans="1:9" ht="37.799999999999997" x14ac:dyDescent="0.3">
      <c r="A4032" s="109" t="s">
        <v>24434</v>
      </c>
      <c r="B4032" s="109" t="s">
        <v>24082</v>
      </c>
      <c r="C4032" s="109" t="s">
        <v>24082</v>
      </c>
      <c r="D4032" s="109" t="s">
        <v>24435</v>
      </c>
      <c r="E4032" s="109" t="s">
        <v>5558</v>
      </c>
      <c r="F4032" s="109" t="s">
        <v>24436</v>
      </c>
      <c r="G4032" s="110" t="s">
        <v>6248</v>
      </c>
      <c r="H4032" s="110" t="s">
        <v>9464</v>
      </c>
      <c r="I4032" s="110" t="s">
        <v>24437</v>
      </c>
    </row>
    <row r="4033" spans="1:9" ht="25.2" x14ac:dyDescent="0.3">
      <c r="A4033" s="109" t="s">
        <v>24438</v>
      </c>
      <c r="B4033" s="109" t="s">
        <v>24082</v>
      </c>
      <c r="C4033" s="109" t="s">
        <v>24082</v>
      </c>
      <c r="D4033" s="109" t="s">
        <v>24439</v>
      </c>
      <c r="E4033" s="109" t="s">
        <v>24440</v>
      </c>
      <c r="F4033" s="109" t="s">
        <v>12113</v>
      </c>
      <c r="G4033" s="110" t="s">
        <v>6248</v>
      </c>
      <c r="H4033" s="110" t="s">
        <v>24441</v>
      </c>
      <c r="I4033" s="110" t="s">
        <v>24442</v>
      </c>
    </row>
    <row r="4034" spans="1:9" ht="25.2" x14ac:dyDescent="0.3">
      <c r="A4034" s="109" t="s">
        <v>24443</v>
      </c>
      <c r="B4034" s="109" t="s">
        <v>24082</v>
      </c>
      <c r="C4034" s="109" t="s">
        <v>24082</v>
      </c>
      <c r="D4034" s="109" t="s">
        <v>5569</v>
      </c>
      <c r="E4034" s="109" t="s">
        <v>5558</v>
      </c>
      <c r="F4034" s="109" t="s">
        <v>2258</v>
      </c>
      <c r="G4034" s="110" t="s">
        <v>6248</v>
      </c>
      <c r="H4034" s="110" t="s">
        <v>24444</v>
      </c>
      <c r="I4034" s="110" t="s">
        <v>24445</v>
      </c>
    </row>
    <row r="4035" spans="1:9" ht="25.2" x14ac:dyDescent="0.3">
      <c r="A4035" s="109" t="s">
        <v>24446</v>
      </c>
      <c r="B4035" s="109" t="s">
        <v>24082</v>
      </c>
      <c r="C4035" s="109" t="s">
        <v>24082</v>
      </c>
      <c r="D4035" s="109" t="s">
        <v>5569</v>
      </c>
      <c r="E4035" s="109" t="s">
        <v>5558</v>
      </c>
      <c r="F4035" s="109" t="s">
        <v>2258</v>
      </c>
      <c r="G4035" s="110" t="s">
        <v>6248</v>
      </c>
      <c r="H4035" s="110" t="s">
        <v>24447</v>
      </c>
      <c r="I4035" s="110" t="s">
        <v>24448</v>
      </c>
    </row>
    <row r="4036" spans="1:9" ht="25.2" x14ac:dyDescent="0.3">
      <c r="A4036" s="109" t="s">
        <v>24449</v>
      </c>
      <c r="B4036" s="109" t="s">
        <v>24082</v>
      </c>
      <c r="C4036" s="109" t="s">
        <v>24082</v>
      </c>
      <c r="D4036" s="109" t="s">
        <v>24450</v>
      </c>
      <c r="E4036" s="109" t="s">
        <v>5558</v>
      </c>
      <c r="F4036" s="109" t="s">
        <v>24451</v>
      </c>
      <c r="G4036" s="110" t="s">
        <v>6248</v>
      </c>
      <c r="H4036" s="110" t="s">
        <v>24452</v>
      </c>
      <c r="I4036" s="110" t="s">
        <v>24453</v>
      </c>
    </row>
    <row r="4037" spans="1:9" ht="25.2" x14ac:dyDescent="0.3">
      <c r="A4037" s="109" t="s">
        <v>24454</v>
      </c>
      <c r="B4037" s="109" t="s">
        <v>24082</v>
      </c>
      <c r="C4037" s="109" t="s">
        <v>24082</v>
      </c>
      <c r="D4037" s="109" t="s">
        <v>24455</v>
      </c>
      <c r="E4037" s="109" t="s">
        <v>24456</v>
      </c>
      <c r="F4037" s="109" t="s">
        <v>10749</v>
      </c>
      <c r="G4037" s="110" t="s">
        <v>6248</v>
      </c>
      <c r="H4037" s="110" t="s">
        <v>24457</v>
      </c>
      <c r="I4037" s="110" t="s">
        <v>24458</v>
      </c>
    </row>
    <row r="4038" spans="1:9" ht="25.2" x14ac:dyDescent="0.3">
      <c r="A4038" s="109" t="s">
        <v>24459</v>
      </c>
      <c r="B4038" s="109" t="s">
        <v>24082</v>
      </c>
      <c r="C4038" s="109" t="s">
        <v>24082</v>
      </c>
      <c r="D4038" s="109" t="s">
        <v>24460</v>
      </c>
      <c r="E4038" s="109" t="s">
        <v>5558</v>
      </c>
      <c r="F4038" s="109" t="s">
        <v>24461</v>
      </c>
      <c r="G4038" s="110" t="s">
        <v>6248</v>
      </c>
      <c r="H4038" s="110" t="s">
        <v>24462</v>
      </c>
      <c r="I4038" s="110" t="s">
        <v>24463</v>
      </c>
    </row>
    <row r="4039" spans="1:9" ht="25.2" x14ac:dyDescent="0.3">
      <c r="A4039" s="109" t="s">
        <v>24464</v>
      </c>
      <c r="B4039" s="109" t="s">
        <v>24082</v>
      </c>
      <c r="C4039" s="109" t="s">
        <v>24082</v>
      </c>
      <c r="D4039" s="109" t="s">
        <v>24465</v>
      </c>
      <c r="E4039" s="109" t="s">
        <v>5558</v>
      </c>
      <c r="F4039" s="109" t="s">
        <v>24466</v>
      </c>
      <c r="G4039" s="110" t="s">
        <v>6248</v>
      </c>
      <c r="H4039" s="110" t="s">
        <v>24467</v>
      </c>
      <c r="I4039" s="110" t="s">
        <v>24468</v>
      </c>
    </row>
    <row r="4040" spans="1:9" ht="37.799999999999997" x14ac:dyDescent="0.3">
      <c r="A4040" s="109" t="s">
        <v>24469</v>
      </c>
      <c r="B4040" s="109" t="s">
        <v>24082</v>
      </c>
      <c r="C4040" s="109" t="s">
        <v>24082</v>
      </c>
      <c r="D4040" s="109" t="s">
        <v>24470</v>
      </c>
      <c r="E4040" s="109" t="s">
        <v>5558</v>
      </c>
      <c r="F4040" s="109" t="s">
        <v>24471</v>
      </c>
      <c r="G4040" s="110" t="s">
        <v>6248</v>
      </c>
      <c r="H4040" s="110" t="s">
        <v>24472</v>
      </c>
      <c r="I4040" s="110" t="s">
        <v>24473</v>
      </c>
    </row>
    <row r="4041" spans="1:9" ht="25.2" x14ac:dyDescent="0.3">
      <c r="A4041" s="109" t="s">
        <v>24474</v>
      </c>
      <c r="B4041" s="109" t="s">
        <v>24082</v>
      </c>
      <c r="C4041" s="109" t="s">
        <v>24082</v>
      </c>
      <c r="D4041" s="109" t="s">
        <v>24475</v>
      </c>
      <c r="E4041" s="109" t="s">
        <v>24476</v>
      </c>
      <c r="F4041" s="109" t="s">
        <v>10251</v>
      </c>
      <c r="G4041" s="110" t="s">
        <v>6248</v>
      </c>
      <c r="H4041" s="110" t="s">
        <v>24477</v>
      </c>
      <c r="I4041" s="110" t="s">
        <v>24478</v>
      </c>
    </row>
    <row r="4042" spans="1:9" ht="25.2" x14ac:dyDescent="0.3">
      <c r="A4042" s="109" t="s">
        <v>24479</v>
      </c>
      <c r="B4042" s="109" t="s">
        <v>24082</v>
      </c>
      <c r="C4042" s="109" t="s">
        <v>24082</v>
      </c>
      <c r="D4042" s="109" t="s">
        <v>5569</v>
      </c>
      <c r="E4042" s="109" t="s">
        <v>5558</v>
      </c>
      <c r="F4042" s="109" t="s">
        <v>2258</v>
      </c>
      <c r="G4042" s="110" t="s">
        <v>6248</v>
      </c>
      <c r="H4042" s="110" t="s">
        <v>24480</v>
      </c>
      <c r="I4042" s="110" t="s">
        <v>24481</v>
      </c>
    </row>
    <row r="4043" spans="1:9" ht="37.799999999999997" x14ac:dyDescent="0.3">
      <c r="A4043" s="109" t="s">
        <v>24482</v>
      </c>
      <c r="B4043" s="109" t="s">
        <v>24082</v>
      </c>
      <c r="C4043" s="109" t="s">
        <v>24082</v>
      </c>
      <c r="D4043" s="109" t="s">
        <v>24483</v>
      </c>
      <c r="E4043" s="109" t="s">
        <v>5558</v>
      </c>
      <c r="F4043" s="109" t="s">
        <v>24484</v>
      </c>
      <c r="G4043" s="110" t="s">
        <v>6248</v>
      </c>
      <c r="H4043" s="110" t="s">
        <v>24485</v>
      </c>
      <c r="I4043" s="110" t="s">
        <v>24486</v>
      </c>
    </row>
    <row r="4044" spans="1:9" ht="37.799999999999997" x14ac:dyDescent="0.3">
      <c r="A4044" s="109" t="s">
        <v>24487</v>
      </c>
      <c r="B4044" s="109" t="s">
        <v>24082</v>
      </c>
      <c r="C4044" s="109" t="s">
        <v>24082</v>
      </c>
      <c r="D4044" s="109" t="s">
        <v>24488</v>
      </c>
      <c r="E4044" s="109" t="s">
        <v>24489</v>
      </c>
      <c r="F4044" s="109" t="s">
        <v>10171</v>
      </c>
      <c r="G4044" s="110" t="s">
        <v>6248</v>
      </c>
      <c r="H4044" s="110" t="s">
        <v>24490</v>
      </c>
      <c r="I4044" s="110" t="s">
        <v>24491</v>
      </c>
    </row>
    <row r="4045" spans="1:9" ht="37.799999999999997" x14ac:dyDescent="0.3">
      <c r="A4045" s="109" t="s">
        <v>24492</v>
      </c>
      <c r="B4045" s="109" t="s">
        <v>24082</v>
      </c>
      <c r="C4045" s="109" t="s">
        <v>24082</v>
      </c>
      <c r="D4045" s="109" t="s">
        <v>24493</v>
      </c>
      <c r="E4045" s="109" t="s">
        <v>5558</v>
      </c>
      <c r="F4045" s="109" t="s">
        <v>24494</v>
      </c>
      <c r="G4045" s="110" t="s">
        <v>6248</v>
      </c>
      <c r="H4045" s="110" t="s">
        <v>24495</v>
      </c>
      <c r="I4045" s="110" t="s">
        <v>24496</v>
      </c>
    </row>
    <row r="4046" spans="1:9" ht="25.2" x14ac:dyDescent="0.3">
      <c r="A4046" s="109" t="s">
        <v>24497</v>
      </c>
      <c r="B4046" s="109" t="s">
        <v>24082</v>
      </c>
      <c r="C4046" s="109" t="s">
        <v>24082</v>
      </c>
      <c r="D4046" s="109" t="s">
        <v>3465</v>
      </c>
      <c r="E4046" s="109" t="s">
        <v>24498</v>
      </c>
      <c r="F4046" s="109" t="s">
        <v>15252</v>
      </c>
      <c r="G4046" s="110" t="s">
        <v>6248</v>
      </c>
      <c r="H4046" s="110" t="s">
        <v>24499</v>
      </c>
      <c r="I4046" s="110" t="s">
        <v>24500</v>
      </c>
    </row>
    <row r="4047" spans="1:9" ht="37.799999999999997" x14ac:dyDescent="0.3">
      <c r="A4047" s="109" t="s">
        <v>24501</v>
      </c>
      <c r="B4047" s="109" t="s">
        <v>24082</v>
      </c>
      <c r="C4047" s="109" t="s">
        <v>24082</v>
      </c>
      <c r="D4047" s="109" t="s">
        <v>24502</v>
      </c>
      <c r="E4047" s="109" t="s">
        <v>5558</v>
      </c>
      <c r="F4047" s="109" t="s">
        <v>24503</v>
      </c>
      <c r="G4047" s="110" t="s">
        <v>6248</v>
      </c>
      <c r="H4047" s="110" t="s">
        <v>24504</v>
      </c>
      <c r="I4047" s="110" t="s">
        <v>24505</v>
      </c>
    </row>
    <row r="4048" spans="1:9" ht="50.4" x14ac:dyDescent="0.3">
      <c r="A4048" s="109" t="s">
        <v>24506</v>
      </c>
      <c r="B4048" s="109" t="s">
        <v>24082</v>
      </c>
      <c r="C4048" s="109" t="s">
        <v>24082</v>
      </c>
      <c r="D4048" s="109" t="s">
        <v>12517</v>
      </c>
      <c r="E4048" s="109" t="s">
        <v>17328</v>
      </c>
      <c r="F4048" s="109" t="s">
        <v>24507</v>
      </c>
      <c r="G4048" s="110" t="s">
        <v>6248</v>
      </c>
      <c r="H4048" s="110" t="s">
        <v>24508</v>
      </c>
      <c r="I4048" s="110" t="s">
        <v>24509</v>
      </c>
    </row>
    <row r="4049" spans="1:9" ht="63" x14ac:dyDescent="0.3">
      <c r="A4049" s="109" t="s">
        <v>24510</v>
      </c>
      <c r="B4049" s="109" t="s">
        <v>24082</v>
      </c>
      <c r="C4049" s="109" t="s">
        <v>24082</v>
      </c>
      <c r="D4049" s="109" t="s">
        <v>24511</v>
      </c>
      <c r="E4049" s="109" t="s">
        <v>24511</v>
      </c>
      <c r="F4049" s="109" t="s">
        <v>24512</v>
      </c>
      <c r="G4049" s="110" t="s">
        <v>6248</v>
      </c>
      <c r="H4049" s="110" t="s">
        <v>6883</v>
      </c>
      <c r="I4049" s="110" t="s">
        <v>24513</v>
      </c>
    </row>
    <row r="4050" spans="1:9" ht="25.2" x14ac:dyDescent="0.3">
      <c r="A4050" s="109" t="s">
        <v>24514</v>
      </c>
      <c r="B4050" s="109" t="s">
        <v>24082</v>
      </c>
      <c r="C4050" s="109" t="s">
        <v>24082</v>
      </c>
      <c r="D4050" s="109" t="s">
        <v>24515</v>
      </c>
      <c r="E4050" s="109" t="s">
        <v>5558</v>
      </c>
      <c r="F4050" s="109" t="s">
        <v>24516</v>
      </c>
      <c r="G4050" s="110" t="s">
        <v>6248</v>
      </c>
      <c r="H4050" s="110" t="s">
        <v>24517</v>
      </c>
      <c r="I4050" s="110" t="s">
        <v>24518</v>
      </c>
    </row>
    <row r="4051" spans="1:9" ht="25.2" x14ac:dyDescent="0.3">
      <c r="A4051" s="109" t="s">
        <v>24519</v>
      </c>
      <c r="B4051" s="109" t="s">
        <v>24082</v>
      </c>
      <c r="C4051" s="109" t="s">
        <v>24082</v>
      </c>
      <c r="D4051" s="109" t="s">
        <v>24520</v>
      </c>
      <c r="E4051" s="109" t="s">
        <v>24521</v>
      </c>
      <c r="F4051" s="109" t="s">
        <v>7039</v>
      </c>
      <c r="G4051" s="110" t="s">
        <v>6248</v>
      </c>
      <c r="H4051" s="110" t="s">
        <v>24522</v>
      </c>
      <c r="I4051" s="110" t="s">
        <v>24523</v>
      </c>
    </row>
    <row r="4052" spans="1:9" ht="25.2" x14ac:dyDescent="0.3">
      <c r="A4052" s="109" t="s">
        <v>24524</v>
      </c>
      <c r="B4052" s="109" t="s">
        <v>24082</v>
      </c>
      <c r="C4052" s="109" t="s">
        <v>24082</v>
      </c>
      <c r="D4052" s="109" t="s">
        <v>24525</v>
      </c>
      <c r="E4052" s="109" t="s">
        <v>24526</v>
      </c>
      <c r="F4052" s="109" t="s">
        <v>7045</v>
      </c>
      <c r="G4052" s="110" t="s">
        <v>24527</v>
      </c>
      <c r="H4052" s="110" t="s">
        <v>6248</v>
      </c>
      <c r="I4052" s="110" t="s">
        <v>24528</v>
      </c>
    </row>
    <row r="4053" spans="1:9" ht="37.799999999999997" x14ac:dyDescent="0.3">
      <c r="A4053" s="109" t="s">
        <v>24529</v>
      </c>
      <c r="B4053" s="109" t="s">
        <v>24082</v>
      </c>
      <c r="C4053" s="109" t="s">
        <v>24082</v>
      </c>
      <c r="D4053" s="109" t="s">
        <v>24530</v>
      </c>
      <c r="E4053" s="109" t="s">
        <v>5558</v>
      </c>
      <c r="F4053" s="109" t="s">
        <v>24531</v>
      </c>
      <c r="G4053" s="110" t="s">
        <v>6248</v>
      </c>
      <c r="H4053" s="110" t="s">
        <v>7592</v>
      </c>
      <c r="I4053" s="110" t="s">
        <v>24532</v>
      </c>
    </row>
    <row r="4054" spans="1:9" ht="37.799999999999997" x14ac:dyDescent="0.3">
      <c r="A4054" s="109" t="s">
        <v>24533</v>
      </c>
      <c r="B4054" s="109" t="s">
        <v>24082</v>
      </c>
      <c r="C4054" s="109" t="s">
        <v>24082</v>
      </c>
      <c r="D4054" s="109" t="s">
        <v>24534</v>
      </c>
      <c r="E4054" s="109" t="s">
        <v>5558</v>
      </c>
      <c r="F4054" s="109" t="s">
        <v>24535</v>
      </c>
      <c r="G4054" s="110" t="s">
        <v>6248</v>
      </c>
      <c r="H4054" s="110" t="s">
        <v>8348</v>
      </c>
      <c r="I4054" s="110" t="s">
        <v>24536</v>
      </c>
    </row>
    <row r="4055" spans="1:9" ht="25.2" x14ac:dyDescent="0.3">
      <c r="A4055" s="109" t="s">
        <v>24537</v>
      </c>
      <c r="B4055" s="109" t="s">
        <v>24082</v>
      </c>
      <c r="C4055" s="109" t="s">
        <v>24082</v>
      </c>
      <c r="D4055" s="109" t="s">
        <v>24538</v>
      </c>
      <c r="E4055" s="109" t="s">
        <v>24539</v>
      </c>
      <c r="F4055" s="109" t="s">
        <v>22351</v>
      </c>
      <c r="G4055" s="110" t="s">
        <v>24540</v>
      </c>
      <c r="H4055" s="110" t="s">
        <v>6248</v>
      </c>
      <c r="I4055" s="110" t="s">
        <v>24541</v>
      </c>
    </row>
    <row r="4056" spans="1:9" ht="25.2" x14ac:dyDescent="0.3">
      <c r="A4056" s="109" t="s">
        <v>24542</v>
      </c>
      <c r="B4056" s="109" t="s">
        <v>24082</v>
      </c>
      <c r="C4056" s="109" t="s">
        <v>24082</v>
      </c>
      <c r="D4056" s="109" t="s">
        <v>5569</v>
      </c>
      <c r="E4056" s="109" t="s">
        <v>5558</v>
      </c>
      <c r="F4056" s="109" t="s">
        <v>2258</v>
      </c>
      <c r="G4056" s="110" t="s">
        <v>6248</v>
      </c>
      <c r="H4056" s="110" t="s">
        <v>24543</v>
      </c>
      <c r="I4056" s="110" t="s">
        <v>24544</v>
      </c>
    </row>
    <row r="4057" spans="1:9" ht="37.799999999999997" x14ac:dyDescent="0.3">
      <c r="A4057" s="109" t="s">
        <v>24545</v>
      </c>
      <c r="B4057" s="109" t="s">
        <v>24082</v>
      </c>
      <c r="C4057" s="109" t="s">
        <v>24082</v>
      </c>
      <c r="D4057" s="109" t="s">
        <v>3609</v>
      </c>
      <c r="E4057" s="109" t="s">
        <v>5558</v>
      </c>
      <c r="F4057" s="109" t="s">
        <v>24546</v>
      </c>
      <c r="G4057" s="110" t="s">
        <v>6248</v>
      </c>
      <c r="H4057" s="110" t="s">
        <v>24547</v>
      </c>
      <c r="I4057" s="110" t="s">
        <v>24548</v>
      </c>
    </row>
    <row r="4058" spans="1:9" ht="25.2" x14ac:dyDescent="0.3">
      <c r="A4058" s="109" t="s">
        <v>24549</v>
      </c>
      <c r="B4058" s="109" t="s">
        <v>24082</v>
      </c>
      <c r="C4058" s="109" t="s">
        <v>24082</v>
      </c>
      <c r="D4058" s="109" t="s">
        <v>24550</v>
      </c>
      <c r="E4058" s="109" t="s">
        <v>5558</v>
      </c>
      <c r="F4058" s="109" t="s">
        <v>24551</v>
      </c>
      <c r="G4058" s="110" t="s">
        <v>6248</v>
      </c>
      <c r="H4058" s="110" t="s">
        <v>24552</v>
      </c>
      <c r="I4058" s="110" t="s">
        <v>24553</v>
      </c>
    </row>
    <row r="4059" spans="1:9" ht="75.599999999999994" x14ac:dyDescent="0.3">
      <c r="A4059" s="109" t="s">
        <v>24554</v>
      </c>
      <c r="B4059" s="109" t="s">
        <v>24082</v>
      </c>
      <c r="C4059" s="109" t="s">
        <v>24082</v>
      </c>
      <c r="D4059" s="109" t="s">
        <v>24555</v>
      </c>
      <c r="E4059" s="109" t="s">
        <v>24555</v>
      </c>
      <c r="F4059" s="109" t="s">
        <v>24556</v>
      </c>
      <c r="G4059" s="110" t="s">
        <v>6248</v>
      </c>
      <c r="H4059" s="110" t="s">
        <v>24557</v>
      </c>
      <c r="I4059" s="110" t="s">
        <v>24558</v>
      </c>
    </row>
    <row r="4060" spans="1:9" ht="25.2" x14ac:dyDescent="0.3">
      <c r="A4060" s="109" t="s">
        <v>24559</v>
      </c>
      <c r="B4060" s="109" t="s">
        <v>24082</v>
      </c>
      <c r="C4060" s="109" t="s">
        <v>24082</v>
      </c>
      <c r="D4060" s="109" t="s">
        <v>24560</v>
      </c>
      <c r="E4060" s="109" t="s">
        <v>5558</v>
      </c>
      <c r="F4060" s="109" t="s">
        <v>24561</v>
      </c>
      <c r="G4060" s="110" t="s">
        <v>6248</v>
      </c>
      <c r="H4060" s="110" t="s">
        <v>24562</v>
      </c>
      <c r="I4060" s="110" t="s">
        <v>24563</v>
      </c>
    </row>
    <row r="4061" spans="1:9" ht="25.2" x14ac:dyDescent="0.3">
      <c r="A4061" s="109" t="s">
        <v>24564</v>
      </c>
      <c r="B4061" s="109" t="s">
        <v>24082</v>
      </c>
      <c r="C4061" s="109" t="s">
        <v>24082</v>
      </c>
      <c r="D4061" s="109" t="s">
        <v>24565</v>
      </c>
      <c r="E4061" s="109" t="s">
        <v>5558</v>
      </c>
      <c r="F4061" s="109" t="s">
        <v>24566</v>
      </c>
      <c r="G4061" s="110" t="s">
        <v>6248</v>
      </c>
      <c r="H4061" s="110" t="s">
        <v>7094</v>
      </c>
      <c r="I4061" s="110" t="s">
        <v>24567</v>
      </c>
    </row>
    <row r="4062" spans="1:9" ht="25.2" x14ac:dyDescent="0.3">
      <c r="A4062" s="109" t="s">
        <v>24568</v>
      </c>
      <c r="B4062" s="109" t="s">
        <v>24082</v>
      </c>
      <c r="C4062" s="109" t="s">
        <v>24082</v>
      </c>
      <c r="D4062" s="109" t="s">
        <v>24569</v>
      </c>
      <c r="E4062" s="109" t="s">
        <v>5558</v>
      </c>
      <c r="F4062" s="109" t="s">
        <v>24570</v>
      </c>
      <c r="G4062" s="110" t="s">
        <v>6248</v>
      </c>
      <c r="H4062" s="110" t="s">
        <v>24571</v>
      </c>
      <c r="I4062" s="110" t="s">
        <v>24572</v>
      </c>
    </row>
    <row r="4063" spans="1:9" ht="75.599999999999994" x14ac:dyDescent="0.3">
      <c r="A4063" s="109" t="s">
        <v>24573</v>
      </c>
      <c r="B4063" s="109" t="s">
        <v>24082</v>
      </c>
      <c r="C4063" s="109" t="s">
        <v>24082</v>
      </c>
      <c r="D4063" s="109" t="s">
        <v>24574</v>
      </c>
      <c r="E4063" s="109" t="s">
        <v>24574</v>
      </c>
      <c r="F4063" s="109" t="s">
        <v>24575</v>
      </c>
      <c r="G4063" s="110" t="s">
        <v>6248</v>
      </c>
      <c r="H4063" s="110" t="s">
        <v>24576</v>
      </c>
      <c r="I4063" s="110" t="s">
        <v>24577</v>
      </c>
    </row>
    <row r="4064" spans="1:9" ht="25.2" x14ac:dyDescent="0.3">
      <c r="A4064" s="109" t="s">
        <v>24578</v>
      </c>
      <c r="B4064" s="109" t="s">
        <v>24082</v>
      </c>
      <c r="C4064" s="109" t="s">
        <v>24082</v>
      </c>
      <c r="D4064" s="109" t="s">
        <v>24579</v>
      </c>
      <c r="E4064" s="109" t="s">
        <v>19314</v>
      </c>
      <c r="F4064" s="109" t="s">
        <v>19315</v>
      </c>
      <c r="G4064" s="110" t="s">
        <v>6248</v>
      </c>
      <c r="H4064" s="110" t="s">
        <v>24580</v>
      </c>
      <c r="I4064" s="110" t="s">
        <v>24581</v>
      </c>
    </row>
    <row r="4065" spans="1:9" ht="25.2" x14ac:dyDescent="0.3">
      <c r="A4065" s="109" t="s">
        <v>24582</v>
      </c>
      <c r="B4065" s="109" t="s">
        <v>24082</v>
      </c>
      <c r="C4065" s="109" t="s">
        <v>24082</v>
      </c>
      <c r="D4065" s="109" t="s">
        <v>24583</v>
      </c>
      <c r="E4065" s="109" t="s">
        <v>24584</v>
      </c>
      <c r="F4065" s="109" t="s">
        <v>6779</v>
      </c>
      <c r="G4065" s="110" t="s">
        <v>6248</v>
      </c>
      <c r="H4065" s="110" t="s">
        <v>24585</v>
      </c>
      <c r="I4065" s="110" t="s">
        <v>24586</v>
      </c>
    </row>
    <row r="4066" spans="1:9" ht="25.2" x14ac:dyDescent="0.3">
      <c r="A4066" s="109" t="s">
        <v>24587</v>
      </c>
      <c r="B4066" s="109" t="s">
        <v>24082</v>
      </c>
      <c r="C4066" s="109" t="s">
        <v>24082</v>
      </c>
      <c r="D4066" s="109" t="s">
        <v>24588</v>
      </c>
      <c r="E4066" s="109" t="s">
        <v>5558</v>
      </c>
      <c r="F4066" s="109" t="s">
        <v>24589</v>
      </c>
      <c r="G4066" s="110" t="s">
        <v>6248</v>
      </c>
      <c r="H4066" s="110" t="s">
        <v>6883</v>
      </c>
      <c r="I4066" s="110" t="s">
        <v>24590</v>
      </c>
    </row>
    <row r="4067" spans="1:9" ht="37.799999999999997" x14ac:dyDescent="0.3">
      <c r="A4067" s="109" t="s">
        <v>24591</v>
      </c>
      <c r="B4067" s="109" t="s">
        <v>24082</v>
      </c>
      <c r="C4067" s="109" t="s">
        <v>24082</v>
      </c>
      <c r="D4067" s="109" t="s">
        <v>24592</v>
      </c>
      <c r="E4067" s="109" t="s">
        <v>5558</v>
      </c>
      <c r="F4067" s="109" t="s">
        <v>24593</v>
      </c>
      <c r="G4067" s="110" t="s">
        <v>6248</v>
      </c>
      <c r="H4067" s="110" t="s">
        <v>24594</v>
      </c>
      <c r="I4067" s="110" t="s">
        <v>24595</v>
      </c>
    </row>
    <row r="4068" spans="1:9" ht="37.799999999999997" x14ac:dyDescent="0.3">
      <c r="A4068" s="109" t="s">
        <v>24596</v>
      </c>
      <c r="B4068" s="109" t="s">
        <v>24082</v>
      </c>
      <c r="C4068" s="109" t="s">
        <v>24082</v>
      </c>
      <c r="D4068" s="109" t="s">
        <v>24597</v>
      </c>
      <c r="E4068" s="109" t="s">
        <v>5558</v>
      </c>
      <c r="F4068" s="109" t="s">
        <v>24598</v>
      </c>
      <c r="G4068" s="110" t="s">
        <v>6248</v>
      </c>
      <c r="H4068" s="110" t="s">
        <v>6883</v>
      </c>
      <c r="I4068" s="110" t="s">
        <v>24599</v>
      </c>
    </row>
    <row r="4069" spans="1:9" ht="37.799999999999997" x14ac:dyDescent="0.3">
      <c r="A4069" s="109" t="s">
        <v>24600</v>
      </c>
      <c r="B4069" s="109" t="s">
        <v>24082</v>
      </c>
      <c r="C4069" s="109" t="s">
        <v>24082</v>
      </c>
      <c r="D4069" s="109" t="s">
        <v>24601</v>
      </c>
      <c r="E4069" s="109" t="s">
        <v>5558</v>
      </c>
      <c r="F4069" s="109" t="s">
        <v>24602</v>
      </c>
      <c r="G4069" s="110" t="s">
        <v>6248</v>
      </c>
      <c r="H4069" s="110" t="s">
        <v>24603</v>
      </c>
      <c r="I4069" s="110" t="s">
        <v>24604</v>
      </c>
    </row>
    <row r="4070" spans="1:9" ht="25.2" x14ac:dyDescent="0.3">
      <c r="A4070" s="109" t="s">
        <v>24605</v>
      </c>
      <c r="B4070" s="109" t="s">
        <v>24082</v>
      </c>
      <c r="C4070" s="109" t="s">
        <v>24082</v>
      </c>
      <c r="D4070" s="109" t="s">
        <v>5569</v>
      </c>
      <c r="E4070" s="109" t="s">
        <v>5558</v>
      </c>
      <c r="F4070" s="109" t="s">
        <v>2258</v>
      </c>
      <c r="G4070" s="110" t="s">
        <v>6248</v>
      </c>
      <c r="H4070" s="110" t="s">
        <v>24606</v>
      </c>
      <c r="I4070" s="110" t="s">
        <v>24607</v>
      </c>
    </row>
    <row r="4071" spans="1:9" ht="25.2" x14ac:dyDescent="0.3">
      <c r="A4071" s="109" t="s">
        <v>24608</v>
      </c>
      <c r="B4071" s="109" t="s">
        <v>24082</v>
      </c>
      <c r="C4071" s="109" t="s">
        <v>24082</v>
      </c>
      <c r="D4071" s="109" t="s">
        <v>24609</v>
      </c>
      <c r="E4071" s="109" t="s">
        <v>24610</v>
      </c>
      <c r="F4071" s="109" t="s">
        <v>10749</v>
      </c>
      <c r="G4071" s="110" t="s">
        <v>6248</v>
      </c>
      <c r="H4071" s="110" t="s">
        <v>24611</v>
      </c>
      <c r="I4071" s="110" t="s">
        <v>24612</v>
      </c>
    </row>
    <row r="4072" spans="1:9" ht="25.2" x14ac:dyDescent="0.3">
      <c r="A4072" s="109" t="s">
        <v>24613</v>
      </c>
      <c r="B4072" s="109" t="s">
        <v>24082</v>
      </c>
      <c r="C4072" s="109" t="s">
        <v>24082</v>
      </c>
      <c r="D4072" s="109" t="s">
        <v>24614</v>
      </c>
      <c r="E4072" s="109" t="s">
        <v>5558</v>
      </c>
      <c r="F4072" s="109" t="s">
        <v>24615</v>
      </c>
      <c r="G4072" s="110" t="s">
        <v>6248</v>
      </c>
      <c r="H4072" s="110" t="s">
        <v>24616</v>
      </c>
      <c r="I4072" s="110" t="s">
        <v>24617</v>
      </c>
    </row>
    <row r="4073" spans="1:9" ht="37.799999999999997" x14ac:dyDescent="0.3">
      <c r="A4073" s="109" t="s">
        <v>24618</v>
      </c>
      <c r="B4073" s="109" t="s">
        <v>24082</v>
      </c>
      <c r="C4073" s="109" t="s">
        <v>24082</v>
      </c>
      <c r="D4073" s="109" t="s">
        <v>24619</v>
      </c>
      <c r="E4073" s="109" t="s">
        <v>5558</v>
      </c>
      <c r="F4073" s="109" t="s">
        <v>24620</v>
      </c>
      <c r="G4073" s="110" t="s">
        <v>6248</v>
      </c>
      <c r="H4073" s="110" t="s">
        <v>24621</v>
      </c>
      <c r="I4073" s="110" t="s">
        <v>24622</v>
      </c>
    </row>
    <row r="4074" spans="1:9" ht="25.2" x14ac:dyDescent="0.3">
      <c r="A4074" s="109" t="s">
        <v>24623</v>
      </c>
      <c r="B4074" s="109" t="s">
        <v>24082</v>
      </c>
      <c r="C4074" s="109" t="s">
        <v>24082</v>
      </c>
      <c r="D4074" s="109" t="s">
        <v>24624</v>
      </c>
      <c r="E4074" s="109" t="s">
        <v>5558</v>
      </c>
      <c r="F4074" s="109" t="s">
        <v>24625</v>
      </c>
      <c r="G4074" s="110" t="s">
        <v>6248</v>
      </c>
      <c r="H4074" s="110" t="s">
        <v>24626</v>
      </c>
      <c r="I4074" s="110" t="s">
        <v>24627</v>
      </c>
    </row>
    <row r="4075" spans="1:9" ht="63" x14ac:dyDescent="0.3">
      <c r="A4075" s="109" t="s">
        <v>24628</v>
      </c>
      <c r="B4075" s="109" t="s">
        <v>24082</v>
      </c>
      <c r="C4075" s="109" t="s">
        <v>24082</v>
      </c>
      <c r="D4075" s="109" t="s">
        <v>18729</v>
      </c>
      <c r="E4075" s="109" t="s">
        <v>18729</v>
      </c>
      <c r="F4075" s="109" t="s">
        <v>24629</v>
      </c>
      <c r="G4075" s="110" t="s">
        <v>6248</v>
      </c>
      <c r="H4075" s="110" t="s">
        <v>8905</v>
      </c>
      <c r="I4075" s="110" t="s">
        <v>24630</v>
      </c>
    </row>
    <row r="4076" spans="1:9" ht="63" x14ac:dyDescent="0.3">
      <c r="A4076" s="109" t="s">
        <v>24631</v>
      </c>
      <c r="B4076" s="109" t="s">
        <v>24082</v>
      </c>
      <c r="C4076" s="109" t="s">
        <v>24082</v>
      </c>
      <c r="D4076" s="109" t="s">
        <v>18413</v>
      </c>
      <c r="E4076" s="109" t="s">
        <v>18413</v>
      </c>
      <c r="F4076" s="109" t="s">
        <v>18414</v>
      </c>
      <c r="G4076" s="110" t="s">
        <v>6248</v>
      </c>
      <c r="H4076" s="110" t="s">
        <v>8905</v>
      </c>
      <c r="I4076" s="110" t="s">
        <v>24632</v>
      </c>
    </row>
    <row r="4077" spans="1:9" ht="63" x14ac:dyDescent="0.3">
      <c r="A4077" s="109" t="s">
        <v>24633</v>
      </c>
      <c r="B4077" s="109" t="s">
        <v>24082</v>
      </c>
      <c r="C4077" s="109" t="s">
        <v>24082</v>
      </c>
      <c r="D4077" s="109" t="s">
        <v>24634</v>
      </c>
      <c r="E4077" s="109" t="s">
        <v>24634</v>
      </c>
      <c r="F4077" s="109" t="s">
        <v>24635</v>
      </c>
      <c r="G4077" s="110" t="s">
        <v>6248</v>
      </c>
      <c r="H4077" s="110" t="s">
        <v>6557</v>
      </c>
      <c r="I4077" s="110" t="s">
        <v>24636</v>
      </c>
    </row>
    <row r="4078" spans="1:9" ht="63" x14ac:dyDescent="0.3">
      <c r="A4078" s="109" t="s">
        <v>24637</v>
      </c>
      <c r="B4078" s="109" t="s">
        <v>24082</v>
      </c>
      <c r="C4078" s="109" t="s">
        <v>24082</v>
      </c>
      <c r="D4078" s="109" t="s">
        <v>24638</v>
      </c>
      <c r="E4078" s="109" t="s">
        <v>24638</v>
      </c>
      <c r="F4078" s="109" t="s">
        <v>24639</v>
      </c>
      <c r="G4078" s="110" t="s">
        <v>6248</v>
      </c>
      <c r="H4078" s="110" t="s">
        <v>24640</v>
      </c>
      <c r="I4078" s="110" t="s">
        <v>24641</v>
      </c>
    </row>
    <row r="4079" spans="1:9" ht="25.2" x14ac:dyDescent="0.3">
      <c r="A4079" s="109" t="s">
        <v>24642</v>
      </c>
      <c r="B4079" s="109" t="s">
        <v>24082</v>
      </c>
      <c r="C4079" s="109" t="s">
        <v>24082</v>
      </c>
      <c r="D4079" s="109" t="s">
        <v>5569</v>
      </c>
      <c r="E4079" s="109" t="s">
        <v>5558</v>
      </c>
      <c r="F4079" s="109" t="s">
        <v>2258</v>
      </c>
      <c r="G4079" s="110" t="s">
        <v>6248</v>
      </c>
      <c r="H4079" s="110" t="s">
        <v>9843</v>
      </c>
      <c r="I4079" s="110" t="s">
        <v>24643</v>
      </c>
    </row>
    <row r="4080" spans="1:9" ht="25.2" x14ac:dyDescent="0.3">
      <c r="A4080" s="109" t="s">
        <v>24644</v>
      </c>
      <c r="B4080" s="109" t="s">
        <v>24082</v>
      </c>
      <c r="C4080" s="109" t="s">
        <v>24082</v>
      </c>
      <c r="D4080" s="109" t="s">
        <v>24645</v>
      </c>
      <c r="E4080" s="109" t="s">
        <v>24646</v>
      </c>
      <c r="F4080" s="109" t="s">
        <v>6325</v>
      </c>
      <c r="G4080" s="110" t="s">
        <v>6248</v>
      </c>
      <c r="H4080" s="110" t="s">
        <v>24647</v>
      </c>
      <c r="I4080" s="110" t="s">
        <v>24648</v>
      </c>
    </row>
    <row r="4081" spans="1:9" ht="25.2" x14ac:dyDescent="0.3">
      <c r="A4081" s="109" t="s">
        <v>24649</v>
      </c>
      <c r="B4081" s="109" t="s">
        <v>24082</v>
      </c>
      <c r="C4081" s="109" t="s">
        <v>24082</v>
      </c>
      <c r="D4081" s="109" t="s">
        <v>5569</v>
      </c>
      <c r="E4081" s="109" t="s">
        <v>5558</v>
      </c>
      <c r="F4081" s="109" t="s">
        <v>2258</v>
      </c>
      <c r="G4081" s="110" t="s">
        <v>6248</v>
      </c>
      <c r="H4081" s="110" t="s">
        <v>24650</v>
      </c>
      <c r="I4081" s="110" t="s">
        <v>24651</v>
      </c>
    </row>
    <row r="4082" spans="1:9" ht="25.2" x14ac:dyDescent="0.3">
      <c r="A4082" s="109" t="s">
        <v>24652</v>
      </c>
      <c r="B4082" s="109" t="s">
        <v>24082</v>
      </c>
      <c r="C4082" s="109" t="s">
        <v>24082</v>
      </c>
      <c r="D4082" s="109" t="s">
        <v>24653</v>
      </c>
      <c r="E4082" s="109" t="s">
        <v>5558</v>
      </c>
      <c r="F4082" s="109" t="s">
        <v>24654</v>
      </c>
      <c r="G4082" s="110" t="s">
        <v>6248</v>
      </c>
      <c r="H4082" s="110" t="s">
        <v>24655</v>
      </c>
      <c r="I4082" s="110" t="s">
        <v>24656</v>
      </c>
    </row>
    <row r="4083" spans="1:9" ht="25.2" x14ac:dyDescent="0.3">
      <c r="A4083" s="109" t="s">
        <v>24657</v>
      </c>
      <c r="B4083" s="109" t="s">
        <v>24082</v>
      </c>
      <c r="C4083" s="109" t="s">
        <v>24082</v>
      </c>
      <c r="D4083" s="109" t="s">
        <v>5569</v>
      </c>
      <c r="E4083" s="109" t="s">
        <v>5558</v>
      </c>
      <c r="F4083" s="109" t="s">
        <v>2258</v>
      </c>
      <c r="G4083" s="110" t="s">
        <v>6248</v>
      </c>
      <c r="H4083" s="110" t="s">
        <v>24658</v>
      </c>
      <c r="I4083" s="110" t="s">
        <v>24659</v>
      </c>
    </row>
    <row r="4084" spans="1:9" ht="25.2" x14ac:dyDescent="0.3">
      <c r="A4084" s="109" t="s">
        <v>24660</v>
      </c>
      <c r="B4084" s="109" t="s">
        <v>24082</v>
      </c>
      <c r="C4084" s="109" t="s">
        <v>24082</v>
      </c>
      <c r="D4084" s="109" t="s">
        <v>24661</v>
      </c>
      <c r="E4084" s="109" t="s">
        <v>5558</v>
      </c>
      <c r="F4084" s="109" t="s">
        <v>24662</v>
      </c>
      <c r="G4084" s="110" t="s">
        <v>6248</v>
      </c>
      <c r="H4084" s="110" t="s">
        <v>24663</v>
      </c>
      <c r="I4084" s="110" t="s">
        <v>24664</v>
      </c>
    </row>
    <row r="4085" spans="1:9" ht="63" x14ac:dyDescent="0.3">
      <c r="A4085" s="109" t="s">
        <v>24665</v>
      </c>
      <c r="B4085" s="109" t="s">
        <v>24082</v>
      </c>
      <c r="C4085" s="109" t="s">
        <v>24082</v>
      </c>
      <c r="D4085" s="109" t="s">
        <v>24666</v>
      </c>
      <c r="E4085" s="109" t="s">
        <v>24666</v>
      </c>
      <c r="F4085" s="109" t="s">
        <v>24667</v>
      </c>
      <c r="G4085" s="110" t="s">
        <v>6248</v>
      </c>
      <c r="H4085" s="110" t="s">
        <v>24668</v>
      </c>
      <c r="I4085" s="110" t="s">
        <v>24669</v>
      </c>
    </row>
    <row r="4086" spans="1:9" ht="25.2" x14ac:dyDescent="0.3">
      <c r="A4086" s="109" t="s">
        <v>24670</v>
      </c>
      <c r="B4086" s="109" t="s">
        <v>24082</v>
      </c>
      <c r="C4086" s="109" t="s">
        <v>24082</v>
      </c>
      <c r="D4086" s="109" t="s">
        <v>24671</v>
      </c>
      <c r="E4086" s="109" t="s">
        <v>5558</v>
      </c>
      <c r="F4086" s="109" t="s">
        <v>24672</v>
      </c>
      <c r="G4086" s="110" t="s">
        <v>6248</v>
      </c>
      <c r="H4086" s="110" t="s">
        <v>24673</v>
      </c>
      <c r="I4086" s="110" t="s">
        <v>24674</v>
      </c>
    </row>
    <row r="4087" spans="1:9" ht="63" x14ac:dyDescent="0.3">
      <c r="A4087" s="109" t="s">
        <v>24675</v>
      </c>
      <c r="B4087" s="109" t="s">
        <v>24082</v>
      </c>
      <c r="C4087" s="109" t="s">
        <v>24082</v>
      </c>
      <c r="D4087" s="109" t="s">
        <v>24676</v>
      </c>
      <c r="E4087" s="109" t="s">
        <v>24676</v>
      </c>
      <c r="F4087" s="109" t="s">
        <v>24677</v>
      </c>
      <c r="G4087" s="110" t="s">
        <v>6248</v>
      </c>
      <c r="H4087" s="110" t="s">
        <v>24678</v>
      </c>
      <c r="I4087" s="110" t="s">
        <v>24679</v>
      </c>
    </row>
    <row r="4088" spans="1:9" ht="63" x14ac:dyDescent="0.3">
      <c r="A4088" s="109" t="s">
        <v>24680</v>
      </c>
      <c r="B4088" s="109" t="s">
        <v>24082</v>
      </c>
      <c r="C4088" s="109" t="s">
        <v>24082</v>
      </c>
      <c r="D4088" s="109" t="s">
        <v>24681</v>
      </c>
      <c r="E4088" s="109" t="s">
        <v>24681</v>
      </c>
      <c r="F4088" s="109" t="s">
        <v>24682</v>
      </c>
      <c r="G4088" s="110" t="s">
        <v>6248</v>
      </c>
      <c r="H4088" s="110" t="s">
        <v>24683</v>
      </c>
      <c r="I4088" s="110" t="s">
        <v>24684</v>
      </c>
    </row>
    <row r="4089" spans="1:9" ht="63" x14ac:dyDescent="0.3">
      <c r="A4089" s="109" t="s">
        <v>24685</v>
      </c>
      <c r="B4089" s="109" t="s">
        <v>24082</v>
      </c>
      <c r="C4089" s="109" t="s">
        <v>24082</v>
      </c>
      <c r="D4089" s="109" t="s">
        <v>24686</v>
      </c>
      <c r="E4089" s="109" t="s">
        <v>24686</v>
      </c>
      <c r="F4089" s="109" t="s">
        <v>24687</v>
      </c>
      <c r="G4089" s="110" t="s">
        <v>6248</v>
      </c>
      <c r="H4089" s="110" t="s">
        <v>24688</v>
      </c>
      <c r="I4089" s="110" t="s">
        <v>24689</v>
      </c>
    </row>
    <row r="4090" spans="1:9" ht="63" x14ac:dyDescent="0.3">
      <c r="A4090" s="109" t="s">
        <v>24690</v>
      </c>
      <c r="B4090" s="109" t="s">
        <v>24082</v>
      </c>
      <c r="C4090" s="109" t="s">
        <v>24082</v>
      </c>
      <c r="D4090" s="109" t="s">
        <v>8366</v>
      </c>
      <c r="E4090" s="109" t="s">
        <v>8366</v>
      </c>
      <c r="F4090" s="109" t="s">
        <v>24691</v>
      </c>
      <c r="G4090" s="110" t="s">
        <v>6248</v>
      </c>
      <c r="H4090" s="110" t="s">
        <v>24692</v>
      </c>
      <c r="I4090" s="110" t="s">
        <v>24693</v>
      </c>
    </row>
    <row r="4091" spans="1:9" ht="25.2" x14ac:dyDescent="0.3">
      <c r="A4091" s="109" t="s">
        <v>24694</v>
      </c>
      <c r="B4091" s="109" t="s">
        <v>24082</v>
      </c>
      <c r="C4091" s="109" t="s">
        <v>24082</v>
      </c>
      <c r="D4091" s="109" t="s">
        <v>24695</v>
      </c>
      <c r="E4091" s="109" t="s">
        <v>5558</v>
      </c>
      <c r="F4091" s="109" t="s">
        <v>24696</v>
      </c>
      <c r="G4091" s="110" t="s">
        <v>6248</v>
      </c>
      <c r="H4091" s="110" t="s">
        <v>24697</v>
      </c>
      <c r="I4091" s="110" t="s">
        <v>24698</v>
      </c>
    </row>
    <row r="4092" spans="1:9" ht="25.2" x14ac:dyDescent="0.3">
      <c r="A4092" s="109" t="s">
        <v>24699</v>
      </c>
      <c r="B4092" s="109" t="s">
        <v>24082</v>
      </c>
      <c r="C4092" s="109" t="s">
        <v>24082</v>
      </c>
      <c r="D4092" s="109" t="s">
        <v>24700</v>
      </c>
      <c r="E4092" s="109" t="s">
        <v>5558</v>
      </c>
      <c r="F4092" s="109" t="s">
        <v>24701</v>
      </c>
      <c r="G4092" s="110" t="s">
        <v>6248</v>
      </c>
      <c r="H4092" s="110" t="s">
        <v>8984</v>
      </c>
      <c r="I4092" s="110" t="s">
        <v>24702</v>
      </c>
    </row>
    <row r="4093" spans="1:9" ht="37.799999999999997" x14ac:dyDescent="0.3">
      <c r="A4093" s="109" t="s">
        <v>24703</v>
      </c>
      <c r="B4093" s="109" t="s">
        <v>24082</v>
      </c>
      <c r="C4093" s="109" t="s">
        <v>24082</v>
      </c>
      <c r="D4093" s="109" t="s">
        <v>24704</v>
      </c>
      <c r="E4093" s="109" t="s">
        <v>5558</v>
      </c>
      <c r="F4093" s="109" t="s">
        <v>24705</v>
      </c>
      <c r="G4093" s="110" t="s">
        <v>6248</v>
      </c>
      <c r="H4093" s="110" t="s">
        <v>24706</v>
      </c>
      <c r="I4093" s="110" t="s">
        <v>24707</v>
      </c>
    </row>
    <row r="4094" spans="1:9" ht="25.2" x14ac:dyDescent="0.3">
      <c r="A4094" s="109" t="s">
        <v>24708</v>
      </c>
      <c r="B4094" s="109" t="s">
        <v>24082</v>
      </c>
      <c r="C4094" s="109" t="s">
        <v>24082</v>
      </c>
      <c r="D4094" s="109" t="s">
        <v>24709</v>
      </c>
      <c r="E4094" s="109" t="s">
        <v>5558</v>
      </c>
      <c r="F4094" s="109" t="s">
        <v>24710</v>
      </c>
      <c r="G4094" s="110" t="s">
        <v>6248</v>
      </c>
      <c r="H4094" s="110" t="s">
        <v>24711</v>
      </c>
      <c r="I4094" s="110" t="s">
        <v>24712</v>
      </c>
    </row>
    <row r="4095" spans="1:9" ht="25.2" x14ac:dyDescent="0.3">
      <c r="A4095" s="109" t="s">
        <v>24713</v>
      </c>
      <c r="B4095" s="109" t="s">
        <v>24082</v>
      </c>
      <c r="C4095" s="109" t="s">
        <v>24082</v>
      </c>
      <c r="D4095" s="109" t="s">
        <v>5569</v>
      </c>
      <c r="E4095" s="109" t="s">
        <v>5558</v>
      </c>
      <c r="F4095" s="109" t="s">
        <v>2258</v>
      </c>
      <c r="G4095" s="110" t="s">
        <v>6248</v>
      </c>
      <c r="H4095" s="110" t="s">
        <v>19402</v>
      </c>
      <c r="I4095" s="110" t="s">
        <v>24714</v>
      </c>
    </row>
    <row r="4096" spans="1:9" ht="37.799999999999997" x14ac:dyDescent="0.3">
      <c r="A4096" s="109" t="s">
        <v>24715</v>
      </c>
      <c r="B4096" s="109" t="s">
        <v>24082</v>
      </c>
      <c r="C4096" s="109" t="s">
        <v>24082</v>
      </c>
      <c r="D4096" s="109" t="s">
        <v>24716</v>
      </c>
      <c r="E4096" s="109" t="s">
        <v>5558</v>
      </c>
      <c r="F4096" s="109" t="s">
        <v>24717</v>
      </c>
      <c r="G4096" s="110" t="s">
        <v>6248</v>
      </c>
      <c r="H4096" s="110" t="s">
        <v>6689</v>
      </c>
      <c r="I4096" s="110" t="s">
        <v>24718</v>
      </c>
    </row>
    <row r="4097" spans="1:9" ht="25.2" x14ac:dyDescent="0.3">
      <c r="A4097" s="109" t="s">
        <v>24719</v>
      </c>
      <c r="B4097" s="109" t="s">
        <v>24082</v>
      </c>
      <c r="C4097" s="109" t="s">
        <v>24082</v>
      </c>
      <c r="D4097" s="109" t="s">
        <v>24720</v>
      </c>
      <c r="E4097" s="109" t="s">
        <v>24721</v>
      </c>
      <c r="F4097" s="109" t="s">
        <v>14190</v>
      </c>
      <c r="G4097" s="110" t="s">
        <v>6248</v>
      </c>
      <c r="H4097" s="110" t="s">
        <v>24722</v>
      </c>
      <c r="I4097" s="110" t="s">
        <v>24723</v>
      </c>
    </row>
    <row r="4098" spans="1:9" ht="25.2" x14ac:dyDescent="0.3">
      <c r="A4098" s="109" t="s">
        <v>24724</v>
      </c>
      <c r="B4098" s="109" t="s">
        <v>24082</v>
      </c>
      <c r="C4098" s="109" t="s">
        <v>24082</v>
      </c>
      <c r="D4098" s="109" t="s">
        <v>24725</v>
      </c>
      <c r="E4098" s="109" t="s">
        <v>24726</v>
      </c>
      <c r="F4098" s="109" t="s">
        <v>24727</v>
      </c>
      <c r="G4098" s="110" t="s">
        <v>6248</v>
      </c>
      <c r="H4098" s="110" t="s">
        <v>24728</v>
      </c>
      <c r="I4098" s="110" t="s">
        <v>24729</v>
      </c>
    </row>
    <row r="4099" spans="1:9" ht="25.2" x14ac:dyDescent="0.3">
      <c r="A4099" s="109" t="s">
        <v>24730</v>
      </c>
      <c r="B4099" s="109" t="s">
        <v>24082</v>
      </c>
      <c r="C4099" s="109" t="s">
        <v>24082</v>
      </c>
      <c r="D4099" s="109" t="s">
        <v>24731</v>
      </c>
      <c r="E4099" s="109" t="s">
        <v>24732</v>
      </c>
      <c r="F4099" s="109" t="s">
        <v>16059</v>
      </c>
      <c r="G4099" s="110" t="s">
        <v>6248</v>
      </c>
      <c r="H4099" s="110" t="s">
        <v>24733</v>
      </c>
      <c r="I4099" s="110" t="s">
        <v>24734</v>
      </c>
    </row>
    <row r="4100" spans="1:9" ht="25.2" x14ac:dyDescent="0.3">
      <c r="A4100" s="109" t="s">
        <v>24735</v>
      </c>
      <c r="B4100" s="109" t="s">
        <v>24082</v>
      </c>
      <c r="C4100" s="109" t="s">
        <v>24082</v>
      </c>
      <c r="D4100" s="109" t="s">
        <v>24736</v>
      </c>
      <c r="E4100" s="109" t="s">
        <v>5558</v>
      </c>
      <c r="F4100" s="109" t="s">
        <v>24737</v>
      </c>
      <c r="G4100" s="110" t="s">
        <v>6248</v>
      </c>
      <c r="H4100" s="110" t="s">
        <v>15481</v>
      </c>
      <c r="I4100" s="110" t="s">
        <v>24738</v>
      </c>
    </row>
    <row r="4101" spans="1:9" ht="25.2" x14ac:dyDescent="0.3">
      <c r="A4101" s="109" t="s">
        <v>24739</v>
      </c>
      <c r="B4101" s="109" t="s">
        <v>24082</v>
      </c>
      <c r="C4101" s="109" t="s">
        <v>24082</v>
      </c>
      <c r="D4101" s="109" t="s">
        <v>24740</v>
      </c>
      <c r="E4101" s="109" t="s">
        <v>5558</v>
      </c>
      <c r="F4101" s="109" t="s">
        <v>24741</v>
      </c>
      <c r="G4101" s="110" t="s">
        <v>6248</v>
      </c>
      <c r="H4101" s="110" t="s">
        <v>24742</v>
      </c>
      <c r="I4101" s="110" t="s">
        <v>24743</v>
      </c>
    </row>
    <row r="4102" spans="1:9" ht="37.799999999999997" x14ac:dyDescent="0.3">
      <c r="A4102" s="109" t="s">
        <v>24744</v>
      </c>
      <c r="B4102" s="109" t="s">
        <v>24082</v>
      </c>
      <c r="C4102" s="109" t="s">
        <v>24082</v>
      </c>
      <c r="D4102" s="109" t="s">
        <v>24745</v>
      </c>
      <c r="E4102" s="109" t="s">
        <v>5558</v>
      </c>
      <c r="F4102" s="109" t="s">
        <v>24746</v>
      </c>
      <c r="G4102" s="110" t="s">
        <v>6248</v>
      </c>
      <c r="H4102" s="110" t="s">
        <v>24747</v>
      </c>
      <c r="I4102" s="110" t="s">
        <v>24748</v>
      </c>
    </row>
    <row r="4103" spans="1:9" ht="50.4" x14ac:dyDescent="0.3">
      <c r="A4103" s="109" t="s">
        <v>24749</v>
      </c>
      <c r="B4103" s="109" t="s">
        <v>24082</v>
      </c>
      <c r="C4103" s="109" t="s">
        <v>24082</v>
      </c>
      <c r="D4103" s="109" t="s">
        <v>24750</v>
      </c>
      <c r="E4103" s="109" t="s">
        <v>24750</v>
      </c>
      <c r="F4103" s="109" t="s">
        <v>24751</v>
      </c>
      <c r="G4103" s="110" t="s">
        <v>6248</v>
      </c>
      <c r="H4103" s="110" t="s">
        <v>24752</v>
      </c>
      <c r="I4103" s="110" t="s">
        <v>24753</v>
      </c>
    </row>
    <row r="4104" spans="1:9" ht="37.799999999999997" x14ac:dyDescent="0.3">
      <c r="A4104" s="109" t="s">
        <v>24754</v>
      </c>
      <c r="B4104" s="109" t="s">
        <v>24082</v>
      </c>
      <c r="C4104" s="109" t="s">
        <v>24082</v>
      </c>
      <c r="D4104" s="109" t="s">
        <v>24755</v>
      </c>
      <c r="E4104" s="109" t="s">
        <v>16746</v>
      </c>
      <c r="F4104" s="109" t="s">
        <v>24756</v>
      </c>
      <c r="G4104" s="110" t="s">
        <v>6248</v>
      </c>
      <c r="H4104" s="110" t="s">
        <v>8191</v>
      </c>
      <c r="I4104" s="110" t="s">
        <v>24757</v>
      </c>
    </row>
    <row r="4105" spans="1:9" ht="50.4" x14ac:dyDescent="0.3">
      <c r="A4105" s="109" t="s">
        <v>24758</v>
      </c>
      <c r="B4105" s="109" t="s">
        <v>24082</v>
      </c>
      <c r="C4105" s="109" t="s">
        <v>24082</v>
      </c>
      <c r="D4105" s="109" t="s">
        <v>24759</v>
      </c>
      <c r="E4105" s="109" t="s">
        <v>24759</v>
      </c>
      <c r="F4105" s="109" t="s">
        <v>24760</v>
      </c>
      <c r="G4105" s="110" t="s">
        <v>6248</v>
      </c>
      <c r="H4105" s="110" t="s">
        <v>24761</v>
      </c>
      <c r="I4105" s="110" t="s">
        <v>24762</v>
      </c>
    </row>
    <row r="4106" spans="1:9" ht="50.4" x14ac:dyDescent="0.3">
      <c r="A4106" s="109" t="s">
        <v>24763</v>
      </c>
      <c r="B4106" s="109" t="s">
        <v>24082</v>
      </c>
      <c r="C4106" s="109" t="s">
        <v>24082</v>
      </c>
      <c r="D4106" s="109" t="s">
        <v>8478</v>
      </c>
      <c r="E4106" s="109" t="s">
        <v>8478</v>
      </c>
      <c r="F4106" s="109" t="s">
        <v>24764</v>
      </c>
      <c r="G4106" s="110" t="s">
        <v>6248</v>
      </c>
      <c r="H4106" s="110" t="s">
        <v>24765</v>
      </c>
      <c r="I4106" s="110" t="s">
        <v>24766</v>
      </c>
    </row>
    <row r="4107" spans="1:9" ht="37.799999999999997" x14ac:dyDescent="0.3">
      <c r="A4107" s="109" t="s">
        <v>24767</v>
      </c>
      <c r="B4107" s="109" t="s">
        <v>24082</v>
      </c>
      <c r="C4107" s="109" t="s">
        <v>24082</v>
      </c>
      <c r="D4107" s="109" t="s">
        <v>24768</v>
      </c>
      <c r="E4107" s="109" t="s">
        <v>8478</v>
      </c>
      <c r="F4107" s="109" t="s">
        <v>24769</v>
      </c>
      <c r="G4107" s="110" t="s">
        <v>24765</v>
      </c>
      <c r="H4107" s="110" t="s">
        <v>6248</v>
      </c>
      <c r="I4107" s="110" t="s">
        <v>24762</v>
      </c>
    </row>
    <row r="4108" spans="1:9" ht="50.4" x14ac:dyDescent="0.3">
      <c r="A4108" s="109" t="s">
        <v>24770</v>
      </c>
      <c r="B4108" s="109" t="s">
        <v>24082</v>
      </c>
      <c r="C4108" s="109" t="s">
        <v>24082</v>
      </c>
      <c r="D4108" s="109" t="s">
        <v>24771</v>
      </c>
      <c r="E4108" s="109" t="s">
        <v>24771</v>
      </c>
      <c r="F4108" s="109" t="s">
        <v>24772</v>
      </c>
      <c r="G4108" s="110" t="s">
        <v>6248</v>
      </c>
      <c r="H4108" s="110" t="s">
        <v>24773</v>
      </c>
      <c r="I4108" s="110" t="s">
        <v>24774</v>
      </c>
    </row>
    <row r="4109" spans="1:9" ht="50.4" x14ac:dyDescent="0.3">
      <c r="A4109" s="109" t="s">
        <v>24775</v>
      </c>
      <c r="B4109" s="109" t="s">
        <v>24082</v>
      </c>
      <c r="C4109" s="109" t="s">
        <v>24082</v>
      </c>
      <c r="D4109" s="109" t="s">
        <v>24776</v>
      </c>
      <c r="E4109" s="109" t="s">
        <v>24776</v>
      </c>
      <c r="F4109" s="109" t="s">
        <v>24777</v>
      </c>
      <c r="G4109" s="110" t="s">
        <v>6248</v>
      </c>
      <c r="H4109" s="110" t="s">
        <v>24778</v>
      </c>
      <c r="I4109" s="110" t="s">
        <v>24779</v>
      </c>
    </row>
    <row r="4110" spans="1:9" ht="37.799999999999997" x14ac:dyDescent="0.3">
      <c r="A4110" s="109" t="s">
        <v>24780</v>
      </c>
      <c r="B4110" s="109" t="s">
        <v>24082</v>
      </c>
      <c r="C4110" s="109" t="s">
        <v>24082</v>
      </c>
      <c r="D4110" s="109" t="s">
        <v>24781</v>
      </c>
      <c r="E4110" s="109" t="s">
        <v>16746</v>
      </c>
      <c r="F4110" s="109" t="s">
        <v>24782</v>
      </c>
      <c r="G4110" s="110" t="s">
        <v>6248</v>
      </c>
      <c r="H4110" s="110" t="s">
        <v>24783</v>
      </c>
      <c r="I4110" s="110" t="s">
        <v>24784</v>
      </c>
    </row>
    <row r="4111" spans="1:9" ht="50.4" x14ac:dyDescent="0.3">
      <c r="A4111" s="109" t="s">
        <v>24785</v>
      </c>
      <c r="B4111" s="109" t="s">
        <v>24082</v>
      </c>
      <c r="C4111" s="109" t="s">
        <v>24082</v>
      </c>
      <c r="D4111" s="109" t="s">
        <v>24786</v>
      </c>
      <c r="E4111" s="109" t="s">
        <v>24786</v>
      </c>
      <c r="F4111" s="109" t="s">
        <v>24787</v>
      </c>
      <c r="G4111" s="110" t="s">
        <v>6248</v>
      </c>
      <c r="H4111" s="110" t="s">
        <v>24788</v>
      </c>
      <c r="I4111" s="110" t="s">
        <v>24789</v>
      </c>
    </row>
    <row r="4112" spans="1:9" ht="50.4" x14ac:dyDescent="0.3">
      <c r="A4112" s="109" t="s">
        <v>24790</v>
      </c>
      <c r="B4112" s="109" t="s">
        <v>24082</v>
      </c>
      <c r="C4112" s="109" t="s">
        <v>24082</v>
      </c>
      <c r="D4112" s="109" t="s">
        <v>24791</v>
      </c>
      <c r="E4112" s="109" t="s">
        <v>24791</v>
      </c>
      <c r="F4112" s="109" t="s">
        <v>24792</v>
      </c>
      <c r="G4112" s="110" t="s">
        <v>6248</v>
      </c>
      <c r="H4112" s="110" t="s">
        <v>19552</v>
      </c>
      <c r="I4112" s="110" t="s">
        <v>24793</v>
      </c>
    </row>
    <row r="4113" spans="1:9" ht="37.799999999999997" x14ac:dyDescent="0.3">
      <c r="A4113" s="109" t="s">
        <v>24794</v>
      </c>
      <c r="B4113" s="109" t="s">
        <v>24082</v>
      </c>
      <c r="C4113" s="109" t="s">
        <v>24082</v>
      </c>
      <c r="D4113" s="109" t="s">
        <v>24795</v>
      </c>
      <c r="E4113" s="109" t="s">
        <v>24795</v>
      </c>
      <c r="F4113" s="109" t="s">
        <v>24796</v>
      </c>
      <c r="G4113" s="110" t="s">
        <v>6248</v>
      </c>
      <c r="H4113" s="110" t="s">
        <v>24797</v>
      </c>
      <c r="I4113" s="110" t="s">
        <v>24798</v>
      </c>
    </row>
    <row r="4114" spans="1:9" ht="50.4" x14ac:dyDescent="0.3">
      <c r="A4114" s="109" t="s">
        <v>24799</v>
      </c>
      <c r="B4114" s="109" t="s">
        <v>24082</v>
      </c>
      <c r="C4114" s="109" t="s">
        <v>24082</v>
      </c>
      <c r="D4114" s="109" t="s">
        <v>23566</v>
      </c>
      <c r="E4114" s="109" t="s">
        <v>23566</v>
      </c>
      <c r="F4114" s="109" t="s">
        <v>24800</v>
      </c>
      <c r="G4114" s="110" t="s">
        <v>6248</v>
      </c>
      <c r="H4114" s="110" t="s">
        <v>24801</v>
      </c>
      <c r="I4114" s="110" t="s">
        <v>24802</v>
      </c>
    </row>
    <row r="4115" spans="1:9" ht="37.799999999999997" x14ac:dyDescent="0.3">
      <c r="A4115" s="109" t="s">
        <v>24803</v>
      </c>
      <c r="B4115" s="109" t="s">
        <v>24082</v>
      </c>
      <c r="C4115" s="109" t="s">
        <v>24082</v>
      </c>
      <c r="D4115" s="109" t="s">
        <v>12579</v>
      </c>
      <c r="E4115" s="109" t="s">
        <v>9908</v>
      </c>
      <c r="F4115" s="109" t="s">
        <v>24804</v>
      </c>
      <c r="G4115" s="110" t="s">
        <v>6248</v>
      </c>
      <c r="H4115" s="110" t="s">
        <v>24805</v>
      </c>
      <c r="I4115" s="110" t="s">
        <v>24806</v>
      </c>
    </row>
    <row r="4116" spans="1:9" ht="50.4" x14ac:dyDescent="0.3">
      <c r="A4116" s="109" t="s">
        <v>24807</v>
      </c>
      <c r="B4116" s="109" t="s">
        <v>24082</v>
      </c>
      <c r="C4116" s="109" t="s">
        <v>24082</v>
      </c>
      <c r="D4116" s="109" t="s">
        <v>24808</v>
      </c>
      <c r="E4116" s="109" t="s">
        <v>24808</v>
      </c>
      <c r="F4116" s="109" t="s">
        <v>24809</v>
      </c>
      <c r="G4116" s="110" t="s">
        <v>6248</v>
      </c>
      <c r="H4116" s="110" t="s">
        <v>23961</v>
      </c>
      <c r="I4116" s="110" t="s">
        <v>24810</v>
      </c>
    </row>
    <row r="4117" spans="1:9" ht="37.799999999999997" x14ac:dyDescent="0.3">
      <c r="A4117" s="109" t="s">
        <v>24811</v>
      </c>
      <c r="B4117" s="109" t="s">
        <v>24082</v>
      </c>
      <c r="C4117" s="109" t="s">
        <v>24082</v>
      </c>
      <c r="D4117" s="109" t="s">
        <v>24812</v>
      </c>
      <c r="E4117" s="109" t="s">
        <v>24812</v>
      </c>
      <c r="F4117" s="109" t="s">
        <v>24813</v>
      </c>
      <c r="G4117" s="110" t="s">
        <v>6248</v>
      </c>
      <c r="H4117" s="110" t="s">
        <v>24814</v>
      </c>
      <c r="I4117" s="110" t="s">
        <v>24815</v>
      </c>
    </row>
    <row r="4118" spans="1:9" ht="37.799999999999997" x14ac:dyDescent="0.3">
      <c r="A4118" s="109" t="s">
        <v>24816</v>
      </c>
      <c r="B4118" s="109" t="s">
        <v>24082</v>
      </c>
      <c r="C4118" s="109" t="s">
        <v>24082</v>
      </c>
      <c r="D4118" s="109" t="s">
        <v>24817</v>
      </c>
      <c r="E4118" s="109" t="s">
        <v>5558</v>
      </c>
      <c r="F4118" s="109" t="s">
        <v>24818</v>
      </c>
      <c r="G4118" s="110" t="s">
        <v>6248</v>
      </c>
      <c r="H4118" s="110" t="s">
        <v>6310</v>
      </c>
      <c r="I4118" s="110" t="s">
        <v>24819</v>
      </c>
    </row>
    <row r="4119" spans="1:9" ht="50.4" x14ac:dyDescent="0.3">
      <c r="A4119" s="109" t="s">
        <v>24820</v>
      </c>
      <c r="B4119" s="109" t="s">
        <v>24082</v>
      </c>
      <c r="C4119" s="109" t="s">
        <v>24082</v>
      </c>
      <c r="D4119" s="109" t="s">
        <v>24821</v>
      </c>
      <c r="E4119" s="109" t="s">
        <v>24821</v>
      </c>
      <c r="F4119" s="109" t="s">
        <v>24822</v>
      </c>
      <c r="G4119" s="110" t="s">
        <v>6248</v>
      </c>
      <c r="H4119" s="110" t="s">
        <v>24823</v>
      </c>
      <c r="I4119" s="110" t="s">
        <v>24824</v>
      </c>
    </row>
    <row r="4120" spans="1:9" ht="50.4" x14ac:dyDescent="0.3">
      <c r="A4120" s="109" t="s">
        <v>24825</v>
      </c>
      <c r="B4120" s="109" t="s">
        <v>24082</v>
      </c>
      <c r="C4120" s="109" t="s">
        <v>24082</v>
      </c>
      <c r="D4120" s="109" t="s">
        <v>24826</v>
      </c>
      <c r="E4120" s="109" t="s">
        <v>24826</v>
      </c>
      <c r="F4120" s="109" t="s">
        <v>24827</v>
      </c>
      <c r="G4120" s="110" t="s">
        <v>6248</v>
      </c>
      <c r="H4120" s="110" t="s">
        <v>9407</v>
      </c>
      <c r="I4120" s="110" t="s">
        <v>24828</v>
      </c>
    </row>
    <row r="4121" spans="1:9" ht="37.799999999999997" x14ac:dyDescent="0.3">
      <c r="A4121" s="109" t="s">
        <v>24829</v>
      </c>
      <c r="B4121" s="109" t="s">
        <v>24082</v>
      </c>
      <c r="C4121" s="109" t="s">
        <v>24082</v>
      </c>
      <c r="D4121" s="109" t="s">
        <v>13622</v>
      </c>
      <c r="E4121" s="109" t="s">
        <v>9983</v>
      </c>
      <c r="F4121" s="109" t="s">
        <v>24830</v>
      </c>
      <c r="G4121" s="110" t="s">
        <v>6248</v>
      </c>
      <c r="H4121" s="110" t="s">
        <v>24831</v>
      </c>
      <c r="I4121" s="110" t="s">
        <v>24832</v>
      </c>
    </row>
    <row r="4122" spans="1:9" ht="25.2" x14ac:dyDescent="0.3">
      <c r="A4122" s="109" t="s">
        <v>24833</v>
      </c>
      <c r="B4122" s="109" t="s">
        <v>24082</v>
      </c>
      <c r="C4122" s="109" t="s">
        <v>24082</v>
      </c>
      <c r="D4122" s="109" t="s">
        <v>9689</v>
      </c>
      <c r="E4122" s="109" t="s">
        <v>16628</v>
      </c>
      <c r="F4122" s="109" t="s">
        <v>24834</v>
      </c>
      <c r="G4122" s="110" t="s">
        <v>6248</v>
      </c>
      <c r="H4122" s="110" t="s">
        <v>16630</v>
      </c>
      <c r="I4122" s="110" t="s">
        <v>24835</v>
      </c>
    </row>
    <row r="4123" spans="1:9" ht="50.4" x14ac:dyDescent="0.3">
      <c r="A4123" s="109" t="s">
        <v>24836</v>
      </c>
      <c r="B4123" s="109" t="s">
        <v>24082</v>
      </c>
      <c r="C4123" s="109" t="s">
        <v>24082</v>
      </c>
      <c r="D4123" s="109" t="s">
        <v>24837</v>
      </c>
      <c r="E4123" s="109" t="s">
        <v>24837</v>
      </c>
      <c r="F4123" s="109" t="s">
        <v>24838</v>
      </c>
      <c r="G4123" s="110" t="s">
        <v>6248</v>
      </c>
      <c r="H4123" s="110" t="s">
        <v>24839</v>
      </c>
      <c r="I4123" s="110" t="s">
        <v>24840</v>
      </c>
    </row>
    <row r="4124" spans="1:9" ht="50.4" x14ac:dyDescent="0.3">
      <c r="A4124" s="109" t="s">
        <v>24841</v>
      </c>
      <c r="B4124" s="109" t="s">
        <v>24082</v>
      </c>
      <c r="C4124" s="109" t="s">
        <v>24082</v>
      </c>
      <c r="D4124" s="109" t="s">
        <v>5891</v>
      </c>
      <c r="E4124" s="109" t="s">
        <v>5891</v>
      </c>
      <c r="F4124" s="109" t="s">
        <v>24842</v>
      </c>
      <c r="G4124" s="110" t="s">
        <v>6248</v>
      </c>
      <c r="H4124" s="110" t="s">
        <v>24843</v>
      </c>
      <c r="I4124" s="110" t="s">
        <v>24844</v>
      </c>
    </row>
    <row r="4125" spans="1:9" ht="50.4" x14ac:dyDescent="0.3">
      <c r="A4125" s="109" t="s">
        <v>24845</v>
      </c>
      <c r="B4125" s="109" t="s">
        <v>24082</v>
      </c>
      <c r="C4125" s="109" t="s">
        <v>24082</v>
      </c>
      <c r="D4125" s="109" t="s">
        <v>24846</v>
      </c>
      <c r="E4125" s="109" t="s">
        <v>24846</v>
      </c>
      <c r="F4125" s="109" t="s">
        <v>24847</v>
      </c>
      <c r="G4125" s="110" t="s">
        <v>6248</v>
      </c>
      <c r="H4125" s="110" t="s">
        <v>24848</v>
      </c>
      <c r="I4125" s="110" t="s">
        <v>24849</v>
      </c>
    </row>
    <row r="4126" spans="1:9" ht="50.4" x14ac:dyDescent="0.3">
      <c r="A4126" s="109" t="s">
        <v>24850</v>
      </c>
      <c r="B4126" s="109" t="s">
        <v>24082</v>
      </c>
      <c r="C4126" s="109" t="s">
        <v>24082</v>
      </c>
      <c r="D4126" s="109" t="s">
        <v>24851</v>
      </c>
      <c r="E4126" s="109" t="s">
        <v>24851</v>
      </c>
      <c r="F4126" s="109" t="s">
        <v>24852</v>
      </c>
      <c r="G4126" s="110" t="s">
        <v>6248</v>
      </c>
      <c r="H4126" s="110" t="s">
        <v>23994</v>
      </c>
      <c r="I4126" s="110" t="s">
        <v>24853</v>
      </c>
    </row>
    <row r="4127" spans="1:9" ht="25.2" x14ac:dyDescent="0.3">
      <c r="A4127" s="109" t="s">
        <v>24854</v>
      </c>
      <c r="B4127" s="109" t="s">
        <v>24082</v>
      </c>
      <c r="C4127" s="109" t="s">
        <v>24082</v>
      </c>
      <c r="D4127" s="109" t="s">
        <v>24855</v>
      </c>
      <c r="E4127" s="109" t="s">
        <v>24856</v>
      </c>
      <c r="F4127" s="109" t="s">
        <v>24857</v>
      </c>
      <c r="G4127" s="110" t="s">
        <v>6248</v>
      </c>
      <c r="H4127" s="110" t="s">
        <v>24858</v>
      </c>
      <c r="I4127" s="110" t="s">
        <v>24859</v>
      </c>
    </row>
    <row r="4128" spans="1:9" ht="50.4" x14ac:dyDescent="0.3">
      <c r="A4128" s="109" t="s">
        <v>24860</v>
      </c>
      <c r="B4128" s="109" t="s">
        <v>24082</v>
      </c>
      <c r="C4128" s="109" t="s">
        <v>24082</v>
      </c>
      <c r="D4128" s="109" t="s">
        <v>23566</v>
      </c>
      <c r="E4128" s="109" t="s">
        <v>23566</v>
      </c>
      <c r="F4128" s="109" t="s">
        <v>24861</v>
      </c>
      <c r="G4128" s="110" t="s">
        <v>6248</v>
      </c>
      <c r="H4128" s="110" t="s">
        <v>24862</v>
      </c>
      <c r="I4128" s="110" t="s">
        <v>24863</v>
      </c>
    </row>
    <row r="4129" spans="1:9" ht="63" x14ac:dyDescent="0.3">
      <c r="A4129" s="109" t="s">
        <v>24864</v>
      </c>
      <c r="B4129" s="109" t="s">
        <v>24082</v>
      </c>
      <c r="C4129" s="109" t="s">
        <v>24082</v>
      </c>
      <c r="D4129" s="109" t="s">
        <v>24865</v>
      </c>
      <c r="E4129" s="109" t="s">
        <v>24865</v>
      </c>
      <c r="F4129" s="109" t="s">
        <v>24866</v>
      </c>
      <c r="G4129" s="110" t="s">
        <v>6248</v>
      </c>
      <c r="H4129" s="110" t="s">
        <v>24867</v>
      </c>
      <c r="I4129" s="110" t="s">
        <v>24868</v>
      </c>
    </row>
    <row r="4130" spans="1:9" ht="50.4" x14ac:dyDescent="0.3">
      <c r="A4130" s="109" t="s">
        <v>24869</v>
      </c>
      <c r="B4130" s="109" t="s">
        <v>24082</v>
      </c>
      <c r="C4130" s="109" t="s">
        <v>24082</v>
      </c>
      <c r="D4130" s="109" t="s">
        <v>24870</v>
      </c>
      <c r="E4130" s="109" t="s">
        <v>24870</v>
      </c>
      <c r="F4130" s="109" t="s">
        <v>24871</v>
      </c>
      <c r="G4130" s="110" t="s">
        <v>6248</v>
      </c>
      <c r="H4130" s="110" t="s">
        <v>23968</v>
      </c>
      <c r="I4130" s="110" t="s">
        <v>24872</v>
      </c>
    </row>
    <row r="4131" spans="1:9" ht="37.799999999999997" x14ac:dyDescent="0.3">
      <c r="A4131" s="109" t="s">
        <v>24873</v>
      </c>
      <c r="B4131" s="109" t="s">
        <v>24082</v>
      </c>
      <c r="C4131" s="109" t="s">
        <v>24082</v>
      </c>
      <c r="D4131" s="109" t="s">
        <v>13686</v>
      </c>
      <c r="E4131" s="109" t="s">
        <v>11190</v>
      </c>
      <c r="F4131" s="109" t="s">
        <v>24874</v>
      </c>
      <c r="G4131" s="110" t="s">
        <v>6248</v>
      </c>
      <c r="H4131" s="110" t="s">
        <v>24875</v>
      </c>
      <c r="I4131" s="110" t="s">
        <v>24876</v>
      </c>
    </row>
    <row r="4132" spans="1:9" ht="37.799999999999997" x14ac:dyDescent="0.3">
      <c r="A4132" s="109" t="s">
        <v>24877</v>
      </c>
      <c r="B4132" s="109" t="s">
        <v>24082</v>
      </c>
      <c r="C4132" s="109" t="s">
        <v>24082</v>
      </c>
      <c r="D4132" s="109" t="s">
        <v>24878</v>
      </c>
      <c r="E4132" s="109" t="s">
        <v>11179</v>
      </c>
      <c r="F4132" s="109" t="s">
        <v>24879</v>
      </c>
      <c r="G4132" s="110" t="s">
        <v>6248</v>
      </c>
      <c r="H4132" s="110" t="s">
        <v>24880</v>
      </c>
      <c r="I4132" s="110" t="s">
        <v>24881</v>
      </c>
    </row>
    <row r="4133" spans="1:9" ht="25.2" x14ac:dyDescent="0.3">
      <c r="A4133" s="109" t="s">
        <v>24882</v>
      </c>
      <c r="B4133" s="109" t="s">
        <v>24082</v>
      </c>
      <c r="C4133" s="109" t="s">
        <v>24082</v>
      </c>
      <c r="D4133" s="109" t="s">
        <v>24883</v>
      </c>
      <c r="E4133" s="109" t="s">
        <v>17741</v>
      </c>
      <c r="F4133" s="109" t="s">
        <v>24884</v>
      </c>
      <c r="G4133" s="110" t="s">
        <v>6248</v>
      </c>
      <c r="H4133" s="110" t="s">
        <v>24885</v>
      </c>
      <c r="I4133" s="110" t="s">
        <v>24886</v>
      </c>
    </row>
    <row r="4134" spans="1:9" ht="50.4" x14ac:dyDescent="0.3">
      <c r="A4134" s="109" t="s">
        <v>24887</v>
      </c>
      <c r="B4134" s="109" t="s">
        <v>24082</v>
      </c>
      <c r="C4134" s="109" t="s">
        <v>24082</v>
      </c>
      <c r="D4134" s="109" t="s">
        <v>15372</v>
      </c>
      <c r="E4134" s="109" t="s">
        <v>15372</v>
      </c>
      <c r="F4134" s="109" t="s">
        <v>24888</v>
      </c>
      <c r="G4134" s="110" t="s">
        <v>6248</v>
      </c>
      <c r="H4134" s="110" t="s">
        <v>24889</v>
      </c>
      <c r="I4134" s="110" t="s">
        <v>24890</v>
      </c>
    </row>
    <row r="4135" spans="1:9" ht="37.799999999999997" x14ac:dyDescent="0.3">
      <c r="A4135" s="109" t="s">
        <v>24891</v>
      </c>
      <c r="B4135" s="109" t="s">
        <v>24082</v>
      </c>
      <c r="C4135" s="109" t="s">
        <v>24082</v>
      </c>
      <c r="D4135" s="109" t="s">
        <v>24892</v>
      </c>
      <c r="E4135" s="109" t="s">
        <v>24892</v>
      </c>
      <c r="F4135" s="109" t="s">
        <v>24893</v>
      </c>
      <c r="G4135" s="110" t="s">
        <v>6248</v>
      </c>
      <c r="H4135" s="110" t="s">
        <v>24894</v>
      </c>
      <c r="I4135" s="110" t="s">
        <v>24895</v>
      </c>
    </row>
    <row r="4136" spans="1:9" ht="50.4" x14ac:dyDescent="0.3">
      <c r="A4136" s="109" t="s">
        <v>24896</v>
      </c>
      <c r="B4136" s="109" t="s">
        <v>24082</v>
      </c>
      <c r="C4136" s="109" t="s">
        <v>24082</v>
      </c>
      <c r="D4136" s="109" t="s">
        <v>24897</v>
      </c>
      <c r="E4136" s="109" t="s">
        <v>24897</v>
      </c>
      <c r="F4136" s="109" t="s">
        <v>24898</v>
      </c>
      <c r="G4136" s="110" t="s">
        <v>6248</v>
      </c>
      <c r="H4136" s="110" t="s">
        <v>24899</v>
      </c>
      <c r="I4136" s="110" t="s">
        <v>24900</v>
      </c>
    </row>
    <row r="4137" spans="1:9" ht="25.2" x14ac:dyDescent="0.3">
      <c r="A4137" s="109" t="s">
        <v>24901</v>
      </c>
      <c r="B4137" s="109" t="s">
        <v>24082</v>
      </c>
      <c r="C4137" s="109" t="s">
        <v>24082</v>
      </c>
      <c r="D4137" s="109" t="s">
        <v>24902</v>
      </c>
      <c r="E4137" s="109" t="s">
        <v>5558</v>
      </c>
      <c r="F4137" s="109" t="s">
        <v>24903</v>
      </c>
      <c r="G4137" s="110" t="s">
        <v>6248</v>
      </c>
      <c r="H4137" s="110" t="s">
        <v>24904</v>
      </c>
      <c r="I4137" s="110" t="s">
        <v>24905</v>
      </c>
    </row>
    <row r="4138" spans="1:9" ht="37.799999999999997" x14ac:dyDescent="0.3">
      <c r="A4138" s="109" t="s">
        <v>24906</v>
      </c>
      <c r="B4138" s="109" t="s">
        <v>24082</v>
      </c>
      <c r="C4138" s="109" t="s">
        <v>24082</v>
      </c>
      <c r="D4138" s="109" t="s">
        <v>24907</v>
      </c>
      <c r="E4138" s="109" t="s">
        <v>5558</v>
      </c>
      <c r="F4138" s="109" t="s">
        <v>24908</v>
      </c>
      <c r="G4138" s="110" t="s">
        <v>6248</v>
      </c>
      <c r="H4138" s="110" t="s">
        <v>24909</v>
      </c>
      <c r="I4138" s="110" t="s">
        <v>24910</v>
      </c>
    </row>
    <row r="4139" spans="1:9" ht="37.799999999999997" x14ac:dyDescent="0.3">
      <c r="A4139" s="109" t="s">
        <v>24911</v>
      </c>
      <c r="B4139" s="109" t="s">
        <v>24082</v>
      </c>
      <c r="C4139" s="109" t="s">
        <v>24082</v>
      </c>
      <c r="D4139" s="109" t="s">
        <v>24912</v>
      </c>
      <c r="E4139" s="109" t="s">
        <v>5558</v>
      </c>
      <c r="F4139" s="109" t="s">
        <v>24913</v>
      </c>
      <c r="G4139" s="110" t="s">
        <v>6248</v>
      </c>
      <c r="H4139" s="110" t="s">
        <v>24914</v>
      </c>
      <c r="I4139" s="110" t="s">
        <v>24915</v>
      </c>
    </row>
    <row r="4140" spans="1:9" ht="25.2" x14ac:dyDescent="0.3">
      <c r="A4140" s="109" t="s">
        <v>24916</v>
      </c>
      <c r="B4140" s="109" t="s">
        <v>24082</v>
      </c>
      <c r="C4140" s="109" t="s">
        <v>24082</v>
      </c>
      <c r="D4140" s="109" t="s">
        <v>3517</v>
      </c>
      <c r="E4140" s="109" t="s">
        <v>24917</v>
      </c>
      <c r="F4140" s="109" t="s">
        <v>24918</v>
      </c>
      <c r="G4140" s="110" t="s">
        <v>6248</v>
      </c>
      <c r="H4140" s="110" t="s">
        <v>24919</v>
      </c>
      <c r="I4140" s="110" t="s">
        <v>24920</v>
      </c>
    </row>
    <row r="4141" spans="1:9" ht="25.2" x14ac:dyDescent="0.3">
      <c r="A4141" s="109" t="s">
        <v>24921</v>
      </c>
      <c r="B4141" s="109" t="s">
        <v>24082</v>
      </c>
      <c r="C4141" s="109" t="s">
        <v>24082</v>
      </c>
      <c r="D4141" s="109" t="s">
        <v>24922</v>
      </c>
      <c r="E4141" s="109" t="s">
        <v>5558</v>
      </c>
      <c r="F4141" s="109" t="s">
        <v>24923</v>
      </c>
      <c r="G4141" s="110" t="s">
        <v>6248</v>
      </c>
      <c r="H4141" s="110" t="s">
        <v>24924</v>
      </c>
      <c r="I4141" s="110" t="s">
        <v>24925</v>
      </c>
    </row>
    <row r="4142" spans="1:9" ht="25.2" x14ac:dyDescent="0.3">
      <c r="A4142" s="109" t="s">
        <v>24926</v>
      </c>
      <c r="B4142" s="109" t="s">
        <v>24082</v>
      </c>
      <c r="C4142" s="109" t="s">
        <v>24082</v>
      </c>
      <c r="D4142" s="109" t="s">
        <v>24927</v>
      </c>
      <c r="E4142" s="109" t="s">
        <v>5558</v>
      </c>
      <c r="F4142" s="109" t="s">
        <v>24928</v>
      </c>
      <c r="G4142" s="110" t="s">
        <v>6248</v>
      </c>
      <c r="H4142" s="110" t="s">
        <v>6320</v>
      </c>
      <c r="I4142" s="110" t="s">
        <v>24929</v>
      </c>
    </row>
    <row r="4143" spans="1:9" ht="25.2" x14ac:dyDescent="0.3">
      <c r="A4143" s="109" t="s">
        <v>24930</v>
      </c>
      <c r="B4143" s="109" t="s">
        <v>24082</v>
      </c>
      <c r="C4143" s="109" t="s">
        <v>24082</v>
      </c>
      <c r="D4143" s="109" t="s">
        <v>24931</v>
      </c>
      <c r="E4143" s="109" t="s">
        <v>5558</v>
      </c>
      <c r="F4143" s="109" t="s">
        <v>24932</v>
      </c>
      <c r="G4143" s="110" t="s">
        <v>6248</v>
      </c>
      <c r="H4143" s="110" t="s">
        <v>24933</v>
      </c>
      <c r="I4143" s="110" t="s">
        <v>24934</v>
      </c>
    </row>
    <row r="4144" spans="1:9" ht="25.2" x14ac:dyDescent="0.3">
      <c r="A4144" s="109" t="s">
        <v>24935</v>
      </c>
      <c r="B4144" s="109" t="s">
        <v>24082</v>
      </c>
      <c r="C4144" s="109" t="s">
        <v>24082</v>
      </c>
      <c r="D4144" s="109" t="s">
        <v>24936</v>
      </c>
      <c r="E4144" s="109" t="s">
        <v>5558</v>
      </c>
      <c r="F4144" s="109" t="s">
        <v>24937</v>
      </c>
      <c r="G4144" s="110" t="s">
        <v>6248</v>
      </c>
      <c r="H4144" s="110" t="s">
        <v>24938</v>
      </c>
      <c r="I4144" s="110" t="s">
        <v>24939</v>
      </c>
    </row>
    <row r="4145" spans="1:9" ht="37.799999999999997" x14ac:dyDescent="0.3">
      <c r="A4145" s="109" t="s">
        <v>24940</v>
      </c>
      <c r="B4145" s="109" t="s">
        <v>24082</v>
      </c>
      <c r="C4145" s="109" t="s">
        <v>24082</v>
      </c>
      <c r="D4145" s="109" t="s">
        <v>24941</v>
      </c>
      <c r="E4145" s="109" t="s">
        <v>5558</v>
      </c>
      <c r="F4145" s="109" t="s">
        <v>24942</v>
      </c>
      <c r="G4145" s="110" t="s">
        <v>6248</v>
      </c>
      <c r="H4145" s="110" t="s">
        <v>24943</v>
      </c>
      <c r="I4145" s="110" t="s">
        <v>24944</v>
      </c>
    </row>
    <row r="4146" spans="1:9" ht="37.799999999999997" x14ac:dyDescent="0.3">
      <c r="A4146" s="109" t="s">
        <v>24945</v>
      </c>
      <c r="B4146" s="109" t="s">
        <v>24082</v>
      </c>
      <c r="C4146" s="109" t="s">
        <v>24082</v>
      </c>
      <c r="D4146" s="109" t="s">
        <v>24946</v>
      </c>
      <c r="E4146" s="109" t="s">
        <v>5558</v>
      </c>
      <c r="F4146" s="109" t="s">
        <v>24947</v>
      </c>
      <c r="G4146" s="110" t="s">
        <v>6248</v>
      </c>
      <c r="H4146" s="110" t="s">
        <v>24943</v>
      </c>
      <c r="I4146" s="110" t="s">
        <v>24948</v>
      </c>
    </row>
    <row r="4147" spans="1:9" ht="37.799999999999997" x14ac:dyDescent="0.3">
      <c r="A4147" s="109" t="s">
        <v>24949</v>
      </c>
      <c r="B4147" s="109" t="s">
        <v>24082</v>
      </c>
      <c r="C4147" s="109" t="s">
        <v>24082</v>
      </c>
      <c r="D4147" s="109" t="s">
        <v>24950</v>
      </c>
      <c r="E4147" s="109" t="s">
        <v>5558</v>
      </c>
      <c r="F4147" s="109" t="s">
        <v>24951</v>
      </c>
      <c r="G4147" s="110" t="s">
        <v>6248</v>
      </c>
      <c r="H4147" s="110" t="s">
        <v>24952</v>
      </c>
      <c r="I4147" s="110" t="s">
        <v>24953</v>
      </c>
    </row>
    <row r="4148" spans="1:9" ht="25.2" x14ac:dyDescent="0.3">
      <c r="A4148" s="109" t="s">
        <v>24954</v>
      </c>
      <c r="B4148" s="109" t="s">
        <v>24082</v>
      </c>
      <c r="C4148" s="109" t="s">
        <v>24082</v>
      </c>
      <c r="D4148" s="109" t="s">
        <v>24955</v>
      </c>
      <c r="E4148" s="109" t="s">
        <v>5558</v>
      </c>
      <c r="F4148" s="109" t="s">
        <v>24956</v>
      </c>
      <c r="G4148" s="110" t="s">
        <v>6248</v>
      </c>
      <c r="H4148" s="110" t="s">
        <v>24957</v>
      </c>
      <c r="I4148" s="110" t="s">
        <v>24958</v>
      </c>
    </row>
    <row r="4149" spans="1:9" ht="25.2" x14ac:dyDescent="0.3">
      <c r="A4149" s="109" t="s">
        <v>24959</v>
      </c>
      <c r="B4149" s="109" t="s">
        <v>24082</v>
      </c>
      <c r="C4149" s="109" t="s">
        <v>24082</v>
      </c>
      <c r="D4149" s="109" t="s">
        <v>24960</v>
      </c>
      <c r="E4149" s="109" t="s">
        <v>5558</v>
      </c>
      <c r="F4149" s="109" t="s">
        <v>24961</v>
      </c>
      <c r="G4149" s="110" t="s">
        <v>6248</v>
      </c>
      <c r="H4149" s="110" t="s">
        <v>24962</v>
      </c>
      <c r="I4149" s="110" t="s">
        <v>24963</v>
      </c>
    </row>
    <row r="4150" spans="1:9" ht="25.2" x14ac:dyDescent="0.3">
      <c r="A4150" s="109" t="s">
        <v>24964</v>
      </c>
      <c r="B4150" s="109" t="s">
        <v>24082</v>
      </c>
      <c r="C4150" s="109" t="s">
        <v>24082</v>
      </c>
      <c r="D4150" s="109" t="s">
        <v>3598</v>
      </c>
      <c r="E4150" s="109" t="s">
        <v>5558</v>
      </c>
      <c r="F4150" s="109" t="s">
        <v>24965</v>
      </c>
      <c r="G4150" s="110" t="s">
        <v>6248</v>
      </c>
      <c r="H4150" s="110" t="s">
        <v>24966</v>
      </c>
      <c r="I4150" s="110" t="s">
        <v>24967</v>
      </c>
    </row>
    <row r="4151" spans="1:9" ht="25.2" x14ac:dyDescent="0.3">
      <c r="A4151" s="109" t="s">
        <v>24968</v>
      </c>
      <c r="B4151" s="109" t="s">
        <v>24082</v>
      </c>
      <c r="C4151" s="109" t="s">
        <v>24082</v>
      </c>
      <c r="D4151" s="109" t="s">
        <v>24969</v>
      </c>
      <c r="E4151" s="109" t="s">
        <v>5558</v>
      </c>
      <c r="F4151" s="109" t="s">
        <v>24970</v>
      </c>
      <c r="G4151" s="110" t="s">
        <v>6248</v>
      </c>
      <c r="H4151" s="110" t="s">
        <v>24971</v>
      </c>
      <c r="I4151" s="110" t="s">
        <v>24972</v>
      </c>
    </row>
    <row r="4152" spans="1:9" ht="25.2" x14ac:dyDescent="0.3">
      <c r="A4152" s="109" t="s">
        <v>24973</v>
      </c>
      <c r="B4152" s="109" t="s">
        <v>24974</v>
      </c>
      <c r="C4152" s="109" t="s">
        <v>24082</v>
      </c>
      <c r="D4152" s="109" t="s">
        <v>24975</v>
      </c>
      <c r="E4152" s="109" t="s">
        <v>5558</v>
      </c>
      <c r="F4152" s="109" t="s">
        <v>24976</v>
      </c>
      <c r="G4152" s="110" t="s">
        <v>6248</v>
      </c>
      <c r="H4152" s="110" t="s">
        <v>24977</v>
      </c>
      <c r="I4152" s="110" t="s">
        <v>24978</v>
      </c>
    </row>
    <row r="4153" spans="1:9" ht="25.2" x14ac:dyDescent="0.3">
      <c r="A4153" s="109" t="s">
        <v>24979</v>
      </c>
      <c r="B4153" s="109" t="s">
        <v>24974</v>
      </c>
      <c r="C4153" s="109" t="s">
        <v>24974</v>
      </c>
      <c r="D4153" s="109" t="s">
        <v>5569</v>
      </c>
      <c r="E4153" s="109" t="s">
        <v>5558</v>
      </c>
      <c r="F4153" s="109" t="s">
        <v>5726</v>
      </c>
      <c r="G4153" s="110" t="s">
        <v>6248</v>
      </c>
      <c r="H4153" s="110" t="s">
        <v>24980</v>
      </c>
      <c r="I4153" s="110" t="s">
        <v>24981</v>
      </c>
    </row>
    <row r="4154" spans="1:9" ht="25.2" x14ac:dyDescent="0.3">
      <c r="A4154" s="109" t="s">
        <v>24982</v>
      </c>
      <c r="B4154" s="109" t="s">
        <v>24974</v>
      </c>
      <c r="C4154" s="109" t="s">
        <v>24974</v>
      </c>
      <c r="D4154" s="109" t="s">
        <v>5569</v>
      </c>
      <c r="E4154" s="109" t="s">
        <v>5558</v>
      </c>
      <c r="F4154" s="109" t="s">
        <v>2258</v>
      </c>
      <c r="G4154" s="110" t="s">
        <v>6248</v>
      </c>
      <c r="H4154" s="110" t="s">
        <v>24983</v>
      </c>
      <c r="I4154" s="110" t="s">
        <v>24984</v>
      </c>
    </row>
    <row r="4155" spans="1:9" ht="25.2" x14ac:dyDescent="0.3">
      <c r="A4155" s="109" t="s">
        <v>24985</v>
      </c>
      <c r="B4155" s="109" t="s">
        <v>24974</v>
      </c>
      <c r="C4155" s="109" t="s">
        <v>24974</v>
      </c>
      <c r="D4155" s="109" t="s">
        <v>5569</v>
      </c>
      <c r="E4155" s="109" t="s">
        <v>5558</v>
      </c>
      <c r="F4155" s="109" t="s">
        <v>2258</v>
      </c>
      <c r="G4155" s="110" t="s">
        <v>6248</v>
      </c>
      <c r="H4155" s="110" t="s">
        <v>24983</v>
      </c>
      <c r="I4155" s="110" t="s">
        <v>24986</v>
      </c>
    </row>
    <row r="4156" spans="1:9" ht="37.799999999999997" x14ac:dyDescent="0.3">
      <c r="A4156" s="109" t="s">
        <v>24987</v>
      </c>
      <c r="B4156" s="109" t="s">
        <v>24974</v>
      </c>
      <c r="C4156" s="109" t="s">
        <v>24974</v>
      </c>
      <c r="D4156" s="109" t="s">
        <v>24988</v>
      </c>
      <c r="E4156" s="109" t="s">
        <v>5558</v>
      </c>
      <c r="F4156" s="109" t="s">
        <v>24989</v>
      </c>
      <c r="G4156" s="110" t="s">
        <v>6248</v>
      </c>
      <c r="H4156" s="110" t="s">
        <v>24990</v>
      </c>
      <c r="I4156" s="110" t="s">
        <v>24991</v>
      </c>
    </row>
    <row r="4157" spans="1:9" ht="37.799999999999997" x14ac:dyDescent="0.3">
      <c r="A4157" s="109" t="s">
        <v>24992</v>
      </c>
      <c r="B4157" s="109" t="s">
        <v>24974</v>
      </c>
      <c r="C4157" s="109" t="s">
        <v>24974</v>
      </c>
      <c r="D4157" s="109" t="s">
        <v>24993</v>
      </c>
      <c r="E4157" s="109" t="s">
        <v>5558</v>
      </c>
      <c r="F4157" s="109" t="s">
        <v>24994</v>
      </c>
      <c r="G4157" s="110" t="s">
        <v>6248</v>
      </c>
      <c r="H4157" s="110" t="s">
        <v>24995</v>
      </c>
      <c r="I4157" s="110" t="s">
        <v>24996</v>
      </c>
    </row>
    <row r="4158" spans="1:9" ht="37.799999999999997" x14ac:dyDescent="0.3">
      <c r="A4158" s="109" t="s">
        <v>24997</v>
      </c>
      <c r="B4158" s="109" t="s">
        <v>24974</v>
      </c>
      <c r="C4158" s="109" t="s">
        <v>24974</v>
      </c>
      <c r="D4158" s="109" t="s">
        <v>24998</v>
      </c>
      <c r="E4158" s="109" t="s">
        <v>5558</v>
      </c>
      <c r="F4158" s="109" t="s">
        <v>24999</v>
      </c>
      <c r="G4158" s="110" t="s">
        <v>6248</v>
      </c>
      <c r="H4158" s="110" t="s">
        <v>6883</v>
      </c>
      <c r="I4158" s="110" t="s">
        <v>25000</v>
      </c>
    </row>
    <row r="4159" spans="1:9" ht="37.799999999999997" x14ac:dyDescent="0.3">
      <c r="A4159" s="109" t="s">
        <v>25001</v>
      </c>
      <c r="B4159" s="109" t="s">
        <v>24974</v>
      </c>
      <c r="C4159" s="109" t="s">
        <v>24974</v>
      </c>
      <c r="D4159" s="109" t="s">
        <v>25002</v>
      </c>
      <c r="E4159" s="109" t="s">
        <v>5558</v>
      </c>
      <c r="F4159" s="109" t="s">
        <v>25003</v>
      </c>
      <c r="G4159" s="110" t="s">
        <v>6248</v>
      </c>
      <c r="H4159" s="110" t="s">
        <v>25004</v>
      </c>
      <c r="I4159" s="110" t="s">
        <v>25005</v>
      </c>
    </row>
    <row r="4160" spans="1:9" ht="25.2" x14ac:dyDescent="0.3">
      <c r="A4160" s="109" t="s">
        <v>25006</v>
      </c>
      <c r="B4160" s="109" t="s">
        <v>24974</v>
      </c>
      <c r="C4160" s="109" t="s">
        <v>24974</v>
      </c>
      <c r="D4160" s="109" t="s">
        <v>25007</v>
      </c>
      <c r="E4160" s="109" t="s">
        <v>5558</v>
      </c>
      <c r="F4160" s="109" t="s">
        <v>25008</v>
      </c>
      <c r="G4160" s="110" t="s">
        <v>6248</v>
      </c>
      <c r="H4160" s="110" t="s">
        <v>25009</v>
      </c>
      <c r="I4160" s="110" t="s">
        <v>25010</v>
      </c>
    </row>
    <row r="4161" spans="1:9" ht="25.2" x14ac:dyDescent="0.3">
      <c r="A4161" s="109" t="s">
        <v>25011</v>
      </c>
      <c r="B4161" s="109" t="s">
        <v>24974</v>
      </c>
      <c r="C4161" s="109" t="s">
        <v>24974</v>
      </c>
      <c r="D4161" s="109" t="s">
        <v>25012</v>
      </c>
      <c r="E4161" s="109" t="s">
        <v>25013</v>
      </c>
      <c r="F4161" s="109" t="s">
        <v>6368</v>
      </c>
      <c r="G4161" s="110" t="s">
        <v>20489</v>
      </c>
      <c r="H4161" s="110" t="s">
        <v>6248</v>
      </c>
      <c r="I4161" s="110" t="s">
        <v>25014</v>
      </c>
    </row>
    <row r="4162" spans="1:9" ht="25.2" x14ac:dyDescent="0.3">
      <c r="A4162" s="109" t="s">
        <v>25015</v>
      </c>
      <c r="B4162" s="109" t="s">
        <v>24974</v>
      </c>
      <c r="C4162" s="109" t="s">
        <v>24974</v>
      </c>
      <c r="D4162" s="109" t="s">
        <v>5152</v>
      </c>
      <c r="E4162" s="109" t="s">
        <v>25016</v>
      </c>
      <c r="F4162" s="109" t="s">
        <v>25017</v>
      </c>
      <c r="G4162" s="110" t="s">
        <v>25018</v>
      </c>
      <c r="H4162" s="110" t="s">
        <v>6248</v>
      </c>
      <c r="I4162" s="110" t="s">
        <v>25019</v>
      </c>
    </row>
    <row r="4163" spans="1:9" ht="25.2" x14ac:dyDescent="0.3">
      <c r="A4163" s="109" t="s">
        <v>25020</v>
      </c>
      <c r="B4163" s="109" t="s">
        <v>24974</v>
      </c>
      <c r="C4163" s="109" t="s">
        <v>24974</v>
      </c>
      <c r="D4163" s="109" t="s">
        <v>25021</v>
      </c>
      <c r="E4163" s="109" t="s">
        <v>5558</v>
      </c>
      <c r="F4163" s="109" t="s">
        <v>25022</v>
      </c>
      <c r="G4163" s="110" t="s">
        <v>6248</v>
      </c>
      <c r="H4163" s="110" t="s">
        <v>25023</v>
      </c>
      <c r="I4163" s="110" t="s">
        <v>25024</v>
      </c>
    </row>
    <row r="4164" spans="1:9" ht="25.2" x14ac:dyDescent="0.3">
      <c r="A4164" s="109" t="s">
        <v>25025</v>
      </c>
      <c r="B4164" s="109" t="s">
        <v>24974</v>
      </c>
      <c r="C4164" s="109" t="s">
        <v>24974</v>
      </c>
      <c r="D4164" s="109" t="s">
        <v>25026</v>
      </c>
      <c r="E4164" s="109" t="s">
        <v>5558</v>
      </c>
      <c r="F4164" s="109" t="s">
        <v>25027</v>
      </c>
      <c r="G4164" s="110" t="s">
        <v>6248</v>
      </c>
      <c r="H4164" s="110" t="s">
        <v>9158</v>
      </c>
      <c r="I4164" s="110" t="s">
        <v>25028</v>
      </c>
    </row>
    <row r="4165" spans="1:9" ht="25.2" x14ac:dyDescent="0.3">
      <c r="A4165" s="109" t="s">
        <v>25029</v>
      </c>
      <c r="B4165" s="109" t="s">
        <v>24974</v>
      </c>
      <c r="C4165" s="109" t="s">
        <v>24974</v>
      </c>
      <c r="D4165" s="109" t="s">
        <v>25030</v>
      </c>
      <c r="E4165" s="109" t="s">
        <v>5558</v>
      </c>
      <c r="F4165" s="109" t="s">
        <v>25031</v>
      </c>
      <c r="G4165" s="110" t="s">
        <v>6248</v>
      </c>
      <c r="H4165" s="110" t="s">
        <v>6403</v>
      </c>
      <c r="I4165" s="110" t="s">
        <v>25032</v>
      </c>
    </row>
    <row r="4166" spans="1:9" ht="25.2" x14ac:dyDescent="0.3">
      <c r="A4166" s="109" t="s">
        <v>25033</v>
      </c>
      <c r="B4166" s="109" t="s">
        <v>24974</v>
      </c>
      <c r="C4166" s="109" t="s">
        <v>24974</v>
      </c>
      <c r="D4166" s="109" t="s">
        <v>25034</v>
      </c>
      <c r="E4166" s="109" t="s">
        <v>5558</v>
      </c>
      <c r="F4166" s="109" t="s">
        <v>25035</v>
      </c>
      <c r="G4166" s="110" t="s">
        <v>6248</v>
      </c>
      <c r="H4166" s="110" t="s">
        <v>8905</v>
      </c>
      <c r="I4166" s="110" t="s">
        <v>25036</v>
      </c>
    </row>
    <row r="4167" spans="1:9" ht="37.799999999999997" x14ac:dyDescent="0.3">
      <c r="A4167" s="109" t="s">
        <v>25037</v>
      </c>
      <c r="B4167" s="109" t="s">
        <v>24974</v>
      </c>
      <c r="C4167" s="109" t="s">
        <v>24974</v>
      </c>
      <c r="D4167" s="109" t="s">
        <v>25038</v>
      </c>
      <c r="E4167" s="109" t="s">
        <v>5558</v>
      </c>
      <c r="F4167" s="109" t="s">
        <v>25039</v>
      </c>
      <c r="G4167" s="110" t="s">
        <v>6248</v>
      </c>
      <c r="H4167" s="110" t="s">
        <v>8905</v>
      </c>
      <c r="I4167" s="110" t="s">
        <v>25040</v>
      </c>
    </row>
    <row r="4168" spans="1:9" ht="25.2" x14ac:dyDescent="0.3">
      <c r="A4168" s="109" t="s">
        <v>25041</v>
      </c>
      <c r="B4168" s="109" t="s">
        <v>24974</v>
      </c>
      <c r="C4168" s="109" t="s">
        <v>24974</v>
      </c>
      <c r="D4168" s="109" t="s">
        <v>25042</v>
      </c>
      <c r="E4168" s="109" t="s">
        <v>5558</v>
      </c>
      <c r="F4168" s="109" t="s">
        <v>25043</v>
      </c>
      <c r="G4168" s="110" t="s">
        <v>6248</v>
      </c>
      <c r="H4168" s="110" t="s">
        <v>7817</v>
      </c>
      <c r="I4168" s="110" t="s">
        <v>25044</v>
      </c>
    </row>
    <row r="4169" spans="1:9" ht="25.2" x14ac:dyDescent="0.3">
      <c r="A4169" s="109" t="s">
        <v>25045</v>
      </c>
      <c r="B4169" s="109" t="s">
        <v>24974</v>
      </c>
      <c r="C4169" s="109" t="s">
        <v>24974</v>
      </c>
      <c r="D4169" s="109" t="s">
        <v>25046</v>
      </c>
      <c r="E4169" s="109" t="s">
        <v>5558</v>
      </c>
      <c r="F4169" s="109" t="s">
        <v>25047</v>
      </c>
      <c r="G4169" s="110" t="s">
        <v>6248</v>
      </c>
      <c r="H4169" s="110" t="s">
        <v>11476</v>
      </c>
      <c r="I4169" s="110" t="s">
        <v>25048</v>
      </c>
    </row>
    <row r="4170" spans="1:9" ht="25.2" x14ac:dyDescent="0.3">
      <c r="A4170" s="109" t="s">
        <v>25049</v>
      </c>
      <c r="B4170" s="109" t="s">
        <v>24974</v>
      </c>
      <c r="C4170" s="109" t="s">
        <v>24974</v>
      </c>
      <c r="D4170" s="109" t="s">
        <v>25050</v>
      </c>
      <c r="E4170" s="109" t="s">
        <v>5558</v>
      </c>
      <c r="F4170" s="109" t="s">
        <v>25051</v>
      </c>
      <c r="G4170" s="110" t="s">
        <v>6248</v>
      </c>
      <c r="H4170" s="110" t="s">
        <v>6570</v>
      </c>
      <c r="I4170" s="110" t="s">
        <v>25052</v>
      </c>
    </row>
    <row r="4171" spans="1:9" ht="37.799999999999997" x14ac:dyDescent="0.3">
      <c r="A4171" s="109" t="s">
        <v>25053</v>
      </c>
      <c r="B4171" s="109" t="s">
        <v>24974</v>
      </c>
      <c r="C4171" s="109" t="s">
        <v>24974</v>
      </c>
      <c r="D4171" s="109" t="s">
        <v>25054</v>
      </c>
      <c r="E4171" s="109" t="s">
        <v>5558</v>
      </c>
      <c r="F4171" s="109" t="s">
        <v>25055</v>
      </c>
      <c r="G4171" s="110" t="s">
        <v>6248</v>
      </c>
      <c r="H4171" s="110" t="s">
        <v>7817</v>
      </c>
      <c r="I4171" s="110" t="s">
        <v>25056</v>
      </c>
    </row>
    <row r="4172" spans="1:9" ht="25.2" x14ac:dyDescent="0.3">
      <c r="A4172" s="109" t="s">
        <v>25057</v>
      </c>
      <c r="B4172" s="109" t="s">
        <v>24974</v>
      </c>
      <c r="C4172" s="109" t="s">
        <v>24974</v>
      </c>
      <c r="D4172" s="109" t="s">
        <v>25058</v>
      </c>
      <c r="E4172" s="109" t="s">
        <v>5558</v>
      </c>
      <c r="F4172" s="109" t="s">
        <v>25059</v>
      </c>
      <c r="G4172" s="110" t="s">
        <v>6248</v>
      </c>
      <c r="H4172" s="110" t="s">
        <v>7830</v>
      </c>
      <c r="I4172" s="110" t="s">
        <v>25060</v>
      </c>
    </row>
    <row r="4173" spans="1:9" ht="37.799999999999997" x14ac:dyDescent="0.3">
      <c r="A4173" s="109" t="s">
        <v>25061</v>
      </c>
      <c r="B4173" s="109" t="s">
        <v>24974</v>
      </c>
      <c r="C4173" s="109" t="s">
        <v>24974</v>
      </c>
      <c r="D4173" s="109" t="s">
        <v>25062</v>
      </c>
      <c r="E4173" s="109" t="s">
        <v>5558</v>
      </c>
      <c r="F4173" s="109" t="s">
        <v>25063</v>
      </c>
      <c r="G4173" s="110" t="s">
        <v>6248</v>
      </c>
      <c r="H4173" s="110" t="s">
        <v>6474</v>
      </c>
      <c r="I4173" s="110" t="s">
        <v>25064</v>
      </c>
    </row>
    <row r="4174" spans="1:9" ht="37.799999999999997" x14ac:dyDescent="0.3">
      <c r="A4174" s="109" t="s">
        <v>25065</v>
      </c>
      <c r="B4174" s="109" t="s">
        <v>24974</v>
      </c>
      <c r="C4174" s="109" t="s">
        <v>24974</v>
      </c>
      <c r="D4174" s="109" t="s">
        <v>25066</v>
      </c>
      <c r="E4174" s="109" t="s">
        <v>5558</v>
      </c>
      <c r="F4174" s="109" t="s">
        <v>25067</v>
      </c>
      <c r="G4174" s="110" t="s">
        <v>6248</v>
      </c>
      <c r="H4174" s="110" t="s">
        <v>18113</v>
      </c>
      <c r="I4174" s="110" t="s">
        <v>25068</v>
      </c>
    </row>
    <row r="4175" spans="1:9" ht="25.2" x14ac:dyDescent="0.3">
      <c r="A4175" s="109" t="s">
        <v>25069</v>
      </c>
      <c r="B4175" s="109" t="s">
        <v>24974</v>
      </c>
      <c r="C4175" s="109" t="s">
        <v>24974</v>
      </c>
      <c r="D4175" s="109" t="s">
        <v>25070</v>
      </c>
      <c r="E4175" s="109" t="s">
        <v>5558</v>
      </c>
      <c r="F4175" s="109" t="s">
        <v>25071</v>
      </c>
      <c r="G4175" s="110" t="s">
        <v>6248</v>
      </c>
      <c r="H4175" s="110" t="s">
        <v>6575</v>
      </c>
      <c r="I4175" s="110" t="s">
        <v>25072</v>
      </c>
    </row>
    <row r="4176" spans="1:9" ht="25.2" x14ac:dyDescent="0.3">
      <c r="A4176" s="109" t="s">
        <v>25073</v>
      </c>
      <c r="B4176" s="109" t="s">
        <v>24974</v>
      </c>
      <c r="C4176" s="109" t="s">
        <v>24974</v>
      </c>
      <c r="D4176" s="109" t="s">
        <v>25074</v>
      </c>
      <c r="E4176" s="109" t="s">
        <v>5558</v>
      </c>
      <c r="F4176" s="109" t="s">
        <v>25075</v>
      </c>
      <c r="G4176" s="110" t="s">
        <v>6248</v>
      </c>
      <c r="H4176" s="110" t="s">
        <v>25076</v>
      </c>
      <c r="I4176" s="110" t="s">
        <v>25077</v>
      </c>
    </row>
    <row r="4177" spans="1:9" ht="25.2" x14ac:dyDescent="0.3">
      <c r="A4177" s="109" t="s">
        <v>25078</v>
      </c>
      <c r="B4177" s="109" t="s">
        <v>24974</v>
      </c>
      <c r="C4177" s="109" t="s">
        <v>24974</v>
      </c>
      <c r="D4177" s="109" t="s">
        <v>25079</v>
      </c>
      <c r="E4177" s="109" t="s">
        <v>5558</v>
      </c>
      <c r="F4177" s="109" t="s">
        <v>25080</v>
      </c>
      <c r="G4177" s="110" t="s">
        <v>6248</v>
      </c>
      <c r="H4177" s="110" t="s">
        <v>6584</v>
      </c>
      <c r="I4177" s="110" t="s">
        <v>25081</v>
      </c>
    </row>
    <row r="4178" spans="1:9" ht="37.799999999999997" x14ac:dyDescent="0.3">
      <c r="A4178" s="109" t="s">
        <v>25082</v>
      </c>
      <c r="B4178" s="109" t="s">
        <v>24974</v>
      </c>
      <c r="C4178" s="109" t="s">
        <v>24974</v>
      </c>
      <c r="D4178" s="109" t="s">
        <v>25083</v>
      </c>
      <c r="E4178" s="109" t="s">
        <v>5558</v>
      </c>
      <c r="F4178" s="109" t="s">
        <v>25084</v>
      </c>
      <c r="G4178" s="110" t="s">
        <v>6248</v>
      </c>
      <c r="H4178" s="110" t="s">
        <v>6689</v>
      </c>
      <c r="I4178" s="110" t="s">
        <v>25085</v>
      </c>
    </row>
    <row r="4179" spans="1:9" ht="25.2" x14ac:dyDescent="0.3">
      <c r="A4179" s="109" t="s">
        <v>25086</v>
      </c>
      <c r="B4179" s="109" t="s">
        <v>24974</v>
      </c>
      <c r="C4179" s="109" t="s">
        <v>24974</v>
      </c>
      <c r="D4179" s="109" t="s">
        <v>25087</v>
      </c>
      <c r="E4179" s="109" t="s">
        <v>5558</v>
      </c>
      <c r="F4179" s="109" t="s">
        <v>25088</v>
      </c>
      <c r="G4179" s="110" t="s">
        <v>6248</v>
      </c>
      <c r="H4179" s="110" t="s">
        <v>7817</v>
      </c>
      <c r="I4179" s="110" t="s">
        <v>25089</v>
      </c>
    </row>
    <row r="4180" spans="1:9" ht="25.2" x14ac:dyDescent="0.3">
      <c r="A4180" s="109" t="s">
        <v>25090</v>
      </c>
      <c r="B4180" s="109" t="s">
        <v>24974</v>
      </c>
      <c r="C4180" s="109" t="s">
        <v>24974</v>
      </c>
      <c r="D4180" s="109" t="s">
        <v>25091</v>
      </c>
      <c r="E4180" s="109" t="s">
        <v>5558</v>
      </c>
      <c r="F4180" s="109" t="s">
        <v>25092</v>
      </c>
      <c r="G4180" s="110" t="s">
        <v>6248</v>
      </c>
      <c r="H4180" s="110" t="s">
        <v>7817</v>
      </c>
      <c r="I4180" s="110" t="s">
        <v>25093</v>
      </c>
    </row>
    <row r="4181" spans="1:9" ht="25.2" x14ac:dyDescent="0.3">
      <c r="A4181" s="109" t="s">
        <v>25094</v>
      </c>
      <c r="B4181" s="109" t="s">
        <v>24974</v>
      </c>
      <c r="C4181" s="109" t="s">
        <v>24974</v>
      </c>
      <c r="D4181" s="109" t="s">
        <v>25095</v>
      </c>
      <c r="E4181" s="109" t="s">
        <v>5558</v>
      </c>
      <c r="F4181" s="109" t="s">
        <v>25096</v>
      </c>
      <c r="G4181" s="110" t="s">
        <v>6248</v>
      </c>
      <c r="H4181" s="110" t="s">
        <v>25097</v>
      </c>
      <c r="I4181" s="110" t="s">
        <v>25098</v>
      </c>
    </row>
    <row r="4182" spans="1:9" ht="25.2" x14ac:dyDescent="0.3">
      <c r="A4182" s="109" t="s">
        <v>25099</v>
      </c>
      <c r="B4182" s="109" t="s">
        <v>24974</v>
      </c>
      <c r="C4182" s="109" t="s">
        <v>24974</v>
      </c>
      <c r="D4182" s="109" t="s">
        <v>25100</v>
      </c>
      <c r="E4182" s="109" t="s">
        <v>5558</v>
      </c>
      <c r="F4182" s="109" t="s">
        <v>25101</v>
      </c>
      <c r="G4182" s="110" t="s">
        <v>6248</v>
      </c>
      <c r="H4182" s="110" t="s">
        <v>6634</v>
      </c>
      <c r="I4182" s="110" t="s">
        <v>25102</v>
      </c>
    </row>
    <row r="4183" spans="1:9" ht="25.2" x14ac:dyDescent="0.3">
      <c r="A4183" s="109" t="s">
        <v>25103</v>
      </c>
      <c r="B4183" s="109" t="s">
        <v>24974</v>
      </c>
      <c r="C4183" s="109" t="s">
        <v>24974</v>
      </c>
      <c r="D4183" s="109" t="s">
        <v>25104</v>
      </c>
      <c r="E4183" s="109" t="s">
        <v>5558</v>
      </c>
      <c r="F4183" s="109" t="s">
        <v>25105</v>
      </c>
      <c r="G4183" s="110" t="s">
        <v>6248</v>
      </c>
      <c r="H4183" s="110" t="s">
        <v>25106</v>
      </c>
      <c r="I4183" s="110" t="s">
        <v>25107</v>
      </c>
    </row>
    <row r="4184" spans="1:9" ht="25.2" x14ac:dyDescent="0.3">
      <c r="A4184" s="109" t="s">
        <v>25108</v>
      </c>
      <c r="B4184" s="109" t="s">
        <v>24974</v>
      </c>
      <c r="C4184" s="109" t="s">
        <v>24974</v>
      </c>
      <c r="D4184" s="109" t="s">
        <v>25109</v>
      </c>
      <c r="E4184" s="109" t="s">
        <v>5558</v>
      </c>
      <c r="F4184" s="109" t="s">
        <v>25110</v>
      </c>
      <c r="G4184" s="110" t="s">
        <v>6248</v>
      </c>
      <c r="H4184" s="110" t="s">
        <v>6634</v>
      </c>
      <c r="I4184" s="110" t="s">
        <v>25111</v>
      </c>
    </row>
    <row r="4185" spans="1:9" ht="37.799999999999997" x14ac:dyDescent="0.3">
      <c r="A4185" s="109" t="s">
        <v>25112</v>
      </c>
      <c r="B4185" s="109" t="s">
        <v>24974</v>
      </c>
      <c r="C4185" s="109" t="s">
        <v>24974</v>
      </c>
      <c r="D4185" s="109" t="s">
        <v>25113</v>
      </c>
      <c r="E4185" s="109" t="s">
        <v>5558</v>
      </c>
      <c r="F4185" s="109" t="s">
        <v>25114</v>
      </c>
      <c r="G4185" s="110" t="s">
        <v>6248</v>
      </c>
      <c r="H4185" s="110" t="s">
        <v>14963</v>
      </c>
      <c r="I4185" s="110" t="s">
        <v>25115</v>
      </c>
    </row>
    <row r="4186" spans="1:9" ht="25.2" x14ac:dyDescent="0.3">
      <c r="A4186" s="109" t="s">
        <v>25116</v>
      </c>
      <c r="B4186" s="109" t="s">
        <v>24974</v>
      </c>
      <c r="C4186" s="109" t="s">
        <v>24974</v>
      </c>
      <c r="D4186" s="109" t="s">
        <v>25117</v>
      </c>
      <c r="E4186" s="109" t="s">
        <v>5558</v>
      </c>
      <c r="F4186" s="109" t="s">
        <v>25118</v>
      </c>
      <c r="G4186" s="110" t="s">
        <v>6248</v>
      </c>
      <c r="H4186" s="110" t="s">
        <v>7128</v>
      </c>
      <c r="I4186" s="110" t="s">
        <v>25119</v>
      </c>
    </row>
    <row r="4187" spans="1:9" ht="25.2" x14ac:dyDescent="0.3">
      <c r="A4187" s="109" t="s">
        <v>25120</v>
      </c>
      <c r="B4187" s="109" t="s">
        <v>24974</v>
      </c>
      <c r="C4187" s="109" t="s">
        <v>24974</v>
      </c>
      <c r="D4187" s="109" t="s">
        <v>25121</v>
      </c>
      <c r="E4187" s="109" t="s">
        <v>5558</v>
      </c>
      <c r="F4187" s="109" t="s">
        <v>25122</v>
      </c>
      <c r="G4187" s="110" t="s">
        <v>6248</v>
      </c>
      <c r="H4187" s="110" t="s">
        <v>6384</v>
      </c>
      <c r="I4187" s="110" t="s">
        <v>25123</v>
      </c>
    </row>
    <row r="4188" spans="1:9" ht="37.799999999999997" x14ac:dyDescent="0.3">
      <c r="A4188" s="109" t="s">
        <v>25124</v>
      </c>
      <c r="B4188" s="109" t="s">
        <v>24974</v>
      </c>
      <c r="C4188" s="109" t="s">
        <v>24974</v>
      </c>
      <c r="D4188" s="109" t="s">
        <v>25125</v>
      </c>
      <c r="E4188" s="109" t="s">
        <v>5558</v>
      </c>
      <c r="F4188" s="109" t="s">
        <v>25126</v>
      </c>
      <c r="G4188" s="110" t="s">
        <v>6248</v>
      </c>
      <c r="H4188" s="110" t="s">
        <v>25127</v>
      </c>
      <c r="I4188" s="110" t="s">
        <v>25128</v>
      </c>
    </row>
    <row r="4189" spans="1:9" ht="25.2" x14ac:dyDescent="0.3">
      <c r="A4189" s="109" t="s">
        <v>25129</v>
      </c>
      <c r="B4189" s="109" t="s">
        <v>24974</v>
      </c>
      <c r="C4189" s="109" t="s">
        <v>24974</v>
      </c>
      <c r="D4189" s="109" t="s">
        <v>25130</v>
      </c>
      <c r="E4189" s="109" t="s">
        <v>5558</v>
      </c>
      <c r="F4189" s="109" t="s">
        <v>25131</v>
      </c>
      <c r="G4189" s="110" t="s">
        <v>6248</v>
      </c>
      <c r="H4189" s="110" t="s">
        <v>9329</v>
      </c>
      <c r="I4189" s="110" t="s">
        <v>25132</v>
      </c>
    </row>
    <row r="4190" spans="1:9" ht="25.2" x14ac:dyDescent="0.3">
      <c r="A4190" s="109" t="s">
        <v>25133</v>
      </c>
      <c r="B4190" s="109" t="s">
        <v>24974</v>
      </c>
      <c r="C4190" s="109" t="s">
        <v>24974</v>
      </c>
      <c r="D4190" s="109" t="s">
        <v>25134</v>
      </c>
      <c r="E4190" s="109" t="s">
        <v>5558</v>
      </c>
      <c r="F4190" s="109" t="s">
        <v>25135</v>
      </c>
      <c r="G4190" s="110" t="s">
        <v>6248</v>
      </c>
      <c r="H4190" s="110" t="s">
        <v>6489</v>
      </c>
      <c r="I4190" s="110" t="s">
        <v>25136</v>
      </c>
    </row>
    <row r="4191" spans="1:9" ht="25.2" x14ac:dyDescent="0.3">
      <c r="A4191" s="109" t="s">
        <v>25137</v>
      </c>
      <c r="B4191" s="109" t="s">
        <v>24974</v>
      </c>
      <c r="C4191" s="109" t="s">
        <v>24974</v>
      </c>
      <c r="D4191" s="109" t="s">
        <v>25138</v>
      </c>
      <c r="E4191" s="109" t="s">
        <v>5558</v>
      </c>
      <c r="F4191" s="109" t="s">
        <v>25139</v>
      </c>
      <c r="G4191" s="110" t="s">
        <v>6248</v>
      </c>
      <c r="H4191" s="110" t="s">
        <v>6689</v>
      </c>
      <c r="I4191" s="110" t="s">
        <v>25140</v>
      </c>
    </row>
    <row r="4192" spans="1:9" ht="25.2" x14ac:dyDescent="0.3">
      <c r="A4192" s="109" t="s">
        <v>25141</v>
      </c>
      <c r="B4192" s="109" t="s">
        <v>24974</v>
      </c>
      <c r="C4192" s="109" t="s">
        <v>24974</v>
      </c>
      <c r="D4192" s="109" t="s">
        <v>25142</v>
      </c>
      <c r="E4192" s="109" t="s">
        <v>5558</v>
      </c>
      <c r="F4192" s="109" t="s">
        <v>25143</v>
      </c>
      <c r="G4192" s="110" t="s">
        <v>6248</v>
      </c>
      <c r="H4192" s="110" t="s">
        <v>6398</v>
      </c>
      <c r="I4192" s="110" t="s">
        <v>25144</v>
      </c>
    </row>
    <row r="4193" spans="1:9" ht="37.799999999999997" x14ac:dyDescent="0.3">
      <c r="A4193" s="109" t="s">
        <v>25145</v>
      </c>
      <c r="B4193" s="109" t="s">
        <v>24974</v>
      </c>
      <c r="C4193" s="109" t="s">
        <v>24974</v>
      </c>
      <c r="D4193" s="109" t="s">
        <v>25146</v>
      </c>
      <c r="E4193" s="109" t="s">
        <v>5558</v>
      </c>
      <c r="F4193" s="109" t="s">
        <v>25147</v>
      </c>
      <c r="G4193" s="110" t="s">
        <v>6248</v>
      </c>
      <c r="H4193" s="110" t="s">
        <v>13982</v>
      </c>
      <c r="I4193" s="110" t="s">
        <v>25148</v>
      </c>
    </row>
    <row r="4194" spans="1:9" ht="25.2" x14ac:dyDescent="0.3">
      <c r="A4194" s="109" t="s">
        <v>25149</v>
      </c>
      <c r="B4194" s="109" t="s">
        <v>24974</v>
      </c>
      <c r="C4194" s="109" t="s">
        <v>24974</v>
      </c>
      <c r="D4194" s="109" t="s">
        <v>25150</v>
      </c>
      <c r="E4194" s="109" t="s">
        <v>5558</v>
      </c>
      <c r="F4194" s="109" t="s">
        <v>25151</v>
      </c>
      <c r="G4194" s="110" t="s">
        <v>6248</v>
      </c>
      <c r="H4194" s="110" t="s">
        <v>7817</v>
      </c>
      <c r="I4194" s="110" t="s">
        <v>25152</v>
      </c>
    </row>
    <row r="4195" spans="1:9" ht="37.799999999999997" x14ac:dyDescent="0.3">
      <c r="A4195" s="109" t="s">
        <v>25153</v>
      </c>
      <c r="B4195" s="109" t="s">
        <v>24974</v>
      </c>
      <c r="C4195" s="109" t="s">
        <v>24974</v>
      </c>
      <c r="D4195" s="109" t="s">
        <v>25154</v>
      </c>
      <c r="E4195" s="109" t="s">
        <v>5558</v>
      </c>
      <c r="F4195" s="109" t="s">
        <v>25155</v>
      </c>
      <c r="G4195" s="110" t="s">
        <v>6248</v>
      </c>
      <c r="H4195" s="110" t="s">
        <v>7817</v>
      </c>
      <c r="I4195" s="110" t="s">
        <v>25156</v>
      </c>
    </row>
    <row r="4196" spans="1:9" ht="37.799999999999997" x14ac:dyDescent="0.3">
      <c r="A4196" s="109" t="s">
        <v>25157</v>
      </c>
      <c r="B4196" s="109" t="s">
        <v>24974</v>
      </c>
      <c r="C4196" s="109" t="s">
        <v>24974</v>
      </c>
      <c r="D4196" s="109" t="s">
        <v>25158</v>
      </c>
      <c r="E4196" s="109" t="s">
        <v>5558</v>
      </c>
      <c r="F4196" s="109" t="s">
        <v>25159</v>
      </c>
      <c r="G4196" s="110" t="s">
        <v>6248</v>
      </c>
      <c r="H4196" s="110" t="s">
        <v>6398</v>
      </c>
      <c r="I4196" s="110" t="s">
        <v>25160</v>
      </c>
    </row>
    <row r="4197" spans="1:9" ht="25.2" x14ac:dyDescent="0.3">
      <c r="A4197" s="109" t="s">
        <v>25161</v>
      </c>
      <c r="B4197" s="109" t="s">
        <v>24974</v>
      </c>
      <c r="C4197" s="109" t="s">
        <v>24974</v>
      </c>
      <c r="D4197" s="109" t="s">
        <v>25162</v>
      </c>
      <c r="E4197" s="109" t="s">
        <v>5558</v>
      </c>
      <c r="F4197" s="109" t="s">
        <v>25163</v>
      </c>
      <c r="G4197" s="110" t="s">
        <v>6248</v>
      </c>
      <c r="H4197" s="110" t="s">
        <v>25164</v>
      </c>
      <c r="I4197" s="110" t="s">
        <v>25165</v>
      </c>
    </row>
    <row r="4198" spans="1:9" ht="25.2" x14ac:dyDescent="0.3">
      <c r="A4198" s="109" t="s">
        <v>25166</v>
      </c>
      <c r="B4198" s="109" t="s">
        <v>24974</v>
      </c>
      <c r="C4198" s="109" t="s">
        <v>24974</v>
      </c>
      <c r="D4198" s="109" t="s">
        <v>25167</v>
      </c>
      <c r="E4198" s="109" t="s">
        <v>5558</v>
      </c>
      <c r="F4198" s="109" t="s">
        <v>25168</v>
      </c>
      <c r="G4198" s="110" t="s">
        <v>6248</v>
      </c>
      <c r="H4198" s="110" t="s">
        <v>25169</v>
      </c>
      <c r="I4198" s="110" t="s">
        <v>25170</v>
      </c>
    </row>
    <row r="4199" spans="1:9" ht="37.799999999999997" x14ac:dyDescent="0.3">
      <c r="A4199" s="109" t="s">
        <v>25171</v>
      </c>
      <c r="B4199" s="109" t="s">
        <v>24974</v>
      </c>
      <c r="C4199" s="109" t="s">
        <v>24974</v>
      </c>
      <c r="D4199" s="109" t="s">
        <v>25172</v>
      </c>
      <c r="E4199" s="109" t="s">
        <v>5558</v>
      </c>
      <c r="F4199" s="109" t="s">
        <v>25173</v>
      </c>
      <c r="G4199" s="110" t="s">
        <v>6248</v>
      </c>
      <c r="H4199" s="110" t="s">
        <v>10198</v>
      </c>
      <c r="I4199" s="110" t="s">
        <v>25174</v>
      </c>
    </row>
    <row r="4200" spans="1:9" ht="25.2" x14ac:dyDescent="0.3">
      <c r="A4200" s="109" t="s">
        <v>25175</v>
      </c>
      <c r="B4200" s="109" t="s">
        <v>24974</v>
      </c>
      <c r="C4200" s="109" t="s">
        <v>24974</v>
      </c>
      <c r="D4200" s="109" t="s">
        <v>25176</v>
      </c>
      <c r="E4200" s="109" t="s">
        <v>5558</v>
      </c>
      <c r="F4200" s="109" t="s">
        <v>25177</v>
      </c>
      <c r="G4200" s="110" t="s">
        <v>6248</v>
      </c>
      <c r="H4200" s="110" t="s">
        <v>25178</v>
      </c>
      <c r="I4200" s="110" t="s">
        <v>25179</v>
      </c>
    </row>
    <row r="4201" spans="1:9" ht="25.2" x14ac:dyDescent="0.3">
      <c r="A4201" s="109" t="s">
        <v>25180</v>
      </c>
      <c r="B4201" s="109" t="s">
        <v>24974</v>
      </c>
      <c r="C4201" s="109" t="s">
        <v>24974</v>
      </c>
      <c r="D4201" s="109" t="s">
        <v>25181</v>
      </c>
      <c r="E4201" s="109" t="s">
        <v>25182</v>
      </c>
      <c r="F4201" s="109" t="s">
        <v>6175</v>
      </c>
      <c r="G4201" s="110" t="s">
        <v>6248</v>
      </c>
      <c r="H4201" s="110" t="s">
        <v>25183</v>
      </c>
      <c r="I4201" s="110" t="s">
        <v>25184</v>
      </c>
    </row>
    <row r="4202" spans="1:9" ht="25.2" x14ac:dyDescent="0.3">
      <c r="A4202" s="109" t="s">
        <v>25185</v>
      </c>
      <c r="B4202" s="109" t="s">
        <v>24974</v>
      </c>
      <c r="C4202" s="109" t="s">
        <v>24974</v>
      </c>
      <c r="D4202" s="109" t="s">
        <v>25186</v>
      </c>
      <c r="E4202" s="109" t="s">
        <v>25187</v>
      </c>
      <c r="F4202" s="109" t="s">
        <v>25188</v>
      </c>
      <c r="G4202" s="110" t="s">
        <v>25189</v>
      </c>
      <c r="H4202" s="110" t="s">
        <v>6248</v>
      </c>
      <c r="I4202" s="110" t="s">
        <v>25190</v>
      </c>
    </row>
    <row r="4203" spans="1:9" ht="25.2" x14ac:dyDescent="0.3">
      <c r="A4203" s="109" t="s">
        <v>25191</v>
      </c>
      <c r="B4203" s="109" t="s">
        <v>24974</v>
      </c>
      <c r="C4203" s="109" t="s">
        <v>24974</v>
      </c>
      <c r="D4203" s="109" t="s">
        <v>25192</v>
      </c>
      <c r="E4203" s="109" t="s">
        <v>25187</v>
      </c>
      <c r="F4203" s="109" t="s">
        <v>25193</v>
      </c>
      <c r="G4203" s="110" t="s">
        <v>7254</v>
      </c>
      <c r="H4203" s="110" t="s">
        <v>6248</v>
      </c>
      <c r="I4203" s="110" t="s">
        <v>25194</v>
      </c>
    </row>
    <row r="4204" spans="1:9" ht="25.2" x14ac:dyDescent="0.3">
      <c r="A4204" s="109" t="s">
        <v>25195</v>
      </c>
      <c r="B4204" s="109" t="s">
        <v>24974</v>
      </c>
      <c r="C4204" s="109" t="s">
        <v>24974</v>
      </c>
      <c r="D4204" s="109" t="s">
        <v>25196</v>
      </c>
      <c r="E4204" s="109" t="s">
        <v>25187</v>
      </c>
      <c r="F4204" s="109" t="s">
        <v>25197</v>
      </c>
      <c r="G4204" s="110" t="s">
        <v>11819</v>
      </c>
      <c r="H4204" s="110" t="s">
        <v>6248</v>
      </c>
      <c r="I4204" s="110" t="s">
        <v>25198</v>
      </c>
    </row>
    <row r="4205" spans="1:9" ht="37.799999999999997" x14ac:dyDescent="0.3">
      <c r="A4205" s="109" t="s">
        <v>25199</v>
      </c>
      <c r="B4205" s="109" t="s">
        <v>24974</v>
      </c>
      <c r="C4205" s="109" t="s">
        <v>24974</v>
      </c>
      <c r="D4205" s="109" t="s">
        <v>25200</v>
      </c>
      <c r="E4205" s="109" t="s">
        <v>5558</v>
      </c>
      <c r="F4205" s="109" t="s">
        <v>25201</v>
      </c>
      <c r="G4205" s="110" t="s">
        <v>6248</v>
      </c>
      <c r="H4205" s="110" t="s">
        <v>25202</v>
      </c>
      <c r="I4205" s="110" t="s">
        <v>25203</v>
      </c>
    </row>
    <row r="4206" spans="1:9" ht="25.2" x14ac:dyDescent="0.3">
      <c r="A4206" s="109" t="s">
        <v>25204</v>
      </c>
      <c r="B4206" s="109" t="s">
        <v>24974</v>
      </c>
      <c r="C4206" s="109" t="s">
        <v>24974</v>
      </c>
      <c r="D4206" s="109" t="s">
        <v>25205</v>
      </c>
      <c r="E4206" s="109" t="s">
        <v>25206</v>
      </c>
      <c r="F4206" s="109" t="s">
        <v>6878</v>
      </c>
      <c r="G4206" s="110" t="s">
        <v>25207</v>
      </c>
      <c r="H4206" s="110" t="s">
        <v>6248</v>
      </c>
      <c r="I4206" s="110" t="s">
        <v>25208</v>
      </c>
    </row>
    <row r="4207" spans="1:9" ht="25.2" x14ac:dyDescent="0.3">
      <c r="A4207" s="109" t="s">
        <v>25209</v>
      </c>
      <c r="B4207" s="109" t="s">
        <v>24974</v>
      </c>
      <c r="C4207" s="109" t="s">
        <v>24974</v>
      </c>
      <c r="D4207" s="109" t="s">
        <v>25210</v>
      </c>
      <c r="E4207" s="109" t="s">
        <v>25211</v>
      </c>
      <c r="F4207" s="109" t="s">
        <v>7039</v>
      </c>
      <c r="G4207" s="110" t="s">
        <v>6248</v>
      </c>
      <c r="H4207" s="110" t="s">
        <v>25212</v>
      </c>
      <c r="I4207" s="110" t="s">
        <v>25213</v>
      </c>
    </row>
    <row r="4208" spans="1:9" ht="25.2" x14ac:dyDescent="0.3">
      <c r="A4208" s="109" t="s">
        <v>25214</v>
      </c>
      <c r="B4208" s="109" t="s">
        <v>24974</v>
      </c>
      <c r="C4208" s="109" t="s">
        <v>24974</v>
      </c>
      <c r="D4208" s="109" t="s">
        <v>25215</v>
      </c>
      <c r="E4208" s="109" t="s">
        <v>25206</v>
      </c>
      <c r="F4208" s="109" t="s">
        <v>6878</v>
      </c>
      <c r="G4208" s="110" t="s">
        <v>10844</v>
      </c>
      <c r="H4208" s="110" t="s">
        <v>6248</v>
      </c>
      <c r="I4208" s="110" t="s">
        <v>25216</v>
      </c>
    </row>
    <row r="4209" spans="1:9" ht="25.2" x14ac:dyDescent="0.3">
      <c r="A4209" s="109" t="s">
        <v>25217</v>
      </c>
      <c r="B4209" s="109" t="s">
        <v>24974</v>
      </c>
      <c r="C4209" s="109" t="s">
        <v>24974</v>
      </c>
      <c r="D4209" s="109" t="s">
        <v>25218</v>
      </c>
      <c r="E4209" s="109" t="s">
        <v>5558</v>
      </c>
      <c r="F4209" s="109" t="s">
        <v>25219</v>
      </c>
      <c r="G4209" s="110" t="s">
        <v>6248</v>
      </c>
      <c r="H4209" s="110" t="s">
        <v>25220</v>
      </c>
      <c r="I4209" s="110" t="s">
        <v>25221</v>
      </c>
    </row>
    <row r="4210" spans="1:9" ht="25.2" x14ac:dyDescent="0.3">
      <c r="A4210" s="109" t="s">
        <v>25222</v>
      </c>
      <c r="B4210" s="109" t="s">
        <v>24974</v>
      </c>
      <c r="C4210" s="109" t="s">
        <v>24974</v>
      </c>
      <c r="D4210" s="109" t="s">
        <v>5569</v>
      </c>
      <c r="E4210" s="109" t="s">
        <v>5558</v>
      </c>
      <c r="F4210" s="109" t="s">
        <v>2258</v>
      </c>
      <c r="G4210" s="110" t="s">
        <v>6248</v>
      </c>
      <c r="H4210" s="110" t="s">
        <v>25223</v>
      </c>
      <c r="I4210" s="110" t="s">
        <v>25224</v>
      </c>
    </row>
    <row r="4211" spans="1:9" ht="25.2" x14ac:dyDescent="0.3">
      <c r="A4211" s="109" t="s">
        <v>25225</v>
      </c>
      <c r="B4211" s="109" t="s">
        <v>24974</v>
      </c>
      <c r="C4211" s="109" t="s">
        <v>24974</v>
      </c>
      <c r="D4211" s="109" t="s">
        <v>25226</v>
      </c>
      <c r="E4211" s="109" t="s">
        <v>5558</v>
      </c>
      <c r="F4211" s="109" t="s">
        <v>25227</v>
      </c>
      <c r="G4211" s="110" t="s">
        <v>6248</v>
      </c>
      <c r="H4211" s="110" t="s">
        <v>6660</v>
      </c>
      <c r="I4211" s="110" t="s">
        <v>25228</v>
      </c>
    </row>
    <row r="4212" spans="1:9" ht="37.799999999999997" x14ac:dyDescent="0.3">
      <c r="A4212" s="109" t="s">
        <v>25229</v>
      </c>
      <c r="B4212" s="109" t="s">
        <v>24974</v>
      </c>
      <c r="C4212" s="109" t="s">
        <v>24974</v>
      </c>
      <c r="D4212" s="109" t="s">
        <v>3602</v>
      </c>
      <c r="E4212" s="109" t="s">
        <v>5558</v>
      </c>
      <c r="F4212" s="109" t="s">
        <v>25230</v>
      </c>
      <c r="G4212" s="110" t="s">
        <v>6248</v>
      </c>
      <c r="H4212" s="110" t="s">
        <v>9407</v>
      </c>
      <c r="I4212" s="110" t="s">
        <v>25231</v>
      </c>
    </row>
    <row r="4213" spans="1:9" ht="25.2" x14ac:dyDescent="0.3">
      <c r="A4213" s="109" t="s">
        <v>25232</v>
      </c>
      <c r="B4213" s="109" t="s">
        <v>24974</v>
      </c>
      <c r="C4213" s="109" t="s">
        <v>24974</v>
      </c>
      <c r="D4213" s="109" t="s">
        <v>25233</v>
      </c>
      <c r="E4213" s="109" t="s">
        <v>5558</v>
      </c>
      <c r="F4213" s="109" t="s">
        <v>25234</v>
      </c>
      <c r="G4213" s="110" t="s">
        <v>6248</v>
      </c>
      <c r="H4213" s="110" t="s">
        <v>11384</v>
      </c>
      <c r="I4213" s="110" t="s">
        <v>25235</v>
      </c>
    </row>
    <row r="4214" spans="1:9" ht="37.799999999999997" x14ac:dyDescent="0.3">
      <c r="A4214" s="109" t="s">
        <v>25236</v>
      </c>
      <c r="B4214" s="109" t="s">
        <v>24974</v>
      </c>
      <c r="C4214" s="109" t="s">
        <v>24974</v>
      </c>
      <c r="D4214" s="109" t="s">
        <v>25237</v>
      </c>
      <c r="E4214" s="109" t="s">
        <v>5558</v>
      </c>
      <c r="F4214" s="109" t="s">
        <v>25238</v>
      </c>
      <c r="G4214" s="110" t="s">
        <v>6248</v>
      </c>
      <c r="H4214" s="110" t="s">
        <v>25239</v>
      </c>
      <c r="I4214" s="110" t="s">
        <v>25240</v>
      </c>
    </row>
    <row r="4215" spans="1:9" ht="25.2" x14ac:dyDescent="0.3">
      <c r="A4215" s="109" t="s">
        <v>25241</v>
      </c>
      <c r="B4215" s="109" t="s">
        <v>24974</v>
      </c>
      <c r="C4215" s="109" t="s">
        <v>24974</v>
      </c>
      <c r="D4215" s="109" t="s">
        <v>25242</v>
      </c>
      <c r="E4215" s="109" t="s">
        <v>25243</v>
      </c>
      <c r="F4215" s="109" t="s">
        <v>25244</v>
      </c>
      <c r="G4215" s="110" t="s">
        <v>25245</v>
      </c>
      <c r="H4215" s="110" t="s">
        <v>6248</v>
      </c>
      <c r="I4215" s="110" t="s">
        <v>25246</v>
      </c>
    </row>
    <row r="4216" spans="1:9" ht="25.2" x14ac:dyDescent="0.3">
      <c r="A4216" s="109" t="s">
        <v>25247</v>
      </c>
      <c r="B4216" s="109" t="s">
        <v>24974</v>
      </c>
      <c r="C4216" s="109" t="s">
        <v>24974</v>
      </c>
      <c r="D4216" s="109" t="s">
        <v>25248</v>
      </c>
      <c r="E4216" s="109" t="s">
        <v>25249</v>
      </c>
      <c r="F4216" s="109" t="s">
        <v>25250</v>
      </c>
      <c r="G4216" s="110" t="s">
        <v>25251</v>
      </c>
      <c r="H4216" s="110" t="s">
        <v>6248</v>
      </c>
      <c r="I4216" s="110" t="s">
        <v>25252</v>
      </c>
    </row>
    <row r="4217" spans="1:9" ht="25.2" x14ac:dyDescent="0.3">
      <c r="A4217" s="109" t="s">
        <v>25253</v>
      </c>
      <c r="B4217" s="109" t="s">
        <v>24974</v>
      </c>
      <c r="C4217" s="109" t="s">
        <v>24974</v>
      </c>
      <c r="D4217" s="109" t="s">
        <v>25254</v>
      </c>
      <c r="E4217" s="109" t="s">
        <v>25255</v>
      </c>
      <c r="F4217" s="109" t="s">
        <v>25256</v>
      </c>
      <c r="G4217" s="110" t="s">
        <v>25257</v>
      </c>
      <c r="H4217" s="110" t="s">
        <v>6248</v>
      </c>
      <c r="I4217" s="110" t="s">
        <v>25258</v>
      </c>
    </row>
    <row r="4218" spans="1:9" ht="25.2" x14ac:dyDescent="0.3">
      <c r="A4218" s="109" t="s">
        <v>25259</v>
      </c>
      <c r="B4218" s="109" t="s">
        <v>24974</v>
      </c>
      <c r="C4218" s="109" t="s">
        <v>24974</v>
      </c>
      <c r="D4218" s="109" t="s">
        <v>25260</v>
      </c>
      <c r="E4218" s="109" t="s">
        <v>25249</v>
      </c>
      <c r="F4218" s="109" t="s">
        <v>25261</v>
      </c>
      <c r="G4218" s="110" t="s">
        <v>7254</v>
      </c>
      <c r="H4218" s="110" t="s">
        <v>6248</v>
      </c>
      <c r="I4218" s="110" t="s">
        <v>25262</v>
      </c>
    </row>
    <row r="4219" spans="1:9" ht="25.2" x14ac:dyDescent="0.3">
      <c r="A4219" s="109" t="s">
        <v>25263</v>
      </c>
      <c r="B4219" s="109" t="s">
        <v>24974</v>
      </c>
      <c r="C4219" s="109" t="s">
        <v>24974</v>
      </c>
      <c r="D4219" s="109" t="s">
        <v>25264</v>
      </c>
      <c r="E4219" s="109" t="s">
        <v>25265</v>
      </c>
      <c r="F4219" s="109" t="s">
        <v>25266</v>
      </c>
      <c r="G4219" s="110" t="s">
        <v>25267</v>
      </c>
      <c r="H4219" s="110" t="s">
        <v>6248</v>
      </c>
      <c r="I4219" s="110" t="s">
        <v>25268</v>
      </c>
    </row>
    <row r="4220" spans="1:9" ht="25.2" x14ac:dyDescent="0.3">
      <c r="A4220" s="109" t="s">
        <v>25269</v>
      </c>
      <c r="B4220" s="109" t="s">
        <v>24974</v>
      </c>
      <c r="C4220" s="109" t="s">
        <v>24974</v>
      </c>
      <c r="D4220" s="109" t="s">
        <v>25270</v>
      </c>
      <c r="E4220" s="109" t="s">
        <v>25255</v>
      </c>
      <c r="F4220" s="109" t="s">
        <v>25271</v>
      </c>
      <c r="G4220" s="110" t="s">
        <v>7254</v>
      </c>
      <c r="H4220" s="110" t="s">
        <v>6248</v>
      </c>
      <c r="I4220" s="110" t="s">
        <v>25272</v>
      </c>
    </row>
    <row r="4221" spans="1:9" ht="25.2" x14ac:dyDescent="0.3">
      <c r="A4221" s="109" t="s">
        <v>25273</v>
      </c>
      <c r="B4221" s="109" t="s">
        <v>24974</v>
      </c>
      <c r="C4221" s="109" t="s">
        <v>24974</v>
      </c>
      <c r="D4221" s="109" t="s">
        <v>25274</v>
      </c>
      <c r="E4221" s="109" t="s">
        <v>25265</v>
      </c>
      <c r="F4221" s="109" t="s">
        <v>25275</v>
      </c>
      <c r="G4221" s="110" t="s">
        <v>7254</v>
      </c>
      <c r="H4221" s="110" t="s">
        <v>6248</v>
      </c>
      <c r="I4221" s="110" t="s">
        <v>25276</v>
      </c>
    </row>
    <row r="4222" spans="1:9" ht="25.2" x14ac:dyDescent="0.3">
      <c r="A4222" s="109" t="s">
        <v>25277</v>
      </c>
      <c r="B4222" s="109" t="s">
        <v>24974</v>
      </c>
      <c r="C4222" s="109" t="s">
        <v>24974</v>
      </c>
      <c r="D4222" s="109" t="s">
        <v>25278</v>
      </c>
      <c r="E4222" s="109" t="s">
        <v>25249</v>
      </c>
      <c r="F4222" s="109" t="s">
        <v>25279</v>
      </c>
      <c r="G4222" s="110" t="s">
        <v>11819</v>
      </c>
      <c r="H4222" s="110" t="s">
        <v>6248</v>
      </c>
      <c r="I4222" s="110" t="s">
        <v>25280</v>
      </c>
    </row>
    <row r="4223" spans="1:9" ht="25.2" x14ac:dyDescent="0.3">
      <c r="A4223" s="109" t="s">
        <v>25281</v>
      </c>
      <c r="B4223" s="109" t="s">
        <v>24974</v>
      </c>
      <c r="C4223" s="109" t="s">
        <v>24974</v>
      </c>
      <c r="D4223" s="109" t="s">
        <v>25282</v>
      </c>
      <c r="E4223" s="109" t="s">
        <v>25255</v>
      </c>
      <c r="F4223" s="109" t="s">
        <v>25283</v>
      </c>
      <c r="G4223" s="110" t="s">
        <v>11819</v>
      </c>
      <c r="H4223" s="110" t="s">
        <v>6248</v>
      </c>
      <c r="I4223" s="110" t="s">
        <v>25284</v>
      </c>
    </row>
    <row r="4224" spans="1:9" ht="25.2" x14ac:dyDescent="0.3">
      <c r="A4224" s="109" t="s">
        <v>25285</v>
      </c>
      <c r="B4224" s="109" t="s">
        <v>24974</v>
      </c>
      <c r="C4224" s="109" t="s">
        <v>24974</v>
      </c>
      <c r="D4224" s="109" t="s">
        <v>25286</v>
      </c>
      <c r="E4224" s="109" t="s">
        <v>25265</v>
      </c>
      <c r="F4224" s="109" t="s">
        <v>25287</v>
      </c>
      <c r="G4224" s="110" t="s">
        <v>11819</v>
      </c>
      <c r="H4224" s="110" t="s">
        <v>6248</v>
      </c>
      <c r="I4224" s="110" t="s">
        <v>25288</v>
      </c>
    </row>
    <row r="4225" spans="1:9" ht="25.2" x14ac:dyDescent="0.3">
      <c r="A4225" s="109" t="s">
        <v>25289</v>
      </c>
      <c r="B4225" s="109" t="s">
        <v>24974</v>
      </c>
      <c r="C4225" s="109" t="s">
        <v>24974</v>
      </c>
      <c r="D4225" s="109" t="s">
        <v>25290</v>
      </c>
      <c r="E4225" s="109" t="s">
        <v>5558</v>
      </c>
      <c r="F4225" s="109" t="s">
        <v>25291</v>
      </c>
      <c r="G4225" s="110" t="s">
        <v>6248</v>
      </c>
      <c r="H4225" s="110" t="s">
        <v>25292</v>
      </c>
      <c r="I4225" s="110" t="s">
        <v>25293</v>
      </c>
    </row>
    <row r="4226" spans="1:9" ht="37.799999999999997" x14ac:dyDescent="0.3">
      <c r="A4226" s="109" t="s">
        <v>25294</v>
      </c>
      <c r="B4226" s="109" t="s">
        <v>24974</v>
      </c>
      <c r="C4226" s="109" t="s">
        <v>24974</v>
      </c>
      <c r="D4226" s="109" t="s">
        <v>3935</v>
      </c>
      <c r="E4226" s="109" t="s">
        <v>5558</v>
      </c>
      <c r="F4226" s="109" t="s">
        <v>25295</v>
      </c>
      <c r="G4226" s="110" t="s">
        <v>6248</v>
      </c>
      <c r="H4226" s="110" t="s">
        <v>25296</v>
      </c>
      <c r="I4226" s="110" t="s">
        <v>25297</v>
      </c>
    </row>
    <row r="4227" spans="1:9" ht="25.2" x14ac:dyDescent="0.3">
      <c r="A4227" s="109" t="s">
        <v>25298</v>
      </c>
      <c r="B4227" s="109" t="s">
        <v>24974</v>
      </c>
      <c r="C4227" s="109" t="s">
        <v>24974</v>
      </c>
      <c r="D4227" s="109" t="s">
        <v>25299</v>
      </c>
      <c r="E4227" s="109" t="s">
        <v>25300</v>
      </c>
      <c r="F4227" s="109" t="s">
        <v>15486</v>
      </c>
      <c r="G4227" s="110" t="s">
        <v>6248</v>
      </c>
      <c r="H4227" s="110" t="s">
        <v>25301</v>
      </c>
      <c r="I4227" s="110" t="s">
        <v>25302</v>
      </c>
    </row>
    <row r="4228" spans="1:9" ht="25.2" x14ac:dyDescent="0.3">
      <c r="A4228" s="109" t="s">
        <v>25303</v>
      </c>
      <c r="B4228" s="109" t="s">
        <v>24974</v>
      </c>
      <c r="C4228" s="109" t="s">
        <v>24974</v>
      </c>
      <c r="D4228" s="109" t="s">
        <v>25304</v>
      </c>
      <c r="E4228" s="109" t="s">
        <v>5558</v>
      </c>
      <c r="F4228" s="109" t="s">
        <v>25305</v>
      </c>
      <c r="G4228" s="110" t="s">
        <v>6248</v>
      </c>
      <c r="H4228" s="110" t="s">
        <v>25306</v>
      </c>
      <c r="I4228" s="110" t="s">
        <v>25307</v>
      </c>
    </row>
    <row r="4229" spans="1:9" ht="25.2" x14ac:dyDescent="0.3">
      <c r="A4229" s="109" t="s">
        <v>25308</v>
      </c>
      <c r="B4229" s="109" t="s">
        <v>24974</v>
      </c>
      <c r="C4229" s="109" t="s">
        <v>24974</v>
      </c>
      <c r="D4229" s="109" t="s">
        <v>3634</v>
      </c>
      <c r="E4229" s="109" t="s">
        <v>25309</v>
      </c>
      <c r="F4229" s="109" t="s">
        <v>7007</v>
      </c>
      <c r="G4229" s="110" t="s">
        <v>6248</v>
      </c>
      <c r="H4229" s="110" t="s">
        <v>25310</v>
      </c>
      <c r="I4229" s="110" t="s">
        <v>25311</v>
      </c>
    </row>
    <row r="4230" spans="1:9" ht="25.2" x14ac:dyDescent="0.3">
      <c r="A4230" s="109" t="s">
        <v>25312</v>
      </c>
      <c r="B4230" s="109" t="s">
        <v>24974</v>
      </c>
      <c r="C4230" s="109" t="s">
        <v>24974</v>
      </c>
      <c r="D4230" s="109" t="s">
        <v>5569</v>
      </c>
      <c r="E4230" s="109" t="s">
        <v>5558</v>
      </c>
      <c r="F4230" s="109" t="s">
        <v>2258</v>
      </c>
      <c r="G4230" s="110" t="s">
        <v>6248</v>
      </c>
      <c r="H4230" s="110" t="s">
        <v>25313</v>
      </c>
      <c r="I4230" s="110" t="s">
        <v>25314</v>
      </c>
    </row>
    <row r="4231" spans="1:9" ht="25.2" x14ac:dyDescent="0.3">
      <c r="A4231" s="109" t="s">
        <v>25315</v>
      </c>
      <c r="B4231" s="109" t="s">
        <v>24974</v>
      </c>
      <c r="C4231" s="109" t="s">
        <v>24974</v>
      </c>
      <c r="D4231" s="109" t="s">
        <v>25316</v>
      </c>
      <c r="E4231" s="109" t="s">
        <v>5558</v>
      </c>
      <c r="F4231" s="109" t="s">
        <v>25317</v>
      </c>
      <c r="G4231" s="110" t="s">
        <v>6248</v>
      </c>
      <c r="H4231" s="110" t="s">
        <v>25318</v>
      </c>
      <c r="I4231" s="110" t="s">
        <v>25319</v>
      </c>
    </row>
    <row r="4232" spans="1:9" ht="25.2" x14ac:dyDescent="0.3">
      <c r="A4232" s="109" t="s">
        <v>25320</v>
      </c>
      <c r="B4232" s="109" t="s">
        <v>24974</v>
      </c>
      <c r="C4232" s="109" t="s">
        <v>24974</v>
      </c>
      <c r="D4232" s="109" t="s">
        <v>3937</v>
      </c>
      <c r="E4232" s="109" t="s">
        <v>5558</v>
      </c>
      <c r="F4232" s="109" t="s">
        <v>25321</v>
      </c>
      <c r="G4232" s="110" t="s">
        <v>6248</v>
      </c>
      <c r="H4232" s="110" t="s">
        <v>25322</v>
      </c>
      <c r="I4232" s="110" t="s">
        <v>25323</v>
      </c>
    </row>
    <row r="4233" spans="1:9" ht="63" x14ac:dyDescent="0.3">
      <c r="A4233" s="109" t="s">
        <v>25324</v>
      </c>
      <c r="B4233" s="109" t="s">
        <v>24974</v>
      </c>
      <c r="C4233" s="109" t="s">
        <v>24974</v>
      </c>
      <c r="D4233" s="109" t="s">
        <v>7441</v>
      </c>
      <c r="E4233" s="109" t="s">
        <v>7441</v>
      </c>
      <c r="F4233" s="109" t="s">
        <v>25325</v>
      </c>
      <c r="G4233" s="110" t="s">
        <v>6248</v>
      </c>
      <c r="H4233" s="110" t="s">
        <v>15948</v>
      </c>
      <c r="I4233" s="110" t="s">
        <v>25326</v>
      </c>
    </row>
    <row r="4234" spans="1:9" ht="37.799999999999997" x14ac:dyDescent="0.3">
      <c r="A4234" s="109" t="s">
        <v>25327</v>
      </c>
      <c r="B4234" s="109" t="s">
        <v>24974</v>
      </c>
      <c r="C4234" s="109" t="s">
        <v>24974</v>
      </c>
      <c r="D4234" s="109" t="s">
        <v>25328</v>
      </c>
      <c r="E4234" s="109" t="s">
        <v>5558</v>
      </c>
      <c r="F4234" s="109" t="s">
        <v>25329</v>
      </c>
      <c r="G4234" s="110" t="s">
        <v>6248</v>
      </c>
      <c r="H4234" s="110" t="s">
        <v>25330</v>
      </c>
      <c r="I4234" s="110" t="s">
        <v>25331</v>
      </c>
    </row>
    <row r="4235" spans="1:9" ht="25.2" x14ac:dyDescent="0.3">
      <c r="A4235" s="109" t="s">
        <v>25332</v>
      </c>
      <c r="B4235" s="109" t="s">
        <v>24974</v>
      </c>
      <c r="C4235" s="109" t="s">
        <v>24974</v>
      </c>
      <c r="D4235" s="109" t="s">
        <v>5569</v>
      </c>
      <c r="E4235" s="109" t="s">
        <v>5558</v>
      </c>
      <c r="F4235" s="109" t="s">
        <v>2258</v>
      </c>
      <c r="G4235" s="110" t="s">
        <v>6248</v>
      </c>
      <c r="H4235" s="110" t="s">
        <v>25333</v>
      </c>
      <c r="I4235" s="110" t="s">
        <v>25334</v>
      </c>
    </row>
    <row r="4236" spans="1:9" ht="63" x14ac:dyDescent="0.3">
      <c r="A4236" s="109" t="s">
        <v>25335</v>
      </c>
      <c r="B4236" s="109" t="s">
        <v>24974</v>
      </c>
      <c r="C4236" s="109" t="s">
        <v>24974</v>
      </c>
      <c r="D4236" s="109" t="s">
        <v>12448</v>
      </c>
      <c r="E4236" s="109" t="s">
        <v>12448</v>
      </c>
      <c r="F4236" s="109" t="s">
        <v>25336</v>
      </c>
      <c r="G4236" s="110" t="s">
        <v>6248</v>
      </c>
      <c r="H4236" s="110" t="s">
        <v>25337</v>
      </c>
      <c r="I4236" s="110" t="s">
        <v>25338</v>
      </c>
    </row>
    <row r="4237" spans="1:9" ht="25.2" x14ac:dyDescent="0.3">
      <c r="A4237" s="109" t="s">
        <v>25339</v>
      </c>
      <c r="B4237" s="109" t="s">
        <v>24974</v>
      </c>
      <c r="C4237" s="109" t="s">
        <v>24974</v>
      </c>
      <c r="D4237" s="109" t="s">
        <v>25340</v>
      </c>
      <c r="E4237" s="109" t="s">
        <v>5558</v>
      </c>
      <c r="F4237" s="109" t="s">
        <v>25341</v>
      </c>
      <c r="G4237" s="110" t="s">
        <v>6248</v>
      </c>
      <c r="H4237" s="110" t="s">
        <v>22268</v>
      </c>
      <c r="I4237" s="110" t="s">
        <v>25342</v>
      </c>
    </row>
    <row r="4238" spans="1:9" ht="25.2" x14ac:dyDescent="0.3">
      <c r="A4238" s="109" t="s">
        <v>25343</v>
      </c>
      <c r="B4238" s="109" t="s">
        <v>24974</v>
      </c>
      <c r="C4238" s="109" t="s">
        <v>24974</v>
      </c>
      <c r="D4238" s="109" t="s">
        <v>25344</v>
      </c>
      <c r="E4238" s="109" t="s">
        <v>5558</v>
      </c>
      <c r="F4238" s="109" t="s">
        <v>25345</v>
      </c>
      <c r="G4238" s="110" t="s">
        <v>6248</v>
      </c>
      <c r="H4238" s="110" t="s">
        <v>25346</v>
      </c>
      <c r="I4238" s="110" t="s">
        <v>25347</v>
      </c>
    </row>
    <row r="4239" spans="1:9" ht="25.2" x14ac:dyDescent="0.3">
      <c r="A4239" s="109" t="s">
        <v>25348</v>
      </c>
      <c r="B4239" s="109" t="s">
        <v>24974</v>
      </c>
      <c r="C4239" s="109" t="s">
        <v>24974</v>
      </c>
      <c r="D4239" s="109" t="s">
        <v>25349</v>
      </c>
      <c r="E4239" s="109" t="s">
        <v>5558</v>
      </c>
      <c r="F4239" s="109" t="s">
        <v>25350</v>
      </c>
      <c r="G4239" s="110" t="s">
        <v>6248</v>
      </c>
      <c r="H4239" s="110" t="s">
        <v>25351</v>
      </c>
      <c r="I4239" s="110" t="s">
        <v>25352</v>
      </c>
    </row>
    <row r="4240" spans="1:9" ht="63" x14ac:dyDescent="0.3">
      <c r="A4240" s="109" t="s">
        <v>25353</v>
      </c>
      <c r="B4240" s="109" t="s">
        <v>24974</v>
      </c>
      <c r="C4240" s="109" t="s">
        <v>24974</v>
      </c>
      <c r="D4240" s="109" t="s">
        <v>16566</v>
      </c>
      <c r="E4240" s="109" t="s">
        <v>16566</v>
      </c>
      <c r="F4240" s="109" t="s">
        <v>25354</v>
      </c>
      <c r="G4240" s="110" t="s">
        <v>6248</v>
      </c>
      <c r="H4240" s="110" t="s">
        <v>9261</v>
      </c>
      <c r="I4240" s="110" t="s">
        <v>25355</v>
      </c>
    </row>
    <row r="4241" spans="1:9" ht="25.2" x14ac:dyDescent="0.3">
      <c r="A4241" s="109" t="s">
        <v>25356</v>
      </c>
      <c r="B4241" s="109" t="s">
        <v>24974</v>
      </c>
      <c r="C4241" s="109" t="s">
        <v>24974</v>
      </c>
      <c r="D4241" s="109" t="s">
        <v>25357</v>
      </c>
      <c r="E4241" s="109" t="s">
        <v>5558</v>
      </c>
      <c r="F4241" s="109" t="s">
        <v>25358</v>
      </c>
      <c r="G4241" s="110" t="s">
        <v>6248</v>
      </c>
      <c r="H4241" s="110" t="s">
        <v>6689</v>
      </c>
      <c r="I4241" s="110" t="s">
        <v>25359</v>
      </c>
    </row>
    <row r="4242" spans="1:9" ht="25.2" x14ac:dyDescent="0.3">
      <c r="A4242" s="109" t="s">
        <v>25360</v>
      </c>
      <c r="B4242" s="109" t="s">
        <v>24974</v>
      </c>
      <c r="C4242" s="109" t="s">
        <v>24974</v>
      </c>
      <c r="D4242" s="109" t="s">
        <v>25361</v>
      </c>
      <c r="E4242" s="109" t="s">
        <v>5558</v>
      </c>
      <c r="F4242" s="109" t="s">
        <v>25362</v>
      </c>
      <c r="G4242" s="110" t="s">
        <v>6248</v>
      </c>
      <c r="H4242" s="110" t="s">
        <v>25363</v>
      </c>
      <c r="I4242" s="110" t="s">
        <v>25364</v>
      </c>
    </row>
    <row r="4243" spans="1:9" ht="50.4" x14ac:dyDescent="0.3">
      <c r="A4243" s="109" t="s">
        <v>25365</v>
      </c>
      <c r="B4243" s="109" t="s">
        <v>24974</v>
      </c>
      <c r="C4243" s="109" t="s">
        <v>24974</v>
      </c>
      <c r="D4243" s="109" t="s">
        <v>9836</v>
      </c>
      <c r="E4243" s="109" t="s">
        <v>25366</v>
      </c>
      <c r="F4243" s="109" t="s">
        <v>25367</v>
      </c>
      <c r="G4243" s="110" t="s">
        <v>6248</v>
      </c>
      <c r="H4243" s="110" t="s">
        <v>25368</v>
      </c>
      <c r="I4243" s="110" t="s">
        <v>25369</v>
      </c>
    </row>
    <row r="4244" spans="1:9" ht="37.799999999999997" x14ac:dyDescent="0.3">
      <c r="A4244" s="109" t="s">
        <v>25370</v>
      </c>
      <c r="B4244" s="109" t="s">
        <v>24974</v>
      </c>
      <c r="C4244" s="109" t="s">
        <v>24974</v>
      </c>
      <c r="D4244" s="109" t="s">
        <v>25371</v>
      </c>
      <c r="E4244" s="109" t="s">
        <v>5558</v>
      </c>
      <c r="F4244" s="109" t="s">
        <v>25372</v>
      </c>
      <c r="G4244" s="110" t="s">
        <v>6248</v>
      </c>
      <c r="H4244" s="110" t="s">
        <v>25373</v>
      </c>
      <c r="I4244" s="110" t="s">
        <v>25374</v>
      </c>
    </row>
    <row r="4245" spans="1:9" ht="37.799999999999997" x14ac:dyDescent="0.3">
      <c r="A4245" s="109" t="s">
        <v>25375</v>
      </c>
      <c r="B4245" s="109" t="s">
        <v>24974</v>
      </c>
      <c r="C4245" s="109" t="s">
        <v>24974</v>
      </c>
      <c r="D4245" s="109" t="s">
        <v>25376</v>
      </c>
      <c r="E4245" s="109" t="s">
        <v>5558</v>
      </c>
      <c r="F4245" s="109" t="s">
        <v>25377</v>
      </c>
      <c r="G4245" s="110" t="s">
        <v>6248</v>
      </c>
      <c r="H4245" s="110" t="s">
        <v>25378</v>
      </c>
      <c r="I4245" s="110" t="s">
        <v>25379</v>
      </c>
    </row>
    <row r="4246" spans="1:9" ht="25.2" x14ac:dyDescent="0.3">
      <c r="A4246" s="109" t="s">
        <v>25380</v>
      </c>
      <c r="B4246" s="109" t="s">
        <v>24974</v>
      </c>
      <c r="C4246" s="109" t="s">
        <v>24974</v>
      </c>
      <c r="D4246" s="109" t="s">
        <v>25381</v>
      </c>
      <c r="E4246" s="109" t="s">
        <v>5558</v>
      </c>
      <c r="F4246" s="109" t="s">
        <v>25382</v>
      </c>
      <c r="G4246" s="110" t="s">
        <v>6248</v>
      </c>
      <c r="H4246" s="110" t="s">
        <v>25383</v>
      </c>
      <c r="I4246" s="110" t="s">
        <v>25384</v>
      </c>
    </row>
    <row r="4247" spans="1:9" ht="25.2" x14ac:dyDescent="0.3">
      <c r="A4247" s="109" t="s">
        <v>25385</v>
      </c>
      <c r="B4247" s="109" t="s">
        <v>24974</v>
      </c>
      <c r="C4247" s="109" t="s">
        <v>24974</v>
      </c>
      <c r="D4247" s="109" t="s">
        <v>25386</v>
      </c>
      <c r="E4247" s="109" t="s">
        <v>25211</v>
      </c>
      <c r="F4247" s="109" t="s">
        <v>7039</v>
      </c>
      <c r="G4247" s="110" t="s">
        <v>6248</v>
      </c>
      <c r="H4247" s="110" t="s">
        <v>6413</v>
      </c>
      <c r="I4247" s="110" t="s">
        <v>25387</v>
      </c>
    </row>
    <row r="4248" spans="1:9" ht="25.2" x14ac:dyDescent="0.3">
      <c r="A4248" s="109" t="s">
        <v>25388</v>
      </c>
      <c r="B4248" s="109" t="s">
        <v>24974</v>
      </c>
      <c r="C4248" s="109" t="s">
        <v>24974</v>
      </c>
      <c r="D4248" s="109" t="s">
        <v>25389</v>
      </c>
      <c r="E4248" s="109" t="s">
        <v>25390</v>
      </c>
      <c r="F4248" s="109" t="s">
        <v>25391</v>
      </c>
      <c r="G4248" s="110" t="s">
        <v>25392</v>
      </c>
      <c r="H4248" s="110" t="s">
        <v>6248</v>
      </c>
      <c r="I4248" s="110" t="s">
        <v>25393</v>
      </c>
    </row>
    <row r="4249" spans="1:9" ht="25.2" x14ac:dyDescent="0.3">
      <c r="A4249" s="109" t="s">
        <v>25394</v>
      </c>
      <c r="B4249" s="109" t="s">
        <v>24974</v>
      </c>
      <c r="C4249" s="109" t="s">
        <v>24974</v>
      </c>
      <c r="D4249" s="109" t="s">
        <v>25395</v>
      </c>
      <c r="E4249" s="109" t="s">
        <v>25390</v>
      </c>
      <c r="F4249" s="109" t="s">
        <v>25396</v>
      </c>
      <c r="G4249" s="110" t="s">
        <v>7254</v>
      </c>
      <c r="H4249" s="110" t="s">
        <v>6248</v>
      </c>
      <c r="I4249" s="110" t="s">
        <v>25397</v>
      </c>
    </row>
    <row r="4250" spans="1:9" ht="25.2" x14ac:dyDescent="0.3">
      <c r="A4250" s="109" t="s">
        <v>25398</v>
      </c>
      <c r="B4250" s="109" t="s">
        <v>24974</v>
      </c>
      <c r="C4250" s="109" t="s">
        <v>24974</v>
      </c>
      <c r="D4250" s="109" t="s">
        <v>25399</v>
      </c>
      <c r="E4250" s="109" t="s">
        <v>25400</v>
      </c>
      <c r="F4250" s="109" t="s">
        <v>7181</v>
      </c>
      <c r="G4250" s="110" t="s">
        <v>11847</v>
      </c>
      <c r="H4250" s="110" t="s">
        <v>6248</v>
      </c>
      <c r="I4250" s="110" t="s">
        <v>25401</v>
      </c>
    </row>
    <row r="4251" spans="1:9" ht="75.599999999999994" x14ac:dyDescent="0.3">
      <c r="A4251" s="109" t="s">
        <v>25402</v>
      </c>
      <c r="B4251" s="109" t="s">
        <v>24974</v>
      </c>
      <c r="C4251" s="109" t="s">
        <v>24974</v>
      </c>
      <c r="D4251" s="109" t="s">
        <v>25403</v>
      </c>
      <c r="E4251" s="109" t="s">
        <v>25403</v>
      </c>
      <c r="F4251" s="109" t="s">
        <v>25404</v>
      </c>
      <c r="G4251" s="110" t="s">
        <v>6248</v>
      </c>
      <c r="H4251" s="110" t="s">
        <v>25405</v>
      </c>
      <c r="I4251" s="110" t="s">
        <v>25406</v>
      </c>
    </row>
    <row r="4252" spans="1:9" ht="25.2" x14ac:dyDescent="0.3">
      <c r="A4252" s="109" t="s">
        <v>25407</v>
      </c>
      <c r="B4252" s="109" t="s">
        <v>24974</v>
      </c>
      <c r="C4252" s="109" t="s">
        <v>24974</v>
      </c>
      <c r="D4252" s="109" t="s">
        <v>25408</v>
      </c>
      <c r="E4252" s="109" t="s">
        <v>5558</v>
      </c>
      <c r="F4252" s="109" t="s">
        <v>25409</v>
      </c>
      <c r="G4252" s="110" t="s">
        <v>6248</v>
      </c>
      <c r="H4252" s="110" t="s">
        <v>25410</v>
      </c>
      <c r="I4252" s="110" t="s">
        <v>25411</v>
      </c>
    </row>
    <row r="4253" spans="1:9" ht="37.799999999999997" x14ac:dyDescent="0.3">
      <c r="A4253" s="109" t="s">
        <v>25412</v>
      </c>
      <c r="B4253" s="109" t="s">
        <v>24974</v>
      </c>
      <c r="C4253" s="109" t="s">
        <v>24974</v>
      </c>
      <c r="D4253" s="109" t="s">
        <v>25413</v>
      </c>
      <c r="E4253" s="109" t="s">
        <v>5558</v>
      </c>
      <c r="F4253" s="109" t="s">
        <v>25414</v>
      </c>
      <c r="G4253" s="110" t="s">
        <v>6248</v>
      </c>
      <c r="H4253" s="110" t="s">
        <v>6716</v>
      </c>
      <c r="I4253" s="110" t="s">
        <v>25415</v>
      </c>
    </row>
    <row r="4254" spans="1:9" ht="25.2" x14ac:dyDescent="0.3">
      <c r="A4254" s="109" t="s">
        <v>25416</v>
      </c>
      <c r="B4254" s="109" t="s">
        <v>24974</v>
      </c>
      <c r="C4254" s="109" t="s">
        <v>24974</v>
      </c>
      <c r="D4254" s="109" t="s">
        <v>5569</v>
      </c>
      <c r="E4254" s="109" t="s">
        <v>5558</v>
      </c>
      <c r="F4254" s="109" t="s">
        <v>2258</v>
      </c>
      <c r="G4254" s="110" t="s">
        <v>6248</v>
      </c>
      <c r="H4254" s="110" t="s">
        <v>25417</v>
      </c>
      <c r="I4254" s="110" t="s">
        <v>25418</v>
      </c>
    </row>
    <row r="4255" spans="1:9" ht="25.2" x14ac:dyDescent="0.3">
      <c r="A4255" s="109" t="s">
        <v>25419</v>
      </c>
      <c r="B4255" s="109" t="s">
        <v>24974</v>
      </c>
      <c r="C4255" s="109" t="s">
        <v>24974</v>
      </c>
      <c r="D4255" s="109" t="s">
        <v>25420</v>
      </c>
      <c r="E4255" s="109" t="s">
        <v>25421</v>
      </c>
      <c r="F4255" s="109" t="s">
        <v>25422</v>
      </c>
      <c r="G4255" s="110" t="s">
        <v>6248</v>
      </c>
      <c r="H4255" s="110" t="s">
        <v>25423</v>
      </c>
      <c r="I4255" s="110" t="s">
        <v>25424</v>
      </c>
    </row>
    <row r="4256" spans="1:9" ht="25.2" x14ac:dyDescent="0.3">
      <c r="A4256" s="109" t="s">
        <v>25425</v>
      </c>
      <c r="B4256" s="109" t="s">
        <v>24974</v>
      </c>
      <c r="C4256" s="109" t="s">
        <v>24974</v>
      </c>
      <c r="D4256" s="109" t="s">
        <v>25426</v>
      </c>
      <c r="E4256" s="109" t="s">
        <v>5558</v>
      </c>
      <c r="F4256" s="109" t="s">
        <v>25427</v>
      </c>
      <c r="G4256" s="110" t="s">
        <v>6248</v>
      </c>
      <c r="H4256" s="110" t="s">
        <v>8185</v>
      </c>
      <c r="I4256" s="110" t="s">
        <v>25428</v>
      </c>
    </row>
    <row r="4257" spans="1:9" ht="25.2" x14ac:dyDescent="0.3">
      <c r="A4257" s="109" t="s">
        <v>25429</v>
      </c>
      <c r="B4257" s="109" t="s">
        <v>24974</v>
      </c>
      <c r="C4257" s="109" t="s">
        <v>24974</v>
      </c>
      <c r="D4257" s="109" t="s">
        <v>25430</v>
      </c>
      <c r="E4257" s="109" t="s">
        <v>25431</v>
      </c>
      <c r="F4257" s="109" t="s">
        <v>8341</v>
      </c>
      <c r="G4257" s="110" t="s">
        <v>6248</v>
      </c>
      <c r="H4257" s="110" t="s">
        <v>25432</v>
      </c>
      <c r="I4257" s="110" t="s">
        <v>25433</v>
      </c>
    </row>
    <row r="4258" spans="1:9" ht="63" x14ac:dyDescent="0.3">
      <c r="A4258" s="109" t="s">
        <v>25434</v>
      </c>
      <c r="B4258" s="109" t="s">
        <v>24974</v>
      </c>
      <c r="C4258" s="109" t="s">
        <v>24974</v>
      </c>
      <c r="D4258" s="109" t="s">
        <v>25435</v>
      </c>
      <c r="E4258" s="109" t="s">
        <v>25435</v>
      </c>
      <c r="F4258" s="109" t="s">
        <v>25436</v>
      </c>
      <c r="G4258" s="110" t="s">
        <v>6248</v>
      </c>
      <c r="H4258" s="110" t="s">
        <v>25437</v>
      </c>
      <c r="I4258" s="110" t="s">
        <v>25438</v>
      </c>
    </row>
    <row r="4259" spans="1:9" ht="50.4" x14ac:dyDescent="0.3">
      <c r="A4259" s="109" t="s">
        <v>25439</v>
      </c>
      <c r="B4259" s="109" t="s">
        <v>24974</v>
      </c>
      <c r="C4259" s="109" t="s">
        <v>24974</v>
      </c>
      <c r="D4259" s="109" t="s">
        <v>23566</v>
      </c>
      <c r="E4259" s="109" t="s">
        <v>25440</v>
      </c>
      <c r="F4259" s="109" t="s">
        <v>25441</v>
      </c>
      <c r="G4259" s="110" t="s">
        <v>6248</v>
      </c>
      <c r="H4259" s="110" t="s">
        <v>25442</v>
      </c>
      <c r="I4259" s="110" t="s">
        <v>25443</v>
      </c>
    </row>
    <row r="4260" spans="1:9" ht="63" x14ac:dyDescent="0.3">
      <c r="A4260" s="109" t="s">
        <v>25444</v>
      </c>
      <c r="B4260" s="109" t="s">
        <v>24974</v>
      </c>
      <c r="C4260" s="109" t="s">
        <v>24974</v>
      </c>
      <c r="D4260" s="109" t="s">
        <v>25445</v>
      </c>
      <c r="E4260" s="109" t="s">
        <v>25445</v>
      </c>
      <c r="F4260" s="109" t="s">
        <v>25446</v>
      </c>
      <c r="G4260" s="110" t="s">
        <v>6248</v>
      </c>
      <c r="H4260" s="110" t="s">
        <v>25447</v>
      </c>
      <c r="I4260" s="110" t="s">
        <v>25448</v>
      </c>
    </row>
    <row r="4261" spans="1:9" ht="63" x14ac:dyDescent="0.3">
      <c r="A4261" s="109" t="s">
        <v>25449</v>
      </c>
      <c r="B4261" s="109" t="s">
        <v>24974</v>
      </c>
      <c r="C4261" s="109" t="s">
        <v>24974</v>
      </c>
      <c r="D4261" s="109" t="s">
        <v>25450</v>
      </c>
      <c r="E4261" s="109" t="s">
        <v>25450</v>
      </c>
      <c r="F4261" s="109" t="s">
        <v>25451</v>
      </c>
      <c r="G4261" s="110" t="s">
        <v>6248</v>
      </c>
      <c r="H4261" s="110" t="s">
        <v>25452</v>
      </c>
      <c r="I4261" s="110" t="s">
        <v>25453</v>
      </c>
    </row>
    <row r="4262" spans="1:9" ht="25.2" x14ac:dyDescent="0.3">
      <c r="A4262" s="109" t="s">
        <v>25454</v>
      </c>
      <c r="B4262" s="109" t="s">
        <v>24974</v>
      </c>
      <c r="C4262" s="109" t="s">
        <v>24974</v>
      </c>
      <c r="D4262" s="109" t="s">
        <v>3789</v>
      </c>
      <c r="E4262" s="109" t="s">
        <v>25455</v>
      </c>
      <c r="F4262" s="109" t="s">
        <v>11926</v>
      </c>
      <c r="G4262" s="110" t="s">
        <v>6248</v>
      </c>
      <c r="H4262" s="110" t="s">
        <v>25456</v>
      </c>
      <c r="I4262" s="110" t="s">
        <v>25457</v>
      </c>
    </row>
    <row r="4263" spans="1:9" ht="37.799999999999997" x14ac:dyDescent="0.3">
      <c r="A4263" s="109" t="s">
        <v>25458</v>
      </c>
      <c r="B4263" s="109" t="s">
        <v>24974</v>
      </c>
      <c r="C4263" s="109" t="s">
        <v>24974</v>
      </c>
      <c r="D4263" s="109" t="s">
        <v>25459</v>
      </c>
      <c r="E4263" s="109" t="s">
        <v>5558</v>
      </c>
      <c r="F4263" s="109" t="s">
        <v>25460</v>
      </c>
      <c r="G4263" s="110" t="s">
        <v>6248</v>
      </c>
      <c r="H4263" s="110" t="s">
        <v>25461</v>
      </c>
      <c r="I4263" s="110" t="s">
        <v>25462</v>
      </c>
    </row>
    <row r="4264" spans="1:9" ht="37.799999999999997" x14ac:dyDescent="0.3">
      <c r="A4264" s="109" t="s">
        <v>25463</v>
      </c>
      <c r="B4264" s="109" t="s">
        <v>24974</v>
      </c>
      <c r="C4264" s="109" t="s">
        <v>24974</v>
      </c>
      <c r="D4264" s="109" t="s">
        <v>3636</v>
      </c>
      <c r="E4264" s="109" t="s">
        <v>5558</v>
      </c>
      <c r="F4264" s="109" t="s">
        <v>25464</v>
      </c>
      <c r="G4264" s="110" t="s">
        <v>6248</v>
      </c>
      <c r="H4264" s="110" t="s">
        <v>9199</v>
      </c>
      <c r="I4264" s="110" t="s">
        <v>25465</v>
      </c>
    </row>
    <row r="4265" spans="1:9" ht="25.2" x14ac:dyDescent="0.3">
      <c r="A4265" s="109" t="s">
        <v>25466</v>
      </c>
      <c r="B4265" s="109" t="s">
        <v>24974</v>
      </c>
      <c r="C4265" s="109" t="s">
        <v>24974</v>
      </c>
      <c r="D4265" s="109" t="s">
        <v>25467</v>
      </c>
      <c r="E4265" s="109" t="s">
        <v>5558</v>
      </c>
      <c r="F4265" s="109" t="s">
        <v>25468</v>
      </c>
      <c r="G4265" s="110" t="s">
        <v>6248</v>
      </c>
      <c r="H4265" s="110" t="s">
        <v>25469</v>
      </c>
      <c r="I4265" s="110" t="s">
        <v>25470</v>
      </c>
    </row>
    <row r="4266" spans="1:9" ht="25.2" x14ac:dyDescent="0.3">
      <c r="A4266" s="109" t="s">
        <v>25471</v>
      </c>
      <c r="B4266" s="109" t="s">
        <v>24974</v>
      </c>
      <c r="C4266" s="109" t="s">
        <v>24974</v>
      </c>
      <c r="D4266" s="109" t="s">
        <v>5569</v>
      </c>
      <c r="E4266" s="109" t="s">
        <v>5558</v>
      </c>
      <c r="F4266" s="109" t="s">
        <v>2258</v>
      </c>
      <c r="G4266" s="110" t="s">
        <v>6248</v>
      </c>
      <c r="H4266" s="110" t="s">
        <v>25472</v>
      </c>
      <c r="I4266" s="110" t="s">
        <v>25473</v>
      </c>
    </row>
    <row r="4267" spans="1:9" ht="25.2" x14ac:dyDescent="0.3">
      <c r="A4267" s="109" t="s">
        <v>25474</v>
      </c>
      <c r="B4267" s="109" t="s">
        <v>24974</v>
      </c>
      <c r="C4267" s="109" t="s">
        <v>24974</v>
      </c>
      <c r="D4267" s="109" t="s">
        <v>25475</v>
      </c>
      <c r="E4267" s="109" t="s">
        <v>5558</v>
      </c>
      <c r="F4267" s="109" t="s">
        <v>25476</v>
      </c>
      <c r="G4267" s="110" t="s">
        <v>6248</v>
      </c>
      <c r="H4267" s="110" t="s">
        <v>25477</v>
      </c>
      <c r="I4267" s="110" t="s">
        <v>25478</v>
      </c>
    </row>
    <row r="4268" spans="1:9" ht="37.799999999999997" x14ac:dyDescent="0.3">
      <c r="A4268" s="109" t="s">
        <v>25479</v>
      </c>
      <c r="B4268" s="109" t="s">
        <v>24974</v>
      </c>
      <c r="C4268" s="109" t="s">
        <v>24974</v>
      </c>
      <c r="D4268" s="109" t="s">
        <v>25480</v>
      </c>
      <c r="E4268" s="109" t="s">
        <v>5558</v>
      </c>
      <c r="F4268" s="109" t="s">
        <v>25481</v>
      </c>
      <c r="G4268" s="110" t="s">
        <v>6248</v>
      </c>
      <c r="H4268" s="110" t="s">
        <v>25482</v>
      </c>
      <c r="I4268" s="110" t="s">
        <v>25483</v>
      </c>
    </row>
    <row r="4269" spans="1:9" ht="37.799999999999997" x14ac:dyDescent="0.3">
      <c r="A4269" s="109" t="s">
        <v>25484</v>
      </c>
      <c r="B4269" s="109" t="s">
        <v>24974</v>
      </c>
      <c r="C4269" s="109" t="s">
        <v>24974</v>
      </c>
      <c r="D4269" s="109" t="s">
        <v>25485</v>
      </c>
      <c r="E4269" s="109" t="s">
        <v>5558</v>
      </c>
      <c r="F4269" s="109" t="s">
        <v>25486</v>
      </c>
      <c r="G4269" s="110" t="s">
        <v>6248</v>
      </c>
      <c r="H4269" s="110" t="s">
        <v>25487</v>
      </c>
      <c r="I4269" s="110" t="s">
        <v>25488</v>
      </c>
    </row>
    <row r="4270" spans="1:9" ht="25.2" x14ac:dyDescent="0.3">
      <c r="A4270" s="109" t="s">
        <v>25489</v>
      </c>
      <c r="B4270" s="109" t="s">
        <v>24974</v>
      </c>
      <c r="C4270" s="109" t="s">
        <v>24974</v>
      </c>
      <c r="D4270" s="109" t="s">
        <v>25490</v>
      </c>
      <c r="E4270" s="109" t="s">
        <v>25491</v>
      </c>
      <c r="F4270" s="109" t="s">
        <v>25492</v>
      </c>
      <c r="G4270" s="110" t="s">
        <v>6248</v>
      </c>
      <c r="H4270" s="110" t="s">
        <v>25493</v>
      </c>
      <c r="I4270" s="110" t="s">
        <v>25494</v>
      </c>
    </row>
    <row r="4271" spans="1:9" ht="37.799999999999997" x14ac:dyDescent="0.3">
      <c r="A4271" s="109" t="s">
        <v>25495</v>
      </c>
      <c r="B4271" s="109" t="s">
        <v>24974</v>
      </c>
      <c r="C4271" s="109" t="s">
        <v>24974</v>
      </c>
      <c r="D4271" s="109" t="s">
        <v>25496</v>
      </c>
      <c r="E4271" s="109" t="s">
        <v>5558</v>
      </c>
      <c r="F4271" s="109" t="s">
        <v>25497</v>
      </c>
      <c r="G4271" s="110" t="s">
        <v>6248</v>
      </c>
      <c r="H4271" s="110" t="s">
        <v>25498</v>
      </c>
      <c r="I4271" s="110" t="s">
        <v>25499</v>
      </c>
    </row>
    <row r="4272" spans="1:9" ht="37.799999999999997" x14ac:dyDescent="0.3">
      <c r="A4272" s="109" t="s">
        <v>25500</v>
      </c>
      <c r="B4272" s="109" t="s">
        <v>24974</v>
      </c>
      <c r="C4272" s="109" t="s">
        <v>24974</v>
      </c>
      <c r="D4272" s="109" t="s">
        <v>25501</v>
      </c>
      <c r="E4272" s="109" t="s">
        <v>5558</v>
      </c>
      <c r="F4272" s="109" t="s">
        <v>25502</v>
      </c>
      <c r="G4272" s="110" t="s">
        <v>6248</v>
      </c>
      <c r="H4272" s="110" t="s">
        <v>25503</v>
      </c>
      <c r="I4272" s="110" t="s">
        <v>25504</v>
      </c>
    </row>
    <row r="4273" spans="1:9" ht="25.2" x14ac:dyDescent="0.3">
      <c r="A4273" s="109" t="s">
        <v>25505</v>
      </c>
      <c r="B4273" s="109" t="s">
        <v>24974</v>
      </c>
      <c r="C4273" s="109" t="s">
        <v>24974</v>
      </c>
      <c r="D4273" s="109" t="s">
        <v>3663</v>
      </c>
      <c r="E4273" s="109" t="s">
        <v>7190</v>
      </c>
      <c r="F4273" s="109" t="s">
        <v>7191</v>
      </c>
      <c r="G4273" s="110" t="s">
        <v>6248</v>
      </c>
      <c r="H4273" s="110" t="s">
        <v>25506</v>
      </c>
      <c r="I4273" s="110" t="s">
        <v>25507</v>
      </c>
    </row>
    <row r="4274" spans="1:9" ht="25.2" x14ac:dyDescent="0.3">
      <c r="A4274" s="109" t="s">
        <v>25508</v>
      </c>
      <c r="B4274" s="109" t="s">
        <v>24974</v>
      </c>
      <c r="C4274" s="109" t="s">
        <v>24974</v>
      </c>
      <c r="D4274" s="109" t="s">
        <v>25509</v>
      </c>
      <c r="E4274" s="109" t="s">
        <v>5558</v>
      </c>
      <c r="F4274" s="109" t="s">
        <v>25510</v>
      </c>
      <c r="G4274" s="110" t="s">
        <v>6248</v>
      </c>
      <c r="H4274" s="110" t="s">
        <v>7321</v>
      </c>
      <c r="I4274" s="110" t="s">
        <v>25511</v>
      </c>
    </row>
    <row r="4275" spans="1:9" ht="25.2" x14ac:dyDescent="0.3">
      <c r="A4275" s="109" t="s">
        <v>25512</v>
      </c>
      <c r="B4275" s="109" t="s">
        <v>24974</v>
      </c>
      <c r="C4275" s="109" t="s">
        <v>24974</v>
      </c>
      <c r="D4275" s="109" t="s">
        <v>25513</v>
      </c>
      <c r="E4275" s="109" t="s">
        <v>5558</v>
      </c>
      <c r="F4275" s="109" t="s">
        <v>25514</v>
      </c>
      <c r="G4275" s="110" t="s">
        <v>6248</v>
      </c>
      <c r="H4275" s="110" t="s">
        <v>24765</v>
      </c>
      <c r="I4275" s="110" t="s">
        <v>25515</v>
      </c>
    </row>
    <row r="4276" spans="1:9" ht="25.2" x14ac:dyDescent="0.3">
      <c r="A4276" s="109" t="s">
        <v>25516</v>
      </c>
      <c r="B4276" s="109" t="s">
        <v>24974</v>
      </c>
      <c r="C4276" s="109" t="s">
        <v>24974</v>
      </c>
      <c r="D4276" s="109" t="s">
        <v>25517</v>
      </c>
      <c r="E4276" s="109" t="s">
        <v>25518</v>
      </c>
      <c r="F4276" s="109" t="s">
        <v>14190</v>
      </c>
      <c r="G4276" s="110" t="s">
        <v>6248</v>
      </c>
      <c r="H4276" s="110" t="s">
        <v>12025</v>
      </c>
      <c r="I4276" s="110" t="s">
        <v>25519</v>
      </c>
    </row>
    <row r="4277" spans="1:9" ht="25.2" x14ac:dyDescent="0.3">
      <c r="A4277" s="109" t="s">
        <v>25520</v>
      </c>
      <c r="B4277" s="109" t="s">
        <v>24974</v>
      </c>
      <c r="C4277" s="109" t="s">
        <v>24974</v>
      </c>
      <c r="D4277" s="109" t="s">
        <v>25521</v>
      </c>
      <c r="E4277" s="109" t="s">
        <v>25522</v>
      </c>
      <c r="F4277" s="109" t="s">
        <v>12655</v>
      </c>
      <c r="G4277" s="110" t="s">
        <v>6248</v>
      </c>
      <c r="H4277" s="110" t="s">
        <v>25523</v>
      </c>
      <c r="I4277" s="110" t="s">
        <v>25524</v>
      </c>
    </row>
    <row r="4278" spans="1:9" ht="25.2" x14ac:dyDescent="0.3">
      <c r="A4278" s="109" t="s">
        <v>25525</v>
      </c>
      <c r="B4278" s="109" t="s">
        <v>24974</v>
      </c>
      <c r="C4278" s="109" t="s">
        <v>24974</v>
      </c>
      <c r="D4278" s="109" t="s">
        <v>25526</v>
      </c>
      <c r="E4278" s="109" t="s">
        <v>5558</v>
      </c>
      <c r="F4278" s="109" t="s">
        <v>25527</v>
      </c>
      <c r="G4278" s="110" t="s">
        <v>6248</v>
      </c>
      <c r="H4278" s="110" t="s">
        <v>19424</v>
      </c>
      <c r="I4278" s="110" t="s">
        <v>25528</v>
      </c>
    </row>
    <row r="4279" spans="1:9" ht="25.2" x14ac:dyDescent="0.3">
      <c r="A4279" s="109" t="s">
        <v>25529</v>
      </c>
      <c r="B4279" s="109" t="s">
        <v>24974</v>
      </c>
      <c r="C4279" s="109" t="s">
        <v>24974</v>
      </c>
      <c r="D4279" s="109" t="s">
        <v>25530</v>
      </c>
      <c r="E4279" s="109" t="s">
        <v>5558</v>
      </c>
      <c r="F4279" s="109" t="s">
        <v>25531</v>
      </c>
      <c r="G4279" s="110" t="s">
        <v>6248</v>
      </c>
      <c r="H4279" s="110" t="s">
        <v>8939</v>
      </c>
      <c r="I4279" s="110" t="s">
        <v>25532</v>
      </c>
    </row>
    <row r="4280" spans="1:9" ht="25.2" x14ac:dyDescent="0.3">
      <c r="A4280" s="109" t="s">
        <v>25533</v>
      </c>
      <c r="B4280" s="109" t="s">
        <v>24974</v>
      </c>
      <c r="C4280" s="109" t="s">
        <v>24974</v>
      </c>
      <c r="D4280" s="109" t="s">
        <v>25534</v>
      </c>
      <c r="E4280" s="109" t="s">
        <v>5558</v>
      </c>
      <c r="F4280" s="109" t="s">
        <v>25535</v>
      </c>
      <c r="G4280" s="110" t="s">
        <v>6248</v>
      </c>
      <c r="H4280" s="110" t="s">
        <v>25536</v>
      </c>
      <c r="I4280" s="110" t="s">
        <v>25537</v>
      </c>
    </row>
    <row r="4281" spans="1:9" ht="25.2" x14ac:dyDescent="0.3">
      <c r="A4281" s="109" t="s">
        <v>25538</v>
      </c>
      <c r="B4281" s="109" t="s">
        <v>24974</v>
      </c>
      <c r="C4281" s="109" t="s">
        <v>24974</v>
      </c>
      <c r="D4281" s="109" t="s">
        <v>25539</v>
      </c>
      <c r="E4281" s="109" t="s">
        <v>25400</v>
      </c>
      <c r="F4281" s="109" t="s">
        <v>7181</v>
      </c>
      <c r="G4281" s="110" t="s">
        <v>25540</v>
      </c>
      <c r="H4281" s="110" t="s">
        <v>6248</v>
      </c>
      <c r="I4281" s="110" t="s">
        <v>25541</v>
      </c>
    </row>
    <row r="4282" spans="1:9" ht="25.2" x14ac:dyDescent="0.3">
      <c r="A4282" s="109" t="s">
        <v>25542</v>
      </c>
      <c r="B4282" s="109" t="s">
        <v>24974</v>
      </c>
      <c r="C4282" s="109" t="s">
        <v>24974</v>
      </c>
      <c r="D4282" s="109" t="s">
        <v>25543</v>
      </c>
      <c r="E4282" s="109" t="s">
        <v>8428</v>
      </c>
      <c r="F4282" s="109" t="s">
        <v>8914</v>
      </c>
      <c r="G4282" s="110" t="s">
        <v>6248</v>
      </c>
      <c r="H4282" s="110" t="s">
        <v>25544</v>
      </c>
      <c r="I4282" s="110" t="s">
        <v>25545</v>
      </c>
    </row>
    <row r="4283" spans="1:9" ht="25.2" x14ac:dyDescent="0.3">
      <c r="A4283" s="109" t="s">
        <v>25546</v>
      </c>
      <c r="B4283" s="109" t="s">
        <v>24974</v>
      </c>
      <c r="C4283" s="109" t="s">
        <v>24974</v>
      </c>
      <c r="D4283" s="109" t="s">
        <v>25547</v>
      </c>
      <c r="E4283" s="109" t="s">
        <v>25548</v>
      </c>
      <c r="F4283" s="109" t="s">
        <v>19625</v>
      </c>
      <c r="G4283" s="110" t="s">
        <v>6248</v>
      </c>
      <c r="H4283" s="110" t="s">
        <v>25549</v>
      </c>
      <c r="I4283" s="110" t="s">
        <v>25550</v>
      </c>
    </row>
    <row r="4284" spans="1:9" ht="25.2" x14ac:dyDescent="0.3">
      <c r="A4284" s="109" t="s">
        <v>25551</v>
      </c>
      <c r="B4284" s="109" t="s">
        <v>24974</v>
      </c>
      <c r="C4284" s="109" t="s">
        <v>24974</v>
      </c>
      <c r="D4284" s="109" t="s">
        <v>25552</v>
      </c>
      <c r="E4284" s="109" t="s">
        <v>5558</v>
      </c>
      <c r="F4284" s="109" t="s">
        <v>25553</v>
      </c>
      <c r="G4284" s="110" t="s">
        <v>6248</v>
      </c>
      <c r="H4284" s="110" t="s">
        <v>20091</v>
      </c>
      <c r="I4284" s="110" t="s">
        <v>25554</v>
      </c>
    </row>
    <row r="4285" spans="1:9" ht="50.4" x14ac:dyDescent="0.3">
      <c r="A4285" s="109" t="s">
        <v>25555</v>
      </c>
      <c r="B4285" s="109" t="s">
        <v>24974</v>
      </c>
      <c r="C4285" s="109" t="s">
        <v>24974</v>
      </c>
      <c r="D4285" s="109" t="s">
        <v>9836</v>
      </c>
      <c r="E4285" s="109" t="s">
        <v>9836</v>
      </c>
      <c r="F4285" s="109" t="s">
        <v>25556</v>
      </c>
      <c r="G4285" s="110" t="s">
        <v>6248</v>
      </c>
      <c r="H4285" s="110" t="s">
        <v>25557</v>
      </c>
      <c r="I4285" s="110" t="s">
        <v>25558</v>
      </c>
    </row>
    <row r="4286" spans="1:9" ht="25.2" x14ac:dyDescent="0.3">
      <c r="A4286" s="109" t="s">
        <v>25559</v>
      </c>
      <c r="B4286" s="109" t="s">
        <v>24974</v>
      </c>
      <c r="C4286" s="109" t="s">
        <v>24974</v>
      </c>
      <c r="D4286" s="109" t="s">
        <v>3710</v>
      </c>
      <c r="E4286" s="109" t="s">
        <v>5558</v>
      </c>
      <c r="F4286" s="109" t="s">
        <v>25560</v>
      </c>
      <c r="G4286" s="110" t="s">
        <v>6248</v>
      </c>
      <c r="H4286" s="110" t="s">
        <v>25561</v>
      </c>
      <c r="I4286" s="110" t="s">
        <v>25562</v>
      </c>
    </row>
    <row r="4287" spans="1:9" ht="50.4" x14ac:dyDescent="0.3">
      <c r="A4287" s="109" t="s">
        <v>25563</v>
      </c>
      <c r="B4287" s="109" t="s">
        <v>24974</v>
      </c>
      <c r="C4287" s="109" t="s">
        <v>24974</v>
      </c>
      <c r="D4287" s="109" t="s">
        <v>25564</v>
      </c>
      <c r="E4287" s="109" t="s">
        <v>25564</v>
      </c>
      <c r="F4287" s="109" t="s">
        <v>25565</v>
      </c>
      <c r="G4287" s="110" t="s">
        <v>6248</v>
      </c>
      <c r="H4287" s="110" t="s">
        <v>25566</v>
      </c>
      <c r="I4287" s="110" t="s">
        <v>25567</v>
      </c>
    </row>
    <row r="4288" spans="1:9" ht="37.799999999999997" x14ac:dyDescent="0.3">
      <c r="A4288" s="109" t="s">
        <v>25568</v>
      </c>
      <c r="B4288" s="109" t="s">
        <v>24974</v>
      </c>
      <c r="C4288" s="109" t="s">
        <v>24974</v>
      </c>
      <c r="D4288" s="109" t="s">
        <v>15416</v>
      </c>
      <c r="E4288" s="109" t="s">
        <v>25569</v>
      </c>
      <c r="F4288" s="109" t="s">
        <v>25570</v>
      </c>
      <c r="G4288" s="110" t="s">
        <v>6248</v>
      </c>
      <c r="H4288" s="110" t="s">
        <v>25571</v>
      </c>
      <c r="I4288" s="110" t="s">
        <v>25572</v>
      </c>
    </row>
    <row r="4289" spans="1:9" ht="25.2" x14ac:dyDescent="0.3">
      <c r="A4289" s="109" t="s">
        <v>25573</v>
      </c>
      <c r="B4289" s="109" t="s">
        <v>24974</v>
      </c>
      <c r="C4289" s="109" t="s">
        <v>24974</v>
      </c>
      <c r="D4289" s="109" t="s">
        <v>3932</v>
      </c>
      <c r="E4289" s="109" t="s">
        <v>5558</v>
      </c>
      <c r="F4289" s="109" t="s">
        <v>25574</v>
      </c>
      <c r="G4289" s="110" t="s">
        <v>6248</v>
      </c>
      <c r="H4289" s="110" t="s">
        <v>25575</v>
      </c>
      <c r="I4289" s="110" t="s">
        <v>25576</v>
      </c>
    </row>
    <row r="4290" spans="1:9" ht="25.2" x14ac:dyDescent="0.3">
      <c r="A4290" s="109" t="s">
        <v>25577</v>
      </c>
      <c r="B4290" s="109" t="s">
        <v>24974</v>
      </c>
      <c r="C4290" s="109" t="s">
        <v>24974</v>
      </c>
      <c r="D4290" s="109" t="s">
        <v>9717</v>
      </c>
      <c r="E4290" s="109" t="s">
        <v>5558</v>
      </c>
      <c r="F4290" s="109" t="s">
        <v>25578</v>
      </c>
      <c r="G4290" s="110" t="s">
        <v>6248</v>
      </c>
      <c r="H4290" s="110" t="s">
        <v>25579</v>
      </c>
      <c r="I4290" s="110" t="s">
        <v>25580</v>
      </c>
    </row>
    <row r="4291" spans="1:9" ht="50.4" x14ac:dyDescent="0.3">
      <c r="A4291" s="109" t="s">
        <v>25581</v>
      </c>
      <c r="B4291" s="109" t="s">
        <v>24974</v>
      </c>
      <c r="C4291" s="109" t="s">
        <v>24974</v>
      </c>
      <c r="D4291" s="109" t="s">
        <v>25582</v>
      </c>
      <c r="E4291" s="109" t="s">
        <v>25582</v>
      </c>
      <c r="F4291" s="109" t="s">
        <v>25583</v>
      </c>
      <c r="G4291" s="110" t="s">
        <v>6248</v>
      </c>
      <c r="H4291" s="110" t="s">
        <v>25584</v>
      </c>
      <c r="I4291" s="110" t="s">
        <v>25585</v>
      </c>
    </row>
    <row r="4292" spans="1:9" ht="50.4" x14ac:dyDescent="0.3">
      <c r="A4292" s="109" t="s">
        <v>25586</v>
      </c>
      <c r="B4292" s="109" t="s">
        <v>24974</v>
      </c>
      <c r="C4292" s="109" t="s">
        <v>24974</v>
      </c>
      <c r="D4292" s="109" t="s">
        <v>25587</v>
      </c>
      <c r="E4292" s="109" t="s">
        <v>25587</v>
      </c>
      <c r="F4292" s="109" t="s">
        <v>25588</v>
      </c>
      <c r="G4292" s="110" t="s">
        <v>6248</v>
      </c>
      <c r="H4292" s="110" t="s">
        <v>25589</v>
      </c>
      <c r="I4292" s="110" t="s">
        <v>25590</v>
      </c>
    </row>
    <row r="4293" spans="1:9" ht="50.4" x14ac:dyDescent="0.3">
      <c r="A4293" s="109" t="s">
        <v>25591</v>
      </c>
      <c r="B4293" s="109" t="s">
        <v>24974</v>
      </c>
      <c r="C4293" s="109" t="s">
        <v>24974</v>
      </c>
      <c r="D4293" s="109" t="s">
        <v>25592</v>
      </c>
      <c r="E4293" s="109" t="s">
        <v>25592</v>
      </c>
      <c r="F4293" s="109" t="s">
        <v>25593</v>
      </c>
      <c r="G4293" s="110" t="s">
        <v>6248</v>
      </c>
      <c r="H4293" s="110" t="s">
        <v>25594</v>
      </c>
      <c r="I4293" s="110" t="s">
        <v>25595</v>
      </c>
    </row>
    <row r="4294" spans="1:9" ht="50.4" x14ac:dyDescent="0.3">
      <c r="A4294" s="109" t="s">
        <v>25596</v>
      </c>
      <c r="B4294" s="109" t="s">
        <v>24974</v>
      </c>
      <c r="C4294" s="109" t="s">
        <v>24974</v>
      </c>
      <c r="D4294" s="109" t="s">
        <v>25597</v>
      </c>
      <c r="E4294" s="109" t="s">
        <v>25597</v>
      </c>
      <c r="F4294" s="109" t="s">
        <v>25598</v>
      </c>
      <c r="G4294" s="110" t="s">
        <v>6248</v>
      </c>
      <c r="H4294" s="110" t="s">
        <v>25599</v>
      </c>
      <c r="I4294" s="110" t="s">
        <v>25600</v>
      </c>
    </row>
    <row r="4295" spans="1:9" ht="37.799999999999997" x14ac:dyDescent="0.3">
      <c r="A4295" s="109" t="s">
        <v>25601</v>
      </c>
      <c r="B4295" s="109" t="s">
        <v>24974</v>
      </c>
      <c r="C4295" s="109" t="s">
        <v>24974</v>
      </c>
      <c r="D4295" s="109" t="s">
        <v>25602</v>
      </c>
      <c r="E4295" s="109" t="s">
        <v>5558</v>
      </c>
      <c r="F4295" s="109" t="s">
        <v>25603</v>
      </c>
      <c r="G4295" s="110" t="s">
        <v>6248</v>
      </c>
      <c r="H4295" s="110" t="s">
        <v>6310</v>
      </c>
      <c r="I4295" s="110" t="s">
        <v>25604</v>
      </c>
    </row>
    <row r="4296" spans="1:9" ht="37.799999999999997" x14ac:dyDescent="0.3">
      <c r="A4296" s="109" t="s">
        <v>25605</v>
      </c>
      <c r="B4296" s="109" t="s">
        <v>24974</v>
      </c>
      <c r="C4296" s="109" t="s">
        <v>24974</v>
      </c>
      <c r="D4296" s="109" t="s">
        <v>23959</v>
      </c>
      <c r="E4296" s="109" t="s">
        <v>25606</v>
      </c>
      <c r="F4296" s="109" t="s">
        <v>25607</v>
      </c>
      <c r="G4296" s="110" t="s">
        <v>6248</v>
      </c>
      <c r="H4296" s="110" t="s">
        <v>25608</v>
      </c>
      <c r="I4296" s="110" t="s">
        <v>25609</v>
      </c>
    </row>
    <row r="4297" spans="1:9" ht="37.799999999999997" x14ac:dyDescent="0.3">
      <c r="A4297" s="109" t="s">
        <v>25610</v>
      </c>
      <c r="B4297" s="109" t="s">
        <v>24974</v>
      </c>
      <c r="C4297" s="109" t="s">
        <v>24974</v>
      </c>
      <c r="D4297" s="109" t="s">
        <v>12448</v>
      </c>
      <c r="E4297" s="109" t="s">
        <v>25611</v>
      </c>
      <c r="F4297" s="109" t="s">
        <v>25612</v>
      </c>
      <c r="G4297" s="110" t="s">
        <v>6248</v>
      </c>
      <c r="H4297" s="110" t="s">
        <v>25613</v>
      </c>
      <c r="I4297" s="110" t="s">
        <v>25614</v>
      </c>
    </row>
    <row r="4298" spans="1:9" ht="50.4" x14ac:dyDescent="0.3">
      <c r="A4298" s="109" t="s">
        <v>25615</v>
      </c>
      <c r="B4298" s="109" t="s">
        <v>24974</v>
      </c>
      <c r="C4298" s="109" t="s">
        <v>24974</v>
      </c>
      <c r="D4298" s="109" t="s">
        <v>25616</v>
      </c>
      <c r="E4298" s="109" t="s">
        <v>25616</v>
      </c>
      <c r="F4298" s="109" t="s">
        <v>25617</v>
      </c>
      <c r="G4298" s="110" t="s">
        <v>6248</v>
      </c>
      <c r="H4298" s="110" t="s">
        <v>25618</v>
      </c>
      <c r="I4298" s="110" t="s">
        <v>25619</v>
      </c>
    </row>
    <row r="4299" spans="1:9" ht="37.799999999999997" x14ac:dyDescent="0.3">
      <c r="A4299" s="109" t="s">
        <v>25620</v>
      </c>
      <c r="B4299" s="109" t="s">
        <v>24974</v>
      </c>
      <c r="C4299" s="109" t="s">
        <v>24974</v>
      </c>
      <c r="D4299" s="109" t="s">
        <v>25621</v>
      </c>
      <c r="E4299" s="109" t="s">
        <v>5558</v>
      </c>
      <c r="F4299" s="109" t="s">
        <v>25622</v>
      </c>
      <c r="G4299" s="110" t="s">
        <v>6248</v>
      </c>
      <c r="H4299" s="110" t="s">
        <v>25623</v>
      </c>
      <c r="I4299" s="110" t="s">
        <v>25624</v>
      </c>
    </row>
    <row r="4300" spans="1:9" ht="63" x14ac:dyDescent="0.3">
      <c r="A4300" s="109" t="s">
        <v>25625</v>
      </c>
      <c r="B4300" s="109" t="s">
        <v>24974</v>
      </c>
      <c r="C4300" s="109" t="s">
        <v>24974</v>
      </c>
      <c r="D4300" s="109" t="s">
        <v>25626</v>
      </c>
      <c r="E4300" s="109" t="s">
        <v>25626</v>
      </c>
      <c r="F4300" s="109" t="s">
        <v>25627</v>
      </c>
      <c r="G4300" s="110" t="s">
        <v>6248</v>
      </c>
      <c r="H4300" s="110" t="s">
        <v>25628</v>
      </c>
      <c r="I4300" s="110" t="s">
        <v>25629</v>
      </c>
    </row>
    <row r="4301" spans="1:9" ht="50.4" x14ac:dyDescent="0.3">
      <c r="A4301" s="109" t="s">
        <v>25630</v>
      </c>
      <c r="B4301" s="109" t="s">
        <v>24974</v>
      </c>
      <c r="C4301" s="109" t="s">
        <v>24974</v>
      </c>
      <c r="D4301" s="109" t="s">
        <v>25631</v>
      </c>
      <c r="E4301" s="109" t="s">
        <v>25631</v>
      </c>
      <c r="F4301" s="109" t="s">
        <v>25632</v>
      </c>
      <c r="G4301" s="110" t="s">
        <v>6248</v>
      </c>
      <c r="H4301" s="110" t="s">
        <v>25633</v>
      </c>
      <c r="I4301" s="110" t="s">
        <v>25634</v>
      </c>
    </row>
    <row r="4302" spans="1:9" ht="37.799999999999997" x14ac:dyDescent="0.3">
      <c r="A4302" s="109" t="s">
        <v>25635</v>
      </c>
      <c r="B4302" s="109" t="s">
        <v>24974</v>
      </c>
      <c r="C4302" s="109" t="s">
        <v>24974</v>
      </c>
      <c r="D4302" s="109" t="s">
        <v>25636</v>
      </c>
      <c r="E4302" s="109" t="s">
        <v>5558</v>
      </c>
      <c r="F4302" s="109" t="s">
        <v>25637</v>
      </c>
      <c r="G4302" s="110" t="s">
        <v>6248</v>
      </c>
      <c r="H4302" s="110" t="s">
        <v>25638</v>
      </c>
      <c r="I4302" s="110" t="s">
        <v>25639</v>
      </c>
    </row>
    <row r="4303" spans="1:9" ht="50.4" x14ac:dyDescent="0.3">
      <c r="A4303" s="109" t="s">
        <v>25640</v>
      </c>
      <c r="B4303" s="109" t="s">
        <v>24974</v>
      </c>
      <c r="C4303" s="109" t="s">
        <v>24974</v>
      </c>
      <c r="D4303" s="109" t="s">
        <v>25641</v>
      </c>
      <c r="E4303" s="109" t="s">
        <v>25641</v>
      </c>
      <c r="F4303" s="109" t="s">
        <v>25642</v>
      </c>
      <c r="G4303" s="110" t="s">
        <v>6248</v>
      </c>
      <c r="H4303" s="110" t="s">
        <v>25643</v>
      </c>
      <c r="I4303" s="110" t="s">
        <v>25644</v>
      </c>
    </row>
    <row r="4304" spans="1:9" ht="63" x14ac:dyDescent="0.3">
      <c r="A4304" s="109" t="s">
        <v>25645</v>
      </c>
      <c r="B4304" s="109" t="s">
        <v>24974</v>
      </c>
      <c r="C4304" s="109" t="s">
        <v>24974</v>
      </c>
      <c r="D4304" s="109" t="s">
        <v>25646</v>
      </c>
      <c r="E4304" s="109" t="s">
        <v>25646</v>
      </c>
      <c r="F4304" s="109" t="s">
        <v>25647</v>
      </c>
      <c r="G4304" s="110" t="s">
        <v>6248</v>
      </c>
      <c r="H4304" s="110" t="s">
        <v>25648</v>
      </c>
      <c r="I4304" s="110" t="s">
        <v>25649</v>
      </c>
    </row>
    <row r="4305" spans="1:9" ht="50.4" x14ac:dyDescent="0.3">
      <c r="A4305" s="109" t="s">
        <v>25650</v>
      </c>
      <c r="B4305" s="109" t="s">
        <v>24974</v>
      </c>
      <c r="C4305" s="109" t="s">
        <v>24974</v>
      </c>
      <c r="D4305" s="109" t="s">
        <v>25651</v>
      </c>
      <c r="E4305" s="109" t="s">
        <v>25651</v>
      </c>
      <c r="F4305" s="109" t="s">
        <v>25652</v>
      </c>
      <c r="G4305" s="110" t="s">
        <v>6248</v>
      </c>
      <c r="H4305" s="110" t="s">
        <v>25653</v>
      </c>
      <c r="I4305" s="110" t="s">
        <v>25654</v>
      </c>
    </row>
    <row r="4306" spans="1:9" ht="37.799999999999997" x14ac:dyDescent="0.3">
      <c r="A4306" s="109" t="s">
        <v>25655</v>
      </c>
      <c r="B4306" s="109" t="s">
        <v>24974</v>
      </c>
      <c r="C4306" s="109" t="s">
        <v>24974</v>
      </c>
      <c r="D4306" s="109" t="s">
        <v>25656</v>
      </c>
      <c r="E4306" s="109" t="s">
        <v>9998</v>
      </c>
      <c r="F4306" s="109" t="s">
        <v>25657</v>
      </c>
      <c r="G4306" s="110" t="s">
        <v>6248</v>
      </c>
      <c r="H4306" s="110" t="s">
        <v>25076</v>
      </c>
      <c r="I4306" s="110" t="s">
        <v>25658</v>
      </c>
    </row>
    <row r="4307" spans="1:9" ht="37.799999999999997" x14ac:dyDescent="0.3">
      <c r="A4307" s="109" t="s">
        <v>25659</v>
      </c>
      <c r="B4307" s="109" t="s">
        <v>24974</v>
      </c>
      <c r="C4307" s="109" t="s">
        <v>24974</v>
      </c>
      <c r="D4307" s="109" t="s">
        <v>25660</v>
      </c>
      <c r="E4307" s="109" t="s">
        <v>25660</v>
      </c>
      <c r="F4307" s="109" t="s">
        <v>25661</v>
      </c>
      <c r="G4307" s="110" t="s">
        <v>6248</v>
      </c>
      <c r="H4307" s="110" t="s">
        <v>25662</v>
      </c>
      <c r="I4307" s="110" t="s">
        <v>25663</v>
      </c>
    </row>
    <row r="4308" spans="1:9" ht="37.799999999999997" x14ac:dyDescent="0.3">
      <c r="A4308" s="109" t="s">
        <v>25664</v>
      </c>
      <c r="B4308" s="109" t="s">
        <v>24974</v>
      </c>
      <c r="C4308" s="109" t="s">
        <v>24974</v>
      </c>
      <c r="D4308" s="109" t="s">
        <v>23896</v>
      </c>
      <c r="E4308" s="109" t="s">
        <v>14456</v>
      </c>
      <c r="F4308" s="109" t="s">
        <v>25665</v>
      </c>
      <c r="G4308" s="110" t="s">
        <v>6248</v>
      </c>
      <c r="H4308" s="110" t="s">
        <v>25666</v>
      </c>
      <c r="I4308" s="110" t="s">
        <v>25667</v>
      </c>
    </row>
    <row r="4309" spans="1:9" ht="37.799999999999997" x14ac:dyDescent="0.3">
      <c r="A4309" s="109" t="s">
        <v>25668</v>
      </c>
      <c r="B4309" s="109" t="s">
        <v>24974</v>
      </c>
      <c r="C4309" s="109" t="s">
        <v>24974</v>
      </c>
      <c r="D4309" s="109" t="s">
        <v>25669</v>
      </c>
      <c r="E4309" s="109" t="s">
        <v>25669</v>
      </c>
      <c r="F4309" s="109" t="s">
        <v>25670</v>
      </c>
      <c r="G4309" s="110" t="s">
        <v>6248</v>
      </c>
      <c r="H4309" s="110" t="s">
        <v>25671</v>
      </c>
      <c r="I4309" s="110" t="s">
        <v>25672</v>
      </c>
    </row>
    <row r="4310" spans="1:9" ht="37.799999999999997" x14ac:dyDescent="0.3">
      <c r="A4310" s="109" t="s">
        <v>25673</v>
      </c>
      <c r="B4310" s="109" t="s">
        <v>24974</v>
      </c>
      <c r="C4310" s="109" t="s">
        <v>24974</v>
      </c>
      <c r="D4310" s="109" t="s">
        <v>25674</v>
      </c>
      <c r="E4310" s="109" t="s">
        <v>25674</v>
      </c>
      <c r="F4310" s="109" t="s">
        <v>25675</v>
      </c>
      <c r="G4310" s="110" t="s">
        <v>6248</v>
      </c>
      <c r="H4310" s="110" t="s">
        <v>25676</v>
      </c>
      <c r="I4310" s="110" t="s">
        <v>25677</v>
      </c>
    </row>
    <row r="4311" spans="1:9" ht="50.4" x14ac:dyDescent="0.3">
      <c r="A4311" s="109" t="s">
        <v>25678</v>
      </c>
      <c r="B4311" s="109" t="s">
        <v>24974</v>
      </c>
      <c r="C4311" s="109" t="s">
        <v>24974</v>
      </c>
      <c r="D4311" s="109" t="s">
        <v>13293</v>
      </c>
      <c r="E4311" s="109" t="s">
        <v>13293</v>
      </c>
      <c r="F4311" s="109" t="s">
        <v>25679</v>
      </c>
      <c r="G4311" s="110" t="s">
        <v>6248</v>
      </c>
      <c r="H4311" s="110" t="s">
        <v>25680</v>
      </c>
      <c r="I4311" s="110" t="s">
        <v>25681</v>
      </c>
    </row>
    <row r="4312" spans="1:9" ht="25.2" x14ac:dyDescent="0.3">
      <c r="A4312" s="109" t="s">
        <v>25682</v>
      </c>
      <c r="B4312" s="109" t="s">
        <v>24974</v>
      </c>
      <c r="C4312" s="109" t="s">
        <v>24974</v>
      </c>
      <c r="D4312" s="109" t="s">
        <v>25683</v>
      </c>
      <c r="E4312" s="109" t="s">
        <v>5558</v>
      </c>
      <c r="F4312" s="109" t="s">
        <v>25684</v>
      </c>
      <c r="G4312" s="110" t="s">
        <v>6248</v>
      </c>
      <c r="H4312" s="110" t="s">
        <v>25685</v>
      </c>
      <c r="I4312" s="110" t="s">
        <v>25686</v>
      </c>
    </row>
    <row r="4313" spans="1:9" ht="50.4" x14ac:dyDescent="0.3">
      <c r="A4313" s="109" t="s">
        <v>25687</v>
      </c>
      <c r="B4313" s="109" t="s">
        <v>24974</v>
      </c>
      <c r="C4313" s="109" t="s">
        <v>24974</v>
      </c>
      <c r="D4313" s="109" t="s">
        <v>25688</v>
      </c>
      <c r="E4313" s="109" t="s">
        <v>25688</v>
      </c>
      <c r="F4313" s="109" t="s">
        <v>25689</v>
      </c>
      <c r="G4313" s="110" t="s">
        <v>6248</v>
      </c>
      <c r="H4313" s="110" t="s">
        <v>25690</v>
      </c>
      <c r="I4313" s="110" t="s">
        <v>25691</v>
      </c>
    </row>
    <row r="4314" spans="1:9" ht="25.2" x14ac:dyDescent="0.3">
      <c r="A4314" s="109" t="s">
        <v>25692</v>
      </c>
      <c r="B4314" s="109" t="s">
        <v>24974</v>
      </c>
      <c r="C4314" s="109" t="s">
        <v>24974</v>
      </c>
      <c r="D4314" s="109" t="s">
        <v>3712</v>
      </c>
      <c r="E4314" s="109" t="s">
        <v>5558</v>
      </c>
      <c r="F4314" s="109" t="s">
        <v>25693</v>
      </c>
      <c r="G4314" s="110" t="s">
        <v>6248</v>
      </c>
      <c r="H4314" s="110" t="s">
        <v>25694</v>
      </c>
      <c r="I4314" s="110" t="s">
        <v>25695</v>
      </c>
    </row>
    <row r="4315" spans="1:9" ht="50.4" x14ac:dyDescent="0.3">
      <c r="A4315" s="109" t="s">
        <v>25696</v>
      </c>
      <c r="B4315" s="109" t="s">
        <v>24974</v>
      </c>
      <c r="C4315" s="109" t="s">
        <v>24974</v>
      </c>
      <c r="D4315" s="109" t="s">
        <v>25697</v>
      </c>
      <c r="E4315" s="109" t="s">
        <v>25697</v>
      </c>
      <c r="F4315" s="109" t="s">
        <v>25698</v>
      </c>
      <c r="G4315" s="110" t="s">
        <v>6248</v>
      </c>
      <c r="H4315" s="110" t="s">
        <v>25699</v>
      </c>
      <c r="I4315" s="110" t="s">
        <v>25700</v>
      </c>
    </row>
    <row r="4316" spans="1:9" ht="50.4" x14ac:dyDescent="0.3">
      <c r="A4316" s="109" t="s">
        <v>25701</v>
      </c>
      <c r="B4316" s="109" t="s">
        <v>24974</v>
      </c>
      <c r="C4316" s="109" t="s">
        <v>24974</v>
      </c>
      <c r="D4316" s="109" t="s">
        <v>25702</v>
      </c>
      <c r="E4316" s="109" t="s">
        <v>25702</v>
      </c>
      <c r="F4316" s="109" t="s">
        <v>25703</v>
      </c>
      <c r="G4316" s="110" t="s">
        <v>6248</v>
      </c>
      <c r="H4316" s="110" t="s">
        <v>25704</v>
      </c>
      <c r="I4316" s="110" t="s">
        <v>25705</v>
      </c>
    </row>
    <row r="4317" spans="1:9" ht="25.2" x14ac:dyDescent="0.3">
      <c r="A4317" s="109" t="s">
        <v>25706</v>
      </c>
      <c r="B4317" s="109" t="s">
        <v>24974</v>
      </c>
      <c r="C4317" s="109" t="s">
        <v>24974</v>
      </c>
      <c r="D4317" s="109" t="s">
        <v>25707</v>
      </c>
      <c r="E4317" s="109" t="s">
        <v>11159</v>
      </c>
      <c r="F4317" s="109" t="s">
        <v>25708</v>
      </c>
      <c r="G4317" s="110" t="s">
        <v>6248</v>
      </c>
      <c r="H4317" s="110" t="s">
        <v>12476</v>
      </c>
      <c r="I4317" s="110" t="s">
        <v>25709</v>
      </c>
    </row>
    <row r="4318" spans="1:9" ht="50.4" x14ac:dyDescent="0.3">
      <c r="A4318" s="109" t="s">
        <v>25710</v>
      </c>
      <c r="B4318" s="109" t="s">
        <v>24974</v>
      </c>
      <c r="C4318" s="109" t="s">
        <v>24974</v>
      </c>
      <c r="D4318" s="109" t="s">
        <v>25711</v>
      </c>
      <c r="E4318" s="109" t="s">
        <v>25711</v>
      </c>
      <c r="F4318" s="109" t="s">
        <v>25712</v>
      </c>
      <c r="G4318" s="110" t="s">
        <v>6248</v>
      </c>
      <c r="H4318" s="110" t="s">
        <v>25713</v>
      </c>
      <c r="I4318" s="110" t="s">
        <v>25714</v>
      </c>
    </row>
    <row r="4319" spans="1:9" ht="37.799999999999997" x14ac:dyDescent="0.3">
      <c r="A4319" s="109" t="s">
        <v>25715</v>
      </c>
      <c r="B4319" s="109" t="s">
        <v>24974</v>
      </c>
      <c r="C4319" s="109" t="s">
        <v>24974</v>
      </c>
      <c r="D4319" s="109" t="s">
        <v>25716</v>
      </c>
      <c r="E4319" s="109" t="s">
        <v>25716</v>
      </c>
      <c r="F4319" s="109" t="s">
        <v>25717</v>
      </c>
      <c r="G4319" s="110" t="s">
        <v>6248</v>
      </c>
      <c r="H4319" s="110" t="s">
        <v>25718</v>
      </c>
      <c r="I4319" s="110" t="s">
        <v>25719</v>
      </c>
    </row>
    <row r="4320" spans="1:9" ht="37.799999999999997" x14ac:dyDescent="0.3">
      <c r="A4320" s="109" t="s">
        <v>25720</v>
      </c>
      <c r="B4320" s="109" t="s">
        <v>24974</v>
      </c>
      <c r="C4320" s="109" t="s">
        <v>24974</v>
      </c>
      <c r="D4320" s="109" t="s">
        <v>8345</v>
      </c>
      <c r="E4320" s="109" t="s">
        <v>25721</v>
      </c>
      <c r="F4320" s="109" t="s">
        <v>25722</v>
      </c>
      <c r="G4320" s="110" t="s">
        <v>6248</v>
      </c>
      <c r="H4320" s="110" t="s">
        <v>12886</v>
      </c>
      <c r="I4320" s="110" t="s">
        <v>25723</v>
      </c>
    </row>
    <row r="4321" spans="1:9" ht="50.4" x14ac:dyDescent="0.3">
      <c r="A4321" s="109" t="s">
        <v>25724</v>
      </c>
      <c r="B4321" s="109" t="s">
        <v>24974</v>
      </c>
      <c r="C4321" s="109" t="s">
        <v>24974</v>
      </c>
      <c r="D4321" s="109" t="s">
        <v>25725</v>
      </c>
      <c r="E4321" s="109" t="s">
        <v>25725</v>
      </c>
      <c r="F4321" s="109" t="s">
        <v>25726</v>
      </c>
      <c r="G4321" s="110" t="s">
        <v>6248</v>
      </c>
      <c r="H4321" s="110" t="s">
        <v>25727</v>
      </c>
      <c r="I4321" s="110" t="s">
        <v>25728</v>
      </c>
    </row>
    <row r="4322" spans="1:9" ht="50.4" x14ac:dyDescent="0.3">
      <c r="A4322" s="109" t="s">
        <v>25729</v>
      </c>
      <c r="B4322" s="109" t="s">
        <v>24974</v>
      </c>
      <c r="C4322" s="109" t="s">
        <v>24974</v>
      </c>
      <c r="D4322" s="109" t="s">
        <v>25730</v>
      </c>
      <c r="E4322" s="109" t="s">
        <v>25730</v>
      </c>
      <c r="F4322" s="109" t="s">
        <v>25731</v>
      </c>
      <c r="G4322" s="110" t="s">
        <v>6248</v>
      </c>
      <c r="H4322" s="110" t="s">
        <v>25732</v>
      </c>
      <c r="I4322" s="110" t="s">
        <v>25733</v>
      </c>
    </row>
    <row r="4323" spans="1:9" ht="37.799999999999997" x14ac:dyDescent="0.3">
      <c r="A4323" s="109" t="s">
        <v>25734</v>
      </c>
      <c r="B4323" s="109" t="s">
        <v>24974</v>
      </c>
      <c r="C4323" s="109" t="s">
        <v>24974</v>
      </c>
      <c r="D4323" s="109" t="s">
        <v>25735</v>
      </c>
      <c r="E4323" s="109" t="s">
        <v>5558</v>
      </c>
      <c r="F4323" s="109" t="s">
        <v>25736</v>
      </c>
      <c r="G4323" s="110" t="s">
        <v>6248</v>
      </c>
      <c r="H4323" s="110" t="s">
        <v>7504</v>
      </c>
      <c r="I4323" s="110" t="s">
        <v>25737</v>
      </c>
    </row>
    <row r="4324" spans="1:9" ht="50.4" x14ac:dyDescent="0.3">
      <c r="A4324" s="109" t="s">
        <v>25738</v>
      </c>
      <c r="B4324" s="109" t="s">
        <v>24974</v>
      </c>
      <c r="C4324" s="109" t="s">
        <v>24974</v>
      </c>
      <c r="D4324" s="109" t="s">
        <v>25739</v>
      </c>
      <c r="E4324" s="109" t="s">
        <v>25739</v>
      </c>
      <c r="F4324" s="109" t="s">
        <v>25740</v>
      </c>
      <c r="G4324" s="110" t="s">
        <v>6248</v>
      </c>
      <c r="H4324" s="110" t="s">
        <v>25741</v>
      </c>
      <c r="I4324" s="110" t="s">
        <v>25742</v>
      </c>
    </row>
    <row r="4325" spans="1:9" ht="50.4" x14ac:dyDescent="0.3">
      <c r="A4325" s="109" t="s">
        <v>25743</v>
      </c>
      <c r="B4325" s="109" t="s">
        <v>24974</v>
      </c>
      <c r="C4325" s="109" t="s">
        <v>24974</v>
      </c>
      <c r="D4325" s="109" t="s">
        <v>25744</v>
      </c>
      <c r="E4325" s="109" t="s">
        <v>25744</v>
      </c>
      <c r="F4325" s="109" t="s">
        <v>25745</v>
      </c>
      <c r="G4325" s="110" t="s">
        <v>6248</v>
      </c>
      <c r="H4325" s="110" t="s">
        <v>25746</v>
      </c>
      <c r="I4325" s="110" t="s">
        <v>25747</v>
      </c>
    </row>
    <row r="4326" spans="1:9" ht="50.4" x14ac:dyDescent="0.3">
      <c r="A4326" s="109" t="s">
        <v>25748</v>
      </c>
      <c r="B4326" s="109" t="s">
        <v>24974</v>
      </c>
      <c r="C4326" s="109" t="s">
        <v>24974</v>
      </c>
      <c r="D4326" s="109" t="s">
        <v>25749</v>
      </c>
      <c r="E4326" s="109" t="s">
        <v>25749</v>
      </c>
      <c r="F4326" s="109" t="s">
        <v>25750</v>
      </c>
      <c r="G4326" s="110" t="s">
        <v>6248</v>
      </c>
      <c r="H4326" s="110" t="s">
        <v>25751</v>
      </c>
      <c r="I4326" s="110" t="s">
        <v>25752</v>
      </c>
    </row>
    <row r="4327" spans="1:9" ht="50.4" x14ac:dyDescent="0.3">
      <c r="A4327" s="109" t="s">
        <v>25753</v>
      </c>
      <c r="B4327" s="109" t="s">
        <v>24974</v>
      </c>
      <c r="C4327" s="109" t="s">
        <v>24974</v>
      </c>
      <c r="D4327" s="109" t="s">
        <v>25754</v>
      </c>
      <c r="E4327" s="109" t="s">
        <v>25754</v>
      </c>
      <c r="F4327" s="109" t="s">
        <v>25755</v>
      </c>
      <c r="G4327" s="110" t="s">
        <v>6248</v>
      </c>
      <c r="H4327" s="110" t="s">
        <v>25756</v>
      </c>
      <c r="I4327" s="110" t="s">
        <v>25757</v>
      </c>
    </row>
    <row r="4328" spans="1:9" ht="50.4" x14ac:dyDescent="0.3">
      <c r="A4328" s="109" t="s">
        <v>25758</v>
      </c>
      <c r="B4328" s="109" t="s">
        <v>24974</v>
      </c>
      <c r="C4328" s="109" t="s">
        <v>24974</v>
      </c>
      <c r="D4328" s="109" t="s">
        <v>25759</v>
      </c>
      <c r="E4328" s="109" t="s">
        <v>25759</v>
      </c>
      <c r="F4328" s="109" t="s">
        <v>25760</v>
      </c>
      <c r="G4328" s="110" t="s">
        <v>6248</v>
      </c>
      <c r="H4328" s="110" t="s">
        <v>25761</v>
      </c>
      <c r="I4328" s="110" t="s">
        <v>25762</v>
      </c>
    </row>
    <row r="4329" spans="1:9" ht="50.4" x14ac:dyDescent="0.3">
      <c r="A4329" s="109" t="s">
        <v>25763</v>
      </c>
      <c r="B4329" s="109" t="s">
        <v>24974</v>
      </c>
      <c r="C4329" s="109" t="s">
        <v>24974</v>
      </c>
      <c r="D4329" s="109" t="s">
        <v>24511</v>
      </c>
      <c r="E4329" s="109" t="s">
        <v>24511</v>
      </c>
      <c r="F4329" s="109" t="s">
        <v>25764</v>
      </c>
      <c r="G4329" s="110" t="s">
        <v>6248</v>
      </c>
      <c r="H4329" s="110" t="s">
        <v>25765</v>
      </c>
      <c r="I4329" s="110" t="s">
        <v>25766</v>
      </c>
    </row>
    <row r="4330" spans="1:9" ht="37.799999999999997" x14ac:dyDescent="0.3">
      <c r="A4330" s="109" t="s">
        <v>25767</v>
      </c>
      <c r="B4330" s="109" t="s">
        <v>24974</v>
      </c>
      <c r="C4330" s="109" t="s">
        <v>24974</v>
      </c>
      <c r="D4330" s="109" t="s">
        <v>25768</v>
      </c>
      <c r="E4330" s="109" t="s">
        <v>25768</v>
      </c>
      <c r="F4330" s="109" t="s">
        <v>25769</v>
      </c>
      <c r="G4330" s="110" t="s">
        <v>6248</v>
      </c>
      <c r="H4330" s="110" t="s">
        <v>25770</v>
      </c>
      <c r="I4330" s="110" t="s">
        <v>25771</v>
      </c>
    </row>
    <row r="4331" spans="1:9" ht="50.4" x14ac:dyDescent="0.3">
      <c r="A4331" s="109" t="s">
        <v>25772</v>
      </c>
      <c r="B4331" s="109" t="s">
        <v>24974</v>
      </c>
      <c r="C4331" s="109" t="s">
        <v>24974</v>
      </c>
      <c r="D4331" s="109" t="s">
        <v>25773</v>
      </c>
      <c r="E4331" s="109" t="s">
        <v>25773</v>
      </c>
      <c r="F4331" s="109" t="s">
        <v>25774</v>
      </c>
      <c r="G4331" s="110" t="s">
        <v>6248</v>
      </c>
      <c r="H4331" s="110" t="s">
        <v>25775</v>
      </c>
      <c r="I4331" s="110" t="s">
        <v>25776</v>
      </c>
    </row>
    <row r="4332" spans="1:9" ht="37.799999999999997" x14ac:dyDescent="0.3">
      <c r="A4332" s="109" t="s">
        <v>25777</v>
      </c>
      <c r="B4332" s="109" t="s">
        <v>24974</v>
      </c>
      <c r="C4332" s="109" t="s">
        <v>24974</v>
      </c>
      <c r="D4332" s="109" t="s">
        <v>25778</v>
      </c>
      <c r="E4332" s="109" t="s">
        <v>25778</v>
      </c>
      <c r="F4332" s="109" t="s">
        <v>25779</v>
      </c>
      <c r="G4332" s="110" t="s">
        <v>6248</v>
      </c>
      <c r="H4332" s="110" t="s">
        <v>25780</v>
      </c>
      <c r="I4332" s="110" t="s">
        <v>25781</v>
      </c>
    </row>
    <row r="4333" spans="1:9" ht="50.4" x14ac:dyDescent="0.3">
      <c r="A4333" s="109" t="s">
        <v>25782</v>
      </c>
      <c r="B4333" s="109" t="s">
        <v>24974</v>
      </c>
      <c r="C4333" s="109" t="s">
        <v>24974</v>
      </c>
      <c r="D4333" s="109" t="s">
        <v>25403</v>
      </c>
      <c r="E4333" s="109" t="s">
        <v>25403</v>
      </c>
      <c r="F4333" s="109" t="s">
        <v>25783</v>
      </c>
      <c r="G4333" s="110" t="s">
        <v>6248</v>
      </c>
      <c r="H4333" s="110" t="s">
        <v>25784</v>
      </c>
      <c r="I4333" s="110" t="s">
        <v>25785</v>
      </c>
    </row>
    <row r="4334" spans="1:9" ht="37.799999999999997" x14ac:dyDescent="0.3">
      <c r="A4334" s="109" t="s">
        <v>25786</v>
      </c>
      <c r="B4334" s="109" t="s">
        <v>24974</v>
      </c>
      <c r="C4334" s="109" t="s">
        <v>24974</v>
      </c>
      <c r="D4334" s="109" t="s">
        <v>25787</v>
      </c>
      <c r="E4334" s="109" t="s">
        <v>25787</v>
      </c>
      <c r="F4334" s="109" t="s">
        <v>25788</v>
      </c>
      <c r="G4334" s="110" t="s">
        <v>6248</v>
      </c>
      <c r="H4334" s="110" t="s">
        <v>25789</v>
      </c>
      <c r="I4334" s="110" t="s">
        <v>25790</v>
      </c>
    </row>
    <row r="4335" spans="1:9" ht="50.4" x14ac:dyDescent="0.3">
      <c r="A4335" s="109" t="s">
        <v>25791</v>
      </c>
      <c r="B4335" s="109" t="s">
        <v>24974</v>
      </c>
      <c r="C4335" s="109" t="s">
        <v>24974</v>
      </c>
      <c r="D4335" s="109" t="s">
        <v>25792</v>
      </c>
      <c r="E4335" s="109" t="s">
        <v>25792</v>
      </c>
      <c r="F4335" s="109" t="s">
        <v>25793</v>
      </c>
      <c r="G4335" s="110" t="s">
        <v>6248</v>
      </c>
      <c r="H4335" s="110" t="s">
        <v>25794</v>
      </c>
      <c r="I4335" s="110" t="s">
        <v>25795</v>
      </c>
    </row>
    <row r="4336" spans="1:9" ht="50.4" x14ac:dyDescent="0.3">
      <c r="A4336" s="109" t="s">
        <v>25796</v>
      </c>
      <c r="B4336" s="109" t="s">
        <v>24974</v>
      </c>
      <c r="C4336" s="109" t="s">
        <v>24974</v>
      </c>
      <c r="D4336" s="109" t="s">
        <v>25797</v>
      </c>
      <c r="E4336" s="109" t="s">
        <v>25797</v>
      </c>
      <c r="F4336" s="109" t="s">
        <v>25798</v>
      </c>
      <c r="G4336" s="110" t="s">
        <v>6248</v>
      </c>
      <c r="H4336" s="110" t="s">
        <v>25799</v>
      </c>
      <c r="I4336" s="110" t="s">
        <v>25800</v>
      </c>
    </row>
    <row r="4337" spans="1:9" ht="50.4" x14ac:dyDescent="0.3">
      <c r="A4337" s="109" t="s">
        <v>25801</v>
      </c>
      <c r="B4337" s="109" t="s">
        <v>24974</v>
      </c>
      <c r="C4337" s="109" t="s">
        <v>24974</v>
      </c>
      <c r="D4337" s="109" t="s">
        <v>10003</v>
      </c>
      <c r="E4337" s="109" t="s">
        <v>10003</v>
      </c>
      <c r="F4337" s="109" t="s">
        <v>25802</v>
      </c>
      <c r="G4337" s="110" t="s">
        <v>6248</v>
      </c>
      <c r="H4337" s="110" t="s">
        <v>25803</v>
      </c>
      <c r="I4337" s="110" t="s">
        <v>25804</v>
      </c>
    </row>
    <row r="4338" spans="1:9" ht="50.4" x14ac:dyDescent="0.3">
      <c r="A4338" s="109" t="s">
        <v>25805</v>
      </c>
      <c r="B4338" s="109" t="s">
        <v>24974</v>
      </c>
      <c r="C4338" s="109" t="s">
        <v>24974</v>
      </c>
      <c r="D4338" s="109" t="s">
        <v>25806</v>
      </c>
      <c r="E4338" s="109" t="s">
        <v>25806</v>
      </c>
      <c r="F4338" s="109" t="s">
        <v>25807</v>
      </c>
      <c r="G4338" s="110" t="s">
        <v>6248</v>
      </c>
      <c r="H4338" s="110" t="s">
        <v>25808</v>
      </c>
      <c r="I4338" s="110" t="s">
        <v>25809</v>
      </c>
    </row>
    <row r="4339" spans="1:9" ht="63" x14ac:dyDescent="0.3">
      <c r="A4339" s="109" t="s">
        <v>25810</v>
      </c>
      <c r="B4339" s="109" t="s">
        <v>24974</v>
      </c>
      <c r="C4339" s="109" t="s">
        <v>24974</v>
      </c>
      <c r="D4339" s="109" t="s">
        <v>25811</v>
      </c>
      <c r="E4339" s="109" t="s">
        <v>25811</v>
      </c>
      <c r="F4339" s="109" t="s">
        <v>25812</v>
      </c>
      <c r="G4339" s="110" t="s">
        <v>6248</v>
      </c>
      <c r="H4339" s="110" t="s">
        <v>25813</v>
      </c>
      <c r="I4339" s="110" t="s">
        <v>25814</v>
      </c>
    </row>
    <row r="4340" spans="1:9" ht="25.2" x14ac:dyDescent="0.3">
      <c r="A4340" s="109" t="s">
        <v>25815</v>
      </c>
      <c r="B4340" s="109" t="s">
        <v>24974</v>
      </c>
      <c r="C4340" s="109" t="s">
        <v>24974</v>
      </c>
      <c r="D4340" s="109" t="s">
        <v>25816</v>
      </c>
      <c r="E4340" s="109" t="s">
        <v>25817</v>
      </c>
      <c r="F4340" s="109" t="s">
        <v>14816</v>
      </c>
      <c r="G4340" s="110" t="s">
        <v>6248</v>
      </c>
      <c r="H4340" s="110" t="s">
        <v>25818</v>
      </c>
      <c r="I4340" s="110" t="s">
        <v>25819</v>
      </c>
    </row>
    <row r="4341" spans="1:9" ht="25.2" x14ac:dyDescent="0.3">
      <c r="A4341" s="109" t="s">
        <v>25820</v>
      </c>
      <c r="B4341" s="109" t="s">
        <v>24974</v>
      </c>
      <c r="C4341" s="109" t="s">
        <v>24974</v>
      </c>
      <c r="D4341" s="109" t="s">
        <v>25821</v>
      </c>
      <c r="E4341" s="109" t="s">
        <v>5558</v>
      </c>
      <c r="F4341" s="109" t="s">
        <v>25822</v>
      </c>
      <c r="G4341" s="110" t="s">
        <v>6248</v>
      </c>
      <c r="H4341" s="110" t="s">
        <v>25823</v>
      </c>
      <c r="I4341" s="110" t="s">
        <v>25824</v>
      </c>
    </row>
    <row r="4342" spans="1:9" ht="37.799999999999997" x14ac:dyDescent="0.3">
      <c r="A4342" s="109" t="s">
        <v>25825</v>
      </c>
      <c r="B4342" s="109" t="s">
        <v>24974</v>
      </c>
      <c r="C4342" s="109" t="s">
        <v>24974</v>
      </c>
      <c r="D4342" s="109" t="s">
        <v>25826</v>
      </c>
      <c r="E4342" s="109" t="s">
        <v>5558</v>
      </c>
      <c r="F4342" s="109" t="s">
        <v>25827</v>
      </c>
      <c r="G4342" s="110" t="s">
        <v>6248</v>
      </c>
      <c r="H4342" s="110" t="s">
        <v>8905</v>
      </c>
      <c r="I4342" s="110" t="s">
        <v>25828</v>
      </c>
    </row>
    <row r="4343" spans="1:9" ht="25.2" x14ac:dyDescent="0.3">
      <c r="A4343" s="109" t="s">
        <v>25829</v>
      </c>
      <c r="B4343" s="109" t="s">
        <v>24974</v>
      </c>
      <c r="C4343" s="109" t="s">
        <v>24974</v>
      </c>
      <c r="D4343" s="109" t="s">
        <v>25830</v>
      </c>
      <c r="E4343" s="109" t="s">
        <v>5558</v>
      </c>
      <c r="F4343" s="109" t="s">
        <v>25831</v>
      </c>
      <c r="G4343" s="110" t="s">
        <v>6248</v>
      </c>
      <c r="H4343" s="110" t="s">
        <v>25832</v>
      </c>
      <c r="I4343" s="110" t="s">
        <v>25833</v>
      </c>
    </row>
    <row r="4344" spans="1:9" ht="25.2" x14ac:dyDescent="0.3">
      <c r="A4344" s="109" t="s">
        <v>25834</v>
      </c>
      <c r="B4344" s="109" t="s">
        <v>24974</v>
      </c>
      <c r="C4344" s="109" t="s">
        <v>24974</v>
      </c>
      <c r="D4344" s="109" t="s">
        <v>25835</v>
      </c>
      <c r="E4344" s="109" t="s">
        <v>5558</v>
      </c>
      <c r="F4344" s="109" t="s">
        <v>25836</v>
      </c>
      <c r="G4344" s="110" t="s">
        <v>6248</v>
      </c>
      <c r="H4344" s="110" t="s">
        <v>12066</v>
      </c>
      <c r="I4344" s="110" t="s">
        <v>25837</v>
      </c>
    </row>
    <row r="4345" spans="1:9" ht="25.2" x14ac:dyDescent="0.3">
      <c r="A4345" s="109" t="s">
        <v>25838</v>
      </c>
      <c r="B4345" s="109" t="s">
        <v>24974</v>
      </c>
      <c r="C4345" s="109" t="s">
        <v>24974</v>
      </c>
      <c r="D4345" s="109" t="s">
        <v>25839</v>
      </c>
      <c r="E4345" s="109" t="s">
        <v>25840</v>
      </c>
      <c r="F4345" s="109" t="s">
        <v>25841</v>
      </c>
      <c r="G4345" s="110" t="s">
        <v>6248</v>
      </c>
      <c r="H4345" s="110" t="s">
        <v>25842</v>
      </c>
      <c r="I4345" s="110" t="s">
        <v>25843</v>
      </c>
    </row>
    <row r="4346" spans="1:9" ht="25.2" x14ac:dyDescent="0.3">
      <c r="A4346" s="109" t="s">
        <v>25844</v>
      </c>
      <c r="B4346" s="109" t="s">
        <v>24974</v>
      </c>
      <c r="C4346" s="109" t="s">
        <v>24974</v>
      </c>
      <c r="D4346" s="109" t="s">
        <v>25845</v>
      </c>
      <c r="E4346" s="109" t="s">
        <v>5558</v>
      </c>
      <c r="F4346" s="109" t="s">
        <v>25846</v>
      </c>
      <c r="G4346" s="110" t="s">
        <v>6248</v>
      </c>
      <c r="H4346" s="110" t="s">
        <v>12485</v>
      </c>
      <c r="I4346" s="110" t="s">
        <v>25847</v>
      </c>
    </row>
    <row r="4347" spans="1:9" ht="25.2" x14ac:dyDescent="0.3">
      <c r="A4347" s="109" t="s">
        <v>25848</v>
      </c>
      <c r="B4347" s="109" t="s">
        <v>24974</v>
      </c>
      <c r="C4347" s="109" t="s">
        <v>24974</v>
      </c>
      <c r="D4347" s="109" t="s">
        <v>25849</v>
      </c>
      <c r="E4347" s="109" t="s">
        <v>5558</v>
      </c>
      <c r="F4347" s="109" t="s">
        <v>25850</v>
      </c>
      <c r="G4347" s="110" t="s">
        <v>6248</v>
      </c>
      <c r="H4347" s="110" t="s">
        <v>19424</v>
      </c>
      <c r="I4347" s="110" t="s">
        <v>25851</v>
      </c>
    </row>
    <row r="4348" spans="1:9" ht="25.2" x14ac:dyDescent="0.3">
      <c r="A4348" s="109" t="s">
        <v>25852</v>
      </c>
      <c r="B4348" s="109" t="s">
        <v>24974</v>
      </c>
      <c r="C4348" s="109" t="s">
        <v>24974</v>
      </c>
      <c r="D4348" s="109" t="s">
        <v>25853</v>
      </c>
      <c r="E4348" s="109" t="s">
        <v>5558</v>
      </c>
      <c r="F4348" s="109" t="s">
        <v>25854</v>
      </c>
      <c r="G4348" s="110" t="s">
        <v>6248</v>
      </c>
      <c r="H4348" s="110" t="s">
        <v>7221</v>
      </c>
      <c r="I4348" s="110" t="s">
        <v>25855</v>
      </c>
    </row>
    <row r="4349" spans="1:9" ht="37.799999999999997" x14ac:dyDescent="0.3">
      <c r="A4349" s="109" t="s">
        <v>25856</v>
      </c>
      <c r="B4349" s="109" t="s">
        <v>25857</v>
      </c>
      <c r="C4349" s="109" t="s">
        <v>25857</v>
      </c>
      <c r="D4349" s="109" t="s">
        <v>25858</v>
      </c>
      <c r="E4349" s="109" t="s">
        <v>5558</v>
      </c>
      <c r="F4349" s="109" t="s">
        <v>25859</v>
      </c>
      <c r="G4349" s="110" t="s">
        <v>6248</v>
      </c>
      <c r="H4349" s="110" t="s">
        <v>25860</v>
      </c>
      <c r="I4349" s="110" t="s">
        <v>25861</v>
      </c>
    </row>
    <row r="4350" spans="1:9" ht="25.2" x14ac:dyDescent="0.3">
      <c r="A4350" s="109" t="s">
        <v>25862</v>
      </c>
      <c r="B4350" s="109" t="s">
        <v>25857</v>
      </c>
      <c r="C4350" s="109" t="s">
        <v>25857</v>
      </c>
      <c r="D4350" s="109" t="s">
        <v>25863</v>
      </c>
      <c r="E4350" s="109" t="s">
        <v>25864</v>
      </c>
      <c r="F4350" s="109" t="s">
        <v>9778</v>
      </c>
      <c r="G4350" s="110" t="s">
        <v>6248</v>
      </c>
      <c r="H4350" s="110" t="s">
        <v>9261</v>
      </c>
      <c r="I4350" s="110" t="s">
        <v>25865</v>
      </c>
    </row>
    <row r="4351" spans="1:9" ht="25.2" x14ac:dyDescent="0.3">
      <c r="A4351" s="109" t="s">
        <v>25866</v>
      </c>
      <c r="B4351" s="109" t="s">
        <v>25857</v>
      </c>
      <c r="C4351" s="109" t="s">
        <v>25857</v>
      </c>
      <c r="D4351" s="109" t="s">
        <v>25867</v>
      </c>
      <c r="E4351" s="109" t="s">
        <v>5558</v>
      </c>
      <c r="F4351" s="109" t="s">
        <v>25868</v>
      </c>
      <c r="G4351" s="110" t="s">
        <v>6248</v>
      </c>
      <c r="H4351" s="110" t="s">
        <v>7817</v>
      </c>
      <c r="I4351" s="110" t="s">
        <v>25869</v>
      </c>
    </row>
    <row r="4352" spans="1:9" ht="25.2" x14ac:dyDescent="0.3">
      <c r="A4352" s="109" t="s">
        <v>25870</v>
      </c>
      <c r="B4352" s="109" t="s">
        <v>25857</v>
      </c>
      <c r="C4352" s="109" t="s">
        <v>25857</v>
      </c>
      <c r="D4352" s="109" t="s">
        <v>25871</v>
      </c>
      <c r="E4352" s="109" t="s">
        <v>5558</v>
      </c>
      <c r="F4352" s="109" t="s">
        <v>25872</v>
      </c>
      <c r="G4352" s="110" t="s">
        <v>6248</v>
      </c>
      <c r="H4352" s="110" t="s">
        <v>6689</v>
      </c>
      <c r="I4352" s="110" t="s">
        <v>25873</v>
      </c>
    </row>
    <row r="4353" spans="1:9" ht="37.799999999999997" x14ac:dyDescent="0.3">
      <c r="A4353" s="109" t="s">
        <v>25874</v>
      </c>
      <c r="B4353" s="109" t="s">
        <v>25857</v>
      </c>
      <c r="C4353" s="109" t="s">
        <v>25857</v>
      </c>
      <c r="D4353" s="109" t="s">
        <v>25875</v>
      </c>
      <c r="E4353" s="109" t="s">
        <v>5558</v>
      </c>
      <c r="F4353" s="109" t="s">
        <v>25876</v>
      </c>
      <c r="G4353" s="110" t="s">
        <v>6248</v>
      </c>
      <c r="H4353" s="110" t="s">
        <v>7830</v>
      </c>
      <c r="I4353" s="110" t="s">
        <v>25877</v>
      </c>
    </row>
    <row r="4354" spans="1:9" ht="37.799999999999997" x14ac:dyDescent="0.3">
      <c r="A4354" s="109" t="s">
        <v>25878</v>
      </c>
      <c r="B4354" s="109" t="s">
        <v>25857</v>
      </c>
      <c r="C4354" s="109" t="s">
        <v>25857</v>
      </c>
      <c r="D4354" s="109" t="s">
        <v>25879</v>
      </c>
      <c r="E4354" s="109" t="s">
        <v>5558</v>
      </c>
      <c r="F4354" s="109" t="s">
        <v>25880</v>
      </c>
      <c r="G4354" s="110" t="s">
        <v>6248</v>
      </c>
      <c r="H4354" s="110" t="s">
        <v>6474</v>
      </c>
      <c r="I4354" s="110" t="s">
        <v>25881</v>
      </c>
    </row>
    <row r="4355" spans="1:9" ht="25.2" x14ac:dyDescent="0.3">
      <c r="A4355" s="109" t="s">
        <v>25882</v>
      </c>
      <c r="B4355" s="109" t="s">
        <v>25857</v>
      </c>
      <c r="C4355" s="109" t="s">
        <v>25857</v>
      </c>
      <c r="D4355" s="109" t="s">
        <v>25883</v>
      </c>
      <c r="E4355" s="109" t="s">
        <v>5558</v>
      </c>
      <c r="F4355" s="109" t="s">
        <v>25884</v>
      </c>
      <c r="G4355" s="110" t="s">
        <v>6248</v>
      </c>
      <c r="H4355" s="110" t="s">
        <v>9128</v>
      </c>
      <c r="I4355" s="110" t="s">
        <v>25885</v>
      </c>
    </row>
    <row r="4356" spans="1:9" ht="25.2" x14ac:dyDescent="0.3">
      <c r="A4356" s="109" t="s">
        <v>25886</v>
      </c>
      <c r="B4356" s="109" t="s">
        <v>25857</v>
      </c>
      <c r="C4356" s="109" t="s">
        <v>25857</v>
      </c>
      <c r="D4356" s="109" t="s">
        <v>25887</v>
      </c>
      <c r="E4356" s="109" t="s">
        <v>5558</v>
      </c>
      <c r="F4356" s="109" t="s">
        <v>25888</v>
      </c>
      <c r="G4356" s="110" t="s">
        <v>6248</v>
      </c>
      <c r="H4356" s="110" t="s">
        <v>7592</v>
      </c>
      <c r="I4356" s="110" t="s">
        <v>25889</v>
      </c>
    </row>
    <row r="4357" spans="1:9" ht="25.2" x14ac:dyDescent="0.3">
      <c r="A4357" s="109" t="s">
        <v>25890</v>
      </c>
      <c r="B4357" s="109" t="s">
        <v>25857</v>
      </c>
      <c r="C4357" s="109" t="s">
        <v>25857</v>
      </c>
      <c r="D4357" s="109" t="s">
        <v>25891</v>
      </c>
      <c r="E4357" s="109" t="s">
        <v>5558</v>
      </c>
      <c r="F4357" s="109" t="s">
        <v>25892</v>
      </c>
      <c r="G4357" s="110" t="s">
        <v>6248</v>
      </c>
      <c r="H4357" s="110" t="s">
        <v>6393</v>
      </c>
      <c r="I4357" s="110" t="s">
        <v>25893</v>
      </c>
    </row>
    <row r="4358" spans="1:9" ht="25.2" x14ac:dyDescent="0.3">
      <c r="A4358" s="109" t="s">
        <v>25894</v>
      </c>
      <c r="B4358" s="109" t="s">
        <v>25857</v>
      </c>
      <c r="C4358" s="109" t="s">
        <v>25857</v>
      </c>
      <c r="D4358" s="109" t="s">
        <v>25895</v>
      </c>
      <c r="E4358" s="109" t="s">
        <v>5558</v>
      </c>
      <c r="F4358" s="109" t="s">
        <v>25896</v>
      </c>
      <c r="G4358" s="110" t="s">
        <v>6248</v>
      </c>
      <c r="H4358" s="110" t="s">
        <v>8905</v>
      </c>
      <c r="I4358" s="110" t="s">
        <v>25897</v>
      </c>
    </row>
    <row r="4359" spans="1:9" ht="25.2" x14ac:dyDescent="0.3">
      <c r="A4359" s="109" t="s">
        <v>25898</v>
      </c>
      <c r="B4359" s="109" t="s">
        <v>25857</v>
      </c>
      <c r="C4359" s="109" t="s">
        <v>25857</v>
      </c>
      <c r="D4359" s="109" t="s">
        <v>25899</v>
      </c>
      <c r="E4359" s="109" t="s">
        <v>5558</v>
      </c>
      <c r="F4359" s="109" t="s">
        <v>25900</v>
      </c>
      <c r="G4359" s="110" t="s">
        <v>6248</v>
      </c>
      <c r="H4359" s="110" t="s">
        <v>9128</v>
      </c>
      <c r="I4359" s="110" t="s">
        <v>25901</v>
      </c>
    </row>
    <row r="4360" spans="1:9" ht="37.799999999999997" x14ac:dyDescent="0.3">
      <c r="A4360" s="109" t="s">
        <v>25902</v>
      </c>
      <c r="B4360" s="109" t="s">
        <v>25857</v>
      </c>
      <c r="C4360" s="109" t="s">
        <v>25857</v>
      </c>
      <c r="D4360" s="109" t="s">
        <v>25903</v>
      </c>
      <c r="E4360" s="109" t="s">
        <v>5558</v>
      </c>
      <c r="F4360" s="109" t="s">
        <v>25904</v>
      </c>
      <c r="G4360" s="110" t="s">
        <v>6248</v>
      </c>
      <c r="H4360" s="110" t="s">
        <v>6575</v>
      </c>
      <c r="I4360" s="110" t="s">
        <v>25905</v>
      </c>
    </row>
    <row r="4361" spans="1:9" ht="25.2" x14ac:dyDescent="0.3">
      <c r="A4361" s="109" t="s">
        <v>25906</v>
      </c>
      <c r="B4361" s="109" t="s">
        <v>25857</v>
      </c>
      <c r="C4361" s="109" t="s">
        <v>25857</v>
      </c>
      <c r="D4361" s="109" t="s">
        <v>25907</v>
      </c>
      <c r="E4361" s="109" t="s">
        <v>5558</v>
      </c>
      <c r="F4361" s="109" t="s">
        <v>25908</v>
      </c>
      <c r="G4361" s="110" t="s">
        <v>6248</v>
      </c>
      <c r="H4361" s="110" t="s">
        <v>6393</v>
      </c>
      <c r="I4361" s="110" t="s">
        <v>25909</v>
      </c>
    </row>
    <row r="4362" spans="1:9" ht="25.2" x14ac:dyDescent="0.3">
      <c r="A4362" s="109" t="s">
        <v>25910</v>
      </c>
      <c r="B4362" s="109" t="s">
        <v>25857</v>
      </c>
      <c r="C4362" s="109" t="s">
        <v>25857</v>
      </c>
      <c r="D4362" s="109" t="s">
        <v>25911</v>
      </c>
      <c r="E4362" s="109" t="s">
        <v>5558</v>
      </c>
      <c r="F4362" s="109" t="s">
        <v>25912</v>
      </c>
      <c r="G4362" s="110" t="s">
        <v>6248</v>
      </c>
      <c r="H4362" s="110" t="s">
        <v>6575</v>
      </c>
      <c r="I4362" s="110" t="s">
        <v>25913</v>
      </c>
    </row>
    <row r="4363" spans="1:9" ht="25.2" x14ac:dyDescent="0.3">
      <c r="A4363" s="109" t="s">
        <v>25914</v>
      </c>
      <c r="B4363" s="109" t="s">
        <v>25857</v>
      </c>
      <c r="C4363" s="109" t="s">
        <v>25857</v>
      </c>
      <c r="D4363" s="109" t="s">
        <v>25915</v>
      </c>
      <c r="E4363" s="109" t="s">
        <v>5558</v>
      </c>
      <c r="F4363" s="109" t="s">
        <v>25916</v>
      </c>
      <c r="G4363" s="110" t="s">
        <v>6248</v>
      </c>
      <c r="H4363" s="110" t="s">
        <v>7592</v>
      </c>
      <c r="I4363" s="110" t="s">
        <v>25917</v>
      </c>
    </row>
    <row r="4364" spans="1:9" ht="25.2" x14ac:dyDescent="0.3">
      <c r="A4364" s="109" t="s">
        <v>25918</v>
      </c>
      <c r="B4364" s="109" t="s">
        <v>25857</v>
      </c>
      <c r="C4364" s="109" t="s">
        <v>25857</v>
      </c>
      <c r="D4364" s="109" t="s">
        <v>25919</v>
      </c>
      <c r="E4364" s="109" t="s">
        <v>5558</v>
      </c>
      <c r="F4364" s="109" t="s">
        <v>25920</v>
      </c>
      <c r="G4364" s="110" t="s">
        <v>6248</v>
      </c>
      <c r="H4364" s="110" t="s">
        <v>11597</v>
      </c>
      <c r="I4364" s="110" t="s">
        <v>25921</v>
      </c>
    </row>
    <row r="4365" spans="1:9" ht="37.799999999999997" x14ac:dyDescent="0.3">
      <c r="A4365" s="109" t="s">
        <v>25922</v>
      </c>
      <c r="B4365" s="109" t="s">
        <v>25857</v>
      </c>
      <c r="C4365" s="109" t="s">
        <v>25857</v>
      </c>
      <c r="D4365" s="109" t="s">
        <v>25923</v>
      </c>
      <c r="E4365" s="109" t="s">
        <v>5558</v>
      </c>
      <c r="F4365" s="109" t="s">
        <v>25924</v>
      </c>
      <c r="G4365" s="110" t="s">
        <v>6248</v>
      </c>
      <c r="H4365" s="110" t="s">
        <v>6689</v>
      </c>
      <c r="I4365" s="110" t="s">
        <v>25925</v>
      </c>
    </row>
    <row r="4366" spans="1:9" ht="25.2" x14ac:dyDescent="0.3">
      <c r="A4366" s="109" t="s">
        <v>25926</v>
      </c>
      <c r="B4366" s="109" t="s">
        <v>25857</v>
      </c>
      <c r="C4366" s="109" t="s">
        <v>25857</v>
      </c>
      <c r="D4366" s="109" t="s">
        <v>25927</v>
      </c>
      <c r="E4366" s="109" t="s">
        <v>5558</v>
      </c>
      <c r="F4366" s="109" t="s">
        <v>25928</v>
      </c>
      <c r="G4366" s="110" t="s">
        <v>6248</v>
      </c>
      <c r="H4366" s="110" t="s">
        <v>6601</v>
      </c>
      <c r="I4366" s="110" t="s">
        <v>25929</v>
      </c>
    </row>
    <row r="4367" spans="1:9" ht="37.799999999999997" x14ac:dyDescent="0.3">
      <c r="A4367" s="109" t="s">
        <v>25930</v>
      </c>
      <c r="B4367" s="109" t="s">
        <v>25857</v>
      </c>
      <c r="C4367" s="109" t="s">
        <v>25857</v>
      </c>
      <c r="D4367" s="109" t="s">
        <v>25931</v>
      </c>
      <c r="E4367" s="109" t="s">
        <v>5558</v>
      </c>
      <c r="F4367" s="109" t="s">
        <v>25932</v>
      </c>
      <c r="G4367" s="110" t="s">
        <v>6248</v>
      </c>
      <c r="H4367" s="110" t="s">
        <v>8984</v>
      </c>
      <c r="I4367" s="110" t="s">
        <v>25933</v>
      </c>
    </row>
    <row r="4368" spans="1:9" ht="25.2" x14ac:dyDescent="0.3">
      <c r="A4368" s="109" t="s">
        <v>21085</v>
      </c>
      <c r="B4368" s="109" t="s">
        <v>25857</v>
      </c>
      <c r="C4368" s="109" t="s">
        <v>25857</v>
      </c>
      <c r="D4368" s="109" t="s">
        <v>25934</v>
      </c>
      <c r="E4368" s="109" t="s">
        <v>5558</v>
      </c>
      <c r="F4368" s="109" t="s">
        <v>25935</v>
      </c>
      <c r="G4368" s="110" t="s">
        <v>6248</v>
      </c>
      <c r="H4368" s="110" t="s">
        <v>9141</v>
      </c>
      <c r="I4368" s="110" t="s">
        <v>25936</v>
      </c>
    </row>
    <row r="4369" spans="1:9" ht="25.2" x14ac:dyDescent="0.3">
      <c r="A4369" s="109" t="s">
        <v>25937</v>
      </c>
      <c r="B4369" s="109" t="s">
        <v>25857</v>
      </c>
      <c r="C4369" s="109" t="s">
        <v>25857</v>
      </c>
      <c r="D4369" s="109" t="s">
        <v>25938</v>
      </c>
      <c r="E4369" s="109" t="s">
        <v>5558</v>
      </c>
      <c r="F4369" s="109" t="s">
        <v>25939</v>
      </c>
      <c r="G4369" s="110" t="s">
        <v>6248</v>
      </c>
      <c r="H4369" s="110" t="s">
        <v>7898</v>
      </c>
      <c r="I4369" s="110" t="s">
        <v>25940</v>
      </c>
    </row>
    <row r="4370" spans="1:9" ht="37.799999999999997" x14ac:dyDescent="0.3">
      <c r="A4370" s="109" t="s">
        <v>25941</v>
      </c>
      <c r="B4370" s="109" t="s">
        <v>25857</v>
      </c>
      <c r="C4370" s="109" t="s">
        <v>25857</v>
      </c>
      <c r="D4370" s="109" t="s">
        <v>25942</v>
      </c>
      <c r="E4370" s="109" t="s">
        <v>5558</v>
      </c>
      <c r="F4370" s="109" t="s">
        <v>25943</v>
      </c>
      <c r="G4370" s="110" t="s">
        <v>6248</v>
      </c>
      <c r="H4370" s="110" t="s">
        <v>6398</v>
      </c>
      <c r="I4370" s="110" t="s">
        <v>25944</v>
      </c>
    </row>
    <row r="4371" spans="1:9" ht="25.2" x14ac:dyDescent="0.3">
      <c r="A4371" s="109" t="s">
        <v>25945</v>
      </c>
      <c r="B4371" s="109" t="s">
        <v>25857</v>
      </c>
      <c r="C4371" s="109" t="s">
        <v>25857</v>
      </c>
      <c r="D4371" s="109" t="s">
        <v>25946</v>
      </c>
      <c r="E4371" s="109" t="s">
        <v>5558</v>
      </c>
      <c r="F4371" s="109" t="s">
        <v>25947</v>
      </c>
      <c r="G4371" s="110" t="s">
        <v>6248</v>
      </c>
      <c r="H4371" s="110" t="s">
        <v>25948</v>
      </c>
      <c r="I4371" s="110" t="s">
        <v>25949</v>
      </c>
    </row>
    <row r="4372" spans="1:9" ht="37.799999999999997" x14ac:dyDescent="0.3">
      <c r="A4372" s="109" t="s">
        <v>23211</v>
      </c>
      <c r="B4372" s="109" t="s">
        <v>25857</v>
      </c>
      <c r="C4372" s="109" t="s">
        <v>25857</v>
      </c>
      <c r="D4372" s="109" t="s">
        <v>25950</v>
      </c>
      <c r="E4372" s="109" t="s">
        <v>5558</v>
      </c>
      <c r="F4372" s="109" t="s">
        <v>25951</v>
      </c>
      <c r="G4372" s="110" t="s">
        <v>6248</v>
      </c>
      <c r="H4372" s="110" t="s">
        <v>7817</v>
      </c>
      <c r="I4372" s="110" t="s">
        <v>25952</v>
      </c>
    </row>
    <row r="4373" spans="1:9" ht="25.2" x14ac:dyDescent="0.3">
      <c r="A4373" s="109" t="s">
        <v>25953</v>
      </c>
      <c r="B4373" s="109" t="s">
        <v>25857</v>
      </c>
      <c r="C4373" s="109" t="s">
        <v>25857</v>
      </c>
      <c r="D4373" s="109" t="s">
        <v>25954</v>
      </c>
      <c r="E4373" s="109" t="s">
        <v>5558</v>
      </c>
      <c r="F4373" s="109" t="s">
        <v>25955</v>
      </c>
      <c r="G4373" s="110" t="s">
        <v>6248</v>
      </c>
      <c r="H4373" s="110" t="s">
        <v>8905</v>
      </c>
      <c r="I4373" s="110" t="s">
        <v>25956</v>
      </c>
    </row>
    <row r="4374" spans="1:9" ht="37.799999999999997" x14ac:dyDescent="0.3">
      <c r="A4374" s="109" t="s">
        <v>25957</v>
      </c>
      <c r="B4374" s="109" t="s">
        <v>25857</v>
      </c>
      <c r="C4374" s="109" t="s">
        <v>25857</v>
      </c>
      <c r="D4374" s="109" t="s">
        <v>25958</v>
      </c>
      <c r="E4374" s="109" t="s">
        <v>5558</v>
      </c>
      <c r="F4374" s="109" t="s">
        <v>25959</v>
      </c>
      <c r="G4374" s="110" t="s">
        <v>6248</v>
      </c>
      <c r="H4374" s="110" t="s">
        <v>25960</v>
      </c>
      <c r="I4374" s="110" t="s">
        <v>25961</v>
      </c>
    </row>
    <row r="4375" spans="1:9" ht="25.2" x14ac:dyDescent="0.3">
      <c r="A4375" s="109" t="s">
        <v>25962</v>
      </c>
      <c r="B4375" s="109" t="s">
        <v>25857</v>
      </c>
      <c r="C4375" s="109" t="s">
        <v>25857</v>
      </c>
      <c r="D4375" s="109" t="s">
        <v>25963</v>
      </c>
      <c r="E4375" s="109" t="s">
        <v>5558</v>
      </c>
      <c r="F4375" s="109" t="s">
        <v>25964</v>
      </c>
      <c r="G4375" s="110" t="s">
        <v>6248</v>
      </c>
      <c r="H4375" s="110" t="s">
        <v>6689</v>
      </c>
      <c r="I4375" s="110" t="s">
        <v>25965</v>
      </c>
    </row>
    <row r="4376" spans="1:9" ht="37.799999999999997" x14ac:dyDescent="0.3">
      <c r="A4376" s="109" t="s">
        <v>25966</v>
      </c>
      <c r="B4376" s="109" t="s">
        <v>25857</v>
      </c>
      <c r="C4376" s="109" t="s">
        <v>25857</v>
      </c>
      <c r="D4376" s="109" t="s">
        <v>25967</v>
      </c>
      <c r="E4376" s="109" t="s">
        <v>5558</v>
      </c>
      <c r="F4376" s="109" t="s">
        <v>25968</v>
      </c>
      <c r="G4376" s="110" t="s">
        <v>6248</v>
      </c>
      <c r="H4376" s="110" t="s">
        <v>6398</v>
      </c>
      <c r="I4376" s="110" t="s">
        <v>25969</v>
      </c>
    </row>
    <row r="4377" spans="1:9" ht="25.2" x14ac:dyDescent="0.3">
      <c r="A4377" s="109" t="s">
        <v>25970</v>
      </c>
      <c r="B4377" s="109" t="s">
        <v>25857</v>
      </c>
      <c r="C4377" s="109" t="s">
        <v>25857</v>
      </c>
      <c r="D4377" s="109" t="s">
        <v>25971</v>
      </c>
      <c r="E4377" s="109" t="s">
        <v>5558</v>
      </c>
      <c r="F4377" s="109" t="s">
        <v>25972</v>
      </c>
      <c r="G4377" s="110" t="s">
        <v>6248</v>
      </c>
      <c r="H4377" s="110" t="s">
        <v>25973</v>
      </c>
      <c r="I4377" s="110" t="s">
        <v>25974</v>
      </c>
    </row>
    <row r="4378" spans="1:9" ht="25.2" x14ac:dyDescent="0.3">
      <c r="A4378" s="109" t="s">
        <v>25975</v>
      </c>
      <c r="B4378" s="109" t="s">
        <v>25857</v>
      </c>
      <c r="C4378" s="109" t="s">
        <v>25857</v>
      </c>
      <c r="D4378" s="109" t="s">
        <v>25976</v>
      </c>
      <c r="E4378" s="109" t="s">
        <v>5558</v>
      </c>
      <c r="F4378" s="109" t="s">
        <v>25977</v>
      </c>
      <c r="G4378" s="110" t="s">
        <v>6248</v>
      </c>
      <c r="H4378" s="110" t="s">
        <v>6398</v>
      </c>
      <c r="I4378" s="110" t="s">
        <v>25978</v>
      </c>
    </row>
    <row r="4379" spans="1:9" ht="25.2" x14ac:dyDescent="0.3">
      <c r="A4379" s="109" t="s">
        <v>25979</v>
      </c>
      <c r="B4379" s="109" t="s">
        <v>25857</v>
      </c>
      <c r="C4379" s="109" t="s">
        <v>25857</v>
      </c>
      <c r="D4379" s="109" t="s">
        <v>25980</v>
      </c>
      <c r="E4379" s="109" t="s">
        <v>5558</v>
      </c>
      <c r="F4379" s="109" t="s">
        <v>25981</v>
      </c>
      <c r="G4379" s="110" t="s">
        <v>6248</v>
      </c>
      <c r="H4379" s="110" t="s">
        <v>15239</v>
      </c>
      <c r="I4379" s="110" t="s">
        <v>25982</v>
      </c>
    </row>
    <row r="4380" spans="1:9" ht="37.799999999999997" x14ac:dyDescent="0.3">
      <c r="A4380" s="109" t="s">
        <v>25983</v>
      </c>
      <c r="B4380" s="109" t="s">
        <v>25857</v>
      </c>
      <c r="C4380" s="109" t="s">
        <v>25857</v>
      </c>
      <c r="D4380" s="109" t="s">
        <v>25984</v>
      </c>
      <c r="E4380" s="109" t="s">
        <v>5558</v>
      </c>
      <c r="F4380" s="109" t="s">
        <v>25985</v>
      </c>
      <c r="G4380" s="110" t="s">
        <v>6248</v>
      </c>
      <c r="H4380" s="110" t="s">
        <v>25986</v>
      </c>
      <c r="I4380" s="110" t="s">
        <v>25987</v>
      </c>
    </row>
    <row r="4381" spans="1:9" ht="25.2" x14ac:dyDescent="0.3">
      <c r="A4381" s="109" t="s">
        <v>25988</v>
      </c>
      <c r="B4381" s="109" t="s">
        <v>25857</v>
      </c>
      <c r="C4381" s="109" t="s">
        <v>25857</v>
      </c>
      <c r="D4381" s="109" t="s">
        <v>25989</v>
      </c>
      <c r="E4381" s="109" t="s">
        <v>5558</v>
      </c>
      <c r="F4381" s="109" t="s">
        <v>25990</v>
      </c>
      <c r="G4381" s="110" t="s">
        <v>6248</v>
      </c>
      <c r="H4381" s="110" t="s">
        <v>25991</v>
      </c>
      <c r="I4381" s="110" t="s">
        <v>25992</v>
      </c>
    </row>
    <row r="4382" spans="1:9" ht="25.2" x14ac:dyDescent="0.3">
      <c r="A4382" s="109" t="s">
        <v>25993</v>
      </c>
      <c r="B4382" s="109" t="s">
        <v>25857</v>
      </c>
      <c r="C4382" s="109" t="s">
        <v>25857</v>
      </c>
      <c r="D4382" s="109" t="s">
        <v>25994</v>
      </c>
      <c r="E4382" s="109" t="s">
        <v>5558</v>
      </c>
      <c r="F4382" s="109" t="s">
        <v>25995</v>
      </c>
      <c r="G4382" s="110" t="s">
        <v>6248</v>
      </c>
      <c r="H4382" s="110" t="s">
        <v>25996</v>
      </c>
      <c r="I4382" s="110" t="s">
        <v>25997</v>
      </c>
    </row>
    <row r="4383" spans="1:9" ht="25.2" x14ac:dyDescent="0.3">
      <c r="A4383" s="109" t="s">
        <v>25998</v>
      </c>
      <c r="B4383" s="109" t="s">
        <v>25857</v>
      </c>
      <c r="C4383" s="109" t="s">
        <v>25857</v>
      </c>
      <c r="D4383" s="109" t="s">
        <v>3934</v>
      </c>
      <c r="E4383" s="109" t="s">
        <v>5558</v>
      </c>
      <c r="F4383" s="109" t="s">
        <v>25999</v>
      </c>
      <c r="G4383" s="110" t="s">
        <v>6248</v>
      </c>
      <c r="H4383" s="110" t="s">
        <v>26000</v>
      </c>
      <c r="I4383" s="110" t="s">
        <v>26001</v>
      </c>
    </row>
    <row r="4384" spans="1:9" ht="25.2" x14ac:dyDescent="0.3">
      <c r="A4384" s="109" t="s">
        <v>26002</v>
      </c>
      <c r="B4384" s="109" t="s">
        <v>25857</v>
      </c>
      <c r="C4384" s="109" t="s">
        <v>25857</v>
      </c>
      <c r="D4384" s="109" t="s">
        <v>26003</v>
      </c>
      <c r="E4384" s="109" t="s">
        <v>26004</v>
      </c>
      <c r="F4384" s="109" t="s">
        <v>6878</v>
      </c>
      <c r="G4384" s="110" t="s">
        <v>26005</v>
      </c>
      <c r="H4384" s="110" t="s">
        <v>6248</v>
      </c>
      <c r="I4384" s="110" t="s">
        <v>26006</v>
      </c>
    </row>
    <row r="4385" spans="1:9" ht="25.2" x14ac:dyDescent="0.3">
      <c r="A4385" s="109" t="s">
        <v>26007</v>
      </c>
      <c r="B4385" s="109" t="s">
        <v>25857</v>
      </c>
      <c r="C4385" s="109" t="s">
        <v>25857</v>
      </c>
      <c r="D4385" s="109" t="s">
        <v>3714</v>
      </c>
      <c r="E4385" s="109" t="s">
        <v>26008</v>
      </c>
      <c r="F4385" s="109" t="s">
        <v>7734</v>
      </c>
      <c r="G4385" s="110" t="s">
        <v>6248</v>
      </c>
      <c r="H4385" s="110" t="s">
        <v>26009</v>
      </c>
      <c r="I4385" s="110" t="s">
        <v>26010</v>
      </c>
    </row>
    <row r="4386" spans="1:9" ht="25.2" x14ac:dyDescent="0.3">
      <c r="A4386" s="109" t="s">
        <v>26011</v>
      </c>
      <c r="B4386" s="109" t="s">
        <v>25857</v>
      </c>
      <c r="C4386" s="109" t="s">
        <v>25857</v>
      </c>
      <c r="D4386" s="109" t="s">
        <v>26012</v>
      </c>
      <c r="E4386" s="109" t="s">
        <v>26013</v>
      </c>
      <c r="F4386" s="109" t="s">
        <v>7039</v>
      </c>
      <c r="G4386" s="110" t="s">
        <v>6248</v>
      </c>
      <c r="H4386" s="110" t="s">
        <v>25540</v>
      </c>
      <c r="I4386" s="110" t="s">
        <v>26014</v>
      </c>
    </row>
    <row r="4387" spans="1:9" ht="25.2" x14ac:dyDescent="0.3">
      <c r="A4387" s="109" t="s">
        <v>26015</v>
      </c>
      <c r="B4387" s="109" t="s">
        <v>25857</v>
      </c>
      <c r="C4387" s="109" t="s">
        <v>25857</v>
      </c>
      <c r="D4387" s="109" t="s">
        <v>26016</v>
      </c>
      <c r="E4387" s="109" t="s">
        <v>5558</v>
      </c>
      <c r="F4387" s="109" t="s">
        <v>26017</v>
      </c>
      <c r="G4387" s="110" t="s">
        <v>6248</v>
      </c>
      <c r="H4387" s="110" t="s">
        <v>26018</v>
      </c>
      <c r="I4387" s="110" t="s">
        <v>26019</v>
      </c>
    </row>
    <row r="4388" spans="1:9" ht="37.799999999999997" x14ac:dyDescent="0.3">
      <c r="A4388" s="109" t="s">
        <v>26020</v>
      </c>
      <c r="B4388" s="109" t="s">
        <v>25857</v>
      </c>
      <c r="C4388" s="109" t="s">
        <v>25857</v>
      </c>
      <c r="D4388" s="109" t="s">
        <v>26021</v>
      </c>
      <c r="E4388" s="109" t="s">
        <v>5558</v>
      </c>
      <c r="F4388" s="109" t="s">
        <v>26022</v>
      </c>
      <c r="G4388" s="110" t="s">
        <v>6248</v>
      </c>
      <c r="H4388" s="110" t="s">
        <v>6341</v>
      </c>
      <c r="I4388" s="110" t="s">
        <v>26023</v>
      </c>
    </row>
    <row r="4389" spans="1:9" ht="37.799999999999997" x14ac:dyDescent="0.3">
      <c r="A4389" s="109" t="s">
        <v>26024</v>
      </c>
      <c r="B4389" s="109" t="s">
        <v>25857</v>
      </c>
      <c r="C4389" s="109" t="s">
        <v>25857</v>
      </c>
      <c r="D4389" s="109" t="s">
        <v>26025</v>
      </c>
      <c r="E4389" s="109" t="s">
        <v>5558</v>
      </c>
      <c r="F4389" s="109" t="s">
        <v>26026</v>
      </c>
      <c r="G4389" s="110" t="s">
        <v>6248</v>
      </c>
      <c r="H4389" s="110" t="s">
        <v>26027</v>
      </c>
      <c r="I4389" s="110" t="s">
        <v>26028</v>
      </c>
    </row>
    <row r="4390" spans="1:9" ht="37.799999999999997" x14ac:dyDescent="0.3">
      <c r="A4390" s="109" t="s">
        <v>26029</v>
      </c>
      <c r="B4390" s="109" t="s">
        <v>25857</v>
      </c>
      <c r="C4390" s="109" t="s">
        <v>25857</v>
      </c>
      <c r="D4390" s="109" t="s">
        <v>26030</v>
      </c>
      <c r="E4390" s="109" t="s">
        <v>5558</v>
      </c>
      <c r="F4390" s="109" t="s">
        <v>26031</v>
      </c>
      <c r="G4390" s="110" t="s">
        <v>6248</v>
      </c>
      <c r="H4390" s="110" t="s">
        <v>6341</v>
      </c>
      <c r="I4390" s="110" t="s">
        <v>26032</v>
      </c>
    </row>
    <row r="4391" spans="1:9" ht="37.799999999999997" x14ac:dyDescent="0.3">
      <c r="A4391" s="109" t="s">
        <v>26033</v>
      </c>
      <c r="B4391" s="109" t="s">
        <v>25857</v>
      </c>
      <c r="C4391" s="109" t="s">
        <v>25857</v>
      </c>
      <c r="D4391" s="109" t="s">
        <v>26034</v>
      </c>
      <c r="E4391" s="109" t="s">
        <v>5558</v>
      </c>
      <c r="F4391" s="109" t="s">
        <v>26035</v>
      </c>
      <c r="G4391" s="110" t="s">
        <v>6248</v>
      </c>
      <c r="H4391" s="110" t="s">
        <v>26036</v>
      </c>
      <c r="I4391" s="110" t="s">
        <v>26037</v>
      </c>
    </row>
    <row r="4392" spans="1:9" ht="37.799999999999997" x14ac:dyDescent="0.3">
      <c r="A4392" s="109" t="s">
        <v>26038</v>
      </c>
      <c r="B4392" s="109" t="s">
        <v>25857</v>
      </c>
      <c r="C4392" s="109" t="s">
        <v>25857</v>
      </c>
      <c r="D4392" s="109" t="s">
        <v>26039</v>
      </c>
      <c r="E4392" s="109" t="s">
        <v>5558</v>
      </c>
      <c r="F4392" s="109" t="s">
        <v>26040</v>
      </c>
      <c r="G4392" s="110" t="s">
        <v>6248</v>
      </c>
      <c r="H4392" s="110" t="s">
        <v>6341</v>
      </c>
      <c r="I4392" s="110" t="s">
        <v>26041</v>
      </c>
    </row>
    <row r="4393" spans="1:9" ht="37.799999999999997" x14ac:dyDescent="0.3">
      <c r="A4393" s="109" t="s">
        <v>26042</v>
      </c>
      <c r="B4393" s="109" t="s">
        <v>25857</v>
      </c>
      <c r="C4393" s="109" t="s">
        <v>25857</v>
      </c>
      <c r="D4393" s="109" t="s">
        <v>26043</v>
      </c>
      <c r="E4393" s="109" t="s">
        <v>5558</v>
      </c>
      <c r="F4393" s="109" t="s">
        <v>26044</v>
      </c>
      <c r="G4393" s="110" t="s">
        <v>6248</v>
      </c>
      <c r="H4393" s="110" t="s">
        <v>6341</v>
      </c>
      <c r="I4393" s="110" t="s">
        <v>26045</v>
      </c>
    </row>
    <row r="4394" spans="1:9" ht="37.799999999999997" x14ac:dyDescent="0.3">
      <c r="A4394" s="109" t="s">
        <v>26046</v>
      </c>
      <c r="B4394" s="109" t="s">
        <v>25857</v>
      </c>
      <c r="C4394" s="109" t="s">
        <v>25857</v>
      </c>
      <c r="D4394" s="109" t="s">
        <v>26047</v>
      </c>
      <c r="E4394" s="109" t="s">
        <v>5558</v>
      </c>
      <c r="F4394" s="109" t="s">
        <v>26048</v>
      </c>
      <c r="G4394" s="110" t="s">
        <v>6248</v>
      </c>
      <c r="H4394" s="110" t="s">
        <v>6341</v>
      </c>
      <c r="I4394" s="110" t="s">
        <v>26049</v>
      </c>
    </row>
    <row r="4395" spans="1:9" ht="25.2" x14ac:dyDescent="0.3">
      <c r="A4395" s="109" t="s">
        <v>26050</v>
      </c>
      <c r="B4395" s="109" t="s">
        <v>25857</v>
      </c>
      <c r="C4395" s="109" t="s">
        <v>25857</v>
      </c>
      <c r="D4395" s="109" t="s">
        <v>26051</v>
      </c>
      <c r="E4395" s="109" t="s">
        <v>5558</v>
      </c>
      <c r="F4395" s="109" t="s">
        <v>26052</v>
      </c>
      <c r="G4395" s="110" t="s">
        <v>6248</v>
      </c>
      <c r="H4395" s="110" t="s">
        <v>8185</v>
      </c>
      <c r="I4395" s="110" t="s">
        <v>26053</v>
      </c>
    </row>
    <row r="4396" spans="1:9" ht="37.799999999999997" x14ac:dyDescent="0.3">
      <c r="A4396" s="109" t="s">
        <v>26054</v>
      </c>
      <c r="B4396" s="109" t="s">
        <v>25857</v>
      </c>
      <c r="C4396" s="109" t="s">
        <v>25857</v>
      </c>
      <c r="D4396" s="109" t="s">
        <v>26055</v>
      </c>
      <c r="E4396" s="109" t="s">
        <v>5558</v>
      </c>
      <c r="F4396" s="109" t="s">
        <v>26056</v>
      </c>
      <c r="G4396" s="110" t="s">
        <v>6248</v>
      </c>
      <c r="H4396" s="110" t="s">
        <v>6341</v>
      </c>
      <c r="I4396" s="110" t="s">
        <v>26057</v>
      </c>
    </row>
    <row r="4397" spans="1:9" ht="37.799999999999997" x14ac:dyDescent="0.3">
      <c r="A4397" s="109" t="s">
        <v>26058</v>
      </c>
      <c r="B4397" s="109" t="s">
        <v>25857</v>
      </c>
      <c r="C4397" s="109" t="s">
        <v>25857</v>
      </c>
      <c r="D4397" s="109" t="s">
        <v>26059</v>
      </c>
      <c r="E4397" s="109" t="s">
        <v>5558</v>
      </c>
      <c r="F4397" s="109" t="s">
        <v>26060</v>
      </c>
      <c r="G4397" s="110" t="s">
        <v>6248</v>
      </c>
      <c r="H4397" s="110" t="s">
        <v>6341</v>
      </c>
      <c r="I4397" s="110" t="s">
        <v>26061</v>
      </c>
    </row>
    <row r="4398" spans="1:9" ht="37.799999999999997" x14ac:dyDescent="0.3">
      <c r="A4398" s="109" t="s">
        <v>26062</v>
      </c>
      <c r="B4398" s="109" t="s">
        <v>25857</v>
      </c>
      <c r="C4398" s="109" t="s">
        <v>25857</v>
      </c>
      <c r="D4398" s="109" t="s">
        <v>26063</v>
      </c>
      <c r="E4398" s="109" t="s">
        <v>5558</v>
      </c>
      <c r="F4398" s="109" t="s">
        <v>26064</v>
      </c>
      <c r="G4398" s="110" t="s">
        <v>6248</v>
      </c>
      <c r="H4398" s="110" t="s">
        <v>26065</v>
      </c>
      <c r="I4398" s="110" t="s">
        <v>26066</v>
      </c>
    </row>
    <row r="4399" spans="1:9" ht="37.799999999999997" x14ac:dyDescent="0.3">
      <c r="A4399" s="109" t="s">
        <v>26067</v>
      </c>
      <c r="B4399" s="109" t="s">
        <v>25857</v>
      </c>
      <c r="C4399" s="109" t="s">
        <v>25857</v>
      </c>
      <c r="D4399" s="109" t="s">
        <v>26068</v>
      </c>
      <c r="E4399" s="109" t="s">
        <v>5558</v>
      </c>
      <c r="F4399" s="109" t="s">
        <v>26069</v>
      </c>
      <c r="G4399" s="110" t="s">
        <v>6248</v>
      </c>
      <c r="H4399" s="110" t="s">
        <v>26070</v>
      </c>
      <c r="I4399" s="110" t="s">
        <v>26071</v>
      </c>
    </row>
    <row r="4400" spans="1:9" ht="25.2" x14ac:dyDescent="0.3">
      <c r="A4400" s="109" t="s">
        <v>26072</v>
      </c>
      <c r="B4400" s="109" t="s">
        <v>25857</v>
      </c>
      <c r="C4400" s="109" t="s">
        <v>25857</v>
      </c>
      <c r="D4400" s="109" t="s">
        <v>5569</v>
      </c>
      <c r="E4400" s="109" t="s">
        <v>5558</v>
      </c>
      <c r="F4400" s="109" t="s">
        <v>2258</v>
      </c>
      <c r="G4400" s="110" t="s">
        <v>6248</v>
      </c>
      <c r="H4400" s="110" t="s">
        <v>26073</v>
      </c>
      <c r="I4400" s="110" t="s">
        <v>26074</v>
      </c>
    </row>
    <row r="4401" spans="1:9" ht="37.799999999999997" x14ac:dyDescent="0.3">
      <c r="A4401" s="109" t="s">
        <v>26075</v>
      </c>
      <c r="B4401" s="109" t="s">
        <v>25857</v>
      </c>
      <c r="C4401" s="109" t="s">
        <v>25857</v>
      </c>
      <c r="D4401" s="109" t="s">
        <v>26076</v>
      </c>
      <c r="E4401" s="109" t="s">
        <v>5558</v>
      </c>
      <c r="F4401" s="109" t="s">
        <v>26077</v>
      </c>
      <c r="G4401" s="110" t="s">
        <v>6248</v>
      </c>
      <c r="H4401" s="110" t="s">
        <v>26078</v>
      </c>
      <c r="I4401" s="110" t="s">
        <v>26079</v>
      </c>
    </row>
    <row r="4402" spans="1:9" ht="25.2" x14ac:dyDescent="0.3">
      <c r="A4402" s="109" t="s">
        <v>26080</v>
      </c>
      <c r="B4402" s="109" t="s">
        <v>25857</v>
      </c>
      <c r="C4402" s="109" t="s">
        <v>25857</v>
      </c>
      <c r="D4402" s="109" t="s">
        <v>26081</v>
      </c>
      <c r="E4402" s="109" t="s">
        <v>26082</v>
      </c>
      <c r="F4402" s="109" t="s">
        <v>9318</v>
      </c>
      <c r="G4402" s="110" t="s">
        <v>6248</v>
      </c>
      <c r="H4402" s="110" t="s">
        <v>26083</v>
      </c>
      <c r="I4402" s="110" t="s">
        <v>26084</v>
      </c>
    </row>
    <row r="4403" spans="1:9" ht="25.2" x14ac:dyDescent="0.3">
      <c r="A4403" s="109" t="s">
        <v>26085</v>
      </c>
      <c r="B4403" s="109" t="s">
        <v>25857</v>
      </c>
      <c r="C4403" s="109" t="s">
        <v>25857</v>
      </c>
      <c r="D4403" s="109" t="s">
        <v>26086</v>
      </c>
      <c r="E4403" s="109" t="s">
        <v>5558</v>
      </c>
      <c r="F4403" s="109" t="s">
        <v>26087</v>
      </c>
      <c r="G4403" s="110" t="s">
        <v>6248</v>
      </c>
      <c r="H4403" s="110" t="s">
        <v>6310</v>
      </c>
      <c r="I4403" s="110" t="s">
        <v>26088</v>
      </c>
    </row>
    <row r="4404" spans="1:9" ht="37.799999999999997" x14ac:dyDescent="0.3">
      <c r="A4404" s="109" t="s">
        <v>26089</v>
      </c>
      <c r="B4404" s="109" t="s">
        <v>25857</v>
      </c>
      <c r="C4404" s="109" t="s">
        <v>25857</v>
      </c>
      <c r="D4404" s="109" t="s">
        <v>26090</v>
      </c>
      <c r="E4404" s="109" t="s">
        <v>5558</v>
      </c>
      <c r="F4404" s="109" t="s">
        <v>26091</v>
      </c>
      <c r="G4404" s="110" t="s">
        <v>6248</v>
      </c>
      <c r="H4404" s="110" t="s">
        <v>26092</v>
      </c>
      <c r="I4404" s="110" t="s">
        <v>26093</v>
      </c>
    </row>
    <row r="4405" spans="1:9" ht="37.799999999999997" x14ac:dyDescent="0.3">
      <c r="A4405" s="109" t="s">
        <v>26094</v>
      </c>
      <c r="B4405" s="109" t="s">
        <v>25857</v>
      </c>
      <c r="C4405" s="109" t="s">
        <v>25857</v>
      </c>
      <c r="D4405" s="109" t="s">
        <v>26095</v>
      </c>
      <c r="E4405" s="109" t="s">
        <v>5558</v>
      </c>
      <c r="F4405" s="109" t="s">
        <v>26096</v>
      </c>
      <c r="G4405" s="110" t="s">
        <v>6248</v>
      </c>
      <c r="H4405" s="110" t="s">
        <v>26097</v>
      </c>
      <c r="I4405" s="110" t="s">
        <v>26098</v>
      </c>
    </row>
    <row r="4406" spans="1:9" ht="25.2" x14ac:dyDescent="0.3">
      <c r="A4406" s="109" t="s">
        <v>26099</v>
      </c>
      <c r="B4406" s="109" t="s">
        <v>25857</v>
      </c>
      <c r="C4406" s="109" t="s">
        <v>25857</v>
      </c>
      <c r="D4406" s="109" t="s">
        <v>3768</v>
      </c>
      <c r="E4406" s="109" t="s">
        <v>5558</v>
      </c>
      <c r="F4406" s="109" t="s">
        <v>26100</v>
      </c>
      <c r="G4406" s="110" t="s">
        <v>6248</v>
      </c>
      <c r="H4406" s="110" t="s">
        <v>26101</v>
      </c>
      <c r="I4406" s="110" t="s">
        <v>26102</v>
      </c>
    </row>
    <row r="4407" spans="1:9" ht="63" x14ac:dyDescent="0.3">
      <c r="A4407" s="109" t="s">
        <v>26103</v>
      </c>
      <c r="B4407" s="109" t="s">
        <v>25857</v>
      </c>
      <c r="C4407" s="109" t="s">
        <v>25857</v>
      </c>
      <c r="D4407" s="109" t="s">
        <v>26104</v>
      </c>
      <c r="E4407" s="109" t="s">
        <v>26104</v>
      </c>
      <c r="F4407" s="109" t="s">
        <v>26105</v>
      </c>
      <c r="G4407" s="110" t="s">
        <v>6248</v>
      </c>
      <c r="H4407" s="110" t="s">
        <v>26106</v>
      </c>
      <c r="I4407" s="110" t="s">
        <v>26107</v>
      </c>
    </row>
    <row r="4408" spans="1:9" ht="63" x14ac:dyDescent="0.3">
      <c r="A4408" s="109" t="s">
        <v>26108</v>
      </c>
      <c r="B4408" s="109" t="s">
        <v>25857</v>
      </c>
      <c r="C4408" s="109" t="s">
        <v>25857</v>
      </c>
      <c r="D4408" s="109" t="s">
        <v>26109</v>
      </c>
      <c r="E4408" s="109" t="s">
        <v>26109</v>
      </c>
      <c r="F4408" s="109" t="s">
        <v>26110</v>
      </c>
      <c r="G4408" s="110" t="s">
        <v>6248</v>
      </c>
      <c r="H4408" s="110" t="s">
        <v>26111</v>
      </c>
      <c r="I4408" s="110" t="s">
        <v>26112</v>
      </c>
    </row>
    <row r="4409" spans="1:9" ht="63" x14ac:dyDescent="0.3">
      <c r="A4409" s="109" t="s">
        <v>26113</v>
      </c>
      <c r="B4409" s="109" t="s">
        <v>25857</v>
      </c>
      <c r="C4409" s="109" t="s">
        <v>25857</v>
      </c>
      <c r="D4409" s="109" t="s">
        <v>26114</v>
      </c>
      <c r="E4409" s="109" t="s">
        <v>26114</v>
      </c>
      <c r="F4409" s="109" t="s">
        <v>26115</v>
      </c>
      <c r="G4409" s="110" t="s">
        <v>6248</v>
      </c>
      <c r="H4409" s="110" t="s">
        <v>26116</v>
      </c>
      <c r="I4409" s="110" t="s">
        <v>26117</v>
      </c>
    </row>
    <row r="4410" spans="1:9" ht="63" x14ac:dyDescent="0.3">
      <c r="A4410" s="109" t="s">
        <v>26118</v>
      </c>
      <c r="B4410" s="109" t="s">
        <v>25857</v>
      </c>
      <c r="C4410" s="109" t="s">
        <v>25857</v>
      </c>
      <c r="D4410" s="109" t="s">
        <v>26119</v>
      </c>
      <c r="E4410" s="109" t="s">
        <v>26119</v>
      </c>
      <c r="F4410" s="109" t="s">
        <v>26120</v>
      </c>
      <c r="G4410" s="110" t="s">
        <v>6248</v>
      </c>
      <c r="H4410" s="110" t="s">
        <v>26121</v>
      </c>
      <c r="I4410" s="110" t="s">
        <v>26122</v>
      </c>
    </row>
    <row r="4411" spans="1:9" ht="75.599999999999994" x14ac:dyDescent="0.3">
      <c r="A4411" s="109" t="s">
        <v>26123</v>
      </c>
      <c r="B4411" s="109" t="s">
        <v>25857</v>
      </c>
      <c r="C4411" s="109" t="s">
        <v>25857</v>
      </c>
      <c r="D4411" s="109" t="s">
        <v>26124</v>
      </c>
      <c r="E4411" s="109" t="s">
        <v>26124</v>
      </c>
      <c r="F4411" s="109" t="s">
        <v>26125</v>
      </c>
      <c r="G4411" s="110" t="s">
        <v>6248</v>
      </c>
      <c r="H4411" s="110" t="s">
        <v>26126</v>
      </c>
      <c r="I4411" s="110" t="s">
        <v>26127</v>
      </c>
    </row>
    <row r="4412" spans="1:9" ht="25.2" x14ac:dyDescent="0.3">
      <c r="A4412" s="109" t="s">
        <v>26128</v>
      </c>
      <c r="B4412" s="109" t="s">
        <v>25857</v>
      </c>
      <c r="C4412" s="109" t="s">
        <v>25857</v>
      </c>
      <c r="D4412" s="109" t="s">
        <v>26129</v>
      </c>
      <c r="E4412" s="109" t="s">
        <v>5558</v>
      </c>
      <c r="F4412" s="109" t="s">
        <v>26130</v>
      </c>
      <c r="G4412" s="110" t="s">
        <v>6248</v>
      </c>
      <c r="H4412" s="110" t="s">
        <v>26131</v>
      </c>
      <c r="I4412" s="110" t="s">
        <v>26132</v>
      </c>
    </row>
    <row r="4413" spans="1:9" ht="37.799999999999997" x14ac:dyDescent="0.3">
      <c r="A4413" s="109" t="s">
        <v>26133</v>
      </c>
      <c r="B4413" s="109" t="s">
        <v>25857</v>
      </c>
      <c r="C4413" s="109" t="s">
        <v>25857</v>
      </c>
      <c r="D4413" s="109" t="s">
        <v>26134</v>
      </c>
      <c r="E4413" s="109" t="s">
        <v>5558</v>
      </c>
      <c r="F4413" s="109" t="s">
        <v>26135</v>
      </c>
      <c r="G4413" s="110" t="s">
        <v>6248</v>
      </c>
      <c r="H4413" s="110" t="s">
        <v>26136</v>
      </c>
      <c r="I4413" s="110" t="s">
        <v>26137</v>
      </c>
    </row>
    <row r="4414" spans="1:9" ht="25.2" x14ac:dyDescent="0.3">
      <c r="A4414" s="109" t="s">
        <v>26138</v>
      </c>
      <c r="B4414" s="109" t="s">
        <v>25857</v>
      </c>
      <c r="C4414" s="109" t="s">
        <v>25857</v>
      </c>
      <c r="D4414" s="109" t="s">
        <v>26139</v>
      </c>
      <c r="E4414" s="109" t="s">
        <v>5558</v>
      </c>
      <c r="F4414" s="109" t="s">
        <v>26140</v>
      </c>
      <c r="G4414" s="110" t="s">
        <v>6248</v>
      </c>
      <c r="H4414" s="110" t="s">
        <v>26141</v>
      </c>
      <c r="I4414" s="110" t="s">
        <v>26142</v>
      </c>
    </row>
    <row r="4415" spans="1:9" ht="37.799999999999997" x14ac:dyDescent="0.3">
      <c r="A4415" s="109" t="s">
        <v>26143</v>
      </c>
      <c r="B4415" s="109" t="s">
        <v>25857</v>
      </c>
      <c r="C4415" s="109" t="s">
        <v>25857</v>
      </c>
      <c r="D4415" s="109" t="s">
        <v>26144</v>
      </c>
      <c r="E4415" s="109" t="s">
        <v>5558</v>
      </c>
      <c r="F4415" s="109" t="s">
        <v>26145</v>
      </c>
      <c r="G4415" s="110" t="s">
        <v>6248</v>
      </c>
      <c r="H4415" s="110" t="s">
        <v>26146</v>
      </c>
      <c r="I4415" s="110" t="s">
        <v>26147</v>
      </c>
    </row>
    <row r="4416" spans="1:9" ht="25.2" x14ac:dyDescent="0.3">
      <c r="A4416" s="109" t="s">
        <v>26148</v>
      </c>
      <c r="B4416" s="109" t="s">
        <v>25857</v>
      </c>
      <c r="C4416" s="109" t="s">
        <v>25857</v>
      </c>
      <c r="D4416" s="109" t="s">
        <v>26149</v>
      </c>
      <c r="E4416" s="109" t="s">
        <v>5558</v>
      </c>
      <c r="F4416" s="109" t="s">
        <v>26150</v>
      </c>
      <c r="G4416" s="110" t="s">
        <v>6248</v>
      </c>
      <c r="H4416" s="110" t="s">
        <v>26151</v>
      </c>
      <c r="I4416" s="110" t="s">
        <v>26152</v>
      </c>
    </row>
    <row r="4417" spans="1:9" ht="75.599999999999994" x14ac:dyDescent="0.3">
      <c r="A4417" s="109" t="s">
        <v>26153</v>
      </c>
      <c r="B4417" s="109" t="s">
        <v>25857</v>
      </c>
      <c r="C4417" s="109" t="s">
        <v>25857</v>
      </c>
      <c r="D4417" s="109" t="s">
        <v>26154</v>
      </c>
      <c r="E4417" s="109" t="s">
        <v>26154</v>
      </c>
      <c r="F4417" s="109" t="s">
        <v>26155</v>
      </c>
      <c r="G4417" s="110" t="s">
        <v>6248</v>
      </c>
      <c r="H4417" s="110" t="s">
        <v>26156</v>
      </c>
      <c r="I4417" s="110" t="s">
        <v>26157</v>
      </c>
    </row>
    <row r="4418" spans="1:9" ht="37.799999999999997" x14ac:dyDescent="0.3">
      <c r="A4418" s="109" t="s">
        <v>26158</v>
      </c>
      <c r="B4418" s="109" t="s">
        <v>25857</v>
      </c>
      <c r="C4418" s="109" t="s">
        <v>25857</v>
      </c>
      <c r="D4418" s="109" t="s">
        <v>26159</v>
      </c>
      <c r="E4418" s="109" t="s">
        <v>5558</v>
      </c>
      <c r="F4418" s="109" t="s">
        <v>26160</v>
      </c>
      <c r="G4418" s="110" t="s">
        <v>6248</v>
      </c>
      <c r="H4418" s="110" t="s">
        <v>6341</v>
      </c>
      <c r="I4418" s="110" t="s">
        <v>26161</v>
      </c>
    </row>
    <row r="4419" spans="1:9" ht="25.2" x14ac:dyDescent="0.3">
      <c r="A4419" s="109" t="s">
        <v>26162</v>
      </c>
      <c r="B4419" s="109" t="s">
        <v>25857</v>
      </c>
      <c r="C4419" s="109" t="s">
        <v>25857</v>
      </c>
      <c r="D4419" s="109" t="s">
        <v>26163</v>
      </c>
      <c r="E4419" s="109" t="s">
        <v>5558</v>
      </c>
      <c r="F4419" s="109" t="s">
        <v>26164</v>
      </c>
      <c r="G4419" s="110" t="s">
        <v>6248</v>
      </c>
      <c r="H4419" s="110" t="s">
        <v>26165</v>
      </c>
      <c r="I4419" s="110" t="s">
        <v>26166</v>
      </c>
    </row>
    <row r="4420" spans="1:9" ht="37.799999999999997" x14ac:dyDescent="0.3">
      <c r="A4420" s="109" t="s">
        <v>26167</v>
      </c>
      <c r="B4420" s="109" t="s">
        <v>25857</v>
      </c>
      <c r="C4420" s="109" t="s">
        <v>25857</v>
      </c>
      <c r="D4420" s="109" t="s">
        <v>26168</v>
      </c>
      <c r="E4420" s="109" t="s">
        <v>5558</v>
      </c>
      <c r="F4420" s="109" t="s">
        <v>26169</v>
      </c>
      <c r="G4420" s="110" t="s">
        <v>6248</v>
      </c>
      <c r="H4420" s="110" t="s">
        <v>26170</v>
      </c>
      <c r="I4420" s="110" t="s">
        <v>26171</v>
      </c>
    </row>
    <row r="4421" spans="1:9" ht="25.2" x14ac:dyDescent="0.3">
      <c r="A4421" s="109" t="s">
        <v>26172</v>
      </c>
      <c r="B4421" s="109" t="s">
        <v>25857</v>
      </c>
      <c r="C4421" s="109" t="s">
        <v>25857</v>
      </c>
      <c r="D4421" s="109" t="s">
        <v>26173</v>
      </c>
      <c r="E4421" s="109" t="s">
        <v>5558</v>
      </c>
      <c r="F4421" s="109" t="s">
        <v>26174</v>
      </c>
      <c r="G4421" s="110" t="s">
        <v>6248</v>
      </c>
      <c r="H4421" s="110" t="s">
        <v>6689</v>
      </c>
      <c r="I4421" s="110" t="s">
        <v>26175</v>
      </c>
    </row>
    <row r="4422" spans="1:9" ht="25.2" x14ac:dyDescent="0.3">
      <c r="A4422" s="109" t="s">
        <v>26176</v>
      </c>
      <c r="B4422" s="109" t="s">
        <v>25857</v>
      </c>
      <c r="C4422" s="109" t="s">
        <v>25857</v>
      </c>
      <c r="D4422" s="109" t="s">
        <v>26177</v>
      </c>
      <c r="E4422" s="109" t="s">
        <v>5558</v>
      </c>
      <c r="F4422" s="109" t="s">
        <v>26178</v>
      </c>
      <c r="G4422" s="110" t="s">
        <v>6248</v>
      </c>
      <c r="H4422" s="110" t="s">
        <v>6689</v>
      </c>
      <c r="I4422" s="110" t="s">
        <v>26179</v>
      </c>
    </row>
    <row r="4423" spans="1:9" ht="25.2" x14ac:dyDescent="0.3">
      <c r="A4423" s="109" t="s">
        <v>26180</v>
      </c>
      <c r="B4423" s="109" t="s">
        <v>25857</v>
      </c>
      <c r="C4423" s="109" t="s">
        <v>25857</v>
      </c>
      <c r="D4423" s="109" t="s">
        <v>26181</v>
      </c>
      <c r="E4423" s="109" t="s">
        <v>5558</v>
      </c>
      <c r="F4423" s="109" t="s">
        <v>26182</v>
      </c>
      <c r="G4423" s="110" t="s">
        <v>6248</v>
      </c>
      <c r="H4423" s="110" t="s">
        <v>6883</v>
      </c>
      <c r="I4423" s="110" t="s">
        <v>26183</v>
      </c>
    </row>
    <row r="4424" spans="1:9" ht="25.2" x14ac:dyDescent="0.3">
      <c r="A4424" s="109" t="s">
        <v>26184</v>
      </c>
      <c r="B4424" s="109" t="s">
        <v>25857</v>
      </c>
      <c r="C4424" s="109" t="s">
        <v>25857</v>
      </c>
      <c r="D4424" s="109" t="s">
        <v>26185</v>
      </c>
      <c r="E4424" s="109" t="s">
        <v>5558</v>
      </c>
      <c r="F4424" s="109" t="s">
        <v>26186</v>
      </c>
      <c r="G4424" s="110" t="s">
        <v>6248</v>
      </c>
      <c r="H4424" s="110" t="s">
        <v>6460</v>
      </c>
      <c r="I4424" s="110" t="s">
        <v>26187</v>
      </c>
    </row>
    <row r="4425" spans="1:9" ht="25.2" x14ac:dyDescent="0.3">
      <c r="A4425" s="109" t="s">
        <v>26188</v>
      </c>
      <c r="B4425" s="109" t="s">
        <v>25857</v>
      </c>
      <c r="C4425" s="109" t="s">
        <v>25857</v>
      </c>
      <c r="D4425" s="109" t="s">
        <v>26189</v>
      </c>
      <c r="E4425" s="109" t="s">
        <v>5558</v>
      </c>
      <c r="F4425" s="109" t="s">
        <v>26190</v>
      </c>
      <c r="G4425" s="110" t="s">
        <v>6248</v>
      </c>
      <c r="H4425" s="110" t="s">
        <v>26191</v>
      </c>
      <c r="I4425" s="110" t="s">
        <v>26192</v>
      </c>
    </row>
    <row r="4426" spans="1:9" ht="25.2" x14ac:dyDescent="0.3">
      <c r="A4426" s="109" t="s">
        <v>26193</v>
      </c>
      <c r="B4426" s="109" t="s">
        <v>25857</v>
      </c>
      <c r="C4426" s="109" t="s">
        <v>25857</v>
      </c>
      <c r="D4426" s="109" t="s">
        <v>3747</v>
      </c>
      <c r="E4426" s="109" t="s">
        <v>26194</v>
      </c>
      <c r="F4426" s="109" t="s">
        <v>6267</v>
      </c>
      <c r="G4426" s="110" t="s">
        <v>6248</v>
      </c>
      <c r="H4426" s="110" t="s">
        <v>26195</v>
      </c>
      <c r="I4426" s="110" t="s">
        <v>26196</v>
      </c>
    </row>
    <row r="4427" spans="1:9" ht="25.2" x14ac:dyDescent="0.3">
      <c r="A4427" s="109" t="s">
        <v>26197</v>
      </c>
      <c r="B4427" s="109" t="s">
        <v>25857</v>
      </c>
      <c r="C4427" s="109" t="s">
        <v>25857</v>
      </c>
      <c r="D4427" s="109" t="s">
        <v>26198</v>
      </c>
      <c r="E4427" s="109" t="s">
        <v>5558</v>
      </c>
      <c r="F4427" s="109" t="s">
        <v>26199</v>
      </c>
      <c r="G4427" s="110" t="s">
        <v>6248</v>
      </c>
      <c r="H4427" s="110" t="s">
        <v>26200</v>
      </c>
      <c r="I4427" s="110" t="s">
        <v>26201</v>
      </c>
    </row>
    <row r="4428" spans="1:9" ht="25.2" x14ac:dyDescent="0.3">
      <c r="A4428" s="109" t="s">
        <v>26202</v>
      </c>
      <c r="B4428" s="109" t="s">
        <v>25857</v>
      </c>
      <c r="C4428" s="109" t="s">
        <v>25857</v>
      </c>
      <c r="D4428" s="109" t="s">
        <v>26203</v>
      </c>
      <c r="E4428" s="109" t="s">
        <v>5558</v>
      </c>
      <c r="F4428" s="109" t="s">
        <v>26204</v>
      </c>
      <c r="G4428" s="110" t="s">
        <v>6248</v>
      </c>
      <c r="H4428" s="110" t="s">
        <v>26205</v>
      </c>
      <c r="I4428" s="110" t="s">
        <v>26206</v>
      </c>
    </row>
    <row r="4429" spans="1:9" ht="25.2" x14ac:dyDescent="0.3">
      <c r="A4429" s="109" t="s">
        <v>26207</v>
      </c>
      <c r="B4429" s="109" t="s">
        <v>25857</v>
      </c>
      <c r="C4429" s="109" t="s">
        <v>25857</v>
      </c>
      <c r="D4429" s="109" t="s">
        <v>26208</v>
      </c>
      <c r="E4429" s="109" t="s">
        <v>5558</v>
      </c>
      <c r="F4429" s="109" t="s">
        <v>26209</v>
      </c>
      <c r="G4429" s="110" t="s">
        <v>6248</v>
      </c>
      <c r="H4429" s="110" t="s">
        <v>6341</v>
      </c>
      <c r="I4429" s="110" t="s">
        <v>26210</v>
      </c>
    </row>
    <row r="4430" spans="1:9" ht="25.2" x14ac:dyDescent="0.3">
      <c r="A4430" s="109" t="s">
        <v>26211</v>
      </c>
      <c r="B4430" s="109" t="s">
        <v>25857</v>
      </c>
      <c r="C4430" s="109" t="s">
        <v>25857</v>
      </c>
      <c r="D4430" s="109" t="s">
        <v>26212</v>
      </c>
      <c r="E4430" s="109" t="s">
        <v>5558</v>
      </c>
      <c r="F4430" s="109" t="s">
        <v>26213</v>
      </c>
      <c r="G4430" s="110" t="s">
        <v>6248</v>
      </c>
      <c r="H4430" s="110" t="s">
        <v>26214</v>
      </c>
      <c r="I4430" s="110" t="s">
        <v>26215</v>
      </c>
    </row>
    <row r="4431" spans="1:9" ht="25.2" x14ac:dyDescent="0.3">
      <c r="A4431" s="109" t="s">
        <v>26216</v>
      </c>
      <c r="B4431" s="109" t="s">
        <v>25857</v>
      </c>
      <c r="C4431" s="109" t="s">
        <v>25857</v>
      </c>
      <c r="D4431" s="109" t="s">
        <v>3775</v>
      </c>
      <c r="E4431" s="109" t="s">
        <v>26217</v>
      </c>
      <c r="F4431" s="109" t="s">
        <v>26218</v>
      </c>
      <c r="G4431" s="110" t="s">
        <v>6248</v>
      </c>
      <c r="H4431" s="110" t="s">
        <v>26219</v>
      </c>
      <c r="I4431" s="110" t="s">
        <v>26220</v>
      </c>
    </row>
    <row r="4432" spans="1:9" ht="37.799999999999997" x14ac:dyDescent="0.3">
      <c r="A4432" s="109" t="s">
        <v>26221</v>
      </c>
      <c r="B4432" s="109" t="s">
        <v>25857</v>
      </c>
      <c r="C4432" s="109" t="s">
        <v>25857</v>
      </c>
      <c r="D4432" s="109" t="s">
        <v>26222</v>
      </c>
      <c r="E4432" s="109" t="s">
        <v>5558</v>
      </c>
      <c r="F4432" s="109" t="s">
        <v>26223</v>
      </c>
      <c r="G4432" s="110" t="s">
        <v>6248</v>
      </c>
      <c r="H4432" s="110" t="s">
        <v>26224</v>
      </c>
      <c r="I4432" s="110" t="s">
        <v>26225</v>
      </c>
    </row>
    <row r="4433" spans="1:9" ht="37.799999999999997" x14ac:dyDescent="0.3">
      <c r="A4433" s="109" t="s">
        <v>26226</v>
      </c>
      <c r="B4433" s="109" t="s">
        <v>25857</v>
      </c>
      <c r="C4433" s="109" t="s">
        <v>25857</v>
      </c>
      <c r="D4433" s="109" t="s">
        <v>26227</v>
      </c>
      <c r="E4433" s="109" t="s">
        <v>5558</v>
      </c>
      <c r="F4433" s="109" t="s">
        <v>26228</v>
      </c>
      <c r="G4433" s="110" t="s">
        <v>6248</v>
      </c>
      <c r="H4433" s="110" t="s">
        <v>26229</v>
      </c>
      <c r="I4433" s="110" t="s">
        <v>26230</v>
      </c>
    </row>
    <row r="4434" spans="1:9" ht="50.4" x14ac:dyDescent="0.3">
      <c r="A4434" s="109" t="s">
        <v>26231</v>
      </c>
      <c r="B4434" s="109" t="s">
        <v>25857</v>
      </c>
      <c r="C4434" s="109" t="s">
        <v>25857</v>
      </c>
      <c r="D4434" s="109" t="s">
        <v>26232</v>
      </c>
      <c r="E4434" s="109" t="s">
        <v>26232</v>
      </c>
      <c r="F4434" s="109" t="s">
        <v>26233</v>
      </c>
      <c r="G4434" s="110" t="s">
        <v>6248</v>
      </c>
      <c r="H4434" s="110" t="s">
        <v>26234</v>
      </c>
      <c r="I4434" s="110" t="s">
        <v>26235</v>
      </c>
    </row>
    <row r="4435" spans="1:9" ht="50.4" x14ac:dyDescent="0.3">
      <c r="A4435" s="109" t="s">
        <v>26236</v>
      </c>
      <c r="B4435" s="109" t="s">
        <v>25857</v>
      </c>
      <c r="C4435" s="109" t="s">
        <v>25857</v>
      </c>
      <c r="D4435" s="109" t="s">
        <v>9717</v>
      </c>
      <c r="E4435" s="109" t="s">
        <v>9717</v>
      </c>
      <c r="F4435" s="109" t="s">
        <v>26237</v>
      </c>
      <c r="G4435" s="110" t="s">
        <v>6248</v>
      </c>
      <c r="H4435" s="110" t="s">
        <v>6393</v>
      </c>
      <c r="I4435" s="110" t="s">
        <v>26238</v>
      </c>
    </row>
    <row r="4436" spans="1:9" ht="50.4" x14ac:dyDescent="0.3">
      <c r="A4436" s="109" t="s">
        <v>26239</v>
      </c>
      <c r="B4436" s="109" t="s">
        <v>25857</v>
      </c>
      <c r="C4436" s="109" t="s">
        <v>25857</v>
      </c>
      <c r="D4436" s="109" t="s">
        <v>23925</v>
      </c>
      <c r="E4436" s="109" t="s">
        <v>23925</v>
      </c>
      <c r="F4436" s="109" t="s">
        <v>26240</v>
      </c>
      <c r="G4436" s="110" t="s">
        <v>6248</v>
      </c>
      <c r="H4436" s="110" t="s">
        <v>26241</v>
      </c>
      <c r="I4436" s="110" t="s">
        <v>26242</v>
      </c>
    </row>
    <row r="4437" spans="1:9" ht="50.4" x14ac:dyDescent="0.3">
      <c r="A4437" s="109" t="s">
        <v>26243</v>
      </c>
      <c r="B4437" s="109" t="s">
        <v>25857</v>
      </c>
      <c r="C4437" s="109" t="s">
        <v>25857</v>
      </c>
      <c r="D4437" s="109" t="s">
        <v>26244</v>
      </c>
      <c r="E4437" s="109" t="s">
        <v>26244</v>
      </c>
      <c r="F4437" s="109" t="s">
        <v>26245</v>
      </c>
      <c r="G4437" s="110" t="s">
        <v>6248</v>
      </c>
      <c r="H4437" s="110" t="s">
        <v>26246</v>
      </c>
      <c r="I4437" s="110" t="s">
        <v>26247</v>
      </c>
    </row>
    <row r="4438" spans="1:9" ht="37.799999999999997" x14ac:dyDescent="0.3">
      <c r="A4438" s="109" t="s">
        <v>26248</v>
      </c>
      <c r="B4438" s="109" t="s">
        <v>25857</v>
      </c>
      <c r="C4438" s="109" t="s">
        <v>25857</v>
      </c>
      <c r="D4438" s="109" t="s">
        <v>7595</v>
      </c>
      <c r="E4438" s="109" t="s">
        <v>7595</v>
      </c>
      <c r="F4438" s="109" t="s">
        <v>26249</v>
      </c>
      <c r="G4438" s="110" t="s">
        <v>6248</v>
      </c>
      <c r="H4438" s="110" t="s">
        <v>26250</v>
      </c>
      <c r="I4438" s="110" t="s">
        <v>26251</v>
      </c>
    </row>
    <row r="4439" spans="1:9" ht="63" x14ac:dyDescent="0.3">
      <c r="A4439" s="109" t="s">
        <v>26252</v>
      </c>
      <c r="B4439" s="109" t="s">
        <v>25857</v>
      </c>
      <c r="C4439" s="109" t="s">
        <v>25857</v>
      </c>
      <c r="D4439" s="109" t="s">
        <v>26253</v>
      </c>
      <c r="E4439" s="109" t="s">
        <v>26253</v>
      </c>
      <c r="F4439" s="109" t="s">
        <v>26254</v>
      </c>
      <c r="G4439" s="110" t="s">
        <v>6248</v>
      </c>
      <c r="H4439" s="110" t="s">
        <v>26255</v>
      </c>
      <c r="I4439" s="110" t="s">
        <v>26256</v>
      </c>
    </row>
    <row r="4440" spans="1:9" ht="50.4" x14ac:dyDescent="0.3">
      <c r="A4440" s="109" t="s">
        <v>26257</v>
      </c>
      <c r="B4440" s="109" t="s">
        <v>25857</v>
      </c>
      <c r="C4440" s="109" t="s">
        <v>25857</v>
      </c>
      <c r="D4440" s="109" t="s">
        <v>26258</v>
      </c>
      <c r="E4440" s="109" t="s">
        <v>26258</v>
      </c>
      <c r="F4440" s="109" t="s">
        <v>26259</v>
      </c>
      <c r="G4440" s="110" t="s">
        <v>6248</v>
      </c>
      <c r="H4440" s="110" t="s">
        <v>26260</v>
      </c>
      <c r="I4440" s="110" t="s">
        <v>26261</v>
      </c>
    </row>
    <row r="4441" spans="1:9" ht="50.4" x14ac:dyDescent="0.3">
      <c r="A4441" s="109" t="s">
        <v>26262</v>
      </c>
      <c r="B4441" s="109" t="s">
        <v>25857</v>
      </c>
      <c r="C4441" s="109" t="s">
        <v>25857</v>
      </c>
      <c r="D4441" s="109" t="s">
        <v>11205</v>
      </c>
      <c r="E4441" s="109" t="s">
        <v>11205</v>
      </c>
      <c r="F4441" s="109" t="s">
        <v>26263</v>
      </c>
      <c r="G4441" s="110" t="s">
        <v>6248</v>
      </c>
      <c r="H4441" s="110" t="s">
        <v>26264</v>
      </c>
      <c r="I4441" s="110" t="s">
        <v>26265</v>
      </c>
    </row>
    <row r="4442" spans="1:9" ht="50.4" x14ac:dyDescent="0.3">
      <c r="A4442" s="109" t="s">
        <v>26266</v>
      </c>
      <c r="B4442" s="109" t="s">
        <v>25857</v>
      </c>
      <c r="C4442" s="109" t="s">
        <v>25857</v>
      </c>
      <c r="D4442" s="109" t="s">
        <v>26267</v>
      </c>
      <c r="E4442" s="109" t="s">
        <v>26267</v>
      </c>
      <c r="F4442" s="109" t="s">
        <v>26268</v>
      </c>
      <c r="G4442" s="110" t="s">
        <v>6248</v>
      </c>
      <c r="H4442" s="110" t="s">
        <v>26269</v>
      </c>
      <c r="I4442" s="110" t="s">
        <v>26270</v>
      </c>
    </row>
    <row r="4443" spans="1:9" ht="37.799999999999997" x14ac:dyDescent="0.3">
      <c r="A4443" s="109" t="s">
        <v>26271</v>
      </c>
      <c r="B4443" s="109" t="s">
        <v>25857</v>
      </c>
      <c r="C4443" s="109" t="s">
        <v>25857</v>
      </c>
      <c r="D4443" s="109" t="s">
        <v>14455</v>
      </c>
      <c r="E4443" s="109" t="s">
        <v>26272</v>
      </c>
      <c r="F4443" s="109" t="s">
        <v>26273</v>
      </c>
      <c r="G4443" s="110" t="s">
        <v>6248</v>
      </c>
      <c r="H4443" s="110" t="s">
        <v>26274</v>
      </c>
      <c r="I4443" s="110" t="s">
        <v>26275</v>
      </c>
    </row>
    <row r="4444" spans="1:9" ht="37.799999999999997" x14ac:dyDescent="0.3">
      <c r="A4444" s="109" t="s">
        <v>26276</v>
      </c>
      <c r="B4444" s="109" t="s">
        <v>25857</v>
      </c>
      <c r="C4444" s="109" t="s">
        <v>25857</v>
      </c>
      <c r="D4444" s="109" t="s">
        <v>10100</v>
      </c>
      <c r="E4444" s="109" t="s">
        <v>10100</v>
      </c>
      <c r="F4444" s="109" t="s">
        <v>26277</v>
      </c>
      <c r="G4444" s="110" t="s">
        <v>6248</v>
      </c>
      <c r="H4444" s="110" t="s">
        <v>26278</v>
      </c>
      <c r="I4444" s="110" t="s">
        <v>26279</v>
      </c>
    </row>
    <row r="4445" spans="1:9" ht="50.4" x14ac:dyDescent="0.3">
      <c r="A4445" s="109" t="s">
        <v>26280</v>
      </c>
      <c r="B4445" s="109" t="s">
        <v>25857</v>
      </c>
      <c r="C4445" s="109" t="s">
        <v>25857</v>
      </c>
      <c r="D4445" s="109" t="s">
        <v>26281</v>
      </c>
      <c r="E4445" s="109" t="s">
        <v>26281</v>
      </c>
      <c r="F4445" s="109" t="s">
        <v>26282</v>
      </c>
      <c r="G4445" s="110" t="s">
        <v>6248</v>
      </c>
      <c r="H4445" s="110" t="s">
        <v>26283</v>
      </c>
      <c r="I4445" s="110" t="s">
        <v>26284</v>
      </c>
    </row>
    <row r="4446" spans="1:9" ht="50.4" x14ac:dyDescent="0.3">
      <c r="A4446" s="109" t="s">
        <v>26285</v>
      </c>
      <c r="B4446" s="109" t="s">
        <v>25857</v>
      </c>
      <c r="C4446" s="109" t="s">
        <v>25857</v>
      </c>
      <c r="D4446" s="109" t="s">
        <v>26286</v>
      </c>
      <c r="E4446" s="109" t="s">
        <v>26286</v>
      </c>
      <c r="F4446" s="109" t="s">
        <v>26287</v>
      </c>
      <c r="G4446" s="110" t="s">
        <v>6248</v>
      </c>
      <c r="H4446" s="110" t="s">
        <v>26288</v>
      </c>
      <c r="I4446" s="110" t="s">
        <v>26289</v>
      </c>
    </row>
    <row r="4447" spans="1:9" ht="37.799999999999997" x14ac:dyDescent="0.3">
      <c r="A4447" s="109" t="s">
        <v>26290</v>
      </c>
      <c r="B4447" s="109" t="s">
        <v>25857</v>
      </c>
      <c r="C4447" s="109" t="s">
        <v>25857</v>
      </c>
      <c r="D4447" s="109" t="s">
        <v>24826</v>
      </c>
      <c r="E4447" s="109" t="s">
        <v>24826</v>
      </c>
      <c r="F4447" s="109" t="s">
        <v>26291</v>
      </c>
      <c r="G4447" s="110" t="s">
        <v>6248</v>
      </c>
      <c r="H4447" s="110" t="s">
        <v>26292</v>
      </c>
      <c r="I4447" s="110" t="s">
        <v>26293</v>
      </c>
    </row>
    <row r="4448" spans="1:9" ht="50.4" x14ac:dyDescent="0.3">
      <c r="A4448" s="109" t="s">
        <v>26294</v>
      </c>
      <c r="B4448" s="109" t="s">
        <v>25857</v>
      </c>
      <c r="C4448" s="109" t="s">
        <v>25857</v>
      </c>
      <c r="D4448" s="109" t="s">
        <v>16566</v>
      </c>
      <c r="E4448" s="109" t="s">
        <v>16566</v>
      </c>
      <c r="F4448" s="109" t="s">
        <v>26295</v>
      </c>
      <c r="G4448" s="110" t="s">
        <v>6248</v>
      </c>
      <c r="H4448" s="110" t="s">
        <v>6883</v>
      </c>
      <c r="I4448" s="110" t="s">
        <v>26296</v>
      </c>
    </row>
    <row r="4449" spans="1:9" ht="50.4" x14ac:dyDescent="0.3">
      <c r="A4449" s="109" t="s">
        <v>26297</v>
      </c>
      <c r="B4449" s="109" t="s">
        <v>25857</v>
      </c>
      <c r="C4449" s="109" t="s">
        <v>25857</v>
      </c>
      <c r="D4449" s="109" t="s">
        <v>26298</v>
      </c>
      <c r="E4449" s="109" t="s">
        <v>26298</v>
      </c>
      <c r="F4449" s="109" t="s">
        <v>26299</v>
      </c>
      <c r="G4449" s="110" t="s">
        <v>6248</v>
      </c>
      <c r="H4449" s="110" t="s">
        <v>26300</v>
      </c>
      <c r="I4449" s="110" t="s">
        <v>26301</v>
      </c>
    </row>
    <row r="4450" spans="1:9" ht="50.4" x14ac:dyDescent="0.3">
      <c r="A4450" s="109" t="s">
        <v>26302</v>
      </c>
      <c r="B4450" s="109" t="s">
        <v>25857</v>
      </c>
      <c r="C4450" s="109" t="s">
        <v>25857</v>
      </c>
      <c r="D4450" s="109" t="s">
        <v>26303</v>
      </c>
      <c r="E4450" s="109" t="s">
        <v>26303</v>
      </c>
      <c r="F4450" s="109" t="s">
        <v>26304</v>
      </c>
      <c r="G4450" s="110" t="s">
        <v>6248</v>
      </c>
      <c r="H4450" s="110" t="s">
        <v>26305</v>
      </c>
      <c r="I4450" s="110" t="s">
        <v>26306</v>
      </c>
    </row>
    <row r="4451" spans="1:9" ht="50.4" x14ac:dyDescent="0.3">
      <c r="A4451" s="109" t="s">
        <v>26307</v>
      </c>
      <c r="B4451" s="109" t="s">
        <v>25857</v>
      </c>
      <c r="C4451" s="109" t="s">
        <v>25857</v>
      </c>
      <c r="D4451" s="109" t="s">
        <v>26308</v>
      </c>
      <c r="E4451" s="109" t="s">
        <v>26308</v>
      </c>
      <c r="F4451" s="109" t="s">
        <v>26309</v>
      </c>
      <c r="G4451" s="110" t="s">
        <v>6248</v>
      </c>
      <c r="H4451" s="110" t="s">
        <v>26310</v>
      </c>
      <c r="I4451" s="110" t="s">
        <v>26311</v>
      </c>
    </row>
    <row r="4452" spans="1:9" ht="50.4" x14ac:dyDescent="0.3">
      <c r="A4452" s="109" t="s">
        <v>26312</v>
      </c>
      <c r="B4452" s="109" t="s">
        <v>25857</v>
      </c>
      <c r="C4452" s="109" t="s">
        <v>25857</v>
      </c>
      <c r="D4452" s="109" t="s">
        <v>26313</v>
      </c>
      <c r="E4452" s="109" t="s">
        <v>26313</v>
      </c>
      <c r="F4452" s="109" t="s">
        <v>26314</v>
      </c>
      <c r="G4452" s="110" t="s">
        <v>6248</v>
      </c>
      <c r="H4452" s="110" t="s">
        <v>26315</v>
      </c>
      <c r="I4452" s="110" t="s">
        <v>26316</v>
      </c>
    </row>
    <row r="4453" spans="1:9" ht="50.4" x14ac:dyDescent="0.3">
      <c r="A4453" s="109" t="s">
        <v>26317</v>
      </c>
      <c r="B4453" s="109" t="s">
        <v>25857</v>
      </c>
      <c r="C4453" s="109" t="s">
        <v>25857</v>
      </c>
      <c r="D4453" s="109" t="s">
        <v>26318</v>
      </c>
      <c r="E4453" s="109" t="s">
        <v>26318</v>
      </c>
      <c r="F4453" s="109" t="s">
        <v>26319</v>
      </c>
      <c r="G4453" s="110" t="s">
        <v>6248</v>
      </c>
      <c r="H4453" s="110" t="s">
        <v>26320</v>
      </c>
      <c r="I4453" s="110" t="s">
        <v>26321</v>
      </c>
    </row>
    <row r="4454" spans="1:9" ht="50.4" x14ac:dyDescent="0.3">
      <c r="A4454" s="109" t="s">
        <v>26322</v>
      </c>
      <c r="B4454" s="109" t="s">
        <v>25857</v>
      </c>
      <c r="C4454" s="109" t="s">
        <v>25857</v>
      </c>
      <c r="D4454" s="109" t="s">
        <v>26323</v>
      </c>
      <c r="E4454" s="109" t="s">
        <v>26323</v>
      </c>
      <c r="F4454" s="109" t="s">
        <v>26324</v>
      </c>
      <c r="G4454" s="110" t="s">
        <v>6248</v>
      </c>
      <c r="H4454" s="110" t="s">
        <v>26325</v>
      </c>
      <c r="I4454" s="110" t="s">
        <v>26326</v>
      </c>
    </row>
    <row r="4455" spans="1:9" ht="50.4" x14ac:dyDescent="0.3">
      <c r="A4455" s="109" t="s">
        <v>26327</v>
      </c>
      <c r="B4455" s="109" t="s">
        <v>25857</v>
      </c>
      <c r="C4455" s="109" t="s">
        <v>25857</v>
      </c>
      <c r="D4455" s="109" t="s">
        <v>26328</v>
      </c>
      <c r="E4455" s="109" t="s">
        <v>26328</v>
      </c>
      <c r="F4455" s="109" t="s">
        <v>26329</v>
      </c>
      <c r="G4455" s="110" t="s">
        <v>6248</v>
      </c>
      <c r="H4455" s="110" t="s">
        <v>6883</v>
      </c>
      <c r="I4455" s="110" t="s">
        <v>26330</v>
      </c>
    </row>
    <row r="4456" spans="1:9" ht="50.4" x14ac:dyDescent="0.3">
      <c r="A4456" s="109" t="s">
        <v>26331</v>
      </c>
      <c r="B4456" s="109" t="s">
        <v>25857</v>
      </c>
      <c r="C4456" s="109" t="s">
        <v>25857</v>
      </c>
      <c r="D4456" s="109" t="s">
        <v>26332</v>
      </c>
      <c r="E4456" s="109" t="s">
        <v>26332</v>
      </c>
      <c r="F4456" s="109" t="s">
        <v>26333</v>
      </c>
      <c r="G4456" s="110" t="s">
        <v>6248</v>
      </c>
      <c r="H4456" s="110" t="s">
        <v>26334</v>
      </c>
      <c r="I4456" s="110" t="s">
        <v>26335</v>
      </c>
    </row>
    <row r="4457" spans="1:9" ht="25.2" x14ac:dyDescent="0.3">
      <c r="A4457" s="109" t="s">
        <v>26336</v>
      </c>
      <c r="B4457" s="109" t="s">
        <v>25857</v>
      </c>
      <c r="C4457" s="109" t="s">
        <v>25857</v>
      </c>
      <c r="D4457" s="109" t="s">
        <v>22239</v>
      </c>
      <c r="E4457" s="109" t="s">
        <v>26337</v>
      </c>
      <c r="F4457" s="109" t="s">
        <v>26338</v>
      </c>
      <c r="G4457" s="110" t="s">
        <v>6248</v>
      </c>
      <c r="H4457" s="110" t="s">
        <v>26339</v>
      </c>
      <c r="I4457" s="110" t="s">
        <v>26340</v>
      </c>
    </row>
    <row r="4458" spans="1:9" ht="25.2" x14ac:dyDescent="0.3">
      <c r="A4458" s="109" t="s">
        <v>26341</v>
      </c>
      <c r="B4458" s="109" t="s">
        <v>25857</v>
      </c>
      <c r="C4458" s="109" t="s">
        <v>25857</v>
      </c>
      <c r="D4458" s="109" t="s">
        <v>26342</v>
      </c>
      <c r="E4458" s="109" t="s">
        <v>5558</v>
      </c>
      <c r="F4458" s="109" t="s">
        <v>26343</v>
      </c>
      <c r="G4458" s="110" t="s">
        <v>6248</v>
      </c>
      <c r="H4458" s="110" t="s">
        <v>24831</v>
      </c>
      <c r="I4458" s="110" t="s">
        <v>26344</v>
      </c>
    </row>
    <row r="4459" spans="1:9" ht="37.799999999999997" x14ac:dyDescent="0.3">
      <c r="A4459" s="109" t="s">
        <v>26345</v>
      </c>
      <c r="B4459" s="109" t="s">
        <v>25857</v>
      </c>
      <c r="C4459" s="109" t="s">
        <v>25857</v>
      </c>
      <c r="D4459" s="109" t="s">
        <v>26346</v>
      </c>
      <c r="E4459" s="109" t="s">
        <v>5558</v>
      </c>
      <c r="F4459" s="109" t="s">
        <v>26347</v>
      </c>
      <c r="G4459" s="110" t="s">
        <v>6248</v>
      </c>
      <c r="H4459" s="110" t="s">
        <v>26348</v>
      </c>
      <c r="I4459" s="110" t="s">
        <v>26349</v>
      </c>
    </row>
    <row r="4460" spans="1:9" ht="25.2" x14ac:dyDescent="0.3">
      <c r="A4460" s="109" t="s">
        <v>26350</v>
      </c>
      <c r="B4460" s="109" t="s">
        <v>25857</v>
      </c>
      <c r="C4460" s="109" t="s">
        <v>25857</v>
      </c>
      <c r="D4460" s="109" t="s">
        <v>26351</v>
      </c>
      <c r="E4460" s="109" t="s">
        <v>5558</v>
      </c>
      <c r="F4460" s="109" t="s">
        <v>26352</v>
      </c>
      <c r="G4460" s="110" t="s">
        <v>6248</v>
      </c>
      <c r="H4460" s="110" t="s">
        <v>26353</v>
      </c>
      <c r="I4460" s="110" t="s">
        <v>26354</v>
      </c>
    </row>
    <row r="4461" spans="1:9" ht="25.2" x14ac:dyDescent="0.3">
      <c r="A4461" s="109" t="s">
        <v>26355</v>
      </c>
      <c r="B4461" s="109" t="s">
        <v>25857</v>
      </c>
      <c r="C4461" s="109" t="s">
        <v>25857</v>
      </c>
      <c r="D4461" s="109" t="s">
        <v>26356</v>
      </c>
      <c r="E4461" s="109" t="s">
        <v>5558</v>
      </c>
      <c r="F4461" s="109" t="s">
        <v>26357</v>
      </c>
      <c r="G4461" s="110" t="s">
        <v>6248</v>
      </c>
      <c r="H4461" s="110" t="s">
        <v>26358</v>
      </c>
      <c r="I4461" s="110" t="s">
        <v>26359</v>
      </c>
    </row>
    <row r="4462" spans="1:9" ht="25.2" x14ac:dyDescent="0.3">
      <c r="A4462" s="109" t="s">
        <v>26360</v>
      </c>
      <c r="B4462" s="109" t="s">
        <v>25857</v>
      </c>
      <c r="C4462" s="109" t="s">
        <v>25857</v>
      </c>
      <c r="D4462" s="109" t="s">
        <v>3792</v>
      </c>
      <c r="E4462" s="109" t="s">
        <v>5558</v>
      </c>
      <c r="F4462" s="109" t="s">
        <v>26361</v>
      </c>
      <c r="G4462" s="110" t="s">
        <v>6248</v>
      </c>
      <c r="H4462" s="110" t="s">
        <v>6660</v>
      </c>
      <c r="I4462" s="110" t="s">
        <v>26362</v>
      </c>
    </row>
    <row r="4463" spans="1:9" ht="25.2" x14ac:dyDescent="0.3">
      <c r="A4463" s="109" t="s">
        <v>26363</v>
      </c>
      <c r="B4463" s="109" t="s">
        <v>25857</v>
      </c>
      <c r="C4463" s="109" t="s">
        <v>25857</v>
      </c>
      <c r="D4463" s="109" t="s">
        <v>26364</v>
      </c>
      <c r="E4463" s="109" t="s">
        <v>5558</v>
      </c>
      <c r="F4463" s="109" t="s">
        <v>26365</v>
      </c>
      <c r="G4463" s="110" t="s">
        <v>6248</v>
      </c>
      <c r="H4463" s="110" t="s">
        <v>26366</v>
      </c>
      <c r="I4463" s="110" t="s">
        <v>26367</v>
      </c>
    </row>
    <row r="4464" spans="1:9" ht="25.2" x14ac:dyDescent="0.3">
      <c r="A4464" s="109" t="s">
        <v>26368</v>
      </c>
      <c r="B4464" s="109" t="s">
        <v>25857</v>
      </c>
      <c r="C4464" s="109" t="s">
        <v>25857</v>
      </c>
      <c r="D4464" s="109" t="s">
        <v>26369</v>
      </c>
      <c r="E4464" s="109" t="s">
        <v>5558</v>
      </c>
      <c r="F4464" s="109" t="s">
        <v>26370</v>
      </c>
      <c r="G4464" s="110" t="s">
        <v>6248</v>
      </c>
      <c r="H4464" s="110" t="s">
        <v>26371</v>
      </c>
      <c r="I4464" s="110" t="s">
        <v>26372</v>
      </c>
    </row>
    <row r="4465" spans="1:9" ht="37.799999999999997" x14ac:dyDescent="0.3">
      <c r="A4465" s="109" t="s">
        <v>26373</v>
      </c>
      <c r="B4465" s="109" t="s">
        <v>25857</v>
      </c>
      <c r="C4465" s="109" t="s">
        <v>25857</v>
      </c>
      <c r="D4465" s="109" t="s">
        <v>26374</v>
      </c>
      <c r="E4465" s="109" t="s">
        <v>5558</v>
      </c>
      <c r="F4465" s="109" t="s">
        <v>26375</v>
      </c>
      <c r="G4465" s="110" t="s">
        <v>6248</v>
      </c>
      <c r="H4465" s="110" t="s">
        <v>6310</v>
      </c>
      <c r="I4465" s="110" t="s">
        <v>26376</v>
      </c>
    </row>
    <row r="4466" spans="1:9" ht="37.799999999999997" x14ac:dyDescent="0.3">
      <c r="A4466" s="109" t="s">
        <v>26377</v>
      </c>
      <c r="B4466" s="109" t="s">
        <v>25857</v>
      </c>
      <c r="C4466" s="109" t="s">
        <v>25857</v>
      </c>
      <c r="D4466" s="109" t="s">
        <v>26378</v>
      </c>
      <c r="E4466" s="109" t="s">
        <v>5558</v>
      </c>
      <c r="F4466" s="109" t="s">
        <v>26379</v>
      </c>
      <c r="G4466" s="110" t="s">
        <v>6248</v>
      </c>
      <c r="H4466" s="110" t="s">
        <v>26380</v>
      </c>
      <c r="I4466" s="110" t="s">
        <v>26381</v>
      </c>
    </row>
    <row r="4467" spans="1:9" ht="37.799999999999997" x14ac:dyDescent="0.3">
      <c r="A4467" s="109" t="s">
        <v>26382</v>
      </c>
      <c r="B4467" s="109" t="s">
        <v>26383</v>
      </c>
      <c r="C4467" s="109" t="s">
        <v>26383</v>
      </c>
      <c r="D4467" s="109" t="s">
        <v>26384</v>
      </c>
      <c r="E4467" s="109" t="s">
        <v>5558</v>
      </c>
      <c r="F4467" s="109" t="s">
        <v>26385</v>
      </c>
      <c r="G4467" s="110" t="s">
        <v>6248</v>
      </c>
      <c r="H4467" s="110" t="s">
        <v>26386</v>
      </c>
      <c r="I4467" s="110" t="s">
        <v>26387</v>
      </c>
    </row>
    <row r="4468" spans="1:9" ht="37.799999999999997" x14ac:dyDescent="0.3">
      <c r="A4468" s="109" t="s">
        <v>26388</v>
      </c>
      <c r="B4468" s="109" t="s">
        <v>26383</v>
      </c>
      <c r="C4468" s="109" t="s">
        <v>26383</v>
      </c>
      <c r="D4468" s="109" t="s">
        <v>26389</v>
      </c>
      <c r="E4468" s="109" t="s">
        <v>5558</v>
      </c>
      <c r="F4468" s="109" t="s">
        <v>26390</v>
      </c>
      <c r="G4468" s="110" t="s">
        <v>6248</v>
      </c>
      <c r="H4468" s="110" t="s">
        <v>26391</v>
      </c>
      <c r="I4468" s="110" t="s">
        <v>26392</v>
      </c>
    </row>
    <row r="4469" spans="1:9" ht="37.799999999999997" x14ac:dyDescent="0.3">
      <c r="A4469" s="109" t="s">
        <v>26393</v>
      </c>
      <c r="B4469" s="109" t="s">
        <v>26383</v>
      </c>
      <c r="C4469" s="109" t="s">
        <v>26383</v>
      </c>
      <c r="D4469" s="109" t="s">
        <v>26394</v>
      </c>
      <c r="E4469" s="109" t="s">
        <v>5558</v>
      </c>
      <c r="F4469" s="109" t="s">
        <v>26395</v>
      </c>
      <c r="G4469" s="110" t="s">
        <v>6248</v>
      </c>
      <c r="H4469" s="110" t="s">
        <v>26396</v>
      </c>
      <c r="I4469" s="110" t="s">
        <v>26397</v>
      </c>
    </row>
    <row r="4470" spans="1:9" ht="25.2" x14ac:dyDescent="0.3">
      <c r="A4470" s="109" t="s">
        <v>26398</v>
      </c>
      <c r="B4470" s="109" t="s">
        <v>26383</v>
      </c>
      <c r="C4470" s="109" t="s">
        <v>26383</v>
      </c>
      <c r="D4470" s="109" t="s">
        <v>26399</v>
      </c>
      <c r="E4470" s="109" t="s">
        <v>5558</v>
      </c>
      <c r="F4470" s="109" t="s">
        <v>26400</v>
      </c>
      <c r="G4470" s="110" t="s">
        <v>6248</v>
      </c>
      <c r="H4470" s="110" t="s">
        <v>26401</v>
      </c>
      <c r="I4470" s="110" t="s">
        <v>26402</v>
      </c>
    </row>
    <row r="4471" spans="1:9" ht="37.799999999999997" x14ac:dyDescent="0.3">
      <c r="A4471" s="109" t="s">
        <v>26403</v>
      </c>
      <c r="B4471" s="109" t="s">
        <v>26383</v>
      </c>
      <c r="C4471" s="109" t="s">
        <v>26383</v>
      </c>
      <c r="D4471" s="109" t="s">
        <v>26404</v>
      </c>
      <c r="E4471" s="109" t="s">
        <v>5558</v>
      </c>
      <c r="F4471" s="109" t="s">
        <v>26405</v>
      </c>
      <c r="G4471" s="110" t="s">
        <v>6248</v>
      </c>
      <c r="H4471" s="110" t="s">
        <v>26406</v>
      </c>
      <c r="I4471" s="110" t="s">
        <v>26407</v>
      </c>
    </row>
    <row r="4472" spans="1:9" ht="37.799999999999997" x14ac:dyDescent="0.3">
      <c r="A4472" s="109" t="s">
        <v>26408</v>
      </c>
      <c r="B4472" s="109" t="s">
        <v>26383</v>
      </c>
      <c r="C4472" s="109" t="s">
        <v>26383</v>
      </c>
      <c r="D4472" s="109" t="s">
        <v>26409</v>
      </c>
      <c r="E4472" s="109" t="s">
        <v>5558</v>
      </c>
      <c r="F4472" s="109" t="s">
        <v>26410</v>
      </c>
      <c r="G4472" s="110" t="s">
        <v>6248</v>
      </c>
      <c r="H4472" s="110" t="s">
        <v>26411</v>
      </c>
      <c r="I4472" s="110" t="s">
        <v>26412</v>
      </c>
    </row>
    <row r="4473" spans="1:9" ht="37.799999999999997" x14ac:dyDescent="0.3">
      <c r="A4473" s="109" t="s">
        <v>26413</v>
      </c>
      <c r="B4473" s="109" t="s">
        <v>26383</v>
      </c>
      <c r="C4473" s="109" t="s">
        <v>26383</v>
      </c>
      <c r="D4473" s="109" t="s">
        <v>26414</v>
      </c>
      <c r="E4473" s="109" t="s">
        <v>5558</v>
      </c>
      <c r="F4473" s="109" t="s">
        <v>26415</v>
      </c>
      <c r="G4473" s="110" t="s">
        <v>6248</v>
      </c>
      <c r="H4473" s="110" t="s">
        <v>7094</v>
      </c>
      <c r="I4473" s="110" t="s">
        <v>26416</v>
      </c>
    </row>
    <row r="4474" spans="1:9" ht="37.799999999999997" x14ac:dyDescent="0.3">
      <c r="A4474" s="109" t="s">
        <v>26417</v>
      </c>
      <c r="B4474" s="109" t="s">
        <v>26383</v>
      </c>
      <c r="C4474" s="109" t="s">
        <v>26383</v>
      </c>
      <c r="D4474" s="109" t="s">
        <v>26418</v>
      </c>
      <c r="E4474" s="109" t="s">
        <v>5558</v>
      </c>
      <c r="F4474" s="109" t="s">
        <v>26419</v>
      </c>
      <c r="G4474" s="110" t="s">
        <v>6248</v>
      </c>
      <c r="H4474" s="110" t="s">
        <v>26420</v>
      </c>
      <c r="I4474" s="110" t="s">
        <v>26421</v>
      </c>
    </row>
    <row r="4475" spans="1:9" ht="37.799999999999997" x14ac:dyDescent="0.3">
      <c r="A4475" s="109" t="s">
        <v>26422</v>
      </c>
      <c r="B4475" s="109" t="s">
        <v>26383</v>
      </c>
      <c r="C4475" s="109" t="s">
        <v>26383</v>
      </c>
      <c r="D4475" s="109" t="s">
        <v>26423</v>
      </c>
      <c r="E4475" s="109" t="s">
        <v>5558</v>
      </c>
      <c r="F4475" s="109" t="s">
        <v>26424</v>
      </c>
      <c r="G4475" s="110" t="s">
        <v>6248</v>
      </c>
      <c r="H4475" s="110" t="s">
        <v>26425</v>
      </c>
      <c r="I4475" s="110" t="s">
        <v>26426</v>
      </c>
    </row>
    <row r="4476" spans="1:9" ht="25.2" x14ac:dyDescent="0.3">
      <c r="A4476" s="109" t="s">
        <v>26427</v>
      </c>
      <c r="B4476" s="109" t="s">
        <v>26383</v>
      </c>
      <c r="C4476" s="109" t="s">
        <v>26383</v>
      </c>
      <c r="D4476" s="109" t="s">
        <v>26428</v>
      </c>
      <c r="E4476" s="109" t="s">
        <v>5558</v>
      </c>
      <c r="F4476" s="109" t="s">
        <v>26429</v>
      </c>
      <c r="G4476" s="110" t="s">
        <v>6248</v>
      </c>
      <c r="H4476" s="110" t="s">
        <v>26430</v>
      </c>
      <c r="I4476" s="110" t="s">
        <v>26431</v>
      </c>
    </row>
    <row r="4477" spans="1:9" ht="37.799999999999997" x14ac:dyDescent="0.3">
      <c r="A4477" s="109" t="s">
        <v>26432</v>
      </c>
      <c r="B4477" s="109" t="s">
        <v>26383</v>
      </c>
      <c r="C4477" s="109" t="s">
        <v>26383</v>
      </c>
      <c r="D4477" s="109" t="s">
        <v>26433</v>
      </c>
      <c r="E4477" s="109" t="s">
        <v>5558</v>
      </c>
      <c r="F4477" s="109" t="s">
        <v>26434</v>
      </c>
      <c r="G4477" s="110" t="s">
        <v>6248</v>
      </c>
      <c r="H4477" s="110" t="s">
        <v>8746</v>
      </c>
      <c r="I4477" s="110" t="s">
        <v>26435</v>
      </c>
    </row>
    <row r="4478" spans="1:9" ht="25.2" x14ac:dyDescent="0.3">
      <c r="A4478" s="109" t="s">
        <v>26436</v>
      </c>
      <c r="B4478" s="109" t="s">
        <v>26383</v>
      </c>
      <c r="C4478" s="109" t="s">
        <v>26383</v>
      </c>
      <c r="D4478" s="109" t="s">
        <v>26437</v>
      </c>
      <c r="E4478" s="109" t="s">
        <v>5558</v>
      </c>
      <c r="F4478" s="109" t="s">
        <v>26438</v>
      </c>
      <c r="G4478" s="110" t="s">
        <v>6248</v>
      </c>
      <c r="H4478" s="110" t="s">
        <v>26439</v>
      </c>
      <c r="I4478" s="110" t="s">
        <v>26440</v>
      </c>
    </row>
    <row r="4479" spans="1:9" ht="25.2" x14ac:dyDescent="0.3">
      <c r="A4479" s="109" t="s">
        <v>26441</v>
      </c>
      <c r="B4479" s="109" t="s">
        <v>26383</v>
      </c>
      <c r="C4479" s="109" t="s">
        <v>26383</v>
      </c>
      <c r="D4479" s="109" t="s">
        <v>26442</v>
      </c>
      <c r="E4479" s="109" t="s">
        <v>5558</v>
      </c>
      <c r="F4479" s="109" t="s">
        <v>26443</v>
      </c>
      <c r="G4479" s="110" t="s">
        <v>6248</v>
      </c>
      <c r="H4479" s="110" t="s">
        <v>7504</v>
      </c>
      <c r="I4479" s="110" t="s">
        <v>26444</v>
      </c>
    </row>
    <row r="4480" spans="1:9" ht="37.799999999999997" x14ac:dyDescent="0.3">
      <c r="A4480" s="109" t="s">
        <v>26445</v>
      </c>
      <c r="B4480" s="109" t="s">
        <v>26383</v>
      </c>
      <c r="C4480" s="109" t="s">
        <v>26383</v>
      </c>
      <c r="D4480" s="109" t="s">
        <v>26446</v>
      </c>
      <c r="E4480" s="109" t="s">
        <v>5558</v>
      </c>
      <c r="F4480" s="109" t="s">
        <v>26447</v>
      </c>
      <c r="G4480" s="110" t="s">
        <v>6248</v>
      </c>
      <c r="H4480" s="110" t="s">
        <v>26448</v>
      </c>
      <c r="I4480" s="110" t="s">
        <v>26449</v>
      </c>
    </row>
    <row r="4481" spans="1:9" ht="25.2" x14ac:dyDescent="0.3">
      <c r="A4481" s="109" t="s">
        <v>26450</v>
      </c>
      <c r="B4481" s="109" t="s">
        <v>26383</v>
      </c>
      <c r="C4481" s="109" t="s">
        <v>26383</v>
      </c>
      <c r="D4481" s="109" t="s">
        <v>26451</v>
      </c>
      <c r="E4481" s="109" t="s">
        <v>5558</v>
      </c>
      <c r="F4481" s="109" t="s">
        <v>26452</v>
      </c>
      <c r="G4481" s="110" t="s">
        <v>6248</v>
      </c>
      <c r="H4481" s="110" t="s">
        <v>12266</v>
      </c>
      <c r="I4481" s="110" t="s">
        <v>26453</v>
      </c>
    </row>
    <row r="4482" spans="1:9" ht="37.799999999999997" x14ac:dyDescent="0.3">
      <c r="A4482" s="109" t="s">
        <v>26454</v>
      </c>
      <c r="B4482" s="109" t="s">
        <v>26383</v>
      </c>
      <c r="C4482" s="109" t="s">
        <v>26383</v>
      </c>
      <c r="D4482" s="109" t="s">
        <v>26455</v>
      </c>
      <c r="E4482" s="109" t="s">
        <v>5558</v>
      </c>
      <c r="F4482" s="109" t="s">
        <v>26456</v>
      </c>
      <c r="G4482" s="110" t="s">
        <v>6248</v>
      </c>
      <c r="H4482" s="110" t="s">
        <v>21921</v>
      </c>
      <c r="I4482" s="110" t="s">
        <v>26457</v>
      </c>
    </row>
    <row r="4483" spans="1:9" ht="25.2" x14ac:dyDescent="0.3">
      <c r="A4483" s="109" t="s">
        <v>26458</v>
      </c>
      <c r="B4483" s="109" t="s">
        <v>26383</v>
      </c>
      <c r="C4483" s="109" t="s">
        <v>26383</v>
      </c>
      <c r="D4483" s="109" t="s">
        <v>26459</v>
      </c>
      <c r="E4483" s="109" t="s">
        <v>5558</v>
      </c>
      <c r="F4483" s="109" t="s">
        <v>26460</v>
      </c>
      <c r="G4483" s="110" t="s">
        <v>6248</v>
      </c>
      <c r="H4483" s="110" t="s">
        <v>6689</v>
      </c>
      <c r="I4483" s="110" t="s">
        <v>26461</v>
      </c>
    </row>
    <row r="4484" spans="1:9" ht="25.2" x14ac:dyDescent="0.3">
      <c r="A4484" s="109" t="s">
        <v>26462</v>
      </c>
      <c r="B4484" s="109" t="s">
        <v>26383</v>
      </c>
      <c r="C4484" s="109" t="s">
        <v>26383</v>
      </c>
      <c r="D4484" s="109" t="s">
        <v>26463</v>
      </c>
      <c r="E4484" s="109" t="s">
        <v>5558</v>
      </c>
      <c r="F4484" s="109" t="s">
        <v>26464</v>
      </c>
      <c r="G4484" s="110" t="s">
        <v>6248</v>
      </c>
      <c r="H4484" s="110" t="s">
        <v>6689</v>
      </c>
      <c r="I4484" s="110" t="s">
        <v>26465</v>
      </c>
    </row>
    <row r="4485" spans="1:9" ht="25.2" x14ac:dyDescent="0.3">
      <c r="A4485" s="109" t="s">
        <v>26466</v>
      </c>
      <c r="B4485" s="109" t="s">
        <v>26383</v>
      </c>
      <c r="C4485" s="109" t="s">
        <v>26383</v>
      </c>
      <c r="D4485" s="109" t="s">
        <v>26467</v>
      </c>
      <c r="E4485" s="109" t="s">
        <v>5558</v>
      </c>
      <c r="F4485" s="109" t="s">
        <v>26468</v>
      </c>
      <c r="G4485" s="110" t="s">
        <v>6248</v>
      </c>
      <c r="H4485" s="110" t="s">
        <v>6883</v>
      </c>
      <c r="I4485" s="110" t="s">
        <v>26469</v>
      </c>
    </row>
    <row r="4486" spans="1:9" ht="25.2" x14ac:dyDescent="0.3">
      <c r="A4486" s="109" t="s">
        <v>26470</v>
      </c>
      <c r="B4486" s="109" t="s">
        <v>26383</v>
      </c>
      <c r="C4486" s="109" t="s">
        <v>26383</v>
      </c>
      <c r="D4486" s="109" t="s">
        <v>26471</v>
      </c>
      <c r="E4486" s="109" t="s">
        <v>5558</v>
      </c>
      <c r="F4486" s="109" t="s">
        <v>26472</v>
      </c>
      <c r="G4486" s="110" t="s">
        <v>6248</v>
      </c>
      <c r="H4486" s="110" t="s">
        <v>26473</v>
      </c>
      <c r="I4486" s="110" t="s">
        <v>26474</v>
      </c>
    </row>
    <row r="4487" spans="1:9" ht="25.2" x14ac:dyDescent="0.3">
      <c r="A4487" s="109" t="s">
        <v>26475</v>
      </c>
      <c r="B4487" s="109" t="s">
        <v>26383</v>
      </c>
      <c r="C4487" s="109" t="s">
        <v>26383</v>
      </c>
      <c r="D4487" s="109" t="s">
        <v>26476</v>
      </c>
      <c r="E4487" s="109" t="s">
        <v>26477</v>
      </c>
      <c r="F4487" s="109" t="s">
        <v>26478</v>
      </c>
      <c r="G4487" s="110" t="s">
        <v>6248</v>
      </c>
      <c r="H4487" s="110" t="s">
        <v>26479</v>
      </c>
      <c r="I4487" s="110" t="s">
        <v>26480</v>
      </c>
    </row>
    <row r="4488" spans="1:9" ht="25.2" x14ac:dyDescent="0.3">
      <c r="A4488" s="109" t="s">
        <v>26481</v>
      </c>
      <c r="B4488" s="109" t="s">
        <v>26383</v>
      </c>
      <c r="C4488" s="109" t="s">
        <v>26383</v>
      </c>
      <c r="D4488" s="109" t="s">
        <v>26482</v>
      </c>
      <c r="E4488" s="109" t="s">
        <v>5558</v>
      </c>
      <c r="F4488" s="109" t="s">
        <v>26483</v>
      </c>
      <c r="G4488" s="110" t="s">
        <v>6248</v>
      </c>
      <c r="H4488" s="110" t="s">
        <v>26484</v>
      </c>
      <c r="I4488" s="110" t="s">
        <v>26485</v>
      </c>
    </row>
    <row r="4489" spans="1:9" ht="37.799999999999997" x14ac:dyDescent="0.3">
      <c r="A4489" s="109" t="s">
        <v>26486</v>
      </c>
      <c r="B4489" s="109" t="s">
        <v>26487</v>
      </c>
      <c r="C4489" s="109" t="s">
        <v>26487</v>
      </c>
      <c r="D4489" s="109" t="s">
        <v>26488</v>
      </c>
      <c r="E4489" s="109" t="s">
        <v>5558</v>
      </c>
      <c r="F4489" s="109" t="s">
        <v>26489</v>
      </c>
      <c r="G4489" s="110" t="s">
        <v>6248</v>
      </c>
      <c r="H4489" s="110" t="s">
        <v>26490</v>
      </c>
      <c r="I4489" s="110" t="s">
        <v>26491</v>
      </c>
    </row>
    <row r="4490" spans="1:9" ht="37.799999999999997" x14ac:dyDescent="0.3">
      <c r="A4490" s="109" t="s">
        <v>26492</v>
      </c>
      <c r="B4490" s="109" t="s">
        <v>26487</v>
      </c>
      <c r="C4490" s="109" t="s">
        <v>26487</v>
      </c>
      <c r="D4490" s="109" t="s">
        <v>26493</v>
      </c>
      <c r="E4490" s="109" t="s">
        <v>5558</v>
      </c>
      <c r="F4490" s="109" t="s">
        <v>26494</v>
      </c>
      <c r="G4490" s="110" t="s">
        <v>6248</v>
      </c>
      <c r="H4490" s="110" t="s">
        <v>26495</v>
      </c>
      <c r="I4490" s="110" t="s">
        <v>26496</v>
      </c>
    </row>
    <row r="4491" spans="1:9" ht="37.799999999999997" x14ac:dyDescent="0.3">
      <c r="A4491" s="109" t="s">
        <v>26497</v>
      </c>
      <c r="B4491" s="109" t="s">
        <v>26487</v>
      </c>
      <c r="C4491" s="109" t="s">
        <v>26487</v>
      </c>
      <c r="D4491" s="109" t="s">
        <v>26498</v>
      </c>
      <c r="E4491" s="109" t="s">
        <v>5558</v>
      </c>
      <c r="F4491" s="109" t="s">
        <v>26499</v>
      </c>
      <c r="G4491" s="110" t="s">
        <v>6248</v>
      </c>
      <c r="H4491" s="110" t="s">
        <v>26500</v>
      </c>
      <c r="I4491" s="110" t="s">
        <v>26501</v>
      </c>
    </row>
    <row r="4492" spans="1:9" ht="37.799999999999997" x14ac:dyDescent="0.3">
      <c r="A4492" s="109" t="s">
        <v>26502</v>
      </c>
      <c r="B4492" s="109" t="s">
        <v>26487</v>
      </c>
      <c r="C4492" s="109" t="s">
        <v>26487</v>
      </c>
      <c r="D4492" s="109" t="s">
        <v>26503</v>
      </c>
      <c r="E4492" s="109" t="s">
        <v>5558</v>
      </c>
      <c r="F4492" s="109" t="s">
        <v>26504</v>
      </c>
      <c r="G4492" s="110" t="s">
        <v>6248</v>
      </c>
      <c r="H4492" s="110" t="s">
        <v>26505</v>
      </c>
      <c r="I4492" s="110" t="s">
        <v>26506</v>
      </c>
    </row>
    <row r="4493" spans="1:9" ht="25.2" x14ac:dyDescent="0.3">
      <c r="A4493" s="109" t="s">
        <v>26507</v>
      </c>
      <c r="B4493" s="109" t="s">
        <v>26487</v>
      </c>
      <c r="C4493" s="109" t="s">
        <v>26487</v>
      </c>
      <c r="D4493" s="109" t="s">
        <v>5569</v>
      </c>
      <c r="E4493" s="109" t="s">
        <v>5558</v>
      </c>
      <c r="F4493" s="109" t="s">
        <v>2258</v>
      </c>
      <c r="G4493" s="110" t="s">
        <v>6248</v>
      </c>
      <c r="H4493" s="110" t="s">
        <v>25423</v>
      </c>
      <c r="I4493" s="110" t="s">
        <v>26508</v>
      </c>
    </row>
    <row r="4494" spans="1:9" ht="25.2" x14ac:dyDescent="0.3">
      <c r="A4494" s="109" t="s">
        <v>26509</v>
      </c>
      <c r="B4494" s="109" t="s">
        <v>26487</v>
      </c>
      <c r="C4494" s="109" t="s">
        <v>26487</v>
      </c>
      <c r="D4494" s="109" t="s">
        <v>26510</v>
      </c>
      <c r="E4494" s="109" t="s">
        <v>26511</v>
      </c>
      <c r="F4494" s="109" t="s">
        <v>26512</v>
      </c>
      <c r="G4494" s="110" t="s">
        <v>6248</v>
      </c>
      <c r="H4494" s="110" t="s">
        <v>26513</v>
      </c>
      <c r="I4494" s="110" t="s">
        <v>26514</v>
      </c>
    </row>
    <row r="4495" spans="1:9" ht="25.2" x14ac:dyDescent="0.3">
      <c r="A4495" s="109" t="s">
        <v>26515</v>
      </c>
      <c r="B4495" s="109" t="s">
        <v>26487</v>
      </c>
      <c r="C4495" s="109" t="s">
        <v>26487</v>
      </c>
      <c r="D4495" s="109" t="s">
        <v>26516</v>
      </c>
      <c r="E4495" s="109" t="s">
        <v>5558</v>
      </c>
      <c r="F4495" s="109" t="s">
        <v>6696</v>
      </c>
      <c r="G4495" s="110" t="s">
        <v>19061</v>
      </c>
      <c r="H4495" s="110" t="s">
        <v>6248</v>
      </c>
      <c r="I4495" s="110" t="s">
        <v>26517</v>
      </c>
    </row>
    <row r="4496" spans="1:9" ht="50.4" x14ac:dyDescent="0.3">
      <c r="A4496" s="109" t="s">
        <v>26518</v>
      </c>
      <c r="B4496" s="109" t="s">
        <v>26487</v>
      </c>
      <c r="C4496" s="109" t="s">
        <v>26487</v>
      </c>
      <c r="D4496" s="109" t="s">
        <v>18649</v>
      </c>
      <c r="E4496" s="109" t="s">
        <v>26519</v>
      </c>
      <c r="F4496" s="109" t="s">
        <v>26520</v>
      </c>
      <c r="G4496" s="110" t="s">
        <v>6248</v>
      </c>
      <c r="H4496" s="110" t="s">
        <v>26521</v>
      </c>
      <c r="I4496" s="110" t="s">
        <v>26522</v>
      </c>
    </row>
    <row r="4497" spans="1:9" ht="37.799999999999997" x14ac:dyDescent="0.3">
      <c r="A4497" s="109" t="s">
        <v>26523</v>
      </c>
      <c r="B4497" s="109" t="s">
        <v>26487</v>
      </c>
      <c r="C4497" s="109" t="s">
        <v>26487</v>
      </c>
      <c r="D4497" s="109" t="s">
        <v>26524</v>
      </c>
      <c r="E4497" s="109" t="s">
        <v>5558</v>
      </c>
      <c r="F4497" s="109" t="s">
        <v>26525</v>
      </c>
      <c r="G4497" s="110" t="s">
        <v>6248</v>
      </c>
      <c r="H4497" s="110" t="s">
        <v>26526</v>
      </c>
      <c r="I4497" s="110" t="s">
        <v>26527</v>
      </c>
    </row>
    <row r="4498" spans="1:9" ht="37.799999999999997" x14ac:dyDescent="0.3">
      <c r="A4498" s="109" t="s">
        <v>26528</v>
      </c>
      <c r="B4498" s="109" t="s">
        <v>26487</v>
      </c>
      <c r="C4498" s="109" t="s">
        <v>26487</v>
      </c>
      <c r="D4498" s="109" t="s">
        <v>26529</v>
      </c>
      <c r="E4498" s="109" t="s">
        <v>5558</v>
      </c>
      <c r="F4498" s="109" t="s">
        <v>26530</v>
      </c>
      <c r="G4498" s="110" t="s">
        <v>6248</v>
      </c>
      <c r="H4498" s="110" t="s">
        <v>22110</v>
      </c>
      <c r="I4498" s="110" t="s">
        <v>26531</v>
      </c>
    </row>
    <row r="4499" spans="1:9" ht="25.2" x14ac:dyDescent="0.3">
      <c r="A4499" s="109" t="s">
        <v>26532</v>
      </c>
      <c r="B4499" s="109" t="s">
        <v>26487</v>
      </c>
      <c r="C4499" s="109" t="s">
        <v>26487</v>
      </c>
      <c r="D4499" s="109" t="s">
        <v>5569</v>
      </c>
      <c r="E4499" s="109" t="s">
        <v>5558</v>
      </c>
      <c r="F4499" s="109" t="s">
        <v>2258</v>
      </c>
      <c r="G4499" s="110" t="s">
        <v>6248</v>
      </c>
      <c r="H4499" s="110" t="s">
        <v>26533</v>
      </c>
      <c r="I4499" s="110" t="s">
        <v>26534</v>
      </c>
    </row>
    <row r="4500" spans="1:9" ht="25.2" x14ac:dyDescent="0.3">
      <c r="A4500" s="109" t="s">
        <v>26535</v>
      </c>
      <c r="B4500" s="109" t="s">
        <v>26487</v>
      </c>
      <c r="C4500" s="109" t="s">
        <v>26487</v>
      </c>
      <c r="D4500" s="109" t="s">
        <v>26536</v>
      </c>
      <c r="E4500" s="109" t="s">
        <v>26537</v>
      </c>
      <c r="F4500" s="109" t="s">
        <v>26538</v>
      </c>
      <c r="G4500" s="110" t="s">
        <v>6248</v>
      </c>
      <c r="H4500" s="110" t="s">
        <v>26539</v>
      </c>
      <c r="I4500" s="110" t="s">
        <v>26540</v>
      </c>
    </row>
    <row r="4501" spans="1:9" ht="25.2" x14ac:dyDescent="0.3">
      <c r="A4501" s="109" t="s">
        <v>26541</v>
      </c>
      <c r="B4501" s="109" t="s">
        <v>26487</v>
      </c>
      <c r="C4501" s="109" t="s">
        <v>26487</v>
      </c>
      <c r="D4501" s="109" t="s">
        <v>26542</v>
      </c>
      <c r="E4501" s="109" t="s">
        <v>26543</v>
      </c>
      <c r="F4501" s="109" t="s">
        <v>26538</v>
      </c>
      <c r="G4501" s="110" t="s">
        <v>6248</v>
      </c>
      <c r="H4501" s="110" t="s">
        <v>26544</v>
      </c>
      <c r="I4501" s="110" t="s">
        <v>26545</v>
      </c>
    </row>
    <row r="4502" spans="1:9" ht="25.2" x14ac:dyDescent="0.3">
      <c r="A4502" s="109" t="s">
        <v>26546</v>
      </c>
      <c r="B4502" s="109" t="s">
        <v>26487</v>
      </c>
      <c r="C4502" s="109" t="s">
        <v>26487</v>
      </c>
      <c r="D4502" s="109" t="s">
        <v>26547</v>
      </c>
      <c r="E4502" s="109" t="s">
        <v>26543</v>
      </c>
      <c r="F4502" s="109" t="s">
        <v>26538</v>
      </c>
      <c r="G4502" s="110" t="s">
        <v>6248</v>
      </c>
      <c r="H4502" s="110" t="s">
        <v>26548</v>
      </c>
      <c r="I4502" s="110" t="s">
        <v>26549</v>
      </c>
    </row>
    <row r="4503" spans="1:9" ht="25.2" x14ac:dyDescent="0.3">
      <c r="A4503" s="109" t="s">
        <v>26550</v>
      </c>
      <c r="B4503" s="109" t="s">
        <v>26487</v>
      </c>
      <c r="C4503" s="109" t="s">
        <v>26487</v>
      </c>
      <c r="D4503" s="109" t="s">
        <v>5569</v>
      </c>
      <c r="E4503" s="109" t="s">
        <v>5558</v>
      </c>
      <c r="F4503" s="109" t="s">
        <v>2258</v>
      </c>
      <c r="G4503" s="110" t="s">
        <v>6248</v>
      </c>
      <c r="H4503" s="110" t="s">
        <v>26551</v>
      </c>
      <c r="I4503" s="110" t="s">
        <v>26552</v>
      </c>
    </row>
    <row r="4504" spans="1:9" ht="25.2" x14ac:dyDescent="0.3">
      <c r="A4504" s="109" t="s">
        <v>26553</v>
      </c>
      <c r="B4504" s="109" t="s">
        <v>26487</v>
      </c>
      <c r="C4504" s="109" t="s">
        <v>26487</v>
      </c>
      <c r="D4504" s="109" t="s">
        <v>26554</v>
      </c>
      <c r="E4504" s="109" t="s">
        <v>5558</v>
      </c>
      <c r="F4504" s="109" t="s">
        <v>26555</v>
      </c>
      <c r="G4504" s="110" t="s">
        <v>6248</v>
      </c>
      <c r="H4504" s="110" t="s">
        <v>26556</v>
      </c>
      <c r="I4504" s="110" t="s">
        <v>26557</v>
      </c>
    </row>
    <row r="4505" spans="1:9" ht="25.2" x14ac:dyDescent="0.3">
      <c r="A4505" s="109" t="s">
        <v>26558</v>
      </c>
      <c r="B4505" s="109" t="s">
        <v>26487</v>
      </c>
      <c r="C4505" s="109" t="s">
        <v>26487</v>
      </c>
      <c r="D4505" s="109" t="s">
        <v>26559</v>
      </c>
      <c r="E4505" s="109" t="s">
        <v>5558</v>
      </c>
      <c r="F4505" s="109" t="s">
        <v>26560</v>
      </c>
      <c r="G4505" s="110" t="s">
        <v>6248</v>
      </c>
      <c r="H4505" s="110" t="s">
        <v>6398</v>
      </c>
      <c r="I4505" s="110" t="s">
        <v>26561</v>
      </c>
    </row>
    <row r="4506" spans="1:9" ht="25.2" x14ac:dyDescent="0.3">
      <c r="A4506" s="109" t="s">
        <v>26562</v>
      </c>
      <c r="B4506" s="109" t="s">
        <v>26487</v>
      </c>
      <c r="C4506" s="109" t="s">
        <v>26487</v>
      </c>
      <c r="D4506" s="109" t="s">
        <v>26563</v>
      </c>
      <c r="E4506" s="109" t="s">
        <v>5558</v>
      </c>
      <c r="F4506" s="109" t="s">
        <v>26564</v>
      </c>
      <c r="G4506" s="110" t="s">
        <v>6248</v>
      </c>
      <c r="H4506" s="110" t="s">
        <v>11476</v>
      </c>
      <c r="I4506" s="110" t="s">
        <v>26565</v>
      </c>
    </row>
    <row r="4507" spans="1:9" ht="25.2" x14ac:dyDescent="0.3">
      <c r="A4507" s="109" t="s">
        <v>26566</v>
      </c>
      <c r="B4507" s="109" t="s">
        <v>26487</v>
      </c>
      <c r="C4507" s="109" t="s">
        <v>26487</v>
      </c>
      <c r="D4507" s="109" t="s">
        <v>26567</v>
      </c>
      <c r="E4507" s="109" t="s">
        <v>5558</v>
      </c>
      <c r="F4507" s="109" t="s">
        <v>26568</v>
      </c>
      <c r="G4507" s="110" t="s">
        <v>6248</v>
      </c>
      <c r="H4507" s="110" t="s">
        <v>6689</v>
      </c>
      <c r="I4507" s="110" t="s">
        <v>26569</v>
      </c>
    </row>
    <row r="4508" spans="1:9" ht="37.799999999999997" x14ac:dyDescent="0.3">
      <c r="A4508" s="109" t="s">
        <v>26570</v>
      </c>
      <c r="B4508" s="109" t="s">
        <v>26487</v>
      </c>
      <c r="C4508" s="109" t="s">
        <v>26487</v>
      </c>
      <c r="D4508" s="109" t="s">
        <v>26571</v>
      </c>
      <c r="E4508" s="109" t="s">
        <v>5558</v>
      </c>
      <c r="F4508" s="109" t="s">
        <v>26572</v>
      </c>
      <c r="G4508" s="110" t="s">
        <v>6248</v>
      </c>
      <c r="H4508" s="110" t="s">
        <v>6398</v>
      </c>
      <c r="I4508" s="110" t="s">
        <v>26573</v>
      </c>
    </row>
    <row r="4509" spans="1:9" ht="37.799999999999997" x14ac:dyDescent="0.3">
      <c r="A4509" s="109" t="s">
        <v>26574</v>
      </c>
      <c r="B4509" s="109" t="s">
        <v>26487</v>
      </c>
      <c r="C4509" s="109" t="s">
        <v>26487</v>
      </c>
      <c r="D4509" s="109" t="s">
        <v>26575</v>
      </c>
      <c r="E4509" s="109" t="s">
        <v>5558</v>
      </c>
      <c r="F4509" s="109" t="s">
        <v>26576</v>
      </c>
      <c r="G4509" s="110" t="s">
        <v>6248</v>
      </c>
      <c r="H4509" s="110" t="s">
        <v>8905</v>
      </c>
      <c r="I4509" s="110" t="s">
        <v>26577</v>
      </c>
    </row>
    <row r="4510" spans="1:9" ht="25.2" x14ac:dyDescent="0.3">
      <c r="A4510" s="109" t="s">
        <v>26578</v>
      </c>
      <c r="B4510" s="109" t="s">
        <v>26487</v>
      </c>
      <c r="C4510" s="109" t="s">
        <v>26487</v>
      </c>
      <c r="D4510" s="109" t="s">
        <v>26579</v>
      </c>
      <c r="E4510" s="109" t="s">
        <v>5558</v>
      </c>
      <c r="F4510" s="109" t="s">
        <v>26580</v>
      </c>
      <c r="G4510" s="110" t="s">
        <v>6248</v>
      </c>
      <c r="H4510" s="110" t="s">
        <v>6507</v>
      </c>
      <c r="I4510" s="110" t="s">
        <v>26581</v>
      </c>
    </row>
    <row r="4511" spans="1:9" ht="25.2" x14ac:dyDescent="0.3">
      <c r="A4511" s="109" t="s">
        <v>26582</v>
      </c>
      <c r="B4511" s="109" t="s">
        <v>26487</v>
      </c>
      <c r="C4511" s="109" t="s">
        <v>26487</v>
      </c>
      <c r="D4511" s="109" t="s">
        <v>26583</v>
      </c>
      <c r="E4511" s="109" t="s">
        <v>5558</v>
      </c>
      <c r="F4511" s="109" t="s">
        <v>26584</v>
      </c>
      <c r="G4511" s="110" t="s">
        <v>6248</v>
      </c>
      <c r="H4511" s="110" t="s">
        <v>6393</v>
      </c>
      <c r="I4511" s="110" t="s">
        <v>26585</v>
      </c>
    </row>
    <row r="4512" spans="1:9" ht="37.799999999999997" x14ac:dyDescent="0.3">
      <c r="A4512" s="109" t="s">
        <v>26586</v>
      </c>
      <c r="B4512" s="109" t="s">
        <v>26487</v>
      </c>
      <c r="C4512" s="109" t="s">
        <v>26487</v>
      </c>
      <c r="D4512" s="109" t="s">
        <v>26587</v>
      </c>
      <c r="E4512" s="109" t="s">
        <v>5558</v>
      </c>
      <c r="F4512" s="109" t="s">
        <v>26588</v>
      </c>
      <c r="G4512" s="110" t="s">
        <v>6248</v>
      </c>
      <c r="H4512" s="110" t="s">
        <v>6575</v>
      </c>
      <c r="I4512" s="110" t="s">
        <v>26589</v>
      </c>
    </row>
    <row r="4513" spans="1:9" ht="25.2" x14ac:dyDescent="0.3">
      <c r="A4513" s="109" t="s">
        <v>26590</v>
      </c>
      <c r="B4513" s="109" t="s">
        <v>26487</v>
      </c>
      <c r="C4513" s="109" t="s">
        <v>26487</v>
      </c>
      <c r="D4513" s="109" t="s">
        <v>26591</v>
      </c>
      <c r="E4513" s="109" t="s">
        <v>5558</v>
      </c>
      <c r="F4513" s="109" t="s">
        <v>26592</v>
      </c>
      <c r="G4513" s="110" t="s">
        <v>6248</v>
      </c>
      <c r="H4513" s="110" t="s">
        <v>7592</v>
      </c>
      <c r="I4513" s="110" t="s">
        <v>26593</v>
      </c>
    </row>
    <row r="4514" spans="1:9" ht="25.2" x14ac:dyDescent="0.3">
      <c r="A4514" s="109" t="s">
        <v>26594</v>
      </c>
      <c r="B4514" s="109" t="s">
        <v>26487</v>
      </c>
      <c r="C4514" s="109" t="s">
        <v>26487</v>
      </c>
      <c r="D4514" s="109" t="s">
        <v>26595</v>
      </c>
      <c r="E4514" s="109" t="s">
        <v>5558</v>
      </c>
      <c r="F4514" s="109" t="s">
        <v>26596</v>
      </c>
      <c r="G4514" s="110" t="s">
        <v>6248</v>
      </c>
      <c r="H4514" s="110" t="s">
        <v>6474</v>
      </c>
      <c r="I4514" s="110" t="s">
        <v>26597</v>
      </c>
    </row>
    <row r="4515" spans="1:9" ht="25.2" x14ac:dyDescent="0.3">
      <c r="A4515" s="109" t="s">
        <v>26598</v>
      </c>
      <c r="B4515" s="109" t="s">
        <v>26487</v>
      </c>
      <c r="C4515" s="109" t="s">
        <v>26487</v>
      </c>
      <c r="D4515" s="109" t="s">
        <v>26599</v>
      </c>
      <c r="E4515" s="109" t="s">
        <v>5558</v>
      </c>
      <c r="F4515" s="109" t="s">
        <v>26600</v>
      </c>
      <c r="G4515" s="110" t="s">
        <v>6248</v>
      </c>
      <c r="H4515" s="110" t="s">
        <v>6753</v>
      </c>
      <c r="I4515" s="110" t="s">
        <v>26601</v>
      </c>
    </row>
    <row r="4516" spans="1:9" ht="25.2" x14ac:dyDescent="0.3">
      <c r="A4516" s="109" t="s">
        <v>26602</v>
      </c>
      <c r="B4516" s="109" t="s">
        <v>26487</v>
      </c>
      <c r="C4516" s="109" t="s">
        <v>26487</v>
      </c>
      <c r="D4516" s="109" t="s">
        <v>26603</v>
      </c>
      <c r="E4516" s="109" t="s">
        <v>5558</v>
      </c>
      <c r="F4516" s="109" t="s">
        <v>26604</v>
      </c>
      <c r="G4516" s="110" t="s">
        <v>6248</v>
      </c>
      <c r="H4516" s="110" t="s">
        <v>8905</v>
      </c>
      <c r="I4516" s="110" t="s">
        <v>26605</v>
      </c>
    </row>
    <row r="4517" spans="1:9" ht="37.799999999999997" x14ac:dyDescent="0.3">
      <c r="A4517" s="109" t="s">
        <v>26606</v>
      </c>
      <c r="B4517" s="109" t="s">
        <v>26487</v>
      </c>
      <c r="C4517" s="109" t="s">
        <v>26487</v>
      </c>
      <c r="D4517" s="109" t="s">
        <v>26607</v>
      </c>
      <c r="E4517" s="109" t="s">
        <v>5558</v>
      </c>
      <c r="F4517" s="109" t="s">
        <v>26608</v>
      </c>
      <c r="G4517" s="110" t="s">
        <v>6248</v>
      </c>
      <c r="H4517" s="110" t="s">
        <v>7830</v>
      </c>
      <c r="I4517" s="110" t="s">
        <v>26609</v>
      </c>
    </row>
    <row r="4518" spans="1:9" ht="25.2" x14ac:dyDescent="0.3">
      <c r="A4518" s="109" t="s">
        <v>26610</v>
      </c>
      <c r="B4518" s="109" t="s">
        <v>26487</v>
      </c>
      <c r="C4518" s="109" t="s">
        <v>26487</v>
      </c>
      <c r="D4518" s="109" t="s">
        <v>26611</v>
      </c>
      <c r="E4518" s="109" t="s">
        <v>5558</v>
      </c>
      <c r="F4518" s="109" t="s">
        <v>26612</v>
      </c>
      <c r="G4518" s="110" t="s">
        <v>6248</v>
      </c>
      <c r="H4518" s="110" t="s">
        <v>13982</v>
      </c>
      <c r="I4518" s="110" t="s">
        <v>26613</v>
      </c>
    </row>
    <row r="4519" spans="1:9" ht="37.799999999999997" x14ac:dyDescent="0.3">
      <c r="A4519" s="109" t="s">
        <v>26614</v>
      </c>
      <c r="B4519" s="109" t="s">
        <v>26487</v>
      </c>
      <c r="C4519" s="109" t="s">
        <v>26487</v>
      </c>
      <c r="D4519" s="109" t="s">
        <v>26615</v>
      </c>
      <c r="E4519" s="109" t="s">
        <v>5558</v>
      </c>
      <c r="F4519" s="109" t="s">
        <v>26616</v>
      </c>
      <c r="G4519" s="110" t="s">
        <v>6248</v>
      </c>
      <c r="H4519" s="110" t="s">
        <v>6494</v>
      </c>
      <c r="I4519" s="110" t="s">
        <v>26617</v>
      </c>
    </row>
    <row r="4520" spans="1:9" ht="25.2" x14ac:dyDescent="0.3">
      <c r="A4520" s="109" t="s">
        <v>26618</v>
      </c>
      <c r="B4520" s="109" t="s">
        <v>26487</v>
      </c>
      <c r="C4520" s="109" t="s">
        <v>26487</v>
      </c>
      <c r="D4520" s="109" t="s">
        <v>26619</v>
      </c>
      <c r="E4520" s="109" t="s">
        <v>5558</v>
      </c>
      <c r="F4520" s="109" t="s">
        <v>26620</v>
      </c>
      <c r="G4520" s="110" t="s">
        <v>6248</v>
      </c>
      <c r="H4520" s="110" t="s">
        <v>17272</v>
      </c>
      <c r="I4520" s="110" t="s">
        <v>26621</v>
      </c>
    </row>
    <row r="4521" spans="1:9" ht="25.2" x14ac:dyDescent="0.3">
      <c r="A4521" s="109" t="s">
        <v>26622</v>
      </c>
      <c r="B4521" s="109" t="s">
        <v>26487</v>
      </c>
      <c r="C4521" s="109" t="s">
        <v>26487</v>
      </c>
      <c r="D4521" s="109" t="s">
        <v>26623</v>
      </c>
      <c r="E4521" s="109" t="s">
        <v>5558</v>
      </c>
      <c r="F4521" s="109" t="s">
        <v>26624</v>
      </c>
      <c r="G4521" s="110" t="s">
        <v>6248</v>
      </c>
      <c r="H4521" s="110" t="s">
        <v>17272</v>
      </c>
      <c r="I4521" s="110" t="s">
        <v>26625</v>
      </c>
    </row>
    <row r="4522" spans="1:9" ht="25.2" x14ac:dyDescent="0.3">
      <c r="A4522" s="109" t="s">
        <v>26626</v>
      </c>
      <c r="B4522" s="109" t="s">
        <v>26487</v>
      </c>
      <c r="C4522" s="109" t="s">
        <v>26487</v>
      </c>
      <c r="D4522" s="109" t="s">
        <v>26627</v>
      </c>
      <c r="E4522" s="109" t="s">
        <v>5558</v>
      </c>
      <c r="F4522" s="109" t="s">
        <v>26628</v>
      </c>
      <c r="G4522" s="110" t="s">
        <v>6248</v>
      </c>
      <c r="H4522" s="110" t="s">
        <v>6689</v>
      </c>
      <c r="I4522" s="110" t="s">
        <v>26629</v>
      </c>
    </row>
    <row r="4523" spans="1:9" ht="25.2" x14ac:dyDescent="0.3">
      <c r="A4523" s="109" t="s">
        <v>26630</v>
      </c>
      <c r="B4523" s="109" t="s">
        <v>26487</v>
      </c>
      <c r="C4523" s="109" t="s">
        <v>26487</v>
      </c>
      <c r="D4523" s="109" t="s">
        <v>26631</v>
      </c>
      <c r="E4523" s="109" t="s">
        <v>5558</v>
      </c>
      <c r="F4523" s="109" t="s">
        <v>26632</v>
      </c>
      <c r="G4523" s="110" t="s">
        <v>6248</v>
      </c>
      <c r="H4523" s="110" t="s">
        <v>11597</v>
      </c>
      <c r="I4523" s="110" t="s">
        <v>26633</v>
      </c>
    </row>
    <row r="4524" spans="1:9" ht="25.2" x14ac:dyDescent="0.3">
      <c r="A4524" s="109" t="s">
        <v>26634</v>
      </c>
      <c r="B4524" s="109" t="s">
        <v>26487</v>
      </c>
      <c r="C4524" s="109" t="s">
        <v>26487</v>
      </c>
      <c r="D4524" s="109" t="s">
        <v>26635</v>
      </c>
      <c r="E4524" s="109" t="s">
        <v>5558</v>
      </c>
      <c r="F4524" s="109" t="s">
        <v>26636</v>
      </c>
      <c r="G4524" s="110" t="s">
        <v>6248</v>
      </c>
      <c r="H4524" s="110" t="s">
        <v>9141</v>
      </c>
      <c r="I4524" s="110" t="s">
        <v>26637</v>
      </c>
    </row>
    <row r="4525" spans="1:9" ht="25.2" x14ac:dyDescent="0.3">
      <c r="A4525" s="109" t="s">
        <v>26638</v>
      </c>
      <c r="B4525" s="109" t="s">
        <v>26487</v>
      </c>
      <c r="C4525" s="109" t="s">
        <v>26487</v>
      </c>
      <c r="D4525" s="109" t="s">
        <v>26639</v>
      </c>
      <c r="E4525" s="109" t="s">
        <v>5558</v>
      </c>
      <c r="F4525" s="109" t="s">
        <v>26640</v>
      </c>
      <c r="G4525" s="110" t="s">
        <v>6248</v>
      </c>
      <c r="H4525" s="110" t="s">
        <v>6557</v>
      </c>
      <c r="I4525" s="110" t="s">
        <v>26641</v>
      </c>
    </row>
    <row r="4526" spans="1:9" ht="25.2" x14ac:dyDescent="0.3">
      <c r="A4526" s="109" t="s">
        <v>26642</v>
      </c>
      <c r="B4526" s="109" t="s">
        <v>26487</v>
      </c>
      <c r="C4526" s="109" t="s">
        <v>26487</v>
      </c>
      <c r="D4526" s="109" t="s">
        <v>26643</v>
      </c>
      <c r="E4526" s="109" t="s">
        <v>5558</v>
      </c>
      <c r="F4526" s="109" t="s">
        <v>26644</v>
      </c>
      <c r="G4526" s="110" t="s">
        <v>6248</v>
      </c>
      <c r="H4526" s="110" t="s">
        <v>26645</v>
      </c>
      <c r="I4526" s="110" t="s">
        <v>26646</v>
      </c>
    </row>
    <row r="4527" spans="1:9" ht="37.799999999999997" x14ac:dyDescent="0.3">
      <c r="A4527" s="109" t="s">
        <v>26647</v>
      </c>
      <c r="B4527" s="109" t="s">
        <v>26487</v>
      </c>
      <c r="C4527" s="109" t="s">
        <v>26487</v>
      </c>
      <c r="D4527" s="109" t="s">
        <v>26648</v>
      </c>
      <c r="E4527" s="109" t="s">
        <v>5558</v>
      </c>
      <c r="F4527" s="109" t="s">
        <v>26649</v>
      </c>
      <c r="G4527" s="110" t="s">
        <v>6248</v>
      </c>
      <c r="H4527" s="110" t="s">
        <v>8348</v>
      </c>
      <c r="I4527" s="110" t="s">
        <v>26650</v>
      </c>
    </row>
    <row r="4528" spans="1:9" ht="25.2" x14ac:dyDescent="0.3">
      <c r="A4528" s="109" t="s">
        <v>26651</v>
      </c>
      <c r="B4528" s="109" t="s">
        <v>26487</v>
      </c>
      <c r="C4528" s="109" t="s">
        <v>26487</v>
      </c>
      <c r="D4528" s="109" t="s">
        <v>26652</v>
      </c>
      <c r="E4528" s="109" t="s">
        <v>5558</v>
      </c>
      <c r="F4528" s="109" t="s">
        <v>26653</v>
      </c>
      <c r="G4528" s="110" t="s">
        <v>6248</v>
      </c>
      <c r="H4528" s="110" t="s">
        <v>6413</v>
      </c>
      <c r="I4528" s="110" t="s">
        <v>26654</v>
      </c>
    </row>
    <row r="4529" spans="1:9" ht="37.799999999999997" x14ac:dyDescent="0.3">
      <c r="A4529" s="109" t="s">
        <v>26655</v>
      </c>
      <c r="B4529" s="109" t="s">
        <v>26487</v>
      </c>
      <c r="C4529" s="109" t="s">
        <v>26487</v>
      </c>
      <c r="D4529" s="109" t="s">
        <v>26656</v>
      </c>
      <c r="E4529" s="109" t="s">
        <v>5558</v>
      </c>
      <c r="F4529" s="109" t="s">
        <v>26657</v>
      </c>
      <c r="G4529" s="110" t="s">
        <v>6248</v>
      </c>
      <c r="H4529" s="110" t="s">
        <v>9158</v>
      </c>
      <c r="I4529" s="110" t="s">
        <v>26658</v>
      </c>
    </row>
    <row r="4530" spans="1:9" ht="37.799999999999997" x14ac:dyDescent="0.3">
      <c r="A4530" s="109" t="s">
        <v>26659</v>
      </c>
      <c r="B4530" s="109" t="s">
        <v>26487</v>
      </c>
      <c r="C4530" s="109" t="s">
        <v>26487</v>
      </c>
      <c r="D4530" s="109" t="s">
        <v>26660</v>
      </c>
      <c r="E4530" s="109" t="s">
        <v>5558</v>
      </c>
      <c r="F4530" s="109" t="s">
        <v>26661</v>
      </c>
      <c r="G4530" s="110" t="s">
        <v>6248</v>
      </c>
      <c r="H4530" s="110" t="s">
        <v>26662</v>
      </c>
      <c r="I4530" s="110" t="s">
        <v>26663</v>
      </c>
    </row>
    <row r="4531" spans="1:9" ht="25.2" x14ac:dyDescent="0.3">
      <c r="A4531" s="109" t="s">
        <v>26664</v>
      </c>
      <c r="B4531" s="109" t="s">
        <v>26487</v>
      </c>
      <c r="C4531" s="109" t="s">
        <v>26487</v>
      </c>
      <c r="D4531" s="109" t="s">
        <v>26665</v>
      </c>
      <c r="E4531" s="109" t="s">
        <v>5558</v>
      </c>
      <c r="F4531" s="109" t="s">
        <v>26666</v>
      </c>
      <c r="G4531" s="110" t="s">
        <v>6248</v>
      </c>
      <c r="H4531" s="110" t="s">
        <v>6474</v>
      </c>
      <c r="I4531" s="110" t="s">
        <v>26667</v>
      </c>
    </row>
    <row r="4532" spans="1:9" ht="37.799999999999997" x14ac:dyDescent="0.3">
      <c r="A4532" s="109" t="s">
        <v>26668</v>
      </c>
      <c r="B4532" s="109" t="s">
        <v>26487</v>
      </c>
      <c r="C4532" s="109" t="s">
        <v>26487</v>
      </c>
      <c r="D4532" s="109" t="s">
        <v>26669</v>
      </c>
      <c r="E4532" s="109" t="s">
        <v>5558</v>
      </c>
      <c r="F4532" s="109" t="s">
        <v>26670</v>
      </c>
      <c r="G4532" s="110" t="s">
        <v>6248</v>
      </c>
      <c r="H4532" s="110" t="s">
        <v>9329</v>
      </c>
      <c r="I4532" s="110" t="s">
        <v>26671</v>
      </c>
    </row>
    <row r="4533" spans="1:9" ht="37.799999999999997" x14ac:dyDescent="0.3">
      <c r="A4533" s="109" t="s">
        <v>26672</v>
      </c>
      <c r="B4533" s="109" t="s">
        <v>26487</v>
      </c>
      <c r="C4533" s="109" t="s">
        <v>26487</v>
      </c>
      <c r="D4533" s="109" t="s">
        <v>26673</v>
      </c>
      <c r="E4533" s="109" t="s">
        <v>5558</v>
      </c>
      <c r="F4533" s="109" t="s">
        <v>26674</v>
      </c>
      <c r="G4533" s="110" t="s">
        <v>6248</v>
      </c>
      <c r="H4533" s="110" t="s">
        <v>7817</v>
      </c>
      <c r="I4533" s="110" t="s">
        <v>26675</v>
      </c>
    </row>
    <row r="4534" spans="1:9" ht="37.799999999999997" x14ac:dyDescent="0.3">
      <c r="A4534" s="109" t="s">
        <v>26676</v>
      </c>
      <c r="B4534" s="109" t="s">
        <v>26487</v>
      </c>
      <c r="C4534" s="109" t="s">
        <v>26487</v>
      </c>
      <c r="D4534" s="109" t="s">
        <v>26677</v>
      </c>
      <c r="E4534" s="109" t="s">
        <v>5558</v>
      </c>
      <c r="F4534" s="109" t="s">
        <v>26678</v>
      </c>
      <c r="G4534" s="110" t="s">
        <v>6248</v>
      </c>
      <c r="H4534" s="110" t="s">
        <v>6474</v>
      </c>
      <c r="I4534" s="110" t="s">
        <v>26679</v>
      </c>
    </row>
    <row r="4535" spans="1:9" ht="25.2" x14ac:dyDescent="0.3">
      <c r="A4535" s="109" t="s">
        <v>26680</v>
      </c>
      <c r="B4535" s="109" t="s">
        <v>26487</v>
      </c>
      <c r="C4535" s="109" t="s">
        <v>26487</v>
      </c>
      <c r="D4535" s="109" t="s">
        <v>26681</v>
      </c>
      <c r="E4535" s="109" t="s">
        <v>5558</v>
      </c>
      <c r="F4535" s="109" t="s">
        <v>26682</v>
      </c>
      <c r="G4535" s="110" t="s">
        <v>6248</v>
      </c>
      <c r="H4535" s="110" t="s">
        <v>6474</v>
      </c>
      <c r="I4535" s="110" t="s">
        <v>26683</v>
      </c>
    </row>
    <row r="4536" spans="1:9" ht="25.2" x14ac:dyDescent="0.3">
      <c r="A4536" s="109" t="s">
        <v>26684</v>
      </c>
      <c r="B4536" s="109" t="s">
        <v>26487</v>
      </c>
      <c r="C4536" s="109" t="s">
        <v>26487</v>
      </c>
      <c r="D4536" s="109" t="s">
        <v>26685</v>
      </c>
      <c r="E4536" s="109" t="s">
        <v>5558</v>
      </c>
      <c r="F4536" s="109" t="s">
        <v>26686</v>
      </c>
      <c r="G4536" s="110" t="s">
        <v>6248</v>
      </c>
      <c r="H4536" s="110" t="s">
        <v>6570</v>
      </c>
      <c r="I4536" s="110" t="s">
        <v>26687</v>
      </c>
    </row>
    <row r="4537" spans="1:9" ht="37.799999999999997" x14ac:dyDescent="0.3">
      <c r="A4537" s="109" t="s">
        <v>26688</v>
      </c>
      <c r="B4537" s="109" t="s">
        <v>26487</v>
      </c>
      <c r="C4537" s="109" t="s">
        <v>26487</v>
      </c>
      <c r="D4537" s="109" t="s">
        <v>26689</v>
      </c>
      <c r="E4537" s="109" t="s">
        <v>5558</v>
      </c>
      <c r="F4537" s="109" t="s">
        <v>26690</v>
      </c>
      <c r="G4537" s="110" t="s">
        <v>6248</v>
      </c>
      <c r="H4537" s="110" t="s">
        <v>6507</v>
      </c>
      <c r="I4537" s="110" t="s">
        <v>26691</v>
      </c>
    </row>
    <row r="4538" spans="1:9" ht="25.2" x14ac:dyDescent="0.3">
      <c r="A4538" s="109" t="s">
        <v>26692</v>
      </c>
      <c r="B4538" s="109" t="s">
        <v>26487</v>
      </c>
      <c r="C4538" s="109" t="s">
        <v>26487</v>
      </c>
      <c r="D4538" s="109" t="s">
        <v>26693</v>
      </c>
      <c r="E4538" s="109" t="s">
        <v>5558</v>
      </c>
      <c r="F4538" s="109" t="s">
        <v>26694</v>
      </c>
      <c r="G4538" s="110" t="s">
        <v>6248</v>
      </c>
      <c r="H4538" s="110" t="s">
        <v>26695</v>
      </c>
      <c r="I4538" s="110" t="s">
        <v>26696</v>
      </c>
    </row>
    <row r="4539" spans="1:9" ht="37.799999999999997" x14ac:dyDescent="0.3">
      <c r="A4539" s="109" t="s">
        <v>26697</v>
      </c>
      <c r="B4539" s="109" t="s">
        <v>26487</v>
      </c>
      <c r="C4539" s="109" t="s">
        <v>26487</v>
      </c>
      <c r="D4539" s="109" t="s">
        <v>26698</v>
      </c>
      <c r="E4539" s="109" t="s">
        <v>5558</v>
      </c>
      <c r="F4539" s="109" t="s">
        <v>26699</v>
      </c>
      <c r="G4539" s="110" t="s">
        <v>6248</v>
      </c>
      <c r="H4539" s="110" t="s">
        <v>7817</v>
      </c>
      <c r="I4539" s="110" t="s">
        <v>26700</v>
      </c>
    </row>
    <row r="4540" spans="1:9" ht="25.2" x14ac:dyDescent="0.3">
      <c r="A4540" s="109" t="s">
        <v>26701</v>
      </c>
      <c r="B4540" s="109" t="s">
        <v>26487</v>
      </c>
      <c r="C4540" s="109" t="s">
        <v>26487</v>
      </c>
      <c r="D4540" s="109" t="s">
        <v>26702</v>
      </c>
      <c r="E4540" s="109" t="s">
        <v>5558</v>
      </c>
      <c r="F4540" s="109" t="s">
        <v>26703</v>
      </c>
      <c r="G4540" s="110" t="s">
        <v>6248</v>
      </c>
      <c r="H4540" s="110" t="s">
        <v>26704</v>
      </c>
      <c r="I4540" s="110" t="s">
        <v>26705</v>
      </c>
    </row>
    <row r="4541" spans="1:9" ht="25.2" x14ac:dyDescent="0.3">
      <c r="A4541" s="109" t="s">
        <v>26706</v>
      </c>
      <c r="B4541" s="109" t="s">
        <v>26487</v>
      </c>
      <c r="C4541" s="109" t="s">
        <v>26487</v>
      </c>
      <c r="D4541" s="109" t="s">
        <v>26707</v>
      </c>
      <c r="E4541" s="109" t="s">
        <v>5558</v>
      </c>
      <c r="F4541" s="109" t="s">
        <v>26708</v>
      </c>
      <c r="G4541" s="110" t="s">
        <v>6248</v>
      </c>
      <c r="H4541" s="110" t="s">
        <v>6689</v>
      </c>
      <c r="I4541" s="110" t="s">
        <v>26709</v>
      </c>
    </row>
    <row r="4542" spans="1:9" ht="25.2" x14ac:dyDescent="0.3">
      <c r="A4542" s="109" t="s">
        <v>26710</v>
      </c>
      <c r="B4542" s="109" t="s">
        <v>26487</v>
      </c>
      <c r="C4542" s="109" t="s">
        <v>26487</v>
      </c>
      <c r="D4542" s="109" t="s">
        <v>26711</v>
      </c>
      <c r="E4542" s="109" t="s">
        <v>5558</v>
      </c>
      <c r="F4542" s="109" t="s">
        <v>26712</v>
      </c>
      <c r="G4542" s="110" t="s">
        <v>6248</v>
      </c>
      <c r="H4542" s="110" t="s">
        <v>7817</v>
      </c>
      <c r="I4542" s="110" t="s">
        <v>26713</v>
      </c>
    </row>
    <row r="4543" spans="1:9" ht="25.2" x14ac:dyDescent="0.3">
      <c r="A4543" s="109" t="s">
        <v>26714</v>
      </c>
      <c r="B4543" s="109" t="s">
        <v>26487</v>
      </c>
      <c r="C4543" s="109" t="s">
        <v>26487</v>
      </c>
      <c r="D4543" s="109" t="s">
        <v>26715</v>
      </c>
      <c r="E4543" s="109" t="s">
        <v>5558</v>
      </c>
      <c r="F4543" s="109" t="s">
        <v>26716</v>
      </c>
      <c r="G4543" s="110" t="s">
        <v>6248</v>
      </c>
      <c r="H4543" s="110" t="s">
        <v>6393</v>
      </c>
      <c r="I4543" s="110" t="s">
        <v>26717</v>
      </c>
    </row>
    <row r="4544" spans="1:9" ht="37.799999999999997" x14ac:dyDescent="0.3">
      <c r="A4544" s="109" t="s">
        <v>26718</v>
      </c>
      <c r="B4544" s="109" t="s">
        <v>26487</v>
      </c>
      <c r="C4544" s="109" t="s">
        <v>26487</v>
      </c>
      <c r="D4544" s="109" t="s">
        <v>26719</v>
      </c>
      <c r="E4544" s="109" t="s">
        <v>5558</v>
      </c>
      <c r="F4544" s="109" t="s">
        <v>26720</v>
      </c>
      <c r="G4544" s="110" t="s">
        <v>6248</v>
      </c>
      <c r="H4544" s="110" t="s">
        <v>6507</v>
      </c>
      <c r="I4544" s="110" t="s">
        <v>26721</v>
      </c>
    </row>
    <row r="4545" spans="1:9" ht="25.2" x14ac:dyDescent="0.3">
      <c r="A4545" s="109" t="s">
        <v>26722</v>
      </c>
      <c r="B4545" s="109" t="s">
        <v>26487</v>
      </c>
      <c r="C4545" s="109" t="s">
        <v>26487</v>
      </c>
      <c r="D4545" s="109" t="s">
        <v>26723</v>
      </c>
      <c r="E4545" s="109" t="s">
        <v>5558</v>
      </c>
      <c r="F4545" s="109" t="s">
        <v>26724</v>
      </c>
      <c r="G4545" s="110" t="s">
        <v>6248</v>
      </c>
      <c r="H4545" s="110" t="s">
        <v>6489</v>
      </c>
      <c r="I4545" s="110" t="s">
        <v>26725</v>
      </c>
    </row>
    <row r="4546" spans="1:9" ht="25.2" x14ac:dyDescent="0.3">
      <c r="A4546" s="109" t="s">
        <v>26726</v>
      </c>
      <c r="B4546" s="109" t="s">
        <v>26487</v>
      </c>
      <c r="C4546" s="109" t="s">
        <v>26487</v>
      </c>
      <c r="D4546" s="109" t="s">
        <v>26727</v>
      </c>
      <c r="E4546" s="109" t="s">
        <v>5558</v>
      </c>
      <c r="F4546" s="109" t="s">
        <v>26728</v>
      </c>
      <c r="G4546" s="110" t="s">
        <v>6248</v>
      </c>
      <c r="H4546" s="110" t="s">
        <v>26729</v>
      </c>
      <c r="I4546" s="110" t="s">
        <v>26730</v>
      </c>
    </row>
    <row r="4547" spans="1:9" ht="25.2" x14ac:dyDescent="0.3">
      <c r="A4547" s="109" t="s">
        <v>26731</v>
      </c>
      <c r="B4547" s="109" t="s">
        <v>26487</v>
      </c>
      <c r="C4547" s="109" t="s">
        <v>26487</v>
      </c>
      <c r="D4547" s="109" t="s">
        <v>26732</v>
      </c>
      <c r="E4547" s="109" t="s">
        <v>5558</v>
      </c>
      <c r="F4547" s="109" t="s">
        <v>26733</v>
      </c>
      <c r="G4547" s="110" t="s">
        <v>6248</v>
      </c>
      <c r="H4547" s="110" t="s">
        <v>26734</v>
      </c>
      <c r="I4547" s="110" t="s">
        <v>26735</v>
      </c>
    </row>
    <row r="4548" spans="1:9" ht="37.799999999999997" x14ac:dyDescent="0.3">
      <c r="A4548" s="109" t="s">
        <v>26736</v>
      </c>
      <c r="B4548" s="109" t="s">
        <v>26487</v>
      </c>
      <c r="C4548" s="109" t="s">
        <v>26487</v>
      </c>
      <c r="D4548" s="109" t="s">
        <v>3946</v>
      </c>
      <c r="E4548" s="109" t="s">
        <v>5558</v>
      </c>
      <c r="F4548" s="109" t="s">
        <v>26737</v>
      </c>
      <c r="G4548" s="110" t="s">
        <v>6248</v>
      </c>
      <c r="H4548" s="110" t="s">
        <v>26738</v>
      </c>
      <c r="I4548" s="110" t="s">
        <v>26739</v>
      </c>
    </row>
    <row r="4549" spans="1:9" ht="25.2" x14ac:dyDescent="0.3">
      <c r="A4549" s="109" t="s">
        <v>26740</v>
      </c>
      <c r="B4549" s="109" t="s">
        <v>26487</v>
      </c>
      <c r="C4549" s="109" t="s">
        <v>26487</v>
      </c>
      <c r="D4549" s="109" t="s">
        <v>26741</v>
      </c>
      <c r="E4549" s="109" t="s">
        <v>5558</v>
      </c>
      <c r="F4549" s="109" t="s">
        <v>26742</v>
      </c>
      <c r="G4549" s="110" t="s">
        <v>6248</v>
      </c>
      <c r="H4549" s="110" t="s">
        <v>10993</v>
      </c>
      <c r="I4549" s="110" t="s">
        <v>26743</v>
      </c>
    </row>
    <row r="4550" spans="1:9" ht="25.2" x14ac:dyDescent="0.3">
      <c r="A4550" s="109" t="s">
        <v>26744</v>
      </c>
      <c r="B4550" s="109" t="s">
        <v>26487</v>
      </c>
      <c r="C4550" s="109" t="s">
        <v>26487</v>
      </c>
      <c r="D4550" s="109" t="s">
        <v>26745</v>
      </c>
      <c r="E4550" s="109" t="s">
        <v>5558</v>
      </c>
      <c r="F4550" s="109" t="s">
        <v>26746</v>
      </c>
      <c r="G4550" s="110" t="s">
        <v>6248</v>
      </c>
      <c r="H4550" s="110" t="s">
        <v>26747</v>
      </c>
      <c r="I4550" s="110" t="s">
        <v>26748</v>
      </c>
    </row>
    <row r="4551" spans="1:9" ht="25.2" x14ac:dyDescent="0.3">
      <c r="A4551" s="109" t="s">
        <v>26749</v>
      </c>
      <c r="B4551" s="109" t="s">
        <v>26487</v>
      </c>
      <c r="C4551" s="109" t="s">
        <v>26487</v>
      </c>
      <c r="D4551" s="109" t="s">
        <v>26750</v>
      </c>
      <c r="E4551" s="109" t="s">
        <v>26751</v>
      </c>
      <c r="F4551" s="109" t="s">
        <v>17349</v>
      </c>
      <c r="G4551" s="110" t="s">
        <v>6248</v>
      </c>
      <c r="H4551" s="110" t="s">
        <v>26752</v>
      </c>
      <c r="I4551" s="110" t="s">
        <v>26753</v>
      </c>
    </row>
    <row r="4552" spans="1:9" ht="25.2" x14ac:dyDescent="0.3">
      <c r="A4552" s="109" t="s">
        <v>26754</v>
      </c>
      <c r="B4552" s="109" t="s">
        <v>26487</v>
      </c>
      <c r="C4552" s="109" t="s">
        <v>26487</v>
      </c>
      <c r="D4552" s="109" t="s">
        <v>26755</v>
      </c>
      <c r="E4552" s="109" t="s">
        <v>26756</v>
      </c>
      <c r="F4552" s="109" t="s">
        <v>6878</v>
      </c>
      <c r="G4552" s="110" t="s">
        <v>26757</v>
      </c>
      <c r="H4552" s="110" t="s">
        <v>6248</v>
      </c>
      <c r="I4552" s="110" t="s">
        <v>26758</v>
      </c>
    </row>
    <row r="4553" spans="1:9" ht="25.2" x14ac:dyDescent="0.3">
      <c r="A4553" s="109" t="s">
        <v>26759</v>
      </c>
      <c r="B4553" s="109" t="s">
        <v>26487</v>
      </c>
      <c r="C4553" s="109" t="s">
        <v>26487</v>
      </c>
      <c r="D4553" s="109" t="s">
        <v>26760</v>
      </c>
      <c r="E4553" s="109" t="s">
        <v>26756</v>
      </c>
      <c r="F4553" s="109" t="s">
        <v>6878</v>
      </c>
      <c r="G4553" s="110" t="s">
        <v>26761</v>
      </c>
      <c r="H4553" s="110" t="s">
        <v>6248</v>
      </c>
      <c r="I4553" s="110" t="s">
        <v>26762</v>
      </c>
    </row>
    <row r="4554" spans="1:9" ht="25.2" x14ac:dyDescent="0.3">
      <c r="A4554" s="109" t="s">
        <v>26763</v>
      </c>
      <c r="B4554" s="109" t="s">
        <v>26487</v>
      </c>
      <c r="C4554" s="109" t="s">
        <v>26487</v>
      </c>
      <c r="D4554" s="109" t="s">
        <v>26764</v>
      </c>
      <c r="E4554" s="109" t="s">
        <v>26765</v>
      </c>
      <c r="F4554" s="109" t="s">
        <v>6779</v>
      </c>
      <c r="G4554" s="110" t="s">
        <v>6248</v>
      </c>
      <c r="H4554" s="110" t="s">
        <v>7592</v>
      </c>
      <c r="I4554" s="110" t="s">
        <v>26766</v>
      </c>
    </row>
    <row r="4555" spans="1:9" ht="25.2" x14ac:dyDescent="0.3">
      <c r="A4555" s="109" t="s">
        <v>26767</v>
      </c>
      <c r="B4555" s="109" t="s">
        <v>26487</v>
      </c>
      <c r="C4555" s="109" t="s">
        <v>26487</v>
      </c>
      <c r="D4555" s="109" t="s">
        <v>5569</v>
      </c>
      <c r="E4555" s="109" t="s">
        <v>5558</v>
      </c>
      <c r="F4555" s="109" t="s">
        <v>2258</v>
      </c>
      <c r="G4555" s="110" t="s">
        <v>6248</v>
      </c>
      <c r="H4555" s="110" t="s">
        <v>26768</v>
      </c>
      <c r="I4555" s="110" t="s">
        <v>26769</v>
      </c>
    </row>
    <row r="4556" spans="1:9" ht="25.2" x14ac:dyDescent="0.3">
      <c r="A4556" s="109" t="s">
        <v>26770</v>
      </c>
      <c r="B4556" s="109" t="s">
        <v>26487</v>
      </c>
      <c r="C4556" s="109" t="s">
        <v>26487</v>
      </c>
      <c r="D4556" s="109" t="s">
        <v>5569</v>
      </c>
      <c r="E4556" s="109" t="s">
        <v>5558</v>
      </c>
      <c r="F4556" s="109" t="s">
        <v>2258</v>
      </c>
      <c r="G4556" s="110" t="s">
        <v>6248</v>
      </c>
      <c r="H4556" s="110" t="s">
        <v>26771</v>
      </c>
      <c r="I4556" s="110" t="s">
        <v>26772</v>
      </c>
    </row>
    <row r="4557" spans="1:9" ht="25.2" x14ac:dyDescent="0.3">
      <c r="A4557" s="109" t="s">
        <v>26773</v>
      </c>
      <c r="B4557" s="109" t="s">
        <v>26487</v>
      </c>
      <c r="C4557" s="109" t="s">
        <v>26487</v>
      </c>
      <c r="D4557" s="109" t="s">
        <v>26774</v>
      </c>
      <c r="E4557" s="109" t="s">
        <v>26775</v>
      </c>
      <c r="F4557" s="109" t="s">
        <v>21330</v>
      </c>
      <c r="G4557" s="110" t="s">
        <v>6248</v>
      </c>
      <c r="H4557" s="110" t="s">
        <v>26776</v>
      </c>
      <c r="I4557" s="110" t="s">
        <v>26777</v>
      </c>
    </row>
    <row r="4558" spans="1:9" ht="63" x14ac:dyDescent="0.3">
      <c r="A4558" s="109" t="s">
        <v>26778</v>
      </c>
      <c r="B4558" s="109" t="s">
        <v>26487</v>
      </c>
      <c r="C4558" s="109" t="s">
        <v>26487</v>
      </c>
      <c r="D4558" s="109" t="s">
        <v>26779</v>
      </c>
      <c r="E4558" s="109" t="s">
        <v>26779</v>
      </c>
      <c r="F4558" s="109" t="s">
        <v>26780</v>
      </c>
      <c r="G4558" s="110" t="s">
        <v>6248</v>
      </c>
      <c r="H4558" s="110" t="s">
        <v>6689</v>
      </c>
      <c r="I4558" s="110" t="s">
        <v>26781</v>
      </c>
    </row>
    <row r="4559" spans="1:9" ht="50.4" x14ac:dyDescent="0.3">
      <c r="A4559" s="109" t="s">
        <v>26782</v>
      </c>
      <c r="B4559" s="109" t="s">
        <v>26487</v>
      </c>
      <c r="C4559" s="109" t="s">
        <v>26487</v>
      </c>
      <c r="D4559" s="109" t="s">
        <v>26308</v>
      </c>
      <c r="E4559" s="109" t="s">
        <v>26783</v>
      </c>
      <c r="F4559" s="109" t="s">
        <v>26784</v>
      </c>
      <c r="G4559" s="110" t="s">
        <v>6248</v>
      </c>
      <c r="H4559" s="110" t="s">
        <v>26785</v>
      </c>
      <c r="I4559" s="110" t="s">
        <v>26786</v>
      </c>
    </row>
    <row r="4560" spans="1:9" ht="37.799999999999997" x14ac:dyDescent="0.3">
      <c r="A4560" s="109" t="s">
        <v>26787</v>
      </c>
      <c r="B4560" s="109" t="s">
        <v>26487</v>
      </c>
      <c r="C4560" s="109" t="s">
        <v>26487</v>
      </c>
      <c r="D4560" s="109" t="s">
        <v>26788</v>
      </c>
      <c r="E4560" s="109" t="s">
        <v>5558</v>
      </c>
      <c r="F4560" s="109" t="s">
        <v>26789</v>
      </c>
      <c r="G4560" s="110" t="s">
        <v>6248</v>
      </c>
      <c r="H4560" s="110" t="s">
        <v>6689</v>
      </c>
      <c r="I4560" s="110" t="s">
        <v>26790</v>
      </c>
    </row>
    <row r="4561" spans="1:9" ht="25.2" x14ac:dyDescent="0.3">
      <c r="A4561" s="109" t="s">
        <v>26791</v>
      </c>
      <c r="B4561" s="109" t="s">
        <v>26487</v>
      </c>
      <c r="C4561" s="109" t="s">
        <v>26487</v>
      </c>
      <c r="D4561" s="109" t="s">
        <v>26792</v>
      </c>
      <c r="E4561" s="109" t="s">
        <v>5558</v>
      </c>
      <c r="F4561" s="109" t="s">
        <v>26793</v>
      </c>
      <c r="G4561" s="110" t="s">
        <v>6248</v>
      </c>
      <c r="H4561" s="110" t="s">
        <v>26794</v>
      </c>
      <c r="I4561" s="110" t="s">
        <v>26795</v>
      </c>
    </row>
    <row r="4562" spans="1:9" ht="37.799999999999997" x14ac:dyDescent="0.3">
      <c r="A4562" s="109" t="s">
        <v>26796</v>
      </c>
      <c r="B4562" s="109" t="s">
        <v>26487</v>
      </c>
      <c r="C4562" s="109" t="s">
        <v>26487</v>
      </c>
      <c r="D4562" s="109" t="s">
        <v>26797</v>
      </c>
      <c r="E4562" s="109" t="s">
        <v>5558</v>
      </c>
      <c r="F4562" s="109" t="s">
        <v>26798</v>
      </c>
      <c r="G4562" s="110" t="s">
        <v>6248</v>
      </c>
      <c r="H4562" s="110" t="s">
        <v>26799</v>
      </c>
      <c r="I4562" s="110" t="s">
        <v>26800</v>
      </c>
    </row>
    <row r="4563" spans="1:9" ht="25.2" x14ac:dyDescent="0.3">
      <c r="A4563" s="109" t="s">
        <v>26801</v>
      </c>
      <c r="B4563" s="109" t="s">
        <v>26487</v>
      </c>
      <c r="C4563" s="109" t="s">
        <v>26487</v>
      </c>
      <c r="D4563" s="109" t="s">
        <v>26802</v>
      </c>
      <c r="E4563" s="109" t="s">
        <v>5558</v>
      </c>
      <c r="F4563" s="109" t="s">
        <v>26803</v>
      </c>
      <c r="G4563" s="110" t="s">
        <v>6248</v>
      </c>
      <c r="H4563" s="110" t="s">
        <v>26804</v>
      </c>
      <c r="I4563" s="110" t="s">
        <v>26805</v>
      </c>
    </row>
    <row r="4564" spans="1:9" ht="37.799999999999997" x14ac:dyDescent="0.3">
      <c r="A4564" s="109" t="s">
        <v>26806</v>
      </c>
      <c r="B4564" s="109" t="s">
        <v>26487</v>
      </c>
      <c r="C4564" s="109" t="s">
        <v>26487</v>
      </c>
      <c r="D4564" s="109" t="s">
        <v>26807</v>
      </c>
      <c r="E4564" s="109" t="s">
        <v>5558</v>
      </c>
      <c r="F4564" s="109" t="s">
        <v>26808</v>
      </c>
      <c r="G4564" s="110" t="s">
        <v>6248</v>
      </c>
      <c r="H4564" s="110" t="s">
        <v>26809</v>
      </c>
      <c r="I4564" s="110" t="s">
        <v>26810</v>
      </c>
    </row>
    <row r="4565" spans="1:9" ht="25.2" x14ac:dyDescent="0.3">
      <c r="A4565" s="109" t="s">
        <v>26811</v>
      </c>
      <c r="B4565" s="109" t="s">
        <v>26487</v>
      </c>
      <c r="C4565" s="109" t="s">
        <v>26487</v>
      </c>
      <c r="D4565" s="109" t="s">
        <v>26812</v>
      </c>
      <c r="E4565" s="109" t="s">
        <v>26813</v>
      </c>
      <c r="F4565" s="109" t="s">
        <v>26814</v>
      </c>
      <c r="G4565" s="110" t="s">
        <v>26815</v>
      </c>
      <c r="H4565" s="110" t="s">
        <v>6248</v>
      </c>
      <c r="I4565" s="110" t="s">
        <v>26816</v>
      </c>
    </row>
    <row r="4566" spans="1:9" ht="63" x14ac:dyDescent="0.3">
      <c r="A4566" s="109" t="s">
        <v>26817</v>
      </c>
      <c r="B4566" s="109" t="s">
        <v>26487</v>
      </c>
      <c r="C4566" s="109" t="s">
        <v>26487</v>
      </c>
      <c r="D4566" s="109" t="s">
        <v>10686</v>
      </c>
      <c r="E4566" s="109" t="s">
        <v>10686</v>
      </c>
      <c r="F4566" s="109" t="s">
        <v>26818</v>
      </c>
      <c r="G4566" s="110" t="s">
        <v>6248</v>
      </c>
      <c r="H4566" s="110" t="s">
        <v>26819</v>
      </c>
      <c r="I4566" s="110" t="s">
        <v>26820</v>
      </c>
    </row>
    <row r="4567" spans="1:9" ht="37.799999999999997" x14ac:dyDescent="0.3">
      <c r="A4567" s="109" t="s">
        <v>26821</v>
      </c>
      <c r="B4567" s="109" t="s">
        <v>26487</v>
      </c>
      <c r="C4567" s="109" t="s">
        <v>26487</v>
      </c>
      <c r="D4567" s="109" t="s">
        <v>26822</v>
      </c>
      <c r="E4567" s="109" t="s">
        <v>5558</v>
      </c>
      <c r="F4567" s="109" t="s">
        <v>26823</v>
      </c>
      <c r="G4567" s="110" t="s">
        <v>6248</v>
      </c>
      <c r="H4567" s="110" t="s">
        <v>26824</v>
      </c>
      <c r="I4567" s="110" t="s">
        <v>26825</v>
      </c>
    </row>
    <row r="4568" spans="1:9" ht="25.2" x14ac:dyDescent="0.3">
      <c r="A4568" s="109" t="s">
        <v>26826</v>
      </c>
      <c r="B4568" s="109" t="s">
        <v>26487</v>
      </c>
      <c r="C4568" s="109" t="s">
        <v>26487</v>
      </c>
      <c r="D4568" s="109" t="s">
        <v>26827</v>
      </c>
      <c r="E4568" s="109" t="s">
        <v>5558</v>
      </c>
      <c r="F4568" s="109" t="s">
        <v>26828</v>
      </c>
      <c r="G4568" s="110" t="s">
        <v>6248</v>
      </c>
      <c r="H4568" s="110" t="s">
        <v>26829</v>
      </c>
      <c r="I4568" s="110" t="s">
        <v>26830</v>
      </c>
    </row>
    <row r="4569" spans="1:9" ht="25.2" x14ac:dyDescent="0.3">
      <c r="A4569" s="109" t="s">
        <v>26831</v>
      </c>
      <c r="B4569" s="109" t="s">
        <v>26487</v>
      </c>
      <c r="C4569" s="109" t="s">
        <v>26487</v>
      </c>
      <c r="D4569" s="109" t="s">
        <v>3997</v>
      </c>
      <c r="E4569" s="109" t="s">
        <v>5558</v>
      </c>
      <c r="F4569" s="109" t="s">
        <v>26832</v>
      </c>
      <c r="G4569" s="110" t="s">
        <v>6248</v>
      </c>
      <c r="H4569" s="110" t="s">
        <v>26833</v>
      </c>
      <c r="I4569" s="110" t="s">
        <v>26834</v>
      </c>
    </row>
    <row r="4570" spans="1:9" ht="25.2" x14ac:dyDescent="0.3">
      <c r="A4570" s="109" t="s">
        <v>26835</v>
      </c>
      <c r="B4570" s="109" t="s">
        <v>26487</v>
      </c>
      <c r="C4570" s="109" t="s">
        <v>26487</v>
      </c>
      <c r="D4570" s="109" t="s">
        <v>26836</v>
      </c>
      <c r="E4570" s="109" t="s">
        <v>26837</v>
      </c>
      <c r="F4570" s="109" t="s">
        <v>6325</v>
      </c>
      <c r="G4570" s="110" t="s">
        <v>6248</v>
      </c>
      <c r="H4570" s="110" t="s">
        <v>13466</v>
      </c>
      <c r="I4570" s="110" t="s">
        <v>26838</v>
      </c>
    </row>
    <row r="4571" spans="1:9" ht="25.2" x14ac:dyDescent="0.3">
      <c r="A4571" s="109" t="s">
        <v>26839</v>
      </c>
      <c r="B4571" s="109" t="s">
        <v>26487</v>
      </c>
      <c r="C4571" s="109" t="s">
        <v>26487</v>
      </c>
      <c r="D4571" s="109" t="s">
        <v>26840</v>
      </c>
      <c r="E4571" s="109" t="s">
        <v>26841</v>
      </c>
      <c r="F4571" s="109" t="s">
        <v>6325</v>
      </c>
      <c r="G4571" s="110" t="s">
        <v>6248</v>
      </c>
      <c r="H4571" s="110" t="s">
        <v>13461</v>
      </c>
      <c r="I4571" s="110" t="s">
        <v>26842</v>
      </c>
    </row>
    <row r="4572" spans="1:9" ht="25.2" x14ac:dyDescent="0.3">
      <c r="A4572" s="109" t="s">
        <v>26843</v>
      </c>
      <c r="B4572" s="109" t="s">
        <v>26487</v>
      </c>
      <c r="C4572" s="109" t="s">
        <v>26487</v>
      </c>
      <c r="D4572" s="109" t="s">
        <v>26844</v>
      </c>
      <c r="E4572" s="109" t="s">
        <v>26845</v>
      </c>
      <c r="F4572" s="109" t="s">
        <v>6325</v>
      </c>
      <c r="G4572" s="110" t="s">
        <v>6248</v>
      </c>
      <c r="H4572" s="110" t="s">
        <v>26846</v>
      </c>
      <c r="I4572" s="110" t="s">
        <v>26847</v>
      </c>
    </row>
    <row r="4573" spans="1:9" ht="25.2" x14ac:dyDescent="0.3">
      <c r="A4573" s="109" t="s">
        <v>26848</v>
      </c>
      <c r="B4573" s="109" t="s">
        <v>26487</v>
      </c>
      <c r="C4573" s="109" t="s">
        <v>26487</v>
      </c>
      <c r="D4573" s="109" t="s">
        <v>26849</v>
      </c>
      <c r="E4573" s="109" t="s">
        <v>26850</v>
      </c>
      <c r="F4573" s="109" t="s">
        <v>6325</v>
      </c>
      <c r="G4573" s="110" t="s">
        <v>6248</v>
      </c>
      <c r="H4573" s="110" t="s">
        <v>26851</v>
      </c>
      <c r="I4573" s="110" t="s">
        <v>26852</v>
      </c>
    </row>
    <row r="4574" spans="1:9" ht="25.2" x14ac:dyDescent="0.3">
      <c r="A4574" s="109" t="s">
        <v>26853</v>
      </c>
      <c r="B4574" s="109" t="s">
        <v>26487</v>
      </c>
      <c r="C4574" s="109" t="s">
        <v>26487</v>
      </c>
      <c r="D4574" s="109" t="s">
        <v>26854</v>
      </c>
      <c r="E4574" s="109" t="s">
        <v>26855</v>
      </c>
      <c r="F4574" s="109" t="s">
        <v>6325</v>
      </c>
      <c r="G4574" s="110" t="s">
        <v>6248</v>
      </c>
      <c r="H4574" s="110" t="s">
        <v>13466</v>
      </c>
      <c r="I4574" s="110" t="s">
        <v>26856</v>
      </c>
    </row>
    <row r="4575" spans="1:9" ht="25.2" x14ac:dyDescent="0.3">
      <c r="A4575" s="109" t="s">
        <v>26857</v>
      </c>
      <c r="B4575" s="109" t="s">
        <v>26487</v>
      </c>
      <c r="C4575" s="109" t="s">
        <v>26487</v>
      </c>
      <c r="D4575" s="109" t="s">
        <v>26858</v>
      </c>
      <c r="E4575" s="109" t="s">
        <v>26859</v>
      </c>
      <c r="F4575" s="109" t="s">
        <v>6325</v>
      </c>
      <c r="G4575" s="110" t="s">
        <v>6248</v>
      </c>
      <c r="H4575" s="110" t="s">
        <v>26860</v>
      </c>
      <c r="I4575" s="110" t="s">
        <v>26861</v>
      </c>
    </row>
    <row r="4576" spans="1:9" ht="25.2" x14ac:dyDescent="0.3">
      <c r="A4576" s="109" t="s">
        <v>26862</v>
      </c>
      <c r="B4576" s="109" t="s">
        <v>26487</v>
      </c>
      <c r="C4576" s="109" t="s">
        <v>26487</v>
      </c>
      <c r="D4576" s="109" t="s">
        <v>26863</v>
      </c>
      <c r="E4576" s="109" t="s">
        <v>5558</v>
      </c>
      <c r="F4576" s="109" t="s">
        <v>26864</v>
      </c>
      <c r="G4576" s="110" t="s">
        <v>6248</v>
      </c>
      <c r="H4576" s="110" t="s">
        <v>26865</v>
      </c>
      <c r="I4576" s="110" t="s">
        <v>26866</v>
      </c>
    </row>
    <row r="4577" spans="1:9" ht="25.2" x14ac:dyDescent="0.3">
      <c r="A4577" s="109" t="s">
        <v>26867</v>
      </c>
      <c r="B4577" s="109" t="s">
        <v>26487</v>
      </c>
      <c r="C4577" s="109" t="s">
        <v>26487</v>
      </c>
      <c r="D4577" s="109" t="s">
        <v>26868</v>
      </c>
      <c r="E4577" s="109" t="s">
        <v>5558</v>
      </c>
      <c r="F4577" s="109" t="s">
        <v>26869</v>
      </c>
      <c r="G4577" s="110" t="s">
        <v>6248</v>
      </c>
      <c r="H4577" s="110" t="s">
        <v>26870</v>
      </c>
      <c r="I4577" s="110" t="s">
        <v>26871</v>
      </c>
    </row>
    <row r="4578" spans="1:9" ht="25.2" x14ac:dyDescent="0.3">
      <c r="A4578" s="109" t="s">
        <v>26872</v>
      </c>
      <c r="B4578" s="109" t="s">
        <v>26487</v>
      </c>
      <c r="C4578" s="109" t="s">
        <v>26487</v>
      </c>
      <c r="D4578" s="109" t="s">
        <v>3953</v>
      </c>
      <c r="E4578" s="109" t="s">
        <v>5558</v>
      </c>
      <c r="F4578" s="109" t="s">
        <v>26873</v>
      </c>
      <c r="G4578" s="110" t="s">
        <v>6248</v>
      </c>
      <c r="H4578" s="110" t="s">
        <v>6346</v>
      </c>
      <c r="I4578" s="110" t="s">
        <v>26874</v>
      </c>
    </row>
    <row r="4579" spans="1:9" ht="37.799999999999997" x14ac:dyDescent="0.3">
      <c r="A4579" s="109" t="s">
        <v>26875</v>
      </c>
      <c r="B4579" s="109" t="s">
        <v>26487</v>
      </c>
      <c r="C4579" s="109" t="s">
        <v>26487</v>
      </c>
      <c r="D4579" s="109" t="s">
        <v>26876</v>
      </c>
      <c r="E4579" s="109" t="s">
        <v>5558</v>
      </c>
      <c r="F4579" s="109" t="s">
        <v>26877</v>
      </c>
      <c r="G4579" s="110" t="s">
        <v>6248</v>
      </c>
      <c r="H4579" s="110" t="s">
        <v>26878</v>
      </c>
      <c r="I4579" s="110" t="s">
        <v>26879</v>
      </c>
    </row>
    <row r="4580" spans="1:9" ht="25.2" x14ac:dyDescent="0.3">
      <c r="A4580" s="109" t="s">
        <v>26880</v>
      </c>
      <c r="B4580" s="109" t="s">
        <v>26487</v>
      </c>
      <c r="C4580" s="109" t="s">
        <v>26487</v>
      </c>
      <c r="D4580" s="109" t="s">
        <v>5569</v>
      </c>
      <c r="E4580" s="109" t="s">
        <v>5558</v>
      </c>
      <c r="F4580" s="109" t="s">
        <v>2258</v>
      </c>
      <c r="G4580" s="110" t="s">
        <v>6248</v>
      </c>
      <c r="H4580" s="110" t="s">
        <v>26881</v>
      </c>
      <c r="I4580" s="110" t="s">
        <v>26882</v>
      </c>
    </row>
    <row r="4581" spans="1:9" ht="37.799999999999997" x14ac:dyDescent="0.3">
      <c r="A4581" s="109" t="s">
        <v>26883</v>
      </c>
      <c r="B4581" s="109" t="s">
        <v>26487</v>
      </c>
      <c r="C4581" s="109" t="s">
        <v>26487</v>
      </c>
      <c r="D4581" s="109" t="s">
        <v>26884</v>
      </c>
      <c r="E4581" s="109" t="s">
        <v>5558</v>
      </c>
      <c r="F4581" s="109" t="s">
        <v>26885</v>
      </c>
      <c r="G4581" s="110" t="s">
        <v>6248</v>
      </c>
      <c r="H4581" s="110" t="s">
        <v>26886</v>
      </c>
      <c r="I4581" s="110" t="s">
        <v>26887</v>
      </c>
    </row>
    <row r="4582" spans="1:9" ht="25.2" x14ac:dyDescent="0.3">
      <c r="A4582" s="109" t="s">
        <v>26888</v>
      </c>
      <c r="B4582" s="109" t="s">
        <v>26487</v>
      </c>
      <c r="C4582" s="109" t="s">
        <v>26487</v>
      </c>
      <c r="D4582" s="109" t="s">
        <v>26889</v>
      </c>
      <c r="E4582" s="109" t="s">
        <v>5558</v>
      </c>
      <c r="F4582" s="109" t="s">
        <v>26890</v>
      </c>
      <c r="G4582" s="110" t="s">
        <v>6248</v>
      </c>
      <c r="H4582" s="110" t="s">
        <v>26891</v>
      </c>
      <c r="I4582" s="110" t="s">
        <v>26892</v>
      </c>
    </row>
    <row r="4583" spans="1:9" ht="37.799999999999997" x14ac:dyDescent="0.3">
      <c r="A4583" s="109" t="s">
        <v>26893</v>
      </c>
      <c r="B4583" s="109" t="s">
        <v>26487</v>
      </c>
      <c r="C4583" s="109" t="s">
        <v>26487</v>
      </c>
      <c r="D4583" s="109" t="s">
        <v>26894</v>
      </c>
      <c r="E4583" s="109" t="s">
        <v>5558</v>
      </c>
      <c r="F4583" s="109" t="s">
        <v>26895</v>
      </c>
      <c r="G4583" s="110" t="s">
        <v>6248</v>
      </c>
      <c r="H4583" s="110" t="s">
        <v>26896</v>
      </c>
      <c r="I4583" s="110" t="s">
        <v>26897</v>
      </c>
    </row>
    <row r="4584" spans="1:9" ht="50.4" x14ac:dyDescent="0.3">
      <c r="A4584" s="109" t="s">
        <v>26898</v>
      </c>
      <c r="B4584" s="109" t="s">
        <v>26487</v>
      </c>
      <c r="C4584" s="109" t="s">
        <v>26487</v>
      </c>
      <c r="D4584" s="109" t="s">
        <v>9836</v>
      </c>
      <c r="E4584" s="109" t="s">
        <v>26519</v>
      </c>
      <c r="F4584" s="109" t="s">
        <v>26899</v>
      </c>
      <c r="G4584" s="110" t="s">
        <v>6248</v>
      </c>
      <c r="H4584" s="110" t="s">
        <v>26900</v>
      </c>
      <c r="I4584" s="110" t="s">
        <v>26901</v>
      </c>
    </row>
    <row r="4585" spans="1:9" ht="25.2" x14ac:dyDescent="0.3">
      <c r="A4585" s="109" t="s">
        <v>26902</v>
      </c>
      <c r="B4585" s="109" t="s">
        <v>26487</v>
      </c>
      <c r="C4585" s="109" t="s">
        <v>26487</v>
      </c>
      <c r="D4585" s="109" t="s">
        <v>5569</v>
      </c>
      <c r="E4585" s="109" t="s">
        <v>5558</v>
      </c>
      <c r="F4585" s="109" t="s">
        <v>2258</v>
      </c>
      <c r="G4585" s="110" t="s">
        <v>6248</v>
      </c>
      <c r="H4585" s="110" t="s">
        <v>26903</v>
      </c>
      <c r="I4585" s="110" t="s">
        <v>26904</v>
      </c>
    </row>
    <row r="4586" spans="1:9" ht="25.2" x14ac:dyDescent="0.3">
      <c r="A4586" s="109" t="s">
        <v>26905</v>
      </c>
      <c r="B4586" s="109" t="s">
        <v>26487</v>
      </c>
      <c r="C4586" s="109" t="s">
        <v>26487</v>
      </c>
      <c r="D4586" s="109" t="s">
        <v>5569</v>
      </c>
      <c r="E4586" s="109" t="s">
        <v>5558</v>
      </c>
      <c r="F4586" s="109" t="s">
        <v>2258</v>
      </c>
      <c r="G4586" s="110" t="s">
        <v>6248</v>
      </c>
      <c r="H4586" s="110" t="s">
        <v>26906</v>
      </c>
      <c r="I4586" s="110" t="s">
        <v>26907</v>
      </c>
    </row>
    <row r="4587" spans="1:9" ht="25.2" x14ac:dyDescent="0.3">
      <c r="A4587" s="109" t="s">
        <v>26908</v>
      </c>
      <c r="B4587" s="109" t="s">
        <v>26487</v>
      </c>
      <c r="C4587" s="109" t="s">
        <v>26487</v>
      </c>
      <c r="D4587" s="109" t="s">
        <v>5569</v>
      </c>
      <c r="E4587" s="109" t="s">
        <v>5558</v>
      </c>
      <c r="F4587" s="109" t="s">
        <v>2258</v>
      </c>
      <c r="G4587" s="110" t="s">
        <v>6248</v>
      </c>
      <c r="H4587" s="110" t="s">
        <v>26909</v>
      </c>
      <c r="I4587" s="110" t="s">
        <v>26910</v>
      </c>
    </row>
    <row r="4588" spans="1:9" ht="25.2" x14ac:dyDescent="0.3">
      <c r="A4588" s="109" t="s">
        <v>26911</v>
      </c>
      <c r="B4588" s="109" t="s">
        <v>26487</v>
      </c>
      <c r="C4588" s="109" t="s">
        <v>26487</v>
      </c>
      <c r="D4588" s="109" t="s">
        <v>3966</v>
      </c>
      <c r="E4588" s="109" t="s">
        <v>26912</v>
      </c>
      <c r="F4588" s="109" t="s">
        <v>6267</v>
      </c>
      <c r="G4588" s="110" t="s">
        <v>6248</v>
      </c>
      <c r="H4588" s="110" t="s">
        <v>26913</v>
      </c>
      <c r="I4588" s="110" t="s">
        <v>26914</v>
      </c>
    </row>
    <row r="4589" spans="1:9" ht="25.2" x14ac:dyDescent="0.3">
      <c r="A4589" s="109" t="s">
        <v>26915</v>
      </c>
      <c r="B4589" s="109" t="s">
        <v>26487</v>
      </c>
      <c r="C4589" s="109" t="s">
        <v>26487</v>
      </c>
      <c r="D4589" s="109" t="s">
        <v>26916</v>
      </c>
      <c r="E4589" s="109" t="s">
        <v>5558</v>
      </c>
      <c r="F4589" s="109" t="s">
        <v>26917</v>
      </c>
      <c r="G4589" s="110" t="s">
        <v>6248</v>
      </c>
      <c r="H4589" s="110" t="s">
        <v>7624</v>
      </c>
      <c r="I4589" s="110" t="s">
        <v>26918</v>
      </c>
    </row>
    <row r="4590" spans="1:9" ht="25.2" x14ac:dyDescent="0.3">
      <c r="A4590" s="109" t="s">
        <v>26919</v>
      </c>
      <c r="B4590" s="109" t="s">
        <v>26487</v>
      </c>
      <c r="C4590" s="109" t="s">
        <v>26487</v>
      </c>
      <c r="D4590" s="109" t="s">
        <v>4599</v>
      </c>
      <c r="E4590" s="109" t="s">
        <v>26920</v>
      </c>
      <c r="F4590" s="109" t="s">
        <v>7123</v>
      </c>
      <c r="G4590" s="110" t="s">
        <v>6248</v>
      </c>
      <c r="H4590" s="110" t="s">
        <v>26921</v>
      </c>
      <c r="I4590" s="110" t="s">
        <v>26922</v>
      </c>
    </row>
    <row r="4591" spans="1:9" ht="25.2" x14ac:dyDescent="0.3">
      <c r="A4591" s="109" t="s">
        <v>26923</v>
      </c>
      <c r="B4591" s="109" t="s">
        <v>26487</v>
      </c>
      <c r="C4591" s="109" t="s">
        <v>26487</v>
      </c>
      <c r="D4591" s="109" t="s">
        <v>26924</v>
      </c>
      <c r="E4591" s="109" t="s">
        <v>5558</v>
      </c>
      <c r="F4591" s="109" t="s">
        <v>26925</v>
      </c>
      <c r="G4591" s="110" t="s">
        <v>6248</v>
      </c>
      <c r="H4591" s="110" t="s">
        <v>26926</v>
      </c>
      <c r="I4591" s="110" t="s">
        <v>26927</v>
      </c>
    </row>
    <row r="4592" spans="1:9" ht="37.799999999999997" x14ac:dyDescent="0.3">
      <c r="A4592" s="109" t="s">
        <v>26928</v>
      </c>
      <c r="B4592" s="109" t="s">
        <v>26487</v>
      </c>
      <c r="C4592" s="109" t="s">
        <v>26487</v>
      </c>
      <c r="D4592" s="109" t="s">
        <v>26929</v>
      </c>
      <c r="E4592" s="109" t="s">
        <v>5558</v>
      </c>
      <c r="F4592" s="109" t="s">
        <v>26930</v>
      </c>
      <c r="G4592" s="110" t="s">
        <v>6248</v>
      </c>
      <c r="H4592" s="110" t="s">
        <v>6278</v>
      </c>
      <c r="I4592" s="110" t="s">
        <v>26931</v>
      </c>
    </row>
    <row r="4593" spans="1:9" ht="25.2" x14ac:dyDescent="0.3">
      <c r="A4593" s="109" t="s">
        <v>26932</v>
      </c>
      <c r="B4593" s="109" t="s">
        <v>26487</v>
      </c>
      <c r="C4593" s="109" t="s">
        <v>26487</v>
      </c>
      <c r="D4593" s="109" t="s">
        <v>26933</v>
      </c>
      <c r="E4593" s="109" t="s">
        <v>5558</v>
      </c>
      <c r="F4593" s="109" t="s">
        <v>26934</v>
      </c>
      <c r="G4593" s="110" t="s">
        <v>6248</v>
      </c>
      <c r="H4593" s="110" t="s">
        <v>26935</v>
      </c>
      <c r="I4593" s="110" t="s">
        <v>26936</v>
      </c>
    </row>
    <row r="4594" spans="1:9" ht="25.2" x14ac:dyDescent="0.3">
      <c r="A4594" s="109" t="s">
        <v>26937</v>
      </c>
      <c r="B4594" s="109" t="s">
        <v>26487</v>
      </c>
      <c r="C4594" s="109" t="s">
        <v>26487</v>
      </c>
      <c r="D4594" s="109" t="s">
        <v>26938</v>
      </c>
      <c r="E4594" s="109" t="s">
        <v>5932</v>
      </c>
      <c r="F4594" s="109" t="s">
        <v>19979</v>
      </c>
      <c r="G4594" s="110" t="s">
        <v>6248</v>
      </c>
      <c r="H4594" s="110" t="s">
        <v>6753</v>
      </c>
      <c r="I4594" s="110" t="s">
        <v>26939</v>
      </c>
    </row>
    <row r="4595" spans="1:9" ht="37.799999999999997" x14ac:dyDescent="0.3">
      <c r="A4595" s="109" t="s">
        <v>26940</v>
      </c>
      <c r="B4595" s="109" t="s">
        <v>26487</v>
      </c>
      <c r="C4595" s="109" t="s">
        <v>26487</v>
      </c>
      <c r="D4595" s="109" t="s">
        <v>26941</v>
      </c>
      <c r="E4595" s="109" t="s">
        <v>5558</v>
      </c>
      <c r="F4595" s="109" t="s">
        <v>26942</v>
      </c>
      <c r="G4595" s="110" t="s">
        <v>6248</v>
      </c>
      <c r="H4595" s="110" t="s">
        <v>26943</v>
      </c>
      <c r="I4595" s="110" t="s">
        <v>26944</v>
      </c>
    </row>
    <row r="4596" spans="1:9" ht="37.799999999999997" x14ac:dyDescent="0.3">
      <c r="A4596" s="109" t="s">
        <v>26945</v>
      </c>
      <c r="B4596" s="109" t="s">
        <v>26487</v>
      </c>
      <c r="C4596" s="109" t="s">
        <v>26487</v>
      </c>
      <c r="D4596" s="109" t="s">
        <v>26946</v>
      </c>
      <c r="E4596" s="109" t="s">
        <v>5558</v>
      </c>
      <c r="F4596" s="109" t="s">
        <v>26947</v>
      </c>
      <c r="G4596" s="110" t="s">
        <v>6248</v>
      </c>
      <c r="H4596" s="110" t="s">
        <v>7274</v>
      </c>
      <c r="I4596" s="110" t="s">
        <v>26948</v>
      </c>
    </row>
    <row r="4597" spans="1:9" ht="25.2" x14ac:dyDescent="0.3">
      <c r="A4597" s="109" t="s">
        <v>26949</v>
      </c>
      <c r="B4597" s="109" t="s">
        <v>26487</v>
      </c>
      <c r="C4597" s="109" t="s">
        <v>26487</v>
      </c>
      <c r="D4597" s="109" t="s">
        <v>26950</v>
      </c>
      <c r="E4597" s="109" t="s">
        <v>5558</v>
      </c>
      <c r="F4597" s="109" t="s">
        <v>26951</v>
      </c>
      <c r="G4597" s="110" t="s">
        <v>6248</v>
      </c>
      <c r="H4597" s="110" t="s">
        <v>26952</v>
      </c>
      <c r="I4597" s="110" t="s">
        <v>26953</v>
      </c>
    </row>
    <row r="4598" spans="1:9" ht="75.599999999999994" x14ac:dyDescent="0.3">
      <c r="A4598" s="109" t="s">
        <v>26954</v>
      </c>
      <c r="B4598" s="109" t="s">
        <v>26487</v>
      </c>
      <c r="C4598" s="109" t="s">
        <v>26487</v>
      </c>
      <c r="D4598" s="109" t="s">
        <v>10686</v>
      </c>
      <c r="E4598" s="109" t="s">
        <v>10686</v>
      </c>
      <c r="F4598" s="109" t="s">
        <v>26955</v>
      </c>
      <c r="G4598" s="110" t="s">
        <v>6248</v>
      </c>
      <c r="H4598" s="110" t="s">
        <v>26956</v>
      </c>
      <c r="I4598" s="110" t="s">
        <v>26957</v>
      </c>
    </row>
    <row r="4599" spans="1:9" ht="37.799999999999997" x14ac:dyDescent="0.3">
      <c r="A4599" s="109" t="s">
        <v>26958</v>
      </c>
      <c r="B4599" s="109" t="s">
        <v>26487</v>
      </c>
      <c r="C4599" s="109" t="s">
        <v>26487</v>
      </c>
      <c r="D4599" s="109" t="s">
        <v>26959</v>
      </c>
      <c r="E4599" s="109" t="s">
        <v>5558</v>
      </c>
      <c r="F4599" s="109" t="s">
        <v>26960</v>
      </c>
      <c r="G4599" s="110" t="s">
        <v>6248</v>
      </c>
      <c r="H4599" s="110" t="s">
        <v>26961</v>
      </c>
      <c r="I4599" s="110" t="s">
        <v>26962</v>
      </c>
    </row>
    <row r="4600" spans="1:9" ht="25.2" x14ac:dyDescent="0.3">
      <c r="A4600" s="109" t="s">
        <v>26963</v>
      </c>
      <c r="B4600" s="109" t="s">
        <v>26487</v>
      </c>
      <c r="C4600" s="109" t="s">
        <v>26487</v>
      </c>
      <c r="D4600" s="109" t="s">
        <v>4601</v>
      </c>
      <c r="E4600" s="109" t="s">
        <v>10893</v>
      </c>
      <c r="F4600" s="109" t="s">
        <v>10894</v>
      </c>
      <c r="G4600" s="110" t="s">
        <v>26964</v>
      </c>
      <c r="H4600" s="110" t="s">
        <v>6248</v>
      </c>
      <c r="I4600" s="110" t="s">
        <v>26965</v>
      </c>
    </row>
    <row r="4601" spans="1:9" ht="25.2" x14ac:dyDescent="0.3">
      <c r="A4601" s="109" t="s">
        <v>26966</v>
      </c>
      <c r="B4601" s="109" t="s">
        <v>26487</v>
      </c>
      <c r="C4601" s="109" t="s">
        <v>26487</v>
      </c>
      <c r="D4601" s="109" t="s">
        <v>26967</v>
      </c>
      <c r="E4601" s="109" t="s">
        <v>5558</v>
      </c>
      <c r="F4601" s="109" t="s">
        <v>26968</v>
      </c>
      <c r="G4601" s="110" t="s">
        <v>6248</v>
      </c>
      <c r="H4601" s="110" t="s">
        <v>26969</v>
      </c>
      <c r="I4601" s="110" t="s">
        <v>26970</v>
      </c>
    </row>
    <row r="4602" spans="1:9" ht="25.2" x14ac:dyDescent="0.3">
      <c r="A4602" s="109" t="s">
        <v>26971</v>
      </c>
      <c r="B4602" s="109" t="s">
        <v>26487</v>
      </c>
      <c r="C4602" s="109" t="s">
        <v>26487</v>
      </c>
      <c r="D4602" s="109" t="s">
        <v>5569</v>
      </c>
      <c r="E4602" s="109" t="s">
        <v>5558</v>
      </c>
      <c r="F4602" s="109" t="s">
        <v>2258</v>
      </c>
      <c r="G4602" s="110" t="s">
        <v>6248</v>
      </c>
      <c r="H4602" s="110" t="s">
        <v>26972</v>
      </c>
      <c r="I4602" s="110" t="s">
        <v>26973</v>
      </c>
    </row>
    <row r="4603" spans="1:9" ht="25.2" x14ac:dyDescent="0.3">
      <c r="A4603" s="109" t="s">
        <v>26974</v>
      </c>
      <c r="B4603" s="109" t="s">
        <v>26487</v>
      </c>
      <c r="C4603" s="109" t="s">
        <v>26487</v>
      </c>
      <c r="D4603" s="109" t="s">
        <v>26975</v>
      </c>
      <c r="E4603" s="109" t="s">
        <v>5558</v>
      </c>
      <c r="F4603" s="109" t="s">
        <v>26976</v>
      </c>
      <c r="G4603" s="110" t="s">
        <v>6248</v>
      </c>
      <c r="H4603" s="110" t="s">
        <v>26977</v>
      </c>
      <c r="I4603" s="110" t="s">
        <v>26978</v>
      </c>
    </row>
    <row r="4604" spans="1:9" ht="75.599999999999994" x14ac:dyDescent="0.3">
      <c r="A4604" s="109" t="s">
        <v>26979</v>
      </c>
      <c r="B4604" s="109" t="s">
        <v>26487</v>
      </c>
      <c r="C4604" s="109" t="s">
        <v>26487</v>
      </c>
      <c r="D4604" s="109" t="s">
        <v>7651</v>
      </c>
      <c r="E4604" s="109" t="s">
        <v>7651</v>
      </c>
      <c r="F4604" s="109" t="s">
        <v>26980</v>
      </c>
      <c r="G4604" s="110" t="s">
        <v>6248</v>
      </c>
      <c r="H4604" s="110" t="s">
        <v>26981</v>
      </c>
      <c r="I4604" s="110" t="s">
        <v>26982</v>
      </c>
    </row>
    <row r="4605" spans="1:9" ht="25.2" x14ac:dyDescent="0.3">
      <c r="A4605" s="109" t="s">
        <v>26983</v>
      </c>
      <c r="B4605" s="109" t="s">
        <v>26487</v>
      </c>
      <c r="C4605" s="109" t="s">
        <v>26487</v>
      </c>
      <c r="D4605" s="109" t="s">
        <v>26984</v>
      </c>
      <c r="E4605" s="109" t="s">
        <v>26985</v>
      </c>
      <c r="F4605" s="109" t="s">
        <v>7007</v>
      </c>
      <c r="G4605" s="110" t="s">
        <v>6248</v>
      </c>
      <c r="H4605" s="110" t="s">
        <v>26986</v>
      </c>
      <c r="I4605" s="110" t="s">
        <v>26987</v>
      </c>
    </row>
    <row r="4606" spans="1:9" ht="25.2" x14ac:dyDescent="0.3">
      <c r="A4606" s="109" t="s">
        <v>26988</v>
      </c>
      <c r="B4606" s="109" t="s">
        <v>26487</v>
      </c>
      <c r="C4606" s="109" t="s">
        <v>26487</v>
      </c>
      <c r="D4606" s="109" t="s">
        <v>26989</v>
      </c>
      <c r="E4606" s="109" t="s">
        <v>5558</v>
      </c>
      <c r="F4606" s="109" t="s">
        <v>26990</v>
      </c>
      <c r="G4606" s="110" t="s">
        <v>6248</v>
      </c>
      <c r="H4606" s="110" t="s">
        <v>26991</v>
      </c>
      <c r="I4606" s="110" t="s">
        <v>26992</v>
      </c>
    </row>
    <row r="4607" spans="1:9" ht="88.2" x14ac:dyDescent="0.3">
      <c r="A4607" s="109" t="s">
        <v>26993</v>
      </c>
      <c r="B4607" s="109" t="s">
        <v>26487</v>
      </c>
      <c r="C4607" s="109" t="s">
        <v>26487</v>
      </c>
      <c r="D4607" s="109" t="s">
        <v>26994</v>
      </c>
      <c r="E4607" s="109" t="s">
        <v>26994</v>
      </c>
      <c r="F4607" s="109" t="s">
        <v>26995</v>
      </c>
      <c r="G4607" s="110" t="s">
        <v>6248</v>
      </c>
      <c r="H4607" s="110" t="s">
        <v>26996</v>
      </c>
      <c r="I4607" s="110" t="s">
        <v>26997</v>
      </c>
    </row>
    <row r="4608" spans="1:9" ht="37.799999999999997" x14ac:dyDescent="0.3">
      <c r="A4608" s="109" t="s">
        <v>26998</v>
      </c>
      <c r="B4608" s="109" t="s">
        <v>26487</v>
      </c>
      <c r="C4608" s="109" t="s">
        <v>26487</v>
      </c>
      <c r="D4608" s="109" t="s">
        <v>26999</v>
      </c>
      <c r="E4608" s="109" t="s">
        <v>5558</v>
      </c>
      <c r="F4608" s="109" t="s">
        <v>27000</v>
      </c>
      <c r="G4608" s="110" t="s">
        <v>6248</v>
      </c>
      <c r="H4608" s="110" t="s">
        <v>27001</v>
      </c>
      <c r="I4608" s="110" t="s">
        <v>27002</v>
      </c>
    </row>
    <row r="4609" spans="1:9" ht="25.2" x14ac:dyDescent="0.3">
      <c r="A4609" s="109" t="s">
        <v>27003</v>
      </c>
      <c r="B4609" s="109" t="s">
        <v>26487</v>
      </c>
      <c r="C4609" s="109" t="s">
        <v>26487</v>
      </c>
      <c r="D4609" s="109" t="s">
        <v>27004</v>
      </c>
      <c r="E4609" s="109" t="s">
        <v>27005</v>
      </c>
      <c r="F4609" s="109" t="s">
        <v>14190</v>
      </c>
      <c r="G4609" s="110" t="s">
        <v>6248</v>
      </c>
      <c r="H4609" s="110" t="s">
        <v>27006</v>
      </c>
      <c r="I4609" s="110" t="s">
        <v>27007</v>
      </c>
    </row>
    <row r="4610" spans="1:9" ht="63" x14ac:dyDescent="0.3">
      <c r="A4610" s="109" t="s">
        <v>27008</v>
      </c>
      <c r="B4610" s="109" t="s">
        <v>26487</v>
      </c>
      <c r="C4610" s="109" t="s">
        <v>26487</v>
      </c>
      <c r="D4610" s="109" t="s">
        <v>8533</v>
      </c>
      <c r="E4610" s="109" t="s">
        <v>8533</v>
      </c>
      <c r="F4610" s="109" t="s">
        <v>27009</v>
      </c>
      <c r="G4610" s="110" t="s">
        <v>6248</v>
      </c>
      <c r="H4610" s="110" t="s">
        <v>27010</v>
      </c>
      <c r="I4610" s="110" t="s">
        <v>27011</v>
      </c>
    </row>
    <row r="4611" spans="1:9" ht="25.2" x14ac:dyDescent="0.3">
      <c r="A4611" s="109" t="s">
        <v>27012</v>
      </c>
      <c r="B4611" s="109" t="s">
        <v>26487</v>
      </c>
      <c r="C4611" s="109" t="s">
        <v>26487</v>
      </c>
      <c r="D4611" s="109" t="s">
        <v>3978</v>
      </c>
      <c r="E4611" s="109" t="s">
        <v>27013</v>
      </c>
      <c r="F4611" s="109" t="s">
        <v>15252</v>
      </c>
      <c r="G4611" s="110" t="s">
        <v>6248</v>
      </c>
      <c r="H4611" s="110" t="s">
        <v>27014</v>
      </c>
      <c r="I4611" s="110" t="s">
        <v>27015</v>
      </c>
    </row>
    <row r="4612" spans="1:9" ht="25.2" x14ac:dyDescent="0.3">
      <c r="A4612" s="109" t="s">
        <v>27016</v>
      </c>
      <c r="B4612" s="109" t="s">
        <v>26487</v>
      </c>
      <c r="C4612" s="109" t="s">
        <v>26487</v>
      </c>
      <c r="D4612" s="109" t="s">
        <v>27017</v>
      </c>
      <c r="E4612" s="109" t="s">
        <v>19229</v>
      </c>
      <c r="F4612" s="109" t="s">
        <v>19230</v>
      </c>
      <c r="G4612" s="110" t="s">
        <v>6248</v>
      </c>
      <c r="H4612" s="110" t="s">
        <v>27018</v>
      </c>
      <c r="I4612" s="110" t="s">
        <v>27019</v>
      </c>
    </row>
    <row r="4613" spans="1:9" ht="25.2" x14ac:dyDescent="0.3">
      <c r="A4613" s="109" t="s">
        <v>27020</v>
      </c>
      <c r="B4613" s="109" t="s">
        <v>26487</v>
      </c>
      <c r="C4613" s="109" t="s">
        <v>26487</v>
      </c>
      <c r="D4613" s="109" t="s">
        <v>5569</v>
      </c>
      <c r="E4613" s="109" t="s">
        <v>5558</v>
      </c>
      <c r="F4613" s="109" t="s">
        <v>2258</v>
      </c>
      <c r="G4613" s="110" t="s">
        <v>6248</v>
      </c>
      <c r="H4613" s="110" t="s">
        <v>6352</v>
      </c>
      <c r="I4613" s="110" t="s">
        <v>27021</v>
      </c>
    </row>
    <row r="4614" spans="1:9" ht="25.2" x14ac:dyDescent="0.3">
      <c r="A4614" s="109" t="s">
        <v>27022</v>
      </c>
      <c r="B4614" s="109" t="s">
        <v>26487</v>
      </c>
      <c r="C4614" s="109" t="s">
        <v>26487</v>
      </c>
      <c r="D4614" s="109" t="s">
        <v>27023</v>
      </c>
      <c r="E4614" s="109" t="s">
        <v>27024</v>
      </c>
      <c r="F4614" s="109" t="s">
        <v>27025</v>
      </c>
      <c r="G4614" s="110" t="s">
        <v>6248</v>
      </c>
      <c r="H4614" s="110" t="s">
        <v>27026</v>
      </c>
      <c r="I4614" s="110" t="s">
        <v>27027</v>
      </c>
    </row>
    <row r="4615" spans="1:9" ht="63" x14ac:dyDescent="0.3">
      <c r="A4615" s="109" t="s">
        <v>27028</v>
      </c>
      <c r="B4615" s="109" t="s">
        <v>26487</v>
      </c>
      <c r="C4615" s="109" t="s">
        <v>26487</v>
      </c>
      <c r="D4615" s="109" t="s">
        <v>27029</v>
      </c>
      <c r="E4615" s="109" t="s">
        <v>27029</v>
      </c>
      <c r="F4615" s="109" t="s">
        <v>27030</v>
      </c>
      <c r="G4615" s="110" t="s">
        <v>6248</v>
      </c>
      <c r="H4615" s="110" t="s">
        <v>17125</v>
      </c>
      <c r="I4615" s="110" t="s">
        <v>27031</v>
      </c>
    </row>
    <row r="4616" spans="1:9" ht="25.2" x14ac:dyDescent="0.3">
      <c r="A4616" s="109" t="s">
        <v>27032</v>
      </c>
      <c r="B4616" s="109" t="s">
        <v>26487</v>
      </c>
      <c r="C4616" s="109" t="s">
        <v>26487</v>
      </c>
      <c r="D4616" s="109" t="s">
        <v>27033</v>
      </c>
      <c r="E4616" s="109" t="s">
        <v>5558</v>
      </c>
      <c r="F4616" s="109" t="s">
        <v>27034</v>
      </c>
      <c r="G4616" s="110" t="s">
        <v>6248</v>
      </c>
      <c r="H4616" s="110" t="s">
        <v>27035</v>
      </c>
      <c r="I4616" s="110" t="s">
        <v>27036</v>
      </c>
    </row>
    <row r="4617" spans="1:9" ht="37.799999999999997" x14ac:dyDescent="0.3">
      <c r="A4617" s="109" t="s">
        <v>27037</v>
      </c>
      <c r="B4617" s="109" t="s">
        <v>26487</v>
      </c>
      <c r="C4617" s="109" t="s">
        <v>26487</v>
      </c>
      <c r="D4617" s="109" t="s">
        <v>27038</v>
      </c>
      <c r="E4617" s="109" t="s">
        <v>5558</v>
      </c>
      <c r="F4617" s="109" t="s">
        <v>27039</v>
      </c>
      <c r="G4617" s="110" t="s">
        <v>6248</v>
      </c>
      <c r="H4617" s="110" t="s">
        <v>27040</v>
      </c>
      <c r="I4617" s="110" t="s">
        <v>27041</v>
      </c>
    </row>
    <row r="4618" spans="1:9" ht="25.2" x14ac:dyDescent="0.3">
      <c r="A4618" s="109" t="s">
        <v>27042</v>
      </c>
      <c r="B4618" s="109" t="s">
        <v>26487</v>
      </c>
      <c r="C4618" s="109" t="s">
        <v>26487</v>
      </c>
      <c r="D4618" s="109" t="s">
        <v>27043</v>
      </c>
      <c r="E4618" s="109" t="s">
        <v>5558</v>
      </c>
      <c r="F4618" s="109" t="s">
        <v>27044</v>
      </c>
      <c r="G4618" s="110" t="s">
        <v>6248</v>
      </c>
      <c r="H4618" s="110" t="s">
        <v>27045</v>
      </c>
      <c r="I4618" s="110" t="s">
        <v>27046</v>
      </c>
    </row>
    <row r="4619" spans="1:9" ht="37.799999999999997" x14ac:dyDescent="0.3">
      <c r="A4619" s="109" t="s">
        <v>27047</v>
      </c>
      <c r="B4619" s="109" t="s">
        <v>26487</v>
      </c>
      <c r="C4619" s="109" t="s">
        <v>26487</v>
      </c>
      <c r="D4619" s="109" t="s">
        <v>27048</v>
      </c>
      <c r="E4619" s="109" t="s">
        <v>5558</v>
      </c>
      <c r="F4619" s="109" t="s">
        <v>27049</v>
      </c>
      <c r="G4619" s="110" t="s">
        <v>6248</v>
      </c>
      <c r="H4619" s="110" t="s">
        <v>27050</v>
      </c>
      <c r="I4619" s="110" t="s">
        <v>27051</v>
      </c>
    </row>
    <row r="4620" spans="1:9" ht="25.2" x14ac:dyDescent="0.3">
      <c r="A4620" s="109" t="s">
        <v>27052</v>
      </c>
      <c r="B4620" s="109" t="s">
        <v>26487</v>
      </c>
      <c r="C4620" s="109" t="s">
        <v>26487</v>
      </c>
      <c r="D4620" s="109" t="s">
        <v>5569</v>
      </c>
      <c r="E4620" s="109" t="s">
        <v>5558</v>
      </c>
      <c r="F4620" s="109" t="s">
        <v>2258</v>
      </c>
      <c r="G4620" s="110" t="s">
        <v>6248</v>
      </c>
      <c r="H4620" s="110" t="s">
        <v>27053</v>
      </c>
      <c r="I4620" s="110" t="s">
        <v>27054</v>
      </c>
    </row>
    <row r="4621" spans="1:9" ht="37.799999999999997" x14ac:dyDescent="0.3">
      <c r="A4621" s="109" t="s">
        <v>27055</v>
      </c>
      <c r="B4621" s="109" t="s">
        <v>26487</v>
      </c>
      <c r="C4621" s="109" t="s">
        <v>26487</v>
      </c>
      <c r="D4621" s="109" t="s">
        <v>3959</v>
      </c>
      <c r="E4621" s="109" t="s">
        <v>5558</v>
      </c>
      <c r="F4621" s="109" t="s">
        <v>27056</v>
      </c>
      <c r="G4621" s="110" t="s">
        <v>6248</v>
      </c>
      <c r="H4621" s="110" t="s">
        <v>27057</v>
      </c>
      <c r="I4621" s="110" t="s">
        <v>27058</v>
      </c>
    </row>
    <row r="4622" spans="1:9" ht="37.799999999999997" x14ac:dyDescent="0.3">
      <c r="A4622" s="109" t="s">
        <v>27059</v>
      </c>
      <c r="B4622" s="109" t="s">
        <v>26487</v>
      </c>
      <c r="C4622" s="109" t="s">
        <v>26487</v>
      </c>
      <c r="D4622" s="109" t="s">
        <v>27060</v>
      </c>
      <c r="E4622" s="109" t="s">
        <v>5558</v>
      </c>
      <c r="F4622" s="109" t="s">
        <v>27061</v>
      </c>
      <c r="G4622" s="110" t="s">
        <v>6248</v>
      </c>
      <c r="H4622" s="110" t="s">
        <v>18336</v>
      </c>
      <c r="I4622" s="110" t="s">
        <v>27062</v>
      </c>
    </row>
    <row r="4623" spans="1:9" ht="50.4" x14ac:dyDescent="0.3">
      <c r="A4623" s="109" t="s">
        <v>27063</v>
      </c>
      <c r="B4623" s="109" t="s">
        <v>26487</v>
      </c>
      <c r="C4623" s="109" t="s">
        <v>26487</v>
      </c>
      <c r="D4623" s="109" t="s">
        <v>20340</v>
      </c>
      <c r="E4623" s="109" t="s">
        <v>20340</v>
      </c>
      <c r="F4623" s="109" t="s">
        <v>27064</v>
      </c>
      <c r="G4623" s="110" t="s">
        <v>6248</v>
      </c>
      <c r="H4623" s="110" t="s">
        <v>27065</v>
      </c>
      <c r="I4623" s="110" t="s">
        <v>27066</v>
      </c>
    </row>
    <row r="4624" spans="1:9" ht="25.2" x14ac:dyDescent="0.3">
      <c r="A4624" s="109" t="s">
        <v>27067</v>
      </c>
      <c r="B4624" s="109" t="s">
        <v>26487</v>
      </c>
      <c r="C4624" s="109" t="s">
        <v>26487</v>
      </c>
      <c r="D4624" s="109" t="s">
        <v>27068</v>
      </c>
      <c r="E4624" s="109" t="s">
        <v>27069</v>
      </c>
      <c r="F4624" s="109" t="s">
        <v>7039</v>
      </c>
      <c r="G4624" s="110" t="s">
        <v>6248</v>
      </c>
      <c r="H4624" s="110" t="s">
        <v>27070</v>
      </c>
      <c r="I4624" s="110" t="s">
        <v>27071</v>
      </c>
    </row>
    <row r="4625" spans="1:9" ht="63" x14ac:dyDescent="0.3">
      <c r="A4625" s="109" t="s">
        <v>27072</v>
      </c>
      <c r="B4625" s="109" t="s">
        <v>26487</v>
      </c>
      <c r="C4625" s="109" t="s">
        <v>26487</v>
      </c>
      <c r="D4625" s="109" t="s">
        <v>27073</v>
      </c>
      <c r="E4625" s="109" t="s">
        <v>27073</v>
      </c>
      <c r="F4625" s="109" t="s">
        <v>27074</v>
      </c>
      <c r="G4625" s="110" t="s">
        <v>6248</v>
      </c>
      <c r="H4625" s="110" t="s">
        <v>27075</v>
      </c>
      <c r="I4625" s="110" t="s">
        <v>27076</v>
      </c>
    </row>
    <row r="4626" spans="1:9" ht="25.2" x14ac:dyDescent="0.3">
      <c r="A4626" s="109" t="s">
        <v>27077</v>
      </c>
      <c r="B4626" s="109" t="s">
        <v>26487</v>
      </c>
      <c r="C4626" s="109" t="s">
        <v>26487</v>
      </c>
      <c r="D4626" s="109" t="s">
        <v>27078</v>
      </c>
      <c r="E4626" s="109" t="s">
        <v>5558</v>
      </c>
      <c r="F4626" s="109" t="s">
        <v>27079</v>
      </c>
      <c r="G4626" s="110" t="s">
        <v>6248</v>
      </c>
      <c r="H4626" s="110" t="s">
        <v>7504</v>
      </c>
      <c r="I4626" s="110" t="s">
        <v>27080</v>
      </c>
    </row>
    <row r="4627" spans="1:9" ht="37.799999999999997" x14ac:dyDescent="0.3">
      <c r="A4627" s="109" t="s">
        <v>27081</v>
      </c>
      <c r="B4627" s="109" t="s">
        <v>26487</v>
      </c>
      <c r="C4627" s="109" t="s">
        <v>26487</v>
      </c>
      <c r="D4627" s="109" t="s">
        <v>27082</v>
      </c>
      <c r="E4627" s="109" t="s">
        <v>5558</v>
      </c>
      <c r="F4627" s="109" t="s">
        <v>27083</v>
      </c>
      <c r="G4627" s="110" t="s">
        <v>6248</v>
      </c>
      <c r="H4627" s="110" t="s">
        <v>7321</v>
      </c>
      <c r="I4627" s="110" t="s">
        <v>27084</v>
      </c>
    </row>
    <row r="4628" spans="1:9" ht="37.799999999999997" x14ac:dyDescent="0.3">
      <c r="A4628" s="109" t="s">
        <v>27085</v>
      </c>
      <c r="B4628" s="109" t="s">
        <v>26487</v>
      </c>
      <c r="C4628" s="109" t="s">
        <v>26487</v>
      </c>
      <c r="D4628" s="109" t="s">
        <v>27086</v>
      </c>
      <c r="E4628" s="109" t="s">
        <v>5558</v>
      </c>
      <c r="F4628" s="109" t="s">
        <v>27087</v>
      </c>
      <c r="G4628" s="110" t="s">
        <v>6248</v>
      </c>
      <c r="H4628" s="110" t="s">
        <v>27088</v>
      </c>
      <c r="I4628" s="110" t="s">
        <v>27089</v>
      </c>
    </row>
    <row r="4629" spans="1:9" ht="25.2" x14ac:dyDescent="0.3">
      <c r="A4629" s="109" t="s">
        <v>27090</v>
      </c>
      <c r="B4629" s="109" t="s">
        <v>26487</v>
      </c>
      <c r="C4629" s="109" t="s">
        <v>26487</v>
      </c>
      <c r="D4629" s="109" t="s">
        <v>27091</v>
      </c>
      <c r="E4629" s="109" t="s">
        <v>27092</v>
      </c>
      <c r="F4629" s="109" t="s">
        <v>9778</v>
      </c>
      <c r="G4629" s="110" t="s">
        <v>6248</v>
      </c>
      <c r="H4629" s="110" t="s">
        <v>6883</v>
      </c>
      <c r="I4629" s="110" t="s">
        <v>27093</v>
      </c>
    </row>
    <row r="4630" spans="1:9" ht="63" x14ac:dyDescent="0.3">
      <c r="A4630" s="109" t="s">
        <v>27094</v>
      </c>
      <c r="B4630" s="109" t="s">
        <v>26487</v>
      </c>
      <c r="C4630" s="109" t="s">
        <v>26487</v>
      </c>
      <c r="D4630" s="109" t="s">
        <v>7512</v>
      </c>
      <c r="E4630" s="109" t="s">
        <v>7512</v>
      </c>
      <c r="F4630" s="109" t="s">
        <v>27095</v>
      </c>
      <c r="G4630" s="110" t="s">
        <v>6248</v>
      </c>
      <c r="H4630" s="110" t="s">
        <v>27096</v>
      </c>
      <c r="I4630" s="110" t="s">
        <v>27097</v>
      </c>
    </row>
    <row r="4631" spans="1:9" ht="63" x14ac:dyDescent="0.3">
      <c r="A4631" s="109" t="s">
        <v>27098</v>
      </c>
      <c r="B4631" s="109" t="s">
        <v>26487</v>
      </c>
      <c r="C4631" s="109" t="s">
        <v>26487</v>
      </c>
      <c r="D4631" s="109" t="s">
        <v>27099</v>
      </c>
      <c r="E4631" s="109" t="s">
        <v>27099</v>
      </c>
      <c r="F4631" s="109" t="s">
        <v>27100</v>
      </c>
      <c r="G4631" s="110" t="s">
        <v>6248</v>
      </c>
      <c r="H4631" s="110" t="s">
        <v>27101</v>
      </c>
      <c r="I4631" s="110" t="s">
        <v>27102</v>
      </c>
    </row>
    <row r="4632" spans="1:9" ht="25.2" x14ac:dyDescent="0.3">
      <c r="A4632" s="109" t="s">
        <v>27103</v>
      </c>
      <c r="B4632" s="109" t="s">
        <v>26487</v>
      </c>
      <c r="C4632" s="109" t="s">
        <v>26487</v>
      </c>
      <c r="D4632" s="109" t="s">
        <v>27104</v>
      </c>
      <c r="E4632" s="109" t="s">
        <v>5558</v>
      </c>
      <c r="F4632" s="109" t="s">
        <v>27105</v>
      </c>
      <c r="G4632" s="110" t="s">
        <v>6248</v>
      </c>
      <c r="H4632" s="110" t="s">
        <v>27106</v>
      </c>
      <c r="I4632" s="110" t="s">
        <v>27107</v>
      </c>
    </row>
    <row r="4633" spans="1:9" ht="25.2" x14ac:dyDescent="0.3">
      <c r="A4633" s="109" t="s">
        <v>27108</v>
      </c>
      <c r="B4633" s="109" t="s">
        <v>26487</v>
      </c>
      <c r="C4633" s="109" t="s">
        <v>26487</v>
      </c>
      <c r="D4633" s="109" t="s">
        <v>27109</v>
      </c>
      <c r="E4633" s="109" t="s">
        <v>5558</v>
      </c>
      <c r="F4633" s="109" t="s">
        <v>27110</v>
      </c>
      <c r="G4633" s="110" t="s">
        <v>6248</v>
      </c>
      <c r="H4633" s="110" t="s">
        <v>19123</v>
      </c>
      <c r="I4633" s="110" t="s">
        <v>27111</v>
      </c>
    </row>
    <row r="4634" spans="1:9" ht="25.2" x14ac:dyDescent="0.3">
      <c r="A4634" s="109" t="s">
        <v>27112</v>
      </c>
      <c r="B4634" s="109" t="s">
        <v>26487</v>
      </c>
      <c r="C4634" s="109" t="s">
        <v>26487</v>
      </c>
      <c r="D4634" s="109" t="s">
        <v>27113</v>
      </c>
      <c r="E4634" s="109" t="s">
        <v>5558</v>
      </c>
      <c r="F4634" s="109" t="s">
        <v>27114</v>
      </c>
      <c r="G4634" s="110" t="s">
        <v>6248</v>
      </c>
      <c r="H4634" s="110" t="s">
        <v>27115</v>
      </c>
      <c r="I4634" s="110" t="s">
        <v>27116</v>
      </c>
    </row>
    <row r="4635" spans="1:9" ht="25.2" x14ac:dyDescent="0.3">
      <c r="A4635" s="109" t="s">
        <v>27117</v>
      </c>
      <c r="B4635" s="109" t="s">
        <v>26487</v>
      </c>
      <c r="C4635" s="109" t="s">
        <v>26487</v>
      </c>
      <c r="D4635" s="109" t="s">
        <v>27118</v>
      </c>
      <c r="E4635" s="109" t="s">
        <v>5558</v>
      </c>
      <c r="F4635" s="109" t="s">
        <v>27119</v>
      </c>
      <c r="G4635" s="110" t="s">
        <v>6248</v>
      </c>
      <c r="H4635" s="110" t="s">
        <v>27120</v>
      </c>
      <c r="I4635" s="110" t="s">
        <v>27121</v>
      </c>
    </row>
    <row r="4636" spans="1:9" ht="25.2" x14ac:dyDescent="0.3">
      <c r="A4636" s="109" t="s">
        <v>27122</v>
      </c>
      <c r="B4636" s="109" t="s">
        <v>26487</v>
      </c>
      <c r="C4636" s="109" t="s">
        <v>26487</v>
      </c>
      <c r="D4636" s="109" t="s">
        <v>27123</v>
      </c>
      <c r="E4636" s="109" t="s">
        <v>5558</v>
      </c>
      <c r="F4636" s="109" t="s">
        <v>27124</v>
      </c>
      <c r="G4636" s="110" t="s">
        <v>6248</v>
      </c>
      <c r="H4636" s="110" t="s">
        <v>27125</v>
      </c>
      <c r="I4636" s="110" t="s">
        <v>27126</v>
      </c>
    </row>
    <row r="4637" spans="1:9" ht="37.799999999999997" x14ac:dyDescent="0.3">
      <c r="A4637" s="109" t="s">
        <v>27127</v>
      </c>
      <c r="B4637" s="109" t="s">
        <v>26487</v>
      </c>
      <c r="C4637" s="109" t="s">
        <v>26487</v>
      </c>
      <c r="D4637" s="109" t="s">
        <v>27128</v>
      </c>
      <c r="E4637" s="109" t="s">
        <v>5558</v>
      </c>
      <c r="F4637" s="109" t="s">
        <v>27129</v>
      </c>
      <c r="G4637" s="110" t="s">
        <v>6248</v>
      </c>
      <c r="H4637" s="110" t="s">
        <v>27130</v>
      </c>
      <c r="I4637" s="110" t="s">
        <v>27131</v>
      </c>
    </row>
    <row r="4638" spans="1:9" ht="25.2" x14ac:dyDescent="0.3">
      <c r="A4638" s="109" t="s">
        <v>27132</v>
      </c>
      <c r="B4638" s="109" t="s">
        <v>26487</v>
      </c>
      <c r="C4638" s="109" t="s">
        <v>26487</v>
      </c>
      <c r="D4638" s="109" t="s">
        <v>27133</v>
      </c>
      <c r="E4638" s="109" t="s">
        <v>5558</v>
      </c>
      <c r="F4638" s="109" t="s">
        <v>27134</v>
      </c>
      <c r="G4638" s="110" t="s">
        <v>6248</v>
      </c>
      <c r="H4638" s="110" t="s">
        <v>27135</v>
      </c>
      <c r="I4638" s="110" t="s">
        <v>27136</v>
      </c>
    </row>
    <row r="4639" spans="1:9" ht="63" x14ac:dyDescent="0.3">
      <c r="A4639" s="109" t="s">
        <v>27137</v>
      </c>
      <c r="B4639" s="109" t="s">
        <v>26487</v>
      </c>
      <c r="C4639" s="109" t="s">
        <v>26487</v>
      </c>
      <c r="D4639" s="109" t="s">
        <v>27138</v>
      </c>
      <c r="E4639" s="109" t="s">
        <v>27138</v>
      </c>
      <c r="F4639" s="109" t="s">
        <v>27139</v>
      </c>
      <c r="G4639" s="110" t="s">
        <v>6248</v>
      </c>
      <c r="H4639" s="110" t="s">
        <v>27140</v>
      </c>
      <c r="I4639" s="110" t="s">
        <v>27141</v>
      </c>
    </row>
    <row r="4640" spans="1:9" ht="37.799999999999997" x14ac:dyDescent="0.3">
      <c r="A4640" s="109" t="s">
        <v>27142</v>
      </c>
      <c r="B4640" s="109" t="s">
        <v>26487</v>
      </c>
      <c r="C4640" s="109" t="s">
        <v>26487</v>
      </c>
      <c r="D4640" s="109" t="s">
        <v>27143</v>
      </c>
      <c r="E4640" s="109" t="s">
        <v>5558</v>
      </c>
      <c r="F4640" s="109" t="s">
        <v>27144</v>
      </c>
      <c r="G4640" s="110" t="s">
        <v>6248</v>
      </c>
      <c r="H4640" s="110" t="s">
        <v>27145</v>
      </c>
      <c r="I4640" s="110" t="s">
        <v>27146</v>
      </c>
    </row>
    <row r="4641" spans="1:9" ht="37.799999999999997" x14ac:dyDescent="0.3">
      <c r="A4641" s="109" t="s">
        <v>27147</v>
      </c>
      <c r="B4641" s="109" t="s">
        <v>26487</v>
      </c>
      <c r="C4641" s="109" t="s">
        <v>26487</v>
      </c>
      <c r="D4641" s="109" t="s">
        <v>27148</v>
      </c>
      <c r="E4641" s="109" t="s">
        <v>5558</v>
      </c>
      <c r="F4641" s="109" t="s">
        <v>27149</v>
      </c>
      <c r="G4641" s="110" t="s">
        <v>6248</v>
      </c>
      <c r="H4641" s="110" t="s">
        <v>27145</v>
      </c>
      <c r="I4641" s="110" t="s">
        <v>27150</v>
      </c>
    </row>
    <row r="4642" spans="1:9" ht="25.2" x14ac:dyDescent="0.3">
      <c r="A4642" s="109" t="s">
        <v>27151</v>
      </c>
      <c r="B4642" s="109" t="s">
        <v>26487</v>
      </c>
      <c r="C4642" s="109" t="s">
        <v>26487</v>
      </c>
      <c r="D4642" s="109" t="s">
        <v>27152</v>
      </c>
      <c r="E4642" s="109" t="s">
        <v>5558</v>
      </c>
      <c r="F4642" s="109" t="s">
        <v>27153</v>
      </c>
      <c r="G4642" s="110" t="s">
        <v>6248</v>
      </c>
      <c r="H4642" s="110" t="s">
        <v>27154</v>
      </c>
      <c r="I4642" s="110" t="s">
        <v>27155</v>
      </c>
    </row>
    <row r="4643" spans="1:9" ht="25.2" x14ac:dyDescent="0.3">
      <c r="A4643" s="109" t="s">
        <v>27156</v>
      </c>
      <c r="B4643" s="109" t="s">
        <v>26487</v>
      </c>
      <c r="C4643" s="109" t="s">
        <v>26487</v>
      </c>
      <c r="D4643" s="109" t="s">
        <v>27157</v>
      </c>
      <c r="E4643" s="109" t="s">
        <v>27158</v>
      </c>
      <c r="F4643" s="109" t="s">
        <v>7181</v>
      </c>
      <c r="G4643" s="110" t="s">
        <v>9647</v>
      </c>
      <c r="H4643" s="110" t="s">
        <v>6248</v>
      </c>
      <c r="I4643" s="110" t="s">
        <v>27159</v>
      </c>
    </row>
    <row r="4644" spans="1:9" ht="25.2" x14ac:dyDescent="0.3">
      <c r="A4644" s="109" t="s">
        <v>27160</v>
      </c>
      <c r="B4644" s="109" t="s">
        <v>26487</v>
      </c>
      <c r="C4644" s="109" t="s">
        <v>26487</v>
      </c>
      <c r="D4644" s="109" t="s">
        <v>27161</v>
      </c>
      <c r="E4644" s="109" t="s">
        <v>27158</v>
      </c>
      <c r="F4644" s="109" t="s">
        <v>7181</v>
      </c>
      <c r="G4644" s="110" t="s">
        <v>27162</v>
      </c>
      <c r="H4644" s="110" t="s">
        <v>6248</v>
      </c>
      <c r="I4644" s="110" t="s">
        <v>27163</v>
      </c>
    </row>
    <row r="4645" spans="1:9" ht="37.799999999999997" x14ac:dyDescent="0.3">
      <c r="A4645" s="109" t="s">
        <v>27164</v>
      </c>
      <c r="B4645" s="109" t="s">
        <v>26487</v>
      </c>
      <c r="C4645" s="109" t="s">
        <v>26487</v>
      </c>
      <c r="D4645" s="109" t="s">
        <v>27165</v>
      </c>
      <c r="E4645" s="109" t="s">
        <v>5558</v>
      </c>
      <c r="F4645" s="109" t="s">
        <v>27166</v>
      </c>
      <c r="G4645" s="110" t="s">
        <v>6248</v>
      </c>
      <c r="H4645" s="110" t="s">
        <v>9461</v>
      </c>
      <c r="I4645" s="110" t="s">
        <v>27167</v>
      </c>
    </row>
    <row r="4646" spans="1:9" ht="25.2" x14ac:dyDescent="0.3">
      <c r="A4646" s="109" t="s">
        <v>27168</v>
      </c>
      <c r="B4646" s="109" t="s">
        <v>26487</v>
      </c>
      <c r="C4646" s="109" t="s">
        <v>26487</v>
      </c>
      <c r="D4646" s="109" t="s">
        <v>27169</v>
      </c>
      <c r="E4646" s="109" t="s">
        <v>5558</v>
      </c>
      <c r="F4646" s="109" t="s">
        <v>27170</v>
      </c>
      <c r="G4646" s="110" t="s">
        <v>6248</v>
      </c>
      <c r="H4646" s="110" t="s">
        <v>7592</v>
      </c>
      <c r="I4646" s="110" t="s">
        <v>27171</v>
      </c>
    </row>
    <row r="4647" spans="1:9" ht="37.799999999999997" x14ac:dyDescent="0.3">
      <c r="A4647" s="109" t="s">
        <v>27172</v>
      </c>
      <c r="B4647" s="109" t="s">
        <v>26487</v>
      </c>
      <c r="C4647" s="109" t="s">
        <v>26487</v>
      </c>
      <c r="D4647" s="109" t="s">
        <v>27173</v>
      </c>
      <c r="E4647" s="109" t="s">
        <v>5558</v>
      </c>
      <c r="F4647" s="109" t="s">
        <v>27174</v>
      </c>
      <c r="G4647" s="110" t="s">
        <v>6248</v>
      </c>
      <c r="H4647" s="110" t="s">
        <v>27175</v>
      </c>
      <c r="I4647" s="110" t="s">
        <v>27176</v>
      </c>
    </row>
    <row r="4648" spans="1:9" ht="37.799999999999997" x14ac:dyDescent="0.3">
      <c r="A4648" s="109" t="s">
        <v>27177</v>
      </c>
      <c r="B4648" s="109" t="s">
        <v>26487</v>
      </c>
      <c r="C4648" s="109" t="s">
        <v>26487</v>
      </c>
      <c r="D4648" s="109" t="s">
        <v>27178</v>
      </c>
      <c r="E4648" s="109" t="s">
        <v>5558</v>
      </c>
      <c r="F4648" s="109" t="s">
        <v>27179</v>
      </c>
      <c r="G4648" s="110" t="s">
        <v>6248</v>
      </c>
      <c r="H4648" s="110" t="s">
        <v>27180</v>
      </c>
      <c r="I4648" s="110" t="s">
        <v>27181</v>
      </c>
    </row>
    <row r="4649" spans="1:9" ht="37.799999999999997" x14ac:dyDescent="0.3">
      <c r="A4649" s="109" t="s">
        <v>27182</v>
      </c>
      <c r="B4649" s="109" t="s">
        <v>26487</v>
      </c>
      <c r="C4649" s="109" t="s">
        <v>26487</v>
      </c>
      <c r="D4649" s="109" t="s">
        <v>27183</v>
      </c>
      <c r="E4649" s="109" t="s">
        <v>5558</v>
      </c>
      <c r="F4649" s="109" t="s">
        <v>27184</v>
      </c>
      <c r="G4649" s="110" t="s">
        <v>6248</v>
      </c>
      <c r="H4649" s="110" t="s">
        <v>27185</v>
      </c>
      <c r="I4649" s="110" t="s">
        <v>27186</v>
      </c>
    </row>
    <row r="4650" spans="1:9" ht="25.2" x14ac:dyDescent="0.3">
      <c r="A4650" s="109" t="s">
        <v>27187</v>
      </c>
      <c r="B4650" s="109" t="s">
        <v>26487</v>
      </c>
      <c r="C4650" s="109" t="s">
        <v>26487</v>
      </c>
      <c r="D4650" s="109" t="s">
        <v>27188</v>
      </c>
      <c r="E4650" s="109" t="s">
        <v>5558</v>
      </c>
      <c r="F4650" s="109" t="s">
        <v>27189</v>
      </c>
      <c r="G4650" s="110" t="s">
        <v>6248</v>
      </c>
      <c r="H4650" s="110" t="s">
        <v>27190</v>
      </c>
      <c r="I4650" s="110" t="s">
        <v>27191</v>
      </c>
    </row>
    <row r="4651" spans="1:9" ht="25.2" x14ac:dyDescent="0.3">
      <c r="A4651" s="109" t="s">
        <v>27192</v>
      </c>
      <c r="B4651" s="109" t="s">
        <v>26487</v>
      </c>
      <c r="C4651" s="109" t="s">
        <v>26487</v>
      </c>
      <c r="D4651" s="109" t="s">
        <v>27193</v>
      </c>
      <c r="E4651" s="109" t="s">
        <v>27194</v>
      </c>
      <c r="F4651" s="109" t="s">
        <v>6071</v>
      </c>
      <c r="G4651" s="110" t="s">
        <v>6248</v>
      </c>
      <c r="H4651" s="110" t="s">
        <v>27195</v>
      </c>
      <c r="I4651" s="110" t="s">
        <v>27196</v>
      </c>
    </row>
    <row r="4652" spans="1:9" ht="25.2" x14ac:dyDescent="0.3">
      <c r="A4652" s="109" t="s">
        <v>27197</v>
      </c>
      <c r="B4652" s="109" t="s">
        <v>26487</v>
      </c>
      <c r="C4652" s="109" t="s">
        <v>26487</v>
      </c>
      <c r="D4652" s="109" t="s">
        <v>27198</v>
      </c>
      <c r="E4652" s="109" t="s">
        <v>5558</v>
      </c>
      <c r="F4652" s="109" t="s">
        <v>27199</v>
      </c>
      <c r="G4652" s="110" t="s">
        <v>6248</v>
      </c>
      <c r="H4652" s="110" t="s">
        <v>27200</v>
      </c>
      <c r="I4652" s="110" t="s">
        <v>27201</v>
      </c>
    </row>
    <row r="4653" spans="1:9" ht="37.799999999999997" x14ac:dyDescent="0.3">
      <c r="A4653" s="109" t="s">
        <v>27202</v>
      </c>
      <c r="B4653" s="109" t="s">
        <v>26487</v>
      </c>
      <c r="C4653" s="109" t="s">
        <v>26487</v>
      </c>
      <c r="D4653" s="109" t="s">
        <v>27203</v>
      </c>
      <c r="E4653" s="109" t="s">
        <v>5558</v>
      </c>
      <c r="F4653" s="109" t="s">
        <v>27204</v>
      </c>
      <c r="G4653" s="110" t="s">
        <v>6248</v>
      </c>
      <c r="H4653" s="110" t="s">
        <v>12194</v>
      </c>
      <c r="I4653" s="110" t="s">
        <v>27205</v>
      </c>
    </row>
    <row r="4654" spans="1:9" ht="50.4" x14ac:dyDescent="0.3">
      <c r="A4654" s="109" t="s">
        <v>27206</v>
      </c>
      <c r="B4654" s="109" t="s">
        <v>26487</v>
      </c>
      <c r="C4654" s="109" t="s">
        <v>26487</v>
      </c>
      <c r="D4654" s="109" t="s">
        <v>14512</v>
      </c>
      <c r="E4654" s="109" t="s">
        <v>27207</v>
      </c>
      <c r="F4654" s="109" t="s">
        <v>27208</v>
      </c>
      <c r="G4654" s="110" t="s">
        <v>6248</v>
      </c>
      <c r="H4654" s="110" t="s">
        <v>27209</v>
      </c>
      <c r="I4654" s="110" t="s">
        <v>27210</v>
      </c>
    </row>
    <row r="4655" spans="1:9" ht="37.799999999999997" x14ac:dyDescent="0.3">
      <c r="A4655" s="109" t="s">
        <v>27211</v>
      </c>
      <c r="B4655" s="109" t="s">
        <v>26487</v>
      </c>
      <c r="C4655" s="109" t="s">
        <v>26487</v>
      </c>
      <c r="D4655" s="109" t="s">
        <v>27212</v>
      </c>
      <c r="E4655" s="109" t="s">
        <v>5558</v>
      </c>
      <c r="F4655" s="109" t="s">
        <v>27213</v>
      </c>
      <c r="G4655" s="110" t="s">
        <v>6248</v>
      </c>
      <c r="H4655" s="110" t="s">
        <v>27214</v>
      </c>
      <c r="I4655" s="110" t="s">
        <v>27215</v>
      </c>
    </row>
    <row r="4656" spans="1:9" ht="25.2" x14ac:dyDescent="0.3">
      <c r="A4656" s="109" t="s">
        <v>27216</v>
      </c>
      <c r="B4656" s="109" t="s">
        <v>26487</v>
      </c>
      <c r="C4656" s="109" t="s">
        <v>26487</v>
      </c>
      <c r="D4656" s="109" t="s">
        <v>5569</v>
      </c>
      <c r="E4656" s="109" t="s">
        <v>5558</v>
      </c>
      <c r="F4656" s="109" t="s">
        <v>2258</v>
      </c>
      <c r="G4656" s="110" t="s">
        <v>6248</v>
      </c>
      <c r="H4656" s="110" t="s">
        <v>27217</v>
      </c>
      <c r="I4656" s="110" t="s">
        <v>27218</v>
      </c>
    </row>
    <row r="4657" spans="1:9" ht="25.2" x14ac:dyDescent="0.3">
      <c r="A4657" s="109" t="s">
        <v>27219</v>
      </c>
      <c r="B4657" s="109" t="s">
        <v>26487</v>
      </c>
      <c r="C4657" s="109" t="s">
        <v>26487</v>
      </c>
      <c r="D4657" s="109" t="s">
        <v>5569</v>
      </c>
      <c r="E4657" s="109" t="s">
        <v>5558</v>
      </c>
      <c r="F4657" s="109" t="s">
        <v>2258</v>
      </c>
      <c r="G4657" s="110" t="s">
        <v>6248</v>
      </c>
      <c r="H4657" s="110" t="s">
        <v>27220</v>
      </c>
      <c r="I4657" s="110" t="s">
        <v>27221</v>
      </c>
    </row>
    <row r="4658" spans="1:9" ht="25.2" x14ac:dyDescent="0.3">
      <c r="A4658" s="109" t="s">
        <v>27222</v>
      </c>
      <c r="B4658" s="109" t="s">
        <v>26487</v>
      </c>
      <c r="C4658" s="109" t="s">
        <v>26487</v>
      </c>
      <c r="D4658" s="109" t="s">
        <v>27223</v>
      </c>
      <c r="E4658" s="109" t="s">
        <v>5558</v>
      </c>
      <c r="F4658" s="109" t="s">
        <v>27224</v>
      </c>
      <c r="G4658" s="110" t="s">
        <v>6248</v>
      </c>
      <c r="H4658" s="110" t="s">
        <v>27225</v>
      </c>
      <c r="I4658" s="110" t="s">
        <v>27226</v>
      </c>
    </row>
    <row r="4659" spans="1:9" ht="25.2" x14ac:dyDescent="0.3">
      <c r="A4659" s="109" t="s">
        <v>27227</v>
      </c>
      <c r="B4659" s="109" t="s">
        <v>26487</v>
      </c>
      <c r="C4659" s="109" t="s">
        <v>26487</v>
      </c>
      <c r="D4659" s="109" t="s">
        <v>3982</v>
      </c>
      <c r="E4659" s="109" t="s">
        <v>27228</v>
      </c>
      <c r="F4659" s="109" t="s">
        <v>12135</v>
      </c>
      <c r="G4659" s="110" t="s">
        <v>6248</v>
      </c>
      <c r="H4659" s="110" t="s">
        <v>27229</v>
      </c>
      <c r="I4659" s="110" t="s">
        <v>27230</v>
      </c>
    </row>
    <row r="4660" spans="1:9" ht="25.2" x14ac:dyDescent="0.3">
      <c r="A4660" s="109" t="s">
        <v>27231</v>
      </c>
      <c r="B4660" s="109" t="s">
        <v>26487</v>
      </c>
      <c r="C4660" s="109" t="s">
        <v>26487</v>
      </c>
      <c r="D4660" s="109" t="s">
        <v>27232</v>
      </c>
      <c r="E4660" s="109" t="s">
        <v>27233</v>
      </c>
      <c r="F4660" s="109" t="s">
        <v>10749</v>
      </c>
      <c r="G4660" s="110" t="s">
        <v>6248</v>
      </c>
      <c r="H4660" s="110" t="s">
        <v>27234</v>
      </c>
      <c r="I4660" s="110" t="s">
        <v>27235</v>
      </c>
    </row>
    <row r="4661" spans="1:9" ht="25.2" x14ac:dyDescent="0.3">
      <c r="A4661" s="109" t="s">
        <v>27236</v>
      </c>
      <c r="B4661" s="109" t="s">
        <v>26487</v>
      </c>
      <c r="C4661" s="109" t="s">
        <v>26487</v>
      </c>
      <c r="D4661" s="109" t="s">
        <v>27237</v>
      </c>
      <c r="E4661" s="109" t="s">
        <v>27238</v>
      </c>
      <c r="F4661" s="109" t="s">
        <v>6779</v>
      </c>
      <c r="G4661" s="110" t="s">
        <v>6248</v>
      </c>
      <c r="H4661" s="110" t="s">
        <v>27239</v>
      </c>
      <c r="I4661" s="110" t="s">
        <v>27240</v>
      </c>
    </row>
    <row r="4662" spans="1:9" ht="25.2" x14ac:dyDescent="0.3">
      <c r="A4662" s="109" t="s">
        <v>27241</v>
      </c>
      <c r="B4662" s="109" t="s">
        <v>26487</v>
      </c>
      <c r="C4662" s="109" t="s">
        <v>26487</v>
      </c>
      <c r="D4662" s="109" t="s">
        <v>27242</v>
      </c>
      <c r="E4662" s="109" t="s">
        <v>27243</v>
      </c>
      <c r="F4662" s="109" t="s">
        <v>16530</v>
      </c>
      <c r="G4662" s="110" t="s">
        <v>6248</v>
      </c>
      <c r="H4662" s="110" t="s">
        <v>27244</v>
      </c>
      <c r="I4662" s="110" t="s">
        <v>27245</v>
      </c>
    </row>
    <row r="4663" spans="1:9" ht="37.799999999999997" x14ac:dyDescent="0.3">
      <c r="A4663" s="109" t="s">
        <v>27246</v>
      </c>
      <c r="B4663" s="109" t="s">
        <v>26487</v>
      </c>
      <c r="C4663" s="109" t="s">
        <v>26487</v>
      </c>
      <c r="D4663" s="109" t="s">
        <v>3996</v>
      </c>
      <c r="E4663" s="109" t="s">
        <v>5558</v>
      </c>
      <c r="F4663" s="109" t="s">
        <v>27247</v>
      </c>
      <c r="G4663" s="110" t="s">
        <v>6248</v>
      </c>
      <c r="H4663" s="110" t="s">
        <v>7128</v>
      </c>
      <c r="I4663" s="110" t="s">
        <v>27248</v>
      </c>
    </row>
    <row r="4664" spans="1:9" ht="25.2" x14ac:dyDescent="0.3">
      <c r="A4664" s="109" t="s">
        <v>27249</v>
      </c>
      <c r="B4664" s="109" t="s">
        <v>26487</v>
      </c>
      <c r="C4664" s="109" t="s">
        <v>26487</v>
      </c>
      <c r="D4664" s="109" t="s">
        <v>27250</v>
      </c>
      <c r="E4664" s="109" t="s">
        <v>27251</v>
      </c>
      <c r="F4664" s="109" t="s">
        <v>5810</v>
      </c>
      <c r="G4664" s="110" t="s">
        <v>6248</v>
      </c>
      <c r="H4664" s="110" t="s">
        <v>27252</v>
      </c>
      <c r="I4664" s="110" t="s">
        <v>27253</v>
      </c>
    </row>
    <row r="4665" spans="1:9" ht="25.2" x14ac:dyDescent="0.3">
      <c r="A4665" s="109" t="s">
        <v>27254</v>
      </c>
      <c r="B4665" s="109" t="s">
        <v>26487</v>
      </c>
      <c r="C4665" s="109" t="s">
        <v>26487</v>
      </c>
      <c r="D4665" s="109" t="s">
        <v>27255</v>
      </c>
      <c r="E4665" s="109" t="s">
        <v>19299</v>
      </c>
      <c r="F4665" s="109" t="s">
        <v>27256</v>
      </c>
      <c r="G4665" s="110" t="s">
        <v>6248</v>
      </c>
      <c r="H4665" s="110" t="s">
        <v>27257</v>
      </c>
      <c r="I4665" s="110" t="s">
        <v>27258</v>
      </c>
    </row>
    <row r="4666" spans="1:9" ht="25.2" x14ac:dyDescent="0.3">
      <c r="A4666" s="109" t="s">
        <v>27259</v>
      </c>
      <c r="B4666" s="109" t="s">
        <v>26487</v>
      </c>
      <c r="C4666" s="109" t="s">
        <v>26487</v>
      </c>
      <c r="D4666" s="109" t="s">
        <v>3984</v>
      </c>
      <c r="E4666" s="109" t="s">
        <v>5558</v>
      </c>
      <c r="F4666" s="109" t="s">
        <v>27260</v>
      </c>
      <c r="G4666" s="110" t="s">
        <v>6248</v>
      </c>
      <c r="H4666" s="110" t="s">
        <v>27261</v>
      </c>
      <c r="I4666" s="110" t="s">
        <v>27262</v>
      </c>
    </row>
    <row r="4667" spans="1:9" ht="37.799999999999997" x14ac:dyDescent="0.3">
      <c r="A4667" s="109" t="s">
        <v>27263</v>
      </c>
      <c r="B4667" s="109" t="s">
        <v>26487</v>
      </c>
      <c r="C4667" s="109" t="s">
        <v>26487</v>
      </c>
      <c r="D4667" s="109" t="s">
        <v>27264</v>
      </c>
      <c r="E4667" s="109" t="s">
        <v>5558</v>
      </c>
      <c r="F4667" s="109" t="s">
        <v>27265</v>
      </c>
      <c r="G4667" s="110" t="s">
        <v>6248</v>
      </c>
      <c r="H4667" s="110" t="s">
        <v>27266</v>
      </c>
      <c r="I4667" s="110" t="s">
        <v>27267</v>
      </c>
    </row>
    <row r="4668" spans="1:9" ht="25.2" x14ac:dyDescent="0.3">
      <c r="A4668" s="109" t="s">
        <v>27268</v>
      </c>
      <c r="B4668" s="109" t="s">
        <v>26487</v>
      </c>
      <c r="C4668" s="109" t="s">
        <v>26487</v>
      </c>
      <c r="D4668" s="109" t="s">
        <v>27269</v>
      </c>
      <c r="E4668" s="109" t="s">
        <v>5558</v>
      </c>
      <c r="F4668" s="109" t="s">
        <v>27270</v>
      </c>
      <c r="G4668" s="110" t="s">
        <v>6248</v>
      </c>
      <c r="H4668" s="110" t="s">
        <v>27271</v>
      </c>
      <c r="I4668" s="110" t="s">
        <v>27272</v>
      </c>
    </row>
    <row r="4669" spans="1:9" ht="25.2" x14ac:dyDescent="0.3">
      <c r="A4669" s="109" t="s">
        <v>27273</v>
      </c>
      <c r="B4669" s="109" t="s">
        <v>26487</v>
      </c>
      <c r="C4669" s="109" t="s">
        <v>26487</v>
      </c>
      <c r="D4669" s="109" t="s">
        <v>5569</v>
      </c>
      <c r="E4669" s="109" t="s">
        <v>5558</v>
      </c>
      <c r="F4669" s="109" t="s">
        <v>2258</v>
      </c>
      <c r="G4669" s="110" t="s">
        <v>6248</v>
      </c>
      <c r="H4669" s="110" t="s">
        <v>27274</v>
      </c>
      <c r="I4669" s="110" t="s">
        <v>27275</v>
      </c>
    </row>
    <row r="4670" spans="1:9" ht="25.2" x14ac:dyDescent="0.3">
      <c r="A4670" s="109" t="s">
        <v>27276</v>
      </c>
      <c r="B4670" s="109" t="s">
        <v>26487</v>
      </c>
      <c r="C4670" s="109" t="s">
        <v>26487</v>
      </c>
      <c r="D4670" s="109" t="s">
        <v>3995</v>
      </c>
      <c r="E4670" s="109" t="s">
        <v>5558</v>
      </c>
      <c r="F4670" s="109" t="s">
        <v>27277</v>
      </c>
      <c r="G4670" s="110" t="s">
        <v>6248</v>
      </c>
      <c r="H4670" s="110" t="s">
        <v>6346</v>
      </c>
      <c r="I4670" s="110" t="s">
        <v>27278</v>
      </c>
    </row>
    <row r="4671" spans="1:9" ht="25.2" x14ac:dyDescent="0.3">
      <c r="A4671" s="109" t="s">
        <v>27279</v>
      </c>
      <c r="B4671" s="109" t="s">
        <v>26487</v>
      </c>
      <c r="C4671" s="109" t="s">
        <v>26487</v>
      </c>
      <c r="D4671" s="109" t="s">
        <v>27280</v>
      </c>
      <c r="E4671" s="109" t="s">
        <v>27281</v>
      </c>
      <c r="F4671" s="109" t="s">
        <v>27282</v>
      </c>
      <c r="G4671" s="110" t="s">
        <v>6248</v>
      </c>
      <c r="H4671" s="110" t="s">
        <v>27283</v>
      </c>
      <c r="I4671" s="110" t="s">
        <v>27284</v>
      </c>
    </row>
    <row r="4672" spans="1:9" ht="25.2" x14ac:dyDescent="0.3">
      <c r="A4672" s="109" t="s">
        <v>27285</v>
      </c>
      <c r="B4672" s="109" t="s">
        <v>26487</v>
      </c>
      <c r="C4672" s="109" t="s">
        <v>26487</v>
      </c>
      <c r="D4672" s="109" t="s">
        <v>27286</v>
      </c>
      <c r="E4672" s="109" t="s">
        <v>27287</v>
      </c>
      <c r="F4672" s="109" t="s">
        <v>8707</v>
      </c>
      <c r="G4672" s="110" t="s">
        <v>6248</v>
      </c>
      <c r="H4672" s="110" t="s">
        <v>27288</v>
      </c>
      <c r="I4672" s="110" t="s">
        <v>27289</v>
      </c>
    </row>
    <row r="4673" spans="1:9" ht="25.2" x14ac:dyDescent="0.3">
      <c r="A4673" s="109" t="s">
        <v>27290</v>
      </c>
      <c r="B4673" s="109" t="s">
        <v>26487</v>
      </c>
      <c r="C4673" s="109" t="s">
        <v>26487</v>
      </c>
      <c r="D4673" s="109" t="s">
        <v>27291</v>
      </c>
      <c r="E4673" s="109" t="s">
        <v>5558</v>
      </c>
      <c r="F4673" s="109" t="s">
        <v>27292</v>
      </c>
      <c r="G4673" s="110" t="s">
        <v>6248</v>
      </c>
      <c r="H4673" s="110" t="s">
        <v>27293</v>
      </c>
      <c r="I4673" s="110" t="s">
        <v>27294</v>
      </c>
    </row>
    <row r="4674" spans="1:9" ht="25.2" x14ac:dyDescent="0.3">
      <c r="A4674" s="109" t="s">
        <v>27295</v>
      </c>
      <c r="B4674" s="109" t="s">
        <v>26487</v>
      </c>
      <c r="C4674" s="109" t="s">
        <v>26487</v>
      </c>
      <c r="D4674" s="109" t="s">
        <v>27296</v>
      </c>
      <c r="E4674" s="109" t="s">
        <v>27287</v>
      </c>
      <c r="F4674" s="109" t="s">
        <v>8707</v>
      </c>
      <c r="G4674" s="110" t="s">
        <v>6248</v>
      </c>
      <c r="H4674" s="110" t="s">
        <v>27297</v>
      </c>
      <c r="I4674" s="110" t="s">
        <v>27298</v>
      </c>
    </row>
    <row r="4675" spans="1:9" ht="25.2" x14ac:dyDescent="0.3">
      <c r="A4675" s="109" t="s">
        <v>27299</v>
      </c>
      <c r="B4675" s="109" t="s">
        <v>26487</v>
      </c>
      <c r="C4675" s="109" t="s">
        <v>26487</v>
      </c>
      <c r="D4675" s="109" t="s">
        <v>4011</v>
      </c>
      <c r="E4675" s="109" t="s">
        <v>27300</v>
      </c>
      <c r="F4675" s="109" t="s">
        <v>27301</v>
      </c>
      <c r="G4675" s="110" t="s">
        <v>6248</v>
      </c>
      <c r="H4675" s="110" t="s">
        <v>27302</v>
      </c>
      <c r="I4675" s="110" t="s">
        <v>27303</v>
      </c>
    </row>
    <row r="4676" spans="1:9" ht="25.2" x14ac:dyDescent="0.3">
      <c r="A4676" s="109" t="s">
        <v>27304</v>
      </c>
      <c r="B4676" s="109" t="s">
        <v>26487</v>
      </c>
      <c r="C4676" s="109" t="s">
        <v>26487</v>
      </c>
      <c r="D4676" s="109" t="s">
        <v>27305</v>
      </c>
      <c r="E4676" s="109" t="s">
        <v>27306</v>
      </c>
      <c r="F4676" s="109" t="s">
        <v>27307</v>
      </c>
      <c r="G4676" s="110" t="s">
        <v>6248</v>
      </c>
      <c r="H4676" s="110" t="s">
        <v>27308</v>
      </c>
      <c r="I4676" s="110" t="s">
        <v>27309</v>
      </c>
    </row>
    <row r="4677" spans="1:9" ht="25.2" x14ac:dyDescent="0.3">
      <c r="A4677" s="109" t="s">
        <v>27310</v>
      </c>
      <c r="B4677" s="109" t="s">
        <v>26487</v>
      </c>
      <c r="C4677" s="109" t="s">
        <v>26487</v>
      </c>
      <c r="D4677" s="109" t="s">
        <v>27311</v>
      </c>
      <c r="E4677" s="109" t="s">
        <v>27312</v>
      </c>
      <c r="F4677" s="109" t="s">
        <v>27313</v>
      </c>
      <c r="G4677" s="110" t="s">
        <v>6248</v>
      </c>
      <c r="H4677" s="110" t="s">
        <v>27314</v>
      </c>
      <c r="I4677" s="110" t="s">
        <v>27315</v>
      </c>
    </row>
    <row r="4678" spans="1:9" ht="37.799999999999997" x14ac:dyDescent="0.3">
      <c r="A4678" s="109" t="s">
        <v>27316</v>
      </c>
      <c r="B4678" s="109" t="s">
        <v>26487</v>
      </c>
      <c r="C4678" s="109" t="s">
        <v>26487</v>
      </c>
      <c r="D4678" s="109" t="s">
        <v>27317</v>
      </c>
      <c r="E4678" s="109" t="s">
        <v>5558</v>
      </c>
      <c r="F4678" s="109" t="s">
        <v>27318</v>
      </c>
      <c r="G4678" s="110" t="s">
        <v>6248</v>
      </c>
      <c r="H4678" s="110" t="s">
        <v>27319</v>
      </c>
      <c r="I4678" s="110" t="s">
        <v>27320</v>
      </c>
    </row>
    <row r="4679" spans="1:9" ht="37.799999999999997" x14ac:dyDescent="0.3">
      <c r="A4679" s="109" t="s">
        <v>27321</v>
      </c>
      <c r="B4679" s="109" t="s">
        <v>26487</v>
      </c>
      <c r="C4679" s="109" t="s">
        <v>26487</v>
      </c>
      <c r="D4679" s="109" t="s">
        <v>27322</v>
      </c>
      <c r="E4679" s="109" t="s">
        <v>5558</v>
      </c>
      <c r="F4679" s="109" t="s">
        <v>27323</v>
      </c>
      <c r="G4679" s="110" t="s">
        <v>6248</v>
      </c>
      <c r="H4679" s="110" t="s">
        <v>27324</v>
      </c>
      <c r="I4679" s="110" t="s">
        <v>27325</v>
      </c>
    </row>
    <row r="4680" spans="1:9" ht="25.2" x14ac:dyDescent="0.3">
      <c r="A4680" s="109" t="s">
        <v>27326</v>
      </c>
      <c r="B4680" s="109" t="s">
        <v>26487</v>
      </c>
      <c r="C4680" s="109" t="s">
        <v>26487</v>
      </c>
      <c r="D4680" s="109" t="s">
        <v>27327</v>
      </c>
      <c r="E4680" s="109" t="s">
        <v>5558</v>
      </c>
      <c r="F4680" s="109" t="s">
        <v>27328</v>
      </c>
      <c r="G4680" s="110" t="s">
        <v>6248</v>
      </c>
      <c r="H4680" s="110" t="s">
        <v>8583</v>
      </c>
      <c r="I4680" s="110" t="s">
        <v>27329</v>
      </c>
    </row>
    <row r="4681" spans="1:9" ht="25.2" x14ac:dyDescent="0.3">
      <c r="A4681" s="109" t="s">
        <v>27330</v>
      </c>
      <c r="B4681" s="109" t="s">
        <v>26487</v>
      </c>
      <c r="C4681" s="109" t="s">
        <v>26487</v>
      </c>
      <c r="D4681" s="109" t="s">
        <v>27331</v>
      </c>
      <c r="E4681" s="109" t="s">
        <v>5558</v>
      </c>
      <c r="F4681" s="109" t="s">
        <v>27332</v>
      </c>
      <c r="G4681" s="110" t="s">
        <v>6248</v>
      </c>
      <c r="H4681" s="110" t="s">
        <v>6689</v>
      </c>
      <c r="I4681" s="110" t="s">
        <v>27333</v>
      </c>
    </row>
    <row r="4682" spans="1:9" ht="25.2" x14ac:dyDescent="0.3">
      <c r="A4682" s="109" t="s">
        <v>27334</v>
      </c>
      <c r="B4682" s="109" t="s">
        <v>26487</v>
      </c>
      <c r="C4682" s="109" t="s">
        <v>26487</v>
      </c>
      <c r="D4682" s="109" t="s">
        <v>27335</v>
      </c>
      <c r="E4682" s="109" t="s">
        <v>5558</v>
      </c>
      <c r="F4682" s="109" t="s">
        <v>27336</v>
      </c>
      <c r="G4682" s="110" t="s">
        <v>6248</v>
      </c>
      <c r="H4682" s="110" t="s">
        <v>6883</v>
      </c>
      <c r="I4682" s="110" t="s">
        <v>27337</v>
      </c>
    </row>
    <row r="4683" spans="1:9" ht="25.2" x14ac:dyDescent="0.3">
      <c r="A4683" s="109" t="s">
        <v>27338</v>
      </c>
      <c r="B4683" s="109" t="s">
        <v>26487</v>
      </c>
      <c r="C4683" s="109" t="s">
        <v>26487</v>
      </c>
      <c r="D4683" s="109" t="s">
        <v>27339</v>
      </c>
      <c r="E4683" s="109" t="s">
        <v>5558</v>
      </c>
      <c r="F4683" s="109" t="s">
        <v>27340</v>
      </c>
      <c r="G4683" s="110" t="s">
        <v>6248</v>
      </c>
      <c r="H4683" s="110" t="s">
        <v>6689</v>
      </c>
      <c r="I4683" s="110" t="s">
        <v>27341</v>
      </c>
    </row>
    <row r="4684" spans="1:9" ht="25.2" x14ac:dyDescent="0.3">
      <c r="A4684" s="109" t="s">
        <v>27342</v>
      </c>
      <c r="B4684" s="109" t="s">
        <v>26487</v>
      </c>
      <c r="C4684" s="109" t="s">
        <v>26487</v>
      </c>
      <c r="D4684" s="109" t="s">
        <v>27343</v>
      </c>
      <c r="E4684" s="109" t="s">
        <v>27344</v>
      </c>
      <c r="F4684" s="109" t="s">
        <v>18480</v>
      </c>
      <c r="G4684" s="110" t="s">
        <v>6248</v>
      </c>
      <c r="H4684" s="110" t="s">
        <v>27345</v>
      </c>
      <c r="I4684" s="110" t="s">
        <v>27346</v>
      </c>
    </row>
    <row r="4685" spans="1:9" ht="25.2" x14ac:dyDescent="0.3">
      <c r="A4685" s="109" t="s">
        <v>27347</v>
      </c>
      <c r="B4685" s="109" t="s">
        <v>26487</v>
      </c>
      <c r="C4685" s="109" t="s">
        <v>26487</v>
      </c>
      <c r="D4685" s="109" t="s">
        <v>27348</v>
      </c>
      <c r="E4685" s="109" t="s">
        <v>5558</v>
      </c>
      <c r="F4685" s="109" t="s">
        <v>27349</v>
      </c>
      <c r="G4685" s="110" t="s">
        <v>6248</v>
      </c>
      <c r="H4685" s="110" t="s">
        <v>15988</v>
      </c>
      <c r="I4685" s="110" t="s">
        <v>27350</v>
      </c>
    </row>
    <row r="4686" spans="1:9" ht="25.2" x14ac:dyDescent="0.3">
      <c r="A4686" s="109" t="s">
        <v>27351</v>
      </c>
      <c r="B4686" s="109" t="s">
        <v>26487</v>
      </c>
      <c r="C4686" s="109" t="s">
        <v>26487</v>
      </c>
      <c r="D4686" s="109" t="s">
        <v>27352</v>
      </c>
      <c r="E4686" s="109" t="s">
        <v>5558</v>
      </c>
      <c r="F4686" s="109" t="s">
        <v>27353</v>
      </c>
      <c r="G4686" s="110" t="s">
        <v>6248</v>
      </c>
      <c r="H4686" s="110" t="s">
        <v>27354</v>
      </c>
      <c r="I4686" s="110" t="s">
        <v>27355</v>
      </c>
    </row>
    <row r="4687" spans="1:9" ht="25.2" x14ac:dyDescent="0.3">
      <c r="A4687" s="109" t="s">
        <v>27356</v>
      </c>
      <c r="B4687" s="109" t="s">
        <v>26487</v>
      </c>
      <c r="C4687" s="109" t="s">
        <v>26487</v>
      </c>
      <c r="D4687" s="109" t="s">
        <v>27357</v>
      </c>
      <c r="E4687" s="109" t="s">
        <v>5558</v>
      </c>
      <c r="F4687" s="109" t="s">
        <v>4009</v>
      </c>
      <c r="G4687" s="110" t="s">
        <v>6248</v>
      </c>
      <c r="H4687" s="110" t="s">
        <v>27358</v>
      </c>
      <c r="I4687" s="110" t="s">
        <v>27359</v>
      </c>
    </row>
    <row r="4688" spans="1:9" ht="25.2" x14ac:dyDescent="0.3">
      <c r="A4688" s="109" t="s">
        <v>27360</v>
      </c>
      <c r="B4688" s="109" t="s">
        <v>26487</v>
      </c>
      <c r="C4688" s="109" t="s">
        <v>26487</v>
      </c>
      <c r="D4688" s="109" t="s">
        <v>27361</v>
      </c>
      <c r="E4688" s="109" t="s">
        <v>5558</v>
      </c>
      <c r="F4688" s="109" t="s">
        <v>4008</v>
      </c>
      <c r="G4688" s="110" t="s">
        <v>6248</v>
      </c>
      <c r="H4688" s="110" t="s">
        <v>7817</v>
      </c>
      <c r="I4688" s="110" t="s">
        <v>27362</v>
      </c>
    </row>
    <row r="4689" spans="1:9" ht="25.2" x14ac:dyDescent="0.3">
      <c r="A4689" s="109" t="s">
        <v>27363</v>
      </c>
      <c r="B4689" s="109" t="s">
        <v>26487</v>
      </c>
      <c r="C4689" s="109" t="s">
        <v>26487</v>
      </c>
      <c r="D4689" s="109" t="s">
        <v>27364</v>
      </c>
      <c r="E4689" s="109" t="s">
        <v>27365</v>
      </c>
      <c r="F4689" s="109" t="s">
        <v>27366</v>
      </c>
      <c r="G4689" s="110" t="s">
        <v>6248</v>
      </c>
      <c r="H4689" s="110" t="s">
        <v>27367</v>
      </c>
      <c r="I4689" s="110" t="s">
        <v>27368</v>
      </c>
    </row>
    <row r="4690" spans="1:9" ht="25.2" x14ac:dyDescent="0.3">
      <c r="A4690" s="109" t="s">
        <v>27369</v>
      </c>
      <c r="B4690" s="109" t="s">
        <v>26487</v>
      </c>
      <c r="C4690" s="109" t="s">
        <v>26487</v>
      </c>
      <c r="D4690" s="109" t="s">
        <v>27370</v>
      </c>
      <c r="E4690" s="109" t="s">
        <v>27371</v>
      </c>
      <c r="F4690" s="109" t="s">
        <v>27366</v>
      </c>
      <c r="G4690" s="110" t="s">
        <v>6248</v>
      </c>
      <c r="H4690" s="110" t="s">
        <v>27372</v>
      </c>
      <c r="I4690" s="110" t="s">
        <v>27373</v>
      </c>
    </row>
    <row r="4691" spans="1:9" ht="25.2" x14ac:dyDescent="0.3">
      <c r="A4691" s="109" t="s">
        <v>27374</v>
      </c>
      <c r="B4691" s="109" t="s">
        <v>26487</v>
      </c>
      <c r="C4691" s="109" t="s">
        <v>26487</v>
      </c>
      <c r="D4691" s="109" t="s">
        <v>27375</v>
      </c>
      <c r="E4691" s="109" t="s">
        <v>5558</v>
      </c>
      <c r="F4691" s="109" t="s">
        <v>27376</v>
      </c>
      <c r="G4691" s="110" t="s">
        <v>6248</v>
      </c>
      <c r="H4691" s="110" t="s">
        <v>27377</v>
      </c>
      <c r="I4691" s="110" t="s">
        <v>27378</v>
      </c>
    </row>
    <row r="4692" spans="1:9" ht="50.4" x14ac:dyDescent="0.3">
      <c r="A4692" s="109" t="s">
        <v>27379</v>
      </c>
      <c r="B4692" s="109" t="s">
        <v>26487</v>
      </c>
      <c r="C4692" s="109" t="s">
        <v>26487</v>
      </c>
      <c r="D4692" s="109" t="s">
        <v>12374</v>
      </c>
      <c r="E4692" s="109" t="s">
        <v>12374</v>
      </c>
      <c r="F4692" s="109" t="s">
        <v>27380</v>
      </c>
      <c r="G4692" s="110" t="s">
        <v>6248</v>
      </c>
      <c r="H4692" s="110" t="s">
        <v>7221</v>
      </c>
      <c r="I4692" s="110" t="s">
        <v>27381</v>
      </c>
    </row>
    <row r="4693" spans="1:9" ht="37.799999999999997" x14ac:dyDescent="0.3">
      <c r="A4693" s="109" t="s">
        <v>27382</v>
      </c>
      <c r="B4693" s="109" t="s">
        <v>26487</v>
      </c>
      <c r="C4693" s="109" t="s">
        <v>26487</v>
      </c>
      <c r="D4693" s="109" t="s">
        <v>27383</v>
      </c>
      <c r="E4693" s="109" t="s">
        <v>27383</v>
      </c>
      <c r="F4693" s="109" t="s">
        <v>27384</v>
      </c>
      <c r="G4693" s="110" t="s">
        <v>6248</v>
      </c>
      <c r="H4693" s="110" t="s">
        <v>9261</v>
      </c>
      <c r="I4693" s="110" t="s">
        <v>27385</v>
      </c>
    </row>
    <row r="4694" spans="1:9" ht="37.799999999999997" x14ac:dyDescent="0.3">
      <c r="A4694" s="109" t="s">
        <v>27386</v>
      </c>
      <c r="B4694" s="109" t="s">
        <v>26487</v>
      </c>
      <c r="C4694" s="109" t="s">
        <v>26487</v>
      </c>
      <c r="D4694" s="109" t="s">
        <v>20325</v>
      </c>
      <c r="E4694" s="109" t="s">
        <v>25569</v>
      </c>
      <c r="F4694" s="109" t="s">
        <v>27387</v>
      </c>
      <c r="G4694" s="110" t="s">
        <v>6248</v>
      </c>
      <c r="H4694" s="110" t="s">
        <v>27388</v>
      </c>
      <c r="I4694" s="110" t="s">
        <v>27389</v>
      </c>
    </row>
    <row r="4695" spans="1:9" ht="37.799999999999997" x14ac:dyDescent="0.3">
      <c r="A4695" s="109" t="s">
        <v>27390</v>
      </c>
      <c r="B4695" s="109" t="s">
        <v>26487</v>
      </c>
      <c r="C4695" s="109" t="s">
        <v>26487</v>
      </c>
      <c r="D4695" s="109" t="s">
        <v>27391</v>
      </c>
      <c r="E4695" s="109" t="s">
        <v>19579</v>
      </c>
      <c r="F4695" s="109" t="s">
        <v>27392</v>
      </c>
      <c r="G4695" s="110" t="s">
        <v>6248</v>
      </c>
      <c r="H4695" s="110" t="s">
        <v>27393</v>
      </c>
      <c r="I4695" s="110" t="s">
        <v>27394</v>
      </c>
    </row>
    <row r="4696" spans="1:9" ht="37.799999999999997" x14ac:dyDescent="0.3">
      <c r="A4696" s="109" t="s">
        <v>27395</v>
      </c>
      <c r="B4696" s="109" t="s">
        <v>26487</v>
      </c>
      <c r="C4696" s="109" t="s">
        <v>26487</v>
      </c>
      <c r="D4696" s="109" t="s">
        <v>27396</v>
      </c>
      <c r="E4696" s="109" t="s">
        <v>5558</v>
      </c>
      <c r="F4696" s="109" t="s">
        <v>27397</v>
      </c>
      <c r="G4696" s="110" t="s">
        <v>6248</v>
      </c>
      <c r="H4696" s="110" t="s">
        <v>27398</v>
      </c>
      <c r="I4696" s="110" t="s">
        <v>27399</v>
      </c>
    </row>
    <row r="4697" spans="1:9" ht="37.799999999999997" x14ac:dyDescent="0.3">
      <c r="A4697" s="109" t="s">
        <v>27400</v>
      </c>
      <c r="B4697" s="109" t="s">
        <v>26487</v>
      </c>
      <c r="C4697" s="109" t="s">
        <v>26487</v>
      </c>
      <c r="D4697" s="109" t="s">
        <v>27401</v>
      </c>
      <c r="E4697" s="109" t="s">
        <v>27402</v>
      </c>
      <c r="F4697" s="109" t="s">
        <v>27403</v>
      </c>
      <c r="G4697" s="110" t="s">
        <v>6248</v>
      </c>
      <c r="H4697" s="110" t="s">
        <v>27404</v>
      </c>
      <c r="I4697" s="110" t="s">
        <v>27405</v>
      </c>
    </row>
    <row r="4698" spans="1:9" ht="25.2" x14ac:dyDescent="0.3">
      <c r="A4698" s="109" t="s">
        <v>27406</v>
      </c>
      <c r="B4698" s="109" t="s">
        <v>26487</v>
      </c>
      <c r="C4698" s="109" t="s">
        <v>26487</v>
      </c>
      <c r="D4698" s="109" t="s">
        <v>27407</v>
      </c>
      <c r="E4698" s="109" t="s">
        <v>27408</v>
      </c>
      <c r="F4698" s="109" t="s">
        <v>27409</v>
      </c>
      <c r="G4698" s="110" t="s">
        <v>6248</v>
      </c>
      <c r="H4698" s="110" t="s">
        <v>27410</v>
      </c>
      <c r="I4698" s="110" t="s">
        <v>27411</v>
      </c>
    </row>
    <row r="4699" spans="1:9" ht="25.2" x14ac:dyDescent="0.3">
      <c r="A4699" s="109" t="s">
        <v>27412</v>
      </c>
      <c r="B4699" s="109" t="s">
        <v>26487</v>
      </c>
      <c r="C4699" s="109" t="s">
        <v>26487</v>
      </c>
      <c r="D4699" s="109" t="s">
        <v>27413</v>
      </c>
      <c r="E4699" s="109" t="s">
        <v>23775</v>
      </c>
      <c r="F4699" s="109" t="s">
        <v>7283</v>
      </c>
      <c r="G4699" s="110" t="s">
        <v>6248</v>
      </c>
      <c r="H4699" s="110" t="s">
        <v>27414</v>
      </c>
      <c r="I4699" s="110" t="s">
        <v>27415</v>
      </c>
    </row>
    <row r="4700" spans="1:9" ht="25.2" x14ac:dyDescent="0.3">
      <c r="A4700" s="109" t="s">
        <v>27416</v>
      </c>
      <c r="B4700" s="109" t="s">
        <v>26487</v>
      </c>
      <c r="C4700" s="109" t="s">
        <v>26487</v>
      </c>
      <c r="D4700" s="109" t="s">
        <v>21706</v>
      </c>
      <c r="E4700" s="109" t="s">
        <v>5558</v>
      </c>
      <c r="F4700" s="109" t="s">
        <v>27417</v>
      </c>
      <c r="G4700" s="110" t="s">
        <v>6248</v>
      </c>
      <c r="H4700" s="110" t="s">
        <v>27418</v>
      </c>
      <c r="I4700" s="110" t="s">
        <v>27419</v>
      </c>
    </row>
    <row r="4701" spans="1:9" ht="25.2" x14ac:dyDescent="0.3">
      <c r="A4701" s="109" t="s">
        <v>27420</v>
      </c>
      <c r="B4701" s="109" t="s">
        <v>26487</v>
      </c>
      <c r="C4701" s="109" t="s">
        <v>26487</v>
      </c>
      <c r="D4701" s="109" t="s">
        <v>27421</v>
      </c>
      <c r="E4701" s="109" t="s">
        <v>5558</v>
      </c>
      <c r="F4701" s="109" t="s">
        <v>27422</v>
      </c>
      <c r="G4701" s="110" t="s">
        <v>6248</v>
      </c>
      <c r="H4701" s="110" t="s">
        <v>27423</v>
      </c>
      <c r="I4701" s="110" t="s">
        <v>27424</v>
      </c>
    </row>
    <row r="4702" spans="1:9" ht="25.2" x14ac:dyDescent="0.3">
      <c r="A4702" s="109" t="s">
        <v>27425</v>
      </c>
      <c r="B4702" s="109" t="s">
        <v>26487</v>
      </c>
      <c r="C4702" s="109" t="s">
        <v>26487</v>
      </c>
      <c r="D4702" s="109" t="s">
        <v>27426</v>
      </c>
      <c r="E4702" s="109" t="s">
        <v>5558</v>
      </c>
      <c r="F4702" s="109" t="s">
        <v>27427</v>
      </c>
      <c r="G4702" s="110" t="s">
        <v>6248</v>
      </c>
      <c r="H4702" s="110" t="s">
        <v>27428</v>
      </c>
      <c r="I4702" s="110" t="s">
        <v>27429</v>
      </c>
    </row>
    <row r="4703" spans="1:9" ht="37.799999999999997" x14ac:dyDescent="0.3">
      <c r="A4703" s="109" t="s">
        <v>27430</v>
      </c>
      <c r="B4703" s="109" t="s">
        <v>26487</v>
      </c>
      <c r="C4703" s="109" t="s">
        <v>26487</v>
      </c>
      <c r="D4703" s="109" t="s">
        <v>27431</v>
      </c>
      <c r="E4703" s="109" t="s">
        <v>5558</v>
      </c>
      <c r="F4703" s="109" t="s">
        <v>27432</v>
      </c>
      <c r="G4703" s="110" t="s">
        <v>6248</v>
      </c>
      <c r="H4703" s="110" t="s">
        <v>27433</v>
      </c>
      <c r="I4703" s="110" t="s">
        <v>27434</v>
      </c>
    </row>
    <row r="4704" spans="1:9" ht="37.799999999999997" x14ac:dyDescent="0.3">
      <c r="A4704" s="109" t="s">
        <v>27435</v>
      </c>
      <c r="B4704" s="109" t="s">
        <v>26487</v>
      </c>
      <c r="C4704" s="109" t="s">
        <v>26487</v>
      </c>
      <c r="D4704" s="109" t="s">
        <v>27436</v>
      </c>
      <c r="E4704" s="109" t="s">
        <v>5558</v>
      </c>
      <c r="F4704" s="109" t="s">
        <v>27437</v>
      </c>
      <c r="G4704" s="110" t="s">
        <v>6248</v>
      </c>
      <c r="H4704" s="110" t="s">
        <v>6346</v>
      </c>
      <c r="I4704" s="110" t="s">
        <v>27438</v>
      </c>
    </row>
    <row r="4705" spans="1:9" ht="37.799999999999997" x14ac:dyDescent="0.3">
      <c r="A4705" s="109" t="s">
        <v>27439</v>
      </c>
      <c r="B4705" s="109" t="s">
        <v>26487</v>
      </c>
      <c r="C4705" s="109" t="s">
        <v>26487</v>
      </c>
      <c r="D4705" s="109" t="s">
        <v>27440</v>
      </c>
      <c r="E4705" s="109" t="s">
        <v>11179</v>
      </c>
      <c r="F4705" s="109" t="s">
        <v>27441</v>
      </c>
      <c r="G4705" s="110" t="s">
        <v>6248</v>
      </c>
      <c r="H4705" s="110" t="s">
        <v>27442</v>
      </c>
      <c r="I4705" s="110" t="s">
        <v>27443</v>
      </c>
    </row>
    <row r="4706" spans="1:9" ht="50.4" x14ac:dyDescent="0.3">
      <c r="A4706" s="109" t="s">
        <v>27444</v>
      </c>
      <c r="B4706" s="109" t="s">
        <v>26487</v>
      </c>
      <c r="C4706" s="109" t="s">
        <v>26487</v>
      </c>
      <c r="D4706" s="109" t="s">
        <v>27445</v>
      </c>
      <c r="E4706" s="109" t="s">
        <v>27445</v>
      </c>
      <c r="F4706" s="109" t="s">
        <v>27446</v>
      </c>
      <c r="G4706" s="110" t="s">
        <v>6248</v>
      </c>
      <c r="H4706" s="110" t="s">
        <v>27447</v>
      </c>
      <c r="I4706" s="110" t="s">
        <v>27448</v>
      </c>
    </row>
    <row r="4707" spans="1:9" ht="50.4" x14ac:dyDescent="0.3">
      <c r="A4707" s="109" t="s">
        <v>27449</v>
      </c>
      <c r="B4707" s="109" t="s">
        <v>26487</v>
      </c>
      <c r="C4707" s="109" t="s">
        <v>26487</v>
      </c>
      <c r="D4707" s="109" t="s">
        <v>27450</v>
      </c>
      <c r="E4707" s="109" t="s">
        <v>27450</v>
      </c>
      <c r="F4707" s="109" t="s">
        <v>27451</v>
      </c>
      <c r="G4707" s="110" t="s">
        <v>6248</v>
      </c>
      <c r="H4707" s="110" t="s">
        <v>27452</v>
      </c>
      <c r="I4707" s="110" t="s">
        <v>27453</v>
      </c>
    </row>
    <row r="4708" spans="1:9" ht="50.4" x14ac:dyDescent="0.3">
      <c r="A4708" s="109" t="s">
        <v>27454</v>
      </c>
      <c r="B4708" s="109" t="s">
        <v>26487</v>
      </c>
      <c r="C4708" s="109" t="s">
        <v>26487</v>
      </c>
      <c r="D4708" s="109" t="s">
        <v>13069</v>
      </c>
      <c r="E4708" s="109" t="s">
        <v>13069</v>
      </c>
      <c r="F4708" s="109" t="s">
        <v>27455</v>
      </c>
      <c r="G4708" s="110" t="s">
        <v>6248</v>
      </c>
      <c r="H4708" s="110" t="s">
        <v>6341</v>
      </c>
      <c r="I4708" s="110" t="s">
        <v>27456</v>
      </c>
    </row>
    <row r="4709" spans="1:9" ht="37.799999999999997" x14ac:dyDescent="0.3">
      <c r="A4709" s="109" t="s">
        <v>27457</v>
      </c>
      <c r="B4709" s="109" t="s">
        <v>26487</v>
      </c>
      <c r="C4709" s="109" t="s">
        <v>26487</v>
      </c>
      <c r="D4709" s="109" t="s">
        <v>27458</v>
      </c>
      <c r="E4709" s="109" t="s">
        <v>27458</v>
      </c>
      <c r="F4709" s="109" t="s">
        <v>27459</v>
      </c>
      <c r="G4709" s="110" t="s">
        <v>6248</v>
      </c>
      <c r="H4709" s="110" t="s">
        <v>7062</v>
      </c>
      <c r="I4709" s="110" t="s">
        <v>27460</v>
      </c>
    </row>
    <row r="4710" spans="1:9" ht="50.4" x14ac:dyDescent="0.3">
      <c r="A4710" s="109" t="s">
        <v>27461</v>
      </c>
      <c r="B4710" s="109" t="s">
        <v>26487</v>
      </c>
      <c r="C4710" s="109" t="s">
        <v>26487</v>
      </c>
      <c r="D4710" s="109" t="s">
        <v>27462</v>
      </c>
      <c r="E4710" s="109" t="s">
        <v>27462</v>
      </c>
      <c r="F4710" s="109" t="s">
        <v>27463</v>
      </c>
      <c r="G4710" s="110" t="s">
        <v>6248</v>
      </c>
      <c r="H4710" s="110" t="s">
        <v>8109</v>
      </c>
      <c r="I4710" s="110" t="s">
        <v>27464</v>
      </c>
    </row>
    <row r="4711" spans="1:9" ht="50.4" x14ac:dyDescent="0.3">
      <c r="A4711" s="109" t="s">
        <v>27465</v>
      </c>
      <c r="B4711" s="109" t="s">
        <v>26487</v>
      </c>
      <c r="C4711" s="109" t="s">
        <v>26487</v>
      </c>
      <c r="D4711" s="109" t="s">
        <v>27466</v>
      </c>
      <c r="E4711" s="109" t="s">
        <v>27466</v>
      </c>
      <c r="F4711" s="109" t="s">
        <v>27467</v>
      </c>
      <c r="G4711" s="110" t="s">
        <v>6248</v>
      </c>
      <c r="H4711" s="110" t="s">
        <v>27468</v>
      </c>
      <c r="I4711" s="110" t="s">
        <v>27469</v>
      </c>
    </row>
    <row r="4712" spans="1:9" ht="25.2" x14ac:dyDescent="0.3">
      <c r="A4712" s="109" t="s">
        <v>27470</v>
      </c>
      <c r="B4712" s="109" t="s">
        <v>26487</v>
      </c>
      <c r="C4712" s="109" t="s">
        <v>26487</v>
      </c>
      <c r="D4712" s="109" t="s">
        <v>27471</v>
      </c>
      <c r="E4712" s="109" t="s">
        <v>5558</v>
      </c>
      <c r="F4712" s="109" t="s">
        <v>27472</v>
      </c>
      <c r="G4712" s="110" t="s">
        <v>6248</v>
      </c>
      <c r="H4712" s="110" t="s">
        <v>27473</v>
      </c>
      <c r="I4712" s="110" t="s">
        <v>27474</v>
      </c>
    </row>
    <row r="4713" spans="1:9" ht="50.4" x14ac:dyDescent="0.3">
      <c r="A4713" s="109" t="s">
        <v>27475</v>
      </c>
      <c r="B4713" s="109" t="s">
        <v>26487</v>
      </c>
      <c r="C4713" s="109" t="s">
        <v>26487</v>
      </c>
      <c r="D4713" s="109" t="s">
        <v>22802</v>
      </c>
      <c r="E4713" s="109" t="s">
        <v>22802</v>
      </c>
      <c r="F4713" s="109" t="s">
        <v>27476</v>
      </c>
      <c r="G4713" s="110" t="s">
        <v>6248</v>
      </c>
      <c r="H4713" s="110" t="s">
        <v>12476</v>
      </c>
      <c r="I4713" s="110" t="s">
        <v>27477</v>
      </c>
    </row>
    <row r="4714" spans="1:9" ht="50.4" x14ac:dyDescent="0.3">
      <c r="A4714" s="109" t="s">
        <v>27478</v>
      </c>
      <c r="B4714" s="109" t="s">
        <v>26487</v>
      </c>
      <c r="C4714" s="109" t="s">
        <v>26487</v>
      </c>
      <c r="D4714" s="109" t="s">
        <v>27479</v>
      </c>
      <c r="E4714" s="109" t="s">
        <v>27479</v>
      </c>
      <c r="F4714" s="109" t="s">
        <v>27480</v>
      </c>
      <c r="G4714" s="110" t="s">
        <v>6248</v>
      </c>
      <c r="H4714" s="110" t="s">
        <v>27481</v>
      </c>
      <c r="I4714" s="110" t="s">
        <v>27482</v>
      </c>
    </row>
    <row r="4715" spans="1:9" ht="50.4" x14ac:dyDescent="0.3">
      <c r="A4715" s="109" t="s">
        <v>27483</v>
      </c>
      <c r="B4715" s="109" t="s">
        <v>26487</v>
      </c>
      <c r="C4715" s="109" t="s">
        <v>26487</v>
      </c>
      <c r="D4715" s="109" t="s">
        <v>14674</v>
      </c>
      <c r="E4715" s="109" t="s">
        <v>14674</v>
      </c>
      <c r="F4715" s="109" t="s">
        <v>27484</v>
      </c>
      <c r="G4715" s="110" t="s">
        <v>6248</v>
      </c>
      <c r="H4715" s="110" t="s">
        <v>6689</v>
      </c>
      <c r="I4715" s="110" t="s">
        <v>27485</v>
      </c>
    </row>
    <row r="4716" spans="1:9" ht="25.2" x14ac:dyDescent="0.3">
      <c r="A4716" s="109" t="s">
        <v>27486</v>
      </c>
      <c r="B4716" s="109" t="s">
        <v>26487</v>
      </c>
      <c r="C4716" s="109" t="s">
        <v>26487</v>
      </c>
      <c r="D4716" s="109" t="s">
        <v>27487</v>
      </c>
      <c r="E4716" s="109" t="s">
        <v>5558</v>
      </c>
      <c r="F4716" s="109" t="s">
        <v>27488</v>
      </c>
      <c r="G4716" s="110" t="s">
        <v>6248</v>
      </c>
      <c r="H4716" s="110" t="s">
        <v>27489</v>
      </c>
      <c r="I4716" s="110" t="s">
        <v>27490</v>
      </c>
    </row>
    <row r="4717" spans="1:9" ht="50.4" x14ac:dyDescent="0.3">
      <c r="A4717" s="109" t="s">
        <v>27491</v>
      </c>
      <c r="B4717" s="109" t="s">
        <v>26487</v>
      </c>
      <c r="C4717" s="109" t="s">
        <v>26487</v>
      </c>
      <c r="D4717" s="109" t="s">
        <v>27492</v>
      </c>
      <c r="E4717" s="109" t="s">
        <v>27492</v>
      </c>
      <c r="F4717" s="109" t="s">
        <v>27493</v>
      </c>
      <c r="G4717" s="110" t="s">
        <v>6248</v>
      </c>
      <c r="H4717" s="110" t="s">
        <v>27494</v>
      </c>
      <c r="I4717" s="110" t="s">
        <v>27495</v>
      </c>
    </row>
    <row r="4718" spans="1:9" ht="25.2" x14ac:dyDescent="0.3">
      <c r="A4718" s="109" t="s">
        <v>27496</v>
      </c>
      <c r="B4718" s="109" t="s">
        <v>26487</v>
      </c>
      <c r="C4718" s="109" t="s">
        <v>26487</v>
      </c>
      <c r="D4718" s="109" t="s">
        <v>27497</v>
      </c>
      <c r="E4718" s="109" t="s">
        <v>5558</v>
      </c>
      <c r="F4718" s="109" t="s">
        <v>27498</v>
      </c>
      <c r="G4718" s="110" t="s">
        <v>6248</v>
      </c>
      <c r="H4718" s="110" t="s">
        <v>27499</v>
      </c>
      <c r="I4718" s="110" t="s">
        <v>27500</v>
      </c>
    </row>
    <row r="4719" spans="1:9" ht="63" x14ac:dyDescent="0.3">
      <c r="A4719" s="109" t="s">
        <v>27501</v>
      </c>
      <c r="B4719" s="109" t="s">
        <v>26487</v>
      </c>
      <c r="C4719" s="109" t="s">
        <v>26487</v>
      </c>
      <c r="D4719" s="109" t="s">
        <v>14705</v>
      </c>
      <c r="E4719" s="109" t="s">
        <v>14705</v>
      </c>
      <c r="F4719" s="109" t="s">
        <v>27502</v>
      </c>
      <c r="G4719" s="110" t="s">
        <v>6248</v>
      </c>
      <c r="H4719" s="110" t="s">
        <v>27503</v>
      </c>
      <c r="I4719" s="110" t="s">
        <v>27504</v>
      </c>
    </row>
    <row r="4720" spans="1:9" ht="37.799999999999997" x14ac:dyDescent="0.3">
      <c r="A4720" s="109" t="s">
        <v>27505</v>
      </c>
      <c r="B4720" s="109" t="s">
        <v>26487</v>
      </c>
      <c r="C4720" s="109" t="s">
        <v>26487</v>
      </c>
      <c r="D4720" s="109" t="s">
        <v>9689</v>
      </c>
      <c r="E4720" s="109" t="s">
        <v>27506</v>
      </c>
      <c r="F4720" s="109" t="s">
        <v>27507</v>
      </c>
      <c r="G4720" s="110" t="s">
        <v>6248</v>
      </c>
      <c r="H4720" s="110" t="s">
        <v>27508</v>
      </c>
      <c r="I4720" s="110" t="s">
        <v>27509</v>
      </c>
    </row>
    <row r="4721" spans="1:9" ht="37.799999999999997" x14ac:dyDescent="0.3">
      <c r="A4721" s="109" t="s">
        <v>27510</v>
      </c>
      <c r="B4721" s="109" t="s">
        <v>26487</v>
      </c>
      <c r="C4721" s="109" t="s">
        <v>26487</v>
      </c>
      <c r="D4721" s="109" t="s">
        <v>27511</v>
      </c>
      <c r="E4721" s="109" t="s">
        <v>5558</v>
      </c>
      <c r="F4721" s="109" t="s">
        <v>27512</v>
      </c>
      <c r="G4721" s="110" t="s">
        <v>6248</v>
      </c>
      <c r="H4721" s="110" t="s">
        <v>6689</v>
      </c>
      <c r="I4721" s="110" t="s">
        <v>27513</v>
      </c>
    </row>
    <row r="4722" spans="1:9" ht="37.799999999999997" x14ac:dyDescent="0.3">
      <c r="A4722" s="109" t="s">
        <v>27514</v>
      </c>
      <c r="B4722" s="109" t="s">
        <v>26487</v>
      </c>
      <c r="C4722" s="109" t="s">
        <v>26487</v>
      </c>
      <c r="D4722" s="109" t="s">
        <v>27515</v>
      </c>
      <c r="E4722" s="109" t="s">
        <v>5558</v>
      </c>
      <c r="F4722" s="109" t="s">
        <v>27516</v>
      </c>
      <c r="G4722" s="110" t="s">
        <v>6248</v>
      </c>
      <c r="H4722" s="110" t="s">
        <v>6689</v>
      </c>
      <c r="I4722" s="110" t="s">
        <v>27517</v>
      </c>
    </row>
    <row r="4723" spans="1:9" ht="25.2" x14ac:dyDescent="0.3">
      <c r="A4723" s="109" t="s">
        <v>27518</v>
      </c>
      <c r="B4723" s="109" t="s">
        <v>26487</v>
      </c>
      <c r="C4723" s="109" t="s">
        <v>26487</v>
      </c>
      <c r="D4723" s="109" t="s">
        <v>27519</v>
      </c>
      <c r="E4723" s="109" t="s">
        <v>5558</v>
      </c>
      <c r="F4723" s="109" t="s">
        <v>27520</v>
      </c>
      <c r="G4723" s="110" t="s">
        <v>6248</v>
      </c>
      <c r="H4723" s="110" t="s">
        <v>27521</v>
      </c>
      <c r="I4723" s="110" t="s">
        <v>27522</v>
      </c>
    </row>
    <row r="4724" spans="1:9" ht="37.799999999999997" x14ac:dyDescent="0.3">
      <c r="A4724" s="109" t="s">
        <v>27523</v>
      </c>
      <c r="B4724" s="109" t="s">
        <v>26487</v>
      </c>
      <c r="C4724" s="109" t="s">
        <v>26487</v>
      </c>
      <c r="D4724" s="109" t="s">
        <v>27524</v>
      </c>
      <c r="E4724" s="109" t="s">
        <v>5558</v>
      </c>
      <c r="F4724" s="109" t="s">
        <v>27525</v>
      </c>
      <c r="G4724" s="110" t="s">
        <v>6248</v>
      </c>
      <c r="H4724" s="110" t="s">
        <v>6689</v>
      </c>
      <c r="I4724" s="110" t="s">
        <v>27526</v>
      </c>
    </row>
    <row r="4725" spans="1:9" ht="37.799999999999997" x14ac:dyDescent="0.3">
      <c r="A4725" s="109" t="s">
        <v>27527</v>
      </c>
      <c r="B4725" s="109" t="s">
        <v>26487</v>
      </c>
      <c r="C4725" s="109" t="s">
        <v>26487</v>
      </c>
      <c r="D4725" s="109" t="s">
        <v>27528</v>
      </c>
      <c r="E4725" s="109" t="s">
        <v>5558</v>
      </c>
      <c r="F4725" s="109" t="s">
        <v>27529</v>
      </c>
      <c r="G4725" s="110" t="s">
        <v>6248</v>
      </c>
      <c r="H4725" s="110" t="s">
        <v>27530</v>
      </c>
      <c r="I4725" s="110" t="s">
        <v>27531</v>
      </c>
    </row>
    <row r="4726" spans="1:9" ht="25.2" x14ac:dyDescent="0.3">
      <c r="A4726" s="109" t="s">
        <v>27532</v>
      </c>
      <c r="B4726" s="109" t="s">
        <v>26487</v>
      </c>
      <c r="C4726" s="109" t="s">
        <v>26487</v>
      </c>
      <c r="D4726" s="109" t="s">
        <v>27533</v>
      </c>
      <c r="E4726" s="109" t="s">
        <v>5558</v>
      </c>
      <c r="F4726" s="109" t="s">
        <v>27534</v>
      </c>
      <c r="G4726" s="110" t="s">
        <v>6248</v>
      </c>
      <c r="H4726" s="110" t="s">
        <v>12066</v>
      </c>
      <c r="I4726" s="110" t="s">
        <v>27535</v>
      </c>
    </row>
    <row r="4727" spans="1:9" ht="25.2" x14ac:dyDescent="0.3">
      <c r="A4727" s="109" t="s">
        <v>27536</v>
      </c>
      <c r="B4727" s="109" t="s">
        <v>26487</v>
      </c>
      <c r="C4727" s="109" t="s">
        <v>26487</v>
      </c>
      <c r="D4727" s="109" t="s">
        <v>27537</v>
      </c>
      <c r="E4727" s="109" t="s">
        <v>5558</v>
      </c>
      <c r="F4727" s="109" t="s">
        <v>27538</v>
      </c>
      <c r="G4727" s="110" t="s">
        <v>6248</v>
      </c>
      <c r="H4727" s="110" t="s">
        <v>6689</v>
      </c>
      <c r="I4727" s="110" t="s">
        <v>27539</v>
      </c>
    </row>
    <row r="4728" spans="1:9" ht="37.799999999999997" x14ac:dyDescent="0.3">
      <c r="A4728" s="109" t="s">
        <v>27540</v>
      </c>
      <c r="B4728" s="109" t="s">
        <v>26487</v>
      </c>
      <c r="C4728" s="109" t="s">
        <v>26487</v>
      </c>
      <c r="D4728" s="109" t="s">
        <v>27541</v>
      </c>
      <c r="E4728" s="109" t="s">
        <v>5558</v>
      </c>
      <c r="F4728" s="109" t="s">
        <v>27542</v>
      </c>
      <c r="G4728" s="110" t="s">
        <v>6248</v>
      </c>
      <c r="H4728" s="110" t="s">
        <v>6689</v>
      </c>
      <c r="I4728" s="110" t="s">
        <v>27543</v>
      </c>
    </row>
    <row r="4729" spans="1:9" ht="37.799999999999997" x14ac:dyDescent="0.3">
      <c r="A4729" s="109" t="s">
        <v>27544</v>
      </c>
      <c r="B4729" s="109" t="s">
        <v>26487</v>
      </c>
      <c r="C4729" s="109" t="s">
        <v>26487</v>
      </c>
      <c r="D4729" s="109" t="s">
        <v>27545</v>
      </c>
      <c r="E4729" s="109" t="s">
        <v>5558</v>
      </c>
      <c r="F4729" s="109" t="s">
        <v>27546</v>
      </c>
      <c r="G4729" s="110" t="s">
        <v>6248</v>
      </c>
      <c r="H4729" s="110" t="s">
        <v>27547</v>
      </c>
      <c r="I4729" s="110" t="s">
        <v>27548</v>
      </c>
    </row>
    <row r="4730" spans="1:9" ht="25.2" x14ac:dyDescent="0.3">
      <c r="A4730" s="109" t="s">
        <v>27549</v>
      </c>
      <c r="B4730" s="109" t="s">
        <v>26487</v>
      </c>
      <c r="C4730" s="109" t="s">
        <v>26487</v>
      </c>
      <c r="D4730" s="109" t="s">
        <v>27550</v>
      </c>
      <c r="E4730" s="109" t="s">
        <v>27551</v>
      </c>
      <c r="F4730" s="109" t="s">
        <v>27552</v>
      </c>
      <c r="G4730" s="110" t="s">
        <v>6248</v>
      </c>
      <c r="H4730" s="110" t="s">
        <v>27553</v>
      </c>
      <c r="I4730" s="110" t="s">
        <v>27554</v>
      </c>
    </row>
    <row r="4731" spans="1:9" ht="25.2" x14ac:dyDescent="0.3">
      <c r="A4731" s="109" t="s">
        <v>27555</v>
      </c>
      <c r="B4731" s="109" t="s">
        <v>26487</v>
      </c>
      <c r="C4731" s="109" t="s">
        <v>26487</v>
      </c>
      <c r="D4731" s="109" t="s">
        <v>27556</v>
      </c>
      <c r="E4731" s="109" t="s">
        <v>5558</v>
      </c>
      <c r="F4731" s="109" t="s">
        <v>27557</v>
      </c>
      <c r="G4731" s="110" t="s">
        <v>6248</v>
      </c>
      <c r="H4731" s="110" t="s">
        <v>27558</v>
      </c>
      <c r="I4731" s="110" t="s">
        <v>27559</v>
      </c>
    </row>
    <row r="4732" spans="1:9" ht="37.799999999999997" x14ac:dyDescent="0.3">
      <c r="A4732" s="109" t="s">
        <v>27560</v>
      </c>
      <c r="B4732" s="109" t="s">
        <v>26487</v>
      </c>
      <c r="C4732" s="109" t="s">
        <v>26487</v>
      </c>
      <c r="D4732" s="109" t="s">
        <v>27561</v>
      </c>
      <c r="E4732" s="109" t="s">
        <v>5558</v>
      </c>
      <c r="F4732" s="109" t="s">
        <v>27562</v>
      </c>
      <c r="G4732" s="110" t="s">
        <v>6248</v>
      </c>
      <c r="H4732" s="110" t="s">
        <v>6883</v>
      </c>
      <c r="I4732" s="110" t="s">
        <v>27563</v>
      </c>
    </row>
    <row r="4733" spans="1:9" ht="25.2" x14ac:dyDescent="0.3">
      <c r="A4733" s="109" t="s">
        <v>27564</v>
      </c>
      <c r="B4733" s="109" t="s">
        <v>26487</v>
      </c>
      <c r="C4733" s="109" t="s">
        <v>26487</v>
      </c>
      <c r="D4733" s="109" t="s">
        <v>27565</v>
      </c>
      <c r="E4733" s="109" t="s">
        <v>5558</v>
      </c>
      <c r="F4733" s="109" t="s">
        <v>27566</v>
      </c>
      <c r="G4733" s="110" t="s">
        <v>6248</v>
      </c>
      <c r="H4733" s="110" t="s">
        <v>15598</v>
      </c>
      <c r="I4733" s="110" t="s">
        <v>27567</v>
      </c>
    </row>
    <row r="4734" spans="1:9" ht="37.799999999999997" x14ac:dyDescent="0.3">
      <c r="A4734" s="109" t="s">
        <v>27568</v>
      </c>
      <c r="B4734" s="109" t="s">
        <v>26487</v>
      </c>
      <c r="C4734" s="109" t="s">
        <v>26487</v>
      </c>
      <c r="D4734" s="109" t="s">
        <v>27569</v>
      </c>
      <c r="E4734" s="109" t="s">
        <v>5558</v>
      </c>
      <c r="F4734" s="109" t="s">
        <v>27570</v>
      </c>
      <c r="G4734" s="110" t="s">
        <v>6248</v>
      </c>
      <c r="H4734" s="110" t="s">
        <v>27571</v>
      </c>
      <c r="I4734" s="110" t="s">
        <v>27572</v>
      </c>
    </row>
    <row r="4735" spans="1:9" ht="37.799999999999997" x14ac:dyDescent="0.3">
      <c r="A4735" s="109" t="s">
        <v>27573</v>
      </c>
      <c r="B4735" s="109" t="s">
        <v>26487</v>
      </c>
      <c r="C4735" s="109" t="s">
        <v>26487</v>
      </c>
      <c r="D4735" s="109" t="s">
        <v>27574</v>
      </c>
      <c r="E4735" s="109" t="s">
        <v>5558</v>
      </c>
      <c r="F4735" s="109" t="s">
        <v>27575</v>
      </c>
      <c r="G4735" s="110" t="s">
        <v>6248</v>
      </c>
      <c r="H4735" s="110" t="s">
        <v>6689</v>
      </c>
      <c r="I4735" s="110" t="s">
        <v>27576</v>
      </c>
    </row>
    <row r="4736" spans="1:9" ht="25.2" x14ac:dyDescent="0.3">
      <c r="A4736" s="109" t="s">
        <v>27577</v>
      </c>
      <c r="B4736" s="109" t="s">
        <v>26487</v>
      </c>
      <c r="C4736" s="109" t="s">
        <v>26487</v>
      </c>
      <c r="D4736" s="109" t="s">
        <v>27578</v>
      </c>
      <c r="E4736" s="109" t="s">
        <v>5558</v>
      </c>
      <c r="F4736" s="109" t="s">
        <v>4184</v>
      </c>
      <c r="G4736" s="110" t="s">
        <v>6248</v>
      </c>
      <c r="H4736" s="110" t="s">
        <v>27579</v>
      </c>
      <c r="I4736" s="110" t="s">
        <v>27580</v>
      </c>
    </row>
    <row r="4737" spans="1:9" ht="25.2" x14ac:dyDescent="0.3">
      <c r="A4737" s="109" t="s">
        <v>27581</v>
      </c>
      <c r="B4737" s="109" t="s">
        <v>26487</v>
      </c>
      <c r="C4737" s="109" t="s">
        <v>26487</v>
      </c>
      <c r="D4737" s="109" t="s">
        <v>27582</v>
      </c>
      <c r="E4737" s="109" t="s">
        <v>27583</v>
      </c>
      <c r="F4737" s="109" t="s">
        <v>12655</v>
      </c>
      <c r="G4737" s="110" t="s">
        <v>6248</v>
      </c>
      <c r="H4737" s="110" t="s">
        <v>27584</v>
      </c>
      <c r="I4737" s="110" t="s">
        <v>27585</v>
      </c>
    </row>
    <row r="4738" spans="1:9" ht="25.2" x14ac:dyDescent="0.3">
      <c r="A4738" s="109" t="s">
        <v>27586</v>
      </c>
      <c r="B4738" s="109" t="s">
        <v>27587</v>
      </c>
      <c r="C4738" s="109" t="s">
        <v>26487</v>
      </c>
      <c r="D4738" s="109" t="s">
        <v>27588</v>
      </c>
      <c r="E4738" s="109" t="s">
        <v>27589</v>
      </c>
      <c r="F4738" s="109" t="s">
        <v>8852</v>
      </c>
      <c r="G4738" s="110" t="s">
        <v>6248</v>
      </c>
      <c r="H4738" s="110" t="s">
        <v>8984</v>
      </c>
      <c r="I4738" s="110" t="s">
        <v>27590</v>
      </c>
    </row>
    <row r="4739" spans="1:9" ht="25.2" x14ac:dyDescent="0.3">
      <c r="A4739" s="109" t="s">
        <v>27591</v>
      </c>
      <c r="B4739" s="109" t="s">
        <v>27587</v>
      </c>
      <c r="C4739" s="109" t="s">
        <v>26487</v>
      </c>
      <c r="D4739" s="109" t="s">
        <v>5569</v>
      </c>
      <c r="E4739" s="109" t="s">
        <v>5558</v>
      </c>
      <c r="F4739" s="109" t="s">
        <v>2258</v>
      </c>
      <c r="G4739" s="110" t="s">
        <v>6248</v>
      </c>
      <c r="H4739" s="110" t="s">
        <v>14273</v>
      </c>
      <c r="I4739" s="110" t="s">
        <v>27592</v>
      </c>
    </row>
    <row r="4740" spans="1:9" ht="37.799999999999997" x14ac:dyDescent="0.3">
      <c r="A4740" s="109" t="s">
        <v>27593</v>
      </c>
      <c r="B4740" s="109" t="s">
        <v>27587</v>
      </c>
      <c r="C4740" s="109" t="s">
        <v>27587</v>
      </c>
      <c r="D4740" s="109" t="s">
        <v>27594</v>
      </c>
      <c r="E4740" s="109" t="s">
        <v>5558</v>
      </c>
      <c r="F4740" s="109" t="s">
        <v>27595</v>
      </c>
      <c r="G4740" s="110" t="s">
        <v>6248</v>
      </c>
      <c r="H4740" s="110" t="s">
        <v>27596</v>
      </c>
      <c r="I4740" s="110" t="s">
        <v>27597</v>
      </c>
    </row>
    <row r="4741" spans="1:9" ht="25.2" x14ac:dyDescent="0.3">
      <c r="A4741" s="109" t="s">
        <v>27598</v>
      </c>
      <c r="B4741" s="109" t="s">
        <v>27587</v>
      </c>
      <c r="C4741" s="109" t="s">
        <v>27587</v>
      </c>
      <c r="D4741" s="109" t="s">
        <v>27599</v>
      </c>
      <c r="E4741" s="109" t="s">
        <v>27600</v>
      </c>
      <c r="F4741" s="109" t="s">
        <v>27601</v>
      </c>
      <c r="G4741" s="110" t="s">
        <v>6248</v>
      </c>
      <c r="H4741" s="110" t="s">
        <v>27602</v>
      </c>
      <c r="I4741" s="110" t="s">
        <v>27603</v>
      </c>
    </row>
    <row r="4742" spans="1:9" ht="25.2" x14ac:dyDescent="0.3">
      <c r="A4742" s="109" t="s">
        <v>27604</v>
      </c>
      <c r="B4742" s="109" t="s">
        <v>27587</v>
      </c>
      <c r="C4742" s="109" t="s">
        <v>27587</v>
      </c>
      <c r="D4742" s="109" t="s">
        <v>5569</v>
      </c>
      <c r="E4742" s="109" t="s">
        <v>5558</v>
      </c>
      <c r="F4742" s="109" t="s">
        <v>2258</v>
      </c>
      <c r="G4742" s="110" t="s">
        <v>6248</v>
      </c>
      <c r="H4742" s="110" t="s">
        <v>27605</v>
      </c>
      <c r="I4742" s="110" t="s">
        <v>27606</v>
      </c>
    </row>
    <row r="4743" spans="1:9" ht="25.2" x14ac:dyDescent="0.3">
      <c r="A4743" s="109" t="s">
        <v>27607</v>
      </c>
      <c r="B4743" s="109" t="s">
        <v>27587</v>
      </c>
      <c r="C4743" s="109" t="s">
        <v>27587</v>
      </c>
      <c r="D4743" s="109" t="s">
        <v>4150</v>
      </c>
      <c r="E4743" s="109" t="s">
        <v>15660</v>
      </c>
      <c r="F4743" s="109" t="s">
        <v>10266</v>
      </c>
      <c r="G4743" s="110" t="s">
        <v>6248</v>
      </c>
      <c r="H4743" s="110" t="s">
        <v>27608</v>
      </c>
      <c r="I4743" s="110" t="s">
        <v>27609</v>
      </c>
    </row>
    <row r="4744" spans="1:9" ht="25.2" x14ac:dyDescent="0.3">
      <c r="A4744" s="109" t="s">
        <v>27610</v>
      </c>
      <c r="B4744" s="109" t="s">
        <v>27587</v>
      </c>
      <c r="C4744" s="109" t="s">
        <v>27587</v>
      </c>
      <c r="D4744" s="109" t="s">
        <v>27611</v>
      </c>
      <c r="E4744" s="109" t="s">
        <v>27612</v>
      </c>
      <c r="F4744" s="109" t="s">
        <v>7723</v>
      </c>
      <c r="G4744" s="110" t="s">
        <v>6248</v>
      </c>
      <c r="H4744" s="110" t="s">
        <v>7321</v>
      </c>
      <c r="I4744" s="110" t="s">
        <v>27613</v>
      </c>
    </row>
    <row r="4745" spans="1:9" ht="25.2" x14ac:dyDescent="0.3">
      <c r="A4745" s="109" t="s">
        <v>27614</v>
      </c>
      <c r="B4745" s="109" t="s">
        <v>27587</v>
      </c>
      <c r="C4745" s="109" t="s">
        <v>27587</v>
      </c>
      <c r="D4745" s="109" t="s">
        <v>27615</v>
      </c>
      <c r="E4745" s="109" t="s">
        <v>5932</v>
      </c>
      <c r="F4745" s="109" t="s">
        <v>15902</v>
      </c>
      <c r="G4745" s="110" t="s">
        <v>6248</v>
      </c>
      <c r="H4745" s="110" t="s">
        <v>27616</v>
      </c>
      <c r="I4745" s="110" t="s">
        <v>27617</v>
      </c>
    </row>
    <row r="4746" spans="1:9" ht="25.2" x14ac:dyDescent="0.3">
      <c r="A4746" s="109" t="s">
        <v>27618</v>
      </c>
      <c r="B4746" s="109" t="s">
        <v>27587</v>
      </c>
      <c r="C4746" s="109" t="s">
        <v>27587</v>
      </c>
      <c r="D4746" s="109" t="s">
        <v>27619</v>
      </c>
      <c r="E4746" s="109" t="s">
        <v>27620</v>
      </c>
      <c r="F4746" s="109" t="s">
        <v>6368</v>
      </c>
      <c r="G4746" s="110" t="s">
        <v>16492</v>
      </c>
      <c r="H4746" s="110" t="s">
        <v>6248</v>
      </c>
      <c r="I4746" s="110" t="s">
        <v>27621</v>
      </c>
    </row>
    <row r="4747" spans="1:9" ht="37.799999999999997" x14ac:dyDescent="0.3">
      <c r="A4747" s="109" t="s">
        <v>27622</v>
      </c>
      <c r="B4747" s="109" t="s">
        <v>27587</v>
      </c>
      <c r="C4747" s="109" t="s">
        <v>27587</v>
      </c>
      <c r="D4747" s="109" t="s">
        <v>27623</v>
      </c>
      <c r="E4747" s="109" t="s">
        <v>5558</v>
      </c>
      <c r="F4747" s="109" t="s">
        <v>27624</v>
      </c>
      <c r="G4747" s="110" t="s">
        <v>6248</v>
      </c>
      <c r="H4747" s="110" t="s">
        <v>6689</v>
      </c>
      <c r="I4747" s="110" t="s">
        <v>27625</v>
      </c>
    </row>
    <row r="4748" spans="1:9" ht="37.799999999999997" x14ac:dyDescent="0.3">
      <c r="A4748" s="109" t="s">
        <v>27626</v>
      </c>
      <c r="B4748" s="109" t="s">
        <v>27587</v>
      </c>
      <c r="C4748" s="109" t="s">
        <v>27587</v>
      </c>
      <c r="D4748" s="109" t="s">
        <v>27627</v>
      </c>
      <c r="E4748" s="109" t="s">
        <v>5558</v>
      </c>
      <c r="F4748" s="109" t="s">
        <v>27628</v>
      </c>
      <c r="G4748" s="110" t="s">
        <v>6248</v>
      </c>
      <c r="H4748" s="110" t="s">
        <v>27629</v>
      </c>
      <c r="I4748" s="110" t="s">
        <v>27630</v>
      </c>
    </row>
    <row r="4749" spans="1:9" ht="25.2" x14ac:dyDescent="0.3">
      <c r="A4749" s="109" t="s">
        <v>27631</v>
      </c>
      <c r="B4749" s="109" t="s">
        <v>27587</v>
      </c>
      <c r="C4749" s="109" t="s">
        <v>27587</v>
      </c>
      <c r="D4749" s="109" t="s">
        <v>4151</v>
      </c>
      <c r="E4749" s="109" t="s">
        <v>27632</v>
      </c>
      <c r="F4749" s="109" t="s">
        <v>10266</v>
      </c>
      <c r="G4749" s="110" t="s">
        <v>6248</v>
      </c>
      <c r="H4749" s="110" t="s">
        <v>6898</v>
      </c>
      <c r="I4749" s="110" t="s">
        <v>27633</v>
      </c>
    </row>
    <row r="4750" spans="1:9" ht="25.2" x14ac:dyDescent="0.3">
      <c r="A4750" s="109" t="s">
        <v>27634</v>
      </c>
      <c r="B4750" s="109" t="s">
        <v>27587</v>
      </c>
      <c r="C4750" s="109" t="s">
        <v>27587</v>
      </c>
      <c r="D4750" s="109" t="s">
        <v>5569</v>
      </c>
      <c r="E4750" s="109" t="s">
        <v>5558</v>
      </c>
      <c r="F4750" s="109" t="s">
        <v>2258</v>
      </c>
      <c r="G4750" s="110" t="s">
        <v>6248</v>
      </c>
      <c r="H4750" s="110" t="s">
        <v>27635</v>
      </c>
      <c r="I4750" s="110" t="s">
        <v>27636</v>
      </c>
    </row>
    <row r="4751" spans="1:9" ht="25.2" x14ac:dyDescent="0.3">
      <c r="A4751" s="109" t="s">
        <v>27637</v>
      </c>
      <c r="B4751" s="109" t="s">
        <v>27587</v>
      </c>
      <c r="C4751" s="109" t="s">
        <v>27587</v>
      </c>
      <c r="D4751" s="109" t="s">
        <v>27638</v>
      </c>
      <c r="E4751" s="109" t="s">
        <v>5558</v>
      </c>
      <c r="F4751" s="109" t="s">
        <v>27639</v>
      </c>
      <c r="G4751" s="110" t="s">
        <v>6248</v>
      </c>
      <c r="H4751" s="110" t="s">
        <v>7395</v>
      </c>
      <c r="I4751" s="110" t="s">
        <v>27640</v>
      </c>
    </row>
    <row r="4752" spans="1:9" ht="25.2" x14ac:dyDescent="0.3">
      <c r="A4752" s="109" t="s">
        <v>27641</v>
      </c>
      <c r="B4752" s="109" t="s">
        <v>27587</v>
      </c>
      <c r="C4752" s="109" t="s">
        <v>27587</v>
      </c>
      <c r="D4752" s="109" t="s">
        <v>27642</v>
      </c>
      <c r="E4752" s="109" t="s">
        <v>5558</v>
      </c>
      <c r="F4752" s="109" t="s">
        <v>27643</v>
      </c>
      <c r="G4752" s="110" t="s">
        <v>6248</v>
      </c>
      <c r="H4752" s="110" t="s">
        <v>6643</v>
      </c>
      <c r="I4752" s="110" t="s">
        <v>27644</v>
      </c>
    </row>
    <row r="4753" spans="1:9" ht="25.2" x14ac:dyDescent="0.3">
      <c r="A4753" s="109" t="s">
        <v>27645</v>
      </c>
      <c r="B4753" s="109" t="s">
        <v>27587</v>
      </c>
      <c r="C4753" s="109" t="s">
        <v>27587</v>
      </c>
      <c r="D4753" s="109" t="s">
        <v>27646</v>
      </c>
      <c r="E4753" s="109" t="s">
        <v>5558</v>
      </c>
      <c r="F4753" s="109" t="s">
        <v>27647</v>
      </c>
      <c r="G4753" s="110" t="s">
        <v>6248</v>
      </c>
      <c r="H4753" s="110" t="s">
        <v>8984</v>
      </c>
      <c r="I4753" s="110" t="s">
        <v>27648</v>
      </c>
    </row>
    <row r="4754" spans="1:9" ht="25.2" x14ac:dyDescent="0.3">
      <c r="A4754" s="109" t="s">
        <v>27649</v>
      </c>
      <c r="B4754" s="109" t="s">
        <v>27587</v>
      </c>
      <c r="C4754" s="109" t="s">
        <v>27587</v>
      </c>
      <c r="D4754" s="109" t="s">
        <v>27650</v>
      </c>
      <c r="E4754" s="109" t="s">
        <v>5558</v>
      </c>
      <c r="F4754" s="109" t="s">
        <v>27651</v>
      </c>
      <c r="G4754" s="110" t="s">
        <v>6248</v>
      </c>
      <c r="H4754" s="110" t="s">
        <v>7952</v>
      </c>
      <c r="I4754" s="110" t="s">
        <v>27652</v>
      </c>
    </row>
    <row r="4755" spans="1:9" ht="37.799999999999997" x14ac:dyDescent="0.3">
      <c r="A4755" s="109" t="s">
        <v>27653</v>
      </c>
      <c r="B4755" s="109" t="s">
        <v>27587</v>
      </c>
      <c r="C4755" s="109" t="s">
        <v>27587</v>
      </c>
      <c r="D4755" s="109" t="s">
        <v>27654</v>
      </c>
      <c r="E4755" s="109" t="s">
        <v>5558</v>
      </c>
      <c r="F4755" s="109" t="s">
        <v>27655</v>
      </c>
      <c r="G4755" s="110" t="s">
        <v>6248</v>
      </c>
      <c r="H4755" s="110" t="s">
        <v>10349</v>
      </c>
      <c r="I4755" s="110" t="s">
        <v>27656</v>
      </c>
    </row>
    <row r="4756" spans="1:9" ht="37.799999999999997" x14ac:dyDescent="0.3">
      <c r="A4756" s="109" t="s">
        <v>27657</v>
      </c>
      <c r="B4756" s="109" t="s">
        <v>27587</v>
      </c>
      <c r="C4756" s="109" t="s">
        <v>27587</v>
      </c>
      <c r="D4756" s="109" t="s">
        <v>27658</v>
      </c>
      <c r="E4756" s="109" t="s">
        <v>5558</v>
      </c>
      <c r="F4756" s="109" t="s">
        <v>27659</v>
      </c>
      <c r="G4756" s="110" t="s">
        <v>6248</v>
      </c>
      <c r="H4756" s="110" t="s">
        <v>7830</v>
      </c>
      <c r="I4756" s="110" t="s">
        <v>27660</v>
      </c>
    </row>
    <row r="4757" spans="1:9" ht="25.2" x14ac:dyDescent="0.3">
      <c r="A4757" s="109" t="s">
        <v>27661</v>
      </c>
      <c r="B4757" s="109" t="s">
        <v>27587</v>
      </c>
      <c r="C4757" s="109" t="s">
        <v>27587</v>
      </c>
      <c r="D4757" s="109" t="s">
        <v>27662</v>
      </c>
      <c r="E4757" s="109" t="s">
        <v>5558</v>
      </c>
      <c r="F4757" s="109" t="s">
        <v>27663</v>
      </c>
      <c r="G4757" s="110" t="s">
        <v>6248</v>
      </c>
      <c r="H4757" s="110" t="s">
        <v>6403</v>
      </c>
      <c r="I4757" s="110" t="s">
        <v>27664</v>
      </c>
    </row>
    <row r="4758" spans="1:9" ht="25.2" x14ac:dyDescent="0.3">
      <c r="A4758" s="109" t="s">
        <v>27665</v>
      </c>
      <c r="B4758" s="109" t="s">
        <v>27587</v>
      </c>
      <c r="C4758" s="109" t="s">
        <v>27587</v>
      </c>
      <c r="D4758" s="109" t="s">
        <v>27666</v>
      </c>
      <c r="E4758" s="109" t="s">
        <v>5558</v>
      </c>
      <c r="F4758" s="109" t="s">
        <v>27667</v>
      </c>
      <c r="G4758" s="110" t="s">
        <v>6248</v>
      </c>
      <c r="H4758" s="110" t="s">
        <v>6639</v>
      </c>
      <c r="I4758" s="110" t="s">
        <v>27668</v>
      </c>
    </row>
    <row r="4759" spans="1:9" ht="25.2" x14ac:dyDescent="0.3">
      <c r="A4759" s="109" t="s">
        <v>27669</v>
      </c>
      <c r="B4759" s="109" t="s">
        <v>27587</v>
      </c>
      <c r="C4759" s="109" t="s">
        <v>27587</v>
      </c>
      <c r="D4759" s="109" t="s">
        <v>27670</v>
      </c>
      <c r="E4759" s="109" t="s">
        <v>5558</v>
      </c>
      <c r="F4759" s="109" t="s">
        <v>27671</v>
      </c>
      <c r="G4759" s="110" t="s">
        <v>6248</v>
      </c>
      <c r="H4759" s="110" t="s">
        <v>6512</v>
      </c>
      <c r="I4759" s="110" t="s">
        <v>27672</v>
      </c>
    </row>
    <row r="4760" spans="1:9" ht="25.2" x14ac:dyDescent="0.3">
      <c r="A4760" s="109" t="s">
        <v>27673</v>
      </c>
      <c r="B4760" s="109" t="s">
        <v>27587</v>
      </c>
      <c r="C4760" s="109" t="s">
        <v>27587</v>
      </c>
      <c r="D4760" s="109" t="s">
        <v>27674</v>
      </c>
      <c r="E4760" s="109" t="s">
        <v>5558</v>
      </c>
      <c r="F4760" s="109" t="s">
        <v>27675</v>
      </c>
      <c r="G4760" s="110" t="s">
        <v>6248</v>
      </c>
      <c r="H4760" s="110" t="s">
        <v>27676</v>
      </c>
      <c r="I4760" s="110" t="s">
        <v>27677</v>
      </c>
    </row>
    <row r="4761" spans="1:9" ht="25.2" x14ac:dyDescent="0.3">
      <c r="A4761" s="109" t="s">
        <v>27678</v>
      </c>
      <c r="B4761" s="109" t="s">
        <v>27587</v>
      </c>
      <c r="C4761" s="109" t="s">
        <v>27587</v>
      </c>
      <c r="D4761" s="109" t="s">
        <v>27679</v>
      </c>
      <c r="E4761" s="109" t="s">
        <v>5558</v>
      </c>
      <c r="F4761" s="109" t="s">
        <v>27680</v>
      </c>
      <c r="G4761" s="110" t="s">
        <v>6248</v>
      </c>
      <c r="H4761" s="110" t="s">
        <v>6489</v>
      </c>
      <c r="I4761" s="110" t="s">
        <v>27681</v>
      </c>
    </row>
    <row r="4762" spans="1:9" ht="37.799999999999997" x14ac:dyDescent="0.3">
      <c r="A4762" s="109" t="s">
        <v>27682</v>
      </c>
      <c r="B4762" s="109" t="s">
        <v>27587</v>
      </c>
      <c r="C4762" s="109" t="s">
        <v>27587</v>
      </c>
      <c r="D4762" s="109" t="s">
        <v>27683</v>
      </c>
      <c r="E4762" s="109" t="s">
        <v>5558</v>
      </c>
      <c r="F4762" s="109" t="s">
        <v>27684</v>
      </c>
      <c r="G4762" s="110" t="s">
        <v>6248</v>
      </c>
      <c r="H4762" s="110" t="s">
        <v>6639</v>
      </c>
      <c r="I4762" s="110" t="s">
        <v>27685</v>
      </c>
    </row>
    <row r="4763" spans="1:9" ht="25.2" x14ac:dyDescent="0.3">
      <c r="A4763" s="109" t="s">
        <v>27686</v>
      </c>
      <c r="B4763" s="109" t="s">
        <v>27587</v>
      </c>
      <c r="C4763" s="109" t="s">
        <v>27587</v>
      </c>
      <c r="D4763" s="109" t="s">
        <v>27687</v>
      </c>
      <c r="E4763" s="109" t="s">
        <v>5558</v>
      </c>
      <c r="F4763" s="109" t="s">
        <v>27688</v>
      </c>
      <c r="G4763" s="110" t="s">
        <v>6248</v>
      </c>
      <c r="H4763" s="110" t="s">
        <v>6575</v>
      </c>
      <c r="I4763" s="110" t="s">
        <v>27689</v>
      </c>
    </row>
    <row r="4764" spans="1:9" ht="25.2" x14ac:dyDescent="0.3">
      <c r="A4764" s="109" t="s">
        <v>27690</v>
      </c>
      <c r="B4764" s="109" t="s">
        <v>27587</v>
      </c>
      <c r="C4764" s="109" t="s">
        <v>27587</v>
      </c>
      <c r="D4764" s="109" t="s">
        <v>27691</v>
      </c>
      <c r="E4764" s="109" t="s">
        <v>5558</v>
      </c>
      <c r="F4764" s="109" t="s">
        <v>27692</v>
      </c>
      <c r="G4764" s="110" t="s">
        <v>6248</v>
      </c>
      <c r="H4764" s="110" t="s">
        <v>6398</v>
      </c>
      <c r="I4764" s="110" t="s">
        <v>27693</v>
      </c>
    </row>
    <row r="4765" spans="1:9" ht="25.2" x14ac:dyDescent="0.3">
      <c r="A4765" s="109" t="s">
        <v>27694</v>
      </c>
      <c r="B4765" s="109" t="s">
        <v>27587</v>
      </c>
      <c r="C4765" s="109" t="s">
        <v>27587</v>
      </c>
      <c r="D4765" s="109" t="s">
        <v>27695</v>
      </c>
      <c r="E4765" s="109" t="s">
        <v>5558</v>
      </c>
      <c r="F4765" s="109" t="s">
        <v>27696</v>
      </c>
      <c r="G4765" s="110" t="s">
        <v>6248</v>
      </c>
      <c r="H4765" s="110" t="s">
        <v>6398</v>
      </c>
      <c r="I4765" s="110" t="s">
        <v>27697</v>
      </c>
    </row>
    <row r="4766" spans="1:9" ht="25.2" x14ac:dyDescent="0.3">
      <c r="A4766" s="109" t="s">
        <v>27698</v>
      </c>
      <c r="B4766" s="109" t="s">
        <v>27587</v>
      </c>
      <c r="C4766" s="109" t="s">
        <v>27587</v>
      </c>
      <c r="D4766" s="109" t="s">
        <v>27699</v>
      </c>
      <c r="E4766" s="109" t="s">
        <v>5558</v>
      </c>
      <c r="F4766" s="109" t="s">
        <v>27700</v>
      </c>
      <c r="G4766" s="110" t="s">
        <v>6248</v>
      </c>
      <c r="H4766" s="110" t="s">
        <v>7592</v>
      </c>
      <c r="I4766" s="110" t="s">
        <v>27701</v>
      </c>
    </row>
    <row r="4767" spans="1:9" ht="25.2" x14ac:dyDescent="0.3">
      <c r="A4767" s="109" t="s">
        <v>27702</v>
      </c>
      <c r="B4767" s="109" t="s">
        <v>27587</v>
      </c>
      <c r="C4767" s="109" t="s">
        <v>27587</v>
      </c>
      <c r="D4767" s="109" t="s">
        <v>27703</v>
      </c>
      <c r="E4767" s="109" t="s">
        <v>5558</v>
      </c>
      <c r="F4767" s="109" t="s">
        <v>27704</v>
      </c>
      <c r="G4767" s="110" t="s">
        <v>6248</v>
      </c>
      <c r="H4767" s="110" t="s">
        <v>27705</v>
      </c>
      <c r="I4767" s="110" t="s">
        <v>27706</v>
      </c>
    </row>
    <row r="4768" spans="1:9" ht="25.2" x14ac:dyDescent="0.3">
      <c r="A4768" s="109" t="s">
        <v>27707</v>
      </c>
      <c r="B4768" s="109" t="s">
        <v>27587</v>
      </c>
      <c r="C4768" s="109" t="s">
        <v>27587</v>
      </c>
      <c r="D4768" s="109" t="s">
        <v>27708</v>
      </c>
      <c r="E4768" s="109" t="s">
        <v>5558</v>
      </c>
      <c r="F4768" s="109" t="s">
        <v>27709</v>
      </c>
      <c r="G4768" s="110" t="s">
        <v>6248</v>
      </c>
      <c r="H4768" s="110" t="s">
        <v>7592</v>
      </c>
      <c r="I4768" s="110" t="s">
        <v>27710</v>
      </c>
    </row>
    <row r="4769" spans="1:9" ht="37.799999999999997" x14ac:dyDescent="0.3">
      <c r="A4769" s="109" t="s">
        <v>27711</v>
      </c>
      <c r="B4769" s="109" t="s">
        <v>27587</v>
      </c>
      <c r="C4769" s="109" t="s">
        <v>27587</v>
      </c>
      <c r="D4769" s="109" t="s">
        <v>27712</v>
      </c>
      <c r="E4769" s="109" t="s">
        <v>5558</v>
      </c>
      <c r="F4769" s="109" t="s">
        <v>27713</v>
      </c>
      <c r="G4769" s="110" t="s">
        <v>6248</v>
      </c>
      <c r="H4769" s="110" t="s">
        <v>11597</v>
      </c>
      <c r="I4769" s="110" t="s">
        <v>27714</v>
      </c>
    </row>
    <row r="4770" spans="1:9" ht="25.2" x14ac:dyDescent="0.3">
      <c r="A4770" s="109" t="s">
        <v>27715</v>
      </c>
      <c r="B4770" s="109" t="s">
        <v>27587</v>
      </c>
      <c r="C4770" s="109" t="s">
        <v>27587</v>
      </c>
      <c r="D4770" s="109" t="s">
        <v>27716</v>
      </c>
      <c r="E4770" s="109" t="s">
        <v>5558</v>
      </c>
      <c r="F4770" s="109" t="s">
        <v>27717</v>
      </c>
      <c r="G4770" s="110" t="s">
        <v>6248</v>
      </c>
      <c r="H4770" s="110" t="s">
        <v>6570</v>
      </c>
      <c r="I4770" s="110" t="s">
        <v>27718</v>
      </c>
    </row>
    <row r="4771" spans="1:9" ht="37.799999999999997" x14ac:dyDescent="0.3">
      <c r="A4771" s="109" t="s">
        <v>27719</v>
      </c>
      <c r="B4771" s="109" t="s">
        <v>27587</v>
      </c>
      <c r="C4771" s="109" t="s">
        <v>27587</v>
      </c>
      <c r="D4771" s="109" t="s">
        <v>27720</v>
      </c>
      <c r="E4771" s="109" t="s">
        <v>5558</v>
      </c>
      <c r="F4771" s="109" t="s">
        <v>27721</v>
      </c>
      <c r="G4771" s="110" t="s">
        <v>6248</v>
      </c>
      <c r="H4771" s="110" t="s">
        <v>6489</v>
      </c>
      <c r="I4771" s="110" t="s">
        <v>27722</v>
      </c>
    </row>
    <row r="4772" spans="1:9" ht="25.2" x14ac:dyDescent="0.3">
      <c r="A4772" s="109" t="s">
        <v>27723</v>
      </c>
      <c r="B4772" s="109" t="s">
        <v>27587</v>
      </c>
      <c r="C4772" s="109" t="s">
        <v>27587</v>
      </c>
      <c r="D4772" s="109" t="s">
        <v>27724</v>
      </c>
      <c r="E4772" s="109" t="s">
        <v>5558</v>
      </c>
      <c r="F4772" s="109" t="s">
        <v>27725</v>
      </c>
      <c r="G4772" s="110" t="s">
        <v>6248</v>
      </c>
      <c r="H4772" s="110" t="s">
        <v>6403</v>
      </c>
      <c r="I4772" s="110" t="s">
        <v>27726</v>
      </c>
    </row>
    <row r="4773" spans="1:9" ht="37.799999999999997" x14ac:dyDescent="0.3">
      <c r="A4773" s="109" t="s">
        <v>27727</v>
      </c>
      <c r="B4773" s="109" t="s">
        <v>27587</v>
      </c>
      <c r="C4773" s="109" t="s">
        <v>27587</v>
      </c>
      <c r="D4773" s="109" t="s">
        <v>27728</v>
      </c>
      <c r="E4773" s="109" t="s">
        <v>5558</v>
      </c>
      <c r="F4773" s="109" t="s">
        <v>27729</v>
      </c>
      <c r="G4773" s="110" t="s">
        <v>6248</v>
      </c>
      <c r="H4773" s="110" t="s">
        <v>6393</v>
      </c>
      <c r="I4773" s="110" t="s">
        <v>27730</v>
      </c>
    </row>
    <row r="4774" spans="1:9" ht="37.799999999999997" x14ac:dyDescent="0.3">
      <c r="A4774" s="109" t="s">
        <v>27731</v>
      </c>
      <c r="B4774" s="109" t="s">
        <v>27587</v>
      </c>
      <c r="C4774" s="109" t="s">
        <v>27587</v>
      </c>
      <c r="D4774" s="109" t="s">
        <v>27732</v>
      </c>
      <c r="E4774" s="109" t="s">
        <v>5558</v>
      </c>
      <c r="F4774" s="109" t="s">
        <v>27733</v>
      </c>
      <c r="G4774" s="110" t="s">
        <v>6248</v>
      </c>
      <c r="H4774" s="110" t="s">
        <v>12935</v>
      </c>
      <c r="I4774" s="110" t="s">
        <v>27734</v>
      </c>
    </row>
    <row r="4775" spans="1:9" ht="25.2" x14ac:dyDescent="0.3">
      <c r="A4775" s="109" t="s">
        <v>27735</v>
      </c>
      <c r="B4775" s="109" t="s">
        <v>27587</v>
      </c>
      <c r="C4775" s="109" t="s">
        <v>27587</v>
      </c>
      <c r="D4775" s="109" t="s">
        <v>27736</v>
      </c>
      <c r="E4775" s="109" t="s">
        <v>5558</v>
      </c>
      <c r="F4775" s="109" t="s">
        <v>27737</v>
      </c>
      <c r="G4775" s="110" t="s">
        <v>6248</v>
      </c>
      <c r="H4775" s="110" t="s">
        <v>6433</v>
      </c>
      <c r="I4775" s="110" t="s">
        <v>27738</v>
      </c>
    </row>
    <row r="4776" spans="1:9" ht="25.2" x14ac:dyDescent="0.3">
      <c r="A4776" s="109" t="s">
        <v>27739</v>
      </c>
      <c r="B4776" s="109" t="s">
        <v>27587</v>
      </c>
      <c r="C4776" s="109" t="s">
        <v>27587</v>
      </c>
      <c r="D4776" s="109" t="s">
        <v>27740</v>
      </c>
      <c r="E4776" s="109" t="s">
        <v>5558</v>
      </c>
      <c r="F4776" s="109" t="s">
        <v>27741</v>
      </c>
      <c r="G4776" s="110" t="s">
        <v>6248</v>
      </c>
      <c r="H4776" s="110" t="s">
        <v>6570</v>
      </c>
      <c r="I4776" s="110" t="s">
        <v>27742</v>
      </c>
    </row>
    <row r="4777" spans="1:9" ht="25.2" x14ac:dyDescent="0.3">
      <c r="A4777" s="109" t="s">
        <v>27743</v>
      </c>
      <c r="B4777" s="109" t="s">
        <v>27587</v>
      </c>
      <c r="C4777" s="109" t="s">
        <v>27587</v>
      </c>
      <c r="D4777" s="109" t="s">
        <v>27744</v>
      </c>
      <c r="E4777" s="109" t="s">
        <v>5558</v>
      </c>
      <c r="F4777" s="109" t="s">
        <v>27745</v>
      </c>
      <c r="G4777" s="110" t="s">
        <v>6248</v>
      </c>
      <c r="H4777" s="110" t="s">
        <v>8905</v>
      </c>
      <c r="I4777" s="110" t="s">
        <v>27746</v>
      </c>
    </row>
    <row r="4778" spans="1:9" ht="25.2" x14ac:dyDescent="0.3">
      <c r="A4778" s="109" t="s">
        <v>27747</v>
      </c>
      <c r="B4778" s="109" t="s">
        <v>27587</v>
      </c>
      <c r="C4778" s="109" t="s">
        <v>27587</v>
      </c>
      <c r="D4778" s="109" t="s">
        <v>27748</v>
      </c>
      <c r="E4778" s="109" t="s">
        <v>5558</v>
      </c>
      <c r="F4778" s="109" t="s">
        <v>27749</v>
      </c>
      <c r="G4778" s="110" t="s">
        <v>6248</v>
      </c>
      <c r="H4778" s="110" t="s">
        <v>7947</v>
      </c>
      <c r="I4778" s="110" t="s">
        <v>27750</v>
      </c>
    </row>
    <row r="4779" spans="1:9" ht="37.799999999999997" x14ac:dyDescent="0.3">
      <c r="A4779" s="109" t="s">
        <v>27751</v>
      </c>
      <c r="B4779" s="109" t="s">
        <v>27587</v>
      </c>
      <c r="C4779" s="109" t="s">
        <v>27587</v>
      </c>
      <c r="D4779" s="109" t="s">
        <v>27752</v>
      </c>
      <c r="E4779" s="109" t="s">
        <v>5558</v>
      </c>
      <c r="F4779" s="109" t="s">
        <v>27753</v>
      </c>
      <c r="G4779" s="110" t="s">
        <v>6248</v>
      </c>
      <c r="H4779" s="110" t="s">
        <v>6474</v>
      </c>
      <c r="I4779" s="110" t="s">
        <v>27754</v>
      </c>
    </row>
    <row r="4780" spans="1:9" ht="37.799999999999997" x14ac:dyDescent="0.3">
      <c r="A4780" s="109" t="s">
        <v>27755</v>
      </c>
      <c r="B4780" s="109" t="s">
        <v>27587</v>
      </c>
      <c r="C4780" s="109" t="s">
        <v>27587</v>
      </c>
      <c r="D4780" s="109" t="s">
        <v>27756</v>
      </c>
      <c r="E4780" s="109" t="s">
        <v>5558</v>
      </c>
      <c r="F4780" s="109" t="s">
        <v>27757</v>
      </c>
      <c r="G4780" s="110" t="s">
        <v>6248</v>
      </c>
      <c r="H4780" s="110" t="s">
        <v>11525</v>
      </c>
      <c r="I4780" s="110" t="s">
        <v>27758</v>
      </c>
    </row>
    <row r="4781" spans="1:9" ht="25.2" x14ac:dyDescent="0.3">
      <c r="A4781" s="109" t="s">
        <v>27759</v>
      </c>
      <c r="B4781" s="109" t="s">
        <v>27587</v>
      </c>
      <c r="C4781" s="109" t="s">
        <v>27587</v>
      </c>
      <c r="D4781" s="109" t="s">
        <v>27760</v>
      </c>
      <c r="E4781" s="109" t="s">
        <v>5558</v>
      </c>
      <c r="F4781" s="109" t="s">
        <v>27761</v>
      </c>
      <c r="G4781" s="110" t="s">
        <v>6248</v>
      </c>
      <c r="H4781" s="110" t="s">
        <v>13982</v>
      </c>
      <c r="I4781" s="110" t="s">
        <v>27762</v>
      </c>
    </row>
    <row r="4782" spans="1:9" ht="37.799999999999997" x14ac:dyDescent="0.3">
      <c r="A4782" s="109" t="s">
        <v>27763</v>
      </c>
      <c r="B4782" s="109" t="s">
        <v>27587</v>
      </c>
      <c r="C4782" s="109" t="s">
        <v>27587</v>
      </c>
      <c r="D4782" s="109" t="s">
        <v>27764</v>
      </c>
      <c r="E4782" s="109" t="s">
        <v>5558</v>
      </c>
      <c r="F4782" s="109" t="s">
        <v>27765</v>
      </c>
      <c r="G4782" s="110" t="s">
        <v>6248</v>
      </c>
      <c r="H4782" s="110" t="s">
        <v>27766</v>
      </c>
      <c r="I4782" s="110" t="s">
        <v>27767</v>
      </c>
    </row>
    <row r="4783" spans="1:9" ht="37.799999999999997" x14ac:dyDescent="0.3">
      <c r="A4783" s="109" t="s">
        <v>27768</v>
      </c>
      <c r="B4783" s="109" t="s">
        <v>27587</v>
      </c>
      <c r="C4783" s="109" t="s">
        <v>27587</v>
      </c>
      <c r="D4783" s="109" t="s">
        <v>27769</v>
      </c>
      <c r="E4783" s="109" t="s">
        <v>5558</v>
      </c>
      <c r="F4783" s="109" t="s">
        <v>27770</v>
      </c>
      <c r="G4783" s="110" t="s">
        <v>6248</v>
      </c>
      <c r="H4783" s="110" t="s">
        <v>6557</v>
      </c>
      <c r="I4783" s="110" t="s">
        <v>27771</v>
      </c>
    </row>
    <row r="4784" spans="1:9" ht="25.2" x14ac:dyDescent="0.3">
      <c r="A4784" s="109" t="s">
        <v>27772</v>
      </c>
      <c r="B4784" s="109" t="s">
        <v>27587</v>
      </c>
      <c r="C4784" s="109" t="s">
        <v>27587</v>
      </c>
      <c r="D4784" s="109" t="s">
        <v>27773</v>
      </c>
      <c r="E4784" s="109" t="s">
        <v>5558</v>
      </c>
      <c r="F4784" s="109" t="s">
        <v>27774</v>
      </c>
      <c r="G4784" s="110" t="s">
        <v>6248</v>
      </c>
      <c r="H4784" s="110" t="s">
        <v>6557</v>
      </c>
      <c r="I4784" s="110" t="s">
        <v>27775</v>
      </c>
    </row>
    <row r="4785" spans="1:9" ht="37.799999999999997" x14ac:dyDescent="0.3">
      <c r="A4785" s="109" t="s">
        <v>27776</v>
      </c>
      <c r="B4785" s="109" t="s">
        <v>27587</v>
      </c>
      <c r="C4785" s="109" t="s">
        <v>27587</v>
      </c>
      <c r="D4785" s="109" t="s">
        <v>27777</v>
      </c>
      <c r="E4785" s="109" t="s">
        <v>5558</v>
      </c>
      <c r="F4785" s="109" t="s">
        <v>27778</v>
      </c>
      <c r="G4785" s="110" t="s">
        <v>6248</v>
      </c>
      <c r="H4785" s="110" t="s">
        <v>10312</v>
      </c>
      <c r="I4785" s="110" t="s">
        <v>27779</v>
      </c>
    </row>
    <row r="4786" spans="1:9" ht="37.799999999999997" x14ac:dyDescent="0.3">
      <c r="A4786" s="109" t="s">
        <v>27780</v>
      </c>
      <c r="B4786" s="109" t="s">
        <v>27587</v>
      </c>
      <c r="C4786" s="109" t="s">
        <v>27587</v>
      </c>
      <c r="D4786" s="109" t="s">
        <v>27781</v>
      </c>
      <c r="E4786" s="109" t="s">
        <v>5558</v>
      </c>
      <c r="F4786" s="109" t="s">
        <v>27782</v>
      </c>
      <c r="G4786" s="110" t="s">
        <v>6248</v>
      </c>
      <c r="H4786" s="110" t="s">
        <v>8445</v>
      </c>
      <c r="I4786" s="110" t="s">
        <v>27783</v>
      </c>
    </row>
    <row r="4787" spans="1:9" ht="25.2" x14ac:dyDescent="0.3">
      <c r="A4787" s="109" t="s">
        <v>27784</v>
      </c>
      <c r="B4787" s="109" t="s">
        <v>27587</v>
      </c>
      <c r="C4787" s="109" t="s">
        <v>27587</v>
      </c>
      <c r="D4787" s="109" t="s">
        <v>27785</v>
      </c>
      <c r="E4787" s="109" t="s">
        <v>5558</v>
      </c>
      <c r="F4787" s="109" t="s">
        <v>27786</v>
      </c>
      <c r="G4787" s="110" t="s">
        <v>6248</v>
      </c>
      <c r="H4787" s="110" t="s">
        <v>27787</v>
      </c>
      <c r="I4787" s="110" t="s">
        <v>27788</v>
      </c>
    </row>
    <row r="4788" spans="1:9" ht="25.2" x14ac:dyDescent="0.3">
      <c r="A4788" s="109" t="s">
        <v>27789</v>
      </c>
      <c r="B4788" s="109" t="s">
        <v>27587</v>
      </c>
      <c r="C4788" s="109" t="s">
        <v>27587</v>
      </c>
      <c r="D4788" s="109" t="s">
        <v>27790</v>
      </c>
      <c r="E4788" s="109" t="s">
        <v>5558</v>
      </c>
      <c r="F4788" s="109" t="s">
        <v>27791</v>
      </c>
      <c r="G4788" s="110" t="s">
        <v>6248</v>
      </c>
      <c r="H4788" s="110" t="s">
        <v>6398</v>
      </c>
      <c r="I4788" s="110" t="s">
        <v>27792</v>
      </c>
    </row>
    <row r="4789" spans="1:9" ht="25.2" x14ac:dyDescent="0.3">
      <c r="A4789" s="109" t="s">
        <v>27793</v>
      </c>
      <c r="B4789" s="109" t="s">
        <v>27587</v>
      </c>
      <c r="C4789" s="109" t="s">
        <v>27587</v>
      </c>
      <c r="D4789" s="109" t="s">
        <v>27794</v>
      </c>
      <c r="E4789" s="109" t="s">
        <v>5558</v>
      </c>
      <c r="F4789" s="109" t="s">
        <v>27795</v>
      </c>
      <c r="G4789" s="110" t="s">
        <v>6248</v>
      </c>
      <c r="H4789" s="110" t="s">
        <v>8984</v>
      </c>
      <c r="I4789" s="110" t="s">
        <v>27796</v>
      </c>
    </row>
    <row r="4790" spans="1:9" ht="37.799999999999997" x14ac:dyDescent="0.3">
      <c r="A4790" s="109" t="s">
        <v>27797</v>
      </c>
      <c r="B4790" s="109" t="s">
        <v>27587</v>
      </c>
      <c r="C4790" s="109" t="s">
        <v>27587</v>
      </c>
      <c r="D4790" s="109" t="s">
        <v>27798</v>
      </c>
      <c r="E4790" s="109" t="s">
        <v>5558</v>
      </c>
      <c r="F4790" s="109" t="s">
        <v>27799</v>
      </c>
      <c r="G4790" s="110" t="s">
        <v>6248</v>
      </c>
      <c r="H4790" s="110" t="s">
        <v>6398</v>
      </c>
      <c r="I4790" s="110" t="s">
        <v>27800</v>
      </c>
    </row>
    <row r="4791" spans="1:9" ht="25.2" x14ac:dyDescent="0.3">
      <c r="A4791" s="109" t="s">
        <v>27801</v>
      </c>
      <c r="B4791" s="109" t="s">
        <v>27587</v>
      </c>
      <c r="C4791" s="109" t="s">
        <v>27587</v>
      </c>
      <c r="D4791" s="109" t="s">
        <v>27802</v>
      </c>
      <c r="E4791" s="109" t="s">
        <v>5558</v>
      </c>
      <c r="F4791" s="109" t="s">
        <v>27803</v>
      </c>
      <c r="G4791" s="110" t="s">
        <v>6248</v>
      </c>
      <c r="H4791" s="110" t="s">
        <v>7592</v>
      </c>
      <c r="I4791" s="110" t="s">
        <v>27804</v>
      </c>
    </row>
    <row r="4792" spans="1:9" ht="37.799999999999997" x14ac:dyDescent="0.3">
      <c r="A4792" s="109" t="s">
        <v>27805</v>
      </c>
      <c r="B4792" s="109" t="s">
        <v>27587</v>
      </c>
      <c r="C4792" s="109" t="s">
        <v>27587</v>
      </c>
      <c r="D4792" s="109" t="s">
        <v>27806</v>
      </c>
      <c r="E4792" s="109" t="s">
        <v>5558</v>
      </c>
      <c r="F4792" s="109" t="s">
        <v>27807</v>
      </c>
      <c r="G4792" s="110" t="s">
        <v>6248</v>
      </c>
      <c r="H4792" s="110" t="s">
        <v>6634</v>
      </c>
      <c r="I4792" s="110" t="s">
        <v>27808</v>
      </c>
    </row>
    <row r="4793" spans="1:9" ht="25.2" x14ac:dyDescent="0.3">
      <c r="A4793" s="109" t="s">
        <v>27809</v>
      </c>
      <c r="B4793" s="109" t="s">
        <v>27587</v>
      </c>
      <c r="C4793" s="109" t="s">
        <v>27587</v>
      </c>
      <c r="D4793" s="109" t="s">
        <v>27810</v>
      </c>
      <c r="E4793" s="109" t="s">
        <v>5558</v>
      </c>
      <c r="F4793" s="109" t="s">
        <v>27811</v>
      </c>
      <c r="G4793" s="110" t="s">
        <v>6248</v>
      </c>
      <c r="H4793" s="110" t="s">
        <v>6474</v>
      </c>
      <c r="I4793" s="110" t="s">
        <v>27812</v>
      </c>
    </row>
    <row r="4794" spans="1:9" ht="25.2" x14ac:dyDescent="0.3">
      <c r="A4794" s="109" t="s">
        <v>27813</v>
      </c>
      <c r="B4794" s="109" t="s">
        <v>27587</v>
      </c>
      <c r="C4794" s="109" t="s">
        <v>27587</v>
      </c>
      <c r="D4794" s="109" t="s">
        <v>27814</v>
      </c>
      <c r="E4794" s="109" t="s">
        <v>5558</v>
      </c>
      <c r="F4794" s="109" t="s">
        <v>27815</v>
      </c>
      <c r="G4794" s="110" t="s">
        <v>6248</v>
      </c>
      <c r="H4794" s="110" t="s">
        <v>7817</v>
      </c>
      <c r="I4794" s="110" t="s">
        <v>27816</v>
      </c>
    </row>
    <row r="4795" spans="1:9" ht="25.2" x14ac:dyDescent="0.3">
      <c r="A4795" s="109" t="s">
        <v>27817</v>
      </c>
      <c r="B4795" s="109" t="s">
        <v>27587</v>
      </c>
      <c r="C4795" s="109" t="s">
        <v>27587</v>
      </c>
      <c r="D4795" s="109" t="s">
        <v>27818</v>
      </c>
      <c r="E4795" s="109" t="s">
        <v>5558</v>
      </c>
      <c r="F4795" s="109" t="s">
        <v>27819</v>
      </c>
      <c r="G4795" s="110" t="s">
        <v>6248</v>
      </c>
      <c r="H4795" s="110" t="s">
        <v>6389</v>
      </c>
      <c r="I4795" s="110" t="s">
        <v>27820</v>
      </c>
    </row>
    <row r="4796" spans="1:9" ht="25.2" x14ac:dyDescent="0.3">
      <c r="A4796" s="109" t="s">
        <v>27821</v>
      </c>
      <c r="B4796" s="109" t="s">
        <v>27587</v>
      </c>
      <c r="C4796" s="109" t="s">
        <v>27587</v>
      </c>
      <c r="D4796" s="109" t="s">
        <v>27822</v>
      </c>
      <c r="E4796" s="109" t="s">
        <v>5558</v>
      </c>
      <c r="F4796" s="109" t="s">
        <v>27823</v>
      </c>
      <c r="G4796" s="110" t="s">
        <v>6248</v>
      </c>
      <c r="H4796" s="110" t="s">
        <v>11597</v>
      </c>
      <c r="I4796" s="110" t="s">
        <v>27824</v>
      </c>
    </row>
    <row r="4797" spans="1:9" ht="37.799999999999997" x14ac:dyDescent="0.3">
      <c r="A4797" s="109" t="s">
        <v>27825</v>
      </c>
      <c r="B4797" s="109" t="s">
        <v>27587</v>
      </c>
      <c r="C4797" s="109" t="s">
        <v>27587</v>
      </c>
      <c r="D4797" s="109" t="s">
        <v>27826</v>
      </c>
      <c r="E4797" s="109" t="s">
        <v>5558</v>
      </c>
      <c r="F4797" s="109" t="s">
        <v>27827</v>
      </c>
      <c r="G4797" s="110" t="s">
        <v>6248</v>
      </c>
      <c r="H4797" s="110" t="s">
        <v>6413</v>
      </c>
      <c r="I4797" s="110" t="s">
        <v>27828</v>
      </c>
    </row>
    <row r="4798" spans="1:9" ht="25.2" x14ac:dyDescent="0.3">
      <c r="A4798" s="109" t="s">
        <v>27829</v>
      </c>
      <c r="B4798" s="109" t="s">
        <v>27587</v>
      </c>
      <c r="C4798" s="109" t="s">
        <v>27587</v>
      </c>
      <c r="D4798" s="109" t="s">
        <v>27830</v>
      </c>
      <c r="E4798" s="109" t="s">
        <v>5558</v>
      </c>
      <c r="F4798" s="109" t="s">
        <v>27831</v>
      </c>
      <c r="G4798" s="110" t="s">
        <v>6248</v>
      </c>
      <c r="H4798" s="110" t="s">
        <v>27832</v>
      </c>
      <c r="I4798" s="110" t="s">
        <v>27833</v>
      </c>
    </row>
    <row r="4799" spans="1:9" ht="37.799999999999997" x14ac:dyDescent="0.3">
      <c r="A4799" s="109" t="s">
        <v>27834</v>
      </c>
      <c r="B4799" s="109" t="s">
        <v>27587</v>
      </c>
      <c r="C4799" s="109" t="s">
        <v>27587</v>
      </c>
      <c r="D4799" s="109" t="s">
        <v>27835</v>
      </c>
      <c r="E4799" s="109" t="s">
        <v>5558</v>
      </c>
      <c r="F4799" s="109" t="s">
        <v>27836</v>
      </c>
      <c r="G4799" s="110" t="s">
        <v>6248</v>
      </c>
      <c r="H4799" s="110" t="s">
        <v>6543</v>
      </c>
      <c r="I4799" s="110" t="s">
        <v>27837</v>
      </c>
    </row>
    <row r="4800" spans="1:9" ht="25.2" x14ac:dyDescent="0.3">
      <c r="A4800" s="109" t="s">
        <v>27838</v>
      </c>
      <c r="B4800" s="109" t="s">
        <v>27587</v>
      </c>
      <c r="C4800" s="109" t="s">
        <v>27587</v>
      </c>
      <c r="D4800" s="109" t="s">
        <v>27839</v>
      </c>
      <c r="E4800" s="109" t="s">
        <v>5558</v>
      </c>
      <c r="F4800" s="109" t="s">
        <v>27840</v>
      </c>
      <c r="G4800" s="110" t="s">
        <v>6248</v>
      </c>
      <c r="H4800" s="110" t="s">
        <v>9141</v>
      </c>
      <c r="I4800" s="110" t="s">
        <v>27841</v>
      </c>
    </row>
    <row r="4801" spans="1:9" ht="37.799999999999997" x14ac:dyDescent="0.3">
      <c r="A4801" s="109" t="s">
        <v>27842</v>
      </c>
      <c r="B4801" s="109" t="s">
        <v>27587</v>
      </c>
      <c r="C4801" s="109" t="s">
        <v>27587</v>
      </c>
      <c r="D4801" s="109" t="s">
        <v>27843</v>
      </c>
      <c r="E4801" s="109" t="s">
        <v>5558</v>
      </c>
      <c r="F4801" s="109" t="s">
        <v>27844</v>
      </c>
      <c r="G4801" s="110" t="s">
        <v>6248</v>
      </c>
      <c r="H4801" s="110" t="s">
        <v>6398</v>
      </c>
      <c r="I4801" s="110" t="s">
        <v>27845</v>
      </c>
    </row>
    <row r="4802" spans="1:9" ht="25.2" x14ac:dyDescent="0.3">
      <c r="A4802" s="109" t="s">
        <v>27846</v>
      </c>
      <c r="B4802" s="109" t="s">
        <v>27587</v>
      </c>
      <c r="C4802" s="109" t="s">
        <v>27587</v>
      </c>
      <c r="D4802" s="109" t="s">
        <v>27847</v>
      </c>
      <c r="E4802" s="109" t="s">
        <v>5558</v>
      </c>
      <c r="F4802" s="109" t="s">
        <v>27848</v>
      </c>
      <c r="G4802" s="110" t="s">
        <v>6248</v>
      </c>
      <c r="H4802" s="110" t="s">
        <v>6413</v>
      </c>
      <c r="I4802" s="110" t="s">
        <v>27849</v>
      </c>
    </row>
    <row r="4803" spans="1:9" ht="25.2" x14ac:dyDescent="0.3">
      <c r="A4803" s="109" t="s">
        <v>27850</v>
      </c>
      <c r="B4803" s="109" t="s">
        <v>27587</v>
      </c>
      <c r="C4803" s="109" t="s">
        <v>27587</v>
      </c>
      <c r="D4803" s="109" t="s">
        <v>27851</v>
      </c>
      <c r="E4803" s="109" t="s">
        <v>5558</v>
      </c>
      <c r="F4803" s="109" t="s">
        <v>27852</v>
      </c>
      <c r="G4803" s="110" t="s">
        <v>6248</v>
      </c>
      <c r="H4803" s="110" t="s">
        <v>17024</v>
      </c>
      <c r="I4803" s="110" t="s">
        <v>27853</v>
      </c>
    </row>
    <row r="4804" spans="1:9" ht="37.799999999999997" x14ac:dyDescent="0.3">
      <c r="A4804" s="109" t="s">
        <v>27854</v>
      </c>
      <c r="B4804" s="109" t="s">
        <v>27587</v>
      </c>
      <c r="C4804" s="109" t="s">
        <v>27587</v>
      </c>
      <c r="D4804" s="109" t="s">
        <v>27855</v>
      </c>
      <c r="E4804" s="109" t="s">
        <v>5558</v>
      </c>
      <c r="F4804" s="109" t="s">
        <v>27856</v>
      </c>
      <c r="G4804" s="110" t="s">
        <v>6248</v>
      </c>
      <c r="H4804" s="110" t="s">
        <v>11562</v>
      </c>
      <c r="I4804" s="110" t="s">
        <v>27857</v>
      </c>
    </row>
    <row r="4805" spans="1:9" ht="25.2" x14ac:dyDescent="0.3">
      <c r="A4805" s="109" t="s">
        <v>27858</v>
      </c>
      <c r="B4805" s="109" t="s">
        <v>27587</v>
      </c>
      <c r="C4805" s="109" t="s">
        <v>27587</v>
      </c>
      <c r="D4805" s="109" t="s">
        <v>27859</v>
      </c>
      <c r="E4805" s="109" t="s">
        <v>5558</v>
      </c>
      <c r="F4805" s="109" t="s">
        <v>27860</v>
      </c>
      <c r="G4805" s="110" t="s">
        <v>6248</v>
      </c>
      <c r="H4805" s="110" t="s">
        <v>6634</v>
      </c>
      <c r="I4805" s="110" t="s">
        <v>27861</v>
      </c>
    </row>
    <row r="4806" spans="1:9" ht="37.799999999999997" x14ac:dyDescent="0.3">
      <c r="A4806" s="109" t="s">
        <v>27862</v>
      </c>
      <c r="B4806" s="109" t="s">
        <v>27587</v>
      </c>
      <c r="C4806" s="109" t="s">
        <v>27587</v>
      </c>
      <c r="D4806" s="109" t="s">
        <v>27863</v>
      </c>
      <c r="E4806" s="109" t="s">
        <v>5558</v>
      </c>
      <c r="F4806" s="109" t="s">
        <v>27864</v>
      </c>
      <c r="G4806" s="110" t="s">
        <v>27766</v>
      </c>
      <c r="H4806" s="110" t="s">
        <v>6248</v>
      </c>
      <c r="I4806" s="110" t="s">
        <v>27865</v>
      </c>
    </row>
    <row r="4807" spans="1:9" ht="37.799999999999997" x14ac:dyDescent="0.3">
      <c r="A4807" s="109" t="s">
        <v>27866</v>
      </c>
      <c r="B4807" s="109" t="s">
        <v>27587</v>
      </c>
      <c r="C4807" s="109" t="s">
        <v>27587</v>
      </c>
      <c r="D4807" s="109" t="s">
        <v>27867</v>
      </c>
      <c r="E4807" s="109" t="s">
        <v>5558</v>
      </c>
      <c r="F4807" s="109" t="s">
        <v>27868</v>
      </c>
      <c r="G4807" s="110" t="s">
        <v>6248</v>
      </c>
      <c r="H4807" s="110" t="s">
        <v>27869</v>
      </c>
      <c r="I4807" s="110" t="s">
        <v>27870</v>
      </c>
    </row>
    <row r="4808" spans="1:9" ht="25.2" x14ac:dyDescent="0.3">
      <c r="A4808" s="109" t="s">
        <v>27871</v>
      </c>
      <c r="B4808" s="109" t="s">
        <v>27587</v>
      </c>
      <c r="C4808" s="109" t="s">
        <v>27587</v>
      </c>
      <c r="D4808" s="109" t="s">
        <v>27872</v>
      </c>
      <c r="E4808" s="109" t="s">
        <v>27873</v>
      </c>
      <c r="F4808" s="109" t="s">
        <v>27874</v>
      </c>
      <c r="G4808" s="110" t="s">
        <v>27875</v>
      </c>
      <c r="H4808" s="110" t="s">
        <v>6248</v>
      </c>
      <c r="I4808" s="110" t="s">
        <v>27876</v>
      </c>
    </row>
    <row r="4809" spans="1:9" ht="25.2" x14ac:dyDescent="0.3">
      <c r="A4809" s="109" t="s">
        <v>27877</v>
      </c>
      <c r="B4809" s="109" t="s">
        <v>27587</v>
      </c>
      <c r="C4809" s="109" t="s">
        <v>27587</v>
      </c>
      <c r="D4809" s="109" t="s">
        <v>27878</v>
      </c>
      <c r="E4809" s="109" t="s">
        <v>27879</v>
      </c>
      <c r="F4809" s="109" t="s">
        <v>6878</v>
      </c>
      <c r="G4809" s="110" t="s">
        <v>27880</v>
      </c>
      <c r="H4809" s="110" t="s">
        <v>6248</v>
      </c>
      <c r="I4809" s="110" t="s">
        <v>27881</v>
      </c>
    </row>
    <row r="4810" spans="1:9" ht="25.2" x14ac:dyDescent="0.3">
      <c r="A4810" s="109" t="s">
        <v>27882</v>
      </c>
      <c r="B4810" s="109" t="s">
        <v>27587</v>
      </c>
      <c r="C4810" s="109" t="s">
        <v>27587</v>
      </c>
      <c r="D4810" s="109" t="s">
        <v>4124</v>
      </c>
      <c r="E4810" s="109" t="s">
        <v>27883</v>
      </c>
      <c r="F4810" s="109" t="s">
        <v>27884</v>
      </c>
      <c r="G4810" s="110" t="s">
        <v>27885</v>
      </c>
      <c r="H4810" s="110" t="s">
        <v>6248</v>
      </c>
      <c r="I4810" s="110" t="s">
        <v>27886</v>
      </c>
    </row>
    <row r="4811" spans="1:9" ht="25.2" x14ac:dyDescent="0.3">
      <c r="A4811" s="109" t="s">
        <v>27887</v>
      </c>
      <c r="B4811" s="109" t="s">
        <v>27587</v>
      </c>
      <c r="C4811" s="109" t="s">
        <v>27587</v>
      </c>
      <c r="D4811" s="109" t="s">
        <v>4123</v>
      </c>
      <c r="E4811" s="109" t="s">
        <v>27888</v>
      </c>
      <c r="F4811" s="109" t="s">
        <v>27889</v>
      </c>
      <c r="G4811" s="110" t="s">
        <v>27890</v>
      </c>
      <c r="H4811" s="110" t="s">
        <v>6248</v>
      </c>
      <c r="I4811" s="110" t="s">
        <v>27891</v>
      </c>
    </row>
    <row r="4812" spans="1:9" ht="25.2" x14ac:dyDescent="0.3">
      <c r="A4812" s="109" t="s">
        <v>27892</v>
      </c>
      <c r="B4812" s="109" t="s">
        <v>27587</v>
      </c>
      <c r="C4812" s="109" t="s">
        <v>27587</v>
      </c>
      <c r="D4812" s="109" t="s">
        <v>27893</v>
      </c>
      <c r="E4812" s="109" t="s">
        <v>27883</v>
      </c>
      <c r="F4812" s="109" t="s">
        <v>27894</v>
      </c>
      <c r="G4812" s="110" t="s">
        <v>7254</v>
      </c>
      <c r="H4812" s="110" t="s">
        <v>6248</v>
      </c>
      <c r="I4812" s="110" t="s">
        <v>27895</v>
      </c>
    </row>
    <row r="4813" spans="1:9" ht="25.2" x14ac:dyDescent="0.3">
      <c r="A4813" s="109" t="s">
        <v>27896</v>
      </c>
      <c r="B4813" s="109" t="s">
        <v>27587</v>
      </c>
      <c r="C4813" s="109" t="s">
        <v>27587</v>
      </c>
      <c r="D4813" s="109" t="s">
        <v>27897</v>
      </c>
      <c r="E4813" s="109" t="s">
        <v>27888</v>
      </c>
      <c r="F4813" s="109" t="s">
        <v>27898</v>
      </c>
      <c r="G4813" s="110" t="s">
        <v>7254</v>
      </c>
      <c r="H4813" s="110" t="s">
        <v>6248</v>
      </c>
      <c r="I4813" s="110" t="s">
        <v>27899</v>
      </c>
    </row>
    <row r="4814" spans="1:9" ht="25.2" x14ac:dyDescent="0.3">
      <c r="A4814" s="109" t="s">
        <v>27900</v>
      </c>
      <c r="B4814" s="109" t="s">
        <v>27587</v>
      </c>
      <c r="C4814" s="109" t="s">
        <v>27587</v>
      </c>
      <c r="D4814" s="109" t="s">
        <v>27901</v>
      </c>
      <c r="E4814" s="109" t="s">
        <v>27883</v>
      </c>
      <c r="F4814" s="109" t="s">
        <v>27902</v>
      </c>
      <c r="G4814" s="110" t="s">
        <v>11819</v>
      </c>
      <c r="H4814" s="110" t="s">
        <v>6248</v>
      </c>
      <c r="I4814" s="110" t="s">
        <v>27903</v>
      </c>
    </row>
    <row r="4815" spans="1:9" ht="25.2" x14ac:dyDescent="0.3">
      <c r="A4815" s="109" t="s">
        <v>27904</v>
      </c>
      <c r="B4815" s="109" t="s">
        <v>27587</v>
      </c>
      <c r="C4815" s="109" t="s">
        <v>27587</v>
      </c>
      <c r="D4815" s="109" t="s">
        <v>27905</v>
      </c>
      <c r="E4815" s="109" t="s">
        <v>27888</v>
      </c>
      <c r="F4815" s="109" t="s">
        <v>27906</v>
      </c>
      <c r="G4815" s="110" t="s">
        <v>11819</v>
      </c>
      <c r="H4815" s="110" t="s">
        <v>6248</v>
      </c>
      <c r="I4815" s="110" t="s">
        <v>27907</v>
      </c>
    </row>
    <row r="4816" spans="1:9" ht="25.2" x14ac:dyDescent="0.3">
      <c r="A4816" s="109" t="s">
        <v>27908</v>
      </c>
      <c r="B4816" s="109" t="s">
        <v>27587</v>
      </c>
      <c r="C4816" s="109" t="s">
        <v>27587</v>
      </c>
      <c r="D4816" s="109" t="s">
        <v>5569</v>
      </c>
      <c r="E4816" s="109" t="s">
        <v>5558</v>
      </c>
      <c r="F4816" s="109" t="s">
        <v>2258</v>
      </c>
      <c r="G4816" s="110" t="s">
        <v>6248</v>
      </c>
      <c r="H4816" s="110" t="s">
        <v>27909</v>
      </c>
      <c r="I4816" s="110" t="s">
        <v>27910</v>
      </c>
    </row>
    <row r="4817" spans="1:9" ht="37.799999999999997" x14ac:dyDescent="0.3">
      <c r="A4817" s="109" t="s">
        <v>27911</v>
      </c>
      <c r="B4817" s="109" t="s">
        <v>27587</v>
      </c>
      <c r="C4817" s="109" t="s">
        <v>27587</v>
      </c>
      <c r="D4817" s="109" t="s">
        <v>27912</v>
      </c>
      <c r="E4817" s="109" t="s">
        <v>5558</v>
      </c>
      <c r="F4817" s="109" t="s">
        <v>27913</v>
      </c>
      <c r="G4817" s="110" t="s">
        <v>6248</v>
      </c>
      <c r="H4817" s="110" t="s">
        <v>6341</v>
      </c>
      <c r="I4817" s="110" t="s">
        <v>27914</v>
      </c>
    </row>
    <row r="4818" spans="1:9" ht="37.799999999999997" x14ac:dyDescent="0.3">
      <c r="A4818" s="109" t="s">
        <v>27915</v>
      </c>
      <c r="B4818" s="109" t="s">
        <v>27587</v>
      </c>
      <c r="C4818" s="109" t="s">
        <v>27587</v>
      </c>
      <c r="D4818" s="109" t="s">
        <v>27916</v>
      </c>
      <c r="E4818" s="109" t="s">
        <v>5558</v>
      </c>
      <c r="F4818" s="109" t="s">
        <v>27917</v>
      </c>
      <c r="G4818" s="110" t="s">
        <v>6248</v>
      </c>
      <c r="H4818" s="110" t="s">
        <v>27918</v>
      </c>
      <c r="I4818" s="110" t="s">
        <v>27919</v>
      </c>
    </row>
    <row r="4819" spans="1:9" ht="25.2" x14ac:dyDescent="0.3">
      <c r="A4819" s="109" t="s">
        <v>27920</v>
      </c>
      <c r="B4819" s="109" t="s">
        <v>27587</v>
      </c>
      <c r="C4819" s="109" t="s">
        <v>27587</v>
      </c>
      <c r="D4819" s="109" t="s">
        <v>27921</v>
      </c>
      <c r="E4819" s="109" t="s">
        <v>5558</v>
      </c>
      <c r="F4819" s="109" t="s">
        <v>27922</v>
      </c>
      <c r="G4819" s="110" t="s">
        <v>6248</v>
      </c>
      <c r="H4819" s="110" t="s">
        <v>27923</v>
      </c>
      <c r="I4819" s="110" t="s">
        <v>27924</v>
      </c>
    </row>
    <row r="4820" spans="1:9" ht="25.2" x14ac:dyDescent="0.3">
      <c r="A4820" s="109" t="s">
        <v>27925</v>
      </c>
      <c r="B4820" s="109" t="s">
        <v>27587</v>
      </c>
      <c r="C4820" s="109" t="s">
        <v>27587</v>
      </c>
      <c r="D4820" s="109" t="s">
        <v>27926</v>
      </c>
      <c r="E4820" s="109" t="s">
        <v>5558</v>
      </c>
      <c r="F4820" s="109" t="s">
        <v>27927</v>
      </c>
      <c r="G4820" s="110" t="s">
        <v>6248</v>
      </c>
      <c r="H4820" s="110" t="s">
        <v>7062</v>
      </c>
      <c r="I4820" s="110" t="s">
        <v>27928</v>
      </c>
    </row>
    <row r="4821" spans="1:9" ht="37.799999999999997" x14ac:dyDescent="0.3">
      <c r="A4821" s="109" t="s">
        <v>27929</v>
      </c>
      <c r="B4821" s="109" t="s">
        <v>27587</v>
      </c>
      <c r="C4821" s="109" t="s">
        <v>27587</v>
      </c>
      <c r="D4821" s="109" t="s">
        <v>27930</v>
      </c>
      <c r="E4821" s="109" t="s">
        <v>5558</v>
      </c>
      <c r="F4821" s="109" t="s">
        <v>27931</v>
      </c>
      <c r="G4821" s="110" t="s">
        <v>6248</v>
      </c>
      <c r="H4821" s="110" t="s">
        <v>6689</v>
      </c>
      <c r="I4821" s="110" t="s">
        <v>27932</v>
      </c>
    </row>
    <row r="4822" spans="1:9" ht="25.2" x14ac:dyDescent="0.3">
      <c r="A4822" s="109" t="s">
        <v>27933</v>
      </c>
      <c r="B4822" s="109" t="s">
        <v>27587</v>
      </c>
      <c r="C4822" s="109" t="s">
        <v>27587</v>
      </c>
      <c r="D4822" s="109" t="s">
        <v>27934</v>
      </c>
      <c r="E4822" s="109" t="s">
        <v>27935</v>
      </c>
      <c r="F4822" s="109" t="s">
        <v>6837</v>
      </c>
      <c r="G4822" s="110" t="s">
        <v>6248</v>
      </c>
      <c r="H4822" s="110" t="s">
        <v>27936</v>
      </c>
      <c r="I4822" s="110" t="s">
        <v>27937</v>
      </c>
    </row>
    <row r="4823" spans="1:9" ht="25.2" x14ac:dyDescent="0.3">
      <c r="A4823" s="109" t="s">
        <v>27938</v>
      </c>
      <c r="B4823" s="109" t="s">
        <v>27587</v>
      </c>
      <c r="C4823" s="109" t="s">
        <v>27587</v>
      </c>
      <c r="D4823" s="109" t="s">
        <v>27939</v>
      </c>
      <c r="E4823" s="109" t="s">
        <v>5558</v>
      </c>
      <c r="F4823" s="109" t="s">
        <v>27940</v>
      </c>
      <c r="G4823" s="110" t="s">
        <v>6248</v>
      </c>
      <c r="H4823" s="110" t="s">
        <v>27941</v>
      </c>
      <c r="I4823" s="110" t="s">
        <v>27942</v>
      </c>
    </row>
    <row r="4824" spans="1:9" ht="25.2" x14ac:dyDescent="0.3">
      <c r="A4824" s="109" t="s">
        <v>27943</v>
      </c>
      <c r="B4824" s="109" t="s">
        <v>27587</v>
      </c>
      <c r="C4824" s="109" t="s">
        <v>27587</v>
      </c>
      <c r="D4824" s="109" t="s">
        <v>5569</v>
      </c>
      <c r="E4824" s="109" t="s">
        <v>5558</v>
      </c>
      <c r="F4824" s="109" t="s">
        <v>2258</v>
      </c>
      <c r="G4824" s="110" t="s">
        <v>6248</v>
      </c>
      <c r="H4824" s="110" t="s">
        <v>27944</v>
      </c>
      <c r="I4824" s="110" t="s">
        <v>27945</v>
      </c>
    </row>
    <row r="4825" spans="1:9" ht="25.2" x14ac:dyDescent="0.3">
      <c r="A4825" s="109" t="s">
        <v>27946</v>
      </c>
      <c r="B4825" s="109" t="s">
        <v>27587</v>
      </c>
      <c r="C4825" s="109" t="s">
        <v>27587</v>
      </c>
      <c r="D4825" s="109" t="s">
        <v>27947</v>
      </c>
      <c r="E4825" s="109" t="s">
        <v>5558</v>
      </c>
      <c r="F4825" s="109" t="s">
        <v>27948</v>
      </c>
      <c r="G4825" s="110" t="s">
        <v>6248</v>
      </c>
      <c r="H4825" s="110" t="s">
        <v>27949</v>
      </c>
      <c r="I4825" s="110" t="s">
        <v>27950</v>
      </c>
    </row>
    <row r="4826" spans="1:9" ht="37.799999999999997" x14ac:dyDescent="0.3">
      <c r="A4826" s="109" t="s">
        <v>27951</v>
      </c>
      <c r="B4826" s="109" t="s">
        <v>27587</v>
      </c>
      <c r="C4826" s="109" t="s">
        <v>27587</v>
      </c>
      <c r="D4826" s="109" t="s">
        <v>27952</v>
      </c>
      <c r="E4826" s="109" t="s">
        <v>5558</v>
      </c>
      <c r="F4826" s="109" t="s">
        <v>27953</v>
      </c>
      <c r="G4826" s="110" t="s">
        <v>6248</v>
      </c>
      <c r="H4826" s="110" t="s">
        <v>15449</v>
      </c>
      <c r="I4826" s="110" t="s">
        <v>27954</v>
      </c>
    </row>
    <row r="4827" spans="1:9" ht="25.2" x14ac:dyDescent="0.3">
      <c r="A4827" s="109" t="s">
        <v>27955</v>
      </c>
      <c r="B4827" s="109" t="s">
        <v>27587</v>
      </c>
      <c r="C4827" s="109" t="s">
        <v>27587</v>
      </c>
      <c r="D4827" s="109" t="s">
        <v>27956</v>
      </c>
      <c r="E4827" s="109" t="s">
        <v>5558</v>
      </c>
      <c r="F4827" s="109" t="s">
        <v>27957</v>
      </c>
      <c r="G4827" s="110" t="s">
        <v>6248</v>
      </c>
      <c r="H4827" s="110" t="s">
        <v>12066</v>
      </c>
      <c r="I4827" s="110" t="s">
        <v>27958</v>
      </c>
    </row>
    <row r="4828" spans="1:9" ht="37.799999999999997" x14ac:dyDescent="0.3">
      <c r="A4828" s="109" t="s">
        <v>27959</v>
      </c>
      <c r="B4828" s="109" t="s">
        <v>27587</v>
      </c>
      <c r="C4828" s="109" t="s">
        <v>27587</v>
      </c>
      <c r="D4828" s="109" t="s">
        <v>27960</v>
      </c>
      <c r="E4828" s="109" t="s">
        <v>5558</v>
      </c>
      <c r="F4828" s="109" t="s">
        <v>27961</v>
      </c>
      <c r="G4828" s="110" t="s">
        <v>6248</v>
      </c>
      <c r="H4828" s="110" t="s">
        <v>18157</v>
      </c>
      <c r="I4828" s="110" t="s">
        <v>27962</v>
      </c>
    </row>
    <row r="4829" spans="1:9" ht="37.799999999999997" x14ac:dyDescent="0.3">
      <c r="A4829" s="109" t="s">
        <v>27963</v>
      </c>
      <c r="B4829" s="109" t="s">
        <v>27587</v>
      </c>
      <c r="C4829" s="109" t="s">
        <v>27587</v>
      </c>
      <c r="D4829" s="109" t="s">
        <v>27964</v>
      </c>
      <c r="E4829" s="109" t="s">
        <v>5558</v>
      </c>
      <c r="F4829" s="109" t="s">
        <v>27965</v>
      </c>
      <c r="G4829" s="110" t="s">
        <v>6248</v>
      </c>
      <c r="H4829" s="110" t="s">
        <v>6689</v>
      </c>
      <c r="I4829" s="110" t="s">
        <v>27966</v>
      </c>
    </row>
    <row r="4830" spans="1:9" ht="25.2" x14ac:dyDescent="0.3">
      <c r="A4830" s="109" t="s">
        <v>27967</v>
      </c>
      <c r="B4830" s="109" t="s">
        <v>27587</v>
      </c>
      <c r="C4830" s="109" t="s">
        <v>27587</v>
      </c>
      <c r="D4830" s="109" t="s">
        <v>27968</v>
      </c>
      <c r="E4830" s="109" t="s">
        <v>27969</v>
      </c>
      <c r="F4830" s="109" t="s">
        <v>5764</v>
      </c>
      <c r="G4830" s="110" t="s">
        <v>6248</v>
      </c>
      <c r="H4830" s="110" t="s">
        <v>27970</v>
      </c>
      <c r="I4830" s="110" t="s">
        <v>27971</v>
      </c>
    </row>
    <row r="4831" spans="1:9" ht="37.799999999999997" x14ac:dyDescent="0.3">
      <c r="A4831" s="109" t="s">
        <v>27972</v>
      </c>
      <c r="B4831" s="109" t="s">
        <v>27587</v>
      </c>
      <c r="C4831" s="109" t="s">
        <v>27587</v>
      </c>
      <c r="D4831" s="109" t="s">
        <v>27973</v>
      </c>
      <c r="E4831" s="109" t="s">
        <v>5558</v>
      </c>
      <c r="F4831" s="109" t="s">
        <v>27974</v>
      </c>
      <c r="G4831" s="110" t="s">
        <v>6248</v>
      </c>
      <c r="H4831" s="110" t="s">
        <v>6689</v>
      </c>
      <c r="I4831" s="110" t="s">
        <v>27975</v>
      </c>
    </row>
    <row r="4832" spans="1:9" ht="37.799999999999997" x14ac:dyDescent="0.3">
      <c r="A4832" s="109" t="s">
        <v>27976</v>
      </c>
      <c r="B4832" s="109" t="s">
        <v>27587</v>
      </c>
      <c r="C4832" s="109" t="s">
        <v>27587</v>
      </c>
      <c r="D4832" s="109" t="s">
        <v>27977</v>
      </c>
      <c r="E4832" s="109" t="s">
        <v>5558</v>
      </c>
      <c r="F4832" s="109" t="s">
        <v>27978</v>
      </c>
      <c r="G4832" s="110" t="s">
        <v>6248</v>
      </c>
      <c r="H4832" s="110" t="s">
        <v>27979</v>
      </c>
      <c r="I4832" s="110" t="s">
        <v>27980</v>
      </c>
    </row>
    <row r="4833" spans="1:9" ht="25.2" x14ac:dyDescent="0.3">
      <c r="A4833" s="109" t="s">
        <v>27981</v>
      </c>
      <c r="B4833" s="109" t="s">
        <v>27587</v>
      </c>
      <c r="C4833" s="109" t="s">
        <v>27587</v>
      </c>
      <c r="D4833" s="109" t="s">
        <v>5569</v>
      </c>
      <c r="E4833" s="109" t="s">
        <v>5558</v>
      </c>
      <c r="F4833" s="109" t="s">
        <v>2258</v>
      </c>
      <c r="G4833" s="110" t="s">
        <v>6248</v>
      </c>
      <c r="H4833" s="110" t="s">
        <v>14860</v>
      </c>
      <c r="I4833" s="110" t="s">
        <v>27982</v>
      </c>
    </row>
    <row r="4834" spans="1:9" ht="25.2" x14ac:dyDescent="0.3">
      <c r="A4834" s="109" t="s">
        <v>27983</v>
      </c>
      <c r="B4834" s="109" t="s">
        <v>27587</v>
      </c>
      <c r="C4834" s="109" t="s">
        <v>27587</v>
      </c>
      <c r="D4834" s="109" t="s">
        <v>27984</v>
      </c>
      <c r="E4834" s="109" t="s">
        <v>5558</v>
      </c>
      <c r="F4834" s="109" t="s">
        <v>27985</v>
      </c>
      <c r="G4834" s="110" t="s">
        <v>6248</v>
      </c>
      <c r="H4834" s="110" t="s">
        <v>9261</v>
      </c>
      <c r="I4834" s="110" t="s">
        <v>27986</v>
      </c>
    </row>
    <row r="4835" spans="1:9" ht="37.799999999999997" x14ac:dyDescent="0.3">
      <c r="A4835" s="109" t="s">
        <v>27987</v>
      </c>
      <c r="B4835" s="109" t="s">
        <v>27587</v>
      </c>
      <c r="C4835" s="109" t="s">
        <v>27587</v>
      </c>
      <c r="D4835" s="109" t="s">
        <v>27988</v>
      </c>
      <c r="E4835" s="109" t="s">
        <v>5558</v>
      </c>
      <c r="F4835" s="109" t="s">
        <v>27989</v>
      </c>
      <c r="G4835" s="110" t="s">
        <v>6248</v>
      </c>
      <c r="H4835" s="110" t="s">
        <v>27990</v>
      </c>
      <c r="I4835" s="110" t="s">
        <v>27991</v>
      </c>
    </row>
    <row r="4836" spans="1:9" ht="37.799999999999997" x14ac:dyDescent="0.3">
      <c r="A4836" s="109" t="s">
        <v>27992</v>
      </c>
      <c r="B4836" s="109" t="s">
        <v>27587</v>
      </c>
      <c r="C4836" s="109" t="s">
        <v>27587</v>
      </c>
      <c r="D4836" s="109" t="s">
        <v>27993</v>
      </c>
      <c r="E4836" s="109" t="s">
        <v>5558</v>
      </c>
      <c r="F4836" s="109" t="s">
        <v>27994</v>
      </c>
      <c r="G4836" s="110" t="s">
        <v>6248</v>
      </c>
      <c r="H4836" s="110" t="s">
        <v>6689</v>
      </c>
      <c r="I4836" s="110" t="s">
        <v>27995</v>
      </c>
    </row>
    <row r="4837" spans="1:9" ht="37.799999999999997" x14ac:dyDescent="0.3">
      <c r="A4837" s="109" t="s">
        <v>27996</v>
      </c>
      <c r="B4837" s="109" t="s">
        <v>27587</v>
      </c>
      <c r="C4837" s="109" t="s">
        <v>27587</v>
      </c>
      <c r="D4837" s="109" t="s">
        <v>27997</v>
      </c>
      <c r="E4837" s="109" t="s">
        <v>5558</v>
      </c>
      <c r="F4837" s="109" t="s">
        <v>27998</v>
      </c>
      <c r="G4837" s="110" t="s">
        <v>6248</v>
      </c>
      <c r="H4837" s="110" t="s">
        <v>6883</v>
      </c>
      <c r="I4837" s="110" t="s">
        <v>27999</v>
      </c>
    </row>
    <row r="4838" spans="1:9" ht="63" x14ac:dyDescent="0.3">
      <c r="A4838" s="109" t="s">
        <v>28000</v>
      </c>
      <c r="B4838" s="109" t="s">
        <v>27587</v>
      </c>
      <c r="C4838" s="109" t="s">
        <v>27587</v>
      </c>
      <c r="D4838" s="109" t="s">
        <v>28001</v>
      </c>
      <c r="E4838" s="109" t="s">
        <v>28001</v>
      </c>
      <c r="F4838" s="109" t="s">
        <v>28002</v>
      </c>
      <c r="G4838" s="110" t="s">
        <v>6248</v>
      </c>
      <c r="H4838" s="110" t="s">
        <v>6341</v>
      </c>
      <c r="I4838" s="110" t="s">
        <v>28003</v>
      </c>
    </row>
    <row r="4839" spans="1:9" ht="25.2" x14ac:dyDescent="0.3">
      <c r="A4839" s="109" t="s">
        <v>28004</v>
      </c>
      <c r="B4839" s="109" t="s">
        <v>27587</v>
      </c>
      <c r="C4839" s="109" t="s">
        <v>27587</v>
      </c>
      <c r="D4839" s="109" t="s">
        <v>28005</v>
      </c>
      <c r="E4839" s="109" t="s">
        <v>5558</v>
      </c>
      <c r="F4839" s="109" t="s">
        <v>28006</v>
      </c>
      <c r="G4839" s="110" t="s">
        <v>6248</v>
      </c>
      <c r="H4839" s="110" t="s">
        <v>28007</v>
      </c>
      <c r="I4839" s="110" t="s">
        <v>28008</v>
      </c>
    </row>
    <row r="4840" spans="1:9" ht="25.2" x14ac:dyDescent="0.3">
      <c r="A4840" s="109" t="s">
        <v>28009</v>
      </c>
      <c r="B4840" s="109" t="s">
        <v>27587</v>
      </c>
      <c r="C4840" s="109" t="s">
        <v>27587</v>
      </c>
      <c r="D4840" s="109" t="s">
        <v>4155</v>
      </c>
      <c r="E4840" s="109" t="s">
        <v>28010</v>
      </c>
      <c r="F4840" s="109" t="s">
        <v>17150</v>
      </c>
      <c r="G4840" s="110" t="s">
        <v>6248</v>
      </c>
      <c r="H4840" s="110" t="s">
        <v>8109</v>
      </c>
      <c r="I4840" s="110" t="s">
        <v>28011</v>
      </c>
    </row>
    <row r="4841" spans="1:9" ht="37.799999999999997" x14ac:dyDescent="0.3">
      <c r="A4841" s="109" t="s">
        <v>28012</v>
      </c>
      <c r="B4841" s="109" t="s">
        <v>27587</v>
      </c>
      <c r="C4841" s="109" t="s">
        <v>27587</v>
      </c>
      <c r="D4841" s="109" t="s">
        <v>28013</v>
      </c>
      <c r="E4841" s="109" t="s">
        <v>5558</v>
      </c>
      <c r="F4841" s="109" t="s">
        <v>28014</v>
      </c>
      <c r="G4841" s="110" t="s">
        <v>6248</v>
      </c>
      <c r="H4841" s="110" t="s">
        <v>28015</v>
      </c>
      <c r="I4841" s="110" t="s">
        <v>28016</v>
      </c>
    </row>
    <row r="4842" spans="1:9" ht="25.2" x14ac:dyDescent="0.3">
      <c r="A4842" s="109" t="s">
        <v>28017</v>
      </c>
      <c r="B4842" s="109" t="s">
        <v>27587</v>
      </c>
      <c r="C4842" s="109" t="s">
        <v>27587</v>
      </c>
      <c r="D4842" s="109" t="s">
        <v>28018</v>
      </c>
      <c r="E4842" s="109" t="s">
        <v>28019</v>
      </c>
      <c r="F4842" s="109" t="s">
        <v>28020</v>
      </c>
      <c r="G4842" s="110" t="s">
        <v>6248</v>
      </c>
      <c r="H4842" s="110" t="s">
        <v>28021</v>
      </c>
      <c r="I4842" s="110" t="s">
        <v>28022</v>
      </c>
    </row>
    <row r="4843" spans="1:9" ht="37.799999999999997" x14ac:dyDescent="0.3">
      <c r="A4843" s="109" t="s">
        <v>28023</v>
      </c>
      <c r="B4843" s="109" t="s">
        <v>27587</v>
      </c>
      <c r="C4843" s="109" t="s">
        <v>27587</v>
      </c>
      <c r="D4843" s="109" t="s">
        <v>28024</v>
      </c>
      <c r="E4843" s="109" t="s">
        <v>5558</v>
      </c>
      <c r="F4843" s="109" t="s">
        <v>28025</v>
      </c>
      <c r="G4843" s="110" t="s">
        <v>6248</v>
      </c>
      <c r="H4843" s="110" t="s">
        <v>28026</v>
      </c>
      <c r="I4843" s="110" t="s">
        <v>28027</v>
      </c>
    </row>
    <row r="4844" spans="1:9" ht="25.2" x14ac:dyDescent="0.3">
      <c r="A4844" s="109" t="s">
        <v>28028</v>
      </c>
      <c r="B4844" s="109" t="s">
        <v>27587</v>
      </c>
      <c r="C4844" s="109" t="s">
        <v>27587</v>
      </c>
      <c r="D4844" s="109" t="s">
        <v>28029</v>
      </c>
      <c r="E4844" s="109" t="s">
        <v>5558</v>
      </c>
      <c r="F4844" s="109" t="s">
        <v>28030</v>
      </c>
      <c r="G4844" s="110" t="s">
        <v>6248</v>
      </c>
      <c r="H4844" s="110" t="s">
        <v>28031</v>
      </c>
      <c r="I4844" s="110" t="s">
        <v>28032</v>
      </c>
    </row>
    <row r="4845" spans="1:9" ht="25.2" x14ac:dyDescent="0.3">
      <c r="A4845" s="109" t="s">
        <v>28033</v>
      </c>
      <c r="B4845" s="109" t="s">
        <v>27587</v>
      </c>
      <c r="C4845" s="109" t="s">
        <v>27587</v>
      </c>
      <c r="D4845" s="109" t="s">
        <v>4600</v>
      </c>
      <c r="E4845" s="109" t="s">
        <v>28034</v>
      </c>
      <c r="F4845" s="109" t="s">
        <v>22351</v>
      </c>
      <c r="G4845" s="110" t="s">
        <v>28035</v>
      </c>
      <c r="H4845" s="110" t="s">
        <v>6248</v>
      </c>
      <c r="I4845" s="110" t="s">
        <v>28036</v>
      </c>
    </row>
    <row r="4846" spans="1:9" ht="25.2" x14ac:dyDescent="0.3">
      <c r="A4846" s="109" t="s">
        <v>28037</v>
      </c>
      <c r="B4846" s="109" t="s">
        <v>27587</v>
      </c>
      <c r="C4846" s="109" t="s">
        <v>27587</v>
      </c>
      <c r="D4846" s="109" t="s">
        <v>28038</v>
      </c>
      <c r="E4846" s="109" t="s">
        <v>5558</v>
      </c>
      <c r="F4846" s="109" t="s">
        <v>28039</v>
      </c>
      <c r="G4846" s="110" t="s">
        <v>6248</v>
      </c>
      <c r="H4846" s="110" t="s">
        <v>28040</v>
      </c>
      <c r="I4846" s="110" t="s">
        <v>28041</v>
      </c>
    </row>
    <row r="4847" spans="1:9" ht="63" x14ac:dyDescent="0.3">
      <c r="A4847" s="109" t="s">
        <v>28042</v>
      </c>
      <c r="B4847" s="109" t="s">
        <v>27587</v>
      </c>
      <c r="C4847" s="109" t="s">
        <v>27587</v>
      </c>
      <c r="D4847" s="109" t="s">
        <v>28043</v>
      </c>
      <c r="E4847" s="109" t="s">
        <v>28043</v>
      </c>
      <c r="F4847" s="109" t="s">
        <v>28044</v>
      </c>
      <c r="G4847" s="110" t="s">
        <v>6248</v>
      </c>
      <c r="H4847" s="110" t="s">
        <v>28045</v>
      </c>
      <c r="I4847" s="110" t="s">
        <v>28046</v>
      </c>
    </row>
    <row r="4848" spans="1:9" ht="25.2" x14ac:dyDescent="0.3">
      <c r="A4848" s="109" t="s">
        <v>28047</v>
      </c>
      <c r="B4848" s="109" t="s">
        <v>27587</v>
      </c>
      <c r="C4848" s="109" t="s">
        <v>27587</v>
      </c>
      <c r="D4848" s="109" t="s">
        <v>28048</v>
      </c>
      <c r="E4848" s="109" t="s">
        <v>28049</v>
      </c>
      <c r="F4848" s="109" t="s">
        <v>28050</v>
      </c>
      <c r="G4848" s="110" t="s">
        <v>6248</v>
      </c>
      <c r="H4848" s="110" t="s">
        <v>6278</v>
      </c>
      <c r="I4848" s="110" t="s">
        <v>28051</v>
      </c>
    </row>
    <row r="4849" spans="1:9" ht="25.2" x14ac:dyDescent="0.3">
      <c r="A4849" s="109" t="s">
        <v>28052</v>
      </c>
      <c r="B4849" s="109" t="s">
        <v>27587</v>
      </c>
      <c r="C4849" s="109" t="s">
        <v>27587</v>
      </c>
      <c r="D4849" s="109" t="s">
        <v>28053</v>
      </c>
      <c r="E4849" s="109" t="s">
        <v>5558</v>
      </c>
      <c r="F4849" s="109" t="s">
        <v>28054</v>
      </c>
      <c r="G4849" s="110" t="s">
        <v>6248</v>
      </c>
      <c r="H4849" s="110" t="s">
        <v>28055</v>
      </c>
      <c r="I4849" s="110" t="s">
        <v>28056</v>
      </c>
    </row>
    <row r="4850" spans="1:9" ht="25.2" x14ac:dyDescent="0.3">
      <c r="A4850" s="109" t="s">
        <v>28057</v>
      </c>
      <c r="B4850" s="109" t="s">
        <v>27587</v>
      </c>
      <c r="C4850" s="109" t="s">
        <v>27587</v>
      </c>
      <c r="D4850" s="109" t="s">
        <v>28058</v>
      </c>
      <c r="E4850" s="109" t="s">
        <v>5558</v>
      </c>
      <c r="F4850" s="109" t="s">
        <v>28059</v>
      </c>
      <c r="G4850" s="110" t="s">
        <v>6248</v>
      </c>
      <c r="H4850" s="110" t="s">
        <v>28060</v>
      </c>
      <c r="I4850" s="110" t="s">
        <v>28061</v>
      </c>
    </row>
    <row r="4851" spans="1:9" ht="37.799999999999997" x14ac:dyDescent="0.3">
      <c r="A4851" s="109" t="s">
        <v>28062</v>
      </c>
      <c r="B4851" s="109" t="s">
        <v>27587</v>
      </c>
      <c r="C4851" s="109" t="s">
        <v>27587</v>
      </c>
      <c r="D4851" s="109" t="s">
        <v>28063</v>
      </c>
      <c r="E4851" s="109" t="s">
        <v>5558</v>
      </c>
      <c r="F4851" s="109" t="s">
        <v>28064</v>
      </c>
      <c r="G4851" s="110" t="s">
        <v>6248</v>
      </c>
      <c r="H4851" s="110" t="s">
        <v>7624</v>
      </c>
      <c r="I4851" s="110" t="s">
        <v>28065</v>
      </c>
    </row>
    <row r="4852" spans="1:9" ht="25.2" x14ac:dyDescent="0.3">
      <c r="A4852" s="109" t="s">
        <v>28066</v>
      </c>
      <c r="B4852" s="109" t="s">
        <v>27587</v>
      </c>
      <c r="C4852" s="109" t="s">
        <v>27587</v>
      </c>
      <c r="D4852" s="109" t="s">
        <v>5569</v>
      </c>
      <c r="E4852" s="109" t="s">
        <v>5558</v>
      </c>
      <c r="F4852" s="109" t="s">
        <v>2258</v>
      </c>
      <c r="G4852" s="110" t="s">
        <v>6248</v>
      </c>
      <c r="H4852" s="110" t="s">
        <v>28067</v>
      </c>
      <c r="I4852" s="110" t="s">
        <v>28068</v>
      </c>
    </row>
    <row r="4853" spans="1:9" ht="25.2" x14ac:dyDescent="0.3">
      <c r="A4853" s="109" t="s">
        <v>28069</v>
      </c>
      <c r="B4853" s="109" t="s">
        <v>27587</v>
      </c>
      <c r="C4853" s="109" t="s">
        <v>27587</v>
      </c>
      <c r="D4853" s="109" t="s">
        <v>5569</v>
      </c>
      <c r="E4853" s="109" t="s">
        <v>5558</v>
      </c>
      <c r="F4853" s="109" t="s">
        <v>2258</v>
      </c>
      <c r="G4853" s="110" t="s">
        <v>6248</v>
      </c>
      <c r="H4853" s="110" t="s">
        <v>28070</v>
      </c>
      <c r="I4853" s="110" t="s">
        <v>28071</v>
      </c>
    </row>
    <row r="4854" spans="1:9" ht="37.799999999999997" x14ac:dyDescent="0.3">
      <c r="A4854" s="109" t="s">
        <v>28072</v>
      </c>
      <c r="B4854" s="109" t="s">
        <v>27587</v>
      </c>
      <c r="C4854" s="109" t="s">
        <v>27587</v>
      </c>
      <c r="D4854" s="109" t="s">
        <v>28073</v>
      </c>
      <c r="E4854" s="109" t="s">
        <v>5558</v>
      </c>
      <c r="F4854" s="109" t="s">
        <v>28074</v>
      </c>
      <c r="G4854" s="110" t="s">
        <v>6248</v>
      </c>
      <c r="H4854" s="110" t="s">
        <v>28075</v>
      </c>
      <c r="I4854" s="110" t="s">
        <v>28076</v>
      </c>
    </row>
    <row r="4855" spans="1:9" ht="25.2" x14ac:dyDescent="0.3">
      <c r="A4855" s="109" t="s">
        <v>28077</v>
      </c>
      <c r="B4855" s="109" t="s">
        <v>27587</v>
      </c>
      <c r="C4855" s="109" t="s">
        <v>27587</v>
      </c>
      <c r="D4855" s="109" t="s">
        <v>28078</v>
      </c>
      <c r="E4855" s="109" t="s">
        <v>28079</v>
      </c>
      <c r="F4855" s="109" t="s">
        <v>5777</v>
      </c>
      <c r="G4855" s="110" t="s">
        <v>6248</v>
      </c>
      <c r="H4855" s="110" t="s">
        <v>28080</v>
      </c>
      <c r="I4855" s="110" t="s">
        <v>28081</v>
      </c>
    </row>
    <row r="4856" spans="1:9" ht="25.2" x14ac:dyDescent="0.3">
      <c r="A4856" s="109" t="s">
        <v>28082</v>
      </c>
      <c r="B4856" s="109" t="s">
        <v>27587</v>
      </c>
      <c r="C4856" s="109" t="s">
        <v>27587</v>
      </c>
      <c r="D4856" s="109" t="s">
        <v>28083</v>
      </c>
      <c r="E4856" s="109" t="s">
        <v>28084</v>
      </c>
      <c r="F4856" s="109" t="s">
        <v>5777</v>
      </c>
      <c r="G4856" s="110" t="s">
        <v>6248</v>
      </c>
      <c r="H4856" s="110" t="s">
        <v>28085</v>
      </c>
      <c r="I4856" s="110" t="s">
        <v>28086</v>
      </c>
    </row>
    <row r="4857" spans="1:9" ht="37.799999999999997" x14ac:dyDescent="0.3">
      <c r="A4857" s="109" t="s">
        <v>28087</v>
      </c>
      <c r="B4857" s="109" t="s">
        <v>27587</v>
      </c>
      <c r="C4857" s="109" t="s">
        <v>27587</v>
      </c>
      <c r="D4857" s="109" t="s">
        <v>28088</v>
      </c>
      <c r="E4857" s="109" t="s">
        <v>5558</v>
      </c>
      <c r="F4857" s="109" t="s">
        <v>28089</v>
      </c>
      <c r="G4857" s="110" t="s">
        <v>6248</v>
      </c>
      <c r="H4857" s="110" t="s">
        <v>28090</v>
      </c>
      <c r="I4857" s="110" t="s">
        <v>28091</v>
      </c>
    </row>
    <row r="4858" spans="1:9" ht="25.2" x14ac:dyDescent="0.3">
      <c r="A4858" s="109" t="s">
        <v>28092</v>
      </c>
      <c r="B4858" s="109" t="s">
        <v>27587</v>
      </c>
      <c r="C4858" s="109" t="s">
        <v>27587</v>
      </c>
      <c r="D4858" s="109" t="s">
        <v>28093</v>
      </c>
      <c r="E4858" s="109" t="s">
        <v>11925</v>
      </c>
      <c r="F4858" s="109" t="s">
        <v>28094</v>
      </c>
      <c r="G4858" s="110" t="s">
        <v>6248</v>
      </c>
      <c r="H4858" s="110" t="s">
        <v>28095</v>
      </c>
      <c r="I4858" s="110" t="s">
        <v>28096</v>
      </c>
    </row>
    <row r="4859" spans="1:9" ht="37.799999999999997" x14ac:dyDescent="0.3">
      <c r="A4859" s="109" t="s">
        <v>28097</v>
      </c>
      <c r="B4859" s="109" t="s">
        <v>27587</v>
      </c>
      <c r="C4859" s="109" t="s">
        <v>27587</v>
      </c>
      <c r="D4859" s="109" t="s">
        <v>28098</v>
      </c>
      <c r="E4859" s="109" t="s">
        <v>5558</v>
      </c>
      <c r="F4859" s="109" t="s">
        <v>28099</v>
      </c>
      <c r="G4859" s="110" t="s">
        <v>6248</v>
      </c>
      <c r="H4859" s="110" t="s">
        <v>28100</v>
      </c>
      <c r="I4859" s="110" t="s">
        <v>28101</v>
      </c>
    </row>
    <row r="4860" spans="1:9" ht="25.2" x14ac:dyDescent="0.3">
      <c r="A4860" s="109" t="s">
        <v>28102</v>
      </c>
      <c r="B4860" s="109" t="s">
        <v>27587</v>
      </c>
      <c r="C4860" s="109" t="s">
        <v>27587</v>
      </c>
      <c r="D4860" s="109" t="s">
        <v>28103</v>
      </c>
      <c r="E4860" s="109" t="s">
        <v>5558</v>
      </c>
      <c r="F4860" s="109" t="s">
        <v>28104</v>
      </c>
      <c r="G4860" s="110" t="s">
        <v>6248</v>
      </c>
      <c r="H4860" s="110" t="s">
        <v>28105</v>
      </c>
      <c r="I4860" s="110" t="s">
        <v>28106</v>
      </c>
    </row>
    <row r="4861" spans="1:9" ht="25.2" x14ac:dyDescent="0.3">
      <c r="A4861" s="109" t="s">
        <v>28107</v>
      </c>
      <c r="B4861" s="109" t="s">
        <v>27587</v>
      </c>
      <c r="C4861" s="109" t="s">
        <v>27587</v>
      </c>
      <c r="D4861" s="109" t="s">
        <v>28108</v>
      </c>
      <c r="E4861" s="109" t="s">
        <v>5558</v>
      </c>
      <c r="F4861" s="109" t="s">
        <v>28109</v>
      </c>
      <c r="G4861" s="110" t="s">
        <v>6248</v>
      </c>
      <c r="H4861" s="110" t="s">
        <v>28110</v>
      </c>
      <c r="I4861" s="110" t="s">
        <v>28111</v>
      </c>
    </row>
    <row r="4862" spans="1:9" ht="25.2" x14ac:dyDescent="0.3">
      <c r="A4862" s="109" t="s">
        <v>28112</v>
      </c>
      <c r="B4862" s="109" t="s">
        <v>27587</v>
      </c>
      <c r="C4862" s="109" t="s">
        <v>27587</v>
      </c>
      <c r="D4862" s="109" t="s">
        <v>4180</v>
      </c>
      <c r="E4862" s="109" t="s">
        <v>5558</v>
      </c>
      <c r="F4862" s="109" t="s">
        <v>28113</v>
      </c>
      <c r="G4862" s="110" t="s">
        <v>6248</v>
      </c>
      <c r="H4862" s="110" t="s">
        <v>28114</v>
      </c>
      <c r="I4862" s="110" t="s">
        <v>28115</v>
      </c>
    </row>
    <row r="4863" spans="1:9" ht="25.2" x14ac:dyDescent="0.3">
      <c r="A4863" s="109" t="s">
        <v>28116</v>
      </c>
      <c r="B4863" s="109" t="s">
        <v>27587</v>
      </c>
      <c r="C4863" s="109" t="s">
        <v>27587</v>
      </c>
      <c r="D4863" s="109" t="s">
        <v>28117</v>
      </c>
      <c r="E4863" s="109" t="s">
        <v>5558</v>
      </c>
      <c r="F4863" s="109" t="s">
        <v>28118</v>
      </c>
      <c r="G4863" s="110" t="s">
        <v>6248</v>
      </c>
      <c r="H4863" s="110" t="s">
        <v>28119</v>
      </c>
      <c r="I4863" s="110" t="s">
        <v>28120</v>
      </c>
    </row>
    <row r="4864" spans="1:9" ht="37.799999999999997" x14ac:dyDescent="0.3">
      <c r="A4864" s="109" t="s">
        <v>28121</v>
      </c>
      <c r="B4864" s="109" t="s">
        <v>27587</v>
      </c>
      <c r="C4864" s="109" t="s">
        <v>27587</v>
      </c>
      <c r="D4864" s="109" t="s">
        <v>28122</v>
      </c>
      <c r="E4864" s="109" t="s">
        <v>5558</v>
      </c>
      <c r="F4864" s="109" t="s">
        <v>28123</v>
      </c>
      <c r="G4864" s="110" t="s">
        <v>6248</v>
      </c>
      <c r="H4864" s="110" t="s">
        <v>11146</v>
      </c>
      <c r="I4864" s="110" t="s">
        <v>28124</v>
      </c>
    </row>
    <row r="4865" spans="1:9" ht="63" x14ac:dyDescent="0.3">
      <c r="A4865" s="109" t="s">
        <v>28125</v>
      </c>
      <c r="B4865" s="109" t="s">
        <v>27587</v>
      </c>
      <c r="C4865" s="109" t="s">
        <v>27587</v>
      </c>
      <c r="D4865" s="109" t="s">
        <v>9689</v>
      </c>
      <c r="E4865" s="109" t="s">
        <v>9689</v>
      </c>
      <c r="F4865" s="109" t="s">
        <v>28126</v>
      </c>
      <c r="G4865" s="110" t="s">
        <v>6248</v>
      </c>
      <c r="H4865" s="110" t="s">
        <v>28127</v>
      </c>
      <c r="I4865" s="110" t="s">
        <v>28128</v>
      </c>
    </row>
    <row r="4866" spans="1:9" ht="63" x14ac:dyDescent="0.3">
      <c r="A4866" s="109" t="s">
        <v>28129</v>
      </c>
      <c r="B4866" s="109" t="s">
        <v>27587</v>
      </c>
      <c r="C4866" s="109" t="s">
        <v>27587</v>
      </c>
      <c r="D4866" s="109" t="s">
        <v>28130</v>
      </c>
      <c r="E4866" s="109" t="s">
        <v>28130</v>
      </c>
      <c r="F4866" s="109" t="s">
        <v>28131</v>
      </c>
      <c r="G4866" s="110" t="s">
        <v>6248</v>
      </c>
      <c r="H4866" s="110" t="s">
        <v>28132</v>
      </c>
      <c r="I4866" s="110" t="s">
        <v>28133</v>
      </c>
    </row>
    <row r="4867" spans="1:9" ht="25.2" x14ac:dyDescent="0.3">
      <c r="A4867" s="109" t="s">
        <v>28134</v>
      </c>
      <c r="B4867" s="109" t="s">
        <v>27587</v>
      </c>
      <c r="C4867" s="109" t="s">
        <v>27587</v>
      </c>
      <c r="D4867" s="109" t="s">
        <v>28135</v>
      </c>
      <c r="E4867" s="109" t="s">
        <v>5558</v>
      </c>
      <c r="F4867" s="109" t="s">
        <v>28136</v>
      </c>
      <c r="G4867" s="110" t="s">
        <v>6248</v>
      </c>
      <c r="H4867" s="110" t="s">
        <v>28137</v>
      </c>
      <c r="I4867" s="110" t="s">
        <v>28138</v>
      </c>
    </row>
    <row r="4868" spans="1:9" ht="63" x14ac:dyDescent="0.3">
      <c r="A4868" s="109" t="s">
        <v>28139</v>
      </c>
      <c r="B4868" s="109" t="s">
        <v>27587</v>
      </c>
      <c r="C4868" s="109" t="s">
        <v>27587</v>
      </c>
      <c r="D4868" s="109" t="s">
        <v>28140</v>
      </c>
      <c r="E4868" s="109" t="s">
        <v>28140</v>
      </c>
      <c r="F4868" s="109" t="s">
        <v>28141</v>
      </c>
      <c r="G4868" s="110" t="s">
        <v>6248</v>
      </c>
      <c r="H4868" s="110" t="s">
        <v>28142</v>
      </c>
      <c r="I4868" s="110" t="s">
        <v>28143</v>
      </c>
    </row>
    <row r="4869" spans="1:9" ht="25.2" x14ac:dyDescent="0.3">
      <c r="A4869" s="109" t="s">
        <v>28144</v>
      </c>
      <c r="B4869" s="109" t="s">
        <v>27587</v>
      </c>
      <c r="C4869" s="109" t="s">
        <v>27587</v>
      </c>
      <c r="D4869" s="109" t="s">
        <v>4224</v>
      </c>
      <c r="E4869" s="109" t="s">
        <v>5558</v>
      </c>
      <c r="F4869" s="109" t="s">
        <v>28145</v>
      </c>
      <c r="G4869" s="110" t="s">
        <v>6248</v>
      </c>
      <c r="H4869" s="110" t="s">
        <v>28146</v>
      </c>
      <c r="I4869" s="110" t="s">
        <v>28147</v>
      </c>
    </row>
    <row r="4870" spans="1:9" ht="25.2" x14ac:dyDescent="0.3">
      <c r="A4870" s="109" t="s">
        <v>28148</v>
      </c>
      <c r="B4870" s="109" t="s">
        <v>27587</v>
      </c>
      <c r="C4870" s="109" t="s">
        <v>27587</v>
      </c>
      <c r="D4870" s="109" t="s">
        <v>28149</v>
      </c>
      <c r="E4870" s="109" t="s">
        <v>28150</v>
      </c>
      <c r="F4870" s="109" t="s">
        <v>28151</v>
      </c>
      <c r="G4870" s="110" t="s">
        <v>6248</v>
      </c>
      <c r="H4870" s="110" t="s">
        <v>28152</v>
      </c>
      <c r="I4870" s="110" t="s">
        <v>28153</v>
      </c>
    </row>
    <row r="4871" spans="1:9" ht="63" x14ac:dyDescent="0.3">
      <c r="A4871" s="109" t="s">
        <v>28154</v>
      </c>
      <c r="B4871" s="109" t="s">
        <v>27587</v>
      </c>
      <c r="C4871" s="109" t="s">
        <v>27587</v>
      </c>
      <c r="D4871" s="109" t="s">
        <v>28155</v>
      </c>
      <c r="E4871" s="109" t="s">
        <v>28155</v>
      </c>
      <c r="F4871" s="109" t="s">
        <v>28156</v>
      </c>
      <c r="G4871" s="110" t="s">
        <v>6248</v>
      </c>
      <c r="H4871" s="110" t="s">
        <v>28157</v>
      </c>
      <c r="I4871" s="110" t="s">
        <v>28158</v>
      </c>
    </row>
    <row r="4872" spans="1:9" ht="25.2" x14ac:dyDescent="0.3">
      <c r="A4872" s="109" t="s">
        <v>28159</v>
      </c>
      <c r="B4872" s="109" t="s">
        <v>27587</v>
      </c>
      <c r="C4872" s="109" t="s">
        <v>27587</v>
      </c>
      <c r="D4872" s="109" t="s">
        <v>28160</v>
      </c>
      <c r="E4872" s="109" t="s">
        <v>5558</v>
      </c>
      <c r="F4872" s="109" t="s">
        <v>28161</v>
      </c>
      <c r="G4872" s="110" t="s">
        <v>6248</v>
      </c>
      <c r="H4872" s="110" t="s">
        <v>28162</v>
      </c>
      <c r="I4872" s="110" t="s">
        <v>28163</v>
      </c>
    </row>
    <row r="4873" spans="1:9" ht="25.2" x14ac:dyDescent="0.3">
      <c r="A4873" s="109" t="s">
        <v>28164</v>
      </c>
      <c r="B4873" s="109" t="s">
        <v>27587</v>
      </c>
      <c r="C4873" s="109" t="s">
        <v>27587</v>
      </c>
      <c r="D4873" s="109" t="s">
        <v>28165</v>
      </c>
      <c r="E4873" s="109" t="s">
        <v>28166</v>
      </c>
      <c r="F4873" s="109" t="s">
        <v>7039</v>
      </c>
      <c r="G4873" s="110" t="s">
        <v>6248</v>
      </c>
      <c r="H4873" s="110" t="s">
        <v>28167</v>
      </c>
      <c r="I4873" s="110" t="s">
        <v>28168</v>
      </c>
    </row>
    <row r="4874" spans="1:9" ht="25.2" x14ac:dyDescent="0.3">
      <c r="A4874" s="109" t="s">
        <v>28169</v>
      </c>
      <c r="B4874" s="109" t="s">
        <v>27587</v>
      </c>
      <c r="C4874" s="109" t="s">
        <v>27587</v>
      </c>
      <c r="D4874" s="109" t="s">
        <v>28170</v>
      </c>
      <c r="E4874" s="109" t="s">
        <v>28171</v>
      </c>
      <c r="F4874" s="109" t="s">
        <v>7045</v>
      </c>
      <c r="G4874" s="110" t="s">
        <v>28172</v>
      </c>
      <c r="H4874" s="110" t="s">
        <v>6248</v>
      </c>
      <c r="I4874" s="110" t="s">
        <v>28173</v>
      </c>
    </row>
    <row r="4875" spans="1:9" ht="63" x14ac:dyDescent="0.3">
      <c r="A4875" s="109" t="s">
        <v>28174</v>
      </c>
      <c r="B4875" s="109" t="s">
        <v>27587</v>
      </c>
      <c r="C4875" s="109" t="s">
        <v>27587</v>
      </c>
      <c r="D4875" s="109" t="s">
        <v>28175</v>
      </c>
      <c r="E4875" s="109" t="s">
        <v>28175</v>
      </c>
      <c r="F4875" s="109" t="s">
        <v>28176</v>
      </c>
      <c r="G4875" s="110" t="s">
        <v>6248</v>
      </c>
      <c r="H4875" s="110" t="s">
        <v>28177</v>
      </c>
      <c r="I4875" s="110" t="s">
        <v>28178</v>
      </c>
    </row>
    <row r="4876" spans="1:9" ht="63" x14ac:dyDescent="0.3">
      <c r="A4876" s="109" t="s">
        <v>28179</v>
      </c>
      <c r="B4876" s="109" t="s">
        <v>27587</v>
      </c>
      <c r="C4876" s="109" t="s">
        <v>27587</v>
      </c>
      <c r="D4876" s="109" t="s">
        <v>28180</v>
      </c>
      <c r="E4876" s="109" t="s">
        <v>28180</v>
      </c>
      <c r="F4876" s="109" t="s">
        <v>28181</v>
      </c>
      <c r="G4876" s="110" t="s">
        <v>6248</v>
      </c>
      <c r="H4876" s="110" t="s">
        <v>28182</v>
      </c>
      <c r="I4876" s="110" t="s">
        <v>28183</v>
      </c>
    </row>
    <row r="4877" spans="1:9" ht="25.2" x14ac:dyDescent="0.3">
      <c r="A4877" s="109" t="s">
        <v>28184</v>
      </c>
      <c r="B4877" s="109" t="s">
        <v>27587</v>
      </c>
      <c r="C4877" s="109" t="s">
        <v>27587</v>
      </c>
      <c r="D4877" s="109" t="s">
        <v>5569</v>
      </c>
      <c r="E4877" s="109" t="s">
        <v>5558</v>
      </c>
      <c r="F4877" s="109" t="s">
        <v>2258</v>
      </c>
      <c r="G4877" s="110" t="s">
        <v>6248</v>
      </c>
      <c r="H4877" s="110" t="s">
        <v>28185</v>
      </c>
      <c r="I4877" s="110" t="s">
        <v>28186</v>
      </c>
    </row>
    <row r="4878" spans="1:9" ht="25.2" x14ac:dyDescent="0.3">
      <c r="A4878" s="109" t="s">
        <v>28187</v>
      </c>
      <c r="B4878" s="109" t="s">
        <v>27587</v>
      </c>
      <c r="C4878" s="109" t="s">
        <v>27587</v>
      </c>
      <c r="D4878" s="109" t="s">
        <v>5569</v>
      </c>
      <c r="E4878" s="109" t="s">
        <v>5558</v>
      </c>
      <c r="F4878" s="109" t="s">
        <v>2258</v>
      </c>
      <c r="G4878" s="110" t="s">
        <v>6248</v>
      </c>
      <c r="H4878" s="110" t="s">
        <v>6278</v>
      </c>
      <c r="I4878" s="110" t="s">
        <v>28188</v>
      </c>
    </row>
    <row r="4879" spans="1:9" ht="63" x14ac:dyDescent="0.3">
      <c r="A4879" s="109" t="s">
        <v>28189</v>
      </c>
      <c r="B4879" s="109" t="s">
        <v>27587</v>
      </c>
      <c r="C4879" s="109" t="s">
        <v>27587</v>
      </c>
      <c r="D4879" s="109" t="s">
        <v>28190</v>
      </c>
      <c r="E4879" s="109" t="s">
        <v>28190</v>
      </c>
      <c r="F4879" s="109" t="s">
        <v>28191</v>
      </c>
      <c r="G4879" s="110" t="s">
        <v>6248</v>
      </c>
      <c r="H4879" s="110" t="s">
        <v>28192</v>
      </c>
      <c r="I4879" s="110" t="s">
        <v>28193</v>
      </c>
    </row>
    <row r="4880" spans="1:9" ht="37.799999999999997" x14ac:dyDescent="0.3">
      <c r="A4880" s="109" t="s">
        <v>28194</v>
      </c>
      <c r="B4880" s="109" t="s">
        <v>27587</v>
      </c>
      <c r="C4880" s="109" t="s">
        <v>27587</v>
      </c>
      <c r="D4880" s="109" t="s">
        <v>28195</v>
      </c>
      <c r="E4880" s="109" t="s">
        <v>5558</v>
      </c>
      <c r="F4880" s="109" t="s">
        <v>28196</v>
      </c>
      <c r="G4880" s="110" t="s">
        <v>6248</v>
      </c>
      <c r="H4880" s="110" t="s">
        <v>28197</v>
      </c>
      <c r="I4880" s="110" t="s">
        <v>28198</v>
      </c>
    </row>
    <row r="4881" spans="1:9" ht="25.2" x14ac:dyDescent="0.3">
      <c r="A4881" s="109" t="s">
        <v>28199</v>
      </c>
      <c r="B4881" s="109" t="s">
        <v>27587</v>
      </c>
      <c r="C4881" s="109" t="s">
        <v>27587</v>
      </c>
      <c r="D4881" s="109" t="s">
        <v>5569</v>
      </c>
      <c r="E4881" s="109" t="s">
        <v>5558</v>
      </c>
      <c r="F4881" s="109" t="s">
        <v>2258</v>
      </c>
      <c r="G4881" s="110" t="s">
        <v>6248</v>
      </c>
      <c r="H4881" s="110" t="s">
        <v>6352</v>
      </c>
      <c r="I4881" s="110" t="s">
        <v>28200</v>
      </c>
    </row>
    <row r="4882" spans="1:9" ht="37.799999999999997" x14ac:dyDescent="0.3">
      <c r="A4882" s="109" t="s">
        <v>28201</v>
      </c>
      <c r="B4882" s="109" t="s">
        <v>27587</v>
      </c>
      <c r="C4882" s="109" t="s">
        <v>27587</v>
      </c>
      <c r="D4882" s="109" t="s">
        <v>28202</v>
      </c>
      <c r="E4882" s="109" t="s">
        <v>5558</v>
      </c>
      <c r="F4882" s="109" t="s">
        <v>28203</v>
      </c>
      <c r="G4882" s="110" t="s">
        <v>6248</v>
      </c>
      <c r="H4882" s="110" t="s">
        <v>28204</v>
      </c>
      <c r="I4882" s="110" t="s">
        <v>28205</v>
      </c>
    </row>
    <row r="4883" spans="1:9" ht="25.2" x14ac:dyDescent="0.3">
      <c r="A4883" s="109" t="s">
        <v>28206</v>
      </c>
      <c r="B4883" s="109" t="s">
        <v>27587</v>
      </c>
      <c r="C4883" s="109" t="s">
        <v>27587</v>
      </c>
      <c r="D4883" s="109" t="s">
        <v>28207</v>
      </c>
      <c r="E4883" s="109" t="s">
        <v>5558</v>
      </c>
      <c r="F4883" s="109" t="s">
        <v>28208</v>
      </c>
      <c r="G4883" s="110" t="s">
        <v>6248</v>
      </c>
      <c r="H4883" s="110" t="s">
        <v>28209</v>
      </c>
      <c r="I4883" s="110" t="s">
        <v>28210</v>
      </c>
    </row>
    <row r="4884" spans="1:9" ht="25.2" x14ac:dyDescent="0.3">
      <c r="A4884" s="109" t="s">
        <v>28211</v>
      </c>
      <c r="B4884" s="109" t="s">
        <v>27587</v>
      </c>
      <c r="C4884" s="109" t="s">
        <v>27587</v>
      </c>
      <c r="D4884" s="109" t="s">
        <v>28212</v>
      </c>
      <c r="E4884" s="109" t="s">
        <v>5558</v>
      </c>
      <c r="F4884" s="109" t="s">
        <v>28213</v>
      </c>
      <c r="G4884" s="110" t="s">
        <v>6248</v>
      </c>
      <c r="H4884" s="110" t="s">
        <v>28214</v>
      </c>
      <c r="I4884" s="110" t="s">
        <v>28215</v>
      </c>
    </row>
    <row r="4885" spans="1:9" ht="25.2" x14ac:dyDescent="0.3">
      <c r="A4885" s="109" t="s">
        <v>28216</v>
      </c>
      <c r="B4885" s="109" t="s">
        <v>27587</v>
      </c>
      <c r="C4885" s="109" t="s">
        <v>27587</v>
      </c>
      <c r="D4885" s="109" t="s">
        <v>5569</v>
      </c>
      <c r="E4885" s="109" t="s">
        <v>5558</v>
      </c>
      <c r="F4885" s="109" t="s">
        <v>2258</v>
      </c>
      <c r="G4885" s="110" t="s">
        <v>6248</v>
      </c>
      <c r="H4885" s="110" t="s">
        <v>28217</v>
      </c>
      <c r="I4885" s="110" t="s">
        <v>28218</v>
      </c>
    </row>
    <row r="4886" spans="1:9" ht="25.2" x14ac:dyDescent="0.3">
      <c r="A4886" s="109" t="s">
        <v>28219</v>
      </c>
      <c r="B4886" s="109" t="s">
        <v>27587</v>
      </c>
      <c r="C4886" s="109" t="s">
        <v>27587</v>
      </c>
      <c r="D4886" s="109" t="s">
        <v>28220</v>
      </c>
      <c r="E4886" s="109" t="s">
        <v>28221</v>
      </c>
      <c r="F4886" s="109" t="s">
        <v>5881</v>
      </c>
      <c r="G4886" s="110" t="s">
        <v>6248</v>
      </c>
      <c r="H4886" s="110" t="s">
        <v>28222</v>
      </c>
      <c r="I4886" s="110" t="s">
        <v>28223</v>
      </c>
    </row>
    <row r="4887" spans="1:9" ht="25.2" x14ac:dyDescent="0.3">
      <c r="A4887" s="109" t="s">
        <v>28224</v>
      </c>
      <c r="B4887" s="109" t="s">
        <v>27587</v>
      </c>
      <c r="C4887" s="109" t="s">
        <v>27587</v>
      </c>
      <c r="D4887" s="109" t="s">
        <v>5569</v>
      </c>
      <c r="E4887" s="109" t="s">
        <v>5558</v>
      </c>
      <c r="F4887" s="109" t="s">
        <v>2258</v>
      </c>
      <c r="G4887" s="110" t="s">
        <v>6248</v>
      </c>
      <c r="H4887" s="110" t="s">
        <v>28225</v>
      </c>
      <c r="I4887" s="110" t="s">
        <v>28226</v>
      </c>
    </row>
    <row r="4888" spans="1:9" ht="25.2" x14ac:dyDescent="0.3">
      <c r="A4888" s="109" t="s">
        <v>28227</v>
      </c>
      <c r="B4888" s="109" t="s">
        <v>27587</v>
      </c>
      <c r="C4888" s="109" t="s">
        <v>27587</v>
      </c>
      <c r="D4888" s="109" t="s">
        <v>28228</v>
      </c>
      <c r="E4888" s="109" t="s">
        <v>28229</v>
      </c>
      <c r="F4888" s="109" t="s">
        <v>28230</v>
      </c>
      <c r="G4888" s="110" t="s">
        <v>28231</v>
      </c>
      <c r="H4888" s="110" t="s">
        <v>6248</v>
      </c>
      <c r="I4888" s="110" t="s">
        <v>28232</v>
      </c>
    </row>
    <row r="4889" spans="1:9" ht="25.2" x14ac:dyDescent="0.3">
      <c r="A4889" s="109" t="s">
        <v>28233</v>
      </c>
      <c r="B4889" s="109" t="s">
        <v>27587</v>
      </c>
      <c r="C4889" s="109" t="s">
        <v>27587</v>
      </c>
      <c r="D4889" s="109" t="s">
        <v>28234</v>
      </c>
      <c r="E4889" s="109" t="s">
        <v>28229</v>
      </c>
      <c r="F4889" s="109" t="s">
        <v>28235</v>
      </c>
      <c r="G4889" s="110" t="s">
        <v>7254</v>
      </c>
      <c r="H4889" s="110" t="s">
        <v>6248</v>
      </c>
      <c r="I4889" s="110" t="s">
        <v>28236</v>
      </c>
    </row>
    <row r="4890" spans="1:9" ht="25.2" x14ac:dyDescent="0.3">
      <c r="A4890" s="109" t="s">
        <v>28237</v>
      </c>
      <c r="B4890" s="109" t="s">
        <v>27587</v>
      </c>
      <c r="C4890" s="109" t="s">
        <v>27587</v>
      </c>
      <c r="D4890" s="109" t="s">
        <v>28238</v>
      </c>
      <c r="E4890" s="109" t="s">
        <v>28239</v>
      </c>
      <c r="F4890" s="109" t="s">
        <v>28240</v>
      </c>
      <c r="G4890" s="110" t="s">
        <v>28241</v>
      </c>
      <c r="H4890" s="110" t="s">
        <v>6248</v>
      </c>
      <c r="I4890" s="110" t="s">
        <v>28242</v>
      </c>
    </row>
    <row r="4891" spans="1:9" ht="37.799999999999997" x14ac:dyDescent="0.3">
      <c r="A4891" s="109" t="s">
        <v>28243</v>
      </c>
      <c r="B4891" s="109" t="s">
        <v>27587</v>
      </c>
      <c r="C4891" s="109" t="s">
        <v>27587</v>
      </c>
      <c r="D4891" s="109" t="s">
        <v>28244</v>
      </c>
      <c r="E4891" s="109" t="s">
        <v>5558</v>
      </c>
      <c r="F4891" s="109" t="s">
        <v>28245</v>
      </c>
      <c r="G4891" s="110" t="s">
        <v>6248</v>
      </c>
      <c r="H4891" s="110" t="s">
        <v>28246</v>
      </c>
      <c r="I4891" s="110" t="s">
        <v>28247</v>
      </c>
    </row>
    <row r="4892" spans="1:9" ht="25.2" x14ac:dyDescent="0.3">
      <c r="A4892" s="109" t="s">
        <v>28248</v>
      </c>
      <c r="B4892" s="109" t="s">
        <v>27587</v>
      </c>
      <c r="C4892" s="109" t="s">
        <v>27587</v>
      </c>
      <c r="D4892" s="109" t="s">
        <v>4192</v>
      </c>
      <c r="E4892" s="109" t="s">
        <v>5558</v>
      </c>
      <c r="F4892" s="109" t="s">
        <v>28249</v>
      </c>
      <c r="G4892" s="110" t="s">
        <v>6248</v>
      </c>
      <c r="H4892" s="110" t="s">
        <v>7221</v>
      </c>
      <c r="I4892" s="110" t="s">
        <v>28250</v>
      </c>
    </row>
    <row r="4893" spans="1:9" ht="25.2" x14ac:dyDescent="0.3">
      <c r="A4893" s="109" t="s">
        <v>28251</v>
      </c>
      <c r="B4893" s="109" t="s">
        <v>27587</v>
      </c>
      <c r="C4893" s="109" t="s">
        <v>27587</v>
      </c>
      <c r="D4893" s="109" t="s">
        <v>28252</v>
      </c>
      <c r="E4893" s="109" t="s">
        <v>5558</v>
      </c>
      <c r="F4893" s="109" t="s">
        <v>28253</v>
      </c>
      <c r="G4893" s="110" t="s">
        <v>6248</v>
      </c>
      <c r="H4893" s="110" t="s">
        <v>28254</v>
      </c>
      <c r="I4893" s="110" t="s">
        <v>28255</v>
      </c>
    </row>
    <row r="4894" spans="1:9" ht="37.799999999999997" x14ac:dyDescent="0.3">
      <c r="A4894" s="109" t="s">
        <v>28256</v>
      </c>
      <c r="B4894" s="109" t="s">
        <v>27587</v>
      </c>
      <c r="C4894" s="109" t="s">
        <v>27587</v>
      </c>
      <c r="D4894" s="109" t="s">
        <v>28257</v>
      </c>
      <c r="E4894" s="109" t="s">
        <v>5558</v>
      </c>
      <c r="F4894" s="109" t="s">
        <v>28258</v>
      </c>
      <c r="G4894" s="110" t="s">
        <v>6248</v>
      </c>
      <c r="H4894" s="110" t="s">
        <v>7062</v>
      </c>
      <c r="I4894" s="110" t="s">
        <v>28259</v>
      </c>
    </row>
    <row r="4895" spans="1:9" ht="50.4" x14ac:dyDescent="0.3">
      <c r="A4895" s="109" t="s">
        <v>28260</v>
      </c>
      <c r="B4895" s="109" t="s">
        <v>27587</v>
      </c>
      <c r="C4895" s="109" t="s">
        <v>27587</v>
      </c>
      <c r="D4895" s="109" t="s">
        <v>9439</v>
      </c>
      <c r="E4895" s="109" t="s">
        <v>9439</v>
      </c>
      <c r="F4895" s="109" t="s">
        <v>28261</v>
      </c>
      <c r="G4895" s="110" t="s">
        <v>6248</v>
      </c>
      <c r="H4895" s="110" t="s">
        <v>28262</v>
      </c>
      <c r="I4895" s="110" t="s">
        <v>28263</v>
      </c>
    </row>
    <row r="4896" spans="1:9" ht="25.2" x14ac:dyDescent="0.3">
      <c r="A4896" s="109" t="s">
        <v>28264</v>
      </c>
      <c r="B4896" s="109" t="s">
        <v>27587</v>
      </c>
      <c r="C4896" s="109" t="s">
        <v>27587</v>
      </c>
      <c r="D4896" s="109" t="s">
        <v>28265</v>
      </c>
      <c r="E4896" s="109" t="s">
        <v>5809</v>
      </c>
      <c r="F4896" s="109" t="s">
        <v>5810</v>
      </c>
      <c r="G4896" s="110" t="s">
        <v>6248</v>
      </c>
      <c r="H4896" s="110" t="s">
        <v>28266</v>
      </c>
      <c r="I4896" s="110" t="s">
        <v>28267</v>
      </c>
    </row>
    <row r="4897" spans="1:9" ht="37.799999999999997" x14ac:dyDescent="0.3">
      <c r="A4897" s="109" t="s">
        <v>28268</v>
      </c>
      <c r="B4897" s="109" t="s">
        <v>27587</v>
      </c>
      <c r="C4897" s="109" t="s">
        <v>27587</v>
      </c>
      <c r="D4897" s="109" t="s">
        <v>4193</v>
      </c>
      <c r="E4897" s="109" t="s">
        <v>5558</v>
      </c>
      <c r="F4897" s="109" t="s">
        <v>28269</v>
      </c>
      <c r="G4897" s="110" t="s">
        <v>6248</v>
      </c>
      <c r="H4897" s="110" t="s">
        <v>28270</v>
      </c>
      <c r="I4897" s="110" t="s">
        <v>28271</v>
      </c>
    </row>
    <row r="4898" spans="1:9" ht="37.799999999999997" x14ac:dyDescent="0.3">
      <c r="A4898" s="109" t="s">
        <v>28272</v>
      </c>
      <c r="B4898" s="109" t="s">
        <v>27587</v>
      </c>
      <c r="C4898" s="109" t="s">
        <v>27587</v>
      </c>
      <c r="D4898" s="109" t="s">
        <v>28273</v>
      </c>
      <c r="E4898" s="109" t="s">
        <v>5558</v>
      </c>
      <c r="F4898" s="109" t="s">
        <v>28274</v>
      </c>
      <c r="G4898" s="110" t="s">
        <v>6248</v>
      </c>
      <c r="H4898" s="110" t="s">
        <v>28275</v>
      </c>
      <c r="I4898" s="110" t="s">
        <v>28276</v>
      </c>
    </row>
    <row r="4899" spans="1:9" ht="25.2" x14ac:dyDescent="0.3">
      <c r="A4899" s="109" t="s">
        <v>28277</v>
      </c>
      <c r="B4899" s="109" t="s">
        <v>27587</v>
      </c>
      <c r="C4899" s="109" t="s">
        <v>27587</v>
      </c>
      <c r="D4899" s="109" t="s">
        <v>28278</v>
      </c>
      <c r="E4899" s="109" t="s">
        <v>5558</v>
      </c>
      <c r="F4899" s="109" t="s">
        <v>28279</v>
      </c>
      <c r="G4899" s="110" t="s">
        <v>6248</v>
      </c>
      <c r="H4899" s="110" t="s">
        <v>28280</v>
      </c>
      <c r="I4899" s="110" t="s">
        <v>28281</v>
      </c>
    </row>
    <row r="4900" spans="1:9" ht="25.2" x14ac:dyDescent="0.3">
      <c r="A4900" s="109" t="s">
        <v>28282</v>
      </c>
      <c r="B4900" s="109" t="s">
        <v>27587</v>
      </c>
      <c r="C4900" s="109" t="s">
        <v>27587</v>
      </c>
      <c r="D4900" s="109" t="s">
        <v>28283</v>
      </c>
      <c r="E4900" s="109" t="s">
        <v>5558</v>
      </c>
      <c r="F4900" s="109" t="s">
        <v>28284</v>
      </c>
      <c r="G4900" s="110" t="s">
        <v>6248</v>
      </c>
      <c r="H4900" s="110" t="s">
        <v>28285</v>
      </c>
      <c r="I4900" s="110" t="s">
        <v>28286</v>
      </c>
    </row>
    <row r="4901" spans="1:9" ht="25.2" x14ac:dyDescent="0.3">
      <c r="A4901" s="109" t="s">
        <v>28287</v>
      </c>
      <c r="B4901" s="109" t="s">
        <v>27587</v>
      </c>
      <c r="C4901" s="109" t="s">
        <v>27587</v>
      </c>
      <c r="D4901" s="109" t="s">
        <v>4194</v>
      </c>
      <c r="E4901" s="109" t="s">
        <v>28288</v>
      </c>
      <c r="F4901" s="109" t="s">
        <v>17349</v>
      </c>
      <c r="G4901" s="110" t="s">
        <v>6248</v>
      </c>
      <c r="H4901" s="110" t="s">
        <v>28289</v>
      </c>
      <c r="I4901" s="110" t="s">
        <v>28290</v>
      </c>
    </row>
    <row r="4902" spans="1:9" ht="25.2" x14ac:dyDescent="0.3">
      <c r="A4902" s="109" t="s">
        <v>28291</v>
      </c>
      <c r="B4902" s="109" t="s">
        <v>27587</v>
      </c>
      <c r="C4902" s="109" t="s">
        <v>27587</v>
      </c>
      <c r="D4902" s="109" t="s">
        <v>28292</v>
      </c>
      <c r="E4902" s="109" t="s">
        <v>5558</v>
      </c>
      <c r="F4902" s="109" t="s">
        <v>28293</v>
      </c>
      <c r="G4902" s="110" t="s">
        <v>6248</v>
      </c>
      <c r="H4902" s="110" t="s">
        <v>28294</v>
      </c>
      <c r="I4902" s="110" t="s">
        <v>28295</v>
      </c>
    </row>
    <row r="4903" spans="1:9" ht="25.2" x14ac:dyDescent="0.3">
      <c r="A4903" s="109" t="s">
        <v>28296</v>
      </c>
      <c r="B4903" s="109" t="s">
        <v>27587</v>
      </c>
      <c r="C4903" s="109" t="s">
        <v>27587</v>
      </c>
      <c r="D4903" s="109" t="s">
        <v>4198</v>
      </c>
      <c r="E4903" s="109" t="s">
        <v>5558</v>
      </c>
      <c r="F4903" s="109" t="s">
        <v>28297</v>
      </c>
      <c r="G4903" s="110" t="s">
        <v>6248</v>
      </c>
      <c r="H4903" s="110" t="s">
        <v>28298</v>
      </c>
      <c r="I4903" s="110" t="s">
        <v>28299</v>
      </c>
    </row>
    <row r="4904" spans="1:9" ht="25.2" x14ac:dyDescent="0.3">
      <c r="A4904" s="109" t="s">
        <v>28300</v>
      </c>
      <c r="B4904" s="109" t="s">
        <v>27587</v>
      </c>
      <c r="C4904" s="109" t="s">
        <v>27587</v>
      </c>
      <c r="D4904" s="109" t="s">
        <v>28301</v>
      </c>
      <c r="E4904" s="109" t="s">
        <v>5558</v>
      </c>
      <c r="F4904" s="109" t="s">
        <v>28302</v>
      </c>
      <c r="G4904" s="110" t="s">
        <v>6248</v>
      </c>
      <c r="H4904" s="110" t="s">
        <v>28303</v>
      </c>
      <c r="I4904" s="110" t="s">
        <v>28304</v>
      </c>
    </row>
    <row r="4905" spans="1:9" ht="50.4" x14ac:dyDescent="0.3">
      <c r="A4905" s="109" t="s">
        <v>28305</v>
      </c>
      <c r="B4905" s="109" t="s">
        <v>27587</v>
      </c>
      <c r="C4905" s="109" t="s">
        <v>27587</v>
      </c>
      <c r="D4905" s="109" t="s">
        <v>10686</v>
      </c>
      <c r="E4905" s="109" t="s">
        <v>28306</v>
      </c>
      <c r="F4905" s="109" t="s">
        <v>28307</v>
      </c>
      <c r="G4905" s="110" t="s">
        <v>6248</v>
      </c>
      <c r="H4905" s="110" t="s">
        <v>9407</v>
      </c>
      <c r="I4905" s="110" t="s">
        <v>28308</v>
      </c>
    </row>
    <row r="4906" spans="1:9" ht="25.2" x14ac:dyDescent="0.3">
      <c r="A4906" s="109" t="s">
        <v>28309</v>
      </c>
      <c r="B4906" s="109" t="s">
        <v>27587</v>
      </c>
      <c r="C4906" s="109" t="s">
        <v>27587</v>
      </c>
      <c r="D4906" s="109" t="s">
        <v>28310</v>
      </c>
      <c r="E4906" s="109" t="s">
        <v>28311</v>
      </c>
      <c r="F4906" s="109" t="s">
        <v>28312</v>
      </c>
      <c r="G4906" s="110" t="s">
        <v>6248</v>
      </c>
      <c r="H4906" s="110" t="s">
        <v>28313</v>
      </c>
      <c r="I4906" s="110" t="s">
        <v>28314</v>
      </c>
    </row>
    <row r="4907" spans="1:9" ht="37.799999999999997" x14ac:dyDescent="0.3">
      <c r="A4907" s="109" t="s">
        <v>28315</v>
      </c>
      <c r="B4907" s="109" t="s">
        <v>27587</v>
      </c>
      <c r="C4907" s="109" t="s">
        <v>27587</v>
      </c>
      <c r="D4907" s="109" t="s">
        <v>28316</v>
      </c>
      <c r="E4907" s="109" t="s">
        <v>5558</v>
      </c>
      <c r="F4907" s="109" t="s">
        <v>28317</v>
      </c>
      <c r="G4907" s="110" t="s">
        <v>6248</v>
      </c>
      <c r="H4907" s="110" t="s">
        <v>6341</v>
      </c>
      <c r="I4907" s="110" t="s">
        <v>28318</v>
      </c>
    </row>
    <row r="4908" spans="1:9" ht="25.2" x14ac:dyDescent="0.3">
      <c r="A4908" s="109" t="s">
        <v>28319</v>
      </c>
      <c r="B4908" s="109" t="s">
        <v>27587</v>
      </c>
      <c r="C4908" s="109" t="s">
        <v>27587</v>
      </c>
      <c r="D4908" s="109" t="s">
        <v>28320</v>
      </c>
      <c r="E4908" s="109" t="s">
        <v>15257</v>
      </c>
      <c r="F4908" s="109" t="s">
        <v>15258</v>
      </c>
      <c r="G4908" s="110" t="s">
        <v>6248</v>
      </c>
      <c r="H4908" s="110" t="s">
        <v>28321</v>
      </c>
      <c r="I4908" s="110" t="s">
        <v>28322</v>
      </c>
    </row>
    <row r="4909" spans="1:9" ht="25.2" x14ac:dyDescent="0.3">
      <c r="A4909" s="109" t="s">
        <v>28323</v>
      </c>
      <c r="B4909" s="109" t="s">
        <v>27587</v>
      </c>
      <c r="C4909" s="109" t="s">
        <v>27587</v>
      </c>
      <c r="D4909" s="109" t="s">
        <v>5569</v>
      </c>
      <c r="E4909" s="109" t="s">
        <v>5558</v>
      </c>
      <c r="F4909" s="109" t="s">
        <v>2258</v>
      </c>
      <c r="G4909" s="110" t="s">
        <v>6248</v>
      </c>
      <c r="H4909" s="110" t="s">
        <v>28324</v>
      </c>
      <c r="I4909" s="110" t="s">
        <v>28325</v>
      </c>
    </row>
    <row r="4910" spans="1:9" ht="25.2" x14ac:dyDescent="0.3">
      <c r="A4910" s="109" t="s">
        <v>28326</v>
      </c>
      <c r="B4910" s="109" t="s">
        <v>27587</v>
      </c>
      <c r="C4910" s="109" t="s">
        <v>27587</v>
      </c>
      <c r="D4910" s="109" t="s">
        <v>5569</v>
      </c>
      <c r="E4910" s="109" t="s">
        <v>5558</v>
      </c>
      <c r="F4910" s="109" t="s">
        <v>2258</v>
      </c>
      <c r="G4910" s="110" t="s">
        <v>6248</v>
      </c>
      <c r="H4910" s="110" t="s">
        <v>11384</v>
      </c>
      <c r="I4910" s="110" t="s">
        <v>28327</v>
      </c>
    </row>
    <row r="4911" spans="1:9" ht="63" x14ac:dyDescent="0.3">
      <c r="A4911" s="109" t="s">
        <v>28328</v>
      </c>
      <c r="B4911" s="109" t="s">
        <v>27587</v>
      </c>
      <c r="C4911" s="109" t="s">
        <v>27587</v>
      </c>
      <c r="D4911" s="109" t="s">
        <v>28329</v>
      </c>
      <c r="E4911" s="109" t="s">
        <v>28329</v>
      </c>
      <c r="F4911" s="109" t="s">
        <v>28330</v>
      </c>
      <c r="G4911" s="110" t="s">
        <v>6248</v>
      </c>
      <c r="H4911" s="110" t="s">
        <v>28331</v>
      </c>
      <c r="I4911" s="110" t="s">
        <v>28332</v>
      </c>
    </row>
    <row r="4912" spans="1:9" ht="25.2" x14ac:dyDescent="0.3">
      <c r="A4912" s="109" t="s">
        <v>28333</v>
      </c>
      <c r="B4912" s="109" t="s">
        <v>27587</v>
      </c>
      <c r="C4912" s="109" t="s">
        <v>27587</v>
      </c>
      <c r="D4912" s="109" t="s">
        <v>28334</v>
      </c>
      <c r="E4912" s="109" t="s">
        <v>5558</v>
      </c>
      <c r="F4912" s="109" t="s">
        <v>28335</v>
      </c>
      <c r="G4912" s="110" t="s">
        <v>6248</v>
      </c>
      <c r="H4912" s="110" t="s">
        <v>28336</v>
      </c>
      <c r="I4912" s="110" t="s">
        <v>28337</v>
      </c>
    </row>
    <row r="4913" spans="1:9" ht="37.799999999999997" x14ac:dyDescent="0.3">
      <c r="A4913" s="109" t="s">
        <v>28338</v>
      </c>
      <c r="B4913" s="109" t="s">
        <v>27587</v>
      </c>
      <c r="C4913" s="109" t="s">
        <v>27587</v>
      </c>
      <c r="D4913" s="109" t="s">
        <v>28339</v>
      </c>
      <c r="E4913" s="109" t="s">
        <v>5558</v>
      </c>
      <c r="F4913" s="109" t="s">
        <v>28340</v>
      </c>
      <c r="G4913" s="110" t="s">
        <v>6248</v>
      </c>
      <c r="H4913" s="110" t="s">
        <v>6945</v>
      </c>
      <c r="I4913" s="110" t="s">
        <v>28341</v>
      </c>
    </row>
    <row r="4914" spans="1:9" ht="25.2" x14ac:dyDescent="0.3">
      <c r="A4914" s="109" t="s">
        <v>28342</v>
      </c>
      <c r="B4914" s="109" t="s">
        <v>27587</v>
      </c>
      <c r="C4914" s="109" t="s">
        <v>27587</v>
      </c>
      <c r="D4914" s="109" t="s">
        <v>28343</v>
      </c>
      <c r="E4914" s="109" t="s">
        <v>5558</v>
      </c>
      <c r="F4914" s="109" t="s">
        <v>28344</v>
      </c>
      <c r="G4914" s="110" t="s">
        <v>6248</v>
      </c>
      <c r="H4914" s="110" t="s">
        <v>21068</v>
      </c>
      <c r="I4914" s="110" t="s">
        <v>28345</v>
      </c>
    </row>
    <row r="4915" spans="1:9" ht="50.4" x14ac:dyDescent="0.3">
      <c r="A4915" s="109" t="s">
        <v>28346</v>
      </c>
      <c r="B4915" s="109" t="s">
        <v>27587</v>
      </c>
      <c r="C4915" s="109" t="s">
        <v>27587</v>
      </c>
      <c r="D4915" s="109" t="s">
        <v>5972</v>
      </c>
      <c r="E4915" s="109" t="s">
        <v>5972</v>
      </c>
      <c r="F4915" s="109" t="s">
        <v>28347</v>
      </c>
      <c r="G4915" s="110" t="s">
        <v>6248</v>
      </c>
      <c r="H4915" s="110" t="s">
        <v>28348</v>
      </c>
      <c r="I4915" s="110" t="s">
        <v>28349</v>
      </c>
    </row>
    <row r="4916" spans="1:9" ht="37.799999999999997" x14ac:dyDescent="0.3">
      <c r="A4916" s="109" t="s">
        <v>28350</v>
      </c>
      <c r="B4916" s="109" t="s">
        <v>27587</v>
      </c>
      <c r="C4916" s="109" t="s">
        <v>27587</v>
      </c>
      <c r="D4916" s="109" t="s">
        <v>28351</v>
      </c>
      <c r="E4916" s="109" t="s">
        <v>5558</v>
      </c>
      <c r="F4916" s="109" t="s">
        <v>28352</v>
      </c>
      <c r="G4916" s="110" t="s">
        <v>6248</v>
      </c>
      <c r="H4916" s="110" t="s">
        <v>28353</v>
      </c>
      <c r="I4916" s="110" t="s">
        <v>28354</v>
      </c>
    </row>
    <row r="4917" spans="1:9" ht="75.599999999999994" x14ac:dyDescent="0.3">
      <c r="A4917" s="109" t="s">
        <v>28355</v>
      </c>
      <c r="B4917" s="109" t="s">
        <v>27587</v>
      </c>
      <c r="C4917" s="109" t="s">
        <v>27587</v>
      </c>
      <c r="D4917" s="109" t="s">
        <v>28356</v>
      </c>
      <c r="E4917" s="109" t="s">
        <v>28356</v>
      </c>
      <c r="F4917" s="109" t="s">
        <v>28357</v>
      </c>
      <c r="G4917" s="110" t="s">
        <v>6248</v>
      </c>
      <c r="H4917" s="110" t="s">
        <v>28358</v>
      </c>
      <c r="I4917" s="110" t="s">
        <v>28359</v>
      </c>
    </row>
    <row r="4918" spans="1:9" ht="25.2" x14ac:dyDescent="0.3">
      <c r="A4918" s="109" t="s">
        <v>28360</v>
      </c>
      <c r="B4918" s="109" t="s">
        <v>27587</v>
      </c>
      <c r="C4918" s="109" t="s">
        <v>27587</v>
      </c>
      <c r="D4918" s="109" t="s">
        <v>28361</v>
      </c>
      <c r="E4918" s="109" t="s">
        <v>5558</v>
      </c>
      <c r="F4918" s="109" t="s">
        <v>28362</v>
      </c>
      <c r="G4918" s="110" t="s">
        <v>6248</v>
      </c>
      <c r="H4918" s="110" t="s">
        <v>28363</v>
      </c>
      <c r="I4918" s="110" t="s">
        <v>28364</v>
      </c>
    </row>
    <row r="4919" spans="1:9" ht="25.2" x14ac:dyDescent="0.3">
      <c r="A4919" s="109" t="s">
        <v>28365</v>
      </c>
      <c r="B4919" s="109" t="s">
        <v>27587</v>
      </c>
      <c r="C4919" s="109" t="s">
        <v>27587</v>
      </c>
      <c r="D4919" s="109" t="s">
        <v>28366</v>
      </c>
      <c r="E4919" s="109" t="s">
        <v>5558</v>
      </c>
      <c r="F4919" s="109" t="s">
        <v>28367</v>
      </c>
      <c r="G4919" s="110" t="s">
        <v>6248</v>
      </c>
      <c r="H4919" s="110" t="s">
        <v>28368</v>
      </c>
      <c r="I4919" s="110" t="s">
        <v>28369</v>
      </c>
    </row>
    <row r="4920" spans="1:9" ht="63" x14ac:dyDescent="0.3">
      <c r="A4920" s="109" t="s">
        <v>28370</v>
      </c>
      <c r="B4920" s="109" t="s">
        <v>27587</v>
      </c>
      <c r="C4920" s="109" t="s">
        <v>27587</v>
      </c>
      <c r="D4920" s="109" t="s">
        <v>28371</v>
      </c>
      <c r="E4920" s="109" t="s">
        <v>28371</v>
      </c>
      <c r="F4920" s="109" t="s">
        <v>28372</v>
      </c>
      <c r="G4920" s="110" t="s">
        <v>6248</v>
      </c>
      <c r="H4920" s="110" t="s">
        <v>28373</v>
      </c>
      <c r="I4920" s="110" t="s">
        <v>28374</v>
      </c>
    </row>
    <row r="4921" spans="1:9" ht="25.2" x14ac:dyDescent="0.3">
      <c r="A4921" s="109" t="s">
        <v>28375</v>
      </c>
      <c r="B4921" s="109" t="s">
        <v>27587</v>
      </c>
      <c r="C4921" s="109" t="s">
        <v>27587</v>
      </c>
      <c r="D4921" s="109" t="s">
        <v>28376</v>
      </c>
      <c r="E4921" s="109" t="s">
        <v>5558</v>
      </c>
      <c r="F4921" s="109" t="s">
        <v>28377</v>
      </c>
      <c r="G4921" s="110" t="s">
        <v>6248</v>
      </c>
      <c r="H4921" s="110" t="s">
        <v>28378</v>
      </c>
      <c r="I4921" s="110" t="s">
        <v>28379</v>
      </c>
    </row>
    <row r="4922" spans="1:9" ht="37.799999999999997" x14ac:dyDescent="0.3">
      <c r="A4922" s="109" t="s">
        <v>28380</v>
      </c>
      <c r="B4922" s="109" t="s">
        <v>27587</v>
      </c>
      <c r="C4922" s="109" t="s">
        <v>27587</v>
      </c>
      <c r="D4922" s="109" t="s">
        <v>28381</v>
      </c>
      <c r="E4922" s="109" t="s">
        <v>5558</v>
      </c>
      <c r="F4922" s="109" t="s">
        <v>28382</v>
      </c>
      <c r="G4922" s="110" t="s">
        <v>6248</v>
      </c>
      <c r="H4922" s="110" t="s">
        <v>26092</v>
      </c>
      <c r="I4922" s="110" t="s">
        <v>28383</v>
      </c>
    </row>
    <row r="4923" spans="1:9" ht="37.799999999999997" x14ac:dyDescent="0.3">
      <c r="A4923" s="109" t="s">
        <v>28384</v>
      </c>
      <c r="B4923" s="109" t="s">
        <v>27587</v>
      </c>
      <c r="C4923" s="109" t="s">
        <v>27587</v>
      </c>
      <c r="D4923" s="109" t="s">
        <v>28385</v>
      </c>
      <c r="E4923" s="109" t="s">
        <v>5558</v>
      </c>
      <c r="F4923" s="109" t="s">
        <v>28386</v>
      </c>
      <c r="G4923" s="110" t="s">
        <v>6248</v>
      </c>
      <c r="H4923" s="110" t="s">
        <v>26097</v>
      </c>
      <c r="I4923" s="110" t="s">
        <v>28387</v>
      </c>
    </row>
    <row r="4924" spans="1:9" ht="25.2" x14ac:dyDescent="0.3">
      <c r="A4924" s="109" t="s">
        <v>28388</v>
      </c>
      <c r="B4924" s="109" t="s">
        <v>27587</v>
      </c>
      <c r="C4924" s="109" t="s">
        <v>27587</v>
      </c>
      <c r="D4924" s="109" t="s">
        <v>28389</v>
      </c>
      <c r="E4924" s="109" t="s">
        <v>5558</v>
      </c>
      <c r="F4924" s="109" t="s">
        <v>28390</v>
      </c>
      <c r="G4924" s="110" t="s">
        <v>6248</v>
      </c>
      <c r="H4924" s="110" t="s">
        <v>9141</v>
      </c>
      <c r="I4924" s="110" t="s">
        <v>28391</v>
      </c>
    </row>
    <row r="4925" spans="1:9" ht="25.2" x14ac:dyDescent="0.3">
      <c r="A4925" s="109" t="s">
        <v>28392</v>
      </c>
      <c r="B4925" s="109" t="s">
        <v>27587</v>
      </c>
      <c r="C4925" s="109" t="s">
        <v>27587</v>
      </c>
      <c r="D4925" s="109" t="s">
        <v>28393</v>
      </c>
      <c r="E4925" s="109" t="s">
        <v>5558</v>
      </c>
      <c r="F4925" s="109" t="s">
        <v>28394</v>
      </c>
      <c r="G4925" s="110" t="s">
        <v>6248</v>
      </c>
      <c r="H4925" s="110" t="s">
        <v>28395</v>
      </c>
      <c r="I4925" s="110" t="s">
        <v>28396</v>
      </c>
    </row>
    <row r="4926" spans="1:9" ht="37.799999999999997" x14ac:dyDescent="0.3">
      <c r="A4926" s="109" t="s">
        <v>28397</v>
      </c>
      <c r="B4926" s="109" t="s">
        <v>27587</v>
      </c>
      <c r="C4926" s="109" t="s">
        <v>27587</v>
      </c>
      <c r="D4926" s="109" t="s">
        <v>28398</v>
      </c>
      <c r="E4926" s="109" t="s">
        <v>5558</v>
      </c>
      <c r="F4926" s="109" t="s">
        <v>28399</v>
      </c>
      <c r="G4926" s="110" t="s">
        <v>6248</v>
      </c>
      <c r="H4926" s="110" t="s">
        <v>28400</v>
      </c>
      <c r="I4926" s="110" t="s">
        <v>28401</v>
      </c>
    </row>
    <row r="4927" spans="1:9" ht="25.2" x14ac:dyDescent="0.3">
      <c r="A4927" s="109" t="s">
        <v>28402</v>
      </c>
      <c r="B4927" s="109" t="s">
        <v>27587</v>
      </c>
      <c r="C4927" s="109" t="s">
        <v>27587</v>
      </c>
      <c r="D4927" s="109" t="s">
        <v>28403</v>
      </c>
      <c r="E4927" s="109" t="s">
        <v>5558</v>
      </c>
      <c r="F4927" s="109" t="s">
        <v>28404</v>
      </c>
      <c r="G4927" s="110" t="s">
        <v>6248</v>
      </c>
      <c r="H4927" s="110" t="s">
        <v>28405</v>
      </c>
      <c r="I4927" s="110" t="s">
        <v>28406</v>
      </c>
    </row>
    <row r="4928" spans="1:9" ht="37.799999999999997" x14ac:dyDescent="0.3">
      <c r="A4928" s="109" t="s">
        <v>28407</v>
      </c>
      <c r="B4928" s="109" t="s">
        <v>27587</v>
      </c>
      <c r="C4928" s="109" t="s">
        <v>27587</v>
      </c>
      <c r="D4928" s="109" t="s">
        <v>28408</v>
      </c>
      <c r="E4928" s="109" t="s">
        <v>5558</v>
      </c>
      <c r="F4928" s="109" t="s">
        <v>28409</v>
      </c>
      <c r="G4928" s="110" t="s">
        <v>6248</v>
      </c>
      <c r="H4928" s="110" t="s">
        <v>28410</v>
      </c>
      <c r="I4928" s="110" t="s">
        <v>28411</v>
      </c>
    </row>
    <row r="4929" spans="1:9" ht="37.799999999999997" x14ac:dyDescent="0.3">
      <c r="A4929" s="109" t="s">
        <v>28412</v>
      </c>
      <c r="B4929" s="109" t="s">
        <v>27587</v>
      </c>
      <c r="C4929" s="109" t="s">
        <v>27587</v>
      </c>
      <c r="D4929" s="109" t="s">
        <v>28413</v>
      </c>
      <c r="E4929" s="109" t="s">
        <v>5558</v>
      </c>
      <c r="F4929" s="109" t="s">
        <v>28414</v>
      </c>
      <c r="G4929" s="110" t="s">
        <v>6248</v>
      </c>
      <c r="H4929" s="110" t="s">
        <v>28415</v>
      </c>
      <c r="I4929" s="110" t="s">
        <v>28416</v>
      </c>
    </row>
    <row r="4930" spans="1:9" ht="37.799999999999997" x14ac:dyDescent="0.3">
      <c r="A4930" s="109" t="s">
        <v>28417</v>
      </c>
      <c r="B4930" s="109" t="s">
        <v>27587</v>
      </c>
      <c r="C4930" s="109" t="s">
        <v>27587</v>
      </c>
      <c r="D4930" s="109" t="s">
        <v>28418</v>
      </c>
      <c r="E4930" s="109" t="s">
        <v>5558</v>
      </c>
      <c r="F4930" s="109" t="s">
        <v>28419</v>
      </c>
      <c r="G4930" s="110" t="s">
        <v>6248</v>
      </c>
      <c r="H4930" s="110" t="s">
        <v>28420</v>
      </c>
      <c r="I4930" s="110" t="s">
        <v>28421</v>
      </c>
    </row>
    <row r="4931" spans="1:9" ht="37.799999999999997" x14ac:dyDescent="0.3">
      <c r="A4931" s="109" t="s">
        <v>28422</v>
      </c>
      <c r="B4931" s="109" t="s">
        <v>27587</v>
      </c>
      <c r="C4931" s="109" t="s">
        <v>27587</v>
      </c>
      <c r="D4931" s="109" t="s">
        <v>28423</v>
      </c>
      <c r="E4931" s="109" t="s">
        <v>5558</v>
      </c>
      <c r="F4931" s="109" t="s">
        <v>28424</v>
      </c>
      <c r="G4931" s="110" t="s">
        <v>6248</v>
      </c>
      <c r="H4931" s="110" t="s">
        <v>28425</v>
      </c>
      <c r="I4931" s="110" t="s">
        <v>28426</v>
      </c>
    </row>
    <row r="4932" spans="1:9" ht="25.2" x14ac:dyDescent="0.3">
      <c r="A4932" s="109" t="s">
        <v>28427</v>
      </c>
      <c r="B4932" s="109" t="s">
        <v>27587</v>
      </c>
      <c r="C4932" s="109" t="s">
        <v>27587</v>
      </c>
      <c r="D4932" s="109" t="s">
        <v>28428</v>
      </c>
      <c r="E4932" s="109" t="s">
        <v>5558</v>
      </c>
      <c r="F4932" s="109" t="s">
        <v>28429</v>
      </c>
      <c r="G4932" s="110" t="s">
        <v>6248</v>
      </c>
      <c r="H4932" s="110" t="s">
        <v>28430</v>
      </c>
      <c r="I4932" s="110" t="s">
        <v>28431</v>
      </c>
    </row>
    <row r="4933" spans="1:9" ht="25.2" x14ac:dyDescent="0.3">
      <c r="A4933" s="109" t="s">
        <v>28432</v>
      </c>
      <c r="B4933" s="109" t="s">
        <v>27587</v>
      </c>
      <c r="C4933" s="109" t="s">
        <v>27587</v>
      </c>
      <c r="D4933" s="109" t="s">
        <v>28433</v>
      </c>
      <c r="E4933" s="109" t="s">
        <v>5558</v>
      </c>
      <c r="F4933" s="109" t="s">
        <v>28434</v>
      </c>
      <c r="G4933" s="110" t="s">
        <v>6248</v>
      </c>
      <c r="H4933" s="110" t="s">
        <v>28435</v>
      </c>
      <c r="I4933" s="110" t="s">
        <v>28436</v>
      </c>
    </row>
    <row r="4934" spans="1:9" ht="25.2" x14ac:dyDescent="0.3">
      <c r="A4934" s="109" t="s">
        <v>28437</v>
      </c>
      <c r="B4934" s="109" t="s">
        <v>27587</v>
      </c>
      <c r="C4934" s="109" t="s">
        <v>27587</v>
      </c>
      <c r="D4934" s="109" t="s">
        <v>28438</v>
      </c>
      <c r="E4934" s="109" t="s">
        <v>5558</v>
      </c>
      <c r="F4934" s="109" t="s">
        <v>28439</v>
      </c>
      <c r="G4934" s="110" t="s">
        <v>6248</v>
      </c>
      <c r="H4934" s="110" t="s">
        <v>28440</v>
      </c>
      <c r="I4934" s="110" t="s">
        <v>28441</v>
      </c>
    </row>
    <row r="4935" spans="1:9" ht="25.2" x14ac:dyDescent="0.3">
      <c r="A4935" s="109" t="s">
        <v>28442</v>
      </c>
      <c r="B4935" s="109" t="s">
        <v>27587</v>
      </c>
      <c r="C4935" s="109" t="s">
        <v>27587</v>
      </c>
      <c r="D4935" s="109" t="s">
        <v>28443</v>
      </c>
      <c r="E4935" s="109" t="s">
        <v>5558</v>
      </c>
      <c r="F4935" s="109" t="s">
        <v>28444</v>
      </c>
      <c r="G4935" s="110" t="s">
        <v>6248</v>
      </c>
      <c r="H4935" s="110" t="s">
        <v>28445</v>
      </c>
      <c r="I4935" s="110" t="s">
        <v>28446</v>
      </c>
    </row>
    <row r="4936" spans="1:9" ht="25.2" x14ac:dyDescent="0.3">
      <c r="A4936" s="109" t="s">
        <v>28447</v>
      </c>
      <c r="B4936" s="109" t="s">
        <v>27587</v>
      </c>
      <c r="C4936" s="109" t="s">
        <v>27587</v>
      </c>
      <c r="D4936" s="109" t="s">
        <v>28448</v>
      </c>
      <c r="E4936" s="109" t="s">
        <v>5558</v>
      </c>
      <c r="F4936" s="109" t="s">
        <v>28449</v>
      </c>
      <c r="G4936" s="110" t="s">
        <v>6248</v>
      </c>
      <c r="H4936" s="110" t="s">
        <v>9199</v>
      </c>
      <c r="I4936" s="110" t="s">
        <v>28450</v>
      </c>
    </row>
    <row r="4937" spans="1:9" ht="25.2" x14ac:dyDescent="0.3">
      <c r="A4937" s="109" t="s">
        <v>28451</v>
      </c>
      <c r="B4937" s="109" t="s">
        <v>27587</v>
      </c>
      <c r="C4937" s="109" t="s">
        <v>27587</v>
      </c>
      <c r="D4937" s="109" t="s">
        <v>28452</v>
      </c>
      <c r="E4937" s="109" t="s">
        <v>28453</v>
      </c>
      <c r="F4937" s="109" t="s">
        <v>24727</v>
      </c>
      <c r="G4937" s="110" t="s">
        <v>6248</v>
      </c>
      <c r="H4937" s="110" t="s">
        <v>17656</v>
      </c>
      <c r="I4937" s="110" t="s">
        <v>28454</v>
      </c>
    </row>
    <row r="4938" spans="1:9" ht="50.4" x14ac:dyDescent="0.3">
      <c r="A4938" s="109" t="s">
        <v>28455</v>
      </c>
      <c r="B4938" s="109" t="s">
        <v>27587</v>
      </c>
      <c r="C4938" s="109" t="s">
        <v>27587</v>
      </c>
      <c r="D4938" s="109" t="s">
        <v>8386</v>
      </c>
      <c r="E4938" s="109" t="s">
        <v>8386</v>
      </c>
      <c r="F4938" s="109" t="s">
        <v>28456</v>
      </c>
      <c r="G4938" s="110" t="s">
        <v>6248</v>
      </c>
      <c r="H4938" s="110" t="s">
        <v>28457</v>
      </c>
      <c r="I4938" s="110" t="s">
        <v>28458</v>
      </c>
    </row>
    <row r="4939" spans="1:9" ht="50.4" x14ac:dyDescent="0.3">
      <c r="A4939" s="109" t="s">
        <v>28459</v>
      </c>
      <c r="B4939" s="109" t="s">
        <v>27587</v>
      </c>
      <c r="C4939" s="109" t="s">
        <v>27587</v>
      </c>
      <c r="D4939" s="109" t="s">
        <v>28460</v>
      </c>
      <c r="E4939" s="109" t="s">
        <v>8386</v>
      </c>
      <c r="F4939" s="109" t="s">
        <v>28461</v>
      </c>
      <c r="G4939" s="110" t="s">
        <v>28457</v>
      </c>
      <c r="H4939" s="110" t="s">
        <v>6248</v>
      </c>
      <c r="I4939" s="110" t="s">
        <v>28454</v>
      </c>
    </row>
    <row r="4940" spans="1:9" ht="25.2" x14ac:dyDescent="0.3">
      <c r="A4940" s="109" t="s">
        <v>28462</v>
      </c>
      <c r="B4940" s="109" t="s">
        <v>27587</v>
      </c>
      <c r="C4940" s="109" t="s">
        <v>27587</v>
      </c>
      <c r="D4940" s="109" t="s">
        <v>28463</v>
      </c>
      <c r="E4940" s="109" t="s">
        <v>6545</v>
      </c>
      <c r="F4940" s="109" t="s">
        <v>7167</v>
      </c>
      <c r="G4940" s="110" t="s">
        <v>6248</v>
      </c>
      <c r="H4940" s="110" t="s">
        <v>28464</v>
      </c>
      <c r="I4940" s="110" t="s">
        <v>28465</v>
      </c>
    </row>
    <row r="4941" spans="1:9" ht="50.4" x14ac:dyDescent="0.3">
      <c r="A4941" s="109" t="s">
        <v>28466</v>
      </c>
      <c r="B4941" s="109" t="s">
        <v>27587</v>
      </c>
      <c r="C4941" s="109" t="s">
        <v>27587</v>
      </c>
      <c r="D4941" s="109" t="s">
        <v>22544</v>
      </c>
      <c r="E4941" s="109" t="s">
        <v>22544</v>
      </c>
      <c r="F4941" s="109" t="s">
        <v>28467</v>
      </c>
      <c r="G4941" s="110" t="s">
        <v>6248</v>
      </c>
      <c r="H4941" s="110" t="s">
        <v>28468</v>
      </c>
      <c r="I4941" s="110" t="s">
        <v>28469</v>
      </c>
    </row>
    <row r="4942" spans="1:9" ht="50.4" x14ac:dyDescent="0.3">
      <c r="A4942" s="109" t="s">
        <v>28470</v>
      </c>
      <c r="B4942" s="109" t="s">
        <v>27587</v>
      </c>
      <c r="C4942" s="109" t="s">
        <v>27587</v>
      </c>
      <c r="D4942" s="109" t="s">
        <v>28471</v>
      </c>
      <c r="E4942" s="109" t="s">
        <v>22544</v>
      </c>
      <c r="F4942" s="109" t="s">
        <v>28472</v>
      </c>
      <c r="G4942" s="110" t="s">
        <v>28468</v>
      </c>
      <c r="H4942" s="110" t="s">
        <v>6248</v>
      </c>
      <c r="I4942" s="110" t="s">
        <v>28465</v>
      </c>
    </row>
    <row r="4943" spans="1:9" ht="25.2" x14ac:dyDescent="0.3">
      <c r="A4943" s="109" t="s">
        <v>28473</v>
      </c>
      <c r="B4943" s="109" t="s">
        <v>27587</v>
      </c>
      <c r="C4943" s="109" t="s">
        <v>27587</v>
      </c>
      <c r="D4943" s="109" t="s">
        <v>4237</v>
      </c>
      <c r="E4943" s="109" t="s">
        <v>5558</v>
      </c>
      <c r="F4943" s="109" t="s">
        <v>28474</v>
      </c>
      <c r="G4943" s="110" t="s">
        <v>6248</v>
      </c>
      <c r="H4943" s="110" t="s">
        <v>28475</v>
      </c>
      <c r="I4943" s="110" t="s">
        <v>28476</v>
      </c>
    </row>
    <row r="4944" spans="1:9" ht="25.2" x14ac:dyDescent="0.3">
      <c r="A4944" s="109" t="s">
        <v>28477</v>
      </c>
      <c r="B4944" s="109" t="s">
        <v>27587</v>
      </c>
      <c r="C4944" s="109" t="s">
        <v>27587</v>
      </c>
      <c r="D4944" s="109" t="s">
        <v>28478</v>
      </c>
      <c r="E4944" s="109" t="s">
        <v>5558</v>
      </c>
      <c r="F4944" s="109" t="s">
        <v>28479</v>
      </c>
      <c r="G4944" s="110" t="s">
        <v>6248</v>
      </c>
      <c r="H4944" s="110" t="s">
        <v>6273</v>
      </c>
      <c r="I4944" s="110" t="s">
        <v>28480</v>
      </c>
    </row>
    <row r="4945" spans="1:9" ht="25.2" x14ac:dyDescent="0.3">
      <c r="A4945" s="109" t="s">
        <v>28481</v>
      </c>
      <c r="B4945" s="109" t="s">
        <v>27587</v>
      </c>
      <c r="C4945" s="109" t="s">
        <v>27587</v>
      </c>
      <c r="D4945" s="109" t="s">
        <v>28482</v>
      </c>
      <c r="E4945" s="109" t="s">
        <v>5558</v>
      </c>
      <c r="F4945" s="109" t="s">
        <v>28483</v>
      </c>
      <c r="G4945" s="110" t="s">
        <v>6248</v>
      </c>
      <c r="H4945" s="110" t="s">
        <v>28484</v>
      </c>
      <c r="I4945" s="110" t="s">
        <v>28485</v>
      </c>
    </row>
    <row r="4946" spans="1:9" ht="25.2" x14ac:dyDescent="0.3">
      <c r="A4946" s="109" t="s">
        <v>28486</v>
      </c>
      <c r="B4946" s="109" t="s">
        <v>27587</v>
      </c>
      <c r="C4946" s="109" t="s">
        <v>27587</v>
      </c>
      <c r="D4946" s="109" t="s">
        <v>5569</v>
      </c>
      <c r="E4946" s="109" t="s">
        <v>5558</v>
      </c>
      <c r="F4946" s="109" t="s">
        <v>2258</v>
      </c>
      <c r="G4946" s="110" t="s">
        <v>6248</v>
      </c>
      <c r="H4946" s="110" t="s">
        <v>28487</v>
      </c>
      <c r="I4946" s="110" t="s">
        <v>28488</v>
      </c>
    </row>
    <row r="4947" spans="1:9" ht="37.799999999999997" x14ac:dyDescent="0.3">
      <c r="A4947" s="109" t="s">
        <v>28489</v>
      </c>
      <c r="B4947" s="109" t="s">
        <v>27587</v>
      </c>
      <c r="C4947" s="109" t="s">
        <v>27587</v>
      </c>
      <c r="D4947" s="109" t="s">
        <v>28490</v>
      </c>
      <c r="E4947" s="109" t="s">
        <v>5558</v>
      </c>
      <c r="F4947" s="109" t="s">
        <v>28491</v>
      </c>
      <c r="G4947" s="110" t="s">
        <v>6248</v>
      </c>
      <c r="H4947" s="110" t="s">
        <v>6273</v>
      </c>
      <c r="I4947" s="110" t="s">
        <v>28492</v>
      </c>
    </row>
    <row r="4948" spans="1:9" ht="25.2" x14ac:dyDescent="0.3">
      <c r="A4948" s="109" t="s">
        <v>28493</v>
      </c>
      <c r="B4948" s="109" t="s">
        <v>27587</v>
      </c>
      <c r="C4948" s="109" t="s">
        <v>27587</v>
      </c>
      <c r="D4948" s="109" t="s">
        <v>28494</v>
      </c>
      <c r="E4948" s="109" t="s">
        <v>5558</v>
      </c>
      <c r="F4948" s="109" t="s">
        <v>28495</v>
      </c>
      <c r="G4948" s="110" t="s">
        <v>6248</v>
      </c>
      <c r="H4948" s="110" t="s">
        <v>28496</v>
      </c>
      <c r="I4948" s="110" t="s">
        <v>28497</v>
      </c>
    </row>
    <row r="4949" spans="1:9" ht="25.2" x14ac:dyDescent="0.3">
      <c r="A4949" s="109" t="s">
        <v>28498</v>
      </c>
      <c r="B4949" s="109" t="s">
        <v>27587</v>
      </c>
      <c r="C4949" s="109" t="s">
        <v>27587</v>
      </c>
      <c r="D4949" s="109" t="s">
        <v>28499</v>
      </c>
      <c r="E4949" s="109" t="s">
        <v>5558</v>
      </c>
      <c r="F4949" s="109" t="s">
        <v>28500</v>
      </c>
      <c r="G4949" s="110" t="s">
        <v>6248</v>
      </c>
      <c r="H4949" s="110" t="s">
        <v>7504</v>
      </c>
      <c r="I4949" s="110" t="s">
        <v>28501</v>
      </c>
    </row>
    <row r="4950" spans="1:9" ht="37.799999999999997" x14ac:dyDescent="0.3">
      <c r="A4950" s="109" t="s">
        <v>28502</v>
      </c>
      <c r="B4950" s="109" t="s">
        <v>27587</v>
      </c>
      <c r="C4950" s="109" t="s">
        <v>27587</v>
      </c>
      <c r="D4950" s="109" t="s">
        <v>28503</v>
      </c>
      <c r="E4950" s="109" t="s">
        <v>5558</v>
      </c>
      <c r="F4950" s="109" t="s">
        <v>28504</v>
      </c>
      <c r="G4950" s="110" t="s">
        <v>6248</v>
      </c>
      <c r="H4950" s="110" t="s">
        <v>28505</v>
      </c>
      <c r="I4950" s="110" t="s">
        <v>28506</v>
      </c>
    </row>
    <row r="4951" spans="1:9" ht="25.2" x14ac:dyDescent="0.3">
      <c r="A4951" s="109" t="s">
        <v>28507</v>
      </c>
      <c r="B4951" s="109" t="s">
        <v>27587</v>
      </c>
      <c r="C4951" s="109" t="s">
        <v>27587</v>
      </c>
      <c r="D4951" s="109" t="s">
        <v>4364</v>
      </c>
      <c r="E4951" s="109" t="s">
        <v>28508</v>
      </c>
      <c r="F4951" s="109" t="s">
        <v>12135</v>
      </c>
      <c r="G4951" s="110" t="s">
        <v>6248</v>
      </c>
      <c r="H4951" s="110" t="s">
        <v>28509</v>
      </c>
      <c r="I4951" s="110" t="s">
        <v>28510</v>
      </c>
    </row>
    <row r="4952" spans="1:9" ht="37.799999999999997" x14ac:dyDescent="0.3">
      <c r="A4952" s="109" t="s">
        <v>28511</v>
      </c>
      <c r="B4952" s="109" t="s">
        <v>27587</v>
      </c>
      <c r="C4952" s="109" t="s">
        <v>27587</v>
      </c>
      <c r="D4952" s="109" t="s">
        <v>4228</v>
      </c>
      <c r="E4952" s="109" t="s">
        <v>5558</v>
      </c>
      <c r="F4952" s="109" t="s">
        <v>28512</v>
      </c>
      <c r="G4952" s="110" t="s">
        <v>6248</v>
      </c>
      <c r="H4952" s="110" t="s">
        <v>28513</v>
      </c>
      <c r="I4952" s="110" t="s">
        <v>28514</v>
      </c>
    </row>
    <row r="4953" spans="1:9" ht="25.2" x14ac:dyDescent="0.3">
      <c r="A4953" s="109" t="s">
        <v>28515</v>
      </c>
      <c r="B4953" s="109" t="s">
        <v>27587</v>
      </c>
      <c r="C4953" s="109" t="s">
        <v>27587</v>
      </c>
      <c r="D4953" s="109" t="s">
        <v>5569</v>
      </c>
      <c r="E4953" s="109" t="s">
        <v>5558</v>
      </c>
      <c r="F4953" s="109" t="s">
        <v>2258</v>
      </c>
      <c r="G4953" s="110" t="s">
        <v>6248</v>
      </c>
      <c r="H4953" s="110" t="s">
        <v>28516</v>
      </c>
      <c r="I4953" s="110" t="s">
        <v>28517</v>
      </c>
    </row>
    <row r="4954" spans="1:9" ht="25.2" x14ac:dyDescent="0.3">
      <c r="A4954" s="109" t="s">
        <v>28518</v>
      </c>
      <c r="B4954" s="109" t="s">
        <v>27587</v>
      </c>
      <c r="C4954" s="109" t="s">
        <v>27587</v>
      </c>
      <c r="D4954" s="109" t="s">
        <v>4258</v>
      </c>
      <c r="E4954" s="109" t="s">
        <v>5558</v>
      </c>
      <c r="F4954" s="109" t="s">
        <v>28519</v>
      </c>
      <c r="G4954" s="110" t="s">
        <v>6248</v>
      </c>
      <c r="H4954" s="110" t="s">
        <v>28520</v>
      </c>
      <c r="I4954" s="110" t="s">
        <v>28521</v>
      </c>
    </row>
    <row r="4955" spans="1:9" ht="25.2" x14ac:dyDescent="0.3">
      <c r="A4955" s="109" t="s">
        <v>28522</v>
      </c>
      <c r="B4955" s="109" t="s">
        <v>27587</v>
      </c>
      <c r="C4955" s="109" t="s">
        <v>27587</v>
      </c>
      <c r="D4955" s="109" t="s">
        <v>5569</v>
      </c>
      <c r="E4955" s="109" t="s">
        <v>5558</v>
      </c>
      <c r="F4955" s="109" t="s">
        <v>2258</v>
      </c>
      <c r="G4955" s="110" t="s">
        <v>6248</v>
      </c>
      <c r="H4955" s="110" t="s">
        <v>28523</v>
      </c>
      <c r="I4955" s="110" t="s">
        <v>28524</v>
      </c>
    </row>
    <row r="4956" spans="1:9" ht="25.2" x14ac:dyDescent="0.3">
      <c r="A4956" s="109" t="s">
        <v>28525</v>
      </c>
      <c r="B4956" s="109" t="s">
        <v>27587</v>
      </c>
      <c r="C4956" s="109" t="s">
        <v>27587</v>
      </c>
      <c r="D4956" s="109" t="s">
        <v>28526</v>
      </c>
      <c r="E4956" s="109" t="s">
        <v>5558</v>
      </c>
      <c r="F4956" s="109" t="s">
        <v>28527</v>
      </c>
      <c r="G4956" s="110" t="s">
        <v>6248</v>
      </c>
      <c r="H4956" s="110" t="s">
        <v>6968</v>
      </c>
      <c r="I4956" s="110" t="s">
        <v>28528</v>
      </c>
    </row>
    <row r="4957" spans="1:9" ht="37.799999999999997" x14ac:dyDescent="0.3">
      <c r="A4957" s="109" t="s">
        <v>28529</v>
      </c>
      <c r="B4957" s="109" t="s">
        <v>27587</v>
      </c>
      <c r="C4957" s="109" t="s">
        <v>27587</v>
      </c>
      <c r="D4957" s="109" t="s">
        <v>4221</v>
      </c>
      <c r="E4957" s="109" t="s">
        <v>5558</v>
      </c>
      <c r="F4957" s="109" t="s">
        <v>28530</v>
      </c>
      <c r="G4957" s="110" t="s">
        <v>6248</v>
      </c>
      <c r="H4957" s="110" t="s">
        <v>28531</v>
      </c>
      <c r="I4957" s="110" t="s">
        <v>28532</v>
      </c>
    </row>
    <row r="4958" spans="1:9" ht="25.2" x14ac:dyDescent="0.3">
      <c r="A4958" s="109" t="s">
        <v>28533</v>
      </c>
      <c r="B4958" s="109" t="s">
        <v>27587</v>
      </c>
      <c r="C4958" s="109" t="s">
        <v>27587</v>
      </c>
      <c r="D4958" s="109" t="s">
        <v>4214</v>
      </c>
      <c r="E4958" s="109" t="s">
        <v>5558</v>
      </c>
      <c r="F4958" s="109" t="s">
        <v>28534</v>
      </c>
      <c r="G4958" s="110" t="s">
        <v>6248</v>
      </c>
      <c r="H4958" s="110" t="s">
        <v>28535</v>
      </c>
      <c r="I4958" s="110" t="s">
        <v>28536</v>
      </c>
    </row>
    <row r="4959" spans="1:9" ht="25.2" x14ac:dyDescent="0.3">
      <c r="A4959" s="109" t="s">
        <v>28537</v>
      </c>
      <c r="B4959" s="109" t="s">
        <v>27587</v>
      </c>
      <c r="C4959" s="109" t="s">
        <v>27587</v>
      </c>
      <c r="D4959" s="109" t="s">
        <v>28538</v>
      </c>
      <c r="E4959" s="109" t="s">
        <v>5558</v>
      </c>
      <c r="F4959" s="109" t="s">
        <v>28539</v>
      </c>
      <c r="G4959" s="110" t="s">
        <v>6248</v>
      </c>
      <c r="H4959" s="110" t="s">
        <v>28540</v>
      </c>
      <c r="I4959" s="110" t="s">
        <v>28541</v>
      </c>
    </row>
    <row r="4960" spans="1:9" ht="25.2" x14ac:dyDescent="0.3">
      <c r="A4960" s="109" t="s">
        <v>28542</v>
      </c>
      <c r="B4960" s="109" t="s">
        <v>27587</v>
      </c>
      <c r="C4960" s="109" t="s">
        <v>27587</v>
      </c>
      <c r="D4960" s="109" t="s">
        <v>28543</v>
      </c>
      <c r="E4960" s="109" t="s">
        <v>5558</v>
      </c>
      <c r="F4960" s="109" t="s">
        <v>28544</v>
      </c>
      <c r="G4960" s="110" t="s">
        <v>6248</v>
      </c>
      <c r="H4960" s="110" t="s">
        <v>7817</v>
      </c>
      <c r="I4960" s="110" t="s">
        <v>28545</v>
      </c>
    </row>
    <row r="4961" spans="1:9" ht="25.2" x14ac:dyDescent="0.3">
      <c r="A4961" s="109" t="s">
        <v>28546</v>
      </c>
      <c r="B4961" s="109" t="s">
        <v>27587</v>
      </c>
      <c r="C4961" s="109" t="s">
        <v>27587</v>
      </c>
      <c r="D4961" s="109" t="s">
        <v>28547</v>
      </c>
      <c r="E4961" s="109" t="s">
        <v>5558</v>
      </c>
      <c r="F4961" s="109" t="s">
        <v>28548</v>
      </c>
      <c r="G4961" s="110" t="s">
        <v>6248</v>
      </c>
      <c r="H4961" s="110" t="s">
        <v>28549</v>
      </c>
      <c r="I4961" s="110" t="s">
        <v>28550</v>
      </c>
    </row>
    <row r="4962" spans="1:9" ht="37.799999999999997" x14ac:dyDescent="0.3">
      <c r="A4962" s="109" t="s">
        <v>28551</v>
      </c>
      <c r="B4962" s="109" t="s">
        <v>27587</v>
      </c>
      <c r="C4962" s="109" t="s">
        <v>27587</v>
      </c>
      <c r="D4962" s="109" t="s">
        <v>28552</v>
      </c>
      <c r="E4962" s="109" t="s">
        <v>28553</v>
      </c>
      <c r="F4962" s="109" t="s">
        <v>28554</v>
      </c>
      <c r="G4962" s="110" t="s">
        <v>6248</v>
      </c>
      <c r="H4962" s="110" t="s">
        <v>9329</v>
      </c>
      <c r="I4962" s="110" t="s">
        <v>28555</v>
      </c>
    </row>
    <row r="4963" spans="1:9" ht="25.2" x14ac:dyDescent="0.3">
      <c r="A4963" s="109" t="s">
        <v>28556</v>
      </c>
      <c r="B4963" s="109" t="s">
        <v>27587</v>
      </c>
      <c r="C4963" s="109" t="s">
        <v>27587</v>
      </c>
      <c r="D4963" s="109" t="s">
        <v>14470</v>
      </c>
      <c r="E4963" s="109" t="s">
        <v>12355</v>
      </c>
      <c r="F4963" s="109" t="s">
        <v>28557</v>
      </c>
      <c r="G4963" s="110" t="s">
        <v>6248</v>
      </c>
      <c r="H4963" s="110" t="s">
        <v>28558</v>
      </c>
      <c r="I4963" s="110" t="s">
        <v>28559</v>
      </c>
    </row>
    <row r="4964" spans="1:9" ht="37.799999999999997" x14ac:dyDescent="0.3">
      <c r="A4964" s="109" t="s">
        <v>28560</v>
      </c>
      <c r="B4964" s="109" t="s">
        <v>27587</v>
      </c>
      <c r="C4964" s="109" t="s">
        <v>27587</v>
      </c>
      <c r="D4964" s="109" t="s">
        <v>24000</v>
      </c>
      <c r="E4964" s="109" t="s">
        <v>28561</v>
      </c>
      <c r="F4964" s="109" t="s">
        <v>28562</v>
      </c>
      <c r="G4964" s="110" t="s">
        <v>6248</v>
      </c>
      <c r="H4964" s="110" t="s">
        <v>28563</v>
      </c>
      <c r="I4964" s="110" t="s">
        <v>28564</v>
      </c>
    </row>
    <row r="4965" spans="1:9" ht="37.799999999999997" x14ac:dyDescent="0.3">
      <c r="A4965" s="109" t="s">
        <v>28565</v>
      </c>
      <c r="B4965" s="109" t="s">
        <v>27587</v>
      </c>
      <c r="C4965" s="109" t="s">
        <v>27587</v>
      </c>
      <c r="D4965" s="109" t="s">
        <v>28566</v>
      </c>
      <c r="E4965" s="109" t="s">
        <v>28566</v>
      </c>
      <c r="F4965" s="109" t="s">
        <v>28567</v>
      </c>
      <c r="G4965" s="110" t="s">
        <v>6248</v>
      </c>
      <c r="H4965" s="110" t="s">
        <v>28568</v>
      </c>
      <c r="I4965" s="110" t="s">
        <v>28569</v>
      </c>
    </row>
    <row r="4966" spans="1:9" ht="25.2" x14ac:dyDescent="0.3">
      <c r="A4966" s="109" t="s">
        <v>28570</v>
      </c>
      <c r="B4966" s="109" t="s">
        <v>27587</v>
      </c>
      <c r="C4966" s="109" t="s">
        <v>27587</v>
      </c>
      <c r="D4966" s="109" t="s">
        <v>4356</v>
      </c>
      <c r="E4966" s="109" t="s">
        <v>5558</v>
      </c>
      <c r="F4966" s="109" t="s">
        <v>28571</v>
      </c>
      <c r="G4966" s="110" t="s">
        <v>6248</v>
      </c>
      <c r="H4966" s="110" t="s">
        <v>28572</v>
      </c>
      <c r="I4966" s="110" t="s">
        <v>28573</v>
      </c>
    </row>
    <row r="4967" spans="1:9" ht="50.4" x14ac:dyDescent="0.3">
      <c r="A4967" s="109" t="s">
        <v>28574</v>
      </c>
      <c r="B4967" s="109" t="s">
        <v>27587</v>
      </c>
      <c r="C4967" s="109" t="s">
        <v>27587</v>
      </c>
      <c r="D4967" s="109" t="s">
        <v>28575</v>
      </c>
      <c r="E4967" s="109" t="s">
        <v>28575</v>
      </c>
      <c r="F4967" s="109" t="s">
        <v>28576</v>
      </c>
      <c r="G4967" s="110" t="s">
        <v>6248</v>
      </c>
      <c r="H4967" s="110" t="s">
        <v>28577</v>
      </c>
      <c r="I4967" s="110" t="s">
        <v>28578</v>
      </c>
    </row>
    <row r="4968" spans="1:9" ht="50.4" x14ac:dyDescent="0.3">
      <c r="A4968" s="109" t="s">
        <v>28579</v>
      </c>
      <c r="B4968" s="109" t="s">
        <v>27587</v>
      </c>
      <c r="C4968" s="109" t="s">
        <v>27587</v>
      </c>
      <c r="D4968" s="109" t="s">
        <v>28580</v>
      </c>
      <c r="E4968" s="109" t="s">
        <v>28580</v>
      </c>
      <c r="F4968" s="109" t="s">
        <v>28581</v>
      </c>
      <c r="G4968" s="110" t="s">
        <v>6248</v>
      </c>
      <c r="H4968" s="110" t="s">
        <v>8677</v>
      </c>
      <c r="I4968" s="110" t="s">
        <v>28582</v>
      </c>
    </row>
    <row r="4969" spans="1:9" ht="50.4" x14ac:dyDescent="0.3">
      <c r="A4969" s="109" t="s">
        <v>28583</v>
      </c>
      <c r="B4969" s="109" t="s">
        <v>27587</v>
      </c>
      <c r="C4969" s="109" t="s">
        <v>27587</v>
      </c>
      <c r="D4969" s="109" t="s">
        <v>28584</v>
      </c>
      <c r="E4969" s="109" t="s">
        <v>28584</v>
      </c>
      <c r="F4969" s="109" t="s">
        <v>28585</v>
      </c>
      <c r="G4969" s="110" t="s">
        <v>6248</v>
      </c>
      <c r="H4969" s="110" t="s">
        <v>28586</v>
      </c>
      <c r="I4969" s="110" t="s">
        <v>28587</v>
      </c>
    </row>
    <row r="4970" spans="1:9" ht="50.4" x14ac:dyDescent="0.3">
      <c r="A4970" s="109" t="s">
        <v>28588</v>
      </c>
      <c r="B4970" s="109" t="s">
        <v>27587</v>
      </c>
      <c r="C4970" s="109" t="s">
        <v>27587</v>
      </c>
      <c r="D4970" s="109" t="s">
        <v>28589</v>
      </c>
      <c r="E4970" s="109" t="s">
        <v>28589</v>
      </c>
      <c r="F4970" s="109" t="s">
        <v>28590</v>
      </c>
      <c r="G4970" s="110" t="s">
        <v>6248</v>
      </c>
      <c r="H4970" s="110" t="s">
        <v>6883</v>
      </c>
      <c r="I4970" s="110" t="s">
        <v>28591</v>
      </c>
    </row>
    <row r="4971" spans="1:9" ht="50.4" x14ac:dyDescent="0.3">
      <c r="A4971" s="109" t="s">
        <v>28592</v>
      </c>
      <c r="B4971" s="109" t="s">
        <v>27587</v>
      </c>
      <c r="C4971" s="109" t="s">
        <v>27587</v>
      </c>
      <c r="D4971" s="109" t="s">
        <v>23593</v>
      </c>
      <c r="E4971" s="109" t="s">
        <v>23593</v>
      </c>
      <c r="F4971" s="109" t="s">
        <v>28593</v>
      </c>
      <c r="G4971" s="110" t="s">
        <v>6248</v>
      </c>
      <c r="H4971" s="110" t="s">
        <v>28594</v>
      </c>
      <c r="I4971" s="110" t="s">
        <v>28595</v>
      </c>
    </row>
    <row r="4972" spans="1:9" ht="50.4" x14ac:dyDescent="0.3">
      <c r="A4972" s="109" t="s">
        <v>28596</v>
      </c>
      <c r="B4972" s="109" t="s">
        <v>27587</v>
      </c>
      <c r="C4972" s="109" t="s">
        <v>27587</v>
      </c>
      <c r="D4972" s="109" t="s">
        <v>28597</v>
      </c>
      <c r="E4972" s="109" t="s">
        <v>28597</v>
      </c>
      <c r="F4972" s="109" t="s">
        <v>28598</v>
      </c>
      <c r="G4972" s="110" t="s">
        <v>6248</v>
      </c>
      <c r="H4972" s="110" t="s">
        <v>28599</v>
      </c>
      <c r="I4972" s="110" t="s">
        <v>28600</v>
      </c>
    </row>
    <row r="4973" spans="1:9" ht="25.2" x14ac:dyDescent="0.3">
      <c r="A4973" s="109" t="s">
        <v>28601</v>
      </c>
      <c r="B4973" s="109" t="s">
        <v>27587</v>
      </c>
      <c r="C4973" s="109" t="s">
        <v>27587</v>
      </c>
      <c r="D4973" s="109" t="s">
        <v>28602</v>
      </c>
      <c r="E4973" s="109" t="s">
        <v>28603</v>
      </c>
      <c r="F4973" s="109" t="s">
        <v>28604</v>
      </c>
      <c r="G4973" s="110" t="s">
        <v>6248</v>
      </c>
      <c r="H4973" s="110" t="s">
        <v>12123</v>
      </c>
      <c r="I4973" s="110" t="s">
        <v>28605</v>
      </c>
    </row>
    <row r="4974" spans="1:9" ht="50.4" x14ac:dyDescent="0.3">
      <c r="A4974" s="109" t="s">
        <v>28606</v>
      </c>
      <c r="B4974" s="109" t="s">
        <v>27587</v>
      </c>
      <c r="C4974" s="109" t="s">
        <v>27587</v>
      </c>
      <c r="D4974" s="109" t="s">
        <v>28607</v>
      </c>
      <c r="E4974" s="109" t="s">
        <v>28607</v>
      </c>
      <c r="F4974" s="109" t="s">
        <v>28608</v>
      </c>
      <c r="G4974" s="110" t="s">
        <v>6248</v>
      </c>
      <c r="H4974" s="110" t="s">
        <v>28609</v>
      </c>
      <c r="I4974" s="110" t="s">
        <v>28610</v>
      </c>
    </row>
    <row r="4975" spans="1:9" ht="37.799999999999997" x14ac:dyDescent="0.3">
      <c r="A4975" s="109" t="s">
        <v>28611</v>
      </c>
      <c r="B4975" s="109" t="s">
        <v>27587</v>
      </c>
      <c r="C4975" s="109" t="s">
        <v>27587</v>
      </c>
      <c r="D4975" s="109" t="s">
        <v>10003</v>
      </c>
      <c r="E4975" s="109" t="s">
        <v>10003</v>
      </c>
      <c r="F4975" s="109" t="s">
        <v>28612</v>
      </c>
      <c r="G4975" s="110" t="s">
        <v>6248</v>
      </c>
      <c r="H4975" s="110" t="s">
        <v>28613</v>
      </c>
      <c r="I4975" s="110" t="s">
        <v>28614</v>
      </c>
    </row>
    <row r="4976" spans="1:9" ht="50.4" x14ac:dyDescent="0.3">
      <c r="A4976" s="109" t="s">
        <v>28615</v>
      </c>
      <c r="B4976" s="109" t="s">
        <v>27587</v>
      </c>
      <c r="C4976" s="109" t="s">
        <v>27587</v>
      </c>
      <c r="D4976" s="109" t="s">
        <v>13069</v>
      </c>
      <c r="E4976" s="109" t="s">
        <v>13069</v>
      </c>
      <c r="F4976" s="109" t="s">
        <v>28616</v>
      </c>
      <c r="G4976" s="110" t="s">
        <v>6248</v>
      </c>
      <c r="H4976" s="110" t="s">
        <v>28617</v>
      </c>
      <c r="I4976" s="110" t="s">
        <v>28618</v>
      </c>
    </row>
    <row r="4977" spans="1:9" ht="50.4" x14ac:dyDescent="0.3">
      <c r="A4977" s="109" t="s">
        <v>28619</v>
      </c>
      <c r="B4977" s="109" t="s">
        <v>27587</v>
      </c>
      <c r="C4977" s="109" t="s">
        <v>27587</v>
      </c>
      <c r="D4977" s="109" t="s">
        <v>9898</v>
      </c>
      <c r="E4977" s="109" t="s">
        <v>9898</v>
      </c>
      <c r="F4977" s="109" t="s">
        <v>28620</v>
      </c>
      <c r="G4977" s="110" t="s">
        <v>6248</v>
      </c>
      <c r="H4977" s="110" t="s">
        <v>28621</v>
      </c>
      <c r="I4977" s="110" t="s">
        <v>28622</v>
      </c>
    </row>
    <row r="4978" spans="1:9" ht="50.4" x14ac:dyDescent="0.3">
      <c r="A4978" s="109" t="s">
        <v>28623</v>
      </c>
      <c r="B4978" s="109" t="s">
        <v>27587</v>
      </c>
      <c r="C4978" s="109" t="s">
        <v>27587</v>
      </c>
      <c r="D4978" s="109" t="s">
        <v>28624</v>
      </c>
      <c r="E4978" s="109" t="s">
        <v>28624</v>
      </c>
      <c r="F4978" s="109" t="s">
        <v>28625</v>
      </c>
      <c r="G4978" s="110" t="s">
        <v>6248</v>
      </c>
      <c r="H4978" s="110" t="s">
        <v>28626</v>
      </c>
      <c r="I4978" s="110" t="s">
        <v>28627</v>
      </c>
    </row>
    <row r="4979" spans="1:9" ht="50.4" x14ac:dyDescent="0.3">
      <c r="A4979" s="109" t="s">
        <v>28628</v>
      </c>
      <c r="B4979" s="109" t="s">
        <v>27587</v>
      </c>
      <c r="C4979" s="109" t="s">
        <v>27587</v>
      </c>
      <c r="D4979" s="109" t="s">
        <v>28629</v>
      </c>
      <c r="E4979" s="109" t="s">
        <v>28629</v>
      </c>
      <c r="F4979" s="109" t="s">
        <v>28630</v>
      </c>
      <c r="G4979" s="110" t="s">
        <v>6248</v>
      </c>
      <c r="H4979" s="110" t="s">
        <v>28631</v>
      </c>
      <c r="I4979" s="110" t="s">
        <v>28632</v>
      </c>
    </row>
    <row r="4980" spans="1:9" ht="37.799999999999997" x14ac:dyDescent="0.3">
      <c r="A4980" s="109" t="s">
        <v>28633</v>
      </c>
      <c r="B4980" s="109" t="s">
        <v>27587</v>
      </c>
      <c r="C4980" s="109" t="s">
        <v>27587</v>
      </c>
      <c r="D4980" s="109" t="s">
        <v>28634</v>
      </c>
      <c r="E4980" s="109" t="s">
        <v>28635</v>
      </c>
      <c r="F4980" s="109" t="s">
        <v>28636</v>
      </c>
      <c r="G4980" s="110" t="s">
        <v>6248</v>
      </c>
      <c r="H4980" s="110" t="s">
        <v>22903</v>
      </c>
      <c r="I4980" s="110" t="s">
        <v>28637</v>
      </c>
    </row>
    <row r="4981" spans="1:9" ht="50.4" x14ac:dyDescent="0.3">
      <c r="A4981" s="109" t="s">
        <v>28638</v>
      </c>
      <c r="B4981" s="109" t="s">
        <v>27587</v>
      </c>
      <c r="C4981" s="109" t="s">
        <v>27587</v>
      </c>
      <c r="D4981" s="109" t="s">
        <v>28639</v>
      </c>
      <c r="E4981" s="109" t="s">
        <v>28639</v>
      </c>
      <c r="F4981" s="109" t="s">
        <v>28640</v>
      </c>
      <c r="G4981" s="110" t="s">
        <v>6248</v>
      </c>
      <c r="H4981" s="110" t="s">
        <v>28641</v>
      </c>
      <c r="I4981" s="110" t="s">
        <v>28642</v>
      </c>
    </row>
    <row r="4982" spans="1:9" ht="37.799999999999997" x14ac:dyDescent="0.3">
      <c r="A4982" s="109" t="s">
        <v>28643</v>
      </c>
      <c r="B4982" s="109" t="s">
        <v>27587</v>
      </c>
      <c r="C4982" s="109" t="s">
        <v>27587</v>
      </c>
      <c r="D4982" s="109" t="s">
        <v>28644</v>
      </c>
      <c r="E4982" s="109" t="s">
        <v>11179</v>
      </c>
      <c r="F4982" s="109" t="s">
        <v>28645</v>
      </c>
      <c r="G4982" s="110" t="s">
        <v>6248</v>
      </c>
      <c r="H4982" s="110" t="s">
        <v>28646</v>
      </c>
      <c r="I4982" s="110" t="s">
        <v>28647</v>
      </c>
    </row>
    <row r="4983" spans="1:9" ht="50.4" x14ac:dyDescent="0.3">
      <c r="A4983" s="109" t="s">
        <v>28648</v>
      </c>
      <c r="B4983" s="109" t="s">
        <v>27587</v>
      </c>
      <c r="C4983" s="109" t="s">
        <v>27587</v>
      </c>
      <c r="D4983" s="109" t="s">
        <v>28649</v>
      </c>
      <c r="E4983" s="109" t="s">
        <v>28649</v>
      </c>
      <c r="F4983" s="109" t="s">
        <v>28650</v>
      </c>
      <c r="G4983" s="110" t="s">
        <v>6248</v>
      </c>
      <c r="H4983" s="110" t="s">
        <v>28651</v>
      </c>
      <c r="I4983" s="110" t="s">
        <v>28652</v>
      </c>
    </row>
    <row r="4984" spans="1:9" ht="50.4" x14ac:dyDescent="0.3">
      <c r="A4984" s="109" t="s">
        <v>28653</v>
      </c>
      <c r="B4984" s="109" t="s">
        <v>27587</v>
      </c>
      <c r="C4984" s="109" t="s">
        <v>27587</v>
      </c>
      <c r="D4984" s="109" t="s">
        <v>10031</v>
      </c>
      <c r="E4984" s="109" t="s">
        <v>10031</v>
      </c>
      <c r="F4984" s="109" t="s">
        <v>28654</v>
      </c>
      <c r="G4984" s="110" t="s">
        <v>6248</v>
      </c>
      <c r="H4984" s="110" t="s">
        <v>28655</v>
      </c>
      <c r="I4984" s="110" t="s">
        <v>28656</v>
      </c>
    </row>
    <row r="4985" spans="1:9" ht="50.4" x14ac:dyDescent="0.3">
      <c r="A4985" s="109" t="s">
        <v>28657</v>
      </c>
      <c r="B4985" s="109" t="s">
        <v>27587</v>
      </c>
      <c r="C4985" s="109" t="s">
        <v>27587</v>
      </c>
      <c r="D4985" s="109" t="s">
        <v>12574</v>
      </c>
      <c r="E4985" s="109" t="s">
        <v>12574</v>
      </c>
      <c r="F4985" s="109" t="s">
        <v>28658</v>
      </c>
      <c r="G4985" s="110" t="s">
        <v>6248</v>
      </c>
      <c r="H4985" s="110" t="s">
        <v>28659</v>
      </c>
      <c r="I4985" s="110" t="s">
        <v>28660</v>
      </c>
    </row>
    <row r="4986" spans="1:9" ht="37.799999999999997" x14ac:dyDescent="0.3">
      <c r="A4986" s="109" t="s">
        <v>28661</v>
      </c>
      <c r="B4986" s="109" t="s">
        <v>27587</v>
      </c>
      <c r="C4986" s="109" t="s">
        <v>27587</v>
      </c>
      <c r="D4986" s="109" t="s">
        <v>28662</v>
      </c>
      <c r="E4986" s="109" t="s">
        <v>28662</v>
      </c>
      <c r="F4986" s="109" t="s">
        <v>28663</v>
      </c>
      <c r="G4986" s="110" t="s">
        <v>6248</v>
      </c>
      <c r="H4986" s="110" t="s">
        <v>28664</v>
      </c>
      <c r="I4986" s="110" t="s">
        <v>28665</v>
      </c>
    </row>
    <row r="4987" spans="1:9" ht="50.4" x14ac:dyDescent="0.3">
      <c r="A4987" s="109" t="s">
        <v>28666</v>
      </c>
      <c r="B4987" s="109" t="s">
        <v>27587</v>
      </c>
      <c r="C4987" s="109" t="s">
        <v>27587</v>
      </c>
      <c r="D4987" s="109" t="s">
        <v>20893</v>
      </c>
      <c r="E4987" s="109" t="s">
        <v>20893</v>
      </c>
      <c r="F4987" s="109" t="s">
        <v>28667</v>
      </c>
      <c r="G4987" s="110" t="s">
        <v>6248</v>
      </c>
      <c r="H4987" s="110" t="s">
        <v>28668</v>
      </c>
      <c r="I4987" s="110" t="s">
        <v>28669</v>
      </c>
    </row>
    <row r="4988" spans="1:9" ht="50.4" x14ac:dyDescent="0.3">
      <c r="A4988" s="109" t="s">
        <v>28670</v>
      </c>
      <c r="B4988" s="109" t="s">
        <v>27587</v>
      </c>
      <c r="C4988" s="109" t="s">
        <v>27587</v>
      </c>
      <c r="D4988" s="109" t="s">
        <v>28671</v>
      </c>
      <c r="E4988" s="109" t="s">
        <v>28671</v>
      </c>
      <c r="F4988" s="109" t="s">
        <v>28672</v>
      </c>
      <c r="G4988" s="110" t="s">
        <v>6248</v>
      </c>
      <c r="H4988" s="110" t="s">
        <v>28673</v>
      </c>
      <c r="I4988" s="110" t="s">
        <v>28674</v>
      </c>
    </row>
    <row r="4989" spans="1:9" ht="50.4" x14ac:dyDescent="0.3">
      <c r="A4989" s="109" t="s">
        <v>28675</v>
      </c>
      <c r="B4989" s="109" t="s">
        <v>27587</v>
      </c>
      <c r="C4989" s="109" t="s">
        <v>27587</v>
      </c>
      <c r="D4989" s="109" t="s">
        <v>28676</v>
      </c>
      <c r="E4989" s="109" t="s">
        <v>28676</v>
      </c>
      <c r="F4989" s="109" t="s">
        <v>28677</v>
      </c>
      <c r="G4989" s="110" t="s">
        <v>6248</v>
      </c>
      <c r="H4989" s="110" t="s">
        <v>28678</v>
      </c>
      <c r="I4989" s="110" t="s">
        <v>28679</v>
      </c>
    </row>
    <row r="4990" spans="1:9" ht="25.2" x14ac:dyDescent="0.3">
      <c r="A4990" s="109" t="s">
        <v>28680</v>
      </c>
      <c r="B4990" s="109" t="s">
        <v>27587</v>
      </c>
      <c r="C4990" s="109" t="s">
        <v>27587</v>
      </c>
      <c r="D4990" s="109" t="s">
        <v>28681</v>
      </c>
      <c r="E4990" s="109" t="s">
        <v>28682</v>
      </c>
      <c r="F4990" s="109" t="s">
        <v>14065</v>
      </c>
      <c r="G4990" s="110" t="s">
        <v>6248</v>
      </c>
      <c r="H4990" s="110" t="s">
        <v>28683</v>
      </c>
      <c r="I4990" s="110" t="s">
        <v>28684</v>
      </c>
    </row>
    <row r="4991" spans="1:9" ht="63" x14ac:dyDescent="0.3">
      <c r="A4991" s="109" t="s">
        <v>28685</v>
      </c>
      <c r="B4991" s="109" t="s">
        <v>27587</v>
      </c>
      <c r="C4991" s="109" t="s">
        <v>27587</v>
      </c>
      <c r="D4991" s="109" t="s">
        <v>28686</v>
      </c>
      <c r="E4991" s="109" t="s">
        <v>28686</v>
      </c>
      <c r="F4991" s="109" t="s">
        <v>28687</v>
      </c>
      <c r="G4991" s="110" t="s">
        <v>6248</v>
      </c>
      <c r="H4991" s="110" t="s">
        <v>28688</v>
      </c>
      <c r="I4991" s="110" t="s">
        <v>28689</v>
      </c>
    </row>
    <row r="4992" spans="1:9" ht="25.2" x14ac:dyDescent="0.3">
      <c r="A4992" s="109" t="s">
        <v>28690</v>
      </c>
      <c r="B4992" s="109" t="s">
        <v>27587</v>
      </c>
      <c r="C4992" s="109" t="s">
        <v>27587</v>
      </c>
      <c r="D4992" s="109" t="s">
        <v>4444</v>
      </c>
      <c r="E4992" s="109" t="s">
        <v>5558</v>
      </c>
      <c r="F4992" s="109" t="s">
        <v>28691</v>
      </c>
      <c r="G4992" s="110" t="s">
        <v>6248</v>
      </c>
      <c r="H4992" s="110" t="s">
        <v>28692</v>
      </c>
      <c r="I4992" s="110" t="s">
        <v>28693</v>
      </c>
    </row>
    <row r="4993" spans="1:9" ht="50.4" x14ac:dyDescent="0.3">
      <c r="A4993" s="109" t="s">
        <v>28694</v>
      </c>
      <c r="B4993" s="109" t="s">
        <v>27587</v>
      </c>
      <c r="C4993" s="109" t="s">
        <v>27587</v>
      </c>
      <c r="D4993" s="109" t="s">
        <v>28695</v>
      </c>
      <c r="E4993" s="109" t="s">
        <v>28695</v>
      </c>
      <c r="F4993" s="109" t="s">
        <v>28696</v>
      </c>
      <c r="G4993" s="110" t="s">
        <v>6248</v>
      </c>
      <c r="H4993" s="110" t="s">
        <v>28697</v>
      </c>
      <c r="I4993" s="110" t="s">
        <v>28698</v>
      </c>
    </row>
    <row r="4994" spans="1:9" ht="50.4" x14ac:dyDescent="0.3">
      <c r="A4994" s="109" t="s">
        <v>28699</v>
      </c>
      <c r="B4994" s="109" t="s">
        <v>27587</v>
      </c>
      <c r="C4994" s="109" t="s">
        <v>27587</v>
      </c>
      <c r="D4994" s="109" t="s">
        <v>12163</v>
      </c>
      <c r="E4994" s="109" t="s">
        <v>12163</v>
      </c>
      <c r="F4994" s="109" t="s">
        <v>28700</v>
      </c>
      <c r="G4994" s="110" t="s">
        <v>6248</v>
      </c>
      <c r="H4994" s="110" t="s">
        <v>28701</v>
      </c>
      <c r="I4994" s="110" t="s">
        <v>28702</v>
      </c>
    </row>
    <row r="4995" spans="1:9" ht="50.4" x14ac:dyDescent="0.3">
      <c r="A4995" s="109" t="s">
        <v>28703</v>
      </c>
      <c r="B4995" s="109" t="s">
        <v>27587</v>
      </c>
      <c r="C4995" s="109" t="s">
        <v>27587</v>
      </c>
      <c r="D4995" s="109" t="s">
        <v>9930</v>
      </c>
      <c r="E4995" s="109" t="s">
        <v>9930</v>
      </c>
      <c r="F4995" s="109" t="s">
        <v>28704</v>
      </c>
      <c r="G4995" s="110" t="s">
        <v>6248</v>
      </c>
      <c r="H4995" s="110" t="s">
        <v>28705</v>
      </c>
      <c r="I4995" s="110" t="s">
        <v>28706</v>
      </c>
    </row>
    <row r="4996" spans="1:9" ht="50.4" x14ac:dyDescent="0.3">
      <c r="A4996" s="109" t="s">
        <v>28707</v>
      </c>
      <c r="B4996" s="109" t="s">
        <v>27587</v>
      </c>
      <c r="C4996" s="109" t="s">
        <v>27587</v>
      </c>
      <c r="D4996" s="109" t="s">
        <v>20041</v>
      </c>
      <c r="E4996" s="109" t="s">
        <v>20041</v>
      </c>
      <c r="F4996" s="109" t="s">
        <v>28708</v>
      </c>
      <c r="G4996" s="110" t="s">
        <v>6248</v>
      </c>
      <c r="H4996" s="110" t="s">
        <v>6689</v>
      </c>
      <c r="I4996" s="110" t="s">
        <v>28709</v>
      </c>
    </row>
    <row r="4997" spans="1:9" ht="50.4" x14ac:dyDescent="0.3">
      <c r="A4997" s="109" t="s">
        <v>28710</v>
      </c>
      <c r="B4997" s="109" t="s">
        <v>27587</v>
      </c>
      <c r="C4997" s="109" t="s">
        <v>27587</v>
      </c>
      <c r="D4997" s="109" t="s">
        <v>28711</v>
      </c>
      <c r="E4997" s="109" t="s">
        <v>28711</v>
      </c>
      <c r="F4997" s="109" t="s">
        <v>28712</v>
      </c>
      <c r="G4997" s="110" t="s">
        <v>6248</v>
      </c>
      <c r="H4997" s="110" t="s">
        <v>28713</v>
      </c>
      <c r="I4997" s="110" t="s">
        <v>28714</v>
      </c>
    </row>
    <row r="4998" spans="1:9" ht="37.799999999999997" x14ac:dyDescent="0.3">
      <c r="A4998" s="109" t="s">
        <v>28715</v>
      </c>
      <c r="B4998" s="109" t="s">
        <v>27587</v>
      </c>
      <c r="C4998" s="109" t="s">
        <v>27587</v>
      </c>
      <c r="D4998" s="109" t="s">
        <v>28716</v>
      </c>
      <c r="E4998" s="109" t="s">
        <v>28716</v>
      </c>
      <c r="F4998" s="109" t="s">
        <v>28717</v>
      </c>
      <c r="G4998" s="110" t="s">
        <v>6248</v>
      </c>
      <c r="H4998" s="110" t="s">
        <v>28718</v>
      </c>
      <c r="I4998" s="110" t="s">
        <v>28719</v>
      </c>
    </row>
    <row r="4999" spans="1:9" ht="50.4" x14ac:dyDescent="0.3">
      <c r="A4999" s="109" t="s">
        <v>28720</v>
      </c>
      <c r="B4999" s="109" t="s">
        <v>27587</v>
      </c>
      <c r="C4999" s="109" t="s">
        <v>27587</v>
      </c>
      <c r="D4999" s="109" t="s">
        <v>28721</v>
      </c>
      <c r="E4999" s="109" t="s">
        <v>28721</v>
      </c>
      <c r="F4999" s="109" t="s">
        <v>28722</v>
      </c>
      <c r="G4999" s="110" t="s">
        <v>6248</v>
      </c>
      <c r="H4999" s="110" t="s">
        <v>28723</v>
      </c>
      <c r="I4999" s="110" t="s">
        <v>28724</v>
      </c>
    </row>
    <row r="5000" spans="1:9" ht="25.2" x14ac:dyDescent="0.3">
      <c r="A5000" s="109" t="s">
        <v>28725</v>
      </c>
      <c r="B5000" s="109" t="s">
        <v>27587</v>
      </c>
      <c r="C5000" s="109" t="s">
        <v>27587</v>
      </c>
      <c r="D5000" s="109" t="s">
        <v>28726</v>
      </c>
      <c r="E5000" s="109" t="s">
        <v>5558</v>
      </c>
      <c r="F5000" s="109" t="s">
        <v>28727</v>
      </c>
      <c r="G5000" s="110" t="s">
        <v>6248</v>
      </c>
      <c r="H5000" s="110" t="s">
        <v>10621</v>
      </c>
      <c r="I5000" s="110" t="s">
        <v>28728</v>
      </c>
    </row>
    <row r="5001" spans="1:9" ht="37.799999999999997" x14ac:dyDescent="0.3">
      <c r="A5001" s="109" t="s">
        <v>28729</v>
      </c>
      <c r="B5001" s="109" t="s">
        <v>27587</v>
      </c>
      <c r="C5001" s="109" t="s">
        <v>27587</v>
      </c>
      <c r="D5001" s="109" t="s">
        <v>28730</v>
      </c>
      <c r="E5001" s="109" t="s">
        <v>28730</v>
      </c>
      <c r="F5001" s="109" t="s">
        <v>28731</v>
      </c>
      <c r="G5001" s="110" t="s">
        <v>6248</v>
      </c>
      <c r="H5001" s="110" t="s">
        <v>28732</v>
      </c>
      <c r="I5001" s="110" t="s">
        <v>28733</v>
      </c>
    </row>
    <row r="5002" spans="1:9" ht="25.2" x14ac:dyDescent="0.3">
      <c r="A5002" s="109" t="s">
        <v>28734</v>
      </c>
      <c r="B5002" s="109" t="s">
        <v>27587</v>
      </c>
      <c r="C5002" s="109" t="s">
        <v>27587</v>
      </c>
      <c r="D5002" s="109" t="s">
        <v>20795</v>
      </c>
      <c r="E5002" s="109" t="s">
        <v>28735</v>
      </c>
      <c r="F5002" s="109" t="s">
        <v>28736</v>
      </c>
      <c r="G5002" s="110" t="s">
        <v>6248</v>
      </c>
      <c r="H5002" s="110" t="s">
        <v>28737</v>
      </c>
      <c r="I5002" s="110" t="s">
        <v>28738</v>
      </c>
    </row>
    <row r="5003" spans="1:9" ht="25.2" x14ac:dyDescent="0.3">
      <c r="A5003" s="109" t="s">
        <v>28739</v>
      </c>
      <c r="B5003" s="109" t="s">
        <v>27587</v>
      </c>
      <c r="C5003" s="109" t="s">
        <v>27587</v>
      </c>
      <c r="D5003" s="109" t="s">
        <v>28740</v>
      </c>
      <c r="E5003" s="109" t="s">
        <v>5558</v>
      </c>
      <c r="F5003" s="109" t="s">
        <v>28741</v>
      </c>
      <c r="G5003" s="110" t="s">
        <v>6248</v>
      </c>
      <c r="H5003" s="110" t="s">
        <v>28742</v>
      </c>
      <c r="I5003" s="110" t="s">
        <v>28743</v>
      </c>
    </row>
    <row r="5004" spans="1:9" ht="25.2" x14ac:dyDescent="0.3">
      <c r="A5004" s="109" t="s">
        <v>28744</v>
      </c>
      <c r="B5004" s="109" t="s">
        <v>27587</v>
      </c>
      <c r="C5004" s="109" t="s">
        <v>27587</v>
      </c>
      <c r="D5004" s="109" t="s">
        <v>28745</v>
      </c>
      <c r="E5004" s="109" t="s">
        <v>5558</v>
      </c>
      <c r="F5004" s="109" t="s">
        <v>28746</v>
      </c>
      <c r="G5004" s="110" t="s">
        <v>6248</v>
      </c>
      <c r="H5004" s="110" t="s">
        <v>28747</v>
      </c>
      <c r="I5004" s="110" t="s">
        <v>28748</v>
      </c>
    </row>
    <row r="5005" spans="1:9" ht="25.2" x14ac:dyDescent="0.3">
      <c r="A5005" s="109" t="s">
        <v>28749</v>
      </c>
      <c r="B5005" s="109" t="s">
        <v>27587</v>
      </c>
      <c r="C5005" s="109" t="s">
        <v>27587</v>
      </c>
      <c r="D5005" s="109" t="s">
        <v>28750</v>
      </c>
      <c r="E5005" s="109" t="s">
        <v>28751</v>
      </c>
      <c r="F5005" s="109" t="s">
        <v>28752</v>
      </c>
      <c r="G5005" s="110" t="s">
        <v>6248</v>
      </c>
      <c r="H5005" s="110" t="s">
        <v>28753</v>
      </c>
      <c r="I5005" s="110" t="s">
        <v>28754</v>
      </c>
    </row>
    <row r="5006" spans="1:9" ht="50.4" x14ac:dyDescent="0.3">
      <c r="A5006" s="109" t="s">
        <v>28755</v>
      </c>
      <c r="B5006" s="109" t="s">
        <v>27587</v>
      </c>
      <c r="C5006" s="109" t="s">
        <v>27587</v>
      </c>
      <c r="D5006" s="109" t="s">
        <v>6048</v>
      </c>
      <c r="E5006" s="109" t="s">
        <v>6048</v>
      </c>
      <c r="F5006" s="109" t="s">
        <v>28756</v>
      </c>
      <c r="G5006" s="110" t="s">
        <v>6248</v>
      </c>
      <c r="H5006" s="110" t="s">
        <v>28757</v>
      </c>
      <c r="I5006" s="110" t="s">
        <v>28758</v>
      </c>
    </row>
    <row r="5007" spans="1:9" ht="50.4" x14ac:dyDescent="0.3">
      <c r="A5007" s="109" t="s">
        <v>28759</v>
      </c>
      <c r="B5007" s="109" t="s">
        <v>27587</v>
      </c>
      <c r="C5007" s="109" t="s">
        <v>27587</v>
      </c>
      <c r="D5007" s="109" t="s">
        <v>28760</v>
      </c>
      <c r="E5007" s="109" t="s">
        <v>28760</v>
      </c>
      <c r="F5007" s="109" t="s">
        <v>28761</v>
      </c>
      <c r="G5007" s="110" t="s">
        <v>6248</v>
      </c>
      <c r="H5007" s="110" t="s">
        <v>7128</v>
      </c>
      <c r="I5007" s="110" t="s">
        <v>28762</v>
      </c>
    </row>
    <row r="5008" spans="1:9" ht="50.4" x14ac:dyDescent="0.3">
      <c r="A5008" s="109" t="s">
        <v>28763</v>
      </c>
      <c r="B5008" s="109" t="s">
        <v>27587</v>
      </c>
      <c r="C5008" s="109" t="s">
        <v>27587</v>
      </c>
      <c r="D5008" s="109" t="s">
        <v>28764</v>
      </c>
      <c r="E5008" s="109" t="s">
        <v>28764</v>
      </c>
      <c r="F5008" s="109" t="s">
        <v>28765</v>
      </c>
      <c r="G5008" s="110" t="s">
        <v>6248</v>
      </c>
      <c r="H5008" s="110" t="s">
        <v>28766</v>
      </c>
      <c r="I5008" s="110" t="s">
        <v>28767</v>
      </c>
    </row>
    <row r="5009" spans="1:9" ht="50.4" x14ac:dyDescent="0.3">
      <c r="A5009" s="109" t="s">
        <v>28768</v>
      </c>
      <c r="B5009" s="109" t="s">
        <v>27587</v>
      </c>
      <c r="C5009" s="109" t="s">
        <v>27587</v>
      </c>
      <c r="D5009" s="109" t="s">
        <v>28769</v>
      </c>
      <c r="E5009" s="109" t="s">
        <v>28769</v>
      </c>
      <c r="F5009" s="109" t="s">
        <v>28770</v>
      </c>
      <c r="G5009" s="110" t="s">
        <v>6248</v>
      </c>
      <c r="H5009" s="110" t="s">
        <v>28771</v>
      </c>
      <c r="I5009" s="110" t="s">
        <v>28772</v>
      </c>
    </row>
    <row r="5010" spans="1:9" ht="25.2" x14ac:dyDescent="0.3">
      <c r="A5010" s="109" t="s">
        <v>28773</v>
      </c>
      <c r="B5010" s="109" t="s">
        <v>27587</v>
      </c>
      <c r="C5010" s="109" t="s">
        <v>27587</v>
      </c>
      <c r="D5010" s="109" t="s">
        <v>28774</v>
      </c>
      <c r="E5010" s="109" t="s">
        <v>5558</v>
      </c>
      <c r="F5010" s="109" t="s">
        <v>28775</v>
      </c>
      <c r="G5010" s="110" t="s">
        <v>6248</v>
      </c>
      <c r="H5010" s="110" t="s">
        <v>12951</v>
      </c>
      <c r="I5010" s="110" t="s">
        <v>28776</v>
      </c>
    </row>
    <row r="5011" spans="1:9" ht="50.4" x14ac:dyDescent="0.3">
      <c r="A5011" s="109" t="s">
        <v>28777</v>
      </c>
      <c r="B5011" s="109" t="s">
        <v>27587</v>
      </c>
      <c r="C5011" s="109" t="s">
        <v>27587</v>
      </c>
      <c r="D5011" s="109" t="s">
        <v>7472</v>
      </c>
      <c r="E5011" s="109" t="s">
        <v>7472</v>
      </c>
      <c r="F5011" s="109" t="s">
        <v>28778</v>
      </c>
      <c r="G5011" s="110" t="s">
        <v>6248</v>
      </c>
      <c r="H5011" s="110" t="s">
        <v>7321</v>
      </c>
      <c r="I5011" s="110" t="s">
        <v>28779</v>
      </c>
    </row>
    <row r="5012" spans="1:9" ht="50.4" x14ac:dyDescent="0.3">
      <c r="A5012" s="109" t="s">
        <v>28780</v>
      </c>
      <c r="B5012" s="109" t="s">
        <v>27587</v>
      </c>
      <c r="C5012" s="109" t="s">
        <v>27587</v>
      </c>
      <c r="D5012" s="109" t="s">
        <v>25778</v>
      </c>
      <c r="E5012" s="109" t="s">
        <v>25778</v>
      </c>
      <c r="F5012" s="109" t="s">
        <v>28781</v>
      </c>
      <c r="G5012" s="110" t="s">
        <v>6248</v>
      </c>
      <c r="H5012" s="110" t="s">
        <v>28782</v>
      </c>
      <c r="I5012" s="110" t="s">
        <v>28783</v>
      </c>
    </row>
    <row r="5013" spans="1:9" ht="37.799999999999997" x14ac:dyDescent="0.3">
      <c r="A5013" s="109" t="s">
        <v>28784</v>
      </c>
      <c r="B5013" s="109" t="s">
        <v>27587</v>
      </c>
      <c r="C5013" s="109" t="s">
        <v>27587</v>
      </c>
      <c r="D5013" s="109" t="s">
        <v>28785</v>
      </c>
      <c r="E5013" s="109" t="s">
        <v>28785</v>
      </c>
      <c r="F5013" s="109" t="s">
        <v>28786</v>
      </c>
      <c r="G5013" s="110" t="s">
        <v>6248</v>
      </c>
      <c r="H5013" s="110" t="s">
        <v>28787</v>
      </c>
      <c r="I5013" s="110" t="s">
        <v>28788</v>
      </c>
    </row>
    <row r="5014" spans="1:9" ht="50.4" x14ac:dyDescent="0.3">
      <c r="A5014" s="109" t="s">
        <v>28789</v>
      </c>
      <c r="B5014" s="109" t="s">
        <v>27587</v>
      </c>
      <c r="C5014" s="109" t="s">
        <v>27587</v>
      </c>
      <c r="D5014" s="109" t="s">
        <v>28790</v>
      </c>
      <c r="E5014" s="109" t="s">
        <v>28790</v>
      </c>
      <c r="F5014" s="109" t="s">
        <v>28791</v>
      </c>
      <c r="G5014" s="110" t="s">
        <v>6248</v>
      </c>
      <c r="H5014" s="110" t="s">
        <v>28792</v>
      </c>
      <c r="I5014" s="110" t="s">
        <v>28793</v>
      </c>
    </row>
    <row r="5015" spans="1:9" ht="37.799999999999997" x14ac:dyDescent="0.3">
      <c r="A5015" s="109" t="s">
        <v>28794</v>
      </c>
      <c r="B5015" s="109" t="s">
        <v>27587</v>
      </c>
      <c r="C5015" s="109" t="s">
        <v>27587</v>
      </c>
      <c r="D5015" s="109" t="s">
        <v>28795</v>
      </c>
      <c r="E5015" s="109" t="s">
        <v>28795</v>
      </c>
      <c r="F5015" s="109" t="s">
        <v>28796</v>
      </c>
      <c r="G5015" s="110" t="s">
        <v>6248</v>
      </c>
      <c r="H5015" s="110" t="s">
        <v>28797</v>
      </c>
      <c r="I5015" s="110" t="s">
        <v>28798</v>
      </c>
    </row>
    <row r="5016" spans="1:9" ht="37.799999999999997" x14ac:dyDescent="0.3">
      <c r="A5016" s="109" t="s">
        <v>28799</v>
      </c>
      <c r="B5016" s="109" t="s">
        <v>27587</v>
      </c>
      <c r="C5016" s="109" t="s">
        <v>27587</v>
      </c>
      <c r="D5016" s="109" t="s">
        <v>28800</v>
      </c>
      <c r="E5016" s="109" t="s">
        <v>27402</v>
      </c>
      <c r="F5016" s="109" t="s">
        <v>28801</v>
      </c>
      <c r="G5016" s="110" t="s">
        <v>6248</v>
      </c>
      <c r="H5016" s="110" t="s">
        <v>11146</v>
      </c>
      <c r="I5016" s="110" t="s">
        <v>28802</v>
      </c>
    </row>
    <row r="5017" spans="1:9" ht="37.799999999999997" x14ac:dyDescent="0.3">
      <c r="A5017" s="109" t="s">
        <v>28803</v>
      </c>
      <c r="B5017" s="109" t="s">
        <v>27587</v>
      </c>
      <c r="C5017" s="109" t="s">
        <v>27587</v>
      </c>
      <c r="D5017" s="109" t="s">
        <v>4225</v>
      </c>
      <c r="E5017" s="109" t="s">
        <v>5558</v>
      </c>
      <c r="F5017" s="109" t="s">
        <v>28804</v>
      </c>
      <c r="G5017" s="110" t="s">
        <v>6248</v>
      </c>
      <c r="H5017" s="110" t="s">
        <v>13714</v>
      </c>
      <c r="I5017" s="110" t="s">
        <v>28805</v>
      </c>
    </row>
    <row r="5018" spans="1:9" ht="50.4" x14ac:dyDescent="0.3">
      <c r="A5018" s="109" t="s">
        <v>28806</v>
      </c>
      <c r="B5018" s="109" t="s">
        <v>27587</v>
      </c>
      <c r="C5018" s="109" t="s">
        <v>27587</v>
      </c>
      <c r="D5018" s="109" t="s">
        <v>28807</v>
      </c>
      <c r="E5018" s="109" t="s">
        <v>28807</v>
      </c>
      <c r="F5018" s="109" t="s">
        <v>28808</v>
      </c>
      <c r="G5018" s="110" t="s">
        <v>6248</v>
      </c>
      <c r="H5018" s="110" t="s">
        <v>28809</v>
      </c>
      <c r="I5018" s="110" t="s">
        <v>28810</v>
      </c>
    </row>
    <row r="5019" spans="1:9" ht="25.2" x14ac:dyDescent="0.3">
      <c r="A5019" s="109" t="s">
        <v>28811</v>
      </c>
      <c r="B5019" s="109" t="s">
        <v>27587</v>
      </c>
      <c r="C5019" s="109" t="s">
        <v>27587</v>
      </c>
      <c r="D5019" s="109" t="s">
        <v>28812</v>
      </c>
      <c r="E5019" s="109" t="s">
        <v>5558</v>
      </c>
      <c r="F5019" s="109" t="s">
        <v>28813</v>
      </c>
      <c r="G5019" s="110" t="s">
        <v>6248</v>
      </c>
      <c r="H5019" s="110" t="s">
        <v>28814</v>
      </c>
      <c r="I5019" s="110" t="s">
        <v>28815</v>
      </c>
    </row>
    <row r="5020" spans="1:9" ht="50.4" x14ac:dyDescent="0.3">
      <c r="A5020" s="109" t="s">
        <v>28816</v>
      </c>
      <c r="B5020" s="109" t="s">
        <v>27587</v>
      </c>
      <c r="C5020" s="109" t="s">
        <v>27587</v>
      </c>
      <c r="D5020" s="109" t="s">
        <v>9689</v>
      </c>
      <c r="E5020" s="109" t="s">
        <v>9689</v>
      </c>
      <c r="F5020" s="109" t="s">
        <v>28817</v>
      </c>
      <c r="G5020" s="110" t="s">
        <v>6248</v>
      </c>
      <c r="H5020" s="110" t="s">
        <v>28818</v>
      </c>
      <c r="I5020" s="110" t="s">
        <v>28819</v>
      </c>
    </row>
    <row r="5021" spans="1:9" ht="50.4" x14ac:dyDescent="0.3">
      <c r="A5021" s="109" t="s">
        <v>28820</v>
      </c>
      <c r="B5021" s="109" t="s">
        <v>27587</v>
      </c>
      <c r="C5021" s="109" t="s">
        <v>27587</v>
      </c>
      <c r="D5021" s="109" t="s">
        <v>28821</v>
      </c>
      <c r="E5021" s="109" t="s">
        <v>28821</v>
      </c>
      <c r="F5021" s="109" t="s">
        <v>28822</v>
      </c>
      <c r="G5021" s="110" t="s">
        <v>6248</v>
      </c>
      <c r="H5021" s="110" t="s">
        <v>28823</v>
      </c>
      <c r="I5021" s="110" t="s">
        <v>28824</v>
      </c>
    </row>
    <row r="5022" spans="1:9" ht="50.4" x14ac:dyDescent="0.3">
      <c r="A5022" s="109" t="s">
        <v>28825</v>
      </c>
      <c r="B5022" s="109" t="s">
        <v>27587</v>
      </c>
      <c r="C5022" s="109" t="s">
        <v>27587</v>
      </c>
      <c r="D5022" s="109" t="s">
        <v>24892</v>
      </c>
      <c r="E5022" s="109" t="s">
        <v>24892</v>
      </c>
      <c r="F5022" s="109" t="s">
        <v>28826</v>
      </c>
      <c r="G5022" s="110" t="s">
        <v>6248</v>
      </c>
      <c r="H5022" s="110" t="s">
        <v>28827</v>
      </c>
      <c r="I5022" s="110" t="s">
        <v>28828</v>
      </c>
    </row>
    <row r="5023" spans="1:9" ht="50.4" x14ac:dyDescent="0.3">
      <c r="A5023" s="109" t="s">
        <v>28829</v>
      </c>
      <c r="B5023" s="109" t="s">
        <v>27587</v>
      </c>
      <c r="C5023" s="109" t="s">
        <v>27587</v>
      </c>
      <c r="D5023" s="109" t="s">
        <v>28830</v>
      </c>
      <c r="E5023" s="109" t="s">
        <v>28830</v>
      </c>
      <c r="F5023" s="109" t="s">
        <v>28831</v>
      </c>
      <c r="G5023" s="110" t="s">
        <v>6248</v>
      </c>
      <c r="H5023" s="110" t="s">
        <v>28832</v>
      </c>
      <c r="I5023" s="110" t="s">
        <v>28833</v>
      </c>
    </row>
    <row r="5024" spans="1:9" ht="50.4" x14ac:dyDescent="0.3">
      <c r="A5024" s="109" t="s">
        <v>28834</v>
      </c>
      <c r="B5024" s="109" t="s">
        <v>27587</v>
      </c>
      <c r="C5024" s="109" t="s">
        <v>27587</v>
      </c>
      <c r="D5024" s="109" t="s">
        <v>28835</v>
      </c>
      <c r="E5024" s="109" t="s">
        <v>28835</v>
      </c>
      <c r="F5024" s="109" t="s">
        <v>28836</v>
      </c>
      <c r="G5024" s="110" t="s">
        <v>6248</v>
      </c>
      <c r="H5024" s="110" t="s">
        <v>28837</v>
      </c>
      <c r="I5024" s="110" t="s">
        <v>28838</v>
      </c>
    </row>
    <row r="5025" spans="1:9" ht="50.4" x14ac:dyDescent="0.3">
      <c r="A5025" s="109" t="s">
        <v>28839</v>
      </c>
      <c r="B5025" s="109" t="s">
        <v>27587</v>
      </c>
      <c r="C5025" s="109" t="s">
        <v>27587</v>
      </c>
      <c r="D5025" s="109" t="s">
        <v>27029</v>
      </c>
      <c r="E5025" s="109" t="s">
        <v>27029</v>
      </c>
      <c r="F5025" s="109" t="s">
        <v>28840</v>
      </c>
      <c r="G5025" s="110" t="s">
        <v>6248</v>
      </c>
      <c r="H5025" s="110" t="s">
        <v>28841</v>
      </c>
      <c r="I5025" s="110" t="s">
        <v>28842</v>
      </c>
    </row>
    <row r="5026" spans="1:9" ht="50.4" x14ac:dyDescent="0.3">
      <c r="A5026" s="109" t="s">
        <v>28843</v>
      </c>
      <c r="B5026" s="109" t="s">
        <v>27587</v>
      </c>
      <c r="C5026" s="109" t="s">
        <v>27587</v>
      </c>
      <c r="D5026" s="109" t="s">
        <v>28844</v>
      </c>
      <c r="E5026" s="109" t="s">
        <v>28844</v>
      </c>
      <c r="F5026" s="109" t="s">
        <v>28845</v>
      </c>
      <c r="G5026" s="110" t="s">
        <v>6248</v>
      </c>
      <c r="H5026" s="110" t="s">
        <v>28846</v>
      </c>
      <c r="I5026" s="110" t="s">
        <v>28847</v>
      </c>
    </row>
    <row r="5027" spans="1:9" ht="50.4" x14ac:dyDescent="0.3">
      <c r="A5027" s="109" t="s">
        <v>28848</v>
      </c>
      <c r="B5027" s="109" t="s">
        <v>27587</v>
      </c>
      <c r="C5027" s="109" t="s">
        <v>27587</v>
      </c>
      <c r="D5027" s="109" t="s">
        <v>28849</v>
      </c>
      <c r="E5027" s="109" t="s">
        <v>28849</v>
      </c>
      <c r="F5027" s="109" t="s">
        <v>28850</v>
      </c>
      <c r="G5027" s="110" t="s">
        <v>6248</v>
      </c>
      <c r="H5027" s="110" t="s">
        <v>28851</v>
      </c>
      <c r="I5027" s="110" t="s">
        <v>28852</v>
      </c>
    </row>
    <row r="5028" spans="1:9" ht="25.2" x14ac:dyDescent="0.3">
      <c r="A5028" s="109" t="s">
        <v>28853</v>
      </c>
      <c r="B5028" s="109" t="s">
        <v>27587</v>
      </c>
      <c r="C5028" s="109" t="s">
        <v>27587</v>
      </c>
      <c r="D5028" s="109" t="s">
        <v>28854</v>
      </c>
      <c r="E5028" s="109" t="s">
        <v>5558</v>
      </c>
      <c r="F5028" s="109" t="s">
        <v>28855</v>
      </c>
      <c r="G5028" s="110" t="s">
        <v>6248</v>
      </c>
      <c r="H5028" s="110" t="s">
        <v>28856</v>
      </c>
      <c r="I5028" s="110" t="s">
        <v>28857</v>
      </c>
    </row>
    <row r="5029" spans="1:9" ht="37.799999999999997" x14ac:dyDescent="0.3">
      <c r="A5029" s="109" t="s">
        <v>28858</v>
      </c>
      <c r="B5029" s="109" t="s">
        <v>27587</v>
      </c>
      <c r="C5029" s="109" t="s">
        <v>27587</v>
      </c>
      <c r="D5029" s="109" t="s">
        <v>28859</v>
      </c>
      <c r="E5029" s="109" t="s">
        <v>28859</v>
      </c>
      <c r="F5029" s="109" t="s">
        <v>28860</v>
      </c>
      <c r="G5029" s="110" t="s">
        <v>6248</v>
      </c>
      <c r="H5029" s="110" t="s">
        <v>28861</v>
      </c>
      <c r="I5029" s="110" t="s">
        <v>28862</v>
      </c>
    </row>
    <row r="5030" spans="1:9" ht="50.4" x14ac:dyDescent="0.3">
      <c r="A5030" s="109" t="s">
        <v>28863</v>
      </c>
      <c r="B5030" s="109" t="s">
        <v>27587</v>
      </c>
      <c r="C5030" s="109" t="s">
        <v>27587</v>
      </c>
      <c r="D5030" s="109" t="s">
        <v>28864</v>
      </c>
      <c r="E5030" s="109" t="s">
        <v>28864</v>
      </c>
      <c r="F5030" s="109" t="s">
        <v>28865</v>
      </c>
      <c r="G5030" s="110" t="s">
        <v>6248</v>
      </c>
      <c r="H5030" s="110" t="s">
        <v>28866</v>
      </c>
      <c r="I5030" s="110" t="s">
        <v>28867</v>
      </c>
    </row>
    <row r="5031" spans="1:9" ht="25.2" x14ac:dyDescent="0.3">
      <c r="A5031" s="109" t="s">
        <v>28868</v>
      </c>
      <c r="B5031" s="109" t="s">
        <v>27587</v>
      </c>
      <c r="C5031" s="109" t="s">
        <v>27587</v>
      </c>
      <c r="D5031" s="109" t="s">
        <v>4359</v>
      </c>
      <c r="E5031" s="109" t="s">
        <v>28869</v>
      </c>
      <c r="F5031" s="109" t="s">
        <v>28870</v>
      </c>
      <c r="G5031" s="110" t="s">
        <v>6248</v>
      </c>
      <c r="H5031" s="110" t="s">
        <v>28871</v>
      </c>
      <c r="I5031" s="110" t="s">
        <v>28872</v>
      </c>
    </row>
    <row r="5032" spans="1:9" ht="25.2" x14ac:dyDescent="0.3">
      <c r="A5032" s="109" t="s">
        <v>28873</v>
      </c>
      <c r="B5032" s="109" t="s">
        <v>27587</v>
      </c>
      <c r="C5032" s="109" t="s">
        <v>27587</v>
      </c>
      <c r="D5032" s="109" t="s">
        <v>28874</v>
      </c>
      <c r="E5032" s="109" t="s">
        <v>5558</v>
      </c>
      <c r="F5032" s="109" t="s">
        <v>28875</v>
      </c>
      <c r="G5032" s="110" t="s">
        <v>6248</v>
      </c>
      <c r="H5032" s="110" t="s">
        <v>6341</v>
      </c>
      <c r="I5032" s="110" t="s">
        <v>28876</v>
      </c>
    </row>
    <row r="5033" spans="1:9" ht="25.2" x14ac:dyDescent="0.3">
      <c r="A5033" s="109" t="s">
        <v>28877</v>
      </c>
      <c r="B5033" s="109" t="s">
        <v>27587</v>
      </c>
      <c r="C5033" s="109" t="s">
        <v>27587</v>
      </c>
      <c r="D5033" s="109" t="s">
        <v>28878</v>
      </c>
      <c r="E5033" s="109" t="s">
        <v>5558</v>
      </c>
      <c r="F5033" s="109" t="s">
        <v>28879</v>
      </c>
      <c r="G5033" s="110" t="s">
        <v>6248</v>
      </c>
      <c r="H5033" s="110" t="s">
        <v>28880</v>
      </c>
      <c r="I5033" s="110" t="s">
        <v>28881</v>
      </c>
    </row>
    <row r="5034" spans="1:9" ht="25.2" x14ac:dyDescent="0.3">
      <c r="A5034" s="109" t="s">
        <v>28882</v>
      </c>
      <c r="B5034" s="109" t="s">
        <v>27587</v>
      </c>
      <c r="C5034" s="109" t="s">
        <v>27587</v>
      </c>
      <c r="D5034" s="109" t="s">
        <v>28883</v>
      </c>
      <c r="E5034" s="109" t="s">
        <v>28884</v>
      </c>
      <c r="F5034" s="109" t="s">
        <v>7734</v>
      </c>
      <c r="G5034" s="110" t="s">
        <v>6248</v>
      </c>
      <c r="H5034" s="110" t="s">
        <v>28885</v>
      </c>
      <c r="I5034" s="110" t="s">
        <v>28886</v>
      </c>
    </row>
    <row r="5035" spans="1:9" ht="25.2" x14ac:dyDescent="0.3">
      <c r="A5035" s="109" t="s">
        <v>28887</v>
      </c>
      <c r="B5035" s="109" t="s">
        <v>27587</v>
      </c>
      <c r="C5035" s="109" t="s">
        <v>27587</v>
      </c>
      <c r="D5035" s="109" t="s">
        <v>28888</v>
      </c>
      <c r="E5035" s="109" t="s">
        <v>5558</v>
      </c>
      <c r="F5035" s="109" t="s">
        <v>28889</v>
      </c>
      <c r="G5035" s="110" t="s">
        <v>6248</v>
      </c>
      <c r="H5035" s="110" t="s">
        <v>28890</v>
      </c>
      <c r="I5035" s="110" t="s">
        <v>28891</v>
      </c>
    </row>
    <row r="5036" spans="1:9" ht="25.2" x14ac:dyDescent="0.3">
      <c r="A5036" s="109" t="s">
        <v>28892</v>
      </c>
      <c r="B5036" s="109" t="s">
        <v>27587</v>
      </c>
      <c r="C5036" s="109" t="s">
        <v>27587</v>
      </c>
      <c r="D5036" s="109" t="s">
        <v>4355</v>
      </c>
      <c r="E5036" s="109" t="s">
        <v>5558</v>
      </c>
      <c r="F5036" s="109" t="s">
        <v>28893</v>
      </c>
      <c r="G5036" s="110" t="s">
        <v>6248</v>
      </c>
      <c r="H5036" s="110" t="s">
        <v>26391</v>
      </c>
      <c r="I5036" s="110" t="s">
        <v>28894</v>
      </c>
    </row>
    <row r="5037" spans="1:9" ht="25.2" x14ac:dyDescent="0.3">
      <c r="A5037" s="109" t="s">
        <v>28895</v>
      </c>
      <c r="B5037" s="109" t="s">
        <v>27587</v>
      </c>
      <c r="C5037" s="109" t="s">
        <v>27587</v>
      </c>
      <c r="D5037" s="109" t="s">
        <v>28896</v>
      </c>
      <c r="E5037" s="109" t="s">
        <v>5558</v>
      </c>
      <c r="F5037" s="109" t="s">
        <v>4611</v>
      </c>
      <c r="G5037" s="110" t="s">
        <v>6248</v>
      </c>
      <c r="H5037" s="110" t="s">
        <v>28897</v>
      </c>
      <c r="I5037" s="110" t="s">
        <v>28898</v>
      </c>
    </row>
    <row r="5038" spans="1:9" ht="25.2" x14ac:dyDescent="0.3">
      <c r="A5038" s="109" t="s">
        <v>28899</v>
      </c>
      <c r="B5038" s="109" t="s">
        <v>28900</v>
      </c>
      <c r="C5038" s="109" t="s">
        <v>27587</v>
      </c>
      <c r="D5038" s="109" t="s">
        <v>28901</v>
      </c>
      <c r="E5038" s="109" t="s">
        <v>5558</v>
      </c>
      <c r="F5038" s="109" t="s">
        <v>28902</v>
      </c>
      <c r="G5038" s="110" t="s">
        <v>6248</v>
      </c>
      <c r="H5038" s="110" t="s">
        <v>28903</v>
      </c>
      <c r="I5038" s="110" t="s">
        <v>28904</v>
      </c>
    </row>
    <row r="5039" spans="1:9" ht="25.2" x14ac:dyDescent="0.3">
      <c r="A5039" s="109" t="s">
        <v>28905</v>
      </c>
      <c r="B5039" s="109" t="s">
        <v>28900</v>
      </c>
      <c r="C5039" s="109" t="s">
        <v>27587</v>
      </c>
      <c r="D5039" s="109" t="s">
        <v>28906</v>
      </c>
      <c r="E5039" s="109" t="s">
        <v>5558</v>
      </c>
      <c r="F5039" s="109" t="s">
        <v>28907</v>
      </c>
      <c r="G5039" s="110" t="s">
        <v>6248</v>
      </c>
      <c r="H5039" s="110" t="s">
        <v>9199</v>
      </c>
      <c r="I5039" s="110" t="s">
        <v>28908</v>
      </c>
    </row>
    <row r="5040" spans="1:9" ht="25.2" x14ac:dyDescent="0.3">
      <c r="A5040" s="109" t="s">
        <v>28909</v>
      </c>
      <c r="B5040" s="109" t="s">
        <v>28900</v>
      </c>
      <c r="C5040" s="109" t="s">
        <v>28900</v>
      </c>
      <c r="D5040" s="109" t="s">
        <v>28910</v>
      </c>
      <c r="E5040" s="109" t="s">
        <v>28911</v>
      </c>
      <c r="F5040" s="109" t="s">
        <v>8852</v>
      </c>
      <c r="G5040" s="110" t="s">
        <v>6248</v>
      </c>
      <c r="H5040" s="110" t="s">
        <v>6601</v>
      </c>
      <c r="I5040" s="110" t="s">
        <v>28912</v>
      </c>
    </row>
    <row r="5041" spans="1:9" ht="25.2" x14ac:dyDescent="0.3">
      <c r="A5041" s="109" t="s">
        <v>28913</v>
      </c>
      <c r="B5041" s="109" t="s">
        <v>28900</v>
      </c>
      <c r="C5041" s="109" t="s">
        <v>28900</v>
      </c>
      <c r="D5041" s="109" t="s">
        <v>28914</v>
      </c>
      <c r="E5041" s="109" t="s">
        <v>28915</v>
      </c>
      <c r="F5041" s="109" t="s">
        <v>19151</v>
      </c>
      <c r="G5041" s="110" t="s">
        <v>6248</v>
      </c>
      <c r="H5041" s="110" t="s">
        <v>28916</v>
      </c>
      <c r="I5041" s="110" t="s">
        <v>28917</v>
      </c>
    </row>
    <row r="5042" spans="1:9" ht="25.2" x14ac:dyDescent="0.3">
      <c r="A5042" s="109" t="s">
        <v>28918</v>
      </c>
      <c r="B5042" s="109" t="s">
        <v>28900</v>
      </c>
      <c r="C5042" s="109" t="s">
        <v>28900</v>
      </c>
      <c r="D5042" s="109" t="s">
        <v>5569</v>
      </c>
      <c r="E5042" s="109" t="s">
        <v>5558</v>
      </c>
      <c r="F5042" s="109" t="s">
        <v>2258</v>
      </c>
      <c r="G5042" s="110" t="s">
        <v>6248</v>
      </c>
      <c r="H5042" s="110" t="s">
        <v>6793</v>
      </c>
      <c r="I5042" s="110" t="s">
        <v>28919</v>
      </c>
    </row>
    <row r="5043" spans="1:9" ht="25.2" x14ac:dyDescent="0.3">
      <c r="A5043" s="109" t="s">
        <v>28920</v>
      </c>
      <c r="B5043" s="109" t="s">
        <v>28900</v>
      </c>
      <c r="C5043" s="109" t="s">
        <v>28900</v>
      </c>
      <c r="D5043" s="109" t="s">
        <v>5569</v>
      </c>
      <c r="E5043" s="109" t="s">
        <v>5558</v>
      </c>
      <c r="F5043" s="109" t="s">
        <v>2258</v>
      </c>
      <c r="G5043" s="110" t="s">
        <v>6248</v>
      </c>
      <c r="H5043" s="110" t="s">
        <v>28921</v>
      </c>
      <c r="I5043" s="110" t="s">
        <v>28922</v>
      </c>
    </row>
    <row r="5044" spans="1:9" ht="25.2" x14ac:dyDescent="0.3">
      <c r="A5044" s="109" t="s">
        <v>28923</v>
      </c>
      <c r="B5044" s="109" t="s">
        <v>28900</v>
      </c>
      <c r="C5044" s="109" t="s">
        <v>28900</v>
      </c>
      <c r="D5044" s="109" t="s">
        <v>5569</v>
      </c>
      <c r="E5044" s="109" t="s">
        <v>5558</v>
      </c>
      <c r="F5044" s="109" t="s">
        <v>2258</v>
      </c>
      <c r="G5044" s="110" t="s">
        <v>6248</v>
      </c>
      <c r="H5044" s="110" t="s">
        <v>28924</v>
      </c>
      <c r="I5044" s="110" t="s">
        <v>28925</v>
      </c>
    </row>
    <row r="5045" spans="1:9" ht="25.2" x14ac:dyDescent="0.3">
      <c r="A5045" s="109" t="s">
        <v>28926</v>
      </c>
      <c r="B5045" s="109" t="s">
        <v>28900</v>
      </c>
      <c r="C5045" s="109" t="s">
        <v>28900</v>
      </c>
      <c r="D5045" s="109" t="s">
        <v>5569</v>
      </c>
      <c r="E5045" s="109" t="s">
        <v>5558</v>
      </c>
      <c r="F5045" s="109" t="s">
        <v>2258</v>
      </c>
      <c r="G5045" s="110" t="s">
        <v>6248</v>
      </c>
      <c r="H5045" s="110" t="s">
        <v>28927</v>
      </c>
      <c r="I5045" s="110" t="s">
        <v>28928</v>
      </c>
    </row>
    <row r="5046" spans="1:9" ht="25.2" x14ac:dyDescent="0.3">
      <c r="A5046" s="109" t="s">
        <v>28929</v>
      </c>
      <c r="B5046" s="109" t="s">
        <v>28900</v>
      </c>
      <c r="C5046" s="109" t="s">
        <v>28900</v>
      </c>
      <c r="D5046" s="109" t="s">
        <v>5569</v>
      </c>
      <c r="E5046" s="109" t="s">
        <v>5558</v>
      </c>
      <c r="F5046" s="109" t="s">
        <v>2258</v>
      </c>
      <c r="G5046" s="110" t="s">
        <v>6248</v>
      </c>
      <c r="H5046" s="110" t="s">
        <v>28930</v>
      </c>
      <c r="I5046" s="110" t="s">
        <v>28931</v>
      </c>
    </row>
    <row r="5047" spans="1:9" ht="25.2" x14ac:dyDescent="0.3">
      <c r="A5047" s="109" t="s">
        <v>28932</v>
      </c>
      <c r="B5047" s="109" t="s">
        <v>28900</v>
      </c>
      <c r="C5047" s="109" t="s">
        <v>28900</v>
      </c>
      <c r="D5047" s="109" t="s">
        <v>5569</v>
      </c>
      <c r="E5047" s="109" t="s">
        <v>5558</v>
      </c>
      <c r="F5047" s="109" t="s">
        <v>2258</v>
      </c>
      <c r="G5047" s="110" t="s">
        <v>6248</v>
      </c>
      <c r="H5047" s="110" t="s">
        <v>28933</v>
      </c>
      <c r="I5047" s="110" t="s">
        <v>28934</v>
      </c>
    </row>
    <row r="5048" spans="1:9" ht="25.2" x14ac:dyDescent="0.3">
      <c r="A5048" s="109" t="s">
        <v>28935</v>
      </c>
      <c r="B5048" s="109" t="s">
        <v>28900</v>
      </c>
      <c r="C5048" s="109" t="s">
        <v>28900</v>
      </c>
      <c r="D5048" s="109" t="s">
        <v>28936</v>
      </c>
      <c r="E5048" s="109" t="s">
        <v>5558</v>
      </c>
      <c r="F5048" s="109" t="s">
        <v>28937</v>
      </c>
      <c r="G5048" s="110" t="s">
        <v>6248</v>
      </c>
      <c r="H5048" s="110" t="s">
        <v>6341</v>
      </c>
      <c r="I5048" s="110" t="s">
        <v>28938</v>
      </c>
    </row>
    <row r="5049" spans="1:9" ht="25.2" x14ac:dyDescent="0.3">
      <c r="A5049" s="109" t="s">
        <v>28939</v>
      </c>
      <c r="B5049" s="109" t="s">
        <v>28900</v>
      </c>
      <c r="C5049" s="109" t="s">
        <v>28900</v>
      </c>
      <c r="D5049" s="109" t="s">
        <v>28940</v>
      </c>
      <c r="E5049" s="109" t="s">
        <v>5558</v>
      </c>
      <c r="F5049" s="109" t="s">
        <v>28941</v>
      </c>
      <c r="G5049" s="110" t="s">
        <v>6248</v>
      </c>
      <c r="H5049" s="110" t="s">
        <v>11207</v>
      </c>
      <c r="I5049" s="110" t="s">
        <v>28942</v>
      </c>
    </row>
    <row r="5050" spans="1:9" ht="25.2" x14ac:dyDescent="0.3">
      <c r="A5050" s="109" t="s">
        <v>28943</v>
      </c>
      <c r="B5050" s="109" t="s">
        <v>28900</v>
      </c>
      <c r="C5050" s="109" t="s">
        <v>28900</v>
      </c>
      <c r="D5050" s="109" t="s">
        <v>28944</v>
      </c>
      <c r="E5050" s="109" t="s">
        <v>5558</v>
      </c>
      <c r="F5050" s="109" t="s">
        <v>28945</v>
      </c>
      <c r="G5050" s="110" t="s">
        <v>6248</v>
      </c>
      <c r="H5050" s="110" t="s">
        <v>7062</v>
      </c>
      <c r="I5050" s="110" t="s">
        <v>28946</v>
      </c>
    </row>
    <row r="5051" spans="1:9" ht="25.2" x14ac:dyDescent="0.3">
      <c r="A5051" s="109" t="s">
        <v>28947</v>
      </c>
      <c r="B5051" s="109" t="s">
        <v>28900</v>
      </c>
      <c r="C5051" s="109" t="s">
        <v>28900</v>
      </c>
      <c r="D5051" s="109" t="s">
        <v>28948</v>
      </c>
      <c r="E5051" s="109" t="s">
        <v>5558</v>
      </c>
      <c r="F5051" s="109" t="s">
        <v>28949</v>
      </c>
      <c r="G5051" s="110" t="s">
        <v>6248</v>
      </c>
      <c r="H5051" s="110" t="s">
        <v>28950</v>
      </c>
      <c r="I5051" s="110" t="s">
        <v>28951</v>
      </c>
    </row>
    <row r="5052" spans="1:9" ht="25.2" x14ac:dyDescent="0.3">
      <c r="A5052" s="109" t="s">
        <v>28952</v>
      </c>
      <c r="B5052" s="109" t="s">
        <v>28900</v>
      </c>
      <c r="C5052" s="109" t="s">
        <v>28900</v>
      </c>
      <c r="D5052" s="109" t="s">
        <v>28953</v>
      </c>
      <c r="E5052" s="109" t="s">
        <v>28954</v>
      </c>
      <c r="F5052" s="109" t="s">
        <v>10289</v>
      </c>
      <c r="G5052" s="110" t="s">
        <v>6248</v>
      </c>
      <c r="H5052" s="110" t="s">
        <v>28955</v>
      </c>
      <c r="I5052" s="110" t="s">
        <v>28956</v>
      </c>
    </row>
    <row r="5053" spans="1:9" ht="25.2" x14ac:dyDescent="0.3">
      <c r="A5053" s="109" t="s">
        <v>28957</v>
      </c>
      <c r="B5053" s="109" t="s">
        <v>28900</v>
      </c>
      <c r="C5053" s="109" t="s">
        <v>28900</v>
      </c>
      <c r="D5053" s="109" t="s">
        <v>28958</v>
      </c>
      <c r="E5053" s="109" t="s">
        <v>5558</v>
      </c>
      <c r="F5053" s="109" t="s">
        <v>28959</v>
      </c>
      <c r="G5053" s="110" t="s">
        <v>6248</v>
      </c>
      <c r="H5053" s="110" t="s">
        <v>7480</v>
      </c>
      <c r="I5053" s="110" t="s">
        <v>28960</v>
      </c>
    </row>
    <row r="5054" spans="1:9" ht="25.2" x14ac:dyDescent="0.3">
      <c r="A5054" s="109" t="s">
        <v>28961</v>
      </c>
      <c r="B5054" s="109" t="s">
        <v>28900</v>
      </c>
      <c r="C5054" s="109" t="s">
        <v>28900</v>
      </c>
      <c r="D5054" s="109" t="s">
        <v>28962</v>
      </c>
      <c r="E5054" s="109" t="s">
        <v>5558</v>
      </c>
      <c r="F5054" s="109" t="s">
        <v>28963</v>
      </c>
      <c r="G5054" s="110" t="s">
        <v>6248</v>
      </c>
      <c r="H5054" s="110" t="s">
        <v>6753</v>
      </c>
      <c r="I5054" s="110" t="s">
        <v>28964</v>
      </c>
    </row>
    <row r="5055" spans="1:9" ht="37.799999999999997" x14ac:dyDescent="0.3">
      <c r="A5055" s="109" t="s">
        <v>28965</v>
      </c>
      <c r="B5055" s="109" t="s">
        <v>28900</v>
      </c>
      <c r="C5055" s="109" t="s">
        <v>28900</v>
      </c>
      <c r="D5055" s="109" t="s">
        <v>28966</v>
      </c>
      <c r="E5055" s="109" t="s">
        <v>5558</v>
      </c>
      <c r="F5055" s="109" t="s">
        <v>28967</v>
      </c>
      <c r="G5055" s="110" t="s">
        <v>6248</v>
      </c>
      <c r="H5055" s="110" t="s">
        <v>14273</v>
      </c>
      <c r="I5055" s="110" t="s">
        <v>28968</v>
      </c>
    </row>
    <row r="5056" spans="1:9" ht="25.2" x14ac:dyDescent="0.3">
      <c r="A5056" s="109" t="s">
        <v>28969</v>
      </c>
      <c r="B5056" s="109" t="s">
        <v>28900</v>
      </c>
      <c r="C5056" s="109" t="s">
        <v>28900</v>
      </c>
      <c r="D5056" s="109" t="s">
        <v>28970</v>
      </c>
      <c r="E5056" s="109" t="s">
        <v>28971</v>
      </c>
      <c r="F5056" s="109" t="s">
        <v>28972</v>
      </c>
      <c r="G5056" s="110" t="s">
        <v>28973</v>
      </c>
      <c r="H5056" s="110" t="s">
        <v>6248</v>
      </c>
      <c r="I5056" s="110" t="s">
        <v>28974</v>
      </c>
    </row>
    <row r="5057" spans="1:9" ht="25.2" x14ac:dyDescent="0.3">
      <c r="A5057" s="109" t="s">
        <v>28975</v>
      </c>
      <c r="B5057" s="109" t="s">
        <v>28900</v>
      </c>
      <c r="C5057" s="109" t="s">
        <v>28900</v>
      </c>
      <c r="D5057" s="109" t="s">
        <v>28976</v>
      </c>
      <c r="E5057" s="109" t="s">
        <v>28971</v>
      </c>
      <c r="F5057" s="109" t="s">
        <v>28977</v>
      </c>
      <c r="G5057" s="110" t="s">
        <v>7254</v>
      </c>
      <c r="H5057" s="110" t="s">
        <v>6248</v>
      </c>
      <c r="I5057" s="110" t="s">
        <v>28978</v>
      </c>
    </row>
    <row r="5058" spans="1:9" ht="37.799999999999997" x14ac:dyDescent="0.3">
      <c r="A5058" s="109" t="s">
        <v>28979</v>
      </c>
      <c r="B5058" s="109" t="s">
        <v>28900</v>
      </c>
      <c r="C5058" s="109" t="s">
        <v>28900</v>
      </c>
      <c r="D5058" s="109" t="s">
        <v>28980</v>
      </c>
      <c r="E5058" s="109" t="s">
        <v>5558</v>
      </c>
      <c r="F5058" s="109" t="s">
        <v>28981</v>
      </c>
      <c r="G5058" s="110" t="s">
        <v>6248</v>
      </c>
      <c r="H5058" s="110" t="s">
        <v>6341</v>
      </c>
      <c r="I5058" s="110" t="s">
        <v>28982</v>
      </c>
    </row>
    <row r="5059" spans="1:9" ht="37.799999999999997" x14ac:dyDescent="0.3">
      <c r="A5059" s="109" t="s">
        <v>28983</v>
      </c>
      <c r="B5059" s="109" t="s">
        <v>28900</v>
      </c>
      <c r="C5059" s="109" t="s">
        <v>28900</v>
      </c>
      <c r="D5059" s="109" t="s">
        <v>28984</v>
      </c>
      <c r="E5059" s="109" t="s">
        <v>5558</v>
      </c>
      <c r="F5059" s="109" t="s">
        <v>28985</v>
      </c>
      <c r="G5059" s="110" t="s">
        <v>6248</v>
      </c>
      <c r="H5059" s="110" t="s">
        <v>6352</v>
      </c>
      <c r="I5059" s="110" t="s">
        <v>28986</v>
      </c>
    </row>
    <row r="5060" spans="1:9" ht="25.2" x14ac:dyDescent="0.3">
      <c r="A5060" s="109" t="s">
        <v>28987</v>
      </c>
      <c r="B5060" s="109" t="s">
        <v>28900</v>
      </c>
      <c r="C5060" s="109" t="s">
        <v>28900</v>
      </c>
      <c r="D5060" s="109" t="s">
        <v>28988</v>
      </c>
      <c r="E5060" s="109" t="s">
        <v>28989</v>
      </c>
      <c r="F5060" s="109" t="s">
        <v>28990</v>
      </c>
      <c r="G5060" s="110" t="s">
        <v>6248</v>
      </c>
      <c r="H5060" s="110" t="s">
        <v>28991</v>
      </c>
      <c r="I5060" s="110" t="s">
        <v>28992</v>
      </c>
    </row>
    <row r="5061" spans="1:9" ht="25.2" x14ac:dyDescent="0.3">
      <c r="A5061" s="109" t="s">
        <v>28993</v>
      </c>
      <c r="B5061" s="109" t="s">
        <v>28900</v>
      </c>
      <c r="C5061" s="109" t="s">
        <v>28900</v>
      </c>
      <c r="D5061" s="109" t="s">
        <v>28994</v>
      </c>
      <c r="E5061" s="109" t="s">
        <v>5558</v>
      </c>
      <c r="F5061" s="109" t="s">
        <v>28995</v>
      </c>
      <c r="G5061" s="110" t="s">
        <v>6248</v>
      </c>
      <c r="H5061" s="110" t="s">
        <v>11912</v>
      </c>
      <c r="I5061" s="110" t="s">
        <v>28996</v>
      </c>
    </row>
    <row r="5062" spans="1:9" ht="25.2" x14ac:dyDescent="0.3">
      <c r="A5062" s="109" t="s">
        <v>28997</v>
      </c>
      <c r="B5062" s="109" t="s">
        <v>28900</v>
      </c>
      <c r="C5062" s="109" t="s">
        <v>28900</v>
      </c>
      <c r="D5062" s="109" t="s">
        <v>5569</v>
      </c>
      <c r="E5062" s="109" t="s">
        <v>5558</v>
      </c>
      <c r="F5062" s="109" t="s">
        <v>2258</v>
      </c>
      <c r="G5062" s="110" t="s">
        <v>6248</v>
      </c>
      <c r="H5062" s="110" t="s">
        <v>28998</v>
      </c>
      <c r="I5062" s="110" t="s">
        <v>28999</v>
      </c>
    </row>
    <row r="5063" spans="1:9" ht="25.2" x14ac:dyDescent="0.3">
      <c r="A5063" s="109" t="s">
        <v>29000</v>
      </c>
      <c r="B5063" s="109" t="s">
        <v>28900</v>
      </c>
      <c r="C5063" s="109" t="s">
        <v>28900</v>
      </c>
      <c r="D5063" s="109" t="s">
        <v>29001</v>
      </c>
      <c r="E5063" s="109" t="s">
        <v>5558</v>
      </c>
      <c r="F5063" s="109" t="s">
        <v>29002</v>
      </c>
      <c r="G5063" s="110" t="s">
        <v>6248</v>
      </c>
      <c r="H5063" s="110" t="s">
        <v>7480</v>
      </c>
      <c r="I5063" s="110" t="s">
        <v>29003</v>
      </c>
    </row>
    <row r="5064" spans="1:9" ht="37.799999999999997" x14ac:dyDescent="0.3">
      <c r="A5064" s="109" t="s">
        <v>29004</v>
      </c>
      <c r="B5064" s="109" t="s">
        <v>28900</v>
      </c>
      <c r="C5064" s="109" t="s">
        <v>28900</v>
      </c>
      <c r="D5064" s="109" t="s">
        <v>29005</v>
      </c>
      <c r="E5064" s="109" t="s">
        <v>5558</v>
      </c>
      <c r="F5064" s="109" t="s">
        <v>29006</v>
      </c>
      <c r="G5064" s="110" t="s">
        <v>6248</v>
      </c>
      <c r="H5064" s="110" t="s">
        <v>29007</v>
      </c>
      <c r="I5064" s="110" t="s">
        <v>29008</v>
      </c>
    </row>
    <row r="5065" spans="1:9" ht="25.2" x14ac:dyDescent="0.3">
      <c r="A5065" s="109" t="s">
        <v>29009</v>
      </c>
      <c r="B5065" s="109" t="s">
        <v>28900</v>
      </c>
      <c r="C5065" s="109" t="s">
        <v>28900</v>
      </c>
      <c r="D5065" s="109" t="s">
        <v>29010</v>
      </c>
      <c r="E5065" s="109" t="s">
        <v>5558</v>
      </c>
      <c r="F5065" s="109" t="s">
        <v>29011</v>
      </c>
      <c r="G5065" s="110" t="s">
        <v>6248</v>
      </c>
      <c r="H5065" s="110" t="s">
        <v>6398</v>
      </c>
      <c r="I5065" s="110" t="s">
        <v>29012</v>
      </c>
    </row>
    <row r="5066" spans="1:9" ht="50.4" x14ac:dyDescent="0.3">
      <c r="A5066" s="109" t="s">
        <v>29013</v>
      </c>
      <c r="B5066" s="109" t="s">
        <v>28900</v>
      </c>
      <c r="C5066" s="109" t="s">
        <v>28900</v>
      </c>
      <c r="D5066" s="109" t="s">
        <v>29014</v>
      </c>
      <c r="E5066" s="109" t="s">
        <v>5558</v>
      </c>
      <c r="F5066" s="109" t="s">
        <v>29015</v>
      </c>
      <c r="G5066" s="110" t="s">
        <v>6248</v>
      </c>
      <c r="H5066" s="110" t="s">
        <v>6507</v>
      </c>
      <c r="I5066" s="110" t="s">
        <v>29016</v>
      </c>
    </row>
    <row r="5067" spans="1:9" ht="25.2" x14ac:dyDescent="0.3">
      <c r="A5067" s="109" t="s">
        <v>29017</v>
      </c>
      <c r="B5067" s="109" t="s">
        <v>28900</v>
      </c>
      <c r="C5067" s="109" t="s">
        <v>28900</v>
      </c>
      <c r="D5067" s="109" t="s">
        <v>29018</v>
      </c>
      <c r="E5067" s="109" t="s">
        <v>5558</v>
      </c>
      <c r="F5067" s="109" t="s">
        <v>29019</v>
      </c>
      <c r="G5067" s="110" t="s">
        <v>6248</v>
      </c>
      <c r="H5067" s="110" t="s">
        <v>6460</v>
      </c>
      <c r="I5067" s="110" t="s">
        <v>29020</v>
      </c>
    </row>
    <row r="5068" spans="1:9" ht="25.2" x14ac:dyDescent="0.3">
      <c r="A5068" s="109" t="s">
        <v>29021</v>
      </c>
      <c r="B5068" s="109" t="s">
        <v>28900</v>
      </c>
      <c r="C5068" s="109" t="s">
        <v>28900</v>
      </c>
      <c r="D5068" s="109" t="s">
        <v>29022</v>
      </c>
      <c r="E5068" s="109" t="s">
        <v>5558</v>
      </c>
      <c r="F5068" s="109" t="s">
        <v>29023</v>
      </c>
      <c r="G5068" s="110" t="s">
        <v>6248</v>
      </c>
      <c r="H5068" s="110" t="s">
        <v>6584</v>
      </c>
      <c r="I5068" s="110" t="s">
        <v>29024</v>
      </c>
    </row>
    <row r="5069" spans="1:9" ht="37.799999999999997" x14ac:dyDescent="0.3">
      <c r="A5069" s="109" t="s">
        <v>29025</v>
      </c>
      <c r="B5069" s="109" t="s">
        <v>28900</v>
      </c>
      <c r="C5069" s="109" t="s">
        <v>28900</v>
      </c>
      <c r="D5069" s="109" t="s">
        <v>29026</v>
      </c>
      <c r="E5069" s="109" t="s">
        <v>5558</v>
      </c>
      <c r="F5069" s="109" t="s">
        <v>29027</v>
      </c>
      <c r="G5069" s="110" t="s">
        <v>6248</v>
      </c>
      <c r="H5069" s="110" t="s">
        <v>6507</v>
      </c>
      <c r="I5069" s="110" t="s">
        <v>29028</v>
      </c>
    </row>
    <row r="5070" spans="1:9" ht="25.2" x14ac:dyDescent="0.3">
      <c r="A5070" s="109" t="s">
        <v>29029</v>
      </c>
      <c r="B5070" s="109" t="s">
        <v>28900</v>
      </c>
      <c r="C5070" s="109" t="s">
        <v>28900</v>
      </c>
      <c r="D5070" s="109" t="s">
        <v>29030</v>
      </c>
      <c r="E5070" s="109" t="s">
        <v>5558</v>
      </c>
      <c r="F5070" s="109" t="s">
        <v>29031</v>
      </c>
      <c r="G5070" s="110" t="s">
        <v>6248</v>
      </c>
      <c r="H5070" s="110" t="s">
        <v>29032</v>
      </c>
      <c r="I5070" s="110" t="s">
        <v>29033</v>
      </c>
    </row>
    <row r="5071" spans="1:9" ht="25.2" x14ac:dyDescent="0.3">
      <c r="A5071" s="109" t="s">
        <v>29034</v>
      </c>
      <c r="B5071" s="109" t="s">
        <v>28900</v>
      </c>
      <c r="C5071" s="109" t="s">
        <v>28900</v>
      </c>
      <c r="D5071" s="109" t="s">
        <v>29035</v>
      </c>
      <c r="E5071" s="109" t="s">
        <v>5558</v>
      </c>
      <c r="F5071" s="109" t="s">
        <v>29036</v>
      </c>
      <c r="G5071" s="110" t="s">
        <v>6248</v>
      </c>
      <c r="H5071" s="110" t="s">
        <v>6557</v>
      </c>
      <c r="I5071" s="110" t="s">
        <v>29037</v>
      </c>
    </row>
    <row r="5072" spans="1:9" ht="25.2" x14ac:dyDescent="0.3">
      <c r="A5072" s="109" t="s">
        <v>29038</v>
      </c>
      <c r="B5072" s="109" t="s">
        <v>28900</v>
      </c>
      <c r="C5072" s="109" t="s">
        <v>28900</v>
      </c>
      <c r="D5072" s="109" t="s">
        <v>29039</v>
      </c>
      <c r="E5072" s="109" t="s">
        <v>5558</v>
      </c>
      <c r="F5072" s="109" t="s">
        <v>29040</v>
      </c>
      <c r="G5072" s="110" t="s">
        <v>6248</v>
      </c>
      <c r="H5072" s="110" t="s">
        <v>6474</v>
      </c>
      <c r="I5072" s="110" t="s">
        <v>29041</v>
      </c>
    </row>
    <row r="5073" spans="1:9" ht="25.2" x14ac:dyDescent="0.3">
      <c r="A5073" s="109" t="s">
        <v>29042</v>
      </c>
      <c r="B5073" s="109" t="s">
        <v>28900</v>
      </c>
      <c r="C5073" s="109" t="s">
        <v>28900</v>
      </c>
      <c r="D5073" s="109" t="s">
        <v>29043</v>
      </c>
      <c r="E5073" s="109" t="s">
        <v>5558</v>
      </c>
      <c r="F5073" s="109" t="s">
        <v>29044</v>
      </c>
      <c r="G5073" s="110" t="s">
        <v>6248</v>
      </c>
      <c r="H5073" s="110" t="s">
        <v>12935</v>
      </c>
      <c r="I5073" s="110" t="s">
        <v>29045</v>
      </c>
    </row>
    <row r="5074" spans="1:9" ht="37.799999999999997" x14ac:dyDescent="0.3">
      <c r="A5074" s="109" t="s">
        <v>29046</v>
      </c>
      <c r="B5074" s="109" t="s">
        <v>28900</v>
      </c>
      <c r="C5074" s="109" t="s">
        <v>28900</v>
      </c>
      <c r="D5074" s="109" t="s">
        <v>29047</v>
      </c>
      <c r="E5074" s="109" t="s">
        <v>5558</v>
      </c>
      <c r="F5074" s="109" t="s">
        <v>29048</v>
      </c>
      <c r="G5074" s="110" t="s">
        <v>6248</v>
      </c>
      <c r="H5074" s="110" t="s">
        <v>6474</v>
      </c>
      <c r="I5074" s="110" t="s">
        <v>29049</v>
      </c>
    </row>
    <row r="5075" spans="1:9" ht="25.2" x14ac:dyDescent="0.3">
      <c r="A5075" s="109" t="s">
        <v>29050</v>
      </c>
      <c r="B5075" s="109" t="s">
        <v>28900</v>
      </c>
      <c r="C5075" s="109" t="s">
        <v>28900</v>
      </c>
      <c r="D5075" s="109" t="s">
        <v>29051</v>
      </c>
      <c r="E5075" s="109" t="s">
        <v>5558</v>
      </c>
      <c r="F5075" s="109" t="s">
        <v>29052</v>
      </c>
      <c r="G5075" s="110" t="s">
        <v>6248</v>
      </c>
      <c r="H5075" s="110" t="s">
        <v>6433</v>
      </c>
      <c r="I5075" s="110" t="s">
        <v>29053</v>
      </c>
    </row>
    <row r="5076" spans="1:9" ht="25.2" x14ac:dyDescent="0.3">
      <c r="A5076" s="109" t="s">
        <v>29054</v>
      </c>
      <c r="B5076" s="109" t="s">
        <v>28900</v>
      </c>
      <c r="C5076" s="109" t="s">
        <v>28900</v>
      </c>
      <c r="D5076" s="109" t="s">
        <v>29055</v>
      </c>
      <c r="E5076" s="109" t="s">
        <v>5558</v>
      </c>
      <c r="F5076" s="109" t="s">
        <v>29056</v>
      </c>
      <c r="G5076" s="110" t="s">
        <v>6248</v>
      </c>
      <c r="H5076" s="110" t="s">
        <v>18118</v>
      </c>
      <c r="I5076" s="110" t="s">
        <v>29057</v>
      </c>
    </row>
    <row r="5077" spans="1:9" ht="25.2" x14ac:dyDescent="0.3">
      <c r="A5077" s="109" t="s">
        <v>29058</v>
      </c>
      <c r="B5077" s="109" t="s">
        <v>28900</v>
      </c>
      <c r="C5077" s="109" t="s">
        <v>28900</v>
      </c>
      <c r="D5077" s="109" t="s">
        <v>29059</v>
      </c>
      <c r="E5077" s="109" t="s">
        <v>5558</v>
      </c>
      <c r="F5077" s="109" t="s">
        <v>29060</v>
      </c>
      <c r="G5077" s="110" t="s">
        <v>6248</v>
      </c>
      <c r="H5077" s="110" t="s">
        <v>11476</v>
      </c>
      <c r="I5077" s="110" t="s">
        <v>29061</v>
      </c>
    </row>
    <row r="5078" spans="1:9" ht="25.2" x14ac:dyDescent="0.3">
      <c r="A5078" s="109" t="s">
        <v>29062</v>
      </c>
      <c r="B5078" s="109" t="s">
        <v>28900</v>
      </c>
      <c r="C5078" s="109" t="s">
        <v>28900</v>
      </c>
      <c r="D5078" s="109" t="s">
        <v>29063</v>
      </c>
      <c r="E5078" s="109" t="s">
        <v>5558</v>
      </c>
      <c r="F5078" s="109" t="s">
        <v>29064</v>
      </c>
      <c r="G5078" s="110" t="s">
        <v>6248</v>
      </c>
      <c r="H5078" s="110" t="s">
        <v>8905</v>
      </c>
      <c r="I5078" s="110" t="s">
        <v>29065</v>
      </c>
    </row>
    <row r="5079" spans="1:9" ht="25.2" x14ac:dyDescent="0.3">
      <c r="A5079" s="109" t="s">
        <v>29066</v>
      </c>
      <c r="B5079" s="109" t="s">
        <v>28900</v>
      </c>
      <c r="C5079" s="109" t="s">
        <v>28900</v>
      </c>
      <c r="D5079" s="109" t="s">
        <v>29067</v>
      </c>
      <c r="E5079" s="109" t="s">
        <v>5558</v>
      </c>
      <c r="F5079" s="109" t="s">
        <v>29068</v>
      </c>
      <c r="G5079" s="110" t="s">
        <v>6248</v>
      </c>
      <c r="H5079" s="110" t="s">
        <v>8905</v>
      </c>
      <c r="I5079" s="110" t="s">
        <v>29069</v>
      </c>
    </row>
    <row r="5080" spans="1:9" ht="37.799999999999997" x14ac:dyDescent="0.3">
      <c r="A5080" s="109" t="s">
        <v>29070</v>
      </c>
      <c r="B5080" s="109" t="s">
        <v>28900</v>
      </c>
      <c r="C5080" s="109" t="s">
        <v>28900</v>
      </c>
      <c r="D5080" s="109" t="s">
        <v>29071</v>
      </c>
      <c r="E5080" s="109" t="s">
        <v>5558</v>
      </c>
      <c r="F5080" s="109" t="s">
        <v>29072</v>
      </c>
      <c r="G5080" s="110" t="s">
        <v>6248</v>
      </c>
      <c r="H5080" s="110" t="s">
        <v>7817</v>
      </c>
      <c r="I5080" s="110" t="s">
        <v>29073</v>
      </c>
    </row>
    <row r="5081" spans="1:9" ht="37.799999999999997" x14ac:dyDescent="0.3">
      <c r="A5081" s="109" t="s">
        <v>29074</v>
      </c>
      <c r="B5081" s="109" t="s">
        <v>28900</v>
      </c>
      <c r="C5081" s="109" t="s">
        <v>28900</v>
      </c>
      <c r="D5081" s="109" t="s">
        <v>29075</v>
      </c>
      <c r="E5081" s="109" t="s">
        <v>5558</v>
      </c>
      <c r="F5081" s="109" t="s">
        <v>29076</v>
      </c>
      <c r="G5081" s="110" t="s">
        <v>6248</v>
      </c>
      <c r="H5081" s="110" t="s">
        <v>12935</v>
      </c>
      <c r="I5081" s="110" t="s">
        <v>29077</v>
      </c>
    </row>
    <row r="5082" spans="1:9" ht="37.799999999999997" x14ac:dyDescent="0.3">
      <c r="A5082" s="109" t="s">
        <v>29078</v>
      </c>
      <c r="B5082" s="109" t="s">
        <v>28900</v>
      </c>
      <c r="C5082" s="109" t="s">
        <v>28900</v>
      </c>
      <c r="D5082" s="109" t="s">
        <v>29079</v>
      </c>
      <c r="E5082" s="109" t="s">
        <v>5558</v>
      </c>
      <c r="F5082" s="109" t="s">
        <v>29080</v>
      </c>
      <c r="G5082" s="110" t="s">
        <v>6248</v>
      </c>
      <c r="H5082" s="110" t="s">
        <v>7592</v>
      </c>
      <c r="I5082" s="110" t="s">
        <v>29081</v>
      </c>
    </row>
    <row r="5083" spans="1:9" ht="25.2" x14ac:dyDescent="0.3">
      <c r="A5083" s="109" t="s">
        <v>29082</v>
      </c>
      <c r="B5083" s="109" t="s">
        <v>28900</v>
      </c>
      <c r="C5083" s="109" t="s">
        <v>28900</v>
      </c>
      <c r="D5083" s="109" t="s">
        <v>29083</v>
      </c>
      <c r="E5083" s="109" t="s">
        <v>5558</v>
      </c>
      <c r="F5083" s="109" t="s">
        <v>29084</v>
      </c>
      <c r="G5083" s="110" t="s">
        <v>6248</v>
      </c>
      <c r="H5083" s="110" t="s">
        <v>29085</v>
      </c>
      <c r="I5083" s="110" t="s">
        <v>29086</v>
      </c>
    </row>
    <row r="5084" spans="1:9" ht="37.799999999999997" x14ac:dyDescent="0.3">
      <c r="A5084" s="109" t="s">
        <v>29087</v>
      </c>
      <c r="B5084" s="109" t="s">
        <v>28900</v>
      </c>
      <c r="C5084" s="109" t="s">
        <v>28900</v>
      </c>
      <c r="D5084" s="109" t="s">
        <v>29088</v>
      </c>
      <c r="E5084" s="109" t="s">
        <v>5558</v>
      </c>
      <c r="F5084" s="109" t="s">
        <v>29089</v>
      </c>
      <c r="G5084" s="110" t="s">
        <v>6248</v>
      </c>
      <c r="H5084" s="110" t="s">
        <v>7592</v>
      </c>
      <c r="I5084" s="110" t="s">
        <v>29090</v>
      </c>
    </row>
    <row r="5085" spans="1:9" ht="25.2" x14ac:dyDescent="0.3">
      <c r="A5085" s="109" t="s">
        <v>29091</v>
      </c>
      <c r="B5085" s="109" t="s">
        <v>28900</v>
      </c>
      <c r="C5085" s="109" t="s">
        <v>28900</v>
      </c>
      <c r="D5085" s="109" t="s">
        <v>29092</v>
      </c>
      <c r="E5085" s="109" t="s">
        <v>5558</v>
      </c>
      <c r="F5085" s="109" t="s">
        <v>29093</v>
      </c>
      <c r="G5085" s="110" t="s">
        <v>6248</v>
      </c>
      <c r="H5085" s="110" t="s">
        <v>8905</v>
      </c>
      <c r="I5085" s="110" t="s">
        <v>29094</v>
      </c>
    </row>
    <row r="5086" spans="1:9" ht="25.2" x14ac:dyDescent="0.3">
      <c r="A5086" s="109" t="s">
        <v>29095</v>
      </c>
      <c r="B5086" s="109" t="s">
        <v>28900</v>
      </c>
      <c r="C5086" s="109" t="s">
        <v>28900</v>
      </c>
      <c r="D5086" s="109" t="s">
        <v>29096</v>
      </c>
      <c r="E5086" s="109" t="s">
        <v>5558</v>
      </c>
      <c r="F5086" s="109" t="s">
        <v>29097</v>
      </c>
      <c r="G5086" s="110" t="s">
        <v>6248</v>
      </c>
      <c r="H5086" s="110" t="s">
        <v>7592</v>
      </c>
      <c r="I5086" s="110" t="s">
        <v>29098</v>
      </c>
    </row>
    <row r="5087" spans="1:9" ht="25.2" x14ac:dyDescent="0.3">
      <c r="A5087" s="109" t="s">
        <v>29099</v>
      </c>
      <c r="B5087" s="109" t="s">
        <v>28900</v>
      </c>
      <c r="C5087" s="109" t="s">
        <v>28900</v>
      </c>
      <c r="D5087" s="109" t="s">
        <v>29100</v>
      </c>
      <c r="E5087" s="109" t="s">
        <v>5558</v>
      </c>
      <c r="F5087" s="109" t="s">
        <v>29101</v>
      </c>
      <c r="G5087" s="110" t="s">
        <v>6248</v>
      </c>
      <c r="H5087" s="110" t="s">
        <v>9018</v>
      </c>
      <c r="I5087" s="110" t="s">
        <v>29102</v>
      </c>
    </row>
    <row r="5088" spans="1:9" ht="37.799999999999997" x14ac:dyDescent="0.3">
      <c r="A5088" s="109" t="s">
        <v>29103</v>
      </c>
      <c r="B5088" s="109" t="s">
        <v>28900</v>
      </c>
      <c r="C5088" s="109" t="s">
        <v>28900</v>
      </c>
      <c r="D5088" s="109" t="s">
        <v>29104</v>
      </c>
      <c r="E5088" s="109" t="s">
        <v>5558</v>
      </c>
      <c r="F5088" s="109" t="s">
        <v>29105</v>
      </c>
      <c r="G5088" s="110" t="s">
        <v>6248</v>
      </c>
      <c r="H5088" s="110" t="s">
        <v>6474</v>
      </c>
      <c r="I5088" s="110" t="s">
        <v>29106</v>
      </c>
    </row>
    <row r="5089" spans="1:9" ht="25.2" x14ac:dyDescent="0.3">
      <c r="A5089" s="109" t="s">
        <v>29107</v>
      </c>
      <c r="B5089" s="109" t="s">
        <v>28900</v>
      </c>
      <c r="C5089" s="109" t="s">
        <v>28900</v>
      </c>
      <c r="D5089" s="109" t="s">
        <v>29108</v>
      </c>
      <c r="E5089" s="109" t="s">
        <v>5558</v>
      </c>
      <c r="F5089" s="109" t="s">
        <v>29109</v>
      </c>
      <c r="G5089" s="110" t="s">
        <v>6248</v>
      </c>
      <c r="H5089" s="110" t="s">
        <v>7947</v>
      </c>
      <c r="I5089" s="110" t="s">
        <v>29110</v>
      </c>
    </row>
    <row r="5090" spans="1:9" ht="37.799999999999997" x14ac:dyDescent="0.3">
      <c r="A5090" s="109" t="s">
        <v>29111</v>
      </c>
      <c r="B5090" s="109" t="s">
        <v>28900</v>
      </c>
      <c r="C5090" s="109" t="s">
        <v>28900</v>
      </c>
      <c r="D5090" s="109" t="s">
        <v>29112</v>
      </c>
      <c r="E5090" s="109" t="s">
        <v>5558</v>
      </c>
      <c r="F5090" s="109" t="s">
        <v>29113</v>
      </c>
      <c r="G5090" s="110" t="s">
        <v>6248</v>
      </c>
      <c r="H5090" s="110" t="s">
        <v>6557</v>
      </c>
      <c r="I5090" s="110" t="s">
        <v>29114</v>
      </c>
    </row>
    <row r="5091" spans="1:9" ht="25.2" x14ac:dyDescent="0.3">
      <c r="A5091" s="109" t="s">
        <v>29115</v>
      </c>
      <c r="B5091" s="109" t="s">
        <v>28900</v>
      </c>
      <c r="C5091" s="109" t="s">
        <v>28900</v>
      </c>
      <c r="D5091" s="109" t="s">
        <v>29116</v>
      </c>
      <c r="E5091" s="109" t="s">
        <v>5558</v>
      </c>
      <c r="F5091" s="109" t="s">
        <v>29117</v>
      </c>
      <c r="G5091" s="110" t="s">
        <v>6248</v>
      </c>
      <c r="H5091" s="110" t="s">
        <v>7592</v>
      </c>
      <c r="I5091" s="110" t="s">
        <v>29118</v>
      </c>
    </row>
    <row r="5092" spans="1:9" ht="25.2" x14ac:dyDescent="0.3">
      <c r="A5092" s="109" t="s">
        <v>29119</v>
      </c>
      <c r="B5092" s="109" t="s">
        <v>28900</v>
      </c>
      <c r="C5092" s="109" t="s">
        <v>28900</v>
      </c>
      <c r="D5092" s="109" t="s">
        <v>29120</v>
      </c>
      <c r="E5092" s="109" t="s">
        <v>5558</v>
      </c>
      <c r="F5092" s="109" t="s">
        <v>29121</v>
      </c>
      <c r="G5092" s="110" t="s">
        <v>6248</v>
      </c>
      <c r="H5092" s="110" t="s">
        <v>6584</v>
      </c>
      <c r="I5092" s="110" t="s">
        <v>29122</v>
      </c>
    </row>
    <row r="5093" spans="1:9" ht="25.2" x14ac:dyDescent="0.3">
      <c r="A5093" s="109" t="s">
        <v>29123</v>
      </c>
      <c r="B5093" s="109" t="s">
        <v>28900</v>
      </c>
      <c r="C5093" s="109" t="s">
        <v>28900</v>
      </c>
      <c r="D5093" s="109" t="s">
        <v>29124</v>
      </c>
      <c r="E5093" s="109" t="s">
        <v>5558</v>
      </c>
      <c r="F5093" s="109" t="s">
        <v>29125</v>
      </c>
      <c r="G5093" s="110" t="s">
        <v>6248</v>
      </c>
      <c r="H5093" s="110" t="s">
        <v>7987</v>
      </c>
      <c r="I5093" s="110" t="s">
        <v>29126</v>
      </c>
    </row>
    <row r="5094" spans="1:9" ht="25.2" x14ac:dyDescent="0.3">
      <c r="A5094" s="109" t="s">
        <v>29127</v>
      </c>
      <c r="B5094" s="109" t="s">
        <v>28900</v>
      </c>
      <c r="C5094" s="109" t="s">
        <v>28900</v>
      </c>
      <c r="D5094" s="109" t="s">
        <v>29128</v>
      </c>
      <c r="E5094" s="109" t="s">
        <v>5558</v>
      </c>
      <c r="F5094" s="109" t="s">
        <v>29129</v>
      </c>
      <c r="G5094" s="110" t="s">
        <v>6248</v>
      </c>
      <c r="H5094" s="110" t="s">
        <v>6489</v>
      </c>
      <c r="I5094" s="110" t="s">
        <v>29130</v>
      </c>
    </row>
    <row r="5095" spans="1:9" ht="37.799999999999997" x14ac:dyDescent="0.3">
      <c r="A5095" s="109" t="s">
        <v>29131</v>
      </c>
      <c r="B5095" s="109" t="s">
        <v>28900</v>
      </c>
      <c r="C5095" s="109" t="s">
        <v>28900</v>
      </c>
      <c r="D5095" s="109" t="s">
        <v>29132</v>
      </c>
      <c r="E5095" s="109" t="s">
        <v>5558</v>
      </c>
      <c r="F5095" s="109" t="s">
        <v>29133</v>
      </c>
      <c r="G5095" s="110" t="s">
        <v>6248</v>
      </c>
      <c r="H5095" s="110" t="s">
        <v>7992</v>
      </c>
      <c r="I5095" s="110" t="s">
        <v>29134</v>
      </c>
    </row>
    <row r="5096" spans="1:9" ht="25.2" x14ac:dyDescent="0.3">
      <c r="A5096" s="109" t="s">
        <v>29135</v>
      </c>
      <c r="B5096" s="109" t="s">
        <v>28900</v>
      </c>
      <c r="C5096" s="109" t="s">
        <v>28900</v>
      </c>
      <c r="D5096" s="109" t="s">
        <v>29136</v>
      </c>
      <c r="E5096" s="109" t="s">
        <v>5558</v>
      </c>
      <c r="F5096" s="109" t="s">
        <v>29137</v>
      </c>
      <c r="G5096" s="110" t="s">
        <v>6248</v>
      </c>
      <c r="H5096" s="110" t="s">
        <v>7592</v>
      </c>
      <c r="I5096" s="110" t="s">
        <v>29138</v>
      </c>
    </row>
    <row r="5097" spans="1:9" ht="25.2" x14ac:dyDescent="0.3">
      <c r="A5097" s="109" t="s">
        <v>29139</v>
      </c>
      <c r="B5097" s="109" t="s">
        <v>28900</v>
      </c>
      <c r="C5097" s="109" t="s">
        <v>28900</v>
      </c>
      <c r="D5097" s="109" t="s">
        <v>29140</v>
      </c>
      <c r="E5097" s="109" t="s">
        <v>5558</v>
      </c>
      <c r="F5097" s="109" t="s">
        <v>29141</v>
      </c>
      <c r="G5097" s="110" t="s">
        <v>6248</v>
      </c>
      <c r="H5097" s="110" t="s">
        <v>6557</v>
      </c>
      <c r="I5097" s="110" t="s">
        <v>29142</v>
      </c>
    </row>
    <row r="5098" spans="1:9" ht="37.799999999999997" x14ac:dyDescent="0.3">
      <c r="A5098" s="109" t="s">
        <v>29143</v>
      </c>
      <c r="B5098" s="109" t="s">
        <v>28900</v>
      </c>
      <c r="C5098" s="109" t="s">
        <v>28900</v>
      </c>
      <c r="D5098" s="109" t="s">
        <v>29144</v>
      </c>
      <c r="E5098" s="109" t="s">
        <v>5558</v>
      </c>
      <c r="F5098" s="109" t="s">
        <v>29145</v>
      </c>
      <c r="G5098" s="110" t="s">
        <v>6248</v>
      </c>
      <c r="H5098" s="110" t="s">
        <v>10295</v>
      </c>
      <c r="I5098" s="110" t="s">
        <v>29146</v>
      </c>
    </row>
    <row r="5099" spans="1:9" ht="37.799999999999997" x14ac:dyDescent="0.3">
      <c r="A5099" s="109" t="s">
        <v>29147</v>
      </c>
      <c r="B5099" s="109" t="s">
        <v>28900</v>
      </c>
      <c r="C5099" s="109" t="s">
        <v>28900</v>
      </c>
      <c r="D5099" s="109" t="s">
        <v>29148</v>
      </c>
      <c r="E5099" s="109" t="s">
        <v>5558</v>
      </c>
      <c r="F5099" s="109" t="s">
        <v>29149</v>
      </c>
      <c r="G5099" s="110" t="s">
        <v>6248</v>
      </c>
      <c r="H5099" s="110" t="s">
        <v>6557</v>
      </c>
      <c r="I5099" s="110" t="s">
        <v>29150</v>
      </c>
    </row>
    <row r="5100" spans="1:9" ht="25.2" x14ac:dyDescent="0.3">
      <c r="A5100" s="109" t="s">
        <v>29151</v>
      </c>
      <c r="B5100" s="109" t="s">
        <v>28900</v>
      </c>
      <c r="C5100" s="109" t="s">
        <v>28900</v>
      </c>
      <c r="D5100" s="109" t="s">
        <v>29152</v>
      </c>
      <c r="E5100" s="109" t="s">
        <v>5558</v>
      </c>
      <c r="F5100" s="109" t="s">
        <v>29153</v>
      </c>
      <c r="G5100" s="110" t="s">
        <v>6248</v>
      </c>
      <c r="H5100" s="110" t="s">
        <v>29154</v>
      </c>
      <c r="I5100" s="110" t="s">
        <v>29155</v>
      </c>
    </row>
    <row r="5101" spans="1:9" ht="37.799999999999997" x14ac:dyDescent="0.3">
      <c r="A5101" s="109" t="s">
        <v>29156</v>
      </c>
      <c r="B5101" s="109" t="s">
        <v>28900</v>
      </c>
      <c r="C5101" s="109" t="s">
        <v>28900</v>
      </c>
      <c r="D5101" s="109" t="s">
        <v>29157</v>
      </c>
      <c r="E5101" s="109" t="s">
        <v>5558</v>
      </c>
      <c r="F5101" s="109" t="s">
        <v>29158</v>
      </c>
      <c r="G5101" s="110" t="s">
        <v>6248</v>
      </c>
      <c r="H5101" s="110" t="s">
        <v>6398</v>
      </c>
      <c r="I5101" s="110" t="s">
        <v>29159</v>
      </c>
    </row>
    <row r="5102" spans="1:9" ht="37.799999999999997" x14ac:dyDescent="0.3">
      <c r="A5102" s="109" t="s">
        <v>29160</v>
      </c>
      <c r="B5102" s="109" t="s">
        <v>28900</v>
      </c>
      <c r="C5102" s="109" t="s">
        <v>28900</v>
      </c>
      <c r="D5102" s="109" t="s">
        <v>29161</v>
      </c>
      <c r="E5102" s="109" t="s">
        <v>5558</v>
      </c>
      <c r="F5102" s="109" t="s">
        <v>29162</v>
      </c>
      <c r="G5102" s="110" t="s">
        <v>6248</v>
      </c>
      <c r="H5102" s="110" t="s">
        <v>29163</v>
      </c>
      <c r="I5102" s="110" t="s">
        <v>29164</v>
      </c>
    </row>
    <row r="5103" spans="1:9" ht="37.799999999999997" x14ac:dyDescent="0.3">
      <c r="A5103" s="109" t="s">
        <v>29165</v>
      </c>
      <c r="B5103" s="109" t="s">
        <v>28900</v>
      </c>
      <c r="C5103" s="109" t="s">
        <v>28900</v>
      </c>
      <c r="D5103" s="109" t="s">
        <v>29166</v>
      </c>
      <c r="E5103" s="109" t="s">
        <v>5558</v>
      </c>
      <c r="F5103" s="109" t="s">
        <v>29167</v>
      </c>
      <c r="G5103" s="110" t="s">
        <v>6248</v>
      </c>
      <c r="H5103" s="110" t="s">
        <v>29168</v>
      </c>
      <c r="I5103" s="110" t="s">
        <v>29169</v>
      </c>
    </row>
    <row r="5104" spans="1:9" ht="25.2" x14ac:dyDescent="0.3">
      <c r="A5104" s="109" t="s">
        <v>29170</v>
      </c>
      <c r="B5104" s="109" t="s">
        <v>28900</v>
      </c>
      <c r="C5104" s="109" t="s">
        <v>28900</v>
      </c>
      <c r="D5104" s="109" t="s">
        <v>29171</v>
      </c>
      <c r="E5104" s="109" t="s">
        <v>5558</v>
      </c>
      <c r="F5104" s="109" t="s">
        <v>29172</v>
      </c>
      <c r="G5104" s="110" t="s">
        <v>6248</v>
      </c>
      <c r="H5104" s="110" t="s">
        <v>6689</v>
      </c>
      <c r="I5104" s="110" t="s">
        <v>29173</v>
      </c>
    </row>
    <row r="5105" spans="1:9" ht="25.2" x14ac:dyDescent="0.3">
      <c r="A5105" s="109" t="s">
        <v>29174</v>
      </c>
      <c r="B5105" s="109" t="s">
        <v>28900</v>
      </c>
      <c r="C5105" s="109" t="s">
        <v>28900</v>
      </c>
      <c r="D5105" s="109" t="s">
        <v>29175</v>
      </c>
      <c r="E5105" s="109" t="s">
        <v>5558</v>
      </c>
      <c r="F5105" s="109" t="s">
        <v>29176</v>
      </c>
      <c r="G5105" s="110" t="s">
        <v>6248</v>
      </c>
      <c r="H5105" s="110" t="s">
        <v>7817</v>
      </c>
      <c r="I5105" s="110" t="s">
        <v>29177</v>
      </c>
    </row>
    <row r="5106" spans="1:9" ht="25.2" x14ac:dyDescent="0.3">
      <c r="A5106" s="109" t="s">
        <v>29178</v>
      </c>
      <c r="B5106" s="109" t="s">
        <v>28900</v>
      </c>
      <c r="C5106" s="109" t="s">
        <v>28900</v>
      </c>
      <c r="D5106" s="109" t="s">
        <v>29179</v>
      </c>
      <c r="E5106" s="109" t="s">
        <v>5558</v>
      </c>
      <c r="F5106" s="109" t="s">
        <v>29180</v>
      </c>
      <c r="G5106" s="110" t="s">
        <v>6248</v>
      </c>
      <c r="H5106" s="110" t="s">
        <v>6374</v>
      </c>
      <c r="I5106" s="110" t="s">
        <v>29181</v>
      </c>
    </row>
    <row r="5107" spans="1:9" ht="25.2" x14ac:dyDescent="0.3">
      <c r="A5107" s="109" t="s">
        <v>29182</v>
      </c>
      <c r="B5107" s="109" t="s">
        <v>28900</v>
      </c>
      <c r="C5107" s="109" t="s">
        <v>28900</v>
      </c>
      <c r="D5107" s="109" t="s">
        <v>29183</v>
      </c>
      <c r="E5107" s="109" t="s">
        <v>5558</v>
      </c>
      <c r="F5107" s="109" t="s">
        <v>29184</v>
      </c>
      <c r="G5107" s="110" t="s">
        <v>6248</v>
      </c>
      <c r="H5107" s="110" t="s">
        <v>7592</v>
      </c>
      <c r="I5107" s="110" t="s">
        <v>29185</v>
      </c>
    </row>
    <row r="5108" spans="1:9" ht="25.2" x14ac:dyDescent="0.3">
      <c r="A5108" s="109" t="s">
        <v>29186</v>
      </c>
      <c r="B5108" s="109" t="s">
        <v>28900</v>
      </c>
      <c r="C5108" s="109" t="s">
        <v>28900</v>
      </c>
      <c r="D5108" s="109" t="s">
        <v>29187</v>
      </c>
      <c r="E5108" s="109" t="s">
        <v>5558</v>
      </c>
      <c r="F5108" s="109" t="s">
        <v>29188</v>
      </c>
      <c r="G5108" s="110" t="s">
        <v>6248</v>
      </c>
      <c r="H5108" s="110" t="s">
        <v>29189</v>
      </c>
      <c r="I5108" s="110" t="s">
        <v>29190</v>
      </c>
    </row>
    <row r="5109" spans="1:9" ht="37.799999999999997" x14ac:dyDescent="0.3">
      <c r="A5109" s="109" t="s">
        <v>29191</v>
      </c>
      <c r="B5109" s="109" t="s">
        <v>28900</v>
      </c>
      <c r="C5109" s="109" t="s">
        <v>28900</v>
      </c>
      <c r="D5109" s="109" t="s">
        <v>29192</v>
      </c>
      <c r="E5109" s="109" t="s">
        <v>5558</v>
      </c>
      <c r="F5109" s="109" t="s">
        <v>29193</v>
      </c>
      <c r="G5109" s="110" t="s">
        <v>6248</v>
      </c>
      <c r="H5109" s="110" t="s">
        <v>7830</v>
      </c>
      <c r="I5109" s="110" t="s">
        <v>29194</v>
      </c>
    </row>
    <row r="5110" spans="1:9" ht="25.2" x14ac:dyDescent="0.3">
      <c r="A5110" s="109" t="s">
        <v>29195</v>
      </c>
      <c r="B5110" s="109" t="s">
        <v>28900</v>
      </c>
      <c r="C5110" s="109" t="s">
        <v>28900</v>
      </c>
      <c r="D5110" s="109" t="s">
        <v>29196</v>
      </c>
      <c r="E5110" s="109" t="s">
        <v>5558</v>
      </c>
      <c r="F5110" s="109" t="s">
        <v>29197</v>
      </c>
      <c r="G5110" s="110" t="s">
        <v>6248</v>
      </c>
      <c r="H5110" s="110" t="s">
        <v>9329</v>
      </c>
      <c r="I5110" s="110" t="s">
        <v>29198</v>
      </c>
    </row>
    <row r="5111" spans="1:9" ht="37.799999999999997" x14ac:dyDescent="0.3">
      <c r="A5111" s="109" t="s">
        <v>29199</v>
      </c>
      <c r="B5111" s="109" t="s">
        <v>28900</v>
      </c>
      <c r="C5111" s="109" t="s">
        <v>28900</v>
      </c>
      <c r="D5111" s="109" t="s">
        <v>29200</v>
      </c>
      <c r="E5111" s="109" t="s">
        <v>5558</v>
      </c>
      <c r="F5111" s="109" t="s">
        <v>29201</v>
      </c>
      <c r="G5111" s="110" t="s">
        <v>6248</v>
      </c>
      <c r="H5111" s="110" t="s">
        <v>7898</v>
      </c>
      <c r="I5111" s="110" t="s">
        <v>29202</v>
      </c>
    </row>
    <row r="5112" spans="1:9" ht="37.799999999999997" x14ac:dyDescent="0.3">
      <c r="A5112" s="109" t="s">
        <v>29203</v>
      </c>
      <c r="B5112" s="109" t="s">
        <v>28900</v>
      </c>
      <c r="C5112" s="109" t="s">
        <v>28900</v>
      </c>
      <c r="D5112" s="109" t="s">
        <v>29204</v>
      </c>
      <c r="E5112" s="109" t="s">
        <v>5558</v>
      </c>
      <c r="F5112" s="109" t="s">
        <v>29205</v>
      </c>
      <c r="G5112" s="110" t="s">
        <v>6248</v>
      </c>
      <c r="H5112" s="110" t="s">
        <v>6398</v>
      </c>
      <c r="I5112" s="110" t="s">
        <v>29206</v>
      </c>
    </row>
    <row r="5113" spans="1:9" ht="37.799999999999997" x14ac:dyDescent="0.3">
      <c r="A5113" s="109" t="s">
        <v>29207</v>
      </c>
      <c r="B5113" s="109" t="s">
        <v>28900</v>
      </c>
      <c r="C5113" s="109" t="s">
        <v>28900</v>
      </c>
      <c r="D5113" s="109" t="s">
        <v>29208</v>
      </c>
      <c r="E5113" s="109" t="s">
        <v>5558</v>
      </c>
      <c r="F5113" s="109" t="s">
        <v>29209</v>
      </c>
      <c r="G5113" s="110" t="s">
        <v>7898</v>
      </c>
      <c r="H5113" s="110" t="s">
        <v>6248</v>
      </c>
      <c r="I5113" s="110" t="s">
        <v>29210</v>
      </c>
    </row>
    <row r="5114" spans="1:9" ht="37.799999999999997" x14ac:dyDescent="0.3">
      <c r="A5114" s="109" t="s">
        <v>29211</v>
      </c>
      <c r="B5114" s="109" t="s">
        <v>28900</v>
      </c>
      <c r="C5114" s="109" t="s">
        <v>28900</v>
      </c>
      <c r="D5114" s="109" t="s">
        <v>29212</v>
      </c>
      <c r="E5114" s="109" t="s">
        <v>5558</v>
      </c>
      <c r="F5114" s="109" t="s">
        <v>29213</v>
      </c>
      <c r="G5114" s="110" t="s">
        <v>6248</v>
      </c>
      <c r="H5114" s="110" t="s">
        <v>29214</v>
      </c>
      <c r="I5114" s="110" t="s">
        <v>29215</v>
      </c>
    </row>
    <row r="5115" spans="1:9" ht="25.2" x14ac:dyDescent="0.3">
      <c r="A5115" s="109" t="s">
        <v>29216</v>
      </c>
      <c r="B5115" s="109" t="s">
        <v>28900</v>
      </c>
      <c r="C5115" s="109" t="s">
        <v>28900</v>
      </c>
      <c r="D5115" s="109" t="s">
        <v>29217</v>
      </c>
      <c r="E5115" s="109" t="s">
        <v>5558</v>
      </c>
      <c r="F5115" s="109" t="s">
        <v>29218</v>
      </c>
      <c r="G5115" s="110" t="s">
        <v>6248</v>
      </c>
      <c r="H5115" s="110" t="s">
        <v>29219</v>
      </c>
      <c r="I5115" s="110" t="s">
        <v>29220</v>
      </c>
    </row>
    <row r="5116" spans="1:9" ht="37.799999999999997" x14ac:dyDescent="0.3">
      <c r="A5116" s="109" t="s">
        <v>29221</v>
      </c>
      <c r="B5116" s="109" t="s">
        <v>28900</v>
      </c>
      <c r="C5116" s="109" t="s">
        <v>28900</v>
      </c>
      <c r="D5116" s="109" t="s">
        <v>29222</v>
      </c>
      <c r="E5116" s="109" t="s">
        <v>5558</v>
      </c>
      <c r="F5116" s="109" t="s">
        <v>29223</v>
      </c>
      <c r="G5116" s="110" t="s">
        <v>6248</v>
      </c>
      <c r="H5116" s="110" t="s">
        <v>29224</v>
      </c>
      <c r="I5116" s="110" t="s">
        <v>29225</v>
      </c>
    </row>
    <row r="5117" spans="1:9" ht="25.2" x14ac:dyDescent="0.3">
      <c r="A5117" s="109" t="s">
        <v>29226</v>
      </c>
      <c r="B5117" s="109" t="s">
        <v>28900</v>
      </c>
      <c r="C5117" s="109" t="s">
        <v>28900</v>
      </c>
      <c r="D5117" s="109" t="s">
        <v>29227</v>
      </c>
      <c r="E5117" s="109" t="s">
        <v>5558</v>
      </c>
      <c r="F5117" s="109" t="s">
        <v>29228</v>
      </c>
      <c r="G5117" s="110" t="s">
        <v>6248</v>
      </c>
      <c r="H5117" s="110" t="s">
        <v>29229</v>
      </c>
      <c r="I5117" s="110" t="s">
        <v>29230</v>
      </c>
    </row>
    <row r="5118" spans="1:9" ht="25.2" x14ac:dyDescent="0.3">
      <c r="A5118" s="109" t="s">
        <v>29231</v>
      </c>
      <c r="B5118" s="109" t="s">
        <v>28900</v>
      </c>
      <c r="C5118" s="109" t="s">
        <v>28900</v>
      </c>
      <c r="D5118" s="109" t="s">
        <v>29232</v>
      </c>
      <c r="E5118" s="109" t="s">
        <v>5558</v>
      </c>
      <c r="F5118" s="109" t="s">
        <v>29233</v>
      </c>
      <c r="G5118" s="110" t="s">
        <v>6248</v>
      </c>
      <c r="H5118" s="110" t="s">
        <v>8459</v>
      </c>
      <c r="I5118" s="110" t="s">
        <v>29234</v>
      </c>
    </row>
    <row r="5119" spans="1:9" ht="25.2" x14ac:dyDescent="0.3">
      <c r="A5119" s="109" t="s">
        <v>29235</v>
      </c>
      <c r="B5119" s="109" t="s">
        <v>28900</v>
      </c>
      <c r="C5119" s="109" t="s">
        <v>28900</v>
      </c>
      <c r="D5119" s="109" t="s">
        <v>29236</v>
      </c>
      <c r="E5119" s="109" t="s">
        <v>29237</v>
      </c>
      <c r="F5119" s="109" t="s">
        <v>6878</v>
      </c>
      <c r="G5119" s="110" t="s">
        <v>29238</v>
      </c>
      <c r="H5119" s="110" t="s">
        <v>6248</v>
      </c>
      <c r="I5119" s="110" t="s">
        <v>29239</v>
      </c>
    </row>
    <row r="5120" spans="1:9" ht="25.2" x14ac:dyDescent="0.3">
      <c r="A5120" s="109" t="s">
        <v>29240</v>
      </c>
      <c r="B5120" s="109" t="s">
        <v>28900</v>
      </c>
      <c r="C5120" s="109" t="s">
        <v>28900</v>
      </c>
      <c r="D5120" s="109" t="s">
        <v>29241</v>
      </c>
      <c r="E5120" s="109" t="s">
        <v>5558</v>
      </c>
      <c r="F5120" s="109" t="s">
        <v>29242</v>
      </c>
      <c r="G5120" s="110" t="s">
        <v>6248</v>
      </c>
      <c r="H5120" s="110" t="s">
        <v>9638</v>
      </c>
      <c r="I5120" s="110" t="s">
        <v>29243</v>
      </c>
    </row>
    <row r="5121" spans="1:9" ht="25.2" x14ac:dyDescent="0.3">
      <c r="A5121" s="109" t="s">
        <v>29244</v>
      </c>
      <c r="B5121" s="109" t="s">
        <v>28900</v>
      </c>
      <c r="C5121" s="109" t="s">
        <v>28900</v>
      </c>
      <c r="D5121" s="109" t="s">
        <v>5569</v>
      </c>
      <c r="E5121" s="109" t="s">
        <v>5558</v>
      </c>
      <c r="F5121" s="109" t="s">
        <v>2258</v>
      </c>
      <c r="G5121" s="110" t="s">
        <v>6248</v>
      </c>
      <c r="H5121" s="110" t="s">
        <v>29245</v>
      </c>
      <c r="I5121" s="110" t="s">
        <v>29246</v>
      </c>
    </row>
    <row r="5122" spans="1:9" ht="25.2" x14ac:dyDescent="0.3">
      <c r="A5122" s="109" t="s">
        <v>29247</v>
      </c>
      <c r="B5122" s="109" t="s">
        <v>28900</v>
      </c>
      <c r="C5122" s="109" t="s">
        <v>28900</v>
      </c>
      <c r="D5122" s="109" t="s">
        <v>5569</v>
      </c>
      <c r="E5122" s="109" t="s">
        <v>5558</v>
      </c>
      <c r="F5122" s="109" t="s">
        <v>2258</v>
      </c>
      <c r="G5122" s="110" t="s">
        <v>6248</v>
      </c>
      <c r="H5122" s="110" t="s">
        <v>29248</v>
      </c>
      <c r="I5122" s="110" t="s">
        <v>29249</v>
      </c>
    </row>
    <row r="5123" spans="1:9" ht="25.2" x14ac:dyDescent="0.3">
      <c r="A5123" s="109" t="s">
        <v>29250</v>
      </c>
      <c r="B5123" s="109" t="s">
        <v>28900</v>
      </c>
      <c r="C5123" s="109" t="s">
        <v>28900</v>
      </c>
      <c r="D5123" s="109" t="s">
        <v>29251</v>
      </c>
      <c r="E5123" s="109" t="s">
        <v>29252</v>
      </c>
      <c r="F5123" s="109" t="s">
        <v>29253</v>
      </c>
      <c r="G5123" s="110" t="s">
        <v>6248</v>
      </c>
      <c r="H5123" s="110" t="s">
        <v>29254</v>
      </c>
      <c r="I5123" s="110" t="s">
        <v>29255</v>
      </c>
    </row>
    <row r="5124" spans="1:9" ht="25.2" x14ac:dyDescent="0.3">
      <c r="A5124" s="109" t="s">
        <v>29256</v>
      </c>
      <c r="B5124" s="109" t="s">
        <v>28900</v>
      </c>
      <c r="C5124" s="109" t="s">
        <v>28900</v>
      </c>
      <c r="D5124" s="109" t="s">
        <v>29257</v>
      </c>
      <c r="E5124" s="109" t="s">
        <v>29258</v>
      </c>
      <c r="F5124" s="109" t="s">
        <v>29253</v>
      </c>
      <c r="G5124" s="110" t="s">
        <v>6248</v>
      </c>
      <c r="H5124" s="110" t="s">
        <v>29259</v>
      </c>
      <c r="I5124" s="110" t="s">
        <v>29260</v>
      </c>
    </row>
    <row r="5125" spans="1:9" ht="25.2" x14ac:dyDescent="0.3">
      <c r="A5125" s="109" t="s">
        <v>29261</v>
      </c>
      <c r="B5125" s="109" t="s">
        <v>28900</v>
      </c>
      <c r="C5125" s="109" t="s">
        <v>28900</v>
      </c>
      <c r="D5125" s="109" t="s">
        <v>29262</v>
      </c>
      <c r="E5125" s="109" t="s">
        <v>29263</v>
      </c>
      <c r="F5125" s="109" t="s">
        <v>29264</v>
      </c>
      <c r="G5125" s="110" t="s">
        <v>6248</v>
      </c>
      <c r="H5125" s="110" t="s">
        <v>11379</v>
      </c>
      <c r="I5125" s="110" t="s">
        <v>29265</v>
      </c>
    </row>
    <row r="5126" spans="1:9" ht="25.2" x14ac:dyDescent="0.3">
      <c r="A5126" s="109" t="s">
        <v>29266</v>
      </c>
      <c r="B5126" s="109" t="s">
        <v>28900</v>
      </c>
      <c r="C5126" s="109" t="s">
        <v>28900</v>
      </c>
      <c r="D5126" s="109" t="s">
        <v>29267</v>
      </c>
      <c r="E5126" s="109" t="s">
        <v>29268</v>
      </c>
      <c r="F5126" s="109" t="s">
        <v>29269</v>
      </c>
      <c r="G5126" s="110" t="s">
        <v>6248</v>
      </c>
      <c r="H5126" s="110" t="s">
        <v>29270</v>
      </c>
      <c r="I5126" s="110" t="s">
        <v>29271</v>
      </c>
    </row>
    <row r="5127" spans="1:9" ht="25.2" x14ac:dyDescent="0.3">
      <c r="A5127" s="109" t="s">
        <v>29272</v>
      </c>
      <c r="B5127" s="109" t="s">
        <v>28900</v>
      </c>
      <c r="C5127" s="109" t="s">
        <v>28900</v>
      </c>
      <c r="D5127" s="109" t="s">
        <v>29273</v>
      </c>
      <c r="E5127" s="109" t="s">
        <v>29274</v>
      </c>
      <c r="F5127" s="109" t="s">
        <v>9661</v>
      </c>
      <c r="G5127" s="110" t="s">
        <v>6248</v>
      </c>
      <c r="H5127" s="110" t="s">
        <v>29275</v>
      </c>
      <c r="I5127" s="110" t="s">
        <v>29276</v>
      </c>
    </row>
    <row r="5128" spans="1:9" ht="25.2" x14ac:dyDescent="0.3">
      <c r="A5128" s="109" t="s">
        <v>29277</v>
      </c>
      <c r="B5128" s="109" t="s">
        <v>28900</v>
      </c>
      <c r="C5128" s="109" t="s">
        <v>28900</v>
      </c>
      <c r="D5128" s="109" t="s">
        <v>29278</v>
      </c>
      <c r="E5128" s="109" t="s">
        <v>5558</v>
      </c>
      <c r="F5128" s="109" t="s">
        <v>29279</v>
      </c>
      <c r="G5128" s="110" t="s">
        <v>6248</v>
      </c>
      <c r="H5128" s="110" t="s">
        <v>29280</v>
      </c>
      <c r="I5128" s="110" t="s">
        <v>29281</v>
      </c>
    </row>
    <row r="5129" spans="1:9" ht="25.2" x14ac:dyDescent="0.3">
      <c r="A5129" s="109" t="s">
        <v>29282</v>
      </c>
      <c r="B5129" s="109" t="s">
        <v>28900</v>
      </c>
      <c r="C5129" s="109" t="s">
        <v>28900</v>
      </c>
      <c r="D5129" s="109" t="s">
        <v>29283</v>
      </c>
      <c r="E5129" s="109" t="s">
        <v>5558</v>
      </c>
      <c r="F5129" s="109" t="s">
        <v>29284</v>
      </c>
      <c r="G5129" s="110" t="s">
        <v>6248</v>
      </c>
      <c r="H5129" s="110" t="s">
        <v>29285</v>
      </c>
      <c r="I5129" s="110" t="s">
        <v>29286</v>
      </c>
    </row>
    <row r="5130" spans="1:9" ht="25.2" x14ac:dyDescent="0.3">
      <c r="A5130" s="109" t="s">
        <v>29287</v>
      </c>
      <c r="B5130" s="109" t="s">
        <v>28900</v>
      </c>
      <c r="C5130" s="109" t="s">
        <v>28900</v>
      </c>
      <c r="D5130" s="109" t="s">
        <v>29288</v>
      </c>
      <c r="E5130" s="109" t="s">
        <v>5558</v>
      </c>
      <c r="F5130" s="109" t="s">
        <v>29289</v>
      </c>
      <c r="G5130" s="110" t="s">
        <v>6248</v>
      </c>
      <c r="H5130" s="110" t="s">
        <v>29290</v>
      </c>
      <c r="I5130" s="110" t="s">
        <v>29291</v>
      </c>
    </row>
    <row r="5131" spans="1:9" ht="25.2" x14ac:dyDescent="0.3">
      <c r="A5131" s="109" t="s">
        <v>29292</v>
      </c>
      <c r="B5131" s="109" t="s">
        <v>28900</v>
      </c>
      <c r="C5131" s="109" t="s">
        <v>28900</v>
      </c>
      <c r="D5131" s="109" t="s">
        <v>29293</v>
      </c>
      <c r="E5131" s="109" t="s">
        <v>5558</v>
      </c>
      <c r="F5131" s="109" t="s">
        <v>29294</v>
      </c>
      <c r="G5131" s="110" t="s">
        <v>6248</v>
      </c>
      <c r="H5131" s="110" t="s">
        <v>29295</v>
      </c>
      <c r="I5131" s="110" t="s">
        <v>29296</v>
      </c>
    </row>
    <row r="5132" spans="1:9" ht="25.2" x14ac:dyDescent="0.3">
      <c r="A5132" s="109" t="s">
        <v>29297</v>
      </c>
      <c r="B5132" s="109" t="s">
        <v>28900</v>
      </c>
      <c r="C5132" s="109" t="s">
        <v>28900</v>
      </c>
      <c r="D5132" s="109" t="s">
        <v>29298</v>
      </c>
      <c r="E5132" s="109" t="s">
        <v>5558</v>
      </c>
      <c r="F5132" s="109" t="s">
        <v>29299</v>
      </c>
      <c r="G5132" s="110" t="s">
        <v>6248</v>
      </c>
      <c r="H5132" s="110" t="s">
        <v>29300</v>
      </c>
      <c r="I5132" s="110" t="s">
        <v>29301</v>
      </c>
    </row>
    <row r="5133" spans="1:9" ht="25.2" x14ac:dyDescent="0.3">
      <c r="A5133" s="109" t="s">
        <v>29302</v>
      </c>
      <c r="B5133" s="109" t="s">
        <v>28900</v>
      </c>
      <c r="C5133" s="109" t="s">
        <v>28900</v>
      </c>
      <c r="D5133" s="109" t="s">
        <v>29303</v>
      </c>
      <c r="E5133" s="109" t="s">
        <v>5558</v>
      </c>
      <c r="F5133" s="109" t="s">
        <v>29304</v>
      </c>
      <c r="G5133" s="110" t="s">
        <v>6248</v>
      </c>
      <c r="H5133" s="110" t="s">
        <v>11207</v>
      </c>
      <c r="I5133" s="110" t="s">
        <v>29305</v>
      </c>
    </row>
    <row r="5134" spans="1:9" ht="25.2" x14ac:dyDescent="0.3">
      <c r="A5134" s="109" t="s">
        <v>29306</v>
      </c>
      <c r="B5134" s="109" t="s">
        <v>28900</v>
      </c>
      <c r="C5134" s="109" t="s">
        <v>28900</v>
      </c>
      <c r="D5134" s="109" t="s">
        <v>29307</v>
      </c>
      <c r="E5134" s="109" t="s">
        <v>29308</v>
      </c>
      <c r="F5134" s="109" t="s">
        <v>5858</v>
      </c>
      <c r="G5134" s="110" t="s">
        <v>6248</v>
      </c>
      <c r="H5134" s="110" t="s">
        <v>29309</v>
      </c>
      <c r="I5134" s="110" t="s">
        <v>29310</v>
      </c>
    </row>
    <row r="5135" spans="1:9" ht="37.799999999999997" x14ac:dyDescent="0.3">
      <c r="A5135" s="109" t="s">
        <v>29311</v>
      </c>
      <c r="B5135" s="109" t="s">
        <v>28900</v>
      </c>
      <c r="C5135" s="109" t="s">
        <v>28900</v>
      </c>
      <c r="D5135" s="109" t="s">
        <v>29312</v>
      </c>
      <c r="E5135" s="109" t="s">
        <v>5558</v>
      </c>
      <c r="F5135" s="109" t="s">
        <v>29313</v>
      </c>
      <c r="G5135" s="110" t="s">
        <v>6248</v>
      </c>
      <c r="H5135" s="110" t="s">
        <v>29314</v>
      </c>
      <c r="I5135" s="110" t="s">
        <v>29315</v>
      </c>
    </row>
    <row r="5136" spans="1:9" ht="37.799999999999997" x14ac:dyDescent="0.3">
      <c r="A5136" s="109" t="s">
        <v>29316</v>
      </c>
      <c r="B5136" s="109" t="s">
        <v>28900</v>
      </c>
      <c r="C5136" s="109" t="s">
        <v>28900</v>
      </c>
      <c r="D5136" s="109" t="s">
        <v>29317</v>
      </c>
      <c r="E5136" s="109" t="s">
        <v>5558</v>
      </c>
      <c r="F5136" s="109" t="s">
        <v>29318</v>
      </c>
      <c r="G5136" s="110" t="s">
        <v>6248</v>
      </c>
      <c r="H5136" s="110" t="s">
        <v>29319</v>
      </c>
      <c r="I5136" s="110" t="s">
        <v>29320</v>
      </c>
    </row>
    <row r="5137" spans="1:9" ht="25.2" x14ac:dyDescent="0.3">
      <c r="A5137" s="109" t="s">
        <v>29321</v>
      </c>
      <c r="B5137" s="109" t="s">
        <v>28900</v>
      </c>
      <c r="C5137" s="109" t="s">
        <v>28900</v>
      </c>
      <c r="D5137" s="109" t="s">
        <v>29322</v>
      </c>
      <c r="E5137" s="109" t="s">
        <v>5558</v>
      </c>
      <c r="F5137" s="109" t="s">
        <v>29323</v>
      </c>
      <c r="G5137" s="110" t="s">
        <v>6248</v>
      </c>
      <c r="H5137" s="110" t="s">
        <v>14801</v>
      </c>
      <c r="I5137" s="110" t="s">
        <v>29324</v>
      </c>
    </row>
    <row r="5138" spans="1:9" ht="25.2" x14ac:dyDescent="0.3">
      <c r="A5138" s="109" t="s">
        <v>29325</v>
      </c>
      <c r="B5138" s="109" t="s">
        <v>28900</v>
      </c>
      <c r="C5138" s="109" t="s">
        <v>28900</v>
      </c>
      <c r="D5138" s="109" t="s">
        <v>29326</v>
      </c>
      <c r="E5138" s="109" t="s">
        <v>5558</v>
      </c>
      <c r="F5138" s="109" t="s">
        <v>29327</v>
      </c>
      <c r="G5138" s="110" t="s">
        <v>6248</v>
      </c>
      <c r="H5138" s="110" t="s">
        <v>26870</v>
      </c>
      <c r="I5138" s="110" t="s">
        <v>29328</v>
      </c>
    </row>
    <row r="5139" spans="1:9" ht="25.2" x14ac:dyDescent="0.3">
      <c r="A5139" s="109" t="s">
        <v>29329</v>
      </c>
      <c r="B5139" s="109" t="s">
        <v>28900</v>
      </c>
      <c r="C5139" s="109" t="s">
        <v>28900</v>
      </c>
      <c r="D5139" s="109" t="s">
        <v>5569</v>
      </c>
      <c r="E5139" s="109" t="s">
        <v>5558</v>
      </c>
      <c r="F5139" s="109" t="s">
        <v>2258</v>
      </c>
      <c r="G5139" s="110" t="s">
        <v>6248</v>
      </c>
      <c r="H5139" s="110" t="s">
        <v>29330</v>
      </c>
      <c r="I5139" s="110" t="s">
        <v>29331</v>
      </c>
    </row>
    <row r="5140" spans="1:9" ht="25.2" x14ac:dyDescent="0.3">
      <c r="A5140" s="109" t="s">
        <v>29332</v>
      </c>
      <c r="B5140" s="109" t="s">
        <v>28900</v>
      </c>
      <c r="C5140" s="109" t="s">
        <v>28900</v>
      </c>
      <c r="D5140" s="109" t="s">
        <v>5772</v>
      </c>
      <c r="E5140" s="109" t="s">
        <v>5558</v>
      </c>
      <c r="F5140" s="109" t="s">
        <v>2258</v>
      </c>
      <c r="G5140" s="110" t="s">
        <v>6248</v>
      </c>
      <c r="H5140" s="110" t="s">
        <v>29333</v>
      </c>
      <c r="I5140" s="110" t="s">
        <v>29334</v>
      </c>
    </row>
    <row r="5141" spans="1:9" ht="63" x14ac:dyDescent="0.3">
      <c r="A5141" s="109" t="s">
        <v>29335</v>
      </c>
      <c r="B5141" s="109" t="s">
        <v>28900</v>
      </c>
      <c r="C5141" s="109" t="s">
        <v>28900</v>
      </c>
      <c r="D5141" s="109" t="s">
        <v>29336</v>
      </c>
      <c r="E5141" s="109" t="s">
        <v>29336</v>
      </c>
      <c r="F5141" s="109" t="s">
        <v>29337</v>
      </c>
      <c r="G5141" s="110" t="s">
        <v>6248</v>
      </c>
      <c r="H5141" s="110" t="s">
        <v>29338</v>
      </c>
      <c r="I5141" s="110" t="s">
        <v>29339</v>
      </c>
    </row>
    <row r="5142" spans="1:9" ht="37.799999999999997" x14ac:dyDescent="0.3">
      <c r="A5142" s="109" t="s">
        <v>29340</v>
      </c>
      <c r="B5142" s="109" t="s">
        <v>28900</v>
      </c>
      <c r="C5142" s="109" t="s">
        <v>28900</v>
      </c>
      <c r="D5142" s="109" t="s">
        <v>29341</v>
      </c>
      <c r="E5142" s="109" t="s">
        <v>5558</v>
      </c>
      <c r="F5142" s="109" t="s">
        <v>29342</v>
      </c>
      <c r="G5142" s="110" t="s">
        <v>6248</v>
      </c>
      <c r="H5142" s="110" t="s">
        <v>25076</v>
      </c>
      <c r="I5142" s="110" t="s">
        <v>29343</v>
      </c>
    </row>
    <row r="5143" spans="1:9" ht="25.2" x14ac:dyDescent="0.3">
      <c r="A5143" s="109" t="s">
        <v>29344</v>
      </c>
      <c r="B5143" s="109" t="s">
        <v>28900</v>
      </c>
      <c r="C5143" s="109" t="s">
        <v>28900</v>
      </c>
      <c r="D5143" s="109" t="s">
        <v>5569</v>
      </c>
      <c r="E5143" s="109" t="s">
        <v>5558</v>
      </c>
      <c r="F5143" s="109" t="s">
        <v>2258</v>
      </c>
      <c r="G5143" s="110" t="s">
        <v>6248</v>
      </c>
      <c r="H5143" s="110" t="s">
        <v>29345</v>
      </c>
      <c r="I5143" s="110" t="s">
        <v>29346</v>
      </c>
    </row>
    <row r="5144" spans="1:9" ht="37.799999999999997" x14ac:dyDescent="0.3">
      <c r="A5144" s="109" t="s">
        <v>29347</v>
      </c>
      <c r="B5144" s="109" t="s">
        <v>28900</v>
      </c>
      <c r="C5144" s="109" t="s">
        <v>28900</v>
      </c>
      <c r="D5144" s="109" t="s">
        <v>29348</v>
      </c>
      <c r="E5144" s="109" t="s">
        <v>5558</v>
      </c>
      <c r="F5144" s="109" t="s">
        <v>29349</v>
      </c>
      <c r="G5144" s="110" t="s">
        <v>6248</v>
      </c>
      <c r="H5144" s="110" t="s">
        <v>7146</v>
      </c>
      <c r="I5144" s="110" t="s">
        <v>29350</v>
      </c>
    </row>
    <row r="5145" spans="1:9" ht="25.2" x14ac:dyDescent="0.3">
      <c r="A5145" s="109" t="s">
        <v>29351</v>
      </c>
      <c r="B5145" s="109" t="s">
        <v>28900</v>
      </c>
      <c r="C5145" s="109" t="s">
        <v>28900</v>
      </c>
      <c r="D5145" s="109" t="s">
        <v>4425</v>
      </c>
      <c r="E5145" s="109" t="s">
        <v>5558</v>
      </c>
      <c r="F5145" s="109" t="s">
        <v>29352</v>
      </c>
      <c r="G5145" s="110" t="s">
        <v>6248</v>
      </c>
      <c r="H5145" s="110" t="s">
        <v>29353</v>
      </c>
      <c r="I5145" s="110" t="s">
        <v>29354</v>
      </c>
    </row>
    <row r="5146" spans="1:9" ht="25.2" x14ac:dyDescent="0.3">
      <c r="A5146" s="109" t="s">
        <v>29355</v>
      </c>
      <c r="B5146" s="109" t="s">
        <v>28900</v>
      </c>
      <c r="C5146" s="109" t="s">
        <v>28900</v>
      </c>
      <c r="D5146" s="109" t="s">
        <v>29356</v>
      </c>
      <c r="E5146" s="109" t="s">
        <v>5558</v>
      </c>
      <c r="F5146" s="109" t="s">
        <v>29357</v>
      </c>
      <c r="G5146" s="110" t="s">
        <v>6248</v>
      </c>
      <c r="H5146" s="110" t="s">
        <v>29358</v>
      </c>
      <c r="I5146" s="110" t="s">
        <v>29359</v>
      </c>
    </row>
    <row r="5147" spans="1:9" ht="37.799999999999997" x14ac:dyDescent="0.3">
      <c r="A5147" s="109" t="s">
        <v>29360</v>
      </c>
      <c r="B5147" s="109" t="s">
        <v>28900</v>
      </c>
      <c r="C5147" s="109" t="s">
        <v>28900</v>
      </c>
      <c r="D5147" s="109" t="s">
        <v>29361</v>
      </c>
      <c r="E5147" s="109" t="s">
        <v>5558</v>
      </c>
      <c r="F5147" s="109" t="s">
        <v>29362</v>
      </c>
      <c r="G5147" s="110" t="s">
        <v>6248</v>
      </c>
      <c r="H5147" s="110" t="s">
        <v>29363</v>
      </c>
      <c r="I5147" s="110" t="s">
        <v>29364</v>
      </c>
    </row>
    <row r="5148" spans="1:9" ht="25.2" x14ac:dyDescent="0.3">
      <c r="A5148" s="109" t="s">
        <v>29365</v>
      </c>
      <c r="B5148" s="109" t="s">
        <v>28900</v>
      </c>
      <c r="C5148" s="109" t="s">
        <v>28900</v>
      </c>
      <c r="D5148" s="109" t="s">
        <v>29366</v>
      </c>
      <c r="E5148" s="109" t="s">
        <v>29367</v>
      </c>
      <c r="F5148" s="109" t="s">
        <v>29368</v>
      </c>
      <c r="G5148" s="110" t="s">
        <v>29369</v>
      </c>
      <c r="H5148" s="110" t="s">
        <v>6248</v>
      </c>
      <c r="I5148" s="110" t="s">
        <v>29370</v>
      </c>
    </row>
    <row r="5149" spans="1:9" ht="37.799999999999997" x14ac:dyDescent="0.3">
      <c r="A5149" s="109" t="s">
        <v>29371</v>
      </c>
      <c r="B5149" s="109" t="s">
        <v>28900</v>
      </c>
      <c r="C5149" s="109" t="s">
        <v>28900</v>
      </c>
      <c r="D5149" s="109" t="s">
        <v>29372</v>
      </c>
      <c r="E5149" s="109" t="s">
        <v>5558</v>
      </c>
      <c r="F5149" s="109" t="s">
        <v>29373</v>
      </c>
      <c r="G5149" s="110" t="s">
        <v>6248</v>
      </c>
      <c r="H5149" s="110" t="s">
        <v>7480</v>
      </c>
      <c r="I5149" s="110" t="s">
        <v>29374</v>
      </c>
    </row>
    <row r="5150" spans="1:9" ht="25.2" x14ac:dyDescent="0.3">
      <c r="A5150" s="109" t="s">
        <v>29375</v>
      </c>
      <c r="B5150" s="109" t="s">
        <v>28900</v>
      </c>
      <c r="C5150" s="109" t="s">
        <v>28900</v>
      </c>
      <c r="D5150" s="109" t="s">
        <v>29376</v>
      </c>
      <c r="E5150" s="109" t="s">
        <v>29377</v>
      </c>
      <c r="F5150" s="109" t="s">
        <v>29378</v>
      </c>
      <c r="G5150" s="110" t="s">
        <v>29379</v>
      </c>
      <c r="H5150" s="110" t="s">
        <v>6248</v>
      </c>
      <c r="I5150" s="110" t="s">
        <v>29380</v>
      </c>
    </row>
    <row r="5151" spans="1:9" ht="25.2" x14ac:dyDescent="0.3">
      <c r="A5151" s="109" t="s">
        <v>29381</v>
      </c>
      <c r="B5151" s="109" t="s">
        <v>28900</v>
      </c>
      <c r="C5151" s="109" t="s">
        <v>28900</v>
      </c>
      <c r="D5151" s="109" t="s">
        <v>29382</v>
      </c>
      <c r="E5151" s="109" t="s">
        <v>29367</v>
      </c>
      <c r="F5151" s="109" t="s">
        <v>29383</v>
      </c>
      <c r="G5151" s="110" t="s">
        <v>7254</v>
      </c>
      <c r="H5151" s="110" t="s">
        <v>6248</v>
      </c>
      <c r="I5151" s="110" t="s">
        <v>29384</v>
      </c>
    </row>
    <row r="5152" spans="1:9" ht="25.2" x14ac:dyDescent="0.3">
      <c r="A5152" s="109" t="s">
        <v>29385</v>
      </c>
      <c r="B5152" s="109" t="s">
        <v>28900</v>
      </c>
      <c r="C5152" s="109" t="s">
        <v>28900</v>
      </c>
      <c r="D5152" s="109" t="s">
        <v>29386</v>
      </c>
      <c r="E5152" s="109" t="s">
        <v>29377</v>
      </c>
      <c r="F5152" s="109" t="s">
        <v>29387</v>
      </c>
      <c r="G5152" s="110" t="s">
        <v>7254</v>
      </c>
      <c r="H5152" s="110" t="s">
        <v>6248</v>
      </c>
      <c r="I5152" s="110" t="s">
        <v>29388</v>
      </c>
    </row>
    <row r="5153" spans="1:9" ht="25.2" x14ac:dyDescent="0.3">
      <c r="A5153" s="109" t="s">
        <v>29389</v>
      </c>
      <c r="B5153" s="109" t="s">
        <v>28900</v>
      </c>
      <c r="C5153" s="109" t="s">
        <v>28900</v>
      </c>
      <c r="D5153" s="109" t="s">
        <v>29390</v>
      </c>
      <c r="E5153" s="109" t="s">
        <v>29367</v>
      </c>
      <c r="F5153" s="109" t="s">
        <v>29391</v>
      </c>
      <c r="G5153" s="110" t="s">
        <v>11819</v>
      </c>
      <c r="H5153" s="110" t="s">
        <v>6248</v>
      </c>
      <c r="I5153" s="110" t="s">
        <v>29392</v>
      </c>
    </row>
    <row r="5154" spans="1:9" ht="25.2" x14ac:dyDescent="0.3">
      <c r="A5154" s="109" t="s">
        <v>29393</v>
      </c>
      <c r="B5154" s="109" t="s">
        <v>28900</v>
      </c>
      <c r="C5154" s="109" t="s">
        <v>28900</v>
      </c>
      <c r="D5154" s="109" t="s">
        <v>29394</v>
      </c>
      <c r="E5154" s="109" t="s">
        <v>29377</v>
      </c>
      <c r="F5154" s="109" t="s">
        <v>29395</v>
      </c>
      <c r="G5154" s="110" t="s">
        <v>11819</v>
      </c>
      <c r="H5154" s="110" t="s">
        <v>6248</v>
      </c>
      <c r="I5154" s="110" t="s">
        <v>29396</v>
      </c>
    </row>
    <row r="5155" spans="1:9" ht="37.799999999999997" x14ac:dyDescent="0.3">
      <c r="A5155" s="109" t="s">
        <v>29397</v>
      </c>
      <c r="B5155" s="109" t="s">
        <v>28900</v>
      </c>
      <c r="C5155" s="109" t="s">
        <v>28900</v>
      </c>
      <c r="D5155" s="109" t="s">
        <v>29398</v>
      </c>
      <c r="E5155" s="109" t="s">
        <v>5558</v>
      </c>
      <c r="F5155" s="109" t="s">
        <v>29399</v>
      </c>
      <c r="G5155" s="110" t="s">
        <v>6248</v>
      </c>
      <c r="H5155" s="110" t="s">
        <v>7321</v>
      </c>
      <c r="I5155" s="110" t="s">
        <v>29400</v>
      </c>
    </row>
    <row r="5156" spans="1:9" ht="25.2" x14ac:dyDescent="0.3">
      <c r="A5156" s="109" t="s">
        <v>29401</v>
      </c>
      <c r="B5156" s="109" t="s">
        <v>28900</v>
      </c>
      <c r="C5156" s="109" t="s">
        <v>28900</v>
      </c>
      <c r="D5156" s="109" t="s">
        <v>4602</v>
      </c>
      <c r="E5156" s="109" t="s">
        <v>10893</v>
      </c>
      <c r="F5156" s="109" t="s">
        <v>10894</v>
      </c>
      <c r="G5156" s="110" t="s">
        <v>29402</v>
      </c>
      <c r="H5156" s="110" t="s">
        <v>6248</v>
      </c>
      <c r="I5156" s="110" t="s">
        <v>29403</v>
      </c>
    </row>
    <row r="5157" spans="1:9" ht="25.2" x14ac:dyDescent="0.3">
      <c r="A5157" s="109" t="s">
        <v>29404</v>
      </c>
      <c r="B5157" s="109" t="s">
        <v>28900</v>
      </c>
      <c r="C5157" s="109" t="s">
        <v>28900</v>
      </c>
      <c r="D5157" s="109" t="s">
        <v>4603</v>
      </c>
      <c r="E5157" s="109" t="s">
        <v>29405</v>
      </c>
      <c r="F5157" s="109" t="s">
        <v>22351</v>
      </c>
      <c r="G5157" s="110" t="s">
        <v>29406</v>
      </c>
      <c r="H5157" s="110" t="s">
        <v>6248</v>
      </c>
      <c r="I5157" s="110" t="s">
        <v>29407</v>
      </c>
    </row>
    <row r="5158" spans="1:9" ht="37.799999999999997" x14ac:dyDescent="0.3">
      <c r="A5158" s="109" t="s">
        <v>29408</v>
      </c>
      <c r="B5158" s="109" t="s">
        <v>28900</v>
      </c>
      <c r="C5158" s="109" t="s">
        <v>28900</v>
      </c>
      <c r="D5158" s="109" t="s">
        <v>29409</v>
      </c>
      <c r="E5158" s="109" t="s">
        <v>5558</v>
      </c>
      <c r="F5158" s="109" t="s">
        <v>29410</v>
      </c>
      <c r="G5158" s="110" t="s">
        <v>6248</v>
      </c>
      <c r="H5158" s="110" t="s">
        <v>6352</v>
      </c>
      <c r="I5158" s="110" t="s">
        <v>29411</v>
      </c>
    </row>
    <row r="5159" spans="1:9" ht="25.2" x14ac:dyDescent="0.3">
      <c r="A5159" s="109" t="s">
        <v>29412</v>
      </c>
      <c r="B5159" s="109" t="s">
        <v>28900</v>
      </c>
      <c r="C5159" s="109" t="s">
        <v>28900</v>
      </c>
      <c r="D5159" s="109" t="s">
        <v>29413</v>
      </c>
      <c r="E5159" s="109" t="s">
        <v>29414</v>
      </c>
      <c r="F5159" s="109" t="s">
        <v>29415</v>
      </c>
      <c r="G5159" s="110" t="s">
        <v>29416</v>
      </c>
      <c r="H5159" s="110" t="s">
        <v>6248</v>
      </c>
      <c r="I5159" s="110" t="s">
        <v>29417</v>
      </c>
    </row>
    <row r="5160" spans="1:9" ht="25.2" x14ac:dyDescent="0.3">
      <c r="A5160" s="109" t="s">
        <v>29418</v>
      </c>
      <c r="B5160" s="109" t="s">
        <v>28900</v>
      </c>
      <c r="C5160" s="109" t="s">
        <v>28900</v>
      </c>
      <c r="D5160" s="109" t="s">
        <v>29419</v>
      </c>
      <c r="E5160" s="109" t="s">
        <v>29414</v>
      </c>
      <c r="F5160" s="109" t="s">
        <v>29420</v>
      </c>
      <c r="G5160" s="110" t="s">
        <v>7254</v>
      </c>
      <c r="H5160" s="110" t="s">
        <v>6248</v>
      </c>
      <c r="I5160" s="110" t="s">
        <v>29421</v>
      </c>
    </row>
    <row r="5161" spans="1:9" ht="25.2" x14ac:dyDescent="0.3">
      <c r="A5161" s="109" t="s">
        <v>29422</v>
      </c>
      <c r="B5161" s="109" t="s">
        <v>28900</v>
      </c>
      <c r="C5161" s="109" t="s">
        <v>28900</v>
      </c>
      <c r="D5161" s="109" t="s">
        <v>29423</v>
      </c>
      <c r="E5161" s="109" t="s">
        <v>29414</v>
      </c>
      <c r="F5161" s="109" t="s">
        <v>29424</v>
      </c>
      <c r="G5161" s="110" t="s">
        <v>11819</v>
      </c>
      <c r="H5161" s="110" t="s">
        <v>6248</v>
      </c>
      <c r="I5161" s="110" t="s">
        <v>29425</v>
      </c>
    </row>
    <row r="5162" spans="1:9" ht="25.2" x14ac:dyDescent="0.3">
      <c r="A5162" s="109" t="s">
        <v>29426</v>
      </c>
      <c r="B5162" s="109" t="s">
        <v>28900</v>
      </c>
      <c r="C5162" s="109" t="s">
        <v>28900</v>
      </c>
      <c r="D5162" s="109" t="s">
        <v>29427</v>
      </c>
      <c r="E5162" s="109" t="s">
        <v>5558</v>
      </c>
      <c r="F5162" s="109" t="s">
        <v>29428</v>
      </c>
      <c r="G5162" s="110" t="s">
        <v>6248</v>
      </c>
      <c r="H5162" s="110" t="s">
        <v>29429</v>
      </c>
      <c r="I5162" s="110" t="s">
        <v>29430</v>
      </c>
    </row>
    <row r="5163" spans="1:9" ht="25.2" x14ac:dyDescent="0.3">
      <c r="A5163" s="109" t="s">
        <v>29431</v>
      </c>
      <c r="B5163" s="109" t="s">
        <v>28900</v>
      </c>
      <c r="C5163" s="109" t="s">
        <v>28900</v>
      </c>
      <c r="D5163" s="109" t="s">
        <v>29432</v>
      </c>
      <c r="E5163" s="109" t="s">
        <v>5558</v>
      </c>
      <c r="F5163" s="109" t="s">
        <v>29433</v>
      </c>
      <c r="G5163" s="110" t="s">
        <v>6248</v>
      </c>
      <c r="H5163" s="110" t="s">
        <v>28468</v>
      </c>
      <c r="I5163" s="110" t="s">
        <v>29434</v>
      </c>
    </row>
    <row r="5164" spans="1:9" ht="25.2" x14ac:dyDescent="0.3">
      <c r="A5164" s="109" t="s">
        <v>29435</v>
      </c>
      <c r="B5164" s="109" t="s">
        <v>28900</v>
      </c>
      <c r="C5164" s="109" t="s">
        <v>28900</v>
      </c>
      <c r="D5164" s="109" t="s">
        <v>29436</v>
      </c>
      <c r="E5164" s="109" t="s">
        <v>5558</v>
      </c>
      <c r="F5164" s="109" t="s">
        <v>29437</v>
      </c>
      <c r="G5164" s="110" t="s">
        <v>6248</v>
      </c>
      <c r="H5164" s="110" t="s">
        <v>29438</v>
      </c>
      <c r="I5164" s="110" t="s">
        <v>29439</v>
      </c>
    </row>
    <row r="5165" spans="1:9" ht="25.2" x14ac:dyDescent="0.3">
      <c r="A5165" s="109" t="s">
        <v>29440</v>
      </c>
      <c r="B5165" s="109" t="s">
        <v>28900</v>
      </c>
      <c r="C5165" s="109" t="s">
        <v>28900</v>
      </c>
      <c r="D5165" s="109" t="s">
        <v>29441</v>
      </c>
      <c r="E5165" s="109" t="s">
        <v>5558</v>
      </c>
      <c r="F5165" s="109" t="s">
        <v>29442</v>
      </c>
      <c r="G5165" s="110" t="s">
        <v>6248</v>
      </c>
      <c r="H5165" s="110" t="s">
        <v>29443</v>
      </c>
      <c r="I5165" s="110" t="s">
        <v>29444</v>
      </c>
    </row>
    <row r="5166" spans="1:9" ht="37.799999999999997" x14ac:dyDescent="0.3">
      <c r="A5166" s="109" t="s">
        <v>29445</v>
      </c>
      <c r="B5166" s="109" t="s">
        <v>28900</v>
      </c>
      <c r="C5166" s="109" t="s">
        <v>28900</v>
      </c>
      <c r="D5166" s="109" t="s">
        <v>29446</v>
      </c>
      <c r="E5166" s="109" t="s">
        <v>5558</v>
      </c>
      <c r="F5166" s="109" t="s">
        <v>29447</v>
      </c>
      <c r="G5166" s="110" t="s">
        <v>6248</v>
      </c>
      <c r="H5166" s="110" t="s">
        <v>29448</v>
      </c>
      <c r="I5166" s="110" t="s">
        <v>29449</v>
      </c>
    </row>
    <row r="5167" spans="1:9" ht="25.2" x14ac:dyDescent="0.3">
      <c r="A5167" s="109" t="s">
        <v>29450</v>
      </c>
      <c r="B5167" s="109" t="s">
        <v>28900</v>
      </c>
      <c r="C5167" s="109" t="s">
        <v>28900</v>
      </c>
      <c r="D5167" s="109" t="s">
        <v>29451</v>
      </c>
      <c r="E5167" s="109" t="s">
        <v>15483</v>
      </c>
      <c r="F5167" s="109" t="s">
        <v>29452</v>
      </c>
      <c r="G5167" s="110" t="s">
        <v>6248</v>
      </c>
      <c r="H5167" s="110" t="s">
        <v>29453</v>
      </c>
      <c r="I5167" s="110" t="s">
        <v>29454</v>
      </c>
    </row>
    <row r="5168" spans="1:9" ht="25.2" x14ac:dyDescent="0.3">
      <c r="A5168" s="109" t="s">
        <v>29455</v>
      </c>
      <c r="B5168" s="109" t="s">
        <v>28900</v>
      </c>
      <c r="C5168" s="109" t="s">
        <v>28900</v>
      </c>
      <c r="D5168" s="109" t="s">
        <v>29456</v>
      </c>
      <c r="E5168" s="109" t="s">
        <v>29457</v>
      </c>
      <c r="F5168" s="109" t="s">
        <v>11989</v>
      </c>
      <c r="G5168" s="110" t="s">
        <v>6248</v>
      </c>
      <c r="H5168" s="110" t="s">
        <v>29458</v>
      </c>
      <c r="I5168" s="110" t="s">
        <v>29459</v>
      </c>
    </row>
    <row r="5169" spans="1:9" ht="25.2" x14ac:dyDescent="0.3">
      <c r="A5169" s="109" t="s">
        <v>29460</v>
      </c>
      <c r="B5169" s="109" t="s">
        <v>28900</v>
      </c>
      <c r="C5169" s="109" t="s">
        <v>28900</v>
      </c>
      <c r="D5169" s="109" t="s">
        <v>29461</v>
      </c>
      <c r="E5169" s="109" t="s">
        <v>5558</v>
      </c>
      <c r="F5169" s="109" t="s">
        <v>29462</v>
      </c>
      <c r="G5169" s="110" t="s">
        <v>6248</v>
      </c>
      <c r="H5169" s="110" t="s">
        <v>29463</v>
      </c>
      <c r="I5169" s="110" t="s">
        <v>29464</v>
      </c>
    </row>
    <row r="5170" spans="1:9" ht="63" x14ac:dyDescent="0.3">
      <c r="A5170" s="109" t="s">
        <v>29465</v>
      </c>
      <c r="B5170" s="109" t="s">
        <v>28900</v>
      </c>
      <c r="C5170" s="109" t="s">
        <v>28900</v>
      </c>
      <c r="D5170" s="109" t="s">
        <v>29466</v>
      </c>
      <c r="E5170" s="109" t="s">
        <v>29466</v>
      </c>
      <c r="F5170" s="109" t="s">
        <v>29467</v>
      </c>
      <c r="G5170" s="110" t="s">
        <v>6248</v>
      </c>
      <c r="H5170" s="110" t="s">
        <v>29468</v>
      </c>
      <c r="I5170" s="110" t="s">
        <v>29469</v>
      </c>
    </row>
    <row r="5171" spans="1:9" ht="37.799999999999997" x14ac:dyDescent="0.3">
      <c r="A5171" s="109" t="s">
        <v>29470</v>
      </c>
      <c r="B5171" s="109" t="s">
        <v>28900</v>
      </c>
      <c r="C5171" s="109" t="s">
        <v>28900</v>
      </c>
      <c r="D5171" s="109" t="s">
        <v>29471</v>
      </c>
      <c r="E5171" s="109" t="s">
        <v>5558</v>
      </c>
      <c r="F5171" s="109" t="s">
        <v>29472</v>
      </c>
      <c r="G5171" s="110" t="s">
        <v>6248</v>
      </c>
      <c r="H5171" s="110" t="s">
        <v>29473</v>
      </c>
      <c r="I5171" s="110" t="s">
        <v>29474</v>
      </c>
    </row>
    <row r="5172" spans="1:9" ht="25.2" x14ac:dyDescent="0.3">
      <c r="A5172" s="109" t="s">
        <v>29475</v>
      </c>
      <c r="B5172" s="109" t="s">
        <v>28900</v>
      </c>
      <c r="C5172" s="109" t="s">
        <v>28900</v>
      </c>
      <c r="D5172" s="109" t="s">
        <v>29476</v>
      </c>
      <c r="E5172" s="109" t="s">
        <v>5558</v>
      </c>
      <c r="F5172" s="109" t="s">
        <v>29477</v>
      </c>
      <c r="G5172" s="110" t="s">
        <v>6248</v>
      </c>
      <c r="H5172" s="110" t="s">
        <v>8656</v>
      </c>
      <c r="I5172" s="110" t="s">
        <v>29478</v>
      </c>
    </row>
    <row r="5173" spans="1:9" ht="25.2" x14ac:dyDescent="0.3">
      <c r="A5173" s="109" t="s">
        <v>29479</v>
      </c>
      <c r="B5173" s="109" t="s">
        <v>28900</v>
      </c>
      <c r="C5173" s="109" t="s">
        <v>28900</v>
      </c>
      <c r="D5173" s="109" t="s">
        <v>5569</v>
      </c>
      <c r="E5173" s="109" t="s">
        <v>5558</v>
      </c>
      <c r="F5173" s="109" t="s">
        <v>2258</v>
      </c>
      <c r="G5173" s="110" t="s">
        <v>6248</v>
      </c>
      <c r="H5173" s="110" t="s">
        <v>29480</v>
      </c>
      <c r="I5173" s="110" t="s">
        <v>29481</v>
      </c>
    </row>
    <row r="5174" spans="1:9" ht="25.2" x14ac:dyDescent="0.3">
      <c r="A5174" s="109" t="s">
        <v>29482</v>
      </c>
      <c r="B5174" s="109" t="s">
        <v>28900</v>
      </c>
      <c r="C5174" s="109" t="s">
        <v>28900</v>
      </c>
      <c r="D5174" s="109" t="s">
        <v>5569</v>
      </c>
      <c r="E5174" s="109" t="s">
        <v>5558</v>
      </c>
      <c r="F5174" s="109" t="s">
        <v>2258</v>
      </c>
      <c r="G5174" s="110" t="s">
        <v>6248</v>
      </c>
      <c r="H5174" s="110" t="s">
        <v>29483</v>
      </c>
      <c r="I5174" s="110" t="s">
        <v>29484</v>
      </c>
    </row>
    <row r="5175" spans="1:9" ht="37.799999999999997" x14ac:dyDescent="0.3">
      <c r="A5175" s="109" t="s">
        <v>29485</v>
      </c>
      <c r="B5175" s="109" t="s">
        <v>28900</v>
      </c>
      <c r="C5175" s="109" t="s">
        <v>28900</v>
      </c>
      <c r="D5175" s="109" t="s">
        <v>29486</v>
      </c>
      <c r="E5175" s="109" t="s">
        <v>5558</v>
      </c>
      <c r="F5175" s="109" t="s">
        <v>29487</v>
      </c>
      <c r="G5175" s="110" t="s">
        <v>6248</v>
      </c>
      <c r="H5175" s="110" t="s">
        <v>29488</v>
      </c>
      <c r="I5175" s="110" t="s">
        <v>29489</v>
      </c>
    </row>
    <row r="5176" spans="1:9" ht="63" x14ac:dyDescent="0.3">
      <c r="A5176" s="109" t="s">
        <v>29490</v>
      </c>
      <c r="B5176" s="109" t="s">
        <v>28900</v>
      </c>
      <c r="C5176" s="109" t="s">
        <v>28900</v>
      </c>
      <c r="D5176" s="109" t="s">
        <v>8478</v>
      </c>
      <c r="E5176" s="109" t="s">
        <v>8478</v>
      </c>
      <c r="F5176" s="109" t="s">
        <v>15150</v>
      </c>
      <c r="G5176" s="110" t="s">
        <v>6248</v>
      </c>
      <c r="H5176" s="110" t="s">
        <v>7817</v>
      </c>
      <c r="I5176" s="110" t="s">
        <v>29491</v>
      </c>
    </row>
    <row r="5177" spans="1:9" ht="25.2" x14ac:dyDescent="0.3">
      <c r="A5177" s="109" t="s">
        <v>29492</v>
      </c>
      <c r="B5177" s="109" t="s">
        <v>28900</v>
      </c>
      <c r="C5177" s="109" t="s">
        <v>28900</v>
      </c>
      <c r="D5177" s="109" t="s">
        <v>4388</v>
      </c>
      <c r="E5177" s="109" t="s">
        <v>5558</v>
      </c>
      <c r="F5177" s="109" t="s">
        <v>29493</v>
      </c>
      <c r="G5177" s="110" t="s">
        <v>6248</v>
      </c>
      <c r="H5177" s="110" t="s">
        <v>29494</v>
      </c>
      <c r="I5177" s="110" t="s">
        <v>29495</v>
      </c>
    </row>
    <row r="5178" spans="1:9" ht="25.2" x14ac:dyDescent="0.3">
      <c r="A5178" s="109" t="s">
        <v>29496</v>
      </c>
      <c r="B5178" s="109" t="s">
        <v>28900</v>
      </c>
      <c r="C5178" s="109" t="s">
        <v>28900</v>
      </c>
      <c r="D5178" s="109" t="s">
        <v>5569</v>
      </c>
      <c r="E5178" s="109" t="s">
        <v>5558</v>
      </c>
      <c r="F5178" s="109" t="s">
        <v>2258</v>
      </c>
      <c r="G5178" s="110" t="s">
        <v>6248</v>
      </c>
      <c r="H5178" s="110" t="s">
        <v>29497</v>
      </c>
      <c r="I5178" s="110" t="s">
        <v>29498</v>
      </c>
    </row>
    <row r="5179" spans="1:9" ht="25.2" x14ac:dyDescent="0.3">
      <c r="A5179" s="109" t="s">
        <v>29499</v>
      </c>
      <c r="B5179" s="109" t="s">
        <v>28900</v>
      </c>
      <c r="C5179" s="109" t="s">
        <v>28900</v>
      </c>
      <c r="D5179" s="109" t="s">
        <v>29500</v>
      </c>
      <c r="E5179" s="109" t="s">
        <v>29501</v>
      </c>
      <c r="F5179" s="109" t="s">
        <v>7039</v>
      </c>
      <c r="G5179" s="110" t="s">
        <v>6248</v>
      </c>
      <c r="H5179" s="110" t="s">
        <v>29502</v>
      </c>
      <c r="I5179" s="110" t="s">
        <v>29503</v>
      </c>
    </row>
    <row r="5180" spans="1:9" ht="25.2" x14ac:dyDescent="0.3">
      <c r="A5180" s="109" t="s">
        <v>29504</v>
      </c>
      <c r="B5180" s="109" t="s">
        <v>28900</v>
      </c>
      <c r="C5180" s="109" t="s">
        <v>28900</v>
      </c>
      <c r="D5180" s="109" t="s">
        <v>29505</v>
      </c>
      <c r="E5180" s="109" t="s">
        <v>29506</v>
      </c>
      <c r="F5180" s="109" t="s">
        <v>7045</v>
      </c>
      <c r="G5180" s="110" t="s">
        <v>29507</v>
      </c>
      <c r="H5180" s="110" t="s">
        <v>6248</v>
      </c>
      <c r="I5180" s="110" t="s">
        <v>29508</v>
      </c>
    </row>
    <row r="5181" spans="1:9" ht="25.2" x14ac:dyDescent="0.3">
      <c r="A5181" s="109" t="s">
        <v>29509</v>
      </c>
      <c r="B5181" s="109" t="s">
        <v>28900</v>
      </c>
      <c r="C5181" s="109" t="s">
        <v>28900</v>
      </c>
      <c r="D5181" s="109" t="s">
        <v>29510</v>
      </c>
      <c r="E5181" s="109" t="s">
        <v>5558</v>
      </c>
      <c r="F5181" s="109" t="s">
        <v>29511</v>
      </c>
      <c r="G5181" s="110" t="s">
        <v>6248</v>
      </c>
      <c r="H5181" s="110" t="s">
        <v>7830</v>
      </c>
      <c r="I5181" s="110" t="s">
        <v>29512</v>
      </c>
    </row>
    <row r="5182" spans="1:9" ht="25.2" x14ac:dyDescent="0.3">
      <c r="A5182" s="109" t="s">
        <v>29513</v>
      </c>
      <c r="B5182" s="109" t="s">
        <v>28900</v>
      </c>
      <c r="C5182" s="109" t="s">
        <v>28900</v>
      </c>
      <c r="D5182" s="109" t="s">
        <v>29514</v>
      </c>
      <c r="E5182" s="109" t="s">
        <v>5558</v>
      </c>
      <c r="F5182" s="109" t="s">
        <v>29515</v>
      </c>
      <c r="G5182" s="110" t="s">
        <v>6248</v>
      </c>
      <c r="H5182" s="110" t="s">
        <v>6898</v>
      </c>
      <c r="I5182" s="110" t="s">
        <v>29516</v>
      </c>
    </row>
    <row r="5183" spans="1:9" ht="25.2" x14ac:dyDescent="0.3">
      <c r="A5183" s="109" t="s">
        <v>29517</v>
      </c>
      <c r="B5183" s="109" t="s">
        <v>28900</v>
      </c>
      <c r="C5183" s="109" t="s">
        <v>28900</v>
      </c>
      <c r="D5183" s="109" t="s">
        <v>29518</v>
      </c>
      <c r="E5183" s="109" t="s">
        <v>5558</v>
      </c>
      <c r="F5183" s="109" t="s">
        <v>29519</v>
      </c>
      <c r="G5183" s="110" t="s">
        <v>6248</v>
      </c>
      <c r="H5183" s="110" t="s">
        <v>29520</v>
      </c>
      <c r="I5183" s="110" t="s">
        <v>29521</v>
      </c>
    </row>
    <row r="5184" spans="1:9" ht="25.2" x14ac:dyDescent="0.3">
      <c r="A5184" s="109" t="s">
        <v>29522</v>
      </c>
      <c r="B5184" s="109" t="s">
        <v>28900</v>
      </c>
      <c r="C5184" s="109" t="s">
        <v>28900</v>
      </c>
      <c r="D5184" s="109" t="s">
        <v>29523</v>
      </c>
      <c r="E5184" s="109" t="s">
        <v>5558</v>
      </c>
      <c r="F5184" s="109" t="s">
        <v>29524</v>
      </c>
      <c r="G5184" s="110" t="s">
        <v>6248</v>
      </c>
      <c r="H5184" s="110" t="s">
        <v>29525</v>
      </c>
      <c r="I5184" s="110" t="s">
        <v>29526</v>
      </c>
    </row>
    <row r="5185" spans="1:9" ht="25.2" x14ac:dyDescent="0.3">
      <c r="A5185" s="109" t="s">
        <v>29527</v>
      </c>
      <c r="B5185" s="109" t="s">
        <v>28900</v>
      </c>
      <c r="C5185" s="109" t="s">
        <v>28900</v>
      </c>
      <c r="D5185" s="109" t="s">
        <v>29528</v>
      </c>
      <c r="E5185" s="109" t="s">
        <v>11925</v>
      </c>
      <c r="F5185" s="109" t="s">
        <v>14816</v>
      </c>
      <c r="G5185" s="110" t="s">
        <v>6248</v>
      </c>
      <c r="H5185" s="110" t="s">
        <v>29529</v>
      </c>
      <c r="I5185" s="110" t="s">
        <v>29530</v>
      </c>
    </row>
    <row r="5186" spans="1:9" ht="37.799999999999997" x14ac:dyDescent="0.3">
      <c r="A5186" s="109" t="s">
        <v>29531</v>
      </c>
      <c r="B5186" s="109" t="s">
        <v>28900</v>
      </c>
      <c r="C5186" s="109" t="s">
        <v>28900</v>
      </c>
      <c r="D5186" s="109" t="s">
        <v>29532</v>
      </c>
      <c r="E5186" s="109" t="s">
        <v>5558</v>
      </c>
      <c r="F5186" s="109" t="s">
        <v>29533</v>
      </c>
      <c r="G5186" s="110" t="s">
        <v>6248</v>
      </c>
      <c r="H5186" s="110" t="s">
        <v>11760</v>
      </c>
      <c r="I5186" s="110" t="s">
        <v>29534</v>
      </c>
    </row>
    <row r="5187" spans="1:9" ht="37.799999999999997" x14ac:dyDescent="0.3">
      <c r="A5187" s="109" t="s">
        <v>29535</v>
      </c>
      <c r="B5187" s="109" t="s">
        <v>28900</v>
      </c>
      <c r="C5187" s="109" t="s">
        <v>28900</v>
      </c>
      <c r="D5187" s="109" t="s">
        <v>29536</v>
      </c>
      <c r="E5187" s="109" t="s">
        <v>5558</v>
      </c>
      <c r="F5187" s="109" t="s">
        <v>29537</v>
      </c>
      <c r="G5187" s="110" t="s">
        <v>6248</v>
      </c>
      <c r="H5187" s="110" t="s">
        <v>29538</v>
      </c>
      <c r="I5187" s="110" t="s">
        <v>29539</v>
      </c>
    </row>
    <row r="5188" spans="1:9" ht="25.2" x14ac:dyDescent="0.3">
      <c r="A5188" s="109" t="s">
        <v>29540</v>
      </c>
      <c r="B5188" s="109" t="s">
        <v>28900</v>
      </c>
      <c r="C5188" s="109" t="s">
        <v>28900</v>
      </c>
      <c r="D5188" s="109" t="s">
        <v>29541</v>
      </c>
      <c r="E5188" s="109" t="s">
        <v>5558</v>
      </c>
      <c r="F5188" s="109" t="s">
        <v>29542</v>
      </c>
      <c r="G5188" s="110" t="s">
        <v>6248</v>
      </c>
      <c r="H5188" s="110" t="s">
        <v>29543</v>
      </c>
      <c r="I5188" s="110" t="s">
        <v>29544</v>
      </c>
    </row>
    <row r="5189" spans="1:9" ht="63" x14ac:dyDescent="0.3">
      <c r="A5189" s="109" t="s">
        <v>29545</v>
      </c>
      <c r="B5189" s="109" t="s">
        <v>28900</v>
      </c>
      <c r="C5189" s="109" t="s">
        <v>28900</v>
      </c>
      <c r="D5189" s="109" t="s">
        <v>29546</v>
      </c>
      <c r="E5189" s="109" t="s">
        <v>29546</v>
      </c>
      <c r="F5189" s="109" t="s">
        <v>29547</v>
      </c>
      <c r="G5189" s="110" t="s">
        <v>6248</v>
      </c>
      <c r="H5189" s="110" t="s">
        <v>29548</v>
      </c>
      <c r="I5189" s="110" t="s">
        <v>29549</v>
      </c>
    </row>
    <row r="5190" spans="1:9" ht="25.2" x14ac:dyDescent="0.3">
      <c r="A5190" s="109" t="s">
        <v>29550</v>
      </c>
      <c r="B5190" s="109" t="s">
        <v>28900</v>
      </c>
      <c r="C5190" s="109" t="s">
        <v>28900</v>
      </c>
      <c r="D5190" s="109" t="s">
        <v>5569</v>
      </c>
      <c r="E5190" s="109" t="s">
        <v>5558</v>
      </c>
      <c r="F5190" s="109" t="s">
        <v>2258</v>
      </c>
      <c r="G5190" s="110" t="s">
        <v>6248</v>
      </c>
      <c r="H5190" s="110" t="s">
        <v>29551</v>
      </c>
      <c r="I5190" s="110" t="s">
        <v>29552</v>
      </c>
    </row>
    <row r="5191" spans="1:9" ht="37.799999999999997" x14ac:dyDescent="0.3">
      <c r="A5191" s="109" t="s">
        <v>29553</v>
      </c>
      <c r="B5191" s="109" t="s">
        <v>28900</v>
      </c>
      <c r="C5191" s="109" t="s">
        <v>28900</v>
      </c>
      <c r="D5191" s="109" t="s">
        <v>29554</v>
      </c>
      <c r="E5191" s="109" t="s">
        <v>5558</v>
      </c>
      <c r="F5191" s="109" t="s">
        <v>29555</v>
      </c>
      <c r="G5191" s="110" t="s">
        <v>6248</v>
      </c>
      <c r="H5191" s="110" t="s">
        <v>29556</v>
      </c>
      <c r="I5191" s="110" t="s">
        <v>29557</v>
      </c>
    </row>
    <row r="5192" spans="1:9" ht="37.799999999999997" x14ac:dyDescent="0.3">
      <c r="A5192" s="109" t="s">
        <v>29558</v>
      </c>
      <c r="B5192" s="109" t="s">
        <v>28900</v>
      </c>
      <c r="C5192" s="109" t="s">
        <v>28900</v>
      </c>
      <c r="D5192" s="109" t="s">
        <v>4620</v>
      </c>
      <c r="E5192" s="109" t="s">
        <v>5558</v>
      </c>
      <c r="F5192" s="109" t="s">
        <v>29559</v>
      </c>
      <c r="G5192" s="110" t="s">
        <v>6248</v>
      </c>
      <c r="H5192" s="110" t="s">
        <v>29560</v>
      </c>
      <c r="I5192" s="110" t="s">
        <v>29561</v>
      </c>
    </row>
    <row r="5193" spans="1:9" ht="50.4" x14ac:dyDescent="0.3">
      <c r="A5193" s="109" t="s">
        <v>29562</v>
      </c>
      <c r="B5193" s="109" t="s">
        <v>28900</v>
      </c>
      <c r="C5193" s="109" t="s">
        <v>28900</v>
      </c>
      <c r="D5193" s="109" t="s">
        <v>29563</v>
      </c>
      <c r="E5193" s="109" t="s">
        <v>5558</v>
      </c>
      <c r="F5193" s="109" t="s">
        <v>29564</v>
      </c>
      <c r="G5193" s="110" t="s">
        <v>29565</v>
      </c>
      <c r="H5193" s="110" t="s">
        <v>6248</v>
      </c>
      <c r="I5193" s="110" t="s">
        <v>29566</v>
      </c>
    </row>
    <row r="5194" spans="1:9" ht="25.2" x14ac:dyDescent="0.3">
      <c r="A5194" s="109" t="s">
        <v>29567</v>
      </c>
      <c r="B5194" s="109" t="s">
        <v>28900</v>
      </c>
      <c r="C5194" s="109" t="s">
        <v>28900</v>
      </c>
      <c r="D5194" s="109" t="s">
        <v>29563</v>
      </c>
      <c r="E5194" s="109" t="s">
        <v>5558</v>
      </c>
      <c r="F5194" s="109" t="s">
        <v>5883</v>
      </c>
      <c r="G5194" s="110" t="s">
        <v>15449</v>
      </c>
      <c r="H5194" s="110" t="s">
        <v>6248</v>
      </c>
      <c r="I5194" s="110" t="s">
        <v>29568</v>
      </c>
    </row>
    <row r="5195" spans="1:9" ht="25.2" x14ac:dyDescent="0.3">
      <c r="A5195" s="109" t="s">
        <v>29569</v>
      </c>
      <c r="B5195" s="109" t="s">
        <v>28900</v>
      </c>
      <c r="C5195" s="109" t="s">
        <v>28900</v>
      </c>
      <c r="D5195" s="109" t="s">
        <v>29570</v>
      </c>
      <c r="E5195" s="109" t="s">
        <v>5558</v>
      </c>
      <c r="F5195" s="109" t="s">
        <v>29571</v>
      </c>
      <c r="G5195" s="110" t="s">
        <v>6248</v>
      </c>
      <c r="H5195" s="110" t="s">
        <v>29572</v>
      </c>
      <c r="I5195" s="110" t="s">
        <v>29573</v>
      </c>
    </row>
    <row r="5196" spans="1:9" ht="37.799999999999997" x14ac:dyDescent="0.3">
      <c r="A5196" s="109" t="s">
        <v>29574</v>
      </c>
      <c r="B5196" s="109" t="s">
        <v>28900</v>
      </c>
      <c r="C5196" s="109" t="s">
        <v>28900</v>
      </c>
      <c r="D5196" s="109" t="s">
        <v>4397</v>
      </c>
      <c r="E5196" s="109" t="s">
        <v>5558</v>
      </c>
      <c r="F5196" s="109" t="s">
        <v>29575</v>
      </c>
      <c r="G5196" s="110" t="s">
        <v>6248</v>
      </c>
      <c r="H5196" s="110" t="s">
        <v>29576</v>
      </c>
      <c r="I5196" s="110" t="s">
        <v>29577</v>
      </c>
    </row>
    <row r="5197" spans="1:9" ht="25.2" x14ac:dyDescent="0.3">
      <c r="A5197" s="109" t="s">
        <v>29578</v>
      </c>
      <c r="B5197" s="109" t="s">
        <v>28900</v>
      </c>
      <c r="C5197" s="109" t="s">
        <v>28900</v>
      </c>
      <c r="D5197" s="109" t="s">
        <v>29579</v>
      </c>
      <c r="E5197" s="109" t="s">
        <v>5558</v>
      </c>
      <c r="F5197" s="109" t="s">
        <v>29580</v>
      </c>
      <c r="G5197" s="110" t="s">
        <v>6248</v>
      </c>
      <c r="H5197" s="110" t="s">
        <v>29581</v>
      </c>
      <c r="I5197" s="110" t="s">
        <v>29582</v>
      </c>
    </row>
    <row r="5198" spans="1:9" ht="25.2" x14ac:dyDescent="0.3">
      <c r="A5198" s="109" t="s">
        <v>29583</v>
      </c>
      <c r="B5198" s="109" t="s">
        <v>28900</v>
      </c>
      <c r="C5198" s="109" t="s">
        <v>28900</v>
      </c>
      <c r="D5198" s="109" t="s">
        <v>29584</v>
      </c>
      <c r="E5198" s="109" t="s">
        <v>5558</v>
      </c>
      <c r="F5198" s="109" t="s">
        <v>29585</v>
      </c>
      <c r="G5198" s="110" t="s">
        <v>6248</v>
      </c>
      <c r="H5198" s="110" t="s">
        <v>29586</v>
      </c>
      <c r="I5198" s="110" t="s">
        <v>29587</v>
      </c>
    </row>
    <row r="5199" spans="1:9" ht="37.799999999999997" x14ac:dyDescent="0.3">
      <c r="A5199" s="109" t="s">
        <v>29588</v>
      </c>
      <c r="B5199" s="109" t="s">
        <v>28900</v>
      </c>
      <c r="C5199" s="109" t="s">
        <v>28900</v>
      </c>
      <c r="D5199" s="109" t="s">
        <v>29589</v>
      </c>
      <c r="E5199" s="109" t="s">
        <v>5558</v>
      </c>
      <c r="F5199" s="109" t="s">
        <v>29590</v>
      </c>
      <c r="G5199" s="110" t="s">
        <v>6248</v>
      </c>
      <c r="H5199" s="110" t="s">
        <v>6883</v>
      </c>
      <c r="I5199" s="110" t="s">
        <v>29591</v>
      </c>
    </row>
    <row r="5200" spans="1:9" ht="25.2" x14ac:dyDescent="0.3">
      <c r="A5200" s="109" t="s">
        <v>29592</v>
      </c>
      <c r="B5200" s="109" t="s">
        <v>28900</v>
      </c>
      <c r="C5200" s="109" t="s">
        <v>28900</v>
      </c>
      <c r="D5200" s="109" t="s">
        <v>29593</v>
      </c>
      <c r="E5200" s="109" t="s">
        <v>5558</v>
      </c>
      <c r="F5200" s="109" t="s">
        <v>29594</v>
      </c>
      <c r="G5200" s="110" t="s">
        <v>6248</v>
      </c>
      <c r="H5200" s="110" t="s">
        <v>6660</v>
      </c>
      <c r="I5200" s="110" t="s">
        <v>29595</v>
      </c>
    </row>
    <row r="5201" spans="1:9" ht="25.2" x14ac:dyDescent="0.3">
      <c r="A5201" s="109" t="s">
        <v>29596</v>
      </c>
      <c r="B5201" s="109" t="s">
        <v>28900</v>
      </c>
      <c r="C5201" s="109" t="s">
        <v>28900</v>
      </c>
      <c r="D5201" s="109" t="s">
        <v>29597</v>
      </c>
      <c r="E5201" s="109" t="s">
        <v>29598</v>
      </c>
      <c r="F5201" s="109" t="s">
        <v>7181</v>
      </c>
      <c r="G5201" s="110" t="s">
        <v>10754</v>
      </c>
      <c r="H5201" s="110" t="s">
        <v>6248</v>
      </c>
      <c r="I5201" s="110" t="s">
        <v>29599</v>
      </c>
    </row>
    <row r="5202" spans="1:9" ht="25.2" x14ac:dyDescent="0.3">
      <c r="A5202" s="109" t="s">
        <v>29600</v>
      </c>
      <c r="B5202" s="109" t="s">
        <v>28900</v>
      </c>
      <c r="C5202" s="109" t="s">
        <v>28900</v>
      </c>
      <c r="D5202" s="109" t="s">
        <v>4414</v>
      </c>
      <c r="E5202" s="109" t="s">
        <v>29601</v>
      </c>
      <c r="F5202" s="109" t="s">
        <v>29602</v>
      </c>
      <c r="G5202" s="110" t="s">
        <v>6248</v>
      </c>
      <c r="H5202" s="110" t="s">
        <v>29603</v>
      </c>
      <c r="I5202" s="110" t="s">
        <v>29604</v>
      </c>
    </row>
    <row r="5203" spans="1:9" ht="25.2" x14ac:dyDescent="0.3">
      <c r="A5203" s="109" t="s">
        <v>6800</v>
      </c>
      <c r="B5203" s="109" t="s">
        <v>28900</v>
      </c>
      <c r="C5203" s="109" t="s">
        <v>28900</v>
      </c>
      <c r="D5203" s="109" t="s">
        <v>29605</v>
      </c>
      <c r="E5203" s="109" t="s">
        <v>5558</v>
      </c>
      <c r="F5203" s="109" t="s">
        <v>29606</v>
      </c>
      <c r="G5203" s="110" t="s">
        <v>6248</v>
      </c>
      <c r="H5203" s="110" t="s">
        <v>29607</v>
      </c>
      <c r="I5203" s="110" t="s">
        <v>29608</v>
      </c>
    </row>
    <row r="5204" spans="1:9" ht="25.2" x14ac:dyDescent="0.3">
      <c r="A5204" s="109" t="s">
        <v>29609</v>
      </c>
      <c r="B5204" s="109" t="s">
        <v>28900</v>
      </c>
      <c r="C5204" s="109" t="s">
        <v>28900</v>
      </c>
      <c r="D5204" s="109" t="s">
        <v>29610</v>
      </c>
      <c r="E5204" s="109" t="s">
        <v>29611</v>
      </c>
      <c r="F5204" s="109" t="s">
        <v>10749</v>
      </c>
      <c r="G5204" s="110" t="s">
        <v>6248</v>
      </c>
      <c r="H5204" s="110" t="s">
        <v>29612</v>
      </c>
      <c r="I5204" s="110" t="s">
        <v>29613</v>
      </c>
    </row>
    <row r="5205" spans="1:9" ht="25.2" x14ac:dyDescent="0.3">
      <c r="A5205" s="109" t="s">
        <v>29614</v>
      </c>
      <c r="B5205" s="109" t="s">
        <v>28900</v>
      </c>
      <c r="C5205" s="109" t="s">
        <v>28900</v>
      </c>
      <c r="D5205" s="109" t="s">
        <v>29615</v>
      </c>
      <c r="E5205" s="109" t="s">
        <v>29616</v>
      </c>
      <c r="F5205" s="109" t="s">
        <v>29617</v>
      </c>
      <c r="G5205" s="110" t="s">
        <v>6248</v>
      </c>
      <c r="H5205" s="110" t="s">
        <v>29618</v>
      </c>
      <c r="I5205" s="110" t="s">
        <v>29619</v>
      </c>
    </row>
    <row r="5206" spans="1:9" ht="37.799999999999997" x14ac:dyDescent="0.3">
      <c r="A5206" s="109" t="s">
        <v>29620</v>
      </c>
      <c r="B5206" s="109" t="s">
        <v>28900</v>
      </c>
      <c r="C5206" s="109" t="s">
        <v>28900</v>
      </c>
      <c r="D5206" s="109" t="s">
        <v>29621</v>
      </c>
      <c r="E5206" s="109" t="s">
        <v>5558</v>
      </c>
      <c r="F5206" s="109" t="s">
        <v>29622</v>
      </c>
      <c r="G5206" s="110" t="s">
        <v>6248</v>
      </c>
      <c r="H5206" s="110" t="s">
        <v>6883</v>
      </c>
      <c r="I5206" s="110" t="s">
        <v>29623</v>
      </c>
    </row>
    <row r="5207" spans="1:9" ht="25.2" x14ac:dyDescent="0.3">
      <c r="A5207" s="109" t="s">
        <v>29624</v>
      </c>
      <c r="B5207" s="109" t="s">
        <v>28900</v>
      </c>
      <c r="C5207" s="109" t="s">
        <v>28900</v>
      </c>
      <c r="D5207" s="109" t="s">
        <v>29625</v>
      </c>
      <c r="E5207" s="109" t="s">
        <v>5558</v>
      </c>
      <c r="F5207" s="109" t="s">
        <v>29626</v>
      </c>
      <c r="G5207" s="110" t="s">
        <v>6248</v>
      </c>
      <c r="H5207" s="110" t="s">
        <v>29627</v>
      </c>
      <c r="I5207" s="110" t="s">
        <v>29628</v>
      </c>
    </row>
    <row r="5208" spans="1:9" ht="25.2" x14ac:dyDescent="0.3">
      <c r="A5208" s="109" t="s">
        <v>29629</v>
      </c>
      <c r="B5208" s="109" t="s">
        <v>28900</v>
      </c>
      <c r="C5208" s="109" t="s">
        <v>28900</v>
      </c>
      <c r="D5208" s="109" t="s">
        <v>4975</v>
      </c>
      <c r="E5208" s="109" t="s">
        <v>7190</v>
      </c>
      <c r="F5208" s="109" t="s">
        <v>7191</v>
      </c>
      <c r="G5208" s="110" t="s">
        <v>6248</v>
      </c>
      <c r="H5208" s="110" t="s">
        <v>29630</v>
      </c>
      <c r="I5208" s="110" t="s">
        <v>29631</v>
      </c>
    </row>
    <row r="5209" spans="1:9" ht="37.799999999999997" x14ac:dyDescent="0.3">
      <c r="A5209" s="109" t="s">
        <v>29632</v>
      </c>
      <c r="B5209" s="109" t="s">
        <v>28900</v>
      </c>
      <c r="C5209" s="109" t="s">
        <v>28900</v>
      </c>
      <c r="D5209" s="109" t="s">
        <v>29633</v>
      </c>
      <c r="E5209" s="109" t="s">
        <v>5558</v>
      </c>
      <c r="F5209" s="109" t="s">
        <v>29634</v>
      </c>
      <c r="G5209" s="110" t="s">
        <v>6248</v>
      </c>
      <c r="H5209" s="110" t="s">
        <v>29635</v>
      </c>
      <c r="I5209" s="110" t="s">
        <v>29636</v>
      </c>
    </row>
    <row r="5210" spans="1:9" ht="25.2" x14ac:dyDescent="0.3">
      <c r="A5210" s="109" t="s">
        <v>29637</v>
      </c>
      <c r="B5210" s="109" t="s">
        <v>28900</v>
      </c>
      <c r="C5210" s="109" t="s">
        <v>28900</v>
      </c>
      <c r="D5210" s="109" t="s">
        <v>29638</v>
      </c>
      <c r="E5210" s="109" t="s">
        <v>5558</v>
      </c>
      <c r="F5210" s="109" t="s">
        <v>29639</v>
      </c>
      <c r="G5210" s="110" t="s">
        <v>6248</v>
      </c>
      <c r="H5210" s="110" t="s">
        <v>14801</v>
      </c>
      <c r="I5210" s="110" t="s">
        <v>29640</v>
      </c>
    </row>
    <row r="5211" spans="1:9" ht="25.2" x14ac:dyDescent="0.3">
      <c r="A5211" s="109" t="s">
        <v>29641</v>
      </c>
      <c r="B5211" s="109" t="s">
        <v>28900</v>
      </c>
      <c r="C5211" s="109" t="s">
        <v>28900</v>
      </c>
      <c r="D5211" s="109" t="s">
        <v>29642</v>
      </c>
      <c r="E5211" s="109" t="s">
        <v>29643</v>
      </c>
      <c r="F5211" s="109" t="s">
        <v>14816</v>
      </c>
      <c r="G5211" s="110" t="s">
        <v>6248</v>
      </c>
      <c r="H5211" s="110" t="s">
        <v>29644</v>
      </c>
      <c r="I5211" s="110" t="s">
        <v>29645</v>
      </c>
    </row>
    <row r="5212" spans="1:9" ht="25.2" x14ac:dyDescent="0.3">
      <c r="A5212" s="109" t="s">
        <v>29646</v>
      </c>
      <c r="B5212" s="109" t="s">
        <v>28900</v>
      </c>
      <c r="C5212" s="109" t="s">
        <v>28900</v>
      </c>
      <c r="D5212" s="109" t="s">
        <v>29647</v>
      </c>
      <c r="E5212" s="109" t="s">
        <v>29648</v>
      </c>
      <c r="F5212" s="109" t="s">
        <v>29649</v>
      </c>
      <c r="G5212" s="110" t="s">
        <v>6248</v>
      </c>
      <c r="H5212" s="110" t="s">
        <v>29650</v>
      </c>
      <c r="I5212" s="110" t="s">
        <v>29651</v>
      </c>
    </row>
    <row r="5213" spans="1:9" ht="25.2" x14ac:dyDescent="0.3">
      <c r="A5213" s="109" t="s">
        <v>29652</v>
      </c>
      <c r="B5213" s="109" t="s">
        <v>28900</v>
      </c>
      <c r="C5213" s="109" t="s">
        <v>28900</v>
      </c>
      <c r="D5213" s="109" t="s">
        <v>29653</v>
      </c>
      <c r="E5213" s="109" t="s">
        <v>5558</v>
      </c>
      <c r="F5213" s="109" t="s">
        <v>29654</v>
      </c>
      <c r="G5213" s="110" t="s">
        <v>6248</v>
      </c>
      <c r="H5213" s="110" t="s">
        <v>29655</v>
      </c>
      <c r="I5213" s="110" t="s">
        <v>29656</v>
      </c>
    </row>
    <row r="5214" spans="1:9" ht="37.799999999999997" x14ac:dyDescent="0.3">
      <c r="A5214" s="109" t="s">
        <v>29657</v>
      </c>
      <c r="B5214" s="109" t="s">
        <v>28900</v>
      </c>
      <c r="C5214" s="109" t="s">
        <v>28900</v>
      </c>
      <c r="D5214" s="109" t="s">
        <v>29658</v>
      </c>
      <c r="E5214" s="109" t="s">
        <v>5558</v>
      </c>
      <c r="F5214" s="109" t="s">
        <v>29659</v>
      </c>
      <c r="G5214" s="110" t="s">
        <v>6248</v>
      </c>
      <c r="H5214" s="110" t="s">
        <v>21925</v>
      </c>
      <c r="I5214" s="110" t="s">
        <v>29660</v>
      </c>
    </row>
    <row r="5215" spans="1:9" ht="25.2" x14ac:dyDescent="0.3">
      <c r="A5215" s="109" t="s">
        <v>29661</v>
      </c>
      <c r="B5215" s="109" t="s">
        <v>28900</v>
      </c>
      <c r="C5215" s="109" t="s">
        <v>28900</v>
      </c>
      <c r="D5215" s="109" t="s">
        <v>29662</v>
      </c>
      <c r="E5215" s="109" t="s">
        <v>29663</v>
      </c>
      <c r="F5215" s="109" t="s">
        <v>5915</v>
      </c>
      <c r="G5215" s="110" t="s">
        <v>6248</v>
      </c>
      <c r="H5215" s="110" t="s">
        <v>29664</v>
      </c>
      <c r="I5215" s="110" t="s">
        <v>29665</v>
      </c>
    </row>
    <row r="5216" spans="1:9" ht="25.2" x14ac:dyDescent="0.3">
      <c r="A5216" s="109" t="s">
        <v>29666</v>
      </c>
      <c r="B5216" s="109" t="s">
        <v>28900</v>
      </c>
      <c r="C5216" s="109" t="s">
        <v>28900</v>
      </c>
      <c r="D5216" s="109" t="s">
        <v>29667</v>
      </c>
      <c r="E5216" s="109" t="s">
        <v>29668</v>
      </c>
      <c r="F5216" s="109" t="s">
        <v>29669</v>
      </c>
      <c r="G5216" s="110" t="s">
        <v>6248</v>
      </c>
      <c r="H5216" s="110" t="s">
        <v>29670</v>
      </c>
      <c r="I5216" s="110" t="s">
        <v>29671</v>
      </c>
    </row>
    <row r="5217" spans="1:9" ht="37.799999999999997" x14ac:dyDescent="0.3">
      <c r="A5217" s="109" t="s">
        <v>29672</v>
      </c>
      <c r="B5217" s="109" t="s">
        <v>28900</v>
      </c>
      <c r="C5217" s="109" t="s">
        <v>28900</v>
      </c>
      <c r="D5217" s="109" t="s">
        <v>29673</v>
      </c>
      <c r="E5217" s="109" t="s">
        <v>5558</v>
      </c>
      <c r="F5217" s="109" t="s">
        <v>29674</v>
      </c>
      <c r="G5217" s="110" t="s">
        <v>6248</v>
      </c>
      <c r="H5217" s="110" t="s">
        <v>29675</v>
      </c>
      <c r="I5217" s="110" t="s">
        <v>29676</v>
      </c>
    </row>
    <row r="5218" spans="1:9" ht="25.2" x14ac:dyDescent="0.3">
      <c r="A5218" s="109" t="s">
        <v>29677</v>
      </c>
      <c r="B5218" s="109" t="s">
        <v>28900</v>
      </c>
      <c r="C5218" s="109" t="s">
        <v>28900</v>
      </c>
      <c r="D5218" s="109" t="s">
        <v>5569</v>
      </c>
      <c r="E5218" s="109" t="s">
        <v>5558</v>
      </c>
      <c r="F5218" s="109" t="s">
        <v>2258</v>
      </c>
      <c r="G5218" s="110" t="s">
        <v>6248</v>
      </c>
      <c r="H5218" s="110" t="s">
        <v>29678</v>
      </c>
      <c r="I5218" s="110" t="s">
        <v>29679</v>
      </c>
    </row>
    <row r="5219" spans="1:9" ht="37.799999999999997" x14ac:dyDescent="0.3">
      <c r="A5219" s="109" t="s">
        <v>29680</v>
      </c>
      <c r="B5219" s="109" t="s">
        <v>28900</v>
      </c>
      <c r="C5219" s="109" t="s">
        <v>28900</v>
      </c>
      <c r="D5219" s="109" t="s">
        <v>29681</v>
      </c>
      <c r="E5219" s="109" t="s">
        <v>5558</v>
      </c>
      <c r="F5219" s="109" t="s">
        <v>29682</v>
      </c>
      <c r="G5219" s="110" t="s">
        <v>6248</v>
      </c>
      <c r="H5219" s="110" t="s">
        <v>8185</v>
      </c>
      <c r="I5219" s="110" t="s">
        <v>29683</v>
      </c>
    </row>
    <row r="5220" spans="1:9" ht="25.2" x14ac:dyDescent="0.3">
      <c r="A5220" s="109" t="s">
        <v>29684</v>
      </c>
      <c r="B5220" s="109" t="s">
        <v>28900</v>
      </c>
      <c r="C5220" s="109" t="s">
        <v>28900</v>
      </c>
      <c r="D5220" s="109" t="s">
        <v>5569</v>
      </c>
      <c r="E5220" s="109" t="s">
        <v>5558</v>
      </c>
      <c r="F5220" s="109" t="s">
        <v>2258</v>
      </c>
      <c r="G5220" s="110" t="s">
        <v>6248</v>
      </c>
      <c r="H5220" s="110" t="s">
        <v>29685</v>
      </c>
      <c r="I5220" s="110" t="s">
        <v>29686</v>
      </c>
    </row>
    <row r="5221" spans="1:9" ht="37.799999999999997" x14ac:dyDescent="0.3">
      <c r="A5221" s="109" t="s">
        <v>29687</v>
      </c>
      <c r="B5221" s="109" t="s">
        <v>28900</v>
      </c>
      <c r="C5221" s="109" t="s">
        <v>28900</v>
      </c>
      <c r="D5221" s="109" t="s">
        <v>29688</v>
      </c>
      <c r="E5221" s="109" t="s">
        <v>5558</v>
      </c>
      <c r="F5221" s="109" t="s">
        <v>29689</v>
      </c>
      <c r="G5221" s="110" t="s">
        <v>6248</v>
      </c>
      <c r="H5221" s="110" t="s">
        <v>29690</v>
      </c>
      <c r="I5221" s="110" t="s">
        <v>29691</v>
      </c>
    </row>
    <row r="5222" spans="1:9" ht="37.799999999999997" x14ac:dyDescent="0.3">
      <c r="A5222" s="109" t="s">
        <v>29692</v>
      </c>
      <c r="B5222" s="109" t="s">
        <v>28900</v>
      </c>
      <c r="C5222" s="109" t="s">
        <v>28900</v>
      </c>
      <c r="D5222" s="109" t="s">
        <v>29693</v>
      </c>
      <c r="E5222" s="109" t="s">
        <v>5558</v>
      </c>
      <c r="F5222" s="109" t="s">
        <v>29694</v>
      </c>
      <c r="G5222" s="110" t="s">
        <v>6248</v>
      </c>
      <c r="H5222" s="110" t="s">
        <v>9638</v>
      </c>
      <c r="I5222" s="110" t="s">
        <v>29695</v>
      </c>
    </row>
    <row r="5223" spans="1:9" ht="25.2" x14ac:dyDescent="0.3">
      <c r="A5223" s="109" t="s">
        <v>29696</v>
      </c>
      <c r="B5223" s="109" t="s">
        <v>28900</v>
      </c>
      <c r="C5223" s="109" t="s">
        <v>28900</v>
      </c>
      <c r="D5223" s="109" t="s">
        <v>29697</v>
      </c>
      <c r="E5223" s="109" t="s">
        <v>5558</v>
      </c>
      <c r="F5223" s="109" t="s">
        <v>29698</v>
      </c>
      <c r="G5223" s="110" t="s">
        <v>6248</v>
      </c>
      <c r="H5223" s="110" t="s">
        <v>6310</v>
      </c>
      <c r="I5223" s="110" t="s">
        <v>29699</v>
      </c>
    </row>
    <row r="5224" spans="1:9" ht="37.799999999999997" x14ac:dyDescent="0.3">
      <c r="A5224" s="109" t="s">
        <v>29700</v>
      </c>
      <c r="B5224" s="109" t="s">
        <v>28900</v>
      </c>
      <c r="C5224" s="109" t="s">
        <v>28900</v>
      </c>
      <c r="D5224" s="109" t="s">
        <v>29701</v>
      </c>
      <c r="E5224" s="109" t="s">
        <v>5558</v>
      </c>
      <c r="F5224" s="109" t="s">
        <v>29702</v>
      </c>
      <c r="G5224" s="110" t="s">
        <v>6248</v>
      </c>
      <c r="H5224" s="110" t="s">
        <v>29703</v>
      </c>
      <c r="I5224" s="110" t="s">
        <v>29704</v>
      </c>
    </row>
    <row r="5225" spans="1:9" ht="37.799999999999997" x14ac:dyDescent="0.3">
      <c r="A5225" s="109" t="s">
        <v>29705</v>
      </c>
      <c r="B5225" s="109" t="s">
        <v>28900</v>
      </c>
      <c r="C5225" s="109" t="s">
        <v>28900</v>
      </c>
      <c r="D5225" s="109" t="s">
        <v>29706</v>
      </c>
      <c r="E5225" s="109" t="s">
        <v>5558</v>
      </c>
      <c r="F5225" s="109" t="s">
        <v>29707</v>
      </c>
      <c r="G5225" s="110" t="s">
        <v>6248</v>
      </c>
      <c r="H5225" s="110" t="s">
        <v>12266</v>
      </c>
      <c r="I5225" s="110" t="s">
        <v>29708</v>
      </c>
    </row>
    <row r="5226" spans="1:9" ht="37.799999999999997" x14ac:dyDescent="0.3">
      <c r="A5226" s="109" t="s">
        <v>29709</v>
      </c>
      <c r="B5226" s="109" t="s">
        <v>28900</v>
      </c>
      <c r="C5226" s="109" t="s">
        <v>28900</v>
      </c>
      <c r="D5226" s="109" t="s">
        <v>29710</v>
      </c>
      <c r="E5226" s="109" t="s">
        <v>5558</v>
      </c>
      <c r="F5226" s="109" t="s">
        <v>29711</v>
      </c>
      <c r="G5226" s="110" t="s">
        <v>6248</v>
      </c>
      <c r="H5226" s="110" t="s">
        <v>29712</v>
      </c>
      <c r="I5226" s="110" t="s">
        <v>29713</v>
      </c>
    </row>
    <row r="5227" spans="1:9" ht="63" x14ac:dyDescent="0.3">
      <c r="A5227" s="109" t="s">
        <v>29714</v>
      </c>
      <c r="B5227" s="109" t="s">
        <v>28900</v>
      </c>
      <c r="C5227" s="109" t="s">
        <v>28900</v>
      </c>
      <c r="D5227" s="109" t="s">
        <v>29715</v>
      </c>
      <c r="E5227" s="109" t="s">
        <v>29715</v>
      </c>
      <c r="F5227" s="109" t="s">
        <v>29716</v>
      </c>
      <c r="G5227" s="110" t="s">
        <v>6248</v>
      </c>
      <c r="H5227" s="110" t="s">
        <v>29717</v>
      </c>
      <c r="I5227" s="110" t="s">
        <v>29718</v>
      </c>
    </row>
    <row r="5228" spans="1:9" ht="75.599999999999994" x14ac:dyDescent="0.3">
      <c r="A5228" s="109" t="s">
        <v>29719</v>
      </c>
      <c r="B5228" s="109" t="s">
        <v>28900</v>
      </c>
      <c r="C5228" s="109" t="s">
        <v>28900</v>
      </c>
      <c r="D5228" s="109" t="s">
        <v>29720</v>
      </c>
      <c r="E5228" s="109" t="s">
        <v>29720</v>
      </c>
      <c r="F5228" s="109" t="s">
        <v>29721</v>
      </c>
      <c r="G5228" s="110" t="s">
        <v>6248</v>
      </c>
      <c r="H5228" s="110" t="s">
        <v>29722</v>
      </c>
      <c r="I5228" s="110" t="s">
        <v>29723</v>
      </c>
    </row>
    <row r="5229" spans="1:9" ht="63" x14ac:dyDescent="0.3">
      <c r="A5229" s="109" t="s">
        <v>29724</v>
      </c>
      <c r="B5229" s="109" t="s">
        <v>28900</v>
      </c>
      <c r="C5229" s="109" t="s">
        <v>28900</v>
      </c>
      <c r="D5229" s="109" t="s">
        <v>29725</v>
      </c>
      <c r="E5229" s="109" t="s">
        <v>29725</v>
      </c>
      <c r="F5229" s="109" t="s">
        <v>29726</v>
      </c>
      <c r="G5229" s="110" t="s">
        <v>6248</v>
      </c>
      <c r="H5229" s="110" t="s">
        <v>29727</v>
      </c>
      <c r="I5229" s="110" t="s">
        <v>29728</v>
      </c>
    </row>
    <row r="5230" spans="1:9" ht="25.2" x14ac:dyDescent="0.3">
      <c r="A5230" s="109" t="s">
        <v>29729</v>
      </c>
      <c r="B5230" s="109" t="s">
        <v>28900</v>
      </c>
      <c r="C5230" s="109" t="s">
        <v>28900</v>
      </c>
      <c r="D5230" s="109" t="s">
        <v>29730</v>
      </c>
      <c r="E5230" s="109" t="s">
        <v>2258</v>
      </c>
      <c r="F5230" s="109" t="s">
        <v>17433</v>
      </c>
      <c r="G5230" s="110" t="s">
        <v>6248</v>
      </c>
      <c r="H5230" s="110" t="s">
        <v>29731</v>
      </c>
      <c r="I5230" s="110" t="s">
        <v>29732</v>
      </c>
    </row>
    <row r="5231" spans="1:9" ht="25.2" x14ac:dyDescent="0.3">
      <c r="A5231" s="109" t="s">
        <v>29733</v>
      </c>
      <c r="B5231" s="109" t="s">
        <v>28900</v>
      </c>
      <c r="C5231" s="109" t="s">
        <v>28900</v>
      </c>
      <c r="D5231" s="109" t="s">
        <v>29734</v>
      </c>
      <c r="E5231" s="109" t="s">
        <v>5558</v>
      </c>
      <c r="F5231" s="109" t="s">
        <v>29735</v>
      </c>
      <c r="G5231" s="110" t="s">
        <v>6248</v>
      </c>
      <c r="H5231" s="110" t="s">
        <v>29736</v>
      </c>
      <c r="I5231" s="110" t="s">
        <v>29737</v>
      </c>
    </row>
    <row r="5232" spans="1:9" ht="75.599999999999994" x14ac:dyDescent="0.3">
      <c r="A5232" s="109" t="s">
        <v>29738</v>
      </c>
      <c r="B5232" s="109" t="s">
        <v>28900</v>
      </c>
      <c r="C5232" s="109" t="s">
        <v>28900</v>
      </c>
      <c r="D5232" s="109" t="s">
        <v>12374</v>
      </c>
      <c r="E5232" s="109" t="s">
        <v>12374</v>
      </c>
      <c r="F5232" s="109" t="s">
        <v>29739</v>
      </c>
      <c r="G5232" s="110" t="s">
        <v>6248</v>
      </c>
      <c r="H5232" s="110" t="s">
        <v>28457</v>
      </c>
      <c r="I5232" s="110" t="s">
        <v>29740</v>
      </c>
    </row>
    <row r="5233" spans="1:9" ht="75.599999999999994" x14ac:dyDescent="0.3">
      <c r="A5233" s="109" t="s">
        <v>29741</v>
      </c>
      <c r="B5233" s="109" t="s">
        <v>28900</v>
      </c>
      <c r="C5233" s="109" t="s">
        <v>28900</v>
      </c>
      <c r="D5233" s="109" t="s">
        <v>9689</v>
      </c>
      <c r="E5233" s="109" t="s">
        <v>9689</v>
      </c>
      <c r="F5233" s="109" t="s">
        <v>29742</v>
      </c>
      <c r="G5233" s="110" t="s">
        <v>6248</v>
      </c>
      <c r="H5233" s="110" t="s">
        <v>29743</v>
      </c>
      <c r="I5233" s="110" t="s">
        <v>29744</v>
      </c>
    </row>
    <row r="5234" spans="1:9" ht="25.2" x14ac:dyDescent="0.3">
      <c r="A5234" s="109" t="s">
        <v>6789</v>
      </c>
      <c r="B5234" s="109" t="s">
        <v>28900</v>
      </c>
      <c r="C5234" s="109" t="s">
        <v>28900</v>
      </c>
      <c r="D5234" s="109" t="s">
        <v>29745</v>
      </c>
      <c r="E5234" s="109" t="s">
        <v>5558</v>
      </c>
      <c r="F5234" s="109" t="s">
        <v>29746</v>
      </c>
      <c r="G5234" s="110" t="s">
        <v>6248</v>
      </c>
      <c r="H5234" s="110" t="s">
        <v>6883</v>
      </c>
      <c r="I5234" s="110" t="s">
        <v>29747</v>
      </c>
    </row>
    <row r="5235" spans="1:9" ht="25.2" x14ac:dyDescent="0.3">
      <c r="A5235" s="109" t="s">
        <v>29748</v>
      </c>
      <c r="B5235" s="109" t="s">
        <v>28900</v>
      </c>
      <c r="C5235" s="109" t="s">
        <v>28900</v>
      </c>
      <c r="D5235" s="109" t="s">
        <v>29749</v>
      </c>
      <c r="E5235" s="109" t="s">
        <v>5558</v>
      </c>
      <c r="F5235" s="109" t="s">
        <v>29750</v>
      </c>
      <c r="G5235" s="110" t="s">
        <v>6248</v>
      </c>
      <c r="H5235" s="110" t="s">
        <v>12208</v>
      </c>
      <c r="I5235" s="110" t="s">
        <v>29751</v>
      </c>
    </row>
    <row r="5236" spans="1:9" ht="37.799999999999997" x14ac:dyDescent="0.3">
      <c r="A5236" s="109" t="s">
        <v>29752</v>
      </c>
      <c r="B5236" s="109" t="s">
        <v>28900</v>
      </c>
      <c r="C5236" s="109" t="s">
        <v>28900</v>
      </c>
      <c r="D5236" s="109" t="s">
        <v>29753</v>
      </c>
      <c r="E5236" s="109" t="s">
        <v>5558</v>
      </c>
      <c r="F5236" s="109" t="s">
        <v>29754</v>
      </c>
      <c r="G5236" s="110" t="s">
        <v>6248</v>
      </c>
      <c r="H5236" s="110" t="s">
        <v>29755</v>
      </c>
      <c r="I5236" s="110" t="s">
        <v>29756</v>
      </c>
    </row>
    <row r="5237" spans="1:9" ht="25.2" x14ac:dyDescent="0.3">
      <c r="A5237" s="109" t="s">
        <v>6810</v>
      </c>
      <c r="B5237" s="109" t="s">
        <v>28900</v>
      </c>
      <c r="C5237" s="109" t="s">
        <v>28900</v>
      </c>
      <c r="D5237" s="109" t="s">
        <v>29757</v>
      </c>
      <c r="E5237" s="109" t="s">
        <v>5558</v>
      </c>
      <c r="F5237" s="109" t="s">
        <v>29758</v>
      </c>
      <c r="G5237" s="110" t="s">
        <v>6248</v>
      </c>
      <c r="H5237" s="110" t="s">
        <v>6310</v>
      </c>
      <c r="I5237" s="110" t="s">
        <v>29759</v>
      </c>
    </row>
    <row r="5238" spans="1:9" ht="25.2" x14ac:dyDescent="0.3">
      <c r="A5238" s="109" t="s">
        <v>6773</v>
      </c>
      <c r="B5238" s="109" t="s">
        <v>28900</v>
      </c>
      <c r="C5238" s="109" t="s">
        <v>28900</v>
      </c>
      <c r="D5238" s="109" t="s">
        <v>29760</v>
      </c>
      <c r="E5238" s="109" t="s">
        <v>29761</v>
      </c>
      <c r="F5238" s="109" t="s">
        <v>29762</v>
      </c>
      <c r="G5238" s="110" t="s">
        <v>6248</v>
      </c>
      <c r="H5238" s="110" t="s">
        <v>7321</v>
      </c>
      <c r="I5238" s="110" t="s">
        <v>29763</v>
      </c>
    </row>
    <row r="5239" spans="1:9" ht="25.2" x14ac:dyDescent="0.3">
      <c r="A5239" s="109" t="s">
        <v>6767</v>
      </c>
      <c r="B5239" s="109" t="s">
        <v>28900</v>
      </c>
      <c r="C5239" s="109" t="s">
        <v>28900</v>
      </c>
      <c r="D5239" s="109" t="s">
        <v>5569</v>
      </c>
      <c r="E5239" s="109" t="s">
        <v>5558</v>
      </c>
      <c r="F5239" s="109" t="s">
        <v>2258</v>
      </c>
      <c r="G5239" s="110" t="s">
        <v>6248</v>
      </c>
      <c r="H5239" s="110" t="s">
        <v>29764</v>
      </c>
      <c r="I5239" s="110" t="s">
        <v>29765</v>
      </c>
    </row>
    <row r="5240" spans="1:9" ht="25.2" x14ac:dyDescent="0.3">
      <c r="A5240" s="109" t="s">
        <v>29766</v>
      </c>
      <c r="B5240" s="109" t="s">
        <v>28900</v>
      </c>
      <c r="C5240" s="109" t="s">
        <v>28900</v>
      </c>
      <c r="D5240" s="109" t="s">
        <v>29767</v>
      </c>
      <c r="E5240" s="109" t="s">
        <v>5558</v>
      </c>
      <c r="F5240" s="109" t="s">
        <v>29768</v>
      </c>
      <c r="G5240" s="110" t="s">
        <v>6248</v>
      </c>
      <c r="H5240" s="110" t="s">
        <v>6689</v>
      </c>
      <c r="I5240" s="110" t="s">
        <v>29769</v>
      </c>
    </row>
    <row r="5241" spans="1:9" ht="37.799999999999997" x14ac:dyDescent="0.3">
      <c r="A5241" s="109" t="s">
        <v>29770</v>
      </c>
      <c r="B5241" s="109" t="s">
        <v>28900</v>
      </c>
      <c r="C5241" s="109" t="s">
        <v>28900</v>
      </c>
      <c r="D5241" s="109" t="s">
        <v>29771</v>
      </c>
      <c r="E5241" s="109" t="s">
        <v>5558</v>
      </c>
      <c r="F5241" s="109" t="s">
        <v>29772</v>
      </c>
      <c r="G5241" s="110" t="s">
        <v>6248</v>
      </c>
      <c r="H5241" s="110" t="s">
        <v>29773</v>
      </c>
      <c r="I5241" s="110" t="s">
        <v>29774</v>
      </c>
    </row>
    <row r="5242" spans="1:9" ht="25.2" x14ac:dyDescent="0.3">
      <c r="A5242" s="109" t="s">
        <v>12455</v>
      </c>
      <c r="B5242" s="109" t="s">
        <v>28900</v>
      </c>
      <c r="C5242" s="109" t="s">
        <v>28900</v>
      </c>
      <c r="D5242" s="109" t="s">
        <v>29775</v>
      </c>
      <c r="E5242" s="109" t="s">
        <v>5558</v>
      </c>
      <c r="F5242" s="109" t="s">
        <v>29776</v>
      </c>
      <c r="G5242" s="110" t="s">
        <v>6248</v>
      </c>
      <c r="H5242" s="110" t="s">
        <v>29777</v>
      </c>
      <c r="I5242" s="110" t="s">
        <v>29778</v>
      </c>
    </row>
    <row r="5243" spans="1:9" ht="25.2" x14ac:dyDescent="0.3">
      <c r="A5243" s="109" t="s">
        <v>29779</v>
      </c>
      <c r="B5243" s="109" t="s">
        <v>28900</v>
      </c>
      <c r="C5243" s="109" t="s">
        <v>28900</v>
      </c>
      <c r="D5243" s="109" t="s">
        <v>29780</v>
      </c>
      <c r="E5243" s="109" t="s">
        <v>5558</v>
      </c>
      <c r="F5243" s="109" t="s">
        <v>29781</v>
      </c>
      <c r="G5243" s="110" t="s">
        <v>6248</v>
      </c>
      <c r="H5243" s="110" t="s">
        <v>29782</v>
      </c>
      <c r="I5243" s="110" t="s">
        <v>29783</v>
      </c>
    </row>
    <row r="5244" spans="1:9" ht="25.2" x14ac:dyDescent="0.3">
      <c r="A5244" s="109" t="s">
        <v>29784</v>
      </c>
      <c r="B5244" s="109" t="s">
        <v>28900</v>
      </c>
      <c r="C5244" s="109" t="s">
        <v>28900</v>
      </c>
      <c r="D5244" s="109" t="s">
        <v>29785</v>
      </c>
      <c r="E5244" s="109" t="s">
        <v>29786</v>
      </c>
      <c r="F5244" s="109" t="s">
        <v>29787</v>
      </c>
      <c r="G5244" s="110" t="s">
        <v>6248</v>
      </c>
      <c r="H5244" s="110" t="s">
        <v>29788</v>
      </c>
      <c r="I5244" s="110" t="s">
        <v>29789</v>
      </c>
    </row>
    <row r="5245" spans="1:9" ht="25.2" x14ac:dyDescent="0.3">
      <c r="A5245" s="109" t="s">
        <v>29790</v>
      </c>
      <c r="B5245" s="109" t="s">
        <v>28900</v>
      </c>
      <c r="C5245" s="109" t="s">
        <v>28900</v>
      </c>
      <c r="D5245" s="109" t="s">
        <v>29791</v>
      </c>
      <c r="E5245" s="109" t="s">
        <v>29792</v>
      </c>
      <c r="F5245" s="109" t="s">
        <v>29793</v>
      </c>
      <c r="G5245" s="110" t="s">
        <v>6248</v>
      </c>
      <c r="H5245" s="110" t="s">
        <v>29794</v>
      </c>
      <c r="I5245" s="110" t="s">
        <v>29795</v>
      </c>
    </row>
    <row r="5246" spans="1:9" ht="25.2" x14ac:dyDescent="0.3">
      <c r="A5246" s="109" t="s">
        <v>29796</v>
      </c>
      <c r="B5246" s="109" t="s">
        <v>28900</v>
      </c>
      <c r="C5246" s="109" t="s">
        <v>28900</v>
      </c>
      <c r="D5246" s="109" t="s">
        <v>29797</v>
      </c>
      <c r="E5246" s="109" t="s">
        <v>5558</v>
      </c>
      <c r="F5246" s="109" t="s">
        <v>29798</v>
      </c>
      <c r="G5246" s="110" t="s">
        <v>6248</v>
      </c>
      <c r="H5246" s="110" t="s">
        <v>29799</v>
      </c>
      <c r="I5246" s="110" t="s">
        <v>29800</v>
      </c>
    </row>
    <row r="5247" spans="1:9" ht="25.2" x14ac:dyDescent="0.3">
      <c r="A5247" s="109" t="s">
        <v>29801</v>
      </c>
      <c r="B5247" s="109" t="s">
        <v>28900</v>
      </c>
      <c r="C5247" s="109" t="s">
        <v>28900</v>
      </c>
      <c r="D5247" s="109" t="s">
        <v>29802</v>
      </c>
      <c r="E5247" s="109" t="s">
        <v>5558</v>
      </c>
      <c r="F5247" s="109" t="s">
        <v>29803</v>
      </c>
      <c r="G5247" s="110" t="s">
        <v>6248</v>
      </c>
      <c r="H5247" s="110" t="s">
        <v>6352</v>
      </c>
      <c r="I5247" s="110" t="s">
        <v>29804</v>
      </c>
    </row>
    <row r="5248" spans="1:9" ht="25.2" x14ac:dyDescent="0.3">
      <c r="A5248" s="109" t="s">
        <v>29805</v>
      </c>
      <c r="B5248" s="109" t="s">
        <v>28900</v>
      </c>
      <c r="C5248" s="109" t="s">
        <v>28900</v>
      </c>
      <c r="D5248" s="109" t="s">
        <v>5569</v>
      </c>
      <c r="E5248" s="109" t="s">
        <v>5558</v>
      </c>
      <c r="F5248" s="109" t="s">
        <v>2258</v>
      </c>
      <c r="G5248" s="110" t="s">
        <v>6248</v>
      </c>
      <c r="H5248" s="110" t="s">
        <v>11207</v>
      </c>
      <c r="I5248" s="110" t="s">
        <v>29806</v>
      </c>
    </row>
    <row r="5249" spans="1:9" ht="25.2" x14ac:dyDescent="0.3">
      <c r="A5249" s="109" t="s">
        <v>29807</v>
      </c>
      <c r="B5249" s="109" t="s">
        <v>28900</v>
      </c>
      <c r="C5249" s="109" t="s">
        <v>28900</v>
      </c>
      <c r="D5249" s="109" t="s">
        <v>29808</v>
      </c>
      <c r="E5249" s="109" t="s">
        <v>5558</v>
      </c>
      <c r="F5249" s="109" t="s">
        <v>29809</v>
      </c>
      <c r="G5249" s="110" t="s">
        <v>6248</v>
      </c>
      <c r="H5249" s="110" t="s">
        <v>24722</v>
      </c>
      <c r="I5249" s="110" t="s">
        <v>29810</v>
      </c>
    </row>
    <row r="5250" spans="1:9" ht="37.799999999999997" x14ac:dyDescent="0.3">
      <c r="A5250" s="109" t="s">
        <v>29811</v>
      </c>
      <c r="B5250" s="109" t="s">
        <v>28900</v>
      </c>
      <c r="C5250" s="109" t="s">
        <v>28900</v>
      </c>
      <c r="D5250" s="109" t="s">
        <v>29812</v>
      </c>
      <c r="E5250" s="109" t="s">
        <v>5558</v>
      </c>
      <c r="F5250" s="109" t="s">
        <v>29813</v>
      </c>
      <c r="G5250" s="110" t="s">
        <v>6248</v>
      </c>
      <c r="H5250" s="110" t="s">
        <v>29814</v>
      </c>
      <c r="I5250" s="110" t="s">
        <v>29815</v>
      </c>
    </row>
    <row r="5251" spans="1:9" ht="25.2" x14ac:dyDescent="0.3">
      <c r="A5251" s="109" t="s">
        <v>29816</v>
      </c>
      <c r="B5251" s="109" t="s">
        <v>28900</v>
      </c>
      <c r="C5251" s="109" t="s">
        <v>28900</v>
      </c>
      <c r="D5251" s="109" t="s">
        <v>5508</v>
      </c>
      <c r="E5251" s="109" t="s">
        <v>5558</v>
      </c>
      <c r="F5251" s="109" t="s">
        <v>29817</v>
      </c>
      <c r="G5251" s="110" t="s">
        <v>6248</v>
      </c>
      <c r="H5251" s="110" t="s">
        <v>7504</v>
      </c>
      <c r="I5251" s="110" t="s">
        <v>29818</v>
      </c>
    </row>
    <row r="5252" spans="1:9" ht="37.799999999999997" x14ac:dyDescent="0.3">
      <c r="A5252" s="109" t="s">
        <v>29819</v>
      </c>
      <c r="B5252" s="109" t="s">
        <v>28900</v>
      </c>
      <c r="C5252" s="109" t="s">
        <v>28900</v>
      </c>
      <c r="D5252" s="109" t="s">
        <v>29820</v>
      </c>
      <c r="E5252" s="109" t="s">
        <v>5558</v>
      </c>
      <c r="F5252" s="109" t="s">
        <v>29821</v>
      </c>
      <c r="G5252" s="110" t="s">
        <v>6248</v>
      </c>
      <c r="H5252" s="110" t="s">
        <v>29822</v>
      </c>
      <c r="I5252" s="110" t="s">
        <v>29823</v>
      </c>
    </row>
    <row r="5253" spans="1:9" ht="25.2" x14ac:dyDescent="0.3">
      <c r="A5253" s="109" t="s">
        <v>29824</v>
      </c>
      <c r="B5253" s="109" t="s">
        <v>28900</v>
      </c>
      <c r="C5253" s="109" t="s">
        <v>28900</v>
      </c>
      <c r="D5253" s="109" t="s">
        <v>29825</v>
      </c>
      <c r="E5253" s="109" t="s">
        <v>5558</v>
      </c>
      <c r="F5253" s="109" t="s">
        <v>29826</v>
      </c>
      <c r="G5253" s="110" t="s">
        <v>6248</v>
      </c>
      <c r="H5253" s="110" t="s">
        <v>7480</v>
      </c>
      <c r="I5253" s="110" t="s">
        <v>29827</v>
      </c>
    </row>
    <row r="5254" spans="1:9" ht="25.2" x14ac:dyDescent="0.3">
      <c r="A5254" s="109" t="s">
        <v>29828</v>
      </c>
      <c r="B5254" s="109" t="s">
        <v>28900</v>
      </c>
      <c r="C5254" s="109" t="s">
        <v>28900</v>
      </c>
      <c r="D5254" s="109" t="s">
        <v>29829</v>
      </c>
      <c r="E5254" s="109" t="s">
        <v>19299</v>
      </c>
      <c r="F5254" s="109" t="s">
        <v>19300</v>
      </c>
      <c r="G5254" s="110" t="s">
        <v>6248</v>
      </c>
      <c r="H5254" s="110" t="s">
        <v>29830</v>
      </c>
      <c r="I5254" s="110" t="s">
        <v>29831</v>
      </c>
    </row>
    <row r="5255" spans="1:9" ht="25.2" x14ac:dyDescent="0.3">
      <c r="A5255" s="109" t="s">
        <v>29832</v>
      </c>
      <c r="B5255" s="109" t="s">
        <v>28900</v>
      </c>
      <c r="C5255" s="109" t="s">
        <v>28900</v>
      </c>
      <c r="D5255" s="109" t="s">
        <v>29833</v>
      </c>
      <c r="E5255" s="109" t="s">
        <v>29834</v>
      </c>
      <c r="F5255" s="109" t="s">
        <v>6768</v>
      </c>
      <c r="G5255" s="110" t="s">
        <v>6248</v>
      </c>
      <c r="H5255" s="110" t="s">
        <v>29835</v>
      </c>
      <c r="I5255" s="110" t="s">
        <v>29836</v>
      </c>
    </row>
    <row r="5256" spans="1:9" ht="25.2" x14ac:dyDescent="0.3">
      <c r="A5256" s="109" t="s">
        <v>29837</v>
      </c>
      <c r="B5256" s="109" t="s">
        <v>28900</v>
      </c>
      <c r="C5256" s="109" t="s">
        <v>28900</v>
      </c>
      <c r="D5256" s="109" t="s">
        <v>29838</v>
      </c>
      <c r="E5256" s="109" t="s">
        <v>5558</v>
      </c>
      <c r="F5256" s="109" t="s">
        <v>29839</v>
      </c>
      <c r="G5256" s="110" t="s">
        <v>6248</v>
      </c>
      <c r="H5256" s="110" t="s">
        <v>8560</v>
      </c>
      <c r="I5256" s="110" t="s">
        <v>29840</v>
      </c>
    </row>
    <row r="5257" spans="1:9" ht="37.799999999999997" x14ac:dyDescent="0.3">
      <c r="A5257" s="109" t="s">
        <v>29841</v>
      </c>
      <c r="B5257" s="109" t="s">
        <v>28900</v>
      </c>
      <c r="C5257" s="109" t="s">
        <v>28900</v>
      </c>
      <c r="D5257" s="109" t="s">
        <v>29842</v>
      </c>
      <c r="E5257" s="109" t="s">
        <v>5558</v>
      </c>
      <c r="F5257" s="109" t="s">
        <v>29843</v>
      </c>
      <c r="G5257" s="110" t="s">
        <v>6248</v>
      </c>
      <c r="H5257" s="110" t="s">
        <v>29844</v>
      </c>
      <c r="I5257" s="110" t="s">
        <v>29845</v>
      </c>
    </row>
    <row r="5258" spans="1:9" ht="25.2" x14ac:dyDescent="0.3">
      <c r="A5258" s="109" t="s">
        <v>29846</v>
      </c>
      <c r="B5258" s="109" t="s">
        <v>28900</v>
      </c>
      <c r="C5258" s="109" t="s">
        <v>28900</v>
      </c>
      <c r="D5258" s="109" t="s">
        <v>5569</v>
      </c>
      <c r="E5258" s="109" t="s">
        <v>5558</v>
      </c>
      <c r="F5258" s="109" t="s">
        <v>2258</v>
      </c>
      <c r="G5258" s="110" t="s">
        <v>6248</v>
      </c>
      <c r="H5258" s="110" t="s">
        <v>29847</v>
      </c>
      <c r="I5258" s="110" t="s">
        <v>29848</v>
      </c>
    </row>
    <row r="5259" spans="1:9" ht="37.799999999999997" x14ac:dyDescent="0.3">
      <c r="A5259" s="109" t="s">
        <v>29849</v>
      </c>
      <c r="B5259" s="109" t="s">
        <v>28900</v>
      </c>
      <c r="C5259" s="109" t="s">
        <v>28900</v>
      </c>
      <c r="D5259" s="109" t="s">
        <v>29850</v>
      </c>
      <c r="E5259" s="109" t="s">
        <v>5558</v>
      </c>
      <c r="F5259" s="109" t="s">
        <v>29851</v>
      </c>
      <c r="G5259" s="110" t="s">
        <v>6248</v>
      </c>
      <c r="H5259" s="110" t="s">
        <v>29852</v>
      </c>
      <c r="I5259" s="110" t="s">
        <v>29853</v>
      </c>
    </row>
    <row r="5260" spans="1:9" ht="25.2" x14ac:dyDescent="0.3">
      <c r="A5260" s="109" t="s">
        <v>29854</v>
      </c>
      <c r="B5260" s="109" t="s">
        <v>28900</v>
      </c>
      <c r="C5260" s="109" t="s">
        <v>28900</v>
      </c>
      <c r="D5260" s="109" t="s">
        <v>29855</v>
      </c>
      <c r="E5260" s="109" t="s">
        <v>29856</v>
      </c>
      <c r="F5260" s="109" t="s">
        <v>29857</v>
      </c>
      <c r="G5260" s="110" t="s">
        <v>6248</v>
      </c>
      <c r="H5260" s="110" t="s">
        <v>29858</v>
      </c>
      <c r="I5260" s="110" t="s">
        <v>29859</v>
      </c>
    </row>
    <row r="5261" spans="1:9" ht="25.2" x14ac:dyDescent="0.3">
      <c r="A5261" s="109" t="s">
        <v>29860</v>
      </c>
      <c r="B5261" s="109" t="s">
        <v>28900</v>
      </c>
      <c r="C5261" s="109" t="s">
        <v>28900</v>
      </c>
      <c r="D5261" s="109" t="s">
        <v>5569</v>
      </c>
      <c r="E5261" s="109" t="s">
        <v>5558</v>
      </c>
      <c r="F5261" s="109" t="s">
        <v>2258</v>
      </c>
      <c r="G5261" s="110" t="s">
        <v>6248</v>
      </c>
      <c r="H5261" s="110" t="s">
        <v>6883</v>
      </c>
      <c r="I5261" s="110" t="s">
        <v>29861</v>
      </c>
    </row>
    <row r="5262" spans="1:9" ht="25.2" x14ac:dyDescent="0.3">
      <c r="A5262" s="109" t="s">
        <v>29862</v>
      </c>
      <c r="B5262" s="109" t="s">
        <v>28900</v>
      </c>
      <c r="C5262" s="109" t="s">
        <v>28900</v>
      </c>
      <c r="D5262" s="109" t="s">
        <v>6255</v>
      </c>
      <c r="E5262" s="109" t="s">
        <v>5558</v>
      </c>
      <c r="F5262" s="109" t="s">
        <v>2258</v>
      </c>
      <c r="G5262" s="110" t="s">
        <v>6248</v>
      </c>
      <c r="H5262" s="110" t="s">
        <v>29863</v>
      </c>
      <c r="I5262" s="110" t="s">
        <v>29864</v>
      </c>
    </row>
    <row r="5263" spans="1:9" ht="25.2" x14ac:dyDescent="0.3">
      <c r="A5263" s="109" t="s">
        <v>29865</v>
      </c>
      <c r="B5263" s="109" t="s">
        <v>28900</v>
      </c>
      <c r="C5263" s="109" t="s">
        <v>28900</v>
      </c>
      <c r="D5263" s="109" t="s">
        <v>6259</v>
      </c>
      <c r="E5263" s="109" t="s">
        <v>5558</v>
      </c>
      <c r="F5263" s="109" t="s">
        <v>2258</v>
      </c>
      <c r="G5263" s="110" t="s">
        <v>6248</v>
      </c>
      <c r="H5263" s="110" t="s">
        <v>29866</v>
      </c>
      <c r="I5263" s="110" t="s">
        <v>29867</v>
      </c>
    </row>
    <row r="5264" spans="1:9" ht="25.2" x14ac:dyDescent="0.3">
      <c r="A5264" s="109" t="s">
        <v>29868</v>
      </c>
      <c r="B5264" s="109" t="s">
        <v>28900</v>
      </c>
      <c r="C5264" s="109" t="s">
        <v>28900</v>
      </c>
      <c r="D5264" s="109" t="s">
        <v>6264</v>
      </c>
      <c r="E5264" s="109" t="s">
        <v>5558</v>
      </c>
      <c r="F5264" s="109" t="s">
        <v>2258</v>
      </c>
      <c r="G5264" s="110" t="s">
        <v>6248</v>
      </c>
      <c r="H5264" s="110" t="s">
        <v>29869</v>
      </c>
      <c r="I5264" s="110" t="s">
        <v>29870</v>
      </c>
    </row>
    <row r="5265" spans="1:9" ht="37.799999999999997" x14ac:dyDescent="0.3">
      <c r="A5265" s="109" t="s">
        <v>29871</v>
      </c>
      <c r="B5265" s="109" t="s">
        <v>28900</v>
      </c>
      <c r="C5265" s="109" t="s">
        <v>28900</v>
      </c>
      <c r="D5265" s="109" t="s">
        <v>29872</v>
      </c>
      <c r="E5265" s="109" t="s">
        <v>29873</v>
      </c>
      <c r="F5265" s="109" t="s">
        <v>10171</v>
      </c>
      <c r="G5265" s="110" t="s">
        <v>6248</v>
      </c>
      <c r="H5265" s="110" t="s">
        <v>29874</v>
      </c>
      <c r="I5265" s="110" t="s">
        <v>29875</v>
      </c>
    </row>
    <row r="5266" spans="1:9" ht="50.4" x14ac:dyDescent="0.3">
      <c r="A5266" s="109" t="s">
        <v>29876</v>
      </c>
      <c r="B5266" s="109" t="s">
        <v>28900</v>
      </c>
      <c r="C5266" s="109" t="s">
        <v>28900</v>
      </c>
      <c r="D5266" s="109" t="s">
        <v>29877</v>
      </c>
      <c r="E5266" s="109" t="s">
        <v>29877</v>
      </c>
      <c r="F5266" s="109" t="s">
        <v>29878</v>
      </c>
      <c r="G5266" s="110" t="s">
        <v>6248</v>
      </c>
      <c r="H5266" s="110" t="s">
        <v>29879</v>
      </c>
      <c r="I5266" s="110" t="s">
        <v>29880</v>
      </c>
    </row>
    <row r="5267" spans="1:9" ht="50.4" x14ac:dyDescent="0.3">
      <c r="A5267" s="109" t="s">
        <v>29881</v>
      </c>
      <c r="B5267" s="109" t="s">
        <v>28900</v>
      </c>
      <c r="C5267" s="109" t="s">
        <v>28900</v>
      </c>
      <c r="D5267" s="109" t="s">
        <v>29882</v>
      </c>
      <c r="E5267" s="109" t="s">
        <v>29882</v>
      </c>
      <c r="F5267" s="109" t="s">
        <v>29883</v>
      </c>
      <c r="G5267" s="110" t="s">
        <v>6248</v>
      </c>
      <c r="H5267" s="110" t="s">
        <v>29884</v>
      </c>
      <c r="I5267" s="110" t="s">
        <v>29885</v>
      </c>
    </row>
    <row r="5268" spans="1:9" ht="50.4" x14ac:dyDescent="0.3">
      <c r="A5268" s="109" t="s">
        <v>29886</v>
      </c>
      <c r="B5268" s="109" t="s">
        <v>28900</v>
      </c>
      <c r="C5268" s="109" t="s">
        <v>28900</v>
      </c>
      <c r="D5268" s="109" t="s">
        <v>29887</v>
      </c>
      <c r="E5268" s="109" t="s">
        <v>29887</v>
      </c>
      <c r="F5268" s="109" t="s">
        <v>29888</v>
      </c>
      <c r="G5268" s="110" t="s">
        <v>6248</v>
      </c>
      <c r="H5268" s="110" t="s">
        <v>28505</v>
      </c>
      <c r="I5268" s="110" t="s">
        <v>29889</v>
      </c>
    </row>
    <row r="5269" spans="1:9" ht="37.799999999999997" x14ac:dyDescent="0.3">
      <c r="A5269" s="109" t="s">
        <v>29890</v>
      </c>
      <c r="B5269" s="109" t="s">
        <v>28900</v>
      </c>
      <c r="C5269" s="109" t="s">
        <v>28900</v>
      </c>
      <c r="D5269" s="109" t="s">
        <v>29891</v>
      </c>
      <c r="E5269" s="109" t="s">
        <v>29891</v>
      </c>
      <c r="F5269" s="109" t="s">
        <v>29892</v>
      </c>
      <c r="G5269" s="110" t="s">
        <v>6248</v>
      </c>
      <c r="H5269" s="110" t="s">
        <v>29893</v>
      </c>
      <c r="I5269" s="110" t="s">
        <v>29894</v>
      </c>
    </row>
    <row r="5270" spans="1:9" ht="50.4" x14ac:dyDescent="0.3">
      <c r="A5270" s="109" t="s">
        <v>29895</v>
      </c>
      <c r="B5270" s="109" t="s">
        <v>28900</v>
      </c>
      <c r="C5270" s="109" t="s">
        <v>28900</v>
      </c>
      <c r="D5270" s="109" t="s">
        <v>29896</v>
      </c>
      <c r="E5270" s="109" t="s">
        <v>29896</v>
      </c>
      <c r="F5270" s="109" t="s">
        <v>29897</v>
      </c>
      <c r="G5270" s="110" t="s">
        <v>6248</v>
      </c>
      <c r="H5270" s="110" t="s">
        <v>29898</v>
      </c>
      <c r="I5270" s="110" t="s">
        <v>29899</v>
      </c>
    </row>
    <row r="5271" spans="1:9" ht="37.799999999999997" x14ac:dyDescent="0.3">
      <c r="A5271" s="109" t="s">
        <v>29900</v>
      </c>
      <c r="B5271" s="109" t="s">
        <v>28900</v>
      </c>
      <c r="C5271" s="109" t="s">
        <v>28900</v>
      </c>
      <c r="D5271" s="109" t="s">
        <v>29901</v>
      </c>
      <c r="E5271" s="109" t="s">
        <v>5558</v>
      </c>
      <c r="F5271" s="109" t="s">
        <v>29902</v>
      </c>
      <c r="G5271" s="110" t="s">
        <v>6248</v>
      </c>
      <c r="H5271" s="110" t="s">
        <v>29903</v>
      </c>
      <c r="I5271" s="110" t="s">
        <v>29904</v>
      </c>
    </row>
    <row r="5272" spans="1:9" ht="37.799999999999997" x14ac:dyDescent="0.3">
      <c r="A5272" s="109" t="s">
        <v>29905</v>
      </c>
      <c r="B5272" s="109" t="s">
        <v>28900</v>
      </c>
      <c r="C5272" s="109" t="s">
        <v>28900</v>
      </c>
      <c r="D5272" s="109" t="s">
        <v>29906</v>
      </c>
      <c r="E5272" s="109" t="s">
        <v>29906</v>
      </c>
      <c r="F5272" s="109" t="s">
        <v>29907</v>
      </c>
      <c r="G5272" s="110" t="s">
        <v>6248</v>
      </c>
      <c r="H5272" s="110" t="s">
        <v>29908</v>
      </c>
      <c r="I5272" s="110" t="s">
        <v>29909</v>
      </c>
    </row>
    <row r="5273" spans="1:9" ht="50.4" x14ac:dyDescent="0.3">
      <c r="A5273" s="109" t="s">
        <v>29910</v>
      </c>
      <c r="B5273" s="109" t="s">
        <v>28900</v>
      </c>
      <c r="C5273" s="109" t="s">
        <v>28900</v>
      </c>
      <c r="D5273" s="109" t="s">
        <v>29911</v>
      </c>
      <c r="E5273" s="109" t="s">
        <v>29911</v>
      </c>
      <c r="F5273" s="109" t="s">
        <v>29912</v>
      </c>
      <c r="G5273" s="110" t="s">
        <v>6248</v>
      </c>
      <c r="H5273" s="110" t="s">
        <v>29913</v>
      </c>
      <c r="I5273" s="110" t="s">
        <v>29914</v>
      </c>
    </row>
    <row r="5274" spans="1:9" ht="50.4" x14ac:dyDescent="0.3">
      <c r="A5274" s="109" t="s">
        <v>29915</v>
      </c>
      <c r="B5274" s="109" t="s">
        <v>28900</v>
      </c>
      <c r="C5274" s="109" t="s">
        <v>28900</v>
      </c>
      <c r="D5274" s="109" t="s">
        <v>29916</v>
      </c>
      <c r="E5274" s="109" t="s">
        <v>29916</v>
      </c>
      <c r="F5274" s="109" t="s">
        <v>29917</v>
      </c>
      <c r="G5274" s="110" t="s">
        <v>6248</v>
      </c>
      <c r="H5274" s="110" t="s">
        <v>29918</v>
      </c>
      <c r="I5274" s="110" t="s">
        <v>29919</v>
      </c>
    </row>
    <row r="5275" spans="1:9" ht="37.799999999999997" x14ac:dyDescent="0.3">
      <c r="A5275" s="109" t="s">
        <v>29920</v>
      </c>
      <c r="B5275" s="109" t="s">
        <v>28900</v>
      </c>
      <c r="C5275" s="109" t="s">
        <v>28900</v>
      </c>
      <c r="D5275" s="109" t="s">
        <v>29921</v>
      </c>
      <c r="E5275" s="109" t="s">
        <v>29921</v>
      </c>
      <c r="F5275" s="109" t="s">
        <v>29922</v>
      </c>
      <c r="G5275" s="110" t="s">
        <v>6248</v>
      </c>
      <c r="H5275" s="110" t="s">
        <v>29923</v>
      </c>
      <c r="I5275" s="110" t="s">
        <v>29924</v>
      </c>
    </row>
    <row r="5276" spans="1:9" ht="37.799999999999997" x14ac:dyDescent="0.3">
      <c r="A5276" s="109" t="s">
        <v>29925</v>
      </c>
      <c r="B5276" s="109" t="s">
        <v>28900</v>
      </c>
      <c r="C5276" s="109" t="s">
        <v>28900</v>
      </c>
      <c r="D5276" s="109" t="s">
        <v>12574</v>
      </c>
      <c r="E5276" s="109" t="s">
        <v>12449</v>
      </c>
      <c r="F5276" s="109" t="s">
        <v>29926</v>
      </c>
      <c r="G5276" s="110" t="s">
        <v>6248</v>
      </c>
      <c r="H5276" s="110" t="s">
        <v>29927</v>
      </c>
      <c r="I5276" s="110" t="s">
        <v>29928</v>
      </c>
    </row>
    <row r="5277" spans="1:9" ht="37.799999999999997" x14ac:dyDescent="0.3">
      <c r="A5277" s="109" t="s">
        <v>29929</v>
      </c>
      <c r="B5277" s="109" t="s">
        <v>28900</v>
      </c>
      <c r="C5277" s="109" t="s">
        <v>28900</v>
      </c>
      <c r="D5277" s="109" t="s">
        <v>29930</v>
      </c>
      <c r="E5277" s="109" t="s">
        <v>29930</v>
      </c>
      <c r="F5277" s="109" t="s">
        <v>29931</v>
      </c>
      <c r="G5277" s="110" t="s">
        <v>6248</v>
      </c>
      <c r="H5277" s="110" t="s">
        <v>29932</v>
      </c>
      <c r="I5277" s="110" t="s">
        <v>29933</v>
      </c>
    </row>
    <row r="5278" spans="1:9" ht="50.4" x14ac:dyDescent="0.3">
      <c r="A5278" s="109" t="s">
        <v>29934</v>
      </c>
      <c r="B5278" s="109" t="s">
        <v>28900</v>
      </c>
      <c r="C5278" s="109" t="s">
        <v>28900</v>
      </c>
      <c r="D5278" s="109" t="s">
        <v>29935</v>
      </c>
      <c r="E5278" s="109" t="s">
        <v>29935</v>
      </c>
      <c r="F5278" s="109" t="s">
        <v>29936</v>
      </c>
      <c r="G5278" s="110" t="s">
        <v>6248</v>
      </c>
      <c r="H5278" s="110" t="s">
        <v>29937</v>
      </c>
      <c r="I5278" s="110" t="s">
        <v>29938</v>
      </c>
    </row>
    <row r="5279" spans="1:9" ht="50.4" x14ac:dyDescent="0.3">
      <c r="A5279" s="109" t="s">
        <v>29939</v>
      </c>
      <c r="B5279" s="109" t="s">
        <v>28900</v>
      </c>
      <c r="C5279" s="109" t="s">
        <v>28900</v>
      </c>
      <c r="D5279" s="109" t="s">
        <v>29940</v>
      </c>
      <c r="E5279" s="109" t="s">
        <v>29940</v>
      </c>
      <c r="F5279" s="109" t="s">
        <v>29941</v>
      </c>
      <c r="G5279" s="110" t="s">
        <v>6248</v>
      </c>
      <c r="H5279" s="110" t="s">
        <v>29942</v>
      </c>
      <c r="I5279" s="110" t="s">
        <v>29943</v>
      </c>
    </row>
    <row r="5280" spans="1:9" ht="37.799999999999997" x14ac:dyDescent="0.3">
      <c r="A5280" s="109" t="s">
        <v>29944</v>
      </c>
      <c r="B5280" s="109" t="s">
        <v>28900</v>
      </c>
      <c r="C5280" s="109" t="s">
        <v>28900</v>
      </c>
      <c r="D5280" s="109" t="s">
        <v>29945</v>
      </c>
      <c r="E5280" s="109" t="s">
        <v>20868</v>
      </c>
      <c r="F5280" s="109" t="s">
        <v>29946</v>
      </c>
      <c r="G5280" s="110" t="s">
        <v>6248</v>
      </c>
      <c r="H5280" s="110" t="s">
        <v>29947</v>
      </c>
      <c r="I5280" s="110" t="s">
        <v>29948</v>
      </c>
    </row>
    <row r="5281" spans="1:9" ht="25.2" x14ac:dyDescent="0.3">
      <c r="A5281" s="109" t="s">
        <v>29949</v>
      </c>
      <c r="B5281" s="109" t="s">
        <v>28900</v>
      </c>
      <c r="C5281" s="109" t="s">
        <v>28900</v>
      </c>
      <c r="D5281" s="109" t="s">
        <v>29950</v>
      </c>
      <c r="E5281" s="109" t="s">
        <v>5558</v>
      </c>
      <c r="F5281" s="109" t="s">
        <v>29951</v>
      </c>
      <c r="G5281" s="110" t="s">
        <v>6248</v>
      </c>
      <c r="H5281" s="110" t="s">
        <v>29952</v>
      </c>
      <c r="I5281" s="110" t="s">
        <v>29953</v>
      </c>
    </row>
    <row r="5282" spans="1:9" ht="37.799999999999997" x14ac:dyDescent="0.3">
      <c r="A5282" s="109" t="s">
        <v>29954</v>
      </c>
      <c r="B5282" s="109" t="s">
        <v>28900</v>
      </c>
      <c r="C5282" s="109" t="s">
        <v>28900</v>
      </c>
      <c r="D5282" s="109" t="s">
        <v>29955</v>
      </c>
      <c r="E5282" s="109" t="s">
        <v>29956</v>
      </c>
      <c r="F5282" s="109" t="s">
        <v>29957</v>
      </c>
      <c r="G5282" s="110" t="s">
        <v>6248</v>
      </c>
      <c r="H5282" s="110" t="s">
        <v>29958</v>
      </c>
      <c r="I5282" s="110" t="s">
        <v>29959</v>
      </c>
    </row>
    <row r="5283" spans="1:9" ht="37.799999999999997" x14ac:dyDescent="0.3">
      <c r="A5283" s="109" t="s">
        <v>29960</v>
      </c>
      <c r="B5283" s="109" t="s">
        <v>28900</v>
      </c>
      <c r="C5283" s="109" t="s">
        <v>28900</v>
      </c>
      <c r="D5283" s="109" t="s">
        <v>20193</v>
      </c>
      <c r="E5283" s="109" t="s">
        <v>29961</v>
      </c>
      <c r="F5283" s="109" t="s">
        <v>29962</v>
      </c>
      <c r="G5283" s="110" t="s">
        <v>6248</v>
      </c>
      <c r="H5283" s="110" t="s">
        <v>29963</v>
      </c>
      <c r="I5283" s="110" t="s">
        <v>29964</v>
      </c>
    </row>
    <row r="5284" spans="1:9" ht="50.4" x14ac:dyDescent="0.3">
      <c r="A5284" s="109" t="s">
        <v>29965</v>
      </c>
      <c r="B5284" s="109" t="s">
        <v>28900</v>
      </c>
      <c r="C5284" s="109" t="s">
        <v>28900</v>
      </c>
      <c r="D5284" s="109" t="s">
        <v>29966</v>
      </c>
      <c r="E5284" s="109" t="s">
        <v>29966</v>
      </c>
      <c r="F5284" s="109" t="s">
        <v>29967</v>
      </c>
      <c r="G5284" s="110" t="s">
        <v>6248</v>
      </c>
      <c r="H5284" s="110" t="s">
        <v>9434</v>
      </c>
      <c r="I5284" s="110" t="s">
        <v>29968</v>
      </c>
    </row>
    <row r="5285" spans="1:9" ht="50.4" x14ac:dyDescent="0.3">
      <c r="A5285" s="109" t="s">
        <v>29969</v>
      </c>
      <c r="B5285" s="109" t="s">
        <v>28900</v>
      </c>
      <c r="C5285" s="109" t="s">
        <v>28900</v>
      </c>
      <c r="D5285" s="109" t="s">
        <v>29970</v>
      </c>
      <c r="E5285" s="109" t="s">
        <v>29970</v>
      </c>
      <c r="F5285" s="109" t="s">
        <v>29971</v>
      </c>
      <c r="G5285" s="110" t="s">
        <v>6248</v>
      </c>
      <c r="H5285" s="110" t="s">
        <v>29972</v>
      </c>
      <c r="I5285" s="110" t="s">
        <v>29973</v>
      </c>
    </row>
    <row r="5286" spans="1:9" ht="25.2" x14ac:dyDescent="0.3">
      <c r="A5286" s="109" t="s">
        <v>29974</v>
      </c>
      <c r="B5286" s="109" t="s">
        <v>28900</v>
      </c>
      <c r="C5286" s="109" t="s">
        <v>28900</v>
      </c>
      <c r="D5286" s="109" t="s">
        <v>29975</v>
      </c>
      <c r="E5286" s="109" t="s">
        <v>5558</v>
      </c>
      <c r="F5286" s="109" t="s">
        <v>29976</v>
      </c>
      <c r="G5286" s="110" t="s">
        <v>6248</v>
      </c>
      <c r="H5286" s="110" t="s">
        <v>7480</v>
      </c>
      <c r="I5286" s="110" t="s">
        <v>29977</v>
      </c>
    </row>
    <row r="5287" spans="1:9" ht="50.4" x14ac:dyDescent="0.3">
      <c r="A5287" s="109" t="s">
        <v>29978</v>
      </c>
      <c r="B5287" s="109" t="s">
        <v>28900</v>
      </c>
      <c r="C5287" s="109" t="s">
        <v>28900</v>
      </c>
      <c r="D5287" s="109" t="s">
        <v>29979</v>
      </c>
      <c r="E5287" s="109" t="s">
        <v>29979</v>
      </c>
      <c r="F5287" s="109" t="s">
        <v>29980</v>
      </c>
      <c r="G5287" s="110" t="s">
        <v>6248</v>
      </c>
      <c r="H5287" s="110" t="s">
        <v>29981</v>
      </c>
      <c r="I5287" s="110" t="s">
        <v>29982</v>
      </c>
    </row>
    <row r="5288" spans="1:9" ht="50.4" x14ac:dyDescent="0.3">
      <c r="A5288" s="109" t="s">
        <v>29983</v>
      </c>
      <c r="B5288" s="109" t="s">
        <v>28900</v>
      </c>
      <c r="C5288" s="109" t="s">
        <v>28900</v>
      </c>
      <c r="D5288" s="109" t="s">
        <v>29984</v>
      </c>
      <c r="E5288" s="109" t="s">
        <v>29984</v>
      </c>
      <c r="F5288" s="109" t="s">
        <v>29985</v>
      </c>
      <c r="G5288" s="110" t="s">
        <v>6248</v>
      </c>
      <c r="H5288" s="110" t="s">
        <v>29986</v>
      </c>
      <c r="I5288" s="110" t="s">
        <v>29987</v>
      </c>
    </row>
    <row r="5289" spans="1:9" ht="50.4" x14ac:dyDescent="0.3">
      <c r="A5289" s="109" t="s">
        <v>29988</v>
      </c>
      <c r="B5289" s="109" t="s">
        <v>28900</v>
      </c>
      <c r="C5289" s="109" t="s">
        <v>28900</v>
      </c>
      <c r="D5289" s="109" t="s">
        <v>29989</v>
      </c>
      <c r="E5289" s="109" t="s">
        <v>29989</v>
      </c>
      <c r="F5289" s="109" t="s">
        <v>29990</v>
      </c>
      <c r="G5289" s="110" t="s">
        <v>6248</v>
      </c>
      <c r="H5289" s="110" t="s">
        <v>29991</v>
      </c>
      <c r="I5289" s="110" t="s">
        <v>29992</v>
      </c>
    </row>
    <row r="5290" spans="1:9" ht="37.799999999999997" x14ac:dyDescent="0.3">
      <c r="A5290" s="109" t="s">
        <v>29993</v>
      </c>
      <c r="B5290" s="109" t="s">
        <v>28900</v>
      </c>
      <c r="C5290" s="109" t="s">
        <v>28900</v>
      </c>
      <c r="D5290" s="109" t="s">
        <v>29994</v>
      </c>
      <c r="E5290" s="109" t="s">
        <v>29994</v>
      </c>
      <c r="F5290" s="109" t="s">
        <v>29995</v>
      </c>
      <c r="G5290" s="110" t="s">
        <v>6248</v>
      </c>
      <c r="H5290" s="110" t="s">
        <v>29996</v>
      </c>
      <c r="I5290" s="110" t="s">
        <v>29997</v>
      </c>
    </row>
    <row r="5291" spans="1:9" ht="37.799999999999997" x14ac:dyDescent="0.3">
      <c r="A5291" s="109" t="s">
        <v>29998</v>
      </c>
      <c r="B5291" s="109" t="s">
        <v>28900</v>
      </c>
      <c r="C5291" s="109" t="s">
        <v>28900</v>
      </c>
      <c r="D5291" s="109" t="s">
        <v>29999</v>
      </c>
      <c r="E5291" s="109" t="s">
        <v>16623</v>
      </c>
      <c r="F5291" s="109" t="s">
        <v>30000</v>
      </c>
      <c r="G5291" s="110" t="s">
        <v>6248</v>
      </c>
      <c r="H5291" s="110" t="s">
        <v>30001</v>
      </c>
      <c r="I5291" s="110" t="s">
        <v>30002</v>
      </c>
    </row>
    <row r="5292" spans="1:9" ht="25.2" x14ac:dyDescent="0.3">
      <c r="A5292" s="109" t="s">
        <v>30003</v>
      </c>
      <c r="B5292" s="109" t="s">
        <v>28900</v>
      </c>
      <c r="C5292" s="109" t="s">
        <v>28900</v>
      </c>
      <c r="D5292" s="109" t="s">
        <v>30004</v>
      </c>
      <c r="E5292" s="109" t="s">
        <v>30005</v>
      </c>
      <c r="F5292" s="109" t="s">
        <v>30006</v>
      </c>
      <c r="G5292" s="110" t="s">
        <v>6248</v>
      </c>
      <c r="H5292" s="110" t="s">
        <v>30007</v>
      </c>
      <c r="I5292" s="110" t="s">
        <v>30008</v>
      </c>
    </row>
    <row r="5293" spans="1:9" ht="63" x14ac:dyDescent="0.3">
      <c r="A5293" s="109" t="s">
        <v>30009</v>
      </c>
      <c r="B5293" s="109" t="s">
        <v>28900</v>
      </c>
      <c r="C5293" s="109" t="s">
        <v>28900</v>
      </c>
      <c r="D5293" s="109" t="s">
        <v>30010</v>
      </c>
      <c r="E5293" s="109" t="s">
        <v>30010</v>
      </c>
      <c r="F5293" s="109" t="s">
        <v>30011</v>
      </c>
      <c r="G5293" s="110" t="s">
        <v>6248</v>
      </c>
      <c r="H5293" s="110" t="s">
        <v>30012</v>
      </c>
      <c r="I5293" s="110" t="s">
        <v>30013</v>
      </c>
    </row>
    <row r="5294" spans="1:9" ht="37.799999999999997" x14ac:dyDescent="0.3">
      <c r="A5294" s="109" t="s">
        <v>30014</v>
      </c>
      <c r="B5294" s="109" t="s">
        <v>28900</v>
      </c>
      <c r="C5294" s="109" t="s">
        <v>28900</v>
      </c>
      <c r="D5294" s="109" t="s">
        <v>30015</v>
      </c>
      <c r="E5294" s="109" t="s">
        <v>5558</v>
      </c>
      <c r="F5294" s="109" t="s">
        <v>30016</v>
      </c>
      <c r="G5294" s="110" t="s">
        <v>6248</v>
      </c>
      <c r="H5294" s="110" t="s">
        <v>30017</v>
      </c>
      <c r="I5294" s="110" t="s">
        <v>30018</v>
      </c>
    </row>
    <row r="5295" spans="1:9" ht="37.799999999999997" x14ac:dyDescent="0.3">
      <c r="A5295" s="109" t="s">
        <v>30019</v>
      </c>
      <c r="B5295" s="109" t="s">
        <v>28900</v>
      </c>
      <c r="C5295" s="109" t="s">
        <v>28900</v>
      </c>
      <c r="D5295" s="109" t="s">
        <v>30020</v>
      </c>
      <c r="E5295" s="109" t="s">
        <v>5558</v>
      </c>
      <c r="F5295" s="109" t="s">
        <v>30021</v>
      </c>
      <c r="G5295" s="110" t="s">
        <v>6248</v>
      </c>
      <c r="H5295" s="110" t="s">
        <v>30022</v>
      </c>
      <c r="I5295" s="110" t="s">
        <v>30023</v>
      </c>
    </row>
    <row r="5296" spans="1:9" ht="50.4" x14ac:dyDescent="0.3">
      <c r="A5296" s="109" t="s">
        <v>30024</v>
      </c>
      <c r="B5296" s="109" t="s">
        <v>28900</v>
      </c>
      <c r="C5296" s="109" t="s">
        <v>28900</v>
      </c>
      <c r="D5296" s="109" t="s">
        <v>30025</v>
      </c>
      <c r="E5296" s="109" t="s">
        <v>30025</v>
      </c>
      <c r="F5296" s="109" t="s">
        <v>30026</v>
      </c>
      <c r="G5296" s="110" t="s">
        <v>6248</v>
      </c>
      <c r="H5296" s="110" t="s">
        <v>10172</v>
      </c>
      <c r="I5296" s="110" t="s">
        <v>30027</v>
      </c>
    </row>
    <row r="5297" spans="1:9" ht="50.4" x14ac:dyDescent="0.3">
      <c r="A5297" s="109" t="s">
        <v>30028</v>
      </c>
      <c r="B5297" s="109" t="s">
        <v>28900</v>
      </c>
      <c r="C5297" s="109" t="s">
        <v>28900</v>
      </c>
      <c r="D5297" s="109" t="s">
        <v>30029</v>
      </c>
      <c r="E5297" s="109" t="s">
        <v>30029</v>
      </c>
      <c r="F5297" s="109" t="s">
        <v>30030</v>
      </c>
      <c r="G5297" s="110" t="s">
        <v>6248</v>
      </c>
      <c r="H5297" s="110" t="s">
        <v>30031</v>
      </c>
      <c r="I5297" s="110" t="s">
        <v>30032</v>
      </c>
    </row>
    <row r="5298" spans="1:9" ht="37.799999999999997" x14ac:dyDescent="0.3">
      <c r="A5298" s="109" t="s">
        <v>30033</v>
      </c>
      <c r="B5298" s="109" t="s">
        <v>28900</v>
      </c>
      <c r="C5298" s="109" t="s">
        <v>28900</v>
      </c>
      <c r="D5298" s="109" t="s">
        <v>30034</v>
      </c>
      <c r="E5298" s="109" t="s">
        <v>30034</v>
      </c>
      <c r="F5298" s="109" t="s">
        <v>30035</v>
      </c>
      <c r="G5298" s="110" t="s">
        <v>6248</v>
      </c>
      <c r="H5298" s="110" t="s">
        <v>6883</v>
      </c>
      <c r="I5298" s="110" t="s">
        <v>30036</v>
      </c>
    </row>
    <row r="5299" spans="1:9" ht="50.4" x14ac:dyDescent="0.3">
      <c r="A5299" s="109" t="s">
        <v>30037</v>
      </c>
      <c r="B5299" s="109" t="s">
        <v>28900</v>
      </c>
      <c r="C5299" s="109" t="s">
        <v>28900</v>
      </c>
      <c r="D5299" s="109" t="s">
        <v>30038</v>
      </c>
      <c r="E5299" s="109" t="s">
        <v>30038</v>
      </c>
      <c r="F5299" s="109" t="s">
        <v>30039</v>
      </c>
      <c r="G5299" s="110" t="s">
        <v>6248</v>
      </c>
      <c r="H5299" s="110" t="s">
        <v>30040</v>
      </c>
      <c r="I5299" s="110" t="s">
        <v>30041</v>
      </c>
    </row>
    <row r="5300" spans="1:9" ht="50.4" x14ac:dyDescent="0.3">
      <c r="A5300" s="109" t="s">
        <v>30042</v>
      </c>
      <c r="B5300" s="109" t="s">
        <v>28900</v>
      </c>
      <c r="C5300" s="109" t="s">
        <v>28900</v>
      </c>
      <c r="D5300" s="109" t="s">
        <v>30043</v>
      </c>
      <c r="E5300" s="109" t="s">
        <v>30043</v>
      </c>
      <c r="F5300" s="109" t="s">
        <v>30044</v>
      </c>
      <c r="G5300" s="110" t="s">
        <v>6248</v>
      </c>
      <c r="H5300" s="110" t="s">
        <v>30045</v>
      </c>
      <c r="I5300" s="110" t="s">
        <v>30046</v>
      </c>
    </row>
    <row r="5301" spans="1:9" ht="50.4" x14ac:dyDescent="0.3">
      <c r="A5301" s="109" t="s">
        <v>30047</v>
      </c>
      <c r="B5301" s="109" t="s">
        <v>28900</v>
      </c>
      <c r="C5301" s="109" t="s">
        <v>28900</v>
      </c>
      <c r="D5301" s="109" t="s">
        <v>30048</v>
      </c>
      <c r="E5301" s="109" t="s">
        <v>30048</v>
      </c>
      <c r="F5301" s="109" t="s">
        <v>30049</v>
      </c>
      <c r="G5301" s="110" t="s">
        <v>6248</v>
      </c>
      <c r="H5301" s="110" t="s">
        <v>30050</v>
      </c>
      <c r="I5301" s="110" t="s">
        <v>30051</v>
      </c>
    </row>
    <row r="5302" spans="1:9" ht="25.2" x14ac:dyDescent="0.3">
      <c r="A5302" s="109" t="s">
        <v>30052</v>
      </c>
      <c r="B5302" s="109" t="s">
        <v>28900</v>
      </c>
      <c r="C5302" s="109" t="s">
        <v>28900</v>
      </c>
      <c r="D5302" s="109" t="s">
        <v>4626</v>
      </c>
      <c r="E5302" s="109" t="s">
        <v>30053</v>
      </c>
      <c r="F5302" s="109" t="s">
        <v>16481</v>
      </c>
      <c r="G5302" s="110" t="s">
        <v>6248</v>
      </c>
      <c r="H5302" s="110" t="s">
        <v>6883</v>
      </c>
      <c r="I5302" s="110" t="s">
        <v>30054</v>
      </c>
    </row>
    <row r="5303" spans="1:9" ht="25.2" x14ac:dyDescent="0.3">
      <c r="A5303" s="109" t="s">
        <v>30055</v>
      </c>
      <c r="B5303" s="109" t="s">
        <v>28900</v>
      </c>
      <c r="C5303" s="109" t="s">
        <v>28900</v>
      </c>
      <c r="D5303" s="109" t="s">
        <v>4624</v>
      </c>
      <c r="E5303" s="109" t="s">
        <v>30056</v>
      </c>
      <c r="F5303" s="109" t="s">
        <v>16481</v>
      </c>
      <c r="G5303" s="110" t="s">
        <v>6248</v>
      </c>
      <c r="H5303" s="110" t="s">
        <v>30057</v>
      </c>
      <c r="I5303" s="110" t="s">
        <v>30058</v>
      </c>
    </row>
    <row r="5304" spans="1:9" ht="50.4" x14ac:dyDescent="0.3">
      <c r="A5304" s="109" t="s">
        <v>30059</v>
      </c>
      <c r="B5304" s="109" t="s">
        <v>28900</v>
      </c>
      <c r="C5304" s="109" t="s">
        <v>28900</v>
      </c>
      <c r="D5304" s="109" t="s">
        <v>13602</v>
      </c>
      <c r="E5304" s="109" t="s">
        <v>13602</v>
      </c>
      <c r="F5304" s="109" t="s">
        <v>30060</v>
      </c>
      <c r="G5304" s="110" t="s">
        <v>6248</v>
      </c>
      <c r="H5304" s="110" t="s">
        <v>30061</v>
      </c>
      <c r="I5304" s="110" t="s">
        <v>30062</v>
      </c>
    </row>
    <row r="5305" spans="1:9" ht="50.4" x14ac:dyDescent="0.3">
      <c r="A5305" s="109" t="s">
        <v>30063</v>
      </c>
      <c r="B5305" s="109" t="s">
        <v>28900</v>
      </c>
      <c r="C5305" s="109" t="s">
        <v>28900</v>
      </c>
      <c r="D5305" s="109" t="s">
        <v>30064</v>
      </c>
      <c r="E5305" s="109" t="s">
        <v>30064</v>
      </c>
      <c r="F5305" s="109" t="s">
        <v>30065</v>
      </c>
      <c r="G5305" s="110" t="s">
        <v>6248</v>
      </c>
      <c r="H5305" s="110" t="s">
        <v>30066</v>
      </c>
      <c r="I5305" s="110" t="s">
        <v>30067</v>
      </c>
    </row>
    <row r="5306" spans="1:9" ht="50.4" x14ac:dyDescent="0.3">
      <c r="A5306" s="109" t="s">
        <v>30068</v>
      </c>
      <c r="B5306" s="109" t="s">
        <v>28900</v>
      </c>
      <c r="C5306" s="109" t="s">
        <v>28900</v>
      </c>
      <c r="D5306" s="109" t="s">
        <v>30069</v>
      </c>
      <c r="E5306" s="109" t="s">
        <v>30069</v>
      </c>
      <c r="F5306" s="109" t="s">
        <v>30070</v>
      </c>
      <c r="G5306" s="110" t="s">
        <v>6248</v>
      </c>
      <c r="H5306" s="110" t="s">
        <v>30071</v>
      </c>
      <c r="I5306" s="110" t="s">
        <v>30072</v>
      </c>
    </row>
    <row r="5307" spans="1:9" ht="50.4" x14ac:dyDescent="0.3">
      <c r="A5307" s="109" t="s">
        <v>30073</v>
      </c>
      <c r="B5307" s="109" t="s">
        <v>28900</v>
      </c>
      <c r="C5307" s="109" t="s">
        <v>28900</v>
      </c>
      <c r="D5307" s="109" t="s">
        <v>30074</v>
      </c>
      <c r="E5307" s="109" t="s">
        <v>30074</v>
      </c>
      <c r="F5307" s="109" t="s">
        <v>30075</v>
      </c>
      <c r="G5307" s="110" t="s">
        <v>6248</v>
      </c>
      <c r="H5307" s="110" t="s">
        <v>30076</v>
      </c>
      <c r="I5307" s="110" t="s">
        <v>30077</v>
      </c>
    </row>
    <row r="5308" spans="1:9" ht="25.2" x14ac:dyDescent="0.3">
      <c r="A5308" s="109" t="s">
        <v>30078</v>
      </c>
      <c r="B5308" s="109" t="s">
        <v>28900</v>
      </c>
      <c r="C5308" s="109" t="s">
        <v>28900</v>
      </c>
      <c r="D5308" s="109" t="s">
        <v>4487</v>
      </c>
      <c r="E5308" s="109" t="s">
        <v>5558</v>
      </c>
      <c r="F5308" s="109" t="s">
        <v>30079</v>
      </c>
      <c r="G5308" s="110" t="s">
        <v>6248</v>
      </c>
      <c r="H5308" s="110" t="s">
        <v>30080</v>
      </c>
      <c r="I5308" s="110" t="s">
        <v>30081</v>
      </c>
    </row>
    <row r="5309" spans="1:9" ht="50.4" x14ac:dyDescent="0.3">
      <c r="A5309" s="109" t="s">
        <v>30082</v>
      </c>
      <c r="B5309" s="109" t="s">
        <v>28900</v>
      </c>
      <c r="C5309" s="109" t="s">
        <v>28900</v>
      </c>
      <c r="D5309" s="109" t="s">
        <v>30083</v>
      </c>
      <c r="E5309" s="109" t="s">
        <v>30083</v>
      </c>
      <c r="F5309" s="109" t="s">
        <v>30084</v>
      </c>
      <c r="G5309" s="110" t="s">
        <v>6248</v>
      </c>
      <c r="H5309" s="110" t="s">
        <v>9434</v>
      </c>
      <c r="I5309" s="110" t="s">
        <v>30085</v>
      </c>
    </row>
    <row r="5310" spans="1:9" ht="50.4" x14ac:dyDescent="0.3">
      <c r="A5310" s="109" t="s">
        <v>30086</v>
      </c>
      <c r="B5310" s="109" t="s">
        <v>28900</v>
      </c>
      <c r="C5310" s="109" t="s">
        <v>28900</v>
      </c>
      <c r="D5310" s="109" t="s">
        <v>30087</v>
      </c>
      <c r="E5310" s="109" t="s">
        <v>30087</v>
      </c>
      <c r="F5310" s="109" t="s">
        <v>30088</v>
      </c>
      <c r="G5310" s="110" t="s">
        <v>6248</v>
      </c>
      <c r="H5310" s="110" t="s">
        <v>12123</v>
      </c>
      <c r="I5310" s="110" t="s">
        <v>30089</v>
      </c>
    </row>
    <row r="5311" spans="1:9" ht="50.4" x14ac:dyDescent="0.3">
      <c r="A5311" s="109" t="s">
        <v>30090</v>
      </c>
      <c r="B5311" s="109" t="s">
        <v>28900</v>
      </c>
      <c r="C5311" s="109" t="s">
        <v>28900</v>
      </c>
      <c r="D5311" s="109" t="s">
        <v>6058</v>
      </c>
      <c r="E5311" s="109" t="s">
        <v>6058</v>
      </c>
      <c r="F5311" s="109" t="s">
        <v>30091</v>
      </c>
      <c r="G5311" s="110" t="s">
        <v>6248</v>
      </c>
      <c r="H5311" s="110" t="s">
        <v>30092</v>
      </c>
      <c r="I5311" s="110" t="s">
        <v>30093</v>
      </c>
    </row>
    <row r="5312" spans="1:9" ht="37.799999999999997" x14ac:dyDescent="0.3">
      <c r="A5312" s="109" t="s">
        <v>30094</v>
      </c>
      <c r="B5312" s="109" t="s">
        <v>28900</v>
      </c>
      <c r="C5312" s="109" t="s">
        <v>28900</v>
      </c>
      <c r="D5312" s="109" t="s">
        <v>30095</v>
      </c>
      <c r="E5312" s="109" t="s">
        <v>30095</v>
      </c>
      <c r="F5312" s="109" t="s">
        <v>30096</v>
      </c>
      <c r="G5312" s="110" t="s">
        <v>6248</v>
      </c>
      <c r="H5312" s="110" t="s">
        <v>30097</v>
      </c>
      <c r="I5312" s="110" t="s">
        <v>30098</v>
      </c>
    </row>
    <row r="5313" spans="1:9" ht="50.4" x14ac:dyDescent="0.3">
      <c r="A5313" s="109" t="s">
        <v>30099</v>
      </c>
      <c r="B5313" s="109" t="s">
        <v>28900</v>
      </c>
      <c r="C5313" s="109" t="s">
        <v>28900</v>
      </c>
      <c r="D5313" s="109" t="s">
        <v>30100</v>
      </c>
      <c r="E5313" s="109" t="s">
        <v>30100</v>
      </c>
      <c r="F5313" s="109" t="s">
        <v>30101</v>
      </c>
      <c r="G5313" s="110" t="s">
        <v>6248</v>
      </c>
      <c r="H5313" s="110" t="s">
        <v>30102</v>
      </c>
      <c r="I5313" s="110" t="s">
        <v>30103</v>
      </c>
    </row>
    <row r="5314" spans="1:9" ht="50.4" x14ac:dyDescent="0.3">
      <c r="A5314" s="109" t="s">
        <v>30104</v>
      </c>
      <c r="B5314" s="109" t="s">
        <v>28900</v>
      </c>
      <c r="C5314" s="109" t="s">
        <v>28900</v>
      </c>
      <c r="D5314" s="109" t="s">
        <v>30105</v>
      </c>
      <c r="E5314" s="109" t="s">
        <v>30105</v>
      </c>
      <c r="F5314" s="109" t="s">
        <v>30106</v>
      </c>
      <c r="G5314" s="110" t="s">
        <v>6248</v>
      </c>
      <c r="H5314" s="110" t="s">
        <v>30107</v>
      </c>
      <c r="I5314" s="110" t="s">
        <v>30108</v>
      </c>
    </row>
    <row r="5315" spans="1:9" ht="50.4" x14ac:dyDescent="0.3">
      <c r="A5315" s="109" t="s">
        <v>30109</v>
      </c>
      <c r="B5315" s="109" t="s">
        <v>28900</v>
      </c>
      <c r="C5315" s="109" t="s">
        <v>28900</v>
      </c>
      <c r="D5315" s="109" t="s">
        <v>30110</v>
      </c>
      <c r="E5315" s="109" t="s">
        <v>30105</v>
      </c>
      <c r="F5315" s="109" t="s">
        <v>30111</v>
      </c>
      <c r="G5315" s="110" t="s">
        <v>30107</v>
      </c>
      <c r="H5315" s="110" t="s">
        <v>6248</v>
      </c>
      <c r="I5315" s="110" t="s">
        <v>30103</v>
      </c>
    </row>
    <row r="5316" spans="1:9" ht="25.2" x14ac:dyDescent="0.3">
      <c r="A5316" s="109" t="s">
        <v>30112</v>
      </c>
      <c r="B5316" s="109" t="s">
        <v>28900</v>
      </c>
      <c r="C5316" s="109" t="s">
        <v>28900</v>
      </c>
      <c r="D5316" s="109" t="s">
        <v>30113</v>
      </c>
      <c r="E5316" s="109" t="s">
        <v>5558</v>
      </c>
      <c r="F5316" s="109" t="s">
        <v>30114</v>
      </c>
      <c r="G5316" s="110" t="s">
        <v>6248</v>
      </c>
      <c r="H5316" s="110" t="s">
        <v>11146</v>
      </c>
      <c r="I5316" s="110" t="s">
        <v>30115</v>
      </c>
    </row>
    <row r="5317" spans="1:9" ht="25.2" x14ac:dyDescent="0.3">
      <c r="A5317" s="109" t="s">
        <v>30116</v>
      </c>
      <c r="B5317" s="109" t="s">
        <v>28900</v>
      </c>
      <c r="C5317" s="109" t="s">
        <v>28900</v>
      </c>
      <c r="D5317" s="109" t="s">
        <v>30117</v>
      </c>
      <c r="E5317" s="109" t="s">
        <v>30118</v>
      </c>
      <c r="F5317" s="109" t="s">
        <v>30119</v>
      </c>
      <c r="G5317" s="110" t="s">
        <v>6248</v>
      </c>
      <c r="H5317" s="110" t="s">
        <v>30120</v>
      </c>
      <c r="I5317" s="110" t="s">
        <v>30121</v>
      </c>
    </row>
    <row r="5318" spans="1:9" ht="25.2" x14ac:dyDescent="0.3">
      <c r="A5318" s="109" t="s">
        <v>30122</v>
      </c>
      <c r="B5318" s="109" t="s">
        <v>28900</v>
      </c>
      <c r="C5318" s="109" t="s">
        <v>28900</v>
      </c>
      <c r="D5318" s="109" t="s">
        <v>4609</v>
      </c>
      <c r="E5318" s="109" t="s">
        <v>30123</v>
      </c>
      <c r="F5318" s="109" t="s">
        <v>17150</v>
      </c>
      <c r="G5318" s="110" t="s">
        <v>6248</v>
      </c>
      <c r="H5318" s="110" t="s">
        <v>18570</v>
      </c>
      <c r="I5318" s="110" t="s">
        <v>30124</v>
      </c>
    </row>
    <row r="5319" spans="1:9" ht="25.2" x14ac:dyDescent="0.3">
      <c r="A5319" s="109" t="s">
        <v>30125</v>
      </c>
      <c r="B5319" s="109" t="s">
        <v>28900</v>
      </c>
      <c r="C5319" s="109" t="s">
        <v>28900</v>
      </c>
      <c r="D5319" s="109" t="s">
        <v>30126</v>
      </c>
      <c r="E5319" s="109" t="s">
        <v>5558</v>
      </c>
      <c r="F5319" s="109" t="s">
        <v>30127</v>
      </c>
      <c r="G5319" s="110" t="s">
        <v>6248</v>
      </c>
      <c r="H5319" s="110" t="s">
        <v>30128</v>
      </c>
      <c r="I5319" s="110" t="s">
        <v>30129</v>
      </c>
    </row>
    <row r="5320" spans="1:9" ht="25.2" x14ac:dyDescent="0.3">
      <c r="A5320" s="109" t="s">
        <v>30130</v>
      </c>
      <c r="B5320" s="109" t="s">
        <v>28900</v>
      </c>
      <c r="C5320" s="109" t="s">
        <v>28900</v>
      </c>
      <c r="D5320" s="109" t="s">
        <v>30131</v>
      </c>
      <c r="E5320" s="109" t="s">
        <v>5558</v>
      </c>
      <c r="F5320" s="109" t="s">
        <v>30132</v>
      </c>
      <c r="G5320" s="110" t="s">
        <v>6248</v>
      </c>
      <c r="H5320" s="110" t="s">
        <v>30133</v>
      </c>
      <c r="I5320" s="110" t="s">
        <v>30134</v>
      </c>
    </row>
    <row r="5321" spans="1:9" ht="25.2" x14ac:dyDescent="0.3">
      <c r="A5321" s="109" t="s">
        <v>30135</v>
      </c>
      <c r="B5321" s="109" t="s">
        <v>28900</v>
      </c>
      <c r="C5321" s="109" t="s">
        <v>28900</v>
      </c>
      <c r="D5321" s="109" t="s">
        <v>30136</v>
      </c>
      <c r="E5321" s="109" t="s">
        <v>5558</v>
      </c>
      <c r="F5321" s="109" t="s">
        <v>30137</v>
      </c>
      <c r="G5321" s="110" t="s">
        <v>6248</v>
      </c>
      <c r="H5321" s="110" t="s">
        <v>30138</v>
      </c>
      <c r="I5321" s="110" t="s">
        <v>30139</v>
      </c>
    </row>
    <row r="5322" spans="1:9" ht="37.799999999999997" x14ac:dyDescent="0.3">
      <c r="A5322" s="109" t="s">
        <v>30140</v>
      </c>
      <c r="B5322" s="109" t="s">
        <v>28900</v>
      </c>
      <c r="C5322" s="109" t="s">
        <v>28900</v>
      </c>
      <c r="D5322" s="109" t="s">
        <v>30141</v>
      </c>
      <c r="E5322" s="109" t="s">
        <v>5558</v>
      </c>
      <c r="F5322" s="109" t="s">
        <v>4485</v>
      </c>
      <c r="G5322" s="110" t="s">
        <v>6248</v>
      </c>
      <c r="H5322" s="110" t="s">
        <v>15142</v>
      </c>
      <c r="I5322" s="110" t="s">
        <v>30142</v>
      </c>
    </row>
    <row r="5323" spans="1:9" ht="37.799999999999997" x14ac:dyDescent="0.3">
      <c r="A5323" s="109" t="s">
        <v>30143</v>
      </c>
      <c r="B5323" s="109" t="s">
        <v>28900</v>
      </c>
      <c r="C5323" s="109" t="s">
        <v>28900</v>
      </c>
      <c r="D5323" s="109" t="s">
        <v>30144</v>
      </c>
      <c r="E5323" s="109" t="s">
        <v>5558</v>
      </c>
      <c r="F5323" s="109" t="s">
        <v>30145</v>
      </c>
      <c r="G5323" s="110" t="s">
        <v>6248</v>
      </c>
      <c r="H5323" s="110" t="s">
        <v>30146</v>
      </c>
      <c r="I5323" s="110" t="s">
        <v>30147</v>
      </c>
    </row>
    <row r="5324" spans="1:9" ht="25.2" x14ac:dyDescent="0.3">
      <c r="A5324" s="109" t="s">
        <v>30148</v>
      </c>
      <c r="B5324" s="109" t="s">
        <v>28900</v>
      </c>
      <c r="C5324" s="109" t="s">
        <v>28900</v>
      </c>
      <c r="D5324" s="109" t="s">
        <v>30149</v>
      </c>
      <c r="E5324" s="109" t="s">
        <v>5558</v>
      </c>
      <c r="F5324" s="109" t="s">
        <v>30150</v>
      </c>
      <c r="G5324" s="110" t="s">
        <v>6248</v>
      </c>
      <c r="H5324" s="110" t="s">
        <v>8109</v>
      </c>
      <c r="I5324" s="110" t="s">
        <v>30151</v>
      </c>
    </row>
    <row r="5325" spans="1:9" ht="25.2" x14ac:dyDescent="0.3">
      <c r="A5325" s="109" t="s">
        <v>30152</v>
      </c>
      <c r="B5325" s="109" t="s">
        <v>28900</v>
      </c>
      <c r="C5325" s="109" t="s">
        <v>28900</v>
      </c>
      <c r="D5325" s="109" t="s">
        <v>30153</v>
      </c>
      <c r="E5325" s="109" t="s">
        <v>5558</v>
      </c>
      <c r="F5325" s="109" t="s">
        <v>30154</v>
      </c>
      <c r="G5325" s="110" t="s">
        <v>6248</v>
      </c>
      <c r="H5325" s="110" t="s">
        <v>8109</v>
      </c>
      <c r="I5325" s="110" t="s">
        <v>30155</v>
      </c>
    </row>
    <row r="5326" spans="1:9" ht="25.2" x14ac:dyDescent="0.3">
      <c r="A5326" s="109" t="s">
        <v>30156</v>
      </c>
      <c r="B5326" s="109" t="s">
        <v>28900</v>
      </c>
      <c r="C5326" s="109" t="s">
        <v>28900</v>
      </c>
      <c r="D5326" s="109" t="s">
        <v>30157</v>
      </c>
      <c r="E5326" s="109" t="s">
        <v>5558</v>
      </c>
      <c r="F5326" s="109" t="s">
        <v>30158</v>
      </c>
      <c r="G5326" s="110" t="s">
        <v>6248</v>
      </c>
      <c r="H5326" s="110" t="s">
        <v>30159</v>
      </c>
      <c r="I5326" s="110" t="s">
        <v>30160</v>
      </c>
    </row>
    <row r="5327" spans="1:9" ht="25.2" x14ac:dyDescent="0.3">
      <c r="A5327" s="109" t="s">
        <v>30161</v>
      </c>
      <c r="B5327" s="109" t="s">
        <v>28900</v>
      </c>
      <c r="C5327" s="109" t="s">
        <v>28900</v>
      </c>
      <c r="D5327" s="109" t="s">
        <v>30162</v>
      </c>
      <c r="E5327" s="109" t="s">
        <v>5558</v>
      </c>
      <c r="F5327" s="109" t="s">
        <v>30163</v>
      </c>
      <c r="G5327" s="110" t="s">
        <v>6248</v>
      </c>
      <c r="H5327" s="110" t="s">
        <v>7321</v>
      </c>
      <c r="I5327" s="110" t="s">
        <v>30164</v>
      </c>
    </row>
    <row r="5328" spans="1:9" ht="25.2" x14ac:dyDescent="0.3">
      <c r="A5328" s="109" t="s">
        <v>30165</v>
      </c>
      <c r="B5328" s="109" t="s">
        <v>28900</v>
      </c>
      <c r="C5328" s="109" t="s">
        <v>28900</v>
      </c>
      <c r="D5328" s="109" t="s">
        <v>30166</v>
      </c>
      <c r="E5328" s="109" t="s">
        <v>5558</v>
      </c>
      <c r="F5328" s="109" t="s">
        <v>4703</v>
      </c>
      <c r="G5328" s="110" t="s">
        <v>6248</v>
      </c>
      <c r="H5328" s="110" t="s">
        <v>30167</v>
      </c>
      <c r="I5328" s="110" t="s">
        <v>30168</v>
      </c>
    </row>
    <row r="5329" spans="1:9" ht="25.2" x14ac:dyDescent="0.3">
      <c r="A5329" s="109" t="s">
        <v>30169</v>
      </c>
      <c r="B5329" s="109" t="s">
        <v>28900</v>
      </c>
      <c r="C5329" s="109" t="s">
        <v>28900</v>
      </c>
      <c r="D5329" s="109" t="s">
        <v>30170</v>
      </c>
      <c r="E5329" s="109" t="s">
        <v>5558</v>
      </c>
      <c r="F5329" s="109" t="s">
        <v>30171</v>
      </c>
      <c r="G5329" s="110" t="s">
        <v>6248</v>
      </c>
      <c r="H5329" s="110" t="s">
        <v>30172</v>
      </c>
      <c r="I5329" s="110" t="s">
        <v>30173</v>
      </c>
    </row>
    <row r="5330" spans="1:9" ht="25.2" x14ac:dyDescent="0.3">
      <c r="A5330" s="109" t="s">
        <v>30174</v>
      </c>
      <c r="B5330" s="109" t="s">
        <v>28900</v>
      </c>
      <c r="C5330" s="109" t="s">
        <v>28900</v>
      </c>
      <c r="D5330" s="109" t="s">
        <v>30175</v>
      </c>
      <c r="E5330" s="109" t="s">
        <v>5558</v>
      </c>
      <c r="F5330" s="109" t="s">
        <v>30176</v>
      </c>
      <c r="G5330" s="110" t="s">
        <v>6248</v>
      </c>
      <c r="H5330" s="110" t="s">
        <v>15598</v>
      </c>
      <c r="I5330" s="110" t="s">
        <v>30177</v>
      </c>
    </row>
    <row r="5331" spans="1:9" ht="37.799999999999997" x14ac:dyDescent="0.3">
      <c r="A5331" s="109" t="s">
        <v>30178</v>
      </c>
      <c r="B5331" s="109" t="s">
        <v>28900</v>
      </c>
      <c r="C5331" s="109" t="s">
        <v>28900</v>
      </c>
      <c r="D5331" s="109" t="s">
        <v>30179</v>
      </c>
      <c r="E5331" s="109" t="s">
        <v>5558</v>
      </c>
      <c r="F5331" s="109" t="s">
        <v>30180</v>
      </c>
      <c r="G5331" s="110" t="s">
        <v>6248</v>
      </c>
      <c r="H5331" s="110" t="s">
        <v>30181</v>
      </c>
      <c r="I5331" s="110" t="s">
        <v>30182</v>
      </c>
    </row>
    <row r="5332" spans="1:9" ht="25.2" x14ac:dyDescent="0.3">
      <c r="A5332" s="109" t="s">
        <v>30183</v>
      </c>
      <c r="B5332" s="109" t="s">
        <v>28900</v>
      </c>
      <c r="C5332" s="109" t="s">
        <v>28900</v>
      </c>
      <c r="D5332" s="109" t="s">
        <v>4619</v>
      </c>
      <c r="E5332" s="109" t="s">
        <v>5558</v>
      </c>
      <c r="F5332" s="109" t="s">
        <v>30184</v>
      </c>
      <c r="G5332" s="110" t="s">
        <v>6248</v>
      </c>
      <c r="H5332" s="110" t="s">
        <v>30185</v>
      </c>
      <c r="I5332" s="110" t="s">
        <v>30186</v>
      </c>
    </row>
    <row r="5333" spans="1:9" ht="25.2" x14ac:dyDescent="0.3">
      <c r="A5333" s="109" t="s">
        <v>30187</v>
      </c>
      <c r="B5333" s="109" t="s">
        <v>28900</v>
      </c>
      <c r="C5333" s="109" t="s">
        <v>28900</v>
      </c>
      <c r="D5333" s="109" t="s">
        <v>30188</v>
      </c>
      <c r="E5333" s="109" t="s">
        <v>5558</v>
      </c>
      <c r="F5333" s="109" t="s">
        <v>30189</v>
      </c>
      <c r="G5333" s="110" t="s">
        <v>6248</v>
      </c>
      <c r="H5333" s="110" t="s">
        <v>9261</v>
      </c>
      <c r="I5333" s="110" t="s">
        <v>30190</v>
      </c>
    </row>
    <row r="5334" spans="1:9" ht="37.799999999999997" x14ac:dyDescent="0.3">
      <c r="A5334" s="109" t="s">
        <v>30191</v>
      </c>
      <c r="B5334" s="109" t="s">
        <v>28900</v>
      </c>
      <c r="C5334" s="109" t="s">
        <v>28900</v>
      </c>
      <c r="D5334" s="109" t="s">
        <v>30192</v>
      </c>
      <c r="E5334" s="109" t="s">
        <v>5558</v>
      </c>
      <c r="F5334" s="109" t="s">
        <v>30193</v>
      </c>
      <c r="G5334" s="110" t="s">
        <v>6248</v>
      </c>
      <c r="H5334" s="110" t="s">
        <v>30194</v>
      </c>
      <c r="I5334" s="110" t="s">
        <v>30195</v>
      </c>
    </row>
    <row r="5335" spans="1:9" ht="25.2" x14ac:dyDescent="0.3">
      <c r="A5335" s="109" t="s">
        <v>30196</v>
      </c>
      <c r="B5335" s="109" t="s">
        <v>28900</v>
      </c>
      <c r="C5335" s="109" t="s">
        <v>28900</v>
      </c>
      <c r="D5335" s="109" t="s">
        <v>30197</v>
      </c>
      <c r="E5335" s="109" t="s">
        <v>5558</v>
      </c>
      <c r="F5335" s="109" t="s">
        <v>30198</v>
      </c>
      <c r="G5335" s="110" t="s">
        <v>6248</v>
      </c>
      <c r="H5335" s="110" t="s">
        <v>30199</v>
      </c>
      <c r="I5335" s="110" t="s">
        <v>30200</v>
      </c>
    </row>
    <row r="5336" spans="1:9" ht="25.2" x14ac:dyDescent="0.3">
      <c r="A5336" s="109" t="s">
        <v>30201</v>
      </c>
      <c r="B5336" s="109" t="s">
        <v>28900</v>
      </c>
      <c r="C5336" s="109" t="s">
        <v>28900</v>
      </c>
      <c r="D5336" s="109" t="s">
        <v>30202</v>
      </c>
      <c r="E5336" s="109" t="s">
        <v>5558</v>
      </c>
      <c r="F5336" s="109" t="s">
        <v>30203</v>
      </c>
      <c r="G5336" s="110" t="s">
        <v>6248</v>
      </c>
      <c r="H5336" s="110" t="s">
        <v>30204</v>
      </c>
      <c r="I5336" s="110" t="s">
        <v>30205</v>
      </c>
    </row>
    <row r="5337" spans="1:9" ht="25.2" x14ac:dyDescent="0.3">
      <c r="A5337" s="109" t="s">
        <v>30206</v>
      </c>
      <c r="B5337" s="109" t="s">
        <v>28900</v>
      </c>
      <c r="C5337" s="109" t="s">
        <v>28900</v>
      </c>
      <c r="D5337" s="109" t="s">
        <v>30207</v>
      </c>
      <c r="E5337" s="109" t="s">
        <v>5558</v>
      </c>
      <c r="F5337" s="109" t="s">
        <v>30208</v>
      </c>
      <c r="G5337" s="110" t="s">
        <v>6248</v>
      </c>
      <c r="H5337" s="110" t="s">
        <v>16694</v>
      </c>
      <c r="I5337" s="110" t="s">
        <v>30209</v>
      </c>
    </row>
    <row r="5338" spans="1:9" ht="37.799999999999997" x14ac:dyDescent="0.3">
      <c r="A5338" s="109" t="s">
        <v>30210</v>
      </c>
      <c r="B5338" s="109" t="s">
        <v>28900</v>
      </c>
      <c r="C5338" s="109" t="s">
        <v>28900</v>
      </c>
      <c r="D5338" s="109" t="s">
        <v>30211</v>
      </c>
      <c r="E5338" s="109" t="s">
        <v>5558</v>
      </c>
      <c r="F5338" s="109" t="s">
        <v>30212</v>
      </c>
      <c r="G5338" s="110" t="s">
        <v>6248</v>
      </c>
      <c r="H5338" s="110" t="s">
        <v>30213</v>
      </c>
      <c r="I5338" s="110" t="s">
        <v>30214</v>
      </c>
    </row>
    <row r="5339" spans="1:9" ht="37.799999999999997" x14ac:dyDescent="0.3">
      <c r="A5339" s="109" t="s">
        <v>30215</v>
      </c>
      <c r="B5339" s="109" t="s">
        <v>28900</v>
      </c>
      <c r="C5339" s="109" t="s">
        <v>28900</v>
      </c>
      <c r="D5339" s="109" t="s">
        <v>30216</v>
      </c>
      <c r="E5339" s="109" t="s">
        <v>5558</v>
      </c>
      <c r="F5339" s="109" t="s">
        <v>30217</v>
      </c>
      <c r="G5339" s="110" t="s">
        <v>6248</v>
      </c>
      <c r="H5339" s="110" t="s">
        <v>28505</v>
      </c>
      <c r="I5339" s="110" t="s">
        <v>30218</v>
      </c>
    </row>
    <row r="5340" spans="1:9" ht="25.2" x14ac:dyDescent="0.3">
      <c r="A5340" s="109" t="s">
        <v>30219</v>
      </c>
      <c r="B5340" s="109" t="s">
        <v>30220</v>
      </c>
      <c r="C5340" s="109" t="s">
        <v>28900</v>
      </c>
      <c r="D5340" s="109" t="s">
        <v>4617</v>
      </c>
      <c r="E5340" s="109" t="s">
        <v>5558</v>
      </c>
      <c r="F5340" s="109" t="s">
        <v>30221</v>
      </c>
      <c r="G5340" s="110" t="s">
        <v>6248</v>
      </c>
      <c r="H5340" s="110" t="s">
        <v>30222</v>
      </c>
      <c r="I5340" s="110" t="s">
        <v>30223</v>
      </c>
    </row>
    <row r="5341" spans="1:9" ht="25.2" x14ac:dyDescent="0.3">
      <c r="A5341" s="109" t="s">
        <v>30224</v>
      </c>
      <c r="B5341" s="109" t="s">
        <v>30220</v>
      </c>
      <c r="C5341" s="109" t="s">
        <v>30220</v>
      </c>
      <c r="D5341" s="109" t="s">
        <v>30225</v>
      </c>
      <c r="E5341" s="109" t="s">
        <v>30226</v>
      </c>
      <c r="F5341" s="109" t="s">
        <v>22213</v>
      </c>
      <c r="G5341" s="110" t="s">
        <v>6248</v>
      </c>
      <c r="H5341" s="110" t="s">
        <v>30227</v>
      </c>
      <c r="I5341" s="110" t="s">
        <v>30228</v>
      </c>
    </row>
    <row r="5342" spans="1:9" ht="37.799999999999997" x14ac:dyDescent="0.3">
      <c r="A5342" s="109" t="s">
        <v>30229</v>
      </c>
      <c r="B5342" s="109" t="s">
        <v>30220</v>
      </c>
      <c r="C5342" s="109" t="s">
        <v>30220</v>
      </c>
      <c r="D5342" s="109" t="s">
        <v>30230</v>
      </c>
      <c r="E5342" s="109" t="s">
        <v>5558</v>
      </c>
      <c r="F5342" s="109" t="s">
        <v>30231</v>
      </c>
      <c r="G5342" s="110" t="s">
        <v>6248</v>
      </c>
      <c r="H5342" s="110" t="s">
        <v>30232</v>
      </c>
      <c r="I5342" s="110" t="s">
        <v>30233</v>
      </c>
    </row>
    <row r="5343" spans="1:9" ht="25.2" x14ac:dyDescent="0.3">
      <c r="A5343" s="109" t="s">
        <v>30234</v>
      </c>
      <c r="B5343" s="109" t="s">
        <v>30220</v>
      </c>
      <c r="C5343" s="109" t="s">
        <v>30220</v>
      </c>
      <c r="D5343" s="109" t="s">
        <v>5569</v>
      </c>
      <c r="E5343" s="109" t="s">
        <v>5558</v>
      </c>
      <c r="F5343" s="109" t="s">
        <v>2258</v>
      </c>
      <c r="G5343" s="110" t="s">
        <v>6248</v>
      </c>
      <c r="H5343" s="110" t="s">
        <v>30235</v>
      </c>
      <c r="I5343" s="110" t="s">
        <v>30236</v>
      </c>
    </row>
    <row r="5344" spans="1:9" ht="37.799999999999997" x14ac:dyDescent="0.3">
      <c r="A5344" s="109" t="s">
        <v>30237</v>
      </c>
      <c r="B5344" s="109" t="s">
        <v>30220</v>
      </c>
      <c r="C5344" s="109" t="s">
        <v>30220</v>
      </c>
      <c r="D5344" s="109" t="s">
        <v>4868</v>
      </c>
      <c r="E5344" s="109" t="s">
        <v>5558</v>
      </c>
      <c r="F5344" s="109" t="s">
        <v>30238</v>
      </c>
      <c r="G5344" s="110" t="s">
        <v>6248</v>
      </c>
      <c r="H5344" s="110" t="s">
        <v>11426</v>
      </c>
      <c r="I5344" s="110" t="s">
        <v>30239</v>
      </c>
    </row>
    <row r="5345" spans="1:9" ht="25.2" x14ac:dyDescent="0.3">
      <c r="A5345" s="109" t="s">
        <v>30240</v>
      </c>
      <c r="B5345" s="109" t="s">
        <v>30220</v>
      </c>
      <c r="C5345" s="109" t="s">
        <v>30220</v>
      </c>
      <c r="D5345" s="109" t="s">
        <v>30241</v>
      </c>
      <c r="E5345" s="109" t="s">
        <v>5558</v>
      </c>
      <c r="F5345" s="109" t="s">
        <v>30242</v>
      </c>
      <c r="G5345" s="110" t="s">
        <v>6248</v>
      </c>
      <c r="H5345" s="110" t="s">
        <v>30243</v>
      </c>
      <c r="I5345" s="110" t="s">
        <v>30244</v>
      </c>
    </row>
    <row r="5346" spans="1:9" ht="25.2" x14ac:dyDescent="0.3">
      <c r="A5346" s="109" t="s">
        <v>30245</v>
      </c>
      <c r="B5346" s="109" t="s">
        <v>30220</v>
      </c>
      <c r="C5346" s="109" t="s">
        <v>30220</v>
      </c>
      <c r="D5346" s="109" t="s">
        <v>30246</v>
      </c>
      <c r="E5346" s="109" t="s">
        <v>5558</v>
      </c>
      <c r="F5346" s="109" t="s">
        <v>30247</v>
      </c>
      <c r="G5346" s="110" t="s">
        <v>6248</v>
      </c>
      <c r="H5346" s="110" t="s">
        <v>16288</v>
      </c>
      <c r="I5346" s="110" t="s">
        <v>30248</v>
      </c>
    </row>
    <row r="5347" spans="1:9" ht="25.2" x14ac:dyDescent="0.3">
      <c r="A5347" s="109" t="s">
        <v>30249</v>
      </c>
      <c r="B5347" s="109" t="s">
        <v>30220</v>
      </c>
      <c r="C5347" s="109" t="s">
        <v>30220</v>
      </c>
      <c r="D5347" s="109" t="s">
        <v>30250</v>
      </c>
      <c r="E5347" s="109" t="s">
        <v>5558</v>
      </c>
      <c r="F5347" s="109" t="s">
        <v>30251</v>
      </c>
      <c r="G5347" s="110" t="s">
        <v>6248</v>
      </c>
      <c r="H5347" s="110" t="s">
        <v>7504</v>
      </c>
      <c r="I5347" s="110" t="s">
        <v>30252</v>
      </c>
    </row>
    <row r="5348" spans="1:9" ht="25.2" x14ac:dyDescent="0.3">
      <c r="A5348" s="109" t="s">
        <v>30253</v>
      </c>
      <c r="B5348" s="109" t="s">
        <v>30220</v>
      </c>
      <c r="C5348" s="109" t="s">
        <v>30220</v>
      </c>
      <c r="D5348" s="109" t="s">
        <v>30254</v>
      </c>
      <c r="E5348" s="109" t="s">
        <v>5558</v>
      </c>
      <c r="F5348" s="109" t="s">
        <v>30255</v>
      </c>
      <c r="G5348" s="110" t="s">
        <v>6248</v>
      </c>
      <c r="H5348" s="110" t="s">
        <v>30256</v>
      </c>
      <c r="I5348" s="110" t="s">
        <v>30257</v>
      </c>
    </row>
    <row r="5349" spans="1:9" ht="25.2" x14ac:dyDescent="0.3">
      <c r="A5349" s="109" t="s">
        <v>30258</v>
      </c>
      <c r="B5349" s="109" t="s">
        <v>30220</v>
      </c>
      <c r="C5349" s="109" t="s">
        <v>30220</v>
      </c>
      <c r="D5349" s="109" t="s">
        <v>30259</v>
      </c>
      <c r="E5349" s="109" t="s">
        <v>30260</v>
      </c>
      <c r="F5349" s="109" t="s">
        <v>30261</v>
      </c>
      <c r="G5349" s="110" t="s">
        <v>6248</v>
      </c>
      <c r="H5349" s="110" t="s">
        <v>30262</v>
      </c>
      <c r="I5349" s="110" t="s">
        <v>30263</v>
      </c>
    </row>
    <row r="5350" spans="1:9" ht="25.2" x14ac:dyDescent="0.3">
      <c r="A5350" s="109" t="s">
        <v>30264</v>
      </c>
      <c r="B5350" s="109" t="s">
        <v>30220</v>
      </c>
      <c r="C5350" s="109" t="s">
        <v>30220</v>
      </c>
      <c r="D5350" s="109" t="s">
        <v>30265</v>
      </c>
      <c r="E5350" s="109" t="s">
        <v>5558</v>
      </c>
      <c r="F5350" s="109" t="s">
        <v>30266</v>
      </c>
      <c r="G5350" s="110" t="s">
        <v>6248</v>
      </c>
      <c r="H5350" s="110" t="s">
        <v>30267</v>
      </c>
      <c r="I5350" s="110" t="s">
        <v>30268</v>
      </c>
    </row>
    <row r="5351" spans="1:9" ht="37.799999999999997" x14ac:dyDescent="0.3">
      <c r="A5351" s="109" t="s">
        <v>30269</v>
      </c>
      <c r="B5351" s="109" t="s">
        <v>30220</v>
      </c>
      <c r="C5351" s="109" t="s">
        <v>30220</v>
      </c>
      <c r="D5351" s="109" t="s">
        <v>30270</v>
      </c>
      <c r="E5351" s="109" t="s">
        <v>5558</v>
      </c>
      <c r="F5351" s="109" t="s">
        <v>30271</v>
      </c>
      <c r="G5351" s="110" t="s">
        <v>6248</v>
      </c>
      <c r="H5351" s="110" t="s">
        <v>30272</v>
      </c>
      <c r="I5351" s="110" t="s">
        <v>30273</v>
      </c>
    </row>
    <row r="5352" spans="1:9" ht="37.799999999999997" x14ac:dyDescent="0.3">
      <c r="A5352" s="109" t="s">
        <v>30274</v>
      </c>
      <c r="B5352" s="109" t="s">
        <v>30220</v>
      </c>
      <c r="C5352" s="109" t="s">
        <v>30220</v>
      </c>
      <c r="D5352" s="109" t="s">
        <v>30275</v>
      </c>
      <c r="E5352" s="109" t="s">
        <v>5558</v>
      </c>
      <c r="F5352" s="109" t="s">
        <v>30276</v>
      </c>
      <c r="G5352" s="110" t="s">
        <v>6248</v>
      </c>
      <c r="H5352" s="110" t="s">
        <v>9261</v>
      </c>
      <c r="I5352" s="110" t="s">
        <v>30277</v>
      </c>
    </row>
    <row r="5353" spans="1:9" ht="37.799999999999997" x14ac:dyDescent="0.3">
      <c r="A5353" s="109" t="s">
        <v>30278</v>
      </c>
      <c r="B5353" s="109" t="s">
        <v>30220</v>
      </c>
      <c r="C5353" s="109" t="s">
        <v>30220</v>
      </c>
      <c r="D5353" s="109" t="s">
        <v>30279</v>
      </c>
      <c r="E5353" s="109" t="s">
        <v>5558</v>
      </c>
      <c r="F5353" s="109" t="s">
        <v>30280</v>
      </c>
      <c r="G5353" s="110" t="s">
        <v>6248</v>
      </c>
      <c r="H5353" s="110" t="s">
        <v>6689</v>
      </c>
      <c r="I5353" s="110" t="s">
        <v>30281</v>
      </c>
    </row>
    <row r="5354" spans="1:9" ht="37.799999999999997" x14ac:dyDescent="0.3">
      <c r="A5354" s="109" t="s">
        <v>30282</v>
      </c>
      <c r="B5354" s="109" t="s">
        <v>30220</v>
      </c>
      <c r="C5354" s="109" t="s">
        <v>30220</v>
      </c>
      <c r="D5354" s="109" t="s">
        <v>30283</v>
      </c>
      <c r="E5354" s="109" t="s">
        <v>5558</v>
      </c>
      <c r="F5354" s="109" t="s">
        <v>30284</v>
      </c>
      <c r="G5354" s="110" t="s">
        <v>6248</v>
      </c>
      <c r="H5354" s="110" t="s">
        <v>30285</v>
      </c>
      <c r="I5354" s="110" t="s">
        <v>30286</v>
      </c>
    </row>
    <row r="5355" spans="1:9" ht="37.799999999999997" x14ac:dyDescent="0.3">
      <c r="A5355" s="109" t="s">
        <v>30287</v>
      </c>
      <c r="B5355" s="109" t="s">
        <v>30220</v>
      </c>
      <c r="C5355" s="109" t="s">
        <v>30220</v>
      </c>
      <c r="D5355" s="109" t="s">
        <v>30288</v>
      </c>
      <c r="E5355" s="109" t="s">
        <v>5558</v>
      </c>
      <c r="F5355" s="109" t="s">
        <v>30289</v>
      </c>
      <c r="G5355" s="110" t="s">
        <v>6248</v>
      </c>
      <c r="H5355" s="110" t="s">
        <v>30290</v>
      </c>
      <c r="I5355" s="110" t="s">
        <v>30291</v>
      </c>
    </row>
    <row r="5356" spans="1:9" ht="37.799999999999997" x14ac:dyDescent="0.3">
      <c r="A5356" s="109" t="s">
        <v>30292</v>
      </c>
      <c r="B5356" s="109" t="s">
        <v>30220</v>
      </c>
      <c r="C5356" s="109" t="s">
        <v>30220</v>
      </c>
      <c r="D5356" s="109" t="s">
        <v>30293</v>
      </c>
      <c r="E5356" s="109" t="s">
        <v>5558</v>
      </c>
      <c r="F5356" s="109" t="s">
        <v>30294</v>
      </c>
      <c r="G5356" s="110" t="s">
        <v>6248</v>
      </c>
      <c r="H5356" s="110" t="s">
        <v>8191</v>
      </c>
      <c r="I5356" s="110" t="s">
        <v>30295</v>
      </c>
    </row>
    <row r="5357" spans="1:9" ht="25.2" x14ac:dyDescent="0.3">
      <c r="A5357" s="109" t="s">
        <v>30296</v>
      </c>
      <c r="B5357" s="109" t="s">
        <v>30220</v>
      </c>
      <c r="C5357" s="109" t="s">
        <v>30220</v>
      </c>
      <c r="D5357" s="109" t="s">
        <v>30297</v>
      </c>
      <c r="E5357" s="109" t="s">
        <v>5558</v>
      </c>
      <c r="F5357" s="109" t="s">
        <v>30298</v>
      </c>
      <c r="G5357" s="110" t="s">
        <v>6248</v>
      </c>
      <c r="H5357" s="110" t="s">
        <v>6601</v>
      </c>
      <c r="I5357" s="110" t="s">
        <v>30299</v>
      </c>
    </row>
    <row r="5358" spans="1:9" ht="25.2" x14ac:dyDescent="0.3">
      <c r="A5358" s="109" t="s">
        <v>30300</v>
      </c>
      <c r="B5358" s="109" t="s">
        <v>30220</v>
      </c>
      <c r="C5358" s="109" t="s">
        <v>30220</v>
      </c>
      <c r="D5358" s="109" t="s">
        <v>30301</v>
      </c>
      <c r="E5358" s="109" t="s">
        <v>5558</v>
      </c>
      <c r="F5358" s="109" t="s">
        <v>30302</v>
      </c>
      <c r="G5358" s="110" t="s">
        <v>6248</v>
      </c>
      <c r="H5358" s="110" t="s">
        <v>6433</v>
      </c>
      <c r="I5358" s="110" t="s">
        <v>30303</v>
      </c>
    </row>
    <row r="5359" spans="1:9" ht="25.2" x14ac:dyDescent="0.3">
      <c r="A5359" s="109" t="s">
        <v>30304</v>
      </c>
      <c r="B5359" s="109" t="s">
        <v>30220</v>
      </c>
      <c r="C5359" s="109" t="s">
        <v>30220</v>
      </c>
      <c r="D5359" s="109" t="s">
        <v>30305</v>
      </c>
      <c r="E5359" s="109" t="s">
        <v>5558</v>
      </c>
      <c r="F5359" s="109" t="s">
        <v>30306</v>
      </c>
      <c r="G5359" s="110" t="s">
        <v>6248</v>
      </c>
      <c r="H5359" s="110" t="s">
        <v>9141</v>
      </c>
      <c r="I5359" s="110" t="s">
        <v>30307</v>
      </c>
    </row>
    <row r="5360" spans="1:9" ht="37.799999999999997" x14ac:dyDescent="0.3">
      <c r="A5360" s="109" t="s">
        <v>30308</v>
      </c>
      <c r="B5360" s="109" t="s">
        <v>30220</v>
      </c>
      <c r="C5360" s="109" t="s">
        <v>30220</v>
      </c>
      <c r="D5360" s="109" t="s">
        <v>30309</v>
      </c>
      <c r="E5360" s="109" t="s">
        <v>5558</v>
      </c>
      <c r="F5360" s="109" t="s">
        <v>30310</v>
      </c>
      <c r="G5360" s="110" t="s">
        <v>6248</v>
      </c>
      <c r="H5360" s="110" t="s">
        <v>6413</v>
      </c>
      <c r="I5360" s="110" t="s">
        <v>30311</v>
      </c>
    </row>
    <row r="5361" spans="1:9" ht="37.799999999999997" x14ac:dyDescent="0.3">
      <c r="A5361" s="109" t="s">
        <v>30312</v>
      </c>
      <c r="B5361" s="109" t="s">
        <v>30220</v>
      </c>
      <c r="C5361" s="109" t="s">
        <v>30220</v>
      </c>
      <c r="D5361" s="109" t="s">
        <v>30313</v>
      </c>
      <c r="E5361" s="109" t="s">
        <v>5558</v>
      </c>
      <c r="F5361" s="109" t="s">
        <v>30314</v>
      </c>
      <c r="G5361" s="110" t="s">
        <v>6248</v>
      </c>
      <c r="H5361" s="110" t="s">
        <v>6507</v>
      </c>
      <c r="I5361" s="110" t="s">
        <v>30315</v>
      </c>
    </row>
    <row r="5362" spans="1:9" ht="25.2" x14ac:dyDescent="0.3">
      <c r="A5362" s="109" t="s">
        <v>30316</v>
      </c>
      <c r="B5362" s="109" t="s">
        <v>30220</v>
      </c>
      <c r="C5362" s="109" t="s">
        <v>30220</v>
      </c>
      <c r="D5362" s="109" t="s">
        <v>30317</v>
      </c>
      <c r="E5362" s="109" t="s">
        <v>5558</v>
      </c>
      <c r="F5362" s="109" t="s">
        <v>30318</v>
      </c>
      <c r="G5362" s="110" t="s">
        <v>6248</v>
      </c>
      <c r="H5362" s="110" t="s">
        <v>30319</v>
      </c>
      <c r="I5362" s="110" t="s">
        <v>30320</v>
      </c>
    </row>
    <row r="5363" spans="1:9" ht="25.2" x14ac:dyDescent="0.3">
      <c r="A5363" s="109" t="s">
        <v>30321</v>
      </c>
      <c r="B5363" s="109" t="s">
        <v>30220</v>
      </c>
      <c r="C5363" s="109" t="s">
        <v>30220</v>
      </c>
      <c r="D5363" s="109" t="s">
        <v>30322</v>
      </c>
      <c r="E5363" s="109" t="s">
        <v>5558</v>
      </c>
      <c r="F5363" s="109" t="s">
        <v>30323</v>
      </c>
      <c r="G5363" s="110" t="s">
        <v>6248</v>
      </c>
      <c r="H5363" s="110" t="s">
        <v>6557</v>
      </c>
      <c r="I5363" s="110" t="s">
        <v>30324</v>
      </c>
    </row>
    <row r="5364" spans="1:9" ht="37.799999999999997" x14ac:dyDescent="0.3">
      <c r="A5364" s="109" t="s">
        <v>30325</v>
      </c>
      <c r="B5364" s="109" t="s">
        <v>30220</v>
      </c>
      <c r="C5364" s="109" t="s">
        <v>30220</v>
      </c>
      <c r="D5364" s="109" t="s">
        <v>30326</v>
      </c>
      <c r="E5364" s="109" t="s">
        <v>5558</v>
      </c>
      <c r="F5364" s="109" t="s">
        <v>30327</v>
      </c>
      <c r="G5364" s="110" t="s">
        <v>6248</v>
      </c>
      <c r="H5364" s="110" t="s">
        <v>12935</v>
      </c>
      <c r="I5364" s="110" t="s">
        <v>30328</v>
      </c>
    </row>
    <row r="5365" spans="1:9" ht="25.2" x14ac:dyDescent="0.3">
      <c r="A5365" s="109" t="s">
        <v>30329</v>
      </c>
      <c r="B5365" s="109" t="s">
        <v>30220</v>
      </c>
      <c r="C5365" s="109" t="s">
        <v>30220</v>
      </c>
      <c r="D5365" s="109" t="s">
        <v>30330</v>
      </c>
      <c r="E5365" s="109" t="s">
        <v>5558</v>
      </c>
      <c r="F5365" s="109" t="s">
        <v>30331</v>
      </c>
      <c r="G5365" s="110" t="s">
        <v>6248</v>
      </c>
      <c r="H5365" s="110" t="s">
        <v>30332</v>
      </c>
      <c r="I5365" s="110" t="s">
        <v>30333</v>
      </c>
    </row>
    <row r="5366" spans="1:9" ht="25.2" x14ac:dyDescent="0.3">
      <c r="A5366" s="109" t="s">
        <v>30334</v>
      </c>
      <c r="B5366" s="109" t="s">
        <v>30220</v>
      </c>
      <c r="C5366" s="109" t="s">
        <v>30220</v>
      </c>
      <c r="D5366" s="109" t="s">
        <v>30335</v>
      </c>
      <c r="E5366" s="109" t="s">
        <v>5558</v>
      </c>
      <c r="F5366" s="109" t="s">
        <v>30336</v>
      </c>
      <c r="G5366" s="110" t="s">
        <v>6248</v>
      </c>
      <c r="H5366" s="110" t="s">
        <v>6460</v>
      </c>
      <c r="I5366" s="110" t="s">
        <v>30337</v>
      </c>
    </row>
    <row r="5367" spans="1:9" ht="25.2" x14ac:dyDescent="0.3">
      <c r="A5367" s="109" t="s">
        <v>30338</v>
      </c>
      <c r="B5367" s="109" t="s">
        <v>30220</v>
      </c>
      <c r="C5367" s="109" t="s">
        <v>30220</v>
      </c>
      <c r="D5367" s="109" t="s">
        <v>30339</v>
      </c>
      <c r="E5367" s="109" t="s">
        <v>5558</v>
      </c>
      <c r="F5367" s="109" t="s">
        <v>30340</v>
      </c>
      <c r="G5367" s="110" t="s">
        <v>6248</v>
      </c>
      <c r="H5367" s="110" t="s">
        <v>6428</v>
      </c>
      <c r="I5367" s="110" t="s">
        <v>30341</v>
      </c>
    </row>
    <row r="5368" spans="1:9" ht="25.2" x14ac:dyDescent="0.3">
      <c r="A5368" s="109" t="s">
        <v>30342</v>
      </c>
      <c r="B5368" s="109" t="s">
        <v>30220</v>
      </c>
      <c r="C5368" s="109" t="s">
        <v>30220</v>
      </c>
      <c r="D5368" s="109" t="s">
        <v>30343</v>
      </c>
      <c r="E5368" s="109" t="s">
        <v>5558</v>
      </c>
      <c r="F5368" s="109" t="s">
        <v>30344</v>
      </c>
      <c r="G5368" s="110" t="s">
        <v>6248</v>
      </c>
      <c r="H5368" s="110" t="s">
        <v>6570</v>
      </c>
      <c r="I5368" s="110" t="s">
        <v>30345</v>
      </c>
    </row>
    <row r="5369" spans="1:9" ht="37.799999999999997" x14ac:dyDescent="0.3">
      <c r="A5369" s="109" t="s">
        <v>30346</v>
      </c>
      <c r="B5369" s="109" t="s">
        <v>30220</v>
      </c>
      <c r="C5369" s="109" t="s">
        <v>30220</v>
      </c>
      <c r="D5369" s="109" t="s">
        <v>30347</v>
      </c>
      <c r="E5369" s="109" t="s">
        <v>5558</v>
      </c>
      <c r="F5369" s="109" t="s">
        <v>30348</v>
      </c>
      <c r="G5369" s="110" t="s">
        <v>6248</v>
      </c>
      <c r="H5369" s="110" t="s">
        <v>12891</v>
      </c>
      <c r="I5369" s="110" t="s">
        <v>30349</v>
      </c>
    </row>
    <row r="5370" spans="1:9" ht="25.2" x14ac:dyDescent="0.3">
      <c r="A5370" s="109" t="s">
        <v>30350</v>
      </c>
      <c r="B5370" s="109" t="s">
        <v>30220</v>
      </c>
      <c r="C5370" s="109" t="s">
        <v>30220</v>
      </c>
      <c r="D5370" s="109" t="s">
        <v>30351</v>
      </c>
      <c r="E5370" s="109" t="s">
        <v>5558</v>
      </c>
      <c r="F5370" s="109" t="s">
        <v>30352</v>
      </c>
      <c r="G5370" s="110" t="s">
        <v>6248</v>
      </c>
      <c r="H5370" s="110" t="s">
        <v>7907</v>
      </c>
      <c r="I5370" s="110" t="s">
        <v>30353</v>
      </c>
    </row>
    <row r="5371" spans="1:9" ht="25.2" x14ac:dyDescent="0.3">
      <c r="A5371" s="109" t="s">
        <v>30354</v>
      </c>
      <c r="B5371" s="109" t="s">
        <v>30220</v>
      </c>
      <c r="C5371" s="109" t="s">
        <v>30220</v>
      </c>
      <c r="D5371" s="109" t="s">
        <v>30355</v>
      </c>
      <c r="E5371" s="109" t="s">
        <v>5558</v>
      </c>
      <c r="F5371" s="109" t="s">
        <v>30356</v>
      </c>
      <c r="G5371" s="110" t="s">
        <v>6248</v>
      </c>
      <c r="H5371" s="110" t="s">
        <v>6575</v>
      </c>
      <c r="I5371" s="110" t="s">
        <v>30357</v>
      </c>
    </row>
    <row r="5372" spans="1:9" ht="25.2" x14ac:dyDescent="0.3">
      <c r="A5372" s="109" t="s">
        <v>30358</v>
      </c>
      <c r="B5372" s="109" t="s">
        <v>30220</v>
      </c>
      <c r="C5372" s="109" t="s">
        <v>30220</v>
      </c>
      <c r="D5372" s="109" t="s">
        <v>30359</v>
      </c>
      <c r="E5372" s="109" t="s">
        <v>5558</v>
      </c>
      <c r="F5372" s="109" t="s">
        <v>30360</v>
      </c>
      <c r="G5372" s="110" t="s">
        <v>6248</v>
      </c>
      <c r="H5372" s="110" t="s">
        <v>6507</v>
      </c>
      <c r="I5372" s="110" t="s">
        <v>30361</v>
      </c>
    </row>
    <row r="5373" spans="1:9" ht="25.2" x14ac:dyDescent="0.3">
      <c r="A5373" s="109" t="s">
        <v>30362</v>
      </c>
      <c r="B5373" s="109" t="s">
        <v>30220</v>
      </c>
      <c r="C5373" s="109" t="s">
        <v>30220</v>
      </c>
      <c r="D5373" s="109" t="s">
        <v>30363</v>
      </c>
      <c r="E5373" s="109" t="s">
        <v>5558</v>
      </c>
      <c r="F5373" s="109" t="s">
        <v>30364</v>
      </c>
      <c r="G5373" s="110" t="s">
        <v>6248</v>
      </c>
      <c r="H5373" s="110" t="s">
        <v>6474</v>
      </c>
      <c r="I5373" s="110" t="s">
        <v>30365</v>
      </c>
    </row>
    <row r="5374" spans="1:9" ht="25.2" x14ac:dyDescent="0.3">
      <c r="A5374" s="109" t="s">
        <v>30366</v>
      </c>
      <c r="B5374" s="109" t="s">
        <v>30220</v>
      </c>
      <c r="C5374" s="109" t="s">
        <v>30220</v>
      </c>
      <c r="D5374" s="109" t="s">
        <v>30367</v>
      </c>
      <c r="E5374" s="109" t="s">
        <v>5558</v>
      </c>
      <c r="F5374" s="109" t="s">
        <v>30368</v>
      </c>
      <c r="G5374" s="110" t="s">
        <v>6248</v>
      </c>
      <c r="H5374" s="110" t="s">
        <v>6433</v>
      </c>
      <c r="I5374" s="110" t="s">
        <v>30369</v>
      </c>
    </row>
    <row r="5375" spans="1:9" ht="25.2" x14ac:dyDescent="0.3">
      <c r="A5375" s="109" t="s">
        <v>30370</v>
      </c>
      <c r="B5375" s="109" t="s">
        <v>30220</v>
      </c>
      <c r="C5375" s="109" t="s">
        <v>30220</v>
      </c>
      <c r="D5375" s="109" t="s">
        <v>30371</v>
      </c>
      <c r="E5375" s="109" t="s">
        <v>5558</v>
      </c>
      <c r="F5375" s="109" t="s">
        <v>30372</v>
      </c>
      <c r="G5375" s="110" t="s">
        <v>6248</v>
      </c>
      <c r="H5375" s="110" t="s">
        <v>8905</v>
      </c>
      <c r="I5375" s="110" t="s">
        <v>30373</v>
      </c>
    </row>
    <row r="5376" spans="1:9" ht="37.799999999999997" x14ac:dyDescent="0.3">
      <c r="A5376" s="109" t="s">
        <v>30374</v>
      </c>
      <c r="B5376" s="109" t="s">
        <v>30220</v>
      </c>
      <c r="C5376" s="109" t="s">
        <v>30220</v>
      </c>
      <c r="D5376" s="109" t="s">
        <v>30375</v>
      </c>
      <c r="E5376" s="109" t="s">
        <v>5558</v>
      </c>
      <c r="F5376" s="109" t="s">
        <v>30376</v>
      </c>
      <c r="G5376" s="110" t="s">
        <v>6248</v>
      </c>
      <c r="H5376" s="110" t="s">
        <v>7817</v>
      </c>
      <c r="I5376" s="110" t="s">
        <v>30377</v>
      </c>
    </row>
    <row r="5377" spans="1:9" ht="25.2" x14ac:dyDescent="0.3">
      <c r="A5377" s="109" t="s">
        <v>30378</v>
      </c>
      <c r="B5377" s="109" t="s">
        <v>30220</v>
      </c>
      <c r="C5377" s="109" t="s">
        <v>30220</v>
      </c>
      <c r="D5377" s="109" t="s">
        <v>30379</v>
      </c>
      <c r="E5377" s="109" t="s">
        <v>5558</v>
      </c>
      <c r="F5377" s="109" t="s">
        <v>30380</v>
      </c>
      <c r="G5377" s="110" t="s">
        <v>6248</v>
      </c>
      <c r="H5377" s="110" t="s">
        <v>6639</v>
      </c>
      <c r="I5377" s="110" t="s">
        <v>30381</v>
      </c>
    </row>
    <row r="5378" spans="1:9" ht="37.799999999999997" x14ac:dyDescent="0.3">
      <c r="A5378" s="109" t="s">
        <v>30382</v>
      </c>
      <c r="B5378" s="109" t="s">
        <v>30220</v>
      </c>
      <c r="C5378" s="109" t="s">
        <v>30220</v>
      </c>
      <c r="D5378" s="109" t="s">
        <v>30383</v>
      </c>
      <c r="E5378" s="109" t="s">
        <v>5558</v>
      </c>
      <c r="F5378" s="109" t="s">
        <v>30384</v>
      </c>
      <c r="G5378" s="110" t="s">
        <v>6248</v>
      </c>
      <c r="H5378" s="110" t="s">
        <v>8905</v>
      </c>
      <c r="I5378" s="110" t="s">
        <v>30385</v>
      </c>
    </row>
    <row r="5379" spans="1:9" ht="25.2" x14ac:dyDescent="0.3">
      <c r="A5379" s="109" t="s">
        <v>30386</v>
      </c>
      <c r="B5379" s="109" t="s">
        <v>30220</v>
      </c>
      <c r="C5379" s="109" t="s">
        <v>30220</v>
      </c>
      <c r="D5379" s="109" t="s">
        <v>30387</v>
      </c>
      <c r="E5379" s="109" t="s">
        <v>5558</v>
      </c>
      <c r="F5379" s="109" t="s">
        <v>30388</v>
      </c>
      <c r="G5379" s="110" t="s">
        <v>6248</v>
      </c>
      <c r="H5379" s="110" t="s">
        <v>10345</v>
      </c>
      <c r="I5379" s="110" t="s">
        <v>30389</v>
      </c>
    </row>
    <row r="5380" spans="1:9" ht="37.799999999999997" x14ac:dyDescent="0.3">
      <c r="A5380" s="109" t="s">
        <v>30390</v>
      </c>
      <c r="B5380" s="109" t="s">
        <v>30220</v>
      </c>
      <c r="C5380" s="109" t="s">
        <v>30220</v>
      </c>
      <c r="D5380" s="109" t="s">
        <v>30391</v>
      </c>
      <c r="E5380" s="109" t="s">
        <v>5558</v>
      </c>
      <c r="F5380" s="109" t="s">
        <v>30392</v>
      </c>
      <c r="G5380" s="110" t="s">
        <v>6248</v>
      </c>
      <c r="H5380" s="110" t="s">
        <v>8348</v>
      </c>
      <c r="I5380" s="110" t="s">
        <v>30393</v>
      </c>
    </row>
    <row r="5381" spans="1:9" ht="25.2" x14ac:dyDescent="0.3">
      <c r="A5381" s="109" t="s">
        <v>30394</v>
      </c>
      <c r="B5381" s="109" t="s">
        <v>30220</v>
      </c>
      <c r="C5381" s="109" t="s">
        <v>30220</v>
      </c>
      <c r="D5381" s="109" t="s">
        <v>30395</v>
      </c>
      <c r="E5381" s="109" t="s">
        <v>5558</v>
      </c>
      <c r="F5381" s="109" t="s">
        <v>30396</v>
      </c>
      <c r="G5381" s="110" t="s">
        <v>6248</v>
      </c>
      <c r="H5381" s="110" t="s">
        <v>6413</v>
      </c>
      <c r="I5381" s="110" t="s">
        <v>30397</v>
      </c>
    </row>
    <row r="5382" spans="1:9" ht="25.2" x14ac:dyDescent="0.3">
      <c r="A5382" s="109" t="s">
        <v>30398</v>
      </c>
      <c r="B5382" s="109" t="s">
        <v>30220</v>
      </c>
      <c r="C5382" s="109" t="s">
        <v>30220</v>
      </c>
      <c r="D5382" s="109" t="s">
        <v>30399</v>
      </c>
      <c r="E5382" s="109" t="s">
        <v>5558</v>
      </c>
      <c r="F5382" s="109" t="s">
        <v>30400</v>
      </c>
      <c r="G5382" s="110" t="s">
        <v>6248</v>
      </c>
      <c r="H5382" s="110" t="s">
        <v>6398</v>
      </c>
      <c r="I5382" s="110" t="s">
        <v>30401</v>
      </c>
    </row>
    <row r="5383" spans="1:9" ht="25.2" x14ac:dyDescent="0.3">
      <c r="A5383" s="109" t="s">
        <v>30402</v>
      </c>
      <c r="B5383" s="109" t="s">
        <v>30220</v>
      </c>
      <c r="C5383" s="109" t="s">
        <v>30220</v>
      </c>
      <c r="D5383" s="109" t="s">
        <v>30403</v>
      </c>
      <c r="E5383" s="109" t="s">
        <v>5558</v>
      </c>
      <c r="F5383" s="109" t="s">
        <v>30404</v>
      </c>
      <c r="G5383" s="110" t="s">
        <v>6248</v>
      </c>
      <c r="H5383" s="110" t="s">
        <v>8984</v>
      </c>
      <c r="I5383" s="110" t="s">
        <v>30405</v>
      </c>
    </row>
    <row r="5384" spans="1:9" ht="25.2" x14ac:dyDescent="0.3">
      <c r="A5384" s="109" t="s">
        <v>30406</v>
      </c>
      <c r="B5384" s="109" t="s">
        <v>30220</v>
      </c>
      <c r="C5384" s="109" t="s">
        <v>30220</v>
      </c>
      <c r="D5384" s="109" t="s">
        <v>30407</v>
      </c>
      <c r="E5384" s="109" t="s">
        <v>5558</v>
      </c>
      <c r="F5384" s="109" t="s">
        <v>30408</v>
      </c>
      <c r="G5384" s="110" t="s">
        <v>6248</v>
      </c>
      <c r="H5384" s="110" t="s">
        <v>9141</v>
      </c>
      <c r="I5384" s="110" t="s">
        <v>30409</v>
      </c>
    </row>
    <row r="5385" spans="1:9" ht="25.2" x14ac:dyDescent="0.3">
      <c r="A5385" s="109" t="s">
        <v>30410</v>
      </c>
      <c r="B5385" s="109" t="s">
        <v>30220</v>
      </c>
      <c r="C5385" s="109" t="s">
        <v>30220</v>
      </c>
      <c r="D5385" s="109" t="s">
        <v>30411</v>
      </c>
      <c r="E5385" s="109" t="s">
        <v>5558</v>
      </c>
      <c r="F5385" s="109" t="s">
        <v>30412</v>
      </c>
      <c r="G5385" s="110" t="s">
        <v>6248</v>
      </c>
      <c r="H5385" s="110" t="s">
        <v>6543</v>
      </c>
      <c r="I5385" s="110" t="s">
        <v>30413</v>
      </c>
    </row>
    <row r="5386" spans="1:9" ht="37.799999999999997" x14ac:dyDescent="0.3">
      <c r="A5386" s="109" t="s">
        <v>30414</v>
      </c>
      <c r="B5386" s="109" t="s">
        <v>30220</v>
      </c>
      <c r="C5386" s="109" t="s">
        <v>30220</v>
      </c>
      <c r="D5386" s="109" t="s">
        <v>30415</v>
      </c>
      <c r="E5386" s="109" t="s">
        <v>5558</v>
      </c>
      <c r="F5386" s="109" t="s">
        <v>30416</v>
      </c>
      <c r="G5386" s="110" t="s">
        <v>6248</v>
      </c>
      <c r="H5386" s="110" t="s">
        <v>6753</v>
      </c>
      <c r="I5386" s="110" t="s">
        <v>30417</v>
      </c>
    </row>
    <row r="5387" spans="1:9" ht="37.799999999999997" x14ac:dyDescent="0.3">
      <c r="A5387" s="109" t="s">
        <v>30418</v>
      </c>
      <c r="B5387" s="109" t="s">
        <v>30220</v>
      </c>
      <c r="C5387" s="109" t="s">
        <v>30220</v>
      </c>
      <c r="D5387" s="109" t="s">
        <v>30419</v>
      </c>
      <c r="E5387" s="109" t="s">
        <v>5558</v>
      </c>
      <c r="F5387" s="109" t="s">
        <v>30420</v>
      </c>
      <c r="G5387" s="110" t="s">
        <v>6248</v>
      </c>
      <c r="H5387" s="110" t="s">
        <v>6398</v>
      </c>
      <c r="I5387" s="110" t="s">
        <v>30421</v>
      </c>
    </row>
    <row r="5388" spans="1:9" ht="25.2" x14ac:dyDescent="0.3">
      <c r="A5388" s="109" t="s">
        <v>30422</v>
      </c>
      <c r="B5388" s="109" t="s">
        <v>30220</v>
      </c>
      <c r="C5388" s="109" t="s">
        <v>30220</v>
      </c>
      <c r="D5388" s="109" t="s">
        <v>30423</v>
      </c>
      <c r="E5388" s="109" t="s">
        <v>5558</v>
      </c>
      <c r="F5388" s="109" t="s">
        <v>30424</v>
      </c>
      <c r="G5388" s="110" t="s">
        <v>6248</v>
      </c>
      <c r="H5388" s="110" t="s">
        <v>6570</v>
      </c>
      <c r="I5388" s="110" t="s">
        <v>30425</v>
      </c>
    </row>
    <row r="5389" spans="1:9" ht="25.2" x14ac:dyDescent="0.3">
      <c r="A5389" s="109" t="s">
        <v>30426</v>
      </c>
      <c r="B5389" s="109" t="s">
        <v>30220</v>
      </c>
      <c r="C5389" s="109" t="s">
        <v>30220</v>
      </c>
      <c r="D5389" s="109" t="s">
        <v>30427</v>
      </c>
      <c r="E5389" s="109" t="s">
        <v>5558</v>
      </c>
      <c r="F5389" s="109" t="s">
        <v>30428</v>
      </c>
      <c r="G5389" s="110" t="s">
        <v>6248</v>
      </c>
      <c r="H5389" s="110" t="s">
        <v>6460</v>
      </c>
      <c r="I5389" s="110" t="s">
        <v>30429</v>
      </c>
    </row>
    <row r="5390" spans="1:9" ht="37.799999999999997" x14ac:dyDescent="0.3">
      <c r="A5390" s="109" t="s">
        <v>30430</v>
      </c>
      <c r="B5390" s="109" t="s">
        <v>30220</v>
      </c>
      <c r="C5390" s="109" t="s">
        <v>30220</v>
      </c>
      <c r="D5390" s="109" t="s">
        <v>30431</v>
      </c>
      <c r="E5390" s="109" t="s">
        <v>5558</v>
      </c>
      <c r="F5390" s="109" t="s">
        <v>30432</v>
      </c>
      <c r="G5390" s="110" t="s">
        <v>6248</v>
      </c>
      <c r="H5390" s="110" t="s">
        <v>9141</v>
      </c>
      <c r="I5390" s="110" t="s">
        <v>30433</v>
      </c>
    </row>
    <row r="5391" spans="1:9" ht="25.2" x14ac:dyDescent="0.3">
      <c r="A5391" s="109" t="s">
        <v>30434</v>
      </c>
      <c r="B5391" s="109" t="s">
        <v>30220</v>
      </c>
      <c r="C5391" s="109" t="s">
        <v>30220</v>
      </c>
      <c r="D5391" s="109" t="s">
        <v>30435</v>
      </c>
      <c r="E5391" s="109" t="s">
        <v>5558</v>
      </c>
      <c r="F5391" s="109" t="s">
        <v>30436</v>
      </c>
      <c r="G5391" s="110" t="s">
        <v>6248</v>
      </c>
      <c r="H5391" s="110" t="s">
        <v>30437</v>
      </c>
      <c r="I5391" s="110" t="s">
        <v>30438</v>
      </c>
    </row>
    <row r="5392" spans="1:9" ht="25.2" x14ac:dyDescent="0.3">
      <c r="A5392" s="109" t="s">
        <v>30439</v>
      </c>
      <c r="B5392" s="109" t="s">
        <v>30220</v>
      </c>
      <c r="C5392" s="109" t="s">
        <v>30220</v>
      </c>
      <c r="D5392" s="109" t="s">
        <v>30440</v>
      </c>
      <c r="E5392" s="109" t="s">
        <v>5558</v>
      </c>
      <c r="F5392" s="109" t="s">
        <v>30441</v>
      </c>
      <c r="G5392" s="110" t="s">
        <v>6248</v>
      </c>
      <c r="H5392" s="110" t="s">
        <v>7094</v>
      </c>
      <c r="I5392" s="110" t="s">
        <v>30442</v>
      </c>
    </row>
    <row r="5393" spans="1:9" ht="25.2" x14ac:dyDescent="0.3">
      <c r="A5393" s="109" t="s">
        <v>30443</v>
      </c>
      <c r="B5393" s="109" t="s">
        <v>30220</v>
      </c>
      <c r="C5393" s="109" t="s">
        <v>30220</v>
      </c>
      <c r="D5393" s="109" t="s">
        <v>30444</v>
      </c>
      <c r="E5393" s="109" t="s">
        <v>5558</v>
      </c>
      <c r="F5393" s="109" t="s">
        <v>30445</v>
      </c>
      <c r="G5393" s="110" t="s">
        <v>6248</v>
      </c>
      <c r="H5393" s="110" t="s">
        <v>14873</v>
      </c>
      <c r="I5393" s="110" t="s">
        <v>30446</v>
      </c>
    </row>
    <row r="5394" spans="1:9" ht="25.2" x14ac:dyDescent="0.3">
      <c r="A5394" s="109" t="s">
        <v>30447</v>
      </c>
      <c r="B5394" s="109" t="s">
        <v>30220</v>
      </c>
      <c r="C5394" s="109" t="s">
        <v>30220</v>
      </c>
      <c r="D5394" s="109" t="s">
        <v>30448</v>
      </c>
      <c r="E5394" s="109" t="s">
        <v>5558</v>
      </c>
      <c r="F5394" s="109" t="s">
        <v>30449</v>
      </c>
      <c r="G5394" s="110" t="s">
        <v>6248</v>
      </c>
      <c r="H5394" s="110" t="s">
        <v>8984</v>
      </c>
      <c r="I5394" s="110" t="s">
        <v>30450</v>
      </c>
    </row>
    <row r="5395" spans="1:9" ht="37.799999999999997" x14ac:dyDescent="0.3">
      <c r="A5395" s="109" t="s">
        <v>30451</v>
      </c>
      <c r="B5395" s="109" t="s">
        <v>30220</v>
      </c>
      <c r="C5395" s="109" t="s">
        <v>30220</v>
      </c>
      <c r="D5395" s="109" t="s">
        <v>30452</v>
      </c>
      <c r="E5395" s="109" t="s">
        <v>5558</v>
      </c>
      <c r="F5395" s="109" t="s">
        <v>30453</v>
      </c>
      <c r="G5395" s="110" t="s">
        <v>6248</v>
      </c>
      <c r="H5395" s="110" t="s">
        <v>9141</v>
      </c>
      <c r="I5395" s="110" t="s">
        <v>30454</v>
      </c>
    </row>
    <row r="5396" spans="1:9" ht="25.2" x14ac:dyDescent="0.3">
      <c r="A5396" s="109" t="s">
        <v>30455</v>
      </c>
      <c r="B5396" s="109" t="s">
        <v>30220</v>
      </c>
      <c r="C5396" s="109" t="s">
        <v>30220</v>
      </c>
      <c r="D5396" s="109" t="s">
        <v>30456</v>
      </c>
      <c r="E5396" s="109" t="s">
        <v>5558</v>
      </c>
      <c r="F5396" s="109" t="s">
        <v>30457</v>
      </c>
      <c r="G5396" s="110" t="s">
        <v>6248</v>
      </c>
      <c r="H5396" s="110" t="s">
        <v>7808</v>
      </c>
      <c r="I5396" s="110" t="s">
        <v>30458</v>
      </c>
    </row>
    <row r="5397" spans="1:9" ht="37.799999999999997" x14ac:dyDescent="0.3">
      <c r="A5397" s="109" t="s">
        <v>30459</v>
      </c>
      <c r="B5397" s="109" t="s">
        <v>30220</v>
      </c>
      <c r="C5397" s="109" t="s">
        <v>30220</v>
      </c>
      <c r="D5397" s="109" t="s">
        <v>30460</v>
      </c>
      <c r="E5397" s="109" t="s">
        <v>5558</v>
      </c>
      <c r="F5397" s="109" t="s">
        <v>30461</v>
      </c>
      <c r="G5397" s="110" t="s">
        <v>6248</v>
      </c>
      <c r="H5397" s="110" t="s">
        <v>30462</v>
      </c>
      <c r="I5397" s="110" t="s">
        <v>30463</v>
      </c>
    </row>
    <row r="5398" spans="1:9" ht="25.2" x14ac:dyDescent="0.3">
      <c r="A5398" s="109" t="s">
        <v>30464</v>
      </c>
      <c r="B5398" s="109" t="s">
        <v>30220</v>
      </c>
      <c r="C5398" s="109" t="s">
        <v>30220</v>
      </c>
      <c r="D5398" s="109" t="s">
        <v>30465</v>
      </c>
      <c r="E5398" s="109" t="s">
        <v>5558</v>
      </c>
      <c r="F5398" s="109" t="s">
        <v>30466</v>
      </c>
      <c r="G5398" s="110" t="s">
        <v>6248</v>
      </c>
      <c r="H5398" s="110" t="s">
        <v>8984</v>
      </c>
      <c r="I5398" s="110" t="s">
        <v>30467</v>
      </c>
    </row>
    <row r="5399" spans="1:9" ht="37.799999999999997" x14ac:dyDescent="0.3">
      <c r="A5399" s="109" t="s">
        <v>30468</v>
      </c>
      <c r="B5399" s="109" t="s">
        <v>30220</v>
      </c>
      <c r="C5399" s="109" t="s">
        <v>30220</v>
      </c>
      <c r="D5399" s="109" t="s">
        <v>30469</v>
      </c>
      <c r="E5399" s="109" t="s">
        <v>5558</v>
      </c>
      <c r="F5399" s="109" t="s">
        <v>30470</v>
      </c>
      <c r="G5399" s="110" t="s">
        <v>6248</v>
      </c>
      <c r="H5399" s="110" t="s">
        <v>6557</v>
      </c>
      <c r="I5399" s="110" t="s">
        <v>30471</v>
      </c>
    </row>
    <row r="5400" spans="1:9" ht="25.2" x14ac:dyDescent="0.3">
      <c r="A5400" s="109" t="s">
        <v>30472</v>
      </c>
      <c r="B5400" s="109" t="s">
        <v>30220</v>
      </c>
      <c r="C5400" s="109" t="s">
        <v>30220</v>
      </c>
      <c r="D5400" s="109" t="s">
        <v>30473</v>
      </c>
      <c r="E5400" s="109" t="s">
        <v>5558</v>
      </c>
      <c r="F5400" s="109" t="s">
        <v>30474</v>
      </c>
      <c r="G5400" s="110" t="s">
        <v>6248</v>
      </c>
      <c r="H5400" s="110" t="s">
        <v>6403</v>
      </c>
      <c r="I5400" s="110" t="s">
        <v>30475</v>
      </c>
    </row>
    <row r="5401" spans="1:9" ht="25.2" x14ac:dyDescent="0.3">
      <c r="A5401" s="109" t="s">
        <v>30476</v>
      </c>
      <c r="B5401" s="109" t="s">
        <v>30220</v>
      </c>
      <c r="C5401" s="109" t="s">
        <v>30220</v>
      </c>
      <c r="D5401" s="109" t="s">
        <v>30477</v>
      </c>
      <c r="E5401" s="109" t="s">
        <v>5558</v>
      </c>
      <c r="F5401" s="109" t="s">
        <v>30478</v>
      </c>
      <c r="G5401" s="110" t="s">
        <v>6248</v>
      </c>
      <c r="H5401" s="110" t="s">
        <v>6398</v>
      </c>
      <c r="I5401" s="110" t="s">
        <v>30479</v>
      </c>
    </row>
    <row r="5402" spans="1:9" ht="25.2" x14ac:dyDescent="0.3">
      <c r="A5402" s="109" t="s">
        <v>30480</v>
      </c>
      <c r="B5402" s="109" t="s">
        <v>30220</v>
      </c>
      <c r="C5402" s="109" t="s">
        <v>30220</v>
      </c>
      <c r="D5402" s="109" t="s">
        <v>30481</v>
      </c>
      <c r="E5402" s="109" t="s">
        <v>5558</v>
      </c>
      <c r="F5402" s="109" t="s">
        <v>30482</v>
      </c>
      <c r="G5402" s="110" t="s">
        <v>6248</v>
      </c>
      <c r="H5402" s="110" t="s">
        <v>10349</v>
      </c>
      <c r="I5402" s="110" t="s">
        <v>30483</v>
      </c>
    </row>
    <row r="5403" spans="1:9" ht="25.2" x14ac:dyDescent="0.3">
      <c r="A5403" s="109" t="s">
        <v>30484</v>
      </c>
      <c r="B5403" s="109" t="s">
        <v>30220</v>
      </c>
      <c r="C5403" s="109" t="s">
        <v>30220</v>
      </c>
      <c r="D5403" s="109" t="s">
        <v>30485</v>
      </c>
      <c r="E5403" s="109" t="s">
        <v>5558</v>
      </c>
      <c r="F5403" s="109" t="s">
        <v>30486</v>
      </c>
      <c r="G5403" s="110" t="s">
        <v>6248</v>
      </c>
      <c r="H5403" s="110" t="s">
        <v>6557</v>
      </c>
      <c r="I5403" s="110" t="s">
        <v>30487</v>
      </c>
    </row>
    <row r="5404" spans="1:9" ht="25.2" x14ac:dyDescent="0.3">
      <c r="A5404" s="109" t="s">
        <v>30488</v>
      </c>
      <c r="B5404" s="109" t="s">
        <v>30220</v>
      </c>
      <c r="C5404" s="109" t="s">
        <v>30220</v>
      </c>
      <c r="D5404" s="109" t="s">
        <v>30489</v>
      </c>
      <c r="E5404" s="109" t="s">
        <v>5558</v>
      </c>
      <c r="F5404" s="109" t="s">
        <v>30490</v>
      </c>
      <c r="G5404" s="110" t="s">
        <v>6248</v>
      </c>
      <c r="H5404" s="110" t="s">
        <v>6601</v>
      </c>
      <c r="I5404" s="110" t="s">
        <v>30491</v>
      </c>
    </row>
    <row r="5405" spans="1:9" ht="37.799999999999997" x14ac:dyDescent="0.3">
      <c r="A5405" s="109" t="s">
        <v>30492</v>
      </c>
      <c r="B5405" s="109" t="s">
        <v>30220</v>
      </c>
      <c r="C5405" s="109" t="s">
        <v>30220</v>
      </c>
      <c r="D5405" s="109" t="s">
        <v>30493</v>
      </c>
      <c r="E5405" s="109" t="s">
        <v>5558</v>
      </c>
      <c r="F5405" s="109" t="s">
        <v>30494</v>
      </c>
      <c r="G5405" s="110" t="s">
        <v>6248</v>
      </c>
      <c r="H5405" s="110" t="s">
        <v>6557</v>
      </c>
      <c r="I5405" s="110" t="s">
        <v>30495</v>
      </c>
    </row>
    <row r="5406" spans="1:9" ht="25.2" x14ac:dyDescent="0.3">
      <c r="A5406" s="109" t="s">
        <v>30496</v>
      </c>
      <c r="B5406" s="109" t="s">
        <v>30220</v>
      </c>
      <c r="C5406" s="109" t="s">
        <v>30220</v>
      </c>
      <c r="D5406" s="109" t="s">
        <v>30497</v>
      </c>
      <c r="E5406" s="109" t="s">
        <v>5558</v>
      </c>
      <c r="F5406" s="109" t="s">
        <v>30498</v>
      </c>
      <c r="G5406" s="110" t="s">
        <v>6248</v>
      </c>
      <c r="H5406" s="110" t="s">
        <v>6557</v>
      </c>
      <c r="I5406" s="110" t="s">
        <v>30499</v>
      </c>
    </row>
    <row r="5407" spans="1:9" ht="37.799999999999997" x14ac:dyDescent="0.3">
      <c r="A5407" s="109" t="s">
        <v>30500</v>
      </c>
      <c r="B5407" s="109" t="s">
        <v>30220</v>
      </c>
      <c r="C5407" s="109" t="s">
        <v>30220</v>
      </c>
      <c r="D5407" s="109" t="s">
        <v>30501</v>
      </c>
      <c r="E5407" s="109" t="s">
        <v>5558</v>
      </c>
      <c r="F5407" s="109" t="s">
        <v>30502</v>
      </c>
      <c r="G5407" s="110" t="s">
        <v>6248</v>
      </c>
      <c r="H5407" s="110" t="s">
        <v>6489</v>
      </c>
      <c r="I5407" s="110" t="s">
        <v>30503</v>
      </c>
    </row>
    <row r="5408" spans="1:9" ht="25.2" x14ac:dyDescent="0.3">
      <c r="A5408" s="109" t="s">
        <v>30504</v>
      </c>
      <c r="B5408" s="109" t="s">
        <v>30220</v>
      </c>
      <c r="C5408" s="109" t="s">
        <v>30220</v>
      </c>
      <c r="D5408" s="109" t="s">
        <v>30505</v>
      </c>
      <c r="E5408" s="109" t="s">
        <v>5558</v>
      </c>
      <c r="F5408" s="109" t="s">
        <v>30506</v>
      </c>
      <c r="G5408" s="110" t="s">
        <v>6248</v>
      </c>
      <c r="H5408" s="110" t="s">
        <v>15239</v>
      </c>
      <c r="I5408" s="110" t="s">
        <v>30507</v>
      </c>
    </row>
    <row r="5409" spans="1:9" ht="25.2" x14ac:dyDescent="0.3">
      <c r="A5409" s="109" t="s">
        <v>30508</v>
      </c>
      <c r="B5409" s="109" t="s">
        <v>30220</v>
      </c>
      <c r="C5409" s="109" t="s">
        <v>30220</v>
      </c>
      <c r="D5409" s="109" t="s">
        <v>30509</v>
      </c>
      <c r="E5409" s="109" t="s">
        <v>5558</v>
      </c>
      <c r="F5409" s="109" t="s">
        <v>30510</v>
      </c>
      <c r="G5409" s="110" t="s">
        <v>6248</v>
      </c>
      <c r="H5409" s="110" t="s">
        <v>7817</v>
      </c>
      <c r="I5409" s="110" t="s">
        <v>30511</v>
      </c>
    </row>
    <row r="5410" spans="1:9" ht="25.2" x14ac:dyDescent="0.3">
      <c r="A5410" s="109" t="s">
        <v>30512</v>
      </c>
      <c r="B5410" s="109" t="s">
        <v>30220</v>
      </c>
      <c r="C5410" s="109" t="s">
        <v>30220</v>
      </c>
      <c r="D5410" s="109" t="s">
        <v>30513</v>
      </c>
      <c r="E5410" s="109" t="s">
        <v>5558</v>
      </c>
      <c r="F5410" s="109" t="s">
        <v>30441</v>
      </c>
      <c r="G5410" s="110" t="s">
        <v>6248</v>
      </c>
      <c r="H5410" s="110" t="s">
        <v>6398</v>
      </c>
      <c r="I5410" s="110" t="s">
        <v>30514</v>
      </c>
    </row>
    <row r="5411" spans="1:9" ht="37.799999999999997" x14ac:dyDescent="0.3">
      <c r="A5411" s="109" t="s">
        <v>30515</v>
      </c>
      <c r="B5411" s="109" t="s">
        <v>30220</v>
      </c>
      <c r="C5411" s="109" t="s">
        <v>30220</v>
      </c>
      <c r="D5411" s="109" t="s">
        <v>30516</v>
      </c>
      <c r="E5411" s="109" t="s">
        <v>5558</v>
      </c>
      <c r="F5411" s="109" t="s">
        <v>30517</v>
      </c>
      <c r="G5411" s="110" t="s">
        <v>6248</v>
      </c>
      <c r="H5411" s="110" t="s">
        <v>8154</v>
      </c>
      <c r="I5411" s="110" t="s">
        <v>30518</v>
      </c>
    </row>
    <row r="5412" spans="1:9" ht="25.2" x14ac:dyDescent="0.3">
      <c r="A5412" s="109" t="s">
        <v>30519</v>
      </c>
      <c r="B5412" s="109" t="s">
        <v>30220</v>
      </c>
      <c r="C5412" s="109" t="s">
        <v>30220</v>
      </c>
      <c r="D5412" s="109" t="s">
        <v>4623</v>
      </c>
      <c r="E5412" s="109" t="s">
        <v>5558</v>
      </c>
      <c r="F5412" s="109" t="s">
        <v>30520</v>
      </c>
      <c r="G5412" s="110" t="s">
        <v>6248</v>
      </c>
      <c r="H5412" s="110" t="s">
        <v>6660</v>
      </c>
      <c r="I5412" s="110" t="s">
        <v>30521</v>
      </c>
    </row>
    <row r="5413" spans="1:9" ht="25.2" x14ac:dyDescent="0.3">
      <c r="A5413" s="109" t="s">
        <v>30522</v>
      </c>
      <c r="B5413" s="109" t="s">
        <v>30220</v>
      </c>
      <c r="C5413" s="109" t="s">
        <v>30220</v>
      </c>
      <c r="D5413" s="109" t="s">
        <v>30523</v>
      </c>
      <c r="E5413" s="109" t="s">
        <v>5558</v>
      </c>
      <c r="F5413" s="109" t="s">
        <v>30524</v>
      </c>
      <c r="G5413" s="110" t="s">
        <v>6248</v>
      </c>
      <c r="H5413" s="110" t="s">
        <v>30525</v>
      </c>
      <c r="I5413" s="110" t="s">
        <v>30526</v>
      </c>
    </row>
    <row r="5414" spans="1:9" ht="25.2" x14ac:dyDescent="0.3">
      <c r="A5414" s="109" t="s">
        <v>30527</v>
      </c>
      <c r="B5414" s="109" t="s">
        <v>30220</v>
      </c>
      <c r="C5414" s="109" t="s">
        <v>30220</v>
      </c>
      <c r="D5414" s="109" t="s">
        <v>30528</v>
      </c>
      <c r="E5414" s="109" t="s">
        <v>30529</v>
      </c>
      <c r="F5414" s="109" t="s">
        <v>19355</v>
      </c>
      <c r="G5414" s="110" t="s">
        <v>30530</v>
      </c>
      <c r="H5414" s="110" t="s">
        <v>6248</v>
      </c>
      <c r="I5414" s="110" t="s">
        <v>30531</v>
      </c>
    </row>
    <row r="5415" spans="1:9" ht="25.2" x14ac:dyDescent="0.3">
      <c r="A5415" s="109" t="s">
        <v>30532</v>
      </c>
      <c r="B5415" s="109" t="s">
        <v>30220</v>
      </c>
      <c r="C5415" s="109" t="s">
        <v>30220</v>
      </c>
      <c r="D5415" s="109" t="s">
        <v>6255</v>
      </c>
      <c r="E5415" s="109" t="s">
        <v>5558</v>
      </c>
      <c r="F5415" s="109" t="s">
        <v>2258</v>
      </c>
      <c r="G5415" s="110" t="s">
        <v>6248</v>
      </c>
      <c r="H5415" s="110" t="s">
        <v>30533</v>
      </c>
      <c r="I5415" s="110" t="s">
        <v>30534</v>
      </c>
    </row>
    <row r="5416" spans="1:9" ht="25.2" x14ac:dyDescent="0.3">
      <c r="A5416" s="109" t="s">
        <v>30535</v>
      </c>
      <c r="B5416" s="109" t="s">
        <v>30220</v>
      </c>
      <c r="C5416" s="109" t="s">
        <v>30220</v>
      </c>
      <c r="D5416" s="109" t="s">
        <v>4628</v>
      </c>
      <c r="E5416" s="109" t="s">
        <v>30536</v>
      </c>
      <c r="F5416" s="109" t="s">
        <v>10933</v>
      </c>
      <c r="G5416" s="110" t="s">
        <v>6248</v>
      </c>
      <c r="H5416" s="110" t="s">
        <v>7321</v>
      </c>
      <c r="I5416" s="110" t="s">
        <v>30537</v>
      </c>
    </row>
    <row r="5417" spans="1:9" ht="37.799999999999997" x14ac:dyDescent="0.3">
      <c r="A5417" s="109" t="s">
        <v>30538</v>
      </c>
      <c r="B5417" s="109" t="s">
        <v>30220</v>
      </c>
      <c r="C5417" s="109" t="s">
        <v>30220</v>
      </c>
      <c r="D5417" s="109" t="s">
        <v>30539</v>
      </c>
      <c r="E5417" s="109" t="s">
        <v>5558</v>
      </c>
      <c r="F5417" s="109" t="s">
        <v>30540</v>
      </c>
      <c r="G5417" s="110" t="s">
        <v>6248</v>
      </c>
      <c r="H5417" s="110" t="s">
        <v>30541</v>
      </c>
      <c r="I5417" s="110" t="s">
        <v>30542</v>
      </c>
    </row>
    <row r="5418" spans="1:9" ht="25.2" x14ac:dyDescent="0.3">
      <c r="A5418" s="109" t="s">
        <v>30543</v>
      </c>
      <c r="B5418" s="109" t="s">
        <v>30220</v>
      </c>
      <c r="C5418" s="109" t="s">
        <v>30220</v>
      </c>
      <c r="D5418" s="109" t="s">
        <v>4634</v>
      </c>
      <c r="E5418" s="109" t="s">
        <v>5558</v>
      </c>
      <c r="F5418" s="109" t="s">
        <v>30544</v>
      </c>
      <c r="G5418" s="110" t="s">
        <v>6248</v>
      </c>
      <c r="H5418" s="110" t="s">
        <v>30545</v>
      </c>
      <c r="I5418" s="110" t="s">
        <v>30546</v>
      </c>
    </row>
    <row r="5419" spans="1:9" ht="37.799999999999997" x14ac:dyDescent="0.3">
      <c r="A5419" s="109" t="s">
        <v>30547</v>
      </c>
      <c r="B5419" s="109" t="s">
        <v>30220</v>
      </c>
      <c r="C5419" s="109" t="s">
        <v>30220</v>
      </c>
      <c r="D5419" s="109" t="s">
        <v>30548</v>
      </c>
      <c r="E5419" s="109" t="s">
        <v>5558</v>
      </c>
      <c r="F5419" s="109" t="s">
        <v>30549</v>
      </c>
      <c r="G5419" s="110" t="s">
        <v>6248</v>
      </c>
      <c r="H5419" s="110" t="s">
        <v>30550</v>
      </c>
      <c r="I5419" s="110" t="s">
        <v>30551</v>
      </c>
    </row>
    <row r="5420" spans="1:9" ht="25.2" x14ac:dyDescent="0.3">
      <c r="A5420" s="109" t="s">
        <v>30552</v>
      </c>
      <c r="B5420" s="109" t="s">
        <v>30220</v>
      </c>
      <c r="C5420" s="109" t="s">
        <v>30220</v>
      </c>
      <c r="D5420" s="109" t="s">
        <v>30553</v>
      </c>
      <c r="E5420" s="109" t="s">
        <v>5558</v>
      </c>
      <c r="F5420" s="109" t="s">
        <v>30554</v>
      </c>
      <c r="G5420" s="110" t="s">
        <v>6248</v>
      </c>
      <c r="H5420" s="110" t="s">
        <v>9699</v>
      </c>
      <c r="I5420" s="110" t="s">
        <v>30555</v>
      </c>
    </row>
    <row r="5421" spans="1:9" ht="25.2" x14ac:dyDescent="0.3">
      <c r="A5421" s="109" t="s">
        <v>30556</v>
      </c>
      <c r="B5421" s="109" t="s">
        <v>30220</v>
      </c>
      <c r="C5421" s="109" t="s">
        <v>30220</v>
      </c>
      <c r="D5421" s="109" t="s">
        <v>30557</v>
      </c>
      <c r="E5421" s="109" t="s">
        <v>30558</v>
      </c>
      <c r="F5421" s="109" t="s">
        <v>30559</v>
      </c>
      <c r="G5421" s="110" t="s">
        <v>30560</v>
      </c>
      <c r="H5421" s="110" t="s">
        <v>6248</v>
      </c>
      <c r="I5421" s="110" t="s">
        <v>30561</v>
      </c>
    </row>
    <row r="5422" spans="1:9" ht="25.2" x14ac:dyDescent="0.3">
      <c r="A5422" s="109" t="s">
        <v>30562</v>
      </c>
      <c r="B5422" s="109" t="s">
        <v>30220</v>
      </c>
      <c r="C5422" s="109" t="s">
        <v>30220</v>
      </c>
      <c r="D5422" s="109" t="s">
        <v>30563</v>
      </c>
      <c r="E5422" s="109" t="s">
        <v>5558</v>
      </c>
      <c r="F5422" s="109" t="s">
        <v>30564</v>
      </c>
      <c r="G5422" s="110" t="s">
        <v>6248</v>
      </c>
      <c r="H5422" s="110" t="s">
        <v>6352</v>
      </c>
      <c r="I5422" s="110" t="s">
        <v>30565</v>
      </c>
    </row>
    <row r="5423" spans="1:9" ht="25.2" x14ac:dyDescent="0.3">
      <c r="A5423" s="109" t="s">
        <v>30566</v>
      </c>
      <c r="B5423" s="109" t="s">
        <v>30220</v>
      </c>
      <c r="C5423" s="109" t="s">
        <v>30220</v>
      </c>
      <c r="D5423" s="109" t="s">
        <v>4635</v>
      </c>
      <c r="E5423" s="109" t="s">
        <v>30567</v>
      </c>
      <c r="F5423" s="109" t="s">
        <v>6267</v>
      </c>
      <c r="G5423" s="110" t="s">
        <v>6248</v>
      </c>
      <c r="H5423" s="110" t="s">
        <v>30568</v>
      </c>
      <c r="I5423" s="110" t="s">
        <v>30569</v>
      </c>
    </row>
    <row r="5424" spans="1:9" ht="25.2" x14ac:dyDescent="0.3">
      <c r="A5424" s="109" t="s">
        <v>30570</v>
      </c>
      <c r="B5424" s="109" t="s">
        <v>30220</v>
      </c>
      <c r="C5424" s="109" t="s">
        <v>30220</v>
      </c>
      <c r="D5424" s="109" t="s">
        <v>30571</v>
      </c>
      <c r="E5424" s="109" t="s">
        <v>5558</v>
      </c>
      <c r="F5424" s="109" t="s">
        <v>30572</v>
      </c>
      <c r="G5424" s="110" t="s">
        <v>6248</v>
      </c>
      <c r="H5424" s="110" t="s">
        <v>30573</v>
      </c>
      <c r="I5424" s="110" t="s">
        <v>30574</v>
      </c>
    </row>
    <row r="5425" spans="1:9" ht="25.2" x14ac:dyDescent="0.3">
      <c r="A5425" s="109" t="s">
        <v>30575</v>
      </c>
      <c r="B5425" s="109" t="s">
        <v>30220</v>
      </c>
      <c r="C5425" s="109" t="s">
        <v>30220</v>
      </c>
      <c r="D5425" s="109" t="s">
        <v>5569</v>
      </c>
      <c r="E5425" s="109" t="s">
        <v>5558</v>
      </c>
      <c r="F5425" s="109" t="s">
        <v>2258</v>
      </c>
      <c r="G5425" s="110" t="s">
        <v>6248</v>
      </c>
      <c r="H5425" s="110" t="s">
        <v>30576</v>
      </c>
      <c r="I5425" s="110" t="s">
        <v>30577</v>
      </c>
    </row>
    <row r="5426" spans="1:9" ht="25.2" x14ac:dyDescent="0.3">
      <c r="A5426" s="109" t="s">
        <v>30578</v>
      </c>
      <c r="B5426" s="109" t="s">
        <v>30220</v>
      </c>
      <c r="C5426" s="109" t="s">
        <v>30220</v>
      </c>
      <c r="D5426" s="109" t="s">
        <v>30579</v>
      </c>
      <c r="E5426" s="109" t="s">
        <v>30580</v>
      </c>
      <c r="F5426" s="109" t="s">
        <v>30581</v>
      </c>
      <c r="G5426" s="110" t="s">
        <v>6248</v>
      </c>
      <c r="H5426" s="110" t="s">
        <v>30582</v>
      </c>
      <c r="I5426" s="110" t="s">
        <v>30583</v>
      </c>
    </row>
    <row r="5427" spans="1:9" ht="37.799999999999997" x14ac:dyDescent="0.3">
      <c r="A5427" s="109" t="s">
        <v>30584</v>
      </c>
      <c r="B5427" s="109" t="s">
        <v>30220</v>
      </c>
      <c r="C5427" s="109" t="s">
        <v>30220</v>
      </c>
      <c r="D5427" s="109" t="s">
        <v>30585</v>
      </c>
      <c r="E5427" s="109" t="s">
        <v>5558</v>
      </c>
      <c r="F5427" s="109" t="s">
        <v>30586</v>
      </c>
      <c r="G5427" s="110" t="s">
        <v>6248</v>
      </c>
      <c r="H5427" s="110" t="s">
        <v>30587</v>
      </c>
      <c r="I5427" s="110" t="s">
        <v>30588</v>
      </c>
    </row>
    <row r="5428" spans="1:9" ht="25.2" x14ac:dyDescent="0.3">
      <c r="A5428" s="109" t="s">
        <v>30589</v>
      </c>
      <c r="B5428" s="109" t="s">
        <v>30220</v>
      </c>
      <c r="C5428" s="109" t="s">
        <v>30220</v>
      </c>
      <c r="D5428" s="109" t="s">
        <v>30590</v>
      </c>
      <c r="E5428" s="109" t="s">
        <v>30591</v>
      </c>
      <c r="F5428" s="109" t="s">
        <v>30581</v>
      </c>
      <c r="G5428" s="110" t="s">
        <v>6248</v>
      </c>
      <c r="H5428" s="110" t="s">
        <v>27145</v>
      </c>
      <c r="I5428" s="110" t="s">
        <v>30592</v>
      </c>
    </row>
    <row r="5429" spans="1:9" ht="25.2" x14ac:dyDescent="0.3">
      <c r="A5429" s="109" t="s">
        <v>30593</v>
      </c>
      <c r="B5429" s="109" t="s">
        <v>30220</v>
      </c>
      <c r="C5429" s="109" t="s">
        <v>30220</v>
      </c>
      <c r="D5429" s="109" t="s">
        <v>30594</v>
      </c>
      <c r="E5429" s="109" t="s">
        <v>5992</v>
      </c>
      <c r="F5429" s="109" t="s">
        <v>5993</v>
      </c>
      <c r="G5429" s="110" t="s">
        <v>6248</v>
      </c>
      <c r="H5429" s="110" t="s">
        <v>30595</v>
      </c>
      <c r="I5429" s="110" t="s">
        <v>30596</v>
      </c>
    </row>
    <row r="5430" spans="1:9" ht="37.799999999999997" x14ac:dyDescent="0.3">
      <c r="A5430" s="109" t="s">
        <v>30597</v>
      </c>
      <c r="B5430" s="109" t="s">
        <v>30220</v>
      </c>
      <c r="C5430" s="109" t="s">
        <v>30220</v>
      </c>
      <c r="D5430" s="109" t="s">
        <v>30598</v>
      </c>
      <c r="E5430" s="109" t="s">
        <v>5558</v>
      </c>
      <c r="F5430" s="109" t="s">
        <v>30599</v>
      </c>
      <c r="G5430" s="110" t="s">
        <v>6248</v>
      </c>
      <c r="H5430" s="110" t="s">
        <v>30600</v>
      </c>
      <c r="I5430" s="110" t="s">
        <v>30601</v>
      </c>
    </row>
    <row r="5431" spans="1:9" ht="25.2" x14ac:dyDescent="0.3">
      <c r="A5431" s="109" t="s">
        <v>30602</v>
      </c>
      <c r="B5431" s="109" t="s">
        <v>30220</v>
      </c>
      <c r="C5431" s="109" t="s">
        <v>30220</v>
      </c>
      <c r="D5431" s="109" t="s">
        <v>30603</v>
      </c>
      <c r="E5431" s="109" t="s">
        <v>30604</v>
      </c>
      <c r="F5431" s="109" t="s">
        <v>30605</v>
      </c>
      <c r="G5431" s="110" t="s">
        <v>6248</v>
      </c>
      <c r="H5431" s="110" t="s">
        <v>30606</v>
      </c>
      <c r="I5431" s="110" t="s">
        <v>30607</v>
      </c>
    </row>
    <row r="5432" spans="1:9" ht="25.2" x14ac:dyDescent="0.3">
      <c r="A5432" s="109" t="s">
        <v>30608</v>
      </c>
      <c r="B5432" s="109" t="s">
        <v>30220</v>
      </c>
      <c r="C5432" s="109" t="s">
        <v>30220</v>
      </c>
      <c r="D5432" s="109" t="s">
        <v>30609</v>
      </c>
      <c r="E5432" s="109" t="s">
        <v>30610</v>
      </c>
      <c r="F5432" s="109" t="s">
        <v>8207</v>
      </c>
      <c r="G5432" s="110" t="s">
        <v>6248</v>
      </c>
      <c r="H5432" s="110" t="s">
        <v>30611</v>
      </c>
      <c r="I5432" s="110" t="s">
        <v>30612</v>
      </c>
    </row>
    <row r="5433" spans="1:9" ht="37.799999999999997" x14ac:dyDescent="0.3">
      <c r="A5433" s="109" t="s">
        <v>30613</v>
      </c>
      <c r="B5433" s="109" t="s">
        <v>30220</v>
      </c>
      <c r="C5433" s="109" t="s">
        <v>30220</v>
      </c>
      <c r="D5433" s="109" t="s">
        <v>30614</v>
      </c>
      <c r="E5433" s="109" t="s">
        <v>5558</v>
      </c>
      <c r="F5433" s="109" t="s">
        <v>30615</v>
      </c>
      <c r="G5433" s="110" t="s">
        <v>6248</v>
      </c>
      <c r="H5433" s="110" t="s">
        <v>30616</v>
      </c>
      <c r="I5433" s="110" t="s">
        <v>30617</v>
      </c>
    </row>
    <row r="5434" spans="1:9" ht="25.2" x14ac:dyDescent="0.3">
      <c r="A5434" s="109" t="s">
        <v>30618</v>
      </c>
      <c r="B5434" s="109" t="s">
        <v>30220</v>
      </c>
      <c r="C5434" s="109" t="s">
        <v>30220</v>
      </c>
      <c r="D5434" s="109" t="s">
        <v>30619</v>
      </c>
      <c r="E5434" s="109" t="s">
        <v>30620</v>
      </c>
      <c r="F5434" s="109" t="s">
        <v>30621</v>
      </c>
      <c r="G5434" s="110" t="s">
        <v>6248</v>
      </c>
      <c r="H5434" s="110" t="s">
        <v>9407</v>
      </c>
      <c r="I5434" s="110" t="s">
        <v>30622</v>
      </c>
    </row>
    <row r="5435" spans="1:9" ht="25.2" x14ac:dyDescent="0.3">
      <c r="A5435" s="109" t="s">
        <v>30623</v>
      </c>
      <c r="B5435" s="109" t="s">
        <v>30220</v>
      </c>
      <c r="C5435" s="109" t="s">
        <v>30220</v>
      </c>
      <c r="D5435" s="109" t="s">
        <v>5569</v>
      </c>
      <c r="E5435" s="109" t="s">
        <v>5558</v>
      </c>
      <c r="F5435" s="109" t="s">
        <v>2258</v>
      </c>
      <c r="G5435" s="110" t="s">
        <v>6248</v>
      </c>
      <c r="H5435" s="110" t="s">
        <v>30624</v>
      </c>
      <c r="I5435" s="110" t="s">
        <v>30625</v>
      </c>
    </row>
    <row r="5436" spans="1:9" ht="25.2" x14ac:dyDescent="0.3">
      <c r="A5436" s="109" t="s">
        <v>30626</v>
      </c>
      <c r="B5436" s="109" t="s">
        <v>30220</v>
      </c>
      <c r="C5436" s="109" t="s">
        <v>30220</v>
      </c>
      <c r="D5436" s="109" t="s">
        <v>30627</v>
      </c>
      <c r="E5436" s="109" t="s">
        <v>30628</v>
      </c>
      <c r="F5436" s="109" t="s">
        <v>30629</v>
      </c>
      <c r="G5436" s="110" t="s">
        <v>6248</v>
      </c>
      <c r="H5436" s="110" t="s">
        <v>30630</v>
      </c>
      <c r="I5436" s="110" t="s">
        <v>30631</v>
      </c>
    </row>
    <row r="5437" spans="1:9" ht="25.2" x14ac:dyDescent="0.3">
      <c r="A5437" s="109" t="s">
        <v>30632</v>
      </c>
      <c r="B5437" s="109" t="s">
        <v>30220</v>
      </c>
      <c r="C5437" s="109" t="s">
        <v>30220</v>
      </c>
      <c r="D5437" s="109" t="s">
        <v>30633</v>
      </c>
      <c r="E5437" s="109" t="s">
        <v>5558</v>
      </c>
      <c r="F5437" s="109" t="s">
        <v>30634</v>
      </c>
      <c r="G5437" s="110" t="s">
        <v>6248</v>
      </c>
      <c r="H5437" s="110" t="s">
        <v>8756</v>
      </c>
      <c r="I5437" s="110" t="s">
        <v>30635</v>
      </c>
    </row>
    <row r="5438" spans="1:9" ht="25.2" x14ac:dyDescent="0.3">
      <c r="A5438" s="109" t="s">
        <v>30636</v>
      </c>
      <c r="B5438" s="109" t="s">
        <v>30220</v>
      </c>
      <c r="C5438" s="109" t="s">
        <v>30220</v>
      </c>
      <c r="D5438" s="109" t="s">
        <v>30637</v>
      </c>
      <c r="E5438" s="109" t="s">
        <v>5558</v>
      </c>
      <c r="F5438" s="109" t="s">
        <v>30638</v>
      </c>
      <c r="G5438" s="110" t="s">
        <v>6248</v>
      </c>
      <c r="H5438" s="110" t="s">
        <v>30639</v>
      </c>
      <c r="I5438" s="110" t="s">
        <v>30640</v>
      </c>
    </row>
    <row r="5439" spans="1:9" ht="25.2" x14ac:dyDescent="0.3">
      <c r="A5439" s="109" t="s">
        <v>30641</v>
      </c>
      <c r="B5439" s="109" t="s">
        <v>30220</v>
      </c>
      <c r="C5439" s="109" t="s">
        <v>30220</v>
      </c>
      <c r="D5439" s="109" t="s">
        <v>5569</v>
      </c>
      <c r="E5439" s="109" t="s">
        <v>5558</v>
      </c>
      <c r="F5439" s="109" t="s">
        <v>2258</v>
      </c>
      <c r="G5439" s="110" t="s">
        <v>6248</v>
      </c>
      <c r="H5439" s="110" t="s">
        <v>30642</v>
      </c>
      <c r="I5439" s="110" t="s">
        <v>30643</v>
      </c>
    </row>
    <row r="5440" spans="1:9" ht="25.2" x14ac:dyDescent="0.3">
      <c r="A5440" s="109" t="s">
        <v>30644</v>
      </c>
      <c r="B5440" s="109" t="s">
        <v>30220</v>
      </c>
      <c r="C5440" s="109" t="s">
        <v>30220</v>
      </c>
      <c r="D5440" s="109" t="s">
        <v>5569</v>
      </c>
      <c r="E5440" s="109" t="s">
        <v>5558</v>
      </c>
      <c r="F5440" s="109" t="s">
        <v>2258</v>
      </c>
      <c r="G5440" s="110" t="s">
        <v>6248</v>
      </c>
      <c r="H5440" s="110" t="s">
        <v>24765</v>
      </c>
      <c r="I5440" s="110" t="s">
        <v>30645</v>
      </c>
    </row>
    <row r="5441" spans="1:9" ht="37.799999999999997" x14ac:dyDescent="0.3">
      <c r="A5441" s="109" t="s">
        <v>30646</v>
      </c>
      <c r="B5441" s="109" t="s">
        <v>30220</v>
      </c>
      <c r="C5441" s="109" t="s">
        <v>30220</v>
      </c>
      <c r="D5441" s="109" t="s">
        <v>30647</v>
      </c>
      <c r="E5441" s="109" t="s">
        <v>5558</v>
      </c>
      <c r="F5441" s="109" t="s">
        <v>30648</v>
      </c>
      <c r="G5441" s="110" t="s">
        <v>6248</v>
      </c>
      <c r="H5441" s="110" t="s">
        <v>30649</v>
      </c>
      <c r="I5441" s="110" t="s">
        <v>30650</v>
      </c>
    </row>
    <row r="5442" spans="1:9" ht="25.2" x14ac:dyDescent="0.3">
      <c r="A5442" s="109" t="s">
        <v>30651</v>
      </c>
      <c r="B5442" s="109" t="s">
        <v>30220</v>
      </c>
      <c r="C5442" s="109" t="s">
        <v>30220</v>
      </c>
      <c r="D5442" s="109" t="s">
        <v>30652</v>
      </c>
      <c r="E5442" s="109" t="s">
        <v>30653</v>
      </c>
      <c r="F5442" s="109" t="s">
        <v>5777</v>
      </c>
      <c r="G5442" s="110" t="s">
        <v>6248</v>
      </c>
      <c r="H5442" s="110" t="s">
        <v>30654</v>
      </c>
      <c r="I5442" s="110" t="s">
        <v>30655</v>
      </c>
    </row>
    <row r="5443" spans="1:9" ht="25.2" x14ac:dyDescent="0.3">
      <c r="A5443" s="109" t="s">
        <v>30656</v>
      </c>
      <c r="B5443" s="109" t="s">
        <v>30220</v>
      </c>
      <c r="C5443" s="109" t="s">
        <v>30220</v>
      </c>
      <c r="D5443" s="109" t="s">
        <v>30657</v>
      </c>
      <c r="E5443" s="109" t="s">
        <v>5558</v>
      </c>
      <c r="F5443" s="109" t="s">
        <v>30658</v>
      </c>
      <c r="G5443" s="110" t="s">
        <v>6248</v>
      </c>
      <c r="H5443" s="110" t="s">
        <v>30659</v>
      </c>
      <c r="I5443" s="110" t="s">
        <v>30660</v>
      </c>
    </row>
    <row r="5444" spans="1:9" ht="25.2" x14ac:dyDescent="0.3">
      <c r="A5444" s="109" t="s">
        <v>30661</v>
      </c>
      <c r="B5444" s="109" t="s">
        <v>30220</v>
      </c>
      <c r="C5444" s="109" t="s">
        <v>30220</v>
      </c>
      <c r="D5444" s="109" t="s">
        <v>30662</v>
      </c>
      <c r="E5444" s="109" t="s">
        <v>5558</v>
      </c>
      <c r="F5444" s="109" t="s">
        <v>30663</v>
      </c>
      <c r="G5444" s="110" t="s">
        <v>6248</v>
      </c>
      <c r="H5444" s="110" t="s">
        <v>30664</v>
      </c>
      <c r="I5444" s="110" t="s">
        <v>30665</v>
      </c>
    </row>
    <row r="5445" spans="1:9" ht="75.599999999999994" x14ac:dyDescent="0.3">
      <c r="A5445" s="109" t="s">
        <v>30666</v>
      </c>
      <c r="B5445" s="109" t="s">
        <v>30220</v>
      </c>
      <c r="C5445" s="109" t="s">
        <v>30220</v>
      </c>
      <c r="D5445" s="109" t="s">
        <v>30667</v>
      </c>
      <c r="E5445" s="109" t="s">
        <v>30667</v>
      </c>
      <c r="F5445" s="109" t="s">
        <v>30668</v>
      </c>
      <c r="G5445" s="110" t="s">
        <v>6248</v>
      </c>
      <c r="H5445" s="110" t="s">
        <v>24576</v>
      </c>
      <c r="I5445" s="110" t="s">
        <v>30669</v>
      </c>
    </row>
    <row r="5446" spans="1:9" ht="37.799999999999997" x14ac:dyDescent="0.3">
      <c r="A5446" s="109" t="s">
        <v>30670</v>
      </c>
      <c r="B5446" s="109" t="s">
        <v>30220</v>
      </c>
      <c r="C5446" s="109" t="s">
        <v>30220</v>
      </c>
      <c r="D5446" s="109" t="s">
        <v>30671</v>
      </c>
      <c r="E5446" s="109" t="s">
        <v>5558</v>
      </c>
      <c r="F5446" s="109" t="s">
        <v>30672</v>
      </c>
      <c r="G5446" s="110" t="s">
        <v>6248</v>
      </c>
      <c r="H5446" s="110" t="s">
        <v>30673</v>
      </c>
      <c r="I5446" s="110" t="s">
        <v>30674</v>
      </c>
    </row>
    <row r="5447" spans="1:9" ht="37.799999999999997" x14ac:dyDescent="0.3">
      <c r="A5447" s="109" t="s">
        <v>30675</v>
      </c>
      <c r="B5447" s="109" t="s">
        <v>30220</v>
      </c>
      <c r="C5447" s="109" t="s">
        <v>30220</v>
      </c>
      <c r="D5447" s="109" t="s">
        <v>30676</v>
      </c>
      <c r="E5447" s="109" t="s">
        <v>5558</v>
      </c>
      <c r="F5447" s="109" t="s">
        <v>30677</v>
      </c>
      <c r="G5447" s="110" t="s">
        <v>6248</v>
      </c>
      <c r="H5447" s="110" t="s">
        <v>30678</v>
      </c>
      <c r="I5447" s="110" t="s">
        <v>30679</v>
      </c>
    </row>
    <row r="5448" spans="1:9" ht="25.2" x14ac:dyDescent="0.3">
      <c r="A5448" s="109" t="s">
        <v>30680</v>
      </c>
      <c r="B5448" s="109" t="s">
        <v>30220</v>
      </c>
      <c r="C5448" s="109" t="s">
        <v>30220</v>
      </c>
      <c r="D5448" s="109" t="s">
        <v>4650</v>
      </c>
      <c r="E5448" s="109" t="s">
        <v>30681</v>
      </c>
      <c r="F5448" s="109" t="s">
        <v>15252</v>
      </c>
      <c r="G5448" s="110" t="s">
        <v>6248</v>
      </c>
      <c r="H5448" s="110" t="s">
        <v>30682</v>
      </c>
      <c r="I5448" s="110" t="s">
        <v>30683</v>
      </c>
    </row>
    <row r="5449" spans="1:9" ht="25.2" x14ac:dyDescent="0.3">
      <c r="A5449" s="109" t="s">
        <v>30684</v>
      </c>
      <c r="B5449" s="109" t="s">
        <v>30220</v>
      </c>
      <c r="C5449" s="109" t="s">
        <v>30220</v>
      </c>
      <c r="D5449" s="109" t="s">
        <v>5569</v>
      </c>
      <c r="E5449" s="109" t="s">
        <v>5558</v>
      </c>
      <c r="F5449" s="109" t="s">
        <v>2258</v>
      </c>
      <c r="G5449" s="110" t="s">
        <v>6248</v>
      </c>
      <c r="H5449" s="110" t="s">
        <v>30685</v>
      </c>
      <c r="I5449" s="110" t="s">
        <v>30686</v>
      </c>
    </row>
    <row r="5450" spans="1:9" ht="25.2" x14ac:dyDescent="0.3">
      <c r="A5450" s="109" t="s">
        <v>30687</v>
      </c>
      <c r="B5450" s="109" t="s">
        <v>30220</v>
      </c>
      <c r="C5450" s="109" t="s">
        <v>30220</v>
      </c>
      <c r="D5450" s="109" t="s">
        <v>30688</v>
      </c>
      <c r="E5450" s="109" t="s">
        <v>5558</v>
      </c>
      <c r="F5450" s="109" t="s">
        <v>30689</v>
      </c>
      <c r="G5450" s="110" t="s">
        <v>6248</v>
      </c>
      <c r="H5450" s="110" t="s">
        <v>30690</v>
      </c>
      <c r="I5450" s="110" t="s">
        <v>30691</v>
      </c>
    </row>
    <row r="5451" spans="1:9" ht="25.2" x14ac:dyDescent="0.3">
      <c r="A5451" s="109" t="s">
        <v>30692</v>
      </c>
      <c r="B5451" s="109" t="s">
        <v>30220</v>
      </c>
      <c r="C5451" s="109" t="s">
        <v>30220</v>
      </c>
      <c r="D5451" s="109" t="s">
        <v>5569</v>
      </c>
      <c r="E5451" s="109" t="s">
        <v>5558</v>
      </c>
      <c r="F5451" s="109" t="s">
        <v>2258</v>
      </c>
      <c r="G5451" s="110" t="s">
        <v>6248</v>
      </c>
      <c r="H5451" s="110" t="s">
        <v>30693</v>
      </c>
      <c r="I5451" s="110" t="s">
        <v>30694</v>
      </c>
    </row>
    <row r="5452" spans="1:9" ht="25.2" x14ac:dyDescent="0.3">
      <c r="A5452" s="109" t="s">
        <v>30695</v>
      </c>
      <c r="B5452" s="109" t="s">
        <v>30220</v>
      </c>
      <c r="C5452" s="109" t="s">
        <v>30220</v>
      </c>
      <c r="D5452" s="109" t="s">
        <v>30696</v>
      </c>
      <c r="E5452" s="109" t="s">
        <v>5558</v>
      </c>
      <c r="F5452" s="109" t="s">
        <v>30697</v>
      </c>
      <c r="G5452" s="110" t="s">
        <v>6248</v>
      </c>
      <c r="H5452" s="110" t="s">
        <v>14330</v>
      </c>
      <c r="I5452" s="110" t="s">
        <v>30698</v>
      </c>
    </row>
    <row r="5453" spans="1:9" ht="25.2" x14ac:dyDescent="0.3">
      <c r="A5453" s="109" t="s">
        <v>30699</v>
      </c>
      <c r="B5453" s="109" t="s">
        <v>30220</v>
      </c>
      <c r="C5453" s="109" t="s">
        <v>30220</v>
      </c>
      <c r="D5453" s="109" t="s">
        <v>30700</v>
      </c>
      <c r="E5453" s="109" t="s">
        <v>30701</v>
      </c>
      <c r="F5453" s="109" t="s">
        <v>30702</v>
      </c>
      <c r="G5453" s="110" t="s">
        <v>6248</v>
      </c>
      <c r="H5453" s="110" t="s">
        <v>30703</v>
      </c>
      <c r="I5453" s="110" t="s">
        <v>30704</v>
      </c>
    </row>
    <row r="5454" spans="1:9" ht="25.2" x14ac:dyDescent="0.3">
      <c r="A5454" s="109" t="s">
        <v>30705</v>
      </c>
      <c r="B5454" s="109" t="s">
        <v>30220</v>
      </c>
      <c r="C5454" s="109" t="s">
        <v>30220</v>
      </c>
      <c r="D5454" s="109" t="s">
        <v>5151</v>
      </c>
      <c r="E5454" s="109" t="s">
        <v>30706</v>
      </c>
      <c r="F5454" s="109" t="s">
        <v>30707</v>
      </c>
      <c r="G5454" s="110" t="s">
        <v>8746</v>
      </c>
      <c r="H5454" s="110" t="s">
        <v>6248</v>
      </c>
      <c r="I5454" s="110" t="s">
        <v>30708</v>
      </c>
    </row>
    <row r="5455" spans="1:9" ht="25.2" x14ac:dyDescent="0.3">
      <c r="A5455" s="109" t="s">
        <v>30709</v>
      </c>
      <c r="B5455" s="109" t="s">
        <v>30220</v>
      </c>
      <c r="C5455" s="109" t="s">
        <v>30220</v>
      </c>
      <c r="D5455" s="109" t="s">
        <v>30710</v>
      </c>
      <c r="E5455" s="109" t="s">
        <v>30711</v>
      </c>
      <c r="F5455" s="109" t="s">
        <v>30712</v>
      </c>
      <c r="G5455" s="110" t="s">
        <v>30713</v>
      </c>
      <c r="H5455" s="110" t="s">
        <v>6248</v>
      </c>
      <c r="I5455" s="110" t="s">
        <v>30714</v>
      </c>
    </row>
    <row r="5456" spans="1:9" ht="25.2" x14ac:dyDescent="0.3">
      <c r="A5456" s="109" t="s">
        <v>30715</v>
      </c>
      <c r="B5456" s="109" t="s">
        <v>30220</v>
      </c>
      <c r="C5456" s="109" t="s">
        <v>30220</v>
      </c>
      <c r="D5456" s="109" t="s">
        <v>30716</v>
      </c>
      <c r="E5456" s="109" t="s">
        <v>5558</v>
      </c>
      <c r="F5456" s="109" t="s">
        <v>30717</v>
      </c>
      <c r="G5456" s="110" t="s">
        <v>6248</v>
      </c>
      <c r="H5456" s="110" t="s">
        <v>30718</v>
      </c>
      <c r="I5456" s="110" t="s">
        <v>30719</v>
      </c>
    </row>
    <row r="5457" spans="1:9" ht="25.2" x14ac:dyDescent="0.3">
      <c r="A5457" s="109" t="s">
        <v>30720</v>
      </c>
      <c r="B5457" s="109" t="s">
        <v>30220</v>
      </c>
      <c r="C5457" s="109" t="s">
        <v>30220</v>
      </c>
      <c r="D5457" s="109" t="s">
        <v>30721</v>
      </c>
      <c r="E5457" s="109" t="s">
        <v>30722</v>
      </c>
      <c r="F5457" s="109" t="s">
        <v>6878</v>
      </c>
      <c r="G5457" s="110" t="s">
        <v>30723</v>
      </c>
      <c r="H5457" s="110" t="s">
        <v>6248</v>
      </c>
      <c r="I5457" s="110" t="s">
        <v>30724</v>
      </c>
    </row>
    <row r="5458" spans="1:9" ht="37.799999999999997" x14ac:dyDescent="0.3">
      <c r="A5458" s="109" t="s">
        <v>30725</v>
      </c>
      <c r="B5458" s="109" t="s">
        <v>30220</v>
      </c>
      <c r="C5458" s="109" t="s">
        <v>30220</v>
      </c>
      <c r="D5458" s="109" t="s">
        <v>30726</v>
      </c>
      <c r="E5458" s="109" t="s">
        <v>5558</v>
      </c>
      <c r="F5458" s="109" t="s">
        <v>30727</v>
      </c>
      <c r="G5458" s="110" t="s">
        <v>6248</v>
      </c>
      <c r="H5458" s="110" t="s">
        <v>30728</v>
      </c>
      <c r="I5458" s="110" t="s">
        <v>30729</v>
      </c>
    </row>
    <row r="5459" spans="1:9" ht="25.2" x14ac:dyDescent="0.3">
      <c r="A5459" s="109" t="s">
        <v>30730</v>
      </c>
      <c r="B5459" s="109" t="s">
        <v>30220</v>
      </c>
      <c r="C5459" s="109" t="s">
        <v>30220</v>
      </c>
      <c r="D5459" s="109" t="s">
        <v>30731</v>
      </c>
      <c r="E5459" s="109" t="s">
        <v>30732</v>
      </c>
      <c r="F5459" s="109" t="s">
        <v>30733</v>
      </c>
      <c r="G5459" s="110" t="s">
        <v>6248</v>
      </c>
      <c r="H5459" s="110" t="s">
        <v>30734</v>
      </c>
      <c r="I5459" s="110" t="s">
        <v>30735</v>
      </c>
    </row>
    <row r="5460" spans="1:9" ht="25.2" x14ac:dyDescent="0.3">
      <c r="A5460" s="109" t="s">
        <v>30736</v>
      </c>
      <c r="B5460" s="109" t="s">
        <v>30220</v>
      </c>
      <c r="C5460" s="109" t="s">
        <v>30220</v>
      </c>
      <c r="D5460" s="109" t="s">
        <v>30737</v>
      </c>
      <c r="E5460" s="109" t="s">
        <v>5558</v>
      </c>
      <c r="F5460" s="109" t="s">
        <v>30738</v>
      </c>
      <c r="G5460" s="110" t="s">
        <v>6248</v>
      </c>
      <c r="H5460" s="110" t="s">
        <v>30739</v>
      </c>
      <c r="I5460" s="110" t="s">
        <v>30740</v>
      </c>
    </row>
    <row r="5461" spans="1:9" ht="37.799999999999997" x14ac:dyDescent="0.3">
      <c r="A5461" s="109" t="s">
        <v>30741</v>
      </c>
      <c r="B5461" s="109" t="s">
        <v>30220</v>
      </c>
      <c r="C5461" s="109" t="s">
        <v>30220</v>
      </c>
      <c r="D5461" s="109" t="s">
        <v>30742</v>
      </c>
      <c r="E5461" s="109" t="s">
        <v>5558</v>
      </c>
      <c r="F5461" s="109" t="s">
        <v>30743</v>
      </c>
      <c r="G5461" s="110" t="s">
        <v>6248</v>
      </c>
      <c r="H5461" s="110" t="s">
        <v>30744</v>
      </c>
      <c r="I5461" s="110" t="s">
        <v>30745</v>
      </c>
    </row>
    <row r="5462" spans="1:9" ht="37.799999999999997" x14ac:dyDescent="0.3">
      <c r="A5462" s="109" t="s">
        <v>30746</v>
      </c>
      <c r="B5462" s="109" t="s">
        <v>30220</v>
      </c>
      <c r="C5462" s="109" t="s">
        <v>30220</v>
      </c>
      <c r="D5462" s="109" t="s">
        <v>4677</v>
      </c>
      <c r="E5462" s="109" t="s">
        <v>5558</v>
      </c>
      <c r="F5462" s="109" t="s">
        <v>30747</v>
      </c>
      <c r="G5462" s="110" t="s">
        <v>6248</v>
      </c>
      <c r="H5462" s="110" t="s">
        <v>30748</v>
      </c>
      <c r="I5462" s="110" t="s">
        <v>30749</v>
      </c>
    </row>
    <row r="5463" spans="1:9" ht="37.799999999999997" x14ac:dyDescent="0.3">
      <c r="A5463" s="109" t="s">
        <v>30750</v>
      </c>
      <c r="B5463" s="109" t="s">
        <v>30220</v>
      </c>
      <c r="C5463" s="109" t="s">
        <v>30220</v>
      </c>
      <c r="D5463" s="109" t="s">
        <v>4642</v>
      </c>
      <c r="E5463" s="109" t="s">
        <v>5558</v>
      </c>
      <c r="F5463" s="109" t="s">
        <v>30751</v>
      </c>
      <c r="G5463" s="110" t="s">
        <v>6248</v>
      </c>
      <c r="H5463" s="110" t="s">
        <v>30752</v>
      </c>
      <c r="I5463" s="110" t="s">
        <v>30753</v>
      </c>
    </row>
    <row r="5464" spans="1:9" ht="37.799999999999997" x14ac:dyDescent="0.3">
      <c r="A5464" s="109" t="s">
        <v>30754</v>
      </c>
      <c r="B5464" s="109" t="s">
        <v>30220</v>
      </c>
      <c r="C5464" s="109" t="s">
        <v>30220</v>
      </c>
      <c r="D5464" s="109" t="s">
        <v>30755</v>
      </c>
      <c r="E5464" s="109" t="s">
        <v>5558</v>
      </c>
      <c r="F5464" s="109" t="s">
        <v>30756</v>
      </c>
      <c r="G5464" s="110" t="s">
        <v>6248</v>
      </c>
      <c r="H5464" s="110" t="s">
        <v>30757</v>
      </c>
      <c r="I5464" s="110" t="s">
        <v>30758</v>
      </c>
    </row>
    <row r="5465" spans="1:9" ht="37.799999999999997" x14ac:dyDescent="0.3">
      <c r="A5465" s="109" t="s">
        <v>30759</v>
      </c>
      <c r="B5465" s="109" t="s">
        <v>30220</v>
      </c>
      <c r="C5465" s="109" t="s">
        <v>30220</v>
      </c>
      <c r="D5465" s="109" t="s">
        <v>30760</v>
      </c>
      <c r="E5465" s="109" t="s">
        <v>5558</v>
      </c>
      <c r="F5465" s="109" t="s">
        <v>30761</v>
      </c>
      <c r="G5465" s="110" t="s">
        <v>6248</v>
      </c>
      <c r="H5465" s="110" t="s">
        <v>30762</v>
      </c>
      <c r="I5465" s="110" t="s">
        <v>30763</v>
      </c>
    </row>
    <row r="5466" spans="1:9" ht="25.2" x14ac:dyDescent="0.3">
      <c r="A5466" s="109" t="s">
        <v>30764</v>
      </c>
      <c r="B5466" s="109" t="s">
        <v>30220</v>
      </c>
      <c r="C5466" s="109" t="s">
        <v>30220</v>
      </c>
      <c r="D5466" s="109" t="s">
        <v>5569</v>
      </c>
      <c r="E5466" s="109" t="s">
        <v>5558</v>
      </c>
      <c r="F5466" s="109" t="s">
        <v>2258</v>
      </c>
      <c r="G5466" s="110" t="s">
        <v>6248</v>
      </c>
      <c r="H5466" s="110" t="s">
        <v>30765</v>
      </c>
      <c r="I5466" s="110" t="s">
        <v>30766</v>
      </c>
    </row>
    <row r="5467" spans="1:9" ht="25.2" x14ac:dyDescent="0.3">
      <c r="A5467" s="109" t="s">
        <v>30767</v>
      </c>
      <c r="B5467" s="109" t="s">
        <v>30220</v>
      </c>
      <c r="C5467" s="109" t="s">
        <v>30220</v>
      </c>
      <c r="D5467" s="109" t="s">
        <v>30768</v>
      </c>
      <c r="E5467" s="109" t="s">
        <v>30769</v>
      </c>
      <c r="F5467" s="109" t="s">
        <v>7039</v>
      </c>
      <c r="G5467" s="110" t="s">
        <v>6248</v>
      </c>
      <c r="H5467" s="110" t="s">
        <v>30770</v>
      </c>
      <c r="I5467" s="110" t="s">
        <v>30771</v>
      </c>
    </row>
    <row r="5468" spans="1:9" ht="25.2" x14ac:dyDescent="0.3">
      <c r="A5468" s="109" t="s">
        <v>30772</v>
      </c>
      <c r="B5468" s="109" t="s">
        <v>30220</v>
      </c>
      <c r="C5468" s="109" t="s">
        <v>30220</v>
      </c>
      <c r="D5468" s="109" t="s">
        <v>5150</v>
      </c>
      <c r="E5468" s="109" t="s">
        <v>30773</v>
      </c>
      <c r="F5468" s="109" t="s">
        <v>22351</v>
      </c>
      <c r="G5468" s="110" t="s">
        <v>30774</v>
      </c>
      <c r="H5468" s="110" t="s">
        <v>6248</v>
      </c>
      <c r="I5468" s="110" t="s">
        <v>30775</v>
      </c>
    </row>
    <row r="5469" spans="1:9" ht="37.799999999999997" x14ac:dyDescent="0.3">
      <c r="A5469" s="109" t="s">
        <v>30776</v>
      </c>
      <c r="B5469" s="109" t="s">
        <v>30220</v>
      </c>
      <c r="C5469" s="109" t="s">
        <v>30220</v>
      </c>
      <c r="D5469" s="109" t="s">
        <v>30777</v>
      </c>
      <c r="E5469" s="109" t="s">
        <v>5558</v>
      </c>
      <c r="F5469" s="109" t="s">
        <v>30778</v>
      </c>
      <c r="G5469" s="110" t="s">
        <v>6248</v>
      </c>
      <c r="H5469" s="110" t="s">
        <v>30779</v>
      </c>
      <c r="I5469" s="110" t="s">
        <v>30780</v>
      </c>
    </row>
    <row r="5470" spans="1:9" ht="75.599999999999994" x14ac:dyDescent="0.3">
      <c r="A5470" s="109" t="s">
        <v>30781</v>
      </c>
      <c r="B5470" s="109" t="s">
        <v>30220</v>
      </c>
      <c r="C5470" s="109" t="s">
        <v>30220</v>
      </c>
      <c r="D5470" s="109" t="s">
        <v>24826</v>
      </c>
      <c r="E5470" s="109" t="s">
        <v>24826</v>
      </c>
      <c r="F5470" s="109" t="s">
        <v>30782</v>
      </c>
      <c r="G5470" s="110" t="s">
        <v>6248</v>
      </c>
      <c r="H5470" s="110" t="s">
        <v>11912</v>
      </c>
      <c r="I5470" s="110" t="s">
        <v>30783</v>
      </c>
    </row>
    <row r="5471" spans="1:9" ht="25.2" x14ac:dyDescent="0.3">
      <c r="A5471" s="109" t="s">
        <v>30784</v>
      </c>
      <c r="B5471" s="109" t="s">
        <v>30220</v>
      </c>
      <c r="C5471" s="109" t="s">
        <v>30220</v>
      </c>
      <c r="D5471" s="109" t="s">
        <v>30785</v>
      </c>
      <c r="E5471" s="109" t="s">
        <v>5558</v>
      </c>
      <c r="F5471" s="109" t="s">
        <v>30786</v>
      </c>
      <c r="G5471" s="110" t="s">
        <v>6248</v>
      </c>
      <c r="H5471" s="110" t="s">
        <v>30787</v>
      </c>
      <c r="I5471" s="110" t="s">
        <v>30788</v>
      </c>
    </row>
    <row r="5472" spans="1:9" ht="25.2" x14ac:dyDescent="0.3">
      <c r="A5472" s="109" t="s">
        <v>30789</v>
      </c>
      <c r="B5472" s="109" t="s">
        <v>30220</v>
      </c>
      <c r="C5472" s="109" t="s">
        <v>30220</v>
      </c>
      <c r="D5472" s="109" t="s">
        <v>5569</v>
      </c>
      <c r="E5472" s="109" t="s">
        <v>5558</v>
      </c>
      <c r="F5472" s="109" t="s">
        <v>2258</v>
      </c>
      <c r="G5472" s="110" t="s">
        <v>6248</v>
      </c>
      <c r="H5472" s="110" t="s">
        <v>30790</v>
      </c>
      <c r="I5472" s="110" t="s">
        <v>30791</v>
      </c>
    </row>
    <row r="5473" spans="1:9" ht="75.599999999999994" x14ac:dyDescent="0.3">
      <c r="A5473" s="109" t="s">
        <v>30792</v>
      </c>
      <c r="B5473" s="109" t="s">
        <v>30220</v>
      </c>
      <c r="C5473" s="109" t="s">
        <v>30220</v>
      </c>
      <c r="D5473" s="109" t="s">
        <v>30793</v>
      </c>
      <c r="E5473" s="109" t="s">
        <v>30793</v>
      </c>
      <c r="F5473" s="109" t="s">
        <v>30794</v>
      </c>
      <c r="G5473" s="110" t="s">
        <v>6248</v>
      </c>
      <c r="H5473" s="110" t="s">
        <v>30795</v>
      </c>
      <c r="I5473" s="110" t="s">
        <v>30796</v>
      </c>
    </row>
    <row r="5474" spans="1:9" ht="25.2" x14ac:dyDescent="0.3">
      <c r="A5474" s="109" t="s">
        <v>30797</v>
      </c>
      <c r="B5474" s="109" t="s">
        <v>30220</v>
      </c>
      <c r="C5474" s="109" t="s">
        <v>30220</v>
      </c>
      <c r="D5474" s="109" t="s">
        <v>30798</v>
      </c>
      <c r="E5474" s="109" t="s">
        <v>5558</v>
      </c>
      <c r="F5474" s="109" t="s">
        <v>30799</v>
      </c>
      <c r="G5474" s="110" t="s">
        <v>6248</v>
      </c>
      <c r="H5474" s="110" t="s">
        <v>30800</v>
      </c>
      <c r="I5474" s="110" t="s">
        <v>30801</v>
      </c>
    </row>
    <row r="5475" spans="1:9" ht="25.2" x14ac:dyDescent="0.3">
      <c r="A5475" s="109" t="s">
        <v>30802</v>
      </c>
      <c r="B5475" s="109" t="s">
        <v>30220</v>
      </c>
      <c r="C5475" s="109" t="s">
        <v>30220</v>
      </c>
      <c r="D5475" s="109" t="s">
        <v>30803</v>
      </c>
      <c r="E5475" s="109" t="s">
        <v>30804</v>
      </c>
      <c r="F5475" s="109" t="s">
        <v>30805</v>
      </c>
      <c r="G5475" s="110" t="s">
        <v>6248</v>
      </c>
      <c r="H5475" s="110" t="s">
        <v>30806</v>
      </c>
      <c r="I5475" s="110" t="s">
        <v>30807</v>
      </c>
    </row>
    <row r="5476" spans="1:9" ht="25.2" x14ac:dyDescent="0.3">
      <c r="A5476" s="109" t="s">
        <v>30808</v>
      </c>
      <c r="B5476" s="109" t="s">
        <v>30220</v>
      </c>
      <c r="C5476" s="109" t="s">
        <v>30220</v>
      </c>
      <c r="D5476" s="109" t="s">
        <v>5569</v>
      </c>
      <c r="E5476" s="109" t="s">
        <v>5558</v>
      </c>
      <c r="F5476" s="109" t="s">
        <v>2258</v>
      </c>
      <c r="G5476" s="110" t="s">
        <v>6248</v>
      </c>
      <c r="H5476" s="110" t="s">
        <v>30809</v>
      </c>
      <c r="I5476" s="110" t="s">
        <v>30810</v>
      </c>
    </row>
    <row r="5477" spans="1:9" ht="25.2" x14ac:dyDescent="0.3">
      <c r="A5477" s="109" t="s">
        <v>30811</v>
      </c>
      <c r="B5477" s="109" t="s">
        <v>30220</v>
      </c>
      <c r="C5477" s="109" t="s">
        <v>30220</v>
      </c>
      <c r="D5477" s="109" t="s">
        <v>30812</v>
      </c>
      <c r="E5477" s="109" t="s">
        <v>5558</v>
      </c>
      <c r="F5477" s="109" t="s">
        <v>30813</v>
      </c>
      <c r="G5477" s="110" t="s">
        <v>6248</v>
      </c>
      <c r="H5477" s="110" t="s">
        <v>6968</v>
      </c>
      <c r="I5477" s="110" t="s">
        <v>30814</v>
      </c>
    </row>
    <row r="5478" spans="1:9" ht="25.2" x14ac:dyDescent="0.3">
      <c r="A5478" s="109" t="s">
        <v>30815</v>
      </c>
      <c r="B5478" s="109" t="s">
        <v>30220</v>
      </c>
      <c r="C5478" s="109" t="s">
        <v>30220</v>
      </c>
      <c r="D5478" s="109" t="s">
        <v>5569</v>
      </c>
      <c r="E5478" s="109" t="s">
        <v>5558</v>
      </c>
      <c r="F5478" s="109" t="s">
        <v>2258</v>
      </c>
      <c r="G5478" s="110" t="s">
        <v>6248</v>
      </c>
      <c r="H5478" s="110" t="s">
        <v>30816</v>
      </c>
      <c r="I5478" s="110" t="s">
        <v>30817</v>
      </c>
    </row>
    <row r="5479" spans="1:9" ht="25.2" x14ac:dyDescent="0.3">
      <c r="A5479" s="109" t="s">
        <v>30818</v>
      </c>
      <c r="B5479" s="109" t="s">
        <v>30220</v>
      </c>
      <c r="C5479" s="109" t="s">
        <v>30220</v>
      </c>
      <c r="D5479" s="109" t="s">
        <v>30819</v>
      </c>
      <c r="E5479" s="109" t="s">
        <v>30820</v>
      </c>
      <c r="F5479" s="109" t="s">
        <v>30821</v>
      </c>
      <c r="G5479" s="110" t="s">
        <v>6248</v>
      </c>
      <c r="H5479" s="110" t="s">
        <v>30822</v>
      </c>
      <c r="I5479" s="110" t="s">
        <v>30823</v>
      </c>
    </row>
    <row r="5480" spans="1:9" ht="63" x14ac:dyDescent="0.3">
      <c r="A5480" s="109" t="s">
        <v>30824</v>
      </c>
      <c r="B5480" s="109" t="s">
        <v>30220</v>
      </c>
      <c r="C5480" s="109" t="s">
        <v>30220</v>
      </c>
      <c r="D5480" s="109" t="s">
        <v>30825</v>
      </c>
      <c r="E5480" s="109" t="s">
        <v>30825</v>
      </c>
      <c r="F5480" s="109" t="s">
        <v>30826</v>
      </c>
      <c r="G5480" s="110" t="s">
        <v>6248</v>
      </c>
      <c r="H5480" s="110" t="s">
        <v>30827</v>
      </c>
      <c r="I5480" s="110" t="s">
        <v>30828</v>
      </c>
    </row>
    <row r="5481" spans="1:9" ht="37.799999999999997" x14ac:dyDescent="0.3">
      <c r="A5481" s="109" t="s">
        <v>30829</v>
      </c>
      <c r="B5481" s="109" t="s">
        <v>30220</v>
      </c>
      <c r="C5481" s="109" t="s">
        <v>30220</v>
      </c>
      <c r="D5481" s="109" t="s">
        <v>30830</v>
      </c>
      <c r="E5481" s="109" t="s">
        <v>5558</v>
      </c>
      <c r="F5481" s="109" t="s">
        <v>30831</v>
      </c>
      <c r="G5481" s="110" t="s">
        <v>6248</v>
      </c>
      <c r="H5481" s="110" t="s">
        <v>30832</v>
      </c>
      <c r="I5481" s="110" t="s">
        <v>30833</v>
      </c>
    </row>
    <row r="5482" spans="1:9" ht="37.799999999999997" x14ac:dyDescent="0.3">
      <c r="A5482" s="109" t="s">
        <v>30834</v>
      </c>
      <c r="B5482" s="109" t="s">
        <v>30220</v>
      </c>
      <c r="C5482" s="109" t="s">
        <v>30220</v>
      </c>
      <c r="D5482" s="109" t="s">
        <v>30835</v>
      </c>
      <c r="E5482" s="109" t="s">
        <v>5558</v>
      </c>
      <c r="F5482" s="109" t="s">
        <v>30836</v>
      </c>
      <c r="G5482" s="110" t="s">
        <v>6248</v>
      </c>
      <c r="H5482" s="110" t="s">
        <v>8154</v>
      </c>
      <c r="I5482" s="110" t="s">
        <v>30837</v>
      </c>
    </row>
    <row r="5483" spans="1:9" ht="25.2" x14ac:dyDescent="0.3">
      <c r="A5483" s="109" t="s">
        <v>30838</v>
      </c>
      <c r="B5483" s="109" t="s">
        <v>30220</v>
      </c>
      <c r="C5483" s="109" t="s">
        <v>30220</v>
      </c>
      <c r="D5483" s="109" t="s">
        <v>30839</v>
      </c>
      <c r="E5483" s="109" t="s">
        <v>30840</v>
      </c>
      <c r="F5483" s="109" t="s">
        <v>7039</v>
      </c>
      <c r="G5483" s="110" t="s">
        <v>6248</v>
      </c>
      <c r="H5483" s="110" t="s">
        <v>30841</v>
      </c>
      <c r="I5483" s="110" t="s">
        <v>30842</v>
      </c>
    </row>
    <row r="5484" spans="1:9" ht="25.2" x14ac:dyDescent="0.3">
      <c r="A5484" s="109" t="s">
        <v>30843</v>
      </c>
      <c r="B5484" s="109" t="s">
        <v>30220</v>
      </c>
      <c r="C5484" s="109" t="s">
        <v>30220</v>
      </c>
      <c r="D5484" s="109" t="s">
        <v>30844</v>
      </c>
      <c r="E5484" s="109" t="s">
        <v>30845</v>
      </c>
      <c r="F5484" s="109" t="s">
        <v>7045</v>
      </c>
      <c r="G5484" s="110" t="s">
        <v>30846</v>
      </c>
      <c r="H5484" s="110" t="s">
        <v>6248</v>
      </c>
      <c r="I5484" s="110" t="s">
        <v>30847</v>
      </c>
    </row>
    <row r="5485" spans="1:9" ht="25.2" x14ac:dyDescent="0.3">
      <c r="A5485" s="109" t="s">
        <v>30848</v>
      </c>
      <c r="B5485" s="109" t="s">
        <v>30220</v>
      </c>
      <c r="C5485" s="109" t="s">
        <v>30220</v>
      </c>
      <c r="D5485" s="109" t="s">
        <v>5569</v>
      </c>
      <c r="E5485" s="109" t="s">
        <v>5558</v>
      </c>
      <c r="F5485" s="109" t="s">
        <v>2258</v>
      </c>
      <c r="G5485" s="110" t="s">
        <v>6248</v>
      </c>
      <c r="H5485" s="110" t="s">
        <v>6278</v>
      </c>
      <c r="I5485" s="110" t="s">
        <v>30849</v>
      </c>
    </row>
    <row r="5486" spans="1:9" ht="37.799999999999997" x14ac:dyDescent="0.3">
      <c r="A5486" s="109" t="s">
        <v>30850</v>
      </c>
      <c r="B5486" s="109" t="s">
        <v>30220</v>
      </c>
      <c r="C5486" s="109" t="s">
        <v>30220</v>
      </c>
      <c r="D5486" s="109" t="s">
        <v>30851</v>
      </c>
      <c r="E5486" s="109" t="s">
        <v>5558</v>
      </c>
      <c r="F5486" s="109" t="s">
        <v>30852</v>
      </c>
      <c r="G5486" s="110" t="s">
        <v>6248</v>
      </c>
      <c r="H5486" s="110" t="s">
        <v>6992</v>
      </c>
      <c r="I5486" s="110" t="s">
        <v>30853</v>
      </c>
    </row>
    <row r="5487" spans="1:9" ht="25.2" x14ac:dyDescent="0.3">
      <c r="A5487" s="109" t="s">
        <v>30854</v>
      </c>
      <c r="B5487" s="109" t="s">
        <v>30220</v>
      </c>
      <c r="C5487" s="109" t="s">
        <v>30220</v>
      </c>
      <c r="D5487" s="109" t="s">
        <v>30855</v>
      </c>
      <c r="E5487" s="109" t="s">
        <v>5558</v>
      </c>
      <c r="F5487" s="109" t="s">
        <v>30856</v>
      </c>
      <c r="G5487" s="110" t="s">
        <v>6248</v>
      </c>
      <c r="H5487" s="110" t="s">
        <v>15449</v>
      </c>
      <c r="I5487" s="110" t="s">
        <v>30857</v>
      </c>
    </row>
    <row r="5488" spans="1:9" ht="37.799999999999997" x14ac:dyDescent="0.3">
      <c r="A5488" s="109" t="s">
        <v>30858</v>
      </c>
      <c r="B5488" s="109" t="s">
        <v>30220</v>
      </c>
      <c r="C5488" s="109" t="s">
        <v>30220</v>
      </c>
      <c r="D5488" s="109" t="s">
        <v>30859</v>
      </c>
      <c r="E5488" s="109" t="s">
        <v>5558</v>
      </c>
      <c r="F5488" s="109" t="s">
        <v>30860</v>
      </c>
      <c r="G5488" s="110" t="s">
        <v>6248</v>
      </c>
      <c r="H5488" s="110" t="s">
        <v>30861</v>
      </c>
      <c r="I5488" s="110" t="s">
        <v>30862</v>
      </c>
    </row>
    <row r="5489" spans="1:9" ht="37.799999999999997" x14ac:dyDescent="0.3">
      <c r="A5489" s="109" t="s">
        <v>30863</v>
      </c>
      <c r="B5489" s="109" t="s">
        <v>30220</v>
      </c>
      <c r="C5489" s="109" t="s">
        <v>30220</v>
      </c>
      <c r="D5489" s="109" t="s">
        <v>30864</v>
      </c>
      <c r="E5489" s="109" t="s">
        <v>5558</v>
      </c>
      <c r="F5489" s="109" t="s">
        <v>30865</v>
      </c>
      <c r="G5489" s="110" t="s">
        <v>6248</v>
      </c>
      <c r="H5489" s="110" t="s">
        <v>30866</v>
      </c>
      <c r="I5489" s="110" t="s">
        <v>30867</v>
      </c>
    </row>
    <row r="5490" spans="1:9" ht="37.799999999999997" x14ac:dyDescent="0.3">
      <c r="A5490" s="109" t="s">
        <v>30868</v>
      </c>
      <c r="B5490" s="109" t="s">
        <v>30220</v>
      </c>
      <c r="C5490" s="109" t="s">
        <v>30220</v>
      </c>
      <c r="D5490" s="109" t="s">
        <v>4869</v>
      </c>
      <c r="E5490" s="109" t="s">
        <v>5558</v>
      </c>
      <c r="F5490" s="109" t="s">
        <v>30869</v>
      </c>
      <c r="G5490" s="110" t="s">
        <v>6248</v>
      </c>
      <c r="H5490" s="110" t="s">
        <v>30870</v>
      </c>
      <c r="I5490" s="110" t="s">
        <v>30871</v>
      </c>
    </row>
    <row r="5491" spans="1:9" ht="63" x14ac:dyDescent="0.3">
      <c r="A5491" s="109" t="s">
        <v>30872</v>
      </c>
      <c r="B5491" s="109" t="s">
        <v>30220</v>
      </c>
      <c r="C5491" s="109" t="s">
        <v>30220</v>
      </c>
      <c r="D5491" s="109" t="s">
        <v>30873</v>
      </c>
      <c r="E5491" s="109" t="s">
        <v>30873</v>
      </c>
      <c r="F5491" s="109" t="s">
        <v>30874</v>
      </c>
      <c r="G5491" s="110" t="s">
        <v>6248</v>
      </c>
      <c r="H5491" s="110" t="s">
        <v>30875</v>
      </c>
      <c r="I5491" s="110" t="s">
        <v>30876</v>
      </c>
    </row>
    <row r="5492" spans="1:9" ht="25.2" x14ac:dyDescent="0.3">
      <c r="A5492" s="109" t="s">
        <v>30877</v>
      </c>
      <c r="B5492" s="109" t="s">
        <v>30220</v>
      </c>
      <c r="C5492" s="109" t="s">
        <v>30220</v>
      </c>
      <c r="D5492" s="109" t="s">
        <v>30878</v>
      </c>
      <c r="E5492" s="109" t="s">
        <v>5558</v>
      </c>
      <c r="F5492" s="109" t="s">
        <v>30879</v>
      </c>
      <c r="G5492" s="110" t="s">
        <v>6248</v>
      </c>
      <c r="H5492" s="110" t="s">
        <v>10673</v>
      </c>
      <c r="I5492" s="110" t="s">
        <v>30880</v>
      </c>
    </row>
    <row r="5493" spans="1:9" ht="50.4" x14ac:dyDescent="0.3">
      <c r="A5493" s="109" t="s">
        <v>30881</v>
      </c>
      <c r="B5493" s="109" t="s">
        <v>30220</v>
      </c>
      <c r="C5493" s="109" t="s">
        <v>30220</v>
      </c>
      <c r="D5493" s="109" t="s">
        <v>30882</v>
      </c>
      <c r="E5493" s="109" t="s">
        <v>30882</v>
      </c>
      <c r="F5493" s="109" t="s">
        <v>30883</v>
      </c>
      <c r="G5493" s="110" t="s">
        <v>6248</v>
      </c>
      <c r="H5493" s="110" t="s">
        <v>30884</v>
      </c>
      <c r="I5493" s="110" t="s">
        <v>30885</v>
      </c>
    </row>
    <row r="5494" spans="1:9" ht="37.799999999999997" x14ac:dyDescent="0.3">
      <c r="A5494" s="109" t="s">
        <v>30886</v>
      </c>
      <c r="B5494" s="109" t="s">
        <v>30220</v>
      </c>
      <c r="C5494" s="109" t="s">
        <v>30220</v>
      </c>
      <c r="D5494" s="109" t="s">
        <v>30887</v>
      </c>
      <c r="E5494" s="109" t="s">
        <v>5558</v>
      </c>
      <c r="F5494" s="109" t="s">
        <v>30888</v>
      </c>
      <c r="G5494" s="110" t="s">
        <v>6248</v>
      </c>
      <c r="H5494" s="110" t="s">
        <v>14318</v>
      </c>
      <c r="I5494" s="110" t="s">
        <v>30889</v>
      </c>
    </row>
    <row r="5495" spans="1:9" ht="25.2" x14ac:dyDescent="0.3">
      <c r="A5495" s="109" t="s">
        <v>30890</v>
      </c>
      <c r="B5495" s="109" t="s">
        <v>30220</v>
      </c>
      <c r="C5495" s="109" t="s">
        <v>30220</v>
      </c>
      <c r="D5495" s="109" t="s">
        <v>30891</v>
      </c>
      <c r="E5495" s="109" t="s">
        <v>5558</v>
      </c>
      <c r="F5495" s="109" t="s">
        <v>30892</v>
      </c>
      <c r="G5495" s="110" t="s">
        <v>6248</v>
      </c>
      <c r="H5495" s="110" t="s">
        <v>6278</v>
      </c>
      <c r="I5495" s="110" t="s">
        <v>30893</v>
      </c>
    </row>
    <row r="5496" spans="1:9" ht="25.2" x14ac:dyDescent="0.3">
      <c r="A5496" s="109" t="s">
        <v>30894</v>
      </c>
      <c r="B5496" s="109" t="s">
        <v>30220</v>
      </c>
      <c r="C5496" s="109" t="s">
        <v>30220</v>
      </c>
      <c r="D5496" s="109" t="s">
        <v>30895</v>
      </c>
      <c r="E5496" s="109" t="s">
        <v>5558</v>
      </c>
      <c r="F5496" s="109" t="s">
        <v>30896</v>
      </c>
      <c r="G5496" s="110" t="s">
        <v>6248</v>
      </c>
      <c r="H5496" s="110" t="s">
        <v>30897</v>
      </c>
      <c r="I5496" s="110" t="s">
        <v>30898</v>
      </c>
    </row>
    <row r="5497" spans="1:9" ht="50.4" x14ac:dyDescent="0.3">
      <c r="A5497" s="109" t="s">
        <v>30899</v>
      </c>
      <c r="B5497" s="109" t="s">
        <v>30220</v>
      </c>
      <c r="C5497" s="109" t="s">
        <v>30220</v>
      </c>
      <c r="D5497" s="109" t="s">
        <v>13540</v>
      </c>
      <c r="E5497" s="109" t="s">
        <v>30900</v>
      </c>
      <c r="F5497" s="109" t="s">
        <v>30901</v>
      </c>
      <c r="G5497" s="110" t="s">
        <v>6248</v>
      </c>
      <c r="H5497" s="110" t="s">
        <v>30902</v>
      </c>
      <c r="I5497" s="110" t="s">
        <v>30903</v>
      </c>
    </row>
    <row r="5498" spans="1:9" ht="25.2" x14ac:dyDescent="0.3">
      <c r="A5498" s="109" t="s">
        <v>30904</v>
      </c>
      <c r="B5498" s="109" t="s">
        <v>30220</v>
      </c>
      <c r="C5498" s="109" t="s">
        <v>30220</v>
      </c>
      <c r="D5498" s="109" t="s">
        <v>30905</v>
      </c>
      <c r="E5498" s="109" t="s">
        <v>5558</v>
      </c>
      <c r="F5498" s="109" t="s">
        <v>30906</v>
      </c>
      <c r="G5498" s="110" t="s">
        <v>6248</v>
      </c>
      <c r="H5498" s="110" t="s">
        <v>30907</v>
      </c>
      <c r="I5498" s="110" t="s">
        <v>30908</v>
      </c>
    </row>
    <row r="5499" spans="1:9" ht="63" x14ac:dyDescent="0.3">
      <c r="A5499" s="109" t="s">
        <v>30909</v>
      </c>
      <c r="B5499" s="109" t="s">
        <v>30220</v>
      </c>
      <c r="C5499" s="109" t="s">
        <v>30220</v>
      </c>
      <c r="D5499" s="109" t="s">
        <v>28785</v>
      </c>
      <c r="E5499" s="109" t="s">
        <v>28785</v>
      </c>
      <c r="F5499" s="109" t="s">
        <v>30910</v>
      </c>
      <c r="G5499" s="110" t="s">
        <v>6248</v>
      </c>
      <c r="H5499" s="110" t="s">
        <v>12476</v>
      </c>
      <c r="I5499" s="110" t="s">
        <v>30911</v>
      </c>
    </row>
    <row r="5500" spans="1:9" ht="63" x14ac:dyDescent="0.3">
      <c r="A5500" s="109" t="s">
        <v>30912</v>
      </c>
      <c r="B5500" s="109" t="s">
        <v>30220</v>
      </c>
      <c r="C5500" s="109" t="s">
        <v>30220</v>
      </c>
      <c r="D5500" s="109" t="s">
        <v>30913</v>
      </c>
      <c r="E5500" s="109" t="s">
        <v>30913</v>
      </c>
      <c r="F5500" s="109" t="s">
        <v>30914</v>
      </c>
      <c r="G5500" s="110" t="s">
        <v>6248</v>
      </c>
      <c r="H5500" s="110" t="s">
        <v>30915</v>
      </c>
      <c r="I5500" s="110" t="s">
        <v>30916</v>
      </c>
    </row>
    <row r="5501" spans="1:9" ht="37.799999999999997" x14ac:dyDescent="0.3">
      <c r="A5501" s="109" t="s">
        <v>30917</v>
      </c>
      <c r="B5501" s="109" t="s">
        <v>30220</v>
      </c>
      <c r="C5501" s="109" t="s">
        <v>30220</v>
      </c>
      <c r="D5501" s="109" t="s">
        <v>4691</v>
      </c>
      <c r="E5501" s="109" t="s">
        <v>5558</v>
      </c>
      <c r="F5501" s="109" t="s">
        <v>30918</v>
      </c>
      <c r="G5501" s="110" t="s">
        <v>6248</v>
      </c>
      <c r="H5501" s="110" t="s">
        <v>30919</v>
      </c>
      <c r="I5501" s="110" t="s">
        <v>30920</v>
      </c>
    </row>
    <row r="5502" spans="1:9" ht="25.2" x14ac:dyDescent="0.3">
      <c r="A5502" s="109" t="s">
        <v>30921</v>
      </c>
      <c r="B5502" s="109" t="s">
        <v>30220</v>
      </c>
      <c r="C5502" s="109" t="s">
        <v>30220</v>
      </c>
      <c r="D5502" s="109" t="s">
        <v>30922</v>
      </c>
      <c r="E5502" s="109" t="s">
        <v>30923</v>
      </c>
      <c r="F5502" s="109" t="s">
        <v>30924</v>
      </c>
      <c r="G5502" s="110" t="s">
        <v>6248</v>
      </c>
      <c r="H5502" s="110" t="s">
        <v>19402</v>
      </c>
      <c r="I5502" s="110" t="s">
        <v>30925</v>
      </c>
    </row>
    <row r="5503" spans="1:9" ht="25.2" x14ac:dyDescent="0.3">
      <c r="A5503" s="109" t="s">
        <v>30926</v>
      </c>
      <c r="B5503" s="109" t="s">
        <v>30220</v>
      </c>
      <c r="C5503" s="109" t="s">
        <v>30220</v>
      </c>
      <c r="D5503" s="109" t="s">
        <v>30927</v>
      </c>
      <c r="E5503" s="109" t="s">
        <v>5558</v>
      </c>
      <c r="F5503" s="109" t="s">
        <v>30928</v>
      </c>
      <c r="G5503" s="110" t="s">
        <v>6248</v>
      </c>
      <c r="H5503" s="110" t="s">
        <v>30929</v>
      </c>
      <c r="I5503" s="110" t="s">
        <v>30930</v>
      </c>
    </row>
    <row r="5504" spans="1:9" ht="25.2" x14ac:dyDescent="0.3">
      <c r="A5504" s="109" t="s">
        <v>30931</v>
      </c>
      <c r="B5504" s="109" t="s">
        <v>30220</v>
      </c>
      <c r="C5504" s="109" t="s">
        <v>30220</v>
      </c>
      <c r="D5504" s="109" t="s">
        <v>30932</v>
      </c>
      <c r="E5504" s="109" t="s">
        <v>5558</v>
      </c>
      <c r="F5504" s="109" t="s">
        <v>30933</v>
      </c>
      <c r="G5504" s="110" t="s">
        <v>6248</v>
      </c>
      <c r="H5504" s="110" t="s">
        <v>30934</v>
      </c>
      <c r="I5504" s="110" t="s">
        <v>30935</v>
      </c>
    </row>
    <row r="5505" spans="1:9" ht="25.2" x14ac:dyDescent="0.3">
      <c r="A5505" s="109" t="s">
        <v>30936</v>
      </c>
      <c r="B5505" s="109" t="s">
        <v>30220</v>
      </c>
      <c r="C5505" s="109" t="s">
        <v>30220</v>
      </c>
      <c r="D5505" s="109" t="s">
        <v>30937</v>
      </c>
      <c r="E5505" s="109" t="s">
        <v>5558</v>
      </c>
      <c r="F5505" s="109" t="s">
        <v>30938</v>
      </c>
      <c r="G5505" s="110" t="s">
        <v>6248</v>
      </c>
      <c r="H5505" s="110" t="s">
        <v>24977</v>
      </c>
      <c r="I5505" s="110" t="s">
        <v>30939</v>
      </c>
    </row>
    <row r="5506" spans="1:9" ht="37.799999999999997" x14ac:dyDescent="0.3">
      <c r="A5506" s="109" t="s">
        <v>30940</v>
      </c>
      <c r="B5506" s="109" t="s">
        <v>30220</v>
      </c>
      <c r="C5506" s="109" t="s">
        <v>30220</v>
      </c>
      <c r="D5506" s="109" t="s">
        <v>30941</v>
      </c>
      <c r="E5506" s="109" t="s">
        <v>5558</v>
      </c>
      <c r="F5506" s="109" t="s">
        <v>30942</v>
      </c>
      <c r="G5506" s="110" t="s">
        <v>6248</v>
      </c>
      <c r="H5506" s="110" t="s">
        <v>30943</v>
      </c>
      <c r="I5506" s="110" t="s">
        <v>30944</v>
      </c>
    </row>
    <row r="5507" spans="1:9" ht="37.799999999999997" x14ac:dyDescent="0.3">
      <c r="A5507" s="109" t="s">
        <v>30945</v>
      </c>
      <c r="B5507" s="109" t="s">
        <v>30220</v>
      </c>
      <c r="C5507" s="109" t="s">
        <v>30220</v>
      </c>
      <c r="D5507" s="109" t="s">
        <v>30946</v>
      </c>
      <c r="E5507" s="109" t="s">
        <v>5558</v>
      </c>
      <c r="F5507" s="109" t="s">
        <v>30947</v>
      </c>
      <c r="G5507" s="110" t="s">
        <v>6248</v>
      </c>
      <c r="H5507" s="110" t="s">
        <v>30948</v>
      </c>
      <c r="I5507" s="110" t="s">
        <v>30949</v>
      </c>
    </row>
    <row r="5508" spans="1:9" ht="37.799999999999997" x14ac:dyDescent="0.3">
      <c r="A5508" s="109" t="s">
        <v>30950</v>
      </c>
      <c r="B5508" s="109" t="s">
        <v>30220</v>
      </c>
      <c r="C5508" s="109" t="s">
        <v>30220</v>
      </c>
      <c r="D5508" s="109" t="s">
        <v>30951</v>
      </c>
      <c r="E5508" s="109" t="s">
        <v>5558</v>
      </c>
      <c r="F5508" s="109" t="s">
        <v>30952</v>
      </c>
      <c r="G5508" s="110" t="s">
        <v>6248</v>
      </c>
      <c r="H5508" s="110" t="s">
        <v>30953</v>
      </c>
      <c r="I5508" s="110" t="s">
        <v>30954</v>
      </c>
    </row>
    <row r="5509" spans="1:9" ht="37.799999999999997" x14ac:dyDescent="0.3">
      <c r="A5509" s="109" t="s">
        <v>30955</v>
      </c>
      <c r="B5509" s="109" t="s">
        <v>30220</v>
      </c>
      <c r="C5509" s="109" t="s">
        <v>30220</v>
      </c>
      <c r="D5509" s="109" t="s">
        <v>30956</v>
      </c>
      <c r="E5509" s="109" t="s">
        <v>5558</v>
      </c>
      <c r="F5509" s="109" t="s">
        <v>30957</v>
      </c>
      <c r="G5509" s="110" t="s">
        <v>6248</v>
      </c>
      <c r="H5509" s="110" t="s">
        <v>8109</v>
      </c>
      <c r="I5509" s="110" t="s">
        <v>30958</v>
      </c>
    </row>
    <row r="5510" spans="1:9" ht="37.799999999999997" x14ac:dyDescent="0.3">
      <c r="A5510" s="109" t="s">
        <v>30959</v>
      </c>
      <c r="B5510" s="109" t="s">
        <v>30220</v>
      </c>
      <c r="C5510" s="109" t="s">
        <v>30220</v>
      </c>
      <c r="D5510" s="109" t="s">
        <v>30960</v>
      </c>
      <c r="E5510" s="109" t="s">
        <v>5558</v>
      </c>
      <c r="F5510" s="109" t="s">
        <v>30961</v>
      </c>
      <c r="G5510" s="110" t="s">
        <v>6248</v>
      </c>
      <c r="H5510" s="110" t="s">
        <v>18565</v>
      </c>
      <c r="I5510" s="110" t="s">
        <v>30962</v>
      </c>
    </row>
    <row r="5511" spans="1:9" ht="37.799999999999997" x14ac:dyDescent="0.3">
      <c r="A5511" s="109" t="s">
        <v>30963</v>
      </c>
      <c r="B5511" s="109" t="s">
        <v>30220</v>
      </c>
      <c r="C5511" s="109" t="s">
        <v>30220</v>
      </c>
      <c r="D5511" s="109" t="s">
        <v>30964</v>
      </c>
      <c r="E5511" s="109" t="s">
        <v>5558</v>
      </c>
      <c r="F5511" s="109" t="s">
        <v>30965</v>
      </c>
      <c r="G5511" s="110" t="s">
        <v>6248</v>
      </c>
      <c r="H5511" s="110" t="s">
        <v>18864</v>
      </c>
      <c r="I5511" s="110" t="s">
        <v>30966</v>
      </c>
    </row>
    <row r="5512" spans="1:9" ht="25.2" x14ac:dyDescent="0.3">
      <c r="A5512" s="109" t="s">
        <v>30967</v>
      </c>
      <c r="B5512" s="109" t="s">
        <v>30220</v>
      </c>
      <c r="C5512" s="109" t="s">
        <v>30220</v>
      </c>
      <c r="D5512" s="109" t="s">
        <v>30968</v>
      </c>
      <c r="E5512" s="109" t="s">
        <v>30969</v>
      </c>
      <c r="F5512" s="109" t="s">
        <v>30970</v>
      </c>
      <c r="G5512" s="110" t="s">
        <v>6248</v>
      </c>
      <c r="H5512" s="110" t="s">
        <v>30971</v>
      </c>
      <c r="I5512" s="110" t="s">
        <v>30972</v>
      </c>
    </row>
    <row r="5513" spans="1:9" ht="25.2" x14ac:dyDescent="0.3">
      <c r="A5513" s="109" t="s">
        <v>30973</v>
      </c>
      <c r="B5513" s="109" t="s">
        <v>30220</v>
      </c>
      <c r="C5513" s="109" t="s">
        <v>30220</v>
      </c>
      <c r="D5513" s="109" t="s">
        <v>30974</v>
      </c>
      <c r="E5513" s="109" t="s">
        <v>30975</v>
      </c>
      <c r="F5513" s="109" t="s">
        <v>30970</v>
      </c>
      <c r="G5513" s="110" t="s">
        <v>6248</v>
      </c>
      <c r="H5513" s="110" t="s">
        <v>30976</v>
      </c>
      <c r="I5513" s="110" t="s">
        <v>30977</v>
      </c>
    </row>
    <row r="5514" spans="1:9" ht="25.2" x14ac:dyDescent="0.3">
      <c r="A5514" s="109" t="s">
        <v>30978</v>
      </c>
      <c r="B5514" s="109" t="s">
        <v>30220</v>
      </c>
      <c r="C5514" s="109" t="s">
        <v>30220</v>
      </c>
      <c r="D5514" s="109" t="s">
        <v>30979</v>
      </c>
      <c r="E5514" s="109" t="s">
        <v>5558</v>
      </c>
      <c r="F5514" s="109" t="s">
        <v>30980</v>
      </c>
      <c r="G5514" s="110" t="s">
        <v>6248</v>
      </c>
      <c r="H5514" s="110" t="s">
        <v>30981</v>
      </c>
      <c r="I5514" s="110" t="s">
        <v>30982</v>
      </c>
    </row>
    <row r="5515" spans="1:9" ht="50.4" x14ac:dyDescent="0.3">
      <c r="A5515" s="109" t="s">
        <v>30983</v>
      </c>
      <c r="B5515" s="109" t="s">
        <v>30220</v>
      </c>
      <c r="C5515" s="109" t="s">
        <v>30220</v>
      </c>
      <c r="D5515" s="109" t="s">
        <v>30984</v>
      </c>
      <c r="E5515" s="109" t="s">
        <v>5558</v>
      </c>
      <c r="F5515" s="109" t="s">
        <v>30985</v>
      </c>
      <c r="G5515" s="110" t="s">
        <v>29565</v>
      </c>
      <c r="H5515" s="110" t="s">
        <v>6248</v>
      </c>
      <c r="I5515" s="110" t="s">
        <v>30986</v>
      </c>
    </row>
    <row r="5516" spans="1:9" ht="25.2" x14ac:dyDescent="0.3">
      <c r="A5516" s="109" t="s">
        <v>30987</v>
      </c>
      <c r="B5516" s="109" t="s">
        <v>30220</v>
      </c>
      <c r="C5516" s="109" t="s">
        <v>30220</v>
      </c>
      <c r="D5516" s="109" t="s">
        <v>30984</v>
      </c>
      <c r="E5516" s="109" t="s">
        <v>5558</v>
      </c>
      <c r="F5516" s="109" t="s">
        <v>30988</v>
      </c>
      <c r="G5516" s="110" t="s">
        <v>15449</v>
      </c>
      <c r="H5516" s="110" t="s">
        <v>6248</v>
      </c>
      <c r="I5516" s="110" t="s">
        <v>30989</v>
      </c>
    </row>
    <row r="5517" spans="1:9" ht="37.799999999999997" x14ac:dyDescent="0.3">
      <c r="A5517" s="109" t="s">
        <v>30990</v>
      </c>
      <c r="B5517" s="109" t="s">
        <v>30220</v>
      </c>
      <c r="C5517" s="109" t="s">
        <v>30220</v>
      </c>
      <c r="D5517" s="109" t="s">
        <v>29563</v>
      </c>
      <c r="E5517" s="109" t="s">
        <v>5558</v>
      </c>
      <c r="F5517" s="109" t="s">
        <v>30991</v>
      </c>
      <c r="G5517" s="110" t="s">
        <v>6248</v>
      </c>
      <c r="H5517" s="110" t="s">
        <v>30992</v>
      </c>
      <c r="I5517" s="110" t="s">
        <v>30993</v>
      </c>
    </row>
    <row r="5518" spans="1:9" ht="25.2" x14ac:dyDescent="0.3">
      <c r="A5518" s="109" t="s">
        <v>30994</v>
      </c>
      <c r="B5518" s="109" t="s">
        <v>30220</v>
      </c>
      <c r="C5518" s="109" t="s">
        <v>30220</v>
      </c>
      <c r="D5518" s="109" t="s">
        <v>30995</v>
      </c>
      <c r="E5518" s="109" t="s">
        <v>5932</v>
      </c>
      <c r="F5518" s="109" t="s">
        <v>16310</v>
      </c>
      <c r="G5518" s="110" t="s">
        <v>6248</v>
      </c>
      <c r="H5518" s="110" t="s">
        <v>30996</v>
      </c>
      <c r="I5518" s="110" t="s">
        <v>30997</v>
      </c>
    </row>
    <row r="5519" spans="1:9" ht="25.2" x14ac:dyDescent="0.3">
      <c r="A5519" s="109" t="s">
        <v>30998</v>
      </c>
      <c r="B5519" s="109" t="s">
        <v>30220</v>
      </c>
      <c r="C5519" s="109" t="s">
        <v>30220</v>
      </c>
      <c r="D5519" s="109" t="s">
        <v>5569</v>
      </c>
      <c r="E5519" s="109" t="s">
        <v>5558</v>
      </c>
      <c r="F5519" s="109" t="s">
        <v>2258</v>
      </c>
      <c r="G5519" s="110" t="s">
        <v>6248</v>
      </c>
      <c r="H5519" s="110" t="s">
        <v>30999</v>
      </c>
      <c r="I5519" s="110" t="s">
        <v>31000</v>
      </c>
    </row>
    <row r="5520" spans="1:9" ht="25.2" x14ac:dyDescent="0.3">
      <c r="A5520" s="109" t="s">
        <v>31001</v>
      </c>
      <c r="B5520" s="109" t="s">
        <v>30220</v>
      </c>
      <c r="C5520" s="109" t="s">
        <v>30220</v>
      </c>
      <c r="D5520" s="109" t="s">
        <v>5569</v>
      </c>
      <c r="E5520" s="109" t="s">
        <v>5558</v>
      </c>
      <c r="F5520" s="109" t="s">
        <v>2258</v>
      </c>
      <c r="G5520" s="110" t="s">
        <v>6248</v>
      </c>
      <c r="H5520" s="110" t="s">
        <v>8459</v>
      </c>
      <c r="I5520" s="110" t="s">
        <v>31002</v>
      </c>
    </row>
    <row r="5521" spans="1:9" ht="25.2" x14ac:dyDescent="0.3">
      <c r="A5521" s="109" t="s">
        <v>31003</v>
      </c>
      <c r="B5521" s="109" t="s">
        <v>30220</v>
      </c>
      <c r="C5521" s="109" t="s">
        <v>30220</v>
      </c>
      <c r="D5521" s="109" t="s">
        <v>5569</v>
      </c>
      <c r="E5521" s="109" t="s">
        <v>5558</v>
      </c>
      <c r="F5521" s="109" t="s">
        <v>2258</v>
      </c>
      <c r="G5521" s="110" t="s">
        <v>6248</v>
      </c>
      <c r="H5521" s="110" t="s">
        <v>31004</v>
      </c>
      <c r="I5521" s="110" t="s">
        <v>31005</v>
      </c>
    </row>
    <row r="5522" spans="1:9" ht="25.2" x14ac:dyDescent="0.3">
      <c r="A5522" s="109" t="s">
        <v>31006</v>
      </c>
      <c r="B5522" s="109" t="s">
        <v>30220</v>
      </c>
      <c r="C5522" s="109" t="s">
        <v>30220</v>
      </c>
      <c r="D5522" s="109" t="s">
        <v>5569</v>
      </c>
      <c r="E5522" s="109" t="s">
        <v>5558</v>
      </c>
      <c r="F5522" s="109" t="s">
        <v>2258</v>
      </c>
      <c r="G5522" s="110" t="s">
        <v>6248</v>
      </c>
      <c r="H5522" s="110" t="s">
        <v>31007</v>
      </c>
      <c r="I5522" s="110" t="s">
        <v>31008</v>
      </c>
    </row>
    <row r="5523" spans="1:9" ht="25.2" x14ac:dyDescent="0.3">
      <c r="A5523" s="109" t="s">
        <v>31009</v>
      </c>
      <c r="B5523" s="109" t="s">
        <v>30220</v>
      </c>
      <c r="C5523" s="109" t="s">
        <v>30220</v>
      </c>
      <c r="D5523" s="109" t="s">
        <v>31010</v>
      </c>
      <c r="E5523" s="109" t="s">
        <v>5558</v>
      </c>
      <c r="F5523" s="109" t="s">
        <v>31011</v>
      </c>
      <c r="G5523" s="110" t="s">
        <v>6248</v>
      </c>
      <c r="H5523" s="110" t="s">
        <v>7094</v>
      </c>
      <c r="I5523" s="110" t="s">
        <v>31012</v>
      </c>
    </row>
    <row r="5524" spans="1:9" ht="63" x14ac:dyDescent="0.3">
      <c r="A5524" s="109" t="s">
        <v>31013</v>
      </c>
      <c r="B5524" s="109" t="s">
        <v>30220</v>
      </c>
      <c r="C5524" s="109" t="s">
        <v>30220</v>
      </c>
      <c r="D5524" s="109" t="s">
        <v>31014</v>
      </c>
      <c r="E5524" s="109" t="s">
        <v>31014</v>
      </c>
      <c r="F5524" s="109" t="s">
        <v>31015</v>
      </c>
      <c r="G5524" s="110" t="s">
        <v>6248</v>
      </c>
      <c r="H5524" s="110" t="s">
        <v>7480</v>
      </c>
      <c r="I5524" s="110" t="s">
        <v>31016</v>
      </c>
    </row>
    <row r="5525" spans="1:9" ht="63" x14ac:dyDescent="0.3">
      <c r="A5525" s="109" t="s">
        <v>31017</v>
      </c>
      <c r="B5525" s="109" t="s">
        <v>30220</v>
      </c>
      <c r="C5525" s="109" t="s">
        <v>30220</v>
      </c>
      <c r="D5525" s="109" t="s">
        <v>31018</v>
      </c>
      <c r="E5525" s="109" t="s">
        <v>31018</v>
      </c>
      <c r="F5525" s="109" t="s">
        <v>31019</v>
      </c>
      <c r="G5525" s="110" t="s">
        <v>6248</v>
      </c>
      <c r="H5525" s="110" t="s">
        <v>31020</v>
      </c>
      <c r="I5525" s="110" t="s">
        <v>31021</v>
      </c>
    </row>
    <row r="5526" spans="1:9" ht="25.2" x14ac:dyDescent="0.3">
      <c r="A5526" s="109" t="s">
        <v>31022</v>
      </c>
      <c r="B5526" s="109" t="s">
        <v>30220</v>
      </c>
      <c r="C5526" s="109" t="s">
        <v>30220</v>
      </c>
      <c r="D5526" s="109" t="s">
        <v>31023</v>
      </c>
      <c r="E5526" s="109" t="s">
        <v>31024</v>
      </c>
      <c r="F5526" s="109" t="s">
        <v>6325</v>
      </c>
      <c r="G5526" s="110" t="s">
        <v>6248</v>
      </c>
      <c r="H5526" s="110" t="s">
        <v>31025</v>
      </c>
      <c r="I5526" s="110" t="s">
        <v>31026</v>
      </c>
    </row>
    <row r="5527" spans="1:9" ht="25.2" x14ac:dyDescent="0.3">
      <c r="A5527" s="109" t="s">
        <v>31027</v>
      </c>
      <c r="B5527" s="109" t="s">
        <v>30220</v>
      </c>
      <c r="C5527" s="109" t="s">
        <v>30220</v>
      </c>
      <c r="D5527" s="109" t="s">
        <v>5569</v>
      </c>
      <c r="E5527" s="109" t="s">
        <v>5558</v>
      </c>
      <c r="F5527" s="109" t="s">
        <v>2258</v>
      </c>
      <c r="G5527" s="110" t="s">
        <v>6248</v>
      </c>
      <c r="H5527" s="110" t="s">
        <v>31028</v>
      </c>
      <c r="I5527" s="110" t="s">
        <v>31029</v>
      </c>
    </row>
    <row r="5528" spans="1:9" ht="63" x14ac:dyDescent="0.3">
      <c r="A5528" s="109" t="s">
        <v>31030</v>
      </c>
      <c r="B5528" s="109" t="s">
        <v>30220</v>
      </c>
      <c r="C5528" s="109" t="s">
        <v>30220</v>
      </c>
      <c r="D5528" s="109" t="s">
        <v>31031</v>
      </c>
      <c r="E5528" s="109" t="s">
        <v>31031</v>
      </c>
      <c r="F5528" s="109" t="s">
        <v>31032</v>
      </c>
      <c r="G5528" s="110" t="s">
        <v>6248</v>
      </c>
      <c r="H5528" s="110" t="s">
        <v>31033</v>
      </c>
      <c r="I5528" s="110" t="s">
        <v>31034</v>
      </c>
    </row>
    <row r="5529" spans="1:9" ht="63" x14ac:dyDescent="0.3">
      <c r="A5529" s="109" t="s">
        <v>31035</v>
      </c>
      <c r="B5529" s="109" t="s">
        <v>30220</v>
      </c>
      <c r="C5529" s="109" t="s">
        <v>30220</v>
      </c>
      <c r="D5529" s="109" t="s">
        <v>31036</v>
      </c>
      <c r="E5529" s="109" t="s">
        <v>31036</v>
      </c>
      <c r="F5529" s="109" t="s">
        <v>31037</v>
      </c>
      <c r="G5529" s="110" t="s">
        <v>6248</v>
      </c>
      <c r="H5529" s="110" t="s">
        <v>31038</v>
      </c>
      <c r="I5529" s="110" t="s">
        <v>31039</v>
      </c>
    </row>
    <row r="5530" spans="1:9" ht="25.2" x14ac:dyDescent="0.3">
      <c r="A5530" s="109" t="s">
        <v>31040</v>
      </c>
      <c r="B5530" s="109" t="s">
        <v>30220</v>
      </c>
      <c r="C5530" s="109" t="s">
        <v>30220</v>
      </c>
      <c r="D5530" s="109" t="s">
        <v>31041</v>
      </c>
      <c r="E5530" s="109" t="s">
        <v>5558</v>
      </c>
      <c r="F5530" s="109" t="s">
        <v>31042</v>
      </c>
      <c r="G5530" s="110" t="s">
        <v>6248</v>
      </c>
      <c r="H5530" s="110" t="s">
        <v>10272</v>
      </c>
      <c r="I5530" s="110" t="s">
        <v>31043</v>
      </c>
    </row>
    <row r="5531" spans="1:9" ht="25.2" x14ac:dyDescent="0.3">
      <c r="A5531" s="109" t="s">
        <v>31044</v>
      </c>
      <c r="B5531" s="109" t="s">
        <v>30220</v>
      </c>
      <c r="C5531" s="109" t="s">
        <v>30220</v>
      </c>
      <c r="D5531" s="109" t="s">
        <v>5569</v>
      </c>
      <c r="E5531" s="109" t="s">
        <v>5558</v>
      </c>
      <c r="F5531" s="109" t="s">
        <v>2258</v>
      </c>
      <c r="G5531" s="110" t="s">
        <v>6248</v>
      </c>
      <c r="H5531" s="110" t="s">
        <v>31045</v>
      </c>
      <c r="I5531" s="110" t="s">
        <v>31046</v>
      </c>
    </row>
    <row r="5532" spans="1:9" ht="25.2" x14ac:dyDescent="0.3">
      <c r="A5532" s="109" t="s">
        <v>31047</v>
      </c>
      <c r="B5532" s="109" t="s">
        <v>30220</v>
      </c>
      <c r="C5532" s="109" t="s">
        <v>30220</v>
      </c>
      <c r="D5532" s="109" t="s">
        <v>5569</v>
      </c>
      <c r="E5532" s="109" t="s">
        <v>5558</v>
      </c>
      <c r="F5532" s="109" t="s">
        <v>2258</v>
      </c>
      <c r="G5532" s="110" t="s">
        <v>6248</v>
      </c>
      <c r="H5532" s="110" t="s">
        <v>15549</v>
      </c>
      <c r="I5532" s="110" t="s">
        <v>31048</v>
      </c>
    </row>
    <row r="5533" spans="1:9" ht="25.2" x14ac:dyDescent="0.3">
      <c r="A5533" s="109" t="s">
        <v>31049</v>
      </c>
      <c r="B5533" s="109" t="s">
        <v>30220</v>
      </c>
      <c r="C5533" s="109" t="s">
        <v>30220</v>
      </c>
      <c r="D5533" s="109" t="s">
        <v>31050</v>
      </c>
      <c r="E5533" s="109" t="s">
        <v>5558</v>
      </c>
      <c r="F5533" s="109" t="s">
        <v>31051</v>
      </c>
      <c r="G5533" s="110" t="s">
        <v>6248</v>
      </c>
      <c r="H5533" s="110" t="s">
        <v>31052</v>
      </c>
      <c r="I5533" s="110" t="s">
        <v>31053</v>
      </c>
    </row>
    <row r="5534" spans="1:9" ht="25.2" x14ac:dyDescent="0.3">
      <c r="A5534" s="109" t="s">
        <v>31054</v>
      </c>
      <c r="B5534" s="109" t="s">
        <v>30220</v>
      </c>
      <c r="C5534" s="109" t="s">
        <v>30220</v>
      </c>
      <c r="D5534" s="109" t="s">
        <v>4938</v>
      </c>
      <c r="E5534" s="109" t="s">
        <v>5558</v>
      </c>
      <c r="F5534" s="109" t="s">
        <v>31055</v>
      </c>
      <c r="G5534" s="110" t="s">
        <v>6248</v>
      </c>
      <c r="H5534" s="110" t="s">
        <v>6418</v>
      </c>
      <c r="I5534" s="110" t="s">
        <v>31056</v>
      </c>
    </row>
    <row r="5535" spans="1:9" ht="25.2" x14ac:dyDescent="0.3">
      <c r="A5535" s="109" t="s">
        <v>31057</v>
      </c>
      <c r="B5535" s="109" t="s">
        <v>30220</v>
      </c>
      <c r="C5535" s="109" t="s">
        <v>30220</v>
      </c>
      <c r="D5535" s="109" t="s">
        <v>31058</v>
      </c>
      <c r="E5535" s="109" t="s">
        <v>5558</v>
      </c>
      <c r="F5535" s="109" t="s">
        <v>31059</v>
      </c>
      <c r="G5535" s="110" t="s">
        <v>6248</v>
      </c>
      <c r="H5535" s="110" t="s">
        <v>31060</v>
      </c>
      <c r="I5535" s="110" t="s">
        <v>31061</v>
      </c>
    </row>
    <row r="5536" spans="1:9" ht="25.2" x14ac:dyDescent="0.3">
      <c r="A5536" s="109" t="s">
        <v>31062</v>
      </c>
      <c r="B5536" s="109" t="s">
        <v>30220</v>
      </c>
      <c r="C5536" s="109" t="s">
        <v>30220</v>
      </c>
      <c r="D5536" s="109" t="s">
        <v>31063</v>
      </c>
      <c r="E5536" s="109" t="s">
        <v>5558</v>
      </c>
      <c r="F5536" s="109" t="s">
        <v>31064</v>
      </c>
      <c r="G5536" s="110" t="s">
        <v>6248</v>
      </c>
      <c r="H5536" s="110" t="s">
        <v>6655</v>
      </c>
      <c r="I5536" s="110" t="s">
        <v>31065</v>
      </c>
    </row>
    <row r="5537" spans="1:9" ht="25.2" x14ac:dyDescent="0.3">
      <c r="A5537" s="109" t="s">
        <v>31066</v>
      </c>
      <c r="B5537" s="109" t="s">
        <v>30220</v>
      </c>
      <c r="C5537" s="109" t="s">
        <v>30220</v>
      </c>
      <c r="D5537" s="109" t="s">
        <v>31067</v>
      </c>
      <c r="E5537" s="109" t="s">
        <v>5558</v>
      </c>
      <c r="F5537" s="109" t="s">
        <v>31068</v>
      </c>
      <c r="G5537" s="110" t="s">
        <v>6248</v>
      </c>
      <c r="H5537" s="110" t="s">
        <v>31069</v>
      </c>
      <c r="I5537" s="110" t="s">
        <v>31070</v>
      </c>
    </row>
    <row r="5538" spans="1:9" ht="25.2" x14ac:dyDescent="0.3">
      <c r="A5538" s="109" t="s">
        <v>31071</v>
      </c>
      <c r="B5538" s="109" t="s">
        <v>30220</v>
      </c>
      <c r="C5538" s="109" t="s">
        <v>30220</v>
      </c>
      <c r="D5538" s="109" t="s">
        <v>31072</v>
      </c>
      <c r="E5538" s="109" t="s">
        <v>5558</v>
      </c>
      <c r="F5538" s="109" t="s">
        <v>31073</v>
      </c>
      <c r="G5538" s="110" t="s">
        <v>6248</v>
      </c>
      <c r="H5538" s="110" t="s">
        <v>6310</v>
      </c>
      <c r="I5538" s="110" t="s">
        <v>31074</v>
      </c>
    </row>
    <row r="5539" spans="1:9" ht="25.2" x14ac:dyDescent="0.3">
      <c r="A5539" s="109" t="s">
        <v>31075</v>
      </c>
      <c r="B5539" s="109" t="s">
        <v>30220</v>
      </c>
      <c r="C5539" s="109" t="s">
        <v>30220</v>
      </c>
      <c r="D5539" s="109" t="s">
        <v>31076</v>
      </c>
      <c r="E5539" s="109" t="s">
        <v>5558</v>
      </c>
      <c r="F5539" s="109" t="s">
        <v>31077</v>
      </c>
      <c r="G5539" s="110" t="s">
        <v>6248</v>
      </c>
      <c r="H5539" s="110" t="s">
        <v>31078</v>
      </c>
      <c r="I5539" s="110" t="s">
        <v>31079</v>
      </c>
    </row>
    <row r="5540" spans="1:9" ht="25.2" x14ac:dyDescent="0.3">
      <c r="A5540" s="109" t="s">
        <v>31080</v>
      </c>
      <c r="B5540" s="109" t="s">
        <v>30220</v>
      </c>
      <c r="C5540" s="109" t="s">
        <v>30220</v>
      </c>
      <c r="D5540" s="109" t="s">
        <v>31081</v>
      </c>
      <c r="E5540" s="109" t="s">
        <v>5558</v>
      </c>
      <c r="F5540" s="109" t="s">
        <v>31082</v>
      </c>
      <c r="G5540" s="110" t="s">
        <v>6248</v>
      </c>
      <c r="H5540" s="110" t="s">
        <v>31083</v>
      </c>
      <c r="I5540" s="110" t="s">
        <v>31084</v>
      </c>
    </row>
    <row r="5541" spans="1:9" ht="25.2" x14ac:dyDescent="0.3">
      <c r="A5541" s="109" t="s">
        <v>31085</v>
      </c>
      <c r="B5541" s="109" t="s">
        <v>30220</v>
      </c>
      <c r="C5541" s="109" t="s">
        <v>30220</v>
      </c>
      <c r="D5541" s="109" t="s">
        <v>31086</v>
      </c>
      <c r="E5541" s="109" t="s">
        <v>5558</v>
      </c>
      <c r="F5541" s="109" t="s">
        <v>31087</v>
      </c>
      <c r="G5541" s="110" t="s">
        <v>6248</v>
      </c>
      <c r="H5541" s="110" t="s">
        <v>31088</v>
      </c>
      <c r="I5541" s="110" t="s">
        <v>31089</v>
      </c>
    </row>
    <row r="5542" spans="1:9" ht="25.2" x14ac:dyDescent="0.3">
      <c r="A5542" s="109" t="s">
        <v>31090</v>
      </c>
      <c r="B5542" s="109" t="s">
        <v>30220</v>
      </c>
      <c r="C5542" s="109" t="s">
        <v>30220</v>
      </c>
      <c r="D5542" s="109" t="s">
        <v>31091</v>
      </c>
      <c r="E5542" s="109" t="s">
        <v>31092</v>
      </c>
      <c r="F5542" s="109" t="s">
        <v>31093</v>
      </c>
      <c r="G5542" s="110" t="s">
        <v>6248</v>
      </c>
      <c r="H5542" s="110" t="s">
        <v>14860</v>
      </c>
      <c r="I5542" s="110" t="s">
        <v>31094</v>
      </c>
    </row>
    <row r="5543" spans="1:9" ht="37.799999999999997" x14ac:dyDescent="0.3">
      <c r="A5543" s="109" t="s">
        <v>31095</v>
      </c>
      <c r="B5543" s="109" t="s">
        <v>30220</v>
      </c>
      <c r="C5543" s="109" t="s">
        <v>30220</v>
      </c>
      <c r="D5543" s="109" t="s">
        <v>31096</v>
      </c>
      <c r="E5543" s="109" t="s">
        <v>5558</v>
      </c>
      <c r="F5543" s="109" t="s">
        <v>31097</v>
      </c>
      <c r="G5543" s="110" t="s">
        <v>6248</v>
      </c>
      <c r="H5543" s="110" t="s">
        <v>31098</v>
      </c>
      <c r="I5543" s="110" t="s">
        <v>31099</v>
      </c>
    </row>
    <row r="5544" spans="1:9" ht="25.2" x14ac:dyDescent="0.3">
      <c r="A5544" s="109" t="s">
        <v>31100</v>
      </c>
      <c r="B5544" s="109" t="s">
        <v>30220</v>
      </c>
      <c r="C5544" s="109" t="s">
        <v>30220</v>
      </c>
      <c r="D5544" s="109" t="s">
        <v>31101</v>
      </c>
      <c r="E5544" s="109" t="s">
        <v>31102</v>
      </c>
      <c r="F5544" s="109" t="s">
        <v>5731</v>
      </c>
      <c r="G5544" s="110" t="s">
        <v>6248</v>
      </c>
      <c r="H5544" s="110" t="s">
        <v>31103</v>
      </c>
      <c r="I5544" s="110" t="s">
        <v>31104</v>
      </c>
    </row>
    <row r="5545" spans="1:9" ht="25.2" x14ac:dyDescent="0.3">
      <c r="A5545" s="109" t="s">
        <v>31105</v>
      </c>
      <c r="B5545" s="109" t="s">
        <v>30220</v>
      </c>
      <c r="C5545" s="109" t="s">
        <v>30220</v>
      </c>
      <c r="D5545" s="109" t="s">
        <v>31106</v>
      </c>
      <c r="E5545" s="109" t="s">
        <v>5558</v>
      </c>
      <c r="F5545" s="109" t="s">
        <v>31107</v>
      </c>
      <c r="G5545" s="110" t="s">
        <v>6248</v>
      </c>
      <c r="H5545" s="110" t="s">
        <v>31108</v>
      </c>
      <c r="I5545" s="110" t="s">
        <v>31109</v>
      </c>
    </row>
    <row r="5546" spans="1:9" ht="25.2" x14ac:dyDescent="0.3">
      <c r="A5546" s="109" t="s">
        <v>31110</v>
      </c>
      <c r="B5546" s="109" t="s">
        <v>30220</v>
      </c>
      <c r="C5546" s="109" t="s">
        <v>30220</v>
      </c>
      <c r="D5546" s="109" t="s">
        <v>5569</v>
      </c>
      <c r="E5546" s="109" t="s">
        <v>5558</v>
      </c>
      <c r="F5546" s="109" t="s">
        <v>2258</v>
      </c>
      <c r="G5546" s="110" t="s">
        <v>6248</v>
      </c>
      <c r="H5546" s="110" t="s">
        <v>31111</v>
      </c>
      <c r="I5546" s="110" t="s">
        <v>31112</v>
      </c>
    </row>
    <row r="5547" spans="1:9" ht="37.799999999999997" x14ac:dyDescent="0.3">
      <c r="A5547" s="109" t="s">
        <v>31113</v>
      </c>
      <c r="B5547" s="109" t="s">
        <v>30220</v>
      </c>
      <c r="C5547" s="109" t="s">
        <v>30220</v>
      </c>
      <c r="D5547" s="109" t="s">
        <v>31114</v>
      </c>
      <c r="E5547" s="109" t="s">
        <v>5558</v>
      </c>
      <c r="F5547" s="109" t="s">
        <v>31115</v>
      </c>
      <c r="G5547" s="110" t="s">
        <v>6248</v>
      </c>
      <c r="H5547" s="110" t="s">
        <v>31116</v>
      </c>
      <c r="I5547" s="110" t="s">
        <v>31117</v>
      </c>
    </row>
    <row r="5548" spans="1:9" ht="25.2" x14ac:dyDescent="0.3">
      <c r="A5548" s="109" t="s">
        <v>31118</v>
      </c>
      <c r="B5548" s="109" t="s">
        <v>30220</v>
      </c>
      <c r="C5548" s="109" t="s">
        <v>30220</v>
      </c>
      <c r="D5548" s="109" t="s">
        <v>31119</v>
      </c>
      <c r="E5548" s="109" t="s">
        <v>5558</v>
      </c>
      <c r="F5548" s="109" t="s">
        <v>31120</v>
      </c>
      <c r="G5548" s="110" t="s">
        <v>6248</v>
      </c>
      <c r="H5548" s="110" t="s">
        <v>31121</v>
      </c>
      <c r="I5548" s="110" t="s">
        <v>31122</v>
      </c>
    </row>
    <row r="5549" spans="1:9" ht="50.4" x14ac:dyDescent="0.3">
      <c r="A5549" s="109" t="s">
        <v>31123</v>
      </c>
      <c r="B5549" s="109" t="s">
        <v>30220</v>
      </c>
      <c r="C5549" s="109" t="s">
        <v>30220</v>
      </c>
      <c r="D5549" s="109" t="s">
        <v>13540</v>
      </c>
      <c r="E5549" s="109" t="s">
        <v>13540</v>
      </c>
      <c r="F5549" s="109" t="s">
        <v>31124</v>
      </c>
      <c r="G5549" s="110" t="s">
        <v>6248</v>
      </c>
      <c r="H5549" s="110" t="s">
        <v>31125</v>
      </c>
      <c r="I5549" s="110" t="s">
        <v>31126</v>
      </c>
    </row>
    <row r="5550" spans="1:9" ht="37.799999999999997" x14ac:dyDescent="0.3">
      <c r="A5550" s="109" t="s">
        <v>31127</v>
      </c>
      <c r="B5550" s="109" t="s">
        <v>30220</v>
      </c>
      <c r="C5550" s="109" t="s">
        <v>30220</v>
      </c>
      <c r="D5550" s="109" t="s">
        <v>31128</v>
      </c>
      <c r="E5550" s="109" t="s">
        <v>31128</v>
      </c>
      <c r="F5550" s="109" t="s">
        <v>31129</v>
      </c>
      <c r="G5550" s="110" t="s">
        <v>6248</v>
      </c>
      <c r="H5550" s="110" t="s">
        <v>31130</v>
      </c>
      <c r="I5550" s="110" t="s">
        <v>31131</v>
      </c>
    </row>
    <row r="5551" spans="1:9" ht="37.799999999999997" x14ac:dyDescent="0.3">
      <c r="A5551" s="109" t="s">
        <v>31132</v>
      </c>
      <c r="B5551" s="109" t="s">
        <v>30220</v>
      </c>
      <c r="C5551" s="109" t="s">
        <v>30220</v>
      </c>
      <c r="D5551" s="109" t="s">
        <v>31133</v>
      </c>
      <c r="E5551" s="109" t="s">
        <v>31133</v>
      </c>
      <c r="F5551" s="109" t="s">
        <v>31134</v>
      </c>
      <c r="G5551" s="110" t="s">
        <v>6248</v>
      </c>
      <c r="H5551" s="110" t="s">
        <v>31135</v>
      </c>
      <c r="I5551" s="110" t="s">
        <v>31136</v>
      </c>
    </row>
    <row r="5552" spans="1:9" ht="50.4" x14ac:dyDescent="0.3">
      <c r="A5552" s="109" t="s">
        <v>31137</v>
      </c>
      <c r="B5552" s="109" t="s">
        <v>30220</v>
      </c>
      <c r="C5552" s="109" t="s">
        <v>30220</v>
      </c>
      <c r="D5552" s="109" t="s">
        <v>31138</v>
      </c>
      <c r="E5552" s="109" t="s">
        <v>31138</v>
      </c>
      <c r="F5552" s="109" t="s">
        <v>31139</v>
      </c>
      <c r="G5552" s="110" t="s">
        <v>6248</v>
      </c>
      <c r="H5552" s="110" t="s">
        <v>31140</v>
      </c>
      <c r="I5552" s="110" t="s">
        <v>31141</v>
      </c>
    </row>
    <row r="5553" spans="1:9" ht="50.4" x14ac:dyDescent="0.3">
      <c r="A5553" s="109" t="s">
        <v>31142</v>
      </c>
      <c r="B5553" s="109" t="s">
        <v>30220</v>
      </c>
      <c r="C5553" s="109" t="s">
        <v>30220</v>
      </c>
      <c r="D5553" s="109" t="s">
        <v>31143</v>
      </c>
      <c r="E5553" s="109" t="s">
        <v>31143</v>
      </c>
      <c r="F5553" s="109" t="s">
        <v>31144</v>
      </c>
      <c r="G5553" s="110" t="s">
        <v>6248</v>
      </c>
      <c r="H5553" s="110" t="s">
        <v>31145</v>
      </c>
      <c r="I5553" s="110" t="s">
        <v>31146</v>
      </c>
    </row>
    <row r="5554" spans="1:9" ht="50.4" x14ac:dyDescent="0.3">
      <c r="A5554" s="109" t="s">
        <v>31147</v>
      </c>
      <c r="B5554" s="109" t="s">
        <v>30220</v>
      </c>
      <c r="C5554" s="109" t="s">
        <v>30220</v>
      </c>
      <c r="D5554" s="109" t="s">
        <v>31148</v>
      </c>
      <c r="E5554" s="109" t="s">
        <v>31148</v>
      </c>
      <c r="F5554" s="109" t="s">
        <v>31149</v>
      </c>
      <c r="G5554" s="110" t="s">
        <v>6248</v>
      </c>
      <c r="H5554" s="110" t="s">
        <v>31150</v>
      </c>
      <c r="I5554" s="110" t="s">
        <v>31151</v>
      </c>
    </row>
    <row r="5555" spans="1:9" ht="50.4" x14ac:dyDescent="0.3">
      <c r="A5555" s="109" t="s">
        <v>31152</v>
      </c>
      <c r="B5555" s="109" t="s">
        <v>30220</v>
      </c>
      <c r="C5555" s="109" t="s">
        <v>30220</v>
      </c>
      <c r="D5555" s="109" t="s">
        <v>10017</v>
      </c>
      <c r="E5555" s="109" t="s">
        <v>10017</v>
      </c>
      <c r="F5555" s="109" t="s">
        <v>31153</v>
      </c>
      <c r="G5555" s="110" t="s">
        <v>6248</v>
      </c>
      <c r="H5555" s="110" t="s">
        <v>7504</v>
      </c>
      <c r="I5555" s="110" t="s">
        <v>31154</v>
      </c>
    </row>
    <row r="5556" spans="1:9" ht="50.4" x14ac:dyDescent="0.3">
      <c r="A5556" s="109" t="s">
        <v>31155</v>
      </c>
      <c r="B5556" s="109" t="s">
        <v>30220</v>
      </c>
      <c r="C5556" s="109" t="s">
        <v>30220</v>
      </c>
      <c r="D5556" s="109" t="s">
        <v>31156</v>
      </c>
      <c r="E5556" s="109" t="s">
        <v>31156</v>
      </c>
      <c r="F5556" s="109" t="s">
        <v>31157</v>
      </c>
      <c r="G5556" s="110" t="s">
        <v>6248</v>
      </c>
      <c r="H5556" s="110" t="s">
        <v>31158</v>
      </c>
      <c r="I5556" s="110" t="s">
        <v>31159</v>
      </c>
    </row>
    <row r="5557" spans="1:9" ht="50.4" x14ac:dyDescent="0.3">
      <c r="A5557" s="109" t="s">
        <v>31160</v>
      </c>
      <c r="B5557" s="109" t="s">
        <v>30220</v>
      </c>
      <c r="C5557" s="109" t="s">
        <v>30220</v>
      </c>
      <c r="D5557" s="109" t="s">
        <v>12579</v>
      </c>
      <c r="E5557" s="109" t="s">
        <v>12579</v>
      </c>
      <c r="F5557" s="109" t="s">
        <v>31161</v>
      </c>
      <c r="G5557" s="110" t="s">
        <v>6248</v>
      </c>
      <c r="H5557" s="110" t="s">
        <v>11944</v>
      </c>
      <c r="I5557" s="110" t="s">
        <v>31162</v>
      </c>
    </row>
    <row r="5558" spans="1:9" ht="50.4" x14ac:dyDescent="0.3">
      <c r="A5558" s="109" t="s">
        <v>31163</v>
      </c>
      <c r="B5558" s="109" t="s">
        <v>30220</v>
      </c>
      <c r="C5558" s="109" t="s">
        <v>30220</v>
      </c>
      <c r="D5558" s="109" t="s">
        <v>31164</v>
      </c>
      <c r="E5558" s="109" t="s">
        <v>31164</v>
      </c>
      <c r="F5558" s="109" t="s">
        <v>31165</v>
      </c>
      <c r="G5558" s="110" t="s">
        <v>6248</v>
      </c>
      <c r="H5558" s="110" t="s">
        <v>31166</v>
      </c>
      <c r="I5558" s="110" t="s">
        <v>31167</v>
      </c>
    </row>
    <row r="5559" spans="1:9" ht="50.4" x14ac:dyDescent="0.3">
      <c r="A5559" s="109" t="s">
        <v>31168</v>
      </c>
      <c r="B5559" s="109" t="s">
        <v>30220</v>
      </c>
      <c r="C5559" s="109" t="s">
        <v>30220</v>
      </c>
      <c r="D5559" s="109" t="s">
        <v>31169</v>
      </c>
      <c r="E5559" s="109" t="s">
        <v>31169</v>
      </c>
      <c r="F5559" s="109" t="s">
        <v>31170</v>
      </c>
      <c r="G5559" s="110" t="s">
        <v>6248</v>
      </c>
      <c r="H5559" s="110" t="s">
        <v>31171</v>
      </c>
      <c r="I5559" s="110" t="s">
        <v>31172</v>
      </c>
    </row>
    <row r="5560" spans="1:9" ht="50.4" x14ac:dyDescent="0.3">
      <c r="A5560" s="109" t="s">
        <v>31173</v>
      </c>
      <c r="B5560" s="109" t="s">
        <v>30220</v>
      </c>
      <c r="C5560" s="109" t="s">
        <v>30220</v>
      </c>
      <c r="D5560" s="109" t="s">
        <v>6156</v>
      </c>
      <c r="E5560" s="109" t="s">
        <v>6156</v>
      </c>
      <c r="F5560" s="109" t="s">
        <v>31174</v>
      </c>
      <c r="G5560" s="110" t="s">
        <v>6248</v>
      </c>
      <c r="H5560" s="110" t="s">
        <v>31175</v>
      </c>
      <c r="I5560" s="110" t="s">
        <v>31176</v>
      </c>
    </row>
    <row r="5561" spans="1:9" ht="37.799999999999997" x14ac:dyDescent="0.3">
      <c r="A5561" s="109" t="s">
        <v>31177</v>
      </c>
      <c r="B5561" s="109" t="s">
        <v>30220</v>
      </c>
      <c r="C5561" s="109" t="s">
        <v>30220</v>
      </c>
      <c r="D5561" s="109" t="s">
        <v>31178</v>
      </c>
      <c r="E5561" s="109" t="s">
        <v>31178</v>
      </c>
      <c r="F5561" s="109" t="s">
        <v>31179</v>
      </c>
      <c r="G5561" s="110" t="s">
        <v>6248</v>
      </c>
      <c r="H5561" s="110" t="s">
        <v>31180</v>
      </c>
      <c r="I5561" s="110" t="s">
        <v>31181</v>
      </c>
    </row>
    <row r="5562" spans="1:9" ht="25.2" x14ac:dyDescent="0.3">
      <c r="A5562" s="109" t="s">
        <v>31182</v>
      </c>
      <c r="B5562" s="109" t="s">
        <v>30220</v>
      </c>
      <c r="C5562" s="109" t="s">
        <v>30220</v>
      </c>
      <c r="D5562" s="109" t="s">
        <v>31183</v>
      </c>
      <c r="E5562" s="109" t="s">
        <v>31184</v>
      </c>
      <c r="F5562" s="109" t="s">
        <v>31185</v>
      </c>
      <c r="G5562" s="110" t="s">
        <v>6248</v>
      </c>
      <c r="H5562" s="110" t="s">
        <v>31186</v>
      </c>
      <c r="I5562" s="110" t="s">
        <v>31187</v>
      </c>
    </row>
    <row r="5563" spans="1:9" ht="25.2" x14ac:dyDescent="0.3">
      <c r="A5563" s="109" t="s">
        <v>31188</v>
      </c>
      <c r="B5563" s="109" t="s">
        <v>30220</v>
      </c>
      <c r="C5563" s="109" t="s">
        <v>30220</v>
      </c>
      <c r="D5563" s="109" t="s">
        <v>4700</v>
      </c>
      <c r="E5563" s="109" t="s">
        <v>22173</v>
      </c>
      <c r="F5563" s="109" t="s">
        <v>22174</v>
      </c>
      <c r="G5563" s="110" t="s">
        <v>6248</v>
      </c>
      <c r="H5563" s="110" t="s">
        <v>31189</v>
      </c>
      <c r="I5563" s="110" t="s">
        <v>31190</v>
      </c>
    </row>
    <row r="5564" spans="1:9" ht="37.799999999999997" x14ac:dyDescent="0.3">
      <c r="A5564" s="109" t="s">
        <v>31191</v>
      </c>
      <c r="B5564" s="109" t="s">
        <v>30220</v>
      </c>
      <c r="C5564" s="109" t="s">
        <v>30220</v>
      </c>
      <c r="D5564" s="109" t="s">
        <v>31192</v>
      </c>
      <c r="E5564" s="109" t="s">
        <v>31192</v>
      </c>
      <c r="F5564" s="109" t="s">
        <v>31193</v>
      </c>
      <c r="G5564" s="110" t="s">
        <v>6248</v>
      </c>
      <c r="H5564" s="110" t="s">
        <v>31194</v>
      </c>
      <c r="I5564" s="110" t="s">
        <v>31195</v>
      </c>
    </row>
    <row r="5565" spans="1:9" ht="50.4" x14ac:dyDescent="0.3">
      <c r="A5565" s="109" t="s">
        <v>31196</v>
      </c>
      <c r="B5565" s="109" t="s">
        <v>30220</v>
      </c>
      <c r="C5565" s="109" t="s">
        <v>30220</v>
      </c>
      <c r="D5565" s="109" t="s">
        <v>31197</v>
      </c>
      <c r="E5565" s="109" t="s">
        <v>31197</v>
      </c>
      <c r="F5565" s="109" t="s">
        <v>31198</v>
      </c>
      <c r="G5565" s="110" t="s">
        <v>6248</v>
      </c>
      <c r="H5565" s="110" t="s">
        <v>31199</v>
      </c>
      <c r="I5565" s="110" t="s">
        <v>31200</v>
      </c>
    </row>
    <row r="5566" spans="1:9" ht="50.4" x14ac:dyDescent="0.3">
      <c r="A5566" s="109" t="s">
        <v>31201</v>
      </c>
      <c r="B5566" s="109" t="s">
        <v>30220</v>
      </c>
      <c r="C5566" s="109" t="s">
        <v>30220</v>
      </c>
      <c r="D5566" s="109" t="s">
        <v>31202</v>
      </c>
      <c r="E5566" s="109" t="s">
        <v>31202</v>
      </c>
      <c r="F5566" s="109" t="s">
        <v>31203</v>
      </c>
      <c r="G5566" s="110" t="s">
        <v>6248</v>
      </c>
      <c r="H5566" s="110" t="s">
        <v>31204</v>
      </c>
      <c r="I5566" s="110" t="s">
        <v>31205</v>
      </c>
    </row>
    <row r="5567" spans="1:9" ht="50.4" x14ac:dyDescent="0.3">
      <c r="A5567" s="109" t="s">
        <v>31206</v>
      </c>
      <c r="B5567" s="109" t="s">
        <v>30220</v>
      </c>
      <c r="C5567" s="109" t="s">
        <v>30220</v>
      </c>
      <c r="D5567" s="109" t="s">
        <v>31207</v>
      </c>
      <c r="E5567" s="109" t="s">
        <v>31207</v>
      </c>
      <c r="F5567" s="109" t="s">
        <v>31208</v>
      </c>
      <c r="G5567" s="110" t="s">
        <v>6248</v>
      </c>
      <c r="H5567" s="110" t="s">
        <v>31209</v>
      </c>
      <c r="I5567" s="110" t="s">
        <v>31210</v>
      </c>
    </row>
    <row r="5568" spans="1:9" ht="50.4" x14ac:dyDescent="0.3">
      <c r="A5568" s="109" t="s">
        <v>31211</v>
      </c>
      <c r="B5568" s="109" t="s">
        <v>30220</v>
      </c>
      <c r="C5568" s="109" t="s">
        <v>30220</v>
      </c>
      <c r="D5568" s="109" t="s">
        <v>31212</v>
      </c>
      <c r="E5568" s="109" t="s">
        <v>31212</v>
      </c>
      <c r="F5568" s="109" t="s">
        <v>31213</v>
      </c>
      <c r="G5568" s="110" t="s">
        <v>6248</v>
      </c>
      <c r="H5568" s="110" t="s">
        <v>31214</v>
      </c>
      <c r="I5568" s="110" t="s">
        <v>31215</v>
      </c>
    </row>
    <row r="5569" spans="1:9" ht="37.799999999999997" x14ac:dyDescent="0.3">
      <c r="A5569" s="109" t="s">
        <v>31216</v>
      </c>
      <c r="B5569" s="109" t="s">
        <v>30220</v>
      </c>
      <c r="C5569" s="109" t="s">
        <v>30220</v>
      </c>
      <c r="D5569" s="109" t="s">
        <v>31217</v>
      </c>
      <c r="E5569" s="109" t="s">
        <v>31217</v>
      </c>
      <c r="F5569" s="109" t="s">
        <v>31218</v>
      </c>
      <c r="G5569" s="110" t="s">
        <v>6248</v>
      </c>
      <c r="H5569" s="110" t="s">
        <v>31219</v>
      </c>
      <c r="I5569" s="110" t="s">
        <v>31220</v>
      </c>
    </row>
    <row r="5570" spans="1:9" ht="50.4" x14ac:dyDescent="0.3">
      <c r="A5570" s="109" t="s">
        <v>31221</v>
      </c>
      <c r="B5570" s="109" t="s">
        <v>30220</v>
      </c>
      <c r="C5570" s="109" t="s">
        <v>30220</v>
      </c>
      <c r="D5570" s="109" t="s">
        <v>31222</v>
      </c>
      <c r="E5570" s="109" t="s">
        <v>31222</v>
      </c>
      <c r="F5570" s="109" t="s">
        <v>31223</v>
      </c>
      <c r="G5570" s="110" t="s">
        <v>6248</v>
      </c>
      <c r="H5570" s="110" t="s">
        <v>31224</v>
      </c>
      <c r="I5570" s="110" t="s">
        <v>31225</v>
      </c>
    </row>
    <row r="5571" spans="1:9" ht="63" x14ac:dyDescent="0.3">
      <c r="A5571" s="109" t="s">
        <v>31226</v>
      </c>
      <c r="B5571" s="109" t="s">
        <v>30220</v>
      </c>
      <c r="C5571" s="109" t="s">
        <v>30220</v>
      </c>
      <c r="D5571" s="109" t="s">
        <v>13293</v>
      </c>
      <c r="E5571" s="109" t="s">
        <v>13293</v>
      </c>
      <c r="F5571" s="109" t="s">
        <v>31227</v>
      </c>
      <c r="G5571" s="110" t="s">
        <v>6248</v>
      </c>
      <c r="H5571" s="110" t="s">
        <v>31228</v>
      </c>
      <c r="I5571" s="110" t="s">
        <v>31229</v>
      </c>
    </row>
    <row r="5572" spans="1:9" ht="50.4" x14ac:dyDescent="0.3">
      <c r="A5572" s="109" t="s">
        <v>31230</v>
      </c>
      <c r="B5572" s="109" t="s">
        <v>30220</v>
      </c>
      <c r="C5572" s="109" t="s">
        <v>30220</v>
      </c>
      <c r="D5572" s="109" t="s">
        <v>26328</v>
      </c>
      <c r="E5572" s="109" t="s">
        <v>26328</v>
      </c>
      <c r="F5572" s="109" t="s">
        <v>31231</v>
      </c>
      <c r="G5572" s="110" t="s">
        <v>6248</v>
      </c>
      <c r="H5572" s="110" t="s">
        <v>31232</v>
      </c>
      <c r="I5572" s="110" t="s">
        <v>31233</v>
      </c>
    </row>
    <row r="5573" spans="1:9" ht="50.4" x14ac:dyDescent="0.3">
      <c r="A5573" s="109" t="s">
        <v>31234</v>
      </c>
      <c r="B5573" s="109" t="s">
        <v>30220</v>
      </c>
      <c r="C5573" s="109" t="s">
        <v>30220</v>
      </c>
      <c r="D5573" s="109" t="s">
        <v>31235</v>
      </c>
      <c r="E5573" s="109" t="s">
        <v>31235</v>
      </c>
      <c r="F5573" s="109" t="s">
        <v>31236</v>
      </c>
      <c r="G5573" s="110" t="s">
        <v>6248</v>
      </c>
      <c r="H5573" s="110" t="s">
        <v>31237</v>
      </c>
      <c r="I5573" s="110" t="s">
        <v>31238</v>
      </c>
    </row>
    <row r="5574" spans="1:9" ht="50.4" x14ac:dyDescent="0.3">
      <c r="A5574" s="109" t="s">
        <v>31239</v>
      </c>
      <c r="B5574" s="109" t="s">
        <v>30220</v>
      </c>
      <c r="C5574" s="109" t="s">
        <v>30220</v>
      </c>
      <c r="D5574" s="109" t="s">
        <v>31240</v>
      </c>
      <c r="E5574" s="109" t="s">
        <v>31240</v>
      </c>
      <c r="F5574" s="109" t="s">
        <v>31241</v>
      </c>
      <c r="G5574" s="110" t="s">
        <v>6248</v>
      </c>
      <c r="H5574" s="110" t="s">
        <v>31242</v>
      </c>
      <c r="I5574" s="110" t="s">
        <v>31243</v>
      </c>
    </row>
    <row r="5575" spans="1:9" ht="50.4" x14ac:dyDescent="0.3">
      <c r="A5575" s="109" t="s">
        <v>31244</v>
      </c>
      <c r="B5575" s="109" t="s">
        <v>30220</v>
      </c>
      <c r="C5575" s="109" t="s">
        <v>30220</v>
      </c>
      <c r="D5575" s="109" t="s">
        <v>31245</v>
      </c>
      <c r="E5575" s="109" t="s">
        <v>31245</v>
      </c>
      <c r="F5575" s="109" t="s">
        <v>31246</v>
      </c>
      <c r="G5575" s="110" t="s">
        <v>6248</v>
      </c>
      <c r="H5575" s="110" t="s">
        <v>31247</v>
      </c>
      <c r="I5575" s="110" t="s">
        <v>31248</v>
      </c>
    </row>
    <row r="5576" spans="1:9" ht="25.2" x14ac:dyDescent="0.3">
      <c r="A5576" s="109" t="s">
        <v>31249</v>
      </c>
      <c r="B5576" s="109" t="s">
        <v>30220</v>
      </c>
      <c r="C5576" s="109" t="s">
        <v>30220</v>
      </c>
      <c r="D5576" s="109" t="s">
        <v>31250</v>
      </c>
      <c r="E5576" s="109" t="s">
        <v>31251</v>
      </c>
      <c r="F5576" s="109" t="s">
        <v>19979</v>
      </c>
      <c r="G5576" s="110" t="s">
        <v>6248</v>
      </c>
      <c r="H5576" s="110" t="s">
        <v>31252</v>
      </c>
      <c r="I5576" s="110" t="s">
        <v>31253</v>
      </c>
    </row>
    <row r="5577" spans="1:9" ht="50.4" x14ac:dyDescent="0.3">
      <c r="A5577" s="109" t="s">
        <v>31254</v>
      </c>
      <c r="B5577" s="109" t="s">
        <v>30220</v>
      </c>
      <c r="C5577" s="109" t="s">
        <v>30220</v>
      </c>
      <c r="D5577" s="109" t="s">
        <v>31255</v>
      </c>
      <c r="E5577" s="109" t="s">
        <v>31255</v>
      </c>
      <c r="F5577" s="109" t="s">
        <v>31256</v>
      </c>
      <c r="G5577" s="110" t="s">
        <v>6248</v>
      </c>
      <c r="H5577" s="110" t="s">
        <v>31257</v>
      </c>
      <c r="I5577" s="110" t="s">
        <v>31258</v>
      </c>
    </row>
    <row r="5578" spans="1:9" ht="50.4" x14ac:dyDescent="0.3">
      <c r="A5578" s="109" t="s">
        <v>31259</v>
      </c>
      <c r="B5578" s="109" t="s">
        <v>30220</v>
      </c>
      <c r="C5578" s="109" t="s">
        <v>30220</v>
      </c>
      <c r="D5578" s="109" t="s">
        <v>31260</v>
      </c>
      <c r="E5578" s="109" t="s">
        <v>31260</v>
      </c>
      <c r="F5578" s="109" t="s">
        <v>31261</v>
      </c>
      <c r="G5578" s="110" t="s">
        <v>6248</v>
      </c>
      <c r="H5578" s="110" t="s">
        <v>31262</v>
      </c>
      <c r="I5578" s="110" t="s">
        <v>31263</v>
      </c>
    </row>
    <row r="5579" spans="1:9" ht="25.2" x14ac:dyDescent="0.3">
      <c r="A5579" s="109" t="s">
        <v>31264</v>
      </c>
      <c r="B5579" s="109" t="s">
        <v>30220</v>
      </c>
      <c r="C5579" s="109" t="s">
        <v>30220</v>
      </c>
      <c r="D5579" s="109" t="s">
        <v>31265</v>
      </c>
      <c r="E5579" s="109" t="s">
        <v>5558</v>
      </c>
      <c r="F5579" s="109" t="s">
        <v>31266</v>
      </c>
      <c r="G5579" s="110" t="s">
        <v>6248</v>
      </c>
      <c r="H5579" s="110" t="s">
        <v>31267</v>
      </c>
      <c r="I5579" s="110" t="s">
        <v>31268</v>
      </c>
    </row>
    <row r="5580" spans="1:9" ht="50.4" x14ac:dyDescent="0.3">
      <c r="A5580" s="109" t="s">
        <v>31269</v>
      </c>
      <c r="B5580" s="109" t="s">
        <v>30220</v>
      </c>
      <c r="C5580" s="109" t="s">
        <v>30220</v>
      </c>
      <c r="D5580" s="109" t="s">
        <v>31270</v>
      </c>
      <c r="E5580" s="109" t="s">
        <v>31270</v>
      </c>
      <c r="F5580" s="109" t="s">
        <v>31271</v>
      </c>
      <c r="G5580" s="110" t="s">
        <v>6248</v>
      </c>
      <c r="H5580" s="110" t="s">
        <v>31272</v>
      </c>
      <c r="I5580" s="110" t="s">
        <v>31273</v>
      </c>
    </row>
    <row r="5581" spans="1:9" ht="50.4" x14ac:dyDescent="0.3">
      <c r="A5581" s="109" t="s">
        <v>31274</v>
      </c>
      <c r="B5581" s="109" t="s">
        <v>30220</v>
      </c>
      <c r="C5581" s="109" t="s">
        <v>30220</v>
      </c>
      <c r="D5581" s="109" t="s">
        <v>31275</v>
      </c>
      <c r="E5581" s="109" t="s">
        <v>31275</v>
      </c>
      <c r="F5581" s="109" t="s">
        <v>31276</v>
      </c>
      <c r="G5581" s="110" t="s">
        <v>6248</v>
      </c>
      <c r="H5581" s="110" t="s">
        <v>31277</v>
      </c>
      <c r="I5581" s="110" t="s">
        <v>31278</v>
      </c>
    </row>
    <row r="5582" spans="1:9" ht="50.4" x14ac:dyDescent="0.3">
      <c r="A5582" s="109" t="s">
        <v>31279</v>
      </c>
      <c r="B5582" s="109" t="s">
        <v>30220</v>
      </c>
      <c r="C5582" s="109" t="s">
        <v>30220</v>
      </c>
      <c r="D5582" s="109" t="s">
        <v>31280</v>
      </c>
      <c r="E5582" s="109" t="s">
        <v>31280</v>
      </c>
      <c r="F5582" s="109" t="s">
        <v>31281</v>
      </c>
      <c r="G5582" s="110" t="s">
        <v>6248</v>
      </c>
      <c r="H5582" s="110" t="s">
        <v>31282</v>
      </c>
      <c r="I5582" s="110" t="s">
        <v>31283</v>
      </c>
    </row>
    <row r="5583" spans="1:9" ht="50.4" x14ac:dyDescent="0.3">
      <c r="A5583" s="109" t="s">
        <v>31284</v>
      </c>
      <c r="B5583" s="109" t="s">
        <v>30220</v>
      </c>
      <c r="C5583" s="109" t="s">
        <v>30220</v>
      </c>
      <c r="D5583" s="109" t="s">
        <v>31285</v>
      </c>
      <c r="E5583" s="109" t="s">
        <v>31285</v>
      </c>
      <c r="F5583" s="109" t="s">
        <v>31286</v>
      </c>
      <c r="G5583" s="110" t="s">
        <v>6248</v>
      </c>
      <c r="H5583" s="110" t="s">
        <v>31287</v>
      </c>
      <c r="I5583" s="110" t="s">
        <v>31288</v>
      </c>
    </row>
    <row r="5584" spans="1:9" ht="50.4" x14ac:dyDescent="0.3">
      <c r="A5584" s="109" t="s">
        <v>31289</v>
      </c>
      <c r="B5584" s="109" t="s">
        <v>30220</v>
      </c>
      <c r="C5584" s="109" t="s">
        <v>30220</v>
      </c>
      <c r="D5584" s="109" t="s">
        <v>31290</v>
      </c>
      <c r="E5584" s="109" t="s">
        <v>31290</v>
      </c>
      <c r="F5584" s="109" t="s">
        <v>31291</v>
      </c>
      <c r="G5584" s="110" t="s">
        <v>6248</v>
      </c>
      <c r="H5584" s="110" t="s">
        <v>18675</v>
      </c>
      <c r="I5584" s="110" t="s">
        <v>31292</v>
      </c>
    </row>
    <row r="5585" spans="1:9" ht="37.799999999999997" x14ac:dyDescent="0.3">
      <c r="A5585" s="109" t="s">
        <v>31293</v>
      </c>
      <c r="B5585" s="109" t="s">
        <v>30220</v>
      </c>
      <c r="C5585" s="109" t="s">
        <v>30220</v>
      </c>
      <c r="D5585" s="109" t="s">
        <v>31294</v>
      </c>
      <c r="E5585" s="109" t="s">
        <v>31290</v>
      </c>
      <c r="F5585" s="109" t="s">
        <v>31295</v>
      </c>
      <c r="G5585" s="110" t="s">
        <v>18675</v>
      </c>
      <c r="H5585" s="110" t="s">
        <v>6248</v>
      </c>
      <c r="I5585" s="110" t="s">
        <v>31288</v>
      </c>
    </row>
    <row r="5586" spans="1:9" ht="50.4" x14ac:dyDescent="0.3">
      <c r="A5586" s="109" t="s">
        <v>31296</v>
      </c>
      <c r="B5586" s="109" t="s">
        <v>30220</v>
      </c>
      <c r="C5586" s="109" t="s">
        <v>30220</v>
      </c>
      <c r="D5586" s="109" t="s">
        <v>31297</v>
      </c>
      <c r="E5586" s="109" t="s">
        <v>31297</v>
      </c>
      <c r="F5586" s="109" t="s">
        <v>31298</v>
      </c>
      <c r="G5586" s="110" t="s">
        <v>6248</v>
      </c>
      <c r="H5586" s="110" t="s">
        <v>31299</v>
      </c>
      <c r="I5586" s="110" t="s">
        <v>31300</v>
      </c>
    </row>
    <row r="5587" spans="1:9" ht="50.4" x14ac:dyDescent="0.3">
      <c r="A5587" s="109" t="s">
        <v>31301</v>
      </c>
      <c r="B5587" s="109" t="s">
        <v>30220</v>
      </c>
      <c r="C5587" s="109" t="s">
        <v>30220</v>
      </c>
      <c r="D5587" s="109" t="s">
        <v>11189</v>
      </c>
      <c r="E5587" s="109" t="s">
        <v>11189</v>
      </c>
      <c r="F5587" s="109" t="s">
        <v>31302</v>
      </c>
      <c r="G5587" s="110" t="s">
        <v>6248</v>
      </c>
      <c r="H5587" s="110" t="s">
        <v>13285</v>
      </c>
      <c r="I5587" s="110" t="s">
        <v>31303</v>
      </c>
    </row>
    <row r="5588" spans="1:9" ht="50.4" x14ac:dyDescent="0.3">
      <c r="A5588" s="109" t="s">
        <v>31304</v>
      </c>
      <c r="B5588" s="109" t="s">
        <v>30220</v>
      </c>
      <c r="C5588" s="109" t="s">
        <v>30220</v>
      </c>
      <c r="D5588" s="109" t="s">
        <v>31305</v>
      </c>
      <c r="E5588" s="109" t="s">
        <v>31305</v>
      </c>
      <c r="F5588" s="109" t="s">
        <v>31306</v>
      </c>
      <c r="G5588" s="110" t="s">
        <v>6248</v>
      </c>
      <c r="H5588" s="110" t="s">
        <v>31307</v>
      </c>
      <c r="I5588" s="110" t="s">
        <v>31308</v>
      </c>
    </row>
    <row r="5589" spans="1:9" ht="50.4" x14ac:dyDescent="0.3">
      <c r="A5589" s="109" t="s">
        <v>31309</v>
      </c>
      <c r="B5589" s="109" t="s">
        <v>30220</v>
      </c>
      <c r="C5589" s="109" t="s">
        <v>30220</v>
      </c>
      <c r="D5589" s="109" t="s">
        <v>31310</v>
      </c>
      <c r="E5589" s="109" t="s">
        <v>31310</v>
      </c>
      <c r="F5589" s="109" t="s">
        <v>31311</v>
      </c>
      <c r="G5589" s="110" t="s">
        <v>6248</v>
      </c>
      <c r="H5589" s="110" t="s">
        <v>30107</v>
      </c>
      <c r="I5589" s="110" t="s">
        <v>31312</v>
      </c>
    </row>
    <row r="5590" spans="1:9" ht="50.4" x14ac:dyDescent="0.3">
      <c r="A5590" s="109" t="s">
        <v>31313</v>
      </c>
      <c r="B5590" s="109" t="s">
        <v>30220</v>
      </c>
      <c r="C5590" s="109" t="s">
        <v>30220</v>
      </c>
      <c r="D5590" s="109" t="s">
        <v>31314</v>
      </c>
      <c r="E5590" s="109" t="s">
        <v>31314</v>
      </c>
      <c r="F5590" s="109" t="s">
        <v>31315</v>
      </c>
      <c r="G5590" s="110" t="s">
        <v>6248</v>
      </c>
      <c r="H5590" s="110" t="s">
        <v>31316</v>
      </c>
      <c r="I5590" s="110" t="s">
        <v>31317</v>
      </c>
    </row>
    <row r="5591" spans="1:9" ht="25.2" x14ac:dyDescent="0.3">
      <c r="A5591" s="109" t="s">
        <v>31318</v>
      </c>
      <c r="B5591" s="109" t="s">
        <v>30220</v>
      </c>
      <c r="C5591" s="109" t="s">
        <v>30220</v>
      </c>
      <c r="D5591" s="109" t="s">
        <v>4741</v>
      </c>
      <c r="E5591" s="109" t="s">
        <v>31319</v>
      </c>
      <c r="F5591" s="109" t="s">
        <v>6176</v>
      </c>
      <c r="G5591" s="110" t="s">
        <v>6248</v>
      </c>
      <c r="H5591" s="110" t="s">
        <v>31320</v>
      </c>
      <c r="I5591" s="110" t="s">
        <v>31321</v>
      </c>
    </row>
    <row r="5592" spans="1:9" ht="50.4" x14ac:dyDescent="0.3">
      <c r="A5592" s="109" t="s">
        <v>31322</v>
      </c>
      <c r="B5592" s="109" t="s">
        <v>30220</v>
      </c>
      <c r="C5592" s="109" t="s">
        <v>30220</v>
      </c>
      <c r="D5592" s="109" t="s">
        <v>31323</v>
      </c>
      <c r="E5592" s="109" t="s">
        <v>31323</v>
      </c>
      <c r="F5592" s="109" t="s">
        <v>31324</v>
      </c>
      <c r="G5592" s="110" t="s">
        <v>6248</v>
      </c>
      <c r="H5592" s="110" t="s">
        <v>31325</v>
      </c>
      <c r="I5592" s="110" t="s">
        <v>31326</v>
      </c>
    </row>
    <row r="5593" spans="1:9" ht="50.4" x14ac:dyDescent="0.3">
      <c r="A5593" s="109" t="s">
        <v>31327</v>
      </c>
      <c r="B5593" s="109" t="s">
        <v>30220</v>
      </c>
      <c r="C5593" s="109" t="s">
        <v>30220</v>
      </c>
      <c r="D5593" s="109" t="s">
        <v>31328</v>
      </c>
      <c r="E5593" s="109" t="s">
        <v>31328</v>
      </c>
      <c r="F5593" s="109" t="s">
        <v>31329</v>
      </c>
      <c r="G5593" s="110" t="s">
        <v>6248</v>
      </c>
      <c r="H5593" s="110" t="s">
        <v>31330</v>
      </c>
      <c r="I5593" s="110" t="s">
        <v>31331</v>
      </c>
    </row>
    <row r="5594" spans="1:9" ht="50.4" x14ac:dyDescent="0.3">
      <c r="A5594" s="109" t="s">
        <v>31332</v>
      </c>
      <c r="B5594" s="109" t="s">
        <v>30220</v>
      </c>
      <c r="C5594" s="109" t="s">
        <v>30220</v>
      </c>
      <c r="D5594" s="109" t="s">
        <v>31333</v>
      </c>
      <c r="E5594" s="109" t="s">
        <v>31333</v>
      </c>
      <c r="F5594" s="109" t="s">
        <v>31334</v>
      </c>
      <c r="G5594" s="110" t="s">
        <v>6248</v>
      </c>
      <c r="H5594" s="110" t="s">
        <v>31335</v>
      </c>
      <c r="I5594" s="110" t="s">
        <v>31336</v>
      </c>
    </row>
    <row r="5595" spans="1:9" ht="37.799999999999997" x14ac:dyDescent="0.3">
      <c r="A5595" s="109" t="s">
        <v>31337</v>
      </c>
      <c r="B5595" s="109" t="s">
        <v>30220</v>
      </c>
      <c r="C5595" s="109" t="s">
        <v>30220</v>
      </c>
      <c r="D5595" s="109" t="s">
        <v>31338</v>
      </c>
      <c r="E5595" s="109" t="s">
        <v>31338</v>
      </c>
      <c r="F5595" s="109" t="s">
        <v>31339</v>
      </c>
      <c r="G5595" s="110" t="s">
        <v>6248</v>
      </c>
      <c r="H5595" s="110" t="s">
        <v>31340</v>
      </c>
      <c r="I5595" s="110" t="s">
        <v>31341</v>
      </c>
    </row>
    <row r="5596" spans="1:9" ht="50.4" x14ac:dyDescent="0.3">
      <c r="A5596" s="109" t="s">
        <v>31342</v>
      </c>
      <c r="B5596" s="109" t="s">
        <v>30220</v>
      </c>
      <c r="C5596" s="109" t="s">
        <v>30220</v>
      </c>
      <c r="D5596" s="109" t="s">
        <v>31343</v>
      </c>
      <c r="E5596" s="109" t="s">
        <v>31343</v>
      </c>
      <c r="F5596" s="109" t="s">
        <v>31344</v>
      </c>
      <c r="G5596" s="110" t="s">
        <v>6248</v>
      </c>
      <c r="H5596" s="110" t="s">
        <v>31345</v>
      </c>
      <c r="I5596" s="110" t="s">
        <v>31346</v>
      </c>
    </row>
    <row r="5597" spans="1:9" ht="63" x14ac:dyDescent="0.3">
      <c r="A5597" s="109" t="s">
        <v>31347</v>
      </c>
      <c r="B5597" s="109" t="s">
        <v>30220</v>
      </c>
      <c r="C5597" s="109" t="s">
        <v>30220</v>
      </c>
      <c r="D5597" s="109" t="s">
        <v>8366</v>
      </c>
      <c r="E5597" s="109" t="s">
        <v>8366</v>
      </c>
      <c r="F5597" s="109" t="s">
        <v>31348</v>
      </c>
      <c r="G5597" s="110" t="s">
        <v>6248</v>
      </c>
      <c r="H5597" s="110" t="s">
        <v>7221</v>
      </c>
      <c r="I5597" s="110" t="s">
        <v>31349</v>
      </c>
    </row>
    <row r="5598" spans="1:9" ht="50.4" x14ac:dyDescent="0.3">
      <c r="A5598" s="109" t="s">
        <v>31350</v>
      </c>
      <c r="B5598" s="109" t="s">
        <v>30220</v>
      </c>
      <c r="C5598" s="109" t="s">
        <v>30220</v>
      </c>
      <c r="D5598" s="109" t="s">
        <v>31351</v>
      </c>
      <c r="E5598" s="109" t="s">
        <v>31351</v>
      </c>
      <c r="F5598" s="109" t="s">
        <v>31352</v>
      </c>
      <c r="G5598" s="110" t="s">
        <v>6248</v>
      </c>
      <c r="H5598" s="110" t="s">
        <v>31353</v>
      </c>
      <c r="I5598" s="110" t="s">
        <v>31354</v>
      </c>
    </row>
    <row r="5599" spans="1:9" ht="25.2" x14ac:dyDescent="0.3">
      <c r="A5599" s="109" t="s">
        <v>31355</v>
      </c>
      <c r="B5599" s="109" t="s">
        <v>30220</v>
      </c>
      <c r="C5599" s="109" t="s">
        <v>30220</v>
      </c>
      <c r="D5599" s="109" t="s">
        <v>5569</v>
      </c>
      <c r="E5599" s="109" t="s">
        <v>5558</v>
      </c>
      <c r="F5599" s="109" t="s">
        <v>2258</v>
      </c>
      <c r="G5599" s="110" t="s">
        <v>6248</v>
      </c>
      <c r="H5599" s="110" t="s">
        <v>31356</v>
      </c>
      <c r="I5599" s="110" t="s">
        <v>31357</v>
      </c>
    </row>
    <row r="5600" spans="1:9" ht="63" x14ac:dyDescent="0.3">
      <c r="A5600" s="109" t="s">
        <v>31358</v>
      </c>
      <c r="B5600" s="109" t="s">
        <v>30220</v>
      </c>
      <c r="C5600" s="109" t="s">
        <v>30220</v>
      </c>
      <c r="D5600" s="109" t="s">
        <v>31359</v>
      </c>
      <c r="E5600" s="109" t="s">
        <v>31359</v>
      </c>
      <c r="F5600" s="109" t="s">
        <v>31360</v>
      </c>
      <c r="G5600" s="110" t="s">
        <v>6248</v>
      </c>
      <c r="H5600" s="110" t="s">
        <v>6753</v>
      </c>
      <c r="I5600" s="110" t="s">
        <v>31361</v>
      </c>
    </row>
    <row r="5601" spans="1:9" ht="25.2" x14ac:dyDescent="0.3">
      <c r="A5601" s="109" t="s">
        <v>31362</v>
      </c>
      <c r="B5601" s="109" t="s">
        <v>30220</v>
      </c>
      <c r="C5601" s="109" t="s">
        <v>30220</v>
      </c>
      <c r="D5601" s="109" t="s">
        <v>31363</v>
      </c>
      <c r="E5601" s="109" t="s">
        <v>5558</v>
      </c>
      <c r="F5601" s="109" t="s">
        <v>31364</v>
      </c>
      <c r="G5601" s="110" t="s">
        <v>6248</v>
      </c>
      <c r="H5601" s="110" t="s">
        <v>31365</v>
      </c>
      <c r="I5601" s="110" t="s">
        <v>31366</v>
      </c>
    </row>
    <row r="5602" spans="1:9" ht="25.2" x14ac:dyDescent="0.3">
      <c r="A5602" s="109" t="s">
        <v>31367</v>
      </c>
      <c r="B5602" s="109" t="s">
        <v>30220</v>
      </c>
      <c r="C5602" s="109" t="s">
        <v>30220</v>
      </c>
      <c r="D5602" s="109" t="s">
        <v>31368</v>
      </c>
      <c r="E5602" s="109" t="s">
        <v>27287</v>
      </c>
      <c r="F5602" s="109" t="s">
        <v>8707</v>
      </c>
      <c r="G5602" s="110" t="s">
        <v>6248</v>
      </c>
      <c r="H5602" s="110" t="s">
        <v>31369</v>
      </c>
      <c r="I5602" s="110" t="s">
        <v>31370</v>
      </c>
    </row>
    <row r="5603" spans="1:9" ht="25.2" x14ac:dyDescent="0.3">
      <c r="A5603" s="109" t="s">
        <v>31371</v>
      </c>
      <c r="B5603" s="109" t="s">
        <v>30220</v>
      </c>
      <c r="C5603" s="109" t="s">
        <v>30220</v>
      </c>
      <c r="D5603" s="109" t="s">
        <v>31372</v>
      </c>
      <c r="E5603" s="109" t="s">
        <v>27287</v>
      </c>
      <c r="F5603" s="109" t="s">
        <v>8707</v>
      </c>
      <c r="G5603" s="110" t="s">
        <v>6248</v>
      </c>
      <c r="H5603" s="110" t="s">
        <v>31373</v>
      </c>
      <c r="I5603" s="110" t="s">
        <v>31374</v>
      </c>
    </row>
    <row r="5604" spans="1:9" ht="25.2" x14ac:dyDescent="0.3">
      <c r="A5604" s="109" t="s">
        <v>31375</v>
      </c>
      <c r="B5604" s="109" t="s">
        <v>30220</v>
      </c>
      <c r="C5604" s="109" t="s">
        <v>30220</v>
      </c>
      <c r="D5604" s="109" t="s">
        <v>31376</v>
      </c>
      <c r="E5604" s="109" t="s">
        <v>27287</v>
      </c>
      <c r="F5604" s="109" t="s">
        <v>8707</v>
      </c>
      <c r="G5604" s="110" t="s">
        <v>6248</v>
      </c>
      <c r="H5604" s="110" t="s">
        <v>31377</v>
      </c>
      <c r="I5604" s="110" t="s">
        <v>31378</v>
      </c>
    </row>
    <row r="5605" spans="1:9" ht="25.2" x14ac:dyDescent="0.3">
      <c r="A5605" s="109" t="s">
        <v>31379</v>
      </c>
      <c r="B5605" s="109" t="s">
        <v>30220</v>
      </c>
      <c r="C5605" s="109" t="s">
        <v>30220</v>
      </c>
      <c r="D5605" s="109" t="s">
        <v>31380</v>
      </c>
      <c r="E5605" s="109" t="s">
        <v>5558</v>
      </c>
      <c r="F5605" s="109" t="s">
        <v>31381</v>
      </c>
      <c r="G5605" s="110" t="s">
        <v>6248</v>
      </c>
      <c r="H5605" s="110" t="s">
        <v>8445</v>
      </c>
      <c r="I5605" s="110" t="s">
        <v>31382</v>
      </c>
    </row>
    <row r="5606" spans="1:9" ht="25.2" x14ac:dyDescent="0.3">
      <c r="A5606" s="109" t="s">
        <v>31383</v>
      </c>
      <c r="B5606" s="109" t="s">
        <v>30220</v>
      </c>
      <c r="C5606" s="109" t="s">
        <v>30220</v>
      </c>
      <c r="D5606" s="109" t="s">
        <v>31384</v>
      </c>
      <c r="E5606" s="109" t="s">
        <v>27287</v>
      </c>
      <c r="F5606" s="109" t="s">
        <v>8707</v>
      </c>
      <c r="G5606" s="110" t="s">
        <v>6248</v>
      </c>
      <c r="H5606" s="110" t="s">
        <v>31385</v>
      </c>
      <c r="I5606" s="110" t="s">
        <v>31386</v>
      </c>
    </row>
    <row r="5607" spans="1:9" ht="37.799999999999997" x14ac:dyDescent="0.3">
      <c r="A5607" s="109" t="s">
        <v>31387</v>
      </c>
      <c r="B5607" s="109" t="s">
        <v>30220</v>
      </c>
      <c r="C5607" s="109" t="s">
        <v>30220</v>
      </c>
      <c r="D5607" s="109" t="s">
        <v>31388</v>
      </c>
      <c r="E5607" s="109" t="s">
        <v>5558</v>
      </c>
      <c r="F5607" s="109" t="s">
        <v>31389</v>
      </c>
      <c r="G5607" s="110" t="s">
        <v>6248</v>
      </c>
      <c r="H5607" s="110" t="s">
        <v>31390</v>
      </c>
      <c r="I5607" s="110" t="s">
        <v>31391</v>
      </c>
    </row>
    <row r="5608" spans="1:9" ht="25.2" x14ac:dyDescent="0.3">
      <c r="A5608" s="109" t="s">
        <v>31392</v>
      </c>
      <c r="B5608" s="109" t="s">
        <v>30220</v>
      </c>
      <c r="C5608" s="109" t="s">
        <v>30220</v>
      </c>
      <c r="D5608" s="109" t="s">
        <v>31393</v>
      </c>
      <c r="E5608" s="109" t="s">
        <v>5558</v>
      </c>
      <c r="F5608" s="109" t="s">
        <v>31394</v>
      </c>
      <c r="G5608" s="110" t="s">
        <v>6248</v>
      </c>
      <c r="H5608" s="110" t="s">
        <v>31395</v>
      </c>
      <c r="I5608" s="110" t="s">
        <v>31396</v>
      </c>
    </row>
    <row r="5609" spans="1:9" ht="25.2" x14ac:dyDescent="0.3">
      <c r="A5609" s="109" t="s">
        <v>31397</v>
      </c>
      <c r="B5609" s="109" t="s">
        <v>30220</v>
      </c>
      <c r="C5609" s="109" t="s">
        <v>30220</v>
      </c>
      <c r="D5609" s="109" t="s">
        <v>31398</v>
      </c>
      <c r="E5609" s="109" t="s">
        <v>5558</v>
      </c>
      <c r="F5609" s="109" t="s">
        <v>31399</v>
      </c>
      <c r="G5609" s="110" t="s">
        <v>6248</v>
      </c>
      <c r="H5609" s="110" t="s">
        <v>31400</v>
      </c>
      <c r="I5609" s="110" t="s">
        <v>31401</v>
      </c>
    </row>
    <row r="5610" spans="1:9" ht="37.799999999999997" x14ac:dyDescent="0.3">
      <c r="A5610" s="109" t="s">
        <v>31402</v>
      </c>
      <c r="B5610" s="109" t="s">
        <v>30220</v>
      </c>
      <c r="C5610" s="109" t="s">
        <v>30220</v>
      </c>
      <c r="D5610" s="109" t="s">
        <v>31403</v>
      </c>
      <c r="E5610" s="109" t="s">
        <v>5558</v>
      </c>
      <c r="F5610" s="109" t="s">
        <v>31404</v>
      </c>
      <c r="G5610" s="110" t="s">
        <v>6248</v>
      </c>
      <c r="H5610" s="110" t="s">
        <v>14504</v>
      </c>
      <c r="I5610" s="110" t="s">
        <v>31405</v>
      </c>
    </row>
    <row r="5611" spans="1:9" ht="25.2" x14ac:dyDescent="0.3">
      <c r="A5611" s="109" t="s">
        <v>31406</v>
      </c>
      <c r="B5611" s="109" t="s">
        <v>30220</v>
      </c>
      <c r="C5611" s="109" t="s">
        <v>30220</v>
      </c>
      <c r="D5611" s="109" t="s">
        <v>31407</v>
      </c>
      <c r="E5611" s="109" t="s">
        <v>31408</v>
      </c>
      <c r="F5611" s="109" t="s">
        <v>31409</v>
      </c>
      <c r="G5611" s="110" t="s">
        <v>6248</v>
      </c>
      <c r="H5611" s="110" t="s">
        <v>31410</v>
      </c>
      <c r="I5611" s="110" t="s">
        <v>31411</v>
      </c>
    </row>
    <row r="5612" spans="1:9" ht="25.2" x14ac:dyDescent="0.3">
      <c r="A5612" s="109" t="s">
        <v>31412</v>
      </c>
      <c r="B5612" s="109" t="s">
        <v>30220</v>
      </c>
      <c r="C5612" s="109" t="s">
        <v>30220</v>
      </c>
      <c r="D5612" s="109" t="s">
        <v>31413</v>
      </c>
      <c r="E5612" s="109" t="s">
        <v>5558</v>
      </c>
      <c r="F5612" s="109" t="s">
        <v>31414</v>
      </c>
      <c r="G5612" s="110" t="s">
        <v>6248</v>
      </c>
      <c r="H5612" s="110" t="s">
        <v>31415</v>
      </c>
      <c r="I5612" s="110" t="s">
        <v>31416</v>
      </c>
    </row>
    <row r="5613" spans="1:9" ht="25.2" x14ac:dyDescent="0.3">
      <c r="A5613" s="109" t="s">
        <v>31417</v>
      </c>
      <c r="B5613" s="109" t="s">
        <v>30220</v>
      </c>
      <c r="C5613" s="109" t="s">
        <v>30220</v>
      </c>
      <c r="D5613" s="109" t="s">
        <v>31418</v>
      </c>
      <c r="E5613" s="109" t="s">
        <v>31419</v>
      </c>
      <c r="F5613" s="109" t="s">
        <v>31420</v>
      </c>
      <c r="G5613" s="110" t="s">
        <v>6248</v>
      </c>
      <c r="H5613" s="110" t="s">
        <v>31421</v>
      </c>
      <c r="I5613" s="110" t="s">
        <v>31422</v>
      </c>
    </row>
    <row r="5614" spans="1:9" ht="37.799999999999997" x14ac:dyDescent="0.3">
      <c r="A5614" s="109" t="s">
        <v>31423</v>
      </c>
      <c r="B5614" s="109" t="s">
        <v>30220</v>
      </c>
      <c r="C5614" s="109" t="s">
        <v>30220</v>
      </c>
      <c r="D5614" s="109" t="s">
        <v>31424</v>
      </c>
      <c r="E5614" s="109" t="s">
        <v>5558</v>
      </c>
      <c r="F5614" s="109" t="s">
        <v>31425</v>
      </c>
      <c r="G5614" s="110" t="s">
        <v>6248</v>
      </c>
      <c r="H5614" s="110" t="s">
        <v>11349</v>
      </c>
      <c r="I5614" s="110" t="s">
        <v>31426</v>
      </c>
    </row>
    <row r="5615" spans="1:9" ht="25.2" x14ac:dyDescent="0.3">
      <c r="A5615" s="109" t="s">
        <v>31427</v>
      </c>
      <c r="B5615" s="109" t="s">
        <v>30220</v>
      </c>
      <c r="C5615" s="109" t="s">
        <v>30220</v>
      </c>
      <c r="D5615" s="109" t="s">
        <v>31428</v>
      </c>
      <c r="E5615" s="109" t="s">
        <v>5558</v>
      </c>
      <c r="F5615" s="109" t="s">
        <v>31429</v>
      </c>
      <c r="G5615" s="110" t="s">
        <v>6248</v>
      </c>
      <c r="H5615" s="110" t="s">
        <v>7480</v>
      </c>
      <c r="I5615" s="110" t="s">
        <v>31430</v>
      </c>
    </row>
    <row r="5616" spans="1:9" ht="25.2" x14ac:dyDescent="0.3">
      <c r="A5616" s="109" t="s">
        <v>31431</v>
      </c>
      <c r="B5616" s="109" t="s">
        <v>30220</v>
      </c>
      <c r="C5616" s="109" t="s">
        <v>30220</v>
      </c>
      <c r="D5616" s="109" t="s">
        <v>31432</v>
      </c>
      <c r="E5616" s="109" t="s">
        <v>23775</v>
      </c>
      <c r="F5616" s="109" t="s">
        <v>7283</v>
      </c>
      <c r="G5616" s="110" t="s">
        <v>6248</v>
      </c>
      <c r="H5616" s="110" t="s">
        <v>31433</v>
      </c>
      <c r="I5616" s="110" t="s">
        <v>31434</v>
      </c>
    </row>
    <row r="5617" spans="1:9" ht="25.2" x14ac:dyDescent="0.3">
      <c r="A5617" s="109" t="s">
        <v>31435</v>
      </c>
      <c r="B5617" s="109" t="s">
        <v>30220</v>
      </c>
      <c r="C5617" s="109" t="s">
        <v>30220</v>
      </c>
      <c r="D5617" s="109" t="s">
        <v>31436</v>
      </c>
      <c r="E5617" s="109" t="s">
        <v>5558</v>
      </c>
      <c r="F5617" s="109" t="s">
        <v>31437</v>
      </c>
      <c r="G5617" s="110" t="s">
        <v>6248</v>
      </c>
      <c r="H5617" s="110" t="s">
        <v>15449</v>
      </c>
      <c r="I5617" s="110" t="s">
        <v>31438</v>
      </c>
    </row>
    <row r="5618" spans="1:9" ht="25.2" x14ac:dyDescent="0.3">
      <c r="A5618" s="109" t="s">
        <v>31439</v>
      </c>
      <c r="B5618" s="109" t="s">
        <v>30220</v>
      </c>
      <c r="C5618" s="109" t="s">
        <v>30220</v>
      </c>
      <c r="D5618" s="109" t="s">
        <v>31440</v>
      </c>
      <c r="E5618" s="109" t="s">
        <v>5558</v>
      </c>
      <c r="F5618" s="109" t="s">
        <v>31441</v>
      </c>
      <c r="G5618" s="110" t="s">
        <v>6248</v>
      </c>
      <c r="H5618" s="110" t="s">
        <v>6689</v>
      </c>
      <c r="I5618" s="110" t="s">
        <v>31442</v>
      </c>
    </row>
    <row r="5619" spans="1:9" ht="25.2" x14ac:dyDescent="0.3">
      <c r="A5619" s="109" t="s">
        <v>31443</v>
      </c>
      <c r="B5619" s="109" t="s">
        <v>30220</v>
      </c>
      <c r="C5619" s="109" t="s">
        <v>30220</v>
      </c>
      <c r="D5619" s="109" t="s">
        <v>31444</v>
      </c>
      <c r="E5619" s="109" t="s">
        <v>5558</v>
      </c>
      <c r="F5619" s="109" t="s">
        <v>31445</v>
      </c>
      <c r="G5619" s="110" t="s">
        <v>6248</v>
      </c>
      <c r="H5619" s="110" t="s">
        <v>11088</v>
      </c>
      <c r="I5619" s="110" t="s">
        <v>31446</v>
      </c>
    </row>
    <row r="5620" spans="1:9" ht="25.2" x14ac:dyDescent="0.3">
      <c r="A5620" s="109" t="s">
        <v>31447</v>
      </c>
      <c r="B5620" s="109" t="s">
        <v>30220</v>
      </c>
      <c r="C5620" s="109" t="s">
        <v>30220</v>
      </c>
      <c r="D5620" s="109" t="s">
        <v>31448</v>
      </c>
      <c r="E5620" s="109" t="s">
        <v>5558</v>
      </c>
      <c r="F5620" s="109" t="s">
        <v>31449</v>
      </c>
      <c r="G5620" s="110" t="s">
        <v>6248</v>
      </c>
      <c r="H5620" s="110" t="s">
        <v>6883</v>
      </c>
      <c r="I5620" s="110" t="s">
        <v>31450</v>
      </c>
    </row>
    <row r="5621" spans="1:9" ht="25.2" x14ac:dyDescent="0.3">
      <c r="A5621" s="109" t="s">
        <v>31451</v>
      </c>
      <c r="B5621" s="109" t="s">
        <v>30220</v>
      </c>
      <c r="C5621" s="109" t="s">
        <v>30220</v>
      </c>
      <c r="D5621" s="109" t="s">
        <v>31452</v>
      </c>
      <c r="E5621" s="109" t="s">
        <v>5558</v>
      </c>
      <c r="F5621" s="109" t="s">
        <v>31453</v>
      </c>
      <c r="G5621" s="110" t="s">
        <v>6248</v>
      </c>
      <c r="H5621" s="110" t="s">
        <v>31454</v>
      </c>
      <c r="I5621" s="110" t="s">
        <v>31455</v>
      </c>
    </row>
    <row r="5622" spans="1:9" ht="37.799999999999997" x14ac:dyDescent="0.3">
      <c r="A5622" s="109" t="s">
        <v>31456</v>
      </c>
      <c r="B5622" s="109" t="s">
        <v>30220</v>
      </c>
      <c r="C5622" s="109" t="s">
        <v>30220</v>
      </c>
      <c r="D5622" s="109" t="s">
        <v>31457</v>
      </c>
      <c r="E5622" s="109" t="s">
        <v>5558</v>
      </c>
      <c r="F5622" s="109" t="s">
        <v>31458</v>
      </c>
      <c r="G5622" s="110" t="s">
        <v>6248</v>
      </c>
      <c r="H5622" s="110" t="s">
        <v>6278</v>
      </c>
      <c r="I5622" s="110" t="s">
        <v>31459</v>
      </c>
    </row>
    <row r="5623" spans="1:9" ht="25.2" x14ac:dyDescent="0.3">
      <c r="A5623" s="109" t="s">
        <v>31460</v>
      </c>
      <c r="B5623" s="109" t="s">
        <v>30220</v>
      </c>
      <c r="C5623" s="109" t="s">
        <v>30220</v>
      </c>
      <c r="D5623" s="109" t="s">
        <v>4883</v>
      </c>
      <c r="E5623" s="109" t="s">
        <v>5558</v>
      </c>
      <c r="F5623" s="109" t="s">
        <v>31461</v>
      </c>
      <c r="G5623" s="110" t="s">
        <v>6248</v>
      </c>
      <c r="H5623" s="110" t="s">
        <v>31462</v>
      </c>
      <c r="I5623" s="110" t="s">
        <v>31463</v>
      </c>
    </row>
    <row r="5624" spans="1:9" ht="37.799999999999997" x14ac:dyDescent="0.3">
      <c r="A5624" s="109" t="s">
        <v>31464</v>
      </c>
      <c r="B5624" s="109" t="s">
        <v>30220</v>
      </c>
      <c r="C5624" s="109" t="s">
        <v>30220</v>
      </c>
      <c r="D5624" s="109" t="s">
        <v>31465</v>
      </c>
      <c r="E5624" s="109" t="s">
        <v>5558</v>
      </c>
      <c r="F5624" s="109" t="s">
        <v>31466</v>
      </c>
      <c r="G5624" s="110" t="s">
        <v>6248</v>
      </c>
      <c r="H5624" s="110" t="s">
        <v>31467</v>
      </c>
      <c r="I5624" s="110" t="s">
        <v>31468</v>
      </c>
    </row>
    <row r="5625" spans="1:9" ht="25.2" x14ac:dyDescent="0.3">
      <c r="A5625" s="109" t="s">
        <v>31469</v>
      </c>
      <c r="B5625" s="109" t="s">
        <v>30220</v>
      </c>
      <c r="C5625" s="109" t="s">
        <v>30220</v>
      </c>
      <c r="D5625" s="109" t="s">
        <v>31470</v>
      </c>
      <c r="E5625" s="109" t="s">
        <v>5558</v>
      </c>
      <c r="F5625" s="109" t="s">
        <v>31471</v>
      </c>
      <c r="G5625" s="110" t="s">
        <v>6248</v>
      </c>
      <c r="H5625" s="110" t="s">
        <v>31472</v>
      </c>
      <c r="I5625" s="110" t="s">
        <v>31473</v>
      </c>
    </row>
    <row r="5626" spans="1:9" ht="25.2" x14ac:dyDescent="0.3">
      <c r="A5626" s="109" t="s">
        <v>31474</v>
      </c>
      <c r="B5626" s="109" t="s">
        <v>30220</v>
      </c>
      <c r="C5626" s="109" t="s">
        <v>30220</v>
      </c>
      <c r="D5626" s="109" t="s">
        <v>31475</v>
      </c>
      <c r="E5626" s="109" t="s">
        <v>5558</v>
      </c>
      <c r="F5626" s="109" t="s">
        <v>31476</v>
      </c>
      <c r="G5626" s="110" t="s">
        <v>6248</v>
      </c>
      <c r="H5626" s="110" t="s">
        <v>31477</v>
      </c>
      <c r="I5626" s="110" t="s">
        <v>31478</v>
      </c>
    </row>
    <row r="5627" spans="1:9" ht="37.799999999999997" x14ac:dyDescent="0.3">
      <c r="A5627" s="109" t="s">
        <v>31479</v>
      </c>
      <c r="B5627" s="109" t="s">
        <v>31480</v>
      </c>
      <c r="C5627" s="109" t="s">
        <v>31480</v>
      </c>
      <c r="D5627" s="109" t="s">
        <v>31481</v>
      </c>
      <c r="E5627" s="109" t="s">
        <v>5558</v>
      </c>
      <c r="F5627" s="109" t="s">
        <v>31482</v>
      </c>
      <c r="G5627" s="110" t="s">
        <v>6248</v>
      </c>
      <c r="H5627" s="110" t="s">
        <v>6689</v>
      </c>
      <c r="I5627" s="110" t="s">
        <v>31483</v>
      </c>
    </row>
    <row r="5628" spans="1:9" ht="25.2" x14ac:dyDescent="0.3">
      <c r="A5628" s="109" t="s">
        <v>31484</v>
      </c>
      <c r="B5628" s="109" t="s">
        <v>31480</v>
      </c>
      <c r="C5628" s="109" t="s">
        <v>31480</v>
      </c>
      <c r="D5628" s="109" t="s">
        <v>5569</v>
      </c>
      <c r="E5628" s="109" t="s">
        <v>5558</v>
      </c>
      <c r="F5628" s="109" t="s">
        <v>5726</v>
      </c>
      <c r="G5628" s="110" t="s">
        <v>6248</v>
      </c>
      <c r="H5628" s="110" t="s">
        <v>27220</v>
      </c>
      <c r="I5628" s="110" t="s">
        <v>31485</v>
      </c>
    </row>
    <row r="5629" spans="1:9" ht="25.2" x14ac:dyDescent="0.3">
      <c r="A5629" s="109" t="s">
        <v>31486</v>
      </c>
      <c r="B5629" s="109" t="s">
        <v>31480</v>
      </c>
      <c r="C5629" s="109" t="s">
        <v>31480</v>
      </c>
      <c r="D5629" s="109" t="s">
        <v>5569</v>
      </c>
      <c r="E5629" s="109" t="s">
        <v>5558</v>
      </c>
      <c r="F5629" s="109" t="s">
        <v>2258</v>
      </c>
      <c r="G5629" s="110" t="s">
        <v>6248</v>
      </c>
      <c r="H5629" s="110" t="s">
        <v>31487</v>
      </c>
      <c r="I5629" s="110" t="s">
        <v>31488</v>
      </c>
    </row>
    <row r="5630" spans="1:9" ht="25.2" x14ac:dyDescent="0.3">
      <c r="A5630" s="109" t="s">
        <v>31489</v>
      </c>
      <c r="B5630" s="109" t="s">
        <v>31480</v>
      </c>
      <c r="C5630" s="109" t="s">
        <v>31480</v>
      </c>
      <c r="D5630" s="109" t="s">
        <v>31490</v>
      </c>
      <c r="E5630" s="109" t="s">
        <v>5558</v>
      </c>
      <c r="F5630" s="109" t="s">
        <v>31491</v>
      </c>
      <c r="G5630" s="110" t="s">
        <v>6248</v>
      </c>
      <c r="H5630" s="110" t="s">
        <v>31492</v>
      </c>
      <c r="I5630" s="110" t="s">
        <v>31493</v>
      </c>
    </row>
    <row r="5631" spans="1:9" ht="25.2" x14ac:dyDescent="0.3">
      <c r="A5631" s="109" t="s">
        <v>31494</v>
      </c>
      <c r="B5631" s="109" t="s">
        <v>31480</v>
      </c>
      <c r="C5631" s="109" t="s">
        <v>31480</v>
      </c>
      <c r="D5631" s="109" t="s">
        <v>5569</v>
      </c>
      <c r="E5631" s="109" t="s">
        <v>5558</v>
      </c>
      <c r="F5631" s="109" t="s">
        <v>2258</v>
      </c>
      <c r="G5631" s="110" t="s">
        <v>6248</v>
      </c>
      <c r="H5631" s="110" t="s">
        <v>7146</v>
      </c>
      <c r="I5631" s="110" t="s">
        <v>31495</v>
      </c>
    </row>
    <row r="5632" spans="1:9" ht="37.799999999999997" x14ac:dyDescent="0.3">
      <c r="A5632" s="109" t="s">
        <v>31496</v>
      </c>
      <c r="B5632" s="109" t="s">
        <v>31480</v>
      </c>
      <c r="C5632" s="109" t="s">
        <v>31480</v>
      </c>
      <c r="D5632" s="109" t="s">
        <v>31497</v>
      </c>
      <c r="E5632" s="109" t="s">
        <v>5558</v>
      </c>
      <c r="F5632" s="109" t="s">
        <v>31498</v>
      </c>
      <c r="G5632" s="110" t="s">
        <v>6248</v>
      </c>
      <c r="H5632" s="110" t="s">
        <v>31499</v>
      </c>
      <c r="I5632" s="110" t="s">
        <v>31500</v>
      </c>
    </row>
    <row r="5633" spans="1:9" ht="25.2" x14ac:dyDescent="0.3">
      <c r="A5633" s="109" t="s">
        <v>31501</v>
      </c>
      <c r="B5633" s="109" t="s">
        <v>31480</v>
      </c>
      <c r="C5633" s="109" t="s">
        <v>31480</v>
      </c>
      <c r="D5633" s="109" t="s">
        <v>31502</v>
      </c>
      <c r="E5633" s="109" t="s">
        <v>31503</v>
      </c>
      <c r="F5633" s="109" t="s">
        <v>31504</v>
      </c>
      <c r="G5633" s="110" t="s">
        <v>6248</v>
      </c>
      <c r="H5633" s="110" t="s">
        <v>31505</v>
      </c>
      <c r="I5633" s="110" t="s">
        <v>31506</v>
      </c>
    </row>
    <row r="5634" spans="1:9" ht="25.2" x14ac:dyDescent="0.3">
      <c r="A5634" s="109" t="s">
        <v>31507</v>
      </c>
      <c r="B5634" s="109" t="s">
        <v>31480</v>
      </c>
      <c r="C5634" s="109" t="s">
        <v>31480</v>
      </c>
      <c r="D5634" s="109" t="s">
        <v>5569</v>
      </c>
      <c r="E5634" s="109" t="s">
        <v>5558</v>
      </c>
      <c r="F5634" s="109" t="s">
        <v>2258</v>
      </c>
      <c r="G5634" s="110" t="s">
        <v>6248</v>
      </c>
      <c r="H5634" s="110" t="s">
        <v>12294</v>
      </c>
      <c r="I5634" s="110" t="s">
        <v>31508</v>
      </c>
    </row>
    <row r="5635" spans="1:9" ht="25.2" x14ac:dyDescent="0.3">
      <c r="A5635" s="109" t="s">
        <v>31509</v>
      </c>
      <c r="B5635" s="109" t="s">
        <v>31480</v>
      </c>
      <c r="C5635" s="109" t="s">
        <v>31480</v>
      </c>
      <c r="D5635" s="109" t="s">
        <v>31510</v>
      </c>
      <c r="E5635" s="109" t="s">
        <v>31511</v>
      </c>
      <c r="F5635" s="109" t="s">
        <v>18474</v>
      </c>
      <c r="G5635" s="110" t="s">
        <v>6248</v>
      </c>
      <c r="H5635" s="110" t="s">
        <v>31512</v>
      </c>
      <c r="I5635" s="110" t="s">
        <v>31513</v>
      </c>
    </row>
    <row r="5636" spans="1:9" ht="37.799999999999997" x14ac:dyDescent="0.3">
      <c r="A5636" s="109" t="s">
        <v>31514</v>
      </c>
      <c r="B5636" s="109" t="s">
        <v>31480</v>
      </c>
      <c r="C5636" s="109" t="s">
        <v>31480</v>
      </c>
      <c r="D5636" s="109" t="s">
        <v>31515</v>
      </c>
      <c r="E5636" s="109" t="s">
        <v>5558</v>
      </c>
      <c r="F5636" s="109" t="s">
        <v>31516</v>
      </c>
      <c r="G5636" s="110" t="s">
        <v>6248</v>
      </c>
      <c r="H5636" s="110" t="s">
        <v>31517</v>
      </c>
      <c r="I5636" s="110" t="s">
        <v>31518</v>
      </c>
    </row>
    <row r="5637" spans="1:9" ht="25.2" x14ac:dyDescent="0.3">
      <c r="A5637" s="109" t="s">
        <v>31519</v>
      </c>
      <c r="B5637" s="109" t="s">
        <v>31480</v>
      </c>
      <c r="C5637" s="109" t="s">
        <v>31480</v>
      </c>
      <c r="D5637" s="109" t="s">
        <v>31520</v>
      </c>
      <c r="E5637" s="109" t="s">
        <v>5558</v>
      </c>
      <c r="F5637" s="109" t="s">
        <v>31521</v>
      </c>
      <c r="G5637" s="110" t="s">
        <v>6248</v>
      </c>
      <c r="H5637" s="110" t="s">
        <v>12066</v>
      </c>
      <c r="I5637" s="110" t="s">
        <v>31522</v>
      </c>
    </row>
    <row r="5638" spans="1:9" ht="25.2" x14ac:dyDescent="0.3">
      <c r="A5638" s="109" t="s">
        <v>31523</v>
      </c>
      <c r="B5638" s="109" t="s">
        <v>31480</v>
      </c>
      <c r="C5638" s="109" t="s">
        <v>31480</v>
      </c>
      <c r="D5638" s="109" t="s">
        <v>5569</v>
      </c>
      <c r="E5638" s="109" t="s">
        <v>5558</v>
      </c>
      <c r="F5638" s="109" t="s">
        <v>2258</v>
      </c>
      <c r="G5638" s="110" t="s">
        <v>6248</v>
      </c>
      <c r="H5638" s="110" t="s">
        <v>31524</v>
      </c>
      <c r="I5638" s="110" t="s">
        <v>31525</v>
      </c>
    </row>
    <row r="5639" spans="1:9" ht="37.799999999999997" x14ac:dyDescent="0.3">
      <c r="A5639" s="109" t="s">
        <v>31526</v>
      </c>
      <c r="B5639" s="109" t="s">
        <v>31480</v>
      </c>
      <c r="C5639" s="109" t="s">
        <v>31480</v>
      </c>
      <c r="D5639" s="109" t="s">
        <v>31527</v>
      </c>
      <c r="E5639" s="109" t="s">
        <v>5558</v>
      </c>
      <c r="F5639" s="109" t="s">
        <v>31528</v>
      </c>
      <c r="G5639" s="110" t="s">
        <v>6248</v>
      </c>
      <c r="H5639" s="110" t="s">
        <v>6398</v>
      </c>
      <c r="I5639" s="110" t="s">
        <v>31529</v>
      </c>
    </row>
    <row r="5640" spans="1:9" ht="25.2" x14ac:dyDescent="0.3">
      <c r="A5640" s="109" t="s">
        <v>31530</v>
      </c>
      <c r="B5640" s="109" t="s">
        <v>31480</v>
      </c>
      <c r="C5640" s="109" t="s">
        <v>31480</v>
      </c>
      <c r="D5640" s="109" t="s">
        <v>31531</v>
      </c>
      <c r="E5640" s="109" t="s">
        <v>5558</v>
      </c>
      <c r="F5640" s="109" t="s">
        <v>31532</v>
      </c>
      <c r="G5640" s="110" t="s">
        <v>6248</v>
      </c>
      <c r="H5640" s="110" t="s">
        <v>6507</v>
      </c>
      <c r="I5640" s="110" t="s">
        <v>31533</v>
      </c>
    </row>
    <row r="5641" spans="1:9" ht="25.2" x14ac:dyDescent="0.3">
      <c r="A5641" s="109" t="s">
        <v>31534</v>
      </c>
      <c r="B5641" s="109" t="s">
        <v>31480</v>
      </c>
      <c r="C5641" s="109" t="s">
        <v>31480</v>
      </c>
      <c r="D5641" s="109" t="s">
        <v>31535</v>
      </c>
      <c r="E5641" s="109" t="s">
        <v>5558</v>
      </c>
      <c r="F5641" s="109" t="s">
        <v>31536</v>
      </c>
      <c r="G5641" s="110" t="s">
        <v>6248</v>
      </c>
      <c r="H5641" s="110" t="s">
        <v>6398</v>
      </c>
      <c r="I5641" s="110" t="s">
        <v>31537</v>
      </c>
    </row>
    <row r="5642" spans="1:9" ht="37.799999999999997" x14ac:dyDescent="0.3">
      <c r="A5642" s="109" t="s">
        <v>31538</v>
      </c>
      <c r="B5642" s="109" t="s">
        <v>31480</v>
      </c>
      <c r="C5642" s="109" t="s">
        <v>31480</v>
      </c>
      <c r="D5642" s="109" t="s">
        <v>31539</v>
      </c>
      <c r="E5642" s="109" t="s">
        <v>5558</v>
      </c>
      <c r="F5642" s="109" t="s">
        <v>31540</v>
      </c>
      <c r="G5642" s="110" t="s">
        <v>6248</v>
      </c>
      <c r="H5642" s="110" t="s">
        <v>6398</v>
      </c>
      <c r="I5642" s="110" t="s">
        <v>31541</v>
      </c>
    </row>
    <row r="5643" spans="1:9" ht="37.799999999999997" x14ac:dyDescent="0.3">
      <c r="A5643" s="109" t="s">
        <v>31542</v>
      </c>
      <c r="B5643" s="109" t="s">
        <v>31480</v>
      </c>
      <c r="C5643" s="109" t="s">
        <v>31480</v>
      </c>
      <c r="D5643" s="109" t="s">
        <v>31543</v>
      </c>
      <c r="E5643" s="109" t="s">
        <v>5558</v>
      </c>
      <c r="F5643" s="109" t="s">
        <v>31544</v>
      </c>
      <c r="G5643" s="110" t="s">
        <v>6248</v>
      </c>
      <c r="H5643" s="110" t="s">
        <v>6507</v>
      </c>
      <c r="I5643" s="110" t="s">
        <v>31545</v>
      </c>
    </row>
    <row r="5644" spans="1:9" ht="25.2" x14ac:dyDescent="0.3">
      <c r="A5644" s="109" t="s">
        <v>31546</v>
      </c>
      <c r="B5644" s="109" t="s">
        <v>31480</v>
      </c>
      <c r="C5644" s="109" t="s">
        <v>31480</v>
      </c>
      <c r="D5644" s="109" t="s">
        <v>31547</v>
      </c>
      <c r="E5644" s="109" t="s">
        <v>5558</v>
      </c>
      <c r="F5644" s="109" t="s">
        <v>31548</v>
      </c>
      <c r="G5644" s="110" t="s">
        <v>6248</v>
      </c>
      <c r="H5644" s="110" t="s">
        <v>6552</v>
      </c>
      <c r="I5644" s="110" t="s">
        <v>31549</v>
      </c>
    </row>
    <row r="5645" spans="1:9" ht="25.2" x14ac:dyDescent="0.3">
      <c r="A5645" s="109" t="s">
        <v>31550</v>
      </c>
      <c r="B5645" s="109" t="s">
        <v>31480</v>
      </c>
      <c r="C5645" s="109" t="s">
        <v>31480</v>
      </c>
      <c r="D5645" s="109" t="s">
        <v>31551</v>
      </c>
      <c r="E5645" s="109" t="s">
        <v>5558</v>
      </c>
      <c r="F5645" s="109" t="s">
        <v>31552</v>
      </c>
      <c r="G5645" s="110" t="s">
        <v>6248</v>
      </c>
      <c r="H5645" s="110" t="s">
        <v>6634</v>
      </c>
      <c r="I5645" s="110" t="s">
        <v>31553</v>
      </c>
    </row>
    <row r="5646" spans="1:9" ht="37.799999999999997" x14ac:dyDescent="0.3">
      <c r="A5646" s="109" t="s">
        <v>31554</v>
      </c>
      <c r="B5646" s="109" t="s">
        <v>31480</v>
      </c>
      <c r="C5646" s="109" t="s">
        <v>31480</v>
      </c>
      <c r="D5646" s="109" t="s">
        <v>31555</v>
      </c>
      <c r="E5646" s="109" t="s">
        <v>5558</v>
      </c>
      <c r="F5646" s="109" t="s">
        <v>31556</v>
      </c>
      <c r="G5646" s="110" t="s">
        <v>6248</v>
      </c>
      <c r="H5646" s="110" t="s">
        <v>6526</v>
      </c>
      <c r="I5646" s="110" t="s">
        <v>31557</v>
      </c>
    </row>
    <row r="5647" spans="1:9" ht="25.2" x14ac:dyDescent="0.3">
      <c r="A5647" s="109" t="s">
        <v>31558</v>
      </c>
      <c r="B5647" s="109" t="s">
        <v>31480</v>
      </c>
      <c r="C5647" s="109" t="s">
        <v>31480</v>
      </c>
      <c r="D5647" s="109" t="s">
        <v>31559</v>
      </c>
      <c r="E5647" s="109" t="s">
        <v>5558</v>
      </c>
      <c r="F5647" s="109" t="s">
        <v>31560</v>
      </c>
      <c r="G5647" s="110" t="s">
        <v>6248</v>
      </c>
      <c r="H5647" s="110" t="s">
        <v>12798</v>
      </c>
      <c r="I5647" s="110" t="s">
        <v>31561</v>
      </c>
    </row>
    <row r="5648" spans="1:9" ht="25.2" x14ac:dyDescent="0.3">
      <c r="A5648" s="109" t="s">
        <v>31562</v>
      </c>
      <c r="B5648" s="109" t="s">
        <v>31480</v>
      </c>
      <c r="C5648" s="109" t="s">
        <v>31480</v>
      </c>
      <c r="D5648" s="109" t="s">
        <v>31563</v>
      </c>
      <c r="E5648" s="109" t="s">
        <v>5558</v>
      </c>
      <c r="F5648" s="109" t="s">
        <v>31564</v>
      </c>
      <c r="G5648" s="110" t="s">
        <v>6248</v>
      </c>
      <c r="H5648" s="110" t="s">
        <v>10362</v>
      </c>
      <c r="I5648" s="110" t="s">
        <v>31565</v>
      </c>
    </row>
    <row r="5649" spans="1:9" ht="25.2" x14ac:dyDescent="0.3">
      <c r="A5649" s="109" t="s">
        <v>31566</v>
      </c>
      <c r="B5649" s="109" t="s">
        <v>31480</v>
      </c>
      <c r="C5649" s="109" t="s">
        <v>31480</v>
      </c>
      <c r="D5649" s="109" t="s">
        <v>31567</v>
      </c>
      <c r="E5649" s="109" t="s">
        <v>5558</v>
      </c>
      <c r="F5649" s="109" t="s">
        <v>31568</v>
      </c>
      <c r="G5649" s="110" t="s">
        <v>6248</v>
      </c>
      <c r="H5649" s="110" t="s">
        <v>6433</v>
      </c>
      <c r="I5649" s="110" t="s">
        <v>31569</v>
      </c>
    </row>
    <row r="5650" spans="1:9" ht="25.2" x14ac:dyDescent="0.3">
      <c r="A5650" s="109" t="s">
        <v>31570</v>
      </c>
      <c r="B5650" s="109" t="s">
        <v>31480</v>
      </c>
      <c r="C5650" s="109" t="s">
        <v>31480</v>
      </c>
      <c r="D5650" s="109" t="s">
        <v>31571</v>
      </c>
      <c r="E5650" s="109" t="s">
        <v>5558</v>
      </c>
      <c r="F5650" s="109" t="s">
        <v>31572</v>
      </c>
      <c r="G5650" s="110" t="s">
        <v>6248</v>
      </c>
      <c r="H5650" s="110" t="s">
        <v>6557</v>
      </c>
      <c r="I5650" s="110" t="s">
        <v>31573</v>
      </c>
    </row>
    <row r="5651" spans="1:9" ht="25.2" x14ac:dyDescent="0.3">
      <c r="A5651" s="109" t="s">
        <v>31574</v>
      </c>
      <c r="B5651" s="109" t="s">
        <v>31480</v>
      </c>
      <c r="C5651" s="109" t="s">
        <v>31480</v>
      </c>
      <c r="D5651" s="109" t="s">
        <v>31575</v>
      </c>
      <c r="E5651" s="109" t="s">
        <v>5558</v>
      </c>
      <c r="F5651" s="109" t="s">
        <v>31576</v>
      </c>
      <c r="G5651" s="110" t="s">
        <v>6248</v>
      </c>
      <c r="H5651" s="110" t="s">
        <v>6460</v>
      </c>
      <c r="I5651" s="110" t="s">
        <v>31577</v>
      </c>
    </row>
    <row r="5652" spans="1:9" ht="37.799999999999997" x14ac:dyDescent="0.3">
      <c r="A5652" s="109" t="s">
        <v>31578</v>
      </c>
      <c r="B5652" s="109" t="s">
        <v>31480</v>
      </c>
      <c r="C5652" s="109" t="s">
        <v>31480</v>
      </c>
      <c r="D5652" s="109" t="s">
        <v>31579</v>
      </c>
      <c r="E5652" s="109" t="s">
        <v>5558</v>
      </c>
      <c r="F5652" s="109" t="s">
        <v>31580</v>
      </c>
      <c r="G5652" s="110" t="s">
        <v>6248</v>
      </c>
      <c r="H5652" s="110" t="s">
        <v>6489</v>
      </c>
      <c r="I5652" s="110" t="s">
        <v>31581</v>
      </c>
    </row>
    <row r="5653" spans="1:9" ht="25.2" x14ac:dyDescent="0.3">
      <c r="A5653" s="109" t="s">
        <v>31582</v>
      </c>
      <c r="B5653" s="109" t="s">
        <v>31480</v>
      </c>
      <c r="C5653" s="109" t="s">
        <v>31480</v>
      </c>
      <c r="D5653" s="109" t="s">
        <v>31583</v>
      </c>
      <c r="E5653" s="109" t="s">
        <v>5558</v>
      </c>
      <c r="F5653" s="109" t="s">
        <v>31584</v>
      </c>
      <c r="G5653" s="110" t="s">
        <v>6248</v>
      </c>
      <c r="H5653" s="110" t="s">
        <v>6398</v>
      </c>
      <c r="I5653" s="110" t="s">
        <v>31585</v>
      </c>
    </row>
    <row r="5654" spans="1:9" ht="25.2" x14ac:dyDescent="0.3">
      <c r="A5654" s="109" t="s">
        <v>31586</v>
      </c>
      <c r="B5654" s="109" t="s">
        <v>31480</v>
      </c>
      <c r="C5654" s="109" t="s">
        <v>31480</v>
      </c>
      <c r="D5654" s="109" t="s">
        <v>31587</v>
      </c>
      <c r="E5654" s="109" t="s">
        <v>5558</v>
      </c>
      <c r="F5654" s="109" t="s">
        <v>31588</v>
      </c>
      <c r="G5654" s="110" t="s">
        <v>6248</v>
      </c>
      <c r="H5654" s="110" t="s">
        <v>6460</v>
      </c>
      <c r="I5654" s="110" t="s">
        <v>31589</v>
      </c>
    </row>
    <row r="5655" spans="1:9" ht="25.2" x14ac:dyDescent="0.3">
      <c r="A5655" s="109" t="s">
        <v>31590</v>
      </c>
      <c r="B5655" s="109" t="s">
        <v>31480</v>
      </c>
      <c r="C5655" s="109" t="s">
        <v>31480</v>
      </c>
      <c r="D5655" s="109" t="s">
        <v>31591</v>
      </c>
      <c r="E5655" s="109" t="s">
        <v>5558</v>
      </c>
      <c r="F5655" s="109" t="s">
        <v>31592</v>
      </c>
      <c r="G5655" s="110" t="s">
        <v>6248</v>
      </c>
      <c r="H5655" s="110" t="s">
        <v>9158</v>
      </c>
      <c r="I5655" s="110" t="s">
        <v>31593</v>
      </c>
    </row>
    <row r="5656" spans="1:9" ht="25.2" x14ac:dyDescent="0.3">
      <c r="A5656" s="109" t="s">
        <v>31594</v>
      </c>
      <c r="B5656" s="109" t="s">
        <v>31480</v>
      </c>
      <c r="C5656" s="109" t="s">
        <v>31480</v>
      </c>
      <c r="D5656" s="109" t="s">
        <v>31595</v>
      </c>
      <c r="E5656" s="109" t="s">
        <v>5558</v>
      </c>
      <c r="F5656" s="109" t="s">
        <v>31596</v>
      </c>
      <c r="G5656" s="110" t="s">
        <v>6248</v>
      </c>
      <c r="H5656" s="110" t="s">
        <v>6489</v>
      </c>
      <c r="I5656" s="110" t="s">
        <v>31597</v>
      </c>
    </row>
    <row r="5657" spans="1:9" ht="37.799999999999997" x14ac:dyDescent="0.3">
      <c r="A5657" s="109" t="s">
        <v>31598</v>
      </c>
      <c r="B5657" s="109" t="s">
        <v>31480</v>
      </c>
      <c r="C5657" s="109" t="s">
        <v>31480</v>
      </c>
      <c r="D5657" s="109" t="s">
        <v>31599</v>
      </c>
      <c r="E5657" s="109" t="s">
        <v>5558</v>
      </c>
      <c r="F5657" s="109" t="s">
        <v>31600</v>
      </c>
      <c r="G5657" s="110" t="s">
        <v>6248</v>
      </c>
      <c r="H5657" s="110" t="s">
        <v>6507</v>
      </c>
      <c r="I5657" s="110" t="s">
        <v>31601</v>
      </c>
    </row>
    <row r="5658" spans="1:9" ht="25.2" x14ac:dyDescent="0.3">
      <c r="A5658" s="109" t="s">
        <v>31602</v>
      </c>
      <c r="B5658" s="109" t="s">
        <v>31480</v>
      </c>
      <c r="C5658" s="109" t="s">
        <v>31480</v>
      </c>
      <c r="D5658" s="109" t="s">
        <v>31603</v>
      </c>
      <c r="E5658" s="109" t="s">
        <v>5558</v>
      </c>
      <c r="F5658" s="109" t="s">
        <v>31604</v>
      </c>
      <c r="G5658" s="110" t="s">
        <v>6248</v>
      </c>
      <c r="H5658" s="110" t="s">
        <v>6413</v>
      </c>
      <c r="I5658" s="110" t="s">
        <v>31605</v>
      </c>
    </row>
    <row r="5659" spans="1:9" ht="25.2" x14ac:dyDescent="0.3">
      <c r="A5659" s="109" t="s">
        <v>31606</v>
      </c>
      <c r="B5659" s="109" t="s">
        <v>31480</v>
      </c>
      <c r="C5659" s="109" t="s">
        <v>31480</v>
      </c>
      <c r="D5659" s="109" t="s">
        <v>31607</v>
      </c>
      <c r="E5659" s="109" t="s">
        <v>5558</v>
      </c>
      <c r="F5659" s="109" t="s">
        <v>31608</v>
      </c>
      <c r="G5659" s="110" t="s">
        <v>6248</v>
      </c>
      <c r="H5659" s="110" t="s">
        <v>6398</v>
      </c>
      <c r="I5659" s="110" t="s">
        <v>31609</v>
      </c>
    </row>
    <row r="5660" spans="1:9" ht="37.799999999999997" x14ac:dyDescent="0.3">
      <c r="A5660" s="109" t="s">
        <v>31610</v>
      </c>
      <c r="B5660" s="109" t="s">
        <v>31480</v>
      </c>
      <c r="C5660" s="109" t="s">
        <v>31480</v>
      </c>
      <c r="D5660" s="109" t="s">
        <v>31611</v>
      </c>
      <c r="E5660" s="109" t="s">
        <v>5558</v>
      </c>
      <c r="F5660" s="109" t="s">
        <v>31612</v>
      </c>
      <c r="G5660" s="110" t="s">
        <v>6248</v>
      </c>
      <c r="H5660" s="110" t="s">
        <v>9158</v>
      </c>
      <c r="I5660" s="110" t="s">
        <v>31613</v>
      </c>
    </row>
    <row r="5661" spans="1:9" ht="25.2" x14ac:dyDescent="0.3">
      <c r="A5661" s="109" t="s">
        <v>31614</v>
      </c>
      <c r="B5661" s="109" t="s">
        <v>31480</v>
      </c>
      <c r="C5661" s="109" t="s">
        <v>31480</v>
      </c>
      <c r="D5661" s="109" t="s">
        <v>31615</v>
      </c>
      <c r="E5661" s="109" t="s">
        <v>5558</v>
      </c>
      <c r="F5661" s="109" t="s">
        <v>31616</v>
      </c>
      <c r="G5661" s="110" t="s">
        <v>6248</v>
      </c>
      <c r="H5661" s="110" t="s">
        <v>6418</v>
      </c>
      <c r="I5661" s="110" t="s">
        <v>31617</v>
      </c>
    </row>
    <row r="5662" spans="1:9" ht="37.799999999999997" x14ac:dyDescent="0.3">
      <c r="A5662" s="109" t="s">
        <v>31618</v>
      </c>
      <c r="B5662" s="109" t="s">
        <v>31480</v>
      </c>
      <c r="C5662" s="109" t="s">
        <v>31480</v>
      </c>
      <c r="D5662" s="109" t="s">
        <v>31619</v>
      </c>
      <c r="E5662" s="109" t="s">
        <v>5558</v>
      </c>
      <c r="F5662" s="109" t="s">
        <v>31620</v>
      </c>
      <c r="G5662" s="110" t="s">
        <v>6248</v>
      </c>
      <c r="H5662" s="110" t="s">
        <v>6570</v>
      </c>
      <c r="I5662" s="110" t="s">
        <v>31621</v>
      </c>
    </row>
    <row r="5663" spans="1:9" ht="37.799999999999997" x14ac:dyDescent="0.3">
      <c r="A5663" s="109" t="s">
        <v>31622</v>
      </c>
      <c r="B5663" s="109" t="s">
        <v>31480</v>
      </c>
      <c r="C5663" s="109" t="s">
        <v>31480</v>
      </c>
      <c r="D5663" s="109" t="s">
        <v>31623</v>
      </c>
      <c r="E5663" s="109" t="s">
        <v>5558</v>
      </c>
      <c r="F5663" s="109" t="s">
        <v>31624</v>
      </c>
      <c r="G5663" s="110" t="s">
        <v>6248</v>
      </c>
      <c r="H5663" s="110" t="s">
        <v>9158</v>
      </c>
      <c r="I5663" s="110" t="s">
        <v>31625</v>
      </c>
    </row>
    <row r="5664" spans="1:9" ht="25.2" x14ac:dyDescent="0.3">
      <c r="A5664" s="109" t="s">
        <v>31626</v>
      </c>
      <c r="B5664" s="109" t="s">
        <v>31480</v>
      </c>
      <c r="C5664" s="109" t="s">
        <v>31480</v>
      </c>
      <c r="D5664" s="109" t="s">
        <v>31627</v>
      </c>
      <c r="E5664" s="109" t="s">
        <v>5558</v>
      </c>
      <c r="F5664" s="109" t="s">
        <v>31628</v>
      </c>
      <c r="G5664" s="110" t="s">
        <v>6248</v>
      </c>
      <c r="H5664" s="110" t="s">
        <v>6393</v>
      </c>
      <c r="I5664" s="110" t="s">
        <v>31629</v>
      </c>
    </row>
    <row r="5665" spans="1:9" ht="37.799999999999997" x14ac:dyDescent="0.3">
      <c r="A5665" s="109" t="s">
        <v>31630</v>
      </c>
      <c r="B5665" s="109" t="s">
        <v>31480</v>
      </c>
      <c r="C5665" s="109" t="s">
        <v>31480</v>
      </c>
      <c r="D5665" s="109" t="s">
        <v>31631</v>
      </c>
      <c r="E5665" s="109" t="s">
        <v>5558</v>
      </c>
      <c r="F5665" s="109" t="s">
        <v>31632</v>
      </c>
      <c r="G5665" s="110" t="s">
        <v>6248</v>
      </c>
      <c r="H5665" s="110" t="s">
        <v>7884</v>
      </c>
      <c r="I5665" s="110" t="s">
        <v>31633</v>
      </c>
    </row>
    <row r="5666" spans="1:9" ht="25.2" x14ac:dyDescent="0.3">
      <c r="A5666" s="109" t="s">
        <v>31634</v>
      </c>
      <c r="B5666" s="109" t="s">
        <v>31480</v>
      </c>
      <c r="C5666" s="109" t="s">
        <v>31480</v>
      </c>
      <c r="D5666" s="109" t="s">
        <v>31635</v>
      </c>
      <c r="E5666" s="109" t="s">
        <v>5558</v>
      </c>
      <c r="F5666" s="109" t="s">
        <v>31636</v>
      </c>
      <c r="G5666" s="110" t="s">
        <v>6248</v>
      </c>
      <c r="H5666" s="110" t="s">
        <v>8984</v>
      </c>
      <c r="I5666" s="110" t="s">
        <v>31637</v>
      </c>
    </row>
    <row r="5667" spans="1:9" ht="25.2" x14ac:dyDescent="0.3">
      <c r="A5667" s="109" t="s">
        <v>31638</v>
      </c>
      <c r="B5667" s="109" t="s">
        <v>31480</v>
      </c>
      <c r="C5667" s="109" t="s">
        <v>31480</v>
      </c>
      <c r="D5667" s="109" t="s">
        <v>31639</v>
      </c>
      <c r="E5667" s="109" t="s">
        <v>5558</v>
      </c>
      <c r="F5667" s="109" t="s">
        <v>31640</v>
      </c>
      <c r="G5667" s="110" t="s">
        <v>6248</v>
      </c>
      <c r="H5667" s="110" t="s">
        <v>6507</v>
      </c>
      <c r="I5667" s="110" t="s">
        <v>31641</v>
      </c>
    </row>
    <row r="5668" spans="1:9" ht="25.2" x14ac:dyDescent="0.3">
      <c r="A5668" s="109" t="s">
        <v>31642</v>
      </c>
      <c r="B5668" s="109" t="s">
        <v>31480</v>
      </c>
      <c r="C5668" s="109" t="s">
        <v>31480</v>
      </c>
      <c r="D5668" s="109" t="s">
        <v>31643</v>
      </c>
      <c r="E5668" s="109" t="s">
        <v>5558</v>
      </c>
      <c r="F5668" s="109" t="s">
        <v>31644</v>
      </c>
      <c r="G5668" s="110" t="s">
        <v>6248</v>
      </c>
      <c r="H5668" s="110" t="s">
        <v>6474</v>
      </c>
      <c r="I5668" s="110" t="s">
        <v>31645</v>
      </c>
    </row>
    <row r="5669" spans="1:9" ht="25.2" x14ac:dyDescent="0.3">
      <c r="A5669" s="109" t="s">
        <v>31646</v>
      </c>
      <c r="B5669" s="109" t="s">
        <v>31480</v>
      </c>
      <c r="C5669" s="109" t="s">
        <v>31480</v>
      </c>
      <c r="D5669" s="109" t="s">
        <v>31647</v>
      </c>
      <c r="E5669" s="109" t="s">
        <v>5558</v>
      </c>
      <c r="F5669" s="109" t="s">
        <v>31648</v>
      </c>
      <c r="G5669" s="110" t="s">
        <v>6248</v>
      </c>
      <c r="H5669" s="110" t="s">
        <v>6433</v>
      </c>
      <c r="I5669" s="110" t="s">
        <v>31649</v>
      </c>
    </row>
    <row r="5670" spans="1:9" ht="37.799999999999997" x14ac:dyDescent="0.3">
      <c r="A5670" s="109" t="s">
        <v>31650</v>
      </c>
      <c r="B5670" s="109" t="s">
        <v>31480</v>
      </c>
      <c r="C5670" s="109" t="s">
        <v>31480</v>
      </c>
      <c r="D5670" s="109" t="s">
        <v>31651</v>
      </c>
      <c r="E5670" s="109" t="s">
        <v>5558</v>
      </c>
      <c r="F5670" s="109" t="s">
        <v>31652</v>
      </c>
      <c r="G5670" s="110" t="s">
        <v>6248</v>
      </c>
      <c r="H5670" s="110" t="s">
        <v>6489</v>
      </c>
      <c r="I5670" s="110" t="s">
        <v>31653</v>
      </c>
    </row>
    <row r="5671" spans="1:9" ht="37.799999999999997" x14ac:dyDescent="0.3">
      <c r="A5671" s="109" t="s">
        <v>31654</v>
      </c>
      <c r="B5671" s="109" t="s">
        <v>31480</v>
      </c>
      <c r="C5671" s="109" t="s">
        <v>31480</v>
      </c>
      <c r="D5671" s="109" t="s">
        <v>31655</v>
      </c>
      <c r="E5671" s="109" t="s">
        <v>5558</v>
      </c>
      <c r="F5671" s="109" t="s">
        <v>31656</v>
      </c>
      <c r="G5671" s="110" t="s">
        <v>6248</v>
      </c>
      <c r="H5671" s="110" t="s">
        <v>21974</v>
      </c>
      <c r="I5671" s="110" t="s">
        <v>31657</v>
      </c>
    </row>
    <row r="5672" spans="1:9" ht="37.799999999999997" x14ac:dyDescent="0.3">
      <c r="A5672" s="109" t="s">
        <v>31658</v>
      </c>
      <c r="B5672" s="109" t="s">
        <v>31480</v>
      </c>
      <c r="C5672" s="109" t="s">
        <v>31480</v>
      </c>
      <c r="D5672" s="109" t="s">
        <v>31659</v>
      </c>
      <c r="E5672" s="109" t="s">
        <v>5558</v>
      </c>
      <c r="F5672" s="109" t="s">
        <v>31660</v>
      </c>
      <c r="G5672" s="110" t="s">
        <v>6248</v>
      </c>
      <c r="H5672" s="110" t="s">
        <v>6601</v>
      </c>
      <c r="I5672" s="110" t="s">
        <v>31661</v>
      </c>
    </row>
    <row r="5673" spans="1:9" ht="37.799999999999997" x14ac:dyDescent="0.3">
      <c r="A5673" s="109" t="s">
        <v>31662</v>
      </c>
      <c r="B5673" s="109" t="s">
        <v>31480</v>
      </c>
      <c r="C5673" s="109" t="s">
        <v>31480</v>
      </c>
      <c r="D5673" s="109" t="s">
        <v>31663</v>
      </c>
      <c r="E5673" s="109" t="s">
        <v>5558</v>
      </c>
      <c r="F5673" s="109" t="s">
        <v>31664</v>
      </c>
      <c r="G5673" s="110" t="s">
        <v>6248</v>
      </c>
      <c r="H5673" s="110" t="s">
        <v>9128</v>
      </c>
      <c r="I5673" s="110" t="s">
        <v>31665</v>
      </c>
    </row>
    <row r="5674" spans="1:9" ht="37.799999999999997" x14ac:dyDescent="0.3">
      <c r="A5674" s="109" t="s">
        <v>31666</v>
      </c>
      <c r="B5674" s="109" t="s">
        <v>31480</v>
      </c>
      <c r="C5674" s="109" t="s">
        <v>31480</v>
      </c>
      <c r="D5674" s="109" t="s">
        <v>31667</v>
      </c>
      <c r="E5674" s="109" t="s">
        <v>5558</v>
      </c>
      <c r="F5674" s="109" t="s">
        <v>31668</v>
      </c>
      <c r="G5674" s="110" t="s">
        <v>6248</v>
      </c>
      <c r="H5674" s="110" t="s">
        <v>6433</v>
      </c>
      <c r="I5674" s="110" t="s">
        <v>31669</v>
      </c>
    </row>
    <row r="5675" spans="1:9" ht="25.2" x14ac:dyDescent="0.3">
      <c r="A5675" s="109" t="s">
        <v>31670</v>
      </c>
      <c r="B5675" s="109" t="s">
        <v>31480</v>
      </c>
      <c r="C5675" s="109" t="s">
        <v>31480</v>
      </c>
      <c r="D5675" s="109" t="s">
        <v>31671</v>
      </c>
      <c r="E5675" s="109" t="s">
        <v>5558</v>
      </c>
      <c r="F5675" s="109" t="s">
        <v>31672</v>
      </c>
      <c r="G5675" s="110" t="s">
        <v>6248</v>
      </c>
      <c r="H5675" s="110" t="s">
        <v>6575</v>
      </c>
      <c r="I5675" s="110" t="s">
        <v>31673</v>
      </c>
    </row>
    <row r="5676" spans="1:9" ht="37.799999999999997" x14ac:dyDescent="0.3">
      <c r="A5676" s="109" t="s">
        <v>31674</v>
      </c>
      <c r="B5676" s="109" t="s">
        <v>31480</v>
      </c>
      <c r="C5676" s="109" t="s">
        <v>31480</v>
      </c>
      <c r="D5676" s="109" t="s">
        <v>31675</v>
      </c>
      <c r="E5676" s="109" t="s">
        <v>5558</v>
      </c>
      <c r="F5676" s="109" t="s">
        <v>31676</v>
      </c>
      <c r="G5676" s="110" t="s">
        <v>6248</v>
      </c>
      <c r="H5676" s="110" t="s">
        <v>31677</v>
      </c>
      <c r="I5676" s="110" t="s">
        <v>31678</v>
      </c>
    </row>
    <row r="5677" spans="1:9" ht="37.799999999999997" x14ac:dyDescent="0.3">
      <c r="A5677" s="109" t="s">
        <v>31679</v>
      </c>
      <c r="B5677" s="109" t="s">
        <v>31480</v>
      </c>
      <c r="C5677" s="109" t="s">
        <v>31480</v>
      </c>
      <c r="D5677" s="109" t="s">
        <v>31680</v>
      </c>
      <c r="E5677" s="109" t="s">
        <v>5558</v>
      </c>
      <c r="F5677" s="109" t="s">
        <v>31681</v>
      </c>
      <c r="G5677" s="110" t="s">
        <v>6248</v>
      </c>
      <c r="H5677" s="110" t="s">
        <v>6484</v>
      </c>
      <c r="I5677" s="110" t="s">
        <v>31682</v>
      </c>
    </row>
    <row r="5678" spans="1:9" ht="37.799999999999997" x14ac:dyDescent="0.3">
      <c r="A5678" s="109" t="s">
        <v>31683</v>
      </c>
      <c r="B5678" s="109" t="s">
        <v>31480</v>
      </c>
      <c r="C5678" s="109" t="s">
        <v>31480</v>
      </c>
      <c r="D5678" s="109" t="s">
        <v>31684</v>
      </c>
      <c r="E5678" s="109" t="s">
        <v>5558</v>
      </c>
      <c r="F5678" s="109" t="s">
        <v>31685</v>
      </c>
      <c r="G5678" s="110" t="s">
        <v>6248</v>
      </c>
      <c r="H5678" s="110" t="s">
        <v>6403</v>
      </c>
      <c r="I5678" s="110" t="s">
        <v>31686</v>
      </c>
    </row>
    <row r="5679" spans="1:9" ht="37.799999999999997" x14ac:dyDescent="0.3">
      <c r="A5679" s="109" t="s">
        <v>31687</v>
      </c>
      <c r="B5679" s="109" t="s">
        <v>31480</v>
      </c>
      <c r="C5679" s="109" t="s">
        <v>31480</v>
      </c>
      <c r="D5679" s="109" t="s">
        <v>31688</v>
      </c>
      <c r="E5679" s="109" t="s">
        <v>5558</v>
      </c>
      <c r="F5679" s="109" t="s">
        <v>31689</v>
      </c>
      <c r="G5679" s="110" t="s">
        <v>6248</v>
      </c>
      <c r="H5679" s="110" t="s">
        <v>6557</v>
      </c>
      <c r="I5679" s="110" t="s">
        <v>31690</v>
      </c>
    </row>
    <row r="5680" spans="1:9" ht="25.2" x14ac:dyDescent="0.3">
      <c r="A5680" s="109" t="s">
        <v>31691</v>
      </c>
      <c r="B5680" s="109" t="s">
        <v>31480</v>
      </c>
      <c r="C5680" s="109" t="s">
        <v>31480</v>
      </c>
      <c r="D5680" s="109" t="s">
        <v>31692</v>
      </c>
      <c r="E5680" s="109" t="s">
        <v>5558</v>
      </c>
      <c r="F5680" s="109" t="s">
        <v>31693</v>
      </c>
      <c r="G5680" s="110" t="s">
        <v>6248</v>
      </c>
      <c r="H5680" s="110" t="s">
        <v>31694</v>
      </c>
      <c r="I5680" s="110" t="s">
        <v>31695</v>
      </c>
    </row>
    <row r="5681" spans="1:9" ht="25.2" x14ac:dyDescent="0.3">
      <c r="A5681" s="109" t="s">
        <v>31696</v>
      </c>
      <c r="B5681" s="109" t="s">
        <v>31480</v>
      </c>
      <c r="C5681" s="109" t="s">
        <v>31480</v>
      </c>
      <c r="D5681" s="109" t="s">
        <v>31697</v>
      </c>
      <c r="E5681" s="109" t="s">
        <v>5558</v>
      </c>
      <c r="F5681" s="109" t="s">
        <v>31698</v>
      </c>
      <c r="G5681" s="110" t="s">
        <v>6248</v>
      </c>
      <c r="H5681" s="110" t="s">
        <v>6374</v>
      </c>
      <c r="I5681" s="110" t="s">
        <v>31699</v>
      </c>
    </row>
    <row r="5682" spans="1:9" ht="25.2" x14ac:dyDescent="0.3">
      <c r="A5682" s="109" t="s">
        <v>31700</v>
      </c>
      <c r="B5682" s="109" t="s">
        <v>31480</v>
      </c>
      <c r="C5682" s="109" t="s">
        <v>31480</v>
      </c>
      <c r="D5682" s="109" t="s">
        <v>31701</v>
      </c>
      <c r="E5682" s="109" t="s">
        <v>5558</v>
      </c>
      <c r="F5682" s="109" t="s">
        <v>31702</v>
      </c>
      <c r="G5682" s="110" t="s">
        <v>6248</v>
      </c>
      <c r="H5682" s="110" t="s">
        <v>9141</v>
      </c>
      <c r="I5682" s="110" t="s">
        <v>31703</v>
      </c>
    </row>
    <row r="5683" spans="1:9" ht="37.799999999999997" x14ac:dyDescent="0.3">
      <c r="A5683" s="109" t="s">
        <v>31704</v>
      </c>
      <c r="B5683" s="109" t="s">
        <v>31480</v>
      </c>
      <c r="C5683" s="109" t="s">
        <v>31480</v>
      </c>
      <c r="D5683" s="109" t="s">
        <v>31705</v>
      </c>
      <c r="E5683" s="109" t="s">
        <v>5558</v>
      </c>
      <c r="F5683" s="109" t="s">
        <v>31706</v>
      </c>
      <c r="G5683" s="110" t="s">
        <v>6248</v>
      </c>
      <c r="H5683" s="110" t="s">
        <v>9158</v>
      </c>
      <c r="I5683" s="110" t="s">
        <v>31707</v>
      </c>
    </row>
    <row r="5684" spans="1:9" ht="25.2" x14ac:dyDescent="0.3">
      <c r="A5684" s="109" t="s">
        <v>31708</v>
      </c>
      <c r="B5684" s="109" t="s">
        <v>31480</v>
      </c>
      <c r="C5684" s="109" t="s">
        <v>31480</v>
      </c>
      <c r="D5684" s="109" t="s">
        <v>31709</v>
      </c>
      <c r="E5684" s="109" t="s">
        <v>5558</v>
      </c>
      <c r="F5684" s="109" t="s">
        <v>31710</v>
      </c>
      <c r="G5684" s="110" t="s">
        <v>6248</v>
      </c>
      <c r="H5684" s="110" t="s">
        <v>29007</v>
      </c>
      <c r="I5684" s="110" t="s">
        <v>31711</v>
      </c>
    </row>
    <row r="5685" spans="1:9" ht="37.799999999999997" x14ac:dyDescent="0.3">
      <c r="A5685" s="109" t="s">
        <v>31712</v>
      </c>
      <c r="B5685" s="109" t="s">
        <v>31480</v>
      </c>
      <c r="C5685" s="109" t="s">
        <v>31480</v>
      </c>
      <c r="D5685" s="109" t="s">
        <v>31713</v>
      </c>
      <c r="E5685" s="109" t="s">
        <v>5558</v>
      </c>
      <c r="F5685" s="109" t="s">
        <v>31714</v>
      </c>
      <c r="G5685" s="110" t="s">
        <v>6248</v>
      </c>
      <c r="H5685" s="110" t="s">
        <v>6418</v>
      </c>
      <c r="I5685" s="110" t="s">
        <v>31715</v>
      </c>
    </row>
    <row r="5686" spans="1:9" ht="25.2" x14ac:dyDescent="0.3">
      <c r="A5686" s="109" t="s">
        <v>31716</v>
      </c>
      <c r="B5686" s="109" t="s">
        <v>31480</v>
      </c>
      <c r="C5686" s="109" t="s">
        <v>31480</v>
      </c>
      <c r="D5686" s="109" t="s">
        <v>31717</v>
      </c>
      <c r="E5686" s="109" t="s">
        <v>5558</v>
      </c>
      <c r="F5686" s="109" t="s">
        <v>31718</v>
      </c>
      <c r="G5686" s="110" t="s">
        <v>6248</v>
      </c>
      <c r="H5686" s="110" t="s">
        <v>6413</v>
      </c>
      <c r="I5686" s="110" t="s">
        <v>31719</v>
      </c>
    </row>
    <row r="5687" spans="1:9" ht="37.799999999999997" x14ac:dyDescent="0.3">
      <c r="A5687" s="109" t="s">
        <v>31720</v>
      </c>
      <c r="B5687" s="109" t="s">
        <v>31480</v>
      </c>
      <c r="C5687" s="109" t="s">
        <v>31480</v>
      </c>
      <c r="D5687" s="109" t="s">
        <v>31721</v>
      </c>
      <c r="E5687" s="109" t="s">
        <v>5558</v>
      </c>
      <c r="F5687" s="109" t="s">
        <v>31722</v>
      </c>
      <c r="G5687" s="110" t="s">
        <v>6248</v>
      </c>
      <c r="H5687" s="110" t="s">
        <v>31723</v>
      </c>
      <c r="I5687" s="110" t="s">
        <v>31724</v>
      </c>
    </row>
    <row r="5688" spans="1:9" ht="25.2" x14ac:dyDescent="0.3">
      <c r="A5688" s="109" t="s">
        <v>31725</v>
      </c>
      <c r="B5688" s="109" t="s">
        <v>31480</v>
      </c>
      <c r="C5688" s="109" t="s">
        <v>31480</v>
      </c>
      <c r="D5688" s="109" t="s">
        <v>31726</v>
      </c>
      <c r="E5688" s="109" t="s">
        <v>5558</v>
      </c>
      <c r="F5688" s="109" t="s">
        <v>31727</v>
      </c>
      <c r="G5688" s="110" t="s">
        <v>6248</v>
      </c>
      <c r="H5688" s="110" t="s">
        <v>31728</v>
      </c>
      <c r="I5688" s="110" t="s">
        <v>31729</v>
      </c>
    </row>
    <row r="5689" spans="1:9" ht="25.2" x14ac:dyDescent="0.3">
      <c r="A5689" s="109" t="s">
        <v>31730</v>
      </c>
      <c r="B5689" s="109" t="s">
        <v>31480</v>
      </c>
      <c r="C5689" s="109" t="s">
        <v>31480</v>
      </c>
      <c r="D5689" s="109" t="s">
        <v>31731</v>
      </c>
      <c r="E5689" s="109" t="s">
        <v>5558</v>
      </c>
      <c r="F5689" s="109" t="s">
        <v>31732</v>
      </c>
      <c r="G5689" s="110" t="s">
        <v>6248</v>
      </c>
      <c r="H5689" s="110" t="s">
        <v>6413</v>
      </c>
      <c r="I5689" s="110" t="s">
        <v>31733</v>
      </c>
    </row>
    <row r="5690" spans="1:9" ht="25.2" x14ac:dyDescent="0.3">
      <c r="A5690" s="109" t="s">
        <v>31734</v>
      </c>
      <c r="B5690" s="109" t="s">
        <v>31480</v>
      </c>
      <c r="C5690" s="109" t="s">
        <v>31480</v>
      </c>
      <c r="D5690" s="109" t="s">
        <v>31735</v>
      </c>
      <c r="E5690" s="109" t="s">
        <v>5558</v>
      </c>
      <c r="F5690" s="109" t="s">
        <v>31736</v>
      </c>
      <c r="G5690" s="110" t="s">
        <v>6248</v>
      </c>
      <c r="H5690" s="110" t="s">
        <v>6413</v>
      </c>
      <c r="I5690" s="110" t="s">
        <v>31737</v>
      </c>
    </row>
    <row r="5691" spans="1:9" ht="25.2" x14ac:dyDescent="0.3">
      <c r="A5691" s="109" t="s">
        <v>31738</v>
      </c>
      <c r="B5691" s="109" t="s">
        <v>31480</v>
      </c>
      <c r="C5691" s="109" t="s">
        <v>31480</v>
      </c>
      <c r="D5691" s="109" t="s">
        <v>31739</v>
      </c>
      <c r="E5691" s="109" t="s">
        <v>5558</v>
      </c>
      <c r="F5691" s="109" t="s">
        <v>31740</v>
      </c>
      <c r="G5691" s="110" t="s">
        <v>6248</v>
      </c>
      <c r="H5691" s="110" t="s">
        <v>12912</v>
      </c>
      <c r="I5691" s="110" t="s">
        <v>31741</v>
      </c>
    </row>
    <row r="5692" spans="1:9" ht="25.2" x14ac:dyDescent="0.3">
      <c r="A5692" s="109" t="s">
        <v>31742</v>
      </c>
      <c r="B5692" s="109" t="s">
        <v>31480</v>
      </c>
      <c r="C5692" s="109" t="s">
        <v>31480</v>
      </c>
      <c r="D5692" s="109" t="s">
        <v>31743</v>
      </c>
      <c r="E5692" s="109" t="s">
        <v>5558</v>
      </c>
      <c r="F5692" s="109" t="s">
        <v>31744</v>
      </c>
      <c r="G5692" s="110" t="s">
        <v>6248</v>
      </c>
      <c r="H5692" s="110" t="s">
        <v>12881</v>
      </c>
      <c r="I5692" s="110" t="s">
        <v>31745</v>
      </c>
    </row>
    <row r="5693" spans="1:9" ht="25.2" x14ac:dyDescent="0.3">
      <c r="A5693" s="109" t="s">
        <v>31746</v>
      </c>
      <c r="B5693" s="109" t="s">
        <v>31480</v>
      </c>
      <c r="C5693" s="109" t="s">
        <v>31480</v>
      </c>
      <c r="D5693" s="109" t="s">
        <v>31747</v>
      </c>
      <c r="E5693" s="109" t="s">
        <v>5558</v>
      </c>
      <c r="F5693" s="109" t="s">
        <v>31748</v>
      </c>
      <c r="G5693" s="110" t="s">
        <v>6248</v>
      </c>
      <c r="H5693" s="110" t="s">
        <v>6403</v>
      </c>
      <c r="I5693" s="110" t="s">
        <v>31749</v>
      </c>
    </row>
    <row r="5694" spans="1:9" ht="25.2" x14ac:dyDescent="0.3">
      <c r="A5694" s="109" t="s">
        <v>31750</v>
      </c>
      <c r="B5694" s="109" t="s">
        <v>31480</v>
      </c>
      <c r="C5694" s="109" t="s">
        <v>31480</v>
      </c>
      <c r="D5694" s="109" t="s">
        <v>31751</v>
      </c>
      <c r="E5694" s="109" t="s">
        <v>5558</v>
      </c>
      <c r="F5694" s="109" t="s">
        <v>31752</v>
      </c>
      <c r="G5694" s="110" t="s">
        <v>6248</v>
      </c>
      <c r="H5694" s="110" t="s">
        <v>9158</v>
      </c>
      <c r="I5694" s="110" t="s">
        <v>31753</v>
      </c>
    </row>
    <row r="5695" spans="1:9" ht="37.799999999999997" x14ac:dyDescent="0.3">
      <c r="A5695" s="109" t="s">
        <v>31754</v>
      </c>
      <c r="B5695" s="109" t="s">
        <v>31480</v>
      </c>
      <c r="C5695" s="109" t="s">
        <v>31480</v>
      </c>
      <c r="D5695" s="109" t="s">
        <v>31755</v>
      </c>
      <c r="E5695" s="109" t="s">
        <v>5558</v>
      </c>
      <c r="F5695" s="109" t="s">
        <v>31756</v>
      </c>
      <c r="G5695" s="110" t="s">
        <v>6248</v>
      </c>
      <c r="H5695" s="110" t="s">
        <v>7830</v>
      </c>
      <c r="I5695" s="110" t="s">
        <v>31757</v>
      </c>
    </row>
    <row r="5696" spans="1:9" ht="25.2" x14ac:dyDescent="0.3">
      <c r="A5696" s="109" t="s">
        <v>31758</v>
      </c>
      <c r="B5696" s="109" t="s">
        <v>31480</v>
      </c>
      <c r="C5696" s="109" t="s">
        <v>31480</v>
      </c>
      <c r="D5696" s="109" t="s">
        <v>31759</v>
      </c>
      <c r="E5696" s="109" t="s">
        <v>5558</v>
      </c>
      <c r="F5696" s="109" t="s">
        <v>31760</v>
      </c>
      <c r="G5696" s="110" t="s">
        <v>6248</v>
      </c>
      <c r="H5696" s="110" t="s">
        <v>9329</v>
      </c>
      <c r="I5696" s="110" t="s">
        <v>31761</v>
      </c>
    </row>
    <row r="5697" spans="1:9" ht="25.2" x14ac:dyDescent="0.3">
      <c r="A5697" s="109" t="s">
        <v>31762</v>
      </c>
      <c r="B5697" s="109" t="s">
        <v>31480</v>
      </c>
      <c r="C5697" s="109" t="s">
        <v>31480</v>
      </c>
      <c r="D5697" s="109" t="s">
        <v>31763</v>
      </c>
      <c r="E5697" s="109" t="s">
        <v>5558</v>
      </c>
      <c r="F5697" s="109" t="s">
        <v>31764</v>
      </c>
      <c r="G5697" s="110" t="s">
        <v>6248</v>
      </c>
      <c r="H5697" s="110" t="s">
        <v>6398</v>
      </c>
      <c r="I5697" s="110" t="s">
        <v>31765</v>
      </c>
    </row>
    <row r="5698" spans="1:9" ht="25.2" x14ac:dyDescent="0.3">
      <c r="A5698" s="109" t="s">
        <v>31766</v>
      </c>
      <c r="B5698" s="109" t="s">
        <v>31480</v>
      </c>
      <c r="C5698" s="109" t="s">
        <v>31480</v>
      </c>
      <c r="D5698" s="109" t="s">
        <v>31767</v>
      </c>
      <c r="E5698" s="109" t="s">
        <v>31768</v>
      </c>
      <c r="F5698" s="109" t="s">
        <v>31769</v>
      </c>
      <c r="G5698" s="110" t="s">
        <v>6248</v>
      </c>
      <c r="H5698" s="110" t="s">
        <v>31770</v>
      </c>
      <c r="I5698" s="110" t="s">
        <v>31771</v>
      </c>
    </row>
    <row r="5699" spans="1:9" ht="25.2" x14ac:dyDescent="0.3">
      <c r="A5699" s="109" t="s">
        <v>31772</v>
      </c>
      <c r="B5699" s="109" t="s">
        <v>31480</v>
      </c>
      <c r="C5699" s="109" t="s">
        <v>31480</v>
      </c>
      <c r="D5699" s="109" t="s">
        <v>31773</v>
      </c>
      <c r="E5699" s="109" t="s">
        <v>31774</v>
      </c>
      <c r="F5699" s="109" t="s">
        <v>5985</v>
      </c>
      <c r="G5699" s="110" t="s">
        <v>6248</v>
      </c>
      <c r="H5699" s="110" t="s">
        <v>31775</v>
      </c>
      <c r="I5699" s="110" t="s">
        <v>31776</v>
      </c>
    </row>
    <row r="5700" spans="1:9" ht="25.2" x14ac:dyDescent="0.3">
      <c r="A5700" s="109" t="s">
        <v>31777</v>
      </c>
      <c r="B5700" s="109" t="s">
        <v>31480</v>
      </c>
      <c r="C5700" s="109" t="s">
        <v>31480</v>
      </c>
      <c r="D5700" s="109" t="s">
        <v>5569</v>
      </c>
      <c r="E5700" s="109" t="s">
        <v>5558</v>
      </c>
      <c r="F5700" s="109" t="s">
        <v>2258</v>
      </c>
      <c r="G5700" s="110" t="s">
        <v>6248</v>
      </c>
      <c r="H5700" s="110" t="s">
        <v>31778</v>
      </c>
      <c r="I5700" s="110" t="s">
        <v>31779</v>
      </c>
    </row>
    <row r="5701" spans="1:9" ht="25.2" x14ac:dyDescent="0.3">
      <c r="A5701" s="109" t="s">
        <v>31780</v>
      </c>
      <c r="B5701" s="109" t="s">
        <v>31480</v>
      </c>
      <c r="C5701" s="109" t="s">
        <v>31480</v>
      </c>
      <c r="D5701" s="109" t="s">
        <v>5569</v>
      </c>
      <c r="E5701" s="109" t="s">
        <v>5558</v>
      </c>
      <c r="F5701" s="109" t="s">
        <v>2258</v>
      </c>
      <c r="G5701" s="110" t="s">
        <v>6248</v>
      </c>
      <c r="H5701" s="110" t="s">
        <v>31781</v>
      </c>
      <c r="I5701" s="110" t="s">
        <v>31782</v>
      </c>
    </row>
    <row r="5702" spans="1:9" ht="25.2" x14ac:dyDescent="0.3">
      <c r="A5702" s="109" t="s">
        <v>31783</v>
      </c>
      <c r="B5702" s="109" t="s">
        <v>31480</v>
      </c>
      <c r="C5702" s="109" t="s">
        <v>31480</v>
      </c>
      <c r="D5702" s="109" t="s">
        <v>5569</v>
      </c>
      <c r="E5702" s="109" t="s">
        <v>5558</v>
      </c>
      <c r="F5702" s="109" t="s">
        <v>2258</v>
      </c>
      <c r="G5702" s="110" t="s">
        <v>6248</v>
      </c>
      <c r="H5702" s="110" t="s">
        <v>31784</v>
      </c>
      <c r="I5702" s="110" t="s">
        <v>31785</v>
      </c>
    </row>
    <row r="5703" spans="1:9" ht="37.799999999999997" x14ac:dyDescent="0.3">
      <c r="A5703" s="109" t="s">
        <v>31786</v>
      </c>
      <c r="B5703" s="109" t="s">
        <v>31480</v>
      </c>
      <c r="C5703" s="109" t="s">
        <v>31480</v>
      </c>
      <c r="D5703" s="109" t="s">
        <v>31787</v>
      </c>
      <c r="E5703" s="109" t="s">
        <v>5558</v>
      </c>
      <c r="F5703" s="109" t="s">
        <v>31788</v>
      </c>
      <c r="G5703" s="110" t="s">
        <v>6248</v>
      </c>
      <c r="H5703" s="110" t="s">
        <v>6341</v>
      </c>
      <c r="I5703" s="110" t="s">
        <v>31789</v>
      </c>
    </row>
    <row r="5704" spans="1:9" ht="25.2" x14ac:dyDescent="0.3">
      <c r="A5704" s="109" t="s">
        <v>31790</v>
      </c>
      <c r="B5704" s="109" t="s">
        <v>31480</v>
      </c>
      <c r="C5704" s="109" t="s">
        <v>31480</v>
      </c>
      <c r="D5704" s="109" t="s">
        <v>5569</v>
      </c>
      <c r="E5704" s="109" t="s">
        <v>5558</v>
      </c>
      <c r="F5704" s="109" t="s">
        <v>2258</v>
      </c>
      <c r="G5704" s="110" t="s">
        <v>6248</v>
      </c>
      <c r="H5704" s="110" t="s">
        <v>31791</v>
      </c>
      <c r="I5704" s="110" t="s">
        <v>31792</v>
      </c>
    </row>
    <row r="5705" spans="1:9" ht="25.2" x14ac:dyDescent="0.3">
      <c r="A5705" s="109" t="s">
        <v>31793</v>
      </c>
      <c r="B5705" s="109" t="s">
        <v>31480</v>
      </c>
      <c r="C5705" s="109" t="s">
        <v>31480</v>
      </c>
      <c r="D5705" s="109" t="s">
        <v>5569</v>
      </c>
      <c r="E5705" s="109" t="s">
        <v>5558</v>
      </c>
      <c r="F5705" s="109" t="s">
        <v>2258</v>
      </c>
      <c r="G5705" s="110" t="s">
        <v>6248</v>
      </c>
      <c r="H5705" s="110" t="s">
        <v>31794</v>
      </c>
      <c r="I5705" s="110" t="s">
        <v>31795</v>
      </c>
    </row>
    <row r="5706" spans="1:9" ht="25.2" x14ac:dyDescent="0.3">
      <c r="A5706" s="109" t="s">
        <v>31796</v>
      </c>
      <c r="B5706" s="109" t="s">
        <v>31480</v>
      </c>
      <c r="C5706" s="109" t="s">
        <v>31480</v>
      </c>
      <c r="D5706" s="109" t="s">
        <v>31797</v>
      </c>
      <c r="E5706" s="109" t="s">
        <v>5558</v>
      </c>
      <c r="F5706" s="109" t="s">
        <v>31798</v>
      </c>
      <c r="G5706" s="110" t="s">
        <v>6248</v>
      </c>
      <c r="H5706" s="110" t="s">
        <v>31799</v>
      </c>
      <c r="I5706" s="110" t="s">
        <v>31800</v>
      </c>
    </row>
    <row r="5707" spans="1:9" ht="25.2" x14ac:dyDescent="0.3">
      <c r="A5707" s="109" t="s">
        <v>31801</v>
      </c>
      <c r="B5707" s="109" t="s">
        <v>31480</v>
      </c>
      <c r="C5707" s="109" t="s">
        <v>31480</v>
      </c>
      <c r="D5707" s="109" t="s">
        <v>31802</v>
      </c>
      <c r="E5707" s="109" t="s">
        <v>31803</v>
      </c>
      <c r="F5707" s="109" t="s">
        <v>6779</v>
      </c>
      <c r="G5707" s="110" t="s">
        <v>6248</v>
      </c>
      <c r="H5707" s="110" t="s">
        <v>31804</v>
      </c>
      <c r="I5707" s="110" t="s">
        <v>31805</v>
      </c>
    </row>
    <row r="5708" spans="1:9" ht="25.2" x14ac:dyDescent="0.3">
      <c r="A5708" s="109" t="s">
        <v>31806</v>
      </c>
      <c r="B5708" s="109" t="s">
        <v>31480</v>
      </c>
      <c r="C5708" s="109" t="s">
        <v>31480</v>
      </c>
      <c r="D5708" s="109" t="s">
        <v>31807</v>
      </c>
      <c r="E5708" s="109" t="s">
        <v>31808</v>
      </c>
      <c r="F5708" s="109" t="s">
        <v>31809</v>
      </c>
      <c r="G5708" s="110" t="s">
        <v>31810</v>
      </c>
      <c r="H5708" s="110" t="s">
        <v>6248</v>
      </c>
      <c r="I5708" s="110" t="s">
        <v>31811</v>
      </c>
    </row>
    <row r="5709" spans="1:9" ht="25.2" x14ac:dyDescent="0.3">
      <c r="A5709" s="109" t="s">
        <v>31812</v>
      </c>
      <c r="B5709" s="109" t="s">
        <v>31480</v>
      </c>
      <c r="C5709" s="109" t="s">
        <v>31480</v>
      </c>
      <c r="D5709" s="109" t="s">
        <v>5153</v>
      </c>
      <c r="E5709" s="109" t="s">
        <v>31813</v>
      </c>
      <c r="F5709" s="109" t="s">
        <v>31814</v>
      </c>
      <c r="G5709" s="110" t="s">
        <v>31815</v>
      </c>
      <c r="H5709" s="110" t="s">
        <v>6248</v>
      </c>
      <c r="I5709" s="110" t="s">
        <v>31816</v>
      </c>
    </row>
    <row r="5710" spans="1:9" ht="25.2" x14ac:dyDescent="0.3">
      <c r="A5710" s="109" t="s">
        <v>31817</v>
      </c>
      <c r="B5710" s="109" t="s">
        <v>31480</v>
      </c>
      <c r="C5710" s="109" t="s">
        <v>31480</v>
      </c>
      <c r="D5710" s="109" t="s">
        <v>31818</v>
      </c>
      <c r="E5710" s="109" t="s">
        <v>5558</v>
      </c>
      <c r="F5710" s="109" t="s">
        <v>31819</v>
      </c>
      <c r="G5710" s="110" t="s">
        <v>6248</v>
      </c>
      <c r="H5710" s="110" t="s">
        <v>31820</v>
      </c>
      <c r="I5710" s="110" t="s">
        <v>31821</v>
      </c>
    </row>
    <row r="5711" spans="1:9" ht="25.2" x14ac:dyDescent="0.3">
      <c r="A5711" s="109" t="s">
        <v>31822</v>
      </c>
      <c r="B5711" s="109" t="s">
        <v>31480</v>
      </c>
      <c r="C5711" s="109" t="s">
        <v>31480</v>
      </c>
      <c r="D5711" s="109" t="s">
        <v>31823</v>
      </c>
      <c r="E5711" s="109" t="s">
        <v>5558</v>
      </c>
      <c r="F5711" s="109" t="s">
        <v>31824</v>
      </c>
      <c r="G5711" s="110" t="s">
        <v>6248</v>
      </c>
      <c r="H5711" s="110" t="s">
        <v>9467</v>
      </c>
      <c r="I5711" s="110" t="s">
        <v>31825</v>
      </c>
    </row>
    <row r="5712" spans="1:9" ht="37.799999999999997" x14ac:dyDescent="0.3">
      <c r="A5712" s="109" t="s">
        <v>31826</v>
      </c>
      <c r="B5712" s="109" t="s">
        <v>31480</v>
      </c>
      <c r="C5712" s="109" t="s">
        <v>31480</v>
      </c>
      <c r="D5712" s="109" t="s">
        <v>31827</v>
      </c>
      <c r="E5712" s="109" t="s">
        <v>5558</v>
      </c>
      <c r="F5712" s="109" t="s">
        <v>31828</v>
      </c>
      <c r="G5712" s="110" t="s">
        <v>6248</v>
      </c>
      <c r="H5712" s="110" t="s">
        <v>14596</v>
      </c>
      <c r="I5712" s="110" t="s">
        <v>31829</v>
      </c>
    </row>
    <row r="5713" spans="1:9" ht="25.2" x14ac:dyDescent="0.3">
      <c r="A5713" s="109" t="s">
        <v>31830</v>
      </c>
      <c r="B5713" s="109" t="s">
        <v>31480</v>
      </c>
      <c r="C5713" s="109" t="s">
        <v>31480</v>
      </c>
      <c r="D5713" s="109" t="s">
        <v>31831</v>
      </c>
      <c r="E5713" s="109" t="s">
        <v>5558</v>
      </c>
      <c r="F5713" s="109" t="s">
        <v>31832</v>
      </c>
      <c r="G5713" s="110" t="s">
        <v>6248</v>
      </c>
      <c r="H5713" s="110" t="s">
        <v>31833</v>
      </c>
      <c r="I5713" s="110" t="s">
        <v>31834</v>
      </c>
    </row>
    <row r="5714" spans="1:9" ht="25.2" x14ac:dyDescent="0.3">
      <c r="A5714" s="109" t="s">
        <v>31835</v>
      </c>
      <c r="B5714" s="109" t="s">
        <v>31480</v>
      </c>
      <c r="C5714" s="109" t="s">
        <v>31480</v>
      </c>
      <c r="D5714" s="109" t="s">
        <v>31836</v>
      </c>
      <c r="E5714" s="109" t="s">
        <v>31837</v>
      </c>
      <c r="F5714" s="109" t="s">
        <v>6011</v>
      </c>
      <c r="G5714" s="110" t="s">
        <v>6248</v>
      </c>
      <c r="H5714" s="110" t="s">
        <v>31838</v>
      </c>
      <c r="I5714" s="110" t="s">
        <v>31839</v>
      </c>
    </row>
    <row r="5715" spans="1:9" ht="25.2" x14ac:dyDescent="0.3">
      <c r="A5715" s="109" t="s">
        <v>31840</v>
      </c>
      <c r="B5715" s="109" t="s">
        <v>31480</v>
      </c>
      <c r="C5715" s="109" t="s">
        <v>31480</v>
      </c>
      <c r="D5715" s="109" t="s">
        <v>5569</v>
      </c>
      <c r="E5715" s="109" t="s">
        <v>5558</v>
      </c>
      <c r="F5715" s="109" t="s">
        <v>2258</v>
      </c>
      <c r="G5715" s="110" t="s">
        <v>6248</v>
      </c>
      <c r="H5715" s="110" t="s">
        <v>31841</v>
      </c>
      <c r="I5715" s="110" t="s">
        <v>31842</v>
      </c>
    </row>
    <row r="5716" spans="1:9" ht="25.2" x14ac:dyDescent="0.3">
      <c r="A5716" s="109" t="s">
        <v>31843</v>
      </c>
      <c r="B5716" s="109" t="s">
        <v>31480</v>
      </c>
      <c r="C5716" s="109" t="s">
        <v>31480</v>
      </c>
      <c r="D5716" s="109" t="s">
        <v>31844</v>
      </c>
      <c r="E5716" s="109" t="s">
        <v>5558</v>
      </c>
      <c r="F5716" s="109" t="s">
        <v>31845</v>
      </c>
      <c r="G5716" s="110" t="s">
        <v>6248</v>
      </c>
      <c r="H5716" s="110" t="s">
        <v>6413</v>
      </c>
      <c r="I5716" s="110" t="s">
        <v>31846</v>
      </c>
    </row>
    <row r="5717" spans="1:9" ht="25.2" x14ac:dyDescent="0.3">
      <c r="A5717" s="109" t="s">
        <v>31847</v>
      </c>
      <c r="B5717" s="109" t="s">
        <v>31480</v>
      </c>
      <c r="C5717" s="109" t="s">
        <v>31480</v>
      </c>
      <c r="D5717" s="109" t="s">
        <v>31848</v>
      </c>
      <c r="E5717" s="109" t="s">
        <v>5558</v>
      </c>
      <c r="F5717" s="109" t="s">
        <v>31849</v>
      </c>
      <c r="G5717" s="110" t="s">
        <v>6248</v>
      </c>
      <c r="H5717" s="110" t="s">
        <v>31850</v>
      </c>
      <c r="I5717" s="110" t="s">
        <v>31851</v>
      </c>
    </row>
    <row r="5718" spans="1:9" ht="37.799999999999997" x14ac:dyDescent="0.3">
      <c r="A5718" s="109" t="s">
        <v>31852</v>
      </c>
      <c r="B5718" s="109" t="s">
        <v>31480</v>
      </c>
      <c r="C5718" s="109" t="s">
        <v>31480</v>
      </c>
      <c r="D5718" s="109" t="s">
        <v>5291</v>
      </c>
      <c r="E5718" s="109" t="s">
        <v>5558</v>
      </c>
      <c r="F5718" s="109" t="s">
        <v>31853</v>
      </c>
      <c r="G5718" s="110" t="s">
        <v>6248</v>
      </c>
      <c r="H5718" s="110" t="s">
        <v>31854</v>
      </c>
      <c r="I5718" s="110" t="s">
        <v>31855</v>
      </c>
    </row>
    <row r="5719" spans="1:9" ht="25.2" x14ac:dyDescent="0.3">
      <c r="A5719" s="109" t="s">
        <v>31856</v>
      </c>
      <c r="B5719" s="109" t="s">
        <v>31480</v>
      </c>
      <c r="C5719" s="109" t="s">
        <v>31480</v>
      </c>
      <c r="D5719" s="109" t="s">
        <v>31857</v>
      </c>
      <c r="E5719" s="109" t="s">
        <v>31858</v>
      </c>
      <c r="F5719" s="109" t="s">
        <v>8190</v>
      </c>
      <c r="G5719" s="110" t="s">
        <v>6248</v>
      </c>
      <c r="H5719" s="110" t="s">
        <v>31859</v>
      </c>
      <c r="I5719" s="110" t="s">
        <v>31860</v>
      </c>
    </row>
    <row r="5720" spans="1:9" ht="37.799999999999997" x14ac:dyDescent="0.3">
      <c r="A5720" s="109" t="s">
        <v>31861</v>
      </c>
      <c r="B5720" s="109" t="s">
        <v>31480</v>
      </c>
      <c r="C5720" s="109" t="s">
        <v>31480</v>
      </c>
      <c r="D5720" s="109" t="s">
        <v>31862</v>
      </c>
      <c r="E5720" s="109" t="s">
        <v>5558</v>
      </c>
      <c r="F5720" s="109" t="s">
        <v>31863</v>
      </c>
      <c r="G5720" s="110" t="s">
        <v>6248</v>
      </c>
      <c r="H5720" s="110" t="s">
        <v>31864</v>
      </c>
      <c r="I5720" s="110" t="s">
        <v>31865</v>
      </c>
    </row>
    <row r="5721" spans="1:9" ht="25.2" x14ac:dyDescent="0.3">
      <c r="A5721" s="109" t="s">
        <v>31866</v>
      </c>
      <c r="B5721" s="109" t="s">
        <v>31480</v>
      </c>
      <c r="C5721" s="109" t="s">
        <v>31480</v>
      </c>
      <c r="D5721" s="109" t="s">
        <v>4931</v>
      </c>
      <c r="E5721" s="109" t="s">
        <v>5558</v>
      </c>
      <c r="F5721" s="109" t="s">
        <v>31867</v>
      </c>
      <c r="G5721" s="110" t="s">
        <v>6248</v>
      </c>
      <c r="H5721" s="110" t="s">
        <v>7480</v>
      </c>
      <c r="I5721" s="110" t="s">
        <v>31868</v>
      </c>
    </row>
    <row r="5722" spans="1:9" ht="25.2" x14ac:dyDescent="0.3">
      <c r="A5722" s="109" t="s">
        <v>31869</v>
      </c>
      <c r="B5722" s="109" t="s">
        <v>31480</v>
      </c>
      <c r="C5722" s="109" t="s">
        <v>31480</v>
      </c>
      <c r="D5722" s="109" t="s">
        <v>31870</v>
      </c>
      <c r="E5722" s="109" t="s">
        <v>5558</v>
      </c>
      <c r="F5722" s="109" t="s">
        <v>31871</v>
      </c>
      <c r="G5722" s="110" t="s">
        <v>6248</v>
      </c>
      <c r="H5722" s="110" t="s">
        <v>6689</v>
      </c>
      <c r="I5722" s="110" t="s">
        <v>31872</v>
      </c>
    </row>
    <row r="5723" spans="1:9" ht="25.2" x14ac:dyDescent="0.3">
      <c r="A5723" s="109" t="s">
        <v>31873</v>
      </c>
      <c r="B5723" s="109" t="s">
        <v>31480</v>
      </c>
      <c r="C5723" s="109" t="s">
        <v>31480</v>
      </c>
      <c r="D5723" s="109" t="s">
        <v>31874</v>
      </c>
      <c r="E5723" s="109" t="s">
        <v>5558</v>
      </c>
      <c r="F5723" s="109" t="s">
        <v>31875</v>
      </c>
      <c r="G5723" s="110" t="s">
        <v>6248</v>
      </c>
      <c r="H5723" s="110" t="s">
        <v>14318</v>
      </c>
      <c r="I5723" s="110" t="s">
        <v>31876</v>
      </c>
    </row>
    <row r="5724" spans="1:9" ht="25.2" x14ac:dyDescent="0.3">
      <c r="A5724" s="109" t="s">
        <v>31877</v>
      </c>
      <c r="B5724" s="109" t="s">
        <v>31480</v>
      </c>
      <c r="C5724" s="109" t="s">
        <v>31480</v>
      </c>
      <c r="D5724" s="109" t="s">
        <v>4977</v>
      </c>
      <c r="E5724" s="109" t="s">
        <v>5558</v>
      </c>
      <c r="F5724" s="109" t="s">
        <v>31878</v>
      </c>
      <c r="G5724" s="110" t="s">
        <v>6248</v>
      </c>
      <c r="H5724" s="110" t="s">
        <v>6352</v>
      </c>
      <c r="I5724" s="110" t="s">
        <v>31879</v>
      </c>
    </row>
    <row r="5725" spans="1:9" ht="25.2" x14ac:dyDescent="0.3">
      <c r="A5725" s="109" t="s">
        <v>31880</v>
      </c>
      <c r="B5725" s="109" t="s">
        <v>31480</v>
      </c>
      <c r="C5725" s="109" t="s">
        <v>31480</v>
      </c>
      <c r="D5725" s="109" t="s">
        <v>5569</v>
      </c>
      <c r="E5725" s="109" t="s">
        <v>5558</v>
      </c>
      <c r="F5725" s="109" t="s">
        <v>2258</v>
      </c>
      <c r="G5725" s="110" t="s">
        <v>6248</v>
      </c>
      <c r="H5725" s="110" t="s">
        <v>15852</v>
      </c>
      <c r="I5725" s="110" t="s">
        <v>31881</v>
      </c>
    </row>
    <row r="5726" spans="1:9" ht="25.2" x14ac:dyDescent="0.3">
      <c r="A5726" s="109" t="s">
        <v>31882</v>
      </c>
      <c r="B5726" s="109" t="s">
        <v>31480</v>
      </c>
      <c r="C5726" s="109" t="s">
        <v>31480</v>
      </c>
      <c r="D5726" s="109" t="s">
        <v>31883</v>
      </c>
      <c r="E5726" s="109" t="s">
        <v>31884</v>
      </c>
      <c r="F5726" s="109" t="s">
        <v>31885</v>
      </c>
      <c r="G5726" s="110" t="s">
        <v>6248</v>
      </c>
      <c r="H5726" s="110" t="s">
        <v>31886</v>
      </c>
      <c r="I5726" s="110" t="s">
        <v>31887</v>
      </c>
    </row>
    <row r="5727" spans="1:9" ht="25.2" x14ac:dyDescent="0.3">
      <c r="A5727" s="109" t="s">
        <v>31888</v>
      </c>
      <c r="B5727" s="109" t="s">
        <v>31480</v>
      </c>
      <c r="C5727" s="109" t="s">
        <v>31480</v>
      </c>
      <c r="D5727" s="109" t="s">
        <v>31889</v>
      </c>
      <c r="E5727" s="109" t="s">
        <v>31890</v>
      </c>
      <c r="F5727" s="109" t="s">
        <v>31891</v>
      </c>
      <c r="G5727" s="110" t="s">
        <v>6248</v>
      </c>
      <c r="H5727" s="110" t="s">
        <v>31892</v>
      </c>
      <c r="I5727" s="110" t="s">
        <v>31893</v>
      </c>
    </row>
    <row r="5728" spans="1:9" ht="25.2" x14ac:dyDescent="0.3">
      <c r="A5728" s="109" t="s">
        <v>31894</v>
      </c>
      <c r="B5728" s="109" t="s">
        <v>31480</v>
      </c>
      <c r="C5728" s="109" t="s">
        <v>31480</v>
      </c>
      <c r="D5728" s="109" t="s">
        <v>31895</v>
      </c>
      <c r="E5728" s="109" t="s">
        <v>5558</v>
      </c>
      <c r="F5728" s="109" t="s">
        <v>31896</v>
      </c>
      <c r="G5728" s="110" t="s">
        <v>6248</v>
      </c>
      <c r="H5728" s="110" t="s">
        <v>16065</v>
      </c>
      <c r="I5728" s="110" t="s">
        <v>31897</v>
      </c>
    </row>
    <row r="5729" spans="1:9" ht="25.2" x14ac:dyDescent="0.3">
      <c r="A5729" s="109" t="s">
        <v>31898</v>
      </c>
      <c r="B5729" s="109" t="s">
        <v>31480</v>
      </c>
      <c r="C5729" s="109" t="s">
        <v>31480</v>
      </c>
      <c r="D5729" s="109" t="s">
        <v>5324</v>
      </c>
      <c r="E5729" s="109" t="s">
        <v>31899</v>
      </c>
      <c r="F5729" s="109" t="s">
        <v>19151</v>
      </c>
      <c r="G5729" s="110" t="s">
        <v>6248</v>
      </c>
      <c r="H5729" s="110" t="s">
        <v>15164</v>
      </c>
      <c r="I5729" s="110" t="s">
        <v>31900</v>
      </c>
    </row>
    <row r="5730" spans="1:9" ht="25.2" x14ac:dyDescent="0.3">
      <c r="A5730" s="109" t="s">
        <v>31901</v>
      </c>
      <c r="B5730" s="109" t="s">
        <v>31480</v>
      </c>
      <c r="C5730" s="109" t="s">
        <v>31480</v>
      </c>
      <c r="D5730" s="109" t="s">
        <v>31902</v>
      </c>
      <c r="E5730" s="109" t="s">
        <v>5558</v>
      </c>
      <c r="F5730" s="109" t="s">
        <v>31903</v>
      </c>
      <c r="G5730" s="110" t="s">
        <v>6248</v>
      </c>
      <c r="H5730" s="110" t="s">
        <v>31904</v>
      </c>
      <c r="I5730" s="110" t="s">
        <v>31905</v>
      </c>
    </row>
    <row r="5731" spans="1:9" ht="25.2" x14ac:dyDescent="0.3">
      <c r="A5731" s="109" t="s">
        <v>31906</v>
      </c>
      <c r="B5731" s="109" t="s">
        <v>31480</v>
      </c>
      <c r="C5731" s="109" t="s">
        <v>31480</v>
      </c>
      <c r="D5731" s="109" t="s">
        <v>31907</v>
      </c>
      <c r="E5731" s="109" t="s">
        <v>5558</v>
      </c>
      <c r="F5731" s="109" t="s">
        <v>31908</v>
      </c>
      <c r="G5731" s="110" t="s">
        <v>6248</v>
      </c>
      <c r="H5731" s="110" t="s">
        <v>15598</v>
      </c>
      <c r="I5731" s="110" t="s">
        <v>31909</v>
      </c>
    </row>
    <row r="5732" spans="1:9" ht="25.2" x14ac:dyDescent="0.3">
      <c r="A5732" s="109" t="s">
        <v>31910</v>
      </c>
      <c r="B5732" s="109" t="s">
        <v>31480</v>
      </c>
      <c r="C5732" s="109" t="s">
        <v>31480</v>
      </c>
      <c r="D5732" s="109" t="s">
        <v>31911</v>
      </c>
      <c r="E5732" s="109" t="s">
        <v>31912</v>
      </c>
      <c r="F5732" s="109" t="s">
        <v>5884</v>
      </c>
      <c r="G5732" s="110" t="s">
        <v>6248</v>
      </c>
      <c r="H5732" s="110" t="s">
        <v>31913</v>
      </c>
      <c r="I5732" s="110" t="s">
        <v>31914</v>
      </c>
    </row>
    <row r="5733" spans="1:9" ht="25.2" x14ac:dyDescent="0.3">
      <c r="A5733" s="109" t="s">
        <v>31915</v>
      </c>
      <c r="B5733" s="109" t="s">
        <v>31480</v>
      </c>
      <c r="C5733" s="109" t="s">
        <v>31480</v>
      </c>
      <c r="D5733" s="109" t="s">
        <v>31916</v>
      </c>
      <c r="E5733" s="109" t="s">
        <v>5558</v>
      </c>
      <c r="F5733" s="109" t="s">
        <v>31917</v>
      </c>
      <c r="G5733" s="110" t="s">
        <v>6248</v>
      </c>
      <c r="H5733" s="110" t="s">
        <v>31918</v>
      </c>
      <c r="I5733" s="110" t="s">
        <v>31919</v>
      </c>
    </row>
    <row r="5734" spans="1:9" ht="25.2" x14ac:dyDescent="0.3">
      <c r="A5734" s="109" t="s">
        <v>31920</v>
      </c>
      <c r="B5734" s="109" t="s">
        <v>31480</v>
      </c>
      <c r="C5734" s="109" t="s">
        <v>31480</v>
      </c>
      <c r="D5734" s="109" t="s">
        <v>31921</v>
      </c>
      <c r="E5734" s="109" t="s">
        <v>5558</v>
      </c>
      <c r="F5734" s="109" t="s">
        <v>31922</v>
      </c>
      <c r="G5734" s="110" t="s">
        <v>6248</v>
      </c>
      <c r="H5734" s="110" t="s">
        <v>31923</v>
      </c>
      <c r="I5734" s="110" t="s">
        <v>31924</v>
      </c>
    </row>
    <row r="5735" spans="1:9" ht="25.2" x14ac:dyDescent="0.3">
      <c r="A5735" s="109" t="s">
        <v>31925</v>
      </c>
      <c r="B5735" s="109" t="s">
        <v>31480</v>
      </c>
      <c r="C5735" s="109" t="s">
        <v>31480</v>
      </c>
      <c r="D5735" s="109" t="s">
        <v>4940</v>
      </c>
      <c r="E5735" s="109" t="s">
        <v>5558</v>
      </c>
      <c r="F5735" s="109" t="s">
        <v>31926</v>
      </c>
      <c r="G5735" s="110" t="s">
        <v>6248</v>
      </c>
      <c r="H5735" s="110" t="s">
        <v>31927</v>
      </c>
      <c r="I5735" s="110" t="s">
        <v>31928</v>
      </c>
    </row>
    <row r="5736" spans="1:9" ht="25.2" x14ac:dyDescent="0.3">
      <c r="A5736" s="109" t="s">
        <v>31929</v>
      </c>
      <c r="B5736" s="109" t="s">
        <v>31480</v>
      </c>
      <c r="C5736" s="109" t="s">
        <v>31480</v>
      </c>
      <c r="D5736" s="109" t="s">
        <v>5569</v>
      </c>
      <c r="E5736" s="109" t="s">
        <v>5558</v>
      </c>
      <c r="F5736" s="109" t="s">
        <v>2258</v>
      </c>
      <c r="G5736" s="110" t="s">
        <v>6248</v>
      </c>
      <c r="H5736" s="110" t="s">
        <v>31930</v>
      </c>
      <c r="I5736" s="110" t="s">
        <v>31931</v>
      </c>
    </row>
    <row r="5737" spans="1:9" ht="63" x14ac:dyDescent="0.3">
      <c r="A5737" s="109" t="s">
        <v>31932</v>
      </c>
      <c r="B5737" s="109" t="s">
        <v>31480</v>
      </c>
      <c r="C5737" s="109" t="s">
        <v>31480</v>
      </c>
      <c r="D5737" s="109" t="s">
        <v>21761</v>
      </c>
      <c r="E5737" s="109" t="s">
        <v>21761</v>
      </c>
      <c r="F5737" s="109" t="s">
        <v>31933</v>
      </c>
      <c r="G5737" s="110" t="s">
        <v>6248</v>
      </c>
      <c r="H5737" s="110" t="s">
        <v>31934</v>
      </c>
      <c r="I5737" s="110" t="s">
        <v>31935</v>
      </c>
    </row>
    <row r="5738" spans="1:9" ht="25.2" x14ac:dyDescent="0.3">
      <c r="A5738" s="109" t="s">
        <v>31936</v>
      </c>
      <c r="B5738" s="109" t="s">
        <v>31480</v>
      </c>
      <c r="C5738" s="109" t="s">
        <v>31480</v>
      </c>
      <c r="D5738" s="109" t="s">
        <v>5569</v>
      </c>
      <c r="E5738" s="109" t="s">
        <v>5558</v>
      </c>
      <c r="F5738" s="109" t="s">
        <v>2258</v>
      </c>
      <c r="G5738" s="110" t="s">
        <v>6248</v>
      </c>
      <c r="H5738" s="110" t="s">
        <v>31937</v>
      </c>
      <c r="I5738" s="110" t="s">
        <v>31938</v>
      </c>
    </row>
    <row r="5739" spans="1:9" ht="25.2" x14ac:dyDescent="0.3">
      <c r="A5739" s="109" t="s">
        <v>31939</v>
      </c>
      <c r="B5739" s="109" t="s">
        <v>31480</v>
      </c>
      <c r="C5739" s="109" t="s">
        <v>31480</v>
      </c>
      <c r="D5739" s="109" t="s">
        <v>5569</v>
      </c>
      <c r="E5739" s="109" t="s">
        <v>5558</v>
      </c>
      <c r="F5739" s="109" t="s">
        <v>2258</v>
      </c>
      <c r="G5739" s="110" t="s">
        <v>6248</v>
      </c>
      <c r="H5739" s="110" t="s">
        <v>31940</v>
      </c>
      <c r="I5739" s="110" t="s">
        <v>31941</v>
      </c>
    </row>
    <row r="5740" spans="1:9" ht="37.799999999999997" x14ac:dyDescent="0.3">
      <c r="A5740" s="109" t="s">
        <v>31942</v>
      </c>
      <c r="B5740" s="109" t="s">
        <v>31480</v>
      </c>
      <c r="C5740" s="109" t="s">
        <v>31480</v>
      </c>
      <c r="D5740" s="109" t="s">
        <v>31943</v>
      </c>
      <c r="E5740" s="109" t="s">
        <v>5558</v>
      </c>
      <c r="F5740" s="109" t="s">
        <v>31944</v>
      </c>
      <c r="G5740" s="110" t="s">
        <v>6248</v>
      </c>
      <c r="H5740" s="110" t="s">
        <v>31945</v>
      </c>
      <c r="I5740" s="110" t="s">
        <v>31946</v>
      </c>
    </row>
    <row r="5741" spans="1:9" ht="25.2" x14ac:dyDescent="0.3">
      <c r="A5741" s="109" t="s">
        <v>31947</v>
      </c>
      <c r="B5741" s="109" t="s">
        <v>31480</v>
      </c>
      <c r="C5741" s="109" t="s">
        <v>31480</v>
      </c>
      <c r="D5741" s="109" t="s">
        <v>5569</v>
      </c>
      <c r="E5741" s="109" t="s">
        <v>5558</v>
      </c>
      <c r="F5741" s="109" t="s">
        <v>2258</v>
      </c>
      <c r="G5741" s="110" t="s">
        <v>6248</v>
      </c>
      <c r="H5741" s="110" t="s">
        <v>31948</v>
      </c>
      <c r="I5741" s="110" t="s">
        <v>31949</v>
      </c>
    </row>
    <row r="5742" spans="1:9" ht="37.799999999999997" x14ac:dyDescent="0.3">
      <c r="A5742" s="109" t="s">
        <v>31950</v>
      </c>
      <c r="B5742" s="109" t="s">
        <v>31480</v>
      </c>
      <c r="C5742" s="109" t="s">
        <v>31480</v>
      </c>
      <c r="D5742" s="109" t="s">
        <v>31951</v>
      </c>
      <c r="E5742" s="109" t="s">
        <v>5558</v>
      </c>
      <c r="F5742" s="109" t="s">
        <v>31952</v>
      </c>
      <c r="G5742" s="110" t="s">
        <v>6248</v>
      </c>
      <c r="H5742" s="110" t="s">
        <v>9574</v>
      </c>
      <c r="I5742" s="110" t="s">
        <v>31953</v>
      </c>
    </row>
    <row r="5743" spans="1:9" ht="25.2" x14ac:dyDescent="0.3">
      <c r="A5743" s="109" t="s">
        <v>31954</v>
      </c>
      <c r="B5743" s="109" t="s">
        <v>31480</v>
      </c>
      <c r="C5743" s="109" t="s">
        <v>31480</v>
      </c>
      <c r="D5743" s="109" t="s">
        <v>31955</v>
      </c>
      <c r="E5743" s="109" t="s">
        <v>5558</v>
      </c>
      <c r="F5743" s="109" t="s">
        <v>31956</v>
      </c>
      <c r="G5743" s="110" t="s">
        <v>6248</v>
      </c>
      <c r="H5743" s="110" t="s">
        <v>31957</v>
      </c>
      <c r="I5743" s="110" t="s">
        <v>31958</v>
      </c>
    </row>
    <row r="5744" spans="1:9" ht="25.2" x14ac:dyDescent="0.3">
      <c r="A5744" s="109" t="s">
        <v>31959</v>
      </c>
      <c r="B5744" s="109" t="s">
        <v>31480</v>
      </c>
      <c r="C5744" s="109" t="s">
        <v>31480</v>
      </c>
      <c r="D5744" s="109" t="s">
        <v>31960</v>
      </c>
      <c r="E5744" s="109" t="s">
        <v>31961</v>
      </c>
      <c r="F5744" s="109" t="s">
        <v>31962</v>
      </c>
      <c r="G5744" s="110" t="s">
        <v>6248</v>
      </c>
      <c r="H5744" s="110" t="s">
        <v>31963</v>
      </c>
      <c r="I5744" s="110" t="s">
        <v>31964</v>
      </c>
    </row>
    <row r="5745" spans="1:9" ht="25.2" x14ac:dyDescent="0.3">
      <c r="A5745" s="109" t="s">
        <v>31965</v>
      </c>
      <c r="B5745" s="109" t="s">
        <v>31480</v>
      </c>
      <c r="C5745" s="109" t="s">
        <v>31480</v>
      </c>
      <c r="D5745" s="109" t="s">
        <v>31966</v>
      </c>
      <c r="E5745" s="109" t="s">
        <v>31967</v>
      </c>
      <c r="F5745" s="109" t="s">
        <v>31968</v>
      </c>
      <c r="G5745" s="110" t="s">
        <v>6248</v>
      </c>
      <c r="H5745" s="110" t="s">
        <v>31969</v>
      </c>
      <c r="I5745" s="110" t="s">
        <v>31970</v>
      </c>
    </row>
    <row r="5746" spans="1:9" ht="25.2" x14ac:dyDescent="0.3">
      <c r="A5746" s="109" t="s">
        <v>31971</v>
      </c>
      <c r="B5746" s="109" t="s">
        <v>31480</v>
      </c>
      <c r="C5746" s="109" t="s">
        <v>31480</v>
      </c>
      <c r="D5746" s="109" t="s">
        <v>31972</v>
      </c>
      <c r="E5746" s="109" t="s">
        <v>5558</v>
      </c>
      <c r="F5746" s="109" t="s">
        <v>31973</v>
      </c>
      <c r="G5746" s="110" t="s">
        <v>6248</v>
      </c>
      <c r="H5746" s="110" t="s">
        <v>12066</v>
      </c>
      <c r="I5746" s="110" t="s">
        <v>31974</v>
      </c>
    </row>
    <row r="5747" spans="1:9" ht="25.2" x14ac:dyDescent="0.3">
      <c r="A5747" s="109" t="s">
        <v>31975</v>
      </c>
      <c r="B5747" s="109" t="s">
        <v>31480</v>
      </c>
      <c r="C5747" s="109" t="s">
        <v>31480</v>
      </c>
      <c r="D5747" s="109" t="s">
        <v>31976</v>
      </c>
      <c r="E5747" s="109" t="s">
        <v>31977</v>
      </c>
      <c r="F5747" s="109" t="s">
        <v>31968</v>
      </c>
      <c r="G5747" s="110" t="s">
        <v>6248</v>
      </c>
      <c r="H5747" s="110" t="s">
        <v>31978</v>
      </c>
      <c r="I5747" s="110" t="s">
        <v>31979</v>
      </c>
    </row>
    <row r="5748" spans="1:9" ht="25.2" x14ac:dyDescent="0.3">
      <c r="A5748" s="109" t="s">
        <v>31980</v>
      </c>
      <c r="B5748" s="109" t="s">
        <v>31480</v>
      </c>
      <c r="C5748" s="109" t="s">
        <v>31480</v>
      </c>
      <c r="D5748" s="109" t="s">
        <v>31981</v>
      </c>
      <c r="E5748" s="109" t="s">
        <v>31982</v>
      </c>
      <c r="F5748" s="109" t="s">
        <v>12024</v>
      </c>
      <c r="G5748" s="110" t="s">
        <v>6248</v>
      </c>
      <c r="H5748" s="110" t="s">
        <v>31983</v>
      </c>
      <c r="I5748" s="110" t="s">
        <v>31984</v>
      </c>
    </row>
    <row r="5749" spans="1:9" ht="25.2" x14ac:dyDescent="0.3">
      <c r="A5749" s="109" t="s">
        <v>31985</v>
      </c>
      <c r="B5749" s="109" t="s">
        <v>31480</v>
      </c>
      <c r="C5749" s="109" t="s">
        <v>31480</v>
      </c>
      <c r="D5749" s="109" t="s">
        <v>31986</v>
      </c>
      <c r="E5749" s="109" t="s">
        <v>5558</v>
      </c>
      <c r="F5749" s="109" t="s">
        <v>31987</v>
      </c>
      <c r="G5749" s="110" t="s">
        <v>6248</v>
      </c>
      <c r="H5749" s="110" t="s">
        <v>14762</v>
      </c>
      <c r="I5749" s="110" t="s">
        <v>31988</v>
      </c>
    </row>
    <row r="5750" spans="1:9" ht="25.2" x14ac:dyDescent="0.3">
      <c r="A5750" s="109" t="s">
        <v>31989</v>
      </c>
      <c r="B5750" s="109" t="s">
        <v>31480</v>
      </c>
      <c r="C5750" s="109" t="s">
        <v>31480</v>
      </c>
      <c r="D5750" s="109" t="s">
        <v>31990</v>
      </c>
      <c r="E5750" s="109" t="s">
        <v>31991</v>
      </c>
      <c r="F5750" s="109" t="s">
        <v>31968</v>
      </c>
      <c r="G5750" s="110" t="s">
        <v>6248</v>
      </c>
      <c r="H5750" s="110" t="s">
        <v>31992</v>
      </c>
      <c r="I5750" s="110" t="s">
        <v>31993</v>
      </c>
    </row>
    <row r="5751" spans="1:9" ht="37.799999999999997" x14ac:dyDescent="0.3">
      <c r="A5751" s="109" t="s">
        <v>31994</v>
      </c>
      <c r="B5751" s="109" t="s">
        <v>31480</v>
      </c>
      <c r="C5751" s="109" t="s">
        <v>31480</v>
      </c>
      <c r="D5751" s="109" t="s">
        <v>31995</v>
      </c>
      <c r="E5751" s="109" t="s">
        <v>5558</v>
      </c>
      <c r="F5751" s="109" t="s">
        <v>31996</v>
      </c>
      <c r="G5751" s="110" t="s">
        <v>6248</v>
      </c>
      <c r="H5751" s="110" t="s">
        <v>31997</v>
      </c>
      <c r="I5751" s="110" t="s">
        <v>31998</v>
      </c>
    </row>
    <row r="5752" spans="1:9" ht="25.2" x14ac:dyDescent="0.3">
      <c r="A5752" s="109" t="s">
        <v>31999</v>
      </c>
      <c r="B5752" s="109" t="s">
        <v>31480</v>
      </c>
      <c r="C5752" s="109" t="s">
        <v>31480</v>
      </c>
      <c r="D5752" s="109" t="s">
        <v>32000</v>
      </c>
      <c r="E5752" s="109" t="s">
        <v>32001</v>
      </c>
      <c r="F5752" s="109" t="s">
        <v>32002</v>
      </c>
      <c r="G5752" s="110" t="s">
        <v>6248</v>
      </c>
      <c r="H5752" s="110" t="s">
        <v>32003</v>
      </c>
      <c r="I5752" s="110" t="s">
        <v>32004</v>
      </c>
    </row>
    <row r="5753" spans="1:9" ht="63" x14ac:dyDescent="0.3">
      <c r="A5753" s="109" t="s">
        <v>32005</v>
      </c>
      <c r="B5753" s="109" t="s">
        <v>31480</v>
      </c>
      <c r="C5753" s="109" t="s">
        <v>31480</v>
      </c>
      <c r="D5753" s="109" t="s">
        <v>8366</v>
      </c>
      <c r="E5753" s="109" t="s">
        <v>8366</v>
      </c>
      <c r="F5753" s="109" t="s">
        <v>32006</v>
      </c>
      <c r="G5753" s="110" t="s">
        <v>6248</v>
      </c>
      <c r="H5753" s="110" t="s">
        <v>7221</v>
      </c>
      <c r="I5753" s="110" t="s">
        <v>32007</v>
      </c>
    </row>
    <row r="5754" spans="1:9" ht="63" x14ac:dyDescent="0.3">
      <c r="A5754" s="109" t="s">
        <v>32008</v>
      </c>
      <c r="B5754" s="109" t="s">
        <v>31480</v>
      </c>
      <c r="C5754" s="109" t="s">
        <v>31480</v>
      </c>
      <c r="D5754" s="109" t="s">
        <v>23566</v>
      </c>
      <c r="E5754" s="109" t="s">
        <v>23566</v>
      </c>
      <c r="F5754" s="109" t="s">
        <v>32009</v>
      </c>
      <c r="G5754" s="110" t="s">
        <v>6248</v>
      </c>
      <c r="H5754" s="110" t="s">
        <v>31934</v>
      </c>
      <c r="I5754" s="110" t="s">
        <v>32010</v>
      </c>
    </row>
    <row r="5755" spans="1:9" ht="25.2" x14ac:dyDescent="0.3">
      <c r="A5755" s="109" t="s">
        <v>32011</v>
      </c>
      <c r="B5755" s="109" t="s">
        <v>31480</v>
      </c>
      <c r="C5755" s="109" t="s">
        <v>31480</v>
      </c>
      <c r="D5755" s="109" t="s">
        <v>32012</v>
      </c>
      <c r="E5755" s="109" t="s">
        <v>32013</v>
      </c>
      <c r="F5755" s="109" t="s">
        <v>12113</v>
      </c>
      <c r="G5755" s="110" t="s">
        <v>6248</v>
      </c>
      <c r="H5755" s="110" t="s">
        <v>32014</v>
      </c>
      <c r="I5755" s="110" t="s">
        <v>32015</v>
      </c>
    </row>
    <row r="5756" spans="1:9" ht="37.799999999999997" x14ac:dyDescent="0.3">
      <c r="A5756" s="109" t="s">
        <v>32016</v>
      </c>
      <c r="B5756" s="109" t="s">
        <v>31480</v>
      </c>
      <c r="C5756" s="109" t="s">
        <v>31480</v>
      </c>
      <c r="D5756" s="109" t="s">
        <v>32017</v>
      </c>
      <c r="E5756" s="109" t="s">
        <v>5558</v>
      </c>
      <c r="F5756" s="109" t="s">
        <v>32018</v>
      </c>
      <c r="G5756" s="110" t="s">
        <v>6248</v>
      </c>
      <c r="H5756" s="110" t="s">
        <v>32019</v>
      </c>
      <c r="I5756" s="110" t="s">
        <v>32020</v>
      </c>
    </row>
    <row r="5757" spans="1:9" ht="25.2" x14ac:dyDescent="0.3">
      <c r="A5757" s="109" t="s">
        <v>32021</v>
      </c>
      <c r="B5757" s="109" t="s">
        <v>31480</v>
      </c>
      <c r="C5757" s="109" t="s">
        <v>31480</v>
      </c>
      <c r="D5757" s="109" t="s">
        <v>32022</v>
      </c>
      <c r="E5757" s="109" t="s">
        <v>32023</v>
      </c>
      <c r="F5757" s="109" t="s">
        <v>32024</v>
      </c>
      <c r="G5757" s="110" t="s">
        <v>6248</v>
      </c>
      <c r="H5757" s="110" t="s">
        <v>32025</v>
      </c>
      <c r="I5757" s="110" t="s">
        <v>32026</v>
      </c>
    </row>
    <row r="5758" spans="1:9" ht="25.2" x14ac:dyDescent="0.3">
      <c r="A5758" s="109" t="s">
        <v>32027</v>
      </c>
      <c r="B5758" s="109" t="s">
        <v>31480</v>
      </c>
      <c r="C5758" s="109" t="s">
        <v>31480</v>
      </c>
      <c r="D5758" s="109" t="s">
        <v>32028</v>
      </c>
      <c r="E5758" s="109" t="s">
        <v>32029</v>
      </c>
      <c r="F5758" s="109" t="s">
        <v>32024</v>
      </c>
      <c r="G5758" s="110" t="s">
        <v>6248</v>
      </c>
      <c r="H5758" s="110" t="s">
        <v>32030</v>
      </c>
      <c r="I5758" s="110" t="s">
        <v>32031</v>
      </c>
    </row>
    <row r="5759" spans="1:9" ht="50.4" x14ac:dyDescent="0.3">
      <c r="A5759" s="109" t="s">
        <v>32032</v>
      </c>
      <c r="B5759" s="109" t="s">
        <v>31480</v>
      </c>
      <c r="C5759" s="109" t="s">
        <v>31480</v>
      </c>
      <c r="D5759" s="109" t="s">
        <v>32033</v>
      </c>
      <c r="E5759" s="109" t="s">
        <v>5558</v>
      </c>
      <c r="F5759" s="109" t="s">
        <v>32034</v>
      </c>
      <c r="G5759" s="110" t="s">
        <v>6248</v>
      </c>
      <c r="H5759" s="110" t="s">
        <v>32035</v>
      </c>
      <c r="I5759" s="110" t="s">
        <v>32036</v>
      </c>
    </row>
    <row r="5760" spans="1:9" ht="25.2" x14ac:dyDescent="0.3">
      <c r="A5760" s="109" t="s">
        <v>32037</v>
      </c>
      <c r="B5760" s="109" t="s">
        <v>31480</v>
      </c>
      <c r="C5760" s="109" t="s">
        <v>31480</v>
      </c>
      <c r="D5760" s="109" t="s">
        <v>5569</v>
      </c>
      <c r="E5760" s="109" t="s">
        <v>5558</v>
      </c>
      <c r="F5760" s="109" t="s">
        <v>2258</v>
      </c>
      <c r="G5760" s="110" t="s">
        <v>6248</v>
      </c>
      <c r="H5760" s="110" t="s">
        <v>24797</v>
      </c>
      <c r="I5760" s="110" t="s">
        <v>32038</v>
      </c>
    </row>
    <row r="5761" spans="1:9" ht="25.2" x14ac:dyDescent="0.3">
      <c r="A5761" s="109" t="s">
        <v>32039</v>
      </c>
      <c r="B5761" s="109" t="s">
        <v>31480</v>
      </c>
      <c r="C5761" s="109" t="s">
        <v>31480</v>
      </c>
      <c r="D5761" s="109" t="s">
        <v>32040</v>
      </c>
      <c r="E5761" s="109" t="s">
        <v>32041</v>
      </c>
      <c r="F5761" s="109" t="s">
        <v>6064</v>
      </c>
      <c r="G5761" s="110" t="s">
        <v>6248</v>
      </c>
      <c r="H5761" s="110" t="s">
        <v>32042</v>
      </c>
      <c r="I5761" s="110" t="s">
        <v>32043</v>
      </c>
    </row>
    <row r="5762" spans="1:9" ht="25.2" x14ac:dyDescent="0.3">
      <c r="A5762" s="109" t="s">
        <v>32044</v>
      </c>
      <c r="B5762" s="109" t="s">
        <v>31480</v>
      </c>
      <c r="C5762" s="109" t="s">
        <v>31480</v>
      </c>
      <c r="D5762" s="109" t="s">
        <v>32045</v>
      </c>
      <c r="E5762" s="109" t="s">
        <v>31967</v>
      </c>
      <c r="F5762" s="109" t="s">
        <v>32046</v>
      </c>
      <c r="G5762" s="110" t="s">
        <v>6248</v>
      </c>
      <c r="H5762" s="110" t="s">
        <v>32047</v>
      </c>
      <c r="I5762" s="110" t="s">
        <v>32048</v>
      </c>
    </row>
    <row r="5763" spans="1:9" ht="37.799999999999997" x14ac:dyDescent="0.3">
      <c r="A5763" s="109" t="s">
        <v>32049</v>
      </c>
      <c r="B5763" s="109" t="s">
        <v>31480</v>
      </c>
      <c r="C5763" s="109" t="s">
        <v>31480</v>
      </c>
      <c r="D5763" s="109" t="s">
        <v>32050</v>
      </c>
      <c r="E5763" s="109" t="s">
        <v>5558</v>
      </c>
      <c r="F5763" s="109" t="s">
        <v>32051</v>
      </c>
      <c r="G5763" s="110" t="s">
        <v>6248</v>
      </c>
      <c r="H5763" s="110" t="s">
        <v>32052</v>
      </c>
      <c r="I5763" s="110" t="s">
        <v>32053</v>
      </c>
    </row>
    <row r="5764" spans="1:9" ht="25.2" x14ac:dyDescent="0.3">
      <c r="A5764" s="109" t="s">
        <v>32054</v>
      </c>
      <c r="B5764" s="109" t="s">
        <v>31480</v>
      </c>
      <c r="C5764" s="109" t="s">
        <v>31480</v>
      </c>
      <c r="D5764" s="109" t="s">
        <v>32055</v>
      </c>
      <c r="E5764" s="109" t="s">
        <v>32056</v>
      </c>
      <c r="F5764" s="109" t="s">
        <v>6878</v>
      </c>
      <c r="G5764" s="110" t="s">
        <v>32057</v>
      </c>
      <c r="H5764" s="110" t="s">
        <v>6248</v>
      </c>
      <c r="I5764" s="110" t="s">
        <v>32058</v>
      </c>
    </row>
    <row r="5765" spans="1:9" ht="25.2" x14ac:dyDescent="0.3">
      <c r="A5765" s="109" t="s">
        <v>32059</v>
      </c>
      <c r="B5765" s="109" t="s">
        <v>31480</v>
      </c>
      <c r="C5765" s="109" t="s">
        <v>31480</v>
      </c>
      <c r="D5765" s="109" t="s">
        <v>32060</v>
      </c>
      <c r="E5765" s="109" t="s">
        <v>5992</v>
      </c>
      <c r="F5765" s="109" t="s">
        <v>5993</v>
      </c>
      <c r="G5765" s="110" t="s">
        <v>6248</v>
      </c>
      <c r="H5765" s="110" t="s">
        <v>32061</v>
      </c>
      <c r="I5765" s="110" t="s">
        <v>32062</v>
      </c>
    </row>
    <row r="5766" spans="1:9" ht="25.2" x14ac:dyDescent="0.3">
      <c r="A5766" s="109" t="s">
        <v>32063</v>
      </c>
      <c r="B5766" s="109" t="s">
        <v>31480</v>
      </c>
      <c r="C5766" s="109" t="s">
        <v>31480</v>
      </c>
      <c r="D5766" s="109" t="s">
        <v>5569</v>
      </c>
      <c r="E5766" s="109" t="s">
        <v>5558</v>
      </c>
      <c r="F5766" s="109" t="s">
        <v>2258</v>
      </c>
      <c r="G5766" s="110" t="s">
        <v>6248</v>
      </c>
      <c r="H5766" s="110" t="s">
        <v>32064</v>
      </c>
      <c r="I5766" s="110" t="s">
        <v>32065</v>
      </c>
    </row>
    <row r="5767" spans="1:9" ht="25.2" x14ac:dyDescent="0.3">
      <c r="A5767" s="109" t="s">
        <v>32066</v>
      </c>
      <c r="B5767" s="109" t="s">
        <v>31480</v>
      </c>
      <c r="C5767" s="109" t="s">
        <v>31480</v>
      </c>
      <c r="D5767" s="109" t="s">
        <v>32067</v>
      </c>
      <c r="E5767" s="109" t="s">
        <v>32068</v>
      </c>
      <c r="F5767" s="109" t="s">
        <v>32069</v>
      </c>
      <c r="G5767" s="110" t="s">
        <v>32070</v>
      </c>
      <c r="H5767" s="110" t="s">
        <v>6248</v>
      </c>
      <c r="I5767" s="110" t="s">
        <v>32071</v>
      </c>
    </row>
    <row r="5768" spans="1:9" ht="25.2" x14ac:dyDescent="0.3">
      <c r="A5768" s="109" t="s">
        <v>32072</v>
      </c>
      <c r="B5768" s="109" t="s">
        <v>31480</v>
      </c>
      <c r="C5768" s="109" t="s">
        <v>31480</v>
      </c>
      <c r="D5768" s="109" t="s">
        <v>32073</v>
      </c>
      <c r="E5768" s="109" t="s">
        <v>32068</v>
      </c>
      <c r="F5768" s="109" t="s">
        <v>32074</v>
      </c>
      <c r="G5768" s="110" t="s">
        <v>7254</v>
      </c>
      <c r="H5768" s="110" t="s">
        <v>6248</v>
      </c>
      <c r="I5768" s="110" t="s">
        <v>32075</v>
      </c>
    </row>
    <row r="5769" spans="1:9" ht="25.2" x14ac:dyDescent="0.3">
      <c r="A5769" s="109" t="s">
        <v>32076</v>
      </c>
      <c r="B5769" s="109" t="s">
        <v>31480</v>
      </c>
      <c r="C5769" s="109" t="s">
        <v>31480</v>
      </c>
      <c r="D5769" s="109" t="s">
        <v>32077</v>
      </c>
      <c r="E5769" s="109" t="s">
        <v>32068</v>
      </c>
      <c r="F5769" s="109" t="s">
        <v>32078</v>
      </c>
      <c r="G5769" s="110" t="s">
        <v>11819</v>
      </c>
      <c r="H5769" s="110" t="s">
        <v>6248</v>
      </c>
      <c r="I5769" s="110" t="s">
        <v>32079</v>
      </c>
    </row>
    <row r="5770" spans="1:9" ht="25.2" x14ac:dyDescent="0.3">
      <c r="A5770" s="109" t="s">
        <v>32080</v>
      </c>
      <c r="B5770" s="109" t="s">
        <v>31480</v>
      </c>
      <c r="C5770" s="109" t="s">
        <v>31480</v>
      </c>
      <c r="D5770" s="109" t="s">
        <v>32081</v>
      </c>
      <c r="E5770" s="109" t="s">
        <v>5558</v>
      </c>
      <c r="F5770" s="109" t="s">
        <v>32082</v>
      </c>
      <c r="G5770" s="110" t="s">
        <v>6248</v>
      </c>
      <c r="H5770" s="110" t="s">
        <v>32083</v>
      </c>
      <c r="I5770" s="110" t="s">
        <v>32084</v>
      </c>
    </row>
    <row r="5771" spans="1:9" ht="25.2" x14ac:dyDescent="0.3">
      <c r="A5771" s="109" t="s">
        <v>32085</v>
      </c>
      <c r="B5771" s="109" t="s">
        <v>31480</v>
      </c>
      <c r="C5771" s="109" t="s">
        <v>31480</v>
      </c>
      <c r="D5771" s="109" t="s">
        <v>32086</v>
      </c>
      <c r="E5771" s="109" t="s">
        <v>32087</v>
      </c>
      <c r="F5771" s="109" t="s">
        <v>7039</v>
      </c>
      <c r="G5771" s="110" t="s">
        <v>6248</v>
      </c>
      <c r="H5771" s="110" t="s">
        <v>32088</v>
      </c>
      <c r="I5771" s="110" t="s">
        <v>32089</v>
      </c>
    </row>
    <row r="5772" spans="1:9" ht="25.2" x14ac:dyDescent="0.3">
      <c r="A5772" s="109" t="s">
        <v>32090</v>
      </c>
      <c r="B5772" s="109" t="s">
        <v>31480</v>
      </c>
      <c r="C5772" s="109" t="s">
        <v>31480</v>
      </c>
      <c r="D5772" s="109" t="s">
        <v>32091</v>
      </c>
      <c r="E5772" s="109" t="s">
        <v>32092</v>
      </c>
      <c r="F5772" s="109" t="s">
        <v>7045</v>
      </c>
      <c r="G5772" s="110" t="s">
        <v>32093</v>
      </c>
      <c r="H5772" s="110" t="s">
        <v>6248</v>
      </c>
      <c r="I5772" s="110" t="s">
        <v>32094</v>
      </c>
    </row>
    <row r="5773" spans="1:9" ht="25.2" x14ac:dyDescent="0.3">
      <c r="A5773" s="109" t="s">
        <v>32095</v>
      </c>
      <c r="B5773" s="109" t="s">
        <v>31480</v>
      </c>
      <c r="C5773" s="109" t="s">
        <v>31480</v>
      </c>
      <c r="D5773" s="109" t="s">
        <v>32096</v>
      </c>
      <c r="E5773" s="109" t="s">
        <v>5558</v>
      </c>
      <c r="F5773" s="109" t="s">
        <v>32097</v>
      </c>
      <c r="G5773" s="110" t="s">
        <v>6248</v>
      </c>
      <c r="H5773" s="110" t="s">
        <v>32098</v>
      </c>
      <c r="I5773" s="110" t="s">
        <v>32099</v>
      </c>
    </row>
    <row r="5774" spans="1:9" ht="25.2" x14ac:dyDescent="0.3">
      <c r="A5774" s="109" t="s">
        <v>32100</v>
      </c>
      <c r="B5774" s="109" t="s">
        <v>31480</v>
      </c>
      <c r="C5774" s="109" t="s">
        <v>31480</v>
      </c>
      <c r="D5774" s="109" t="s">
        <v>32101</v>
      </c>
      <c r="E5774" s="109" t="s">
        <v>5854</v>
      </c>
      <c r="F5774" s="109" t="s">
        <v>6256</v>
      </c>
      <c r="G5774" s="110" t="s">
        <v>6248</v>
      </c>
      <c r="H5774" s="110" t="s">
        <v>32102</v>
      </c>
      <c r="I5774" s="110" t="s">
        <v>32103</v>
      </c>
    </row>
    <row r="5775" spans="1:9" ht="37.799999999999997" x14ac:dyDescent="0.3">
      <c r="A5775" s="109" t="s">
        <v>32104</v>
      </c>
      <c r="B5775" s="109" t="s">
        <v>31480</v>
      </c>
      <c r="C5775" s="109" t="s">
        <v>31480</v>
      </c>
      <c r="D5775" s="109" t="s">
        <v>4937</v>
      </c>
      <c r="E5775" s="109" t="s">
        <v>5558</v>
      </c>
      <c r="F5775" s="109" t="s">
        <v>32105</v>
      </c>
      <c r="G5775" s="110" t="s">
        <v>6248</v>
      </c>
      <c r="H5775" s="110" t="s">
        <v>32106</v>
      </c>
      <c r="I5775" s="110" t="s">
        <v>32107</v>
      </c>
    </row>
    <row r="5776" spans="1:9" ht="25.2" x14ac:dyDescent="0.3">
      <c r="A5776" s="109" t="s">
        <v>32108</v>
      </c>
      <c r="B5776" s="109" t="s">
        <v>31480</v>
      </c>
      <c r="C5776" s="109" t="s">
        <v>31480</v>
      </c>
      <c r="D5776" s="109" t="s">
        <v>32109</v>
      </c>
      <c r="E5776" s="109" t="s">
        <v>32110</v>
      </c>
      <c r="F5776" s="109" t="s">
        <v>14190</v>
      </c>
      <c r="G5776" s="110" t="s">
        <v>6248</v>
      </c>
      <c r="H5776" s="110" t="s">
        <v>32111</v>
      </c>
      <c r="I5776" s="110" t="s">
        <v>32112</v>
      </c>
    </row>
    <row r="5777" spans="1:9" ht="25.2" x14ac:dyDescent="0.3">
      <c r="A5777" s="109" t="s">
        <v>32113</v>
      </c>
      <c r="B5777" s="109" t="s">
        <v>31480</v>
      </c>
      <c r="C5777" s="109" t="s">
        <v>31480</v>
      </c>
      <c r="D5777" s="109" t="s">
        <v>32114</v>
      </c>
      <c r="E5777" s="109" t="s">
        <v>14372</v>
      </c>
      <c r="F5777" s="109" t="s">
        <v>14367</v>
      </c>
      <c r="G5777" s="110" t="s">
        <v>6248</v>
      </c>
      <c r="H5777" s="110" t="s">
        <v>32115</v>
      </c>
      <c r="I5777" s="110" t="s">
        <v>32116</v>
      </c>
    </row>
    <row r="5778" spans="1:9" ht="25.2" x14ac:dyDescent="0.3">
      <c r="A5778" s="109" t="s">
        <v>32117</v>
      </c>
      <c r="B5778" s="109" t="s">
        <v>31480</v>
      </c>
      <c r="C5778" s="109" t="s">
        <v>31480</v>
      </c>
      <c r="D5778" s="109" t="s">
        <v>5569</v>
      </c>
      <c r="E5778" s="109" t="s">
        <v>5558</v>
      </c>
      <c r="F5778" s="109" t="s">
        <v>2258</v>
      </c>
      <c r="G5778" s="110" t="s">
        <v>6248</v>
      </c>
      <c r="H5778" s="110" t="s">
        <v>32118</v>
      </c>
      <c r="I5778" s="110" t="s">
        <v>32119</v>
      </c>
    </row>
    <row r="5779" spans="1:9" ht="37.799999999999997" x14ac:dyDescent="0.3">
      <c r="A5779" s="109" t="s">
        <v>32120</v>
      </c>
      <c r="B5779" s="109" t="s">
        <v>31480</v>
      </c>
      <c r="C5779" s="109" t="s">
        <v>31480</v>
      </c>
      <c r="D5779" s="109" t="s">
        <v>32121</v>
      </c>
      <c r="E5779" s="109" t="s">
        <v>5558</v>
      </c>
      <c r="F5779" s="109" t="s">
        <v>32122</v>
      </c>
      <c r="G5779" s="110" t="s">
        <v>6248</v>
      </c>
      <c r="H5779" s="110" t="s">
        <v>30146</v>
      </c>
      <c r="I5779" s="110" t="s">
        <v>32123</v>
      </c>
    </row>
    <row r="5780" spans="1:9" ht="37.799999999999997" x14ac:dyDescent="0.3">
      <c r="A5780" s="109" t="s">
        <v>32124</v>
      </c>
      <c r="B5780" s="109" t="s">
        <v>31480</v>
      </c>
      <c r="C5780" s="109" t="s">
        <v>31480</v>
      </c>
      <c r="D5780" s="109" t="s">
        <v>32125</v>
      </c>
      <c r="E5780" s="109" t="s">
        <v>5558</v>
      </c>
      <c r="F5780" s="109" t="s">
        <v>32126</v>
      </c>
      <c r="G5780" s="110" t="s">
        <v>6248</v>
      </c>
      <c r="H5780" s="110" t="s">
        <v>32127</v>
      </c>
      <c r="I5780" s="110" t="s">
        <v>32128</v>
      </c>
    </row>
    <row r="5781" spans="1:9" ht="25.2" x14ac:dyDescent="0.3">
      <c r="A5781" s="109" t="s">
        <v>32129</v>
      </c>
      <c r="B5781" s="109" t="s">
        <v>31480</v>
      </c>
      <c r="C5781" s="109" t="s">
        <v>31480</v>
      </c>
      <c r="D5781" s="109" t="s">
        <v>32130</v>
      </c>
      <c r="E5781" s="109" t="s">
        <v>5558</v>
      </c>
      <c r="F5781" s="109" t="s">
        <v>32131</v>
      </c>
      <c r="G5781" s="110" t="s">
        <v>6248</v>
      </c>
      <c r="H5781" s="110" t="s">
        <v>32132</v>
      </c>
      <c r="I5781" s="110" t="s">
        <v>32133</v>
      </c>
    </row>
    <row r="5782" spans="1:9" ht="25.2" x14ac:dyDescent="0.3">
      <c r="A5782" s="109" t="s">
        <v>32134</v>
      </c>
      <c r="B5782" s="109" t="s">
        <v>31480</v>
      </c>
      <c r="C5782" s="109" t="s">
        <v>31480</v>
      </c>
      <c r="D5782" s="109" t="s">
        <v>5569</v>
      </c>
      <c r="E5782" s="109" t="s">
        <v>5558</v>
      </c>
      <c r="F5782" s="109" t="s">
        <v>2258</v>
      </c>
      <c r="G5782" s="110" t="s">
        <v>6248</v>
      </c>
      <c r="H5782" s="110" t="s">
        <v>6883</v>
      </c>
      <c r="I5782" s="110" t="s">
        <v>32135</v>
      </c>
    </row>
    <row r="5783" spans="1:9" ht="37.799999999999997" x14ac:dyDescent="0.3">
      <c r="A5783" s="109" t="s">
        <v>32136</v>
      </c>
      <c r="B5783" s="109" t="s">
        <v>31480</v>
      </c>
      <c r="C5783" s="109" t="s">
        <v>31480</v>
      </c>
      <c r="D5783" s="109" t="s">
        <v>32137</v>
      </c>
      <c r="E5783" s="109" t="s">
        <v>5558</v>
      </c>
      <c r="F5783" s="109" t="s">
        <v>32138</v>
      </c>
      <c r="G5783" s="110" t="s">
        <v>6248</v>
      </c>
      <c r="H5783" s="110" t="s">
        <v>32139</v>
      </c>
      <c r="I5783" s="110" t="s">
        <v>32140</v>
      </c>
    </row>
    <row r="5784" spans="1:9" ht="25.2" x14ac:dyDescent="0.3">
      <c r="A5784" s="109" t="s">
        <v>32141</v>
      </c>
      <c r="B5784" s="109" t="s">
        <v>31480</v>
      </c>
      <c r="C5784" s="109" t="s">
        <v>31480</v>
      </c>
      <c r="D5784" s="109" t="s">
        <v>32142</v>
      </c>
      <c r="E5784" s="109" t="s">
        <v>5558</v>
      </c>
      <c r="F5784" s="109" t="s">
        <v>32143</v>
      </c>
      <c r="G5784" s="110" t="s">
        <v>6248</v>
      </c>
      <c r="H5784" s="110" t="s">
        <v>7062</v>
      </c>
      <c r="I5784" s="110" t="s">
        <v>32144</v>
      </c>
    </row>
    <row r="5785" spans="1:9" ht="25.2" x14ac:dyDescent="0.3">
      <c r="A5785" s="109" t="s">
        <v>32145</v>
      </c>
      <c r="B5785" s="109" t="s">
        <v>31480</v>
      </c>
      <c r="C5785" s="109" t="s">
        <v>31480</v>
      </c>
      <c r="D5785" s="109" t="s">
        <v>32146</v>
      </c>
      <c r="E5785" s="109" t="s">
        <v>5558</v>
      </c>
      <c r="F5785" s="109" t="s">
        <v>32147</v>
      </c>
      <c r="G5785" s="110" t="s">
        <v>6248</v>
      </c>
      <c r="H5785" s="110" t="s">
        <v>10621</v>
      </c>
      <c r="I5785" s="110" t="s">
        <v>32148</v>
      </c>
    </row>
    <row r="5786" spans="1:9" ht="25.2" x14ac:dyDescent="0.3">
      <c r="A5786" s="109" t="s">
        <v>32149</v>
      </c>
      <c r="B5786" s="109" t="s">
        <v>31480</v>
      </c>
      <c r="C5786" s="109" t="s">
        <v>31480</v>
      </c>
      <c r="D5786" s="109" t="s">
        <v>32150</v>
      </c>
      <c r="E5786" s="109" t="s">
        <v>32151</v>
      </c>
      <c r="F5786" s="109" t="s">
        <v>32152</v>
      </c>
      <c r="G5786" s="110" t="s">
        <v>6248</v>
      </c>
      <c r="H5786" s="110" t="s">
        <v>32153</v>
      </c>
      <c r="I5786" s="110" t="s">
        <v>32154</v>
      </c>
    </row>
    <row r="5787" spans="1:9" ht="25.2" x14ac:dyDescent="0.3">
      <c r="A5787" s="109" t="s">
        <v>32155</v>
      </c>
      <c r="B5787" s="109" t="s">
        <v>31480</v>
      </c>
      <c r="C5787" s="109" t="s">
        <v>31480</v>
      </c>
      <c r="D5787" s="109" t="s">
        <v>5569</v>
      </c>
      <c r="E5787" s="109" t="s">
        <v>5558</v>
      </c>
      <c r="F5787" s="109" t="s">
        <v>2258</v>
      </c>
      <c r="G5787" s="110" t="s">
        <v>6248</v>
      </c>
      <c r="H5787" s="110" t="s">
        <v>32156</v>
      </c>
      <c r="I5787" s="110" t="s">
        <v>32157</v>
      </c>
    </row>
    <row r="5788" spans="1:9" ht="63" x14ac:dyDescent="0.3">
      <c r="A5788" s="109" t="s">
        <v>32158</v>
      </c>
      <c r="B5788" s="109" t="s">
        <v>31480</v>
      </c>
      <c r="C5788" s="109" t="s">
        <v>31480</v>
      </c>
      <c r="D5788" s="109" t="s">
        <v>32159</v>
      </c>
      <c r="E5788" s="109" t="s">
        <v>32159</v>
      </c>
      <c r="F5788" s="109" t="s">
        <v>32160</v>
      </c>
      <c r="G5788" s="110" t="s">
        <v>6248</v>
      </c>
      <c r="H5788" s="110" t="s">
        <v>32161</v>
      </c>
      <c r="I5788" s="110" t="s">
        <v>32162</v>
      </c>
    </row>
    <row r="5789" spans="1:9" ht="25.2" x14ac:dyDescent="0.3">
      <c r="A5789" s="109" t="s">
        <v>32163</v>
      </c>
      <c r="B5789" s="109" t="s">
        <v>31480</v>
      </c>
      <c r="C5789" s="109" t="s">
        <v>31480</v>
      </c>
      <c r="D5789" s="109" t="s">
        <v>32164</v>
      </c>
      <c r="E5789" s="109" t="s">
        <v>5558</v>
      </c>
      <c r="F5789" s="109" t="s">
        <v>32165</v>
      </c>
      <c r="G5789" s="110" t="s">
        <v>6248</v>
      </c>
      <c r="H5789" s="110" t="s">
        <v>32166</v>
      </c>
      <c r="I5789" s="110" t="s">
        <v>32167</v>
      </c>
    </row>
    <row r="5790" spans="1:9" ht="25.2" x14ac:dyDescent="0.3">
      <c r="A5790" s="109" t="s">
        <v>32168</v>
      </c>
      <c r="B5790" s="109" t="s">
        <v>31480</v>
      </c>
      <c r="C5790" s="109" t="s">
        <v>31480</v>
      </c>
      <c r="D5790" s="109" t="s">
        <v>32169</v>
      </c>
      <c r="E5790" s="109" t="s">
        <v>5558</v>
      </c>
      <c r="F5790" s="109" t="s">
        <v>32170</v>
      </c>
      <c r="G5790" s="110" t="s">
        <v>6248</v>
      </c>
      <c r="H5790" s="110" t="s">
        <v>9431</v>
      </c>
      <c r="I5790" s="110" t="s">
        <v>32171</v>
      </c>
    </row>
    <row r="5791" spans="1:9" ht="25.2" x14ac:dyDescent="0.3">
      <c r="A5791" s="109" t="s">
        <v>32172</v>
      </c>
      <c r="B5791" s="109" t="s">
        <v>31480</v>
      </c>
      <c r="C5791" s="109" t="s">
        <v>31480</v>
      </c>
      <c r="D5791" s="109" t="s">
        <v>32173</v>
      </c>
      <c r="E5791" s="109" t="s">
        <v>5558</v>
      </c>
      <c r="F5791" s="109" t="s">
        <v>32174</v>
      </c>
      <c r="G5791" s="110" t="s">
        <v>6248</v>
      </c>
      <c r="H5791" s="110" t="s">
        <v>9261</v>
      </c>
      <c r="I5791" s="110" t="s">
        <v>32175</v>
      </c>
    </row>
    <row r="5792" spans="1:9" ht="25.2" x14ac:dyDescent="0.3">
      <c r="A5792" s="109" t="s">
        <v>32176</v>
      </c>
      <c r="B5792" s="109" t="s">
        <v>31480</v>
      </c>
      <c r="C5792" s="109" t="s">
        <v>31480</v>
      </c>
      <c r="D5792" s="109" t="s">
        <v>32177</v>
      </c>
      <c r="E5792" s="109" t="s">
        <v>5558</v>
      </c>
      <c r="F5792" s="109" t="s">
        <v>32178</v>
      </c>
      <c r="G5792" s="110" t="s">
        <v>6248</v>
      </c>
      <c r="H5792" s="110" t="s">
        <v>32179</v>
      </c>
      <c r="I5792" s="110" t="s">
        <v>32180</v>
      </c>
    </row>
    <row r="5793" spans="1:9" ht="25.2" x14ac:dyDescent="0.3">
      <c r="A5793" s="109" t="s">
        <v>32181</v>
      </c>
      <c r="B5793" s="109" t="s">
        <v>31480</v>
      </c>
      <c r="C5793" s="109" t="s">
        <v>31480</v>
      </c>
      <c r="D5793" s="109" t="s">
        <v>4962</v>
      </c>
      <c r="E5793" s="109" t="s">
        <v>32182</v>
      </c>
      <c r="F5793" s="109" t="s">
        <v>17150</v>
      </c>
      <c r="G5793" s="110" t="s">
        <v>6248</v>
      </c>
      <c r="H5793" s="110" t="s">
        <v>32183</v>
      </c>
      <c r="I5793" s="110" t="s">
        <v>32184</v>
      </c>
    </row>
    <row r="5794" spans="1:9" ht="25.2" x14ac:dyDescent="0.3">
      <c r="A5794" s="109" t="s">
        <v>32185</v>
      </c>
      <c r="B5794" s="109" t="s">
        <v>31480</v>
      </c>
      <c r="C5794" s="109" t="s">
        <v>31480</v>
      </c>
      <c r="D5794" s="109" t="s">
        <v>32186</v>
      </c>
      <c r="E5794" s="109" t="s">
        <v>5558</v>
      </c>
      <c r="F5794" s="109" t="s">
        <v>32187</v>
      </c>
      <c r="G5794" s="110" t="s">
        <v>6248</v>
      </c>
      <c r="H5794" s="110" t="s">
        <v>19402</v>
      </c>
      <c r="I5794" s="110" t="s">
        <v>32188</v>
      </c>
    </row>
    <row r="5795" spans="1:9" ht="25.2" x14ac:dyDescent="0.3">
      <c r="A5795" s="109" t="s">
        <v>32189</v>
      </c>
      <c r="B5795" s="109" t="s">
        <v>31480</v>
      </c>
      <c r="C5795" s="109" t="s">
        <v>31480</v>
      </c>
      <c r="D5795" s="109" t="s">
        <v>32190</v>
      </c>
      <c r="E5795" s="109" t="s">
        <v>5558</v>
      </c>
      <c r="F5795" s="109" t="s">
        <v>32191</v>
      </c>
      <c r="G5795" s="110" t="s">
        <v>6248</v>
      </c>
      <c r="H5795" s="110" t="s">
        <v>32192</v>
      </c>
      <c r="I5795" s="110" t="s">
        <v>32193</v>
      </c>
    </row>
    <row r="5796" spans="1:9" ht="37.799999999999997" x14ac:dyDescent="0.3">
      <c r="A5796" s="109" t="s">
        <v>32194</v>
      </c>
      <c r="B5796" s="109" t="s">
        <v>31480</v>
      </c>
      <c r="C5796" s="109" t="s">
        <v>31480</v>
      </c>
      <c r="D5796" s="109" t="s">
        <v>32195</v>
      </c>
      <c r="E5796" s="109" t="s">
        <v>5558</v>
      </c>
      <c r="F5796" s="109" t="s">
        <v>32196</v>
      </c>
      <c r="G5796" s="110" t="s">
        <v>6248</v>
      </c>
      <c r="H5796" s="110" t="s">
        <v>32197</v>
      </c>
      <c r="I5796" s="110" t="s">
        <v>32198</v>
      </c>
    </row>
    <row r="5797" spans="1:9" ht="25.2" x14ac:dyDescent="0.3">
      <c r="A5797" s="109" t="s">
        <v>32199</v>
      </c>
      <c r="B5797" s="109" t="s">
        <v>31480</v>
      </c>
      <c r="C5797" s="109" t="s">
        <v>31480</v>
      </c>
      <c r="D5797" s="109" t="s">
        <v>32200</v>
      </c>
      <c r="E5797" s="109" t="s">
        <v>32201</v>
      </c>
      <c r="F5797" s="109" t="s">
        <v>32202</v>
      </c>
      <c r="G5797" s="110" t="s">
        <v>32203</v>
      </c>
      <c r="H5797" s="110" t="s">
        <v>6248</v>
      </c>
      <c r="I5797" s="110" t="s">
        <v>32204</v>
      </c>
    </row>
    <row r="5798" spans="1:9" ht="25.2" x14ac:dyDescent="0.3">
      <c r="A5798" s="109" t="s">
        <v>32205</v>
      </c>
      <c r="B5798" s="109" t="s">
        <v>31480</v>
      </c>
      <c r="C5798" s="109" t="s">
        <v>31480</v>
      </c>
      <c r="D5798" s="109" t="s">
        <v>32206</v>
      </c>
      <c r="E5798" s="109" t="s">
        <v>32201</v>
      </c>
      <c r="F5798" s="109" t="s">
        <v>32207</v>
      </c>
      <c r="G5798" s="110" t="s">
        <v>7254</v>
      </c>
      <c r="H5798" s="110" t="s">
        <v>6248</v>
      </c>
      <c r="I5798" s="110" t="s">
        <v>32208</v>
      </c>
    </row>
    <row r="5799" spans="1:9" ht="37.799999999999997" x14ac:dyDescent="0.3">
      <c r="A5799" s="109" t="s">
        <v>32209</v>
      </c>
      <c r="B5799" s="109" t="s">
        <v>31480</v>
      </c>
      <c r="C5799" s="109" t="s">
        <v>31480</v>
      </c>
      <c r="D5799" s="109" t="s">
        <v>32210</v>
      </c>
      <c r="E5799" s="109" t="s">
        <v>5558</v>
      </c>
      <c r="F5799" s="109" t="s">
        <v>32211</v>
      </c>
      <c r="G5799" s="110" t="s">
        <v>6248</v>
      </c>
      <c r="H5799" s="110" t="s">
        <v>32212</v>
      </c>
      <c r="I5799" s="110" t="s">
        <v>32213</v>
      </c>
    </row>
    <row r="5800" spans="1:9" ht="25.2" x14ac:dyDescent="0.3">
      <c r="A5800" s="109" t="s">
        <v>32214</v>
      </c>
      <c r="B5800" s="109" t="s">
        <v>31480</v>
      </c>
      <c r="C5800" s="109" t="s">
        <v>31480</v>
      </c>
      <c r="D5800" s="109" t="s">
        <v>32215</v>
      </c>
      <c r="E5800" s="109" t="s">
        <v>5558</v>
      </c>
      <c r="F5800" s="109" t="s">
        <v>32216</v>
      </c>
      <c r="G5800" s="110" t="s">
        <v>6248</v>
      </c>
      <c r="H5800" s="110" t="s">
        <v>32217</v>
      </c>
      <c r="I5800" s="110" t="s">
        <v>32218</v>
      </c>
    </row>
    <row r="5801" spans="1:9" ht="25.2" x14ac:dyDescent="0.3">
      <c r="A5801" s="109" t="s">
        <v>32219</v>
      </c>
      <c r="B5801" s="109" t="s">
        <v>31480</v>
      </c>
      <c r="C5801" s="109" t="s">
        <v>31480</v>
      </c>
      <c r="D5801" s="109" t="s">
        <v>32220</v>
      </c>
      <c r="E5801" s="109" t="s">
        <v>5558</v>
      </c>
      <c r="F5801" s="109" t="s">
        <v>32221</v>
      </c>
      <c r="G5801" s="110" t="s">
        <v>6248</v>
      </c>
      <c r="H5801" s="110" t="s">
        <v>32222</v>
      </c>
      <c r="I5801" s="110" t="s">
        <v>32223</v>
      </c>
    </row>
    <row r="5802" spans="1:9" ht="37.799999999999997" x14ac:dyDescent="0.3">
      <c r="A5802" s="109" t="s">
        <v>32224</v>
      </c>
      <c r="B5802" s="109" t="s">
        <v>31480</v>
      </c>
      <c r="C5802" s="109" t="s">
        <v>31480</v>
      </c>
      <c r="D5802" s="109" t="s">
        <v>32225</v>
      </c>
      <c r="E5802" s="109" t="s">
        <v>5558</v>
      </c>
      <c r="F5802" s="109" t="s">
        <v>32226</v>
      </c>
      <c r="G5802" s="110" t="s">
        <v>6248</v>
      </c>
      <c r="H5802" s="110" t="s">
        <v>32227</v>
      </c>
      <c r="I5802" s="110" t="s">
        <v>32228</v>
      </c>
    </row>
    <row r="5803" spans="1:9" ht="50.4" x14ac:dyDescent="0.3">
      <c r="A5803" s="109" t="s">
        <v>32229</v>
      </c>
      <c r="B5803" s="109" t="s">
        <v>31480</v>
      </c>
      <c r="C5803" s="109" t="s">
        <v>31480</v>
      </c>
      <c r="D5803" s="109" t="s">
        <v>32230</v>
      </c>
      <c r="E5803" s="109" t="s">
        <v>32230</v>
      </c>
      <c r="F5803" s="109" t="s">
        <v>32231</v>
      </c>
      <c r="G5803" s="110" t="s">
        <v>6248</v>
      </c>
      <c r="H5803" s="110" t="s">
        <v>32232</v>
      </c>
      <c r="I5803" s="110" t="s">
        <v>32233</v>
      </c>
    </row>
    <row r="5804" spans="1:9" ht="63" x14ac:dyDescent="0.3">
      <c r="A5804" s="109" t="s">
        <v>32234</v>
      </c>
      <c r="B5804" s="109" t="s">
        <v>31480</v>
      </c>
      <c r="C5804" s="109" t="s">
        <v>31480</v>
      </c>
      <c r="D5804" s="109" t="s">
        <v>32235</v>
      </c>
      <c r="E5804" s="109" t="s">
        <v>32235</v>
      </c>
      <c r="F5804" s="109" t="s">
        <v>32236</v>
      </c>
      <c r="G5804" s="110" t="s">
        <v>6248</v>
      </c>
      <c r="H5804" s="110" t="s">
        <v>32237</v>
      </c>
      <c r="I5804" s="110" t="s">
        <v>32238</v>
      </c>
    </row>
    <row r="5805" spans="1:9" ht="63" x14ac:dyDescent="0.3">
      <c r="A5805" s="109" t="s">
        <v>32239</v>
      </c>
      <c r="B5805" s="109" t="s">
        <v>31480</v>
      </c>
      <c r="C5805" s="109" t="s">
        <v>31480</v>
      </c>
      <c r="D5805" s="109" t="s">
        <v>32240</v>
      </c>
      <c r="E5805" s="109" t="s">
        <v>32240</v>
      </c>
      <c r="F5805" s="109" t="s">
        <v>32241</v>
      </c>
      <c r="G5805" s="110" t="s">
        <v>6248</v>
      </c>
      <c r="H5805" s="110" t="s">
        <v>7349</v>
      </c>
      <c r="I5805" s="110" t="s">
        <v>32242</v>
      </c>
    </row>
    <row r="5806" spans="1:9" ht="63" x14ac:dyDescent="0.3">
      <c r="A5806" s="109" t="s">
        <v>32243</v>
      </c>
      <c r="B5806" s="109" t="s">
        <v>31480</v>
      </c>
      <c r="C5806" s="109" t="s">
        <v>31480</v>
      </c>
      <c r="D5806" s="109" t="s">
        <v>32244</v>
      </c>
      <c r="E5806" s="109" t="s">
        <v>32244</v>
      </c>
      <c r="F5806" s="109" t="s">
        <v>32245</v>
      </c>
      <c r="G5806" s="110" t="s">
        <v>6248</v>
      </c>
      <c r="H5806" s="110" t="s">
        <v>32246</v>
      </c>
      <c r="I5806" s="110" t="s">
        <v>32247</v>
      </c>
    </row>
    <row r="5807" spans="1:9" ht="37.799999999999997" x14ac:dyDescent="0.3">
      <c r="A5807" s="109" t="s">
        <v>32248</v>
      </c>
      <c r="B5807" s="109" t="s">
        <v>31480</v>
      </c>
      <c r="C5807" s="109" t="s">
        <v>31480</v>
      </c>
      <c r="D5807" s="109" t="s">
        <v>32249</v>
      </c>
      <c r="E5807" s="109" t="s">
        <v>5558</v>
      </c>
      <c r="F5807" s="109" t="s">
        <v>32250</v>
      </c>
      <c r="G5807" s="110" t="s">
        <v>6248</v>
      </c>
      <c r="H5807" s="110" t="s">
        <v>32251</v>
      </c>
      <c r="I5807" s="110" t="s">
        <v>32252</v>
      </c>
    </row>
    <row r="5808" spans="1:9" ht="37.799999999999997" x14ac:dyDescent="0.3">
      <c r="A5808" s="109" t="s">
        <v>32253</v>
      </c>
      <c r="B5808" s="109" t="s">
        <v>31480</v>
      </c>
      <c r="C5808" s="109" t="s">
        <v>31480</v>
      </c>
      <c r="D5808" s="109" t="s">
        <v>32254</v>
      </c>
      <c r="E5808" s="109" t="s">
        <v>5558</v>
      </c>
      <c r="F5808" s="109" t="s">
        <v>32255</v>
      </c>
      <c r="G5808" s="110" t="s">
        <v>6248</v>
      </c>
      <c r="H5808" s="110" t="s">
        <v>6660</v>
      </c>
      <c r="I5808" s="110" t="s">
        <v>32256</v>
      </c>
    </row>
    <row r="5809" spans="1:9" ht="25.2" x14ac:dyDescent="0.3">
      <c r="A5809" s="109" t="s">
        <v>32257</v>
      </c>
      <c r="B5809" s="109" t="s">
        <v>31480</v>
      </c>
      <c r="C5809" s="109" t="s">
        <v>31480</v>
      </c>
      <c r="D5809" s="109" t="s">
        <v>5569</v>
      </c>
      <c r="E5809" s="109" t="s">
        <v>5558</v>
      </c>
      <c r="F5809" s="109" t="s">
        <v>2258</v>
      </c>
      <c r="G5809" s="110" t="s">
        <v>6248</v>
      </c>
      <c r="H5809" s="110" t="s">
        <v>32258</v>
      </c>
      <c r="I5809" s="110" t="s">
        <v>32259</v>
      </c>
    </row>
    <row r="5810" spans="1:9" ht="25.2" x14ac:dyDescent="0.3">
      <c r="A5810" s="109" t="s">
        <v>32260</v>
      </c>
      <c r="B5810" s="109" t="s">
        <v>31480</v>
      </c>
      <c r="C5810" s="109" t="s">
        <v>31480</v>
      </c>
      <c r="D5810" s="109" t="s">
        <v>32261</v>
      </c>
      <c r="E5810" s="109" t="s">
        <v>32262</v>
      </c>
      <c r="F5810" s="109" t="s">
        <v>10251</v>
      </c>
      <c r="G5810" s="110" t="s">
        <v>6248</v>
      </c>
      <c r="H5810" s="110" t="s">
        <v>17808</v>
      </c>
      <c r="I5810" s="110" t="s">
        <v>32263</v>
      </c>
    </row>
    <row r="5811" spans="1:9" ht="25.2" x14ac:dyDescent="0.3">
      <c r="A5811" s="109" t="s">
        <v>32264</v>
      </c>
      <c r="B5811" s="109" t="s">
        <v>31480</v>
      </c>
      <c r="C5811" s="109" t="s">
        <v>31480</v>
      </c>
      <c r="D5811" s="109" t="s">
        <v>32265</v>
      </c>
      <c r="E5811" s="109" t="s">
        <v>32266</v>
      </c>
      <c r="F5811" s="109" t="s">
        <v>10289</v>
      </c>
      <c r="G5811" s="110" t="s">
        <v>6248</v>
      </c>
      <c r="H5811" s="110" t="s">
        <v>32267</v>
      </c>
      <c r="I5811" s="110" t="s">
        <v>32268</v>
      </c>
    </row>
    <row r="5812" spans="1:9" ht="37.799999999999997" x14ac:dyDescent="0.3">
      <c r="A5812" s="109" t="s">
        <v>32269</v>
      </c>
      <c r="B5812" s="109" t="s">
        <v>31480</v>
      </c>
      <c r="C5812" s="109" t="s">
        <v>31480</v>
      </c>
      <c r="D5812" s="109" t="s">
        <v>32270</v>
      </c>
      <c r="E5812" s="109" t="s">
        <v>5558</v>
      </c>
      <c r="F5812" s="109" t="s">
        <v>32271</v>
      </c>
      <c r="G5812" s="110" t="s">
        <v>6248</v>
      </c>
      <c r="H5812" s="110" t="s">
        <v>32272</v>
      </c>
      <c r="I5812" s="110" t="s">
        <v>32273</v>
      </c>
    </row>
    <row r="5813" spans="1:9" ht="25.2" x14ac:dyDescent="0.3">
      <c r="A5813" s="109" t="s">
        <v>32274</v>
      </c>
      <c r="B5813" s="109" t="s">
        <v>31480</v>
      </c>
      <c r="C5813" s="109" t="s">
        <v>31480</v>
      </c>
      <c r="D5813" s="109" t="s">
        <v>32275</v>
      </c>
      <c r="E5813" s="109" t="s">
        <v>5558</v>
      </c>
      <c r="F5813" s="109" t="s">
        <v>32276</v>
      </c>
      <c r="G5813" s="110" t="s">
        <v>6248</v>
      </c>
      <c r="H5813" s="110" t="s">
        <v>32277</v>
      </c>
      <c r="I5813" s="110" t="s">
        <v>32278</v>
      </c>
    </row>
    <row r="5814" spans="1:9" ht="37.799999999999997" x14ac:dyDescent="0.3">
      <c r="A5814" s="109" t="s">
        <v>32279</v>
      </c>
      <c r="B5814" s="109" t="s">
        <v>31480</v>
      </c>
      <c r="C5814" s="109" t="s">
        <v>31480</v>
      </c>
      <c r="D5814" s="109" t="s">
        <v>32280</v>
      </c>
      <c r="E5814" s="109" t="s">
        <v>5558</v>
      </c>
      <c r="F5814" s="109" t="s">
        <v>32281</v>
      </c>
      <c r="G5814" s="110" t="s">
        <v>6248</v>
      </c>
      <c r="H5814" s="110" t="s">
        <v>26484</v>
      </c>
      <c r="I5814" s="110" t="s">
        <v>32282</v>
      </c>
    </row>
    <row r="5815" spans="1:9" ht="37.799999999999997" x14ac:dyDescent="0.3">
      <c r="A5815" s="109" t="s">
        <v>32283</v>
      </c>
      <c r="B5815" s="109" t="s">
        <v>31480</v>
      </c>
      <c r="C5815" s="109" t="s">
        <v>31480</v>
      </c>
      <c r="D5815" s="109" t="s">
        <v>32284</v>
      </c>
      <c r="E5815" s="109" t="s">
        <v>5558</v>
      </c>
      <c r="F5815" s="109" t="s">
        <v>32285</v>
      </c>
      <c r="G5815" s="110" t="s">
        <v>6248</v>
      </c>
      <c r="H5815" s="110" t="s">
        <v>32286</v>
      </c>
      <c r="I5815" s="110" t="s">
        <v>32287</v>
      </c>
    </row>
    <row r="5816" spans="1:9" ht="25.2" x14ac:dyDescent="0.3">
      <c r="A5816" s="109" t="s">
        <v>32288</v>
      </c>
      <c r="B5816" s="109" t="s">
        <v>31480</v>
      </c>
      <c r="C5816" s="109" t="s">
        <v>31480</v>
      </c>
      <c r="D5816" s="109" t="s">
        <v>32289</v>
      </c>
      <c r="E5816" s="109" t="s">
        <v>5558</v>
      </c>
      <c r="F5816" s="109" t="s">
        <v>32290</v>
      </c>
      <c r="G5816" s="110" t="s">
        <v>6248</v>
      </c>
      <c r="H5816" s="110" t="s">
        <v>18113</v>
      </c>
      <c r="I5816" s="110" t="s">
        <v>32291</v>
      </c>
    </row>
    <row r="5817" spans="1:9" ht="37.799999999999997" x14ac:dyDescent="0.3">
      <c r="A5817" s="109" t="s">
        <v>32292</v>
      </c>
      <c r="B5817" s="109" t="s">
        <v>31480</v>
      </c>
      <c r="C5817" s="109" t="s">
        <v>31480</v>
      </c>
      <c r="D5817" s="109" t="s">
        <v>32293</v>
      </c>
      <c r="E5817" s="109" t="s">
        <v>5558</v>
      </c>
      <c r="F5817" s="109" t="s">
        <v>32294</v>
      </c>
      <c r="G5817" s="110" t="s">
        <v>6248</v>
      </c>
      <c r="H5817" s="110" t="s">
        <v>32295</v>
      </c>
      <c r="I5817" s="110" t="s">
        <v>32296</v>
      </c>
    </row>
    <row r="5818" spans="1:9" ht="25.2" x14ac:dyDescent="0.3">
      <c r="A5818" s="109" t="s">
        <v>32297</v>
      </c>
      <c r="B5818" s="109" t="s">
        <v>31480</v>
      </c>
      <c r="C5818" s="109" t="s">
        <v>31480</v>
      </c>
      <c r="D5818" s="109" t="s">
        <v>32298</v>
      </c>
      <c r="E5818" s="109" t="s">
        <v>5558</v>
      </c>
      <c r="F5818" s="109" t="s">
        <v>32299</v>
      </c>
      <c r="G5818" s="110" t="s">
        <v>6248</v>
      </c>
      <c r="H5818" s="110" t="s">
        <v>6883</v>
      </c>
      <c r="I5818" s="110" t="s">
        <v>32300</v>
      </c>
    </row>
    <row r="5819" spans="1:9" ht="25.2" x14ac:dyDescent="0.3">
      <c r="A5819" s="109" t="s">
        <v>32301</v>
      </c>
      <c r="B5819" s="109" t="s">
        <v>31480</v>
      </c>
      <c r="C5819" s="109" t="s">
        <v>31480</v>
      </c>
      <c r="D5819" s="109" t="s">
        <v>32302</v>
      </c>
      <c r="E5819" s="109" t="s">
        <v>5558</v>
      </c>
      <c r="F5819" s="109" t="s">
        <v>32303</v>
      </c>
      <c r="G5819" s="110" t="s">
        <v>6248</v>
      </c>
      <c r="H5819" s="110" t="s">
        <v>32304</v>
      </c>
      <c r="I5819" s="110" t="s">
        <v>32305</v>
      </c>
    </row>
    <row r="5820" spans="1:9" ht="25.2" x14ac:dyDescent="0.3">
      <c r="A5820" s="109" t="s">
        <v>32306</v>
      </c>
      <c r="B5820" s="109" t="s">
        <v>31480</v>
      </c>
      <c r="C5820" s="109" t="s">
        <v>31480</v>
      </c>
      <c r="D5820" s="109" t="s">
        <v>32307</v>
      </c>
      <c r="E5820" s="109" t="s">
        <v>5558</v>
      </c>
      <c r="F5820" s="109" t="s">
        <v>32308</v>
      </c>
      <c r="G5820" s="110" t="s">
        <v>6248</v>
      </c>
      <c r="H5820" s="110" t="s">
        <v>32309</v>
      </c>
      <c r="I5820" s="110" t="s">
        <v>32310</v>
      </c>
    </row>
    <row r="5821" spans="1:9" ht="25.2" x14ac:dyDescent="0.3">
      <c r="A5821" s="109" t="s">
        <v>32311</v>
      </c>
      <c r="B5821" s="109" t="s">
        <v>31480</v>
      </c>
      <c r="C5821" s="109" t="s">
        <v>31480</v>
      </c>
      <c r="D5821" s="109" t="s">
        <v>32312</v>
      </c>
      <c r="E5821" s="109" t="s">
        <v>5558</v>
      </c>
      <c r="F5821" s="109" t="s">
        <v>32313</v>
      </c>
      <c r="G5821" s="110" t="s">
        <v>6248</v>
      </c>
      <c r="H5821" s="110" t="s">
        <v>7480</v>
      </c>
      <c r="I5821" s="110" t="s">
        <v>32314</v>
      </c>
    </row>
    <row r="5822" spans="1:9" ht="25.2" x14ac:dyDescent="0.3">
      <c r="A5822" s="109" t="s">
        <v>32315</v>
      </c>
      <c r="B5822" s="109" t="s">
        <v>31480</v>
      </c>
      <c r="C5822" s="109" t="s">
        <v>31480</v>
      </c>
      <c r="D5822" s="109" t="s">
        <v>5569</v>
      </c>
      <c r="E5822" s="109" t="s">
        <v>5558</v>
      </c>
      <c r="F5822" s="109" t="s">
        <v>2258</v>
      </c>
      <c r="G5822" s="110" t="s">
        <v>6248</v>
      </c>
      <c r="H5822" s="110" t="s">
        <v>9261</v>
      </c>
      <c r="I5822" s="110" t="s">
        <v>32316</v>
      </c>
    </row>
    <row r="5823" spans="1:9" ht="25.2" x14ac:dyDescent="0.3">
      <c r="A5823" s="109" t="s">
        <v>32317</v>
      </c>
      <c r="B5823" s="109" t="s">
        <v>31480</v>
      </c>
      <c r="C5823" s="109" t="s">
        <v>31480</v>
      </c>
      <c r="D5823" s="109" t="s">
        <v>32318</v>
      </c>
      <c r="E5823" s="109" t="s">
        <v>32319</v>
      </c>
      <c r="F5823" s="109" t="s">
        <v>32320</v>
      </c>
      <c r="G5823" s="110" t="s">
        <v>6248</v>
      </c>
      <c r="H5823" s="110" t="s">
        <v>32321</v>
      </c>
      <c r="I5823" s="110" t="s">
        <v>32322</v>
      </c>
    </row>
    <row r="5824" spans="1:9" ht="37.799999999999997" x14ac:dyDescent="0.3">
      <c r="A5824" s="109" t="s">
        <v>32323</v>
      </c>
      <c r="B5824" s="109" t="s">
        <v>31480</v>
      </c>
      <c r="C5824" s="109" t="s">
        <v>31480</v>
      </c>
      <c r="D5824" s="109" t="s">
        <v>32324</v>
      </c>
      <c r="E5824" s="109" t="s">
        <v>5558</v>
      </c>
      <c r="F5824" s="109" t="s">
        <v>32325</v>
      </c>
      <c r="G5824" s="110" t="s">
        <v>6248</v>
      </c>
      <c r="H5824" s="110" t="s">
        <v>32326</v>
      </c>
      <c r="I5824" s="110" t="s">
        <v>32327</v>
      </c>
    </row>
    <row r="5825" spans="1:9" ht="25.2" x14ac:dyDescent="0.3">
      <c r="A5825" s="109" t="s">
        <v>32328</v>
      </c>
      <c r="B5825" s="109" t="s">
        <v>31480</v>
      </c>
      <c r="C5825" s="109" t="s">
        <v>31480</v>
      </c>
      <c r="D5825" s="109" t="s">
        <v>32329</v>
      </c>
      <c r="E5825" s="109" t="s">
        <v>32330</v>
      </c>
      <c r="F5825" s="109" t="s">
        <v>32331</v>
      </c>
      <c r="G5825" s="110" t="s">
        <v>6248</v>
      </c>
      <c r="H5825" s="110" t="s">
        <v>32332</v>
      </c>
      <c r="I5825" s="110" t="s">
        <v>32333</v>
      </c>
    </row>
    <row r="5826" spans="1:9" ht="50.4" x14ac:dyDescent="0.3">
      <c r="A5826" s="109" t="s">
        <v>32334</v>
      </c>
      <c r="B5826" s="109" t="s">
        <v>31480</v>
      </c>
      <c r="C5826" s="109" t="s">
        <v>31480</v>
      </c>
      <c r="D5826" s="109" t="s">
        <v>32335</v>
      </c>
      <c r="E5826" s="109" t="s">
        <v>32335</v>
      </c>
      <c r="F5826" s="109" t="s">
        <v>32336</v>
      </c>
      <c r="G5826" s="110" t="s">
        <v>6248</v>
      </c>
      <c r="H5826" s="110" t="s">
        <v>7817</v>
      </c>
      <c r="I5826" s="110" t="s">
        <v>32337</v>
      </c>
    </row>
    <row r="5827" spans="1:9" ht="50.4" x14ac:dyDescent="0.3">
      <c r="A5827" s="109" t="s">
        <v>32338</v>
      </c>
      <c r="B5827" s="109" t="s">
        <v>31480</v>
      </c>
      <c r="C5827" s="109" t="s">
        <v>31480</v>
      </c>
      <c r="D5827" s="109" t="s">
        <v>32339</v>
      </c>
      <c r="E5827" s="109" t="s">
        <v>32339</v>
      </c>
      <c r="F5827" s="109" t="s">
        <v>32340</v>
      </c>
      <c r="G5827" s="110" t="s">
        <v>6248</v>
      </c>
      <c r="H5827" s="110" t="s">
        <v>32341</v>
      </c>
      <c r="I5827" s="110" t="s">
        <v>32342</v>
      </c>
    </row>
    <row r="5828" spans="1:9" ht="50.4" x14ac:dyDescent="0.3">
      <c r="A5828" s="109" t="s">
        <v>32343</v>
      </c>
      <c r="B5828" s="109" t="s">
        <v>31480</v>
      </c>
      <c r="C5828" s="109" t="s">
        <v>31480</v>
      </c>
      <c r="D5828" s="109" t="s">
        <v>12579</v>
      </c>
      <c r="E5828" s="109" t="s">
        <v>12579</v>
      </c>
      <c r="F5828" s="109" t="s">
        <v>32344</v>
      </c>
      <c r="G5828" s="110" t="s">
        <v>6248</v>
      </c>
      <c r="H5828" s="110" t="s">
        <v>32345</v>
      </c>
      <c r="I5828" s="110" t="s">
        <v>32346</v>
      </c>
    </row>
    <row r="5829" spans="1:9" ht="37.799999999999997" x14ac:dyDescent="0.3">
      <c r="A5829" s="109" t="s">
        <v>32347</v>
      </c>
      <c r="B5829" s="109" t="s">
        <v>31480</v>
      </c>
      <c r="C5829" s="109" t="s">
        <v>31480</v>
      </c>
      <c r="D5829" s="109" t="s">
        <v>32348</v>
      </c>
      <c r="E5829" s="109" t="s">
        <v>5558</v>
      </c>
      <c r="F5829" s="109" t="s">
        <v>32349</v>
      </c>
      <c r="G5829" s="110" t="s">
        <v>6248</v>
      </c>
      <c r="H5829" s="110" t="s">
        <v>32350</v>
      </c>
      <c r="I5829" s="110" t="s">
        <v>32351</v>
      </c>
    </row>
    <row r="5830" spans="1:9" ht="50.4" x14ac:dyDescent="0.3">
      <c r="A5830" s="109" t="s">
        <v>32352</v>
      </c>
      <c r="B5830" s="109" t="s">
        <v>31480</v>
      </c>
      <c r="C5830" s="109" t="s">
        <v>31480</v>
      </c>
      <c r="D5830" s="109" t="s">
        <v>32353</v>
      </c>
      <c r="E5830" s="109" t="s">
        <v>32353</v>
      </c>
      <c r="F5830" s="109" t="s">
        <v>32354</v>
      </c>
      <c r="G5830" s="110" t="s">
        <v>6248</v>
      </c>
      <c r="H5830" s="110" t="s">
        <v>32355</v>
      </c>
      <c r="I5830" s="110" t="s">
        <v>32356</v>
      </c>
    </row>
    <row r="5831" spans="1:9" ht="50.4" x14ac:dyDescent="0.3">
      <c r="A5831" s="109" t="s">
        <v>32357</v>
      </c>
      <c r="B5831" s="109" t="s">
        <v>31480</v>
      </c>
      <c r="C5831" s="109" t="s">
        <v>31480</v>
      </c>
      <c r="D5831" s="109" t="s">
        <v>16786</v>
      </c>
      <c r="E5831" s="109" t="s">
        <v>16786</v>
      </c>
      <c r="F5831" s="109" t="s">
        <v>32358</v>
      </c>
      <c r="G5831" s="110" t="s">
        <v>6248</v>
      </c>
      <c r="H5831" s="110" t="s">
        <v>31103</v>
      </c>
      <c r="I5831" s="110" t="s">
        <v>32359</v>
      </c>
    </row>
    <row r="5832" spans="1:9" ht="50.4" x14ac:dyDescent="0.3">
      <c r="A5832" s="109" t="s">
        <v>32360</v>
      </c>
      <c r="B5832" s="109" t="s">
        <v>31480</v>
      </c>
      <c r="C5832" s="109" t="s">
        <v>31480</v>
      </c>
      <c r="D5832" s="109" t="s">
        <v>32361</v>
      </c>
      <c r="E5832" s="109" t="s">
        <v>32361</v>
      </c>
      <c r="F5832" s="109" t="s">
        <v>32362</v>
      </c>
      <c r="G5832" s="110" t="s">
        <v>6248</v>
      </c>
      <c r="H5832" s="110" t="s">
        <v>32363</v>
      </c>
      <c r="I5832" s="110" t="s">
        <v>32364</v>
      </c>
    </row>
    <row r="5833" spans="1:9" ht="50.4" x14ac:dyDescent="0.3">
      <c r="A5833" s="109" t="s">
        <v>32365</v>
      </c>
      <c r="B5833" s="109" t="s">
        <v>31480</v>
      </c>
      <c r="C5833" s="109" t="s">
        <v>31480</v>
      </c>
      <c r="D5833" s="109" t="s">
        <v>32366</v>
      </c>
      <c r="E5833" s="109" t="s">
        <v>32366</v>
      </c>
      <c r="F5833" s="109" t="s">
        <v>32367</v>
      </c>
      <c r="G5833" s="110" t="s">
        <v>6248</v>
      </c>
      <c r="H5833" s="110" t="s">
        <v>32368</v>
      </c>
      <c r="I5833" s="110" t="s">
        <v>32369</v>
      </c>
    </row>
    <row r="5834" spans="1:9" ht="50.4" x14ac:dyDescent="0.3">
      <c r="A5834" s="109" t="s">
        <v>32370</v>
      </c>
      <c r="B5834" s="109" t="s">
        <v>31480</v>
      </c>
      <c r="C5834" s="109" t="s">
        <v>31480</v>
      </c>
      <c r="D5834" s="109" t="s">
        <v>32371</v>
      </c>
      <c r="E5834" s="109" t="s">
        <v>32371</v>
      </c>
      <c r="F5834" s="109" t="s">
        <v>32372</v>
      </c>
      <c r="G5834" s="110" t="s">
        <v>6248</v>
      </c>
      <c r="H5834" s="110" t="s">
        <v>14318</v>
      </c>
      <c r="I5834" s="110" t="s">
        <v>32373</v>
      </c>
    </row>
    <row r="5835" spans="1:9" ht="25.2" x14ac:dyDescent="0.3">
      <c r="A5835" s="109" t="s">
        <v>32374</v>
      </c>
      <c r="B5835" s="109" t="s">
        <v>31480</v>
      </c>
      <c r="C5835" s="109" t="s">
        <v>31480</v>
      </c>
      <c r="D5835" s="109" t="s">
        <v>5569</v>
      </c>
      <c r="E5835" s="109" t="s">
        <v>5558</v>
      </c>
      <c r="F5835" s="109" t="s">
        <v>2258</v>
      </c>
      <c r="G5835" s="110" t="s">
        <v>6248</v>
      </c>
      <c r="H5835" s="110" t="s">
        <v>32375</v>
      </c>
      <c r="I5835" s="110" t="s">
        <v>32376</v>
      </c>
    </row>
    <row r="5836" spans="1:9" ht="25.2" x14ac:dyDescent="0.3">
      <c r="A5836" s="109" t="s">
        <v>32377</v>
      </c>
      <c r="B5836" s="109" t="s">
        <v>31480</v>
      </c>
      <c r="C5836" s="109" t="s">
        <v>31480</v>
      </c>
      <c r="D5836" s="109" t="s">
        <v>5569</v>
      </c>
      <c r="E5836" s="109" t="s">
        <v>5558</v>
      </c>
      <c r="F5836" s="109" t="s">
        <v>2258</v>
      </c>
      <c r="G5836" s="110" t="s">
        <v>6248</v>
      </c>
      <c r="H5836" s="110" t="s">
        <v>32378</v>
      </c>
      <c r="I5836" s="110" t="s">
        <v>32379</v>
      </c>
    </row>
    <row r="5837" spans="1:9" ht="25.2" x14ac:dyDescent="0.3">
      <c r="A5837" s="109" t="s">
        <v>32380</v>
      </c>
      <c r="B5837" s="109" t="s">
        <v>31480</v>
      </c>
      <c r="C5837" s="109" t="s">
        <v>31480</v>
      </c>
      <c r="D5837" s="109" t="s">
        <v>5569</v>
      </c>
      <c r="E5837" s="109" t="s">
        <v>5558</v>
      </c>
      <c r="F5837" s="109" t="s">
        <v>2258</v>
      </c>
      <c r="G5837" s="110" t="s">
        <v>6248</v>
      </c>
      <c r="H5837" s="110" t="s">
        <v>32381</v>
      </c>
      <c r="I5837" s="110" t="s">
        <v>32382</v>
      </c>
    </row>
    <row r="5838" spans="1:9" ht="50.4" x14ac:dyDescent="0.3">
      <c r="A5838" s="109" t="s">
        <v>32383</v>
      </c>
      <c r="B5838" s="109" t="s">
        <v>31480</v>
      </c>
      <c r="C5838" s="109" t="s">
        <v>31480</v>
      </c>
      <c r="D5838" s="109" t="s">
        <v>18413</v>
      </c>
      <c r="E5838" s="109" t="s">
        <v>18413</v>
      </c>
      <c r="F5838" s="109" t="s">
        <v>32384</v>
      </c>
      <c r="G5838" s="110" t="s">
        <v>6248</v>
      </c>
      <c r="H5838" s="110" t="s">
        <v>32385</v>
      </c>
      <c r="I5838" s="110" t="s">
        <v>32386</v>
      </c>
    </row>
    <row r="5839" spans="1:9" ht="50.4" x14ac:dyDescent="0.3">
      <c r="A5839" s="109" t="s">
        <v>32387</v>
      </c>
      <c r="B5839" s="109" t="s">
        <v>31480</v>
      </c>
      <c r="C5839" s="109" t="s">
        <v>31480</v>
      </c>
      <c r="D5839" s="109" t="s">
        <v>24870</v>
      </c>
      <c r="E5839" s="109" t="s">
        <v>24870</v>
      </c>
      <c r="F5839" s="109" t="s">
        <v>32388</v>
      </c>
      <c r="G5839" s="110" t="s">
        <v>6248</v>
      </c>
      <c r="H5839" s="110" t="s">
        <v>32389</v>
      </c>
      <c r="I5839" s="110" t="s">
        <v>32390</v>
      </c>
    </row>
    <row r="5840" spans="1:9" ht="50.4" x14ac:dyDescent="0.3">
      <c r="A5840" s="109" t="s">
        <v>32391</v>
      </c>
      <c r="B5840" s="109" t="s">
        <v>31480</v>
      </c>
      <c r="C5840" s="109" t="s">
        <v>31480</v>
      </c>
      <c r="D5840" s="109" t="s">
        <v>32392</v>
      </c>
      <c r="E5840" s="109" t="s">
        <v>32392</v>
      </c>
      <c r="F5840" s="109" t="s">
        <v>32393</v>
      </c>
      <c r="G5840" s="110" t="s">
        <v>6248</v>
      </c>
      <c r="H5840" s="110" t="s">
        <v>32394</v>
      </c>
      <c r="I5840" s="110" t="s">
        <v>32395</v>
      </c>
    </row>
    <row r="5841" spans="1:9" ht="50.4" x14ac:dyDescent="0.3">
      <c r="A5841" s="109" t="s">
        <v>32396</v>
      </c>
      <c r="B5841" s="109" t="s">
        <v>31480</v>
      </c>
      <c r="C5841" s="109" t="s">
        <v>31480</v>
      </c>
      <c r="D5841" s="109" t="s">
        <v>32397</v>
      </c>
      <c r="E5841" s="109" t="s">
        <v>32397</v>
      </c>
      <c r="F5841" s="109" t="s">
        <v>32398</v>
      </c>
      <c r="G5841" s="110" t="s">
        <v>6248</v>
      </c>
      <c r="H5841" s="110" t="s">
        <v>32399</v>
      </c>
      <c r="I5841" s="110" t="s">
        <v>32400</v>
      </c>
    </row>
    <row r="5842" spans="1:9" ht="37.799999999999997" x14ac:dyDescent="0.3">
      <c r="A5842" s="109" t="s">
        <v>32401</v>
      </c>
      <c r="B5842" s="109" t="s">
        <v>31480</v>
      </c>
      <c r="C5842" s="109" t="s">
        <v>31480</v>
      </c>
      <c r="D5842" s="109" t="s">
        <v>32402</v>
      </c>
      <c r="E5842" s="109" t="s">
        <v>32402</v>
      </c>
      <c r="F5842" s="109" t="s">
        <v>32403</v>
      </c>
      <c r="G5842" s="110" t="s">
        <v>6248</v>
      </c>
      <c r="H5842" s="110" t="s">
        <v>32404</v>
      </c>
      <c r="I5842" s="110" t="s">
        <v>32405</v>
      </c>
    </row>
    <row r="5843" spans="1:9" ht="50.4" x14ac:dyDescent="0.3">
      <c r="A5843" s="109" t="s">
        <v>32406</v>
      </c>
      <c r="B5843" s="109" t="s">
        <v>31480</v>
      </c>
      <c r="C5843" s="109" t="s">
        <v>31480</v>
      </c>
      <c r="D5843" s="109" t="s">
        <v>32407</v>
      </c>
      <c r="E5843" s="109" t="s">
        <v>32407</v>
      </c>
      <c r="F5843" s="109" t="s">
        <v>32408</v>
      </c>
      <c r="G5843" s="110" t="s">
        <v>6248</v>
      </c>
      <c r="H5843" s="110" t="s">
        <v>32409</v>
      </c>
      <c r="I5843" s="110" t="s">
        <v>32410</v>
      </c>
    </row>
    <row r="5844" spans="1:9" ht="50.4" x14ac:dyDescent="0.3">
      <c r="A5844" s="109" t="s">
        <v>32411</v>
      </c>
      <c r="B5844" s="109" t="s">
        <v>31480</v>
      </c>
      <c r="C5844" s="109" t="s">
        <v>31480</v>
      </c>
      <c r="D5844" s="109" t="s">
        <v>28175</v>
      </c>
      <c r="E5844" s="109" t="s">
        <v>28175</v>
      </c>
      <c r="F5844" s="109" t="s">
        <v>32412</v>
      </c>
      <c r="G5844" s="110" t="s">
        <v>6248</v>
      </c>
      <c r="H5844" s="110" t="s">
        <v>27388</v>
      </c>
      <c r="I5844" s="110" t="s">
        <v>32413</v>
      </c>
    </row>
    <row r="5845" spans="1:9" ht="50.4" x14ac:dyDescent="0.3">
      <c r="A5845" s="109" t="s">
        <v>32414</v>
      </c>
      <c r="B5845" s="109" t="s">
        <v>31480</v>
      </c>
      <c r="C5845" s="109" t="s">
        <v>31480</v>
      </c>
      <c r="D5845" s="109" t="s">
        <v>12448</v>
      </c>
      <c r="E5845" s="109" t="s">
        <v>12448</v>
      </c>
      <c r="F5845" s="109" t="s">
        <v>32415</v>
      </c>
      <c r="G5845" s="110" t="s">
        <v>6248</v>
      </c>
      <c r="H5845" s="110" t="s">
        <v>32416</v>
      </c>
      <c r="I5845" s="110" t="s">
        <v>32417</v>
      </c>
    </row>
    <row r="5846" spans="1:9" ht="50.4" x14ac:dyDescent="0.3">
      <c r="A5846" s="109" t="s">
        <v>32418</v>
      </c>
      <c r="B5846" s="109" t="s">
        <v>31480</v>
      </c>
      <c r="C5846" s="109" t="s">
        <v>31480</v>
      </c>
      <c r="D5846" s="109" t="s">
        <v>32419</v>
      </c>
      <c r="E5846" s="109" t="s">
        <v>32419</v>
      </c>
      <c r="F5846" s="109" t="s">
        <v>32420</v>
      </c>
      <c r="G5846" s="110" t="s">
        <v>6248</v>
      </c>
      <c r="H5846" s="110" t="s">
        <v>32421</v>
      </c>
      <c r="I5846" s="110" t="s">
        <v>32422</v>
      </c>
    </row>
    <row r="5847" spans="1:9" ht="37.799999999999997" x14ac:dyDescent="0.3">
      <c r="A5847" s="109" t="s">
        <v>32423</v>
      </c>
      <c r="B5847" s="109" t="s">
        <v>31480</v>
      </c>
      <c r="C5847" s="109" t="s">
        <v>31480</v>
      </c>
      <c r="D5847" s="109" t="s">
        <v>32424</v>
      </c>
      <c r="E5847" s="109" t="s">
        <v>32424</v>
      </c>
      <c r="F5847" s="109" t="s">
        <v>32425</v>
      </c>
      <c r="G5847" s="110" t="s">
        <v>6248</v>
      </c>
      <c r="H5847" s="110" t="s">
        <v>32426</v>
      </c>
      <c r="I5847" s="110" t="s">
        <v>32427</v>
      </c>
    </row>
    <row r="5848" spans="1:9" ht="50.4" x14ac:dyDescent="0.3">
      <c r="A5848" s="109" t="s">
        <v>32428</v>
      </c>
      <c r="B5848" s="109" t="s">
        <v>31480</v>
      </c>
      <c r="C5848" s="109" t="s">
        <v>31480</v>
      </c>
      <c r="D5848" s="109" t="s">
        <v>32429</v>
      </c>
      <c r="E5848" s="109" t="s">
        <v>32429</v>
      </c>
      <c r="F5848" s="109" t="s">
        <v>32430</v>
      </c>
      <c r="G5848" s="110" t="s">
        <v>6248</v>
      </c>
      <c r="H5848" s="110" t="s">
        <v>32431</v>
      </c>
      <c r="I5848" s="110" t="s">
        <v>32432</v>
      </c>
    </row>
    <row r="5849" spans="1:9" ht="63" x14ac:dyDescent="0.3">
      <c r="A5849" s="109" t="s">
        <v>32433</v>
      </c>
      <c r="B5849" s="109" t="s">
        <v>31480</v>
      </c>
      <c r="C5849" s="109" t="s">
        <v>31480</v>
      </c>
      <c r="D5849" s="109" t="s">
        <v>32434</v>
      </c>
      <c r="E5849" s="109" t="s">
        <v>32434</v>
      </c>
      <c r="F5849" s="109" t="s">
        <v>32435</v>
      </c>
      <c r="G5849" s="110" t="s">
        <v>6248</v>
      </c>
      <c r="H5849" s="110" t="s">
        <v>32436</v>
      </c>
      <c r="I5849" s="110" t="s">
        <v>32437</v>
      </c>
    </row>
    <row r="5850" spans="1:9" ht="50.4" x14ac:dyDescent="0.3">
      <c r="A5850" s="109" t="s">
        <v>32438</v>
      </c>
      <c r="B5850" s="109" t="s">
        <v>31480</v>
      </c>
      <c r="C5850" s="109" t="s">
        <v>31480</v>
      </c>
      <c r="D5850" s="109" t="s">
        <v>32439</v>
      </c>
      <c r="E5850" s="109" t="s">
        <v>32439</v>
      </c>
      <c r="F5850" s="109" t="s">
        <v>32440</v>
      </c>
      <c r="G5850" s="110" t="s">
        <v>6248</v>
      </c>
      <c r="H5850" s="110" t="s">
        <v>32441</v>
      </c>
      <c r="I5850" s="110" t="s">
        <v>32442</v>
      </c>
    </row>
    <row r="5851" spans="1:9" ht="50.4" x14ac:dyDescent="0.3">
      <c r="A5851" s="109" t="s">
        <v>32443</v>
      </c>
      <c r="B5851" s="109" t="s">
        <v>31480</v>
      </c>
      <c r="C5851" s="109" t="s">
        <v>31480</v>
      </c>
      <c r="D5851" s="109" t="s">
        <v>32444</v>
      </c>
      <c r="E5851" s="109" t="s">
        <v>32444</v>
      </c>
      <c r="F5851" s="109" t="s">
        <v>32445</v>
      </c>
      <c r="G5851" s="110" t="s">
        <v>6248</v>
      </c>
      <c r="H5851" s="110" t="s">
        <v>32446</v>
      </c>
      <c r="I5851" s="110" t="s">
        <v>32447</v>
      </c>
    </row>
    <row r="5852" spans="1:9" ht="50.4" x14ac:dyDescent="0.3">
      <c r="A5852" s="109" t="s">
        <v>32448</v>
      </c>
      <c r="B5852" s="109" t="s">
        <v>31480</v>
      </c>
      <c r="C5852" s="109" t="s">
        <v>31480</v>
      </c>
      <c r="D5852" s="109" t="s">
        <v>32449</v>
      </c>
      <c r="E5852" s="109" t="s">
        <v>32449</v>
      </c>
      <c r="F5852" s="109" t="s">
        <v>32450</v>
      </c>
      <c r="G5852" s="110" t="s">
        <v>6248</v>
      </c>
      <c r="H5852" s="110" t="s">
        <v>32451</v>
      </c>
      <c r="I5852" s="110" t="s">
        <v>32452</v>
      </c>
    </row>
    <row r="5853" spans="1:9" ht="50.4" x14ac:dyDescent="0.3">
      <c r="A5853" s="109" t="s">
        <v>32453</v>
      </c>
      <c r="B5853" s="109" t="s">
        <v>31480</v>
      </c>
      <c r="C5853" s="109" t="s">
        <v>31480</v>
      </c>
      <c r="D5853" s="109" t="s">
        <v>10686</v>
      </c>
      <c r="E5853" s="109" t="s">
        <v>10686</v>
      </c>
      <c r="F5853" s="109" t="s">
        <v>32454</v>
      </c>
      <c r="G5853" s="110" t="s">
        <v>6248</v>
      </c>
      <c r="H5853" s="110" t="s">
        <v>32455</v>
      </c>
      <c r="I5853" s="110" t="s">
        <v>32456</v>
      </c>
    </row>
    <row r="5854" spans="1:9" ht="50.4" x14ac:dyDescent="0.3">
      <c r="A5854" s="109" t="s">
        <v>32457</v>
      </c>
      <c r="B5854" s="109" t="s">
        <v>31480</v>
      </c>
      <c r="C5854" s="109" t="s">
        <v>31480</v>
      </c>
      <c r="D5854" s="109" t="s">
        <v>13664</v>
      </c>
      <c r="E5854" s="109" t="s">
        <v>13664</v>
      </c>
      <c r="F5854" s="109" t="s">
        <v>32458</v>
      </c>
      <c r="G5854" s="110" t="s">
        <v>6248</v>
      </c>
      <c r="H5854" s="110" t="s">
        <v>32459</v>
      </c>
      <c r="I5854" s="110" t="s">
        <v>32460</v>
      </c>
    </row>
    <row r="5855" spans="1:9" ht="63" x14ac:dyDescent="0.3">
      <c r="A5855" s="109" t="s">
        <v>32461</v>
      </c>
      <c r="B5855" s="109" t="s">
        <v>31480</v>
      </c>
      <c r="C5855" s="109" t="s">
        <v>31480</v>
      </c>
      <c r="D5855" s="109" t="s">
        <v>7651</v>
      </c>
      <c r="E5855" s="109" t="s">
        <v>7651</v>
      </c>
      <c r="F5855" s="109" t="s">
        <v>32462</v>
      </c>
      <c r="G5855" s="110" t="s">
        <v>6248</v>
      </c>
      <c r="H5855" s="110" t="s">
        <v>32463</v>
      </c>
      <c r="I5855" s="110" t="s">
        <v>32464</v>
      </c>
    </row>
    <row r="5856" spans="1:9" ht="50.4" x14ac:dyDescent="0.3">
      <c r="A5856" s="109" t="s">
        <v>32465</v>
      </c>
      <c r="B5856" s="109" t="s">
        <v>31480</v>
      </c>
      <c r="C5856" s="109" t="s">
        <v>31480</v>
      </c>
      <c r="D5856" s="109" t="s">
        <v>22718</v>
      </c>
      <c r="E5856" s="109" t="s">
        <v>22718</v>
      </c>
      <c r="F5856" s="109" t="s">
        <v>32466</v>
      </c>
      <c r="G5856" s="110" t="s">
        <v>6248</v>
      </c>
      <c r="H5856" s="110" t="s">
        <v>32467</v>
      </c>
      <c r="I5856" s="110" t="s">
        <v>32468</v>
      </c>
    </row>
    <row r="5857" spans="1:9" ht="37.799999999999997" x14ac:dyDescent="0.3">
      <c r="A5857" s="109" t="s">
        <v>32469</v>
      </c>
      <c r="B5857" s="109" t="s">
        <v>31480</v>
      </c>
      <c r="C5857" s="109" t="s">
        <v>31480</v>
      </c>
      <c r="D5857" s="109" t="s">
        <v>32470</v>
      </c>
      <c r="E5857" s="109" t="s">
        <v>32470</v>
      </c>
      <c r="F5857" s="109" t="s">
        <v>32471</v>
      </c>
      <c r="G5857" s="110" t="s">
        <v>6248</v>
      </c>
      <c r="H5857" s="110" t="s">
        <v>6883</v>
      </c>
      <c r="I5857" s="110" t="s">
        <v>32472</v>
      </c>
    </row>
    <row r="5858" spans="1:9" ht="50.4" x14ac:dyDescent="0.3">
      <c r="A5858" s="109" t="s">
        <v>32473</v>
      </c>
      <c r="B5858" s="109" t="s">
        <v>31480</v>
      </c>
      <c r="C5858" s="109" t="s">
        <v>31480</v>
      </c>
      <c r="D5858" s="109" t="s">
        <v>32474</v>
      </c>
      <c r="E5858" s="109" t="s">
        <v>32474</v>
      </c>
      <c r="F5858" s="109" t="s">
        <v>32475</v>
      </c>
      <c r="G5858" s="110" t="s">
        <v>6248</v>
      </c>
      <c r="H5858" s="110" t="s">
        <v>32476</v>
      </c>
      <c r="I5858" s="110" t="s">
        <v>32477</v>
      </c>
    </row>
    <row r="5859" spans="1:9" ht="50.4" x14ac:dyDescent="0.3">
      <c r="A5859" s="109" t="s">
        <v>32478</v>
      </c>
      <c r="B5859" s="109" t="s">
        <v>31480</v>
      </c>
      <c r="C5859" s="109" t="s">
        <v>31480</v>
      </c>
      <c r="D5859" s="109" t="s">
        <v>32479</v>
      </c>
      <c r="E5859" s="109" t="s">
        <v>32479</v>
      </c>
      <c r="F5859" s="109" t="s">
        <v>32480</v>
      </c>
      <c r="G5859" s="110" t="s">
        <v>6248</v>
      </c>
      <c r="H5859" s="110" t="s">
        <v>32481</v>
      </c>
      <c r="I5859" s="110" t="s">
        <v>32482</v>
      </c>
    </row>
    <row r="5860" spans="1:9" ht="25.2" x14ac:dyDescent="0.3">
      <c r="A5860" s="109" t="s">
        <v>32483</v>
      </c>
      <c r="B5860" s="109" t="s">
        <v>31480</v>
      </c>
      <c r="C5860" s="109" t="s">
        <v>31480</v>
      </c>
      <c r="D5860" s="109" t="s">
        <v>32484</v>
      </c>
      <c r="E5860" s="109" t="s">
        <v>32485</v>
      </c>
      <c r="F5860" s="109" t="s">
        <v>5824</v>
      </c>
      <c r="G5860" s="110" t="s">
        <v>6248</v>
      </c>
      <c r="H5860" s="110" t="s">
        <v>32486</v>
      </c>
      <c r="I5860" s="110" t="s">
        <v>32487</v>
      </c>
    </row>
    <row r="5861" spans="1:9" ht="50.4" x14ac:dyDescent="0.3">
      <c r="A5861" s="109" t="s">
        <v>32488</v>
      </c>
      <c r="B5861" s="109" t="s">
        <v>31480</v>
      </c>
      <c r="C5861" s="109" t="s">
        <v>31480</v>
      </c>
      <c r="D5861" s="109" t="s">
        <v>32489</v>
      </c>
      <c r="E5861" s="109" t="s">
        <v>32489</v>
      </c>
      <c r="F5861" s="109" t="s">
        <v>32490</v>
      </c>
      <c r="G5861" s="110" t="s">
        <v>6248</v>
      </c>
      <c r="H5861" s="110" t="s">
        <v>32491</v>
      </c>
      <c r="I5861" s="110" t="s">
        <v>32492</v>
      </c>
    </row>
    <row r="5862" spans="1:9" ht="50.4" x14ac:dyDescent="0.3">
      <c r="A5862" s="109" t="s">
        <v>32493</v>
      </c>
      <c r="B5862" s="109" t="s">
        <v>31480</v>
      </c>
      <c r="C5862" s="109" t="s">
        <v>31480</v>
      </c>
      <c r="D5862" s="109" t="s">
        <v>13502</v>
      </c>
      <c r="E5862" s="109" t="s">
        <v>13502</v>
      </c>
      <c r="F5862" s="109" t="s">
        <v>32494</v>
      </c>
      <c r="G5862" s="110" t="s">
        <v>6248</v>
      </c>
      <c r="H5862" s="110" t="s">
        <v>18336</v>
      </c>
      <c r="I5862" s="110" t="s">
        <v>32495</v>
      </c>
    </row>
    <row r="5863" spans="1:9" ht="50.4" x14ac:dyDescent="0.3">
      <c r="A5863" s="109" t="s">
        <v>32496</v>
      </c>
      <c r="B5863" s="109" t="s">
        <v>31480</v>
      </c>
      <c r="C5863" s="109" t="s">
        <v>31480</v>
      </c>
      <c r="D5863" s="109" t="s">
        <v>32497</v>
      </c>
      <c r="E5863" s="109" t="s">
        <v>32497</v>
      </c>
      <c r="F5863" s="109" t="s">
        <v>32498</v>
      </c>
      <c r="G5863" s="110" t="s">
        <v>6248</v>
      </c>
      <c r="H5863" s="110" t="s">
        <v>32499</v>
      </c>
      <c r="I5863" s="110" t="s">
        <v>32500</v>
      </c>
    </row>
    <row r="5864" spans="1:9" ht="50.4" x14ac:dyDescent="0.3">
      <c r="A5864" s="109" t="s">
        <v>32501</v>
      </c>
      <c r="B5864" s="109" t="s">
        <v>31480</v>
      </c>
      <c r="C5864" s="109" t="s">
        <v>31480</v>
      </c>
      <c r="D5864" s="109" t="s">
        <v>32502</v>
      </c>
      <c r="E5864" s="109" t="s">
        <v>32502</v>
      </c>
      <c r="F5864" s="109" t="s">
        <v>32503</v>
      </c>
      <c r="G5864" s="110" t="s">
        <v>6248</v>
      </c>
      <c r="H5864" s="110" t="s">
        <v>32504</v>
      </c>
      <c r="I5864" s="110" t="s">
        <v>32505</v>
      </c>
    </row>
    <row r="5865" spans="1:9" ht="50.4" x14ac:dyDescent="0.3">
      <c r="A5865" s="109" t="s">
        <v>32506</v>
      </c>
      <c r="B5865" s="109" t="s">
        <v>31480</v>
      </c>
      <c r="C5865" s="109" t="s">
        <v>31480</v>
      </c>
      <c r="D5865" s="109" t="s">
        <v>25778</v>
      </c>
      <c r="E5865" s="109" t="s">
        <v>25778</v>
      </c>
      <c r="F5865" s="109" t="s">
        <v>32507</v>
      </c>
      <c r="G5865" s="110" t="s">
        <v>6248</v>
      </c>
      <c r="H5865" s="110" t="s">
        <v>32508</v>
      </c>
      <c r="I5865" s="110" t="s">
        <v>32509</v>
      </c>
    </row>
    <row r="5866" spans="1:9" ht="50.4" x14ac:dyDescent="0.3">
      <c r="A5866" s="109" t="s">
        <v>32510</v>
      </c>
      <c r="B5866" s="109" t="s">
        <v>31480</v>
      </c>
      <c r="C5866" s="109" t="s">
        <v>31480</v>
      </c>
      <c r="D5866" s="109" t="s">
        <v>8457</v>
      </c>
      <c r="E5866" s="109" t="s">
        <v>8457</v>
      </c>
      <c r="F5866" s="109" t="s">
        <v>32511</v>
      </c>
      <c r="G5866" s="110" t="s">
        <v>6248</v>
      </c>
      <c r="H5866" s="110" t="s">
        <v>32512</v>
      </c>
      <c r="I5866" s="110" t="s">
        <v>32513</v>
      </c>
    </row>
    <row r="5867" spans="1:9" ht="25.2" x14ac:dyDescent="0.3">
      <c r="A5867" s="109" t="s">
        <v>32514</v>
      </c>
      <c r="B5867" s="109" t="s">
        <v>31480</v>
      </c>
      <c r="C5867" s="109" t="s">
        <v>31480</v>
      </c>
      <c r="D5867" s="109" t="s">
        <v>32515</v>
      </c>
      <c r="E5867" s="109" t="s">
        <v>5558</v>
      </c>
      <c r="F5867" s="109" t="s">
        <v>32516</v>
      </c>
      <c r="G5867" s="110" t="s">
        <v>6248</v>
      </c>
      <c r="H5867" s="110" t="s">
        <v>32517</v>
      </c>
      <c r="I5867" s="110" t="s">
        <v>32518</v>
      </c>
    </row>
    <row r="5868" spans="1:9" ht="50.4" x14ac:dyDescent="0.3">
      <c r="A5868" s="109" t="s">
        <v>32519</v>
      </c>
      <c r="B5868" s="109" t="s">
        <v>31480</v>
      </c>
      <c r="C5868" s="109" t="s">
        <v>31480</v>
      </c>
      <c r="D5868" s="109" t="s">
        <v>32520</v>
      </c>
      <c r="E5868" s="109" t="s">
        <v>32520</v>
      </c>
      <c r="F5868" s="109" t="s">
        <v>32521</v>
      </c>
      <c r="G5868" s="110" t="s">
        <v>6248</v>
      </c>
      <c r="H5868" s="110" t="s">
        <v>6883</v>
      </c>
      <c r="I5868" s="110" t="s">
        <v>32522</v>
      </c>
    </row>
    <row r="5869" spans="1:9" ht="50.4" x14ac:dyDescent="0.3">
      <c r="A5869" s="109" t="s">
        <v>32523</v>
      </c>
      <c r="B5869" s="109" t="s">
        <v>31480</v>
      </c>
      <c r="C5869" s="109" t="s">
        <v>31480</v>
      </c>
      <c r="D5869" s="109" t="s">
        <v>32524</v>
      </c>
      <c r="E5869" s="109" t="s">
        <v>32524</v>
      </c>
      <c r="F5869" s="109" t="s">
        <v>32525</v>
      </c>
      <c r="G5869" s="110" t="s">
        <v>6248</v>
      </c>
      <c r="H5869" s="110" t="s">
        <v>32526</v>
      </c>
      <c r="I5869" s="110" t="s">
        <v>32527</v>
      </c>
    </row>
    <row r="5870" spans="1:9" ht="50.4" x14ac:dyDescent="0.3">
      <c r="A5870" s="109" t="s">
        <v>32528</v>
      </c>
      <c r="B5870" s="109" t="s">
        <v>31480</v>
      </c>
      <c r="C5870" s="109" t="s">
        <v>31480</v>
      </c>
      <c r="D5870" s="109" t="s">
        <v>32529</v>
      </c>
      <c r="E5870" s="109" t="s">
        <v>32529</v>
      </c>
      <c r="F5870" s="109" t="s">
        <v>32530</v>
      </c>
      <c r="G5870" s="110" t="s">
        <v>6248</v>
      </c>
      <c r="H5870" s="110" t="s">
        <v>32531</v>
      </c>
      <c r="I5870" s="110" t="s">
        <v>32532</v>
      </c>
    </row>
    <row r="5871" spans="1:9" ht="63" x14ac:dyDescent="0.3">
      <c r="A5871" s="109" t="s">
        <v>32533</v>
      </c>
      <c r="B5871" s="109" t="s">
        <v>31480</v>
      </c>
      <c r="C5871" s="109" t="s">
        <v>31480</v>
      </c>
      <c r="D5871" s="109" t="s">
        <v>12517</v>
      </c>
      <c r="E5871" s="109" t="s">
        <v>12517</v>
      </c>
      <c r="F5871" s="109" t="s">
        <v>32534</v>
      </c>
      <c r="G5871" s="110" t="s">
        <v>6248</v>
      </c>
      <c r="H5871" s="110" t="s">
        <v>8331</v>
      </c>
      <c r="I5871" s="110" t="s">
        <v>32535</v>
      </c>
    </row>
    <row r="5872" spans="1:9" ht="37.799999999999997" x14ac:dyDescent="0.3">
      <c r="A5872" s="109" t="s">
        <v>32536</v>
      </c>
      <c r="B5872" s="109" t="s">
        <v>31480</v>
      </c>
      <c r="C5872" s="109" t="s">
        <v>31480</v>
      </c>
      <c r="D5872" s="109" t="s">
        <v>32537</v>
      </c>
      <c r="E5872" s="109" t="s">
        <v>5558</v>
      </c>
      <c r="F5872" s="109" t="s">
        <v>32538</v>
      </c>
      <c r="G5872" s="110" t="s">
        <v>6248</v>
      </c>
      <c r="H5872" s="110" t="s">
        <v>32539</v>
      </c>
      <c r="I5872" s="110" t="s">
        <v>32540</v>
      </c>
    </row>
    <row r="5873" spans="1:9" ht="50.4" x14ac:dyDescent="0.3">
      <c r="A5873" s="109" t="s">
        <v>32541</v>
      </c>
      <c r="B5873" s="109" t="s">
        <v>31480</v>
      </c>
      <c r="C5873" s="109" t="s">
        <v>31480</v>
      </c>
      <c r="D5873" s="109" t="s">
        <v>8345</v>
      </c>
      <c r="E5873" s="109" t="s">
        <v>8345</v>
      </c>
      <c r="F5873" s="109" t="s">
        <v>32542</v>
      </c>
      <c r="G5873" s="110" t="s">
        <v>6248</v>
      </c>
      <c r="H5873" s="110" t="s">
        <v>32543</v>
      </c>
      <c r="I5873" s="110" t="s">
        <v>32544</v>
      </c>
    </row>
    <row r="5874" spans="1:9" ht="50.4" x14ac:dyDescent="0.3">
      <c r="A5874" s="109" t="s">
        <v>32545</v>
      </c>
      <c r="B5874" s="109" t="s">
        <v>31480</v>
      </c>
      <c r="C5874" s="109" t="s">
        <v>31480</v>
      </c>
      <c r="D5874" s="109" t="s">
        <v>32546</v>
      </c>
      <c r="E5874" s="109" t="s">
        <v>32546</v>
      </c>
      <c r="F5874" s="109" t="s">
        <v>32547</v>
      </c>
      <c r="G5874" s="110" t="s">
        <v>6248</v>
      </c>
      <c r="H5874" s="110" t="s">
        <v>32548</v>
      </c>
      <c r="I5874" s="110" t="s">
        <v>32549</v>
      </c>
    </row>
    <row r="5875" spans="1:9" ht="50.4" x14ac:dyDescent="0.3">
      <c r="A5875" s="109" t="s">
        <v>32550</v>
      </c>
      <c r="B5875" s="109" t="s">
        <v>31480</v>
      </c>
      <c r="C5875" s="109" t="s">
        <v>31480</v>
      </c>
      <c r="D5875" s="109" t="s">
        <v>15372</v>
      </c>
      <c r="E5875" s="109" t="s">
        <v>15372</v>
      </c>
      <c r="F5875" s="109" t="s">
        <v>32551</v>
      </c>
      <c r="G5875" s="110" t="s">
        <v>6248</v>
      </c>
      <c r="H5875" s="110" t="s">
        <v>32552</v>
      </c>
      <c r="I5875" s="110" t="s">
        <v>32553</v>
      </c>
    </row>
    <row r="5876" spans="1:9" ht="50.4" x14ac:dyDescent="0.3">
      <c r="A5876" s="109" t="s">
        <v>32554</v>
      </c>
      <c r="B5876" s="109" t="s">
        <v>31480</v>
      </c>
      <c r="C5876" s="109" t="s">
        <v>31480</v>
      </c>
      <c r="D5876" s="109" t="s">
        <v>32555</v>
      </c>
      <c r="E5876" s="109" t="s">
        <v>32555</v>
      </c>
      <c r="F5876" s="109" t="s">
        <v>32556</v>
      </c>
      <c r="G5876" s="110" t="s">
        <v>6248</v>
      </c>
      <c r="H5876" s="110" t="s">
        <v>32557</v>
      </c>
      <c r="I5876" s="110" t="s">
        <v>32558</v>
      </c>
    </row>
    <row r="5877" spans="1:9" ht="50.4" x14ac:dyDescent="0.3">
      <c r="A5877" s="109" t="s">
        <v>32559</v>
      </c>
      <c r="B5877" s="109" t="s">
        <v>31480</v>
      </c>
      <c r="C5877" s="109" t="s">
        <v>31480</v>
      </c>
      <c r="D5877" s="109" t="s">
        <v>32560</v>
      </c>
      <c r="E5877" s="109" t="s">
        <v>32560</v>
      </c>
      <c r="F5877" s="109" t="s">
        <v>32561</v>
      </c>
      <c r="G5877" s="110" t="s">
        <v>6248</v>
      </c>
      <c r="H5877" s="110" t="s">
        <v>32562</v>
      </c>
      <c r="I5877" s="110" t="s">
        <v>32563</v>
      </c>
    </row>
    <row r="5878" spans="1:9" ht="50.4" x14ac:dyDescent="0.3">
      <c r="A5878" s="109" t="s">
        <v>32564</v>
      </c>
      <c r="B5878" s="109" t="s">
        <v>31480</v>
      </c>
      <c r="C5878" s="109" t="s">
        <v>31480</v>
      </c>
      <c r="D5878" s="109" t="s">
        <v>32565</v>
      </c>
      <c r="E5878" s="109" t="s">
        <v>32565</v>
      </c>
      <c r="F5878" s="109" t="s">
        <v>32566</v>
      </c>
      <c r="G5878" s="110" t="s">
        <v>6248</v>
      </c>
      <c r="H5878" s="110" t="s">
        <v>8047</v>
      </c>
      <c r="I5878" s="110" t="s">
        <v>32567</v>
      </c>
    </row>
    <row r="5879" spans="1:9" ht="37.799999999999997" x14ac:dyDescent="0.3">
      <c r="A5879" s="109" t="s">
        <v>32568</v>
      </c>
      <c r="B5879" s="109" t="s">
        <v>31480</v>
      </c>
      <c r="C5879" s="109" t="s">
        <v>31480</v>
      </c>
      <c r="D5879" s="109" t="s">
        <v>32569</v>
      </c>
      <c r="E5879" s="109" t="s">
        <v>32569</v>
      </c>
      <c r="F5879" s="109" t="s">
        <v>32570</v>
      </c>
      <c r="G5879" s="110" t="s">
        <v>6248</v>
      </c>
      <c r="H5879" s="110" t="s">
        <v>32571</v>
      </c>
      <c r="I5879" s="110" t="s">
        <v>32572</v>
      </c>
    </row>
    <row r="5880" spans="1:9" ht="50.4" x14ac:dyDescent="0.3">
      <c r="A5880" s="109" t="s">
        <v>32573</v>
      </c>
      <c r="B5880" s="109" t="s">
        <v>31480</v>
      </c>
      <c r="C5880" s="109" t="s">
        <v>31480</v>
      </c>
      <c r="D5880" s="109" t="s">
        <v>10003</v>
      </c>
      <c r="E5880" s="109" t="s">
        <v>10003</v>
      </c>
      <c r="F5880" s="109" t="s">
        <v>32574</v>
      </c>
      <c r="G5880" s="110" t="s">
        <v>6248</v>
      </c>
      <c r="H5880" s="110" t="s">
        <v>32575</v>
      </c>
      <c r="I5880" s="110" t="s">
        <v>32576</v>
      </c>
    </row>
    <row r="5881" spans="1:9" ht="50.4" x14ac:dyDescent="0.3">
      <c r="A5881" s="109" t="s">
        <v>32577</v>
      </c>
      <c r="B5881" s="109" t="s">
        <v>31480</v>
      </c>
      <c r="C5881" s="109" t="s">
        <v>31480</v>
      </c>
      <c r="D5881" s="109" t="s">
        <v>32578</v>
      </c>
      <c r="E5881" s="109" t="s">
        <v>32578</v>
      </c>
      <c r="F5881" s="109" t="s">
        <v>32579</v>
      </c>
      <c r="G5881" s="110" t="s">
        <v>6248</v>
      </c>
      <c r="H5881" s="110" t="s">
        <v>32580</v>
      </c>
      <c r="I5881" s="110" t="s">
        <v>32581</v>
      </c>
    </row>
    <row r="5882" spans="1:9" ht="50.4" x14ac:dyDescent="0.3">
      <c r="A5882" s="109" t="s">
        <v>32582</v>
      </c>
      <c r="B5882" s="109" t="s">
        <v>31480</v>
      </c>
      <c r="C5882" s="109" t="s">
        <v>31480</v>
      </c>
      <c r="D5882" s="109" t="s">
        <v>21761</v>
      </c>
      <c r="E5882" s="109" t="s">
        <v>21761</v>
      </c>
      <c r="F5882" s="109" t="s">
        <v>32583</v>
      </c>
      <c r="G5882" s="110" t="s">
        <v>6248</v>
      </c>
      <c r="H5882" s="110" t="s">
        <v>32584</v>
      </c>
      <c r="I5882" s="110" t="s">
        <v>32585</v>
      </c>
    </row>
    <row r="5883" spans="1:9" ht="63" x14ac:dyDescent="0.3">
      <c r="A5883" s="109" t="s">
        <v>32586</v>
      </c>
      <c r="B5883" s="109" t="s">
        <v>31480</v>
      </c>
      <c r="C5883" s="109" t="s">
        <v>31480</v>
      </c>
      <c r="D5883" s="109" t="s">
        <v>32587</v>
      </c>
      <c r="E5883" s="109" t="s">
        <v>32587</v>
      </c>
      <c r="F5883" s="109" t="s">
        <v>32588</v>
      </c>
      <c r="G5883" s="110" t="s">
        <v>6248</v>
      </c>
      <c r="H5883" s="110" t="s">
        <v>32589</v>
      </c>
      <c r="I5883" s="110" t="s">
        <v>32590</v>
      </c>
    </row>
    <row r="5884" spans="1:9" ht="50.4" x14ac:dyDescent="0.3">
      <c r="A5884" s="109" t="s">
        <v>32591</v>
      </c>
      <c r="B5884" s="109" t="s">
        <v>31480</v>
      </c>
      <c r="C5884" s="109" t="s">
        <v>31480</v>
      </c>
      <c r="D5884" s="109" t="s">
        <v>31235</v>
      </c>
      <c r="E5884" s="109" t="s">
        <v>31235</v>
      </c>
      <c r="F5884" s="109" t="s">
        <v>32592</v>
      </c>
      <c r="G5884" s="110" t="s">
        <v>6248</v>
      </c>
      <c r="H5884" s="110" t="s">
        <v>8984</v>
      </c>
      <c r="I5884" s="110" t="s">
        <v>32593</v>
      </c>
    </row>
    <row r="5885" spans="1:9" ht="50.4" x14ac:dyDescent="0.3">
      <c r="A5885" s="109" t="s">
        <v>32594</v>
      </c>
      <c r="B5885" s="109" t="s">
        <v>31480</v>
      </c>
      <c r="C5885" s="109" t="s">
        <v>31480</v>
      </c>
      <c r="D5885" s="109" t="s">
        <v>32595</v>
      </c>
      <c r="E5885" s="109" t="s">
        <v>32595</v>
      </c>
      <c r="F5885" s="109" t="s">
        <v>32596</v>
      </c>
      <c r="G5885" s="110" t="s">
        <v>6248</v>
      </c>
      <c r="H5885" s="110" t="s">
        <v>32597</v>
      </c>
      <c r="I5885" s="110" t="s">
        <v>32598</v>
      </c>
    </row>
    <row r="5886" spans="1:9" ht="50.4" x14ac:dyDescent="0.3">
      <c r="A5886" s="109" t="s">
        <v>32599</v>
      </c>
      <c r="B5886" s="109" t="s">
        <v>31480</v>
      </c>
      <c r="C5886" s="109" t="s">
        <v>31480</v>
      </c>
      <c r="D5886" s="109" t="s">
        <v>32600</v>
      </c>
      <c r="E5886" s="109" t="s">
        <v>32600</v>
      </c>
      <c r="F5886" s="109" t="s">
        <v>32601</v>
      </c>
      <c r="G5886" s="110" t="s">
        <v>6248</v>
      </c>
      <c r="H5886" s="110" t="s">
        <v>32602</v>
      </c>
      <c r="I5886" s="110" t="s">
        <v>32603</v>
      </c>
    </row>
    <row r="5887" spans="1:9" ht="50.4" x14ac:dyDescent="0.3">
      <c r="A5887" s="109" t="s">
        <v>32604</v>
      </c>
      <c r="B5887" s="109" t="s">
        <v>31480</v>
      </c>
      <c r="C5887" s="109" t="s">
        <v>31480</v>
      </c>
      <c r="D5887" s="109" t="s">
        <v>32605</v>
      </c>
      <c r="E5887" s="109" t="s">
        <v>32605</v>
      </c>
      <c r="F5887" s="109" t="s">
        <v>32606</v>
      </c>
      <c r="G5887" s="110" t="s">
        <v>6248</v>
      </c>
      <c r="H5887" s="110" t="s">
        <v>32607</v>
      </c>
      <c r="I5887" s="110" t="s">
        <v>32608</v>
      </c>
    </row>
    <row r="5888" spans="1:9" ht="50.4" x14ac:dyDescent="0.3">
      <c r="A5888" s="109" t="s">
        <v>32609</v>
      </c>
      <c r="B5888" s="109" t="s">
        <v>31480</v>
      </c>
      <c r="C5888" s="109" t="s">
        <v>31480</v>
      </c>
      <c r="D5888" s="109" t="s">
        <v>32610</v>
      </c>
      <c r="E5888" s="109" t="s">
        <v>32610</v>
      </c>
      <c r="F5888" s="109" t="s">
        <v>32611</v>
      </c>
      <c r="G5888" s="110" t="s">
        <v>6248</v>
      </c>
      <c r="H5888" s="110" t="s">
        <v>32612</v>
      </c>
      <c r="I5888" s="110" t="s">
        <v>32613</v>
      </c>
    </row>
    <row r="5889" spans="1:9" ht="50.4" x14ac:dyDescent="0.3">
      <c r="A5889" s="109" t="s">
        <v>32614</v>
      </c>
      <c r="B5889" s="109" t="s">
        <v>31480</v>
      </c>
      <c r="C5889" s="109" t="s">
        <v>31480</v>
      </c>
      <c r="D5889" s="109" t="s">
        <v>11908</v>
      </c>
      <c r="E5889" s="109" t="s">
        <v>11908</v>
      </c>
      <c r="F5889" s="109" t="s">
        <v>32615</v>
      </c>
      <c r="G5889" s="110" t="s">
        <v>6248</v>
      </c>
      <c r="H5889" s="110" t="s">
        <v>32616</v>
      </c>
      <c r="I5889" s="110" t="s">
        <v>32617</v>
      </c>
    </row>
    <row r="5890" spans="1:9" ht="50.4" x14ac:dyDescent="0.3">
      <c r="A5890" s="109" t="s">
        <v>32618</v>
      </c>
      <c r="B5890" s="109" t="s">
        <v>31480</v>
      </c>
      <c r="C5890" s="109" t="s">
        <v>31480</v>
      </c>
      <c r="D5890" s="109" t="s">
        <v>32619</v>
      </c>
      <c r="E5890" s="109" t="s">
        <v>32619</v>
      </c>
      <c r="F5890" s="109" t="s">
        <v>32620</v>
      </c>
      <c r="G5890" s="110" t="s">
        <v>6248</v>
      </c>
      <c r="H5890" s="110" t="s">
        <v>7817</v>
      </c>
      <c r="I5890" s="110" t="s">
        <v>32621</v>
      </c>
    </row>
    <row r="5891" spans="1:9" ht="50.4" x14ac:dyDescent="0.3">
      <c r="A5891" s="109" t="s">
        <v>32622</v>
      </c>
      <c r="B5891" s="109" t="s">
        <v>31480</v>
      </c>
      <c r="C5891" s="109" t="s">
        <v>31480</v>
      </c>
      <c r="D5891" s="109" t="s">
        <v>32623</v>
      </c>
      <c r="E5891" s="109" t="s">
        <v>32623</v>
      </c>
      <c r="F5891" s="109" t="s">
        <v>32624</v>
      </c>
      <c r="G5891" s="110" t="s">
        <v>6248</v>
      </c>
      <c r="H5891" s="110" t="s">
        <v>7817</v>
      </c>
      <c r="I5891" s="110" t="s">
        <v>32625</v>
      </c>
    </row>
    <row r="5892" spans="1:9" ht="50.4" x14ac:dyDescent="0.3">
      <c r="A5892" s="109" t="s">
        <v>32626</v>
      </c>
      <c r="B5892" s="109" t="s">
        <v>31480</v>
      </c>
      <c r="C5892" s="109" t="s">
        <v>31480</v>
      </c>
      <c r="D5892" s="109" t="s">
        <v>32627</v>
      </c>
      <c r="E5892" s="109" t="s">
        <v>32627</v>
      </c>
      <c r="F5892" s="109" t="s">
        <v>32628</v>
      </c>
      <c r="G5892" s="110" t="s">
        <v>6248</v>
      </c>
      <c r="H5892" s="110" t="s">
        <v>32629</v>
      </c>
      <c r="I5892" s="110" t="s">
        <v>32630</v>
      </c>
    </row>
    <row r="5893" spans="1:9" ht="50.4" x14ac:dyDescent="0.3">
      <c r="A5893" s="109" t="s">
        <v>32631</v>
      </c>
      <c r="B5893" s="109" t="s">
        <v>31480</v>
      </c>
      <c r="C5893" s="109" t="s">
        <v>31480</v>
      </c>
      <c r="D5893" s="109" t="s">
        <v>32632</v>
      </c>
      <c r="E5893" s="109" t="s">
        <v>32632</v>
      </c>
      <c r="F5893" s="109" t="s">
        <v>32633</v>
      </c>
      <c r="G5893" s="110" t="s">
        <v>6248</v>
      </c>
      <c r="H5893" s="110" t="s">
        <v>32634</v>
      </c>
      <c r="I5893" s="110" t="s">
        <v>32635</v>
      </c>
    </row>
    <row r="5894" spans="1:9" ht="50.4" x14ac:dyDescent="0.3">
      <c r="A5894" s="109" t="s">
        <v>32636</v>
      </c>
      <c r="B5894" s="109" t="s">
        <v>31480</v>
      </c>
      <c r="C5894" s="109" t="s">
        <v>31480</v>
      </c>
      <c r="D5894" s="109" t="s">
        <v>5999</v>
      </c>
      <c r="E5894" s="109" t="s">
        <v>5999</v>
      </c>
      <c r="F5894" s="109" t="s">
        <v>32637</v>
      </c>
      <c r="G5894" s="110" t="s">
        <v>6248</v>
      </c>
      <c r="H5894" s="110" t="s">
        <v>32638</v>
      </c>
      <c r="I5894" s="110" t="s">
        <v>32639</v>
      </c>
    </row>
    <row r="5895" spans="1:9" ht="50.4" x14ac:dyDescent="0.3">
      <c r="A5895" s="109" t="s">
        <v>32640</v>
      </c>
      <c r="B5895" s="109" t="s">
        <v>31480</v>
      </c>
      <c r="C5895" s="109" t="s">
        <v>31480</v>
      </c>
      <c r="D5895" s="109" t="s">
        <v>32641</v>
      </c>
      <c r="E5895" s="109" t="s">
        <v>32641</v>
      </c>
      <c r="F5895" s="109" t="s">
        <v>32642</v>
      </c>
      <c r="G5895" s="110" t="s">
        <v>6248</v>
      </c>
      <c r="H5895" s="110" t="s">
        <v>32643</v>
      </c>
      <c r="I5895" s="110" t="s">
        <v>32644</v>
      </c>
    </row>
    <row r="5896" spans="1:9" ht="37.799999999999997" x14ac:dyDescent="0.3">
      <c r="A5896" s="109" t="s">
        <v>32645</v>
      </c>
      <c r="B5896" s="109" t="s">
        <v>31480</v>
      </c>
      <c r="C5896" s="109" t="s">
        <v>31480</v>
      </c>
      <c r="D5896" s="109" t="s">
        <v>32646</v>
      </c>
      <c r="E5896" s="109" t="s">
        <v>32646</v>
      </c>
      <c r="F5896" s="109" t="s">
        <v>32647</v>
      </c>
      <c r="G5896" s="110" t="s">
        <v>6248</v>
      </c>
      <c r="H5896" s="110" t="s">
        <v>32648</v>
      </c>
      <c r="I5896" s="110" t="s">
        <v>32649</v>
      </c>
    </row>
    <row r="5897" spans="1:9" ht="50.4" x14ac:dyDescent="0.3">
      <c r="A5897" s="109" t="s">
        <v>32650</v>
      </c>
      <c r="B5897" s="109" t="s">
        <v>31480</v>
      </c>
      <c r="C5897" s="109" t="s">
        <v>31480</v>
      </c>
      <c r="D5897" s="109" t="s">
        <v>32651</v>
      </c>
      <c r="E5897" s="109" t="s">
        <v>32651</v>
      </c>
      <c r="F5897" s="109" t="s">
        <v>32652</v>
      </c>
      <c r="G5897" s="110" t="s">
        <v>6248</v>
      </c>
      <c r="H5897" s="110" t="s">
        <v>32653</v>
      </c>
      <c r="I5897" s="110" t="s">
        <v>32654</v>
      </c>
    </row>
    <row r="5898" spans="1:9" ht="50.4" x14ac:dyDescent="0.3">
      <c r="A5898" s="109" t="s">
        <v>32655</v>
      </c>
      <c r="B5898" s="109" t="s">
        <v>31480</v>
      </c>
      <c r="C5898" s="109" t="s">
        <v>31480</v>
      </c>
      <c r="D5898" s="109" t="s">
        <v>32656</v>
      </c>
      <c r="E5898" s="109" t="s">
        <v>32656</v>
      </c>
      <c r="F5898" s="109" t="s">
        <v>32657</v>
      </c>
      <c r="G5898" s="110" t="s">
        <v>6248</v>
      </c>
      <c r="H5898" s="110" t="s">
        <v>7817</v>
      </c>
      <c r="I5898" s="110" t="s">
        <v>32658</v>
      </c>
    </row>
    <row r="5899" spans="1:9" ht="50.4" x14ac:dyDescent="0.3">
      <c r="A5899" s="109" t="s">
        <v>32659</v>
      </c>
      <c r="B5899" s="109" t="s">
        <v>31480</v>
      </c>
      <c r="C5899" s="109" t="s">
        <v>31480</v>
      </c>
      <c r="D5899" s="109" t="s">
        <v>32660</v>
      </c>
      <c r="E5899" s="109" t="s">
        <v>32660</v>
      </c>
      <c r="F5899" s="109" t="s">
        <v>32661</v>
      </c>
      <c r="G5899" s="110" t="s">
        <v>6248</v>
      </c>
      <c r="H5899" s="110" t="s">
        <v>26425</v>
      </c>
      <c r="I5899" s="110" t="s">
        <v>32662</v>
      </c>
    </row>
    <row r="5900" spans="1:9" ht="50.4" x14ac:dyDescent="0.3">
      <c r="A5900" s="109" t="s">
        <v>32663</v>
      </c>
      <c r="B5900" s="109" t="s">
        <v>31480</v>
      </c>
      <c r="C5900" s="109" t="s">
        <v>31480</v>
      </c>
      <c r="D5900" s="109" t="s">
        <v>32664</v>
      </c>
      <c r="E5900" s="109" t="s">
        <v>32664</v>
      </c>
      <c r="F5900" s="109" t="s">
        <v>32665</v>
      </c>
      <c r="G5900" s="110" t="s">
        <v>6248</v>
      </c>
      <c r="H5900" s="110" t="s">
        <v>32666</v>
      </c>
      <c r="I5900" s="110" t="s">
        <v>32667</v>
      </c>
    </row>
    <row r="5901" spans="1:9" ht="50.4" x14ac:dyDescent="0.3">
      <c r="A5901" s="109" t="s">
        <v>32668</v>
      </c>
      <c r="B5901" s="109" t="s">
        <v>31480</v>
      </c>
      <c r="C5901" s="109" t="s">
        <v>31480</v>
      </c>
      <c r="D5901" s="109" t="s">
        <v>32669</v>
      </c>
      <c r="E5901" s="109" t="s">
        <v>32669</v>
      </c>
      <c r="F5901" s="109" t="s">
        <v>32670</v>
      </c>
      <c r="G5901" s="110" t="s">
        <v>6248</v>
      </c>
      <c r="H5901" s="110" t="s">
        <v>32671</v>
      </c>
      <c r="I5901" s="110" t="s">
        <v>32672</v>
      </c>
    </row>
    <row r="5902" spans="1:9" ht="50.4" x14ac:dyDescent="0.3">
      <c r="A5902" s="109" t="s">
        <v>32673</v>
      </c>
      <c r="B5902" s="109" t="s">
        <v>31480</v>
      </c>
      <c r="C5902" s="109" t="s">
        <v>31480</v>
      </c>
      <c r="D5902" s="109" t="s">
        <v>32674</v>
      </c>
      <c r="E5902" s="109" t="s">
        <v>32674</v>
      </c>
      <c r="F5902" s="109" t="s">
        <v>32675</v>
      </c>
      <c r="G5902" s="110" t="s">
        <v>6248</v>
      </c>
      <c r="H5902" s="110" t="s">
        <v>32676</v>
      </c>
      <c r="I5902" s="110" t="s">
        <v>32677</v>
      </c>
    </row>
    <row r="5903" spans="1:9" ht="37.799999999999997" x14ac:dyDescent="0.3">
      <c r="A5903" s="109" t="s">
        <v>32678</v>
      </c>
      <c r="B5903" s="109" t="s">
        <v>31480</v>
      </c>
      <c r="C5903" s="109" t="s">
        <v>31480</v>
      </c>
      <c r="D5903" s="109" t="s">
        <v>32679</v>
      </c>
      <c r="E5903" s="109" t="s">
        <v>5558</v>
      </c>
      <c r="F5903" s="109" t="s">
        <v>32680</v>
      </c>
      <c r="G5903" s="110" t="s">
        <v>6248</v>
      </c>
      <c r="H5903" s="110" t="s">
        <v>32681</v>
      </c>
      <c r="I5903" s="110" t="s">
        <v>32682</v>
      </c>
    </row>
    <row r="5904" spans="1:9" ht="37.799999999999997" x14ac:dyDescent="0.3">
      <c r="A5904" s="109" t="s">
        <v>32683</v>
      </c>
      <c r="B5904" s="109" t="s">
        <v>31480</v>
      </c>
      <c r="C5904" s="109" t="s">
        <v>31480</v>
      </c>
      <c r="D5904" s="109" t="s">
        <v>32684</v>
      </c>
      <c r="E5904" s="109" t="s">
        <v>5558</v>
      </c>
      <c r="F5904" s="109" t="s">
        <v>32685</v>
      </c>
      <c r="G5904" s="110" t="s">
        <v>6248</v>
      </c>
      <c r="H5904" s="110" t="s">
        <v>24697</v>
      </c>
      <c r="I5904" s="110" t="s">
        <v>32686</v>
      </c>
    </row>
    <row r="5905" spans="1:9" ht="25.2" x14ac:dyDescent="0.3">
      <c r="A5905" s="109" t="s">
        <v>32687</v>
      </c>
      <c r="B5905" s="109" t="s">
        <v>31480</v>
      </c>
      <c r="C5905" s="109" t="s">
        <v>31480</v>
      </c>
      <c r="D5905" s="109" t="s">
        <v>32688</v>
      </c>
      <c r="E5905" s="109" t="s">
        <v>5558</v>
      </c>
      <c r="F5905" s="109" t="s">
        <v>32689</v>
      </c>
      <c r="G5905" s="110" t="s">
        <v>6248</v>
      </c>
      <c r="H5905" s="110" t="s">
        <v>32690</v>
      </c>
      <c r="I5905" s="110" t="s">
        <v>32691</v>
      </c>
    </row>
    <row r="5906" spans="1:9" ht="25.2" x14ac:dyDescent="0.3">
      <c r="A5906" s="109" t="s">
        <v>6236</v>
      </c>
      <c r="B5906" s="109" t="s">
        <v>31480</v>
      </c>
      <c r="C5906" s="109" t="s">
        <v>31480</v>
      </c>
      <c r="D5906" s="109" t="s">
        <v>32692</v>
      </c>
      <c r="E5906" s="109" t="s">
        <v>5558</v>
      </c>
      <c r="F5906" s="109" t="s">
        <v>32693</v>
      </c>
      <c r="G5906" s="110" t="s">
        <v>6248</v>
      </c>
      <c r="H5906" s="110" t="s">
        <v>32694</v>
      </c>
      <c r="I5906" s="110" t="s">
        <v>32695</v>
      </c>
    </row>
    <row r="5907" spans="1:9" ht="37.799999999999997" x14ac:dyDescent="0.3">
      <c r="A5907" s="109" t="s">
        <v>32696</v>
      </c>
      <c r="B5907" s="109" t="s">
        <v>31480</v>
      </c>
      <c r="C5907" s="109" t="s">
        <v>31480</v>
      </c>
      <c r="D5907" s="109" t="s">
        <v>32697</v>
      </c>
      <c r="E5907" s="109" t="s">
        <v>5558</v>
      </c>
      <c r="F5907" s="109" t="s">
        <v>32698</v>
      </c>
      <c r="G5907" s="110" t="s">
        <v>6248</v>
      </c>
      <c r="H5907" s="110" t="s">
        <v>32699</v>
      </c>
      <c r="I5907" s="110" t="s">
        <v>32700</v>
      </c>
    </row>
    <row r="5908" spans="1:9" ht="25.2" x14ac:dyDescent="0.3">
      <c r="A5908" s="109" t="s">
        <v>32701</v>
      </c>
      <c r="B5908" s="109" t="s">
        <v>31480</v>
      </c>
      <c r="C5908" s="109" t="s">
        <v>31480</v>
      </c>
      <c r="D5908" s="109" t="s">
        <v>32702</v>
      </c>
      <c r="E5908" s="109" t="s">
        <v>5558</v>
      </c>
      <c r="F5908" s="109" t="s">
        <v>32703</v>
      </c>
      <c r="G5908" s="110" t="s">
        <v>6248</v>
      </c>
      <c r="H5908" s="110" t="s">
        <v>13740</v>
      </c>
      <c r="I5908" s="110" t="s">
        <v>32704</v>
      </c>
    </row>
    <row r="5909" spans="1:9" ht="25.2" x14ac:dyDescent="0.3">
      <c r="A5909" s="109" t="s">
        <v>32705</v>
      </c>
      <c r="B5909" s="109" t="s">
        <v>31480</v>
      </c>
      <c r="C5909" s="109" t="s">
        <v>31480</v>
      </c>
      <c r="D5909" s="109" t="s">
        <v>32706</v>
      </c>
      <c r="E5909" s="109" t="s">
        <v>5558</v>
      </c>
      <c r="F5909" s="109" t="s">
        <v>32707</v>
      </c>
      <c r="G5909" s="110" t="s">
        <v>6248</v>
      </c>
      <c r="H5909" s="110" t="s">
        <v>32708</v>
      </c>
      <c r="I5909" s="110" t="s">
        <v>32709</v>
      </c>
    </row>
    <row r="5910" spans="1:9" ht="25.2" x14ac:dyDescent="0.3">
      <c r="A5910" s="109" t="s">
        <v>32710</v>
      </c>
      <c r="B5910" s="109" t="s">
        <v>31480</v>
      </c>
      <c r="C5910" s="109" t="s">
        <v>31480</v>
      </c>
      <c r="D5910" s="109" t="s">
        <v>32711</v>
      </c>
      <c r="E5910" s="109" t="s">
        <v>5558</v>
      </c>
      <c r="F5910" s="109" t="s">
        <v>32712</v>
      </c>
      <c r="G5910" s="110" t="s">
        <v>6248</v>
      </c>
      <c r="H5910" s="110" t="s">
        <v>32713</v>
      </c>
      <c r="I5910" s="110" t="s">
        <v>32714</v>
      </c>
    </row>
    <row r="5911" spans="1:9" ht="25.2" x14ac:dyDescent="0.3">
      <c r="A5911" s="109" t="s">
        <v>32715</v>
      </c>
      <c r="B5911" s="109" t="s">
        <v>31480</v>
      </c>
      <c r="C5911" s="109" t="s">
        <v>31480</v>
      </c>
      <c r="D5911" s="109" t="s">
        <v>32716</v>
      </c>
      <c r="E5911" s="109" t="s">
        <v>15257</v>
      </c>
      <c r="F5911" s="109" t="s">
        <v>15258</v>
      </c>
      <c r="G5911" s="110" t="s">
        <v>6248</v>
      </c>
      <c r="H5911" s="110" t="s">
        <v>32717</v>
      </c>
      <c r="I5911" s="110" t="s">
        <v>32718</v>
      </c>
    </row>
    <row r="5912" spans="1:9" ht="37.799999999999997" x14ac:dyDescent="0.3">
      <c r="A5912" s="109" t="s">
        <v>32719</v>
      </c>
      <c r="B5912" s="109" t="s">
        <v>31480</v>
      </c>
      <c r="C5912" s="109" t="s">
        <v>31480</v>
      </c>
      <c r="D5912" s="109" t="s">
        <v>32720</v>
      </c>
      <c r="E5912" s="109" t="s">
        <v>5558</v>
      </c>
      <c r="F5912" s="109" t="s">
        <v>32721</v>
      </c>
      <c r="G5912" s="110" t="s">
        <v>6248</v>
      </c>
      <c r="H5912" s="110" t="s">
        <v>14042</v>
      </c>
      <c r="I5912" s="110" t="s">
        <v>32722</v>
      </c>
    </row>
    <row r="5913" spans="1:9" ht="25.2" x14ac:dyDescent="0.3">
      <c r="A5913" s="109" t="s">
        <v>32723</v>
      </c>
      <c r="B5913" s="109" t="s">
        <v>31480</v>
      </c>
      <c r="C5913" s="109" t="s">
        <v>31480</v>
      </c>
      <c r="D5913" s="109" t="s">
        <v>32724</v>
      </c>
      <c r="E5913" s="109" t="s">
        <v>5558</v>
      </c>
      <c r="F5913" s="109" t="s">
        <v>32725</v>
      </c>
      <c r="G5913" s="110" t="s">
        <v>6248</v>
      </c>
      <c r="H5913" s="110" t="s">
        <v>6716</v>
      </c>
      <c r="I5913" s="110" t="s">
        <v>32726</v>
      </c>
    </row>
    <row r="5914" spans="1:9" ht="25.2" x14ac:dyDescent="0.3">
      <c r="A5914" s="109" t="s">
        <v>32727</v>
      </c>
      <c r="B5914" s="109" t="s">
        <v>31480</v>
      </c>
      <c r="C5914" s="109" t="s">
        <v>31480</v>
      </c>
      <c r="D5914" s="109" t="s">
        <v>32728</v>
      </c>
      <c r="E5914" s="109" t="s">
        <v>5558</v>
      </c>
      <c r="F5914" s="109" t="s">
        <v>32729</v>
      </c>
      <c r="G5914" s="110" t="s">
        <v>6248</v>
      </c>
      <c r="H5914" s="110" t="s">
        <v>7321</v>
      </c>
      <c r="I5914" s="110" t="s">
        <v>32730</v>
      </c>
    </row>
    <row r="5915" spans="1:9" ht="37.799999999999997" x14ac:dyDescent="0.3">
      <c r="A5915" s="109" t="s">
        <v>32731</v>
      </c>
      <c r="B5915" s="109" t="s">
        <v>31480</v>
      </c>
      <c r="C5915" s="109" t="s">
        <v>31480</v>
      </c>
      <c r="D5915" s="109" t="s">
        <v>32732</v>
      </c>
      <c r="E5915" s="109" t="s">
        <v>5558</v>
      </c>
      <c r="F5915" s="109" t="s">
        <v>32733</v>
      </c>
      <c r="G5915" s="110" t="s">
        <v>6248</v>
      </c>
      <c r="H5915" s="110" t="s">
        <v>32734</v>
      </c>
      <c r="I5915" s="110" t="s">
        <v>32735</v>
      </c>
    </row>
    <row r="5916" spans="1:9" ht="25.2" x14ac:dyDescent="0.3">
      <c r="A5916" s="109" t="s">
        <v>32736</v>
      </c>
      <c r="B5916" s="109" t="s">
        <v>31480</v>
      </c>
      <c r="C5916" s="109" t="s">
        <v>31480</v>
      </c>
      <c r="D5916" s="109" t="s">
        <v>32737</v>
      </c>
      <c r="E5916" s="109" t="s">
        <v>5558</v>
      </c>
      <c r="F5916" s="109" t="s">
        <v>32738</v>
      </c>
      <c r="G5916" s="110" t="s">
        <v>6248</v>
      </c>
      <c r="H5916" s="110" t="s">
        <v>9434</v>
      </c>
      <c r="I5916" s="110" t="s">
        <v>32739</v>
      </c>
    </row>
    <row r="5917" spans="1:9" ht="37.799999999999997" x14ac:dyDescent="0.3">
      <c r="A5917" s="109" t="s">
        <v>32740</v>
      </c>
      <c r="B5917" s="109" t="s">
        <v>31480</v>
      </c>
      <c r="C5917" s="109" t="s">
        <v>31480</v>
      </c>
      <c r="D5917" s="109" t="s">
        <v>32741</v>
      </c>
      <c r="E5917" s="109" t="s">
        <v>5558</v>
      </c>
      <c r="F5917" s="109" t="s">
        <v>32742</v>
      </c>
      <c r="G5917" s="110" t="s">
        <v>6248</v>
      </c>
      <c r="H5917" s="110" t="s">
        <v>8905</v>
      </c>
      <c r="I5917" s="110" t="s">
        <v>32743</v>
      </c>
    </row>
    <row r="5918" spans="1:9" ht="25.2" x14ac:dyDescent="0.3">
      <c r="A5918" s="109" t="s">
        <v>32744</v>
      </c>
      <c r="B5918" s="109" t="s">
        <v>31480</v>
      </c>
      <c r="C5918" s="109" t="s">
        <v>31480</v>
      </c>
      <c r="D5918" s="109" t="s">
        <v>32745</v>
      </c>
      <c r="E5918" s="109" t="s">
        <v>5558</v>
      </c>
      <c r="F5918" s="109" t="s">
        <v>32746</v>
      </c>
      <c r="G5918" s="110" t="s">
        <v>6248</v>
      </c>
      <c r="H5918" s="110" t="s">
        <v>6689</v>
      </c>
      <c r="I5918" s="110" t="s">
        <v>32747</v>
      </c>
    </row>
    <row r="5919" spans="1:9" ht="25.2" x14ac:dyDescent="0.3">
      <c r="A5919" s="109" t="s">
        <v>32748</v>
      </c>
      <c r="B5919" s="109" t="s">
        <v>31480</v>
      </c>
      <c r="C5919" s="109" t="s">
        <v>31480</v>
      </c>
      <c r="D5919" s="109" t="s">
        <v>32749</v>
      </c>
      <c r="E5919" s="109" t="s">
        <v>5558</v>
      </c>
      <c r="F5919" s="109" t="s">
        <v>32750</v>
      </c>
      <c r="G5919" s="110" t="s">
        <v>6248</v>
      </c>
      <c r="H5919" s="110" t="s">
        <v>32751</v>
      </c>
      <c r="I5919" s="110" t="s">
        <v>32752</v>
      </c>
    </row>
    <row r="5920" spans="1:9" ht="25.2" x14ac:dyDescent="0.3">
      <c r="A5920" s="109" t="s">
        <v>32753</v>
      </c>
      <c r="B5920" s="109" t="s">
        <v>31480</v>
      </c>
      <c r="C5920" s="109" t="s">
        <v>31480</v>
      </c>
      <c r="D5920" s="109" t="s">
        <v>32754</v>
      </c>
      <c r="E5920" s="109" t="s">
        <v>5558</v>
      </c>
      <c r="F5920" s="109" t="s">
        <v>32755</v>
      </c>
      <c r="G5920" s="110" t="s">
        <v>6248</v>
      </c>
      <c r="H5920" s="110" t="s">
        <v>32756</v>
      </c>
      <c r="I5920" s="110" t="s">
        <v>32757</v>
      </c>
    </row>
    <row r="5921" spans="1:9" ht="25.2" x14ac:dyDescent="0.3">
      <c r="A5921" s="109" t="s">
        <v>32758</v>
      </c>
      <c r="B5921" s="109" t="s">
        <v>32759</v>
      </c>
      <c r="C5921" s="109" t="s">
        <v>32759</v>
      </c>
      <c r="D5921" s="109" t="s">
        <v>32760</v>
      </c>
      <c r="E5921" s="109" t="s">
        <v>5558</v>
      </c>
      <c r="F5921" s="109" t="s">
        <v>32761</v>
      </c>
      <c r="G5921" s="110" t="s">
        <v>32762</v>
      </c>
      <c r="H5921" s="110" t="s">
        <v>6248</v>
      </c>
      <c r="I5921" s="110" t="s">
        <v>32763</v>
      </c>
    </row>
    <row r="5922" spans="1:9" ht="37.799999999999997" x14ac:dyDescent="0.3">
      <c r="A5922" s="109" t="s">
        <v>32764</v>
      </c>
      <c r="B5922" s="109" t="s">
        <v>32759</v>
      </c>
      <c r="C5922" s="109" t="s">
        <v>32759</v>
      </c>
      <c r="D5922" s="109" t="s">
        <v>32765</v>
      </c>
      <c r="E5922" s="109" t="s">
        <v>5558</v>
      </c>
      <c r="F5922" s="109" t="s">
        <v>32766</v>
      </c>
      <c r="G5922" s="110" t="s">
        <v>6248</v>
      </c>
      <c r="H5922" s="110" t="s">
        <v>6716</v>
      </c>
      <c r="I5922" s="110" t="s">
        <v>32767</v>
      </c>
    </row>
    <row r="5923" spans="1:9" ht="25.2" x14ac:dyDescent="0.3">
      <c r="A5923" s="109" t="s">
        <v>32768</v>
      </c>
      <c r="B5923" s="109" t="s">
        <v>32759</v>
      </c>
      <c r="C5923" s="109" t="s">
        <v>32759</v>
      </c>
      <c r="D5923" s="109" t="s">
        <v>5569</v>
      </c>
      <c r="E5923" s="109" t="s">
        <v>5558</v>
      </c>
      <c r="F5923" s="109" t="s">
        <v>2258</v>
      </c>
      <c r="G5923" s="110" t="s">
        <v>6248</v>
      </c>
      <c r="H5923" s="110" t="s">
        <v>32769</v>
      </c>
      <c r="I5923" s="110" t="s">
        <v>32770</v>
      </c>
    </row>
    <row r="5924" spans="1:9" ht="25.2" x14ac:dyDescent="0.3">
      <c r="A5924" s="109" t="s">
        <v>32771</v>
      </c>
      <c r="B5924" s="109" t="s">
        <v>32759</v>
      </c>
      <c r="C5924" s="109" t="s">
        <v>32759</v>
      </c>
      <c r="D5924" s="109" t="s">
        <v>5569</v>
      </c>
      <c r="E5924" s="109" t="s">
        <v>5558</v>
      </c>
      <c r="F5924" s="109" t="s">
        <v>2258</v>
      </c>
      <c r="G5924" s="110" t="s">
        <v>6248</v>
      </c>
      <c r="H5924" s="110" t="s">
        <v>8756</v>
      </c>
      <c r="I5924" s="110" t="s">
        <v>32772</v>
      </c>
    </row>
    <row r="5925" spans="1:9" ht="25.2" x14ac:dyDescent="0.3">
      <c r="A5925" s="109" t="s">
        <v>32773</v>
      </c>
      <c r="B5925" s="109" t="s">
        <v>32759</v>
      </c>
      <c r="C5925" s="109" t="s">
        <v>32759</v>
      </c>
      <c r="D5925" s="109" t="s">
        <v>5569</v>
      </c>
      <c r="E5925" s="109" t="s">
        <v>5558</v>
      </c>
      <c r="F5925" s="109" t="s">
        <v>2258</v>
      </c>
      <c r="G5925" s="110" t="s">
        <v>6248</v>
      </c>
      <c r="H5925" s="110" t="s">
        <v>32774</v>
      </c>
      <c r="I5925" s="110" t="s">
        <v>32775</v>
      </c>
    </row>
    <row r="5926" spans="1:9" ht="25.2" x14ac:dyDescent="0.3">
      <c r="A5926" s="109" t="s">
        <v>32776</v>
      </c>
      <c r="B5926" s="109" t="s">
        <v>32759</v>
      </c>
      <c r="C5926" s="109" t="s">
        <v>32759</v>
      </c>
      <c r="D5926" s="109" t="s">
        <v>5569</v>
      </c>
      <c r="E5926" s="109" t="s">
        <v>5558</v>
      </c>
      <c r="F5926" s="109" t="s">
        <v>2258</v>
      </c>
      <c r="G5926" s="110" t="s">
        <v>6248</v>
      </c>
      <c r="H5926" s="110" t="s">
        <v>32777</v>
      </c>
      <c r="I5926" s="110" t="s">
        <v>32778</v>
      </c>
    </row>
    <row r="5927" spans="1:9" ht="37.799999999999997" x14ac:dyDescent="0.3">
      <c r="A5927" s="109" t="s">
        <v>32779</v>
      </c>
      <c r="B5927" s="109" t="s">
        <v>32759</v>
      </c>
      <c r="C5927" s="109" t="s">
        <v>32759</v>
      </c>
      <c r="D5927" s="109" t="s">
        <v>32780</v>
      </c>
      <c r="E5927" s="109" t="s">
        <v>5558</v>
      </c>
      <c r="F5927" s="109" t="s">
        <v>32781</v>
      </c>
      <c r="G5927" s="110" t="s">
        <v>6248</v>
      </c>
      <c r="H5927" s="110" t="s">
        <v>32782</v>
      </c>
      <c r="I5927" s="110" t="s">
        <v>32783</v>
      </c>
    </row>
    <row r="5928" spans="1:9" ht="25.2" x14ac:dyDescent="0.3">
      <c r="A5928" s="109" t="s">
        <v>32784</v>
      </c>
      <c r="B5928" s="109" t="s">
        <v>32759</v>
      </c>
      <c r="C5928" s="109" t="s">
        <v>32759</v>
      </c>
      <c r="D5928" s="109" t="s">
        <v>32785</v>
      </c>
      <c r="E5928" s="109" t="s">
        <v>5558</v>
      </c>
      <c r="F5928" s="109" t="s">
        <v>32786</v>
      </c>
      <c r="G5928" s="110" t="s">
        <v>6248</v>
      </c>
      <c r="H5928" s="110" t="s">
        <v>6883</v>
      </c>
      <c r="I5928" s="110" t="s">
        <v>32787</v>
      </c>
    </row>
    <row r="5929" spans="1:9" ht="25.2" x14ac:dyDescent="0.3">
      <c r="A5929" s="109" t="s">
        <v>32788</v>
      </c>
      <c r="B5929" s="109" t="s">
        <v>32759</v>
      </c>
      <c r="C5929" s="109" t="s">
        <v>32759</v>
      </c>
      <c r="D5929" s="109" t="s">
        <v>32789</v>
      </c>
      <c r="E5929" s="109" t="s">
        <v>5558</v>
      </c>
      <c r="F5929" s="109" t="s">
        <v>32790</v>
      </c>
      <c r="G5929" s="110" t="s">
        <v>6248</v>
      </c>
      <c r="H5929" s="110" t="s">
        <v>32791</v>
      </c>
      <c r="I5929" s="110" t="s">
        <v>32792</v>
      </c>
    </row>
    <row r="5930" spans="1:9" ht="25.2" x14ac:dyDescent="0.3">
      <c r="A5930" s="109" t="s">
        <v>32793</v>
      </c>
      <c r="B5930" s="109" t="s">
        <v>32759</v>
      </c>
      <c r="C5930" s="109" t="s">
        <v>32759</v>
      </c>
      <c r="D5930" s="109" t="s">
        <v>32794</v>
      </c>
      <c r="E5930" s="109" t="s">
        <v>5558</v>
      </c>
      <c r="F5930" s="109" t="s">
        <v>32795</v>
      </c>
      <c r="G5930" s="110" t="s">
        <v>6248</v>
      </c>
      <c r="H5930" s="110" t="s">
        <v>9261</v>
      </c>
      <c r="I5930" s="110" t="s">
        <v>32796</v>
      </c>
    </row>
    <row r="5931" spans="1:9" ht="25.2" x14ac:dyDescent="0.3">
      <c r="A5931" s="109" t="s">
        <v>32797</v>
      </c>
      <c r="B5931" s="109" t="s">
        <v>32759</v>
      </c>
      <c r="C5931" s="109" t="s">
        <v>32759</v>
      </c>
      <c r="D5931" s="109" t="s">
        <v>5171</v>
      </c>
      <c r="E5931" s="109" t="s">
        <v>5558</v>
      </c>
      <c r="F5931" s="109" t="s">
        <v>32798</v>
      </c>
      <c r="G5931" s="110" t="s">
        <v>6248</v>
      </c>
      <c r="H5931" s="110" t="s">
        <v>30080</v>
      </c>
      <c r="I5931" s="110" t="s">
        <v>32799</v>
      </c>
    </row>
    <row r="5932" spans="1:9" ht="37.799999999999997" x14ac:dyDescent="0.3">
      <c r="A5932" s="109" t="s">
        <v>32800</v>
      </c>
      <c r="B5932" s="109" t="s">
        <v>32759</v>
      </c>
      <c r="C5932" s="109" t="s">
        <v>32759</v>
      </c>
      <c r="D5932" s="109" t="s">
        <v>32801</v>
      </c>
      <c r="E5932" s="109" t="s">
        <v>5558</v>
      </c>
      <c r="F5932" s="109" t="s">
        <v>32802</v>
      </c>
      <c r="G5932" s="110" t="s">
        <v>6248</v>
      </c>
      <c r="H5932" s="110" t="s">
        <v>32803</v>
      </c>
      <c r="I5932" s="110" t="s">
        <v>32804</v>
      </c>
    </row>
    <row r="5933" spans="1:9" ht="25.2" x14ac:dyDescent="0.3">
      <c r="A5933" s="109" t="s">
        <v>32805</v>
      </c>
      <c r="B5933" s="109" t="s">
        <v>32759</v>
      </c>
      <c r="C5933" s="109" t="s">
        <v>32759</v>
      </c>
      <c r="D5933" s="109" t="s">
        <v>32806</v>
      </c>
      <c r="E5933" s="109" t="s">
        <v>5558</v>
      </c>
      <c r="F5933" s="109" t="s">
        <v>32807</v>
      </c>
      <c r="G5933" s="110" t="s">
        <v>6248</v>
      </c>
      <c r="H5933" s="110" t="s">
        <v>8905</v>
      </c>
      <c r="I5933" s="110" t="s">
        <v>32808</v>
      </c>
    </row>
    <row r="5934" spans="1:9" ht="37.799999999999997" x14ac:dyDescent="0.3">
      <c r="A5934" s="109" t="s">
        <v>32809</v>
      </c>
      <c r="B5934" s="109" t="s">
        <v>32759</v>
      </c>
      <c r="C5934" s="109" t="s">
        <v>32759</v>
      </c>
      <c r="D5934" s="109" t="s">
        <v>32810</v>
      </c>
      <c r="E5934" s="109" t="s">
        <v>5558</v>
      </c>
      <c r="F5934" s="109" t="s">
        <v>32811</v>
      </c>
      <c r="G5934" s="110" t="s">
        <v>6248</v>
      </c>
      <c r="H5934" s="110" t="s">
        <v>24213</v>
      </c>
      <c r="I5934" s="110" t="s">
        <v>32812</v>
      </c>
    </row>
    <row r="5935" spans="1:9" ht="25.2" x14ac:dyDescent="0.3">
      <c r="A5935" s="109" t="s">
        <v>32813</v>
      </c>
      <c r="B5935" s="109" t="s">
        <v>32759</v>
      </c>
      <c r="C5935" s="109" t="s">
        <v>32759</v>
      </c>
      <c r="D5935" s="109" t="s">
        <v>32814</v>
      </c>
      <c r="E5935" s="109" t="s">
        <v>5558</v>
      </c>
      <c r="F5935" s="109" t="s">
        <v>32815</v>
      </c>
      <c r="G5935" s="110" t="s">
        <v>6248</v>
      </c>
      <c r="H5935" s="110" t="s">
        <v>11597</v>
      </c>
      <c r="I5935" s="110" t="s">
        <v>32816</v>
      </c>
    </row>
    <row r="5936" spans="1:9" ht="25.2" x14ac:dyDescent="0.3">
      <c r="A5936" s="109" t="s">
        <v>32817</v>
      </c>
      <c r="B5936" s="109" t="s">
        <v>32759</v>
      </c>
      <c r="C5936" s="109" t="s">
        <v>32759</v>
      </c>
      <c r="D5936" s="109" t="s">
        <v>32818</v>
      </c>
      <c r="E5936" s="109" t="s">
        <v>5558</v>
      </c>
      <c r="F5936" s="109" t="s">
        <v>32819</v>
      </c>
      <c r="G5936" s="110" t="s">
        <v>6248</v>
      </c>
      <c r="H5936" s="110" t="s">
        <v>6460</v>
      </c>
      <c r="I5936" s="110" t="s">
        <v>32820</v>
      </c>
    </row>
    <row r="5937" spans="1:9" ht="25.2" x14ac:dyDescent="0.3">
      <c r="A5937" s="109" t="s">
        <v>32821</v>
      </c>
      <c r="B5937" s="109" t="s">
        <v>32759</v>
      </c>
      <c r="C5937" s="109" t="s">
        <v>32759</v>
      </c>
      <c r="D5937" s="109" t="s">
        <v>32822</v>
      </c>
      <c r="E5937" s="109" t="s">
        <v>5558</v>
      </c>
      <c r="F5937" s="109" t="s">
        <v>32823</v>
      </c>
      <c r="G5937" s="110" t="s">
        <v>6248</v>
      </c>
      <c r="H5937" s="110" t="s">
        <v>6570</v>
      </c>
      <c r="I5937" s="110" t="s">
        <v>32824</v>
      </c>
    </row>
    <row r="5938" spans="1:9" ht="37.799999999999997" x14ac:dyDescent="0.3">
      <c r="A5938" s="109" t="s">
        <v>32825</v>
      </c>
      <c r="B5938" s="109" t="s">
        <v>32759</v>
      </c>
      <c r="C5938" s="109" t="s">
        <v>32759</v>
      </c>
      <c r="D5938" s="109" t="s">
        <v>32826</v>
      </c>
      <c r="E5938" s="109" t="s">
        <v>5558</v>
      </c>
      <c r="F5938" s="109" t="s">
        <v>32827</v>
      </c>
      <c r="G5938" s="110" t="s">
        <v>6248</v>
      </c>
      <c r="H5938" s="110" t="s">
        <v>6634</v>
      </c>
      <c r="I5938" s="110" t="s">
        <v>32828</v>
      </c>
    </row>
    <row r="5939" spans="1:9" ht="25.2" x14ac:dyDescent="0.3">
      <c r="A5939" s="109" t="s">
        <v>32829</v>
      </c>
      <c r="B5939" s="109" t="s">
        <v>32759</v>
      </c>
      <c r="C5939" s="109" t="s">
        <v>32759</v>
      </c>
      <c r="D5939" s="109" t="s">
        <v>32830</v>
      </c>
      <c r="E5939" s="109" t="s">
        <v>5558</v>
      </c>
      <c r="F5939" s="109" t="s">
        <v>32831</v>
      </c>
      <c r="G5939" s="110" t="s">
        <v>6248</v>
      </c>
      <c r="H5939" s="110" t="s">
        <v>8984</v>
      </c>
      <c r="I5939" s="110" t="s">
        <v>32832</v>
      </c>
    </row>
    <row r="5940" spans="1:9" ht="25.2" x14ac:dyDescent="0.3">
      <c r="A5940" s="109" t="s">
        <v>32833</v>
      </c>
      <c r="B5940" s="109" t="s">
        <v>32759</v>
      </c>
      <c r="C5940" s="109" t="s">
        <v>32759</v>
      </c>
      <c r="D5940" s="109" t="s">
        <v>32834</v>
      </c>
      <c r="E5940" s="109" t="s">
        <v>5558</v>
      </c>
      <c r="F5940" s="109" t="s">
        <v>32835</v>
      </c>
      <c r="G5940" s="110" t="s">
        <v>6248</v>
      </c>
      <c r="H5940" s="110" t="s">
        <v>7592</v>
      </c>
      <c r="I5940" s="110" t="s">
        <v>32836</v>
      </c>
    </row>
    <row r="5941" spans="1:9" ht="25.2" x14ac:dyDescent="0.3">
      <c r="A5941" s="109" t="s">
        <v>32837</v>
      </c>
      <c r="B5941" s="109" t="s">
        <v>32759</v>
      </c>
      <c r="C5941" s="109" t="s">
        <v>32759</v>
      </c>
      <c r="D5941" s="109" t="s">
        <v>32838</v>
      </c>
      <c r="E5941" s="109" t="s">
        <v>5558</v>
      </c>
      <c r="F5941" s="109" t="s">
        <v>32839</v>
      </c>
      <c r="G5941" s="110" t="s">
        <v>6248</v>
      </c>
      <c r="H5941" s="110" t="s">
        <v>9141</v>
      </c>
      <c r="I5941" s="110" t="s">
        <v>32840</v>
      </c>
    </row>
    <row r="5942" spans="1:9" ht="25.2" x14ac:dyDescent="0.3">
      <c r="A5942" s="109" t="s">
        <v>32841</v>
      </c>
      <c r="B5942" s="109" t="s">
        <v>32759</v>
      </c>
      <c r="C5942" s="109" t="s">
        <v>32759</v>
      </c>
      <c r="D5942" s="109" t="s">
        <v>32842</v>
      </c>
      <c r="E5942" s="109" t="s">
        <v>5558</v>
      </c>
      <c r="F5942" s="109" t="s">
        <v>32843</v>
      </c>
      <c r="G5942" s="110" t="s">
        <v>6248</v>
      </c>
      <c r="H5942" s="110" t="s">
        <v>6460</v>
      </c>
      <c r="I5942" s="110" t="s">
        <v>32844</v>
      </c>
    </row>
    <row r="5943" spans="1:9" ht="37.799999999999997" x14ac:dyDescent="0.3">
      <c r="A5943" s="109" t="s">
        <v>32845</v>
      </c>
      <c r="B5943" s="109" t="s">
        <v>32759</v>
      </c>
      <c r="C5943" s="109" t="s">
        <v>32759</v>
      </c>
      <c r="D5943" s="109" t="s">
        <v>32846</v>
      </c>
      <c r="E5943" s="109" t="s">
        <v>5558</v>
      </c>
      <c r="F5943" s="109" t="s">
        <v>32847</v>
      </c>
      <c r="G5943" s="110" t="s">
        <v>6248</v>
      </c>
      <c r="H5943" s="110" t="s">
        <v>9158</v>
      </c>
      <c r="I5943" s="110" t="s">
        <v>32848</v>
      </c>
    </row>
    <row r="5944" spans="1:9" ht="25.2" x14ac:dyDescent="0.3">
      <c r="A5944" s="109" t="s">
        <v>32849</v>
      </c>
      <c r="B5944" s="109" t="s">
        <v>32759</v>
      </c>
      <c r="C5944" s="109" t="s">
        <v>32759</v>
      </c>
      <c r="D5944" s="109" t="s">
        <v>32850</v>
      </c>
      <c r="E5944" s="109" t="s">
        <v>5558</v>
      </c>
      <c r="F5944" s="109" t="s">
        <v>32851</v>
      </c>
      <c r="G5944" s="110" t="s">
        <v>6248</v>
      </c>
      <c r="H5944" s="110" t="s">
        <v>7817</v>
      </c>
      <c r="I5944" s="110" t="s">
        <v>32852</v>
      </c>
    </row>
    <row r="5945" spans="1:9" ht="25.2" x14ac:dyDescent="0.3">
      <c r="A5945" s="109" t="s">
        <v>32853</v>
      </c>
      <c r="B5945" s="109" t="s">
        <v>32759</v>
      </c>
      <c r="C5945" s="109" t="s">
        <v>32759</v>
      </c>
      <c r="D5945" s="109" t="s">
        <v>32854</v>
      </c>
      <c r="E5945" s="109" t="s">
        <v>5558</v>
      </c>
      <c r="F5945" s="109" t="s">
        <v>32855</v>
      </c>
      <c r="G5945" s="110" t="s">
        <v>6248</v>
      </c>
      <c r="H5945" s="110" t="s">
        <v>6557</v>
      </c>
      <c r="I5945" s="110" t="s">
        <v>32856</v>
      </c>
    </row>
    <row r="5946" spans="1:9" ht="25.2" x14ac:dyDescent="0.3">
      <c r="A5946" s="109" t="s">
        <v>32857</v>
      </c>
      <c r="B5946" s="109" t="s">
        <v>32759</v>
      </c>
      <c r="C5946" s="109" t="s">
        <v>32759</v>
      </c>
      <c r="D5946" s="109" t="s">
        <v>32858</v>
      </c>
      <c r="E5946" s="109" t="s">
        <v>5558</v>
      </c>
      <c r="F5946" s="109" t="s">
        <v>32859</v>
      </c>
      <c r="G5946" s="110" t="s">
        <v>6248</v>
      </c>
      <c r="H5946" s="110" t="s">
        <v>6552</v>
      </c>
      <c r="I5946" s="110" t="s">
        <v>32860</v>
      </c>
    </row>
    <row r="5947" spans="1:9" ht="25.2" x14ac:dyDescent="0.3">
      <c r="A5947" s="109" t="s">
        <v>32861</v>
      </c>
      <c r="B5947" s="109" t="s">
        <v>32759</v>
      </c>
      <c r="C5947" s="109" t="s">
        <v>32759</v>
      </c>
      <c r="D5947" s="109" t="s">
        <v>32862</v>
      </c>
      <c r="E5947" s="109" t="s">
        <v>5558</v>
      </c>
      <c r="F5947" s="109" t="s">
        <v>32863</v>
      </c>
      <c r="G5947" s="110" t="s">
        <v>6248</v>
      </c>
      <c r="H5947" s="110" t="s">
        <v>6413</v>
      </c>
      <c r="I5947" s="110" t="s">
        <v>32864</v>
      </c>
    </row>
    <row r="5948" spans="1:9" ht="25.2" x14ac:dyDescent="0.3">
      <c r="A5948" s="109" t="s">
        <v>32865</v>
      </c>
      <c r="B5948" s="109" t="s">
        <v>32759</v>
      </c>
      <c r="C5948" s="109" t="s">
        <v>32759</v>
      </c>
      <c r="D5948" s="109" t="s">
        <v>32866</v>
      </c>
      <c r="E5948" s="109" t="s">
        <v>5558</v>
      </c>
      <c r="F5948" s="109" t="s">
        <v>32867</v>
      </c>
      <c r="G5948" s="110" t="s">
        <v>6248</v>
      </c>
      <c r="H5948" s="110" t="s">
        <v>7830</v>
      </c>
      <c r="I5948" s="110" t="s">
        <v>32868</v>
      </c>
    </row>
    <row r="5949" spans="1:9" ht="37.799999999999997" x14ac:dyDescent="0.3">
      <c r="A5949" s="109" t="s">
        <v>32869</v>
      </c>
      <c r="B5949" s="109" t="s">
        <v>32759</v>
      </c>
      <c r="C5949" s="109" t="s">
        <v>32759</v>
      </c>
      <c r="D5949" s="109" t="s">
        <v>32870</v>
      </c>
      <c r="E5949" s="109" t="s">
        <v>5558</v>
      </c>
      <c r="F5949" s="109" t="s">
        <v>32871</v>
      </c>
      <c r="G5949" s="110" t="s">
        <v>6248</v>
      </c>
      <c r="H5949" s="110" t="s">
        <v>32872</v>
      </c>
      <c r="I5949" s="110" t="s">
        <v>32873</v>
      </c>
    </row>
    <row r="5950" spans="1:9" ht="25.2" x14ac:dyDescent="0.3">
      <c r="A5950" s="109" t="s">
        <v>32874</v>
      </c>
      <c r="B5950" s="109" t="s">
        <v>32759</v>
      </c>
      <c r="C5950" s="109" t="s">
        <v>32759</v>
      </c>
      <c r="D5950" s="109" t="s">
        <v>32875</v>
      </c>
      <c r="E5950" s="109" t="s">
        <v>5558</v>
      </c>
      <c r="F5950" s="109" t="s">
        <v>32876</v>
      </c>
      <c r="G5950" s="110" t="s">
        <v>6248</v>
      </c>
      <c r="H5950" s="110" t="s">
        <v>32877</v>
      </c>
      <c r="I5950" s="110" t="s">
        <v>32878</v>
      </c>
    </row>
    <row r="5951" spans="1:9" ht="25.2" x14ac:dyDescent="0.3">
      <c r="A5951" s="109" t="s">
        <v>32879</v>
      </c>
      <c r="B5951" s="109" t="s">
        <v>32759</v>
      </c>
      <c r="C5951" s="109" t="s">
        <v>32759</v>
      </c>
      <c r="D5951" s="109" t="s">
        <v>32880</v>
      </c>
      <c r="E5951" s="109" t="s">
        <v>5558</v>
      </c>
      <c r="F5951" s="109" t="s">
        <v>32881</v>
      </c>
      <c r="G5951" s="110" t="s">
        <v>6248</v>
      </c>
      <c r="H5951" s="110" t="s">
        <v>9018</v>
      </c>
      <c r="I5951" s="110" t="s">
        <v>32882</v>
      </c>
    </row>
    <row r="5952" spans="1:9" ht="25.2" x14ac:dyDescent="0.3">
      <c r="A5952" s="109" t="s">
        <v>32883</v>
      </c>
      <c r="B5952" s="109" t="s">
        <v>32759</v>
      </c>
      <c r="C5952" s="109" t="s">
        <v>32759</v>
      </c>
      <c r="D5952" s="109" t="s">
        <v>32884</v>
      </c>
      <c r="E5952" s="109" t="s">
        <v>5558</v>
      </c>
      <c r="F5952" s="109" t="s">
        <v>32885</v>
      </c>
      <c r="G5952" s="110" t="s">
        <v>6248</v>
      </c>
      <c r="H5952" s="110" t="s">
        <v>6634</v>
      </c>
      <c r="I5952" s="110" t="s">
        <v>32886</v>
      </c>
    </row>
    <row r="5953" spans="1:9" ht="25.2" x14ac:dyDescent="0.3">
      <c r="A5953" s="109" t="s">
        <v>32887</v>
      </c>
      <c r="B5953" s="109" t="s">
        <v>32759</v>
      </c>
      <c r="C5953" s="109" t="s">
        <v>32759</v>
      </c>
      <c r="D5953" s="109" t="s">
        <v>32888</v>
      </c>
      <c r="E5953" s="109" t="s">
        <v>5558</v>
      </c>
      <c r="F5953" s="109" t="s">
        <v>32889</v>
      </c>
      <c r="G5953" s="110" t="s">
        <v>6248</v>
      </c>
      <c r="H5953" s="110" t="s">
        <v>6557</v>
      </c>
      <c r="I5953" s="110" t="s">
        <v>32890</v>
      </c>
    </row>
    <row r="5954" spans="1:9" ht="25.2" x14ac:dyDescent="0.3">
      <c r="A5954" s="109" t="s">
        <v>32891</v>
      </c>
      <c r="B5954" s="109" t="s">
        <v>32759</v>
      </c>
      <c r="C5954" s="109" t="s">
        <v>32759</v>
      </c>
      <c r="D5954" s="109" t="s">
        <v>32892</v>
      </c>
      <c r="E5954" s="109" t="s">
        <v>5558</v>
      </c>
      <c r="F5954" s="109" t="s">
        <v>32893</v>
      </c>
      <c r="G5954" s="110" t="s">
        <v>6248</v>
      </c>
      <c r="H5954" s="110" t="s">
        <v>6474</v>
      </c>
      <c r="I5954" s="110" t="s">
        <v>32894</v>
      </c>
    </row>
    <row r="5955" spans="1:9" ht="37.799999999999997" x14ac:dyDescent="0.3">
      <c r="A5955" s="109" t="s">
        <v>32895</v>
      </c>
      <c r="B5955" s="109" t="s">
        <v>32759</v>
      </c>
      <c r="C5955" s="109" t="s">
        <v>32759</v>
      </c>
      <c r="D5955" s="109" t="s">
        <v>32896</v>
      </c>
      <c r="E5955" s="109" t="s">
        <v>5558</v>
      </c>
      <c r="F5955" s="109" t="s">
        <v>32897</v>
      </c>
      <c r="G5955" s="110" t="s">
        <v>6248</v>
      </c>
      <c r="H5955" s="110" t="s">
        <v>7817</v>
      </c>
      <c r="I5955" s="110" t="s">
        <v>32898</v>
      </c>
    </row>
    <row r="5956" spans="1:9" ht="25.2" x14ac:dyDescent="0.3">
      <c r="A5956" s="109" t="s">
        <v>32899</v>
      </c>
      <c r="B5956" s="109" t="s">
        <v>32759</v>
      </c>
      <c r="C5956" s="109" t="s">
        <v>32759</v>
      </c>
      <c r="D5956" s="109" t="s">
        <v>32900</v>
      </c>
      <c r="E5956" s="109" t="s">
        <v>5558</v>
      </c>
      <c r="F5956" s="109" t="s">
        <v>32901</v>
      </c>
      <c r="G5956" s="110" t="s">
        <v>6248</v>
      </c>
      <c r="H5956" s="110" t="s">
        <v>8905</v>
      </c>
      <c r="I5956" s="110" t="s">
        <v>32902</v>
      </c>
    </row>
    <row r="5957" spans="1:9" ht="25.2" x14ac:dyDescent="0.3">
      <c r="A5957" s="109" t="s">
        <v>32903</v>
      </c>
      <c r="B5957" s="109" t="s">
        <v>32759</v>
      </c>
      <c r="C5957" s="109" t="s">
        <v>32759</v>
      </c>
      <c r="D5957" s="109" t="s">
        <v>32904</v>
      </c>
      <c r="E5957" s="109" t="s">
        <v>5558</v>
      </c>
      <c r="F5957" s="109" t="s">
        <v>32905</v>
      </c>
      <c r="G5957" s="110" t="s">
        <v>6248</v>
      </c>
      <c r="H5957" s="110" t="s">
        <v>7830</v>
      </c>
      <c r="I5957" s="110" t="s">
        <v>32906</v>
      </c>
    </row>
    <row r="5958" spans="1:9" ht="25.2" x14ac:dyDescent="0.3">
      <c r="A5958" s="109" t="s">
        <v>32907</v>
      </c>
      <c r="B5958" s="109" t="s">
        <v>32759</v>
      </c>
      <c r="C5958" s="109" t="s">
        <v>32759</v>
      </c>
      <c r="D5958" s="109" t="s">
        <v>32908</v>
      </c>
      <c r="E5958" s="109" t="s">
        <v>5558</v>
      </c>
      <c r="F5958" s="109" t="s">
        <v>32909</v>
      </c>
      <c r="G5958" s="110" t="s">
        <v>6248</v>
      </c>
      <c r="H5958" s="110" t="s">
        <v>13849</v>
      </c>
      <c r="I5958" s="110" t="s">
        <v>32910</v>
      </c>
    </row>
    <row r="5959" spans="1:9" ht="37.799999999999997" x14ac:dyDescent="0.3">
      <c r="A5959" s="109" t="s">
        <v>32911</v>
      </c>
      <c r="B5959" s="109" t="s">
        <v>32759</v>
      </c>
      <c r="C5959" s="109" t="s">
        <v>32759</v>
      </c>
      <c r="D5959" s="109" t="s">
        <v>32912</v>
      </c>
      <c r="E5959" s="109" t="s">
        <v>5558</v>
      </c>
      <c r="F5959" s="109" t="s">
        <v>32913</v>
      </c>
      <c r="G5959" s="110" t="s">
        <v>6248</v>
      </c>
      <c r="H5959" s="110" t="s">
        <v>7817</v>
      </c>
      <c r="I5959" s="110" t="s">
        <v>32914</v>
      </c>
    </row>
    <row r="5960" spans="1:9" ht="25.2" x14ac:dyDescent="0.3">
      <c r="A5960" s="109" t="s">
        <v>32915</v>
      </c>
      <c r="B5960" s="109" t="s">
        <v>32759</v>
      </c>
      <c r="C5960" s="109" t="s">
        <v>32759</v>
      </c>
      <c r="D5960" s="109" t="s">
        <v>32916</v>
      </c>
      <c r="E5960" s="109" t="s">
        <v>5558</v>
      </c>
      <c r="F5960" s="109" t="s">
        <v>32917</v>
      </c>
      <c r="G5960" s="110" t="s">
        <v>6248</v>
      </c>
      <c r="H5960" s="110" t="s">
        <v>32918</v>
      </c>
      <c r="I5960" s="110" t="s">
        <v>32919</v>
      </c>
    </row>
    <row r="5961" spans="1:9" ht="37.799999999999997" x14ac:dyDescent="0.3">
      <c r="A5961" s="109" t="s">
        <v>32920</v>
      </c>
      <c r="B5961" s="109" t="s">
        <v>32759</v>
      </c>
      <c r="C5961" s="109" t="s">
        <v>32759</v>
      </c>
      <c r="D5961" s="109" t="s">
        <v>32921</v>
      </c>
      <c r="E5961" s="109" t="s">
        <v>5558</v>
      </c>
      <c r="F5961" s="109" t="s">
        <v>32922</v>
      </c>
      <c r="G5961" s="110" t="s">
        <v>6248</v>
      </c>
      <c r="H5961" s="110" t="s">
        <v>10295</v>
      </c>
      <c r="I5961" s="110" t="s">
        <v>32923</v>
      </c>
    </row>
    <row r="5962" spans="1:9" ht="25.2" x14ac:dyDescent="0.3">
      <c r="A5962" s="109" t="s">
        <v>32924</v>
      </c>
      <c r="B5962" s="109" t="s">
        <v>32759</v>
      </c>
      <c r="C5962" s="109" t="s">
        <v>32759</v>
      </c>
      <c r="D5962" s="109" t="s">
        <v>32925</v>
      </c>
      <c r="E5962" s="109" t="s">
        <v>5558</v>
      </c>
      <c r="F5962" s="109" t="s">
        <v>32926</v>
      </c>
      <c r="G5962" s="110" t="s">
        <v>6248</v>
      </c>
      <c r="H5962" s="110" t="s">
        <v>22000</v>
      </c>
      <c r="I5962" s="110" t="s">
        <v>32927</v>
      </c>
    </row>
    <row r="5963" spans="1:9" ht="25.2" x14ac:dyDescent="0.3">
      <c r="A5963" s="109" t="s">
        <v>32928</v>
      </c>
      <c r="B5963" s="109" t="s">
        <v>32759</v>
      </c>
      <c r="C5963" s="109" t="s">
        <v>32759</v>
      </c>
      <c r="D5963" s="109" t="s">
        <v>32929</v>
      </c>
      <c r="E5963" s="109" t="s">
        <v>5558</v>
      </c>
      <c r="F5963" s="109" t="s">
        <v>32930</v>
      </c>
      <c r="G5963" s="110" t="s">
        <v>6248</v>
      </c>
      <c r="H5963" s="110" t="s">
        <v>7952</v>
      </c>
      <c r="I5963" s="110" t="s">
        <v>32931</v>
      </c>
    </row>
    <row r="5964" spans="1:9" ht="37.799999999999997" x14ac:dyDescent="0.3">
      <c r="A5964" s="109" t="s">
        <v>32932</v>
      </c>
      <c r="B5964" s="109" t="s">
        <v>32759</v>
      </c>
      <c r="C5964" s="109" t="s">
        <v>32759</v>
      </c>
      <c r="D5964" s="109" t="s">
        <v>32933</v>
      </c>
      <c r="E5964" s="109" t="s">
        <v>5558</v>
      </c>
      <c r="F5964" s="109" t="s">
        <v>32934</v>
      </c>
      <c r="G5964" s="110" t="s">
        <v>6248</v>
      </c>
      <c r="H5964" s="110" t="s">
        <v>32935</v>
      </c>
      <c r="I5964" s="110" t="s">
        <v>32936</v>
      </c>
    </row>
    <row r="5965" spans="1:9" ht="37.799999999999997" x14ac:dyDescent="0.3">
      <c r="A5965" s="109" t="s">
        <v>32937</v>
      </c>
      <c r="B5965" s="109" t="s">
        <v>32759</v>
      </c>
      <c r="C5965" s="109" t="s">
        <v>32759</v>
      </c>
      <c r="D5965" s="109" t="s">
        <v>32938</v>
      </c>
      <c r="E5965" s="109" t="s">
        <v>5558</v>
      </c>
      <c r="F5965" s="109" t="s">
        <v>32939</v>
      </c>
      <c r="G5965" s="110" t="s">
        <v>6248</v>
      </c>
      <c r="H5965" s="110" t="s">
        <v>6433</v>
      </c>
      <c r="I5965" s="110" t="s">
        <v>32940</v>
      </c>
    </row>
    <row r="5966" spans="1:9" ht="37.799999999999997" x14ac:dyDescent="0.3">
      <c r="A5966" s="109" t="s">
        <v>32941</v>
      </c>
      <c r="B5966" s="109" t="s">
        <v>32759</v>
      </c>
      <c r="C5966" s="109" t="s">
        <v>32759</v>
      </c>
      <c r="D5966" s="109" t="s">
        <v>32942</v>
      </c>
      <c r="E5966" s="109" t="s">
        <v>5558</v>
      </c>
      <c r="F5966" s="109" t="s">
        <v>32943</v>
      </c>
      <c r="G5966" s="110" t="s">
        <v>6248</v>
      </c>
      <c r="H5966" s="110" t="s">
        <v>6557</v>
      </c>
      <c r="I5966" s="110" t="s">
        <v>32944</v>
      </c>
    </row>
    <row r="5967" spans="1:9" ht="25.2" x14ac:dyDescent="0.3">
      <c r="A5967" s="109" t="s">
        <v>32945</v>
      </c>
      <c r="B5967" s="109" t="s">
        <v>32759</v>
      </c>
      <c r="C5967" s="109" t="s">
        <v>32759</v>
      </c>
      <c r="D5967" s="109" t="s">
        <v>32946</v>
      </c>
      <c r="E5967" s="109" t="s">
        <v>5558</v>
      </c>
      <c r="F5967" s="109" t="s">
        <v>32947</v>
      </c>
      <c r="G5967" s="110" t="s">
        <v>6248</v>
      </c>
      <c r="H5967" s="110" t="s">
        <v>32948</v>
      </c>
      <c r="I5967" s="110" t="s">
        <v>32949</v>
      </c>
    </row>
    <row r="5968" spans="1:9" ht="25.2" x14ac:dyDescent="0.3">
      <c r="A5968" s="109" t="s">
        <v>32950</v>
      </c>
      <c r="B5968" s="109" t="s">
        <v>32759</v>
      </c>
      <c r="C5968" s="109" t="s">
        <v>32759</v>
      </c>
      <c r="D5968" s="109" t="s">
        <v>32951</v>
      </c>
      <c r="E5968" s="109" t="s">
        <v>5558</v>
      </c>
      <c r="F5968" s="109" t="s">
        <v>32952</v>
      </c>
      <c r="G5968" s="110" t="s">
        <v>6248</v>
      </c>
      <c r="H5968" s="110" t="s">
        <v>6460</v>
      </c>
      <c r="I5968" s="110" t="s">
        <v>32953</v>
      </c>
    </row>
    <row r="5969" spans="1:9" ht="25.2" x14ac:dyDescent="0.3">
      <c r="A5969" s="109" t="s">
        <v>32954</v>
      </c>
      <c r="B5969" s="109" t="s">
        <v>32759</v>
      </c>
      <c r="C5969" s="109" t="s">
        <v>32759</v>
      </c>
      <c r="D5969" s="109" t="s">
        <v>32955</v>
      </c>
      <c r="E5969" s="109" t="s">
        <v>5558</v>
      </c>
      <c r="F5969" s="109" t="s">
        <v>32956</v>
      </c>
      <c r="G5969" s="110" t="s">
        <v>6248</v>
      </c>
      <c r="H5969" s="110" t="s">
        <v>6460</v>
      </c>
      <c r="I5969" s="110" t="s">
        <v>32957</v>
      </c>
    </row>
    <row r="5970" spans="1:9" ht="25.2" x14ac:dyDescent="0.3">
      <c r="A5970" s="109" t="s">
        <v>32958</v>
      </c>
      <c r="B5970" s="109" t="s">
        <v>32759</v>
      </c>
      <c r="C5970" s="109" t="s">
        <v>32759</v>
      </c>
      <c r="D5970" s="109" t="s">
        <v>32959</v>
      </c>
      <c r="E5970" s="109" t="s">
        <v>5558</v>
      </c>
      <c r="F5970" s="109" t="s">
        <v>32960</v>
      </c>
      <c r="G5970" s="110" t="s">
        <v>6248</v>
      </c>
      <c r="H5970" s="110" t="s">
        <v>6398</v>
      </c>
      <c r="I5970" s="110" t="s">
        <v>32961</v>
      </c>
    </row>
    <row r="5971" spans="1:9" ht="37.799999999999997" x14ac:dyDescent="0.3">
      <c r="A5971" s="109" t="s">
        <v>32962</v>
      </c>
      <c r="B5971" s="109" t="s">
        <v>32759</v>
      </c>
      <c r="C5971" s="109" t="s">
        <v>32759</v>
      </c>
      <c r="D5971" s="109" t="s">
        <v>32963</v>
      </c>
      <c r="E5971" s="109" t="s">
        <v>5558</v>
      </c>
      <c r="F5971" s="109" t="s">
        <v>32964</v>
      </c>
      <c r="G5971" s="110" t="s">
        <v>6248</v>
      </c>
      <c r="H5971" s="110" t="s">
        <v>9158</v>
      </c>
      <c r="I5971" s="110" t="s">
        <v>32965</v>
      </c>
    </row>
    <row r="5972" spans="1:9" ht="25.2" x14ac:dyDescent="0.3">
      <c r="A5972" s="109" t="s">
        <v>32966</v>
      </c>
      <c r="B5972" s="109" t="s">
        <v>32759</v>
      </c>
      <c r="C5972" s="109" t="s">
        <v>32759</v>
      </c>
      <c r="D5972" s="109" t="s">
        <v>32967</v>
      </c>
      <c r="E5972" s="109" t="s">
        <v>5558</v>
      </c>
      <c r="F5972" s="109" t="s">
        <v>32968</v>
      </c>
      <c r="G5972" s="110" t="s">
        <v>6248</v>
      </c>
      <c r="H5972" s="110" t="s">
        <v>6460</v>
      </c>
      <c r="I5972" s="110" t="s">
        <v>32969</v>
      </c>
    </row>
    <row r="5973" spans="1:9" ht="37.799999999999997" x14ac:dyDescent="0.3">
      <c r="A5973" s="109" t="s">
        <v>32970</v>
      </c>
      <c r="B5973" s="109" t="s">
        <v>32759</v>
      </c>
      <c r="C5973" s="109" t="s">
        <v>32759</v>
      </c>
      <c r="D5973" s="109" t="s">
        <v>32971</v>
      </c>
      <c r="E5973" s="109" t="s">
        <v>5558</v>
      </c>
      <c r="F5973" s="109" t="s">
        <v>32972</v>
      </c>
      <c r="G5973" s="110" t="s">
        <v>6248</v>
      </c>
      <c r="H5973" s="110" t="s">
        <v>6418</v>
      </c>
      <c r="I5973" s="110" t="s">
        <v>32973</v>
      </c>
    </row>
    <row r="5974" spans="1:9" ht="25.2" x14ac:dyDescent="0.3">
      <c r="A5974" s="109" t="s">
        <v>32974</v>
      </c>
      <c r="B5974" s="109" t="s">
        <v>32759</v>
      </c>
      <c r="C5974" s="109" t="s">
        <v>32759</v>
      </c>
      <c r="D5974" s="109" t="s">
        <v>32975</v>
      </c>
      <c r="E5974" s="109" t="s">
        <v>5558</v>
      </c>
      <c r="F5974" s="109" t="s">
        <v>32976</v>
      </c>
      <c r="G5974" s="110" t="s">
        <v>6248</v>
      </c>
      <c r="H5974" s="110" t="s">
        <v>6494</v>
      </c>
      <c r="I5974" s="110" t="s">
        <v>32977</v>
      </c>
    </row>
    <row r="5975" spans="1:9" ht="25.2" x14ac:dyDescent="0.3">
      <c r="A5975" s="109" t="s">
        <v>32978</v>
      </c>
      <c r="B5975" s="109" t="s">
        <v>32759</v>
      </c>
      <c r="C5975" s="109" t="s">
        <v>32759</v>
      </c>
      <c r="D5975" s="109" t="s">
        <v>32979</v>
      </c>
      <c r="E5975" s="109" t="s">
        <v>5558</v>
      </c>
      <c r="F5975" s="109" t="s">
        <v>32980</v>
      </c>
      <c r="G5975" s="110" t="s">
        <v>6248</v>
      </c>
      <c r="H5975" s="110" t="s">
        <v>9005</v>
      </c>
      <c r="I5975" s="110" t="s">
        <v>32981</v>
      </c>
    </row>
    <row r="5976" spans="1:9" ht="37.799999999999997" x14ac:dyDescent="0.3">
      <c r="A5976" s="109" t="s">
        <v>32982</v>
      </c>
      <c r="B5976" s="109" t="s">
        <v>32759</v>
      </c>
      <c r="C5976" s="109" t="s">
        <v>32759</v>
      </c>
      <c r="D5976" s="109" t="s">
        <v>32983</v>
      </c>
      <c r="E5976" s="109" t="s">
        <v>5558</v>
      </c>
      <c r="F5976" s="109" t="s">
        <v>32984</v>
      </c>
      <c r="G5976" s="110" t="s">
        <v>6248</v>
      </c>
      <c r="H5976" s="110" t="s">
        <v>6418</v>
      </c>
      <c r="I5976" s="110" t="s">
        <v>32985</v>
      </c>
    </row>
    <row r="5977" spans="1:9" ht="37.799999999999997" x14ac:dyDescent="0.3">
      <c r="A5977" s="109" t="s">
        <v>32986</v>
      </c>
      <c r="B5977" s="109" t="s">
        <v>32759</v>
      </c>
      <c r="C5977" s="109" t="s">
        <v>32759</v>
      </c>
      <c r="D5977" s="109" t="s">
        <v>32987</v>
      </c>
      <c r="E5977" s="109" t="s">
        <v>5558</v>
      </c>
      <c r="F5977" s="109" t="s">
        <v>32988</v>
      </c>
      <c r="G5977" s="110" t="s">
        <v>6248</v>
      </c>
      <c r="H5977" s="110" t="s">
        <v>6601</v>
      </c>
      <c r="I5977" s="110" t="s">
        <v>32989</v>
      </c>
    </row>
    <row r="5978" spans="1:9" ht="25.2" x14ac:dyDescent="0.3">
      <c r="A5978" s="109" t="s">
        <v>32990</v>
      </c>
      <c r="B5978" s="109" t="s">
        <v>32759</v>
      </c>
      <c r="C5978" s="109" t="s">
        <v>32759</v>
      </c>
      <c r="D5978" s="109" t="s">
        <v>32991</v>
      </c>
      <c r="E5978" s="109" t="s">
        <v>5558</v>
      </c>
      <c r="F5978" s="109" t="s">
        <v>32992</v>
      </c>
      <c r="G5978" s="110" t="s">
        <v>6248</v>
      </c>
      <c r="H5978" s="110" t="s">
        <v>6393</v>
      </c>
      <c r="I5978" s="110" t="s">
        <v>32993</v>
      </c>
    </row>
    <row r="5979" spans="1:9" ht="25.2" x14ac:dyDescent="0.3">
      <c r="A5979" s="109" t="s">
        <v>32994</v>
      </c>
      <c r="B5979" s="109" t="s">
        <v>32759</v>
      </c>
      <c r="C5979" s="109" t="s">
        <v>32759</v>
      </c>
      <c r="D5979" s="109" t="s">
        <v>32995</v>
      </c>
      <c r="E5979" s="109" t="s">
        <v>5558</v>
      </c>
      <c r="F5979" s="109" t="s">
        <v>32996</v>
      </c>
      <c r="G5979" s="110" t="s">
        <v>6248</v>
      </c>
      <c r="H5979" s="110" t="s">
        <v>7817</v>
      </c>
      <c r="I5979" s="110" t="s">
        <v>32997</v>
      </c>
    </row>
    <row r="5980" spans="1:9" ht="25.2" x14ac:dyDescent="0.3">
      <c r="A5980" s="109" t="s">
        <v>32998</v>
      </c>
      <c r="B5980" s="109" t="s">
        <v>32759</v>
      </c>
      <c r="C5980" s="109" t="s">
        <v>32759</v>
      </c>
      <c r="D5980" s="109" t="s">
        <v>32999</v>
      </c>
      <c r="E5980" s="109" t="s">
        <v>5558</v>
      </c>
      <c r="F5980" s="109" t="s">
        <v>33000</v>
      </c>
      <c r="G5980" s="110" t="s">
        <v>6248</v>
      </c>
      <c r="H5980" s="110" t="s">
        <v>33001</v>
      </c>
      <c r="I5980" s="110" t="s">
        <v>33002</v>
      </c>
    </row>
    <row r="5981" spans="1:9" ht="25.2" x14ac:dyDescent="0.3">
      <c r="A5981" s="109" t="s">
        <v>33003</v>
      </c>
      <c r="B5981" s="109" t="s">
        <v>32759</v>
      </c>
      <c r="C5981" s="109" t="s">
        <v>32759</v>
      </c>
      <c r="D5981" s="109" t="s">
        <v>33004</v>
      </c>
      <c r="E5981" s="109" t="s">
        <v>5558</v>
      </c>
      <c r="F5981" s="109" t="s">
        <v>33005</v>
      </c>
      <c r="G5981" s="110" t="s">
        <v>6248</v>
      </c>
      <c r="H5981" s="110" t="s">
        <v>6428</v>
      </c>
      <c r="I5981" s="110" t="s">
        <v>33006</v>
      </c>
    </row>
    <row r="5982" spans="1:9" ht="37.799999999999997" x14ac:dyDescent="0.3">
      <c r="A5982" s="109" t="s">
        <v>33007</v>
      </c>
      <c r="B5982" s="109" t="s">
        <v>32759</v>
      </c>
      <c r="C5982" s="109" t="s">
        <v>32759</v>
      </c>
      <c r="D5982" s="109" t="s">
        <v>33008</v>
      </c>
      <c r="E5982" s="109" t="s">
        <v>5558</v>
      </c>
      <c r="F5982" s="109" t="s">
        <v>33009</v>
      </c>
      <c r="G5982" s="110" t="s">
        <v>6248</v>
      </c>
      <c r="H5982" s="110" t="s">
        <v>6479</v>
      </c>
      <c r="I5982" s="110" t="s">
        <v>33010</v>
      </c>
    </row>
    <row r="5983" spans="1:9" ht="25.2" x14ac:dyDescent="0.3">
      <c r="A5983" s="109" t="s">
        <v>33011</v>
      </c>
      <c r="B5983" s="109" t="s">
        <v>32759</v>
      </c>
      <c r="C5983" s="109" t="s">
        <v>32759</v>
      </c>
      <c r="D5983" s="109" t="s">
        <v>33012</v>
      </c>
      <c r="E5983" s="109" t="s">
        <v>5558</v>
      </c>
      <c r="F5983" s="109" t="s">
        <v>33013</v>
      </c>
      <c r="G5983" s="110" t="s">
        <v>6248</v>
      </c>
      <c r="H5983" s="110" t="s">
        <v>8905</v>
      </c>
      <c r="I5983" s="110" t="s">
        <v>33014</v>
      </c>
    </row>
    <row r="5984" spans="1:9" ht="37.799999999999997" x14ac:dyDescent="0.3">
      <c r="A5984" s="109" t="s">
        <v>33015</v>
      </c>
      <c r="B5984" s="109" t="s">
        <v>32759</v>
      </c>
      <c r="C5984" s="109" t="s">
        <v>32759</v>
      </c>
      <c r="D5984" s="109" t="s">
        <v>33016</v>
      </c>
      <c r="E5984" s="109" t="s">
        <v>5558</v>
      </c>
      <c r="F5984" s="109" t="s">
        <v>33017</v>
      </c>
      <c r="G5984" s="110" t="s">
        <v>6248</v>
      </c>
      <c r="H5984" s="110" t="s">
        <v>7817</v>
      </c>
      <c r="I5984" s="110" t="s">
        <v>33018</v>
      </c>
    </row>
    <row r="5985" spans="1:9" ht="25.2" x14ac:dyDescent="0.3">
      <c r="A5985" s="109" t="s">
        <v>33019</v>
      </c>
      <c r="B5985" s="109" t="s">
        <v>32759</v>
      </c>
      <c r="C5985" s="109" t="s">
        <v>32759</v>
      </c>
      <c r="D5985" s="109" t="s">
        <v>33020</v>
      </c>
      <c r="E5985" s="109" t="s">
        <v>5558</v>
      </c>
      <c r="F5985" s="109" t="s">
        <v>33021</v>
      </c>
      <c r="G5985" s="110" t="s">
        <v>6248</v>
      </c>
      <c r="H5985" s="110" t="s">
        <v>6393</v>
      </c>
      <c r="I5985" s="110" t="s">
        <v>33022</v>
      </c>
    </row>
    <row r="5986" spans="1:9" ht="37.799999999999997" x14ac:dyDescent="0.3">
      <c r="A5986" s="109" t="s">
        <v>33023</v>
      </c>
      <c r="B5986" s="109" t="s">
        <v>32759</v>
      </c>
      <c r="C5986" s="109" t="s">
        <v>32759</v>
      </c>
      <c r="D5986" s="109" t="s">
        <v>33024</v>
      </c>
      <c r="E5986" s="109" t="s">
        <v>5558</v>
      </c>
      <c r="F5986" s="109" t="s">
        <v>33025</v>
      </c>
      <c r="G5986" s="110" t="s">
        <v>6248</v>
      </c>
      <c r="H5986" s="110" t="s">
        <v>6398</v>
      </c>
      <c r="I5986" s="110" t="s">
        <v>33026</v>
      </c>
    </row>
    <row r="5987" spans="1:9" ht="25.2" x14ac:dyDescent="0.3">
      <c r="A5987" s="109" t="s">
        <v>33027</v>
      </c>
      <c r="B5987" s="109" t="s">
        <v>32759</v>
      </c>
      <c r="C5987" s="109" t="s">
        <v>32759</v>
      </c>
      <c r="D5987" s="109" t="s">
        <v>33028</v>
      </c>
      <c r="E5987" s="109" t="s">
        <v>5558</v>
      </c>
      <c r="F5987" s="109" t="s">
        <v>33029</v>
      </c>
      <c r="G5987" s="110" t="s">
        <v>6248</v>
      </c>
      <c r="H5987" s="110" t="s">
        <v>7992</v>
      </c>
      <c r="I5987" s="110" t="s">
        <v>33030</v>
      </c>
    </row>
    <row r="5988" spans="1:9" ht="25.2" x14ac:dyDescent="0.3">
      <c r="A5988" s="109" t="s">
        <v>33031</v>
      </c>
      <c r="B5988" s="109" t="s">
        <v>32759</v>
      </c>
      <c r="C5988" s="109" t="s">
        <v>32759</v>
      </c>
      <c r="D5988" s="109" t="s">
        <v>33032</v>
      </c>
      <c r="E5988" s="109" t="s">
        <v>5558</v>
      </c>
      <c r="F5988" s="109" t="s">
        <v>33033</v>
      </c>
      <c r="G5988" s="110" t="s">
        <v>6248</v>
      </c>
      <c r="H5988" s="110" t="s">
        <v>6393</v>
      </c>
      <c r="I5988" s="110" t="s">
        <v>33034</v>
      </c>
    </row>
    <row r="5989" spans="1:9" ht="25.2" x14ac:dyDescent="0.3">
      <c r="A5989" s="109" t="s">
        <v>33035</v>
      </c>
      <c r="B5989" s="109" t="s">
        <v>32759</v>
      </c>
      <c r="C5989" s="109" t="s">
        <v>32759</v>
      </c>
      <c r="D5989" s="109" t="s">
        <v>33036</v>
      </c>
      <c r="E5989" s="109" t="s">
        <v>5558</v>
      </c>
      <c r="F5989" s="109" t="s">
        <v>33037</v>
      </c>
      <c r="G5989" s="110" t="s">
        <v>6248</v>
      </c>
      <c r="H5989" s="110" t="s">
        <v>33038</v>
      </c>
      <c r="I5989" s="110" t="s">
        <v>33039</v>
      </c>
    </row>
    <row r="5990" spans="1:9" ht="25.2" x14ac:dyDescent="0.3">
      <c r="A5990" s="109" t="s">
        <v>33040</v>
      </c>
      <c r="B5990" s="109" t="s">
        <v>32759</v>
      </c>
      <c r="C5990" s="109" t="s">
        <v>32759</v>
      </c>
      <c r="D5990" s="109" t="s">
        <v>33041</v>
      </c>
      <c r="E5990" s="109" t="s">
        <v>5558</v>
      </c>
      <c r="F5990" s="109" t="s">
        <v>33042</v>
      </c>
      <c r="G5990" s="110" t="s">
        <v>6248</v>
      </c>
      <c r="H5990" s="110" t="s">
        <v>33043</v>
      </c>
      <c r="I5990" s="110" t="s">
        <v>33044</v>
      </c>
    </row>
    <row r="5991" spans="1:9" ht="25.2" x14ac:dyDescent="0.3">
      <c r="A5991" s="109" t="s">
        <v>33045</v>
      </c>
      <c r="B5991" s="109" t="s">
        <v>32759</v>
      </c>
      <c r="C5991" s="109" t="s">
        <v>32759</v>
      </c>
      <c r="D5991" s="109" t="s">
        <v>5772</v>
      </c>
      <c r="E5991" s="109" t="s">
        <v>5558</v>
      </c>
      <c r="F5991" s="109" t="s">
        <v>2258</v>
      </c>
      <c r="G5991" s="110" t="s">
        <v>6248</v>
      </c>
      <c r="H5991" s="110" t="s">
        <v>33046</v>
      </c>
      <c r="I5991" s="110" t="s">
        <v>33047</v>
      </c>
    </row>
    <row r="5992" spans="1:9" ht="25.2" x14ac:dyDescent="0.3">
      <c r="A5992" s="109" t="s">
        <v>33048</v>
      </c>
      <c r="B5992" s="109" t="s">
        <v>32759</v>
      </c>
      <c r="C5992" s="109" t="s">
        <v>32759</v>
      </c>
      <c r="D5992" s="109" t="s">
        <v>6259</v>
      </c>
      <c r="E5992" s="109" t="s">
        <v>5558</v>
      </c>
      <c r="F5992" s="109" t="s">
        <v>2258</v>
      </c>
      <c r="G5992" s="110" t="s">
        <v>6248</v>
      </c>
      <c r="H5992" s="110" t="s">
        <v>33049</v>
      </c>
      <c r="I5992" s="110" t="s">
        <v>33050</v>
      </c>
    </row>
    <row r="5993" spans="1:9" ht="25.2" x14ac:dyDescent="0.3">
      <c r="A5993" s="109" t="s">
        <v>33051</v>
      </c>
      <c r="B5993" s="109" t="s">
        <v>32759</v>
      </c>
      <c r="C5993" s="109" t="s">
        <v>32759</v>
      </c>
      <c r="D5993" s="109" t="s">
        <v>6264</v>
      </c>
      <c r="E5993" s="109" t="s">
        <v>5558</v>
      </c>
      <c r="F5993" s="109" t="s">
        <v>2258</v>
      </c>
      <c r="G5993" s="110" t="s">
        <v>6248</v>
      </c>
      <c r="H5993" s="110" t="s">
        <v>6360</v>
      </c>
      <c r="I5993" s="110" t="s">
        <v>33052</v>
      </c>
    </row>
    <row r="5994" spans="1:9" ht="25.2" x14ac:dyDescent="0.3">
      <c r="A5994" s="109" t="s">
        <v>33053</v>
      </c>
      <c r="B5994" s="109" t="s">
        <v>32759</v>
      </c>
      <c r="C5994" s="109" t="s">
        <v>32759</v>
      </c>
      <c r="D5994" s="109" t="s">
        <v>33054</v>
      </c>
      <c r="E5994" s="109" t="s">
        <v>2258</v>
      </c>
      <c r="F5994" s="109" t="s">
        <v>19701</v>
      </c>
      <c r="G5994" s="110" t="s">
        <v>6248</v>
      </c>
      <c r="H5994" s="110" t="s">
        <v>33055</v>
      </c>
      <c r="I5994" s="110" t="s">
        <v>33056</v>
      </c>
    </row>
    <row r="5995" spans="1:9" ht="25.2" x14ac:dyDescent="0.3">
      <c r="A5995" s="109" t="s">
        <v>33057</v>
      </c>
      <c r="B5995" s="109" t="s">
        <v>32759</v>
      </c>
      <c r="C5995" s="109" t="s">
        <v>32759</v>
      </c>
      <c r="D5995" s="109" t="s">
        <v>5178</v>
      </c>
      <c r="E5995" s="109" t="s">
        <v>5558</v>
      </c>
      <c r="F5995" s="109" t="s">
        <v>33058</v>
      </c>
      <c r="G5995" s="110" t="s">
        <v>6248</v>
      </c>
      <c r="H5995" s="110" t="s">
        <v>33059</v>
      </c>
      <c r="I5995" s="110" t="s">
        <v>33060</v>
      </c>
    </row>
    <row r="5996" spans="1:9" ht="25.2" x14ac:dyDescent="0.3">
      <c r="A5996" s="109" t="s">
        <v>33061</v>
      </c>
      <c r="B5996" s="109" t="s">
        <v>32759</v>
      </c>
      <c r="C5996" s="109" t="s">
        <v>32759</v>
      </c>
      <c r="D5996" s="109" t="s">
        <v>33062</v>
      </c>
      <c r="E5996" s="109" t="s">
        <v>33063</v>
      </c>
      <c r="F5996" s="109" t="s">
        <v>18345</v>
      </c>
      <c r="G5996" s="110" t="s">
        <v>6248</v>
      </c>
      <c r="H5996" s="110" t="s">
        <v>33064</v>
      </c>
      <c r="I5996" s="110" t="s">
        <v>33065</v>
      </c>
    </row>
    <row r="5997" spans="1:9" ht="25.2" x14ac:dyDescent="0.3">
      <c r="A5997" s="109" t="s">
        <v>33066</v>
      </c>
      <c r="B5997" s="109" t="s">
        <v>32759</v>
      </c>
      <c r="C5997" s="109" t="s">
        <v>32759</v>
      </c>
      <c r="D5997" s="109" t="s">
        <v>33067</v>
      </c>
      <c r="E5997" s="109" t="s">
        <v>33068</v>
      </c>
      <c r="F5997" s="109" t="s">
        <v>18345</v>
      </c>
      <c r="G5997" s="110" t="s">
        <v>6248</v>
      </c>
      <c r="H5997" s="110" t="s">
        <v>33069</v>
      </c>
      <c r="I5997" s="110" t="s">
        <v>33070</v>
      </c>
    </row>
    <row r="5998" spans="1:9" ht="25.2" x14ac:dyDescent="0.3">
      <c r="A5998" s="109" t="s">
        <v>33071</v>
      </c>
      <c r="B5998" s="109" t="s">
        <v>32759</v>
      </c>
      <c r="C5998" s="109" t="s">
        <v>32759</v>
      </c>
      <c r="D5998" s="109" t="s">
        <v>33072</v>
      </c>
      <c r="E5998" s="109" t="s">
        <v>5558</v>
      </c>
      <c r="F5998" s="109" t="s">
        <v>33073</v>
      </c>
      <c r="G5998" s="110" t="s">
        <v>6248</v>
      </c>
      <c r="H5998" s="110" t="s">
        <v>12066</v>
      </c>
      <c r="I5998" s="110" t="s">
        <v>33074</v>
      </c>
    </row>
    <row r="5999" spans="1:9" ht="25.2" x14ac:dyDescent="0.3">
      <c r="A5999" s="109" t="s">
        <v>33075</v>
      </c>
      <c r="B5999" s="109" t="s">
        <v>32759</v>
      </c>
      <c r="C5999" s="109" t="s">
        <v>32759</v>
      </c>
      <c r="D5999" s="109" t="s">
        <v>33076</v>
      </c>
      <c r="E5999" s="109" t="s">
        <v>5558</v>
      </c>
      <c r="F5999" s="109" t="s">
        <v>33077</v>
      </c>
      <c r="G5999" s="110" t="s">
        <v>6248</v>
      </c>
      <c r="H5999" s="110" t="s">
        <v>33078</v>
      </c>
      <c r="I5999" s="110" t="s">
        <v>33079</v>
      </c>
    </row>
    <row r="6000" spans="1:9" ht="25.2" x14ac:dyDescent="0.3">
      <c r="A6000" s="109" t="s">
        <v>33080</v>
      </c>
      <c r="B6000" s="109" t="s">
        <v>32759</v>
      </c>
      <c r="C6000" s="109" t="s">
        <v>32759</v>
      </c>
      <c r="D6000" s="109" t="s">
        <v>33081</v>
      </c>
      <c r="E6000" s="109" t="s">
        <v>33082</v>
      </c>
      <c r="F6000" s="109" t="s">
        <v>33083</v>
      </c>
      <c r="G6000" s="110" t="s">
        <v>6248</v>
      </c>
      <c r="H6000" s="110" t="s">
        <v>33084</v>
      </c>
      <c r="I6000" s="110" t="s">
        <v>33085</v>
      </c>
    </row>
    <row r="6001" spans="1:9" ht="25.2" x14ac:dyDescent="0.3">
      <c r="A6001" s="109" t="s">
        <v>33086</v>
      </c>
      <c r="B6001" s="109" t="s">
        <v>32759</v>
      </c>
      <c r="C6001" s="109" t="s">
        <v>32759</v>
      </c>
      <c r="D6001" s="109" t="s">
        <v>5258</v>
      </c>
      <c r="E6001" s="109" t="s">
        <v>5558</v>
      </c>
      <c r="F6001" s="109" t="s">
        <v>33087</v>
      </c>
      <c r="G6001" s="110" t="s">
        <v>6248</v>
      </c>
      <c r="H6001" s="110" t="s">
        <v>33088</v>
      </c>
      <c r="I6001" s="110" t="s">
        <v>33089</v>
      </c>
    </row>
    <row r="6002" spans="1:9" ht="25.2" x14ac:dyDescent="0.3">
      <c r="A6002" s="109" t="s">
        <v>33090</v>
      </c>
      <c r="B6002" s="109" t="s">
        <v>32759</v>
      </c>
      <c r="C6002" s="109" t="s">
        <v>32759</v>
      </c>
      <c r="D6002" s="109" t="s">
        <v>33091</v>
      </c>
      <c r="E6002" s="109" t="s">
        <v>33092</v>
      </c>
      <c r="F6002" s="109" t="s">
        <v>33083</v>
      </c>
      <c r="G6002" s="110" t="s">
        <v>6248</v>
      </c>
      <c r="H6002" s="110" t="s">
        <v>33093</v>
      </c>
      <c r="I6002" s="110" t="s">
        <v>33094</v>
      </c>
    </row>
    <row r="6003" spans="1:9" ht="37.799999999999997" x14ac:dyDescent="0.3">
      <c r="A6003" s="109" t="s">
        <v>33095</v>
      </c>
      <c r="B6003" s="109" t="s">
        <v>32759</v>
      </c>
      <c r="C6003" s="109" t="s">
        <v>32759</v>
      </c>
      <c r="D6003" s="109" t="s">
        <v>33096</v>
      </c>
      <c r="E6003" s="109" t="s">
        <v>5558</v>
      </c>
      <c r="F6003" s="109" t="s">
        <v>33097</v>
      </c>
      <c r="G6003" s="110" t="s">
        <v>6248</v>
      </c>
      <c r="H6003" s="110" t="s">
        <v>33098</v>
      </c>
      <c r="I6003" s="110" t="s">
        <v>33099</v>
      </c>
    </row>
    <row r="6004" spans="1:9" ht="25.2" x14ac:dyDescent="0.3">
      <c r="A6004" s="109" t="s">
        <v>33100</v>
      </c>
      <c r="B6004" s="109" t="s">
        <v>32759</v>
      </c>
      <c r="C6004" s="109" t="s">
        <v>32759</v>
      </c>
      <c r="D6004" s="109" t="s">
        <v>33101</v>
      </c>
      <c r="E6004" s="109" t="s">
        <v>33092</v>
      </c>
      <c r="F6004" s="109" t="s">
        <v>33083</v>
      </c>
      <c r="G6004" s="110" t="s">
        <v>6248</v>
      </c>
      <c r="H6004" s="110" t="s">
        <v>33102</v>
      </c>
      <c r="I6004" s="110" t="s">
        <v>33103</v>
      </c>
    </row>
    <row r="6005" spans="1:9" ht="25.2" x14ac:dyDescent="0.3">
      <c r="A6005" s="109" t="s">
        <v>33104</v>
      </c>
      <c r="B6005" s="109" t="s">
        <v>32759</v>
      </c>
      <c r="C6005" s="109" t="s">
        <v>32759</v>
      </c>
      <c r="D6005" s="109" t="s">
        <v>5221</v>
      </c>
      <c r="E6005" s="109" t="s">
        <v>5558</v>
      </c>
      <c r="F6005" s="109" t="s">
        <v>33105</v>
      </c>
      <c r="G6005" s="110" t="s">
        <v>6248</v>
      </c>
      <c r="H6005" s="110" t="s">
        <v>33106</v>
      </c>
      <c r="I6005" s="110" t="s">
        <v>33107</v>
      </c>
    </row>
    <row r="6006" spans="1:9" ht="25.2" x14ac:dyDescent="0.3">
      <c r="A6006" s="109" t="s">
        <v>33108</v>
      </c>
      <c r="B6006" s="109" t="s">
        <v>32759</v>
      </c>
      <c r="C6006" s="109" t="s">
        <v>32759</v>
      </c>
      <c r="D6006" s="109" t="s">
        <v>33109</v>
      </c>
      <c r="E6006" s="109" t="s">
        <v>5558</v>
      </c>
      <c r="F6006" s="109" t="s">
        <v>33110</v>
      </c>
      <c r="G6006" s="110" t="s">
        <v>6248</v>
      </c>
      <c r="H6006" s="110" t="s">
        <v>20949</v>
      </c>
      <c r="I6006" s="110" t="s">
        <v>33111</v>
      </c>
    </row>
    <row r="6007" spans="1:9" ht="25.2" x14ac:dyDescent="0.3">
      <c r="A6007" s="109" t="s">
        <v>33112</v>
      </c>
      <c r="B6007" s="109" t="s">
        <v>32759</v>
      </c>
      <c r="C6007" s="109" t="s">
        <v>32759</v>
      </c>
      <c r="D6007" s="109" t="s">
        <v>33113</v>
      </c>
      <c r="E6007" s="109" t="s">
        <v>23301</v>
      </c>
      <c r="F6007" s="109" t="s">
        <v>23302</v>
      </c>
      <c r="G6007" s="110" t="s">
        <v>6248</v>
      </c>
      <c r="H6007" s="110" t="s">
        <v>33114</v>
      </c>
      <c r="I6007" s="110" t="s">
        <v>33115</v>
      </c>
    </row>
    <row r="6008" spans="1:9" ht="25.2" x14ac:dyDescent="0.3">
      <c r="A6008" s="109" t="s">
        <v>33116</v>
      </c>
      <c r="B6008" s="109" t="s">
        <v>32759</v>
      </c>
      <c r="C6008" s="109" t="s">
        <v>32759</v>
      </c>
      <c r="D6008" s="109" t="s">
        <v>33117</v>
      </c>
      <c r="E6008" s="109" t="s">
        <v>33118</v>
      </c>
      <c r="F6008" s="109" t="s">
        <v>33119</v>
      </c>
      <c r="G6008" s="110" t="s">
        <v>6248</v>
      </c>
      <c r="H6008" s="110" t="s">
        <v>6341</v>
      </c>
      <c r="I6008" s="110" t="s">
        <v>33120</v>
      </c>
    </row>
    <row r="6009" spans="1:9" ht="25.2" x14ac:dyDescent="0.3">
      <c r="A6009" s="109" t="s">
        <v>33121</v>
      </c>
      <c r="B6009" s="109" t="s">
        <v>32759</v>
      </c>
      <c r="C6009" s="109" t="s">
        <v>32759</v>
      </c>
      <c r="D6009" s="109" t="s">
        <v>33122</v>
      </c>
      <c r="E6009" s="109" t="s">
        <v>5558</v>
      </c>
      <c r="F6009" s="109" t="s">
        <v>33123</v>
      </c>
      <c r="G6009" s="110" t="s">
        <v>6248</v>
      </c>
      <c r="H6009" s="110" t="s">
        <v>7321</v>
      </c>
      <c r="I6009" s="110" t="s">
        <v>33124</v>
      </c>
    </row>
    <row r="6010" spans="1:9" ht="25.2" x14ac:dyDescent="0.3">
      <c r="A6010" s="109" t="s">
        <v>33125</v>
      </c>
      <c r="B6010" s="109" t="s">
        <v>32759</v>
      </c>
      <c r="C6010" s="109" t="s">
        <v>32759</v>
      </c>
      <c r="D6010" s="109" t="s">
        <v>33126</v>
      </c>
      <c r="E6010" s="109" t="s">
        <v>5558</v>
      </c>
      <c r="F6010" s="109" t="s">
        <v>33127</v>
      </c>
      <c r="G6010" s="110" t="s">
        <v>6248</v>
      </c>
      <c r="H6010" s="110" t="s">
        <v>19969</v>
      </c>
      <c r="I6010" s="110" t="s">
        <v>33128</v>
      </c>
    </row>
    <row r="6011" spans="1:9" ht="25.2" x14ac:dyDescent="0.3">
      <c r="A6011" s="109" t="s">
        <v>33129</v>
      </c>
      <c r="B6011" s="109" t="s">
        <v>32759</v>
      </c>
      <c r="C6011" s="109" t="s">
        <v>32759</v>
      </c>
      <c r="D6011" s="109" t="s">
        <v>33130</v>
      </c>
      <c r="E6011" s="109" t="s">
        <v>33131</v>
      </c>
      <c r="F6011" s="109" t="s">
        <v>6878</v>
      </c>
      <c r="G6011" s="110" t="s">
        <v>33132</v>
      </c>
      <c r="H6011" s="110" t="s">
        <v>6248</v>
      </c>
      <c r="I6011" s="110" t="s">
        <v>33133</v>
      </c>
    </row>
    <row r="6012" spans="1:9" ht="25.2" x14ac:dyDescent="0.3">
      <c r="A6012" s="109" t="s">
        <v>33134</v>
      </c>
      <c r="B6012" s="109" t="s">
        <v>32759</v>
      </c>
      <c r="C6012" s="109" t="s">
        <v>32759</v>
      </c>
      <c r="D6012" s="109" t="s">
        <v>33135</v>
      </c>
      <c r="E6012" s="109" t="s">
        <v>33136</v>
      </c>
      <c r="F6012" s="109" t="s">
        <v>7039</v>
      </c>
      <c r="G6012" s="110" t="s">
        <v>6248</v>
      </c>
      <c r="H6012" s="110" t="s">
        <v>10844</v>
      </c>
      <c r="I6012" s="110" t="s">
        <v>33137</v>
      </c>
    </row>
    <row r="6013" spans="1:9" ht="25.2" x14ac:dyDescent="0.3">
      <c r="A6013" s="109" t="s">
        <v>33138</v>
      </c>
      <c r="B6013" s="109" t="s">
        <v>32759</v>
      </c>
      <c r="C6013" s="109" t="s">
        <v>32759</v>
      </c>
      <c r="D6013" s="109" t="s">
        <v>33139</v>
      </c>
      <c r="E6013" s="109" t="s">
        <v>33131</v>
      </c>
      <c r="F6013" s="109" t="s">
        <v>6878</v>
      </c>
      <c r="G6013" s="110" t="s">
        <v>9647</v>
      </c>
      <c r="H6013" s="110" t="s">
        <v>6248</v>
      </c>
      <c r="I6013" s="110" t="s">
        <v>33140</v>
      </c>
    </row>
    <row r="6014" spans="1:9" ht="25.2" x14ac:dyDescent="0.3">
      <c r="A6014" s="109" t="s">
        <v>33141</v>
      </c>
      <c r="B6014" s="109" t="s">
        <v>32759</v>
      </c>
      <c r="C6014" s="109" t="s">
        <v>32759</v>
      </c>
      <c r="D6014" s="109" t="s">
        <v>5569</v>
      </c>
      <c r="E6014" s="109" t="s">
        <v>5558</v>
      </c>
      <c r="F6014" s="109" t="s">
        <v>2258</v>
      </c>
      <c r="G6014" s="110" t="s">
        <v>6248</v>
      </c>
      <c r="H6014" s="110" t="s">
        <v>33142</v>
      </c>
      <c r="I6014" s="110" t="s">
        <v>33143</v>
      </c>
    </row>
    <row r="6015" spans="1:9" ht="25.2" x14ac:dyDescent="0.3">
      <c r="A6015" s="109" t="s">
        <v>33144</v>
      </c>
      <c r="B6015" s="109" t="s">
        <v>32759</v>
      </c>
      <c r="C6015" s="109" t="s">
        <v>32759</v>
      </c>
      <c r="D6015" s="109" t="s">
        <v>33145</v>
      </c>
      <c r="E6015" s="109" t="s">
        <v>5558</v>
      </c>
      <c r="F6015" s="109" t="s">
        <v>33146</v>
      </c>
      <c r="G6015" s="110" t="s">
        <v>6248</v>
      </c>
      <c r="H6015" s="110" t="s">
        <v>33147</v>
      </c>
      <c r="I6015" s="110" t="s">
        <v>33148</v>
      </c>
    </row>
    <row r="6016" spans="1:9" ht="63" x14ac:dyDescent="0.3">
      <c r="A6016" s="109" t="s">
        <v>33149</v>
      </c>
      <c r="B6016" s="109" t="s">
        <v>32759</v>
      </c>
      <c r="C6016" s="109" t="s">
        <v>32759</v>
      </c>
      <c r="D6016" s="109" t="s">
        <v>33150</v>
      </c>
      <c r="E6016" s="109" t="s">
        <v>33150</v>
      </c>
      <c r="F6016" s="109" t="s">
        <v>33151</v>
      </c>
      <c r="G6016" s="110" t="s">
        <v>6248</v>
      </c>
      <c r="H6016" s="110" t="s">
        <v>33152</v>
      </c>
      <c r="I6016" s="110" t="s">
        <v>33153</v>
      </c>
    </row>
    <row r="6017" spans="1:9" ht="25.2" x14ac:dyDescent="0.3">
      <c r="A6017" s="109" t="s">
        <v>33154</v>
      </c>
      <c r="B6017" s="109" t="s">
        <v>32759</v>
      </c>
      <c r="C6017" s="109" t="s">
        <v>32759</v>
      </c>
      <c r="D6017" s="109" t="s">
        <v>33155</v>
      </c>
      <c r="E6017" s="109" t="s">
        <v>5558</v>
      </c>
      <c r="F6017" s="109" t="s">
        <v>33156</v>
      </c>
      <c r="G6017" s="110" t="s">
        <v>6248</v>
      </c>
      <c r="H6017" s="110" t="s">
        <v>33157</v>
      </c>
      <c r="I6017" s="110" t="s">
        <v>33158</v>
      </c>
    </row>
    <row r="6018" spans="1:9" ht="75.599999999999994" x14ac:dyDescent="0.3">
      <c r="A6018" s="109" t="s">
        <v>33159</v>
      </c>
      <c r="B6018" s="109" t="s">
        <v>32759</v>
      </c>
      <c r="C6018" s="109" t="s">
        <v>32759</v>
      </c>
      <c r="D6018" s="109" t="s">
        <v>33160</v>
      </c>
      <c r="E6018" s="109" t="s">
        <v>33160</v>
      </c>
      <c r="F6018" s="109" t="s">
        <v>33161</v>
      </c>
      <c r="G6018" s="110" t="s">
        <v>6248</v>
      </c>
      <c r="H6018" s="110" t="s">
        <v>33162</v>
      </c>
      <c r="I6018" s="110" t="s">
        <v>33163</v>
      </c>
    </row>
    <row r="6019" spans="1:9" ht="75.599999999999994" x14ac:dyDescent="0.3">
      <c r="A6019" s="109" t="s">
        <v>33164</v>
      </c>
      <c r="B6019" s="109" t="s">
        <v>32759</v>
      </c>
      <c r="C6019" s="109" t="s">
        <v>32759</v>
      </c>
      <c r="D6019" s="109" t="s">
        <v>33165</v>
      </c>
      <c r="E6019" s="109" t="s">
        <v>33165</v>
      </c>
      <c r="F6019" s="109" t="s">
        <v>33166</v>
      </c>
      <c r="G6019" s="110" t="s">
        <v>6248</v>
      </c>
      <c r="H6019" s="110" t="s">
        <v>33167</v>
      </c>
      <c r="I6019" s="110" t="s">
        <v>33168</v>
      </c>
    </row>
    <row r="6020" spans="1:9" ht="25.2" x14ac:dyDescent="0.3">
      <c r="A6020" s="109" t="s">
        <v>33169</v>
      </c>
      <c r="B6020" s="109" t="s">
        <v>32759</v>
      </c>
      <c r="C6020" s="109" t="s">
        <v>32759</v>
      </c>
      <c r="D6020" s="109" t="s">
        <v>33170</v>
      </c>
      <c r="E6020" s="109" t="s">
        <v>13050</v>
      </c>
      <c r="F6020" s="109" t="s">
        <v>13051</v>
      </c>
      <c r="G6020" s="110" t="s">
        <v>6248</v>
      </c>
      <c r="H6020" s="110" t="s">
        <v>33171</v>
      </c>
      <c r="I6020" s="110" t="s">
        <v>33172</v>
      </c>
    </row>
    <row r="6021" spans="1:9" ht="25.2" x14ac:dyDescent="0.3">
      <c r="A6021" s="109" t="s">
        <v>33173</v>
      </c>
      <c r="B6021" s="109" t="s">
        <v>32759</v>
      </c>
      <c r="C6021" s="109" t="s">
        <v>32759</v>
      </c>
      <c r="D6021" s="109" t="s">
        <v>33174</v>
      </c>
      <c r="E6021" s="109" t="s">
        <v>33175</v>
      </c>
      <c r="F6021" s="109" t="s">
        <v>33176</v>
      </c>
      <c r="G6021" s="110" t="s">
        <v>6248</v>
      </c>
      <c r="H6021" s="110" t="s">
        <v>33177</v>
      </c>
      <c r="I6021" s="110" t="s">
        <v>33178</v>
      </c>
    </row>
    <row r="6022" spans="1:9" ht="37.799999999999997" x14ac:dyDescent="0.3">
      <c r="A6022" s="109" t="s">
        <v>33179</v>
      </c>
      <c r="B6022" s="109" t="s">
        <v>32759</v>
      </c>
      <c r="C6022" s="109" t="s">
        <v>32759</v>
      </c>
      <c r="D6022" s="109" t="s">
        <v>33180</v>
      </c>
      <c r="E6022" s="109" t="s">
        <v>5558</v>
      </c>
      <c r="F6022" s="109" t="s">
        <v>33181</v>
      </c>
      <c r="G6022" s="110" t="s">
        <v>6248</v>
      </c>
      <c r="H6022" s="110" t="s">
        <v>33182</v>
      </c>
      <c r="I6022" s="110" t="s">
        <v>33183</v>
      </c>
    </row>
    <row r="6023" spans="1:9" ht="37.799999999999997" x14ac:dyDescent="0.3">
      <c r="A6023" s="109" t="s">
        <v>33184</v>
      </c>
      <c r="B6023" s="109" t="s">
        <v>32759</v>
      </c>
      <c r="C6023" s="109" t="s">
        <v>32759</v>
      </c>
      <c r="D6023" s="109" t="s">
        <v>33185</v>
      </c>
      <c r="E6023" s="109" t="s">
        <v>5558</v>
      </c>
      <c r="F6023" s="109" t="s">
        <v>33186</v>
      </c>
      <c r="G6023" s="110" t="s">
        <v>6248</v>
      </c>
      <c r="H6023" s="110" t="s">
        <v>33187</v>
      </c>
      <c r="I6023" s="110" t="s">
        <v>33188</v>
      </c>
    </row>
    <row r="6024" spans="1:9" ht="37.799999999999997" x14ac:dyDescent="0.3">
      <c r="A6024" s="109" t="s">
        <v>33189</v>
      </c>
      <c r="B6024" s="109" t="s">
        <v>32759</v>
      </c>
      <c r="C6024" s="109" t="s">
        <v>32759</v>
      </c>
      <c r="D6024" s="109" t="s">
        <v>33190</v>
      </c>
      <c r="E6024" s="109" t="s">
        <v>5558</v>
      </c>
      <c r="F6024" s="109" t="s">
        <v>33191</v>
      </c>
      <c r="G6024" s="110" t="s">
        <v>6248</v>
      </c>
      <c r="H6024" s="110" t="s">
        <v>24823</v>
      </c>
      <c r="I6024" s="110" t="s">
        <v>33192</v>
      </c>
    </row>
    <row r="6025" spans="1:9" ht="25.2" x14ac:dyDescent="0.3">
      <c r="A6025" s="109" t="s">
        <v>33193</v>
      </c>
      <c r="B6025" s="109" t="s">
        <v>32759</v>
      </c>
      <c r="C6025" s="109" t="s">
        <v>32759</v>
      </c>
      <c r="D6025" s="109" t="s">
        <v>33194</v>
      </c>
      <c r="E6025" s="109" t="s">
        <v>5558</v>
      </c>
      <c r="F6025" s="109" t="s">
        <v>33195</v>
      </c>
      <c r="G6025" s="110" t="s">
        <v>6248</v>
      </c>
      <c r="H6025" s="110" t="s">
        <v>33196</v>
      </c>
      <c r="I6025" s="110" t="s">
        <v>33197</v>
      </c>
    </row>
    <row r="6026" spans="1:9" ht="25.2" x14ac:dyDescent="0.3">
      <c r="A6026" s="109" t="s">
        <v>33198</v>
      </c>
      <c r="B6026" s="109" t="s">
        <v>32759</v>
      </c>
      <c r="C6026" s="109" t="s">
        <v>32759</v>
      </c>
      <c r="D6026" s="109" t="s">
        <v>5569</v>
      </c>
      <c r="E6026" s="109" t="s">
        <v>5558</v>
      </c>
      <c r="F6026" s="109" t="s">
        <v>2258</v>
      </c>
      <c r="G6026" s="110" t="s">
        <v>6248</v>
      </c>
      <c r="H6026" s="110" t="s">
        <v>20658</v>
      </c>
      <c r="I6026" s="110" t="s">
        <v>33199</v>
      </c>
    </row>
    <row r="6027" spans="1:9" ht="25.2" x14ac:dyDescent="0.3">
      <c r="A6027" s="109" t="s">
        <v>33200</v>
      </c>
      <c r="B6027" s="109" t="s">
        <v>32759</v>
      </c>
      <c r="C6027" s="109" t="s">
        <v>32759</v>
      </c>
      <c r="D6027" s="109" t="s">
        <v>33201</v>
      </c>
      <c r="E6027" s="109" t="s">
        <v>33202</v>
      </c>
      <c r="F6027" s="109" t="s">
        <v>8094</v>
      </c>
      <c r="G6027" s="110" t="s">
        <v>6248</v>
      </c>
      <c r="H6027" s="110" t="s">
        <v>8095</v>
      </c>
      <c r="I6027" s="110" t="s">
        <v>33203</v>
      </c>
    </row>
    <row r="6028" spans="1:9" ht="25.2" x14ac:dyDescent="0.3">
      <c r="A6028" s="109" t="s">
        <v>33204</v>
      </c>
      <c r="B6028" s="109" t="s">
        <v>32759</v>
      </c>
      <c r="C6028" s="109" t="s">
        <v>32759</v>
      </c>
      <c r="D6028" s="109" t="s">
        <v>33205</v>
      </c>
      <c r="E6028" s="109" t="s">
        <v>33136</v>
      </c>
      <c r="F6028" s="109" t="s">
        <v>7039</v>
      </c>
      <c r="G6028" s="110" t="s">
        <v>6248</v>
      </c>
      <c r="H6028" s="110" t="s">
        <v>20489</v>
      </c>
      <c r="I6028" s="110" t="s">
        <v>33206</v>
      </c>
    </row>
    <row r="6029" spans="1:9" ht="25.2" x14ac:dyDescent="0.3">
      <c r="A6029" s="109" t="s">
        <v>33207</v>
      </c>
      <c r="B6029" s="109" t="s">
        <v>32759</v>
      </c>
      <c r="C6029" s="109" t="s">
        <v>32759</v>
      </c>
      <c r="D6029" s="109" t="s">
        <v>33208</v>
      </c>
      <c r="E6029" s="109" t="s">
        <v>33209</v>
      </c>
      <c r="F6029" s="109" t="s">
        <v>33210</v>
      </c>
      <c r="G6029" s="110" t="s">
        <v>6248</v>
      </c>
      <c r="H6029" s="110" t="s">
        <v>33211</v>
      </c>
      <c r="I6029" s="110" t="s">
        <v>33212</v>
      </c>
    </row>
    <row r="6030" spans="1:9" ht="25.2" x14ac:dyDescent="0.3">
      <c r="A6030" s="109" t="s">
        <v>33213</v>
      </c>
      <c r="B6030" s="109" t="s">
        <v>32759</v>
      </c>
      <c r="C6030" s="109" t="s">
        <v>32759</v>
      </c>
      <c r="D6030" s="109" t="s">
        <v>33214</v>
      </c>
      <c r="E6030" s="109" t="s">
        <v>5558</v>
      </c>
      <c r="F6030" s="109" t="s">
        <v>33215</v>
      </c>
      <c r="G6030" s="110" t="s">
        <v>6248</v>
      </c>
      <c r="H6030" s="110" t="s">
        <v>7094</v>
      </c>
      <c r="I6030" s="110" t="s">
        <v>33216</v>
      </c>
    </row>
    <row r="6031" spans="1:9" ht="25.2" x14ac:dyDescent="0.3">
      <c r="A6031" s="109" t="s">
        <v>33217</v>
      </c>
      <c r="B6031" s="109" t="s">
        <v>32759</v>
      </c>
      <c r="C6031" s="109" t="s">
        <v>32759</v>
      </c>
      <c r="D6031" s="109" t="s">
        <v>33218</v>
      </c>
      <c r="E6031" s="109" t="s">
        <v>5558</v>
      </c>
      <c r="F6031" s="109" t="s">
        <v>33219</v>
      </c>
      <c r="G6031" s="110" t="s">
        <v>6248</v>
      </c>
      <c r="H6031" s="110" t="s">
        <v>33220</v>
      </c>
      <c r="I6031" s="110" t="s">
        <v>33221</v>
      </c>
    </row>
    <row r="6032" spans="1:9" ht="63" x14ac:dyDescent="0.3">
      <c r="A6032" s="109" t="s">
        <v>33222</v>
      </c>
      <c r="B6032" s="109" t="s">
        <v>32759</v>
      </c>
      <c r="C6032" s="109" t="s">
        <v>32759</v>
      </c>
      <c r="D6032" s="109" t="s">
        <v>9907</v>
      </c>
      <c r="E6032" s="109" t="s">
        <v>9907</v>
      </c>
      <c r="F6032" s="109" t="s">
        <v>33223</v>
      </c>
      <c r="G6032" s="110" t="s">
        <v>6248</v>
      </c>
      <c r="H6032" s="110" t="s">
        <v>7128</v>
      </c>
      <c r="I6032" s="110" t="s">
        <v>33224</v>
      </c>
    </row>
    <row r="6033" spans="1:9" ht="25.2" x14ac:dyDescent="0.3">
      <c r="A6033" s="109" t="s">
        <v>33225</v>
      </c>
      <c r="B6033" s="109" t="s">
        <v>32759</v>
      </c>
      <c r="C6033" s="109" t="s">
        <v>32759</v>
      </c>
      <c r="D6033" s="109" t="s">
        <v>33226</v>
      </c>
      <c r="E6033" s="109" t="s">
        <v>5558</v>
      </c>
      <c r="F6033" s="109" t="s">
        <v>33227</v>
      </c>
      <c r="G6033" s="110" t="s">
        <v>6248</v>
      </c>
      <c r="H6033" s="110" t="s">
        <v>33228</v>
      </c>
      <c r="I6033" s="110" t="s">
        <v>33229</v>
      </c>
    </row>
    <row r="6034" spans="1:9" ht="25.2" x14ac:dyDescent="0.3">
      <c r="A6034" s="109" t="s">
        <v>33230</v>
      </c>
      <c r="B6034" s="109" t="s">
        <v>32759</v>
      </c>
      <c r="C6034" s="109" t="s">
        <v>32759</v>
      </c>
      <c r="D6034" s="109" t="s">
        <v>33231</v>
      </c>
      <c r="E6034" s="109" t="s">
        <v>5558</v>
      </c>
      <c r="F6034" s="109" t="s">
        <v>33232</v>
      </c>
      <c r="G6034" s="110" t="s">
        <v>6248</v>
      </c>
      <c r="H6034" s="110" t="s">
        <v>6341</v>
      </c>
      <c r="I6034" s="110" t="s">
        <v>33233</v>
      </c>
    </row>
    <row r="6035" spans="1:9" ht="37.799999999999997" x14ac:dyDescent="0.3">
      <c r="A6035" s="109" t="s">
        <v>33234</v>
      </c>
      <c r="B6035" s="109" t="s">
        <v>32759</v>
      </c>
      <c r="C6035" s="109" t="s">
        <v>32759</v>
      </c>
      <c r="D6035" s="109" t="s">
        <v>33235</v>
      </c>
      <c r="E6035" s="109" t="s">
        <v>5558</v>
      </c>
      <c r="F6035" s="109" t="s">
        <v>33236</v>
      </c>
      <c r="G6035" s="110" t="s">
        <v>6248</v>
      </c>
      <c r="H6035" s="110" t="s">
        <v>33237</v>
      </c>
      <c r="I6035" s="110" t="s">
        <v>33238</v>
      </c>
    </row>
    <row r="6036" spans="1:9" ht="63" x14ac:dyDescent="0.3">
      <c r="A6036" s="109" t="s">
        <v>33239</v>
      </c>
      <c r="B6036" s="109" t="s">
        <v>32759</v>
      </c>
      <c r="C6036" s="109" t="s">
        <v>32759</v>
      </c>
      <c r="D6036" s="109" t="s">
        <v>33240</v>
      </c>
      <c r="E6036" s="109" t="s">
        <v>33240</v>
      </c>
      <c r="F6036" s="109" t="s">
        <v>33241</v>
      </c>
      <c r="G6036" s="110" t="s">
        <v>6248</v>
      </c>
      <c r="H6036" s="110" t="s">
        <v>6689</v>
      </c>
      <c r="I6036" s="110" t="s">
        <v>33242</v>
      </c>
    </row>
    <row r="6037" spans="1:9" ht="63" x14ac:dyDescent="0.3">
      <c r="A6037" s="109" t="s">
        <v>33243</v>
      </c>
      <c r="B6037" s="109" t="s">
        <v>32759</v>
      </c>
      <c r="C6037" s="109" t="s">
        <v>32759</v>
      </c>
      <c r="D6037" s="109" t="s">
        <v>33244</v>
      </c>
      <c r="E6037" s="109" t="s">
        <v>33244</v>
      </c>
      <c r="F6037" s="109" t="s">
        <v>33245</v>
      </c>
      <c r="G6037" s="110" t="s">
        <v>6248</v>
      </c>
      <c r="H6037" s="110" t="s">
        <v>33246</v>
      </c>
      <c r="I6037" s="110" t="s">
        <v>33247</v>
      </c>
    </row>
    <row r="6038" spans="1:9" ht="25.2" x14ac:dyDescent="0.3">
      <c r="A6038" s="109" t="s">
        <v>33248</v>
      </c>
      <c r="B6038" s="109" t="s">
        <v>32759</v>
      </c>
      <c r="C6038" s="109" t="s">
        <v>32759</v>
      </c>
      <c r="D6038" s="109" t="s">
        <v>33249</v>
      </c>
      <c r="E6038" s="109" t="s">
        <v>5772</v>
      </c>
      <c r="F6038" s="109" t="s">
        <v>7167</v>
      </c>
      <c r="G6038" s="110" t="s">
        <v>6248</v>
      </c>
      <c r="H6038" s="110" t="s">
        <v>33250</v>
      </c>
      <c r="I6038" s="110" t="s">
        <v>33251</v>
      </c>
    </row>
    <row r="6039" spans="1:9" ht="37.799999999999997" x14ac:dyDescent="0.3">
      <c r="A6039" s="109" t="s">
        <v>33252</v>
      </c>
      <c r="B6039" s="109" t="s">
        <v>32759</v>
      </c>
      <c r="C6039" s="109" t="s">
        <v>32759</v>
      </c>
      <c r="D6039" s="109" t="s">
        <v>33253</v>
      </c>
      <c r="E6039" s="109" t="s">
        <v>5558</v>
      </c>
      <c r="F6039" s="109" t="s">
        <v>33254</v>
      </c>
      <c r="G6039" s="110" t="s">
        <v>6248</v>
      </c>
      <c r="H6039" s="110" t="s">
        <v>6689</v>
      </c>
      <c r="I6039" s="110" t="s">
        <v>33255</v>
      </c>
    </row>
    <row r="6040" spans="1:9" ht="37.799999999999997" x14ac:dyDescent="0.3">
      <c r="A6040" s="109" t="s">
        <v>33256</v>
      </c>
      <c r="B6040" s="109" t="s">
        <v>32759</v>
      </c>
      <c r="C6040" s="109" t="s">
        <v>32759</v>
      </c>
      <c r="D6040" s="109" t="s">
        <v>33257</v>
      </c>
      <c r="E6040" s="109" t="s">
        <v>5558</v>
      </c>
      <c r="F6040" s="109" t="s">
        <v>33258</v>
      </c>
      <c r="G6040" s="110" t="s">
        <v>6248</v>
      </c>
      <c r="H6040" s="110" t="s">
        <v>7504</v>
      </c>
      <c r="I6040" s="110" t="s">
        <v>33259</v>
      </c>
    </row>
    <row r="6041" spans="1:9" ht="50.4" x14ac:dyDescent="0.3">
      <c r="A6041" s="109" t="s">
        <v>33260</v>
      </c>
      <c r="B6041" s="109" t="s">
        <v>32759</v>
      </c>
      <c r="C6041" s="109" t="s">
        <v>32759</v>
      </c>
      <c r="D6041" s="109" t="s">
        <v>33261</v>
      </c>
      <c r="E6041" s="109" t="s">
        <v>33261</v>
      </c>
      <c r="F6041" s="109" t="s">
        <v>33262</v>
      </c>
      <c r="G6041" s="110" t="s">
        <v>6248</v>
      </c>
      <c r="H6041" s="110" t="s">
        <v>7592</v>
      </c>
      <c r="I6041" s="110" t="s">
        <v>33263</v>
      </c>
    </row>
    <row r="6042" spans="1:9" ht="25.2" x14ac:dyDescent="0.3">
      <c r="A6042" s="109" t="s">
        <v>33264</v>
      </c>
      <c r="B6042" s="109" t="s">
        <v>32759</v>
      </c>
      <c r="C6042" s="109" t="s">
        <v>32759</v>
      </c>
      <c r="D6042" s="109" t="s">
        <v>5569</v>
      </c>
      <c r="E6042" s="109" t="s">
        <v>5558</v>
      </c>
      <c r="F6042" s="109" t="s">
        <v>2258</v>
      </c>
      <c r="G6042" s="110" t="s">
        <v>6248</v>
      </c>
      <c r="H6042" s="110" t="s">
        <v>8185</v>
      </c>
      <c r="I6042" s="110" t="s">
        <v>33265</v>
      </c>
    </row>
    <row r="6043" spans="1:9" ht="37.799999999999997" x14ac:dyDescent="0.3">
      <c r="A6043" s="109" t="s">
        <v>33266</v>
      </c>
      <c r="B6043" s="109" t="s">
        <v>32759</v>
      </c>
      <c r="C6043" s="109" t="s">
        <v>32759</v>
      </c>
      <c r="D6043" s="109" t="s">
        <v>33267</v>
      </c>
      <c r="E6043" s="109" t="s">
        <v>5558</v>
      </c>
      <c r="F6043" s="109" t="s">
        <v>33268</v>
      </c>
      <c r="G6043" s="110" t="s">
        <v>6248</v>
      </c>
      <c r="H6043" s="110" t="s">
        <v>7321</v>
      </c>
      <c r="I6043" s="110" t="s">
        <v>33269</v>
      </c>
    </row>
    <row r="6044" spans="1:9" ht="63" x14ac:dyDescent="0.3">
      <c r="A6044" s="109" t="s">
        <v>33270</v>
      </c>
      <c r="B6044" s="109" t="s">
        <v>32759</v>
      </c>
      <c r="C6044" s="109" t="s">
        <v>32759</v>
      </c>
      <c r="D6044" s="109" t="s">
        <v>15416</v>
      </c>
      <c r="E6044" s="109" t="s">
        <v>15416</v>
      </c>
      <c r="F6044" s="109" t="s">
        <v>33271</v>
      </c>
      <c r="G6044" s="110" t="s">
        <v>6248</v>
      </c>
      <c r="H6044" s="110" t="s">
        <v>33272</v>
      </c>
      <c r="I6044" s="110" t="s">
        <v>33273</v>
      </c>
    </row>
    <row r="6045" spans="1:9" ht="63" x14ac:dyDescent="0.3">
      <c r="A6045" s="109" t="s">
        <v>33274</v>
      </c>
      <c r="B6045" s="109" t="s">
        <v>32759</v>
      </c>
      <c r="C6045" s="109" t="s">
        <v>32759</v>
      </c>
      <c r="D6045" s="109" t="s">
        <v>33275</v>
      </c>
      <c r="E6045" s="109" t="s">
        <v>33275</v>
      </c>
      <c r="F6045" s="109" t="s">
        <v>33276</v>
      </c>
      <c r="G6045" s="110" t="s">
        <v>6248</v>
      </c>
      <c r="H6045" s="110" t="s">
        <v>33277</v>
      </c>
      <c r="I6045" s="110" t="s">
        <v>33278</v>
      </c>
    </row>
    <row r="6046" spans="1:9" ht="37.799999999999997" x14ac:dyDescent="0.3">
      <c r="A6046" s="109" t="s">
        <v>33279</v>
      </c>
      <c r="B6046" s="109" t="s">
        <v>32759</v>
      </c>
      <c r="C6046" s="109" t="s">
        <v>32759</v>
      </c>
      <c r="D6046" s="109" t="s">
        <v>33280</v>
      </c>
      <c r="E6046" s="109" t="s">
        <v>5558</v>
      </c>
      <c r="F6046" s="109" t="s">
        <v>33281</v>
      </c>
      <c r="G6046" s="110" t="s">
        <v>6248</v>
      </c>
      <c r="H6046" s="110" t="s">
        <v>33282</v>
      </c>
      <c r="I6046" s="110" t="s">
        <v>33283</v>
      </c>
    </row>
    <row r="6047" spans="1:9" ht="37.799999999999997" x14ac:dyDescent="0.3">
      <c r="A6047" s="109" t="s">
        <v>33284</v>
      </c>
      <c r="B6047" s="109" t="s">
        <v>32759</v>
      </c>
      <c r="C6047" s="109" t="s">
        <v>32759</v>
      </c>
      <c r="D6047" s="109" t="s">
        <v>33285</v>
      </c>
      <c r="E6047" s="109" t="s">
        <v>5558</v>
      </c>
      <c r="F6047" s="109" t="s">
        <v>33286</v>
      </c>
      <c r="G6047" s="110" t="s">
        <v>6248</v>
      </c>
      <c r="H6047" s="110" t="s">
        <v>33287</v>
      </c>
      <c r="I6047" s="110" t="s">
        <v>33288</v>
      </c>
    </row>
    <row r="6048" spans="1:9" ht="25.2" x14ac:dyDescent="0.3">
      <c r="A6048" s="109" t="s">
        <v>33289</v>
      </c>
      <c r="B6048" s="109" t="s">
        <v>32759</v>
      </c>
      <c r="C6048" s="109" t="s">
        <v>32759</v>
      </c>
      <c r="D6048" s="109" t="s">
        <v>5292</v>
      </c>
      <c r="E6048" s="109" t="s">
        <v>33290</v>
      </c>
      <c r="F6048" s="109" t="s">
        <v>7123</v>
      </c>
      <c r="G6048" s="110" t="s">
        <v>6248</v>
      </c>
      <c r="H6048" s="110" t="s">
        <v>33291</v>
      </c>
      <c r="I6048" s="110" t="s">
        <v>33292</v>
      </c>
    </row>
    <row r="6049" spans="1:9" ht="63" x14ac:dyDescent="0.3">
      <c r="A6049" s="109" t="s">
        <v>33293</v>
      </c>
      <c r="B6049" s="109" t="s">
        <v>32759</v>
      </c>
      <c r="C6049" s="109" t="s">
        <v>32759</v>
      </c>
      <c r="D6049" s="109" t="s">
        <v>8386</v>
      </c>
      <c r="E6049" s="109" t="s">
        <v>8386</v>
      </c>
      <c r="F6049" s="109" t="s">
        <v>33294</v>
      </c>
      <c r="G6049" s="110" t="s">
        <v>6248</v>
      </c>
      <c r="H6049" s="110" t="s">
        <v>33295</v>
      </c>
      <c r="I6049" s="110" t="s">
        <v>33296</v>
      </c>
    </row>
    <row r="6050" spans="1:9" ht="75.599999999999994" x14ac:dyDescent="0.3">
      <c r="A6050" s="109" t="s">
        <v>33297</v>
      </c>
      <c r="B6050" s="109" t="s">
        <v>32759</v>
      </c>
      <c r="C6050" s="109" t="s">
        <v>32759</v>
      </c>
      <c r="D6050" s="109" t="s">
        <v>33298</v>
      </c>
      <c r="E6050" s="109" t="s">
        <v>33298</v>
      </c>
      <c r="F6050" s="109" t="s">
        <v>33299</v>
      </c>
      <c r="G6050" s="110" t="s">
        <v>6248</v>
      </c>
      <c r="H6050" s="110" t="s">
        <v>33300</v>
      </c>
      <c r="I6050" s="110" t="s">
        <v>33301</v>
      </c>
    </row>
    <row r="6051" spans="1:9" ht="25.2" x14ac:dyDescent="0.3">
      <c r="A6051" s="109" t="s">
        <v>33302</v>
      </c>
      <c r="B6051" s="109" t="s">
        <v>32759</v>
      </c>
      <c r="C6051" s="109" t="s">
        <v>32759</v>
      </c>
      <c r="D6051" s="109" t="s">
        <v>33303</v>
      </c>
      <c r="E6051" s="109" t="s">
        <v>5558</v>
      </c>
      <c r="F6051" s="109" t="s">
        <v>33304</v>
      </c>
      <c r="G6051" s="110" t="s">
        <v>6248</v>
      </c>
      <c r="H6051" s="110" t="s">
        <v>33305</v>
      </c>
      <c r="I6051" s="110" t="s">
        <v>33306</v>
      </c>
    </row>
    <row r="6052" spans="1:9" ht="25.2" x14ac:dyDescent="0.3">
      <c r="A6052" s="109" t="s">
        <v>33307</v>
      </c>
      <c r="B6052" s="109" t="s">
        <v>32759</v>
      </c>
      <c r="C6052" s="109" t="s">
        <v>32759</v>
      </c>
      <c r="D6052" s="109" t="s">
        <v>33308</v>
      </c>
      <c r="E6052" s="109" t="s">
        <v>5558</v>
      </c>
      <c r="F6052" s="109" t="s">
        <v>33309</v>
      </c>
      <c r="G6052" s="110" t="s">
        <v>6248</v>
      </c>
      <c r="H6052" s="110" t="s">
        <v>33310</v>
      </c>
      <c r="I6052" s="110" t="s">
        <v>33311</v>
      </c>
    </row>
    <row r="6053" spans="1:9" ht="25.2" x14ac:dyDescent="0.3">
      <c r="A6053" s="109" t="s">
        <v>33312</v>
      </c>
      <c r="B6053" s="109" t="s">
        <v>32759</v>
      </c>
      <c r="C6053" s="109" t="s">
        <v>32759</v>
      </c>
      <c r="D6053" s="109" t="s">
        <v>33313</v>
      </c>
      <c r="E6053" s="109" t="s">
        <v>33314</v>
      </c>
      <c r="F6053" s="109" t="s">
        <v>33315</v>
      </c>
      <c r="G6053" s="110" t="s">
        <v>6248</v>
      </c>
      <c r="H6053" s="110" t="s">
        <v>33316</v>
      </c>
      <c r="I6053" s="110" t="s">
        <v>33317</v>
      </c>
    </row>
    <row r="6054" spans="1:9" ht="37.799999999999997" x14ac:dyDescent="0.3">
      <c r="A6054" s="109" t="s">
        <v>33318</v>
      </c>
      <c r="B6054" s="109" t="s">
        <v>32759</v>
      </c>
      <c r="C6054" s="109" t="s">
        <v>32759</v>
      </c>
      <c r="D6054" s="109" t="s">
        <v>33319</v>
      </c>
      <c r="E6054" s="109" t="s">
        <v>5558</v>
      </c>
      <c r="F6054" s="109" t="s">
        <v>33320</v>
      </c>
      <c r="G6054" s="110" t="s">
        <v>6248</v>
      </c>
      <c r="H6054" s="110" t="s">
        <v>33321</v>
      </c>
      <c r="I6054" s="110" t="s">
        <v>33322</v>
      </c>
    </row>
    <row r="6055" spans="1:9" ht="25.2" x14ac:dyDescent="0.3">
      <c r="A6055" s="109" t="s">
        <v>33323</v>
      </c>
      <c r="B6055" s="109" t="s">
        <v>32759</v>
      </c>
      <c r="C6055" s="109" t="s">
        <v>32759</v>
      </c>
      <c r="D6055" s="109" t="s">
        <v>5569</v>
      </c>
      <c r="E6055" s="109" t="s">
        <v>5558</v>
      </c>
      <c r="F6055" s="109" t="s">
        <v>2258</v>
      </c>
      <c r="G6055" s="110" t="s">
        <v>6248</v>
      </c>
      <c r="H6055" s="110" t="s">
        <v>33324</v>
      </c>
      <c r="I6055" s="110" t="s">
        <v>33325</v>
      </c>
    </row>
    <row r="6056" spans="1:9" ht="75.599999999999994" x14ac:dyDescent="0.3">
      <c r="A6056" s="109" t="s">
        <v>33326</v>
      </c>
      <c r="B6056" s="109" t="s">
        <v>32759</v>
      </c>
      <c r="C6056" s="109" t="s">
        <v>32759</v>
      </c>
      <c r="D6056" s="109" t="s">
        <v>33327</v>
      </c>
      <c r="E6056" s="109" t="s">
        <v>33327</v>
      </c>
      <c r="F6056" s="109" t="s">
        <v>33328</v>
      </c>
      <c r="G6056" s="110" t="s">
        <v>6248</v>
      </c>
      <c r="H6056" s="110" t="s">
        <v>33329</v>
      </c>
      <c r="I6056" s="110" t="s">
        <v>33330</v>
      </c>
    </row>
    <row r="6057" spans="1:9" ht="25.2" x14ac:dyDescent="0.3">
      <c r="A6057" s="109" t="s">
        <v>33331</v>
      </c>
      <c r="B6057" s="109" t="s">
        <v>32759</v>
      </c>
      <c r="C6057" s="109" t="s">
        <v>32759</v>
      </c>
      <c r="D6057" s="109" t="s">
        <v>33332</v>
      </c>
      <c r="E6057" s="109" t="s">
        <v>5558</v>
      </c>
      <c r="F6057" s="109" t="s">
        <v>33333</v>
      </c>
      <c r="G6057" s="110" t="s">
        <v>6248</v>
      </c>
      <c r="H6057" s="110" t="s">
        <v>19424</v>
      </c>
      <c r="I6057" s="110" t="s">
        <v>33334</v>
      </c>
    </row>
    <row r="6058" spans="1:9" ht="25.2" x14ac:dyDescent="0.3">
      <c r="A6058" s="109" t="s">
        <v>33335</v>
      </c>
      <c r="B6058" s="109" t="s">
        <v>32759</v>
      </c>
      <c r="C6058" s="109" t="s">
        <v>32759</v>
      </c>
      <c r="D6058" s="109" t="s">
        <v>33336</v>
      </c>
      <c r="E6058" s="109" t="s">
        <v>5558</v>
      </c>
      <c r="F6058" s="109" t="s">
        <v>33337</v>
      </c>
      <c r="G6058" s="110" t="s">
        <v>6248</v>
      </c>
      <c r="H6058" s="110" t="s">
        <v>33338</v>
      </c>
      <c r="I6058" s="110" t="s">
        <v>33339</v>
      </c>
    </row>
    <row r="6059" spans="1:9" ht="25.2" x14ac:dyDescent="0.3">
      <c r="A6059" s="109" t="s">
        <v>33340</v>
      </c>
      <c r="B6059" s="109" t="s">
        <v>32759</v>
      </c>
      <c r="C6059" s="109" t="s">
        <v>32759</v>
      </c>
      <c r="D6059" s="109" t="s">
        <v>33341</v>
      </c>
      <c r="E6059" s="109" t="s">
        <v>33342</v>
      </c>
      <c r="F6059" s="109" t="s">
        <v>33343</v>
      </c>
      <c r="G6059" s="110" t="s">
        <v>6248</v>
      </c>
      <c r="H6059" s="110" t="s">
        <v>33344</v>
      </c>
      <c r="I6059" s="110" t="s">
        <v>33345</v>
      </c>
    </row>
    <row r="6060" spans="1:9" ht="37.799999999999997" x14ac:dyDescent="0.3">
      <c r="A6060" s="109" t="s">
        <v>33346</v>
      </c>
      <c r="B6060" s="109" t="s">
        <v>32759</v>
      </c>
      <c r="C6060" s="109" t="s">
        <v>32759</v>
      </c>
      <c r="D6060" s="109" t="s">
        <v>33347</v>
      </c>
      <c r="E6060" s="109" t="s">
        <v>5558</v>
      </c>
      <c r="F6060" s="109" t="s">
        <v>33348</v>
      </c>
      <c r="G6060" s="110" t="s">
        <v>6248</v>
      </c>
      <c r="H6060" s="110" t="s">
        <v>33349</v>
      </c>
      <c r="I6060" s="110" t="s">
        <v>33350</v>
      </c>
    </row>
    <row r="6061" spans="1:9" ht="25.2" x14ac:dyDescent="0.3">
      <c r="A6061" s="109" t="s">
        <v>33351</v>
      </c>
      <c r="B6061" s="109" t="s">
        <v>32759</v>
      </c>
      <c r="C6061" s="109" t="s">
        <v>32759</v>
      </c>
      <c r="D6061" s="109" t="s">
        <v>5251</v>
      </c>
      <c r="E6061" s="109" t="s">
        <v>5558</v>
      </c>
      <c r="F6061" s="109" t="s">
        <v>33352</v>
      </c>
      <c r="G6061" s="110" t="s">
        <v>6248</v>
      </c>
      <c r="H6061" s="110" t="s">
        <v>33353</v>
      </c>
      <c r="I6061" s="110" t="s">
        <v>33354</v>
      </c>
    </row>
    <row r="6062" spans="1:9" ht="63" x14ac:dyDescent="0.3">
      <c r="A6062" s="109" t="s">
        <v>33355</v>
      </c>
      <c r="B6062" s="109" t="s">
        <v>32759</v>
      </c>
      <c r="C6062" s="109" t="s">
        <v>32759</v>
      </c>
      <c r="D6062" s="109" t="s">
        <v>7472</v>
      </c>
      <c r="E6062" s="109" t="s">
        <v>7472</v>
      </c>
      <c r="F6062" s="109" t="s">
        <v>33356</v>
      </c>
      <c r="G6062" s="110" t="s">
        <v>6248</v>
      </c>
      <c r="H6062" s="110" t="s">
        <v>33357</v>
      </c>
      <c r="I6062" s="110" t="s">
        <v>33358</v>
      </c>
    </row>
    <row r="6063" spans="1:9" ht="63" x14ac:dyDescent="0.3">
      <c r="A6063" s="109" t="s">
        <v>33359</v>
      </c>
      <c r="B6063" s="109" t="s">
        <v>32759</v>
      </c>
      <c r="C6063" s="109" t="s">
        <v>32759</v>
      </c>
      <c r="D6063" s="109" t="s">
        <v>33360</v>
      </c>
      <c r="E6063" s="109" t="s">
        <v>33360</v>
      </c>
      <c r="F6063" s="109" t="s">
        <v>33361</v>
      </c>
      <c r="G6063" s="110" t="s">
        <v>6248</v>
      </c>
      <c r="H6063" s="110" t="s">
        <v>33362</v>
      </c>
      <c r="I6063" s="110" t="s">
        <v>33363</v>
      </c>
    </row>
    <row r="6064" spans="1:9" ht="25.2" x14ac:dyDescent="0.3">
      <c r="A6064" s="109" t="s">
        <v>33364</v>
      </c>
      <c r="B6064" s="109" t="s">
        <v>32759</v>
      </c>
      <c r="C6064" s="109" t="s">
        <v>32759</v>
      </c>
      <c r="D6064" s="109" t="s">
        <v>33365</v>
      </c>
      <c r="E6064" s="109" t="s">
        <v>33366</v>
      </c>
      <c r="F6064" s="109" t="s">
        <v>33367</v>
      </c>
      <c r="G6064" s="110" t="s">
        <v>6248</v>
      </c>
      <c r="H6064" s="110" t="s">
        <v>33368</v>
      </c>
      <c r="I6064" s="110" t="s">
        <v>33369</v>
      </c>
    </row>
    <row r="6065" spans="1:9" ht="25.2" x14ac:dyDescent="0.3">
      <c r="A6065" s="109" t="s">
        <v>33370</v>
      </c>
      <c r="B6065" s="109" t="s">
        <v>32759</v>
      </c>
      <c r="C6065" s="109" t="s">
        <v>32759</v>
      </c>
      <c r="D6065" s="109" t="s">
        <v>5569</v>
      </c>
      <c r="E6065" s="109" t="s">
        <v>5558</v>
      </c>
      <c r="F6065" s="109" t="s">
        <v>2258</v>
      </c>
      <c r="G6065" s="110" t="s">
        <v>6248</v>
      </c>
      <c r="H6065" s="110" t="s">
        <v>33371</v>
      </c>
      <c r="I6065" s="110" t="s">
        <v>33372</v>
      </c>
    </row>
    <row r="6066" spans="1:9" ht="75.599999999999994" x14ac:dyDescent="0.3">
      <c r="A6066" s="109" t="s">
        <v>33373</v>
      </c>
      <c r="B6066" s="109" t="s">
        <v>32759</v>
      </c>
      <c r="C6066" s="109" t="s">
        <v>32759</v>
      </c>
      <c r="D6066" s="109" t="s">
        <v>33374</v>
      </c>
      <c r="E6066" s="109" t="s">
        <v>33374</v>
      </c>
      <c r="F6066" s="109" t="s">
        <v>33375</v>
      </c>
      <c r="G6066" s="110" t="s">
        <v>6248</v>
      </c>
      <c r="H6066" s="110" t="s">
        <v>33376</v>
      </c>
      <c r="I6066" s="110" t="s">
        <v>33377</v>
      </c>
    </row>
    <row r="6067" spans="1:9" ht="25.2" x14ac:dyDescent="0.3">
      <c r="A6067" s="109" t="s">
        <v>33378</v>
      </c>
      <c r="B6067" s="109" t="s">
        <v>32759</v>
      </c>
      <c r="C6067" s="109" t="s">
        <v>32759</v>
      </c>
      <c r="D6067" s="109" t="s">
        <v>33379</v>
      </c>
      <c r="E6067" s="109" t="s">
        <v>5558</v>
      </c>
      <c r="F6067" s="109" t="s">
        <v>33380</v>
      </c>
      <c r="G6067" s="110" t="s">
        <v>6248</v>
      </c>
      <c r="H6067" s="110" t="s">
        <v>33381</v>
      </c>
      <c r="I6067" s="110" t="s">
        <v>33382</v>
      </c>
    </row>
    <row r="6068" spans="1:9" ht="37.799999999999997" x14ac:dyDescent="0.3">
      <c r="A6068" s="109" t="s">
        <v>33383</v>
      </c>
      <c r="B6068" s="109" t="s">
        <v>32759</v>
      </c>
      <c r="C6068" s="109" t="s">
        <v>32759</v>
      </c>
      <c r="D6068" s="109" t="s">
        <v>33384</v>
      </c>
      <c r="E6068" s="109" t="s">
        <v>5558</v>
      </c>
      <c r="F6068" s="109" t="s">
        <v>33385</v>
      </c>
      <c r="G6068" s="110" t="s">
        <v>6248</v>
      </c>
      <c r="H6068" s="110" t="s">
        <v>33386</v>
      </c>
      <c r="I6068" s="110" t="s">
        <v>33387</v>
      </c>
    </row>
    <row r="6069" spans="1:9" ht="63" x14ac:dyDescent="0.3">
      <c r="A6069" s="109" t="s">
        <v>33388</v>
      </c>
      <c r="B6069" s="109" t="s">
        <v>32759</v>
      </c>
      <c r="C6069" s="109" t="s">
        <v>32759</v>
      </c>
      <c r="D6069" s="109" t="s">
        <v>33389</v>
      </c>
      <c r="E6069" s="109" t="s">
        <v>33389</v>
      </c>
      <c r="F6069" s="109" t="s">
        <v>33390</v>
      </c>
      <c r="G6069" s="110" t="s">
        <v>6248</v>
      </c>
      <c r="H6069" s="110" t="s">
        <v>33391</v>
      </c>
      <c r="I6069" s="110" t="s">
        <v>33392</v>
      </c>
    </row>
    <row r="6070" spans="1:9" ht="25.2" x14ac:dyDescent="0.3">
      <c r="A6070" s="109" t="s">
        <v>33393</v>
      </c>
      <c r="B6070" s="109" t="s">
        <v>32759</v>
      </c>
      <c r="C6070" s="109" t="s">
        <v>32759</v>
      </c>
      <c r="D6070" s="109" t="s">
        <v>33394</v>
      </c>
      <c r="E6070" s="109" t="s">
        <v>33395</v>
      </c>
      <c r="F6070" s="109" t="s">
        <v>24727</v>
      </c>
      <c r="G6070" s="110" t="s">
        <v>6248</v>
      </c>
      <c r="H6070" s="110" t="s">
        <v>33396</v>
      </c>
      <c r="I6070" s="110" t="s">
        <v>33397</v>
      </c>
    </row>
    <row r="6071" spans="1:9" ht="37.799999999999997" x14ac:dyDescent="0.3">
      <c r="A6071" s="109" t="s">
        <v>33398</v>
      </c>
      <c r="B6071" s="109" t="s">
        <v>32759</v>
      </c>
      <c r="C6071" s="109" t="s">
        <v>32759</v>
      </c>
      <c r="D6071" s="109" t="s">
        <v>33399</v>
      </c>
      <c r="E6071" s="109" t="s">
        <v>5558</v>
      </c>
      <c r="F6071" s="109" t="s">
        <v>33400</v>
      </c>
      <c r="G6071" s="110" t="s">
        <v>6248</v>
      </c>
      <c r="H6071" s="110" t="s">
        <v>33401</v>
      </c>
      <c r="I6071" s="110" t="s">
        <v>33402</v>
      </c>
    </row>
    <row r="6072" spans="1:9" ht="37.799999999999997" x14ac:dyDescent="0.3">
      <c r="A6072" s="109" t="s">
        <v>33403</v>
      </c>
      <c r="B6072" s="109" t="s">
        <v>32759</v>
      </c>
      <c r="C6072" s="109" t="s">
        <v>32759</v>
      </c>
      <c r="D6072" s="109" t="s">
        <v>33404</v>
      </c>
      <c r="E6072" s="109" t="s">
        <v>5558</v>
      </c>
      <c r="F6072" s="109" t="s">
        <v>33405</v>
      </c>
      <c r="G6072" s="110" t="s">
        <v>6248</v>
      </c>
      <c r="H6072" s="110" t="s">
        <v>33406</v>
      </c>
      <c r="I6072" s="110" t="s">
        <v>33407</v>
      </c>
    </row>
    <row r="6073" spans="1:9" ht="25.2" x14ac:dyDescent="0.3">
      <c r="A6073" s="109" t="s">
        <v>33408</v>
      </c>
      <c r="B6073" s="109" t="s">
        <v>32759</v>
      </c>
      <c r="C6073" s="109" t="s">
        <v>32759</v>
      </c>
      <c r="D6073" s="109" t="s">
        <v>33409</v>
      </c>
      <c r="E6073" s="109" t="s">
        <v>5558</v>
      </c>
      <c r="F6073" s="109" t="s">
        <v>33410</v>
      </c>
      <c r="G6073" s="110" t="s">
        <v>6248</v>
      </c>
      <c r="H6073" s="110" t="s">
        <v>33411</v>
      </c>
      <c r="I6073" s="110" t="s">
        <v>33412</v>
      </c>
    </row>
    <row r="6074" spans="1:9" ht="25.2" x14ac:dyDescent="0.3">
      <c r="A6074" s="109" t="s">
        <v>33413</v>
      </c>
      <c r="B6074" s="109" t="s">
        <v>32759</v>
      </c>
      <c r="C6074" s="109" t="s">
        <v>32759</v>
      </c>
      <c r="D6074" s="109" t="s">
        <v>5569</v>
      </c>
      <c r="E6074" s="109" t="s">
        <v>5558</v>
      </c>
      <c r="F6074" s="109" t="s">
        <v>2258</v>
      </c>
      <c r="G6074" s="110" t="s">
        <v>6248</v>
      </c>
      <c r="H6074" s="110" t="s">
        <v>33414</v>
      </c>
      <c r="I6074" s="110" t="s">
        <v>33415</v>
      </c>
    </row>
    <row r="6075" spans="1:9" ht="25.2" x14ac:dyDescent="0.3">
      <c r="A6075" s="109" t="s">
        <v>33416</v>
      </c>
      <c r="B6075" s="109" t="s">
        <v>32759</v>
      </c>
      <c r="C6075" s="109" t="s">
        <v>32759</v>
      </c>
      <c r="D6075" s="109" t="s">
        <v>33417</v>
      </c>
      <c r="E6075" s="109" t="s">
        <v>33418</v>
      </c>
      <c r="F6075" s="109" t="s">
        <v>33419</v>
      </c>
      <c r="G6075" s="110" t="s">
        <v>6248</v>
      </c>
      <c r="H6075" s="110" t="s">
        <v>33420</v>
      </c>
      <c r="I6075" s="110" t="s">
        <v>33421</v>
      </c>
    </row>
    <row r="6076" spans="1:9" ht="25.2" x14ac:dyDescent="0.3">
      <c r="A6076" s="109" t="s">
        <v>33422</v>
      </c>
      <c r="B6076" s="109" t="s">
        <v>32759</v>
      </c>
      <c r="C6076" s="109" t="s">
        <v>32759</v>
      </c>
      <c r="D6076" s="109" t="s">
        <v>33423</v>
      </c>
      <c r="E6076" s="109" t="s">
        <v>5558</v>
      </c>
      <c r="F6076" s="109" t="s">
        <v>33424</v>
      </c>
      <c r="G6076" s="110" t="s">
        <v>6248</v>
      </c>
      <c r="H6076" s="110" t="s">
        <v>33425</v>
      </c>
      <c r="I6076" s="110" t="s">
        <v>33426</v>
      </c>
    </row>
    <row r="6077" spans="1:9" ht="25.2" x14ac:dyDescent="0.3">
      <c r="A6077" s="109" t="s">
        <v>33427</v>
      </c>
      <c r="B6077" s="109" t="s">
        <v>32759</v>
      </c>
      <c r="C6077" s="109" t="s">
        <v>32759</v>
      </c>
      <c r="D6077" s="109" t="s">
        <v>5260</v>
      </c>
      <c r="E6077" s="109" t="s">
        <v>5558</v>
      </c>
      <c r="F6077" s="109" t="s">
        <v>33428</v>
      </c>
      <c r="G6077" s="110" t="s">
        <v>6248</v>
      </c>
      <c r="H6077" s="110" t="s">
        <v>33429</v>
      </c>
      <c r="I6077" s="110" t="s">
        <v>33430</v>
      </c>
    </row>
    <row r="6078" spans="1:9" ht="25.2" x14ac:dyDescent="0.3">
      <c r="A6078" s="109" t="s">
        <v>33431</v>
      </c>
      <c r="B6078" s="109" t="s">
        <v>32759</v>
      </c>
      <c r="C6078" s="109" t="s">
        <v>32759</v>
      </c>
      <c r="D6078" s="109" t="s">
        <v>33432</v>
      </c>
      <c r="E6078" s="109" t="s">
        <v>5558</v>
      </c>
      <c r="F6078" s="109" t="s">
        <v>33433</v>
      </c>
      <c r="G6078" s="110" t="s">
        <v>6248</v>
      </c>
      <c r="H6078" s="110" t="s">
        <v>33434</v>
      </c>
      <c r="I6078" s="110" t="s">
        <v>33435</v>
      </c>
    </row>
    <row r="6079" spans="1:9" ht="25.2" x14ac:dyDescent="0.3">
      <c r="A6079" s="109" t="s">
        <v>33436</v>
      </c>
      <c r="B6079" s="109" t="s">
        <v>32759</v>
      </c>
      <c r="C6079" s="109" t="s">
        <v>32759</v>
      </c>
      <c r="D6079" s="109" t="s">
        <v>5569</v>
      </c>
      <c r="E6079" s="109" t="s">
        <v>5558</v>
      </c>
      <c r="F6079" s="109" t="s">
        <v>2258</v>
      </c>
      <c r="G6079" s="110" t="s">
        <v>6248</v>
      </c>
      <c r="H6079" s="110" t="s">
        <v>33437</v>
      </c>
      <c r="I6079" s="110" t="s">
        <v>33438</v>
      </c>
    </row>
    <row r="6080" spans="1:9" ht="25.2" x14ac:dyDescent="0.3">
      <c r="A6080" s="109" t="s">
        <v>33439</v>
      </c>
      <c r="B6080" s="109" t="s">
        <v>32759</v>
      </c>
      <c r="C6080" s="109" t="s">
        <v>32759</v>
      </c>
      <c r="D6080" s="109" t="s">
        <v>33440</v>
      </c>
      <c r="E6080" s="109" t="s">
        <v>5558</v>
      </c>
      <c r="F6080" s="109" t="s">
        <v>33441</v>
      </c>
      <c r="G6080" s="110" t="s">
        <v>6248</v>
      </c>
      <c r="H6080" s="110" t="s">
        <v>8746</v>
      </c>
      <c r="I6080" s="110" t="s">
        <v>33442</v>
      </c>
    </row>
    <row r="6081" spans="1:9" ht="25.2" x14ac:dyDescent="0.3">
      <c r="A6081" s="109" t="s">
        <v>33443</v>
      </c>
      <c r="B6081" s="109" t="s">
        <v>32759</v>
      </c>
      <c r="C6081" s="109" t="s">
        <v>32759</v>
      </c>
      <c r="D6081" s="109" t="s">
        <v>33444</v>
      </c>
      <c r="E6081" s="109" t="s">
        <v>33445</v>
      </c>
      <c r="F6081" s="109" t="s">
        <v>27366</v>
      </c>
      <c r="G6081" s="110" t="s">
        <v>6248</v>
      </c>
      <c r="H6081" s="110" t="s">
        <v>33446</v>
      </c>
      <c r="I6081" s="110" t="s">
        <v>33447</v>
      </c>
    </row>
    <row r="6082" spans="1:9" ht="50.4" x14ac:dyDescent="0.3">
      <c r="A6082" s="109" t="s">
        <v>33448</v>
      </c>
      <c r="B6082" s="109" t="s">
        <v>32759</v>
      </c>
      <c r="C6082" s="109" t="s">
        <v>32759</v>
      </c>
      <c r="D6082" s="109" t="s">
        <v>6131</v>
      </c>
      <c r="E6082" s="109" t="s">
        <v>6131</v>
      </c>
      <c r="F6082" s="109" t="s">
        <v>33449</v>
      </c>
      <c r="G6082" s="110" t="s">
        <v>6248</v>
      </c>
      <c r="H6082" s="110" t="s">
        <v>33450</v>
      </c>
      <c r="I6082" s="110" t="s">
        <v>33451</v>
      </c>
    </row>
    <row r="6083" spans="1:9" ht="37.799999999999997" x14ac:dyDescent="0.3">
      <c r="A6083" s="109" t="s">
        <v>33452</v>
      </c>
      <c r="B6083" s="109" t="s">
        <v>32759</v>
      </c>
      <c r="C6083" s="109" t="s">
        <v>32759</v>
      </c>
      <c r="D6083" s="109" t="s">
        <v>33453</v>
      </c>
      <c r="E6083" s="109" t="s">
        <v>5558</v>
      </c>
      <c r="F6083" s="109" t="s">
        <v>33454</v>
      </c>
      <c r="G6083" s="110" t="s">
        <v>6248</v>
      </c>
      <c r="H6083" s="110" t="s">
        <v>33455</v>
      </c>
      <c r="I6083" s="110" t="s">
        <v>33456</v>
      </c>
    </row>
    <row r="6084" spans="1:9" ht="50.4" x14ac:dyDescent="0.3">
      <c r="A6084" s="109" t="s">
        <v>33457</v>
      </c>
      <c r="B6084" s="109" t="s">
        <v>32759</v>
      </c>
      <c r="C6084" s="109" t="s">
        <v>32759</v>
      </c>
      <c r="D6084" s="109" t="s">
        <v>33458</v>
      </c>
      <c r="E6084" s="109" t="s">
        <v>33458</v>
      </c>
      <c r="F6084" s="109" t="s">
        <v>33459</v>
      </c>
      <c r="G6084" s="110" t="s">
        <v>6248</v>
      </c>
      <c r="H6084" s="110" t="s">
        <v>33460</v>
      </c>
      <c r="I6084" s="110" t="s">
        <v>33461</v>
      </c>
    </row>
    <row r="6085" spans="1:9" ht="50.4" x14ac:dyDescent="0.3">
      <c r="A6085" s="109" t="s">
        <v>33462</v>
      </c>
      <c r="B6085" s="109" t="s">
        <v>32759</v>
      </c>
      <c r="C6085" s="109" t="s">
        <v>32759</v>
      </c>
      <c r="D6085" s="109" t="s">
        <v>33463</v>
      </c>
      <c r="E6085" s="109" t="s">
        <v>33463</v>
      </c>
      <c r="F6085" s="109" t="s">
        <v>33464</v>
      </c>
      <c r="G6085" s="110" t="s">
        <v>6248</v>
      </c>
      <c r="H6085" s="110" t="s">
        <v>33465</v>
      </c>
      <c r="I6085" s="110" t="s">
        <v>33466</v>
      </c>
    </row>
    <row r="6086" spans="1:9" ht="50.4" x14ac:dyDescent="0.3">
      <c r="A6086" s="109" t="s">
        <v>33467</v>
      </c>
      <c r="B6086" s="109" t="s">
        <v>32759</v>
      </c>
      <c r="C6086" s="109" t="s">
        <v>32759</v>
      </c>
      <c r="D6086" s="109" t="s">
        <v>13664</v>
      </c>
      <c r="E6086" s="109" t="s">
        <v>13664</v>
      </c>
      <c r="F6086" s="109" t="s">
        <v>33468</v>
      </c>
      <c r="G6086" s="110" t="s">
        <v>6248</v>
      </c>
      <c r="H6086" s="110" t="s">
        <v>33469</v>
      </c>
      <c r="I6086" s="110" t="s">
        <v>33470</v>
      </c>
    </row>
    <row r="6087" spans="1:9" ht="50.4" x14ac:dyDescent="0.3">
      <c r="A6087" s="109" t="s">
        <v>33471</v>
      </c>
      <c r="B6087" s="109" t="s">
        <v>32759</v>
      </c>
      <c r="C6087" s="109" t="s">
        <v>32759</v>
      </c>
      <c r="D6087" s="109" t="s">
        <v>7472</v>
      </c>
      <c r="E6087" s="109" t="s">
        <v>7472</v>
      </c>
      <c r="F6087" s="109" t="s">
        <v>33472</v>
      </c>
      <c r="G6087" s="110" t="s">
        <v>6248</v>
      </c>
      <c r="H6087" s="110" t="s">
        <v>7221</v>
      </c>
      <c r="I6087" s="110" t="s">
        <v>33473</v>
      </c>
    </row>
    <row r="6088" spans="1:9" ht="37.799999999999997" x14ac:dyDescent="0.3">
      <c r="A6088" s="109" t="s">
        <v>33474</v>
      </c>
      <c r="B6088" s="109" t="s">
        <v>32759</v>
      </c>
      <c r="C6088" s="109" t="s">
        <v>32759</v>
      </c>
      <c r="D6088" s="109" t="s">
        <v>33475</v>
      </c>
      <c r="E6088" s="109" t="s">
        <v>5558</v>
      </c>
      <c r="F6088" s="109" t="s">
        <v>33476</v>
      </c>
      <c r="G6088" s="110" t="s">
        <v>6248</v>
      </c>
      <c r="H6088" s="110" t="s">
        <v>33477</v>
      </c>
      <c r="I6088" s="110" t="s">
        <v>33478</v>
      </c>
    </row>
    <row r="6089" spans="1:9" ht="50.4" x14ac:dyDescent="0.3">
      <c r="A6089" s="109" t="s">
        <v>33479</v>
      </c>
      <c r="B6089" s="109" t="s">
        <v>32759</v>
      </c>
      <c r="C6089" s="109" t="s">
        <v>32759</v>
      </c>
      <c r="D6089" s="109" t="s">
        <v>9274</v>
      </c>
      <c r="E6089" s="109" t="s">
        <v>9274</v>
      </c>
      <c r="F6089" s="109" t="s">
        <v>33480</v>
      </c>
      <c r="G6089" s="110" t="s">
        <v>6248</v>
      </c>
      <c r="H6089" s="110" t="s">
        <v>33481</v>
      </c>
      <c r="I6089" s="110" t="s">
        <v>33482</v>
      </c>
    </row>
    <row r="6090" spans="1:9" ht="50.4" x14ac:dyDescent="0.3">
      <c r="A6090" s="109" t="s">
        <v>33483</v>
      </c>
      <c r="B6090" s="109" t="s">
        <v>32759</v>
      </c>
      <c r="C6090" s="109" t="s">
        <v>32759</v>
      </c>
      <c r="D6090" s="109" t="s">
        <v>31169</v>
      </c>
      <c r="E6090" s="109" t="s">
        <v>31169</v>
      </c>
      <c r="F6090" s="109" t="s">
        <v>33484</v>
      </c>
      <c r="G6090" s="110" t="s">
        <v>6248</v>
      </c>
      <c r="H6090" s="110" t="s">
        <v>33485</v>
      </c>
      <c r="I6090" s="110" t="s">
        <v>33486</v>
      </c>
    </row>
    <row r="6091" spans="1:9" ht="37.799999999999997" x14ac:dyDescent="0.3">
      <c r="A6091" s="109" t="s">
        <v>33487</v>
      </c>
      <c r="B6091" s="109" t="s">
        <v>32759</v>
      </c>
      <c r="C6091" s="109" t="s">
        <v>32759</v>
      </c>
      <c r="D6091" s="109" t="s">
        <v>33488</v>
      </c>
      <c r="E6091" s="109" t="s">
        <v>33488</v>
      </c>
      <c r="F6091" s="109" t="s">
        <v>33489</v>
      </c>
      <c r="G6091" s="110" t="s">
        <v>6248</v>
      </c>
      <c r="H6091" s="110" t="s">
        <v>17507</v>
      </c>
      <c r="I6091" s="110" t="s">
        <v>33490</v>
      </c>
    </row>
    <row r="6092" spans="1:9" ht="25.2" x14ac:dyDescent="0.3">
      <c r="A6092" s="109" t="s">
        <v>33491</v>
      </c>
      <c r="B6092" s="109" t="s">
        <v>32759</v>
      </c>
      <c r="C6092" s="109" t="s">
        <v>32759</v>
      </c>
      <c r="D6092" s="109" t="s">
        <v>33492</v>
      </c>
      <c r="E6092" s="109" t="s">
        <v>5558</v>
      </c>
      <c r="F6092" s="109" t="s">
        <v>33493</v>
      </c>
      <c r="G6092" s="110" t="s">
        <v>6248</v>
      </c>
      <c r="H6092" s="110" t="s">
        <v>33494</v>
      </c>
      <c r="I6092" s="110" t="s">
        <v>33495</v>
      </c>
    </row>
    <row r="6093" spans="1:9" ht="37.799999999999997" x14ac:dyDescent="0.3">
      <c r="A6093" s="109" t="s">
        <v>33496</v>
      </c>
      <c r="B6093" s="109" t="s">
        <v>32759</v>
      </c>
      <c r="C6093" s="109" t="s">
        <v>32759</v>
      </c>
      <c r="D6093" s="109" t="s">
        <v>8529</v>
      </c>
      <c r="E6093" s="109" t="s">
        <v>8529</v>
      </c>
      <c r="F6093" s="109" t="s">
        <v>33497</v>
      </c>
      <c r="G6093" s="110" t="s">
        <v>6248</v>
      </c>
      <c r="H6093" s="110" t="s">
        <v>33498</v>
      </c>
      <c r="I6093" s="110" t="s">
        <v>33499</v>
      </c>
    </row>
    <row r="6094" spans="1:9" ht="50.4" x14ac:dyDescent="0.3">
      <c r="A6094" s="109" t="s">
        <v>33500</v>
      </c>
      <c r="B6094" s="109" t="s">
        <v>32759</v>
      </c>
      <c r="C6094" s="109" t="s">
        <v>32759</v>
      </c>
      <c r="D6094" s="109" t="s">
        <v>33501</v>
      </c>
      <c r="E6094" s="109" t="s">
        <v>33501</v>
      </c>
      <c r="F6094" s="109" t="s">
        <v>33502</v>
      </c>
      <c r="G6094" s="110" t="s">
        <v>6248</v>
      </c>
      <c r="H6094" s="110" t="s">
        <v>33503</v>
      </c>
      <c r="I6094" s="110" t="s">
        <v>33504</v>
      </c>
    </row>
    <row r="6095" spans="1:9" ht="50.4" x14ac:dyDescent="0.3">
      <c r="A6095" s="109" t="s">
        <v>33505</v>
      </c>
      <c r="B6095" s="109" t="s">
        <v>32759</v>
      </c>
      <c r="C6095" s="109" t="s">
        <v>32759</v>
      </c>
      <c r="D6095" s="109" t="s">
        <v>33506</v>
      </c>
      <c r="E6095" s="109" t="s">
        <v>33506</v>
      </c>
      <c r="F6095" s="109" t="s">
        <v>33507</v>
      </c>
      <c r="G6095" s="110" t="s">
        <v>6248</v>
      </c>
      <c r="H6095" s="110" t="s">
        <v>33508</v>
      </c>
      <c r="I6095" s="110" t="s">
        <v>33509</v>
      </c>
    </row>
    <row r="6096" spans="1:9" ht="50.4" x14ac:dyDescent="0.3">
      <c r="A6096" s="109" t="s">
        <v>33510</v>
      </c>
      <c r="B6096" s="109" t="s">
        <v>32759</v>
      </c>
      <c r="C6096" s="109" t="s">
        <v>32759</v>
      </c>
      <c r="D6096" s="109" t="s">
        <v>33511</v>
      </c>
      <c r="E6096" s="109" t="s">
        <v>33511</v>
      </c>
      <c r="F6096" s="109" t="s">
        <v>33512</v>
      </c>
      <c r="G6096" s="110" t="s">
        <v>6248</v>
      </c>
      <c r="H6096" s="110" t="s">
        <v>9225</v>
      </c>
      <c r="I6096" s="110" t="s">
        <v>33513</v>
      </c>
    </row>
    <row r="6097" spans="1:9" ht="50.4" x14ac:dyDescent="0.3">
      <c r="A6097" s="109" t="s">
        <v>33514</v>
      </c>
      <c r="B6097" s="109" t="s">
        <v>32759</v>
      </c>
      <c r="C6097" s="109" t="s">
        <v>32759</v>
      </c>
      <c r="D6097" s="109" t="s">
        <v>33515</v>
      </c>
      <c r="E6097" s="109" t="s">
        <v>33515</v>
      </c>
      <c r="F6097" s="109" t="s">
        <v>33516</v>
      </c>
      <c r="G6097" s="110" t="s">
        <v>6248</v>
      </c>
      <c r="H6097" s="110" t="s">
        <v>33517</v>
      </c>
      <c r="I6097" s="110" t="s">
        <v>33518</v>
      </c>
    </row>
    <row r="6098" spans="1:9" ht="50.4" x14ac:dyDescent="0.3">
      <c r="A6098" s="109" t="s">
        <v>33519</v>
      </c>
      <c r="B6098" s="109" t="s">
        <v>32759</v>
      </c>
      <c r="C6098" s="109" t="s">
        <v>32759</v>
      </c>
      <c r="D6098" s="109" t="s">
        <v>33520</v>
      </c>
      <c r="E6098" s="109" t="s">
        <v>33520</v>
      </c>
      <c r="F6098" s="109" t="s">
        <v>33521</v>
      </c>
      <c r="G6098" s="110" t="s">
        <v>6248</v>
      </c>
      <c r="H6098" s="110" t="s">
        <v>33522</v>
      </c>
      <c r="I6098" s="110" t="s">
        <v>33523</v>
      </c>
    </row>
    <row r="6099" spans="1:9" ht="63" x14ac:dyDescent="0.3">
      <c r="A6099" s="109" t="s">
        <v>33524</v>
      </c>
      <c r="B6099" s="109" t="s">
        <v>32759</v>
      </c>
      <c r="C6099" s="109" t="s">
        <v>32759</v>
      </c>
      <c r="D6099" s="109" t="s">
        <v>12401</v>
      </c>
      <c r="E6099" s="109" t="s">
        <v>12401</v>
      </c>
      <c r="F6099" s="109" t="s">
        <v>33525</v>
      </c>
      <c r="G6099" s="110" t="s">
        <v>6248</v>
      </c>
      <c r="H6099" s="110" t="s">
        <v>7480</v>
      </c>
      <c r="I6099" s="110" t="s">
        <v>33526</v>
      </c>
    </row>
    <row r="6100" spans="1:9" ht="50.4" x14ac:dyDescent="0.3">
      <c r="A6100" s="109" t="s">
        <v>33527</v>
      </c>
      <c r="B6100" s="109" t="s">
        <v>32759</v>
      </c>
      <c r="C6100" s="109" t="s">
        <v>32759</v>
      </c>
      <c r="D6100" s="109" t="s">
        <v>9787</v>
      </c>
      <c r="E6100" s="109" t="s">
        <v>9787</v>
      </c>
      <c r="F6100" s="109" t="s">
        <v>33528</v>
      </c>
      <c r="G6100" s="110" t="s">
        <v>6248</v>
      </c>
      <c r="H6100" s="110" t="s">
        <v>7062</v>
      </c>
      <c r="I6100" s="110" t="s">
        <v>33529</v>
      </c>
    </row>
    <row r="6101" spans="1:9" ht="37.799999999999997" x14ac:dyDescent="0.3">
      <c r="A6101" s="109" t="s">
        <v>33530</v>
      </c>
      <c r="B6101" s="109" t="s">
        <v>32759</v>
      </c>
      <c r="C6101" s="109" t="s">
        <v>32759</v>
      </c>
      <c r="D6101" s="109" t="s">
        <v>33531</v>
      </c>
      <c r="E6101" s="109" t="s">
        <v>33531</v>
      </c>
      <c r="F6101" s="109" t="s">
        <v>33532</v>
      </c>
      <c r="G6101" s="110" t="s">
        <v>6248</v>
      </c>
      <c r="H6101" s="110" t="s">
        <v>33533</v>
      </c>
      <c r="I6101" s="110" t="s">
        <v>33534</v>
      </c>
    </row>
    <row r="6102" spans="1:9" ht="50.4" x14ac:dyDescent="0.3">
      <c r="A6102" s="109" t="s">
        <v>33535</v>
      </c>
      <c r="B6102" s="109" t="s">
        <v>32759</v>
      </c>
      <c r="C6102" s="109" t="s">
        <v>32759</v>
      </c>
      <c r="D6102" s="109" t="s">
        <v>33536</v>
      </c>
      <c r="E6102" s="109" t="s">
        <v>33536</v>
      </c>
      <c r="F6102" s="109" t="s">
        <v>33537</v>
      </c>
      <c r="G6102" s="110" t="s">
        <v>6248</v>
      </c>
      <c r="H6102" s="110" t="s">
        <v>33538</v>
      </c>
      <c r="I6102" s="110" t="s">
        <v>33539</v>
      </c>
    </row>
    <row r="6103" spans="1:9" ht="50.4" x14ac:dyDescent="0.3">
      <c r="A6103" s="109" t="s">
        <v>33540</v>
      </c>
      <c r="B6103" s="109" t="s">
        <v>32759</v>
      </c>
      <c r="C6103" s="109" t="s">
        <v>32759</v>
      </c>
      <c r="D6103" s="109" t="s">
        <v>33541</v>
      </c>
      <c r="E6103" s="109" t="s">
        <v>33541</v>
      </c>
      <c r="F6103" s="109" t="s">
        <v>33542</v>
      </c>
      <c r="G6103" s="110" t="s">
        <v>6248</v>
      </c>
      <c r="H6103" s="110" t="s">
        <v>33543</v>
      </c>
      <c r="I6103" s="110" t="s">
        <v>33544</v>
      </c>
    </row>
    <row r="6104" spans="1:9" ht="50.4" x14ac:dyDescent="0.3">
      <c r="A6104" s="109" t="s">
        <v>33545</v>
      </c>
      <c r="B6104" s="109" t="s">
        <v>32759</v>
      </c>
      <c r="C6104" s="109" t="s">
        <v>32759</v>
      </c>
      <c r="D6104" s="109" t="s">
        <v>11277</v>
      </c>
      <c r="E6104" s="109" t="s">
        <v>11277</v>
      </c>
      <c r="F6104" s="109" t="s">
        <v>33546</v>
      </c>
      <c r="G6104" s="110" t="s">
        <v>6248</v>
      </c>
      <c r="H6104" s="110" t="s">
        <v>33547</v>
      </c>
      <c r="I6104" s="110" t="s">
        <v>33548</v>
      </c>
    </row>
    <row r="6105" spans="1:9" ht="50.4" x14ac:dyDescent="0.3">
      <c r="A6105" s="109" t="s">
        <v>33549</v>
      </c>
      <c r="B6105" s="109" t="s">
        <v>32759</v>
      </c>
      <c r="C6105" s="109" t="s">
        <v>32759</v>
      </c>
      <c r="D6105" s="109" t="s">
        <v>33550</v>
      </c>
      <c r="E6105" s="109" t="s">
        <v>33550</v>
      </c>
      <c r="F6105" s="109" t="s">
        <v>33551</v>
      </c>
      <c r="G6105" s="110" t="s">
        <v>6248</v>
      </c>
      <c r="H6105" s="110" t="s">
        <v>33552</v>
      </c>
      <c r="I6105" s="110" t="s">
        <v>33553</v>
      </c>
    </row>
    <row r="6106" spans="1:9" ht="37.799999999999997" x14ac:dyDescent="0.3">
      <c r="A6106" s="109" t="s">
        <v>33554</v>
      </c>
      <c r="B6106" s="109" t="s">
        <v>32759</v>
      </c>
      <c r="C6106" s="109" t="s">
        <v>32759</v>
      </c>
      <c r="D6106" s="109" t="s">
        <v>33555</v>
      </c>
      <c r="E6106" s="109" t="s">
        <v>33555</v>
      </c>
      <c r="F6106" s="109" t="s">
        <v>33556</v>
      </c>
      <c r="G6106" s="110" t="s">
        <v>6248</v>
      </c>
      <c r="H6106" s="110" t="s">
        <v>33557</v>
      </c>
      <c r="I6106" s="110" t="s">
        <v>33558</v>
      </c>
    </row>
    <row r="6107" spans="1:9" ht="50.4" x14ac:dyDescent="0.3">
      <c r="A6107" s="109" t="s">
        <v>33559</v>
      </c>
      <c r="B6107" s="109" t="s">
        <v>32759</v>
      </c>
      <c r="C6107" s="109" t="s">
        <v>32759</v>
      </c>
      <c r="D6107" s="109" t="s">
        <v>33560</v>
      </c>
      <c r="E6107" s="109" t="s">
        <v>33560</v>
      </c>
      <c r="F6107" s="109" t="s">
        <v>33561</v>
      </c>
      <c r="G6107" s="110" t="s">
        <v>6248</v>
      </c>
      <c r="H6107" s="110" t="s">
        <v>33562</v>
      </c>
      <c r="I6107" s="110" t="s">
        <v>33563</v>
      </c>
    </row>
    <row r="6108" spans="1:9" ht="50.4" x14ac:dyDescent="0.3">
      <c r="A6108" s="109" t="s">
        <v>33564</v>
      </c>
      <c r="B6108" s="109" t="s">
        <v>32759</v>
      </c>
      <c r="C6108" s="109" t="s">
        <v>32759</v>
      </c>
      <c r="D6108" s="109" t="s">
        <v>33565</v>
      </c>
      <c r="E6108" s="109" t="s">
        <v>33565</v>
      </c>
      <c r="F6108" s="109" t="s">
        <v>33566</v>
      </c>
      <c r="G6108" s="110" t="s">
        <v>6248</v>
      </c>
      <c r="H6108" s="110" t="s">
        <v>7597</v>
      </c>
      <c r="I6108" s="110" t="s">
        <v>33567</v>
      </c>
    </row>
    <row r="6109" spans="1:9" ht="50.4" x14ac:dyDescent="0.3">
      <c r="A6109" s="109" t="s">
        <v>33568</v>
      </c>
      <c r="B6109" s="109" t="s">
        <v>32759</v>
      </c>
      <c r="C6109" s="109" t="s">
        <v>32759</v>
      </c>
      <c r="D6109" s="109" t="s">
        <v>33569</v>
      </c>
      <c r="E6109" s="109" t="s">
        <v>33569</v>
      </c>
      <c r="F6109" s="109" t="s">
        <v>33570</v>
      </c>
      <c r="G6109" s="110" t="s">
        <v>6248</v>
      </c>
      <c r="H6109" s="110" t="s">
        <v>33571</v>
      </c>
      <c r="I6109" s="110" t="s">
        <v>33572</v>
      </c>
    </row>
    <row r="6110" spans="1:9" ht="50.4" x14ac:dyDescent="0.3">
      <c r="A6110" s="109" t="s">
        <v>33573</v>
      </c>
      <c r="B6110" s="109" t="s">
        <v>32759</v>
      </c>
      <c r="C6110" s="109" t="s">
        <v>32759</v>
      </c>
      <c r="D6110" s="109" t="s">
        <v>14450</v>
      </c>
      <c r="E6110" s="109" t="s">
        <v>14450</v>
      </c>
      <c r="F6110" s="109" t="s">
        <v>33574</v>
      </c>
      <c r="G6110" s="110" t="s">
        <v>6248</v>
      </c>
      <c r="H6110" s="110" t="s">
        <v>32277</v>
      </c>
      <c r="I6110" s="110" t="s">
        <v>33575</v>
      </c>
    </row>
    <row r="6111" spans="1:9" ht="50.4" x14ac:dyDescent="0.3">
      <c r="A6111" s="109" t="s">
        <v>33576</v>
      </c>
      <c r="B6111" s="109" t="s">
        <v>32759</v>
      </c>
      <c r="C6111" s="109" t="s">
        <v>32759</v>
      </c>
      <c r="D6111" s="109" t="s">
        <v>33577</v>
      </c>
      <c r="E6111" s="109" t="s">
        <v>33577</v>
      </c>
      <c r="F6111" s="109" t="s">
        <v>33578</v>
      </c>
      <c r="G6111" s="110" t="s">
        <v>6248</v>
      </c>
      <c r="H6111" s="110" t="s">
        <v>33579</v>
      </c>
      <c r="I6111" s="110" t="s">
        <v>33580</v>
      </c>
    </row>
    <row r="6112" spans="1:9" ht="50.4" x14ac:dyDescent="0.3">
      <c r="A6112" s="109" t="s">
        <v>33581</v>
      </c>
      <c r="B6112" s="109" t="s">
        <v>32759</v>
      </c>
      <c r="C6112" s="109" t="s">
        <v>32759</v>
      </c>
      <c r="D6112" s="109" t="s">
        <v>33582</v>
      </c>
      <c r="E6112" s="109" t="s">
        <v>33582</v>
      </c>
      <c r="F6112" s="109" t="s">
        <v>33583</v>
      </c>
      <c r="G6112" s="110" t="s">
        <v>6248</v>
      </c>
      <c r="H6112" s="110" t="s">
        <v>33584</v>
      </c>
      <c r="I6112" s="110" t="s">
        <v>33585</v>
      </c>
    </row>
    <row r="6113" spans="1:9" ht="50.4" x14ac:dyDescent="0.3">
      <c r="A6113" s="109" t="s">
        <v>33586</v>
      </c>
      <c r="B6113" s="109" t="s">
        <v>32759</v>
      </c>
      <c r="C6113" s="109" t="s">
        <v>32759</v>
      </c>
      <c r="D6113" s="109" t="s">
        <v>22690</v>
      </c>
      <c r="E6113" s="109" t="s">
        <v>22690</v>
      </c>
      <c r="F6113" s="109" t="s">
        <v>33587</v>
      </c>
      <c r="G6113" s="110" t="s">
        <v>6248</v>
      </c>
      <c r="H6113" s="110" t="s">
        <v>33588</v>
      </c>
      <c r="I6113" s="110" t="s">
        <v>33589</v>
      </c>
    </row>
    <row r="6114" spans="1:9" ht="50.4" x14ac:dyDescent="0.3">
      <c r="A6114" s="109" t="s">
        <v>33590</v>
      </c>
      <c r="B6114" s="109" t="s">
        <v>32759</v>
      </c>
      <c r="C6114" s="109" t="s">
        <v>32759</v>
      </c>
      <c r="D6114" s="109" t="s">
        <v>33591</v>
      </c>
      <c r="E6114" s="109" t="s">
        <v>33591</v>
      </c>
      <c r="F6114" s="109" t="s">
        <v>33592</v>
      </c>
      <c r="G6114" s="110" t="s">
        <v>6248</v>
      </c>
      <c r="H6114" s="110" t="s">
        <v>6883</v>
      </c>
      <c r="I6114" s="110" t="s">
        <v>33593</v>
      </c>
    </row>
    <row r="6115" spans="1:9" ht="50.4" x14ac:dyDescent="0.3">
      <c r="A6115" s="109" t="s">
        <v>33594</v>
      </c>
      <c r="B6115" s="109" t="s">
        <v>32759</v>
      </c>
      <c r="C6115" s="109" t="s">
        <v>32759</v>
      </c>
      <c r="D6115" s="109" t="s">
        <v>7605</v>
      </c>
      <c r="E6115" s="109" t="s">
        <v>7605</v>
      </c>
      <c r="F6115" s="109" t="s">
        <v>33595</v>
      </c>
      <c r="G6115" s="110" t="s">
        <v>6248</v>
      </c>
      <c r="H6115" s="110" t="s">
        <v>6507</v>
      </c>
      <c r="I6115" s="110" t="s">
        <v>33596</v>
      </c>
    </row>
    <row r="6116" spans="1:9" ht="25.2" x14ac:dyDescent="0.3">
      <c r="A6116" s="109" t="s">
        <v>33597</v>
      </c>
      <c r="B6116" s="109" t="s">
        <v>32759</v>
      </c>
      <c r="C6116" s="109" t="s">
        <v>32759</v>
      </c>
      <c r="D6116" s="109" t="s">
        <v>33598</v>
      </c>
      <c r="E6116" s="109" t="s">
        <v>33599</v>
      </c>
      <c r="F6116" s="109" t="s">
        <v>6729</v>
      </c>
      <c r="G6116" s="110" t="s">
        <v>6248</v>
      </c>
      <c r="H6116" s="110" t="s">
        <v>33600</v>
      </c>
      <c r="I6116" s="110" t="s">
        <v>33601</v>
      </c>
    </row>
    <row r="6117" spans="1:9" ht="25.2" x14ac:dyDescent="0.3">
      <c r="A6117" s="109" t="s">
        <v>33602</v>
      </c>
      <c r="B6117" s="109" t="s">
        <v>32759</v>
      </c>
      <c r="C6117" s="109" t="s">
        <v>32759</v>
      </c>
      <c r="D6117" s="109" t="s">
        <v>33603</v>
      </c>
      <c r="E6117" s="109" t="s">
        <v>33604</v>
      </c>
      <c r="F6117" s="109" t="s">
        <v>6729</v>
      </c>
      <c r="G6117" s="110" t="s">
        <v>6248</v>
      </c>
      <c r="H6117" s="110" t="s">
        <v>33605</v>
      </c>
      <c r="I6117" s="110" t="s">
        <v>33606</v>
      </c>
    </row>
    <row r="6118" spans="1:9" ht="25.2" x14ac:dyDescent="0.3">
      <c r="A6118" s="109" t="s">
        <v>33607</v>
      </c>
      <c r="B6118" s="109" t="s">
        <v>32759</v>
      </c>
      <c r="C6118" s="109" t="s">
        <v>32759</v>
      </c>
      <c r="D6118" s="109" t="s">
        <v>33608</v>
      </c>
      <c r="E6118" s="109" t="s">
        <v>33609</v>
      </c>
      <c r="F6118" s="109" t="s">
        <v>6729</v>
      </c>
      <c r="G6118" s="110" t="s">
        <v>6248</v>
      </c>
      <c r="H6118" s="110" t="s">
        <v>33610</v>
      </c>
      <c r="I6118" s="110" t="s">
        <v>33611</v>
      </c>
    </row>
    <row r="6119" spans="1:9" ht="25.2" x14ac:dyDescent="0.3">
      <c r="A6119" s="109" t="s">
        <v>33612</v>
      </c>
      <c r="B6119" s="109" t="s">
        <v>32759</v>
      </c>
      <c r="C6119" s="109" t="s">
        <v>32759</v>
      </c>
      <c r="D6119" s="109" t="s">
        <v>33613</v>
      </c>
      <c r="E6119" s="109" t="s">
        <v>33614</v>
      </c>
      <c r="F6119" s="109" t="s">
        <v>6729</v>
      </c>
      <c r="G6119" s="110" t="s">
        <v>6248</v>
      </c>
      <c r="H6119" s="110" t="s">
        <v>33615</v>
      </c>
      <c r="I6119" s="110" t="s">
        <v>33616</v>
      </c>
    </row>
    <row r="6120" spans="1:9" ht="63" x14ac:dyDescent="0.3">
      <c r="A6120" s="109" t="s">
        <v>33617</v>
      </c>
      <c r="B6120" s="109" t="s">
        <v>32759</v>
      </c>
      <c r="C6120" s="109" t="s">
        <v>32759</v>
      </c>
      <c r="D6120" s="109" t="s">
        <v>9836</v>
      </c>
      <c r="E6120" s="109" t="s">
        <v>9836</v>
      </c>
      <c r="F6120" s="109" t="s">
        <v>33618</v>
      </c>
      <c r="G6120" s="110" t="s">
        <v>6248</v>
      </c>
      <c r="H6120" s="110" t="s">
        <v>33619</v>
      </c>
      <c r="I6120" s="110" t="s">
        <v>33620</v>
      </c>
    </row>
    <row r="6121" spans="1:9" ht="50.4" x14ac:dyDescent="0.3">
      <c r="A6121" s="109" t="s">
        <v>33621</v>
      </c>
      <c r="B6121" s="109" t="s">
        <v>32759</v>
      </c>
      <c r="C6121" s="109" t="s">
        <v>32759</v>
      </c>
      <c r="D6121" s="109" t="s">
        <v>33622</v>
      </c>
      <c r="E6121" s="109" t="s">
        <v>33622</v>
      </c>
      <c r="F6121" s="109" t="s">
        <v>33623</v>
      </c>
      <c r="G6121" s="110" t="s">
        <v>6248</v>
      </c>
      <c r="H6121" s="110" t="s">
        <v>33624</v>
      </c>
      <c r="I6121" s="110" t="s">
        <v>33625</v>
      </c>
    </row>
    <row r="6122" spans="1:9" ht="50.4" x14ac:dyDescent="0.3">
      <c r="A6122" s="109" t="s">
        <v>33626</v>
      </c>
      <c r="B6122" s="109" t="s">
        <v>32759</v>
      </c>
      <c r="C6122" s="109" t="s">
        <v>32759</v>
      </c>
      <c r="D6122" s="109" t="s">
        <v>33627</v>
      </c>
      <c r="E6122" s="109" t="s">
        <v>33627</v>
      </c>
      <c r="F6122" s="109" t="s">
        <v>33628</v>
      </c>
      <c r="G6122" s="110" t="s">
        <v>6248</v>
      </c>
      <c r="H6122" s="110" t="s">
        <v>8185</v>
      </c>
      <c r="I6122" s="110" t="s">
        <v>33629</v>
      </c>
    </row>
    <row r="6123" spans="1:9" ht="50.4" x14ac:dyDescent="0.3">
      <c r="A6123" s="109" t="s">
        <v>33630</v>
      </c>
      <c r="B6123" s="109" t="s">
        <v>32759</v>
      </c>
      <c r="C6123" s="109" t="s">
        <v>32759</v>
      </c>
      <c r="D6123" s="109" t="s">
        <v>14450</v>
      </c>
      <c r="E6123" s="109" t="s">
        <v>14450</v>
      </c>
      <c r="F6123" s="109" t="s">
        <v>33631</v>
      </c>
      <c r="G6123" s="110" t="s">
        <v>6248</v>
      </c>
      <c r="H6123" s="110" t="s">
        <v>33632</v>
      </c>
      <c r="I6123" s="110" t="s">
        <v>33633</v>
      </c>
    </row>
    <row r="6124" spans="1:9" ht="50.4" x14ac:dyDescent="0.3">
      <c r="A6124" s="109" t="s">
        <v>33634</v>
      </c>
      <c r="B6124" s="109" t="s">
        <v>32759</v>
      </c>
      <c r="C6124" s="109" t="s">
        <v>32759</v>
      </c>
      <c r="D6124" s="109" t="s">
        <v>9930</v>
      </c>
      <c r="E6124" s="109" t="s">
        <v>9930</v>
      </c>
      <c r="F6124" s="109" t="s">
        <v>33635</v>
      </c>
      <c r="G6124" s="110" t="s">
        <v>6248</v>
      </c>
      <c r="H6124" s="110" t="s">
        <v>7221</v>
      </c>
      <c r="I6124" s="110" t="s">
        <v>33636</v>
      </c>
    </row>
    <row r="6125" spans="1:9" ht="50.4" x14ac:dyDescent="0.3">
      <c r="A6125" s="109" t="s">
        <v>33637</v>
      </c>
      <c r="B6125" s="109" t="s">
        <v>32759</v>
      </c>
      <c r="C6125" s="109" t="s">
        <v>32759</v>
      </c>
      <c r="D6125" s="109" t="s">
        <v>7678</v>
      </c>
      <c r="E6125" s="109" t="s">
        <v>7678</v>
      </c>
      <c r="F6125" s="109" t="s">
        <v>33638</v>
      </c>
      <c r="G6125" s="110" t="s">
        <v>6248</v>
      </c>
      <c r="H6125" s="110" t="s">
        <v>33639</v>
      </c>
      <c r="I6125" s="110" t="s">
        <v>33640</v>
      </c>
    </row>
    <row r="6126" spans="1:9" ht="50.4" x14ac:dyDescent="0.3">
      <c r="A6126" s="109" t="s">
        <v>33641</v>
      </c>
      <c r="B6126" s="109" t="s">
        <v>32759</v>
      </c>
      <c r="C6126" s="109" t="s">
        <v>32759</v>
      </c>
      <c r="D6126" s="109" t="s">
        <v>7512</v>
      </c>
      <c r="E6126" s="109" t="s">
        <v>7512</v>
      </c>
      <c r="F6126" s="109" t="s">
        <v>33642</v>
      </c>
      <c r="G6126" s="110" t="s">
        <v>6248</v>
      </c>
      <c r="H6126" s="110" t="s">
        <v>25076</v>
      </c>
      <c r="I6126" s="110" t="s">
        <v>33643</v>
      </c>
    </row>
    <row r="6127" spans="1:9" ht="50.4" x14ac:dyDescent="0.3">
      <c r="A6127" s="109" t="s">
        <v>33644</v>
      </c>
      <c r="B6127" s="109" t="s">
        <v>32759</v>
      </c>
      <c r="C6127" s="109" t="s">
        <v>32759</v>
      </c>
      <c r="D6127" s="109" t="s">
        <v>8478</v>
      </c>
      <c r="E6127" s="109" t="s">
        <v>8478</v>
      </c>
      <c r="F6127" s="109" t="s">
        <v>33645</v>
      </c>
      <c r="G6127" s="110" t="s">
        <v>6248</v>
      </c>
      <c r="H6127" s="110" t="s">
        <v>7817</v>
      </c>
      <c r="I6127" s="110" t="s">
        <v>33646</v>
      </c>
    </row>
    <row r="6128" spans="1:9" ht="50.4" x14ac:dyDescent="0.3">
      <c r="A6128" s="109" t="s">
        <v>33647</v>
      </c>
      <c r="B6128" s="109" t="s">
        <v>32759</v>
      </c>
      <c r="C6128" s="109" t="s">
        <v>32759</v>
      </c>
      <c r="D6128" s="109" t="s">
        <v>33648</v>
      </c>
      <c r="E6128" s="109" t="s">
        <v>33648</v>
      </c>
      <c r="F6128" s="109" t="s">
        <v>33649</v>
      </c>
      <c r="G6128" s="110" t="s">
        <v>6248</v>
      </c>
      <c r="H6128" s="110" t="s">
        <v>33650</v>
      </c>
      <c r="I6128" s="110" t="s">
        <v>33651</v>
      </c>
    </row>
    <row r="6129" spans="1:9" ht="50.4" x14ac:dyDescent="0.3">
      <c r="A6129" s="109" t="s">
        <v>33652</v>
      </c>
      <c r="B6129" s="109" t="s">
        <v>32759</v>
      </c>
      <c r="C6129" s="109" t="s">
        <v>32759</v>
      </c>
      <c r="D6129" s="109" t="s">
        <v>33653</v>
      </c>
      <c r="E6129" s="109" t="s">
        <v>33653</v>
      </c>
      <c r="F6129" s="109" t="s">
        <v>33654</v>
      </c>
      <c r="G6129" s="110" t="s">
        <v>6248</v>
      </c>
      <c r="H6129" s="110" t="s">
        <v>28289</v>
      </c>
      <c r="I6129" s="110" t="s">
        <v>33655</v>
      </c>
    </row>
    <row r="6130" spans="1:9" ht="50.4" x14ac:dyDescent="0.3">
      <c r="A6130" s="109" t="s">
        <v>33656</v>
      </c>
      <c r="B6130" s="109" t="s">
        <v>32759</v>
      </c>
      <c r="C6130" s="109" t="s">
        <v>32759</v>
      </c>
      <c r="D6130" s="109" t="s">
        <v>13069</v>
      </c>
      <c r="E6130" s="109" t="s">
        <v>13069</v>
      </c>
      <c r="F6130" s="109" t="s">
        <v>33657</v>
      </c>
      <c r="G6130" s="110" t="s">
        <v>6248</v>
      </c>
      <c r="H6130" s="110" t="s">
        <v>33658</v>
      </c>
      <c r="I6130" s="110" t="s">
        <v>33659</v>
      </c>
    </row>
    <row r="6131" spans="1:9" ht="50.4" x14ac:dyDescent="0.3">
      <c r="A6131" s="109" t="s">
        <v>33660</v>
      </c>
      <c r="B6131" s="109" t="s">
        <v>32759</v>
      </c>
      <c r="C6131" s="109" t="s">
        <v>32759</v>
      </c>
      <c r="D6131" s="109" t="s">
        <v>33661</v>
      </c>
      <c r="E6131" s="109" t="s">
        <v>33661</v>
      </c>
      <c r="F6131" s="109" t="s">
        <v>33662</v>
      </c>
      <c r="G6131" s="110" t="s">
        <v>6248</v>
      </c>
      <c r="H6131" s="110" t="s">
        <v>6398</v>
      </c>
      <c r="I6131" s="110" t="s">
        <v>33663</v>
      </c>
    </row>
    <row r="6132" spans="1:9" ht="50.4" x14ac:dyDescent="0.3">
      <c r="A6132" s="109" t="s">
        <v>33664</v>
      </c>
      <c r="B6132" s="109" t="s">
        <v>32759</v>
      </c>
      <c r="C6132" s="109" t="s">
        <v>32759</v>
      </c>
      <c r="D6132" s="109" t="s">
        <v>33665</v>
      </c>
      <c r="E6132" s="109" t="s">
        <v>33665</v>
      </c>
      <c r="F6132" s="109" t="s">
        <v>33666</v>
      </c>
      <c r="G6132" s="110" t="s">
        <v>6248</v>
      </c>
      <c r="H6132" s="110" t="s">
        <v>33667</v>
      </c>
      <c r="I6132" s="110" t="s">
        <v>33668</v>
      </c>
    </row>
    <row r="6133" spans="1:9" ht="37.799999999999997" x14ac:dyDescent="0.3">
      <c r="A6133" s="109" t="s">
        <v>33669</v>
      </c>
      <c r="B6133" s="109" t="s">
        <v>32759</v>
      </c>
      <c r="C6133" s="109" t="s">
        <v>32759</v>
      </c>
      <c r="D6133" s="109" t="s">
        <v>13664</v>
      </c>
      <c r="E6133" s="109" t="s">
        <v>13664</v>
      </c>
      <c r="F6133" s="109" t="s">
        <v>33670</v>
      </c>
      <c r="G6133" s="110" t="s">
        <v>6248</v>
      </c>
      <c r="H6133" s="110" t="s">
        <v>33671</v>
      </c>
      <c r="I6133" s="110" t="s">
        <v>33672</v>
      </c>
    </row>
    <row r="6134" spans="1:9" ht="50.4" x14ac:dyDescent="0.3">
      <c r="A6134" s="109" t="s">
        <v>33673</v>
      </c>
      <c r="B6134" s="109" t="s">
        <v>32759</v>
      </c>
      <c r="C6134" s="109" t="s">
        <v>32759</v>
      </c>
      <c r="D6134" s="109" t="s">
        <v>13664</v>
      </c>
      <c r="E6134" s="109" t="s">
        <v>13664</v>
      </c>
      <c r="F6134" s="109" t="s">
        <v>33674</v>
      </c>
      <c r="G6134" s="110" t="s">
        <v>6248</v>
      </c>
      <c r="H6134" s="110" t="s">
        <v>6883</v>
      </c>
      <c r="I6134" s="110" t="s">
        <v>33675</v>
      </c>
    </row>
    <row r="6135" spans="1:9" ht="50.4" x14ac:dyDescent="0.3">
      <c r="A6135" s="109" t="s">
        <v>33676</v>
      </c>
      <c r="B6135" s="109" t="s">
        <v>32759</v>
      </c>
      <c r="C6135" s="109" t="s">
        <v>32759</v>
      </c>
      <c r="D6135" s="109" t="s">
        <v>28721</v>
      </c>
      <c r="E6135" s="109" t="s">
        <v>28721</v>
      </c>
      <c r="F6135" s="109" t="s">
        <v>33677</v>
      </c>
      <c r="G6135" s="110" t="s">
        <v>6248</v>
      </c>
      <c r="H6135" s="110" t="s">
        <v>33678</v>
      </c>
      <c r="I6135" s="110" t="s">
        <v>33679</v>
      </c>
    </row>
    <row r="6136" spans="1:9" ht="50.4" x14ac:dyDescent="0.3">
      <c r="A6136" s="109" t="s">
        <v>33680</v>
      </c>
      <c r="B6136" s="109" t="s">
        <v>32759</v>
      </c>
      <c r="C6136" s="109" t="s">
        <v>32759</v>
      </c>
      <c r="D6136" s="109" t="s">
        <v>12473</v>
      </c>
      <c r="E6136" s="109" t="s">
        <v>12473</v>
      </c>
      <c r="F6136" s="109" t="s">
        <v>33681</v>
      </c>
      <c r="G6136" s="110" t="s">
        <v>6248</v>
      </c>
      <c r="H6136" s="110" t="s">
        <v>33682</v>
      </c>
      <c r="I6136" s="110" t="s">
        <v>33683</v>
      </c>
    </row>
    <row r="6137" spans="1:9" ht="63" x14ac:dyDescent="0.3">
      <c r="A6137" s="109" t="s">
        <v>33684</v>
      </c>
      <c r="B6137" s="109" t="s">
        <v>32759</v>
      </c>
      <c r="C6137" s="109" t="s">
        <v>32759</v>
      </c>
      <c r="D6137" s="109" t="s">
        <v>33685</v>
      </c>
      <c r="E6137" s="109" t="s">
        <v>33685</v>
      </c>
      <c r="F6137" s="109" t="s">
        <v>33686</v>
      </c>
      <c r="G6137" s="110" t="s">
        <v>6248</v>
      </c>
      <c r="H6137" s="110" t="s">
        <v>33687</v>
      </c>
      <c r="I6137" s="110" t="s">
        <v>33688</v>
      </c>
    </row>
    <row r="6138" spans="1:9" ht="50.4" x14ac:dyDescent="0.3">
      <c r="A6138" s="109" t="s">
        <v>33689</v>
      </c>
      <c r="B6138" s="109" t="s">
        <v>32759</v>
      </c>
      <c r="C6138" s="109" t="s">
        <v>32759</v>
      </c>
      <c r="D6138" s="109" t="s">
        <v>33690</v>
      </c>
      <c r="E6138" s="109" t="s">
        <v>33690</v>
      </c>
      <c r="F6138" s="109" t="s">
        <v>33691</v>
      </c>
      <c r="G6138" s="110" t="s">
        <v>6248</v>
      </c>
      <c r="H6138" s="110" t="s">
        <v>7648</v>
      </c>
      <c r="I6138" s="110" t="s">
        <v>33692</v>
      </c>
    </row>
    <row r="6139" spans="1:9" ht="25.2" x14ac:dyDescent="0.3">
      <c r="A6139" s="109" t="s">
        <v>33693</v>
      </c>
      <c r="B6139" s="109" t="s">
        <v>32759</v>
      </c>
      <c r="C6139" s="109" t="s">
        <v>32759</v>
      </c>
      <c r="D6139" s="109" t="s">
        <v>33694</v>
      </c>
      <c r="E6139" s="109" t="s">
        <v>5558</v>
      </c>
      <c r="F6139" s="109" t="s">
        <v>5497</v>
      </c>
      <c r="G6139" s="110" t="s">
        <v>6248</v>
      </c>
      <c r="H6139" s="110" t="s">
        <v>33695</v>
      </c>
      <c r="I6139" s="110" t="s">
        <v>33696</v>
      </c>
    </row>
    <row r="6140" spans="1:9" ht="25.2" x14ac:dyDescent="0.3">
      <c r="A6140" s="109" t="s">
        <v>33697</v>
      </c>
      <c r="B6140" s="109" t="s">
        <v>32759</v>
      </c>
      <c r="C6140" s="109" t="s">
        <v>32759</v>
      </c>
      <c r="D6140" s="109" t="s">
        <v>33698</v>
      </c>
      <c r="E6140" s="109" t="s">
        <v>5558</v>
      </c>
      <c r="F6140" s="109" t="s">
        <v>33699</v>
      </c>
      <c r="G6140" s="110" t="s">
        <v>6248</v>
      </c>
      <c r="H6140" s="110" t="s">
        <v>6341</v>
      </c>
      <c r="I6140" s="110" t="s">
        <v>33700</v>
      </c>
    </row>
    <row r="6141" spans="1:9" ht="25.2" x14ac:dyDescent="0.3">
      <c r="A6141" s="109" t="s">
        <v>33701</v>
      </c>
      <c r="B6141" s="109" t="s">
        <v>32759</v>
      </c>
      <c r="C6141" s="109" t="s">
        <v>32759</v>
      </c>
      <c r="D6141" s="109" t="s">
        <v>33702</v>
      </c>
      <c r="E6141" s="109" t="s">
        <v>33703</v>
      </c>
      <c r="F6141" s="109" t="s">
        <v>33704</v>
      </c>
      <c r="G6141" s="110" t="s">
        <v>6248</v>
      </c>
      <c r="H6141" s="110" t="s">
        <v>33705</v>
      </c>
      <c r="I6141" s="110" t="s">
        <v>33706</v>
      </c>
    </row>
    <row r="6142" spans="1:9" ht="25.2" x14ac:dyDescent="0.3">
      <c r="A6142" s="109" t="s">
        <v>33707</v>
      </c>
      <c r="B6142" s="109" t="s">
        <v>32759</v>
      </c>
      <c r="C6142" s="109" t="s">
        <v>32759</v>
      </c>
      <c r="D6142" s="109" t="s">
        <v>33708</v>
      </c>
      <c r="E6142" s="109" t="s">
        <v>33709</v>
      </c>
      <c r="F6142" s="109" t="s">
        <v>33704</v>
      </c>
      <c r="G6142" s="110" t="s">
        <v>6248</v>
      </c>
      <c r="H6142" s="110" t="s">
        <v>30576</v>
      </c>
      <c r="I6142" s="110" t="s">
        <v>33710</v>
      </c>
    </row>
    <row r="6143" spans="1:9" ht="25.2" x14ac:dyDescent="0.3">
      <c r="A6143" s="109" t="s">
        <v>33711</v>
      </c>
      <c r="B6143" s="109" t="s">
        <v>32759</v>
      </c>
      <c r="C6143" s="109" t="s">
        <v>32759</v>
      </c>
      <c r="D6143" s="109" t="s">
        <v>33712</v>
      </c>
      <c r="E6143" s="109" t="s">
        <v>5558</v>
      </c>
      <c r="F6143" s="109" t="s">
        <v>33713</v>
      </c>
      <c r="G6143" s="110" t="s">
        <v>6248</v>
      </c>
      <c r="H6143" s="110" t="s">
        <v>6689</v>
      </c>
      <c r="I6143" s="110" t="s">
        <v>33714</v>
      </c>
    </row>
    <row r="6144" spans="1:9" ht="37.799999999999997" x14ac:dyDescent="0.3">
      <c r="A6144" s="109" t="s">
        <v>33715</v>
      </c>
      <c r="B6144" s="109" t="s">
        <v>32759</v>
      </c>
      <c r="C6144" s="109" t="s">
        <v>32759</v>
      </c>
      <c r="D6144" s="109" t="s">
        <v>33716</v>
      </c>
      <c r="E6144" s="109" t="s">
        <v>5558</v>
      </c>
      <c r="F6144" s="109" t="s">
        <v>33717</v>
      </c>
      <c r="G6144" s="110" t="s">
        <v>6248</v>
      </c>
      <c r="H6144" s="110" t="s">
        <v>33718</v>
      </c>
      <c r="I6144" s="110" t="s">
        <v>33719</v>
      </c>
    </row>
    <row r="6145" spans="1:9" ht="37.799999999999997" x14ac:dyDescent="0.3">
      <c r="A6145" s="109" t="s">
        <v>33720</v>
      </c>
      <c r="B6145" s="109" t="s">
        <v>32759</v>
      </c>
      <c r="C6145" s="109" t="s">
        <v>32759</v>
      </c>
      <c r="D6145" s="109" t="s">
        <v>33721</v>
      </c>
      <c r="E6145" s="109" t="s">
        <v>5558</v>
      </c>
      <c r="F6145" s="109" t="s">
        <v>33722</v>
      </c>
      <c r="G6145" s="110" t="s">
        <v>6248</v>
      </c>
      <c r="H6145" s="110" t="s">
        <v>6346</v>
      </c>
      <c r="I6145" s="110" t="s">
        <v>33723</v>
      </c>
    </row>
    <row r="6146" spans="1:9" ht="25.2" x14ac:dyDescent="0.3">
      <c r="A6146" s="109" t="s">
        <v>33724</v>
      </c>
      <c r="B6146" s="109" t="s">
        <v>32759</v>
      </c>
      <c r="C6146" s="109" t="s">
        <v>32759</v>
      </c>
      <c r="D6146" s="109" t="s">
        <v>33725</v>
      </c>
      <c r="E6146" s="109" t="s">
        <v>5558</v>
      </c>
      <c r="F6146" s="109" t="s">
        <v>33726</v>
      </c>
      <c r="G6146" s="110" t="s">
        <v>6248</v>
      </c>
      <c r="H6146" s="110" t="s">
        <v>10345</v>
      </c>
      <c r="I6146" s="110" t="s">
        <v>33727</v>
      </c>
    </row>
    <row r="6147" spans="1:9" ht="25.2" x14ac:dyDescent="0.3">
      <c r="A6147" s="109" t="s">
        <v>33728</v>
      </c>
      <c r="B6147" s="109" t="s">
        <v>32759</v>
      </c>
      <c r="C6147" s="109" t="s">
        <v>32759</v>
      </c>
      <c r="D6147" s="109" t="s">
        <v>33729</v>
      </c>
      <c r="E6147" s="109" t="s">
        <v>5558</v>
      </c>
      <c r="F6147" s="109" t="s">
        <v>33730</v>
      </c>
      <c r="G6147" s="110" t="s">
        <v>6248</v>
      </c>
      <c r="H6147" s="110" t="s">
        <v>33731</v>
      </c>
      <c r="I6147" s="110" t="s">
        <v>33732</v>
      </c>
    </row>
    <row r="6148" spans="1:9" ht="37.799999999999997" x14ac:dyDescent="0.3">
      <c r="A6148" s="109" t="s">
        <v>33733</v>
      </c>
      <c r="B6148" s="109" t="s">
        <v>32759</v>
      </c>
      <c r="C6148" s="109" t="s">
        <v>32759</v>
      </c>
      <c r="D6148" s="109" t="s">
        <v>33734</v>
      </c>
      <c r="E6148" s="109" t="s">
        <v>5558</v>
      </c>
      <c r="F6148" s="109" t="s">
        <v>33735</v>
      </c>
      <c r="G6148" s="110" t="s">
        <v>6248</v>
      </c>
      <c r="H6148" s="110" t="s">
        <v>33736</v>
      </c>
      <c r="I6148" s="110" t="s">
        <v>33737</v>
      </c>
    </row>
    <row r="6149" spans="1:9" ht="25.2" x14ac:dyDescent="0.3">
      <c r="A6149" s="109" t="s">
        <v>33738</v>
      </c>
      <c r="B6149" s="109" t="s">
        <v>32759</v>
      </c>
      <c r="C6149" s="109" t="s">
        <v>32759</v>
      </c>
      <c r="D6149" s="109" t="s">
        <v>33739</v>
      </c>
      <c r="E6149" s="109" t="s">
        <v>5558</v>
      </c>
      <c r="F6149" s="109" t="s">
        <v>33740</v>
      </c>
      <c r="G6149" s="110" t="s">
        <v>6248</v>
      </c>
      <c r="H6149" s="110" t="s">
        <v>6716</v>
      </c>
      <c r="I6149" s="110" t="s">
        <v>33741</v>
      </c>
    </row>
    <row r="6150" spans="1:9" ht="37.799999999999997" x14ac:dyDescent="0.3">
      <c r="A6150" s="109" t="s">
        <v>33742</v>
      </c>
      <c r="B6150" s="109" t="s">
        <v>32759</v>
      </c>
      <c r="C6150" s="109" t="s">
        <v>32759</v>
      </c>
      <c r="D6150" s="109" t="s">
        <v>33743</v>
      </c>
      <c r="E6150" s="109" t="s">
        <v>5558</v>
      </c>
      <c r="F6150" s="109" t="s">
        <v>33744</v>
      </c>
      <c r="G6150" s="110" t="s">
        <v>6248</v>
      </c>
      <c r="H6150" s="110" t="s">
        <v>32548</v>
      </c>
      <c r="I6150" s="110" t="s">
        <v>33745</v>
      </c>
    </row>
    <row r="6151" spans="1:9" ht="25.2" x14ac:dyDescent="0.3">
      <c r="A6151" s="109" t="s">
        <v>33746</v>
      </c>
      <c r="B6151" s="109" t="s">
        <v>32759</v>
      </c>
      <c r="C6151" s="109" t="s">
        <v>32759</v>
      </c>
      <c r="D6151" s="109" t="s">
        <v>33747</v>
      </c>
      <c r="E6151" s="109" t="s">
        <v>5558</v>
      </c>
      <c r="F6151" s="109" t="s">
        <v>33748</v>
      </c>
      <c r="G6151" s="110" t="s">
        <v>6248</v>
      </c>
      <c r="H6151" s="110" t="s">
        <v>33749</v>
      </c>
      <c r="I6151" s="110" t="s">
        <v>33750</v>
      </c>
    </row>
    <row r="6152" spans="1:9" ht="25.2" x14ac:dyDescent="0.3">
      <c r="A6152" s="109" t="s">
        <v>33751</v>
      </c>
      <c r="B6152" s="109" t="s">
        <v>32759</v>
      </c>
      <c r="C6152" s="109" t="s">
        <v>32759</v>
      </c>
      <c r="D6152" s="109" t="s">
        <v>33752</v>
      </c>
      <c r="E6152" s="109" t="s">
        <v>5558</v>
      </c>
      <c r="F6152" s="109" t="s">
        <v>33753</v>
      </c>
      <c r="G6152" s="110" t="s">
        <v>6248</v>
      </c>
      <c r="H6152" s="110" t="s">
        <v>33754</v>
      </c>
      <c r="I6152" s="110" t="s">
        <v>33755</v>
      </c>
    </row>
    <row r="6153" spans="1:9" ht="25.2" x14ac:dyDescent="0.3">
      <c r="A6153" s="109" t="s">
        <v>33756</v>
      </c>
      <c r="B6153" s="109" t="s">
        <v>32759</v>
      </c>
      <c r="C6153" s="109" t="s">
        <v>32759</v>
      </c>
      <c r="D6153" s="109" t="s">
        <v>33757</v>
      </c>
      <c r="E6153" s="109" t="s">
        <v>5558</v>
      </c>
      <c r="F6153" s="109" t="s">
        <v>33758</v>
      </c>
      <c r="G6153" s="110" t="s">
        <v>6248</v>
      </c>
      <c r="H6153" s="110" t="s">
        <v>33759</v>
      </c>
      <c r="I6153" s="110" t="s">
        <v>33760</v>
      </c>
    </row>
    <row r="6154" spans="1:9" ht="25.2" x14ac:dyDescent="0.3">
      <c r="A6154" s="109" t="s">
        <v>33761</v>
      </c>
      <c r="B6154" s="109" t="s">
        <v>32759</v>
      </c>
      <c r="C6154" s="109" t="s">
        <v>32759</v>
      </c>
      <c r="D6154" s="109" t="s">
        <v>33762</v>
      </c>
      <c r="E6154" s="109" t="s">
        <v>5558</v>
      </c>
      <c r="F6154" s="109" t="s">
        <v>33763</v>
      </c>
      <c r="G6154" s="110" t="s">
        <v>6248</v>
      </c>
      <c r="H6154" s="110" t="s">
        <v>8185</v>
      </c>
      <c r="I6154" s="110" t="s">
        <v>33764</v>
      </c>
    </row>
    <row r="6155" spans="1:9" ht="37.799999999999997" x14ac:dyDescent="0.3">
      <c r="A6155" s="109" t="s">
        <v>33765</v>
      </c>
      <c r="B6155" s="109" t="s">
        <v>6233</v>
      </c>
      <c r="C6155" s="109" t="s">
        <v>32759</v>
      </c>
      <c r="D6155" s="109" t="s">
        <v>33766</v>
      </c>
      <c r="E6155" s="109" t="s">
        <v>5558</v>
      </c>
      <c r="F6155" s="109" t="s">
        <v>33767</v>
      </c>
      <c r="G6155" s="110" t="s">
        <v>6248</v>
      </c>
      <c r="H6155" s="110" t="s">
        <v>7504</v>
      </c>
      <c r="I6155" s="110" t="s">
        <v>33768</v>
      </c>
    </row>
    <row r="6156" spans="1:9" ht="25.2" x14ac:dyDescent="0.3">
      <c r="A6156" s="109" t="s">
        <v>33769</v>
      </c>
      <c r="B6156" s="109" t="s">
        <v>6233</v>
      </c>
      <c r="C6156" s="109" t="s">
        <v>32759</v>
      </c>
      <c r="D6156" s="109" t="s">
        <v>33770</v>
      </c>
      <c r="E6156" s="109" t="s">
        <v>5558</v>
      </c>
      <c r="F6156" s="109" t="s">
        <v>32761</v>
      </c>
      <c r="G6156" s="110" t="s">
        <v>33771</v>
      </c>
      <c r="H6156" s="110" t="s">
        <v>6248</v>
      </c>
      <c r="I6156" s="110" t="s">
        <v>33772</v>
      </c>
    </row>
    <row r="6157" spans="1:9" ht="37.799999999999997" x14ac:dyDescent="0.3">
      <c r="A6157" s="109" t="s">
        <v>33773</v>
      </c>
      <c r="B6157" s="109" t="s">
        <v>6233</v>
      </c>
      <c r="C6157" s="109" t="s">
        <v>32759</v>
      </c>
      <c r="D6157" s="109" t="s">
        <v>33774</v>
      </c>
      <c r="E6157" s="109" t="s">
        <v>5558</v>
      </c>
      <c r="F6157" s="109" t="s">
        <v>33775</v>
      </c>
      <c r="G6157" s="110" t="s">
        <v>6248</v>
      </c>
      <c r="H6157" s="110" t="s">
        <v>33776</v>
      </c>
      <c r="I6157" s="110" t="s">
        <v>33777</v>
      </c>
    </row>
    <row r="6158" spans="1:9" ht="25.2" x14ac:dyDescent="0.3">
      <c r="A6158" s="109" t="s">
        <v>33778</v>
      </c>
      <c r="B6158" s="109" t="s">
        <v>6233</v>
      </c>
      <c r="C6158" s="109" t="s">
        <v>32759</v>
      </c>
      <c r="D6158" s="109" t="s">
        <v>33779</v>
      </c>
      <c r="E6158" s="109" t="s">
        <v>33780</v>
      </c>
      <c r="F6158" s="109" t="s">
        <v>33781</v>
      </c>
      <c r="G6158" s="110" t="s">
        <v>6248</v>
      </c>
      <c r="H6158" s="110" t="s">
        <v>33782</v>
      </c>
      <c r="I6158" s="110" t="s">
        <v>33783</v>
      </c>
    </row>
    <row r="6159" spans="1:9" ht="37.799999999999997" x14ac:dyDescent="0.3">
      <c r="A6159" s="109" t="s">
        <v>33784</v>
      </c>
      <c r="B6159" s="109" t="s">
        <v>6233</v>
      </c>
      <c r="C6159" s="109" t="s">
        <v>32759</v>
      </c>
      <c r="D6159" s="109" t="s">
        <v>33785</v>
      </c>
      <c r="E6159" s="109" t="s">
        <v>5558</v>
      </c>
      <c r="F6159" s="109" t="s">
        <v>33786</v>
      </c>
      <c r="G6159" s="110" t="s">
        <v>6248</v>
      </c>
      <c r="H6159" s="110" t="s">
        <v>25423</v>
      </c>
      <c r="I6159" s="110" t="s">
        <v>33787</v>
      </c>
    </row>
    <row r="6160" spans="1:9" ht="25.2" x14ac:dyDescent="0.3">
      <c r="A6160" s="109" t="s">
        <v>33788</v>
      </c>
      <c r="B6160" s="109" t="s">
        <v>6233</v>
      </c>
      <c r="C6160" s="109" t="s">
        <v>6233</v>
      </c>
      <c r="D6160" s="109" t="s">
        <v>33789</v>
      </c>
      <c r="E6160" s="109" t="s">
        <v>5558</v>
      </c>
      <c r="F6160" s="109" t="s">
        <v>33790</v>
      </c>
      <c r="G6160" s="110" t="s">
        <v>6248</v>
      </c>
      <c r="H6160" s="110" t="s">
        <v>12066</v>
      </c>
      <c r="I6160" s="110" t="s">
        <v>33791</v>
      </c>
    </row>
    <row r="6161" spans="1:9" ht="25.2" x14ac:dyDescent="0.3">
      <c r="A6161" s="109" t="s">
        <v>33792</v>
      </c>
      <c r="B6161" s="109" t="s">
        <v>6233</v>
      </c>
      <c r="C6161" s="109" t="s">
        <v>6233</v>
      </c>
      <c r="D6161" s="109" t="s">
        <v>33793</v>
      </c>
      <c r="E6161" s="109" t="s">
        <v>33794</v>
      </c>
      <c r="F6161" s="109" t="s">
        <v>7723</v>
      </c>
      <c r="G6161" s="110" t="s">
        <v>6248</v>
      </c>
      <c r="H6161" s="110" t="s">
        <v>33795</v>
      </c>
      <c r="I6161" s="110" t="s">
        <v>33796</v>
      </c>
    </row>
    <row r="6162" spans="1:9" ht="25.2" x14ac:dyDescent="0.3">
      <c r="A6162" s="109" t="s">
        <v>33797</v>
      </c>
      <c r="B6162" s="109" t="s">
        <v>6233</v>
      </c>
      <c r="C6162" s="109" t="s">
        <v>6233</v>
      </c>
      <c r="D6162" s="109" t="s">
        <v>33798</v>
      </c>
      <c r="E6162" s="109" t="s">
        <v>5558</v>
      </c>
      <c r="F6162" s="109" t="s">
        <v>33799</v>
      </c>
      <c r="G6162" s="110" t="s">
        <v>6248</v>
      </c>
      <c r="H6162" s="110" t="s">
        <v>33800</v>
      </c>
      <c r="I6162" s="110" t="s">
        <v>33801</v>
      </c>
    </row>
    <row r="6163" spans="1:9" ht="25.2" x14ac:dyDescent="0.3">
      <c r="A6163" s="109" t="s">
        <v>33802</v>
      </c>
      <c r="B6163" s="109" t="s">
        <v>6233</v>
      </c>
      <c r="C6163" s="109" t="s">
        <v>6233</v>
      </c>
      <c r="D6163" s="109" t="s">
        <v>33803</v>
      </c>
      <c r="E6163" s="109" t="s">
        <v>33804</v>
      </c>
      <c r="F6163" s="109" t="s">
        <v>14816</v>
      </c>
      <c r="G6163" s="110" t="s">
        <v>6248</v>
      </c>
      <c r="H6163" s="110" t="s">
        <v>33805</v>
      </c>
      <c r="I6163" s="110" t="s">
        <v>33806</v>
      </c>
    </row>
    <row r="6164" spans="1:9" ht="25.2" x14ac:dyDescent="0.3">
      <c r="A6164" s="109" t="s">
        <v>33807</v>
      </c>
      <c r="B6164" s="109" t="s">
        <v>6233</v>
      </c>
      <c r="C6164" s="109" t="s">
        <v>6233</v>
      </c>
      <c r="D6164" s="109" t="s">
        <v>33808</v>
      </c>
      <c r="E6164" s="109" t="s">
        <v>5558</v>
      </c>
      <c r="F6164" s="109" t="s">
        <v>33809</v>
      </c>
      <c r="G6164" s="110" t="s">
        <v>6248</v>
      </c>
      <c r="H6164" s="110" t="s">
        <v>33810</v>
      </c>
      <c r="I6164" s="110" t="s">
        <v>33811</v>
      </c>
    </row>
    <row r="6165" spans="1:9" ht="25.2" x14ac:dyDescent="0.3">
      <c r="A6165" s="109" t="s">
        <v>33812</v>
      </c>
      <c r="B6165" s="109" t="s">
        <v>6233</v>
      </c>
      <c r="C6165" s="109" t="s">
        <v>6233</v>
      </c>
      <c r="D6165" s="109" t="s">
        <v>33813</v>
      </c>
      <c r="E6165" s="109" t="s">
        <v>5558</v>
      </c>
      <c r="F6165" s="109" t="s">
        <v>33814</v>
      </c>
      <c r="G6165" s="110" t="s">
        <v>6248</v>
      </c>
      <c r="H6165" s="110" t="s">
        <v>33815</v>
      </c>
      <c r="I6165" s="110" t="s">
        <v>33816</v>
      </c>
    </row>
    <row r="6166" spans="1:9" ht="37.799999999999997" x14ac:dyDescent="0.3">
      <c r="A6166" s="109" t="s">
        <v>33817</v>
      </c>
      <c r="B6166" s="109" t="s">
        <v>6233</v>
      </c>
      <c r="C6166" s="109" t="s">
        <v>6233</v>
      </c>
      <c r="D6166" s="109" t="s">
        <v>33818</v>
      </c>
      <c r="E6166" s="109" t="s">
        <v>5558</v>
      </c>
      <c r="F6166" s="109" t="s">
        <v>33819</v>
      </c>
      <c r="G6166" s="110" t="s">
        <v>6248</v>
      </c>
      <c r="H6166" s="110" t="s">
        <v>7221</v>
      </c>
      <c r="I6166" s="110" t="s">
        <v>33820</v>
      </c>
    </row>
    <row r="6167" spans="1:9" ht="25.2" x14ac:dyDescent="0.3">
      <c r="A6167" s="109" t="s">
        <v>33821</v>
      </c>
      <c r="B6167" s="109" t="s">
        <v>6233</v>
      </c>
      <c r="C6167" s="109" t="s">
        <v>6233</v>
      </c>
      <c r="D6167" s="109" t="s">
        <v>33822</v>
      </c>
      <c r="E6167" s="109" t="s">
        <v>5558</v>
      </c>
      <c r="F6167" s="109" t="s">
        <v>33823</v>
      </c>
      <c r="G6167" s="110" t="s">
        <v>6248</v>
      </c>
      <c r="H6167" s="110" t="s">
        <v>7504</v>
      </c>
      <c r="I6167" s="110" t="s">
        <v>33824</v>
      </c>
    </row>
    <row r="6168" spans="1:9" ht="25.2" x14ac:dyDescent="0.3">
      <c r="A6168" s="109" t="s">
        <v>33825</v>
      </c>
      <c r="B6168" s="109" t="s">
        <v>6233</v>
      </c>
      <c r="C6168" s="109" t="s">
        <v>6233</v>
      </c>
      <c r="D6168" s="109" t="s">
        <v>33826</v>
      </c>
      <c r="E6168" s="109" t="s">
        <v>5558</v>
      </c>
      <c r="F6168" s="109" t="s">
        <v>33827</v>
      </c>
      <c r="G6168" s="110" t="s">
        <v>6248</v>
      </c>
      <c r="H6168" s="110" t="s">
        <v>33828</v>
      </c>
      <c r="I6168" s="110" t="s">
        <v>33829</v>
      </c>
    </row>
    <row r="6169" spans="1:9" ht="37.799999999999997" x14ac:dyDescent="0.3">
      <c r="A6169" s="109" t="s">
        <v>33830</v>
      </c>
      <c r="B6169" s="109" t="s">
        <v>6233</v>
      </c>
      <c r="C6169" s="109" t="s">
        <v>6233</v>
      </c>
      <c r="D6169" s="109" t="s">
        <v>33831</v>
      </c>
      <c r="E6169" s="109" t="s">
        <v>5558</v>
      </c>
      <c r="F6169" s="109" t="s">
        <v>33832</v>
      </c>
      <c r="G6169" s="110" t="s">
        <v>6248</v>
      </c>
      <c r="H6169" s="110" t="s">
        <v>33833</v>
      </c>
      <c r="I6169" s="110" t="s">
        <v>33834</v>
      </c>
    </row>
    <row r="6170" spans="1:9" ht="37.799999999999997" x14ac:dyDescent="0.3">
      <c r="A6170" s="109" t="s">
        <v>33835</v>
      </c>
      <c r="B6170" s="109" t="s">
        <v>6233</v>
      </c>
      <c r="C6170" s="109" t="s">
        <v>6233</v>
      </c>
      <c r="D6170" s="109" t="s">
        <v>33836</v>
      </c>
      <c r="E6170" s="109" t="s">
        <v>5558</v>
      </c>
      <c r="F6170" s="109" t="s">
        <v>33837</v>
      </c>
      <c r="G6170" s="110" t="s">
        <v>6248</v>
      </c>
      <c r="H6170" s="110" t="s">
        <v>8593</v>
      </c>
      <c r="I6170" s="110" t="s">
        <v>33838</v>
      </c>
    </row>
    <row r="6171" spans="1:9" ht="37.799999999999997" x14ac:dyDescent="0.3">
      <c r="A6171" s="109" t="s">
        <v>33839</v>
      </c>
      <c r="B6171" s="109" t="s">
        <v>6233</v>
      </c>
      <c r="C6171" s="109" t="s">
        <v>6233</v>
      </c>
      <c r="D6171" s="109" t="s">
        <v>33840</v>
      </c>
      <c r="E6171" s="109" t="s">
        <v>5558</v>
      </c>
      <c r="F6171" s="109" t="s">
        <v>33841</v>
      </c>
      <c r="G6171" s="110" t="s">
        <v>6248</v>
      </c>
      <c r="H6171" s="110" t="s">
        <v>7714</v>
      </c>
      <c r="I6171" s="110" t="s">
        <v>33842</v>
      </c>
    </row>
    <row r="6172" spans="1:9" ht="37.799999999999997" x14ac:dyDescent="0.3">
      <c r="A6172" s="109" t="s">
        <v>33843</v>
      </c>
      <c r="B6172" s="109" t="s">
        <v>6233</v>
      </c>
      <c r="C6172" s="109" t="s">
        <v>6233</v>
      </c>
      <c r="D6172" s="109" t="s">
        <v>33844</v>
      </c>
      <c r="E6172" s="109" t="s">
        <v>5558</v>
      </c>
      <c r="F6172" s="109" t="s">
        <v>33845</v>
      </c>
      <c r="G6172" s="110" t="s">
        <v>6248</v>
      </c>
      <c r="H6172" s="110" t="s">
        <v>8746</v>
      </c>
      <c r="I6172" s="110" t="s">
        <v>33846</v>
      </c>
    </row>
    <row r="6173" spans="1:9" ht="25.2" x14ac:dyDescent="0.3">
      <c r="A6173" s="109" t="s">
        <v>33847</v>
      </c>
      <c r="B6173" s="109" t="s">
        <v>6233</v>
      </c>
      <c r="C6173" s="109" t="s">
        <v>6233</v>
      </c>
      <c r="D6173" s="109" t="s">
        <v>33848</v>
      </c>
      <c r="E6173" s="109" t="s">
        <v>5558</v>
      </c>
      <c r="F6173" s="109" t="s">
        <v>33849</v>
      </c>
      <c r="G6173" s="110" t="s">
        <v>6248</v>
      </c>
      <c r="H6173" s="110" t="s">
        <v>9434</v>
      </c>
      <c r="I6173" s="110" t="s">
        <v>33850</v>
      </c>
    </row>
    <row r="6174" spans="1:9" ht="25.2" x14ac:dyDescent="0.3">
      <c r="A6174" s="109" t="s">
        <v>33851</v>
      </c>
      <c r="B6174" s="109" t="s">
        <v>6233</v>
      </c>
      <c r="C6174" s="109" t="s">
        <v>6233</v>
      </c>
      <c r="D6174" s="109" t="s">
        <v>33852</v>
      </c>
      <c r="E6174" s="109" t="s">
        <v>5558</v>
      </c>
      <c r="F6174" s="109" t="s">
        <v>33853</v>
      </c>
      <c r="G6174" s="110" t="s">
        <v>6248</v>
      </c>
      <c r="H6174" s="110" t="s">
        <v>33854</v>
      </c>
      <c r="I6174" s="110" t="s">
        <v>33855</v>
      </c>
    </row>
    <row r="6175" spans="1:9" ht="25.2" x14ac:dyDescent="0.3">
      <c r="A6175" s="109" t="s">
        <v>33856</v>
      </c>
      <c r="B6175" s="109" t="s">
        <v>6233</v>
      </c>
      <c r="C6175" s="109" t="s">
        <v>6233</v>
      </c>
      <c r="D6175" s="109" t="s">
        <v>33857</v>
      </c>
      <c r="E6175" s="109" t="s">
        <v>5558</v>
      </c>
      <c r="F6175" s="109" t="s">
        <v>33858</v>
      </c>
      <c r="G6175" s="110" t="s">
        <v>6248</v>
      </c>
      <c r="H6175" s="110" t="s">
        <v>33859</v>
      </c>
      <c r="I6175" s="110" t="s">
        <v>33860</v>
      </c>
    </row>
    <row r="6176" spans="1:9" ht="25.2" x14ac:dyDescent="0.3">
      <c r="A6176" s="109" t="s">
        <v>33861</v>
      </c>
      <c r="B6176" s="109" t="s">
        <v>6233</v>
      </c>
      <c r="C6176" s="109" t="s">
        <v>6233</v>
      </c>
      <c r="D6176" s="109" t="s">
        <v>33862</v>
      </c>
      <c r="E6176" s="109" t="s">
        <v>5558</v>
      </c>
      <c r="F6176" s="109" t="s">
        <v>33863</v>
      </c>
      <c r="G6176" s="110" t="s">
        <v>6248</v>
      </c>
      <c r="H6176" s="110" t="s">
        <v>33864</v>
      </c>
      <c r="I6176" s="110" t="s">
        <v>33865</v>
      </c>
    </row>
    <row r="6177" spans="1:9" ht="25.2" x14ac:dyDescent="0.3">
      <c r="A6177" s="109" t="s">
        <v>33866</v>
      </c>
      <c r="B6177" s="109" t="s">
        <v>6233</v>
      </c>
      <c r="C6177" s="109" t="s">
        <v>6233</v>
      </c>
      <c r="D6177" s="109" t="s">
        <v>33867</v>
      </c>
      <c r="E6177" s="109" t="s">
        <v>5558</v>
      </c>
      <c r="F6177" s="109" t="s">
        <v>33868</v>
      </c>
      <c r="G6177" s="110" t="s">
        <v>6248</v>
      </c>
      <c r="H6177" s="110" t="s">
        <v>8052</v>
      </c>
      <c r="I6177" s="110" t="s">
        <v>33869</v>
      </c>
    </row>
    <row r="6178" spans="1:9" ht="25.2" x14ac:dyDescent="0.3">
      <c r="A6178" s="109" t="s">
        <v>33870</v>
      </c>
      <c r="B6178" s="109" t="s">
        <v>6233</v>
      </c>
      <c r="C6178" s="109" t="s">
        <v>6233</v>
      </c>
      <c r="D6178" s="109" t="s">
        <v>33871</v>
      </c>
      <c r="E6178" s="109" t="s">
        <v>5558</v>
      </c>
      <c r="F6178" s="109" t="s">
        <v>33872</v>
      </c>
      <c r="G6178" s="110" t="s">
        <v>6248</v>
      </c>
      <c r="H6178" s="110" t="s">
        <v>7094</v>
      </c>
      <c r="I6178" s="110" t="s">
        <v>33873</v>
      </c>
    </row>
    <row r="6179" spans="1:9" ht="25.2" x14ac:dyDescent="0.3">
      <c r="A6179" s="109" t="s">
        <v>33874</v>
      </c>
      <c r="B6179" s="109" t="s">
        <v>6233</v>
      </c>
      <c r="C6179" s="109" t="s">
        <v>6233</v>
      </c>
      <c r="D6179" s="109" t="s">
        <v>33875</v>
      </c>
      <c r="E6179" s="109" t="s">
        <v>5558</v>
      </c>
      <c r="F6179" s="109" t="s">
        <v>33876</v>
      </c>
      <c r="G6179" s="110" t="s">
        <v>6248</v>
      </c>
      <c r="H6179" s="110" t="s">
        <v>11088</v>
      </c>
      <c r="I6179" s="110" t="s">
        <v>33877</v>
      </c>
    </row>
    <row r="6180" spans="1:9" ht="25.2" x14ac:dyDescent="0.3">
      <c r="A6180" s="109" t="s">
        <v>33878</v>
      </c>
      <c r="B6180" s="109" t="s">
        <v>6233</v>
      </c>
      <c r="C6180" s="109" t="s">
        <v>6233</v>
      </c>
      <c r="D6180" s="109" t="s">
        <v>33879</v>
      </c>
      <c r="E6180" s="109" t="s">
        <v>33880</v>
      </c>
      <c r="F6180" s="109" t="s">
        <v>18395</v>
      </c>
      <c r="G6180" s="110" t="s">
        <v>6248</v>
      </c>
      <c r="H6180" s="110" t="s">
        <v>18396</v>
      </c>
      <c r="I6180" s="110" t="s">
        <v>33881</v>
      </c>
    </row>
    <row r="6181" spans="1:9" ht="25.2" x14ac:dyDescent="0.3">
      <c r="A6181" s="109" t="s">
        <v>33882</v>
      </c>
      <c r="B6181" s="109" t="s">
        <v>6233</v>
      </c>
      <c r="C6181" s="109" t="s">
        <v>6233</v>
      </c>
      <c r="D6181" s="109" t="s">
        <v>33883</v>
      </c>
      <c r="E6181" s="109" t="s">
        <v>5558</v>
      </c>
      <c r="F6181" s="109" t="s">
        <v>33884</v>
      </c>
      <c r="G6181" s="110" t="s">
        <v>6248</v>
      </c>
      <c r="H6181" s="110" t="s">
        <v>7221</v>
      </c>
      <c r="I6181" s="110" t="s">
        <v>33885</v>
      </c>
    </row>
    <row r="6182" spans="1:9" ht="37.799999999999997" x14ac:dyDescent="0.3">
      <c r="A6182" s="109" t="s">
        <v>33886</v>
      </c>
      <c r="B6182" s="109" t="s">
        <v>6233</v>
      </c>
      <c r="C6182" s="109" t="s">
        <v>6233</v>
      </c>
      <c r="D6182" s="109" t="s">
        <v>33887</v>
      </c>
      <c r="E6182" s="109" t="s">
        <v>5558</v>
      </c>
      <c r="F6182" s="109" t="s">
        <v>33888</v>
      </c>
      <c r="G6182" s="110" t="s">
        <v>6248</v>
      </c>
      <c r="H6182" s="110" t="s">
        <v>33889</v>
      </c>
      <c r="I6182" s="110" t="s">
        <v>33890</v>
      </c>
    </row>
    <row r="6183" spans="1:9" ht="25.2" x14ac:dyDescent="0.3">
      <c r="A6183" s="109" t="s">
        <v>33891</v>
      </c>
      <c r="B6183" s="109" t="s">
        <v>6233</v>
      </c>
      <c r="C6183" s="109" t="s">
        <v>6233</v>
      </c>
      <c r="D6183" s="109" t="s">
        <v>33892</v>
      </c>
      <c r="E6183" s="109" t="s">
        <v>5558</v>
      </c>
      <c r="F6183" s="109" t="s">
        <v>33893</v>
      </c>
      <c r="G6183" s="110" t="s">
        <v>6248</v>
      </c>
      <c r="H6183" s="110" t="s">
        <v>33894</v>
      </c>
      <c r="I6183" s="110" t="s">
        <v>33895</v>
      </c>
    </row>
    <row r="6184" spans="1:9" ht="37.799999999999997" x14ac:dyDescent="0.3">
      <c r="A6184" s="109" t="s">
        <v>33896</v>
      </c>
      <c r="B6184" s="109" t="s">
        <v>6233</v>
      </c>
      <c r="C6184" s="109" t="s">
        <v>6233</v>
      </c>
      <c r="D6184" s="109" t="s">
        <v>33897</v>
      </c>
      <c r="E6184" s="109" t="s">
        <v>5558</v>
      </c>
      <c r="F6184" s="109" t="s">
        <v>33898</v>
      </c>
      <c r="G6184" s="110" t="s">
        <v>6248</v>
      </c>
      <c r="H6184" s="110" t="s">
        <v>33899</v>
      </c>
      <c r="I6184" s="110" t="s">
        <v>33900</v>
      </c>
    </row>
    <row r="6185" spans="1:9" ht="25.2" x14ac:dyDescent="0.3">
      <c r="A6185" s="109" t="s">
        <v>33901</v>
      </c>
      <c r="B6185" s="109" t="s">
        <v>6233</v>
      </c>
      <c r="C6185" s="109" t="s">
        <v>6233</v>
      </c>
      <c r="D6185" s="109" t="s">
        <v>33902</v>
      </c>
      <c r="E6185" s="109" t="s">
        <v>5558</v>
      </c>
      <c r="F6185" s="109" t="s">
        <v>33903</v>
      </c>
      <c r="G6185" s="110" t="s">
        <v>6248</v>
      </c>
      <c r="H6185" s="110" t="s">
        <v>32132</v>
      </c>
      <c r="I6185" s="110" t="s">
        <v>33904</v>
      </c>
    </row>
    <row r="6186" spans="1:9" ht="25.2" x14ac:dyDescent="0.3">
      <c r="A6186" s="109" t="s">
        <v>33905</v>
      </c>
      <c r="B6186" s="109" t="s">
        <v>6233</v>
      </c>
      <c r="C6186" s="109" t="s">
        <v>6233</v>
      </c>
      <c r="D6186" s="109" t="s">
        <v>33906</v>
      </c>
      <c r="E6186" s="109" t="s">
        <v>5558</v>
      </c>
      <c r="F6186" s="109" t="s">
        <v>33907</v>
      </c>
      <c r="G6186" s="110" t="s">
        <v>6248</v>
      </c>
      <c r="H6186" s="110" t="s">
        <v>7480</v>
      </c>
      <c r="I6186" s="110" t="s">
        <v>33908</v>
      </c>
    </row>
    <row r="6187" spans="1:9" ht="25.2" x14ac:dyDescent="0.3">
      <c r="A6187" s="109" t="s">
        <v>33909</v>
      </c>
      <c r="B6187" s="109" t="s">
        <v>6233</v>
      </c>
      <c r="C6187" s="109" t="s">
        <v>6233</v>
      </c>
      <c r="D6187" s="109" t="s">
        <v>33910</v>
      </c>
      <c r="E6187" s="109" t="s">
        <v>5558</v>
      </c>
      <c r="F6187" s="109" t="s">
        <v>33911</v>
      </c>
      <c r="G6187" s="110" t="s">
        <v>6248</v>
      </c>
      <c r="H6187" s="110" t="s">
        <v>8905</v>
      </c>
      <c r="I6187" s="110" t="s">
        <v>33912</v>
      </c>
    </row>
    <row r="6188" spans="1:9" ht="25.2" x14ac:dyDescent="0.3">
      <c r="A6188" s="109" t="s">
        <v>33913</v>
      </c>
      <c r="B6188" s="109" t="s">
        <v>6233</v>
      </c>
      <c r="C6188" s="109" t="s">
        <v>6233</v>
      </c>
      <c r="D6188" s="109" t="s">
        <v>33914</v>
      </c>
      <c r="E6188" s="109" t="s">
        <v>5558</v>
      </c>
      <c r="F6188" s="109" t="s">
        <v>33915</v>
      </c>
      <c r="G6188" s="110" t="s">
        <v>6248</v>
      </c>
      <c r="H6188" s="110" t="s">
        <v>9843</v>
      </c>
      <c r="I6188" s="110" t="s">
        <v>33916</v>
      </c>
    </row>
    <row r="6189" spans="1:9" ht="37.799999999999997" x14ac:dyDescent="0.3">
      <c r="A6189" s="109" t="s">
        <v>33917</v>
      </c>
      <c r="B6189" s="109" t="s">
        <v>6233</v>
      </c>
      <c r="C6189" s="109" t="s">
        <v>6233</v>
      </c>
      <c r="D6189" s="109" t="s">
        <v>33918</v>
      </c>
      <c r="E6189" s="109" t="s">
        <v>5558</v>
      </c>
      <c r="F6189" s="109" t="s">
        <v>33919</v>
      </c>
      <c r="G6189" s="110" t="s">
        <v>6248</v>
      </c>
      <c r="H6189" s="110" t="s">
        <v>29543</v>
      </c>
      <c r="I6189" s="110" t="s">
        <v>33920</v>
      </c>
    </row>
    <row r="6190" spans="1:9" ht="25.2" x14ac:dyDescent="0.3">
      <c r="A6190" s="109" t="s">
        <v>33921</v>
      </c>
      <c r="B6190" s="109" t="s">
        <v>6233</v>
      </c>
      <c r="C6190" s="109" t="s">
        <v>6233</v>
      </c>
      <c r="D6190" s="109" t="s">
        <v>33922</v>
      </c>
      <c r="E6190" s="109" t="s">
        <v>5558</v>
      </c>
      <c r="F6190" s="109" t="s">
        <v>33923</v>
      </c>
      <c r="G6190" s="110" t="s">
        <v>6248</v>
      </c>
      <c r="H6190" s="110" t="s">
        <v>33924</v>
      </c>
      <c r="I6190" s="110" t="s">
        <v>33925</v>
      </c>
    </row>
    <row r="6191" spans="1:9" ht="37.799999999999997" x14ac:dyDescent="0.3">
      <c r="A6191" s="109" t="s">
        <v>33926</v>
      </c>
      <c r="B6191" s="109" t="s">
        <v>6233</v>
      </c>
      <c r="C6191" s="109" t="s">
        <v>6233</v>
      </c>
      <c r="D6191" s="109" t="s">
        <v>33927</v>
      </c>
      <c r="E6191" s="109" t="s">
        <v>5558</v>
      </c>
      <c r="F6191" s="109" t="s">
        <v>33928</v>
      </c>
      <c r="G6191" s="110" t="s">
        <v>6248</v>
      </c>
      <c r="H6191" s="110" t="s">
        <v>33929</v>
      </c>
      <c r="I6191" s="110" t="s">
        <v>33930</v>
      </c>
    </row>
    <row r="6192" spans="1:9" ht="25.2" x14ac:dyDescent="0.3">
      <c r="A6192" s="109" t="s">
        <v>33931</v>
      </c>
      <c r="B6192" s="109" t="s">
        <v>6233</v>
      </c>
      <c r="C6192" s="109" t="s">
        <v>6233</v>
      </c>
      <c r="D6192" s="109" t="s">
        <v>33932</v>
      </c>
      <c r="E6192" s="109" t="s">
        <v>5558</v>
      </c>
      <c r="F6192" s="109" t="s">
        <v>33933</v>
      </c>
      <c r="G6192" s="110" t="s">
        <v>6248</v>
      </c>
      <c r="H6192" s="110" t="s">
        <v>33934</v>
      </c>
      <c r="I6192" s="110" t="s">
        <v>33935</v>
      </c>
    </row>
    <row r="6193" spans="1:9" ht="25.2" x14ac:dyDescent="0.3">
      <c r="A6193" s="109" t="s">
        <v>33936</v>
      </c>
      <c r="B6193" s="109" t="s">
        <v>6233</v>
      </c>
      <c r="C6193" s="109" t="s">
        <v>6233</v>
      </c>
      <c r="D6193" s="109" t="s">
        <v>33937</v>
      </c>
      <c r="E6193" s="109" t="s">
        <v>5558</v>
      </c>
      <c r="F6193" s="109" t="s">
        <v>33938</v>
      </c>
      <c r="G6193" s="110" t="s">
        <v>6248</v>
      </c>
      <c r="H6193" s="110" t="s">
        <v>32132</v>
      </c>
      <c r="I6193" s="110" t="s">
        <v>33939</v>
      </c>
    </row>
    <row r="6194" spans="1:9" ht="25.2" x14ac:dyDescent="0.3">
      <c r="A6194" s="109" t="s">
        <v>33940</v>
      </c>
      <c r="B6194" s="109" t="s">
        <v>6233</v>
      </c>
      <c r="C6194" s="109" t="s">
        <v>6233</v>
      </c>
      <c r="D6194" s="109" t="s">
        <v>33941</v>
      </c>
      <c r="E6194" s="109" t="s">
        <v>33942</v>
      </c>
      <c r="F6194" s="109" t="s">
        <v>6351</v>
      </c>
      <c r="G6194" s="110" t="s">
        <v>6248</v>
      </c>
      <c r="H6194" s="110" t="s">
        <v>6352</v>
      </c>
      <c r="I6194" s="110" t="s">
        <v>33943</v>
      </c>
    </row>
    <row r="6195" spans="1:9" ht="25.2" x14ac:dyDescent="0.3">
      <c r="A6195" s="109" t="s">
        <v>33944</v>
      </c>
      <c r="B6195" s="109" t="s">
        <v>6233</v>
      </c>
      <c r="C6195" s="109" t="s">
        <v>6233</v>
      </c>
      <c r="D6195" s="109" t="s">
        <v>33945</v>
      </c>
      <c r="E6195" s="109" t="s">
        <v>5558</v>
      </c>
      <c r="F6195" s="109" t="s">
        <v>33946</v>
      </c>
      <c r="G6195" s="110" t="s">
        <v>6248</v>
      </c>
      <c r="H6195" s="110" t="s">
        <v>31462</v>
      </c>
      <c r="I6195" s="110" t="s">
        <v>33947</v>
      </c>
    </row>
    <row r="6196" spans="1:9" ht="25.2" x14ac:dyDescent="0.3">
      <c r="A6196" s="109" t="s">
        <v>33948</v>
      </c>
      <c r="B6196" s="109" t="s">
        <v>6233</v>
      </c>
      <c r="C6196" s="109" t="s">
        <v>6233</v>
      </c>
      <c r="D6196" s="109" t="s">
        <v>33949</v>
      </c>
      <c r="E6196" s="109" t="s">
        <v>5558</v>
      </c>
      <c r="F6196" s="109" t="s">
        <v>33950</v>
      </c>
      <c r="G6196" s="110" t="s">
        <v>6248</v>
      </c>
      <c r="H6196" s="110" t="s">
        <v>33951</v>
      </c>
      <c r="I6196" s="110" t="s">
        <v>33952</v>
      </c>
    </row>
    <row r="6197" spans="1:9" ht="37.799999999999997" x14ac:dyDescent="0.3">
      <c r="A6197" s="109" t="s">
        <v>33953</v>
      </c>
      <c r="B6197" s="109" t="s">
        <v>6233</v>
      </c>
      <c r="C6197" s="109" t="s">
        <v>6233</v>
      </c>
      <c r="D6197" s="109" t="s">
        <v>33954</v>
      </c>
      <c r="E6197" s="109" t="s">
        <v>5558</v>
      </c>
      <c r="F6197" s="109" t="s">
        <v>33955</v>
      </c>
      <c r="G6197" s="110" t="s">
        <v>6248</v>
      </c>
      <c r="H6197" s="110" t="s">
        <v>33956</v>
      </c>
      <c r="I6197" s="110" t="s">
        <v>33957</v>
      </c>
    </row>
    <row r="6198" spans="1:9" ht="25.2" x14ac:dyDescent="0.3">
      <c r="A6198" s="109" t="s">
        <v>33958</v>
      </c>
      <c r="B6198" s="109" t="s">
        <v>6233</v>
      </c>
      <c r="C6198" s="109" t="s">
        <v>6233</v>
      </c>
      <c r="D6198" s="109" t="s">
        <v>33959</v>
      </c>
      <c r="E6198" s="109" t="s">
        <v>5558</v>
      </c>
      <c r="F6198" s="109" t="s">
        <v>33960</v>
      </c>
      <c r="G6198" s="110" t="s">
        <v>6248</v>
      </c>
      <c r="H6198" s="110" t="s">
        <v>33961</v>
      </c>
      <c r="I6198" s="110" t="s">
        <v>33962</v>
      </c>
    </row>
    <row r="6199" spans="1:9" ht="25.2" x14ac:dyDescent="0.3">
      <c r="A6199" s="109" t="s">
        <v>33963</v>
      </c>
      <c r="B6199" s="109" t="s">
        <v>6233</v>
      </c>
      <c r="C6199" s="109" t="s">
        <v>6233</v>
      </c>
      <c r="D6199" s="109" t="s">
        <v>33964</v>
      </c>
      <c r="E6199" s="109" t="s">
        <v>5558</v>
      </c>
      <c r="F6199" s="109" t="s">
        <v>33965</v>
      </c>
      <c r="G6199" s="110" t="s">
        <v>6248</v>
      </c>
      <c r="H6199" s="110" t="s">
        <v>6689</v>
      </c>
      <c r="I6199" s="110" t="s">
        <v>33966</v>
      </c>
    </row>
    <row r="6200" spans="1:9" ht="25.2" x14ac:dyDescent="0.3">
      <c r="A6200" s="109" t="s">
        <v>33967</v>
      </c>
      <c r="B6200" s="109" t="s">
        <v>6233</v>
      </c>
      <c r="C6200" s="109" t="s">
        <v>6233</v>
      </c>
      <c r="D6200" s="109" t="s">
        <v>33968</v>
      </c>
      <c r="E6200" s="109" t="s">
        <v>5558</v>
      </c>
      <c r="F6200" s="109" t="s">
        <v>33969</v>
      </c>
      <c r="G6200" s="110" t="s">
        <v>6248</v>
      </c>
      <c r="H6200" s="110" t="s">
        <v>33970</v>
      </c>
      <c r="I6200" s="110" t="s">
        <v>33971</v>
      </c>
    </row>
    <row r="6201" spans="1:9" ht="25.2" x14ac:dyDescent="0.3">
      <c r="A6201" s="109" t="s">
        <v>33972</v>
      </c>
      <c r="B6201" s="109" t="s">
        <v>6233</v>
      </c>
      <c r="C6201" s="109" t="s">
        <v>6233</v>
      </c>
      <c r="D6201" s="109" t="s">
        <v>33973</v>
      </c>
      <c r="E6201" s="109" t="s">
        <v>5558</v>
      </c>
      <c r="F6201" s="109" t="s">
        <v>33974</v>
      </c>
      <c r="G6201" s="110" t="s">
        <v>6248</v>
      </c>
      <c r="H6201" s="110" t="s">
        <v>33975</v>
      </c>
      <c r="I6201" s="110" t="s">
        <v>33976</v>
      </c>
    </row>
    <row r="6202" spans="1:9" ht="25.2" x14ac:dyDescent="0.3">
      <c r="A6202" s="109" t="s">
        <v>33977</v>
      </c>
      <c r="B6202" s="109" t="s">
        <v>6233</v>
      </c>
      <c r="C6202" s="109" t="s">
        <v>6233</v>
      </c>
      <c r="D6202" s="109" t="s">
        <v>33978</v>
      </c>
      <c r="E6202" s="109" t="s">
        <v>5558</v>
      </c>
      <c r="F6202" s="109" t="s">
        <v>33979</v>
      </c>
      <c r="G6202" s="110" t="s">
        <v>6248</v>
      </c>
      <c r="H6202" s="110" t="s">
        <v>33980</v>
      </c>
      <c r="I6202" s="110" t="s">
        <v>33981</v>
      </c>
    </row>
    <row r="6203" spans="1:9" ht="37.799999999999997" x14ac:dyDescent="0.3">
      <c r="A6203" s="109" t="s">
        <v>33982</v>
      </c>
      <c r="B6203" s="109" t="s">
        <v>6233</v>
      </c>
      <c r="C6203" s="109" t="s">
        <v>6233</v>
      </c>
      <c r="D6203" s="109" t="s">
        <v>33983</v>
      </c>
      <c r="E6203" s="109" t="s">
        <v>5558</v>
      </c>
      <c r="F6203" s="109" t="s">
        <v>33984</v>
      </c>
      <c r="G6203" s="110" t="s">
        <v>6248</v>
      </c>
      <c r="H6203" s="110" t="s">
        <v>12684</v>
      </c>
      <c r="I6203" s="110" t="s">
        <v>33985</v>
      </c>
    </row>
    <row r="6204" spans="1:9" ht="25.2" x14ac:dyDescent="0.3">
      <c r="A6204" s="109" t="s">
        <v>33986</v>
      </c>
      <c r="B6204" s="109" t="s">
        <v>6233</v>
      </c>
      <c r="C6204" s="109" t="s">
        <v>33987</v>
      </c>
      <c r="D6204" s="109" t="s">
        <v>33988</v>
      </c>
      <c r="E6204" s="109" t="s">
        <v>5558</v>
      </c>
      <c r="F6204" s="109" t="s">
        <v>33989</v>
      </c>
      <c r="G6204" s="110" t="s">
        <v>33990</v>
      </c>
      <c r="H6204" s="110" t="s">
        <v>6248</v>
      </c>
      <c r="I6204" s="110" t="s">
        <v>6234</v>
      </c>
    </row>
    <row r="6206" spans="1:9" x14ac:dyDescent="0.3">
      <c r="A6206" s="111" t="s">
        <v>6231</v>
      </c>
      <c r="B6206" s="106"/>
      <c r="C6206" s="106"/>
      <c r="D6206" s="106"/>
      <c r="E6206" s="106"/>
      <c r="F6206" s="106"/>
      <c r="G6206" s="106"/>
      <c r="H6206" s="106"/>
      <c r="I6206" s="106"/>
    </row>
    <row r="6207" spans="1:9" x14ac:dyDescent="0.3">
      <c r="A6207" s="111" t="s">
        <v>6231</v>
      </c>
      <c r="B6207" s="106"/>
      <c r="C6207" s="106"/>
      <c r="D6207" s="106"/>
      <c r="E6207" s="106"/>
      <c r="F6207" s="106"/>
      <c r="G6207" s="106"/>
      <c r="H6207" s="106"/>
      <c r="I6207" s="106"/>
    </row>
    <row r="6208" spans="1:9" x14ac:dyDescent="0.3">
      <c r="A6208" s="111" t="s">
        <v>6231</v>
      </c>
      <c r="B6208" s="106"/>
      <c r="C6208" s="106"/>
      <c r="D6208" s="106"/>
      <c r="E6208" s="106"/>
      <c r="F6208" s="106"/>
      <c r="G6208" s="106"/>
      <c r="H6208" s="106"/>
      <c r="I6208" s="106"/>
    </row>
    <row r="6209" spans="1:9" x14ac:dyDescent="0.3">
      <c r="A6209" s="111" t="s">
        <v>33991</v>
      </c>
      <c r="B6209" s="106"/>
      <c r="C6209" s="106"/>
      <c r="D6209" s="106"/>
      <c r="E6209" s="106"/>
      <c r="F6209" s="106"/>
      <c r="G6209" s="106"/>
      <c r="H6209" s="106"/>
      <c r="I6209" s="106"/>
    </row>
  </sheetData>
  <mergeCells count="6">
    <mergeCell ref="A6209:I6209"/>
    <mergeCell ref="A4:I4"/>
    <mergeCell ref="A5:I5"/>
    <mergeCell ref="A6206:I6206"/>
    <mergeCell ref="A6207:I6207"/>
    <mergeCell ref="A6208:I62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4C51-34C7-4DD9-AD8B-5E27C41FE757}">
  <dimension ref="A1:K6451"/>
  <sheetViews>
    <sheetView workbookViewId="0">
      <selection activeCell="O11" sqref="O11"/>
    </sheetView>
  </sheetViews>
  <sheetFormatPr defaultRowHeight="14.4" x14ac:dyDescent="0.3"/>
  <cols>
    <col min="1" max="1" width="22.109375" bestFit="1" customWidth="1"/>
    <col min="2" max="3" width="10.33203125" bestFit="1" customWidth="1"/>
    <col min="4" max="4" width="9" bestFit="1" customWidth="1"/>
    <col min="5" max="5" width="4" bestFit="1" customWidth="1"/>
    <col min="6" max="6" width="19.5546875" style="3" customWidth="1"/>
    <col min="7" max="7" width="13.77734375" style="4" bestFit="1" customWidth="1"/>
    <col min="8" max="8" width="8.33203125" style="4" customWidth="1"/>
    <col min="9" max="9" width="14.44140625" style="4" bestFit="1" customWidth="1"/>
    <col min="11" max="11" width="13.109375" bestFit="1" customWidth="1"/>
  </cols>
  <sheetData>
    <row r="1" spans="1:11" x14ac:dyDescent="0.3">
      <c r="A1" t="s">
        <v>1</v>
      </c>
      <c r="B1" s="1">
        <v>45869</v>
      </c>
      <c r="C1" s="1">
        <v>45870</v>
      </c>
      <c r="D1">
        <v>101108</v>
      </c>
      <c r="E1">
        <v>100</v>
      </c>
      <c r="F1" s="3" t="s">
        <v>2</v>
      </c>
      <c r="G1" s="4">
        <v>23626.25</v>
      </c>
      <c r="I1" s="4">
        <v>26245361.829999998</v>
      </c>
      <c r="K1" s="5"/>
    </row>
    <row r="2" spans="1:11" x14ac:dyDescent="0.3">
      <c r="A2" t="s">
        <v>1</v>
      </c>
      <c r="B2" s="1">
        <v>45869</v>
      </c>
      <c r="C2" s="1">
        <v>45870</v>
      </c>
      <c r="D2">
        <v>101170</v>
      </c>
      <c r="E2">
        <v>100</v>
      </c>
      <c r="F2" s="3" t="s">
        <v>3</v>
      </c>
      <c r="G2" s="4">
        <v>105670</v>
      </c>
      <c r="I2" s="4">
        <v>26351031.829999998</v>
      </c>
    </row>
    <row r="3" spans="1:11" x14ac:dyDescent="0.3">
      <c r="A3" t="s">
        <v>1</v>
      </c>
      <c r="B3" s="1">
        <v>45869</v>
      </c>
      <c r="C3" s="1">
        <v>45870</v>
      </c>
      <c r="D3">
        <v>101206</v>
      </c>
      <c r="E3">
        <v>100</v>
      </c>
      <c r="F3" s="3" t="s">
        <v>4</v>
      </c>
      <c r="G3" s="4">
        <v>15526.25</v>
      </c>
      <c r="I3" s="4">
        <v>26366558.079999998</v>
      </c>
    </row>
    <row r="4" spans="1:11" x14ac:dyDescent="0.3">
      <c r="A4" t="s">
        <v>1</v>
      </c>
      <c r="B4" s="1">
        <v>45869</v>
      </c>
      <c r="C4" s="1">
        <v>45870</v>
      </c>
      <c r="D4">
        <v>101234</v>
      </c>
      <c r="E4">
        <v>100</v>
      </c>
      <c r="F4" s="3" t="s">
        <v>5</v>
      </c>
      <c r="G4" s="4">
        <v>17526.25</v>
      </c>
      <c r="I4" s="4">
        <v>26384084.329999998</v>
      </c>
    </row>
    <row r="5" spans="1:11" x14ac:dyDescent="0.3">
      <c r="A5" t="s">
        <v>1</v>
      </c>
      <c r="B5" s="1">
        <v>45868</v>
      </c>
      <c r="C5" s="1">
        <v>45870</v>
      </c>
      <c r="D5">
        <v>101243</v>
      </c>
      <c r="E5">
        <v>100</v>
      </c>
      <c r="F5" s="3" t="s">
        <v>6</v>
      </c>
      <c r="G5" s="4">
        <v>17776.25</v>
      </c>
      <c r="I5" s="4">
        <v>26401860.579999998</v>
      </c>
    </row>
    <row r="6" spans="1:11" x14ac:dyDescent="0.3">
      <c r="A6" t="s">
        <v>1</v>
      </c>
      <c r="B6" s="1">
        <v>45868</v>
      </c>
      <c r="C6" s="1">
        <v>45870</v>
      </c>
      <c r="D6">
        <v>101246</v>
      </c>
      <c r="E6">
        <v>100</v>
      </c>
      <c r="F6" s="3" t="s">
        <v>7</v>
      </c>
      <c r="G6" s="4">
        <v>2426.25</v>
      </c>
      <c r="I6" s="4">
        <v>26404286.829999998</v>
      </c>
    </row>
    <row r="7" spans="1:11" x14ac:dyDescent="0.3">
      <c r="A7" t="s">
        <v>1</v>
      </c>
      <c r="B7" s="1">
        <v>45869</v>
      </c>
      <c r="C7" s="1">
        <v>45870</v>
      </c>
      <c r="D7">
        <v>101276</v>
      </c>
      <c r="E7">
        <v>100</v>
      </c>
      <c r="F7" s="3" t="s">
        <v>8</v>
      </c>
      <c r="G7" s="4">
        <v>50302</v>
      </c>
      <c r="I7" s="4">
        <v>26454588.829999998</v>
      </c>
    </row>
    <row r="8" spans="1:11" x14ac:dyDescent="0.3">
      <c r="A8" t="s">
        <v>1</v>
      </c>
      <c r="B8" s="1">
        <v>45868</v>
      </c>
      <c r="C8" s="1">
        <v>45870</v>
      </c>
      <c r="D8">
        <v>101305</v>
      </c>
      <c r="E8">
        <v>100</v>
      </c>
      <c r="F8" s="3" t="s">
        <v>9</v>
      </c>
      <c r="G8" s="4">
        <v>54650</v>
      </c>
      <c r="I8" s="4">
        <v>26509238.829999998</v>
      </c>
    </row>
    <row r="9" spans="1:11" x14ac:dyDescent="0.3">
      <c r="A9" t="s">
        <v>1</v>
      </c>
      <c r="B9" s="1">
        <v>45869</v>
      </c>
      <c r="C9" s="1">
        <v>45870</v>
      </c>
      <c r="D9">
        <v>101310</v>
      </c>
      <c r="E9">
        <v>100</v>
      </c>
      <c r="F9" s="3" t="s">
        <v>10</v>
      </c>
      <c r="G9" s="4">
        <v>6000</v>
      </c>
      <c r="I9" s="4">
        <v>26515238.829999998</v>
      </c>
    </row>
    <row r="10" spans="1:11" x14ac:dyDescent="0.3">
      <c r="A10" t="s">
        <v>1</v>
      </c>
      <c r="B10" s="1">
        <v>45869</v>
      </c>
      <c r="C10" s="1">
        <v>45870</v>
      </c>
      <c r="D10">
        <v>101311</v>
      </c>
      <c r="E10">
        <v>100</v>
      </c>
      <c r="F10" s="3" t="s">
        <v>11</v>
      </c>
      <c r="G10" s="4">
        <v>76000</v>
      </c>
      <c r="I10" s="4">
        <v>26591238.829999998</v>
      </c>
    </row>
    <row r="11" spans="1:11" x14ac:dyDescent="0.3">
      <c r="A11" t="s">
        <v>1</v>
      </c>
      <c r="B11" s="1">
        <v>45869</v>
      </c>
      <c r="C11" s="1">
        <v>45870</v>
      </c>
      <c r="D11">
        <v>101315</v>
      </c>
      <c r="E11">
        <v>100</v>
      </c>
      <c r="F11" s="3" t="s">
        <v>12</v>
      </c>
      <c r="G11" s="4">
        <v>75348.22</v>
      </c>
      <c r="I11" s="4">
        <v>26666587.050000001</v>
      </c>
    </row>
    <row r="12" spans="1:11" x14ac:dyDescent="0.3">
      <c r="A12" t="s">
        <v>1</v>
      </c>
      <c r="B12" s="1">
        <v>45869</v>
      </c>
      <c r="C12" s="1">
        <v>45870</v>
      </c>
      <c r="D12">
        <v>101317</v>
      </c>
      <c r="E12">
        <v>100</v>
      </c>
      <c r="F12" s="3" t="s">
        <v>13</v>
      </c>
      <c r="G12" s="4">
        <v>57501.85</v>
      </c>
      <c r="I12" s="4">
        <v>26724088.899999999</v>
      </c>
    </row>
    <row r="13" spans="1:11" x14ac:dyDescent="0.3">
      <c r="A13" t="s">
        <v>1</v>
      </c>
      <c r="B13" s="1">
        <v>45869</v>
      </c>
      <c r="C13" s="1">
        <v>45870</v>
      </c>
      <c r="D13">
        <v>101319</v>
      </c>
      <c r="E13">
        <v>100</v>
      </c>
      <c r="F13" s="3" t="s">
        <v>14</v>
      </c>
      <c r="G13" s="4">
        <v>55310</v>
      </c>
      <c r="I13" s="4">
        <v>26779398.899999999</v>
      </c>
    </row>
    <row r="14" spans="1:11" x14ac:dyDescent="0.3">
      <c r="A14" t="s">
        <v>1</v>
      </c>
      <c r="B14" s="1">
        <v>45869</v>
      </c>
      <c r="C14" s="1">
        <v>45870</v>
      </c>
      <c r="D14">
        <v>101320</v>
      </c>
      <c r="E14">
        <v>100</v>
      </c>
      <c r="F14" s="3" t="s">
        <v>15</v>
      </c>
      <c r="G14" s="4">
        <v>99961.5</v>
      </c>
      <c r="I14" s="4">
        <v>26879360.399999999</v>
      </c>
    </row>
    <row r="15" spans="1:11" x14ac:dyDescent="0.3">
      <c r="A15" t="s">
        <v>1</v>
      </c>
      <c r="B15" s="1">
        <v>45869</v>
      </c>
      <c r="C15" s="1">
        <v>45870</v>
      </c>
      <c r="D15">
        <v>101321</v>
      </c>
      <c r="E15">
        <v>100</v>
      </c>
      <c r="F15" s="3" t="s">
        <v>16</v>
      </c>
      <c r="G15" s="4">
        <v>12980</v>
      </c>
      <c r="I15" s="4">
        <v>26892340.399999999</v>
      </c>
    </row>
    <row r="16" spans="1:11" x14ac:dyDescent="0.3">
      <c r="A16" t="s">
        <v>1</v>
      </c>
      <c r="B16" s="1">
        <v>45869</v>
      </c>
      <c r="C16" s="1">
        <v>45870</v>
      </c>
      <c r="D16">
        <v>101322</v>
      </c>
      <c r="E16">
        <v>100</v>
      </c>
      <c r="F16" s="3" t="s">
        <v>17</v>
      </c>
      <c r="G16" s="4">
        <v>39000</v>
      </c>
      <c r="I16" s="4">
        <v>26931340.399999999</v>
      </c>
    </row>
    <row r="17" spans="1:9" x14ac:dyDescent="0.3">
      <c r="A17" t="s">
        <v>1</v>
      </c>
      <c r="B17" s="1">
        <v>45869</v>
      </c>
      <c r="C17" s="1">
        <v>45870</v>
      </c>
      <c r="D17">
        <v>101324</v>
      </c>
      <c r="E17">
        <v>100</v>
      </c>
      <c r="F17" s="3" t="s">
        <v>18</v>
      </c>
      <c r="G17" s="4">
        <v>66100</v>
      </c>
      <c r="I17" s="4">
        <v>26997440.399999999</v>
      </c>
    </row>
    <row r="18" spans="1:9" x14ac:dyDescent="0.3">
      <c r="A18" t="s">
        <v>1</v>
      </c>
      <c r="B18" s="1">
        <v>45869</v>
      </c>
      <c r="C18" s="1">
        <v>45870</v>
      </c>
      <c r="D18">
        <v>101325</v>
      </c>
      <c r="E18">
        <v>100</v>
      </c>
      <c r="F18" s="3" t="s">
        <v>19</v>
      </c>
      <c r="G18" s="4">
        <v>27</v>
      </c>
      <c r="I18" s="4">
        <v>26997467.399999999</v>
      </c>
    </row>
    <row r="19" spans="1:9" x14ac:dyDescent="0.3">
      <c r="A19" t="s">
        <v>1</v>
      </c>
      <c r="B19" s="1">
        <v>45869</v>
      </c>
      <c r="C19" s="1">
        <v>45870</v>
      </c>
      <c r="D19">
        <v>101329</v>
      </c>
      <c r="E19">
        <v>100</v>
      </c>
      <c r="F19" s="3" t="s">
        <v>20</v>
      </c>
      <c r="G19" s="4">
        <v>3379.2</v>
      </c>
      <c r="I19" s="4">
        <v>27000846.600000001</v>
      </c>
    </row>
    <row r="20" spans="1:9" x14ac:dyDescent="0.3">
      <c r="A20" t="s">
        <v>1</v>
      </c>
      <c r="B20" s="1">
        <v>45869</v>
      </c>
      <c r="C20" s="1">
        <v>45870</v>
      </c>
      <c r="D20">
        <v>101330</v>
      </c>
      <c r="E20">
        <v>100</v>
      </c>
      <c r="F20" s="3" t="s">
        <v>21</v>
      </c>
      <c r="G20" s="4">
        <v>64336</v>
      </c>
      <c r="I20" s="4">
        <v>27065182.600000001</v>
      </c>
    </row>
    <row r="21" spans="1:9" x14ac:dyDescent="0.3">
      <c r="A21" t="s">
        <v>1</v>
      </c>
      <c r="B21" s="1">
        <v>45869</v>
      </c>
      <c r="C21" s="1">
        <v>45870</v>
      </c>
      <c r="D21">
        <v>101331</v>
      </c>
      <c r="E21">
        <v>100</v>
      </c>
      <c r="F21" s="3" t="s">
        <v>22</v>
      </c>
      <c r="G21" s="4">
        <v>20026.25</v>
      </c>
      <c r="I21" s="4">
        <v>27085208.850000001</v>
      </c>
    </row>
    <row r="22" spans="1:9" x14ac:dyDescent="0.3">
      <c r="A22" t="s">
        <v>1</v>
      </c>
      <c r="B22" s="1">
        <v>45869</v>
      </c>
      <c r="C22" s="1">
        <v>45870</v>
      </c>
      <c r="D22">
        <v>101332</v>
      </c>
      <c r="E22">
        <v>100</v>
      </c>
      <c r="F22" s="3" t="s">
        <v>23</v>
      </c>
      <c r="G22" s="4">
        <v>29026.25</v>
      </c>
      <c r="I22" s="4">
        <v>27114235.100000001</v>
      </c>
    </row>
    <row r="23" spans="1:9" x14ac:dyDescent="0.3">
      <c r="A23" t="s">
        <v>1</v>
      </c>
      <c r="B23" s="1">
        <v>45869</v>
      </c>
      <c r="C23" s="1">
        <v>45870</v>
      </c>
      <c r="D23">
        <v>101339</v>
      </c>
      <c r="E23">
        <v>100</v>
      </c>
      <c r="F23" s="3" t="s">
        <v>24</v>
      </c>
      <c r="G23" s="4">
        <v>14945</v>
      </c>
      <c r="I23" s="4">
        <v>27129180.100000001</v>
      </c>
    </row>
    <row r="24" spans="1:9" x14ac:dyDescent="0.3">
      <c r="A24" t="s">
        <v>1</v>
      </c>
      <c r="B24" s="1">
        <v>45869</v>
      </c>
      <c r="C24" s="1">
        <v>45870</v>
      </c>
      <c r="D24">
        <v>101343</v>
      </c>
      <c r="E24">
        <v>100</v>
      </c>
      <c r="F24" s="3" t="s">
        <v>25</v>
      </c>
      <c r="G24" s="4">
        <v>3503.7</v>
      </c>
      <c r="I24" s="4">
        <v>27132683.800000001</v>
      </c>
    </row>
    <row r="25" spans="1:9" x14ac:dyDescent="0.3">
      <c r="A25" t="s">
        <v>1</v>
      </c>
      <c r="B25" s="1">
        <v>45869</v>
      </c>
      <c r="C25" s="1">
        <v>45870</v>
      </c>
      <c r="D25">
        <v>101344</v>
      </c>
      <c r="E25">
        <v>100</v>
      </c>
      <c r="F25" s="3" t="s">
        <v>26</v>
      </c>
      <c r="G25" s="4">
        <v>7010.5</v>
      </c>
      <c r="I25" s="4">
        <v>27139694.300000001</v>
      </c>
    </row>
    <row r="26" spans="1:9" x14ac:dyDescent="0.3">
      <c r="A26" t="s">
        <v>1</v>
      </c>
      <c r="B26" s="1">
        <v>45868</v>
      </c>
      <c r="C26" s="1">
        <v>45870</v>
      </c>
      <c r="D26">
        <v>101353</v>
      </c>
      <c r="E26">
        <v>100</v>
      </c>
      <c r="F26" s="3" t="s">
        <v>27</v>
      </c>
      <c r="G26" s="4">
        <v>1800</v>
      </c>
      <c r="I26" s="4">
        <v>27141494.300000001</v>
      </c>
    </row>
    <row r="27" spans="1:9" x14ac:dyDescent="0.3">
      <c r="A27" t="s">
        <v>1</v>
      </c>
      <c r="B27" s="1">
        <v>45869</v>
      </c>
      <c r="C27" s="1">
        <v>45870</v>
      </c>
      <c r="D27">
        <v>101358</v>
      </c>
      <c r="E27">
        <v>100</v>
      </c>
      <c r="F27" s="3" t="s">
        <v>28</v>
      </c>
      <c r="G27" s="4">
        <v>27000</v>
      </c>
      <c r="I27" s="4">
        <v>27168494.300000001</v>
      </c>
    </row>
    <row r="28" spans="1:9" x14ac:dyDescent="0.3">
      <c r="A28" t="s">
        <v>1</v>
      </c>
      <c r="B28" s="1">
        <v>45869</v>
      </c>
      <c r="C28" s="1">
        <v>45870</v>
      </c>
      <c r="D28">
        <v>101359</v>
      </c>
      <c r="E28">
        <v>100</v>
      </c>
      <c r="F28" s="3" t="s">
        <v>29</v>
      </c>
      <c r="G28" s="4">
        <v>16.8</v>
      </c>
      <c r="I28" s="4">
        <v>27168511.100000001</v>
      </c>
    </row>
    <row r="29" spans="1:9" x14ac:dyDescent="0.3">
      <c r="A29" t="s">
        <v>1</v>
      </c>
      <c r="B29" s="1">
        <v>45869</v>
      </c>
      <c r="C29" s="1">
        <v>45870</v>
      </c>
      <c r="D29">
        <v>101360</v>
      </c>
      <c r="E29">
        <v>100</v>
      </c>
      <c r="F29" s="3" t="s">
        <v>30</v>
      </c>
      <c r="G29" s="4">
        <v>46370</v>
      </c>
      <c r="I29" s="4">
        <v>27214881.100000001</v>
      </c>
    </row>
    <row r="30" spans="1:9" x14ac:dyDescent="0.3">
      <c r="A30" t="s">
        <v>1</v>
      </c>
      <c r="B30" s="1">
        <v>45869</v>
      </c>
      <c r="C30" s="1">
        <v>45870</v>
      </c>
      <c r="D30">
        <v>101366</v>
      </c>
      <c r="E30">
        <v>100</v>
      </c>
      <c r="F30" s="3" t="s">
        <v>31</v>
      </c>
      <c r="G30" s="4">
        <v>40000</v>
      </c>
      <c r="I30" s="4">
        <v>27254881.100000001</v>
      </c>
    </row>
    <row r="31" spans="1:9" x14ac:dyDescent="0.3">
      <c r="A31" t="s">
        <v>1</v>
      </c>
      <c r="B31" s="1">
        <v>45869</v>
      </c>
      <c r="C31" s="1">
        <v>45870</v>
      </c>
      <c r="D31">
        <v>101367</v>
      </c>
      <c r="E31">
        <v>100</v>
      </c>
      <c r="F31" s="3" t="s">
        <v>32</v>
      </c>
      <c r="G31" s="4">
        <v>29888</v>
      </c>
      <c r="I31" s="4">
        <v>27284769.100000001</v>
      </c>
    </row>
    <row r="32" spans="1:9" x14ac:dyDescent="0.3">
      <c r="A32" t="s">
        <v>1</v>
      </c>
      <c r="B32" s="1">
        <v>45869</v>
      </c>
      <c r="C32" s="1">
        <v>45870</v>
      </c>
      <c r="D32">
        <v>101368</v>
      </c>
      <c r="E32">
        <v>100</v>
      </c>
      <c r="F32" s="3" t="s">
        <v>33</v>
      </c>
      <c r="G32" s="4">
        <v>805.25</v>
      </c>
      <c r="I32" s="4">
        <v>27285574.350000001</v>
      </c>
    </row>
    <row r="33" spans="1:9" x14ac:dyDescent="0.3">
      <c r="A33" t="s">
        <v>1</v>
      </c>
      <c r="B33" s="1">
        <v>45869</v>
      </c>
      <c r="C33" s="1">
        <v>45870</v>
      </c>
      <c r="D33">
        <v>101369</v>
      </c>
      <c r="E33">
        <v>100</v>
      </c>
      <c r="F33" s="3" t="s">
        <v>34</v>
      </c>
      <c r="G33" s="4">
        <v>14763.25</v>
      </c>
      <c r="I33" s="4">
        <v>27300337.600000001</v>
      </c>
    </row>
    <row r="34" spans="1:9" x14ac:dyDescent="0.3">
      <c r="A34" t="s">
        <v>1</v>
      </c>
      <c r="B34" s="1">
        <v>45869</v>
      </c>
      <c r="C34" s="1">
        <v>45870</v>
      </c>
      <c r="D34">
        <v>101372</v>
      </c>
      <c r="E34">
        <v>100</v>
      </c>
      <c r="F34" s="3" t="s">
        <v>35</v>
      </c>
      <c r="G34" s="4">
        <v>5126.25</v>
      </c>
      <c r="I34" s="4">
        <v>27305463.850000001</v>
      </c>
    </row>
    <row r="35" spans="1:9" x14ac:dyDescent="0.3">
      <c r="A35" t="s">
        <v>1</v>
      </c>
      <c r="B35" s="1">
        <v>45869</v>
      </c>
      <c r="C35" s="1">
        <v>45870</v>
      </c>
      <c r="D35">
        <v>101374</v>
      </c>
      <c r="E35">
        <v>100</v>
      </c>
      <c r="F35" s="3" t="s">
        <v>36</v>
      </c>
      <c r="G35" s="4">
        <v>6000</v>
      </c>
      <c r="I35" s="4">
        <v>27311463.850000001</v>
      </c>
    </row>
    <row r="36" spans="1:9" x14ac:dyDescent="0.3">
      <c r="A36" t="s">
        <v>1</v>
      </c>
      <c r="B36" s="1">
        <v>45869</v>
      </c>
      <c r="C36" s="1">
        <v>45870</v>
      </c>
      <c r="D36">
        <v>101375</v>
      </c>
      <c r="E36">
        <v>100</v>
      </c>
      <c r="F36" s="3" t="s">
        <v>37</v>
      </c>
      <c r="G36" s="4">
        <v>5026.5</v>
      </c>
      <c r="I36" s="4">
        <v>27316490.350000001</v>
      </c>
    </row>
    <row r="37" spans="1:9" x14ac:dyDescent="0.3">
      <c r="A37" t="s">
        <v>1</v>
      </c>
      <c r="B37" s="1">
        <v>45870</v>
      </c>
      <c r="C37" s="1">
        <v>45870</v>
      </c>
      <c r="D37">
        <v>101376</v>
      </c>
      <c r="E37">
        <v>100</v>
      </c>
      <c r="F37" s="3" t="s">
        <v>38</v>
      </c>
      <c r="G37" s="4">
        <v>44500</v>
      </c>
      <c r="I37" s="4">
        <v>27360990.350000001</v>
      </c>
    </row>
    <row r="38" spans="1:9" x14ac:dyDescent="0.3">
      <c r="A38" t="s">
        <v>1</v>
      </c>
      <c r="B38" s="1">
        <v>45869</v>
      </c>
      <c r="C38" s="1">
        <v>45870</v>
      </c>
      <c r="D38">
        <v>101382</v>
      </c>
      <c r="E38">
        <v>100</v>
      </c>
      <c r="F38" s="3" t="s">
        <v>39</v>
      </c>
      <c r="G38" s="4">
        <v>29200</v>
      </c>
      <c r="I38" s="4">
        <v>27390190.350000001</v>
      </c>
    </row>
    <row r="39" spans="1:9" x14ac:dyDescent="0.3">
      <c r="A39" t="s">
        <v>1</v>
      </c>
      <c r="B39" s="1">
        <v>45869</v>
      </c>
      <c r="C39" s="1">
        <v>45870</v>
      </c>
      <c r="D39">
        <v>101384</v>
      </c>
      <c r="E39">
        <v>100</v>
      </c>
      <c r="F39" s="3" t="s">
        <v>40</v>
      </c>
      <c r="G39" s="4">
        <v>2500</v>
      </c>
      <c r="I39" s="4">
        <v>27392690.350000001</v>
      </c>
    </row>
    <row r="40" spans="1:9" x14ac:dyDescent="0.3">
      <c r="A40" t="s">
        <v>1</v>
      </c>
      <c r="B40" s="1">
        <v>45870</v>
      </c>
      <c r="C40" s="1">
        <v>45870</v>
      </c>
      <c r="D40">
        <v>101388</v>
      </c>
      <c r="E40">
        <v>100</v>
      </c>
      <c r="F40" s="3" t="s">
        <v>41</v>
      </c>
      <c r="G40" s="4">
        <v>41779.75</v>
      </c>
      <c r="I40" s="4">
        <v>27434470.100000001</v>
      </c>
    </row>
    <row r="41" spans="1:9" x14ac:dyDescent="0.3">
      <c r="A41" t="s">
        <v>1</v>
      </c>
      <c r="B41" s="1">
        <v>45870</v>
      </c>
      <c r="C41" s="1">
        <v>45870</v>
      </c>
      <c r="D41">
        <v>101389</v>
      </c>
      <c r="E41">
        <v>100</v>
      </c>
      <c r="F41" s="3" t="s">
        <v>42</v>
      </c>
      <c r="G41" s="4">
        <v>134500.79999999999</v>
      </c>
      <c r="I41" s="4">
        <v>27568970.899999999</v>
      </c>
    </row>
    <row r="42" spans="1:9" x14ac:dyDescent="0.3">
      <c r="A42" t="s">
        <v>1</v>
      </c>
      <c r="B42" s="1">
        <v>45869</v>
      </c>
      <c r="C42" s="1">
        <v>45870</v>
      </c>
      <c r="D42">
        <v>101392</v>
      </c>
      <c r="E42">
        <v>100</v>
      </c>
      <c r="F42" s="3" t="s">
        <v>43</v>
      </c>
      <c r="G42" s="4">
        <v>32529.360000000001</v>
      </c>
      <c r="I42" s="4">
        <v>27601500.260000002</v>
      </c>
    </row>
    <row r="43" spans="1:9" x14ac:dyDescent="0.3">
      <c r="A43" t="s">
        <v>1</v>
      </c>
      <c r="B43" s="1">
        <v>45870</v>
      </c>
      <c r="C43" s="1">
        <v>45870</v>
      </c>
      <c r="D43">
        <v>101394</v>
      </c>
      <c r="E43">
        <v>100</v>
      </c>
      <c r="F43" s="3" t="s">
        <v>44</v>
      </c>
      <c r="G43" s="4">
        <v>21838.75</v>
      </c>
      <c r="I43" s="4">
        <v>27623339.010000002</v>
      </c>
    </row>
    <row r="44" spans="1:9" x14ac:dyDescent="0.3">
      <c r="A44" t="s">
        <v>1</v>
      </c>
      <c r="B44" s="1">
        <v>45870</v>
      </c>
      <c r="C44" s="1">
        <v>45870</v>
      </c>
      <c r="D44">
        <v>101395</v>
      </c>
      <c r="E44">
        <v>100</v>
      </c>
      <c r="F44" s="3" t="s">
        <v>45</v>
      </c>
      <c r="G44" s="4">
        <v>404739</v>
      </c>
      <c r="I44" s="4">
        <v>28028078.010000002</v>
      </c>
    </row>
    <row r="45" spans="1:9" x14ac:dyDescent="0.3">
      <c r="A45" t="s">
        <v>1</v>
      </c>
      <c r="B45" s="1">
        <v>45870</v>
      </c>
      <c r="C45" s="1">
        <v>45870</v>
      </c>
      <c r="D45">
        <v>101397</v>
      </c>
      <c r="E45">
        <v>100</v>
      </c>
      <c r="F45" s="3" t="s">
        <v>45</v>
      </c>
      <c r="G45" s="4">
        <v>19012.599999999999</v>
      </c>
      <c r="I45" s="4">
        <v>28047090.609999999</v>
      </c>
    </row>
    <row r="46" spans="1:9" x14ac:dyDescent="0.3">
      <c r="A46" t="s">
        <v>1</v>
      </c>
      <c r="B46" s="1">
        <v>45867</v>
      </c>
      <c r="C46" s="1">
        <v>45870</v>
      </c>
      <c r="D46">
        <v>101398</v>
      </c>
      <c r="E46">
        <v>100</v>
      </c>
      <c r="F46" s="3" t="s">
        <v>46</v>
      </c>
      <c r="G46" s="4">
        <v>31500</v>
      </c>
      <c r="I46" s="4">
        <v>28078590.609999999</v>
      </c>
    </row>
    <row r="47" spans="1:9" x14ac:dyDescent="0.3">
      <c r="A47" t="s">
        <v>1</v>
      </c>
      <c r="B47" s="1">
        <v>45868</v>
      </c>
      <c r="C47" s="1">
        <v>45870</v>
      </c>
      <c r="D47">
        <v>101399</v>
      </c>
      <c r="E47">
        <v>100</v>
      </c>
      <c r="F47" s="3" t="s">
        <v>47</v>
      </c>
      <c r="G47" s="4">
        <v>17500</v>
      </c>
      <c r="I47" s="4">
        <v>28096090.609999999</v>
      </c>
    </row>
    <row r="48" spans="1:9" x14ac:dyDescent="0.3">
      <c r="A48" t="s">
        <v>1</v>
      </c>
      <c r="B48" s="1">
        <v>45868</v>
      </c>
      <c r="C48" s="1">
        <v>45870</v>
      </c>
      <c r="D48">
        <v>101403</v>
      </c>
      <c r="E48">
        <v>100</v>
      </c>
      <c r="F48" s="3" t="s">
        <v>48</v>
      </c>
      <c r="G48" s="4">
        <v>39078.75</v>
      </c>
      <c r="I48" s="4">
        <v>28135169.359999999</v>
      </c>
    </row>
    <row r="49" spans="1:9" x14ac:dyDescent="0.3">
      <c r="A49" t="s">
        <v>1</v>
      </c>
      <c r="B49" s="1">
        <v>45870</v>
      </c>
      <c r="C49" s="1">
        <v>45870</v>
      </c>
      <c r="D49">
        <v>101406</v>
      </c>
      <c r="E49">
        <v>100</v>
      </c>
      <c r="F49" s="3" t="s">
        <v>49</v>
      </c>
      <c r="G49" s="4">
        <v>17274.5</v>
      </c>
      <c r="I49" s="4">
        <v>28152443.859999999</v>
      </c>
    </row>
    <row r="50" spans="1:9" x14ac:dyDescent="0.3">
      <c r="A50" t="s">
        <v>1</v>
      </c>
      <c r="B50" s="1">
        <v>45869</v>
      </c>
      <c r="C50" s="1">
        <v>45870</v>
      </c>
      <c r="D50">
        <v>101407</v>
      </c>
      <c r="E50">
        <v>100</v>
      </c>
      <c r="F50" s="3" t="s">
        <v>50</v>
      </c>
      <c r="G50" s="4">
        <v>98829.5</v>
      </c>
      <c r="I50" s="4">
        <v>28251273.359999999</v>
      </c>
    </row>
    <row r="51" spans="1:9" x14ac:dyDescent="0.3">
      <c r="A51" t="s">
        <v>1</v>
      </c>
      <c r="B51" s="1">
        <v>45869</v>
      </c>
      <c r="C51" s="1">
        <v>45870</v>
      </c>
      <c r="D51">
        <v>101408</v>
      </c>
      <c r="E51">
        <v>100</v>
      </c>
      <c r="F51" s="3" t="s">
        <v>51</v>
      </c>
      <c r="G51" s="4">
        <v>84953.5</v>
      </c>
      <c r="I51" s="4">
        <v>28336226.859999999</v>
      </c>
    </row>
    <row r="52" spans="1:9" x14ac:dyDescent="0.3">
      <c r="A52" t="s">
        <v>1</v>
      </c>
      <c r="B52" s="1">
        <v>45869</v>
      </c>
      <c r="C52" s="1">
        <v>45870</v>
      </c>
      <c r="D52">
        <v>101422</v>
      </c>
      <c r="E52">
        <v>100</v>
      </c>
      <c r="F52" s="3" t="s">
        <v>52</v>
      </c>
      <c r="G52" s="4">
        <v>64153</v>
      </c>
      <c r="I52" s="4">
        <v>28400379.859999999</v>
      </c>
    </row>
    <row r="53" spans="1:9" x14ac:dyDescent="0.3">
      <c r="A53" t="s">
        <v>1</v>
      </c>
      <c r="B53" s="1">
        <v>45869</v>
      </c>
      <c r="C53" s="1">
        <v>45870</v>
      </c>
      <c r="D53">
        <v>101423</v>
      </c>
      <c r="E53">
        <v>100</v>
      </c>
      <c r="F53" s="3" t="s">
        <v>53</v>
      </c>
      <c r="G53" s="4">
        <v>28500</v>
      </c>
      <c r="I53" s="4">
        <v>28428879.859999999</v>
      </c>
    </row>
    <row r="54" spans="1:9" x14ac:dyDescent="0.3">
      <c r="A54" t="s">
        <v>1</v>
      </c>
      <c r="B54" s="1">
        <v>45869</v>
      </c>
      <c r="C54" s="1">
        <v>45870</v>
      </c>
      <c r="D54">
        <v>101426</v>
      </c>
      <c r="E54">
        <v>100</v>
      </c>
      <c r="F54" s="3" t="s">
        <v>54</v>
      </c>
      <c r="G54" s="4">
        <v>3025.25</v>
      </c>
      <c r="I54" s="4">
        <v>28431905.109999999</v>
      </c>
    </row>
    <row r="55" spans="1:9" x14ac:dyDescent="0.3">
      <c r="A55" t="s">
        <v>1</v>
      </c>
      <c r="B55" s="1">
        <v>45869</v>
      </c>
      <c r="C55" s="1">
        <v>45870</v>
      </c>
      <c r="D55">
        <v>101428</v>
      </c>
      <c r="E55">
        <v>100</v>
      </c>
      <c r="F55" s="3" t="s">
        <v>55</v>
      </c>
      <c r="G55" s="4">
        <v>23826.25</v>
      </c>
      <c r="I55" s="4">
        <v>28455731.359999999</v>
      </c>
    </row>
    <row r="56" spans="1:9" x14ac:dyDescent="0.3">
      <c r="A56" t="s">
        <v>1</v>
      </c>
      <c r="B56" s="1">
        <v>45870</v>
      </c>
      <c r="C56" s="1">
        <v>45870</v>
      </c>
      <c r="D56">
        <v>101434</v>
      </c>
      <c r="E56">
        <v>100</v>
      </c>
      <c r="F56" s="3" t="s">
        <v>56</v>
      </c>
      <c r="G56" s="4">
        <v>79052.5</v>
      </c>
      <c r="I56" s="4">
        <v>28534783.859999999</v>
      </c>
    </row>
    <row r="57" spans="1:9" x14ac:dyDescent="0.3">
      <c r="A57" t="s">
        <v>1</v>
      </c>
      <c r="B57" s="1">
        <v>45869</v>
      </c>
      <c r="C57" s="1">
        <v>45870</v>
      </c>
      <c r="D57">
        <v>101435</v>
      </c>
      <c r="E57">
        <v>100</v>
      </c>
      <c r="F57" s="3" t="s">
        <v>57</v>
      </c>
      <c r="G57" s="4">
        <v>8288.75</v>
      </c>
      <c r="I57" s="4">
        <v>28543072.609999999</v>
      </c>
    </row>
    <row r="58" spans="1:9" x14ac:dyDescent="0.3">
      <c r="A58" t="s">
        <v>1</v>
      </c>
      <c r="B58" s="1">
        <v>45870</v>
      </c>
      <c r="C58" s="1">
        <v>45870</v>
      </c>
      <c r="D58">
        <v>101437</v>
      </c>
      <c r="E58">
        <v>100</v>
      </c>
      <c r="F58" s="3" t="s">
        <v>58</v>
      </c>
      <c r="G58" s="4">
        <v>17768.349999999999</v>
      </c>
      <c r="I58" s="4">
        <v>28560840.960000001</v>
      </c>
    </row>
    <row r="59" spans="1:9" x14ac:dyDescent="0.3">
      <c r="A59" t="s">
        <v>1</v>
      </c>
      <c r="B59" s="1">
        <v>45869</v>
      </c>
      <c r="C59" s="1">
        <v>45870</v>
      </c>
      <c r="D59">
        <v>101440</v>
      </c>
      <c r="E59">
        <v>100</v>
      </c>
      <c r="F59" s="3" t="s">
        <v>59</v>
      </c>
      <c r="G59" s="4">
        <v>35000</v>
      </c>
      <c r="I59" s="4">
        <v>28595840.960000001</v>
      </c>
    </row>
    <row r="60" spans="1:9" x14ac:dyDescent="0.3">
      <c r="A60" t="s">
        <v>1</v>
      </c>
      <c r="B60" s="1">
        <v>45869</v>
      </c>
      <c r="C60" s="1">
        <v>45870</v>
      </c>
      <c r="D60">
        <v>101442</v>
      </c>
      <c r="E60">
        <v>100</v>
      </c>
      <c r="F60" s="3" t="s">
        <v>60</v>
      </c>
      <c r="G60" s="4">
        <v>45026.5</v>
      </c>
      <c r="I60" s="4">
        <v>28640867.460000001</v>
      </c>
    </row>
    <row r="61" spans="1:9" x14ac:dyDescent="0.3">
      <c r="A61" t="s">
        <v>1</v>
      </c>
      <c r="B61" s="1">
        <v>45869</v>
      </c>
      <c r="C61" s="1">
        <v>45870</v>
      </c>
      <c r="D61">
        <v>101450</v>
      </c>
      <c r="E61">
        <v>100</v>
      </c>
      <c r="F61" s="3" t="s">
        <v>61</v>
      </c>
      <c r="G61" s="4">
        <v>20778.2</v>
      </c>
      <c r="I61" s="4">
        <v>28661645.66</v>
      </c>
    </row>
    <row r="62" spans="1:9" x14ac:dyDescent="0.3">
      <c r="A62" t="s">
        <v>1</v>
      </c>
      <c r="B62" s="1">
        <v>45869</v>
      </c>
      <c r="C62" s="1">
        <v>45870</v>
      </c>
      <c r="D62">
        <v>101451</v>
      </c>
      <c r="E62">
        <v>100</v>
      </c>
      <c r="F62" s="3" t="s">
        <v>62</v>
      </c>
      <c r="G62" s="4">
        <v>8678.75</v>
      </c>
      <c r="I62" s="4">
        <v>28670324.41</v>
      </c>
    </row>
    <row r="63" spans="1:9" x14ac:dyDescent="0.3">
      <c r="A63" t="s">
        <v>1</v>
      </c>
      <c r="B63" s="1">
        <v>45869</v>
      </c>
      <c r="C63" s="1">
        <v>45870</v>
      </c>
      <c r="D63">
        <v>101453</v>
      </c>
      <c r="E63">
        <v>100</v>
      </c>
      <c r="F63" s="3" t="s">
        <v>63</v>
      </c>
      <c r="G63" s="4">
        <v>10752.5</v>
      </c>
      <c r="I63" s="4">
        <v>28681076.91</v>
      </c>
    </row>
    <row r="64" spans="1:9" x14ac:dyDescent="0.3">
      <c r="A64" t="s">
        <v>1</v>
      </c>
      <c r="B64" s="1">
        <v>45870</v>
      </c>
      <c r="C64" s="1">
        <v>45870</v>
      </c>
      <c r="D64">
        <v>101460</v>
      </c>
      <c r="E64">
        <v>100</v>
      </c>
      <c r="F64" s="3" t="s">
        <v>64</v>
      </c>
      <c r="G64" s="4">
        <v>24565.9</v>
      </c>
      <c r="I64" s="4">
        <v>28705642.809999999</v>
      </c>
    </row>
    <row r="65" spans="1:9" x14ac:dyDescent="0.3">
      <c r="A65" t="s">
        <v>1</v>
      </c>
      <c r="B65" s="1">
        <v>45870</v>
      </c>
      <c r="C65" s="1">
        <v>45870</v>
      </c>
      <c r="D65">
        <v>101463</v>
      </c>
      <c r="E65">
        <v>100</v>
      </c>
      <c r="F65" s="3" t="s">
        <v>65</v>
      </c>
      <c r="G65" s="4">
        <v>5000</v>
      </c>
      <c r="I65" s="4">
        <v>28710642.809999999</v>
      </c>
    </row>
    <row r="66" spans="1:9" x14ac:dyDescent="0.3">
      <c r="A66" t="s">
        <v>1</v>
      </c>
      <c r="B66" s="1">
        <v>45870</v>
      </c>
      <c r="C66" s="1">
        <v>45870</v>
      </c>
      <c r="D66">
        <v>101464</v>
      </c>
      <c r="E66">
        <v>100</v>
      </c>
      <c r="F66" s="3" t="s">
        <v>66</v>
      </c>
      <c r="G66" s="4">
        <v>24237.4</v>
      </c>
      <c r="I66" s="4">
        <v>28734880.210000001</v>
      </c>
    </row>
    <row r="67" spans="1:9" x14ac:dyDescent="0.3">
      <c r="A67" t="s">
        <v>1</v>
      </c>
      <c r="B67" s="1">
        <v>45869</v>
      </c>
      <c r="C67" s="1">
        <v>45870</v>
      </c>
      <c r="D67">
        <v>101465</v>
      </c>
      <c r="E67">
        <v>100</v>
      </c>
      <c r="F67" s="3" t="s">
        <v>67</v>
      </c>
      <c r="G67" s="4">
        <v>17300</v>
      </c>
      <c r="I67" s="4">
        <v>28752180.210000001</v>
      </c>
    </row>
    <row r="68" spans="1:9" x14ac:dyDescent="0.3">
      <c r="A68" t="s">
        <v>1</v>
      </c>
      <c r="B68" s="1">
        <v>45870</v>
      </c>
      <c r="C68" s="1">
        <v>45870</v>
      </c>
      <c r="D68">
        <v>101466</v>
      </c>
      <c r="E68">
        <v>100</v>
      </c>
      <c r="F68" s="3" t="s">
        <v>66</v>
      </c>
      <c r="G68" s="4">
        <v>34357.9</v>
      </c>
      <c r="I68" s="4">
        <v>28786538.109999999</v>
      </c>
    </row>
    <row r="69" spans="1:9" x14ac:dyDescent="0.3">
      <c r="A69" t="s">
        <v>1</v>
      </c>
      <c r="B69" s="1">
        <v>45870</v>
      </c>
      <c r="C69" s="1">
        <v>45870</v>
      </c>
      <c r="D69">
        <v>101468</v>
      </c>
      <c r="E69">
        <v>100</v>
      </c>
      <c r="F69" s="3" t="s">
        <v>66</v>
      </c>
      <c r="G69" s="4">
        <v>40472.5</v>
      </c>
      <c r="I69" s="4">
        <v>28827010.609999999</v>
      </c>
    </row>
    <row r="70" spans="1:9" x14ac:dyDescent="0.3">
      <c r="A70" t="s">
        <v>1</v>
      </c>
      <c r="B70" s="1">
        <v>45870</v>
      </c>
      <c r="C70" s="1">
        <v>45870</v>
      </c>
      <c r="D70">
        <v>101469</v>
      </c>
      <c r="E70">
        <v>100</v>
      </c>
      <c r="F70" s="3" t="s">
        <v>66</v>
      </c>
      <c r="G70" s="4">
        <v>5846.3</v>
      </c>
      <c r="I70" s="4">
        <v>28832856.91</v>
      </c>
    </row>
    <row r="71" spans="1:9" x14ac:dyDescent="0.3">
      <c r="A71" t="s">
        <v>1</v>
      </c>
      <c r="B71" s="1">
        <v>45869</v>
      </c>
      <c r="C71" s="1">
        <v>45870</v>
      </c>
      <c r="D71">
        <v>101470</v>
      </c>
      <c r="E71">
        <v>100</v>
      </c>
      <c r="F71" s="3" t="s">
        <v>68</v>
      </c>
      <c r="G71" s="4">
        <v>7939</v>
      </c>
      <c r="I71" s="4">
        <v>28840795.91</v>
      </c>
    </row>
    <row r="72" spans="1:9" x14ac:dyDescent="0.3">
      <c r="A72" t="s">
        <v>1</v>
      </c>
      <c r="B72" s="1">
        <v>45869</v>
      </c>
      <c r="C72" s="1">
        <v>45870</v>
      </c>
      <c r="D72">
        <v>101471</v>
      </c>
      <c r="E72">
        <v>100</v>
      </c>
      <c r="F72" s="3" t="s">
        <v>69</v>
      </c>
      <c r="G72" s="4">
        <v>94.5</v>
      </c>
      <c r="I72" s="4">
        <v>28840890.41</v>
      </c>
    </row>
    <row r="73" spans="1:9" x14ac:dyDescent="0.3">
      <c r="A73" t="s">
        <v>1</v>
      </c>
      <c r="B73" s="1">
        <v>45870</v>
      </c>
      <c r="C73" s="1">
        <v>45870</v>
      </c>
      <c r="D73">
        <v>101473</v>
      </c>
      <c r="E73">
        <v>100</v>
      </c>
      <c r="F73" s="3" t="s">
        <v>70</v>
      </c>
      <c r="G73" s="4">
        <v>41362.17</v>
      </c>
      <c r="I73" s="4">
        <v>28882252.579999998</v>
      </c>
    </row>
    <row r="74" spans="1:9" x14ac:dyDescent="0.3">
      <c r="A74" t="s">
        <v>71</v>
      </c>
      <c r="B74" s="1">
        <v>45870</v>
      </c>
      <c r="C74" s="1">
        <v>45870</v>
      </c>
      <c r="D74">
        <v>13459</v>
      </c>
      <c r="E74">
        <v>100</v>
      </c>
      <c r="F74" s="3" t="s">
        <v>72</v>
      </c>
      <c r="G74" s="4">
        <v>0</v>
      </c>
      <c r="H74" s="4">
        <v>45732585</v>
      </c>
      <c r="I74" s="4">
        <v>-16850332.420000002</v>
      </c>
    </row>
    <row r="75" spans="1:9" x14ac:dyDescent="0.3">
      <c r="A75" t="s">
        <v>71</v>
      </c>
      <c r="B75" s="1">
        <v>45870</v>
      </c>
      <c r="C75" s="1">
        <v>45870</v>
      </c>
      <c r="D75">
        <v>13461</v>
      </c>
      <c r="E75">
        <v>100</v>
      </c>
      <c r="F75" s="3" t="s">
        <v>73</v>
      </c>
      <c r="G75" s="4">
        <v>45732585</v>
      </c>
      <c r="H75" s="4">
        <v>0</v>
      </c>
      <c r="I75" s="4">
        <v>28882252.579999998</v>
      </c>
    </row>
    <row r="76" spans="1:9" x14ac:dyDescent="0.3">
      <c r="A76" t="s">
        <v>71</v>
      </c>
      <c r="B76" s="1">
        <v>45870</v>
      </c>
      <c r="C76" s="1">
        <v>45870</v>
      </c>
      <c r="D76">
        <v>13462</v>
      </c>
      <c r="E76">
        <v>100</v>
      </c>
      <c r="F76" s="3" t="s">
        <v>74</v>
      </c>
      <c r="G76" s="4">
        <v>0</v>
      </c>
      <c r="H76" s="4">
        <v>46834575</v>
      </c>
      <c r="I76" s="4">
        <v>-17952322.420000002</v>
      </c>
    </row>
    <row r="77" spans="1:9" x14ac:dyDescent="0.3">
      <c r="A77" t="s">
        <v>75</v>
      </c>
      <c r="B77" s="1">
        <v>45870</v>
      </c>
      <c r="C77" s="1">
        <v>45870</v>
      </c>
      <c r="D77">
        <v>142774</v>
      </c>
      <c r="E77">
        <v>11</v>
      </c>
      <c r="F77" s="3" t="s">
        <v>76</v>
      </c>
      <c r="G77" s="4">
        <v>10000</v>
      </c>
      <c r="H77" s="4">
        <v>0</v>
      </c>
      <c r="I77" s="4">
        <v>-17942322.420000002</v>
      </c>
    </row>
    <row r="78" spans="1:9" x14ac:dyDescent="0.3">
      <c r="A78" t="s">
        <v>75</v>
      </c>
      <c r="B78" s="1">
        <v>45870</v>
      </c>
      <c r="C78" s="1">
        <v>45870</v>
      </c>
      <c r="D78">
        <v>142775</v>
      </c>
      <c r="E78">
        <v>11</v>
      </c>
      <c r="F78" s="3" t="s">
        <v>77</v>
      </c>
      <c r="G78" s="4">
        <v>2500</v>
      </c>
      <c r="H78" s="4">
        <v>0</v>
      </c>
      <c r="I78" s="4">
        <v>-17939822.420000002</v>
      </c>
    </row>
    <row r="79" spans="1:9" x14ac:dyDescent="0.3">
      <c r="A79" t="s">
        <v>75</v>
      </c>
      <c r="B79" s="1">
        <v>45870</v>
      </c>
      <c r="C79" s="1">
        <v>45870</v>
      </c>
      <c r="D79">
        <v>142776</v>
      </c>
      <c r="E79">
        <v>11</v>
      </c>
      <c r="F79" s="3" t="s">
        <v>78</v>
      </c>
      <c r="G79" s="4">
        <v>43000</v>
      </c>
      <c r="H79" s="4">
        <v>0</v>
      </c>
      <c r="I79" s="4">
        <v>-17896822.420000002</v>
      </c>
    </row>
    <row r="80" spans="1:9" x14ac:dyDescent="0.3">
      <c r="A80" t="s">
        <v>75</v>
      </c>
      <c r="B80" s="1">
        <v>45868</v>
      </c>
      <c r="C80" s="1">
        <v>45870</v>
      </c>
      <c r="D80">
        <v>142779</v>
      </c>
      <c r="E80">
        <v>58</v>
      </c>
      <c r="F80" s="3" t="s">
        <v>79</v>
      </c>
      <c r="G80" s="4">
        <v>109986.5</v>
      </c>
      <c r="H80" s="4">
        <v>0</v>
      </c>
      <c r="I80" s="4">
        <v>-17786835.920000002</v>
      </c>
    </row>
    <row r="81" spans="1:9" x14ac:dyDescent="0.3">
      <c r="A81" t="s">
        <v>75</v>
      </c>
      <c r="B81" s="1">
        <v>45869</v>
      </c>
      <c r="C81" s="1">
        <v>45870</v>
      </c>
      <c r="D81">
        <v>142782</v>
      </c>
      <c r="E81">
        <v>17</v>
      </c>
      <c r="F81" s="3" t="s">
        <v>80</v>
      </c>
      <c r="G81" s="4">
        <v>6342.5</v>
      </c>
      <c r="H81" s="4">
        <v>0</v>
      </c>
      <c r="I81" s="4">
        <v>-17780493.420000002</v>
      </c>
    </row>
    <row r="82" spans="1:9" x14ac:dyDescent="0.3">
      <c r="A82" t="s">
        <v>75</v>
      </c>
      <c r="B82" s="1">
        <v>45870</v>
      </c>
      <c r="C82" s="1">
        <v>45870</v>
      </c>
      <c r="D82">
        <v>142783</v>
      </c>
      <c r="E82">
        <v>67</v>
      </c>
      <c r="F82" s="3" t="s">
        <v>81</v>
      </c>
      <c r="G82" s="4">
        <v>60000</v>
      </c>
      <c r="H82" s="4">
        <v>0</v>
      </c>
      <c r="I82" s="4">
        <v>-17720493.420000002</v>
      </c>
    </row>
    <row r="83" spans="1:9" x14ac:dyDescent="0.3">
      <c r="A83" t="s">
        <v>75</v>
      </c>
      <c r="B83" s="1">
        <v>45870</v>
      </c>
      <c r="C83" s="1">
        <v>45870</v>
      </c>
      <c r="D83">
        <v>142784</v>
      </c>
      <c r="E83">
        <v>361</v>
      </c>
      <c r="F83" s="3" t="s">
        <v>82</v>
      </c>
      <c r="G83" s="4">
        <v>80000</v>
      </c>
      <c r="H83" s="4">
        <v>0</v>
      </c>
      <c r="I83" s="4">
        <v>-17640493.420000002</v>
      </c>
    </row>
    <row r="84" spans="1:9" x14ac:dyDescent="0.3">
      <c r="A84" t="s">
        <v>75</v>
      </c>
      <c r="B84" s="1">
        <v>45869</v>
      </c>
      <c r="C84" s="1">
        <v>45870</v>
      </c>
      <c r="D84">
        <v>142786</v>
      </c>
      <c r="E84">
        <v>23</v>
      </c>
      <c r="F84" s="3" t="s">
        <v>83</v>
      </c>
      <c r="G84" s="4">
        <v>12900</v>
      </c>
      <c r="H84" s="4">
        <v>0</v>
      </c>
      <c r="I84" s="4">
        <v>-17627593.420000002</v>
      </c>
    </row>
    <row r="85" spans="1:9" x14ac:dyDescent="0.3">
      <c r="A85" t="s">
        <v>75</v>
      </c>
      <c r="B85" s="1">
        <v>45869</v>
      </c>
      <c r="C85" s="1">
        <v>45870</v>
      </c>
      <c r="D85">
        <v>142787</v>
      </c>
      <c r="E85">
        <v>23</v>
      </c>
      <c r="F85" s="3" t="s">
        <v>84</v>
      </c>
      <c r="G85" s="4">
        <v>11870</v>
      </c>
      <c r="H85" s="4">
        <v>0</v>
      </c>
      <c r="I85" s="4">
        <v>-17615723.420000002</v>
      </c>
    </row>
    <row r="86" spans="1:9" x14ac:dyDescent="0.3">
      <c r="A86" t="s">
        <v>75</v>
      </c>
      <c r="B86" s="1">
        <v>45870</v>
      </c>
      <c r="C86" s="1">
        <v>45870</v>
      </c>
      <c r="D86">
        <v>142788</v>
      </c>
      <c r="E86">
        <v>63</v>
      </c>
      <c r="F86" s="3" t="s">
        <v>85</v>
      </c>
      <c r="G86" s="4">
        <v>3000</v>
      </c>
      <c r="H86" s="4">
        <v>0</v>
      </c>
      <c r="I86" s="4">
        <v>-17612723.420000002</v>
      </c>
    </row>
    <row r="87" spans="1:9" x14ac:dyDescent="0.3">
      <c r="A87" t="s">
        <v>75</v>
      </c>
      <c r="B87" s="1">
        <v>45868</v>
      </c>
      <c r="C87" s="1">
        <v>45870</v>
      </c>
      <c r="D87">
        <v>142789</v>
      </c>
      <c r="E87">
        <v>16</v>
      </c>
      <c r="F87" s="3" t="s">
        <v>86</v>
      </c>
      <c r="G87" s="4">
        <v>6321</v>
      </c>
      <c r="H87" s="4">
        <v>0</v>
      </c>
      <c r="I87" s="4">
        <v>-17606402.420000002</v>
      </c>
    </row>
    <row r="88" spans="1:9" x14ac:dyDescent="0.3">
      <c r="A88" t="s">
        <v>75</v>
      </c>
      <c r="B88" s="1">
        <v>45870</v>
      </c>
      <c r="C88" s="1">
        <v>45870</v>
      </c>
      <c r="D88">
        <v>142790</v>
      </c>
      <c r="E88">
        <v>16</v>
      </c>
      <c r="F88" s="3" t="s">
        <v>87</v>
      </c>
      <c r="G88" s="4">
        <v>27439.25</v>
      </c>
      <c r="H88" s="4">
        <v>0</v>
      </c>
      <c r="I88" s="4">
        <v>-17578963.170000002</v>
      </c>
    </row>
    <row r="89" spans="1:9" x14ac:dyDescent="0.3">
      <c r="A89" t="s">
        <v>75</v>
      </c>
      <c r="B89" s="1">
        <v>45870</v>
      </c>
      <c r="C89" s="1">
        <v>45870</v>
      </c>
      <c r="D89">
        <v>142791</v>
      </c>
      <c r="E89">
        <v>58</v>
      </c>
      <c r="F89" s="3" t="s">
        <v>88</v>
      </c>
      <c r="G89" s="4">
        <v>7842.5</v>
      </c>
      <c r="H89" s="4">
        <v>0</v>
      </c>
      <c r="I89" s="4">
        <v>-17571120.670000002</v>
      </c>
    </row>
    <row r="90" spans="1:9" x14ac:dyDescent="0.3">
      <c r="A90" t="s">
        <v>75</v>
      </c>
      <c r="B90" s="1">
        <v>45869</v>
      </c>
      <c r="C90" s="1">
        <v>45870</v>
      </c>
      <c r="D90">
        <v>142792</v>
      </c>
      <c r="E90">
        <v>23</v>
      </c>
      <c r="F90" s="3" t="s">
        <v>89</v>
      </c>
      <c r="G90" s="4">
        <v>25258</v>
      </c>
      <c r="H90" s="4">
        <v>0</v>
      </c>
      <c r="I90" s="4">
        <v>-17545862.670000002</v>
      </c>
    </row>
    <row r="91" spans="1:9" x14ac:dyDescent="0.3">
      <c r="A91" t="s">
        <v>75</v>
      </c>
      <c r="B91" s="1">
        <v>45870</v>
      </c>
      <c r="C91" s="1">
        <v>45870</v>
      </c>
      <c r="D91">
        <v>142793</v>
      </c>
      <c r="E91">
        <v>14</v>
      </c>
      <c r="F91" s="3" t="s">
        <v>90</v>
      </c>
      <c r="G91" s="4">
        <v>1000</v>
      </c>
      <c r="H91" s="4">
        <v>0</v>
      </c>
      <c r="I91" s="4">
        <v>-17544862.670000002</v>
      </c>
    </row>
    <row r="92" spans="1:9" x14ac:dyDescent="0.3">
      <c r="A92" t="s">
        <v>75</v>
      </c>
      <c r="B92" s="1">
        <v>45869</v>
      </c>
      <c r="C92" s="1">
        <v>45870</v>
      </c>
      <c r="D92">
        <v>142794</v>
      </c>
      <c r="E92">
        <v>11</v>
      </c>
      <c r="F92" s="3" t="s">
        <v>91</v>
      </c>
      <c r="G92" s="4">
        <v>62360.5</v>
      </c>
      <c r="H92" s="4">
        <v>0</v>
      </c>
      <c r="I92" s="4">
        <v>-17482502.170000002</v>
      </c>
    </row>
    <row r="93" spans="1:9" x14ac:dyDescent="0.3">
      <c r="A93" t="s">
        <v>75</v>
      </c>
      <c r="B93" s="1">
        <v>45870</v>
      </c>
      <c r="C93" s="1">
        <v>45870</v>
      </c>
      <c r="D93">
        <v>142798</v>
      </c>
      <c r="E93">
        <v>11</v>
      </c>
      <c r="F93" s="3" t="s">
        <v>92</v>
      </c>
      <c r="G93" s="4">
        <v>84272.5</v>
      </c>
      <c r="H93" s="4">
        <v>0</v>
      </c>
      <c r="I93" s="4">
        <v>-17398229.670000002</v>
      </c>
    </row>
    <row r="94" spans="1:9" x14ac:dyDescent="0.3">
      <c r="A94" t="s">
        <v>75</v>
      </c>
      <c r="B94" s="1">
        <v>45870</v>
      </c>
      <c r="C94" s="1">
        <v>45870</v>
      </c>
      <c r="D94">
        <v>142801</v>
      </c>
      <c r="E94">
        <v>72</v>
      </c>
      <c r="F94" s="3" t="s">
        <v>93</v>
      </c>
      <c r="G94" s="4">
        <v>15600.25</v>
      </c>
      <c r="H94" s="4">
        <v>0</v>
      </c>
      <c r="I94" s="4">
        <v>-17382629.420000002</v>
      </c>
    </row>
    <row r="95" spans="1:9" x14ac:dyDescent="0.3">
      <c r="A95" t="s">
        <v>75</v>
      </c>
      <c r="B95" s="1">
        <v>45870</v>
      </c>
      <c r="C95" s="1">
        <v>45870</v>
      </c>
      <c r="D95">
        <v>142802</v>
      </c>
      <c r="E95">
        <v>24</v>
      </c>
      <c r="F95" s="3" t="s">
        <v>94</v>
      </c>
      <c r="G95" s="4">
        <v>36794.25</v>
      </c>
      <c r="H95" s="4">
        <v>0</v>
      </c>
      <c r="I95" s="4">
        <v>-17345835.170000002</v>
      </c>
    </row>
    <row r="96" spans="1:9" x14ac:dyDescent="0.3">
      <c r="A96" t="s">
        <v>75</v>
      </c>
      <c r="B96" s="1">
        <v>45870</v>
      </c>
      <c r="C96" s="1">
        <v>45870</v>
      </c>
      <c r="D96">
        <v>142803</v>
      </c>
      <c r="E96">
        <v>14</v>
      </c>
      <c r="F96" s="3" t="s">
        <v>95</v>
      </c>
      <c r="G96" s="4">
        <v>30000</v>
      </c>
      <c r="H96" s="4">
        <v>0</v>
      </c>
      <c r="I96" s="4">
        <v>-17315835.170000002</v>
      </c>
    </row>
    <row r="97" spans="1:9" x14ac:dyDescent="0.3">
      <c r="A97" t="s">
        <v>75</v>
      </c>
      <c r="B97" s="1">
        <v>45870</v>
      </c>
      <c r="C97" s="1">
        <v>45870</v>
      </c>
      <c r="D97">
        <v>142804</v>
      </c>
      <c r="E97">
        <v>61</v>
      </c>
      <c r="F97" s="3" t="s">
        <v>96</v>
      </c>
      <c r="G97" s="4">
        <v>4321</v>
      </c>
      <c r="H97" s="4">
        <v>0</v>
      </c>
      <c r="I97" s="4">
        <v>-17311514.170000002</v>
      </c>
    </row>
    <row r="98" spans="1:9" x14ac:dyDescent="0.3">
      <c r="A98" t="s">
        <v>75</v>
      </c>
      <c r="B98" s="1">
        <v>45870</v>
      </c>
      <c r="C98" s="1">
        <v>45870</v>
      </c>
      <c r="D98">
        <v>142805</v>
      </c>
      <c r="E98">
        <v>72</v>
      </c>
      <c r="F98" s="3" t="s">
        <v>97</v>
      </c>
      <c r="G98" s="4">
        <v>29000</v>
      </c>
      <c r="H98" s="4">
        <v>0</v>
      </c>
      <c r="I98" s="4">
        <v>-17282514.170000002</v>
      </c>
    </row>
    <row r="99" spans="1:9" x14ac:dyDescent="0.3">
      <c r="A99" t="s">
        <v>75</v>
      </c>
      <c r="B99" s="1">
        <v>45870</v>
      </c>
      <c r="C99" s="1">
        <v>45870</v>
      </c>
      <c r="D99">
        <v>142806</v>
      </c>
      <c r="E99">
        <v>14</v>
      </c>
      <c r="F99" s="3" t="s">
        <v>98</v>
      </c>
      <c r="G99" s="4">
        <v>50000</v>
      </c>
      <c r="H99" s="4">
        <v>0</v>
      </c>
      <c r="I99" s="4">
        <v>-17232514.170000002</v>
      </c>
    </row>
    <row r="100" spans="1:9" x14ac:dyDescent="0.3">
      <c r="A100" t="s">
        <v>75</v>
      </c>
      <c r="B100" s="1">
        <v>45870</v>
      </c>
      <c r="C100" s="1">
        <v>45870</v>
      </c>
      <c r="D100">
        <v>142807</v>
      </c>
      <c r="E100">
        <v>77</v>
      </c>
      <c r="F100" s="3" t="s">
        <v>99</v>
      </c>
      <c r="G100" s="4">
        <v>2684.5</v>
      </c>
      <c r="H100" s="4">
        <v>0</v>
      </c>
      <c r="I100" s="4">
        <v>-17229829.670000002</v>
      </c>
    </row>
    <row r="101" spans="1:9" x14ac:dyDescent="0.3">
      <c r="A101" t="s">
        <v>75</v>
      </c>
      <c r="B101" s="1">
        <v>45870</v>
      </c>
      <c r="C101" s="1">
        <v>45870</v>
      </c>
      <c r="D101">
        <v>142808</v>
      </c>
      <c r="E101">
        <v>77</v>
      </c>
      <c r="F101" s="3" t="s">
        <v>100</v>
      </c>
      <c r="G101" s="4">
        <v>958</v>
      </c>
      <c r="H101" s="4">
        <v>0</v>
      </c>
      <c r="I101" s="4">
        <v>-17228871.670000002</v>
      </c>
    </row>
    <row r="102" spans="1:9" x14ac:dyDescent="0.3">
      <c r="A102" t="s">
        <v>75</v>
      </c>
      <c r="B102" s="1">
        <v>45870</v>
      </c>
      <c r="C102" s="1">
        <v>45870</v>
      </c>
      <c r="D102">
        <v>142809</v>
      </c>
      <c r="E102">
        <v>77</v>
      </c>
      <c r="F102" s="3" t="s">
        <v>101</v>
      </c>
      <c r="G102" s="4">
        <v>1245.75</v>
      </c>
      <c r="H102" s="4">
        <v>0</v>
      </c>
      <c r="I102" s="4">
        <v>-17227625.920000002</v>
      </c>
    </row>
    <row r="103" spans="1:9" x14ac:dyDescent="0.3">
      <c r="A103" t="s">
        <v>75</v>
      </c>
      <c r="B103" s="1">
        <v>45870</v>
      </c>
      <c r="C103" s="1">
        <v>45870</v>
      </c>
      <c r="D103">
        <v>142810</v>
      </c>
      <c r="E103">
        <v>77</v>
      </c>
      <c r="F103" s="3" t="s">
        <v>102</v>
      </c>
      <c r="G103" s="4">
        <v>44585</v>
      </c>
      <c r="H103" s="4">
        <v>0</v>
      </c>
      <c r="I103" s="4">
        <v>-17183040.920000002</v>
      </c>
    </row>
    <row r="104" spans="1:9" x14ac:dyDescent="0.3">
      <c r="A104" t="s">
        <v>75</v>
      </c>
      <c r="B104" s="1">
        <v>45870</v>
      </c>
      <c r="C104" s="1">
        <v>45870</v>
      </c>
      <c r="D104">
        <v>142811</v>
      </c>
      <c r="E104">
        <v>14</v>
      </c>
      <c r="F104" s="3" t="s">
        <v>103</v>
      </c>
      <c r="G104" s="4">
        <v>40000</v>
      </c>
      <c r="H104" s="4">
        <v>0</v>
      </c>
      <c r="I104" s="4">
        <v>-17143040.920000002</v>
      </c>
    </row>
    <row r="105" spans="1:9" x14ac:dyDescent="0.3">
      <c r="A105" t="s">
        <v>75</v>
      </c>
      <c r="B105" s="1">
        <v>45870</v>
      </c>
      <c r="C105" s="1">
        <v>45870</v>
      </c>
      <c r="D105">
        <v>142812</v>
      </c>
      <c r="E105">
        <v>11</v>
      </c>
      <c r="F105" s="3" t="s">
        <v>104</v>
      </c>
      <c r="G105" s="4">
        <v>75000</v>
      </c>
      <c r="H105" s="4">
        <v>0</v>
      </c>
      <c r="I105" s="4">
        <v>-17068040.920000002</v>
      </c>
    </row>
    <row r="106" spans="1:9" x14ac:dyDescent="0.3">
      <c r="A106" t="s">
        <v>75</v>
      </c>
      <c r="B106" s="1">
        <v>45870</v>
      </c>
      <c r="C106" s="1">
        <v>45870</v>
      </c>
      <c r="D106">
        <v>142813</v>
      </c>
      <c r="E106">
        <v>77</v>
      </c>
      <c r="F106" s="3" t="s">
        <v>105</v>
      </c>
      <c r="G106" s="4">
        <v>30015.25</v>
      </c>
      <c r="H106" s="4">
        <v>0</v>
      </c>
      <c r="I106" s="4">
        <v>-17038025.670000002</v>
      </c>
    </row>
    <row r="107" spans="1:9" x14ac:dyDescent="0.3">
      <c r="A107" t="s">
        <v>75</v>
      </c>
      <c r="B107" s="1">
        <v>45870</v>
      </c>
      <c r="C107" s="1">
        <v>45870</v>
      </c>
      <c r="D107">
        <v>142814</v>
      </c>
      <c r="E107">
        <v>14</v>
      </c>
      <c r="F107" s="3" t="s">
        <v>106</v>
      </c>
      <c r="G107" s="4">
        <v>42078.75</v>
      </c>
      <c r="H107" s="4">
        <v>0</v>
      </c>
      <c r="I107" s="4">
        <v>-16995946.920000002</v>
      </c>
    </row>
    <row r="108" spans="1:9" x14ac:dyDescent="0.3">
      <c r="A108" t="s">
        <v>75</v>
      </c>
      <c r="B108" s="1">
        <v>45870</v>
      </c>
      <c r="C108" s="1">
        <v>45870</v>
      </c>
      <c r="D108">
        <v>142815</v>
      </c>
      <c r="E108">
        <v>77</v>
      </c>
      <c r="F108" s="3" t="s">
        <v>107</v>
      </c>
      <c r="G108" s="4">
        <v>36006.25</v>
      </c>
      <c r="H108" s="4">
        <v>0</v>
      </c>
      <c r="I108" s="4">
        <v>-16959940.670000002</v>
      </c>
    </row>
    <row r="109" spans="1:9" x14ac:dyDescent="0.3">
      <c r="A109" t="s">
        <v>75</v>
      </c>
      <c r="B109" s="1">
        <v>45870</v>
      </c>
      <c r="C109" s="1">
        <v>45870</v>
      </c>
      <c r="D109">
        <v>142816</v>
      </c>
      <c r="E109">
        <v>14</v>
      </c>
      <c r="F109" s="3" t="s">
        <v>108</v>
      </c>
      <c r="G109" s="4">
        <v>42078.75</v>
      </c>
      <c r="H109" s="4">
        <v>0</v>
      </c>
      <c r="I109" s="4">
        <v>-16917861.920000002</v>
      </c>
    </row>
    <row r="110" spans="1:9" x14ac:dyDescent="0.3">
      <c r="A110" t="s">
        <v>75</v>
      </c>
      <c r="B110" s="1">
        <v>45869</v>
      </c>
      <c r="C110" s="1">
        <v>45870</v>
      </c>
      <c r="D110">
        <v>142817</v>
      </c>
      <c r="E110">
        <v>11</v>
      </c>
      <c r="F110" s="3" t="s">
        <v>109</v>
      </c>
      <c r="G110" s="4">
        <v>84095.5</v>
      </c>
      <c r="H110" s="4">
        <v>0</v>
      </c>
      <c r="I110" s="4">
        <v>-16833766.420000002</v>
      </c>
    </row>
    <row r="111" spans="1:9" x14ac:dyDescent="0.3">
      <c r="A111" t="s">
        <v>75</v>
      </c>
      <c r="B111" s="1">
        <v>45870</v>
      </c>
      <c r="C111" s="1">
        <v>45870</v>
      </c>
      <c r="D111">
        <v>142818</v>
      </c>
      <c r="E111">
        <v>14</v>
      </c>
      <c r="F111" s="3" t="s">
        <v>110</v>
      </c>
      <c r="G111" s="4">
        <v>30000</v>
      </c>
      <c r="H111" s="4">
        <v>0</v>
      </c>
      <c r="I111" s="4">
        <v>-16803766.420000002</v>
      </c>
    </row>
    <row r="112" spans="1:9" x14ac:dyDescent="0.3">
      <c r="A112" t="s">
        <v>75</v>
      </c>
      <c r="B112" s="1">
        <v>45868</v>
      </c>
      <c r="C112" s="1">
        <v>45870</v>
      </c>
      <c r="D112">
        <v>142819</v>
      </c>
      <c r="E112">
        <v>14</v>
      </c>
      <c r="F112" s="3" t="s">
        <v>111</v>
      </c>
      <c r="G112" s="4">
        <v>82848.75</v>
      </c>
      <c r="H112" s="4">
        <v>0</v>
      </c>
      <c r="I112" s="4">
        <v>-16720917.67</v>
      </c>
    </row>
    <row r="113" spans="1:9" x14ac:dyDescent="0.3">
      <c r="A113" t="s">
        <v>75</v>
      </c>
      <c r="B113" s="1">
        <v>45870</v>
      </c>
      <c r="C113" s="1">
        <v>45870</v>
      </c>
      <c r="D113">
        <v>142824</v>
      </c>
      <c r="E113">
        <v>72</v>
      </c>
      <c r="F113" s="3" t="s">
        <v>112</v>
      </c>
      <c r="G113" s="4">
        <v>12000</v>
      </c>
      <c r="H113" s="4">
        <v>0</v>
      </c>
      <c r="I113" s="4">
        <v>-16708917.67</v>
      </c>
    </row>
    <row r="114" spans="1:9" x14ac:dyDescent="0.3">
      <c r="A114" t="s">
        <v>75</v>
      </c>
      <c r="B114" s="1">
        <v>45870</v>
      </c>
      <c r="C114" s="1">
        <v>45870</v>
      </c>
      <c r="D114">
        <v>142825</v>
      </c>
      <c r="E114">
        <v>72</v>
      </c>
      <c r="F114" s="3" t="s">
        <v>113</v>
      </c>
      <c r="G114" s="4">
        <v>6000</v>
      </c>
      <c r="H114" s="4">
        <v>0</v>
      </c>
      <c r="I114" s="4">
        <v>-16702917.67</v>
      </c>
    </row>
    <row r="115" spans="1:9" x14ac:dyDescent="0.3">
      <c r="A115" t="s">
        <v>75</v>
      </c>
      <c r="B115" s="1">
        <v>45870</v>
      </c>
      <c r="C115" s="1">
        <v>45870</v>
      </c>
      <c r="D115">
        <v>142826</v>
      </c>
      <c r="E115">
        <v>77</v>
      </c>
      <c r="F115" s="3" t="s">
        <v>114</v>
      </c>
      <c r="G115" s="4">
        <v>12658.25</v>
      </c>
      <c r="H115" s="4">
        <v>0</v>
      </c>
      <c r="I115" s="4">
        <v>-16690259.42</v>
      </c>
    </row>
    <row r="116" spans="1:9" x14ac:dyDescent="0.3">
      <c r="A116" t="s">
        <v>75</v>
      </c>
      <c r="B116" s="1">
        <v>45870</v>
      </c>
      <c r="C116" s="1">
        <v>45870</v>
      </c>
      <c r="D116">
        <v>142827</v>
      </c>
      <c r="E116">
        <v>16</v>
      </c>
      <c r="F116" s="3" t="s">
        <v>115</v>
      </c>
      <c r="G116" s="4">
        <v>50578</v>
      </c>
      <c r="H116" s="4">
        <v>0</v>
      </c>
      <c r="I116" s="4">
        <v>-16639681.42</v>
      </c>
    </row>
    <row r="117" spans="1:9" x14ac:dyDescent="0.3">
      <c r="A117" t="s">
        <v>75</v>
      </c>
      <c r="B117" s="1">
        <v>45870</v>
      </c>
      <c r="C117" s="1">
        <v>45870</v>
      </c>
      <c r="D117">
        <v>142829</v>
      </c>
      <c r="E117">
        <v>67</v>
      </c>
      <c r="F117" s="3" t="s">
        <v>116</v>
      </c>
      <c r="G117" s="4">
        <v>13500</v>
      </c>
      <c r="H117" s="4">
        <v>0</v>
      </c>
      <c r="I117" s="4">
        <v>-16626181.42</v>
      </c>
    </row>
    <row r="118" spans="1:9" x14ac:dyDescent="0.3">
      <c r="A118" t="s">
        <v>75</v>
      </c>
      <c r="B118" s="1">
        <v>45870</v>
      </c>
      <c r="C118" s="1">
        <v>45870</v>
      </c>
      <c r="D118">
        <v>142830</v>
      </c>
      <c r="E118">
        <v>14</v>
      </c>
      <c r="F118" s="3" t="s">
        <v>117</v>
      </c>
      <c r="G118" s="4">
        <v>40000</v>
      </c>
      <c r="H118" s="4">
        <v>0</v>
      </c>
      <c r="I118" s="4">
        <v>-16586181.42</v>
      </c>
    </row>
    <row r="119" spans="1:9" x14ac:dyDescent="0.3">
      <c r="A119" t="s">
        <v>75</v>
      </c>
      <c r="B119" s="1">
        <v>45869</v>
      </c>
      <c r="C119" s="1">
        <v>45870</v>
      </c>
      <c r="D119">
        <v>142831</v>
      </c>
      <c r="E119">
        <v>13</v>
      </c>
      <c r="F119" s="3" t="s">
        <v>118</v>
      </c>
      <c r="G119" s="4">
        <v>86079</v>
      </c>
      <c r="H119" s="4">
        <v>0</v>
      </c>
      <c r="I119" s="4">
        <v>-16500102.42</v>
      </c>
    </row>
    <row r="120" spans="1:9" x14ac:dyDescent="0.3">
      <c r="A120" t="s">
        <v>75</v>
      </c>
      <c r="B120" s="1">
        <v>45869</v>
      </c>
      <c r="C120" s="1">
        <v>45870</v>
      </c>
      <c r="D120">
        <v>142832</v>
      </c>
      <c r="E120">
        <v>11</v>
      </c>
      <c r="F120" s="3" t="s">
        <v>119</v>
      </c>
      <c r="G120" s="4">
        <v>27281.25</v>
      </c>
      <c r="H120" s="4">
        <v>0</v>
      </c>
      <c r="I120" s="4">
        <v>-16472821.17</v>
      </c>
    </row>
    <row r="121" spans="1:9" x14ac:dyDescent="0.3">
      <c r="A121" t="s">
        <v>75</v>
      </c>
      <c r="B121" s="1">
        <v>45869</v>
      </c>
      <c r="C121" s="1">
        <v>45870</v>
      </c>
      <c r="D121">
        <v>142833</v>
      </c>
      <c r="E121">
        <v>11</v>
      </c>
      <c r="F121" s="3" t="s">
        <v>120</v>
      </c>
      <c r="G121" s="4">
        <v>7337.75</v>
      </c>
      <c r="H121" s="4">
        <v>0</v>
      </c>
      <c r="I121" s="4">
        <v>-16465483.42</v>
      </c>
    </row>
    <row r="122" spans="1:9" x14ac:dyDescent="0.3">
      <c r="A122" t="s">
        <v>75</v>
      </c>
      <c r="B122" s="1">
        <v>45869</v>
      </c>
      <c r="C122" s="1">
        <v>45870</v>
      </c>
      <c r="D122">
        <v>142834</v>
      </c>
      <c r="E122">
        <v>67</v>
      </c>
      <c r="F122" s="3" t="s">
        <v>121</v>
      </c>
      <c r="G122" s="4">
        <v>40027</v>
      </c>
      <c r="H122" s="4">
        <v>0</v>
      </c>
      <c r="I122" s="4">
        <v>-16425456.42</v>
      </c>
    </row>
    <row r="123" spans="1:9" x14ac:dyDescent="0.3">
      <c r="A123" t="s">
        <v>75</v>
      </c>
      <c r="B123" s="1">
        <v>45870</v>
      </c>
      <c r="C123" s="1">
        <v>45870</v>
      </c>
      <c r="D123">
        <v>142835</v>
      </c>
      <c r="E123">
        <v>15</v>
      </c>
      <c r="F123" s="3" t="s">
        <v>122</v>
      </c>
      <c r="G123" s="4">
        <v>81764.5</v>
      </c>
      <c r="H123" s="4">
        <v>0</v>
      </c>
      <c r="I123" s="4">
        <v>-16343691.92</v>
      </c>
    </row>
    <row r="124" spans="1:9" x14ac:dyDescent="0.3">
      <c r="A124" t="s">
        <v>75</v>
      </c>
      <c r="B124" s="1">
        <v>45870</v>
      </c>
      <c r="C124" s="1">
        <v>45870</v>
      </c>
      <c r="D124">
        <v>142836</v>
      </c>
      <c r="E124">
        <v>15</v>
      </c>
      <c r="F124" s="3" t="s">
        <v>123</v>
      </c>
      <c r="G124" s="4">
        <v>7300.25</v>
      </c>
      <c r="H124" s="4">
        <v>0</v>
      </c>
      <c r="I124" s="4">
        <v>-16336391.67</v>
      </c>
    </row>
    <row r="125" spans="1:9" x14ac:dyDescent="0.3">
      <c r="A125" t="s">
        <v>124</v>
      </c>
      <c r="B125" s="1">
        <v>45870</v>
      </c>
      <c r="C125" s="1">
        <v>45870</v>
      </c>
      <c r="D125">
        <v>22131</v>
      </c>
      <c r="E125">
        <v>11</v>
      </c>
      <c r="F125" s="3" t="s">
        <v>125</v>
      </c>
      <c r="G125" s="4">
        <v>0</v>
      </c>
      <c r="H125" s="4">
        <v>56920881.68</v>
      </c>
      <c r="I125" s="4">
        <v>-73257273.349999994</v>
      </c>
    </row>
    <row r="126" spans="1:9" x14ac:dyDescent="0.3">
      <c r="A126" t="s">
        <v>124</v>
      </c>
      <c r="B126" s="1">
        <v>45870</v>
      </c>
      <c r="C126" s="1">
        <v>45870</v>
      </c>
      <c r="D126">
        <v>22132</v>
      </c>
      <c r="E126">
        <v>11</v>
      </c>
      <c r="F126" s="3" t="s">
        <v>126</v>
      </c>
      <c r="G126" s="4">
        <v>0</v>
      </c>
      <c r="H126" s="4">
        <v>2000000</v>
      </c>
      <c r="I126" s="4">
        <v>-75257273.349999994</v>
      </c>
    </row>
    <row r="127" spans="1:9" x14ac:dyDescent="0.3">
      <c r="A127" t="s">
        <v>124</v>
      </c>
      <c r="B127" s="1">
        <v>45870</v>
      </c>
      <c r="C127" s="1">
        <v>45870</v>
      </c>
      <c r="D127">
        <v>22134</v>
      </c>
      <c r="E127">
        <v>11</v>
      </c>
      <c r="F127" s="3" t="s">
        <v>127</v>
      </c>
      <c r="G127" s="4">
        <v>42300000</v>
      </c>
      <c r="H127" s="4">
        <v>0</v>
      </c>
      <c r="I127" s="4">
        <v>-32957273.350000001</v>
      </c>
    </row>
    <row r="128" spans="1:9" x14ac:dyDescent="0.3">
      <c r="A128" t="s">
        <v>124</v>
      </c>
      <c r="B128" s="1">
        <v>45870</v>
      </c>
      <c r="C128" s="1">
        <v>45870</v>
      </c>
      <c r="D128">
        <v>22136</v>
      </c>
      <c r="E128">
        <v>11</v>
      </c>
      <c r="F128" s="3" t="s">
        <v>128</v>
      </c>
      <c r="G128" s="4">
        <v>4800000</v>
      </c>
      <c r="H128" s="4">
        <v>0</v>
      </c>
      <c r="I128" s="4">
        <v>-28157273.350000001</v>
      </c>
    </row>
    <row r="129" spans="1:9" x14ac:dyDescent="0.3">
      <c r="A129" t="s">
        <v>124</v>
      </c>
      <c r="B129" s="1">
        <v>45870</v>
      </c>
      <c r="C129" s="1">
        <v>45870</v>
      </c>
      <c r="D129">
        <v>22138</v>
      </c>
      <c r="E129">
        <v>11</v>
      </c>
      <c r="F129" s="3" t="s">
        <v>129</v>
      </c>
      <c r="G129" s="4">
        <v>0</v>
      </c>
      <c r="H129" s="4">
        <v>3300000</v>
      </c>
      <c r="I129" s="4">
        <v>-31457273.350000001</v>
      </c>
    </row>
    <row r="130" spans="1:9" x14ac:dyDescent="0.3">
      <c r="A130" t="s">
        <v>130</v>
      </c>
      <c r="B130" s="1">
        <v>45870</v>
      </c>
      <c r="C130" s="1">
        <v>45870</v>
      </c>
      <c r="D130">
        <v>3820972</v>
      </c>
      <c r="E130">
        <v>351</v>
      </c>
      <c r="F130" s="3">
        <v>5613510103261</v>
      </c>
      <c r="G130" s="4">
        <v>0</v>
      </c>
      <c r="H130" s="4">
        <v>84800</v>
      </c>
      <c r="I130" s="4">
        <v>-31542073.350000001</v>
      </c>
    </row>
    <row r="131" spans="1:9" x14ac:dyDescent="0.3">
      <c r="A131" t="s">
        <v>130</v>
      </c>
      <c r="B131" s="1">
        <v>45870</v>
      </c>
      <c r="C131" s="1">
        <v>45870</v>
      </c>
      <c r="D131">
        <v>3821046</v>
      </c>
      <c r="E131">
        <v>54</v>
      </c>
      <c r="F131" s="3" t="s">
        <v>131</v>
      </c>
      <c r="G131" s="4">
        <v>0</v>
      </c>
      <c r="H131" s="4">
        <v>42000</v>
      </c>
      <c r="I131" s="4">
        <v>-31584073.350000001</v>
      </c>
    </row>
    <row r="132" spans="1:9" x14ac:dyDescent="0.3">
      <c r="A132" t="s">
        <v>130</v>
      </c>
      <c r="B132" s="1">
        <v>45870</v>
      </c>
      <c r="C132" s="1">
        <v>45870</v>
      </c>
      <c r="D132">
        <v>3821234</v>
      </c>
      <c r="E132">
        <v>27</v>
      </c>
      <c r="F132" s="3" t="s">
        <v>132</v>
      </c>
      <c r="G132" s="4">
        <v>0</v>
      </c>
      <c r="H132" s="4">
        <v>79500</v>
      </c>
      <c r="I132" s="4">
        <v>-31663573.350000001</v>
      </c>
    </row>
    <row r="133" spans="1:9" x14ac:dyDescent="0.3">
      <c r="A133" t="s">
        <v>133</v>
      </c>
      <c r="B133" s="1">
        <v>45870</v>
      </c>
      <c r="C133" s="1">
        <v>45870</v>
      </c>
      <c r="D133">
        <v>910234</v>
      </c>
      <c r="E133">
        <v>45</v>
      </c>
      <c r="F133" s="3" t="s">
        <v>134</v>
      </c>
      <c r="G133" s="4">
        <v>11135</v>
      </c>
      <c r="H133" s="4">
        <v>0</v>
      </c>
      <c r="I133" s="4">
        <v>-31652438.350000001</v>
      </c>
    </row>
    <row r="134" spans="1:9" x14ac:dyDescent="0.3">
      <c r="A134" t="s">
        <v>133</v>
      </c>
      <c r="B134" s="1">
        <v>45870</v>
      </c>
      <c r="C134" s="1">
        <v>45870</v>
      </c>
      <c r="D134">
        <v>910235</v>
      </c>
      <c r="E134">
        <v>16</v>
      </c>
      <c r="F134" s="3" t="s">
        <v>135</v>
      </c>
      <c r="G134" s="4">
        <v>43200.5</v>
      </c>
      <c r="H134" s="4">
        <v>0</v>
      </c>
      <c r="I134" s="4">
        <v>-31609237.850000001</v>
      </c>
    </row>
    <row r="135" spans="1:9" x14ac:dyDescent="0.3">
      <c r="A135" t="s">
        <v>133</v>
      </c>
      <c r="B135" s="1">
        <v>45870</v>
      </c>
      <c r="C135" s="1">
        <v>45870</v>
      </c>
      <c r="D135">
        <v>910236</v>
      </c>
      <c r="E135">
        <v>78</v>
      </c>
      <c r="F135" s="3" t="s">
        <v>136</v>
      </c>
      <c r="G135" s="4">
        <v>216281</v>
      </c>
      <c r="H135" s="4">
        <v>0</v>
      </c>
      <c r="I135" s="4">
        <v>-31392956.850000001</v>
      </c>
    </row>
    <row r="136" spans="1:9" x14ac:dyDescent="0.3">
      <c r="A136" t="s">
        <v>133</v>
      </c>
      <c r="B136" s="1">
        <v>45870</v>
      </c>
      <c r="C136" s="1">
        <v>45870</v>
      </c>
      <c r="D136">
        <v>910237</v>
      </c>
      <c r="E136">
        <v>78</v>
      </c>
      <c r="F136" s="3" t="s">
        <v>137</v>
      </c>
      <c r="G136" s="4">
        <v>35770</v>
      </c>
      <c r="H136" s="4">
        <v>0</v>
      </c>
      <c r="I136" s="4">
        <v>-31357186.850000001</v>
      </c>
    </row>
    <row r="137" spans="1:9" x14ac:dyDescent="0.3">
      <c r="A137" t="s">
        <v>133</v>
      </c>
      <c r="B137" s="1">
        <v>45870</v>
      </c>
      <c r="C137" s="1">
        <v>45870</v>
      </c>
      <c r="D137">
        <v>910239</v>
      </c>
      <c r="E137">
        <v>351</v>
      </c>
      <c r="F137" s="3" t="s">
        <v>138</v>
      </c>
      <c r="G137" s="4">
        <v>84800</v>
      </c>
      <c r="H137" s="4">
        <v>0</v>
      </c>
      <c r="I137" s="4">
        <v>-31272386.850000001</v>
      </c>
    </row>
    <row r="138" spans="1:9" x14ac:dyDescent="0.3">
      <c r="A138" t="s">
        <v>133</v>
      </c>
      <c r="B138" s="1">
        <v>45870</v>
      </c>
      <c r="C138" s="1">
        <v>45870</v>
      </c>
      <c r="D138">
        <v>910250</v>
      </c>
      <c r="E138">
        <v>91</v>
      </c>
      <c r="F138" s="3">
        <v>6690</v>
      </c>
      <c r="G138" s="4">
        <v>16683</v>
      </c>
      <c r="H138" s="4">
        <v>0</v>
      </c>
      <c r="I138" s="4">
        <v>-31255703.850000001</v>
      </c>
    </row>
    <row r="139" spans="1:9" x14ac:dyDescent="0.3">
      <c r="A139" t="s">
        <v>133</v>
      </c>
      <c r="B139" s="1">
        <v>45870</v>
      </c>
      <c r="C139" s="1">
        <v>45870</v>
      </c>
      <c r="D139">
        <v>910252</v>
      </c>
      <c r="E139">
        <v>38</v>
      </c>
      <c r="F139" s="3" t="s">
        <v>139</v>
      </c>
      <c r="G139" s="4">
        <v>20000</v>
      </c>
      <c r="H139" s="4">
        <v>0</v>
      </c>
      <c r="I139" s="4">
        <v>-31235703.850000001</v>
      </c>
    </row>
    <row r="140" spans="1:9" x14ac:dyDescent="0.3">
      <c r="A140" t="s">
        <v>133</v>
      </c>
      <c r="B140" s="1">
        <v>45870</v>
      </c>
      <c r="C140" s="1">
        <v>45870</v>
      </c>
      <c r="D140">
        <v>910259</v>
      </c>
      <c r="E140">
        <v>85</v>
      </c>
      <c r="F140" s="3">
        <v>50598714241</v>
      </c>
      <c r="G140" s="4">
        <v>5634.5</v>
      </c>
      <c r="H140" s="4">
        <v>0</v>
      </c>
      <c r="I140" s="4">
        <v>-31230069.350000001</v>
      </c>
    </row>
    <row r="141" spans="1:9" x14ac:dyDescent="0.3">
      <c r="A141" t="s">
        <v>133</v>
      </c>
      <c r="B141" s="1">
        <v>45870</v>
      </c>
      <c r="C141" s="1">
        <v>45870</v>
      </c>
      <c r="D141">
        <v>910261</v>
      </c>
      <c r="E141">
        <v>382</v>
      </c>
      <c r="F141" s="3" t="s">
        <v>140</v>
      </c>
      <c r="G141" s="4">
        <v>100000</v>
      </c>
      <c r="H141" s="4">
        <v>0</v>
      </c>
      <c r="I141" s="4">
        <v>-31130069.350000001</v>
      </c>
    </row>
    <row r="142" spans="1:9" x14ac:dyDescent="0.3">
      <c r="A142" t="s">
        <v>133</v>
      </c>
      <c r="B142" s="1">
        <v>45870</v>
      </c>
      <c r="C142" s="1">
        <v>45870</v>
      </c>
      <c r="D142">
        <v>910267</v>
      </c>
      <c r="E142">
        <v>38</v>
      </c>
      <c r="F142" s="3" t="s">
        <v>141</v>
      </c>
      <c r="G142" s="4">
        <v>2150</v>
      </c>
      <c r="H142" s="4">
        <v>0</v>
      </c>
      <c r="I142" s="4">
        <v>-31127919.350000001</v>
      </c>
    </row>
    <row r="143" spans="1:9" x14ac:dyDescent="0.3">
      <c r="A143" t="s">
        <v>133</v>
      </c>
      <c r="B143" s="1">
        <v>45870</v>
      </c>
      <c r="C143" s="1">
        <v>45870</v>
      </c>
      <c r="D143">
        <v>910271</v>
      </c>
      <c r="E143">
        <v>11</v>
      </c>
      <c r="F143" s="3" t="s">
        <v>142</v>
      </c>
      <c r="G143" s="4">
        <v>159094.75</v>
      </c>
      <c r="H143" s="4">
        <v>0</v>
      </c>
      <c r="I143" s="4">
        <v>-30968824.600000001</v>
      </c>
    </row>
    <row r="144" spans="1:9" x14ac:dyDescent="0.3">
      <c r="A144" t="s">
        <v>133</v>
      </c>
      <c r="B144" s="1">
        <v>45870</v>
      </c>
      <c r="C144" s="1">
        <v>45870</v>
      </c>
      <c r="D144">
        <v>910280</v>
      </c>
      <c r="E144">
        <v>63</v>
      </c>
      <c r="F144" s="3" t="s">
        <v>143</v>
      </c>
      <c r="G144" s="4">
        <v>17159.5</v>
      </c>
      <c r="H144" s="4">
        <v>0</v>
      </c>
      <c r="I144" s="4">
        <v>-30951665.100000001</v>
      </c>
    </row>
    <row r="145" spans="1:9" x14ac:dyDescent="0.3">
      <c r="A145" t="s">
        <v>133</v>
      </c>
      <c r="B145" s="1">
        <v>45870</v>
      </c>
      <c r="C145" s="1">
        <v>45870</v>
      </c>
      <c r="D145">
        <v>910282</v>
      </c>
      <c r="E145">
        <v>78</v>
      </c>
      <c r="F145" s="3" t="s">
        <v>144</v>
      </c>
      <c r="G145" s="4">
        <v>47009.5</v>
      </c>
      <c r="H145" s="4">
        <v>0</v>
      </c>
      <c r="I145" s="4">
        <v>-30904655.600000001</v>
      </c>
    </row>
    <row r="146" spans="1:9" x14ac:dyDescent="0.3">
      <c r="A146" t="s">
        <v>133</v>
      </c>
      <c r="B146" s="1">
        <v>45870</v>
      </c>
      <c r="C146" s="1">
        <v>45870</v>
      </c>
      <c r="D146">
        <v>910283</v>
      </c>
      <c r="E146">
        <v>49</v>
      </c>
      <c r="F146" s="3" t="s">
        <v>145</v>
      </c>
      <c r="G146" s="4">
        <v>34729</v>
      </c>
      <c r="H146" s="4">
        <v>0</v>
      </c>
      <c r="I146" s="4">
        <v>-30869926.600000001</v>
      </c>
    </row>
    <row r="147" spans="1:9" x14ac:dyDescent="0.3">
      <c r="A147" t="s">
        <v>133</v>
      </c>
      <c r="B147" s="1">
        <v>45870</v>
      </c>
      <c r="C147" s="1">
        <v>45870</v>
      </c>
      <c r="D147">
        <v>910284</v>
      </c>
      <c r="E147">
        <v>220</v>
      </c>
      <c r="F147" s="3" t="s">
        <v>146</v>
      </c>
      <c r="G147" s="4">
        <v>100000</v>
      </c>
      <c r="H147" s="4">
        <v>0</v>
      </c>
      <c r="I147" s="4">
        <v>-30769926.600000001</v>
      </c>
    </row>
    <row r="148" spans="1:9" x14ac:dyDescent="0.3">
      <c r="A148" t="s">
        <v>133</v>
      </c>
      <c r="B148" s="1">
        <v>45870</v>
      </c>
      <c r="C148" s="1">
        <v>45870</v>
      </c>
      <c r="D148">
        <v>910285</v>
      </c>
      <c r="E148">
        <v>52</v>
      </c>
      <c r="F148" s="3" t="s">
        <v>147</v>
      </c>
      <c r="G148" s="4">
        <v>48492.5</v>
      </c>
      <c r="H148" s="4">
        <v>0</v>
      </c>
      <c r="I148" s="4">
        <v>-30721434.100000001</v>
      </c>
    </row>
    <row r="149" spans="1:9" x14ac:dyDescent="0.3">
      <c r="A149" t="s">
        <v>133</v>
      </c>
      <c r="B149" s="1">
        <v>45870</v>
      </c>
      <c r="C149" s="1">
        <v>45870</v>
      </c>
      <c r="D149">
        <v>910286</v>
      </c>
      <c r="E149">
        <v>220</v>
      </c>
      <c r="F149" s="3" t="s">
        <v>148</v>
      </c>
      <c r="G149" s="4">
        <v>54385.75</v>
      </c>
      <c r="H149" s="4">
        <v>0</v>
      </c>
      <c r="I149" s="4">
        <v>-30667048.350000001</v>
      </c>
    </row>
    <row r="150" spans="1:9" x14ac:dyDescent="0.3">
      <c r="A150" t="s">
        <v>133</v>
      </c>
      <c r="B150" s="1">
        <v>45870</v>
      </c>
      <c r="C150" s="1">
        <v>45870</v>
      </c>
      <c r="D150">
        <v>910287</v>
      </c>
      <c r="E150">
        <v>52</v>
      </c>
      <c r="F150" s="3" t="s">
        <v>149</v>
      </c>
      <c r="G150" s="4">
        <v>17233.75</v>
      </c>
      <c r="H150" s="4">
        <v>0</v>
      </c>
      <c r="I150" s="4">
        <v>-30649814.600000001</v>
      </c>
    </row>
    <row r="151" spans="1:9" x14ac:dyDescent="0.3">
      <c r="A151" t="s">
        <v>133</v>
      </c>
      <c r="B151" s="1">
        <v>45870</v>
      </c>
      <c r="C151" s="1">
        <v>45870</v>
      </c>
      <c r="D151">
        <v>910289</v>
      </c>
      <c r="E151">
        <v>45</v>
      </c>
      <c r="F151" s="3" t="s">
        <v>150</v>
      </c>
      <c r="G151" s="4">
        <v>49056.75</v>
      </c>
      <c r="H151" s="4">
        <v>0</v>
      </c>
      <c r="I151" s="4">
        <v>-30600757.850000001</v>
      </c>
    </row>
    <row r="152" spans="1:9" x14ac:dyDescent="0.3">
      <c r="A152" t="s">
        <v>133</v>
      </c>
      <c r="B152" s="1">
        <v>45870</v>
      </c>
      <c r="C152" s="1">
        <v>45870</v>
      </c>
      <c r="D152">
        <v>910294</v>
      </c>
      <c r="E152">
        <v>282</v>
      </c>
      <c r="F152" s="3" t="s">
        <v>151</v>
      </c>
      <c r="G152" s="4">
        <v>200000</v>
      </c>
      <c r="H152" s="4">
        <v>0</v>
      </c>
      <c r="I152" s="4">
        <v>-30400757.850000001</v>
      </c>
    </row>
    <row r="153" spans="1:9" x14ac:dyDescent="0.3">
      <c r="A153" t="s">
        <v>133</v>
      </c>
      <c r="B153" s="1">
        <v>45870</v>
      </c>
      <c r="C153" s="1">
        <v>45870</v>
      </c>
      <c r="D153">
        <v>910296</v>
      </c>
      <c r="E153">
        <v>51</v>
      </c>
      <c r="F153" s="3" t="s">
        <v>152</v>
      </c>
      <c r="G153" s="4">
        <v>280000</v>
      </c>
      <c r="H153" s="4">
        <v>0</v>
      </c>
      <c r="I153" s="4">
        <v>-30120757.850000001</v>
      </c>
    </row>
    <row r="154" spans="1:9" x14ac:dyDescent="0.3">
      <c r="A154" t="s">
        <v>133</v>
      </c>
      <c r="B154" s="1">
        <v>45870</v>
      </c>
      <c r="C154" s="1">
        <v>45870</v>
      </c>
      <c r="D154">
        <v>910300</v>
      </c>
      <c r="E154">
        <v>73</v>
      </c>
      <c r="F154" s="3" t="s">
        <v>153</v>
      </c>
      <c r="G154" s="4">
        <v>220000</v>
      </c>
      <c r="H154" s="4">
        <v>0</v>
      </c>
      <c r="I154" s="4">
        <v>-29900757.850000001</v>
      </c>
    </row>
    <row r="155" spans="1:9" x14ac:dyDescent="0.3">
      <c r="A155" t="s">
        <v>133</v>
      </c>
      <c r="B155" s="1">
        <v>45870</v>
      </c>
      <c r="C155" s="1">
        <v>45870</v>
      </c>
      <c r="D155">
        <v>910307</v>
      </c>
      <c r="E155">
        <v>14</v>
      </c>
      <c r="F155" s="3" t="s">
        <v>154</v>
      </c>
      <c r="G155" s="4">
        <v>1262652.75</v>
      </c>
      <c r="H155" s="4">
        <v>0</v>
      </c>
      <c r="I155" s="4">
        <v>-28638105.100000001</v>
      </c>
    </row>
    <row r="156" spans="1:9" x14ac:dyDescent="0.3">
      <c r="A156" t="s">
        <v>133</v>
      </c>
      <c r="B156" s="1">
        <v>45870</v>
      </c>
      <c r="C156" s="1">
        <v>45870</v>
      </c>
      <c r="D156">
        <v>910313</v>
      </c>
      <c r="E156">
        <v>13</v>
      </c>
      <c r="F156" s="3" t="s">
        <v>155</v>
      </c>
      <c r="G156" s="4">
        <v>57900</v>
      </c>
      <c r="H156" s="4">
        <v>0</v>
      </c>
      <c r="I156" s="4">
        <v>-28580205.100000001</v>
      </c>
    </row>
    <row r="157" spans="1:9" x14ac:dyDescent="0.3">
      <c r="A157" t="s">
        <v>133</v>
      </c>
      <c r="B157" s="1">
        <v>45870</v>
      </c>
      <c r="C157" s="1">
        <v>45870</v>
      </c>
      <c r="D157">
        <v>910315</v>
      </c>
      <c r="E157">
        <v>11</v>
      </c>
      <c r="F157" s="3" t="s">
        <v>156</v>
      </c>
      <c r="G157" s="4">
        <v>326496.25</v>
      </c>
      <c r="H157" s="4">
        <v>0</v>
      </c>
      <c r="I157" s="4">
        <v>-28253708.850000001</v>
      </c>
    </row>
    <row r="158" spans="1:9" x14ac:dyDescent="0.3">
      <c r="A158" t="s">
        <v>133</v>
      </c>
      <c r="B158" s="1">
        <v>45870</v>
      </c>
      <c r="C158" s="1">
        <v>45870</v>
      </c>
      <c r="D158">
        <v>910321</v>
      </c>
      <c r="E158">
        <v>48</v>
      </c>
      <c r="F158" s="3" t="s">
        <v>157</v>
      </c>
      <c r="G158" s="4">
        <v>12700.75</v>
      </c>
      <c r="H158" s="4">
        <v>0</v>
      </c>
      <c r="I158" s="4">
        <v>-28241008.100000001</v>
      </c>
    </row>
    <row r="159" spans="1:9" x14ac:dyDescent="0.3">
      <c r="A159" t="s">
        <v>133</v>
      </c>
      <c r="B159" s="1">
        <v>45870</v>
      </c>
      <c r="C159" s="1">
        <v>45870</v>
      </c>
      <c r="D159">
        <v>910323</v>
      </c>
      <c r="E159">
        <v>84</v>
      </c>
      <c r="F159" s="3" t="s">
        <v>158</v>
      </c>
      <c r="G159" s="4">
        <v>73505.25</v>
      </c>
      <c r="H159" s="4">
        <v>0</v>
      </c>
      <c r="I159" s="4">
        <v>-28167502.850000001</v>
      </c>
    </row>
    <row r="160" spans="1:9" x14ac:dyDescent="0.3">
      <c r="A160" t="s">
        <v>133</v>
      </c>
      <c r="B160" s="1">
        <v>45870</v>
      </c>
      <c r="C160" s="1">
        <v>45870</v>
      </c>
      <c r="D160">
        <v>910324</v>
      </c>
      <c r="E160">
        <v>382</v>
      </c>
      <c r="F160" s="3">
        <v>5623820025126</v>
      </c>
      <c r="G160" s="4">
        <v>6308</v>
      </c>
      <c r="H160" s="4">
        <v>0</v>
      </c>
      <c r="I160" s="4">
        <v>-28161194.850000001</v>
      </c>
    </row>
    <row r="161" spans="1:9" x14ac:dyDescent="0.3">
      <c r="A161" t="s">
        <v>133</v>
      </c>
      <c r="B161" s="1">
        <v>45870</v>
      </c>
      <c r="C161" s="1">
        <v>45870</v>
      </c>
      <c r="D161">
        <v>910327</v>
      </c>
      <c r="E161">
        <v>43</v>
      </c>
      <c r="F161" s="3" t="s">
        <v>159</v>
      </c>
      <c r="G161" s="4">
        <v>10576</v>
      </c>
      <c r="H161" s="4">
        <v>0</v>
      </c>
      <c r="I161" s="4">
        <v>-28150618.850000001</v>
      </c>
    </row>
    <row r="162" spans="1:9" x14ac:dyDescent="0.3">
      <c r="A162" t="s">
        <v>133</v>
      </c>
      <c r="B162" s="1">
        <v>45870</v>
      </c>
      <c r="C162" s="1">
        <v>45870</v>
      </c>
      <c r="D162">
        <v>910328</v>
      </c>
      <c r="E162">
        <v>27</v>
      </c>
      <c r="F162" s="3" t="s">
        <v>160</v>
      </c>
      <c r="G162" s="4">
        <v>79500</v>
      </c>
      <c r="H162" s="4">
        <v>0</v>
      </c>
      <c r="I162" s="4">
        <v>-28071118.850000001</v>
      </c>
    </row>
    <row r="163" spans="1:9" x14ac:dyDescent="0.3">
      <c r="A163" t="s">
        <v>133</v>
      </c>
      <c r="B163" s="1">
        <v>45870</v>
      </c>
      <c r="C163" s="1">
        <v>45870</v>
      </c>
      <c r="D163">
        <v>910329</v>
      </c>
      <c r="E163">
        <v>27</v>
      </c>
      <c r="F163" s="3" t="s">
        <v>161</v>
      </c>
      <c r="G163" s="4">
        <v>79500</v>
      </c>
      <c r="H163" s="4">
        <v>0</v>
      </c>
      <c r="I163" s="4">
        <v>-27991618.850000001</v>
      </c>
    </row>
    <row r="164" spans="1:9" x14ac:dyDescent="0.3">
      <c r="A164" t="s">
        <v>133</v>
      </c>
      <c r="B164" s="1">
        <v>45870</v>
      </c>
      <c r="C164" s="1">
        <v>45870</v>
      </c>
      <c r="D164">
        <v>910330</v>
      </c>
      <c r="E164">
        <v>43</v>
      </c>
      <c r="F164" s="3" t="s">
        <v>162</v>
      </c>
      <c r="G164" s="4">
        <v>515.75</v>
      </c>
      <c r="H164" s="4">
        <v>0</v>
      </c>
      <c r="I164" s="4">
        <v>-27991103.100000001</v>
      </c>
    </row>
    <row r="165" spans="1:9" x14ac:dyDescent="0.3">
      <c r="A165" t="s">
        <v>133</v>
      </c>
      <c r="B165" s="1">
        <v>45870</v>
      </c>
      <c r="C165" s="1">
        <v>45870</v>
      </c>
      <c r="D165">
        <v>910332</v>
      </c>
      <c r="E165">
        <v>43</v>
      </c>
      <c r="F165" s="3" t="s">
        <v>163</v>
      </c>
      <c r="G165" s="4">
        <v>7177.75</v>
      </c>
      <c r="H165" s="4">
        <v>0</v>
      </c>
      <c r="I165" s="4">
        <v>-27983925.350000001</v>
      </c>
    </row>
    <row r="166" spans="1:9" x14ac:dyDescent="0.3">
      <c r="A166" t="s">
        <v>133</v>
      </c>
      <c r="B166" s="1">
        <v>45870</v>
      </c>
      <c r="C166" s="1">
        <v>45870</v>
      </c>
      <c r="D166">
        <v>910333</v>
      </c>
      <c r="E166">
        <v>43</v>
      </c>
      <c r="F166" s="3" t="s">
        <v>164</v>
      </c>
      <c r="G166" s="4">
        <v>13763</v>
      </c>
      <c r="H166" s="4">
        <v>0</v>
      </c>
      <c r="I166" s="4">
        <v>-27970162.350000001</v>
      </c>
    </row>
    <row r="167" spans="1:9" x14ac:dyDescent="0.3">
      <c r="A167" t="s">
        <v>133</v>
      </c>
      <c r="B167" s="1">
        <v>45870</v>
      </c>
      <c r="C167" s="1">
        <v>45870</v>
      </c>
      <c r="D167">
        <v>910335</v>
      </c>
      <c r="E167">
        <v>88</v>
      </c>
      <c r="F167" s="3">
        <v>25751121117</v>
      </c>
      <c r="G167" s="4">
        <v>16593.5</v>
      </c>
      <c r="H167" s="4">
        <v>0</v>
      </c>
      <c r="I167" s="4">
        <v>-27953568.850000001</v>
      </c>
    </row>
    <row r="168" spans="1:9" x14ac:dyDescent="0.3">
      <c r="A168" t="s">
        <v>133</v>
      </c>
      <c r="B168" s="1">
        <v>45870</v>
      </c>
      <c r="C168" s="1">
        <v>45870</v>
      </c>
      <c r="D168">
        <v>910340</v>
      </c>
      <c r="E168">
        <v>66</v>
      </c>
      <c r="F168" s="3" t="s">
        <v>165</v>
      </c>
      <c r="G168" s="4">
        <v>200000</v>
      </c>
      <c r="H168" s="4">
        <v>0</v>
      </c>
      <c r="I168" s="4">
        <v>-27753568.850000001</v>
      </c>
    </row>
    <row r="169" spans="1:9" x14ac:dyDescent="0.3">
      <c r="A169" t="s">
        <v>133</v>
      </c>
      <c r="B169" s="1">
        <v>45870</v>
      </c>
      <c r="C169" s="1">
        <v>45870</v>
      </c>
      <c r="D169">
        <v>910346</v>
      </c>
      <c r="E169">
        <v>45</v>
      </c>
      <c r="F169" s="3" t="s">
        <v>166</v>
      </c>
      <c r="G169" s="4">
        <v>280000</v>
      </c>
      <c r="H169" s="4">
        <v>0</v>
      </c>
      <c r="I169" s="4">
        <v>-27473568.850000001</v>
      </c>
    </row>
    <row r="170" spans="1:9" x14ac:dyDescent="0.3">
      <c r="A170" t="s">
        <v>133</v>
      </c>
      <c r="B170" s="1">
        <v>45870</v>
      </c>
      <c r="C170" s="1">
        <v>45870</v>
      </c>
      <c r="D170">
        <v>910358</v>
      </c>
      <c r="E170">
        <v>18</v>
      </c>
      <c r="F170" s="3" t="s">
        <v>167</v>
      </c>
      <c r="G170" s="4">
        <v>390000</v>
      </c>
      <c r="H170" s="4">
        <v>0</v>
      </c>
      <c r="I170" s="4">
        <v>-27083568.850000001</v>
      </c>
    </row>
    <row r="171" spans="1:9" x14ac:dyDescent="0.3">
      <c r="A171" t="s">
        <v>133</v>
      </c>
      <c r="B171" s="1">
        <v>45870</v>
      </c>
      <c r="C171" s="1">
        <v>45870</v>
      </c>
      <c r="D171">
        <v>910364</v>
      </c>
      <c r="E171">
        <v>58</v>
      </c>
      <c r="F171" s="3" t="s">
        <v>168</v>
      </c>
      <c r="G171" s="4">
        <v>11528.5</v>
      </c>
      <c r="H171" s="4">
        <v>0</v>
      </c>
      <c r="I171" s="4">
        <v>-27072040.350000001</v>
      </c>
    </row>
    <row r="172" spans="1:9" x14ac:dyDescent="0.3">
      <c r="A172" t="s">
        <v>133</v>
      </c>
      <c r="B172" s="1">
        <v>45870</v>
      </c>
      <c r="C172" s="1">
        <v>45870</v>
      </c>
      <c r="D172">
        <v>910365</v>
      </c>
      <c r="E172">
        <v>92</v>
      </c>
      <c r="F172" s="3" t="s">
        <v>169</v>
      </c>
      <c r="G172" s="4">
        <v>200000</v>
      </c>
      <c r="H172" s="4">
        <v>0</v>
      </c>
      <c r="I172" s="4">
        <v>-26872040.350000001</v>
      </c>
    </row>
    <row r="173" spans="1:9" x14ac:dyDescent="0.3">
      <c r="A173" t="s">
        <v>133</v>
      </c>
      <c r="B173" s="1">
        <v>45870</v>
      </c>
      <c r="C173" s="1">
        <v>45870</v>
      </c>
      <c r="D173">
        <v>910369</v>
      </c>
      <c r="E173">
        <v>382</v>
      </c>
      <c r="F173" s="3" t="s">
        <v>170</v>
      </c>
      <c r="G173" s="4">
        <v>103011</v>
      </c>
      <c r="H173" s="4">
        <v>0</v>
      </c>
      <c r="I173" s="4">
        <v>-26769029.350000001</v>
      </c>
    </row>
    <row r="174" spans="1:9" x14ac:dyDescent="0.3">
      <c r="A174" t="s">
        <v>133</v>
      </c>
      <c r="B174" s="1">
        <v>45870</v>
      </c>
      <c r="C174" s="1">
        <v>45870</v>
      </c>
      <c r="D174">
        <v>910371</v>
      </c>
      <c r="E174">
        <v>27</v>
      </c>
      <c r="F174" s="3" t="s">
        <v>171</v>
      </c>
      <c r="G174" s="4">
        <v>401322.5</v>
      </c>
      <c r="H174" s="4">
        <v>0</v>
      </c>
      <c r="I174" s="4">
        <v>-26367706.850000001</v>
      </c>
    </row>
    <row r="175" spans="1:9" x14ac:dyDescent="0.3">
      <c r="A175" t="s">
        <v>133</v>
      </c>
      <c r="B175" s="1">
        <v>45870</v>
      </c>
      <c r="C175" s="1">
        <v>45870</v>
      </c>
      <c r="D175">
        <v>910374</v>
      </c>
      <c r="E175">
        <v>31</v>
      </c>
      <c r="F175" s="3" t="s">
        <v>172</v>
      </c>
      <c r="G175" s="4">
        <v>14113.5</v>
      </c>
      <c r="H175" s="4">
        <v>0</v>
      </c>
      <c r="I175" s="4">
        <v>-26353593.350000001</v>
      </c>
    </row>
    <row r="176" spans="1:9" x14ac:dyDescent="0.3">
      <c r="A176" t="s">
        <v>133</v>
      </c>
      <c r="B176" s="1">
        <v>45870</v>
      </c>
      <c r="C176" s="1">
        <v>45870</v>
      </c>
      <c r="D176">
        <v>910378</v>
      </c>
      <c r="E176">
        <v>75</v>
      </c>
      <c r="F176" s="3" t="s">
        <v>173</v>
      </c>
      <c r="G176" s="4">
        <v>385000</v>
      </c>
      <c r="H176" s="4">
        <v>0</v>
      </c>
      <c r="I176" s="4">
        <v>-25968593.350000001</v>
      </c>
    </row>
    <row r="177" spans="1:9" x14ac:dyDescent="0.3">
      <c r="A177" t="s">
        <v>133</v>
      </c>
      <c r="B177" s="1">
        <v>45870</v>
      </c>
      <c r="C177" s="1">
        <v>45870</v>
      </c>
      <c r="D177">
        <v>910383</v>
      </c>
      <c r="E177">
        <v>14</v>
      </c>
      <c r="F177" s="3" t="s">
        <v>174</v>
      </c>
      <c r="G177" s="4">
        <v>300000</v>
      </c>
      <c r="H177" s="4">
        <v>0</v>
      </c>
      <c r="I177" s="4">
        <v>-25668593.350000001</v>
      </c>
    </row>
    <row r="178" spans="1:9" x14ac:dyDescent="0.3">
      <c r="A178" t="s">
        <v>133</v>
      </c>
      <c r="B178" s="1">
        <v>45870</v>
      </c>
      <c r="C178" s="1">
        <v>45870</v>
      </c>
      <c r="D178">
        <v>910389</v>
      </c>
      <c r="E178">
        <v>27</v>
      </c>
      <c r="F178" s="3" t="s">
        <v>175</v>
      </c>
      <c r="G178" s="4">
        <v>100000</v>
      </c>
      <c r="H178" s="4">
        <v>0</v>
      </c>
      <c r="I178" s="4">
        <v>-25568593.350000001</v>
      </c>
    </row>
    <row r="179" spans="1:9" x14ac:dyDescent="0.3">
      <c r="A179" t="s">
        <v>133</v>
      </c>
      <c r="B179" s="1">
        <v>45870</v>
      </c>
      <c r="C179" s="1">
        <v>45870</v>
      </c>
      <c r="D179">
        <v>910391</v>
      </c>
      <c r="E179">
        <v>55</v>
      </c>
      <c r="F179" s="3" t="s">
        <v>176</v>
      </c>
      <c r="G179" s="4">
        <v>220000</v>
      </c>
      <c r="H179" s="4">
        <v>0</v>
      </c>
      <c r="I179" s="4">
        <v>-25348593.350000001</v>
      </c>
    </row>
    <row r="180" spans="1:9" x14ac:dyDescent="0.3">
      <c r="A180" t="s">
        <v>133</v>
      </c>
      <c r="B180" s="1">
        <v>45870</v>
      </c>
      <c r="C180" s="1">
        <v>45870</v>
      </c>
      <c r="D180">
        <v>910393</v>
      </c>
      <c r="E180">
        <v>85</v>
      </c>
      <c r="F180" s="3" t="s">
        <v>177</v>
      </c>
      <c r="G180" s="4">
        <v>6032.25</v>
      </c>
      <c r="H180" s="4">
        <v>0</v>
      </c>
      <c r="I180" s="4">
        <v>-25342561.100000001</v>
      </c>
    </row>
    <row r="181" spans="1:9" x14ac:dyDescent="0.3">
      <c r="A181" t="s">
        <v>133</v>
      </c>
      <c r="B181" s="1">
        <v>45870</v>
      </c>
      <c r="C181" s="1">
        <v>45870</v>
      </c>
      <c r="D181">
        <v>910395</v>
      </c>
      <c r="E181">
        <v>85</v>
      </c>
      <c r="F181" s="3" t="s">
        <v>178</v>
      </c>
      <c r="G181" s="4">
        <v>2739.75</v>
      </c>
      <c r="H181" s="4">
        <v>0</v>
      </c>
      <c r="I181" s="4">
        <v>-25339821.350000001</v>
      </c>
    </row>
    <row r="182" spans="1:9" x14ac:dyDescent="0.3">
      <c r="A182" t="s">
        <v>133</v>
      </c>
      <c r="B182" s="1">
        <v>45870</v>
      </c>
      <c r="C182" s="1">
        <v>45870</v>
      </c>
      <c r="D182">
        <v>910396</v>
      </c>
      <c r="E182">
        <v>85</v>
      </c>
      <c r="F182" s="3" t="s">
        <v>179</v>
      </c>
      <c r="G182" s="4">
        <v>2302.25</v>
      </c>
      <c r="H182" s="4">
        <v>0</v>
      </c>
      <c r="I182" s="4">
        <v>-25337519.100000001</v>
      </c>
    </row>
    <row r="183" spans="1:9" x14ac:dyDescent="0.3">
      <c r="A183" t="s">
        <v>133</v>
      </c>
      <c r="B183" s="1">
        <v>45870</v>
      </c>
      <c r="C183" s="1">
        <v>45870</v>
      </c>
      <c r="D183">
        <v>910397</v>
      </c>
      <c r="E183">
        <v>382</v>
      </c>
      <c r="F183" s="3" t="s">
        <v>180</v>
      </c>
      <c r="G183" s="4">
        <v>384919</v>
      </c>
      <c r="H183" s="4">
        <v>0</v>
      </c>
      <c r="I183" s="4">
        <v>-24952600.100000001</v>
      </c>
    </row>
    <row r="184" spans="1:9" x14ac:dyDescent="0.3">
      <c r="A184" t="s">
        <v>133</v>
      </c>
      <c r="B184" s="1">
        <v>45870</v>
      </c>
      <c r="C184" s="1">
        <v>45870</v>
      </c>
      <c r="D184">
        <v>910398</v>
      </c>
      <c r="E184">
        <v>17</v>
      </c>
      <c r="F184" s="3" t="s">
        <v>181</v>
      </c>
      <c r="G184" s="4">
        <v>210000</v>
      </c>
      <c r="H184" s="4">
        <v>0</v>
      </c>
      <c r="I184" s="4">
        <v>-24742600.100000001</v>
      </c>
    </row>
    <row r="185" spans="1:9" x14ac:dyDescent="0.3">
      <c r="A185" t="s">
        <v>133</v>
      </c>
      <c r="B185" s="1">
        <v>45870</v>
      </c>
      <c r="C185" s="1">
        <v>45870</v>
      </c>
      <c r="D185">
        <v>910399</v>
      </c>
      <c r="E185">
        <v>361</v>
      </c>
      <c r="F185" s="3" t="s">
        <v>182</v>
      </c>
      <c r="G185" s="4">
        <v>380000</v>
      </c>
      <c r="H185" s="4">
        <v>0</v>
      </c>
      <c r="I185" s="4">
        <v>-24362600.100000001</v>
      </c>
    </row>
    <row r="186" spans="1:9" x14ac:dyDescent="0.3">
      <c r="A186" t="s">
        <v>133</v>
      </c>
      <c r="B186" s="1">
        <v>45870</v>
      </c>
      <c r="C186" s="1">
        <v>45870</v>
      </c>
      <c r="D186">
        <v>910402</v>
      </c>
      <c r="E186">
        <v>412</v>
      </c>
      <c r="F186" s="3" t="s">
        <v>183</v>
      </c>
      <c r="G186" s="4">
        <v>590000</v>
      </c>
      <c r="H186" s="4">
        <v>0</v>
      </c>
      <c r="I186" s="4">
        <v>-23772600.100000001</v>
      </c>
    </row>
    <row r="187" spans="1:9" x14ac:dyDescent="0.3">
      <c r="A187" t="s">
        <v>133</v>
      </c>
      <c r="B187" s="1">
        <v>45870</v>
      </c>
      <c r="C187" s="1">
        <v>45870</v>
      </c>
      <c r="D187">
        <v>910405</v>
      </c>
      <c r="E187">
        <v>59</v>
      </c>
      <c r="F187" s="3" t="s">
        <v>184</v>
      </c>
      <c r="G187" s="4">
        <v>183780</v>
      </c>
      <c r="H187" s="4">
        <v>0</v>
      </c>
      <c r="I187" s="4">
        <v>-23588820.100000001</v>
      </c>
    </row>
    <row r="188" spans="1:9" x14ac:dyDescent="0.3">
      <c r="A188" t="s">
        <v>133</v>
      </c>
      <c r="B188" s="1">
        <v>45870</v>
      </c>
      <c r="C188" s="1">
        <v>45870</v>
      </c>
      <c r="D188">
        <v>910407</v>
      </c>
      <c r="E188">
        <v>72</v>
      </c>
      <c r="F188" s="3" t="s">
        <v>185</v>
      </c>
      <c r="G188" s="4">
        <v>11359</v>
      </c>
      <c r="H188" s="4">
        <v>0</v>
      </c>
      <c r="I188" s="4">
        <v>-23577461.100000001</v>
      </c>
    </row>
    <row r="189" spans="1:9" x14ac:dyDescent="0.3">
      <c r="A189" t="s">
        <v>133</v>
      </c>
      <c r="B189" s="1">
        <v>45870</v>
      </c>
      <c r="C189" s="1">
        <v>45870</v>
      </c>
      <c r="D189">
        <v>910413</v>
      </c>
      <c r="E189">
        <v>28</v>
      </c>
      <c r="F189" s="3" t="s">
        <v>186</v>
      </c>
      <c r="G189" s="4">
        <v>46245</v>
      </c>
      <c r="H189" s="4">
        <v>0</v>
      </c>
      <c r="I189" s="4">
        <v>-23531216.100000001</v>
      </c>
    </row>
    <row r="190" spans="1:9" x14ac:dyDescent="0.3">
      <c r="A190" t="s">
        <v>133</v>
      </c>
      <c r="B190" s="1">
        <v>45870</v>
      </c>
      <c r="C190" s="1">
        <v>45870</v>
      </c>
      <c r="D190">
        <v>910414</v>
      </c>
      <c r="E190">
        <v>84</v>
      </c>
      <c r="F190" s="3" t="s">
        <v>187</v>
      </c>
      <c r="G190" s="4">
        <v>138328.75</v>
      </c>
      <c r="H190" s="4">
        <v>0</v>
      </c>
      <c r="I190" s="4">
        <v>-23392887.350000001</v>
      </c>
    </row>
    <row r="191" spans="1:9" x14ac:dyDescent="0.3">
      <c r="A191" t="s">
        <v>133</v>
      </c>
      <c r="B191" s="1">
        <v>45870</v>
      </c>
      <c r="C191" s="1">
        <v>45870</v>
      </c>
      <c r="D191">
        <v>910418</v>
      </c>
      <c r="E191">
        <v>31</v>
      </c>
      <c r="F191" s="3" t="s">
        <v>188</v>
      </c>
      <c r="G191" s="4">
        <v>900000</v>
      </c>
      <c r="H191" s="4">
        <v>0</v>
      </c>
      <c r="I191" s="4">
        <v>-22492887.350000001</v>
      </c>
    </row>
    <row r="192" spans="1:9" x14ac:dyDescent="0.3">
      <c r="A192" t="s">
        <v>133</v>
      </c>
      <c r="B192" s="1">
        <v>45870</v>
      </c>
      <c r="C192" s="1">
        <v>45870</v>
      </c>
      <c r="D192">
        <v>910419</v>
      </c>
      <c r="E192">
        <v>13</v>
      </c>
      <c r="F192" s="3" t="s">
        <v>189</v>
      </c>
      <c r="G192" s="4">
        <v>620000</v>
      </c>
      <c r="H192" s="4">
        <v>0</v>
      </c>
      <c r="I192" s="4">
        <v>-21872887.350000001</v>
      </c>
    </row>
    <row r="193" spans="1:9" x14ac:dyDescent="0.3">
      <c r="A193" t="s">
        <v>133</v>
      </c>
      <c r="B193" s="1">
        <v>45870</v>
      </c>
      <c r="C193" s="1">
        <v>45870</v>
      </c>
      <c r="D193">
        <v>910427</v>
      </c>
      <c r="E193">
        <v>24</v>
      </c>
      <c r="F193" s="3" t="s">
        <v>190</v>
      </c>
      <c r="G193" s="4">
        <v>410000</v>
      </c>
      <c r="H193" s="4">
        <v>0</v>
      </c>
      <c r="I193" s="4">
        <v>-21462887.350000001</v>
      </c>
    </row>
    <row r="194" spans="1:9" x14ac:dyDescent="0.3">
      <c r="A194" t="s">
        <v>133</v>
      </c>
      <c r="B194" s="1">
        <v>45870</v>
      </c>
      <c r="C194" s="1">
        <v>45870</v>
      </c>
      <c r="D194">
        <v>910429</v>
      </c>
      <c r="E194">
        <v>86</v>
      </c>
      <c r="F194" s="3" t="s">
        <v>191</v>
      </c>
      <c r="G194" s="4">
        <v>30050</v>
      </c>
      <c r="H194" s="4">
        <v>0</v>
      </c>
      <c r="I194" s="4">
        <v>-21432837.350000001</v>
      </c>
    </row>
    <row r="195" spans="1:9" x14ac:dyDescent="0.3">
      <c r="A195" t="s">
        <v>133</v>
      </c>
      <c r="B195" s="1">
        <v>45870</v>
      </c>
      <c r="C195" s="1">
        <v>45870</v>
      </c>
      <c r="D195">
        <v>910431</v>
      </c>
      <c r="E195">
        <v>12</v>
      </c>
      <c r="F195" s="3" t="s">
        <v>192</v>
      </c>
      <c r="G195" s="4">
        <v>25271</v>
      </c>
      <c r="H195" s="4">
        <v>0</v>
      </c>
      <c r="I195" s="4">
        <v>-21407566.350000001</v>
      </c>
    </row>
    <row r="196" spans="1:9" x14ac:dyDescent="0.3">
      <c r="A196" t="s">
        <v>133</v>
      </c>
      <c r="B196" s="1">
        <v>45870</v>
      </c>
      <c r="C196" s="1">
        <v>45870</v>
      </c>
      <c r="D196">
        <v>910434</v>
      </c>
      <c r="E196">
        <v>74</v>
      </c>
      <c r="F196" s="3" t="s">
        <v>193</v>
      </c>
      <c r="G196" s="4">
        <v>510000</v>
      </c>
      <c r="H196" s="4">
        <v>0</v>
      </c>
      <c r="I196" s="4">
        <v>-20897566.350000001</v>
      </c>
    </row>
    <row r="197" spans="1:9" x14ac:dyDescent="0.3">
      <c r="A197" t="s">
        <v>133</v>
      </c>
      <c r="B197" s="1">
        <v>45870</v>
      </c>
      <c r="C197" s="1">
        <v>45870</v>
      </c>
      <c r="D197">
        <v>910449</v>
      </c>
      <c r="E197">
        <v>65</v>
      </c>
      <c r="F197" s="3">
        <v>2531236644</v>
      </c>
      <c r="G197" s="4">
        <v>53630</v>
      </c>
      <c r="H197" s="4">
        <v>0</v>
      </c>
      <c r="I197" s="4">
        <v>-20843936.350000001</v>
      </c>
    </row>
    <row r="198" spans="1:9" x14ac:dyDescent="0.3">
      <c r="A198" t="s">
        <v>133</v>
      </c>
      <c r="B198" s="1">
        <v>45870</v>
      </c>
      <c r="C198" s="1">
        <v>45870</v>
      </c>
      <c r="D198">
        <v>910457</v>
      </c>
      <c r="E198">
        <v>77</v>
      </c>
      <c r="F198" s="3" t="s">
        <v>194</v>
      </c>
      <c r="G198" s="4">
        <v>24105</v>
      </c>
      <c r="H198" s="4">
        <v>0</v>
      </c>
      <c r="I198" s="4">
        <v>-20819831.350000001</v>
      </c>
    </row>
    <row r="199" spans="1:9" x14ac:dyDescent="0.3">
      <c r="A199" t="s">
        <v>133</v>
      </c>
      <c r="B199" s="1">
        <v>45870</v>
      </c>
      <c r="C199" s="1">
        <v>45870</v>
      </c>
      <c r="D199">
        <v>910471</v>
      </c>
      <c r="E199">
        <v>71</v>
      </c>
      <c r="F199" s="3" t="s">
        <v>195</v>
      </c>
      <c r="G199" s="4">
        <v>300000</v>
      </c>
      <c r="H199" s="4">
        <v>0</v>
      </c>
      <c r="I199" s="4">
        <v>-20519831.350000001</v>
      </c>
    </row>
    <row r="200" spans="1:9" x14ac:dyDescent="0.3">
      <c r="A200" t="s">
        <v>133</v>
      </c>
      <c r="B200" s="1">
        <v>45870</v>
      </c>
      <c r="C200" s="1">
        <v>45870</v>
      </c>
      <c r="D200">
        <v>910472</v>
      </c>
      <c r="E200">
        <v>54</v>
      </c>
      <c r="F200" s="3" t="s">
        <v>196</v>
      </c>
      <c r="G200" s="4">
        <v>950000</v>
      </c>
      <c r="H200" s="4">
        <v>0</v>
      </c>
      <c r="I200" s="4">
        <v>-19569831.350000001</v>
      </c>
    </row>
    <row r="201" spans="1:9" x14ac:dyDescent="0.3">
      <c r="A201" t="s">
        <v>133</v>
      </c>
      <c r="B201" s="1">
        <v>45870</v>
      </c>
      <c r="C201" s="1">
        <v>45870</v>
      </c>
      <c r="D201">
        <v>910473</v>
      </c>
      <c r="E201">
        <v>37</v>
      </c>
      <c r="F201" s="3" t="s">
        <v>197</v>
      </c>
      <c r="G201" s="4">
        <v>137215</v>
      </c>
      <c r="H201" s="4">
        <v>0</v>
      </c>
      <c r="I201" s="4">
        <v>-19432616.350000001</v>
      </c>
    </row>
    <row r="202" spans="1:9" x14ac:dyDescent="0.3">
      <c r="A202" t="s">
        <v>133</v>
      </c>
      <c r="B202" s="1">
        <v>45870</v>
      </c>
      <c r="C202" s="1">
        <v>45870</v>
      </c>
      <c r="D202">
        <v>910476</v>
      </c>
      <c r="E202">
        <v>85</v>
      </c>
      <c r="F202" s="3" t="s">
        <v>198</v>
      </c>
      <c r="G202" s="4">
        <v>500000</v>
      </c>
      <c r="H202" s="4">
        <v>0</v>
      </c>
      <c r="I202" s="4">
        <v>-18932616.350000001</v>
      </c>
    </row>
    <row r="203" spans="1:9" x14ac:dyDescent="0.3">
      <c r="A203" t="s">
        <v>133</v>
      </c>
      <c r="B203" s="1">
        <v>45870</v>
      </c>
      <c r="C203" s="1">
        <v>45870</v>
      </c>
      <c r="D203">
        <v>910500</v>
      </c>
      <c r="E203">
        <v>65</v>
      </c>
      <c r="F203" s="3" t="s">
        <v>199</v>
      </c>
      <c r="G203" s="4">
        <v>560000</v>
      </c>
      <c r="H203" s="4">
        <v>0</v>
      </c>
      <c r="I203" s="4">
        <v>-18372616.350000001</v>
      </c>
    </row>
    <row r="204" spans="1:9" x14ac:dyDescent="0.3">
      <c r="A204" t="s">
        <v>133</v>
      </c>
      <c r="B204" s="1">
        <v>45870</v>
      </c>
      <c r="C204" s="1">
        <v>45870</v>
      </c>
      <c r="D204">
        <v>910501</v>
      </c>
      <c r="E204">
        <v>12</v>
      </c>
      <c r="F204" s="3" t="s">
        <v>200</v>
      </c>
      <c r="G204" s="4">
        <v>870000</v>
      </c>
      <c r="H204" s="4">
        <v>0</v>
      </c>
      <c r="I204" s="4">
        <v>-17502616.350000001</v>
      </c>
    </row>
    <row r="205" spans="1:9" x14ac:dyDescent="0.3">
      <c r="A205" t="s">
        <v>133</v>
      </c>
      <c r="B205" s="1">
        <v>45870</v>
      </c>
      <c r="C205" s="1">
        <v>45870</v>
      </c>
      <c r="D205">
        <v>910502</v>
      </c>
      <c r="E205">
        <v>67</v>
      </c>
      <c r="F205" s="3" t="s">
        <v>181</v>
      </c>
      <c r="G205" s="4">
        <v>280000</v>
      </c>
      <c r="H205" s="4">
        <v>0</v>
      </c>
      <c r="I205" s="4">
        <v>-17222616.350000001</v>
      </c>
    </row>
    <row r="206" spans="1:9" x14ac:dyDescent="0.3">
      <c r="A206" t="s">
        <v>133</v>
      </c>
      <c r="B206" s="1">
        <v>45870</v>
      </c>
      <c r="C206" s="1">
        <v>45870</v>
      </c>
      <c r="D206">
        <v>910504</v>
      </c>
      <c r="E206">
        <v>58</v>
      </c>
      <c r="F206" s="3" t="s">
        <v>201</v>
      </c>
      <c r="G206" s="4">
        <v>370000</v>
      </c>
      <c r="H206" s="4">
        <v>0</v>
      </c>
      <c r="I206" s="4">
        <v>-16852616.350000001</v>
      </c>
    </row>
    <row r="207" spans="1:9" x14ac:dyDescent="0.3">
      <c r="A207" t="s">
        <v>133</v>
      </c>
      <c r="B207" s="1">
        <v>45870</v>
      </c>
      <c r="C207" s="1">
        <v>45870</v>
      </c>
      <c r="D207">
        <v>910507</v>
      </c>
      <c r="E207">
        <v>91</v>
      </c>
      <c r="F207" s="3" t="s">
        <v>202</v>
      </c>
      <c r="G207" s="4">
        <v>290000</v>
      </c>
      <c r="H207" s="4">
        <v>0</v>
      </c>
      <c r="I207" s="4">
        <v>-16562616.35</v>
      </c>
    </row>
    <row r="208" spans="1:9" x14ac:dyDescent="0.3">
      <c r="A208" t="s">
        <v>133</v>
      </c>
      <c r="B208" s="1">
        <v>45870</v>
      </c>
      <c r="C208" s="1">
        <v>45870</v>
      </c>
      <c r="D208">
        <v>910510</v>
      </c>
      <c r="E208">
        <v>60</v>
      </c>
      <c r="F208" s="3" t="s">
        <v>203</v>
      </c>
      <c r="G208" s="4">
        <v>50000</v>
      </c>
      <c r="H208" s="4">
        <v>0</v>
      </c>
      <c r="I208" s="4">
        <v>-16512616.35</v>
      </c>
    </row>
    <row r="209" spans="1:9" x14ac:dyDescent="0.3">
      <c r="A209" t="s">
        <v>133</v>
      </c>
      <c r="B209" s="1">
        <v>45870</v>
      </c>
      <c r="C209" s="1">
        <v>45870</v>
      </c>
      <c r="D209">
        <v>910515</v>
      </c>
      <c r="E209">
        <v>351</v>
      </c>
      <c r="F209" s="3" t="s">
        <v>181</v>
      </c>
      <c r="G209" s="4">
        <v>280000</v>
      </c>
      <c r="H209" s="4">
        <v>0</v>
      </c>
      <c r="I209" s="4">
        <v>-16232616.35</v>
      </c>
    </row>
    <row r="210" spans="1:9" x14ac:dyDescent="0.3">
      <c r="A210" t="s">
        <v>133</v>
      </c>
      <c r="B210" s="1">
        <v>45870</v>
      </c>
      <c r="C210" s="1">
        <v>45870</v>
      </c>
      <c r="D210">
        <v>910516</v>
      </c>
      <c r="E210">
        <v>78</v>
      </c>
      <c r="F210" s="3" t="s">
        <v>204</v>
      </c>
      <c r="G210" s="4">
        <v>13522</v>
      </c>
      <c r="H210" s="4">
        <v>0</v>
      </c>
      <c r="I210" s="4">
        <v>-16219094.35</v>
      </c>
    </row>
    <row r="211" spans="1:9" x14ac:dyDescent="0.3">
      <c r="A211" t="s">
        <v>133</v>
      </c>
      <c r="B211" s="1">
        <v>45870</v>
      </c>
      <c r="C211" s="1">
        <v>45870</v>
      </c>
      <c r="D211">
        <v>910517</v>
      </c>
      <c r="E211">
        <v>63</v>
      </c>
      <c r="F211" s="3" t="s">
        <v>205</v>
      </c>
      <c r="G211" s="4">
        <v>215000</v>
      </c>
      <c r="H211" s="4">
        <v>0</v>
      </c>
      <c r="I211" s="4">
        <v>-16004094.35</v>
      </c>
    </row>
    <row r="212" spans="1:9" x14ac:dyDescent="0.3">
      <c r="A212" t="s">
        <v>133</v>
      </c>
      <c r="B212" s="1">
        <v>45870</v>
      </c>
      <c r="C212" s="1">
        <v>45870</v>
      </c>
      <c r="D212">
        <v>910520</v>
      </c>
      <c r="E212">
        <v>27</v>
      </c>
      <c r="F212" s="3" t="s">
        <v>206</v>
      </c>
      <c r="G212" s="4">
        <v>84789</v>
      </c>
      <c r="H212" s="4">
        <v>0</v>
      </c>
      <c r="I212" s="4">
        <v>-15919305.35</v>
      </c>
    </row>
    <row r="213" spans="1:9" x14ac:dyDescent="0.3">
      <c r="A213" t="s">
        <v>133</v>
      </c>
      <c r="B213" s="1">
        <v>45870</v>
      </c>
      <c r="C213" s="1">
        <v>45870</v>
      </c>
      <c r="D213">
        <v>910521</v>
      </c>
      <c r="E213">
        <v>27</v>
      </c>
      <c r="F213" s="3" t="s">
        <v>207</v>
      </c>
      <c r="G213" s="4">
        <v>93535.75</v>
      </c>
      <c r="H213" s="4">
        <v>0</v>
      </c>
      <c r="I213" s="4">
        <v>-15825769.6</v>
      </c>
    </row>
    <row r="214" spans="1:9" x14ac:dyDescent="0.3">
      <c r="A214" t="s">
        <v>133</v>
      </c>
      <c r="B214" s="1">
        <v>45870</v>
      </c>
      <c r="C214" s="1">
        <v>45870</v>
      </c>
      <c r="D214">
        <v>910522</v>
      </c>
      <c r="E214">
        <v>78</v>
      </c>
      <c r="F214" s="3" t="s">
        <v>208</v>
      </c>
      <c r="G214" s="4">
        <v>520000</v>
      </c>
      <c r="H214" s="4">
        <v>0</v>
      </c>
      <c r="I214" s="4">
        <v>-15305769.6</v>
      </c>
    </row>
    <row r="215" spans="1:9" x14ac:dyDescent="0.3">
      <c r="A215" t="s">
        <v>133</v>
      </c>
      <c r="B215" s="1">
        <v>45870</v>
      </c>
      <c r="C215" s="1">
        <v>45870</v>
      </c>
      <c r="D215">
        <v>910523</v>
      </c>
      <c r="E215">
        <v>86</v>
      </c>
      <c r="F215" s="3" t="s">
        <v>209</v>
      </c>
      <c r="G215" s="4">
        <v>69867</v>
      </c>
      <c r="H215" s="4">
        <v>0</v>
      </c>
      <c r="I215" s="4">
        <v>-15235902.6</v>
      </c>
    </row>
    <row r="216" spans="1:9" x14ac:dyDescent="0.3">
      <c r="A216" t="s">
        <v>133</v>
      </c>
      <c r="B216" s="1">
        <v>45870</v>
      </c>
      <c r="C216" s="1">
        <v>45870</v>
      </c>
      <c r="D216">
        <v>910524</v>
      </c>
      <c r="E216">
        <v>86</v>
      </c>
      <c r="F216" s="3" t="s">
        <v>210</v>
      </c>
      <c r="G216" s="4">
        <v>390541.25</v>
      </c>
      <c r="H216" s="4">
        <v>0</v>
      </c>
      <c r="I216" s="4">
        <v>-14845361.35</v>
      </c>
    </row>
    <row r="217" spans="1:9" x14ac:dyDescent="0.3">
      <c r="A217" t="s">
        <v>133</v>
      </c>
      <c r="B217" s="1">
        <v>45870</v>
      </c>
      <c r="C217" s="1">
        <v>45870</v>
      </c>
      <c r="D217">
        <v>910526</v>
      </c>
      <c r="E217">
        <v>52</v>
      </c>
      <c r="F217" s="3" t="s">
        <v>211</v>
      </c>
      <c r="G217" s="4">
        <v>870000</v>
      </c>
      <c r="H217" s="4">
        <v>0</v>
      </c>
      <c r="I217" s="4">
        <v>-13975361.35</v>
      </c>
    </row>
    <row r="218" spans="1:9" x14ac:dyDescent="0.3">
      <c r="A218" t="s">
        <v>133</v>
      </c>
      <c r="B218" s="1">
        <v>45870</v>
      </c>
      <c r="C218" s="1">
        <v>45870</v>
      </c>
      <c r="D218">
        <v>910527</v>
      </c>
      <c r="E218">
        <v>11</v>
      </c>
      <c r="F218" s="3" t="s">
        <v>212</v>
      </c>
      <c r="G218" s="4">
        <v>61463</v>
      </c>
      <c r="H218" s="4">
        <v>0</v>
      </c>
      <c r="I218" s="4">
        <v>-13913898.35</v>
      </c>
    </row>
    <row r="219" spans="1:9" x14ac:dyDescent="0.3">
      <c r="A219" t="s">
        <v>133</v>
      </c>
      <c r="B219" s="1">
        <v>45870</v>
      </c>
      <c r="C219" s="1">
        <v>45870</v>
      </c>
      <c r="D219">
        <v>910530</v>
      </c>
      <c r="E219">
        <v>88</v>
      </c>
      <c r="F219" s="3" t="s">
        <v>213</v>
      </c>
      <c r="G219" s="4">
        <v>126372</v>
      </c>
      <c r="H219" s="4">
        <v>0</v>
      </c>
      <c r="I219" s="4">
        <v>-13787526.35</v>
      </c>
    </row>
    <row r="220" spans="1:9" x14ac:dyDescent="0.3">
      <c r="A220" t="s">
        <v>133</v>
      </c>
      <c r="B220" s="1">
        <v>45870</v>
      </c>
      <c r="C220" s="1">
        <v>45870</v>
      </c>
      <c r="D220">
        <v>910531</v>
      </c>
      <c r="E220">
        <v>11</v>
      </c>
      <c r="F220" s="3" t="s">
        <v>214</v>
      </c>
      <c r="G220" s="4">
        <v>810000</v>
      </c>
      <c r="H220" s="4">
        <v>0</v>
      </c>
      <c r="I220" s="4">
        <v>-12977526.35</v>
      </c>
    </row>
    <row r="221" spans="1:9" x14ac:dyDescent="0.3">
      <c r="A221" t="s">
        <v>133</v>
      </c>
      <c r="B221" s="1">
        <v>45870</v>
      </c>
      <c r="C221" s="1">
        <v>45870</v>
      </c>
      <c r="D221">
        <v>910532</v>
      </c>
      <c r="E221">
        <v>11</v>
      </c>
      <c r="F221" s="3" t="s">
        <v>215</v>
      </c>
      <c r="G221" s="4">
        <v>10000</v>
      </c>
      <c r="H221" s="4">
        <v>0</v>
      </c>
      <c r="I221" s="4">
        <v>-12967526.35</v>
      </c>
    </row>
    <row r="222" spans="1:9" x14ac:dyDescent="0.3">
      <c r="A222" t="s">
        <v>133</v>
      </c>
      <c r="B222" s="1">
        <v>45870</v>
      </c>
      <c r="C222" s="1">
        <v>45870</v>
      </c>
      <c r="D222">
        <v>910538</v>
      </c>
      <c r="E222">
        <v>82</v>
      </c>
      <c r="F222" s="3" t="s">
        <v>216</v>
      </c>
      <c r="G222" s="4">
        <v>200000</v>
      </c>
      <c r="H222" s="4">
        <v>0</v>
      </c>
      <c r="I222" s="4">
        <v>-12767526.35</v>
      </c>
    </row>
    <row r="223" spans="1:9" x14ac:dyDescent="0.3">
      <c r="A223" t="s">
        <v>133</v>
      </c>
      <c r="B223" s="1">
        <v>45870</v>
      </c>
      <c r="C223" s="1">
        <v>45870</v>
      </c>
      <c r="D223">
        <v>910542</v>
      </c>
      <c r="E223">
        <v>32</v>
      </c>
      <c r="F223" s="3" t="s">
        <v>217</v>
      </c>
      <c r="G223" s="4">
        <v>850000</v>
      </c>
      <c r="H223" s="4">
        <v>0</v>
      </c>
      <c r="I223" s="4">
        <v>-11917526.35</v>
      </c>
    </row>
    <row r="224" spans="1:9" x14ac:dyDescent="0.3">
      <c r="A224" t="s">
        <v>133</v>
      </c>
      <c r="B224" s="1">
        <v>45870</v>
      </c>
      <c r="C224" s="1">
        <v>45870</v>
      </c>
      <c r="D224">
        <v>910543</v>
      </c>
      <c r="E224">
        <v>77</v>
      </c>
      <c r="F224" s="3" t="s">
        <v>218</v>
      </c>
      <c r="G224" s="4">
        <v>400000</v>
      </c>
      <c r="H224" s="4">
        <v>0</v>
      </c>
      <c r="I224" s="4">
        <v>-11517526.35</v>
      </c>
    </row>
    <row r="225" spans="1:9" x14ac:dyDescent="0.3">
      <c r="A225" t="s">
        <v>133</v>
      </c>
      <c r="B225" s="1">
        <v>45870</v>
      </c>
      <c r="C225" s="1">
        <v>45870</v>
      </c>
      <c r="D225">
        <v>910544</v>
      </c>
      <c r="E225">
        <v>89</v>
      </c>
      <c r="F225" s="3" t="s">
        <v>219</v>
      </c>
      <c r="G225" s="4">
        <v>500000</v>
      </c>
      <c r="H225" s="4">
        <v>0</v>
      </c>
      <c r="I225" s="4">
        <v>-11017526.35</v>
      </c>
    </row>
    <row r="226" spans="1:9" x14ac:dyDescent="0.3">
      <c r="A226" t="s">
        <v>133</v>
      </c>
      <c r="B226" s="1">
        <v>45870</v>
      </c>
      <c r="C226" s="1">
        <v>45870</v>
      </c>
      <c r="D226">
        <v>910547</v>
      </c>
      <c r="E226">
        <v>56</v>
      </c>
      <c r="F226" s="3" t="s">
        <v>220</v>
      </c>
      <c r="G226" s="4">
        <v>1640000</v>
      </c>
      <c r="H226" s="4">
        <v>0</v>
      </c>
      <c r="I226" s="4">
        <v>-9377526.3499999996</v>
      </c>
    </row>
    <row r="227" spans="1:9" x14ac:dyDescent="0.3">
      <c r="A227" t="s">
        <v>133</v>
      </c>
      <c r="B227" s="1">
        <v>45870</v>
      </c>
      <c r="C227" s="1">
        <v>45870</v>
      </c>
      <c r="D227">
        <v>910551</v>
      </c>
      <c r="E227">
        <v>382</v>
      </c>
      <c r="F227" s="3" t="s">
        <v>221</v>
      </c>
      <c r="G227" s="4">
        <v>600000</v>
      </c>
      <c r="H227" s="4">
        <v>0</v>
      </c>
      <c r="I227" s="4">
        <v>-8777526.3499999996</v>
      </c>
    </row>
    <row r="228" spans="1:9" x14ac:dyDescent="0.3">
      <c r="A228" t="s">
        <v>133</v>
      </c>
      <c r="B228" s="1">
        <v>45870</v>
      </c>
      <c r="C228" s="1">
        <v>45870</v>
      </c>
      <c r="D228">
        <v>910552</v>
      </c>
      <c r="E228">
        <v>53</v>
      </c>
      <c r="F228" s="3" t="s">
        <v>222</v>
      </c>
      <c r="G228" s="4">
        <v>476000</v>
      </c>
      <c r="H228" s="4">
        <v>0</v>
      </c>
      <c r="I228" s="4">
        <v>-8301526.3499999996</v>
      </c>
    </row>
    <row r="229" spans="1:9" x14ac:dyDescent="0.3">
      <c r="A229" t="s">
        <v>133</v>
      </c>
      <c r="B229" s="1">
        <v>45870</v>
      </c>
      <c r="C229" s="1">
        <v>45870</v>
      </c>
      <c r="D229">
        <v>910553</v>
      </c>
      <c r="E229">
        <v>16</v>
      </c>
      <c r="F229" s="3" t="s">
        <v>223</v>
      </c>
      <c r="G229" s="4">
        <v>83760.5</v>
      </c>
      <c r="H229" s="4">
        <v>0</v>
      </c>
      <c r="I229" s="4">
        <v>-8217765.8499999996</v>
      </c>
    </row>
    <row r="230" spans="1:9" x14ac:dyDescent="0.3">
      <c r="A230" t="s">
        <v>133</v>
      </c>
      <c r="B230" s="1">
        <v>45870</v>
      </c>
      <c r="C230" s="1">
        <v>45870</v>
      </c>
      <c r="D230">
        <v>910554</v>
      </c>
      <c r="E230">
        <v>17</v>
      </c>
      <c r="F230" s="3">
        <v>9880</v>
      </c>
      <c r="G230" s="4">
        <v>4546.25</v>
      </c>
      <c r="H230" s="4">
        <v>0</v>
      </c>
      <c r="I230" s="4">
        <v>-8213219.5999999996</v>
      </c>
    </row>
    <row r="231" spans="1:9" x14ac:dyDescent="0.3">
      <c r="A231" t="s">
        <v>133</v>
      </c>
      <c r="B231" s="1">
        <v>45870</v>
      </c>
      <c r="C231" s="1">
        <v>45870</v>
      </c>
      <c r="D231">
        <v>910555</v>
      </c>
      <c r="E231">
        <v>62</v>
      </c>
      <c r="F231" s="3" t="s">
        <v>224</v>
      </c>
      <c r="G231" s="4">
        <v>400000</v>
      </c>
      <c r="H231" s="4">
        <v>0</v>
      </c>
      <c r="I231" s="4">
        <v>-7813219.5999999996</v>
      </c>
    </row>
    <row r="232" spans="1:9" x14ac:dyDescent="0.3">
      <c r="A232" t="s">
        <v>133</v>
      </c>
      <c r="B232" s="1">
        <v>45870</v>
      </c>
      <c r="C232" s="1">
        <v>45870</v>
      </c>
      <c r="D232">
        <v>910556</v>
      </c>
      <c r="E232">
        <v>15</v>
      </c>
      <c r="F232" s="3" t="s">
        <v>225</v>
      </c>
      <c r="G232" s="4">
        <v>270000</v>
      </c>
      <c r="H232" s="4">
        <v>0</v>
      </c>
      <c r="I232" s="4">
        <v>-7543219.5999999996</v>
      </c>
    </row>
    <row r="233" spans="1:9" x14ac:dyDescent="0.3">
      <c r="A233" t="s">
        <v>133</v>
      </c>
      <c r="B233" s="1">
        <v>45870</v>
      </c>
      <c r="C233" s="1">
        <v>45870</v>
      </c>
      <c r="D233">
        <v>910557</v>
      </c>
      <c r="E233">
        <v>220</v>
      </c>
      <c r="F233" s="3" t="s">
        <v>226</v>
      </c>
      <c r="G233" s="4">
        <v>4285.5</v>
      </c>
      <c r="H233" s="4">
        <v>0</v>
      </c>
      <c r="I233" s="4">
        <v>-7538934.0999999996</v>
      </c>
    </row>
    <row r="234" spans="1:9" x14ac:dyDescent="0.3">
      <c r="A234" t="s">
        <v>133</v>
      </c>
      <c r="B234" s="1">
        <v>45870</v>
      </c>
      <c r="C234" s="1">
        <v>45870</v>
      </c>
      <c r="D234">
        <v>910558</v>
      </c>
      <c r="E234">
        <v>82</v>
      </c>
      <c r="F234" s="3">
        <v>5620820003518</v>
      </c>
      <c r="G234" s="4">
        <v>2588.75</v>
      </c>
      <c r="H234" s="4">
        <v>0</v>
      </c>
      <c r="I234" s="4">
        <v>-7536345.3499999996</v>
      </c>
    </row>
    <row r="235" spans="1:9" x14ac:dyDescent="0.3">
      <c r="A235" t="s">
        <v>133</v>
      </c>
      <c r="B235" s="1">
        <v>45870</v>
      </c>
      <c r="C235" s="1">
        <v>45870</v>
      </c>
      <c r="D235">
        <v>910559</v>
      </c>
      <c r="E235">
        <v>16</v>
      </c>
      <c r="F235" s="3" t="s">
        <v>227</v>
      </c>
      <c r="G235" s="4">
        <v>56425.75</v>
      </c>
      <c r="H235" s="4">
        <v>0</v>
      </c>
      <c r="I235" s="4">
        <v>-7479919.5999999996</v>
      </c>
    </row>
    <row r="236" spans="1:9" x14ac:dyDescent="0.3">
      <c r="A236" t="s">
        <v>133</v>
      </c>
      <c r="B236" s="1">
        <v>45870</v>
      </c>
      <c r="C236" s="1">
        <v>45870</v>
      </c>
      <c r="D236">
        <v>910561</v>
      </c>
      <c r="E236">
        <v>98</v>
      </c>
      <c r="F236" s="3" t="s">
        <v>228</v>
      </c>
      <c r="G236" s="4">
        <v>42114.25</v>
      </c>
      <c r="H236" s="4">
        <v>0</v>
      </c>
      <c r="I236" s="4">
        <v>-7437805.3499999996</v>
      </c>
    </row>
    <row r="237" spans="1:9" x14ac:dyDescent="0.3">
      <c r="A237" t="s">
        <v>133</v>
      </c>
      <c r="B237" s="1">
        <v>45870</v>
      </c>
      <c r="C237" s="1">
        <v>45870</v>
      </c>
      <c r="D237">
        <v>910562</v>
      </c>
      <c r="E237">
        <v>97</v>
      </c>
      <c r="F237" s="3" t="s">
        <v>229</v>
      </c>
      <c r="G237" s="4">
        <v>300000</v>
      </c>
      <c r="H237" s="4">
        <v>0</v>
      </c>
      <c r="I237" s="4">
        <v>-7137805.3499999996</v>
      </c>
    </row>
    <row r="238" spans="1:9" x14ac:dyDescent="0.3">
      <c r="A238" t="s">
        <v>133</v>
      </c>
      <c r="B238" s="1">
        <v>45870</v>
      </c>
      <c r="C238" s="1">
        <v>45870</v>
      </c>
      <c r="D238">
        <v>910564</v>
      </c>
      <c r="E238">
        <v>98</v>
      </c>
      <c r="F238" s="3" t="s">
        <v>230</v>
      </c>
      <c r="G238" s="4">
        <v>250000</v>
      </c>
      <c r="H238" s="4">
        <v>0</v>
      </c>
      <c r="I238" s="4">
        <v>-6887805.3499999996</v>
      </c>
    </row>
    <row r="239" spans="1:9" x14ac:dyDescent="0.3">
      <c r="A239" t="s">
        <v>133</v>
      </c>
      <c r="B239" s="1">
        <v>45870</v>
      </c>
      <c r="C239" s="1">
        <v>45870</v>
      </c>
      <c r="D239">
        <v>910566</v>
      </c>
      <c r="E239">
        <v>27</v>
      </c>
      <c r="F239" s="3" t="s">
        <v>231</v>
      </c>
      <c r="G239" s="4">
        <v>300000</v>
      </c>
      <c r="H239" s="4">
        <v>0</v>
      </c>
      <c r="I239" s="4">
        <v>-6587805.3499999996</v>
      </c>
    </row>
    <row r="240" spans="1:9" x14ac:dyDescent="0.3">
      <c r="A240" t="s">
        <v>133</v>
      </c>
      <c r="B240" s="1">
        <v>45870</v>
      </c>
      <c r="C240" s="1">
        <v>45870</v>
      </c>
      <c r="D240">
        <v>910567</v>
      </c>
      <c r="E240">
        <v>37</v>
      </c>
      <c r="F240" s="3" t="s">
        <v>232</v>
      </c>
      <c r="G240" s="4">
        <v>890000</v>
      </c>
      <c r="H240" s="4">
        <v>0</v>
      </c>
      <c r="I240" s="4">
        <v>-5697805.3499999996</v>
      </c>
    </row>
    <row r="241" spans="1:9" x14ac:dyDescent="0.3">
      <c r="A241" t="s">
        <v>133</v>
      </c>
      <c r="B241" s="1">
        <v>45870</v>
      </c>
      <c r="C241" s="1">
        <v>45870</v>
      </c>
      <c r="D241">
        <v>910568</v>
      </c>
      <c r="E241">
        <v>45</v>
      </c>
      <c r="F241" s="3" t="s">
        <v>233</v>
      </c>
      <c r="G241" s="4">
        <v>2452.25</v>
      </c>
      <c r="H241" s="4">
        <v>0</v>
      </c>
      <c r="I241" s="4">
        <v>-5695353.0999999996</v>
      </c>
    </row>
    <row r="242" spans="1:9" x14ac:dyDescent="0.3">
      <c r="A242" t="s">
        <v>133</v>
      </c>
      <c r="B242" s="1">
        <v>45870</v>
      </c>
      <c r="C242" s="1">
        <v>45870</v>
      </c>
      <c r="D242">
        <v>910569</v>
      </c>
      <c r="E242">
        <v>80</v>
      </c>
      <c r="F242" s="3" t="s">
        <v>234</v>
      </c>
      <c r="G242" s="4">
        <v>260000</v>
      </c>
      <c r="H242" s="4">
        <v>0</v>
      </c>
      <c r="I242" s="4">
        <v>-5435353.0999999996</v>
      </c>
    </row>
    <row r="243" spans="1:9" x14ac:dyDescent="0.3">
      <c r="A243" t="s">
        <v>133</v>
      </c>
      <c r="B243" s="1">
        <v>45870</v>
      </c>
      <c r="C243" s="1">
        <v>45870</v>
      </c>
      <c r="D243">
        <v>910571</v>
      </c>
      <c r="E243">
        <v>23</v>
      </c>
      <c r="F243" s="3" t="s">
        <v>235</v>
      </c>
      <c r="G243" s="4">
        <v>300000</v>
      </c>
      <c r="H243" s="4">
        <v>0</v>
      </c>
      <c r="I243" s="4">
        <v>-5135353.0999999996</v>
      </c>
    </row>
    <row r="244" spans="1:9" x14ac:dyDescent="0.3">
      <c r="A244" t="s">
        <v>133</v>
      </c>
      <c r="B244" s="1">
        <v>45870</v>
      </c>
      <c r="C244" s="1">
        <v>45870</v>
      </c>
      <c r="D244">
        <v>910573</v>
      </c>
      <c r="E244">
        <v>64</v>
      </c>
      <c r="F244" s="3" t="s">
        <v>236</v>
      </c>
      <c r="G244" s="4">
        <v>560260</v>
      </c>
      <c r="H244" s="4">
        <v>0</v>
      </c>
      <c r="I244" s="4">
        <v>-4575093.0999999996</v>
      </c>
    </row>
    <row r="245" spans="1:9" x14ac:dyDescent="0.3">
      <c r="A245" t="s">
        <v>133</v>
      </c>
      <c r="B245" s="1">
        <v>45870</v>
      </c>
      <c r="C245" s="1">
        <v>45870</v>
      </c>
      <c r="D245">
        <v>910575</v>
      </c>
      <c r="E245">
        <v>11</v>
      </c>
      <c r="F245" s="3" t="s">
        <v>237</v>
      </c>
      <c r="G245" s="4">
        <v>4995</v>
      </c>
      <c r="H245" s="4">
        <v>0</v>
      </c>
      <c r="I245" s="4">
        <v>-4570098.0999999996</v>
      </c>
    </row>
    <row r="246" spans="1:9" x14ac:dyDescent="0.3">
      <c r="A246" t="s">
        <v>133</v>
      </c>
      <c r="B246" s="1">
        <v>45870</v>
      </c>
      <c r="C246" s="1">
        <v>45870</v>
      </c>
      <c r="D246">
        <v>910583</v>
      </c>
      <c r="E246">
        <v>81</v>
      </c>
      <c r="F246" s="3" t="s">
        <v>238</v>
      </c>
      <c r="G246" s="4">
        <v>860000</v>
      </c>
      <c r="H246" s="4">
        <v>0</v>
      </c>
      <c r="I246" s="4">
        <v>-3710098.1</v>
      </c>
    </row>
    <row r="247" spans="1:9" x14ac:dyDescent="0.3">
      <c r="A247" t="s">
        <v>133</v>
      </c>
      <c r="B247" s="1">
        <v>45870</v>
      </c>
      <c r="C247" s="1">
        <v>45870</v>
      </c>
      <c r="D247">
        <v>910584</v>
      </c>
      <c r="E247">
        <v>72</v>
      </c>
      <c r="F247" s="3" t="s">
        <v>239</v>
      </c>
      <c r="G247" s="4">
        <v>370000</v>
      </c>
      <c r="H247" s="4">
        <v>0</v>
      </c>
      <c r="I247" s="4">
        <v>-3340098.1</v>
      </c>
    </row>
    <row r="248" spans="1:9" x14ac:dyDescent="0.3">
      <c r="A248" t="s">
        <v>133</v>
      </c>
      <c r="B248" s="1">
        <v>45870</v>
      </c>
      <c r="C248" s="1">
        <v>45870</v>
      </c>
      <c r="D248">
        <v>910586</v>
      </c>
      <c r="E248">
        <v>48</v>
      </c>
      <c r="F248" s="3" t="s">
        <v>240</v>
      </c>
      <c r="G248" s="4">
        <v>2000000</v>
      </c>
      <c r="H248" s="4">
        <v>0</v>
      </c>
      <c r="I248" s="4">
        <v>-1340098.1000000001</v>
      </c>
    </row>
    <row r="249" spans="1:9" x14ac:dyDescent="0.3">
      <c r="A249" t="s">
        <v>133</v>
      </c>
      <c r="B249" s="1">
        <v>45870</v>
      </c>
      <c r="C249" s="1">
        <v>45870</v>
      </c>
      <c r="D249">
        <v>910590</v>
      </c>
      <c r="E249">
        <v>61</v>
      </c>
      <c r="F249" s="3" t="s">
        <v>241</v>
      </c>
      <c r="G249" s="4">
        <v>260000</v>
      </c>
      <c r="H249" s="4">
        <v>0</v>
      </c>
      <c r="I249" s="4">
        <v>-1080098.1000000001</v>
      </c>
    </row>
    <row r="250" spans="1:9" x14ac:dyDescent="0.3">
      <c r="A250" t="s">
        <v>133</v>
      </c>
      <c r="B250" s="1">
        <v>45870</v>
      </c>
      <c r="C250" s="1">
        <v>45870</v>
      </c>
      <c r="D250">
        <v>910591</v>
      </c>
      <c r="E250">
        <v>78</v>
      </c>
      <c r="F250" s="3" t="s">
        <v>242</v>
      </c>
      <c r="G250" s="4">
        <v>60000</v>
      </c>
      <c r="H250" s="4">
        <v>0</v>
      </c>
      <c r="I250" s="4">
        <v>-1020098.1</v>
      </c>
    </row>
    <row r="251" spans="1:9" x14ac:dyDescent="0.3">
      <c r="A251" t="s">
        <v>133</v>
      </c>
      <c r="B251" s="1">
        <v>45870</v>
      </c>
      <c r="C251" s="1">
        <v>45870</v>
      </c>
      <c r="D251">
        <v>910593</v>
      </c>
      <c r="E251">
        <v>70</v>
      </c>
      <c r="F251" s="3" t="s">
        <v>243</v>
      </c>
      <c r="G251" s="4">
        <v>416000</v>
      </c>
      <c r="H251" s="4">
        <v>0</v>
      </c>
      <c r="I251" s="4">
        <v>-604098.1</v>
      </c>
    </row>
    <row r="252" spans="1:9" x14ac:dyDescent="0.3">
      <c r="A252" t="s">
        <v>133</v>
      </c>
      <c r="B252" s="1">
        <v>45870</v>
      </c>
      <c r="C252" s="1">
        <v>45870</v>
      </c>
      <c r="D252">
        <v>910595</v>
      </c>
      <c r="E252">
        <v>43</v>
      </c>
      <c r="F252" s="3" t="s">
        <v>244</v>
      </c>
      <c r="G252" s="4">
        <v>588036.75</v>
      </c>
      <c r="H252" s="4">
        <v>0</v>
      </c>
      <c r="I252" s="4">
        <v>-16061.35</v>
      </c>
    </row>
    <row r="253" spans="1:9" x14ac:dyDescent="0.3">
      <c r="A253" t="s">
        <v>133</v>
      </c>
      <c r="B253" s="1">
        <v>45870</v>
      </c>
      <c r="C253" s="1">
        <v>45870</v>
      </c>
      <c r="D253">
        <v>910597</v>
      </c>
      <c r="E253">
        <v>16</v>
      </c>
      <c r="F253" s="3" t="s">
        <v>245</v>
      </c>
      <c r="G253" s="4">
        <v>313947</v>
      </c>
      <c r="H253" s="4">
        <v>0</v>
      </c>
      <c r="I253" s="4">
        <v>297885.65000000002</v>
      </c>
    </row>
    <row r="254" spans="1:9" x14ac:dyDescent="0.3">
      <c r="A254" t="s">
        <v>133</v>
      </c>
      <c r="B254" s="1">
        <v>45870</v>
      </c>
      <c r="C254" s="1">
        <v>45870</v>
      </c>
      <c r="D254">
        <v>910598</v>
      </c>
      <c r="E254">
        <v>14</v>
      </c>
      <c r="F254" s="3" t="s">
        <v>246</v>
      </c>
      <c r="G254" s="4">
        <v>481662.5</v>
      </c>
      <c r="H254" s="4">
        <v>0</v>
      </c>
      <c r="I254" s="4">
        <v>779548.15</v>
      </c>
    </row>
    <row r="255" spans="1:9" x14ac:dyDescent="0.3">
      <c r="A255" t="s">
        <v>133</v>
      </c>
      <c r="B255" s="1">
        <v>45870</v>
      </c>
      <c r="C255" s="1">
        <v>45870</v>
      </c>
      <c r="D255">
        <v>910599</v>
      </c>
      <c r="E255">
        <v>14</v>
      </c>
      <c r="F255" s="3" t="s">
        <v>247</v>
      </c>
      <c r="G255" s="4">
        <v>200327.5</v>
      </c>
      <c r="H255" s="4">
        <v>0</v>
      </c>
      <c r="I255" s="4">
        <v>979875.65</v>
      </c>
    </row>
    <row r="256" spans="1:9" x14ac:dyDescent="0.3">
      <c r="A256" t="s">
        <v>133</v>
      </c>
      <c r="B256" s="1">
        <v>45870</v>
      </c>
      <c r="C256" s="1">
        <v>45870</v>
      </c>
      <c r="D256">
        <v>910600</v>
      </c>
      <c r="E256">
        <v>33</v>
      </c>
      <c r="F256" s="3" t="s">
        <v>248</v>
      </c>
      <c r="G256" s="4">
        <v>330000</v>
      </c>
      <c r="H256" s="4">
        <v>0</v>
      </c>
      <c r="I256" s="4">
        <v>1309875.6499999999</v>
      </c>
    </row>
    <row r="257" spans="1:9" x14ac:dyDescent="0.3">
      <c r="A257" t="s">
        <v>133</v>
      </c>
      <c r="B257" s="1">
        <v>45870</v>
      </c>
      <c r="C257" s="1">
        <v>45870</v>
      </c>
      <c r="D257">
        <v>910602</v>
      </c>
      <c r="E257">
        <v>14</v>
      </c>
      <c r="F257" s="3" t="s">
        <v>249</v>
      </c>
      <c r="G257" s="4">
        <v>383439.75</v>
      </c>
      <c r="H257" s="4">
        <v>0</v>
      </c>
      <c r="I257" s="4">
        <v>1693315.4</v>
      </c>
    </row>
    <row r="258" spans="1:9" x14ac:dyDescent="0.3">
      <c r="A258" t="s">
        <v>133</v>
      </c>
      <c r="B258" s="1">
        <v>45870</v>
      </c>
      <c r="C258" s="1">
        <v>45870</v>
      </c>
      <c r="D258">
        <v>910604</v>
      </c>
      <c r="E258">
        <v>351</v>
      </c>
      <c r="F258" s="3" t="s">
        <v>250</v>
      </c>
      <c r="G258" s="4">
        <v>9026.25</v>
      </c>
      <c r="H258" s="4">
        <v>0</v>
      </c>
      <c r="I258" s="4">
        <v>1702341.65</v>
      </c>
    </row>
    <row r="259" spans="1:9" x14ac:dyDescent="0.3">
      <c r="A259" t="s">
        <v>133</v>
      </c>
      <c r="B259" s="1">
        <v>45870</v>
      </c>
      <c r="C259" s="1">
        <v>45870</v>
      </c>
      <c r="D259">
        <v>910605</v>
      </c>
      <c r="E259">
        <v>351</v>
      </c>
      <c r="F259" s="3" t="s">
        <v>251</v>
      </c>
      <c r="G259" s="4">
        <v>47178.75</v>
      </c>
      <c r="H259" s="4">
        <v>0</v>
      </c>
      <c r="I259" s="4">
        <v>1749520.4</v>
      </c>
    </row>
    <row r="260" spans="1:9" x14ac:dyDescent="0.3">
      <c r="A260" t="s">
        <v>133</v>
      </c>
      <c r="B260" s="1">
        <v>45870</v>
      </c>
      <c r="C260" s="1">
        <v>45870</v>
      </c>
      <c r="D260">
        <v>910607</v>
      </c>
      <c r="E260">
        <v>72</v>
      </c>
      <c r="F260" s="3" t="s">
        <v>252</v>
      </c>
      <c r="G260" s="4">
        <v>8200</v>
      </c>
      <c r="H260" s="4">
        <v>0</v>
      </c>
      <c r="I260" s="4">
        <v>1757720.4</v>
      </c>
    </row>
    <row r="261" spans="1:9" x14ac:dyDescent="0.3">
      <c r="A261" t="s">
        <v>133</v>
      </c>
      <c r="B261" s="1">
        <v>45870</v>
      </c>
      <c r="C261" s="1">
        <v>45870</v>
      </c>
      <c r="D261">
        <v>910609</v>
      </c>
      <c r="E261">
        <v>79</v>
      </c>
      <c r="F261" s="3" t="s">
        <v>253</v>
      </c>
      <c r="G261" s="4">
        <v>560000</v>
      </c>
      <c r="H261" s="4">
        <v>0</v>
      </c>
      <c r="I261" s="4">
        <v>2317720.4</v>
      </c>
    </row>
    <row r="262" spans="1:9" x14ac:dyDescent="0.3">
      <c r="A262" t="s">
        <v>133</v>
      </c>
      <c r="B262" s="1">
        <v>45870</v>
      </c>
      <c r="C262" s="1">
        <v>45870</v>
      </c>
      <c r="D262">
        <v>910611</v>
      </c>
      <c r="E262">
        <v>11</v>
      </c>
      <c r="F262" s="3" t="s">
        <v>254</v>
      </c>
      <c r="G262" s="4">
        <v>27428</v>
      </c>
      <c r="H262" s="4">
        <v>0</v>
      </c>
      <c r="I262" s="4">
        <v>2345148.4</v>
      </c>
    </row>
    <row r="263" spans="1:9" x14ac:dyDescent="0.3">
      <c r="A263" t="s">
        <v>133</v>
      </c>
      <c r="B263" s="1">
        <v>45870</v>
      </c>
      <c r="C263" s="1">
        <v>45870</v>
      </c>
      <c r="D263">
        <v>910612</v>
      </c>
      <c r="E263">
        <v>210</v>
      </c>
      <c r="F263" s="3" t="s">
        <v>255</v>
      </c>
      <c r="G263" s="4">
        <v>420050</v>
      </c>
      <c r="H263" s="4">
        <v>0</v>
      </c>
      <c r="I263" s="4">
        <v>2765198.4</v>
      </c>
    </row>
    <row r="264" spans="1:9" x14ac:dyDescent="0.3">
      <c r="A264" t="s">
        <v>133</v>
      </c>
      <c r="B264" s="1">
        <v>45870</v>
      </c>
      <c r="C264" s="1">
        <v>45870</v>
      </c>
      <c r="D264">
        <v>910615</v>
      </c>
      <c r="E264">
        <v>28</v>
      </c>
      <c r="F264" s="3" t="s">
        <v>256</v>
      </c>
      <c r="G264" s="4">
        <v>73560.5</v>
      </c>
      <c r="H264" s="4">
        <v>0</v>
      </c>
      <c r="I264" s="4">
        <v>2838758.9</v>
      </c>
    </row>
    <row r="265" spans="1:9" x14ac:dyDescent="0.3">
      <c r="A265" t="s">
        <v>133</v>
      </c>
      <c r="B265" s="1">
        <v>45870</v>
      </c>
      <c r="C265" s="1">
        <v>45870</v>
      </c>
      <c r="D265">
        <v>910617</v>
      </c>
      <c r="E265">
        <v>28</v>
      </c>
      <c r="F265" s="3" t="s">
        <v>257</v>
      </c>
      <c r="G265" s="4">
        <v>150000</v>
      </c>
      <c r="H265" s="4">
        <v>0</v>
      </c>
      <c r="I265" s="4">
        <v>2988758.9</v>
      </c>
    </row>
    <row r="266" spans="1:9" x14ac:dyDescent="0.3">
      <c r="A266" t="s">
        <v>133</v>
      </c>
      <c r="B266" s="1">
        <v>45870</v>
      </c>
      <c r="C266" s="1">
        <v>45870</v>
      </c>
      <c r="D266">
        <v>910624</v>
      </c>
      <c r="E266">
        <v>15</v>
      </c>
      <c r="F266" s="3" t="s">
        <v>258</v>
      </c>
      <c r="G266" s="4">
        <v>82933.5</v>
      </c>
      <c r="H266" s="4">
        <v>0</v>
      </c>
      <c r="I266" s="4">
        <v>3071692.4</v>
      </c>
    </row>
    <row r="267" spans="1:9" x14ac:dyDescent="0.3">
      <c r="A267" t="s">
        <v>133</v>
      </c>
      <c r="B267" s="1">
        <v>45870</v>
      </c>
      <c r="C267" s="1">
        <v>45870</v>
      </c>
      <c r="D267">
        <v>910626</v>
      </c>
      <c r="E267">
        <v>28</v>
      </c>
      <c r="F267" s="3" t="s">
        <v>259</v>
      </c>
      <c r="G267" s="4">
        <v>260000</v>
      </c>
      <c r="H267" s="4">
        <v>0</v>
      </c>
      <c r="I267" s="4">
        <v>3331692.4</v>
      </c>
    </row>
    <row r="268" spans="1:9" x14ac:dyDescent="0.3">
      <c r="A268" t="s">
        <v>1</v>
      </c>
      <c r="B268" s="1">
        <v>44921</v>
      </c>
      <c r="C268" s="1">
        <v>45871</v>
      </c>
      <c r="D268">
        <v>100177</v>
      </c>
      <c r="E268">
        <v>100</v>
      </c>
      <c r="F268" s="3" t="s">
        <v>260</v>
      </c>
      <c r="G268" s="4">
        <v>433.75</v>
      </c>
      <c r="I268" s="4">
        <v>3332126.15</v>
      </c>
    </row>
    <row r="269" spans="1:9" x14ac:dyDescent="0.3">
      <c r="A269" t="s">
        <v>1</v>
      </c>
      <c r="B269" s="1">
        <v>45827</v>
      </c>
      <c r="C269" s="1">
        <v>45871</v>
      </c>
      <c r="D269">
        <v>100178</v>
      </c>
      <c r="E269">
        <v>100</v>
      </c>
      <c r="F269" s="3" t="s">
        <v>261</v>
      </c>
      <c r="G269" s="4">
        <v>5.25</v>
      </c>
      <c r="I269" s="4">
        <v>3332131.4</v>
      </c>
    </row>
    <row r="270" spans="1:9" x14ac:dyDescent="0.3">
      <c r="A270" t="s">
        <v>1</v>
      </c>
      <c r="B270" s="1">
        <v>45124</v>
      </c>
      <c r="C270" s="1">
        <v>45871</v>
      </c>
      <c r="D270">
        <v>100179</v>
      </c>
      <c r="E270">
        <v>100</v>
      </c>
      <c r="F270" s="3" t="s">
        <v>262</v>
      </c>
      <c r="G270" s="4">
        <v>52.5</v>
      </c>
      <c r="I270" s="4">
        <v>3332183.9</v>
      </c>
    </row>
    <row r="271" spans="1:9" x14ac:dyDescent="0.3">
      <c r="A271" t="s">
        <v>1</v>
      </c>
      <c r="B271" s="1">
        <v>45708</v>
      </c>
      <c r="C271" s="1">
        <v>45871</v>
      </c>
      <c r="D271">
        <v>100180</v>
      </c>
      <c r="E271">
        <v>100</v>
      </c>
      <c r="F271" s="3" t="s">
        <v>263</v>
      </c>
      <c r="G271" s="4">
        <v>2812.75</v>
      </c>
      <c r="I271" s="4">
        <v>3334996.65</v>
      </c>
    </row>
    <row r="272" spans="1:9" x14ac:dyDescent="0.3">
      <c r="A272" t="s">
        <v>1</v>
      </c>
      <c r="B272" s="1">
        <v>45820</v>
      </c>
      <c r="C272" s="1">
        <v>45871</v>
      </c>
      <c r="D272">
        <v>100181</v>
      </c>
      <c r="E272">
        <v>100</v>
      </c>
      <c r="F272" s="3" t="s">
        <v>264</v>
      </c>
      <c r="G272" s="4">
        <v>40</v>
      </c>
      <c r="I272" s="4">
        <v>3335036.65</v>
      </c>
    </row>
    <row r="273" spans="1:9" x14ac:dyDescent="0.3">
      <c r="A273" t="s">
        <v>1</v>
      </c>
      <c r="B273" s="1">
        <v>45272</v>
      </c>
      <c r="C273" s="1">
        <v>45871</v>
      </c>
      <c r="D273">
        <v>100182</v>
      </c>
      <c r="E273">
        <v>100</v>
      </c>
      <c r="F273" s="3" t="s">
        <v>265</v>
      </c>
      <c r="G273" s="4">
        <v>25.51</v>
      </c>
      <c r="I273" s="4">
        <v>3335062.16</v>
      </c>
    </row>
    <row r="274" spans="1:9" x14ac:dyDescent="0.3">
      <c r="A274" t="s">
        <v>1</v>
      </c>
      <c r="B274" s="1">
        <v>45357</v>
      </c>
      <c r="C274" s="1">
        <v>45871</v>
      </c>
      <c r="D274">
        <v>100183</v>
      </c>
      <c r="E274">
        <v>100</v>
      </c>
      <c r="F274" s="3" t="s">
        <v>266</v>
      </c>
      <c r="G274" s="4">
        <v>32</v>
      </c>
      <c r="I274" s="4">
        <v>3335094.16</v>
      </c>
    </row>
    <row r="275" spans="1:9" x14ac:dyDescent="0.3">
      <c r="A275" t="s">
        <v>1</v>
      </c>
      <c r="B275" s="1">
        <v>45820</v>
      </c>
      <c r="C275" s="1">
        <v>45871</v>
      </c>
      <c r="D275">
        <v>100184</v>
      </c>
      <c r="E275">
        <v>100</v>
      </c>
      <c r="F275" s="3" t="s">
        <v>26</v>
      </c>
      <c r="G275" s="4">
        <v>26.5</v>
      </c>
      <c r="I275" s="4">
        <v>3335120.66</v>
      </c>
    </row>
    <row r="276" spans="1:9" x14ac:dyDescent="0.3">
      <c r="A276" t="s">
        <v>1</v>
      </c>
      <c r="B276" s="1">
        <v>45446</v>
      </c>
      <c r="C276" s="1">
        <v>45871</v>
      </c>
      <c r="D276">
        <v>100185</v>
      </c>
      <c r="E276">
        <v>100</v>
      </c>
      <c r="F276" s="3" t="s">
        <v>267</v>
      </c>
      <c r="G276" s="4">
        <v>100</v>
      </c>
      <c r="I276" s="4">
        <v>3335220.66</v>
      </c>
    </row>
    <row r="277" spans="1:9" x14ac:dyDescent="0.3">
      <c r="A277" t="s">
        <v>1</v>
      </c>
      <c r="B277" s="1">
        <v>45533</v>
      </c>
      <c r="C277" s="1">
        <v>45871</v>
      </c>
      <c r="D277">
        <v>100186</v>
      </c>
      <c r="E277">
        <v>100</v>
      </c>
      <c r="F277" s="3" t="s">
        <v>268</v>
      </c>
      <c r="G277" s="4">
        <v>30.03</v>
      </c>
      <c r="I277" s="4">
        <v>3335250.69</v>
      </c>
    </row>
    <row r="278" spans="1:9" x14ac:dyDescent="0.3">
      <c r="A278" t="s">
        <v>1</v>
      </c>
      <c r="B278" s="1">
        <v>45618</v>
      </c>
      <c r="C278" s="1">
        <v>45871</v>
      </c>
      <c r="D278">
        <v>100187</v>
      </c>
      <c r="E278">
        <v>100</v>
      </c>
      <c r="F278" s="3" t="s">
        <v>269</v>
      </c>
      <c r="G278" s="4">
        <v>250</v>
      </c>
      <c r="I278" s="4">
        <v>3335500.69</v>
      </c>
    </row>
    <row r="279" spans="1:9" x14ac:dyDescent="0.3">
      <c r="A279" t="s">
        <v>1</v>
      </c>
      <c r="B279" s="1">
        <v>45811</v>
      </c>
      <c r="C279" s="1">
        <v>45871</v>
      </c>
      <c r="D279">
        <v>100188</v>
      </c>
      <c r="E279">
        <v>100</v>
      </c>
      <c r="F279" s="3" t="s">
        <v>270</v>
      </c>
      <c r="G279" s="4">
        <v>1575</v>
      </c>
      <c r="I279" s="4">
        <v>3337075.69</v>
      </c>
    </row>
    <row r="280" spans="1:9" x14ac:dyDescent="0.3">
      <c r="A280" t="s">
        <v>1</v>
      </c>
      <c r="B280" s="1">
        <v>45811</v>
      </c>
      <c r="C280" s="1">
        <v>45871</v>
      </c>
      <c r="D280">
        <v>100190</v>
      </c>
      <c r="E280">
        <v>100</v>
      </c>
      <c r="F280" s="3" t="s">
        <v>271</v>
      </c>
      <c r="G280" s="4">
        <v>514.5</v>
      </c>
      <c r="I280" s="4">
        <v>3337590.19</v>
      </c>
    </row>
    <row r="281" spans="1:9" x14ac:dyDescent="0.3">
      <c r="A281" t="s">
        <v>1</v>
      </c>
      <c r="B281" s="1">
        <v>45810</v>
      </c>
      <c r="C281" s="1">
        <v>45871</v>
      </c>
      <c r="D281">
        <v>100191</v>
      </c>
      <c r="E281">
        <v>100</v>
      </c>
      <c r="F281" s="3" t="s">
        <v>272</v>
      </c>
      <c r="G281" s="4">
        <v>262.5</v>
      </c>
      <c r="I281" s="4">
        <v>3337852.69</v>
      </c>
    </row>
    <row r="282" spans="1:9" x14ac:dyDescent="0.3">
      <c r="A282" t="s">
        <v>1</v>
      </c>
      <c r="B282" s="1">
        <v>45637</v>
      </c>
      <c r="C282" s="1">
        <v>45871</v>
      </c>
      <c r="D282">
        <v>100192</v>
      </c>
      <c r="E282">
        <v>100</v>
      </c>
      <c r="F282" s="3" t="s">
        <v>273</v>
      </c>
      <c r="G282" s="4">
        <v>126</v>
      </c>
      <c r="I282" s="4">
        <v>3337978.69</v>
      </c>
    </row>
    <row r="283" spans="1:9" x14ac:dyDescent="0.3">
      <c r="A283" t="s">
        <v>1</v>
      </c>
      <c r="B283" s="1">
        <v>45808</v>
      </c>
      <c r="C283" s="1">
        <v>45871</v>
      </c>
      <c r="D283">
        <v>100193</v>
      </c>
      <c r="E283">
        <v>100</v>
      </c>
      <c r="F283" s="3" t="s">
        <v>274</v>
      </c>
      <c r="G283" s="4">
        <v>525</v>
      </c>
      <c r="I283" s="4">
        <v>3338503.69</v>
      </c>
    </row>
    <row r="284" spans="1:9" x14ac:dyDescent="0.3">
      <c r="A284" t="s">
        <v>1</v>
      </c>
      <c r="B284" s="1">
        <v>45806</v>
      </c>
      <c r="C284" s="1">
        <v>45871</v>
      </c>
      <c r="D284">
        <v>100195</v>
      </c>
      <c r="E284">
        <v>100</v>
      </c>
      <c r="F284" s="3" t="s">
        <v>275</v>
      </c>
      <c r="G284" s="4">
        <v>262.5</v>
      </c>
      <c r="I284" s="4">
        <v>3338766.19</v>
      </c>
    </row>
    <row r="285" spans="1:9" x14ac:dyDescent="0.3">
      <c r="A285" t="s">
        <v>1</v>
      </c>
      <c r="B285" s="1">
        <v>45801</v>
      </c>
      <c r="C285" s="1">
        <v>45871</v>
      </c>
      <c r="D285">
        <v>100196</v>
      </c>
      <c r="E285">
        <v>100</v>
      </c>
      <c r="F285" s="3" t="s">
        <v>276</v>
      </c>
      <c r="G285" s="4">
        <v>25</v>
      </c>
      <c r="I285" s="4">
        <v>3338791.19</v>
      </c>
    </row>
    <row r="286" spans="1:9" x14ac:dyDescent="0.3">
      <c r="A286" t="s">
        <v>1</v>
      </c>
      <c r="B286" s="1">
        <v>45870</v>
      </c>
      <c r="C286" s="1">
        <v>45871</v>
      </c>
      <c r="D286">
        <v>101272</v>
      </c>
      <c r="E286">
        <v>100</v>
      </c>
      <c r="F286" s="3" t="s">
        <v>277</v>
      </c>
      <c r="G286" s="4">
        <v>40026.25</v>
      </c>
      <c r="I286" s="4">
        <v>3378817.44</v>
      </c>
    </row>
    <row r="287" spans="1:9" x14ac:dyDescent="0.3">
      <c r="A287" t="s">
        <v>1</v>
      </c>
      <c r="B287" s="1">
        <v>45870</v>
      </c>
      <c r="C287" s="1">
        <v>45871</v>
      </c>
      <c r="D287">
        <v>101414</v>
      </c>
      <c r="E287">
        <v>100</v>
      </c>
      <c r="F287" s="3" t="s">
        <v>278</v>
      </c>
      <c r="G287" s="4">
        <v>17380</v>
      </c>
      <c r="I287" s="4">
        <v>3396197.44</v>
      </c>
    </row>
    <row r="288" spans="1:9" x14ac:dyDescent="0.3">
      <c r="A288" t="s">
        <v>1</v>
      </c>
      <c r="B288" s="1">
        <v>45870</v>
      </c>
      <c r="C288" s="1">
        <v>45871</v>
      </c>
      <c r="D288">
        <v>101447</v>
      </c>
      <c r="E288">
        <v>100</v>
      </c>
      <c r="F288" s="3" t="s">
        <v>279</v>
      </c>
      <c r="G288" s="4">
        <v>11026.5</v>
      </c>
      <c r="I288" s="4">
        <v>3407223.94</v>
      </c>
    </row>
    <row r="289" spans="1:9" x14ac:dyDescent="0.3">
      <c r="A289" t="s">
        <v>1</v>
      </c>
      <c r="B289" s="1">
        <v>45870</v>
      </c>
      <c r="C289" s="1">
        <v>45871</v>
      </c>
      <c r="D289">
        <v>101474</v>
      </c>
      <c r="E289">
        <v>100</v>
      </c>
      <c r="F289" s="3" t="s">
        <v>280</v>
      </c>
      <c r="G289" s="4">
        <v>16550.5</v>
      </c>
      <c r="I289" s="4">
        <v>3423774.44</v>
      </c>
    </row>
    <row r="290" spans="1:9" x14ac:dyDescent="0.3">
      <c r="A290" t="s">
        <v>1</v>
      </c>
      <c r="B290" s="1">
        <v>45870</v>
      </c>
      <c r="C290" s="1">
        <v>45871</v>
      </c>
      <c r="D290">
        <v>101476</v>
      </c>
      <c r="E290">
        <v>100</v>
      </c>
      <c r="F290" s="3" t="s">
        <v>281</v>
      </c>
      <c r="G290" s="4">
        <v>25656.6</v>
      </c>
      <c r="I290" s="4">
        <v>3449431.04</v>
      </c>
    </row>
    <row r="291" spans="1:9" x14ac:dyDescent="0.3">
      <c r="A291" t="s">
        <v>1</v>
      </c>
      <c r="B291" s="1">
        <v>45870</v>
      </c>
      <c r="C291" s="1">
        <v>45871</v>
      </c>
      <c r="D291">
        <v>101482</v>
      </c>
      <c r="E291">
        <v>100</v>
      </c>
      <c r="F291" s="3" t="s">
        <v>15</v>
      </c>
      <c r="G291" s="4">
        <v>26936.75</v>
      </c>
      <c r="I291" s="4">
        <v>3476367.79</v>
      </c>
    </row>
    <row r="292" spans="1:9" x14ac:dyDescent="0.3">
      <c r="A292" t="s">
        <v>1</v>
      </c>
      <c r="B292" s="1">
        <v>45870</v>
      </c>
      <c r="C292" s="1">
        <v>45871</v>
      </c>
      <c r="D292">
        <v>101483</v>
      </c>
      <c r="E292">
        <v>100</v>
      </c>
      <c r="F292" s="3" t="s">
        <v>282</v>
      </c>
      <c r="G292" s="4">
        <v>56269.4</v>
      </c>
      <c r="I292" s="4">
        <v>3532637.19</v>
      </c>
    </row>
    <row r="293" spans="1:9" x14ac:dyDescent="0.3">
      <c r="A293" t="s">
        <v>1</v>
      </c>
      <c r="B293" s="1">
        <v>45870</v>
      </c>
      <c r="C293" s="1">
        <v>45871</v>
      </c>
      <c r="D293">
        <v>101484</v>
      </c>
      <c r="E293">
        <v>100</v>
      </c>
      <c r="F293" s="3" t="s">
        <v>283</v>
      </c>
      <c r="G293" s="4">
        <v>9330.2000000000007</v>
      </c>
      <c r="I293" s="4">
        <v>3541967.39</v>
      </c>
    </row>
    <row r="294" spans="1:9" x14ac:dyDescent="0.3">
      <c r="A294" t="s">
        <v>1</v>
      </c>
      <c r="B294" s="1">
        <v>45867</v>
      </c>
      <c r="C294" s="1">
        <v>45871</v>
      </c>
      <c r="D294">
        <v>101485</v>
      </c>
      <c r="E294">
        <v>100</v>
      </c>
      <c r="F294" s="3" t="s">
        <v>284</v>
      </c>
      <c r="G294" s="4">
        <v>7005.25</v>
      </c>
      <c r="I294" s="4">
        <v>3548972.64</v>
      </c>
    </row>
    <row r="295" spans="1:9" x14ac:dyDescent="0.3">
      <c r="A295" t="s">
        <v>1</v>
      </c>
      <c r="B295" s="1">
        <v>45870</v>
      </c>
      <c r="C295" s="1">
        <v>45871</v>
      </c>
      <c r="D295">
        <v>101496</v>
      </c>
      <c r="E295">
        <v>100</v>
      </c>
      <c r="F295" s="3" t="s">
        <v>285</v>
      </c>
      <c r="G295" s="4">
        <v>89314.33</v>
      </c>
      <c r="I295" s="4">
        <v>3638286.97</v>
      </c>
    </row>
    <row r="296" spans="1:9" x14ac:dyDescent="0.3">
      <c r="A296" t="s">
        <v>1</v>
      </c>
      <c r="B296" s="1">
        <v>45870</v>
      </c>
      <c r="C296" s="1">
        <v>45871</v>
      </c>
      <c r="D296">
        <v>101500</v>
      </c>
      <c r="E296">
        <v>100</v>
      </c>
      <c r="F296" s="3" t="s">
        <v>58</v>
      </c>
      <c r="G296" s="4">
        <v>50003.67</v>
      </c>
      <c r="I296" s="4">
        <v>3688290.64</v>
      </c>
    </row>
    <row r="297" spans="1:9" x14ac:dyDescent="0.3">
      <c r="A297" t="s">
        <v>1</v>
      </c>
      <c r="B297" s="1">
        <v>45870</v>
      </c>
      <c r="C297" s="1">
        <v>45871</v>
      </c>
      <c r="D297">
        <v>101501</v>
      </c>
      <c r="E297">
        <v>100</v>
      </c>
      <c r="F297" s="3" t="s">
        <v>286</v>
      </c>
      <c r="G297" s="4">
        <v>41606.120000000003</v>
      </c>
      <c r="I297" s="4">
        <v>3729896.76</v>
      </c>
    </row>
    <row r="298" spans="1:9" x14ac:dyDescent="0.3">
      <c r="A298" t="s">
        <v>1</v>
      </c>
      <c r="B298" s="1">
        <v>45870</v>
      </c>
      <c r="C298" s="1">
        <v>45871</v>
      </c>
      <c r="D298">
        <v>101502</v>
      </c>
      <c r="E298">
        <v>100</v>
      </c>
      <c r="F298" s="3" t="s">
        <v>287</v>
      </c>
      <c r="G298" s="4">
        <v>315901.46999999997</v>
      </c>
      <c r="I298" s="4">
        <v>4045798.23</v>
      </c>
    </row>
    <row r="299" spans="1:9" x14ac:dyDescent="0.3">
      <c r="A299" t="s">
        <v>1</v>
      </c>
      <c r="B299" s="1">
        <v>45870</v>
      </c>
      <c r="C299" s="1">
        <v>45871</v>
      </c>
      <c r="D299">
        <v>101503</v>
      </c>
      <c r="E299">
        <v>100</v>
      </c>
      <c r="F299" s="3" t="s">
        <v>288</v>
      </c>
      <c r="G299" s="4">
        <v>127200.75</v>
      </c>
      <c r="I299" s="4">
        <v>4172998.98</v>
      </c>
    </row>
    <row r="300" spans="1:9" x14ac:dyDescent="0.3">
      <c r="A300" t="s">
        <v>1</v>
      </c>
      <c r="B300" s="1">
        <v>45870</v>
      </c>
      <c r="C300" s="1">
        <v>45871</v>
      </c>
      <c r="D300">
        <v>101509</v>
      </c>
      <c r="E300">
        <v>100</v>
      </c>
      <c r="F300" s="3" t="s">
        <v>289</v>
      </c>
      <c r="G300" s="4">
        <v>6130</v>
      </c>
      <c r="I300" s="4">
        <v>4179128.98</v>
      </c>
    </row>
    <row r="301" spans="1:9" x14ac:dyDescent="0.3">
      <c r="A301" t="s">
        <v>1</v>
      </c>
      <c r="B301" s="1">
        <v>45870</v>
      </c>
      <c r="C301" s="1">
        <v>45871</v>
      </c>
      <c r="D301">
        <v>101510</v>
      </c>
      <c r="E301">
        <v>100</v>
      </c>
      <c r="F301" s="3" t="s">
        <v>290</v>
      </c>
      <c r="G301" s="4">
        <v>400</v>
      </c>
      <c r="I301" s="4">
        <v>4179528.98</v>
      </c>
    </row>
    <row r="302" spans="1:9" x14ac:dyDescent="0.3">
      <c r="A302" t="s">
        <v>1</v>
      </c>
      <c r="B302" s="1">
        <v>45870</v>
      </c>
      <c r="C302" s="1">
        <v>45871</v>
      </c>
      <c r="D302">
        <v>101511</v>
      </c>
      <c r="E302">
        <v>100</v>
      </c>
      <c r="F302" s="3" t="s">
        <v>291</v>
      </c>
      <c r="G302" s="4">
        <v>9452.5</v>
      </c>
      <c r="I302" s="4">
        <v>4188981.48</v>
      </c>
    </row>
    <row r="303" spans="1:9" x14ac:dyDescent="0.3">
      <c r="A303" t="s">
        <v>1</v>
      </c>
      <c r="B303" s="1">
        <v>45870</v>
      </c>
      <c r="C303" s="1">
        <v>45871</v>
      </c>
      <c r="D303">
        <v>101512</v>
      </c>
      <c r="E303">
        <v>100</v>
      </c>
      <c r="F303" s="3" t="s">
        <v>292</v>
      </c>
      <c r="G303" s="4">
        <v>1800</v>
      </c>
      <c r="I303" s="4">
        <v>4190781.48</v>
      </c>
    </row>
    <row r="304" spans="1:9" x14ac:dyDescent="0.3">
      <c r="A304" t="s">
        <v>1</v>
      </c>
      <c r="B304" s="1">
        <v>45870</v>
      </c>
      <c r="C304" s="1">
        <v>45871</v>
      </c>
      <c r="D304">
        <v>101519</v>
      </c>
      <c r="E304">
        <v>100</v>
      </c>
      <c r="F304" s="3" t="s">
        <v>293</v>
      </c>
      <c r="G304" s="4">
        <v>2400</v>
      </c>
      <c r="I304" s="4">
        <v>4193181.48</v>
      </c>
    </row>
    <row r="305" spans="1:9" x14ac:dyDescent="0.3">
      <c r="A305" t="s">
        <v>1</v>
      </c>
      <c r="B305" s="1">
        <v>45870</v>
      </c>
      <c r="C305" s="1">
        <v>45871</v>
      </c>
      <c r="D305">
        <v>101522</v>
      </c>
      <c r="E305">
        <v>100</v>
      </c>
      <c r="F305" s="3" t="s">
        <v>294</v>
      </c>
      <c r="G305" s="4">
        <v>51500</v>
      </c>
      <c r="I305" s="4">
        <v>4244681.4800000004</v>
      </c>
    </row>
    <row r="306" spans="1:9" x14ac:dyDescent="0.3">
      <c r="A306" t="s">
        <v>1</v>
      </c>
      <c r="B306" s="1">
        <v>45870</v>
      </c>
      <c r="C306" s="1">
        <v>45871</v>
      </c>
      <c r="D306">
        <v>101525</v>
      </c>
      <c r="E306">
        <v>100</v>
      </c>
      <c r="F306" s="3" t="s">
        <v>295</v>
      </c>
      <c r="G306" s="4">
        <v>31000</v>
      </c>
      <c r="I306" s="4">
        <v>4275681.4800000004</v>
      </c>
    </row>
    <row r="307" spans="1:9" x14ac:dyDescent="0.3">
      <c r="A307" t="s">
        <v>1</v>
      </c>
      <c r="B307" s="1">
        <v>45870</v>
      </c>
      <c r="C307" s="1">
        <v>45871</v>
      </c>
      <c r="D307">
        <v>101526</v>
      </c>
      <c r="E307">
        <v>100</v>
      </c>
      <c r="F307" s="3" t="s">
        <v>296</v>
      </c>
      <c r="G307" s="4">
        <v>16448</v>
      </c>
      <c r="I307" s="4">
        <v>4292129.4800000004</v>
      </c>
    </row>
    <row r="308" spans="1:9" x14ac:dyDescent="0.3">
      <c r="A308" t="s">
        <v>1</v>
      </c>
      <c r="B308" s="1">
        <v>45870</v>
      </c>
      <c r="C308" s="1">
        <v>45871</v>
      </c>
      <c r="D308">
        <v>101533</v>
      </c>
      <c r="E308">
        <v>100</v>
      </c>
      <c r="F308" s="3" t="s">
        <v>297</v>
      </c>
      <c r="G308" s="4">
        <v>19798.009999999998</v>
      </c>
      <c r="I308" s="4">
        <v>4311927.49</v>
      </c>
    </row>
    <row r="309" spans="1:9" x14ac:dyDescent="0.3">
      <c r="A309" t="s">
        <v>1</v>
      </c>
      <c r="B309" s="1">
        <v>45870</v>
      </c>
      <c r="C309" s="1">
        <v>45871</v>
      </c>
      <c r="D309">
        <v>101534</v>
      </c>
      <c r="E309">
        <v>100</v>
      </c>
      <c r="F309" s="3" t="s">
        <v>298</v>
      </c>
      <c r="G309" s="4">
        <v>9526.25</v>
      </c>
      <c r="I309" s="4">
        <v>4321453.74</v>
      </c>
    </row>
    <row r="310" spans="1:9" x14ac:dyDescent="0.3">
      <c r="A310" t="s">
        <v>1</v>
      </c>
      <c r="B310" s="1">
        <v>45870</v>
      </c>
      <c r="C310" s="1">
        <v>45871</v>
      </c>
      <c r="D310">
        <v>101536</v>
      </c>
      <c r="E310">
        <v>100</v>
      </c>
      <c r="F310" s="3" t="s">
        <v>299</v>
      </c>
      <c r="G310" s="4">
        <v>12700</v>
      </c>
      <c r="I310" s="4">
        <v>4334153.74</v>
      </c>
    </row>
    <row r="311" spans="1:9" x14ac:dyDescent="0.3">
      <c r="A311" t="s">
        <v>1</v>
      </c>
      <c r="B311" s="1">
        <v>45870</v>
      </c>
      <c r="C311" s="1">
        <v>45871</v>
      </c>
      <c r="D311">
        <v>101542</v>
      </c>
      <c r="E311">
        <v>100</v>
      </c>
      <c r="F311" s="3" t="s">
        <v>300</v>
      </c>
      <c r="G311" s="4">
        <v>279933.75</v>
      </c>
      <c r="I311" s="4">
        <v>4614087.49</v>
      </c>
    </row>
    <row r="312" spans="1:9" x14ac:dyDescent="0.3">
      <c r="A312" t="s">
        <v>1</v>
      </c>
      <c r="B312" s="1">
        <v>45870</v>
      </c>
      <c r="C312" s="1">
        <v>45871</v>
      </c>
      <c r="D312">
        <v>101543</v>
      </c>
      <c r="E312">
        <v>100</v>
      </c>
      <c r="F312" s="3" t="s">
        <v>301</v>
      </c>
      <c r="G312" s="4">
        <v>48197.25</v>
      </c>
      <c r="I312" s="4">
        <v>4662284.74</v>
      </c>
    </row>
    <row r="313" spans="1:9" x14ac:dyDescent="0.3">
      <c r="A313" t="s">
        <v>1</v>
      </c>
      <c r="B313" s="1">
        <v>45871</v>
      </c>
      <c r="C313" s="1">
        <v>45871</v>
      </c>
      <c r="D313">
        <v>101544</v>
      </c>
      <c r="E313">
        <v>100</v>
      </c>
      <c r="F313" s="3" t="s">
        <v>14</v>
      </c>
      <c r="G313" s="4">
        <v>73951</v>
      </c>
      <c r="I313" s="4">
        <v>4736235.74</v>
      </c>
    </row>
    <row r="314" spans="1:9" x14ac:dyDescent="0.3">
      <c r="A314" t="s">
        <v>1</v>
      </c>
      <c r="B314" s="1">
        <v>45871</v>
      </c>
      <c r="C314" s="1">
        <v>45871</v>
      </c>
      <c r="D314">
        <v>101545</v>
      </c>
      <c r="E314">
        <v>100</v>
      </c>
      <c r="F314" s="3" t="s">
        <v>302</v>
      </c>
      <c r="G314" s="4">
        <v>4004.2</v>
      </c>
      <c r="I314" s="4">
        <v>4740239.9400000004</v>
      </c>
    </row>
    <row r="315" spans="1:9" x14ac:dyDescent="0.3">
      <c r="A315" t="s">
        <v>1</v>
      </c>
      <c r="B315" s="1">
        <v>45870</v>
      </c>
      <c r="C315" s="1">
        <v>45871</v>
      </c>
      <c r="D315">
        <v>101555</v>
      </c>
      <c r="E315">
        <v>100</v>
      </c>
      <c r="F315" s="3" t="s">
        <v>303</v>
      </c>
      <c r="G315" s="4">
        <v>180385.37</v>
      </c>
      <c r="I315" s="4">
        <v>4920625.3099999996</v>
      </c>
    </row>
    <row r="316" spans="1:9" x14ac:dyDescent="0.3">
      <c r="A316" t="s">
        <v>1</v>
      </c>
      <c r="B316" s="1">
        <v>45870</v>
      </c>
      <c r="C316" s="1">
        <v>45871</v>
      </c>
      <c r="D316">
        <v>101556</v>
      </c>
      <c r="E316">
        <v>100</v>
      </c>
      <c r="F316" s="3" t="s">
        <v>304</v>
      </c>
      <c r="G316" s="4">
        <v>10507.5</v>
      </c>
      <c r="I316" s="4">
        <v>4931132.8099999996</v>
      </c>
    </row>
    <row r="317" spans="1:9" x14ac:dyDescent="0.3">
      <c r="A317" t="s">
        <v>1</v>
      </c>
      <c r="B317" s="1">
        <v>45870</v>
      </c>
      <c r="C317" s="1">
        <v>45871</v>
      </c>
      <c r="D317">
        <v>101557</v>
      </c>
      <c r="E317">
        <v>100</v>
      </c>
      <c r="F317" s="3" t="s">
        <v>305</v>
      </c>
      <c r="G317" s="4">
        <v>2181</v>
      </c>
      <c r="I317" s="4">
        <v>4933313.8099999996</v>
      </c>
    </row>
    <row r="318" spans="1:9" x14ac:dyDescent="0.3">
      <c r="A318" t="s">
        <v>1</v>
      </c>
      <c r="B318" s="1">
        <v>45871</v>
      </c>
      <c r="C318" s="1">
        <v>45871</v>
      </c>
      <c r="D318">
        <v>101558</v>
      </c>
      <c r="E318">
        <v>100</v>
      </c>
      <c r="F318" s="3" t="s">
        <v>306</v>
      </c>
      <c r="G318" s="4">
        <v>71123.55</v>
      </c>
      <c r="I318" s="4">
        <v>5004437.3600000003</v>
      </c>
    </row>
    <row r="319" spans="1:9" x14ac:dyDescent="0.3">
      <c r="A319" t="s">
        <v>1</v>
      </c>
      <c r="B319" s="1">
        <v>45870</v>
      </c>
      <c r="C319" s="1">
        <v>45871</v>
      </c>
      <c r="D319">
        <v>101559</v>
      </c>
      <c r="E319">
        <v>100</v>
      </c>
      <c r="F319" s="3" t="s">
        <v>307</v>
      </c>
      <c r="G319" s="4">
        <v>3004.2</v>
      </c>
      <c r="I319" s="4">
        <v>5007441.5599999996</v>
      </c>
    </row>
    <row r="320" spans="1:9" x14ac:dyDescent="0.3">
      <c r="A320" t="s">
        <v>1</v>
      </c>
      <c r="B320" s="1">
        <v>45870</v>
      </c>
      <c r="C320" s="1">
        <v>45871</v>
      </c>
      <c r="D320">
        <v>101562</v>
      </c>
      <c r="E320">
        <v>100</v>
      </c>
      <c r="F320" s="3" t="s">
        <v>308</v>
      </c>
      <c r="G320" s="4">
        <v>12526.25</v>
      </c>
      <c r="I320" s="4">
        <v>5019967.8099999996</v>
      </c>
    </row>
    <row r="321" spans="1:9" x14ac:dyDescent="0.3">
      <c r="A321" t="s">
        <v>1</v>
      </c>
      <c r="B321" s="1">
        <v>45871</v>
      </c>
      <c r="C321" s="1">
        <v>45871</v>
      </c>
      <c r="D321">
        <v>101568</v>
      </c>
      <c r="E321">
        <v>100</v>
      </c>
      <c r="F321" s="3" t="s">
        <v>309</v>
      </c>
      <c r="G321" s="4">
        <v>43692</v>
      </c>
      <c r="I321" s="4">
        <v>5063659.8099999996</v>
      </c>
    </row>
    <row r="322" spans="1:9" x14ac:dyDescent="0.3">
      <c r="A322" t="s">
        <v>1</v>
      </c>
      <c r="B322" s="1">
        <v>45871</v>
      </c>
      <c r="C322" s="1">
        <v>45871</v>
      </c>
      <c r="D322">
        <v>101569</v>
      </c>
      <c r="E322">
        <v>100</v>
      </c>
      <c r="F322" s="3" t="s">
        <v>310</v>
      </c>
      <c r="G322" s="4">
        <v>9736.25</v>
      </c>
      <c r="I322" s="4">
        <v>5073396.0599999996</v>
      </c>
    </row>
    <row r="323" spans="1:9" x14ac:dyDescent="0.3">
      <c r="A323" t="s">
        <v>1</v>
      </c>
      <c r="B323" s="1">
        <v>45870</v>
      </c>
      <c r="C323" s="1">
        <v>45871</v>
      </c>
      <c r="D323">
        <v>101570</v>
      </c>
      <c r="E323">
        <v>100</v>
      </c>
      <c r="F323" s="3" t="s">
        <v>311</v>
      </c>
      <c r="G323" s="4">
        <v>22251.65</v>
      </c>
      <c r="I323" s="4">
        <v>5095647.71</v>
      </c>
    </row>
    <row r="324" spans="1:9" x14ac:dyDescent="0.3">
      <c r="A324" t="s">
        <v>1</v>
      </c>
      <c r="B324" s="1">
        <v>45871</v>
      </c>
      <c r="C324" s="1">
        <v>45871</v>
      </c>
      <c r="D324">
        <v>101571</v>
      </c>
      <c r="E324">
        <v>100</v>
      </c>
      <c r="F324" s="3" t="s">
        <v>312</v>
      </c>
      <c r="G324" s="4">
        <v>33</v>
      </c>
      <c r="I324" s="4">
        <v>5095680.71</v>
      </c>
    </row>
    <row r="325" spans="1:9" x14ac:dyDescent="0.3">
      <c r="A325" t="s">
        <v>1</v>
      </c>
      <c r="B325" s="1">
        <v>45871</v>
      </c>
      <c r="C325" s="1">
        <v>45871</v>
      </c>
      <c r="D325">
        <v>101572</v>
      </c>
      <c r="E325">
        <v>100</v>
      </c>
      <c r="F325" s="3" t="s">
        <v>313</v>
      </c>
      <c r="G325" s="4">
        <v>549060.65</v>
      </c>
      <c r="I325" s="4">
        <v>5644741.3600000003</v>
      </c>
    </row>
    <row r="326" spans="1:9" x14ac:dyDescent="0.3">
      <c r="A326" t="s">
        <v>1</v>
      </c>
      <c r="B326" s="1">
        <v>45871</v>
      </c>
      <c r="C326" s="1">
        <v>45871</v>
      </c>
      <c r="D326">
        <v>101573</v>
      </c>
      <c r="E326">
        <v>100</v>
      </c>
      <c r="F326" s="3" t="s">
        <v>314</v>
      </c>
      <c r="G326" s="4">
        <v>440613.45</v>
      </c>
      <c r="I326" s="4">
        <v>6085354.8099999996</v>
      </c>
    </row>
    <row r="327" spans="1:9" x14ac:dyDescent="0.3">
      <c r="A327" t="s">
        <v>1</v>
      </c>
      <c r="B327" s="1">
        <v>45870</v>
      </c>
      <c r="C327" s="1">
        <v>45871</v>
      </c>
      <c r="D327">
        <v>101576</v>
      </c>
      <c r="E327">
        <v>100</v>
      </c>
      <c r="F327" s="3" t="s">
        <v>315</v>
      </c>
      <c r="G327" s="4">
        <v>14500</v>
      </c>
      <c r="I327" s="4">
        <v>6099854.8099999996</v>
      </c>
    </row>
    <row r="328" spans="1:9" x14ac:dyDescent="0.3">
      <c r="A328" t="s">
        <v>1</v>
      </c>
      <c r="B328" s="1">
        <v>45870</v>
      </c>
      <c r="C328" s="1">
        <v>45871</v>
      </c>
      <c r="D328">
        <v>101579</v>
      </c>
      <c r="E328">
        <v>100</v>
      </c>
      <c r="F328" s="3" t="s">
        <v>316</v>
      </c>
      <c r="G328" s="4">
        <v>39830.53</v>
      </c>
      <c r="I328" s="4">
        <v>6139685.3399999999</v>
      </c>
    </row>
    <row r="329" spans="1:9" x14ac:dyDescent="0.3">
      <c r="A329" t="s">
        <v>1</v>
      </c>
      <c r="B329" s="1">
        <v>45867</v>
      </c>
      <c r="C329" s="1">
        <v>45871</v>
      </c>
      <c r="D329">
        <v>101582</v>
      </c>
      <c r="E329">
        <v>100</v>
      </c>
      <c r="F329" s="3" t="s">
        <v>317</v>
      </c>
      <c r="G329" s="4">
        <v>18452.5</v>
      </c>
      <c r="I329" s="4">
        <v>6158137.8399999999</v>
      </c>
    </row>
    <row r="330" spans="1:9" x14ac:dyDescent="0.3">
      <c r="A330" t="s">
        <v>1</v>
      </c>
      <c r="B330" s="1">
        <v>45870</v>
      </c>
      <c r="C330" s="1">
        <v>45871</v>
      </c>
      <c r="D330">
        <v>101587</v>
      </c>
      <c r="E330">
        <v>100</v>
      </c>
      <c r="F330" s="3" t="s">
        <v>318</v>
      </c>
      <c r="G330" s="4">
        <v>150375</v>
      </c>
      <c r="I330" s="4">
        <v>6308512.8399999999</v>
      </c>
    </row>
    <row r="331" spans="1:9" x14ac:dyDescent="0.3">
      <c r="A331" t="s">
        <v>1</v>
      </c>
      <c r="B331" s="1">
        <v>45870</v>
      </c>
      <c r="C331" s="1">
        <v>45871</v>
      </c>
      <c r="D331">
        <v>101588</v>
      </c>
      <c r="E331">
        <v>100</v>
      </c>
      <c r="F331" s="3" t="s">
        <v>319</v>
      </c>
      <c r="G331" s="4">
        <v>55733.5</v>
      </c>
      <c r="I331" s="4">
        <v>6364246.3399999999</v>
      </c>
    </row>
    <row r="332" spans="1:9" x14ac:dyDescent="0.3">
      <c r="A332" t="s">
        <v>1</v>
      </c>
      <c r="B332" s="1">
        <v>45870</v>
      </c>
      <c r="C332" s="1">
        <v>45871</v>
      </c>
      <c r="D332">
        <v>101589</v>
      </c>
      <c r="E332">
        <v>100</v>
      </c>
      <c r="F332" s="3" t="s">
        <v>320</v>
      </c>
      <c r="G332" s="4">
        <v>30004.2</v>
      </c>
      <c r="I332" s="4">
        <v>6394250.54</v>
      </c>
    </row>
    <row r="333" spans="1:9" x14ac:dyDescent="0.3">
      <c r="A333" t="s">
        <v>1</v>
      </c>
      <c r="B333" s="1">
        <v>45867</v>
      </c>
      <c r="C333" s="1">
        <v>45871</v>
      </c>
      <c r="D333">
        <v>101591</v>
      </c>
      <c r="E333">
        <v>100</v>
      </c>
      <c r="F333" s="3" t="s">
        <v>321</v>
      </c>
      <c r="G333" s="4">
        <v>22000</v>
      </c>
      <c r="I333" s="4">
        <v>6416250.54</v>
      </c>
    </row>
    <row r="334" spans="1:9" x14ac:dyDescent="0.3">
      <c r="A334" t="s">
        <v>1</v>
      </c>
      <c r="B334" s="1">
        <v>45870</v>
      </c>
      <c r="C334" s="1">
        <v>45871</v>
      </c>
      <c r="D334">
        <v>101606</v>
      </c>
      <c r="E334">
        <v>100</v>
      </c>
      <c r="F334" s="3" t="s">
        <v>322</v>
      </c>
      <c r="G334" s="4">
        <v>9929</v>
      </c>
      <c r="I334" s="4">
        <v>6426179.54</v>
      </c>
    </row>
    <row r="335" spans="1:9" x14ac:dyDescent="0.3">
      <c r="A335" t="s">
        <v>1</v>
      </c>
      <c r="B335" s="1">
        <v>45871</v>
      </c>
      <c r="C335" s="1">
        <v>45871</v>
      </c>
      <c r="D335">
        <v>101607</v>
      </c>
      <c r="E335">
        <v>100</v>
      </c>
      <c r="F335" s="3" t="s">
        <v>323</v>
      </c>
      <c r="G335" s="4">
        <v>14113.25</v>
      </c>
      <c r="I335" s="4">
        <v>6440292.79</v>
      </c>
    </row>
    <row r="336" spans="1:9" x14ac:dyDescent="0.3">
      <c r="A336" t="s">
        <v>1</v>
      </c>
      <c r="B336" s="1">
        <v>45871</v>
      </c>
      <c r="C336" s="1">
        <v>45871</v>
      </c>
      <c r="D336">
        <v>101609</v>
      </c>
      <c r="E336">
        <v>100</v>
      </c>
      <c r="F336" s="3" t="s">
        <v>324</v>
      </c>
      <c r="G336" s="4">
        <v>347588.15</v>
      </c>
      <c r="I336" s="4">
        <v>6787880.9400000004</v>
      </c>
    </row>
    <row r="337" spans="1:9" x14ac:dyDescent="0.3">
      <c r="A337" t="s">
        <v>1</v>
      </c>
      <c r="B337" s="1">
        <v>45870</v>
      </c>
      <c r="C337" s="1">
        <v>45871</v>
      </c>
      <c r="D337">
        <v>101618</v>
      </c>
      <c r="E337">
        <v>100</v>
      </c>
      <c r="F337" s="3" t="s">
        <v>325</v>
      </c>
      <c r="G337" s="4">
        <v>6004.2</v>
      </c>
      <c r="I337" s="4">
        <v>6793885.1399999997</v>
      </c>
    </row>
    <row r="338" spans="1:9" x14ac:dyDescent="0.3">
      <c r="A338" t="s">
        <v>1</v>
      </c>
      <c r="B338" s="1">
        <v>45871</v>
      </c>
      <c r="C338" s="1">
        <v>45871</v>
      </c>
      <c r="D338">
        <v>101621</v>
      </c>
      <c r="E338">
        <v>100</v>
      </c>
      <c r="F338" s="3" t="s">
        <v>326</v>
      </c>
      <c r="G338" s="4">
        <v>1307.2</v>
      </c>
      <c r="I338" s="4">
        <v>6795192.3399999999</v>
      </c>
    </row>
    <row r="339" spans="1:9" x14ac:dyDescent="0.3">
      <c r="A339" t="s">
        <v>1</v>
      </c>
      <c r="B339" s="1">
        <v>45870</v>
      </c>
      <c r="C339" s="1">
        <v>45871</v>
      </c>
      <c r="D339">
        <v>101622</v>
      </c>
      <c r="E339">
        <v>100</v>
      </c>
      <c r="F339" s="3" t="s">
        <v>327</v>
      </c>
      <c r="G339" s="4">
        <v>14733.5</v>
      </c>
      <c r="I339" s="4">
        <v>6809925.8399999999</v>
      </c>
    </row>
    <row r="340" spans="1:9" x14ac:dyDescent="0.3">
      <c r="A340" t="s">
        <v>1</v>
      </c>
      <c r="B340" s="1">
        <v>45868</v>
      </c>
      <c r="C340" s="1">
        <v>45871</v>
      </c>
      <c r="D340">
        <v>101624</v>
      </c>
      <c r="E340">
        <v>100</v>
      </c>
      <c r="F340" s="3" t="s">
        <v>328</v>
      </c>
      <c r="G340" s="4">
        <v>4608.5</v>
      </c>
      <c r="I340" s="4">
        <v>6814534.3399999999</v>
      </c>
    </row>
    <row r="341" spans="1:9" x14ac:dyDescent="0.3">
      <c r="A341" t="s">
        <v>1</v>
      </c>
      <c r="B341" s="1">
        <v>45871</v>
      </c>
      <c r="C341" s="1">
        <v>45871</v>
      </c>
      <c r="D341">
        <v>101630</v>
      </c>
      <c r="E341">
        <v>100</v>
      </c>
      <c r="F341" s="3" t="s">
        <v>329</v>
      </c>
      <c r="G341" s="4">
        <v>10081</v>
      </c>
      <c r="I341" s="4">
        <v>6824615.3399999999</v>
      </c>
    </row>
    <row r="342" spans="1:9" x14ac:dyDescent="0.3">
      <c r="A342" t="s">
        <v>1</v>
      </c>
      <c r="B342" s="1">
        <v>45869</v>
      </c>
      <c r="C342" s="1">
        <v>45871</v>
      </c>
      <c r="D342">
        <v>101639</v>
      </c>
      <c r="E342">
        <v>100</v>
      </c>
      <c r="F342" s="3" t="s">
        <v>330</v>
      </c>
      <c r="G342" s="4">
        <v>6003.15</v>
      </c>
      <c r="I342" s="4">
        <v>6830618.4900000002</v>
      </c>
    </row>
    <row r="343" spans="1:9" x14ac:dyDescent="0.3">
      <c r="A343" t="s">
        <v>1</v>
      </c>
      <c r="B343" s="1">
        <v>45871</v>
      </c>
      <c r="C343" s="1">
        <v>45871</v>
      </c>
      <c r="D343">
        <v>101640</v>
      </c>
      <c r="E343">
        <v>100</v>
      </c>
      <c r="F343" s="3" t="s">
        <v>331</v>
      </c>
      <c r="G343" s="4">
        <v>64805</v>
      </c>
      <c r="I343" s="4">
        <v>6895423.4900000002</v>
      </c>
    </row>
    <row r="344" spans="1:9" x14ac:dyDescent="0.3">
      <c r="A344" t="s">
        <v>1</v>
      </c>
      <c r="B344" s="1">
        <v>45871</v>
      </c>
      <c r="C344" s="1">
        <v>45871</v>
      </c>
      <c r="D344">
        <v>101641</v>
      </c>
      <c r="E344">
        <v>100</v>
      </c>
      <c r="F344" s="3" t="s">
        <v>332</v>
      </c>
      <c r="G344" s="4">
        <v>35976</v>
      </c>
      <c r="I344" s="4">
        <v>6931399.4900000002</v>
      </c>
    </row>
    <row r="345" spans="1:9" x14ac:dyDescent="0.3">
      <c r="A345" t="s">
        <v>1</v>
      </c>
      <c r="B345" s="1">
        <v>45871</v>
      </c>
      <c r="C345" s="1">
        <v>45871</v>
      </c>
      <c r="D345">
        <v>101644</v>
      </c>
      <c r="E345">
        <v>100</v>
      </c>
      <c r="F345" s="3" t="s">
        <v>333</v>
      </c>
      <c r="G345" s="4">
        <v>4000</v>
      </c>
      <c r="I345" s="4">
        <v>6935399.4900000002</v>
      </c>
    </row>
    <row r="346" spans="1:9" x14ac:dyDescent="0.3">
      <c r="A346" t="s">
        <v>1</v>
      </c>
      <c r="B346" s="1">
        <v>45870</v>
      </c>
      <c r="C346" s="1">
        <v>45871</v>
      </c>
      <c r="D346">
        <v>101649</v>
      </c>
      <c r="E346">
        <v>100</v>
      </c>
      <c r="F346" s="3" t="s">
        <v>334</v>
      </c>
      <c r="G346" s="4">
        <v>318110.28000000003</v>
      </c>
      <c r="I346" s="4">
        <v>7253509.7699999996</v>
      </c>
    </row>
    <row r="347" spans="1:9" x14ac:dyDescent="0.3">
      <c r="A347" t="s">
        <v>1</v>
      </c>
      <c r="B347" s="1">
        <v>45870</v>
      </c>
      <c r="C347" s="1">
        <v>45871</v>
      </c>
      <c r="D347">
        <v>101654</v>
      </c>
      <c r="E347">
        <v>100</v>
      </c>
      <c r="F347" s="3" t="s">
        <v>335</v>
      </c>
      <c r="G347" s="4">
        <v>17838.849999999999</v>
      </c>
      <c r="I347" s="4">
        <v>7271348.6200000001</v>
      </c>
    </row>
    <row r="348" spans="1:9" x14ac:dyDescent="0.3">
      <c r="A348" t="s">
        <v>75</v>
      </c>
      <c r="B348" s="1">
        <v>45869</v>
      </c>
      <c r="C348" s="1">
        <v>45871</v>
      </c>
      <c r="D348">
        <v>142837</v>
      </c>
      <c r="E348">
        <v>77</v>
      </c>
      <c r="F348" s="3" t="s">
        <v>336</v>
      </c>
      <c r="G348" s="4">
        <v>190532.7</v>
      </c>
      <c r="H348" s="4">
        <v>0</v>
      </c>
      <c r="I348" s="4">
        <v>7461881.3200000003</v>
      </c>
    </row>
    <row r="349" spans="1:9" x14ac:dyDescent="0.3">
      <c r="A349" t="s">
        <v>75</v>
      </c>
      <c r="B349" s="1">
        <v>45869</v>
      </c>
      <c r="C349" s="1">
        <v>45871</v>
      </c>
      <c r="D349">
        <v>142838</v>
      </c>
      <c r="E349">
        <v>77</v>
      </c>
      <c r="F349" s="3" t="s">
        <v>337</v>
      </c>
      <c r="G349" s="4">
        <v>42061</v>
      </c>
      <c r="H349" s="4">
        <v>0</v>
      </c>
      <c r="I349" s="4">
        <v>7503942.3200000003</v>
      </c>
    </row>
    <row r="350" spans="1:9" x14ac:dyDescent="0.3">
      <c r="A350" t="s">
        <v>75</v>
      </c>
      <c r="B350" s="1">
        <v>45868</v>
      </c>
      <c r="C350" s="1">
        <v>45871</v>
      </c>
      <c r="D350">
        <v>142839</v>
      </c>
      <c r="E350">
        <v>61</v>
      </c>
      <c r="F350" s="3" t="s">
        <v>338</v>
      </c>
      <c r="G350" s="4">
        <v>510810.5</v>
      </c>
      <c r="H350" s="4">
        <v>0</v>
      </c>
      <c r="I350" s="4">
        <v>8014752.8200000003</v>
      </c>
    </row>
    <row r="351" spans="1:9" x14ac:dyDescent="0.3">
      <c r="A351" t="s">
        <v>75</v>
      </c>
      <c r="B351" s="1">
        <v>45870</v>
      </c>
      <c r="C351" s="1">
        <v>45871</v>
      </c>
      <c r="D351">
        <v>142840</v>
      </c>
      <c r="E351">
        <v>58</v>
      </c>
      <c r="F351" s="3" t="s">
        <v>339</v>
      </c>
      <c r="G351" s="4">
        <v>120</v>
      </c>
      <c r="H351" s="4">
        <v>0</v>
      </c>
      <c r="I351" s="4">
        <v>8014872.8200000003</v>
      </c>
    </row>
    <row r="352" spans="1:9" x14ac:dyDescent="0.3">
      <c r="A352" t="s">
        <v>75</v>
      </c>
      <c r="B352" s="1">
        <v>45869</v>
      </c>
      <c r="C352" s="1">
        <v>45871</v>
      </c>
      <c r="D352">
        <v>142842</v>
      </c>
      <c r="E352">
        <v>70</v>
      </c>
      <c r="F352" s="3" t="s">
        <v>340</v>
      </c>
      <c r="G352" s="4">
        <v>164107.25</v>
      </c>
      <c r="H352" s="4">
        <v>0</v>
      </c>
      <c r="I352" s="4">
        <v>8178980.0700000003</v>
      </c>
    </row>
    <row r="353" spans="1:9" x14ac:dyDescent="0.3">
      <c r="A353" t="s">
        <v>75</v>
      </c>
      <c r="B353" s="1">
        <v>45870</v>
      </c>
      <c r="C353" s="1">
        <v>45871</v>
      </c>
      <c r="D353">
        <v>142843</v>
      </c>
      <c r="E353">
        <v>11</v>
      </c>
      <c r="F353" s="3" t="s">
        <v>341</v>
      </c>
      <c r="G353" s="4">
        <v>50000</v>
      </c>
      <c r="H353" s="4">
        <v>0</v>
      </c>
      <c r="I353" s="4">
        <v>8228980.0700000003</v>
      </c>
    </row>
    <row r="354" spans="1:9" x14ac:dyDescent="0.3">
      <c r="A354" t="s">
        <v>75</v>
      </c>
      <c r="B354" s="1">
        <v>45869</v>
      </c>
      <c r="C354" s="1">
        <v>45871</v>
      </c>
      <c r="D354">
        <v>142844</v>
      </c>
      <c r="E354">
        <v>44</v>
      </c>
      <c r="F354" s="3" t="s">
        <v>342</v>
      </c>
      <c r="G354" s="4">
        <v>25000</v>
      </c>
      <c r="H354" s="4">
        <v>0</v>
      </c>
      <c r="I354" s="4">
        <v>8253980.0700000003</v>
      </c>
    </row>
    <row r="355" spans="1:9" x14ac:dyDescent="0.3">
      <c r="A355" t="s">
        <v>75</v>
      </c>
      <c r="B355" s="1">
        <v>45870</v>
      </c>
      <c r="C355" s="1">
        <v>45871</v>
      </c>
      <c r="D355">
        <v>142846</v>
      </c>
      <c r="E355">
        <v>14</v>
      </c>
      <c r="F355" s="3" t="s">
        <v>343</v>
      </c>
      <c r="G355" s="4">
        <v>100000</v>
      </c>
      <c r="H355" s="4">
        <v>0</v>
      </c>
      <c r="I355" s="4">
        <v>8353980.0700000003</v>
      </c>
    </row>
    <row r="356" spans="1:9" x14ac:dyDescent="0.3">
      <c r="A356" t="s">
        <v>75</v>
      </c>
      <c r="B356" s="1">
        <v>45871</v>
      </c>
      <c r="C356" s="1">
        <v>45871</v>
      </c>
      <c r="D356">
        <v>142847</v>
      </c>
      <c r="E356">
        <v>16</v>
      </c>
      <c r="F356" s="3" t="s">
        <v>344</v>
      </c>
      <c r="G356" s="4">
        <v>83763</v>
      </c>
      <c r="H356" s="4">
        <v>0</v>
      </c>
      <c r="I356" s="4">
        <v>8437743.0700000003</v>
      </c>
    </row>
    <row r="357" spans="1:9" x14ac:dyDescent="0.3">
      <c r="A357" t="s">
        <v>75</v>
      </c>
      <c r="B357" s="1">
        <v>45870</v>
      </c>
      <c r="C357" s="1">
        <v>45871</v>
      </c>
      <c r="D357">
        <v>142848</v>
      </c>
      <c r="E357">
        <v>77</v>
      </c>
      <c r="F357" s="3" t="s">
        <v>345</v>
      </c>
      <c r="G357" s="4">
        <v>52000</v>
      </c>
      <c r="H357" s="4">
        <v>0</v>
      </c>
      <c r="I357" s="4">
        <v>8489743.0700000003</v>
      </c>
    </row>
    <row r="358" spans="1:9" x14ac:dyDescent="0.3">
      <c r="A358" t="s">
        <v>75</v>
      </c>
      <c r="B358" s="1">
        <v>45871</v>
      </c>
      <c r="C358" s="1">
        <v>45871</v>
      </c>
      <c r="D358">
        <v>142849</v>
      </c>
      <c r="E358">
        <v>77</v>
      </c>
      <c r="F358" s="3" t="s">
        <v>346</v>
      </c>
      <c r="G358" s="4">
        <v>21088</v>
      </c>
      <c r="H358" s="4">
        <v>0</v>
      </c>
      <c r="I358" s="4">
        <v>8510831.0700000003</v>
      </c>
    </row>
    <row r="359" spans="1:9" x14ac:dyDescent="0.3">
      <c r="A359" t="s">
        <v>75</v>
      </c>
      <c r="B359" s="1">
        <v>45871</v>
      </c>
      <c r="C359" s="1">
        <v>45871</v>
      </c>
      <c r="D359">
        <v>142851</v>
      </c>
      <c r="E359">
        <v>72</v>
      </c>
      <c r="F359" s="3" t="s">
        <v>347</v>
      </c>
      <c r="G359" s="4">
        <v>10000</v>
      </c>
      <c r="H359" s="4">
        <v>0</v>
      </c>
      <c r="I359" s="4">
        <v>8520831.0700000003</v>
      </c>
    </row>
    <row r="360" spans="1:9" x14ac:dyDescent="0.3">
      <c r="A360" t="s">
        <v>75</v>
      </c>
      <c r="B360" s="1">
        <v>45871</v>
      </c>
      <c r="C360" s="1">
        <v>45871</v>
      </c>
      <c r="D360">
        <v>142854</v>
      </c>
      <c r="E360">
        <v>17</v>
      </c>
      <c r="F360" s="3" t="s">
        <v>348</v>
      </c>
      <c r="G360" s="4">
        <v>44000</v>
      </c>
      <c r="H360" s="4">
        <v>0</v>
      </c>
      <c r="I360" s="4">
        <v>8564831.0700000003</v>
      </c>
    </row>
    <row r="361" spans="1:9" x14ac:dyDescent="0.3">
      <c r="A361" t="s">
        <v>75</v>
      </c>
      <c r="B361" s="1">
        <v>45871</v>
      </c>
      <c r="C361" s="1">
        <v>45871</v>
      </c>
      <c r="D361">
        <v>142855</v>
      </c>
      <c r="E361">
        <v>17</v>
      </c>
      <c r="F361" s="3" t="s">
        <v>349</v>
      </c>
      <c r="G361" s="4">
        <v>35000</v>
      </c>
      <c r="H361" s="4">
        <v>0</v>
      </c>
      <c r="I361" s="4">
        <v>8599831.0700000003</v>
      </c>
    </row>
    <row r="362" spans="1:9" x14ac:dyDescent="0.3">
      <c r="A362" t="s">
        <v>75</v>
      </c>
      <c r="B362" s="1">
        <v>45869</v>
      </c>
      <c r="C362" s="1">
        <v>45871</v>
      </c>
      <c r="D362">
        <v>142860</v>
      </c>
      <c r="E362">
        <v>34</v>
      </c>
      <c r="F362" s="3" t="s">
        <v>350</v>
      </c>
      <c r="G362" s="4">
        <v>51129.25</v>
      </c>
      <c r="H362" s="4">
        <v>0</v>
      </c>
      <c r="I362" s="4">
        <v>8650960.3200000003</v>
      </c>
    </row>
    <row r="363" spans="1:9" x14ac:dyDescent="0.3">
      <c r="A363" t="s">
        <v>75</v>
      </c>
      <c r="B363" s="1">
        <v>45871</v>
      </c>
      <c r="C363" s="1">
        <v>45871</v>
      </c>
      <c r="D363">
        <v>142862</v>
      </c>
      <c r="E363">
        <v>14</v>
      </c>
      <c r="F363" s="3" t="s">
        <v>351</v>
      </c>
      <c r="G363" s="4">
        <v>9294</v>
      </c>
      <c r="H363" s="4">
        <v>0</v>
      </c>
      <c r="I363" s="4">
        <v>8660254.3200000003</v>
      </c>
    </row>
    <row r="364" spans="1:9" x14ac:dyDescent="0.3">
      <c r="A364" t="s">
        <v>75</v>
      </c>
      <c r="B364" s="1">
        <v>45870</v>
      </c>
      <c r="C364" s="1">
        <v>45871</v>
      </c>
      <c r="D364">
        <v>142863</v>
      </c>
      <c r="E364">
        <v>27</v>
      </c>
      <c r="F364" s="3" t="s">
        <v>352</v>
      </c>
      <c r="G364" s="4">
        <v>36800.5</v>
      </c>
      <c r="H364" s="4">
        <v>0</v>
      </c>
      <c r="I364" s="4">
        <v>8697054.8200000003</v>
      </c>
    </row>
    <row r="365" spans="1:9" x14ac:dyDescent="0.3">
      <c r="A365" t="s">
        <v>75</v>
      </c>
      <c r="B365" s="1">
        <v>45871</v>
      </c>
      <c r="C365" s="1">
        <v>45871</v>
      </c>
      <c r="D365">
        <v>142864</v>
      </c>
      <c r="E365">
        <v>14</v>
      </c>
      <c r="F365" s="3" t="s">
        <v>353</v>
      </c>
      <c r="G365" s="4">
        <v>10000</v>
      </c>
      <c r="H365" s="4">
        <v>0</v>
      </c>
      <c r="I365" s="4">
        <v>8707054.8200000003</v>
      </c>
    </row>
    <row r="366" spans="1:9" x14ac:dyDescent="0.3">
      <c r="A366" t="s">
        <v>75</v>
      </c>
      <c r="B366" s="1">
        <v>45870</v>
      </c>
      <c r="C366" s="1">
        <v>45871</v>
      </c>
      <c r="D366">
        <v>142865</v>
      </c>
      <c r="E366">
        <v>44</v>
      </c>
      <c r="F366" s="3" t="s">
        <v>354</v>
      </c>
      <c r="G366" s="4">
        <v>26772.5</v>
      </c>
      <c r="H366" s="4">
        <v>0</v>
      </c>
      <c r="I366" s="4">
        <v>8733827.3200000003</v>
      </c>
    </row>
    <row r="367" spans="1:9" x14ac:dyDescent="0.3">
      <c r="A367" t="s">
        <v>75</v>
      </c>
      <c r="B367" t="s">
        <v>355</v>
      </c>
      <c r="C367" s="1">
        <v>45871</v>
      </c>
      <c r="D367">
        <v>142866</v>
      </c>
      <c r="E367">
        <v>14</v>
      </c>
      <c r="F367" s="3" t="s">
        <v>356</v>
      </c>
      <c r="G367" s="4">
        <v>40000</v>
      </c>
      <c r="H367" s="4">
        <v>0</v>
      </c>
      <c r="I367" s="4">
        <v>8773827.3200000003</v>
      </c>
    </row>
    <row r="368" spans="1:9" x14ac:dyDescent="0.3">
      <c r="A368" t="s">
        <v>75</v>
      </c>
      <c r="B368" s="1">
        <v>45871</v>
      </c>
      <c r="C368" s="1">
        <v>45871</v>
      </c>
      <c r="D368">
        <v>142866</v>
      </c>
      <c r="E368">
        <v>14</v>
      </c>
      <c r="F368" s="3" t="s">
        <v>356</v>
      </c>
      <c r="G368" s="4">
        <v>40000</v>
      </c>
      <c r="H368" s="4">
        <v>0</v>
      </c>
      <c r="I368" s="4">
        <v>8813827.3200000003</v>
      </c>
    </row>
    <row r="369" spans="1:9" x14ac:dyDescent="0.3">
      <c r="A369" t="s">
        <v>75</v>
      </c>
      <c r="B369" s="1">
        <v>45870</v>
      </c>
      <c r="C369" s="1">
        <v>45871</v>
      </c>
      <c r="D369">
        <v>142867</v>
      </c>
      <c r="E369">
        <v>11</v>
      </c>
      <c r="F369" s="3" t="s">
        <v>357</v>
      </c>
      <c r="G369" s="4">
        <v>56957.5</v>
      </c>
      <c r="H369" s="4">
        <v>0</v>
      </c>
      <c r="I369" s="4">
        <v>8870784.8200000003</v>
      </c>
    </row>
    <row r="370" spans="1:9" x14ac:dyDescent="0.3">
      <c r="A370" t="s">
        <v>75</v>
      </c>
      <c r="B370" s="1">
        <v>45871</v>
      </c>
      <c r="C370" s="1">
        <v>45871</v>
      </c>
      <c r="D370">
        <v>142868</v>
      </c>
      <c r="E370">
        <v>63</v>
      </c>
      <c r="F370" s="3" t="s">
        <v>358</v>
      </c>
      <c r="G370" s="4">
        <v>1155</v>
      </c>
      <c r="H370" s="4">
        <v>0</v>
      </c>
      <c r="I370" s="4">
        <v>8871939.8200000003</v>
      </c>
    </row>
    <row r="371" spans="1:9" x14ac:dyDescent="0.3">
      <c r="A371" t="s">
        <v>75</v>
      </c>
      <c r="B371" s="1">
        <v>45869</v>
      </c>
      <c r="C371" s="1">
        <v>45871</v>
      </c>
      <c r="D371">
        <v>142869</v>
      </c>
      <c r="E371">
        <v>34</v>
      </c>
      <c r="F371" s="3" t="s">
        <v>359</v>
      </c>
      <c r="G371" s="4">
        <v>941640</v>
      </c>
      <c r="H371" s="4">
        <v>0</v>
      </c>
      <c r="I371" s="4">
        <v>9813579.8200000003</v>
      </c>
    </row>
    <row r="372" spans="1:9" x14ac:dyDescent="0.3">
      <c r="A372" t="s">
        <v>75</v>
      </c>
      <c r="B372" s="1">
        <v>45871</v>
      </c>
      <c r="C372" s="1">
        <v>45871</v>
      </c>
      <c r="D372">
        <v>142870</v>
      </c>
      <c r="E372">
        <v>72</v>
      </c>
      <c r="F372" s="3" t="s">
        <v>360</v>
      </c>
      <c r="G372" s="4">
        <v>2500</v>
      </c>
      <c r="H372" s="4">
        <v>0</v>
      </c>
      <c r="I372" s="4">
        <v>9816079.8200000003</v>
      </c>
    </row>
    <row r="373" spans="1:9" x14ac:dyDescent="0.3">
      <c r="A373" t="s">
        <v>75</v>
      </c>
      <c r="B373" s="1">
        <v>45870</v>
      </c>
      <c r="C373" s="1">
        <v>45871</v>
      </c>
      <c r="D373">
        <v>142871</v>
      </c>
      <c r="E373">
        <v>33</v>
      </c>
      <c r="F373" s="3" t="s">
        <v>361</v>
      </c>
      <c r="G373" s="4">
        <v>42078.75</v>
      </c>
      <c r="H373" s="4">
        <v>0</v>
      </c>
      <c r="I373" s="4">
        <v>9858158.5700000003</v>
      </c>
    </row>
    <row r="374" spans="1:9" x14ac:dyDescent="0.3">
      <c r="A374" t="s">
        <v>75</v>
      </c>
      <c r="B374" s="1">
        <v>45870</v>
      </c>
      <c r="C374" s="1">
        <v>45871</v>
      </c>
      <c r="D374">
        <v>142872</v>
      </c>
      <c r="E374">
        <v>38</v>
      </c>
      <c r="F374" s="3" t="s">
        <v>362</v>
      </c>
      <c r="G374" s="4">
        <v>3815.5</v>
      </c>
      <c r="H374" s="4">
        <v>0</v>
      </c>
      <c r="I374" s="4">
        <v>9861974.0700000003</v>
      </c>
    </row>
    <row r="375" spans="1:9" x14ac:dyDescent="0.3">
      <c r="A375" t="s">
        <v>124</v>
      </c>
      <c r="B375" s="1">
        <v>45871</v>
      </c>
      <c r="C375" s="1">
        <v>45871</v>
      </c>
      <c r="D375">
        <v>22139</v>
      </c>
      <c r="E375">
        <v>11</v>
      </c>
      <c r="F375" s="3" t="s">
        <v>125</v>
      </c>
      <c r="G375" s="4">
        <v>0</v>
      </c>
      <c r="H375" s="4">
        <v>50388913.210000001</v>
      </c>
      <c r="I375" s="4">
        <v>-40526939.140000001</v>
      </c>
    </row>
    <row r="376" spans="1:9" x14ac:dyDescent="0.3">
      <c r="A376" t="s">
        <v>124</v>
      </c>
      <c r="B376" s="1">
        <v>45871</v>
      </c>
      <c r="C376" s="1">
        <v>45871</v>
      </c>
      <c r="D376">
        <v>22141</v>
      </c>
      <c r="E376">
        <v>11</v>
      </c>
      <c r="F376" s="3" t="s">
        <v>128</v>
      </c>
      <c r="G376" s="4">
        <v>8500000</v>
      </c>
      <c r="H376" s="4">
        <v>0</v>
      </c>
      <c r="I376" s="4">
        <v>-32026939.140000001</v>
      </c>
    </row>
    <row r="377" spans="1:9" x14ac:dyDescent="0.3">
      <c r="A377" t="s">
        <v>124</v>
      </c>
      <c r="B377" s="1">
        <v>45871</v>
      </c>
      <c r="C377" s="1">
        <v>45871</v>
      </c>
      <c r="D377">
        <v>22143</v>
      </c>
      <c r="E377">
        <v>11</v>
      </c>
      <c r="F377" s="3" t="s">
        <v>363</v>
      </c>
      <c r="G377" s="4">
        <v>3300000</v>
      </c>
      <c r="H377" s="4">
        <v>0</v>
      </c>
      <c r="I377" s="4">
        <v>-28726939.140000001</v>
      </c>
    </row>
    <row r="378" spans="1:9" x14ac:dyDescent="0.3">
      <c r="A378" t="s">
        <v>124</v>
      </c>
      <c r="B378" s="1">
        <v>45871</v>
      </c>
      <c r="C378" s="1">
        <v>45871</v>
      </c>
      <c r="D378">
        <v>22144</v>
      </c>
      <c r="E378">
        <v>11</v>
      </c>
      <c r="F378" s="3" t="s">
        <v>128</v>
      </c>
      <c r="G378" s="4">
        <v>6300000</v>
      </c>
      <c r="H378" s="4">
        <v>0</v>
      </c>
      <c r="I378" s="4">
        <v>-22426939.140000001</v>
      </c>
    </row>
    <row r="379" spans="1:9" x14ac:dyDescent="0.3">
      <c r="A379" t="s">
        <v>130</v>
      </c>
      <c r="B379" s="1">
        <v>45871</v>
      </c>
      <c r="C379" s="1">
        <v>45871</v>
      </c>
      <c r="D379">
        <v>3822310</v>
      </c>
      <c r="E379">
        <v>39</v>
      </c>
      <c r="F379" s="3" t="s">
        <v>364</v>
      </c>
      <c r="G379" s="4">
        <v>0</v>
      </c>
      <c r="H379" s="4">
        <v>2000000</v>
      </c>
      <c r="I379" s="4">
        <v>-24426939.140000001</v>
      </c>
    </row>
    <row r="380" spans="1:9" x14ac:dyDescent="0.3">
      <c r="A380" t="s">
        <v>133</v>
      </c>
      <c r="B380" s="1">
        <v>45871</v>
      </c>
      <c r="C380" s="1">
        <v>45871</v>
      </c>
      <c r="D380">
        <v>910647</v>
      </c>
      <c r="E380">
        <v>12</v>
      </c>
      <c r="F380" s="3" t="s">
        <v>365</v>
      </c>
      <c r="G380" s="4">
        <v>15597</v>
      </c>
      <c r="H380" s="4">
        <v>0</v>
      </c>
      <c r="I380" s="4">
        <v>-24411342.140000001</v>
      </c>
    </row>
    <row r="381" spans="1:9" x14ac:dyDescent="0.3">
      <c r="A381" t="s">
        <v>133</v>
      </c>
      <c r="B381" s="1">
        <v>45871</v>
      </c>
      <c r="C381" s="1">
        <v>45871</v>
      </c>
      <c r="D381">
        <v>910648</v>
      </c>
      <c r="E381">
        <v>382</v>
      </c>
      <c r="F381" s="3">
        <v>50692241848</v>
      </c>
      <c r="G381" s="4">
        <v>52000</v>
      </c>
      <c r="H381" s="4">
        <v>0</v>
      </c>
      <c r="I381" s="4">
        <v>-24359342.140000001</v>
      </c>
    </row>
    <row r="382" spans="1:9" x14ac:dyDescent="0.3">
      <c r="A382" t="s">
        <v>133</v>
      </c>
      <c r="B382" s="1">
        <v>45871</v>
      </c>
      <c r="C382" s="1">
        <v>45871</v>
      </c>
      <c r="D382">
        <v>910649</v>
      </c>
      <c r="E382">
        <v>382</v>
      </c>
      <c r="F382" s="3">
        <v>50692210284</v>
      </c>
      <c r="G382" s="4">
        <v>100000</v>
      </c>
      <c r="H382" s="4">
        <v>0</v>
      </c>
      <c r="I382" s="4">
        <v>-24259342.140000001</v>
      </c>
    </row>
    <row r="383" spans="1:9" x14ac:dyDescent="0.3">
      <c r="A383" t="s">
        <v>133</v>
      </c>
      <c r="B383" s="1">
        <v>45871</v>
      </c>
      <c r="C383" s="1">
        <v>45871</v>
      </c>
      <c r="D383">
        <v>910650</v>
      </c>
      <c r="E383">
        <v>382</v>
      </c>
      <c r="F383" s="3">
        <v>63</v>
      </c>
      <c r="G383" s="4">
        <v>62882</v>
      </c>
      <c r="H383" s="4">
        <v>0</v>
      </c>
      <c r="I383" s="4">
        <v>-24196460.140000001</v>
      </c>
    </row>
    <row r="384" spans="1:9" x14ac:dyDescent="0.3">
      <c r="A384" t="s">
        <v>133</v>
      </c>
      <c r="B384" s="1">
        <v>45871</v>
      </c>
      <c r="C384" s="1">
        <v>45871</v>
      </c>
      <c r="D384">
        <v>910657</v>
      </c>
      <c r="E384">
        <v>34</v>
      </c>
      <c r="F384" s="3" t="s">
        <v>366</v>
      </c>
      <c r="G384" s="4">
        <v>60.5</v>
      </c>
      <c r="H384" s="4">
        <v>0</v>
      </c>
      <c r="I384" s="4">
        <v>-24196399.640000001</v>
      </c>
    </row>
    <row r="385" spans="1:9" x14ac:dyDescent="0.3">
      <c r="A385" t="s">
        <v>133</v>
      </c>
      <c r="B385" s="1">
        <v>45871</v>
      </c>
      <c r="C385" s="1">
        <v>45871</v>
      </c>
      <c r="D385">
        <v>910663</v>
      </c>
      <c r="E385">
        <v>44</v>
      </c>
      <c r="F385" s="3" t="s">
        <v>367</v>
      </c>
      <c r="G385" s="4">
        <v>25268.5</v>
      </c>
      <c r="H385" s="4">
        <v>0</v>
      </c>
      <c r="I385" s="4">
        <v>-24171131.140000001</v>
      </c>
    </row>
    <row r="386" spans="1:9" x14ac:dyDescent="0.3">
      <c r="A386" t="s">
        <v>133</v>
      </c>
      <c r="B386" s="1">
        <v>45871</v>
      </c>
      <c r="C386" s="1">
        <v>45871</v>
      </c>
      <c r="D386">
        <v>910665</v>
      </c>
      <c r="E386">
        <v>223</v>
      </c>
      <c r="F386" s="3" t="s">
        <v>368</v>
      </c>
      <c r="G386" s="4">
        <v>53294.75</v>
      </c>
      <c r="H386" s="4">
        <v>0</v>
      </c>
      <c r="I386" s="4">
        <v>-24117836.390000001</v>
      </c>
    </row>
    <row r="387" spans="1:9" x14ac:dyDescent="0.3">
      <c r="A387" t="s">
        <v>133</v>
      </c>
      <c r="B387" s="1">
        <v>45871</v>
      </c>
      <c r="C387" s="1">
        <v>45871</v>
      </c>
      <c r="D387">
        <v>910672</v>
      </c>
      <c r="E387">
        <v>11</v>
      </c>
      <c r="F387" s="3" t="s">
        <v>369</v>
      </c>
      <c r="G387" s="4">
        <v>119.5</v>
      </c>
      <c r="H387" s="4">
        <v>0</v>
      </c>
      <c r="I387" s="4">
        <v>-24117716.890000001</v>
      </c>
    </row>
    <row r="388" spans="1:9" x14ac:dyDescent="0.3">
      <c r="A388" t="s">
        <v>133</v>
      </c>
      <c r="B388" s="1">
        <v>45871</v>
      </c>
      <c r="C388" s="1">
        <v>45871</v>
      </c>
      <c r="D388">
        <v>910677</v>
      </c>
      <c r="E388">
        <v>210</v>
      </c>
      <c r="F388" s="3" t="s">
        <v>370</v>
      </c>
      <c r="G388" s="4">
        <v>60000</v>
      </c>
      <c r="H388" s="4">
        <v>0</v>
      </c>
      <c r="I388" s="4">
        <v>-24057716.890000001</v>
      </c>
    </row>
    <row r="389" spans="1:9" x14ac:dyDescent="0.3">
      <c r="A389" t="s">
        <v>133</v>
      </c>
      <c r="B389" s="1">
        <v>45871</v>
      </c>
      <c r="C389" s="1">
        <v>45871</v>
      </c>
      <c r="D389">
        <v>910690</v>
      </c>
      <c r="E389">
        <v>282</v>
      </c>
      <c r="F389" s="3" t="s">
        <v>371</v>
      </c>
      <c r="G389" s="4">
        <v>180000</v>
      </c>
      <c r="H389" s="4">
        <v>0</v>
      </c>
      <c r="I389" s="4">
        <v>-23877716.890000001</v>
      </c>
    </row>
    <row r="390" spans="1:9" x14ac:dyDescent="0.3">
      <c r="A390" t="s">
        <v>133</v>
      </c>
      <c r="B390" s="1">
        <v>45871</v>
      </c>
      <c r="C390" s="1">
        <v>45871</v>
      </c>
      <c r="D390">
        <v>910693</v>
      </c>
      <c r="E390">
        <v>382</v>
      </c>
      <c r="F390" s="3">
        <v>50690442632</v>
      </c>
      <c r="G390" s="4">
        <v>50000</v>
      </c>
      <c r="H390" s="4">
        <v>0</v>
      </c>
      <c r="I390" s="4">
        <v>-23827716.890000001</v>
      </c>
    </row>
    <row r="391" spans="1:9" x14ac:dyDescent="0.3">
      <c r="A391" t="s">
        <v>133</v>
      </c>
      <c r="B391" s="1">
        <v>45871</v>
      </c>
      <c r="C391" s="1">
        <v>45871</v>
      </c>
      <c r="D391">
        <v>910698</v>
      </c>
      <c r="E391">
        <v>12</v>
      </c>
      <c r="F391" s="3" t="s">
        <v>372</v>
      </c>
      <c r="G391" s="4">
        <v>2321</v>
      </c>
      <c r="H391" s="4">
        <v>0</v>
      </c>
      <c r="I391" s="4">
        <v>-23825395.890000001</v>
      </c>
    </row>
    <row r="392" spans="1:9" x14ac:dyDescent="0.3">
      <c r="A392" t="s">
        <v>133</v>
      </c>
      <c r="B392" s="1">
        <v>45871</v>
      </c>
      <c r="C392" s="1">
        <v>45871</v>
      </c>
      <c r="D392">
        <v>910702</v>
      </c>
      <c r="E392">
        <v>44</v>
      </c>
      <c r="F392" s="3" t="s">
        <v>373</v>
      </c>
      <c r="G392" s="4">
        <v>29475.5</v>
      </c>
      <c r="H392" s="4">
        <v>0</v>
      </c>
      <c r="I392" s="4">
        <v>-23795920.390000001</v>
      </c>
    </row>
    <row r="393" spans="1:9" x14ac:dyDescent="0.3">
      <c r="A393" t="s">
        <v>133</v>
      </c>
      <c r="B393" s="1">
        <v>45871</v>
      </c>
      <c r="C393" s="1">
        <v>45871</v>
      </c>
      <c r="D393">
        <v>910704</v>
      </c>
      <c r="E393">
        <v>73</v>
      </c>
      <c r="F393" s="3" t="s">
        <v>374</v>
      </c>
      <c r="G393" s="4">
        <v>480000</v>
      </c>
      <c r="H393" s="4">
        <v>0</v>
      </c>
      <c r="I393" s="4">
        <v>-23315920.390000001</v>
      </c>
    </row>
    <row r="394" spans="1:9" x14ac:dyDescent="0.3">
      <c r="A394" t="s">
        <v>133</v>
      </c>
      <c r="B394" s="1">
        <v>45871</v>
      </c>
      <c r="C394" s="1">
        <v>45871</v>
      </c>
      <c r="D394">
        <v>910710</v>
      </c>
      <c r="E394">
        <v>382</v>
      </c>
      <c r="F394" s="3" t="s">
        <v>375</v>
      </c>
      <c r="G394" s="4">
        <v>61421</v>
      </c>
      <c r="H394" s="4">
        <v>0</v>
      </c>
      <c r="I394" s="4">
        <v>-23254499.390000001</v>
      </c>
    </row>
    <row r="395" spans="1:9" x14ac:dyDescent="0.3">
      <c r="A395" t="s">
        <v>133</v>
      </c>
      <c r="B395" s="1">
        <v>45871</v>
      </c>
      <c r="C395" s="1">
        <v>45871</v>
      </c>
      <c r="D395">
        <v>910713</v>
      </c>
      <c r="E395">
        <v>382</v>
      </c>
      <c r="F395" s="3" t="s">
        <v>376</v>
      </c>
      <c r="G395" s="4">
        <v>84015</v>
      </c>
      <c r="H395" s="4">
        <v>0</v>
      </c>
      <c r="I395" s="4">
        <v>-23170484.390000001</v>
      </c>
    </row>
    <row r="396" spans="1:9" x14ac:dyDescent="0.3">
      <c r="A396" t="s">
        <v>133</v>
      </c>
      <c r="B396" s="1">
        <v>45871</v>
      </c>
      <c r="C396" s="1">
        <v>45871</v>
      </c>
      <c r="D396">
        <v>910714</v>
      </c>
      <c r="E396">
        <v>51</v>
      </c>
      <c r="F396" s="3" t="s">
        <v>377</v>
      </c>
      <c r="G396" s="4">
        <v>510000</v>
      </c>
      <c r="H396" s="4">
        <v>0</v>
      </c>
      <c r="I396" s="4">
        <v>-22660484.390000001</v>
      </c>
    </row>
    <row r="397" spans="1:9" x14ac:dyDescent="0.3">
      <c r="A397" t="s">
        <v>133</v>
      </c>
      <c r="B397" s="1">
        <v>45871</v>
      </c>
      <c r="C397" s="1">
        <v>45871</v>
      </c>
      <c r="D397">
        <v>910715</v>
      </c>
      <c r="E397">
        <v>78</v>
      </c>
      <c r="F397" s="3" t="s">
        <v>378</v>
      </c>
      <c r="G397" s="4">
        <v>45580</v>
      </c>
      <c r="H397" s="4">
        <v>0</v>
      </c>
      <c r="I397" s="4">
        <v>-22614904.390000001</v>
      </c>
    </row>
    <row r="398" spans="1:9" x14ac:dyDescent="0.3">
      <c r="A398" t="s">
        <v>133</v>
      </c>
      <c r="B398" s="1">
        <v>45871</v>
      </c>
      <c r="C398" s="1">
        <v>45871</v>
      </c>
      <c r="D398">
        <v>910716</v>
      </c>
      <c r="E398">
        <v>18</v>
      </c>
      <c r="F398" s="3" t="s">
        <v>379</v>
      </c>
      <c r="G398" s="4">
        <v>630000</v>
      </c>
      <c r="H398" s="4">
        <v>0</v>
      </c>
      <c r="I398" s="4">
        <v>-21984904.390000001</v>
      </c>
    </row>
    <row r="399" spans="1:9" x14ac:dyDescent="0.3">
      <c r="A399" t="s">
        <v>133</v>
      </c>
      <c r="B399" s="1">
        <v>45871</v>
      </c>
      <c r="C399" s="1">
        <v>45871</v>
      </c>
      <c r="D399">
        <v>910718</v>
      </c>
      <c r="E399">
        <v>94</v>
      </c>
      <c r="F399" s="3" t="s">
        <v>380</v>
      </c>
      <c r="G399" s="4">
        <v>564526.75</v>
      </c>
      <c r="H399" s="4">
        <v>0</v>
      </c>
      <c r="I399" s="4">
        <v>-21420377.640000001</v>
      </c>
    </row>
    <row r="400" spans="1:9" x14ac:dyDescent="0.3">
      <c r="A400" t="s">
        <v>133</v>
      </c>
      <c r="B400" s="1">
        <v>45871</v>
      </c>
      <c r="C400" s="1">
        <v>45871</v>
      </c>
      <c r="D400">
        <v>910720</v>
      </c>
      <c r="E400">
        <v>91</v>
      </c>
      <c r="F400" s="3" t="s">
        <v>381</v>
      </c>
      <c r="G400" s="4">
        <v>213116.25</v>
      </c>
      <c r="H400" s="4">
        <v>0</v>
      </c>
      <c r="I400" s="4">
        <v>-21207261.390000001</v>
      </c>
    </row>
    <row r="401" spans="1:9" x14ac:dyDescent="0.3">
      <c r="A401" t="s">
        <v>133</v>
      </c>
      <c r="B401" s="1">
        <v>45871</v>
      </c>
      <c r="C401" s="1">
        <v>45871</v>
      </c>
      <c r="D401">
        <v>910723</v>
      </c>
      <c r="E401">
        <v>351</v>
      </c>
      <c r="F401" s="3" t="s">
        <v>382</v>
      </c>
      <c r="G401" s="4">
        <v>7214</v>
      </c>
      <c r="H401" s="4">
        <v>0</v>
      </c>
      <c r="I401" s="4">
        <v>-21200047.390000001</v>
      </c>
    </row>
    <row r="402" spans="1:9" x14ac:dyDescent="0.3">
      <c r="A402" t="s">
        <v>133</v>
      </c>
      <c r="B402" s="1">
        <v>45871</v>
      </c>
      <c r="C402" s="1">
        <v>45871</v>
      </c>
      <c r="D402">
        <v>910724</v>
      </c>
      <c r="E402">
        <v>351</v>
      </c>
      <c r="F402" s="3" t="s">
        <v>383</v>
      </c>
      <c r="G402" s="4">
        <v>3579</v>
      </c>
      <c r="H402" s="4">
        <v>0</v>
      </c>
      <c r="I402" s="4">
        <v>-21196468.390000001</v>
      </c>
    </row>
    <row r="403" spans="1:9" x14ac:dyDescent="0.3">
      <c r="A403" t="s">
        <v>133</v>
      </c>
      <c r="B403" s="1">
        <v>45871</v>
      </c>
      <c r="C403" s="1">
        <v>45871</v>
      </c>
      <c r="D403">
        <v>910725</v>
      </c>
      <c r="E403">
        <v>351</v>
      </c>
      <c r="F403" s="3" t="s">
        <v>384</v>
      </c>
      <c r="G403" s="4">
        <v>209013.5</v>
      </c>
      <c r="H403" s="4">
        <v>0</v>
      </c>
      <c r="I403" s="4">
        <v>-20987454.890000001</v>
      </c>
    </row>
    <row r="404" spans="1:9" x14ac:dyDescent="0.3">
      <c r="A404" t="s">
        <v>133</v>
      </c>
      <c r="B404" s="1">
        <v>45871</v>
      </c>
      <c r="C404" s="1">
        <v>45871</v>
      </c>
      <c r="D404">
        <v>910726</v>
      </c>
      <c r="E404">
        <v>351</v>
      </c>
      <c r="F404" s="3" t="s">
        <v>385</v>
      </c>
      <c r="G404" s="4">
        <v>6180</v>
      </c>
      <c r="H404" s="4">
        <v>0</v>
      </c>
      <c r="I404" s="4">
        <v>-20981274.890000001</v>
      </c>
    </row>
    <row r="405" spans="1:9" x14ac:dyDescent="0.3">
      <c r="A405" t="s">
        <v>133</v>
      </c>
      <c r="B405" s="1">
        <v>45871</v>
      </c>
      <c r="C405" s="1">
        <v>45871</v>
      </c>
      <c r="D405">
        <v>910728</v>
      </c>
      <c r="E405">
        <v>17</v>
      </c>
      <c r="F405" s="3">
        <v>113</v>
      </c>
      <c r="G405" s="4">
        <v>370000</v>
      </c>
      <c r="H405" s="4">
        <v>0</v>
      </c>
      <c r="I405" s="4">
        <v>-20611274.890000001</v>
      </c>
    </row>
    <row r="406" spans="1:9" x14ac:dyDescent="0.3">
      <c r="A406" t="s">
        <v>133</v>
      </c>
      <c r="B406" s="1">
        <v>45871</v>
      </c>
      <c r="C406" s="1">
        <v>45871</v>
      </c>
      <c r="D406">
        <v>910731</v>
      </c>
      <c r="E406">
        <v>89</v>
      </c>
      <c r="F406" s="3" t="s">
        <v>386</v>
      </c>
      <c r="G406" s="4">
        <v>73540.5</v>
      </c>
      <c r="H406" s="4">
        <v>0</v>
      </c>
      <c r="I406" s="4">
        <v>-20537734.390000001</v>
      </c>
    </row>
    <row r="407" spans="1:9" x14ac:dyDescent="0.3">
      <c r="A407" t="s">
        <v>133</v>
      </c>
      <c r="B407" s="1">
        <v>45871</v>
      </c>
      <c r="C407" s="1">
        <v>45871</v>
      </c>
      <c r="D407">
        <v>910734</v>
      </c>
      <c r="E407">
        <v>78</v>
      </c>
      <c r="F407" s="3" t="s">
        <v>387</v>
      </c>
      <c r="G407" s="4">
        <v>4000</v>
      </c>
      <c r="H407" s="4">
        <v>0</v>
      </c>
      <c r="I407" s="4">
        <v>-20533734.390000001</v>
      </c>
    </row>
    <row r="408" spans="1:9" x14ac:dyDescent="0.3">
      <c r="A408" t="s">
        <v>133</v>
      </c>
      <c r="B408" s="1">
        <v>45871</v>
      </c>
      <c r="C408" s="1">
        <v>45871</v>
      </c>
      <c r="D408">
        <v>910737</v>
      </c>
      <c r="E408">
        <v>351</v>
      </c>
      <c r="F408" s="3" t="s">
        <v>388</v>
      </c>
      <c r="G408" s="4">
        <v>7214</v>
      </c>
      <c r="H408" s="4">
        <v>0</v>
      </c>
      <c r="I408" s="4">
        <v>-20526520.390000001</v>
      </c>
    </row>
    <row r="409" spans="1:9" x14ac:dyDescent="0.3">
      <c r="A409" t="s">
        <v>133</v>
      </c>
      <c r="B409" s="1">
        <v>45871</v>
      </c>
      <c r="C409" s="1">
        <v>45871</v>
      </c>
      <c r="D409">
        <v>910738</v>
      </c>
      <c r="E409">
        <v>351</v>
      </c>
      <c r="F409" s="3" t="s">
        <v>389</v>
      </c>
      <c r="G409" s="4">
        <v>547835</v>
      </c>
      <c r="H409" s="4">
        <v>0</v>
      </c>
      <c r="I409" s="4">
        <v>-19978685.390000001</v>
      </c>
    </row>
    <row r="410" spans="1:9" x14ac:dyDescent="0.3">
      <c r="A410" t="s">
        <v>133</v>
      </c>
      <c r="B410" s="1">
        <v>45871</v>
      </c>
      <c r="C410" s="1">
        <v>45871</v>
      </c>
      <c r="D410">
        <v>910754</v>
      </c>
      <c r="E410">
        <v>17</v>
      </c>
      <c r="F410" s="3" t="s">
        <v>390</v>
      </c>
      <c r="G410" s="4">
        <v>210000</v>
      </c>
      <c r="H410" s="4">
        <v>0</v>
      </c>
      <c r="I410" s="4">
        <v>-19768685.390000001</v>
      </c>
    </row>
    <row r="411" spans="1:9" x14ac:dyDescent="0.3">
      <c r="A411" t="s">
        <v>133</v>
      </c>
      <c r="B411" s="1">
        <v>45871</v>
      </c>
      <c r="C411" s="1">
        <v>45871</v>
      </c>
      <c r="D411">
        <v>910760</v>
      </c>
      <c r="E411">
        <v>27</v>
      </c>
      <c r="F411" s="3" t="s">
        <v>391</v>
      </c>
      <c r="G411" s="4">
        <v>986526</v>
      </c>
      <c r="H411" s="4">
        <v>0</v>
      </c>
      <c r="I411" s="4">
        <v>-18782159.390000001</v>
      </c>
    </row>
    <row r="412" spans="1:9" x14ac:dyDescent="0.3">
      <c r="A412" t="s">
        <v>133</v>
      </c>
      <c r="B412" s="1">
        <v>45871</v>
      </c>
      <c r="C412" s="1">
        <v>45871</v>
      </c>
      <c r="D412">
        <v>910776</v>
      </c>
      <c r="E412">
        <v>301</v>
      </c>
      <c r="F412" s="3" t="s">
        <v>392</v>
      </c>
      <c r="G412" s="4">
        <v>400000</v>
      </c>
      <c r="H412" s="4">
        <v>0</v>
      </c>
      <c r="I412" s="4">
        <v>-18382159.390000001</v>
      </c>
    </row>
    <row r="413" spans="1:9" x14ac:dyDescent="0.3">
      <c r="A413" t="s">
        <v>133</v>
      </c>
      <c r="B413" s="1">
        <v>45871</v>
      </c>
      <c r="C413" s="1">
        <v>45871</v>
      </c>
      <c r="D413">
        <v>910781</v>
      </c>
      <c r="E413">
        <v>14</v>
      </c>
      <c r="F413" s="3" t="s">
        <v>393</v>
      </c>
      <c r="G413" s="4">
        <v>400000</v>
      </c>
      <c r="H413" s="4">
        <v>0</v>
      </c>
      <c r="I413" s="4">
        <v>-17982159.390000001</v>
      </c>
    </row>
    <row r="414" spans="1:9" x14ac:dyDescent="0.3">
      <c r="A414" t="s">
        <v>133</v>
      </c>
      <c r="B414" s="1">
        <v>45871</v>
      </c>
      <c r="C414" s="1">
        <v>45871</v>
      </c>
      <c r="D414">
        <v>910782</v>
      </c>
      <c r="E414">
        <v>28</v>
      </c>
      <c r="F414" s="3" t="s">
        <v>394</v>
      </c>
      <c r="G414" s="4">
        <v>210005</v>
      </c>
      <c r="H414" s="4">
        <v>0</v>
      </c>
      <c r="I414" s="4">
        <v>-17772154.390000001</v>
      </c>
    </row>
    <row r="415" spans="1:9" x14ac:dyDescent="0.3">
      <c r="A415" t="s">
        <v>133</v>
      </c>
      <c r="B415" s="1">
        <v>45871</v>
      </c>
      <c r="C415" s="1">
        <v>45871</v>
      </c>
      <c r="D415">
        <v>910783</v>
      </c>
      <c r="E415">
        <v>36</v>
      </c>
      <c r="F415" s="3" t="s">
        <v>395</v>
      </c>
      <c r="G415" s="4">
        <v>300000</v>
      </c>
      <c r="H415" s="4">
        <v>0</v>
      </c>
      <c r="I415" s="4">
        <v>-17472154.390000001</v>
      </c>
    </row>
    <row r="416" spans="1:9" x14ac:dyDescent="0.3">
      <c r="A416" t="s">
        <v>133</v>
      </c>
      <c r="B416" s="1">
        <v>45871</v>
      </c>
      <c r="C416" s="1">
        <v>45871</v>
      </c>
      <c r="D416">
        <v>910785</v>
      </c>
      <c r="E416">
        <v>55</v>
      </c>
      <c r="F416" s="3" t="s">
        <v>396</v>
      </c>
      <c r="G416" s="4">
        <v>600000</v>
      </c>
      <c r="H416" s="4">
        <v>0</v>
      </c>
      <c r="I416" s="4">
        <v>-16872154.390000001</v>
      </c>
    </row>
    <row r="417" spans="1:9" x14ac:dyDescent="0.3">
      <c r="A417" t="s">
        <v>133</v>
      </c>
      <c r="B417" s="1">
        <v>45871</v>
      </c>
      <c r="C417" s="1">
        <v>45871</v>
      </c>
      <c r="D417">
        <v>910786</v>
      </c>
      <c r="E417">
        <v>26</v>
      </c>
      <c r="F417" s="3" t="s">
        <v>397</v>
      </c>
      <c r="G417" s="4">
        <v>650000</v>
      </c>
      <c r="H417" s="4">
        <v>0</v>
      </c>
      <c r="I417" s="4">
        <v>-16222154.390000001</v>
      </c>
    </row>
    <row r="418" spans="1:9" x14ac:dyDescent="0.3">
      <c r="A418" t="s">
        <v>133</v>
      </c>
      <c r="B418" s="1">
        <v>45871</v>
      </c>
      <c r="C418" s="1">
        <v>45871</v>
      </c>
      <c r="D418">
        <v>910788</v>
      </c>
      <c r="E418">
        <v>92</v>
      </c>
      <c r="F418" s="3" t="s">
        <v>398</v>
      </c>
      <c r="G418" s="4">
        <v>450000</v>
      </c>
      <c r="H418" s="4">
        <v>0</v>
      </c>
      <c r="I418" s="4">
        <v>-15772154.390000001</v>
      </c>
    </row>
    <row r="419" spans="1:9" x14ac:dyDescent="0.3">
      <c r="A419" t="s">
        <v>133</v>
      </c>
      <c r="B419" s="1">
        <v>45871</v>
      </c>
      <c r="C419" s="1">
        <v>45871</v>
      </c>
      <c r="D419">
        <v>910790</v>
      </c>
      <c r="E419">
        <v>66</v>
      </c>
      <c r="F419" s="3" t="s">
        <v>399</v>
      </c>
      <c r="G419" s="4">
        <v>200000</v>
      </c>
      <c r="H419" s="4">
        <v>0</v>
      </c>
      <c r="I419" s="4">
        <v>-15572154.390000001</v>
      </c>
    </row>
    <row r="420" spans="1:9" x14ac:dyDescent="0.3">
      <c r="A420" t="s">
        <v>133</v>
      </c>
      <c r="B420" s="1">
        <v>45871</v>
      </c>
      <c r="C420" s="1">
        <v>45871</v>
      </c>
      <c r="D420">
        <v>910796</v>
      </c>
      <c r="E420">
        <v>75</v>
      </c>
      <c r="F420" s="3" t="s">
        <v>400</v>
      </c>
      <c r="G420" s="4">
        <v>395000</v>
      </c>
      <c r="H420" s="4">
        <v>0</v>
      </c>
      <c r="I420" s="4">
        <v>-15177154.390000001</v>
      </c>
    </row>
    <row r="421" spans="1:9" x14ac:dyDescent="0.3">
      <c r="A421" t="s">
        <v>133</v>
      </c>
      <c r="B421" s="1">
        <v>45871</v>
      </c>
      <c r="C421" s="1">
        <v>45871</v>
      </c>
      <c r="D421">
        <v>910804</v>
      </c>
      <c r="E421">
        <v>56</v>
      </c>
      <c r="F421" s="3" t="s">
        <v>401</v>
      </c>
      <c r="G421" s="4">
        <v>14804</v>
      </c>
      <c r="H421" s="4">
        <v>0</v>
      </c>
      <c r="I421" s="4">
        <v>-15162350.390000001</v>
      </c>
    </row>
    <row r="422" spans="1:9" x14ac:dyDescent="0.3">
      <c r="A422" t="s">
        <v>133</v>
      </c>
      <c r="B422" s="1">
        <v>45871</v>
      </c>
      <c r="C422" s="1">
        <v>45871</v>
      </c>
      <c r="D422">
        <v>910807</v>
      </c>
      <c r="E422">
        <v>12</v>
      </c>
      <c r="F422" s="3" t="s">
        <v>402</v>
      </c>
      <c r="G422" s="4">
        <v>610000</v>
      </c>
      <c r="H422" s="4">
        <v>0</v>
      </c>
      <c r="I422" s="4">
        <v>-14552350.390000001</v>
      </c>
    </row>
    <row r="423" spans="1:9" x14ac:dyDescent="0.3">
      <c r="A423" t="s">
        <v>133</v>
      </c>
      <c r="B423" s="1">
        <v>45871</v>
      </c>
      <c r="C423" s="1">
        <v>45871</v>
      </c>
      <c r="D423">
        <v>910809</v>
      </c>
      <c r="E423">
        <v>74</v>
      </c>
      <c r="F423" s="3" t="s">
        <v>403</v>
      </c>
      <c r="G423" s="4">
        <v>610000</v>
      </c>
      <c r="H423" s="4">
        <v>0</v>
      </c>
      <c r="I423" s="4">
        <v>-13942350.390000001</v>
      </c>
    </row>
    <row r="424" spans="1:9" x14ac:dyDescent="0.3">
      <c r="A424" t="s">
        <v>133</v>
      </c>
      <c r="B424" s="1">
        <v>45871</v>
      </c>
      <c r="C424" s="1">
        <v>45871</v>
      </c>
      <c r="D424">
        <v>910810</v>
      </c>
      <c r="E424">
        <v>31</v>
      </c>
      <c r="F424" s="3" t="s">
        <v>404</v>
      </c>
      <c r="G424" s="4">
        <v>800000</v>
      </c>
      <c r="H424" s="4">
        <v>0</v>
      </c>
      <c r="I424" s="4">
        <v>-13142350.390000001</v>
      </c>
    </row>
    <row r="425" spans="1:9" x14ac:dyDescent="0.3">
      <c r="A425" t="s">
        <v>133</v>
      </c>
      <c r="B425" s="1">
        <v>45871</v>
      </c>
      <c r="C425" s="1">
        <v>45871</v>
      </c>
      <c r="D425">
        <v>910811</v>
      </c>
      <c r="E425">
        <v>64</v>
      </c>
      <c r="F425" s="3" t="s">
        <v>405</v>
      </c>
      <c r="G425" s="4">
        <v>575000</v>
      </c>
      <c r="H425" s="4">
        <v>0</v>
      </c>
      <c r="I425" s="4">
        <v>-12567350.390000001</v>
      </c>
    </row>
    <row r="426" spans="1:9" x14ac:dyDescent="0.3">
      <c r="A426" t="s">
        <v>133</v>
      </c>
      <c r="B426" s="1">
        <v>45871</v>
      </c>
      <c r="C426" s="1">
        <v>45871</v>
      </c>
      <c r="D426">
        <v>910812</v>
      </c>
      <c r="E426">
        <v>28</v>
      </c>
      <c r="F426" s="3" t="s">
        <v>406</v>
      </c>
      <c r="G426" s="4">
        <v>190000</v>
      </c>
      <c r="H426" s="4">
        <v>0</v>
      </c>
      <c r="I426" s="4">
        <v>-12377350.390000001</v>
      </c>
    </row>
    <row r="427" spans="1:9" x14ac:dyDescent="0.3">
      <c r="A427" t="s">
        <v>133</v>
      </c>
      <c r="B427" s="1">
        <v>45871</v>
      </c>
      <c r="C427" s="1">
        <v>45871</v>
      </c>
      <c r="D427">
        <v>910814</v>
      </c>
      <c r="E427">
        <v>58</v>
      </c>
      <c r="F427" s="3" t="s">
        <v>407</v>
      </c>
      <c r="G427" s="4">
        <v>160000</v>
      </c>
      <c r="H427" s="4">
        <v>0</v>
      </c>
      <c r="I427" s="4">
        <v>-12217350.390000001</v>
      </c>
    </row>
    <row r="428" spans="1:9" x14ac:dyDescent="0.3">
      <c r="A428" t="s">
        <v>133</v>
      </c>
      <c r="B428" s="1">
        <v>45871</v>
      </c>
      <c r="C428" s="1">
        <v>45871</v>
      </c>
      <c r="D428">
        <v>910817</v>
      </c>
      <c r="E428">
        <v>361</v>
      </c>
      <c r="F428" s="3">
        <v>102014029434</v>
      </c>
      <c r="G428" s="4">
        <v>445000</v>
      </c>
      <c r="H428" s="4">
        <v>0</v>
      </c>
      <c r="I428" s="4">
        <v>-11772350.390000001</v>
      </c>
    </row>
    <row r="429" spans="1:9" x14ac:dyDescent="0.3">
      <c r="A429" t="s">
        <v>133</v>
      </c>
      <c r="B429" s="1">
        <v>45871</v>
      </c>
      <c r="C429" s="1">
        <v>45871</v>
      </c>
      <c r="D429">
        <v>910819</v>
      </c>
      <c r="E429">
        <v>54</v>
      </c>
      <c r="F429" s="3" t="s">
        <v>408</v>
      </c>
      <c r="G429" s="4">
        <v>520000</v>
      </c>
      <c r="H429" s="4">
        <v>0</v>
      </c>
      <c r="I429" s="4">
        <v>-11252350.390000001</v>
      </c>
    </row>
    <row r="430" spans="1:9" x14ac:dyDescent="0.3">
      <c r="A430" t="s">
        <v>133</v>
      </c>
      <c r="B430" s="1">
        <v>45871</v>
      </c>
      <c r="C430" s="1">
        <v>45871</v>
      </c>
      <c r="D430">
        <v>910822</v>
      </c>
      <c r="E430">
        <v>28</v>
      </c>
      <c r="F430" s="3">
        <v>50717155482</v>
      </c>
      <c r="G430" s="4">
        <v>29759.75</v>
      </c>
      <c r="H430" s="4">
        <v>0</v>
      </c>
      <c r="I430" s="4">
        <v>-11222590.640000001</v>
      </c>
    </row>
    <row r="431" spans="1:9" x14ac:dyDescent="0.3">
      <c r="A431" t="s">
        <v>133</v>
      </c>
      <c r="B431" s="1">
        <v>45871</v>
      </c>
      <c r="C431" s="1">
        <v>45871</v>
      </c>
      <c r="D431">
        <v>910824</v>
      </c>
      <c r="E431">
        <v>59</v>
      </c>
      <c r="F431" s="3" t="s">
        <v>409</v>
      </c>
      <c r="G431" s="4">
        <v>30322.5</v>
      </c>
      <c r="H431" s="4">
        <v>0</v>
      </c>
      <c r="I431" s="4">
        <v>-11192268.140000001</v>
      </c>
    </row>
    <row r="432" spans="1:9" x14ac:dyDescent="0.3">
      <c r="A432" t="s">
        <v>133</v>
      </c>
      <c r="B432" s="1">
        <v>45871</v>
      </c>
      <c r="C432" s="1">
        <v>45871</v>
      </c>
      <c r="D432">
        <v>910828</v>
      </c>
      <c r="E432">
        <v>71</v>
      </c>
      <c r="F432" s="3" t="s">
        <v>410</v>
      </c>
      <c r="G432" s="4">
        <v>220000</v>
      </c>
      <c r="H432" s="4">
        <v>0</v>
      </c>
      <c r="I432" s="4">
        <v>-10972268.140000001</v>
      </c>
    </row>
    <row r="433" spans="1:9" x14ac:dyDescent="0.3">
      <c r="A433" t="s">
        <v>133</v>
      </c>
      <c r="B433" s="1">
        <v>45871</v>
      </c>
      <c r="C433" s="1">
        <v>45871</v>
      </c>
      <c r="D433">
        <v>910829</v>
      </c>
      <c r="E433">
        <v>61</v>
      </c>
      <c r="F433" s="3" t="s">
        <v>411</v>
      </c>
      <c r="G433" s="4">
        <v>21505.25</v>
      </c>
      <c r="H433" s="4">
        <v>0</v>
      </c>
      <c r="I433" s="4">
        <v>-10950762.890000001</v>
      </c>
    </row>
    <row r="434" spans="1:9" x14ac:dyDescent="0.3">
      <c r="A434" t="s">
        <v>133</v>
      </c>
      <c r="B434" s="1">
        <v>45871</v>
      </c>
      <c r="C434" s="1">
        <v>45871</v>
      </c>
      <c r="D434">
        <v>910834</v>
      </c>
      <c r="E434">
        <v>32</v>
      </c>
      <c r="F434" s="3" t="s">
        <v>412</v>
      </c>
      <c r="G434" s="4">
        <v>250000</v>
      </c>
      <c r="H434" s="4">
        <v>0</v>
      </c>
      <c r="I434" s="4">
        <v>-10700762.890000001</v>
      </c>
    </row>
    <row r="435" spans="1:9" x14ac:dyDescent="0.3">
      <c r="A435" t="s">
        <v>133</v>
      </c>
      <c r="B435" s="1">
        <v>45871</v>
      </c>
      <c r="C435" s="1">
        <v>45871</v>
      </c>
      <c r="D435">
        <v>910840</v>
      </c>
      <c r="E435">
        <v>220</v>
      </c>
      <c r="F435" s="3" t="s">
        <v>413</v>
      </c>
      <c r="G435" s="4">
        <v>188884.25</v>
      </c>
      <c r="H435" s="4">
        <v>0</v>
      </c>
      <c r="I435" s="4">
        <v>-10511878.640000001</v>
      </c>
    </row>
    <row r="436" spans="1:9" x14ac:dyDescent="0.3">
      <c r="A436" t="s">
        <v>133</v>
      </c>
      <c r="B436" s="1">
        <v>45871</v>
      </c>
      <c r="C436" s="1">
        <v>45871</v>
      </c>
      <c r="D436">
        <v>910841</v>
      </c>
      <c r="E436">
        <v>220</v>
      </c>
      <c r="F436" s="3" t="s">
        <v>414</v>
      </c>
      <c r="G436" s="4">
        <v>46298.25</v>
      </c>
      <c r="H436" s="4">
        <v>0</v>
      </c>
      <c r="I436" s="4">
        <v>-10465580.390000001</v>
      </c>
    </row>
    <row r="437" spans="1:9" x14ac:dyDescent="0.3">
      <c r="A437" t="s">
        <v>133</v>
      </c>
      <c r="B437" s="1">
        <v>45871</v>
      </c>
      <c r="C437" s="1">
        <v>45871</v>
      </c>
      <c r="D437">
        <v>910842</v>
      </c>
      <c r="E437">
        <v>53</v>
      </c>
      <c r="F437" s="3" t="s">
        <v>415</v>
      </c>
      <c r="G437" s="4">
        <v>9996.5</v>
      </c>
      <c r="H437" s="4">
        <v>0</v>
      </c>
      <c r="I437" s="4">
        <v>-10455583.890000001</v>
      </c>
    </row>
    <row r="438" spans="1:9" x14ac:dyDescent="0.3">
      <c r="A438" t="s">
        <v>133</v>
      </c>
      <c r="B438" s="1">
        <v>45871</v>
      </c>
      <c r="C438" s="1">
        <v>45871</v>
      </c>
      <c r="D438">
        <v>910852</v>
      </c>
      <c r="E438">
        <v>65</v>
      </c>
      <c r="F438" s="3" t="s">
        <v>416</v>
      </c>
      <c r="G438" s="4">
        <v>200000</v>
      </c>
      <c r="H438" s="4">
        <v>0</v>
      </c>
      <c r="I438" s="4">
        <v>-10255583.890000001</v>
      </c>
    </row>
    <row r="439" spans="1:9" x14ac:dyDescent="0.3">
      <c r="A439" t="s">
        <v>133</v>
      </c>
      <c r="B439" s="1">
        <v>45871</v>
      </c>
      <c r="C439" s="1">
        <v>45871</v>
      </c>
      <c r="D439">
        <v>910859</v>
      </c>
      <c r="E439">
        <v>24</v>
      </c>
      <c r="F439" s="3" t="s">
        <v>417</v>
      </c>
      <c r="G439" s="4">
        <v>400000</v>
      </c>
      <c r="H439" s="4">
        <v>0</v>
      </c>
      <c r="I439" s="4">
        <v>-9855583.8900000006</v>
      </c>
    </row>
    <row r="440" spans="1:9" x14ac:dyDescent="0.3">
      <c r="A440" t="s">
        <v>133</v>
      </c>
      <c r="B440" s="1">
        <v>45871</v>
      </c>
      <c r="C440" s="1">
        <v>45871</v>
      </c>
      <c r="D440">
        <v>910864</v>
      </c>
      <c r="E440">
        <v>79</v>
      </c>
      <c r="F440" s="3" t="s">
        <v>418</v>
      </c>
      <c r="G440" s="4">
        <v>400000</v>
      </c>
      <c r="H440" s="4">
        <v>0</v>
      </c>
      <c r="I440" s="4">
        <v>-9455583.8900000006</v>
      </c>
    </row>
    <row r="441" spans="1:9" x14ac:dyDescent="0.3">
      <c r="A441" t="s">
        <v>133</v>
      </c>
      <c r="B441" s="1">
        <v>45871</v>
      </c>
      <c r="C441" s="1">
        <v>45871</v>
      </c>
      <c r="D441">
        <v>910867</v>
      </c>
      <c r="E441">
        <v>67</v>
      </c>
      <c r="F441" s="3" t="s">
        <v>181</v>
      </c>
      <c r="G441" s="4">
        <v>310000</v>
      </c>
      <c r="H441" s="4">
        <v>0</v>
      </c>
      <c r="I441" s="4">
        <v>-9145583.8900000006</v>
      </c>
    </row>
    <row r="442" spans="1:9" x14ac:dyDescent="0.3">
      <c r="A442" t="s">
        <v>133</v>
      </c>
      <c r="B442" s="1">
        <v>45871</v>
      </c>
      <c r="C442" s="1">
        <v>45871</v>
      </c>
      <c r="D442">
        <v>910870</v>
      </c>
      <c r="E442">
        <v>27</v>
      </c>
      <c r="F442" s="3" t="s">
        <v>419</v>
      </c>
      <c r="G442" s="4">
        <v>42397.5</v>
      </c>
      <c r="H442" s="4">
        <v>0</v>
      </c>
      <c r="I442" s="4">
        <v>-9103186.3900000006</v>
      </c>
    </row>
    <row r="443" spans="1:9" x14ac:dyDescent="0.3">
      <c r="A443" t="s">
        <v>133</v>
      </c>
      <c r="B443" s="1">
        <v>45871</v>
      </c>
      <c r="C443" s="1">
        <v>45871</v>
      </c>
      <c r="D443">
        <v>910875</v>
      </c>
      <c r="E443">
        <v>77</v>
      </c>
      <c r="F443" s="3" t="s">
        <v>420</v>
      </c>
      <c r="G443" s="4">
        <v>600000</v>
      </c>
      <c r="H443" s="4">
        <v>0</v>
      </c>
      <c r="I443" s="4">
        <v>-8503186.3900000006</v>
      </c>
    </row>
    <row r="444" spans="1:9" x14ac:dyDescent="0.3">
      <c r="A444" t="s">
        <v>133</v>
      </c>
      <c r="B444" s="1">
        <v>45871</v>
      </c>
      <c r="C444" s="1">
        <v>45871</v>
      </c>
      <c r="D444">
        <v>910876</v>
      </c>
      <c r="E444">
        <v>15</v>
      </c>
      <c r="F444" s="3" t="s">
        <v>421</v>
      </c>
      <c r="G444" s="4">
        <v>220000</v>
      </c>
      <c r="H444" s="4">
        <v>0</v>
      </c>
      <c r="I444" s="4">
        <v>-8283186.3899999997</v>
      </c>
    </row>
    <row r="445" spans="1:9" x14ac:dyDescent="0.3">
      <c r="A445" t="s">
        <v>133</v>
      </c>
      <c r="B445" s="1">
        <v>45871</v>
      </c>
      <c r="C445" s="1">
        <v>45871</v>
      </c>
      <c r="D445">
        <v>910879</v>
      </c>
      <c r="E445">
        <v>82</v>
      </c>
      <c r="F445" s="3">
        <v>5620820003526</v>
      </c>
      <c r="G445" s="4">
        <v>25000</v>
      </c>
      <c r="H445" s="4">
        <v>0</v>
      </c>
      <c r="I445" s="4">
        <v>-8258186.3899999997</v>
      </c>
    </row>
    <row r="446" spans="1:9" x14ac:dyDescent="0.3">
      <c r="A446" t="s">
        <v>133</v>
      </c>
      <c r="B446" s="1">
        <v>45871</v>
      </c>
      <c r="C446" s="1">
        <v>45871</v>
      </c>
      <c r="D446">
        <v>910880</v>
      </c>
      <c r="E446">
        <v>81</v>
      </c>
      <c r="F446" s="3" t="s">
        <v>422</v>
      </c>
      <c r="G446" s="4">
        <v>1000000</v>
      </c>
      <c r="H446" s="4">
        <v>0</v>
      </c>
      <c r="I446" s="4">
        <v>-7258186.3899999997</v>
      </c>
    </row>
    <row r="447" spans="1:9" x14ac:dyDescent="0.3">
      <c r="A447" t="s">
        <v>133</v>
      </c>
      <c r="B447" s="1">
        <v>45871</v>
      </c>
      <c r="C447" s="1">
        <v>45871</v>
      </c>
      <c r="D447">
        <v>910881</v>
      </c>
      <c r="E447">
        <v>85</v>
      </c>
      <c r="F447" s="3" t="s">
        <v>423</v>
      </c>
      <c r="G447" s="4">
        <v>670000</v>
      </c>
      <c r="H447" s="4">
        <v>0</v>
      </c>
      <c r="I447" s="4">
        <v>-6588186.3899999997</v>
      </c>
    </row>
    <row r="448" spans="1:9" x14ac:dyDescent="0.3">
      <c r="A448" t="s">
        <v>133</v>
      </c>
      <c r="B448" s="1">
        <v>45871</v>
      </c>
      <c r="C448" s="1">
        <v>45871</v>
      </c>
      <c r="D448">
        <v>910882</v>
      </c>
      <c r="E448">
        <v>220</v>
      </c>
      <c r="F448" s="3" t="s">
        <v>424</v>
      </c>
      <c r="G448" s="4">
        <v>330000</v>
      </c>
      <c r="H448" s="4">
        <v>0</v>
      </c>
      <c r="I448" s="4">
        <v>-6258186.3899999997</v>
      </c>
    </row>
    <row r="449" spans="1:9" x14ac:dyDescent="0.3">
      <c r="A449" t="s">
        <v>133</v>
      </c>
      <c r="B449" s="1">
        <v>45871</v>
      </c>
      <c r="C449" s="1">
        <v>45871</v>
      </c>
      <c r="D449">
        <v>910886</v>
      </c>
      <c r="E449">
        <v>63</v>
      </c>
      <c r="F449" s="3" t="s">
        <v>425</v>
      </c>
      <c r="G449" s="4">
        <v>150000</v>
      </c>
      <c r="H449" s="4">
        <v>0</v>
      </c>
      <c r="I449" s="4">
        <v>-6108186.3899999997</v>
      </c>
    </row>
    <row r="450" spans="1:9" x14ac:dyDescent="0.3">
      <c r="A450" t="s">
        <v>133</v>
      </c>
      <c r="B450" s="1">
        <v>45871</v>
      </c>
      <c r="C450" s="1">
        <v>45871</v>
      </c>
      <c r="D450">
        <v>910889</v>
      </c>
      <c r="E450">
        <v>12</v>
      </c>
      <c r="F450" s="3">
        <v>503393</v>
      </c>
      <c r="G450" s="4">
        <v>240890.5</v>
      </c>
      <c r="H450" s="4">
        <v>0</v>
      </c>
      <c r="I450" s="4">
        <v>-5867295.8899999997</v>
      </c>
    </row>
    <row r="451" spans="1:9" x14ac:dyDescent="0.3">
      <c r="A451" t="s">
        <v>133</v>
      </c>
      <c r="B451" s="1">
        <v>45871</v>
      </c>
      <c r="C451" s="1">
        <v>45871</v>
      </c>
      <c r="D451">
        <v>910891</v>
      </c>
      <c r="E451">
        <v>78</v>
      </c>
      <c r="F451" s="3" t="s">
        <v>426</v>
      </c>
      <c r="G451" s="4">
        <v>230000</v>
      </c>
      <c r="H451" s="4">
        <v>0</v>
      </c>
      <c r="I451" s="4">
        <v>-5637295.8899999997</v>
      </c>
    </row>
    <row r="452" spans="1:9" x14ac:dyDescent="0.3">
      <c r="A452" t="s">
        <v>133</v>
      </c>
      <c r="B452" s="1">
        <v>45871</v>
      </c>
      <c r="C452" s="1">
        <v>45871</v>
      </c>
      <c r="D452">
        <v>910893</v>
      </c>
      <c r="E452">
        <v>12</v>
      </c>
      <c r="F452" s="3">
        <v>500174</v>
      </c>
      <c r="G452" s="4">
        <v>173026</v>
      </c>
      <c r="H452" s="4">
        <v>0</v>
      </c>
      <c r="I452" s="4">
        <v>-5464269.8899999997</v>
      </c>
    </row>
    <row r="453" spans="1:9" x14ac:dyDescent="0.3">
      <c r="A453" t="s">
        <v>133</v>
      </c>
      <c r="B453" s="1">
        <v>45871</v>
      </c>
      <c r="C453" s="1">
        <v>45871</v>
      </c>
      <c r="D453">
        <v>910894</v>
      </c>
      <c r="E453">
        <v>82</v>
      </c>
      <c r="F453" s="3" t="s">
        <v>427</v>
      </c>
      <c r="G453" s="4">
        <v>250000</v>
      </c>
      <c r="H453" s="4">
        <v>0</v>
      </c>
      <c r="I453" s="4">
        <v>-5214269.8899999997</v>
      </c>
    </row>
    <row r="454" spans="1:9" x14ac:dyDescent="0.3">
      <c r="A454" t="s">
        <v>133</v>
      </c>
      <c r="B454" s="1">
        <v>45871</v>
      </c>
      <c r="C454" s="1">
        <v>45871</v>
      </c>
      <c r="D454">
        <v>910897</v>
      </c>
      <c r="E454">
        <v>88</v>
      </c>
      <c r="F454" s="3" t="s">
        <v>428</v>
      </c>
      <c r="G454" s="4">
        <v>2618</v>
      </c>
      <c r="H454" s="4">
        <v>0</v>
      </c>
      <c r="I454" s="4">
        <v>-5211651.8899999997</v>
      </c>
    </row>
    <row r="455" spans="1:9" x14ac:dyDescent="0.3">
      <c r="A455" t="s">
        <v>133</v>
      </c>
      <c r="B455" s="1">
        <v>45871</v>
      </c>
      <c r="C455" s="1">
        <v>45871</v>
      </c>
      <c r="D455">
        <v>910898</v>
      </c>
      <c r="E455">
        <v>11</v>
      </c>
      <c r="F455" s="3" t="s">
        <v>429</v>
      </c>
      <c r="G455" s="4">
        <v>760000</v>
      </c>
      <c r="H455" s="4">
        <v>0</v>
      </c>
      <c r="I455" s="4">
        <v>-4451651.8899999997</v>
      </c>
    </row>
    <row r="456" spans="1:9" x14ac:dyDescent="0.3">
      <c r="A456" t="s">
        <v>133</v>
      </c>
      <c r="B456" s="1">
        <v>45871</v>
      </c>
      <c r="C456" s="1">
        <v>45871</v>
      </c>
      <c r="D456">
        <v>910900</v>
      </c>
      <c r="E456">
        <v>89</v>
      </c>
      <c r="F456" s="3" t="s">
        <v>430</v>
      </c>
      <c r="G456" s="4">
        <v>410000</v>
      </c>
      <c r="H456" s="4">
        <v>0</v>
      </c>
      <c r="I456" s="4">
        <v>-4041651.89</v>
      </c>
    </row>
    <row r="457" spans="1:9" x14ac:dyDescent="0.3">
      <c r="A457" t="s">
        <v>133</v>
      </c>
      <c r="B457" s="1">
        <v>45871</v>
      </c>
      <c r="C457" s="1">
        <v>45871</v>
      </c>
      <c r="D457">
        <v>910907</v>
      </c>
      <c r="E457">
        <v>58</v>
      </c>
      <c r="F457" s="3" t="s">
        <v>431</v>
      </c>
      <c r="G457" s="4">
        <v>500</v>
      </c>
      <c r="H457" s="4">
        <v>0</v>
      </c>
      <c r="I457" s="4">
        <v>-4041151.89</v>
      </c>
    </row>
    <row r="458" spans="1:9" x14ac:dyDescent="0.3">
      <c r="A458" t="s">
        <v>133</v>
      </c>
      <c r="B458" s="1">
        <v>45871</v>
      </c>
      <c r="C458" s="1">
        <v>45871</v>
      </c>
      <c r="D458">
        <v>910909</v>
      </c>
      <c r="E458">
        <v>16</v>
      </c>
      <c r="F458" s="3" t="s">
        <v>432</v>
      </c>
      <c r="G458" s="4">
        <v>300000</v>
      </c>
      <c r="H458" s="4">
        <v>0</v>
      </c>
      <c r="I458" s="4">
        <v>-3741151.89</v>
      </c>
    </row>
    <row r="459" spans="1:9" x14ac:dyDescent="0.3">
      <c r="A459" t="s">
        <v>133</v>
      </c>
      <c r="B459" s="1">
        <v>45871</v>
      </c>
      <c r="C459" s="1">
        <v>45871</v>
      </c>
      <c r="D459">
        <v>910911</v>
      </c>
      <c r="E459">
        <v>56</v>
      </c>
      <c r="F459" s="3" t="s">
        <v>433</v>
      </c>
      <c r="G459" s="4">
        <v>360000</v>
      </c>
      <c r="H459" s="4">
        <v>0</v>
      </c>
      <c r="I459" s="4">
        <v>-3381151.89</v>
      </c>
    </row>
    <row r="460" spans="1:9" x14ac:dyDescent="0.3">
      <c r="A460" t="s">
        <v>133</v>
      </c>
      <c r="B460" s="1">
        <v>45871</v>
      </c>
      <c r="C460" s="1">
        <v>45871</v>
      </c>
      <c r="D460">
        <v>910913</v>
      </c>
      <c r="E460">
        <v>98</v>
      </c>
      <c r="F460" s="3" t="s">
        <v>434</v>
      </c>
      <c r="G460" s="4">
        <v>154184.25</v>
      </c>
      <c r="H460" s="4">
        <v>0</v>
      </c>
      <c r="I460" s="4">
        <v>-3226967.64</v>
      </c>
    </row>
    <row r="461" spans="1:9" x14ac:dyDescent="0.3">
      <c r="A461" t="s">
        <v>133</v>
      </c>
      <c r="B461" s="1">
        <v>45871</v>
      </c>
      <c r="C461" s="1">
        <v>45871</v>
      </c>
      <c r="D461">
        <v>910916</v>
      </c>
      <c r="E461">
        <v>80</v>
      </c>
      <c r="F461" s="3" t="s">
        <v>435</v>
      </c>
      <c r="G461" s="4">
        <v>380000</v>
      </c>
      <c r="H461" s="4">
        <v>0</v>
      </c>
      <c r="I461" s="4">
        <v>-2846967.64</v>
      </c>
    </row>
    <row r="462" spans="1:9" x14ac:dyDescent="0.3">
      <c r="A462" t="s">
        <v>133</v>
      </c>
      <c r="B462" s="1">
        <v>45871</v>
      </c>
      <c r="C462" s="1">
        <v>45871</v>
      </c>
      <c r="D462">
        <v>910920</v>
      </c>
      <c r="E462">
        <v>27</v>
      </c>
      <c r="F462" s="3" t="s">
        <v>436</v>
      </c>
      <c r="G462" s="4">
        <v>200000</v>
      </c>
      <c r="H462" s="4">
        <v>0</v>
      </c>
      <c r="I462" s="4">
        <v>-2646967.64</v>
      </c>
    </row>
    <row r="463" spans="1:9" x14ac:dyDescent="0.3">
      <c r="A463" t="s">
        <v>133</v>
      </c>
      <c r="B463" s="1">
        <v>45871</v>
      </c>
      <c r="C463" s="1">
        <v>45871</v>
      </c>
      <c r="D463">
        <v>910924</v>
      </c>
      <c r="E463">
        <v>351</v>
      </c>
      <c r="F463" s="3" t="s">
        <v>437</v>
      </c>
      <c r="G463" s="4">
        <v>150000</v>
      </c>
      <c r="H463" s="4">
        <v>0</v>
      </c>
      <c r="I463" s="4">
        <v>-2496967.64</v>
      </c>
    </row>
    <row r="464" spans="1:9" x14ac:dyDescent="0.3">
      <c r="A464" t="s">
        <v>133</v>
      </c>
      <c r="B464" s="1">
        <v>45871</v>
      </c>
      <c r="C464" s="1">
        <v>45871</v>
      </c>
      <c r="D464">
        <v>910929</v>
      </c>
      <c r="E464">
        <v>84</v>
      </c>
      <c r="F464" s="3" t="s">
        <v>438</v>
      </c>
      <c r="G464" s="4">
        <v>810020</v>
      </c>
      <c r="H464" s="4">
        <v>0</v>
      </c>
      <c r="I464" s="4">
        <v>-1686947.64</v>
      </c>
    </row>
    <row r="465" spans="1:9" x14ac:dyDescent="0.3">
      <c r="A465" t="s">
        <v>133</v>
      </c>
      <c r="B465" s="1">
        <v>45871</v>
      </c>
      <c r="C465" s="1">
        <v>45871</v>
      </c>
      <c r="D465">
        <v>910931</v>
      </c>
      <c r="E465">
        <v>82</v>
      </c>
      <c r="F465" s="3">
        <v>5620820003529</v>
      </c>
      <c r="G465" s="4">
        <v>293940.5</v>
      </c>
      <c r="H465" s="4">
        <v>0</v>
      </c>
      <c r="I465" s="4">
        <v>-1393007.14</v>
      </c>
    </row>
    <row r="466" spans="1:9" x14ac:dyDescent="0.3">
      <c r="A466" t="s">
        <v>133</v>
      </c>
      <c r="B466" s="1">
        <v>45871</v>
      </c>
      <c r="C466" s="1">
        <v>45871</v>
      </c>
      <c r="D466">
        <v>910932</v>
      </c>
      <c r="E466">
        <v>53</v>
      </c>
      <c r="F466" s="3" t="s">
        <v>439</v>
      </c>
      <c r="G466" s="4">
        <v>450000</v>
      </c>
      <c r="H466" s="4">
        <v>0</v>
      </c>
      <c r="I466" s="4">
        <v>-943007.14</v>
      </c>
    </row>
    <row r="467" spans="1:9" x14ac:dyDescent="0.3">
      <c r="A467" t="s">
        <v>133</v>
      </c>
      <c r="B467" s="1">
        <v>45871</v>
      </c>
      <c r="C467" s="1">
        <v>45871</v>
      </c>
      <c r="D467">
        <v>910942</v>
      </c>
      <c r="E467">
        <v>45</v>
      </c>
      <c r="F467" s="3" t="s">
        <v>440</v>
      </c>
      <c r="G467" s="4">
        <v>2170.5</v>
      </c>
      <c r="H467" s="4">
        <v>0</v>
      </c>
      <c r="I467" s="4">
        <v>-940836.64</v>
      </c>
    </row>
    <row r="468" spans="1:9" x14ac:dyDescent="0.3">
      <c r="A468" t="s">
        <v>133</v>
      </c>
      <c r="B468" s="1">
        <v>45871</v>
      </c>
      <c r="C468" s="1">
        <v>45871</v>
      </c>
      <c r="D468">
        <v>910945</v>
      </c>
      <c r="E468">
        <v>45</v>
      </c>
      <c r="F468" s="3" t="s">
        <v>441</v>
      </c>
      <c r="G468" s="4">
        <v>112699</v>
      </c>
      <c r="H468" s="4">
        <v>0</v>
      </c>
      <c r="I468" s="4">
        <v>-828137.64</v>
      </c>
    </row>
    <row r="469" spans="1:9" x14ac:dyDescent="0.3">
      <c r="A469" t="s">
        <v>133</v>
      </c>
      <c r="B469" s="1">
        <v>45871</v>
      </c>
      <c r="C469" s="1">
        <v>45871</v>
      </c>
      <c r="D469">
        <v>910951</v>
      </c>
      <c r="E469">
        <v>382</v>
      </c>
      <c r="F469" s="3" t="s">
        <v>442</v>
      </c>
      <c r="G469" s="4">
        <v>1700000</v>
      </c>
      <c r="H469" s="4">
        <v>0</v>
      </c>
      <c r="I469" s="4">
        <v>871862.36</v>
      </c>
    </row>
    <row r="470" spans="1:9" x14ac:dyDescent="0.3">
      <c r="A470" t="s">
        <v>133</v>
      </c>
      <c r="B470" s="1">
        <v>45871</v>
      </c>
      <c r="C470" s="1">
        <v>45871</v>
      </c>
      <c r="D470">
        <v>910952</v>
      </c>
      <c r="E470">
        <v>382</v>
      </c>
      <c r="F470" s="3">
        <v>165</v>
      </c>
      <c r="G470" s="4">
        <v>1000000</v>
      </c>
      <c r="H470" s="4">
        <v>0</v>
      </c>
      <c r="I470" s="4">
        <v>1871862.36</v>
      </c>
    </row>
    <row r="471" spans="1:9" x14ac:dyDescent="0.3">
      <c r="A471" t="s">
        <v>133</v>
      </c>
      <c r="B471" s="1">
        <v>45871</v>
      </c>
      <c r="C471" s="1">
        <v>45871</v>
      </c>
      <c r="D471">
        <v>910953</v>
      </c>
      <c r="E471">
        <v>97</v>
      </c>
      <c r="F471" s="3">
        <v>101021675522</v>
      </c>
      <c r="G471" s="4">
        <v>460000</v>
      </c>
      <c r="H471" s="4">
        <v>0</v>
      </c>
      <c r="I471" s="4">
        <v>2331862.36</v>
      </c>
    </row>
    <row r="472" spans="1:9" x14ac:dyDescent="0.3">
      <c r="A472" t="s">
        <v>133</v>
      </c>
      <c r="B472" s="1">
        <v>45871</v>
      </c>
      <c r="C472" s="1">
        <v>45871</v>
      </c>
      <c r="D472">
        <v>910955</v>
      </c>
      <c r="E472">
        <v>33</v>
      </c>
      <c r="F472" s="3" t="s">
        <v>443</v>
      </c>
      <c r="G472" s="4">
        <v>830000</v>
      </c>
      <c r="H472" s="4">
        <v>0</v>
      </c>
      <c r="I472" s="4">
        <v>3161862.36</v>
      </c>
    </row>
    <row r="473" spans="1:9" x14ac:dyDescent="0.3">
      <c r="A473" t="s">
        <v>133</v>
      </c>
      <c r="B473" s="1">
        <v>45871</v>
      </c>
      <c r="C473" s="1">
        <v>45871</v>
      </c>
      <c r="D473">
        <v>910968</v>
      </c>
      <c r="E473">
        <v>62</v>
      </c>
      <c r="F473" s="3" t="s">
        <v>444</v>
      </c>
      <c r="G473" s="4">
        <v>550000</v>
      </c>
      <c r="H473" s="4">
        <v>0</v>
      </c>
      <c r="I473" s="4">
        <v>3711862.36</v>
      </c>
    </row>
    <row r="474" spans="1:9" x14ac:dyDescent="0.3">
      <c r="A474" t="s">
        <v>133</v>
      </c>
      <c r="B474" s="1">
        <v>45871</v>
      </c>
      <c r="C474" s="1">
        <v>45871</v>
      </c>
      <c r="D474">
        <v>910972</v>
      </c>
      <c r="E474">
        <v>70</v>
      </c>
      <c r="F474" s="3" t="s">
        <v>445</v>
      </c>
      <c r="G474" s="4">
        <v>530000</v>
      </c>
      <c r="H474" s="4">
        <v>0</v>
      </c>
      <c r="I474" s="4">
        <v>4241862.3600000003</v>
      </c>
    </row>
    <row r="475" spans="1:9" x14ac:dyDescent="0.3">
      <c r="A475" t="s">
        <v>133</v>
      </c>
      <c r="B475" s="1">
        <v>45871</v>
      </c>
      <c r="C475" s="1">
        <v>45871</v>
      </c>
      <c r="D475">
        <v>910979</v>
      </c>
      <c r="E475">
        <v>382</v>
      </c>
      <c r="F475" s="3" t="s">
        <v>446</v>
      </c>
      <c r="G475" s="4">
        <v>85445</v>
      </c>
      <c r="H475" s="4">
        <v>0</v>
      </c>
      <c r="I475" s="4">
        <v>4327307.3600000003</v>
      </c>
    </row>
    <row r="476" spans="1:9" x14ac:dyDescent="0.3">
      <c r="A476" t="s">
        <v>133</v>
      </c>
      <c r="B476" s="1">
        <v>45871</v>
      </c>
      <c r="C476" s="1">
        <v>45871</v>
      </c>
      <c r="D476">
        <v>910983</v>
      </c>
      <c r="E476">
        <v>61</v>
      </c>
      <c r="F476" s="3" t="s">
        <v>447</v>
      </c>
      <c r="G476" s="4">
        <v>290000</v>
      </c>
      <c r="H476" s="4">
        <v>0</v>
      </c>
      <c r="I476" s="4">
        <v>4617307.3600000003</v>
      </c>
    </row>
    <row r="477" spans="1:9" x14ac:dyDescent="0.3">
      <c r="A477" t="s">
        <v>133</v>
      </c>
      <c r="B477" s="1">
        <v>45871</v>
      </c>
      <c r="C477" s="1">
        <v>45871</v>
      </c>
      <c r="D477">
        <v>910984</v>
      </c>
      <c r="E477">
        <v>210</v>
      </c>
      <c r="F477" s="3" t="s">
        <v>448</v>
      </c>
      <c r="G477" s="4">
        <v>200000</v>
      </c>
      <c r="H477" s="4">
        <v>0</v>
      </c>
      <c r="I477" s="4">
        <v>4817307.3600000003</v>
      </c>
    </row>
    <row r="478" spans="1:9" x14ac:dyDescent="0.3">
      <c r="A478" t="s">
        <v>133</v>
      </c>
      <c r="B478" s="1">
        <v>45871</v>
      </c>
      <c r="C478" s="1">
        <v>45871</v>
      </c>
      <c r="D478">
        <v>910988</v>
      </c>
      <c r="E478">
        <v>48</v>
      </c>
      <c r="F478" s="3" t="s">
        <v>449</v>
      </c>
      <c r="G478" s="4">
        <v>680000</v>
      </c>
      <c r="H478" s="4">
        <v>0</v>
      </c>
      <c r="I478" s="4">
        <v>5497307.3600000003</v>
      </c>
    </row>
    <row r="479" spans="1:9" x14ac:dyDescent="0.3">
      <c r="A479" t="s">
        <v>133</v>
      </c>
      <c r="B479" s="1">
        <v>45871</v>
      </c>
      <c r="C479" s="1">
        <v>45871</v>
      </c>
      <c r="D479">
        <v>910997</v>
      </c>
      <c r="E479">
        <v>13</v>
      </c>
      <c r="F479" s="3" t="s">
        <v>450</v>
      </c>
      <c r="G479" s="4">
        <v>286933.75</v>
      </c>
      <c r="H479" s="4">
        <v>0</v>
      </c>
      <c r="I479" s="4">
        <v>5784241.1100000003</v>
      </c>
    </row>
    <row r="480" spans="1:9" x14ac:dyDescent="0.3">
      <c r="A480" t="s">
        <v>133</v>
      </c>
      <c r="B480" s="1">
        <v>45871</v>
      </c>
      <c r="C480" s="1">
        <v>45871</v>
      </c>
      <c r="D480">
        <v>910999</v>
      </c>
      <c r="E480">
        <v>23</v>
      </c>
      <c r="F480" s="3" t="s">
        <v>451</v>
      </c>
      <c r="G480" s="4">
        <v>430000</v>
      </c>
      <c r="H480" s="4">
        <v>0</v>
      </c>
      <c r="I480" s="4">
        <v>6214241.1100000003</v>
      </c>
    </row>
    <row r="481" spans="1:9" x14ac:dyDescent="0.3">
      <c r="A481" t="s">
        <v>133</v>
      </c>
      <c r="B481" s="1">
        <v>45871</v>
      </c>
      <c r="C481" s="1">
        <v>45871</v>
      </c>
      <c r="D481">
        <v>911004</v>
      </c>
      <c r="E481">
        <v>382</v>
      </c>
      <c r="F481" s="3" t="s">
        <v>452</v>
      </c>
      <c r="G481" s="4">
        <v>36856</v>
      </c>
      <c r="H481" s="4">
        <v>0</v>
      </c>
      <c r="I481" s="4">
        <v>6251097.1100000003</v>
      </c>
    </row>
    <row r="482" spans="1:9" x14ac:dyDescent="0.3">
      <c r="A482" t="s">
        <v>133</v>
      </c>
      <c r="B482" s="1">
        <v>45871</v>
      </c>
      <c r="C482" s="1">
        <v>45871</v>
      </c>
      <c r="D482">
        <v>911017</v>
      </c>
      <c r="E482">
        <v>98</v>
      </c>
      <c r="F482" s="3" t="s">
        <v>453</v>
      </c>
      <c r="G482" s="4">
        <v>26513</v>
      </c>
      <c r="H482" s="4">
        <v>0</v>
      </c>
      <c r="I482" s="4">
        <v>6277610.1100000003</v>
      </c>
    </row>
    <row r="483" spans="1:9" x14ac:dyDescent="0.3">
      <c r="A483" t="s">
        <v>1</v>
      </c>
      <c r="B483" s="1">
        <v>45325</v>
      </c>
      <c r="C483" s="1">
        <v>45871</v>
      </c>
      <c r="D483">
        <v>97533</v>
      </c>
      <c r="E483">
        <v>100</v>
      </c>
      <c r="F483" s="3" t="s">
        <v>454</v>
      </c>
      <c r="G483" s="4">
        <v>32</v>
      </c>
      <c r="I483" s="4">
        <v>6277642.1100000003</v>
      </c>
    </row>
    <row r="484" spans="1:9" x14ac:dyDescent="0.3">
      <c r="A484" t="s">
        <v>1</v>
      </c>
      <c r="B484" s="1">
        <v>45479</v>
      </c>
      <c r="C484" s="1">
        <v>45871</v>
      </c>
      <c r="D484">
        <v>97534</v>
      </c>
      <c r="E484">
        <v>100</v>
      </c>
      <c r="F484" s="3" t="s">
        <v>455</v>
      </c>
      <c r="G484" s="4">
        <v>63</v>
      </c>
      <c r="I484" s="4">
        <v>6277705.1100000003</v>
      </c>
    </row>
    <row r="485" spans="1:9" x14ac:dyDescent="0.3">
      <c r="A485" t="s">
        <v>75</v>
      </c>
      <c r="B485" s="1">
        <v>45870</v>
      </c>
      <c r="C485" s="1">
        <v>45872</v>
      </c>
      <c r="D485">
        <v>142873</v>
      </c>
      <c r="E485">
        <v>15</v>
      </c>
      <c r="F485" s="3" t="s">
        <v>456</v>
      </c>
      <c r="G485" s="4">
        <v>130000</v>
      </c>
      <c r="H485" s="4">
        <v>0</v>
      </c>
      <c r="I485" s="4">
        <v>6407705.1100000003</v>
      </c>
    </row>
    <row r="486" spans="1:9" x14ac:dyDescent="0.3">
      <c r="A486" t="s">
        <v>75</v>
      </c>
      <c r="B486" s="1">
        <v>45872</v>
      </c>
      <c r="C486" s="1">
        <v>45872</v>
      </c>
      <c r="D486">
        <v>142879</v>
      </c>
      <c r="E486">
        <v>14</v>
      </c>
      <c r="F486" s="3" t="s">
        <v>457</v>
      </c>
      <c r="G486" s="4">
        <v>15000</v>
      </c>
      <c r="H486" s="4">
        <v>0</v>
      </c>
      <c r="I486" s="4">
        <v>6422705.1100000003</v>
      </c>
    </row>
    <row r="487" spans="1:9" x14ac:dyDescent="0.3">
      <c r="A487" t="s">
        <v>75</v>
      </c>
      <c r="B487" s="1">
        <v>45869</v>
      </c>
      <c r="C487" s="1">
        <v>45872</v>
      </c>
      <c r="D487">
        <v>142880</v>
      </c>
      <c r="E487">
        <v>34</v>
      </c>
      <c r="F487" s="3" t="s">
        <v>458</v>
      </c>
      <c r="G487" s="4">
        <v>13860.25</v>
      </c>
      <c r="H487" s="4">
        <v>0</v>
      </c>
      <c r="I487" s="4">
        <v>6436565.3600000003</v>
      </c>
    </row>
    <row r="488" spans="1:9" x14ac:dyDescent="0.3">
      <c r="A488" t="s">
        <v>75</v>
      </c>
      <c r="B488" s="1">
        <v>45869</v>
      </c>
      <c r="C488" s="1">
        <v>45872</v>
      </c>
      <c r="D488">
        <v>142881</v>
      </c>
      <c r="E488">
        <v>34</v>
      </c>
      <c r="F488" s="3" t="s">
        <v>459</v>
      </c>
      <c r="G488" s="4">
        <v>28263.25</v>
      </c>
      <c r="H488" s="4">
        <v>0</v>
      </c>
      <c r="I488" s="4">
        <v>6464828.6100000003</v>
      </c>
    </row>
    <row r="489" spans="1:9" x14ac:dyDescent="0.3">
      <c r="A489" t="s">
        <v>75</v>
      </c>
      <c r="B489" s="1">
        <v>45870</v>
      </c>
      <c r="C489" s="1">
        <v>45872</v>
      </c>
      <c r="D489">
        <v>142882</v>
      </c>
      <c r="E489">
        <v>11</v>
      </c>
      <c r="F489" s="3" t="s">
        <v>460</v>
      </c>
      <c r="G489" s="4">
        <v>40621.5</v>
      </c>
      <c r="H489" s="4">
        <v>0</v>
      </c>
      <c r="I489" s="4">
        <v>6505450.1100000003</v>
      </c>
    </row>
    <row r="490" spans="1:9" x14ac:dyDescent="0.3">
      <c r="A490" t="s">
        <v>75</v>
      </c>
      <c r="B490" s="1">
        <v>45870</v>
      </c>
      <c r="C490" s="1">
        <v>45872</v>
      </c>
      <c r="D490">
        <v>142883</v>
      </c>
      <c r="E490">
        <v>11</v>
      </c>
      <c r="F490" s="3" t="s">
        <v>461</v>
      </c>
      <c r="G490" s="4">
        <v>100000</v>
      </c>
      <c r="H490" s="4">
        <v>0</v>
      </c>
      <c r="I490" s="4">
        <v>6605450.1100000003</v>
      </c>
    </row>
    <row r="491" spans="1:9" x14ac:dyDescent="0.3">
      <c r="A491" t="s">
        <v>75</v>
      </c>
      <c r="B491" s="1">
        <v>45872</v>
      </c>
      <c r="C491" s="1">
        <v>45872</v>
      </c>
      <c r="D491">
        <v>142884</v>
      </c>
      <c r="E491">
        <v>63</v>
      </c>
      <c r="F491" s="3" t="s">
        <v>462</v>
      </c>
      <c r="G491" s="4">
        <v>100994</v>
      </c>
      <c r="H491" s="4">
        <v>0</v>
      </c>
      <c r="I491" s="4">
        <v>6706444.1100000003</v>
      </c>
    </row>
    <row r="492" spans="1:9" x14ac:dyDescent="0.3">
      <c r="A492" t="s">
        <v>75</v>
      </c>
      <c r="B492" s="1">
        <v>45872</v>
      </c>
      <c r="C492" s="1">
        <v>45872</v>
      </c>
      <c r="D492">
        <v>142885</v>
      </c>
      <c r="E492">
        <v>62</v>
      </c>
      <c r="F492" s="3" t="s">
        <v>463</v>
      </c>
      <c r="G492" s="4">
        <v>7454</v>
      </c>
      <c r="H492" s="4">
        <v>0</v>
      </c>
      <c r="I492" s="4">
        <v>6713898.1100000003</v>
      </c>
    </row>
    <row r="493" spans="1:9" x14ac:dyDescent="0.3">
      <c r="A493" t="s">
        <v>75</v>
      </c>
      <c r="B493" s="1">
        <v>45872</v>
      </c>
      <c r="C493" s="1">
        <v>45872</v>
      </c>
      <c r="D493">
        <v>142886</v>
      </c>
      <c r="E493">
        <v>14</v>
      </c>
      <c r="F493" s="3" t="s">
        <v>464</v>
      </c>
      <c r="G493" s="4">
        <v>100025.5</v>
      </c>
      <c r="H493" s="4">
        <v>0</v>
      </c>
      <c r="I493" s="4">
        <v>6813923.6100000003</v>
      </c>
    </row>
    <row r="494" spans="1:9" x14ac:dyDescent="0.3">
      <c r="A494" t="s">
        <v>75</v>
      </c>
      <c r="B494" s="1">
        <v>45872</v>
      </c>
      <c r="C494" s="1">
        <v>45872</v>
      </c>
      <c r="D494">
        <v>142887</v>
      </c>
      <c r="E494">
        <v>15</v>
      </c>
      <c r="F494" s="3" t="s">
        <v>465</v>
      </c>
      <c r="G494" s="4">
        <v>459460</v>
      </c>
      <c r="H494" s="4">
        <v>0</v>
      </c>
      <c r="I494" s="4">
        <v>7273383.6100000003</v>
      </c>
    </row>
    <row r="495" spans="1:9" x14ac:dyDescent="0.3">
      <c r="A495" t="s">
        <v>75</v>
      </c>
      <c r="B495" s="1">
        <v>45872</v>
      </c>
      <c r="C495" s="1">
        <v>45872</v>
      </c>
      <c r="D495">
        <v>142888</v>
      </c>
      <c r="E495">
        <v>15</v>
      </c>
      <c r="F495" s="3" t="s">
        <v>466</v>
      </c>
      <c r="G495" s="4">
        <v>105201.25</v>
      </c>
      <c r="H495" s="4">
        <v>0</v>
      </c>
      <c r="I495" s="4">
        <v>7378584.8600000003</v>
      </c>
    </row>
    <row r="496" spans="1:9" x14ac:dyDescent="0.3">
      <c r="A496" t="s">
        <v>75</v>
      </c>
      <c r="B496" s="1">
        <v>45871</v>
      </c>
      <c r="C496" s="1">
        <v>45872</v>
      </c>
      <c r="D496">
        <v>142889</v>
      </c>
      <c r="E496">
        <v>11</v>
      </c>
      <c r="F496" s="3" t="s">
        <v>467</v>
      </c>
      <c r="G496" s="4">
        <v>19000</v>
      </c>
      <c r="H496" s="4">
        <v>0</v>
      </c>
      <c r="I496" s="4">
        <v>7397584.8600000003</v>
      </c>
    </row>
    <row r="497" spans="1:9" x14ac:dyDescent="0.3">
      <c r="A497" t="s">
        <v>75</v>
      </c>
      <c r="B497" s="1">
        <v>45872</v>
      </c>
      <c r="C497" s="1">
        <v>45872</v>
      </c>
      <c r="D497">
        <v>142891</v>
      </c>
      <c r="E497">
        <v>92</v>
      </c>
      <c r="F497" s="3" t="s">
        <v>468</v>
      </c>
      <c r="G497" s="4">
        <v>500</v>
      </c>
      <c r="H497" s="4">
        <v>0</v>
      </c>
      <c r="I497" s="4">
        <v>7398084.8600000003</v>
      </c>
    </row>
    <row r="498" spans="1:9" x14ac:dyDescent="0.3">
      <c r="A498" t="s">
        <v>75</v>
      </c>
      <c r="B498" s="1">
        <v>45872</v>
      </c>
      <c r="C498" s="1">
        <v>45872</v>
      </c>
      <c r="D498">
        <v>142892</v>
      </c>
      <c r="E498">
        <v>77</v>
      </c>
      <c r="F498" s="3" t="s">
        <v>469</v>
      </c>
      <c r="G498" s="4">
        <v>624</v>
      </c>
      <c r="H498" s="4">
        <v>0</v>
      </c>
      <c r="I498" s="4">
        <v>7398708.8600000003</v>
      </c>
    </row>
    <row r="499" spans="1:9" x14ac:dyDescent="0.3">
      <c r="A499" t="s">
        <v>75</v>
      </c>
      <c r="B499" s="1">
        <v>45871</v>
      </c>
      <c r="C499" s="1">
        <v>45872</v>
      </c>
      <c r="D499">
        <v>142893</v>
      </c>
      <c r="E499">
        <v>77</v>
      </c>
      <c r="F499" s="3" t="s">
        <v>470</v>
      </c>
      <c r="G499" s="4">
        <v>50000</v>
      </c>
      <c r="H499" s="4">
        <v>0</v>
      </c>
      <c r="I499" s="4">
        <v>7448708.8600000003</v>
      </c>
    </row>
    <row r="500" spans="1:9" x14ac:dyDescent="0.3">
      <c r="A500" t="s">
        <v>75</v>
      </c>
      <c r="B500" s="1">
        <v>45872</v>
      </c>
      <c r="C500" s="1">
        <v>45872</v>
      </c>
      <c r="D500">
        <v>142894</v>
      </c>
      <c r="E500">
        <v>16</v>
      </c>
      <c r="F500" s="3" t="s">
        <v>471</v>
      </c>
      <c r="G500" s="4">
        <v>50000</v>
      </c>
      <c r="H500" s="4">
        <v>0</v>
      </c>
      <c r="I500" s="4">
        <v>7498708.8600000003</v>
      </c>
    </row>
    <row r="501" spans="1:9" x14ac:dyDescent="0.3">
      <c r="A501" t="s">
        <v>75</v>
      </c>
      <c r="B501" s="1">
        <v>45864</v>
      </c>
      <c r="C501" s="1">
        <v>45872</v>
      </c>
      <c r="D501">
        <v>142895</v>
      </c>
      <c r="E501">
        <v>77</v>
      </c>
      <c r="F501" s="3" t="s">
        <v>472</v>
      </c>
      <c r="G501" s="4">
        <v>25000</v>
      </c>
      <c r="H501" s="4">
        <v>0</v>
      </c>
      <c r="I501" s="4">
        <v>7523708.8600000003</v>
      </c>
    </row>
    <row r="502" spans="1:9" x14ac:dyDescent="0.3">
      <c r="A502" t="s">
        <v>75</v>
      </c>
      <c r="B502" s="1">
        <v>45867</v>
      </c>
      <c r="C502" s="1">
        <v>45872</v>
      </c>
      <c r="D502">
        <v>142896</v>
      </c>
      <c r="E502">
        <v>77</v>
      </c>
      <c r="F502" s="3" t="s">
        <v>473</v>
      </c>
      <c r="G502" s="4">
        <v>550</v>
      </c>
      <c r="H502" s="4">
        <v>0</v>
      </c>
      <c r="I502" s="4">
        <v>7524258.8600000003</v>
      </c>
    </row>
    <row r="503" spans="1:9" x14ac:dyDescent="0.3">
      <c r="A503" t="s">
        <v>75</v>
      </c>
      <c r="B503" s="1">
        <v>45869</v>
      </c>
      <c r="C503" s="1">
        <v>45872</v>
      </c>
      <c r="D503">
        <v>142897</v>
      </c>
      <c r="E503">
        <v>77</v>
      </c>
      <c r="F503" s="3" t="s">
        <v>474</v>
      </c>
      <c r="G503" s="4">
        <v>2290</v>
      </c>
      <c r="H503" s="4">
        <v>0</v>
      </c>
      <c r="I503" s="4">
        <v>7526548.8600000003</v>
      </c>
    </row>
    <row r="504" spans="1:9" x14ac:dyDescent="0.3">
      <c r="A504" t="s">
        <v>75</v>
      </c>
      <c r="B504" s="1">
        <v>45868</v>
      </c>
      <c r="C504" s="1">
        <v>45872</v>
      </c>
      <c r="D504">
        <v>142898</v>
      </c>
      <c r="E504">
        <v>77</v>
      </c>
      <c r="F504" s="3" t="s">
        <v>475</v>
      </c>
      <c r="G504" s="4">
        <v>61129</v>
      </c>
      <c r="H504" s="4">
        <v>0</v>
      </c>
      <c r="I504" s="4">
        <v>7587677.8600000003</v>
      </c>
    </row>
    <row r="505" spans="1:9" x14ac:dyDescent="0.3">
      <c r="A505" t="s">
        <v>75</v>
      </c>
      <c r="B505" s="1">
        <v>45872</v>
      </c>
      <c r="C505" s="1">
        <v>45872</v>
      </c>
      <c r="D505">
        <v>142899</v>
      </c>
      <c r="E505">
        <v>61</v>
      </c>
      <c r="F505" s="3" t="s">
        <v>476</v>
      </c>
      <c r="G505" s="4">
        <v>19717</v>
      </c>
      <c r="H505" s="4">
        <v>0</v>
      </c>
      <c r="I505" s="4">
        <v>7607394.8600000003</v>
      </c>
    </row>
    <row r="506" spans="1:9" x14ac:dyDescent="0.3">
      <c r="A506" t="s">
        <v>133</v>
      </c>
      <c r="B506" s="1">
        <v>45872</v>
      </c>
      <c r="C506" s="1">
        <v>45872</v>
      </c>
      <c r="D506">
        <v>911027</v>
      </c>
      <c r="E506">
        <v>12</v>
      </c>
      <c r="F506" s="3" t="s">
        <v>477</v>
      </c>
      <c r="G506" s="4">
        <v>58200</v>
      </c>
      <c r="H506" s="4">
        <v>0</v>
      </c>
      <c r="I506" s="4">
        <v>7665594.8600000003</v>
      </c>
    </row>
    <row r="507" spans="1:9" x14ac:dyDescent="0.3">
      <c r="A507" t="s">
        <v>133</v>
      </c>
      <c r="B507" s="1">
        <v>45872</v>
      </c>
      <c r="C507" s="1">
        <v>45872</v>
      </c>
      <c r="D507">
        <v>911029</v>
      </c>
      <c r="E507">
        <v>78</v>
      </c>
      <c r="F507" s="3" t="s">
        <v>478</v>
      </c>
      <c r="G507" s="4">
        <v>10026.25</v>
      </c>
      <c r="H507" s="4">
        <v>0</v>
      </c>
      <c r="I507" s="4">
        <v>7675621.1100000003</v>
      </c>
    </row>
    <row r="508" spans="1:9" x14ac:dyDescent="0.3">
      <c r="A508" t="s">
        <v>133</v>
      </c>
      <c r="B508" s="1">
        <v>45872</v>
      </c>
      <c r="C508" s="1">
        <v>45872</v>
      </c>
      <c r="D508">
        <v>911031</v>
      </c>
      <c r="E508">
        <v>210</v>
      </c>
      <c r="F508" s="3" t="s">
        <v>479</v>
      </c>
      <c r="G508" s="4">
        <v>42065</v>
      </c>
      <c r="H508" s="4">
        <v>0</v>
      </c>
      <c r="I508" s="4">
        <v>7717686.1100000003</v>
      </c>
    </row>
    <row r="509" spans="1:9" x14ac:dyDescent="0.3">
      <c r="A509" t="s">
        <v>133</v>
      </c>
      <c r="B509" s="1">
        <v>45872</v>
      </c>
      <c r="C509" s="1">
        <v>45872</v>
      </c>
      <c r="D509">
        <v>911034</v>
      </c>
      <c r="E509">
        <v>46</v>
      </c>
      <c r="F509" s="3" t="s">
        <v>480</v>
      </c>
      <c r="G509" s="4">
        <v>367509.75</v>
      </c>
      <c r="H509" s="4">
        <v>0</v>
      </c>
      <c r="I509" s="4">
        <v>8085195.8600000003</v>
      </c>
    </row>
    <row r="510" spans="1:9" x14ac:dyDescent="0.3">
      <c r="A510" t="s">
        <v>133</v>
      </c>
      <c r="B510" s="1">
        <v>45872</v>
      </c>
      <c r="C510" s="1">
        <v>45872</v>
      </c>
      <c r="D510">
        <v>911035</v>
      </c>
      <c r="E510">
        <v>46</v>
      </c>
      <c r="F510" s="3" t="s">
        <v>481</v>
      </c>
      <c r="G510" s="4">
        <v>37000</v>
      </c>
      <c r="H510" s="4">
        <v>0</v>
      </c>
      <c r="I510" s="4">
        <v>8122195.8600000003</v>
      </c>
    </row>
    <row r="511" spans="1:9" x14ac:dyDescent="0.3">
      <c r="A511" t="s">
        <v>133</v>
      </c>
      <c r="B511" s="1">
        <v>45872</v>
      </c>
      <c r="C511" s="1">
        <v>45872</v>
      </c>
      <c r="D511">
        <v>911048</v>
      </c>
      <c r="E511">
        <v>46</v>
      </c>
      <c r="F511" s="3" t="s">
        <v>482</v>
      </c>
      <c r="G511" s="4">
        <v>111360.75</v>
      </c>
      <c r="H511" s="4">
        <v>0</v>
      </c>
      <c r="I511" s="4">
        <v>8233556.6100000003</v>
      </c>
    </row>
    <row r="512" spans="1:9" x14ac:dyDescent="0.3">
      <c r="A512" t="s">
        <v>133</v>
      </c>
      <c r="B512" s="1">
        <v>45872</v>
      </c>
      <c r="C512" s="1">
        <v>45872</v>
      </c>
      <c r="D512">
        <v>911053</v>
      </c>
      <c r="E512">
        <v>46</v>
      </c>
      <c r="F512" s="3" t="s">
        <v>483</v>
      </c>
      <c r="G512" s="4">
        <v>249969.5</v>
      </c>
      <c r="H512" s="4">
        <v>0</v>
      </c>
      <c r="I512" s="4">
        <v>8483526.1099999994</v>
      </c>
    </row>
    <row r="513" spans="1:9" x14ac:dyDescent="0.3">
      <c r="A513" t="s">
        <v>133</v>
      </c>
      <c r="B513" s="1">
        <v>45872</v>
      </c>
      <c r="C513" s="1">
        <v>45872</v>
      </c>
      <c r="D513">
        <v>911063</v>
      </c>
      <c r="E513">
        <v>46</v>
      </c>
      <c r="F513" s="3" t="s">
        <v>484</v>
      </c>
      <c r="G513" s="4">
        <v>13176.5</v>
      </c>
      <c r="H513" s="4">
        <v>0</v>
      </c>
      <c r="I513" s="4">
        <v>8496702.6099999994</v>
      </c>
    </row>
    <row r="514" spans="1:9" x14ac:dyDescent="0.3">
      <c r="A514" t="s">
        <v>133</v>
      </c>
      <c r="B514" s="1">
        <v>45872</v>
      </c>
      <c r="C514" s="1">
        <v>45872</v>
      </c>
      <c r="D514">
        <v>911067</v>
      </c>
      <c r="E514">
        <v>351</v>
      </c>
      <c r="F514" s="3" t="s">
        <v>485</v>
      </c>
      <c r="G514" s="4">
        <v>8106</v>
      </c>
      <c r="H514" s="4">
        <v>0</v>
      </c>
      <c r="I514" s="4">
        <v>8504808.6099999994</v>
      </c>
    </row>
    <row r="515" spans="1:9" x14ac:dyDescent="0.3">
      <c r="A515" t="s">
        <v>133</v>
      </c>
      <c r="B515" s="1">
        <v>45872</v>
      </c>
      <c r="C515" s="1">
        <v>45872</v>
      </c>
      <c r="D515">
        <v>911069</v>
      </c>
      <c r="E515">
        <v>46</v>
      </c>
      <c r="F515" s="3" t="s">
        <v>486</v>
      </c>
      <c r="G515" s="4">
        <v>47723</v>
      </c>
      <c r="H515" s="4">
        <v>0</v>
      </c>
      <c r="I515" s="4">
        <v>8552531.6099999994</v>
      </c>
    </row>
    <row r="516" spans="1:9" x14ac:dyDescent="0.3">
      <c r="A516" t="s">
        <v>133</v>
      </c>
      <c r="B516" s="1">
        <v>45872</v>
      </c>
      <c r="C516" s="1">
        <v>45872</v>
      </c>
      <c r="D516">
        <v>911081</v>
      </c>
      <c r="E516">
        <v>46</v>
      </c>
      <c r="F516" s="3" t="s">
        <v>487</v>
      </c>
      <c r="G516" s="4">
        <v>7513.5</v>
      </c>
      <c r="H516" s="4">
        <v>0</v>
      </c>
      <c r="I516" s="4">
        <v>8560045.1099999994</v>
      </c>
    </row>
    <row r="517" spans="1:9" x14ac:dyDescent="0.3">
      <c r="A517" t="s">
        <v>133</v>
      </c>
      <c r="B517" s="1">
        <v>45872</v>
      </c>
      <c r="C517" s="1">
        <v>45872</v>
      </c>
      <c r="D517">
        <v>911083</v>
      </c>
      <c r="E517">
        <v>46</v>
      </c>
      <c r="F517" s="3" t="s">
        <v>488</v>
      </c>
      <c r="G517" s="4">
        <v>15000</v>
      </c>
      <c r="H517" s="4">
        <v>0</v>
      </c>
      <c r="I517" s="4">
        <v>8575045.1099999994</v>
      </c>
    </row>
    <row r="518" spans="1:9" x14ac:dyDescent="0.3">
      <c r="A518" t="s">
        <v>133</v>
      </c>
      <c r="B518" s="1">
        <v>45872</v>
      </c>
      <c r="C518" s="1">
        <v>45872</v>
      </c>
      <c r="D518">
        <v>911096</v>
      </c>
      <c r="E518">
        <v>46</v>
      </c>
      <c r="F518" s="3" t="s">
        <v>489</v>
      </c>
      <c r="G518" s="4">
        <v>53560</v>
      </c>
      <c r="H518" s="4">
        <v>0</v>
      </c>
      <c r="I518" s="4">
        <v>8628605.1099999994</v>
      </c>
    </row>
    <row r="519" spans="1:9" x14ac:dyDescent="0.3">
      <c r="A519" t="s">
        <v>133</v>
      </c>
      <c r="B519" s="1">
        <v>45872</v>
      </c>
      <c r="C519" s="1">
        <v>45872</v>
      </c>
      <c r="D519">
        <v>911097</v>
      </c>
      <c r="E519">
        <v>46</v>
      </c>
      <c r="F519" s="3" t="s">
        <v>490</v>
      </c>
      <c r="G519" s="4">
        <v>90</v>
      </c>
      <c r="H519" s="4">
        <v>0</v>
      </c>
      <c r="I519" s="4">
        <v>8628695.1099999994</v>
      </c>
    </row>
    <row r="520" spans="1:9" x14ac:dyDescent="0.3">
      <c r="A520" t="s">
        <v>133</v>
      </c>
      <c r="B520" s="1">
        <v>45872</v>
      </c>
      <c r="C520" s="1">
        <v>45872</v>
      </c>
      <c r="D520">
        <v>911098</v>
      </c>
      <c r="E520">
        <v>46</v>
      </c>
      <c r="F520" s="3" t="s">
        <v>491</v>
      </c>
      <c r="G520" s="4">
        <v>14625.25</v>
      </c>
      <c r="H520" s="4">
        <v>0</v>
      </c>
      <c r="I520" s="4">
        <v>8643320.3599999994</v>
      </c>
    </row>
    <row r="521" spans="1:9" x14ac:dyDescent="0.3">
      <c r="A521" t="s">
        <v>133</v>
      </c>
      <c r="B521" s="1">
        <v>45872</v>
      </c>
      <c r="C521" s="1">
        <v>45872</v>
      </c>
      <c r="D521">
        <v>911099</v>
      </c>
      <c r="E521">
        <v>11</v>
      </c>
      <c r="F521" s="3" t="s">
        <v>492</v>
      </c>
      <c r="G521" s="4">
        <v>1000</v>
      </c>
      <c r="H521" s="4">
        <v>0</v>
      </c>
      <c r="I521" s="4">
        <v>8644320.3599999994</v>
      </c>
    </row>
    <row r="522" spans="1:9" x14ac:dyDescent="0.3">
      <c r="A522" t="s">
        <v>133</v>
      </c>
      <c r="B522" s="1">
        <v>45872</v>
      </c>
      <c r="C522" s="1">
        <v>45872</v>
      </c>
      <c r="D522">
        <v>911100</v>
      </c>
      <c r="E522">
        <v>11</v>
      </c>
      <c r="F522" s="3" t="s">
        <v>493</v>
      </c>
      <c r="G522" s="4">
        <v>1900</v>
      </c>
      <c r="H522" s="4">
        <v>0</v>
      </c>
      <c r="I522" s="4">
        <v>8646220.3599999994</v>
      </c>
    </row>
    <row r="523" spans="1:9" x14ac:dyDescent="0.3">
      <c r="A523" t="s">
        <v>133</v>
      </c>
      <c r="B523" s="1">
        <v>45872</v>
      </c>
      <c r="C523" s="1">
        <v>45872</v>
      </c>
      <c r="D523">
        <v>911124</v>
      </c>
      <c r="E523">
        <v>351</v>
      </c>
      <c r="F523" s="3" t="s">
        <v>494</v>
      </c>
      <c r="G523" s="4">
        <v>100000</v>
      </c>
      <c r="H523" s="4">
        <v>0</v>
      </c>
      <c r="I523" s="4">
        <v>8746220.3599999994</v>
      </c>
    </row>
    <row r="524" spans="1:9" x14ac:dyDescent="0.3">
      <c r="A524" t="s">
        <v>133</v>
      </c>
      <c r="B524" s="1">
        <v>45872</v>
      </c>
      <c r="C524" s="1">
        <v>45872</v>
      </c>
      <c r="D524">
        <v>911125</v>
      </c>
      <c r="E524">
        <v>351</v>
      </c>
      <c r="F524" s="3" t="s">
        <v>495</v>
      </c>
      <c r="G524" s="4">
        <v>38857</v>
      </c>
      <c r="H524" s="4">
        <v>0</v>
      </c>
      <c r="I524" s="4">
        <v>8785077.3599999994</v>
      </c>
    </row>
    <row r="525" spans="1:9" x14ac:dyDescent="0.3">
      <c r="A525" t="s">
        <v>133</v>
      </c>
      <c r="B525" s="1">
        <v>45872</v>
      </c>
      <c r="C525" s="1">
        <v>45872</v>
      </c>
      <c r="D525">
        <v>911130</v>
      </c>
      <c r="E525">
        <v>12</v>
      </c>
      <c r="F525" s="3" t="s">
        <v>496</v>
      </c>
      <c r="G525" s="4">
        <v>4833.25</v>
      </c>
      <c r="H525" s="4">
        <v>0</v>
      </c>
      <c r="I525" s="4">
        <v>8789910.6099999994</v>
      </c>
    </row>
    <row r="526" spans="1:9" x14ac:dyDescent="0.3">
      <c r="A526" t="s">
        <v>133</v>
      </c>
      <c r="B526" s="1">
        <v>45872</v>
      </c>
      <c r="C526" s="1">
        <v>45872</v>
      </c>
      <c r="D526">
        <v>911141</v>
      </c>
      <c r="E526">
        <v>15</v>
      </c>
      <c r="F526" s="3" t="s">
        <v>497</v>
      </c>
      <c r="G526" s="4">
        <v>40000</v>
      </c>
      <c r="H526" s="4">
        <v>0</v>
      </c>
      <c r="I526" s="4">
        <v>8829910.6099999994</v>
      </c>
    </row>
    <row r="527" spans="1:9" x14ac:dyDescent="0.3">
      <c r="A527" t="s">
        <v>133</v>
      </c>
      <c r="B527" s="1">
        <v>45872</v>
      </c>
      <c r="C527" s="1">
        <v>45872</v>
      </c>
      <c r="D527">
        <v>911148</v>
      </c>
      <c r="E527">
        <v>16</v>
      </c>
      <c r="F527" s="3" t="s">
        <v>498</v>
      </c>
      <c r="G527" s="4">
        <v>650023</v>
      </c>
      <c r="H527" s="4">
        <v>0</v>
      </c>
      <c r="I527" s="4">
        <v>9479933.6099999994</v>
      </c>
    </row>
    <row r="528" spans="1:9" x14ac:dyDescent="0.3">
      <c r="A528" t="s">
        <v>133</v>
      </c>
      <c r="B528" s="1">
        <v>45872</v>
      </c>
      <c r="C528" s="1">
        <v>45872</v>
      </c>
      <c r="D528">
        <v>911149</v>
      </c>
      <c r="E528">
        <v>16</v>
      </c>
      <c r="F528" s="3" t="s">
        <v>499</v>
      </c>
      <c r="G528" s="4">
        <v>81625.25</v>
      </c>
      <c r="H528" s="4">
        <v>0</v>
      </c>
      <c r="I528" s="4">
        <v>9561558.8599999994</v>
      </c>
    </row>
    <row r="529" spans="1:9" x14ac:dyDescent="0.3">
      <c r="A529" t="s">
        <v>133</v>
      </c>
      <c r="B529" s="1">
        <v>45872</v>
      </c>
      <c r="C529" s="1">
        <v>45872</v>
      </c>
      <c r="D529">
        <v>911155</v>
      </c>
      <c r="E529">
        <v>98</v>
      </c>
      <c r="F529" s="3" t="s">
        <v>500</v>
      </c>
      <c r="G529" s="4">
        <v>500</v>
      </c>
      <c r="H529" s="4">
        <v>0</v>
      </c>
      <c r="I529" s="4">
        <v>9562058.8599999994</v>
      </c>
    </row>
    <row r="530" spans="1:9" x14ac:dyDescent="0.3">
      <c r="A530" t="s">
        <v>133</v>
      </c>
      <c r="B530" s="1">
        <v>45872</v>
      </c>
      <c r="C530" s="1">
        <v>45872</v>
      </c>
      <c r="D530">
        <v>911159</v>
      </c>
      <c r="E530">
        <v>75</v>
      </c>
      <c r="F530" s="3" t="s">
        <v>501</v>
      </c>
      <c r="G530" s="4">
        <v>65938</v>
      </c>
      <c r="H530" s="4">
        <v>0</v>
      </c>
      <c r="I530" s="4">
        <v>9627996.8599999994</v>
      </c>
    </row>
    <row r="531" spans="1:9" x14ac:dyDescent="0.3">
      <c r="A531" t="s">
        <v>133</v>
      </c>
      <c r="B531" s="1">
        <v>45872</v>
      </c>
      <c r="C531" s="1">
        <v>45872</v>
      </c>
      <c r="D531">
        <v>911164</v>
      </c>
      <c r="E531">
        <v>34</v>
      </c>
      <c r="F531" s="3" t="s">
        <v>502</v>
      </c>
      <c r="G531" s="4">
        <v>5000</v>
      </c>
      <c r="H531" s="4">
        <v>0</v>
      </c>
      <c r="I531" s="4">
        <v>9632996.8599999994</v>
      </c>
    </row>
    <row r="532" spans="1:9" x14ac:dyDescent="0.3">
      <c r="A532" t="s">
        <v>133</v>
      </c>
      <c r="B532" s="1">
        <v>45872</v>
      </c>
      <c r="C532" s="1">
        <v>45872</v>
      </c>
      <c r="D532">
        <v>911179</v>
      </c>
      <c r="E532">
        <v>59</v>
      </c>
      <c r="F532" s="3" t="s">
        <v>503</v>
      </c>
      <c r="G532" s="4">
        <v>10000</v>
      </c>
      <c r="H532" s="4">
        <v>0</v>
      </c>
      <c r="I532" s="4">
        <v>9642996.8599999994</v>
      </c>
    </row>
    <row r="533" spans="1:9" x14ac:dyDescent="0.3">
      <c r="A533" t="s">
        <v>133</v>
      </c>
      <c r="B533" s="1">
        <v>45872</v>
      </c>
      <c r="C533" s="1">
        <v>45872</v>
      </c>
      <c r="D533">
        <v>911209</v>
      </c>
      <c r="E533">
        <v>91</v>
      </c>
      <c r="F533" s="3" t="s">
        <v>504</v>
      </c>
      <c r="G533" s="4">
        <v>31568.25</v>
      </c>
      <c r="H533" s="4">
        <v>0</v>
      </c>
      <c r="I533" s="4">
        <v>9674565.1099999994</v>
      </c>
    </row>
    <row r="534" spans="1:9" x14ac:dyDescent="0.3">
      <c r="A534" t="s">
        <v>133</v>
      </c>
      <c r="B534" s="1">
        <v>45872</v>
      </c>
      <c r="C534" s="1">
        <v>45872</v>
      </c>
      <c r="D534">
        <v>911211</v>
      </c>
      <c r="E534">
        <v>310</v>
      </c>
      <c r="F534" s="3" t="s">
        <v>505</v>
      </c>
      <c r="G534" s="4">
        <v>319405</v>
      </c>
      <c r="H534" s="4">
        <v>0</v>
      </c>
      <c r="I534" s="4">
        <v>9993970.1099999994</v>
      </c>
    </row>
    <row r="535" spans="1:9" x14ac:dyDescent="0.3">
      <c r="A535" t="s">
        <v>133</v>
      </c>
      <c r="B535" s="1">
        <v>45872</v>
      </c>
      <c r="C535" s="1">
        <v>45872</v>
      </c>
      <c r="D535">
        <v>911212</v>
      </c>
      <c r="E535">
        <v>61</v>
      </c>
      <c r="F535" s="3" t="s">
        <v>506</v>
      </c>
      <c r="G535" s="4">
        <v>15000</v>
      </c>
      <c r="H535" s="4">
        <v>0</v>
      </c>
      <c r="I535" s="4">
        <v>10008970.109999999</v>
      </c>
    </row>
    <row r="536" spans="1:9" x14ac:dyDescent="0.3">
      <c r="A536" t="s">
        <v>133</v>
      </c>
      <c r="B536" s="1">
        <v>45872</v>
      </c>
      <c r="C536" s="1">
        <v>45872</v>
      </c>
      <c r="D536">
        <v>911250</v>
      </c>
      <c r="E536">
        <v>12</v>
      </c>
      <c r="F536" s="3" t="s">
        <v>507</v>
      </c>
      <c r="G536" s="4">
        <v>500</v>
      </c>
      <c r="H536" s="4">
        <v>0</v>
      </c>
      <c r="I536" s="4">
        <v>10009470.109999999</v>
      </c>
    </row>
    <row r="537" spans="1:9" x14ac:dyDescent="0.3">
      <c r="A537" t="s">
        <v>133</v>
      </c>
      <c r="B537" s="1">
        <v>45872</v>
      </c>
      <c r="C537" s="1">
        <v>45872</v>
      </c>
      <c r="D537">
        <v>911251</v>
      </c>
      <c r="E537">
        <v>72</v>
      </c>
      <c r="F537" s="3" t="s">
        <v>508</v>
      </c>
      <c r="G537" s="4">
        <v>32000</v>
      </c>
      <c r="H537" s="4">
        <v>0</v>
      </c>
      <c r="I537" s="4">
        <v>10041470.109999999</v>
      </c>
    </row>
    <row r="538" spans="1:9" x14ac:dyDescent="0.3">
      <c r="A538" t="s">
        <v>133</v>
      </c>
      <c r="B538" s="1">
        <v>45872</v>
      </c>
      <c r="C538" s="1">
        <v>45872</v>
      </c>
      <c r="D538">
        <v>911257</v>
      </c>
      <c r="E538">
        <v>72</v>
      </c>
      <c r="F538" s="3" t="s">
        <v>509</v>
      </c>
      <c r="G538" s="4">
        <v>2865</v>
      </c>
      <c r="H538" s="4">
        <v>0</v>
      </c>
      <c r="I538" s="4">
        <v>10044335.109999999</v>
      </c>
    </row>
    <row r="539" spans="1:9" x14ac:dyDescent="0.3">
      <c r="A539" t="s">
        <v>133</v>
      </c>
      <c r="B539" s="1">
        <v>45872</v>
      </c>
      <c r="C539" s="1">
        <v>45872</v>
      </c>
      <c r="D539">
        <v>911258</v>
      </c>
      <c r="E539">
        <v>41</v>
      </c>
      <c r="F539" s="3" t="s">
        <v>510</v>
      </c>
      <c r="G539" s="4">
        <v>21899.75</v>
      </c>
      <c r="H539" s="4">
        <v>0</v>
      </c>
      <c r="I539" s="4">
        <v>10066234.859999999</v>
      </c>
    </row>
    <row r="540" spans="1:9" x14ac:dyDescent="0.3">
      <c r="A540" t="s">
        <v>133</v>
      </c>
      <c r="B540" s="1">
        <v>45872</v>
      </c>
      <c r="C540" s="1">
        <v>45872</v>
      </c>
      <c r="D540">
        <v>911269</v>
      </c>
      <c r="E540">
        <v>72</v>
      </c>
      <c r="F540" s="3" t="s">
        <v>511</v>
      </c>
      <c r="G540" s="4">
        <v>30000</v>
      </c>
      <c r="H540" s="4">
        <v>0</v>
      </c>
      <c r="I540" s="4">
        <v>10096234.859999999</v>
      </c>
    </row>
    <row r="541" spans="1:9" x14ac:dyDescent="0.3">
      <c r="A541" t="s">
        <v>133</v>
      </c>
      <c r="B541" s="1">
        <v>45872</v>
      </c>
      <c r="C541" s="1">
        <v>45872</v>
      </c>
      <c r="D541">
        <v>911293</v>
      </c>
      <c r="E541">
        <v>72</v>
      </c>
      <c r="F541" s="3" t="s">
        <v>512</v>
      </c>
      <c r="G541" s="4">
        <v>25000</v>
      </c>
      <c r="H541" s="4">
        <v>0</v>
      </c>
      <c r="I541" s="4">
        <v>10121234.859999999</v>
      </c>
    </row>
    <row r="542" spans="1:9" x14ac:dyDescent="0.3">
      <c r="A542" t="s">
        <v>133</v>
      </c>
      <c r="B542" s="1">
        <v>45872</v>
      </c>
      <c r="C542" s="1">
        <v>45872</v>
      </c>
      <c r="D542">
        <v>911329</v>
      </c>
      <c r="E542">
        <v>23</v>
      </c>
      <c r="F542" s="3" t="s">
        <v>513</v>
      </c>
      <c r="G542" s="4">
        <v>10280.5</v>
      </c>
      <c r="H542" s="4">
        <v>0</v>
      </c>
      <c r="I542" s="4">
        <v>10131515.359999999</v>
      </c>
    </row>
    <row r="543" spans="1:9" x14ac:dyDescent="0.3">
      <c r="A543" t="s">
        <v>133</v>
      </c>
      <c r="B543" s="1">
        <v>45872</v>
      </c>
      <c r="C543" s="1">
        <v>45872</v>
      </c>
      <c r="D543">
        <v>911330</v>
      </c>
      <c r="E543">
        <v>23</v>
      </c>
      <c r="F543" s="3" t="s">
        <v>514</v>
      </c>
      <c r="G543" s="4">
        <v>100000</v>
      </c>
      <c r="H543" s="4">
        <v>0</v>
      </c>
      <c r="I543" s="4">
        <v>10231515.359999999</v>
      </c>
    </row>
    <row r="544" spans="1:9" x14ac:dyDescent="0.3">
      <c r="A544" t="s">
        <v>133</v>
      </c>
      <c r="B544" s="1">
        <v>45872</v>
      </c>
      <c r="C544" s="1">
        <v>45872</v>
      </c>
      <c r="D544">
        <v>911332</v>
      </c>
      <c r="E544">
        <v>89</v>
      </c>
      <c r="F544" s="3" t="s">
        <v>515</v>
      </c>
      <c r="G544" s="4">
        <v>7626.25</v>
      </c>
      <c r="H544" s="4">
        <v>0</v>
      </c>
      <c r="I544" s="4">
        <v>10239141.609999999</v>
      </c>
    </row>
    <row r="545" spans="1:9" x14ac:dyDescent="0.3">
      <c r="A545" t="s">
        <v>133</v>
      </c>
      <c r="B545" s="1">
        <v>45872</v>
      </c>
      <c r="C545" s="1">
        <v>45872</v>
      </c>
      <c r="D545">
        <v>911333</v>
      </c>
      <c r="E545">
        <v>23</v>
      </c>
      <c r="F545" s="3" t="s">
        <v>516</v>
      </c>
      <c r="G545" s="4">
        <v>250000</v>
      </c>
      <c r="H545" s="4">
        <v>0</v>
      </c>
      <c r="I545" s="4">
        <v>10489141.609999999</v>
      </c>
    </row>
    <row r="546" spans="1:9" x14ac:dyDescent="0.3">
      <c r="A546" t="s">
        <v>1</v>
      </c>
      <c r="B546" s="1">
        <v>45871</v>
      </c>
      <c r="C546" s="1">
        <v>45873</v>
      </c>
      <c r="D546">
        <v>101548</v>
      </c>
      <c r="E546">
        <v>100</v>
      </c>
      <c r="F546" s="3" t="s">
        <v>517</v>
      </c>
      <c r="G546" s="4">
        <v>444555</v>
      </c>
      <c r="I546" s="4">
        <v>10933696.609999999</v>
      </c>
    </row>
    <row r="547" spans="1:9" x14ac:dyDescent="0.3">
      <c r="A547" t="s">
        <v>1</v>
      </c>
      <c r="B547" s="1">
        <v>45871</v>
      </c>
      <c r="C547" s="1">
        <v>45873</v>
      </c>
      <c r="D547">
        <v>101567</v>
      </c>
      <c r="E547">
        <v>100</v>
      </c>
      <c r="F547" s="3" t="s">
        <v>518</v>
      </c>
      <c r="G547" s="4">
        <v>7800</v>
      </c>
      <c r="I547" s="4">
        <v>10941496.609999999</v>
      </c>
    </row>
    <row r="548" spans="1:9" x14ac:dyDescent="0.3">
      <c r="A548" t="s">
        <v>1</v>
      </c>
      <c r="B548" s="1">
        <v>45871</v>
      </c>
      <c r="C548" s="1">
        <v>45873</v>
      </c>
      <c r="D548">
        <v>101597</v>
      </c>
      <c r="E548">
        <v>100</v>
      </c>
      <c r="F548" s="3" t="s">
        <v>519</v>
      </c>
      <c r="G548" s="4">
        <v>57052.5</v>
      </c>
      <c r="I548" s="4">
        <v>10998549.109999999</v>
      </c>
    </row>
    <row r="549" spans="1:9" x14ac:dyDescent="0.3">
      <c r="A549" t="s">
        <v>1</v>
      </c>
      <c r="B549" s="1">
        <v>45870</v>
      </c>
      <c r="C549" s="1">
        <v>45873</v>
      </c>
      <c r="D549">
        <v>101604</v>
      </c>
      <c r="E549">
        <v>100</v>
      </c>
      <c r="F549" s="3" t="s">
        <v>520</v>
      </c>
      <c r="G549" s="4">
        <v>13326.25</v>
      </c>
      <c r="I549" s="4">
        <v>11011875.359999999</v>
      </c>
    </row>
    <row r="550" spans="1:9" x14ac:dyDescent="0.3">
      <c r="A550" t="s">
        <v>1</v>
      </c>
      <c r="B550" s="1">
        <v>45870</v>
      </c>
      <c r="C550" s="1">
        <v>45873</v>
      </c>
      <c r="D550">
        <v>101662</v>
      </c>
      <c r="E550">
        <v>100</v>
      </c>
      <c r="F550" s="3" t="s">
        <v>521</v>
      </c>
      <c r="G550" s="4">
        <v>19560</v>
      </c>
      <c r="I550" s="4">
        <v>11031435.359999999</v>
      </c>
    </row>
    <row r="551" spans="1:9" x14ac:dyDescent="0.3">
      <c r="A551" t="s">
        <v>1</v>
      </c>
      <c r="B551" s="1">
        <v>45871</v>
      </c>
      <c r="C551" s="1">
        <v>45873</v>
      </c>
      <c r="D551">
        <v>101666</v>
      </c>
      <c r="E551">
        <v>100</v>
      </c>
      <c r="F551" s="3" t="s">
        <v>522</v>
      </c>
      <c r="G551" s="4">
        <v>200052.5</v>
      </c>
      <c r="I551" s="4">
        <v>11231487.859999999</v>
      </c>
    </row>
    <row r="552" spans="1:9" x14ac:dyDescent="0.3">
      <c r="A552" t="s">
        <v>1</v>
      </c>
      <c r="B552" s="1">
        <v>45871</v>
      </c>
      <c r="C552" s="1">
        <v>45873</v>
      </c>
      <c r="D552">
        <v>101676</v>
      </c>
      <c r="E552">
        <v>100</v>
      </c>
      <c r="F552" s="3" t="s">
        <v>523</v>
      </c>
      <c r="G552" s="4">
        <v>92300</v>
      </c>
      <c r="I552" s="4">
        <v>11323787.859999999</v>
      </c>
    </row>
    <row r="553" spans="1:9" x14ac:dyDescent="0.3">
      <c r="A553" t="s">
        <v>1</v>
      </c>
      <c r="B553" s="1">
        <v>45870</v>
      </c>
      <c r="C553" s="1">
        <v>45873</v>
      </c>
      <c r="D553">
        <v>101677</v>
      </c>
      <c r="E553">
        <v>100</v>
      </c>
      <c r="F553" s="3" t="s">
        <v>524</v>
      </c>
      <c r="G553" s="4">
        <v>35000</v>
      </c>
      <c r="I553" s="4">
        <v>11358787.859999999</v>
      </c>
    </row>
    <row r="554" spans="1:9" x14ac:dyDescent="0.3">
      <c r="A554" t="s">
        <v>1</v>
      </c>
      <c r="B554" s="1">
        <v>45872</v>
      </c>
      <c r="C554" s="1">
        <v>45873</v>
      </c>
      <c r="D554">
        <v>101683</v>
      </c>
      <c r="E554">
        <v>100</v>
      </c>
      <c r="F554" s="3" t="s">
        <v>525</v>
      </c>
      <c r="G554" s="4">
        <v>21569</v>
      </c>
      <c r="I554" s="4">
        <v>11380356.859999999</v>
      </c>
    </row>
    <row r="555" spans="1:9" x14ac:dyDescent="0.3">
      <c r="A555" t="s">
        <v>1</v>
      </c>
      <c r="B555" s="1">
        <v>45872</v>
      </c>
      <c r="C555" s="1">
        <v>45873</v>
      </c>
      <c r="D555">
        <v>101685</v>
      </c>
      <c r="E555">
        <v>100</v>
      </c>
      <c r="F555" s="3" t="s">
        <v>526</v>
      </c>
      <c r="G555" s="4">
        <v>13733</v>
      </c>
      <c r="I555" s="4">
        <v>11394089.859999999</v>
      </c>
    </row>
    <row r="556" spans="1:9" x14ac:dyDescent="0.3">
      <c r="A556" t="s">
        <v>1</v>
      </c>
      <c r="B556" s="1">
        <v>45872</v>
      </c>
      <c r="C556" s="1">
        <v>45873</v>
      </c>
      <c r="D556">
        <v>101687</v>
      </c>
      <c r="E556">
        <v>100</v>
      </c>
      <c r="F556" s="3" t="s">
        <v>527</v>
      </c>
      <c r="G556" s="4">
        <v>68446</v>
      </c>
      <c r="I556" s="4">
        <v>11462535.859999999</v>
      </c>
    </row>
    <row r="557" spans="1:9" x14ac:dyDescent="0.3">
      <c r="A557" t="s">
        <v>1</v>
      </c>
      <c r="B557" s="1">
        <v>45873</v>
      </c>
      <c r="C557" s="1">
        <v>45873</v>
      </c>
      <c r="D557">
        <v>101689</v>
      </c>
      <c r="E557">
        <v>100</v>
      </c>
      <c r="F557" s="3" t="s">
        <v>528</v>
      </c>
      <c r="G557" s="4">
        <v>18400</v>
      </c>
      <c r="I557" s="4">
        <v>11480935.859999999</v>
      </c>
    </row>
    <row r="558" spans="1:9" x14ac:dyDescent="0.3">
      <c r="A558" t="s">
        <v>1</v>
      </c>
      <c r="B558" s="1">
        <v>45873</v>
      </c>
      <c r="C558" s="1">
        <v>45873</v>
      </c>
      <c r="D558">
        <v>101690</v>
      </c>
      <c r="E558">
        <v>100</v>
      </c>
      <c r="F558" s="3" t="s">
        <v>529</v>
      </c>
      <c r="G558" s="4">
        <v>45293</v>
      </c>
      <c r="I558" s="4">
        <v>11526228.859999999</v>
      </c>
    </row>
    <row r="559" spans="1:9" x14ac:dyDescent="0.3">
      <c r="A559" t="s">
        <v>1</v>
      </c>
      <c r="B559" s="1">
        <v>45870</v>
      </c>
      <c r="C559" s="1">
        <v>45873</v>
      </c>
      <c r="D559">
        <v>101692</v>
      </c>
      <c r="E559">
        <v>100</v>
      </c>
      <c r="F559" s="3" t="s">
        <v>530</v>
      </c>
      <c r="G559" s="4">
        <v>1112.8900000000001</v>
      </c>
      <c r="I559" s="4">
        <v>11527341.75</v>
      </c>
    </row>
    <row r="560" spans="1:9" x14ac:dyDescent="0.3">
      <c r="A560" t="s">
        <v>1</v>
      </c>
      <c r="B560" s="1">
        <v>45870</v>
      </c>
      <c r="C560" s="1">
        <v>45873</v>
      </c>
      <c r="D560">
        <v>101693</v>
      </c>
      <c r="E560">
        <v>100</v>
      </c>
      <c r="F560" s="3" t="s">
        <v>531</v>
      </c>
      <c r="G560" s="4">
        <v>9000</v>
      </c>
      <c r="I560" s="4">
        <v>11536341.75</v>
      </c>
    </row>
    <row r="561" spans="1:9" x14ac:dyDescent="0.3">
      <c r="A561" t="s">
        <v>1</v>
      </c>
      <c r="B561" s="1">
        <v>45871</v>
      </c>
      <c r="C561" s="1">
        <v>45873</v>
      </c>
      <c r="D561">
        <v>101694</v>
      </c>
      <c r="E561">
        <v>100</v>
      </c>
      <c r="F561" s="3" t="s">
        <v>532</v>
      </c>
      <c r="G561" s="4">
        <v>4526.25</v>
      </c>
      <c r="I561" s="4">
        <v>11540868</v>
      </c>
    </row>
    <row r="562" spans="1:9" x14ac:dyDescent="0.3">
      <c r="A562" t="s">
        <v>1</v>
      </c>
      <c r="B562" s="1">
        <v>45868</v>
      </c>
      <c r="C562" s="1">
        <v>45873</v>
      </c>
      <c r="D562">
        <v>101695</v>
      </c>
      <c r="E562">
        <v>100</v>
      </c>
      <c r="F562" s="3" t="s">
        <v>533</v>
      </c>
      <c r="G562" s="4">
        <v>34578.75</v>
      </c>
      <c r="I562" s="4">
        <v>11575446.75</v>
      </c>
    </row>
    <row r="563" spans="1:9" x14ac:dyDescent="0.3">
      <c r="A563" t="s">
        <v>1</v>
      </c>
      <c r="B563" s="1">
        <v>45871</v>
      </c>
      <c r="C563" s="1">
        <v>45873</v>
      </c>
      <c r="D563">
        <v>101696</v>
      </c>
      <c r="E563">
        <v>100</v>
      </c>
      <c r="F563" s="3" t="s">
        <v>534</v>
      </c>
      <c r="G563" s="4">
        <v>5900</v>
      </c>
      <c r="I563" s="4">
        <v>11581346.75</v>
      </c>
    </row>
    <row r="564" spans="1:9" x14ac:dyDescent="0.3">
      <c r="A564" t="s">
        <v>1</v>
      </c>
      <c r="B564" s="1">
        <v>45871</v>
      </c>
      <c r="C564" s="1">
        <v>45873</v>
      </c>
      <c r="D564">
        <v>101711</v>
      </c>
      <c r="E564">
        <v>100</v>
      </c>
      <c r="F564" s="3" t="s">
        <v>535</v>
      </c>
      <c r="G564" s="4">
        <v>17331.5</v>
      </c>
      <c r="I564" s="4">
        <v>11598678.25</v>
      </c>
    </row>
    <row r="565" spans="1:9" x14ac:dyDescent="0.3">
      <c r="A565" t="s">
        <v>1</v>
      </c>
      <c r="B565" s="1">
        <v>45867</v>
      </c>
      <c r="C565" s="1">
        <v>45873</v>
      </c>
      <c r="D565">
        <v>101713</v>
      </c>
      <c r="E565">
        <v>100</v>
      </c>
      <c r="F565" s="3" t="s">
        <v>536</v>
      </c>
      <c r="G565" s="4">
        <v>33915.75</v>
      </c>
      <c r="I565" s="4">
        <v>11632594</v>
      </c>
    </row>
    <row r="566" spans="1:9" x14ac:dyDescent="0.3">
      <c r="A566" t="s">
        <v>1</v>
      </c>
      <c r="B566" s="1">
        <v>45872</v>
      </c>
      <c r="C566" s="1">
        <v>45873</v>
      </c>
      <c r="D566">
        <v>101717</v>
      </c>
      <c r="E566">
        <v>100</v>
      </c>
      <c r="F566" s="3" t="s">
        <v>537</v>
      </c>
      <c r="G566" s="4">
        <v>20122</v>
      </c>
      <c r="I566" s="4">
        <v>11652716</v>
      </c>
    </row>
    <row r="567" spans="1:9" x14ac:dyDescent="0.3">
      <c r="A567" t="s">
        <v>1</v>
      </c>
      <c r="B567" s="1">
        <v>45872</v>
      </c>
      <c r="C567" s="1">
        <v>45873</v>
      </c>
      <c r="D567">
        <v>101718</v>
      </c>
      <c r="E567">
        <v>100</v>
      </c>
      <c r="F567" s="3" t="s">
        <v>24</v>
      </c>
      <c r="G567" s="4">
        <v>4900</v>
      </c>
      <c r="I567" s="4">
        <v>11657616</v>
      </c>
    </row>
    <row r="568" spans="1:9" x14ac:dyDescent="0.3">
      <c r="A568" t="s">
        <v>1</v>
      </c>
      <c r="B568" s="1">
        <v>45873</v>
      </c>
      <c r="C568" s="1">
        <v>45873</v>
      </c>
      <c r="D568">
        <v>101720</v>
      </c>
      <c r="E568">
        <v>100</v>
      </c>
      <c r="F568" s="3" t="s">
        <v>538</v>
      </c>
      <c r="G568" s="4">
        <v>7314.25</v>
      </c>
      <c r="I568" s="4">
        <v>11664930.25</v>
      </c>
    </row>
    <row r="569" spans="1:9" x14ac:dyDescent="0.3">
      <c r="A569" t="s">
        <v>1</v>
      </c>
      <c r="B569" s="1">
        <v>45872</v>
      </c>
      <c r="C569" s="1">
        <v>45873</v>
      </c>
      <c r="D569">
        <v>101721</v>
      </c>
      <c r="E569">
        <v>100</v>
      </c>
      <c r="F569" s="3" t="s">
        <v>539</v>
      </c>
      <c r="G569" s="4">
        <v>35000</v>
      </c>
      <c r="I569" s="4">
        <v>11699930.25</v>
      </c>
    </row>
    <row r="570" spans="1:9" x14ac:dyDescent="0.3">
      <c r="A570" t="s">
        <v>1</v>
      </c>
      <c r="B570" s="1">
        <v>45872</v>
      </c>
      <c r="C570" s="1">
        <v>45873</v>
      </c>
      <c r="D570">
        <v>101723</v>
      </c>
      <c r="E570">
        <v>100</v>
      </c>
      <c r="F570" s="3" t="s">
        <v>540</v>
      </c>
      <c r="G570" s="4">
        <v>27000</v>
      </c>
      <c r="I570" s="4">
        <v>11726930.25</v>
      </c>
    </row>
    <row r="571" spans="1:9" x14ac:dyDescent="0.3">
      <c r="A571" t="s">
        <v>1</v>
      </c>
      <c r="B571" s="1">
        <v>45872</v>
      </c>
      <c r="C571" s="1">
        <v>45873</v>
      </c>
      <c r="D571">
        <v>101724</v>
      </c>
      <c r="E571">
        <v>100</v>
      </c>
      <c r="F571" s="3" t="s">
        <v>541</v>
      </c>
      <c r="G571" s="4">
        <v>30773</v>
      </c>
      <c r="I571" s="4">
        <v>11757703.25</v>
      </c>
    </row>
    <row r="572" spans="1:9" x14ac:dyDescent="0.3">
      <c r="A572" t="s">
        <v>1</v>
      </c>
      <c r="B572" s="1">
        <v>45873</v>
      </c>
      <c r="C572" s="1">
        <v>45873</v>
      </c>
      <c r="D572">
        <v>101726</v>
      </c>
      <c r="E572">
        <v>100</v>
      </c>
      <c r="F572" s="3" t="s">
        <v>542</v>
      </c>
      <c r="G572" s="4">
        <v>27000</v>
      </c>
      <c r="I572" s="4">
        <v>11784703.25</v>
      </c>
    </row>
    <row r="573" spans="1:9" x14ac:dyDescent="0.3">
      <c r="A573" t="s">
        <v>1</v>
      </c>
      <c r="B573" s="1">
        <v>45872</v>
      </c>
      <c r="C573" s="1">
        <v>45873</v>
      </c>
      <c r="D573">
        <v>101727</v>
      </c>
      <c r="E573">
        <v>100</v>
      </c>
      <c r="F573" s="3" t="s">
        <v>315</v>
      </c>
      <c r="G573" s="4">
        <v>13200</v>
      </c>
      <c r="I573" s="4">
        <v>11797903.25</v>
      </c>
    </row>
    <row r="574" spans="1:9" x14ac:dyDescent="0.3">
      <c r="A574" t="s">
        <v>1</v>
      </c>
      <c r="B574" s="1">
        <v>45873</v>
      </c>
      <c r="C574" s="1">
        <v>45873</v>
      </c>
      <c r="D574">
        <v>101728</v>
      </c>
      <c r="E574">
        <v>100</v>
      </c>
      <c r="F574" s="3" t="s">
        <v>543</v>
      </c>
      <c r="G574" s="4">
        <v>2000</v>
      </c>
      <c r="I574" s="4">
        <v>11799903.25</v>
      </c>
    </row>
    <row r="575" spans="1:9" x14ac:dyDescent="0.3">
      <c r="A575" t="s">
        <v>1</v>
      </c>
      <c r="B575" s="1">
        <v>45873</v>
      </c>
      <c r="C575" s="1">
        <v>45873</v>
      </c>
      <c r="D575">
        <v>101729</v>
      </c>
      <c r="E575">
        <v>100</v>
      </c>
      <c r="F575" s="3" t="s">
        <v>544</v>
      </c>
      <c r="G575" s="4">
        <v>9000</v>
      </c>
      <c r="I575" s="4">
        <v>11808903.25</v>
      </c>
    </row>
    <row r="576" spans="1:9" x14ac:dyDescent="0.3">
      <c r="A576" t="s">
        <v>1</v>
      </c>
      <c r="B576" s="1">
        <v>45871</v>
      </c>
      <c r="C576" s="1">
        <v>45873</v>
      </c>
      <c r="D576">
        <v>101731</v>
      </c>
      <c r="E576">
        <v>100</v>
      </c>
      <c r="F576" s="3" t="s">
        <v>545</v>
      </c>
      <c r="G576" s="4">
        <v>83456.320000000007</v>
      </c>
      <c r="I576" s="4">
        <v>11892359.57</v>
      </c>
    </row>
    <row r="577" spans="1:9" x14ac:dyDescent="0.3">
      <c r="A577" t="s">
        <v>1</v>
      </c>
      <c r="B577" s="1">
        <v>45873</v>
      </c>
      <c r="C577" s="1">
        <v>45873</v>
      </c>
      <c r="D577">
        <v>101735</v>
      </c>
      <c r="E577">
        <v>100</v>
      </c>
      <c r="F577" s="3" t="s">
        <v>546</v>
      </c>
      <c r="G577" s="4">
        <v>12609.5</v>
      </c>
      <c r="I577" s="4">
        <v>11904969.07</v>
      </c>
    </row>
    <row r="578" spans="1:9" x14ac:dyDescent="0.3">
      <c r="A578" t="s">
        <v>1</v>
      </c>
      <c r="B578" s="1">
        <v>45868</v>
      </c>
      <c r="C578" s="1">
        <v>45873</v>
      </c>
      <c r="D578">
        <v>101739</v>
      </c>
      <c r="E578">
        <v>100</v>
      </c>
      <c r="F578" s="3" t="s">
        <v>547</v>
      </c>
      <c r="G578" s="4">
        <v>46207</v>
      </c>
      <c r="I578" s="4">
        <v>11951176.07</v>
      </c>
    </row>
    <row r="579" spans="1:9" x14ac:dyDescent="0.3">
      <c r="A579" t="s">
        <v>1</v>
      </c>
      <c r="B579" s="1">
        <v>45873</v>
      </c>
      <c r="C579" s="1">
        <v>45873</v>
      </c>
      <c r="D579">
        <v>101740</v>
      </c>
      <c r="E579">
        <v>100</v>
      </c>
      <c r="F579" s="3" t="s">
        <v>548</v>
      </c>
      <c r="G579" s="4">
        <v>11700</v>
      </c>
      <c r="I579" s="4">
        <v>11962876.07</v>
      </c>
    </row>
    <row r="580" spans="1:9" x14ac:dyDescent="0.3">
      <c r="A580" t="s">
        <v>1</v>
      </c>
      <c r="B580" s="1">
        <v>45873</v>
      </c>
      <c r="C580" s="1">
        <v>45873</v>
      </c>
      <c r="D580">
        <v>101745</v>
      </c>
      <c r="E580">
        <v>100</v>
      </c>
      <c r="F580" s="3" t="s">
        <v>549</v>
      </c>
      <c r="G580" s="4">
        <v>7812.6</v>
      </c>
      <c r="I580" s="4">
        <v>11970688.67</v>
      </c>
    </row>
    <row r="581" spans="1:9" x14ac:dyDescent="0.3">
      <c r="A581" t="s">
        <v>1</v>
      </c>
      <c r="B581" s="1">
        <v>45873</v>
      </c>
      <c r="C581" s="1">
        <v>45873</v>
      </c>
      <c r="D581">
        <v>101746</v>
      </c>
      <c r="E581">
        <v>100</v>
      </c>
      <c r="F581" s="3" t="s">
        <v>550</v>
      </c>
      <c r="G581" s="4">
        <v>83113.75</v>
      </c>
      <c r="I581" s="4">
        <v>12053802.42</v>
      </c>
    </row>
    <row r="582" spans="1:9" x14ac:dyDescent="0.3">
      <c r="A582" t="s">
        <v>1</v>
      </c>
      <c r="B582" s="1">
        <v>45872</v>
      </c>
      <c r="C582" s="1">
        <v>45873</v>
      </c>
      <c r="D582">
        <v>101748</v>
      </c>
      <c r="E582">
        <v>100</v>
      </c>
      <c r="F582" s="3" t="s">
        <v>551</v>
      </c>
      <c r="G582" s="4">
        <v>30006.3</v>
      </c>
      <c r="I582" s="4">
        <v>12083808.720000001</v>
      </c>
    </row>
    <row r="583" spans="1:9" x14ac:dyDescent="0.3">
      <c r="A583" t="s">
        <v>1</v>
      </c>
      <c r="B583" s="1">
        <v>45873</v>
      </c>
      <c r="C583" s="1">
        <v>45873</v>
      </c>
      <c r="D583">
        <v>101749</v>
      </c>
      <c r="E583">
        <v>100</v>
      </c>
      <c r="F583" s="3" t="s">
        <v>552</v>
      </c>
      <c r="G583" s="4">
        <v>38000</v>
      </c>
      <c r="I583" s="4">
        <v>12121808.720000001</v>
      </c>
    </row>
    <row r="584" spans="1:9" x14ac:dyDescent="0.3">
      <c r="A584" t="s">
        <v>1</v>
      </c>
      <c r="B584" s="1">
        <v>45873</v>
      </c>
      <c r="C584" s="1">
        <v>45873</v>
      </c>
      <c r="D584">
        <v>101750</v>
      </c>
      <c r="E584">
        <v>100</v>
      </c>
      <c r="F584" s="3" t="s">
        <v>553</v>
      </c>
      <c r="G584" s="4">
        <v>4004.2</v>
      </c>
      <c r="I584" s="4">
        <v>12125812.92</v>
      </c>
    </row>
    <row r="585" spans="1:9" x14ac:dyDescent="0.3">
      <c r="A585" t="s">
        <v>1</v>
      </c>
      <c r="B585" s="1">
        <v>45873</v>
      </c>
      <c r="C585" s="1">
        <v>45873</v>
      </c>
      <c r="D585">
        <v>101751</v>
      </c>
      <c r="E585">
        <v>100</v>
      </c>
      <c r="F585" s="3" t="s">
        <v>554</v>
      </c>
      <c r="G585" s="4">
        <v>8151</v>
      </c>
      <c r="I585" s="4">
        <v>12133963.92</v>
      </c>
    </row>
    <row r="586" spans="1:9" x14ac:dyDescent="0.3">
      <c r="A586" t="s">
        <v>1</v>
      </c>
      <c r="B586" s="1">
        <v>45873</v>
      </c>
      <c r="C586" s="1">
        <v>45873</v>
      </c>
      <c r="D586">
        <v>101754</v>
      </c>
      <c r="E586">
        <v>100</v>
      </c>
      <c r="F586" s="3" t="s">
        <v>555</v>
      </c>
      <c r="G586" s="4">
        <v>21768.25</v>
      </c>
      <c r="I586" s="4">
        <v>12155732.17</v>
      </c>
    </row>
    <row r="587" spans="1:9" x14ac:dyDescent="0.3">
      <c r="A587" t="s">
        <v>1</v>
      </c>
      <c r="B587" s="1">
        <v>45873</v>
      </c>
      <c r="C587" s="1">
        <v>45873</v>
      </c>
      <c r="D587">
        <v>101779</v>
      </c>
      <c r="E587">
        <v>100</v>
      </c>
      <c r="F587" s="3" t="s">
        <v>556</v>
      </c>
      <c r="G587" s="4">
        <v>8000</v>
      </c>
      <c r="I587" s="4">
        <v>12163732.17</v>
      </c>
    </row>
    <row r="588" spans="1:9" x14ac:dyDescent="0.3">
      <c r="A588" t="s">
        <v>71</v>
      </c>
      <c r="B588" s="1">
        <v>45873</v>
      </c>
      <c r="C588" s="1">
        <v>45873</v>
      </c>
      <c r="D588">
        <v>13646</v>
      </c>
      <c r="E588">
        <v>100</v>
      </c>
      <c r="F588" s="3" t="s">
        <v>74</v>
      </c>
      <c r="G588" s="4">
        <v>0</v>
      </c>
      <c r="H588" s="4">
        <v>42426615</v>
      </c>
      <c r="I588" s="4">
        <v>-30262882.829999998</v>
      </c>
    </row>
    <row r="589" spans="1:9" x14ac:dyDescent="0.3">
      <c r="A589" t="s">
        <v>75</v>
      </c>
      <c r="B589" s="1">
        <v>45871</v>
      </c>
      <c r="C589" s="1">
        <v>45873</v>
      </c>
      <c r="D589">
        <v>142901</v>
      </c>
      <c r="E589">
        <v>11</v>
      </c>
      <c r="F589" s="3" t="s">
        <v>557</v>
      </c>
      <c r="G589" s="4">
        <v>42078.75</v>
      </c>
      <c r="H589" s="4">
        <v>0</v>
      </c>
      <c r="I589" s="4">
        <v>-30220804.079999998</v>
      </c>
    </row>
    <row r="590" spans="1:9" x14ac:dyDescent="0.3">
      <c r="A590" t="s">
        <v>75</v>
      </c>
      <c r="B590" s="1">
        <v>45871</v>
      </c>
      <c r="C590" s="1">
        <v>45873</v>
      </c>
      <c r="D590">
        <v>142902</v>
      </c>
      <c r="E590">
        <v>11</v>
      </c>
      <c r="F590" s="3" t="s">
        <v>558</v>
      </c>
      <c r="G590" s="4">
        <v>42100</v>
      </c>
      <c r="H590" s="4">
        <v>0</v>
      </c>
      <c r="I590" s="4">
        <v>-30178704.079999998</v>
      </c>
    </row>
    <row r="591" spans="1:9" x14ac:dyDescent="0.3">
      <c r="A591" t="s">
        <v>75</v>
      </c>
      <c r="B591" s="1">
        <v>45873</v>
      </c>
      <c r="C591" s="1">
        <v>45873</v>
      </c>
      <c r="D591">
        <v>142903</v>
      </c>
      <c r="E591">
        <v>72</v>
      </c>
      <c r="F591" s="3" t="s">
        <v>559</v>
      </c>
      <c r="G591" s="4">
        <v>22104.5</v>
      </c>
      <c r="H591" s="4">
        <v>0</v>
      </c>
      <c r="I591" s="4">
        <v>-30156599.579999998</v>
      </c>
    </row>
    <row r="592" spans="1:9" x14ac:dyDescent="0.3">
      <c r="A592" t="s">
        <v>75</v>
      </c>
      <c r="B592" s="1">
        <v>45872</v>
      </c>
      <c r="C592" s="1">
        <v>45873</v>
      </c>
      <c r="D592">
        <v>142904</v>
      </c>
      <c r="E592">
        <v>76</v>
      </c>
      <c r="F592" s="3" t="s">
        <v>560</v>
      </c>
      <c r="G592" s="4">
        <v>25000</v>
      </c>
      <c r="H592" s="4">
        <v>0</v>
      </c>
      <c r="I592" s="4">
        <v>-30131599.579999998</v>
      </c>
    </row>
    <row r="593" spans="1:9" x14ac:dyDescent="0.3">
      <c r="A593" t="s">
        <v>75</v>
      </c>
      <c r="B593" s="1">
        <v>45872</v>
      </c>
      <c r="C593" s="1">
        <v>45873</v>
      </c>
      <c r="D593">
        <v>142905</v>
      </c>
      <c r="E593">
        <v>72</v>
      </c>
      <c r="F593" s="3" t="s">
        <v>561</v>
      </c>
      <c r="G593" s="4">
        <v>85000</v>
      </c>
      <c r="H593" s="4">
        <v>0</v>
      </c>
      <c r="I593" s="4">
        <v>-30046599.579999998</v>
      </c>
    </row>
    <row r="594" spans="1:9" x14ac:dyDescent="0.3">
      <c r="A594" t="s">
        <v>75</v>
      </c>
      <c r="B594" s="1">
        <v>45872</v>
      </c>
      <c r="C594" s="1">
        <v>45873</v>
      </c>
      <c r="D594">
        <v>142906</v>
      </c>
      <c r="E594">
        <v>78</v>
      </c>
      <c r="F594" s="3" t="s">
        <v>562</v>
      </c>
      <c r="G594" s="4">
        <v>183830</v>
      </c>
      <c r="H594" s="4">
        <v>0</v>
      </c>
      <c r="I594" s="4">
        <v>-29862769.579999998</v>
      </c>
    </row>
    <row r="595" spans="1:9" x14ac:dyDescent="0.3">
      <c r="A595" t="s">
        <v>75</v>
      </c>
      <c r="B595" s="1">
        <v>45872</v>
      </c>
      <c r="C595" s="1">
        <v>45873</v>
      </c>
      <c r="D595">
        <v>142907</v>
      </c>
      <c r="E595">
        <v>72</v>
      </c>
      <c r="F595" s="3" t="s">
        <v>563</v>
      </c>
      <c r="G595" s="4">
        <v>8451.25</v>
      </c>
      <c r="H595" s="4">
        <v>0</v>
      </c>
      <c r="I595" s="4">
        <v>-29854318.329999998</v>
      </c>
    </row>
    <row r="596" spans="1:9" x14ac:dyDescent="0.3">
      <c r="A596" t="s">
        <v>75</v>
      </c>
      <c r="B596" s="1">
        <v>45872</v>
      </c>
      <c r="C596" s="1">
        <v>45873</v>
      </c>
      <c r="D596">
        <v>142909</v>
      </c>
      <c r="E596">
        <v>79</v>
      </c>
      <c r="F596" s="3" t="s">
        <v>564</v>
      </c>
      <c r="G596" s="4">
        <v>35000</v>
      </c>
      <c r="H596" s="4">
        <v>0</v>
      </c>
      <c r="I596" s="4">
        <v>-29819318.329999998</v>
      </c>
    </row>
    <row r="597" spans="1:9" x14ac:dyDescent="0.3">
      <c r="A597" t="s">
        <v>75</v>
      </c>
      <c r="B597" s="1">
        <v>45870</v>
      </c>
      <c r="C597" s="1">
        <v>45873</v>
      </c>
      <c r="D597">
        <v>142910</v>
      </c>
      <c r="E597">
        <v>79</v>
      </c>
      <c r="F597" s="3" t="s">
        <v>565</v>
      </c>
      <c r="G597" s="4">
        <v>100000</v>
      </c>
      <c r="H597" s="4">
        <v>0</v>
      </c>
      <c r="I597" s="4">
        <v>-29719318.329999998</v>
      </c>
    </row>
    <row r="598" spans="1:9" x14ac:dyDescent="0.3">
      <c r="A598" t="s">
        <v>75</v>
      </c>
      <c r="B598" s="1">
        <v>45873</v>
      </c>
      <c r="C598" s="1">
        <v>45873</v>
      </c>
      <c r="D598">
        <v>142911</v>
      </c>
      <c r="E598">
        <v>77</v>
      </c>
      <c r="F598" s="3" t="s">
        <v>566</v>
      </c>
      <c r="G598" s="4">
        <v>25000</v>
      </c>
      <c r="H598" s="4">
        <v>0</v>
      </c>
      <c r="I598" s="4">
        <v>-29694318.329999998</v>
      </c>
    </row>
    <row r="599" spans="1:9" x14ac:dyDescent="0.3">
      <c r="A599" t="s">
        <v>75</v>
      </c>
      <c r="B599" s="1">
        <v>45873</v>
      </c>
      <c r="C599" s="1">
        <v>45873</v>
      </c>
      <c r="D599">
        <v>142912</v>
      </c>
      <c r="E599">
        <v>72</v>
      </c>
      <c r="F599" s="3" t="s">
        <v>567</v>
      </c>
      <c r="G599" s="4">
        <v>20000</v>
      </c>
      <c r="H599" s="4">
        <v>0</v>
      </c>
      <c r="I599" s="4">
        <v>-29674318.329999998</v>
      </c>
    </row>
    <row r="600" spans="1:9" x14ac:dyDescent="0.3">
      <c r="A600" t="s">
        <v>75</v>
      </c>
      <c r="B600" s="1">
        <v>45872</v>
      </c>
      <c r="C600" s="1">
        <v>45873</v>
      </c>
      <c r="D600">
        <v>142913</v>
      </c>
      <c r="E600">
        <v>12</v>
      </c>
      <c r="F600" s="3" t="s">
        <v>568</v>
      </c>
      <c r="G600" s="4">
        <v>213591.75</v>
      </c>
      <c r="H600" s="4">
        <v>0</v>
      </c>
      <c r="I600" s="4">
        <v>-29460726.579999998</v>
      </c>
    </row>
    <row r="601" spans="1:9" x14ac:dyDescent="0.3">
      <c r="A601" t="s">
        <v>75</v>
      </c>
      <c r="B601" s="1">
        <v>45873</v>
      </c>
      <c r="C601" s="1">
        <v>45873</v>
      </c>
      <c r="D601">
        <v>142914</v>
      </c>
      <c r="E601">
        <v>16</v>
      </c>
      <c r="F601" s="3" t="s">
        <v>569</v>
      </c>
      <c r="G601" s="4">
        <v>62567.25</v>
      </c>
      <c r="H601" s="4">
        <v>0</v>
      </c>
      <c r="I601" s="4">
        <v>-29398159.329999998</v>
      </c>
    </row>
    <row r="602" spans="1:9" x14ac:dyDescent="0.3">
      <c r="A602" t="s">
        <v>75</v>
      </c>
      <c r="B602" s="1">
        <v>45873</v>
      </c>
      <c r="C602" s="1">
        <v>45873</v>
      </c>
      <c r="D602">
        <v>142915</v>
      </c>
      <c r="E602">
        <v>14</v>
      </c>
      <c r="F602" s="3" t="s">
        <v>570</v>
      </c>
      <c r="G602" s="4">
        <v>1422.5</v>
      </c>
      <c r="H602" s="4">
        <v>0</v>
      </c>
      <c r="I602" s="4">
        <v>-29396736.829999998</v>
      </c>
    </row>
    <row r="603" spans="1:9" x14ac:dyDescent="0.3">
      <c r="A603" t="s">
        <v>75</v>
      </c>
      <c r="B603" s="1">
        <v>45873</v>
      </c>
      <c r="C603" s="1">
        <v>45873</v>
      </c>
      <c r="D603">
        <v>142916</v>
      </c>
      <c r="E603">
        <v>11</v>
      </c>
      <c r="F603" s="3" t="s">
        <v>571</v>
      </c>
      <c r="G603" s="4">
        <v>34000</v>
      </c>
      <c r="H603" s="4">
        <v>0</v>
      </c>
      <c r="I603" s="4">
        <v>-29362736.829999998</v>
      </c>
    </row>
    <row r="604" spans="1:9" x14ac:dyDescent="0.3">
      <c r="A604" t="s">
        <v>75</v>
      </c>
      <c r="B604" s="1">
        <v>45871</v>
      </c>
      <c r="C604" s="1">
        <v>45873</v>
      </c>
      <c r="D604">
        <v>142917</v>
      </c>
      <c r="E604">
        <v>252</v>
      </c>
      <c r="F604" s="3" t="s">
        <v>572</v>
      </c>
      <c r="G604" s="4">
        <v>16872.5</v>
      </c>
      <c r="H604" s="4">
        <v>0</v>
      </c>
      <c r="I604" s="4">
        <v>-29345864.329999998</v>
      </c>
    </row>
    <row r="605" spans="1:9" x14ac:dyDescent="0.3">
      <c r="A605" t="s">
        <v>75</v>
      </c>
      <c r="B605" s="1">
        <v>45873</v>
      </c>
      <c r="C605" s="1">
        <v>45873</v>
      </c>
      <c r="D605">
        <v>142918</v>
      </c>
      <c r="E605">
        <v>63</v>
      </c>
      <c r="F605" s="3" t="s">
        <v>573</v>
      </c>
      <c r="G605" s="4">
        <v>7225</v>
      </c>
      <c r="H605" s="4">
        <v>0</v>
      </c>
      <c r="I605" s="4">
        <v>-29338639.329999998</v>
      </c>
    </row>
    <row r="606" spans="1:9" x14ac:dyDescent="0.3">
      <c r="A606" t="s">
        <v>75</v>
      </c>
      <c r="B606" s="1">
        <v>45873</v>
      </c>
      <c r="C606" s="1">
        <v>45873</v>
      </c>
      <c r="D606">
        <v>142919</v>
      </c>
      <c r="E606">
        <v>63</v>
      </c>
      <c r="F606" s="3" t="s">
        <v>574</v>
      </c>
      <c r="G606" s="4">
        <v>3734</v>
      </c>
      <c r="H606" s="4">
        <v>0</v>
      </c>
      <c r="I606" s="4">
        <v>-29334905.329999998</v>
      </c>
    </row>
    <row r="607" spans="1:9" x14ac:dyDescent="0.3">
      <c r="A607" t="s">
        <v>75</v>
      </c>
      <c r="B607" s="1">
        <v>45872</v>
      </c>
      <c r="C607" s="1">
        <v>45873</v>
      </c>
      <c r="D607">
        <v>142920</v>
      </c>
      <c r="E607">
        <v>63</v>
      </c>
      <c r="F607" s="3" t="s">
        <v>575</v>
      </c>
      <c r="G607" s="4">
        <v>528</v>
      </c>
      <c r="H607" s="4">
        <v>0</v>
      </c>
      <c r="I607" s="4">
        <v>-29334377.329999998</v>
      </c>
    </row>
    <row r="608" spans="1:9" x14ac:dyDescent="0.3">
      <c r="A608" t="s">
        <v>75</v>
      </c>
      <c r="B608" s="1">
        <v>45872</v>
      </c>
      <c r="C608" s="1">
        <v>45873</v>
      </c>
      <c r="D608">
        <v>142921</v>
      </c>
      <c r="E608">
        <v>12</v>
      </c>
      <c r="F608" s="3" t="s">
        <v>576</v>
      </c>
      <c r="G608" s="4">
        <v>22104.5</v>
      </c>
      <c r="H608" s="4">
        <v>0</v>
      </c>
      <c r="I608" s="4">
        <v>-29312272.829999998</v>
      </c>
    </row>
    <row r="609" spans="1:9" x14ac:dyDescent="0.3">
      <c r="A609" t="s">
        <v>75</v>
      </c>
      <c r="B609" s="1">
        <v>45873</v>
      </c>
      <c r="C609" s="1">
        <v>45873</v>
      </c>
      <c r="D609">
        <v>142923</v>
      </c>
      <c r="E609">
        <v>58</v>
      </c>
      <c r="F609" s="3" t="s">
        <v>577</v>
      </c>
      <c r="G609" s="4">
        <v>39297.5</v>
      </c>
      <c r="H609" s="4">
        <v>0</v>
      </c>
      <c r="I609" s="4">
        <v>-29272975.329999998</v>
      </c>
    </row>
    <row r="610" spans="1:9" x14ac:dyDescent="0.3">
      <c r="A610" t="s">
        <v>75</v>
      </c>
      <c r="B610" s="1">
        <v>45873</v>
      </c>
      <c r="C610" s="1">
        <v>45873</v>
      </c>
      <c r="D610">
        <v>142924</v>
      </c>
      <c r="E610">
        <v>92</v>
      </c>
      <c r="F610" s="3" t="s">
        <v>578</v>
      </c>
      <c r="G610" s="4">
        <v>128685.5</v>
      </c>
      <c r="H610" s="4">
        <v>0</v>
      </c>
      <c r="I610" s="4">
        <v>-29144289.829999998</v>
      </c>
    </row>
    <row r="611" spans="1:9" x14ac:dyDescent="0.3">
      <c r="A611" t="s">
        <v>75</v>
      </c>
      <c r="B611" s="1">
        <v>45873</v>
      </c>
      <c r="C611" s="1">
        <v>45873</v>
      </c>
      <c r="D611">
        <v>142925</v>
      </c>
      <c r="E611">
        <v>11</v>
      </c>
      <c r="F611" s="3" t="s">
        <v>579</v>
      </c>
      <c r="G611" s="4">
        <v>128705</v>
      </c>
      <c r="H611" s="4">
        <v>0</v>
      </c>
      <c r="I611" s="4">
        <v>-29015584.829999998</v>
      </c>
    </row>
    <row r="612" spans="1:9" x14ac:dyDescent="0.3">
      <c r="A612" t="s">
        <v>75</v>
      </c>
      <c r="B612" s="1">
        <v>45873</v>
      </c>
      <c r="C612" s="1">
        <v>45873</v>
      </c>
      <c r="D612">
        <v>142926</v>
      </c>
      <c r="E612">
        <v>62</v>
      </c>
      <c r="F612" s="3" t="s">
        <v>580</v>
      </c>
      <c r="G612" s="4">
        <v>78658</v>
      </c>
      <c r="H612" s="4">
        <v>0</v>
      </c>
      <c r="I612" s="4">
        <v>-28936926.829999998</v>
      </c>
    </row>
    <row r="613" spans="1:9" x14ac:dyDescent="0.3">
      <c r="A613" t="s">
        <v>75</v>
      </c>
      <c r="B613" s="1">
        <v>45872</v>
      </c>
      <c r="C613" s="1">
        <v>45873</v>
      </c>
      <c r="D613">
        <v>142927</v>
      </c>
      <c r="E613">
        <v>11</v>
      </c>
      <c r="F613" s="3" t="s">
        <v>581</v>
      </c>
      <c r="G613" s="4">
        <v>30000</v>
      </c>
      <c r="H613" s="4">
        <v>0</v>
      </c>
      <c r="I613" s="4">
        <v>-28906926.829999998</v>
      </c>
    </row>
    <row r="614" spans="1:9" x14ac:dyDescent="0.3">
      <c r="A614" t="s">
        <v>75</v>
      </c>
      <c r="B614" s="1">
        <v>45872</v>
      </c>
      <c r="C614" s="1">
        <v>45873</v>
      </c>
      <c r="D614">
        <v>142928</v>
      </c>
      <c r="E614">
        <v>11</v>
      </c>
      <c r="F614" s="3" t="s">
        <v>582</v>
      </c>
      <c r="G614" s="4">
        <v>105157</v>
      </c>
      <c r="H614" s="4">
        <v>0</v>
      </c>
      <c r="I614" s="4">
        <v>-28801769.829999998</v>
      </c>
    </row>
    <row r="615" spans="1:9" x14ac:dyDescent="0.3">
      <c r="A615" t="s">
        <v>75</v>
      </c>
      <c r="B615" s="1">
        <v>45873</v>
      </c>
      <c r="C615" s="1">
        <v>45873</v>
      </c>
      <c r="D615">
        <v>142929</v>
      </c>
      <c r="E615">
        <v>89</v>
      </c>
      <c r="F615" s="3" t="s">
        <v>583</v>
      </c>
      <c r="G615" s="4">
        <v>18325</v>
      </c>
      <c r="H615" s="4">
        <v>0</v>
      </c>
      <c r="I615" s="4">
        <v>-28783444.829999998</v>
      </c>
    </row>
    <row r="616" spans="1:9" x14ac:dyDescent="0.3">
      <c r="A616" t="s">
        <v>75</v>
      </c>
      <c r="B616" s="1">
        <v>45870</v>
      </c>
      <c r="C616" s="1">
        <v>45873</v>
      </c>
      <c r="D616">
        <v>142930</v>
      </c>
      <c r="E616">
        <v>34</v>
      </c>
      <c r="F616" s="3" t="s">
        <v>584</v>
      </c>
      <c r="G616" s="4">
        <v>14982.25</v>
      </c>
      <c r="H616" s="4">
        <v>0</v>
      </c>
      <c r="I616" s="4">
        <v>-28768462.579999998</v>
      </c>
    </row>
    <row r="617" spans="1:9" x14ac:dyDescent="0.3">
      <c r="A617" t="s">
        <v>75</v>
      </c>
      <c r="B617" s="1">
        <v>45873</v>
      </c>
      <c r="C617" s="1">
        <v>45873</v>
      </c>
      <c r="D617">
        <v>142931</v>
      </c>
      <c r="E617">
        <v>63</v>
      </c>
      <c r="F617" s="3" t="s">
        <v>585</v>
      </c>
      <c r="G617" s="4">
        <v>69463.25</v>
      </c>
      <c r="H617" s="4">
        <v>0</v>
      </c>
      <c r="I617" s="4">
        <v>-28698999.329999998</v>
      </c>
    </row>
    <row r="618" spans="1:9" x14ac:dyDescent="0.3">
      <c r="A618" t="s">
        <v>75</v>
      </c>
      <c r="B618" s="1">
        <v>45873</v>
      </c>
      <c r="C618" s="1">
        <v>45873</v>
      </c>
      <c r="D618">
        <v>142932</v>
      </c>
      <c r="E618">
        <v>23</v>
      </c>
      <c r="F618" s="3" t="s">
        <v>586</v>
      </c>
      <c r="G618" s="4">
        <v>4410</v>
      </c>
      <c r="H618" s="4">
        <v>0</v>
      </c>
      <c r="I618" s="4">
        <v>-28694589.329999998</v>
      </c>
    </row>
    <row r="619" spans="1:9" x14ac:dyDescent="0.3">
      <c r="A619" t="s">
        <v>75</v>
      </c>
      <c r="B619" s="1">
        <v>45869</v>
      </c>
      <c r="C619" s="1">
        <v>45873</v>
      </c>
      <c r="D619">
        <v>142933</v>
      </c>
      <c r="E619">
        <v>23</v>
      </c>
      <c r="F619" s="3" t="s">
        <v>587</v>
      </c>
      <c r="G619" s="4">
        <v>42070</v>
      </c>
      <c r="H619" s="4">
        <v>0</v>
      </c>
      <c r="I619" s="4">
        <v>-28652519.329999998</v>
      </c>
    </row>
    <row r="620" spans="1:9" x14ac:dyDescent="0.3">
      <c r="A620" t="s">
        <v>75</v>
      </c>
      <c r="B620" s="1">
        <v>45871</v>
      </c>
      <c r="C620" s="1">
        <v>45873</v>
      </c>
      <c r="D620">
        <v>142935</v>
      </c>
      <c r="E620">
        <v>67</v>
      </c>
      <c r="F620" s="3" t="s">
        <v>588</v>
      </c>
      <c r="G620" s="4">
        <v>1922.25</v>
      </c>
      <c r="H620" s="4">
        <v>0</v>
      </c>
      <c r="I620" s="4">
        <v>-28650597.079999998</v>
      </c>
    </row>
    <row r="621" spans="1:9" x14ac:dyDescent="0.3">
      <c r="A621" t="s">
        <v>75</v>
      </c>
      <c r="B621" s="1">
        <v>45871</v>
      </c>
      <c r="C621" s="1">
        <v>45873</v>
      </c>
      <c r="D621">
        <v>142936</v>
      </c>
      <c r="E621">
        <v>67</v>
      </c>
      <c r="F621" s="3" t="s">
        <v>589</v>
      </c>
      <c r="G621" s="4">
        <v>5923.75</v>
      </c>
      <c r="H621" s="4">
        <v>0</v>
      </c>
      <c r="I621" s="4">
        <v>-28644673.329999998</v>
      </c>
    </row>
    <row r="622" spans="1:9" x14ac:dyDescent="0.3">
      <c r="A622" t="s">
        <v>75</v>
      </c>
      <c r="B622" s="1">
        <v>45873</v>
      </c>
      <c r="C622" s="1">
        <v>45873</v>
      </c>
      <c r="D622">
        <v>142937</v>
      </c>
      <c r="E622">
        <v>78</v>
      </c>
      <c r="F622" s="3" t="s">
        <v>590</v>
      </c>
      <c r="G622" s="4">
        <v>2000</v>
      </c>
      <c r="H622" s="4">
        <v>0</v>
      </c>
      <c r="I622" s="4">
        <v>-28642673.329999998</v>
      </c>
    </row>
    <row r="623" spans="1:9" x14ac:dyDescent="0.3">
      <c r="A623" t="s">
        <v>75</v>
      </c>
      <c r="B623" s="1">
        <v>45873</v>
      </c>
      <c r="C623" s="1">
        <v>45873</v>
      </c>
      <c r="D623">
        <v>142938</v>
      </c>
      <c r="E623">
        <v>11</v>
      </c>
      <c r="F623" s="3" t="s">
        <v>591</v>
      </c>
      <c r="G623" s="4">
        <v>50000</v>
      </c>
      <c r="H623" s="4">
        <v>0</v>
      </c>
      <c r="I623" s="4">
        <v>-28592673.329999998</v>
      </c>
    </row>
    <row r="624" spans="1:9" x14ac:dyDescent="0.3">
      <c r="A624" t="s">
        <v>75</v>
      </c>
      <c r="B624" s="1">
        <v>45873</v>
      </c>
      <c r="C624" s="1">
        <v>45873</v>
      </c>
      <c r="D624">
        <v>142939</v>
      </c>
      <c r="E624">
        <v>58</v>
      </c>
      <c r="F624" s="3" t="s">
        <v>592</v>
      </c>
      <c r="G624" s="4">
        <v>100000</v>
      </c>
      <c r="H624" s="4">
        <v>0</v>
      </c>
      <c r="I624" s="4">
        <v>-28492673.329999998</v>
      </c>
    </row>
    <row r="625" spans="1:9" x14ac:dyDescent="0.3">
      <c r="A625" t="s">
        <v>75</v>
      </c>
      <c r="B625" s="1">
        <v>45873</v>
      </c>
      <c r="C625" s="1">
        <v>45873</v>
      </c>
      <c r="D625">
        <v>142940</v>
      </c>
      <c r="E625">
        <v>58</v>
      </c>
      <c r="F625" s="3" t="s">
        <v>593</v>
      </c>
      <c r="G625" s="4">
        <v>200</v>
      </c>
      <c r="H625" s="4">
        <v>0</v>
      </c>
      <c r="I625" s="4">
        <v>-28492473.329999998</v>
      </c>
    </row>
    <row r="626" spans="1:9" x14ac:dyDescent="0.3">
      <c r="A626" t="s">
        <v>75</v>
      </c>
      <c r="B626" s="1">
        <v>45868</v>
      </c>
      <c r="C626" s="1">
        <v>45873</v>
      </c>
      <c r="D626">
        <v>142943</v>
      </c>
      <c r="E626">
        <v>78</v>
      </c>
      <c r="F626" s="3" t="s">
        <v>594</v>
      </c>
      <c r="G626" s="4">
        <v>350000</v>
      </c>
      <c r="H626" s="4">
        <v>0</v>
      </c>
      <c r="I626" s="4">
        <v>-28142473.329999998</v>
      </c>
    </row>
    <row r="627" spans="1:9" x14ac:dyDescent="0.3">
      <c r="A627" t="s">
        <v>75</v>
      </c>
      <c r="B627" s="1">
        <v>45873</v>
      </c>
      <c r="C627" s="1">
        <v>45873</v>
      </c>
      <c r="D627">
        <v>142944</v>
      </c>
      <c r="E627">
        <v>17</v>
      </c>
      <c r="F627" s="3" t="s">
        <v>595</v>
      </c>
      <c r="G627" s="4">
        <v>13000</v>
      </c>
      <c r="H627" s="4">
        <v>0</v>
      </c>
      <c r="I627" s="4">
        <v>-28129473.329999998</v>
      </c>
    </row>
    <row r="628" spans="1:9" x14ac:dyDescent="0.3">
      <c r="A628" t="s">
        <v>75</v>
      </c>
      <c r="B628" s="1">
        <v>45873</v>
      </c>
      <c r="C628" s="1">
        <v>45873</v>
      </c>
      <c r="D628">
        <v>142945</v>
      </c>
      <c r="E628">
        <v>33</v>
      </c>
      <c r="F628" s="3" t="s">
        <v>596</v>
      </c>
      <c r="G628" s="4">
        <v>100000</v>
      </c>
      <c r="H628" s="4">
        <v>0</v>
      </c>
      <c r="I628" s="4">
        <v>-28029473.329999998</v>
      </c>
    </row>
    <row r="629" spans="1:9" x14ac:dyDescent="0.3">
      <c r="A629" t="s">
        <v>75</v>
      </c>
      <c r="B629" s="1">
        <v>45873</v>
      </c>
      <c r="C629" s="1">
        <v>45873</v>
      </c>
      <c r="D629">
        <v>142946</v>
      </c>
      <c r="E629">
        <v>16</v>
      </c>
      <c r="F629" s="3" t="s">
        <v>597</v>
      </c>
      <c r="G629" s="4">
        <v>2578</v>
      </c>
      <c r="H629" s="4">
        <v>0</v>
      </c>
      <c r="I629" s="4">
        <v>-28026895.329999998</v>
      </c>
    </row>
    <row r="630" spans="1:9" x14ac:dyDescent="0.3">
      <c r="A630" t="s">
        <v>75</v>
      </c>
      <c r="B630" s="1">
        <v>45873</v>
      </c>
      <c r="C630" s="1">
        <v>45873</v>
      </c>
      <c r="D630">
        <v>142948</v>
      </c>
      <c r="E630">
        <v>14</v>
      </c>
      <c r="F630" s="3" t="s">
        <v>598</v>
      </c>
      <c r="G630" s="4">
        <v>1500</v>
      </c>
      <c r="H630" s="4">
        <v>0</v>
      </c>
      <c r="I630" s="4">
        <v>-28025395.329999998</v>
      </c>
    </row>
    <row r="631" spans="1:9" x14ac:dyDescent="0.3">
      <c r="A631" t="s">
        <v>75</v>
      </c>
      <c r="B631" s="1">
        <v>45872</v>
      </c>
      <c r="C631" s="1">
        <v>45873</v>
      </c>
      <c r="D631">
        <v>142949</v>
      </c>
      <c r="E631">
        <v>63</v>
      </c>
      <c r="F631" s="3" t="s">
        <v>599</v>
      </c>
      <c r="G631" s="4">
        <v>3711.75</v>
      </c>
      <c r="H631" s="4">
        <v>0</v>
      </c>
      <c r="I631" s="4">
        <v>-28021683.579999998</v>
      </c>
    </row>
    <row r="632" spans="1:9" x14ac:dyDescent="0.3">
      <c r="A632" t="s">
        <v>75</v>
      </c>
      <c r="B632" s="1">
        <v>45873</v>
      </c>
      <c r="C632" s="1">
        <v>45873</v>
      </c>
      <c r="D632">
        <v>142951</v>
      </c>
      <c r="E632">
        <v>16</v>
      </c>
      <c r="F632" s="3" t="s">
        <v>600</v>
      </c>
      <c r="G632" s="4">
        <v>13281</v>
      </c>
      <c r="H632" s="4">
        <v>0</v>
      </c>
      <c r="I632" s="4">
        <v>-28008402.579999998</v>
      </c>
    </row>
    <row r="633" spans="1:9" x14ac:dyDescent="0.3">
      <c r="A633" t="s">
        <v>75</v>
      </c>
      <c r="B633" s="1">
        <v>45870</v>
      </c>
      <c r="C633" s="1">
        <v>45873</v>
      </c>
      <c r="D633">
        <v>142952</v>
      </c>
      <c r="E633">
        <v>77</v>
      </c>
      <c r="F633" s="3" t="s">
        <v>601</v>
      </c>
      <c r="G633" s="4">
        <v>260000</v>
      </c>
      <c r="H633" s="4">
        <v>0</v>
      </c>
      <c r="I633" s="4">
        <v>-27748402.579999998</v>
      </c>
    </row>
    <row r="634" spans="1:9" x14ac:dyDescent="0.3">
      <c r="A634" t="s">
        <v>75</v>
      </c>
      <c r="B634" s="1">
        <v>45873</v>
      </c>
      <c r="C634" s="1">
        <v>45873</v>
      </c>
      <c r="D634">
        <v>142953</v>
      </c>
      <c r="E634">
        <v>14</v>
      </c>
      <c r="F634" s="3" t="s">
        <v>602</v>
      </c>
      <c r="G634" s="4">
        <v>50000</v>
      </c>
      <c r="H634" s="4">
        <v>0</v>
      </c>
      <c r="I634" s="4">
        <v>-27698402.579999998</v>
      </c>
    </row>
    <row r="635" spans="1:9" x14ac:dyDescent="0.3">
      <c r="A635" t="s">
        <v>75</v>
      </c>
      <c r="B635" s="1">
        <v>45872</v>
      </c>
      <c r="C635" s="1">
        <v>45873</v>
      </c>
      <c r="D635">
        <v>142954</v>
      </c>
      <c r="E635">
        <v>82</v>
      </c>
      <c r="F635" s="3" t="s">
        <v>603</v>
      </c>
      <c r="G635" s="4">
        <v>60159</v>
      </c>
      <c r="H635" s="4">
        <v>0</v>
      </c>
      <c r="I635" s="4">
        <v>-27638243.579999998</v>
      </c>
    </row>
    <row r="636" spans="1:9" x14ac:dyDescent="0.3">
      <c r="A636" t="s">
        <v>75</v>
      </c>
      <c r="B636" s="1">
        <v>45873</v>
      </c>
      <c r="C636" s="1">
        <v>45873</v>
      </c>
      <c r="D636">
        <v>142955</v>
      </c>
      <c r="E636">
        <v>63</v>
      </c>
      <c r="F636" s="3" t="s">
        <v>604</v>
      </c>
      <c r="G636" s="4">
        <v>2200</v>
      </c>
      <c r="H636" s="4">
        <v>0</v>
      </c>
      <c r="I636" s="4">
        <v>-27636043.579999998</v>
      </c>
    </row>
    <row r="637" spans="1:9" x14ac:dyDescent="0.3">
      <c r="A637" t="s">
        <v>75</v>
      </c>
      <c r="B637" s="1">
        <v>45873</v>
      </c>
      <c r="C637" s="1">
        <v>45873</v>
      </c>
      <c r="D637">
        <v>142957</v>
      </c>
      <c r="E637">
        <v>72</v>
      </c>
      <c r="F637" s="3" t="s">
        <v>605</v>
      </c>
      <c r="G637" s="4">
        <v>10030</v>
      </c>
      <c r="H637" s="4">
        <v>0</v>
      </c>
      <c r="I637" s="4">
        <v>-27626013.579999998</v>
      </c>
    </row>
    <row r="638" spans="1:9" x14ac:dyDescent="0.3">
      <c r="A638" t="s">
        <v>124</v>
      </c>
      <c r="B638" s="1">
        <v>45873</v>
      </c>
      <c r="C638" s="1">
        <v>45873</v>
      </c>
      <c r="D638">
        <v>22145</v>
      </c>
      <c r="E638">
        <v>11</v>
      </c>
      <c r="F638" s="3" t="s">
        <v>125</v>
      </c>
      <c r="G638" s="4">
        <v>0</v>
      </c>
      <c r="H638" s="4">
        <v>22538812.32</v>
      </c>
      <c r="I638" s="4">
        <v>-50164825.899999999</v>
      </c>
    </row>
    <row r="639" spans="1:9" x14ac:dyDescent="0.3">
      <c r="A639" t="s">
        <v>124</v>
      </c>
      <c r="B639" s="1">
        <v>45873</v>
      </c>
      <c r="C639" s="1">
        <v>45873</v>
      </c>
      <c r="D639">
        <v>22146</v>
      </c>
      <c r="E639">
        <v>11</v>
      </c>
      <c r="F639" s="3" t="s">
        <v>125</v>
      </c>
      <c r="G639" s="4">
        <v>0</v>
      </c>
      <c r="H639" s="4">
        <v>18423525.690000001</v>
      </c>
      <c r="I639" s="4">
        <v>-68588351.590000004</v>
      </c>
    </row>
    <row r="640" spans="1:9" x14ac:dyDescent="0.3">
      <c r="A640" t="s">
        <v>124</v>
      </c>
      <c r="B640" s="1">
        <v>45873</v>
      </c>
      <c r="C640" s="1">
        <v>45873</v>
      </c>
      <c r="D640">
        <v>22147</v>
      </c>
      <c r="E640">
        <v>11</v>
      </c>
      <c r="F640" s="3" t="s">
        <v>126</v>
      </c>
      <c r="G640" s="4">
        <v>0</v>
      </c>
      <c r="H640" s="4">
        <v>2500000</v>
      </c>
      <c r="I640" s="4">
        <v>-71088351.590000004</v>
      </c>
    </row>
    <row r="641" spans="1:9" x14ac:dyDescent="0.3">
      <c r="A641" t="s">
        <v>124</v>
      </c>
      <c r="B641" s="1">
        <v>45873</v>
      </c>
      <c r="C641" s="1">
        <v>45873</v>
      </c>
      <c r="D641">
        <v>22149</v>
      </c>
      <c r="E641">
        <v>11</v>
      </c>
      <c r="F641" s="3" t="s">
        <v>127</v>
      </c>
      <c r="G641" s="4">
        <v>34000000</v>
      </c>
      <c r="H641" s="4">
        <v>0</v>
      </c>
      <c r="I641" s="4">
        <v>-37088351.590000004</v>
      </c>
    </row>
    <row r="642" spans="1:9" x14ac:dyDescent="0.3">
      <c r="A642" t="s">
        <v>124</v>
      </c>
      <c r="B642" s="1">
        <v>45873</v>
      </c>
      <c r="C642" s="1">
        <v>45873</v>
      </c>
      <c r="D642">
        <v>22150</v>
      </c>
      <c r="E642">
        <v>11</v>
      </c>
      <c r="F642" s="3" t="s">
        <v>129</v>
      </c>
      <c r="G642" s="4">
        <v>0</v>
      </c>
      <c r="H642" s="4">
        <v>8590000</v>
      </c>
      <c r="I642" s="4">
        <v>-45678351.590000004</v>
      </c>
    </row>
    <row r="643" spans="1:9" x14ac:dyDescent="0.3">
      <c r="A643" t="s">
        <v>130</v>
      </c>
      <c r="B643" s="1">
        <v>45873</v>
      </c>
      <c r="C643" s="1">
        <v>45873</v>
      </c>
      <c r="D643">
        <v>3824825</v>
      </c>
      <c r="E643">
        <v>84</v>
      </c>
      <c r="F643" s="3" t="s">
        <v>606</v>
      </c>
      <c r="G643" s="4">
        <v>0</v>
      </c>
      <c r="H643" s="4">
        <v>169064.5</v>
      </c>
      <c r="I643" s="4">
        <v>-45847416.090000004</v>
      </c>
    </row>
    <row r="644" spans="1:9" x14ac:dyDescent="0.3">
      <c r="A644" t="s">
        <v>130</v>
      </c>
      <c r="B644" s="1">
        <v>45873</v>
      </c>
      <c r="C644" s="1">
        <v>45873</v>
      </c>
      <c r="D644">
        <v>3825178</v>
      </c>
      <c r="E644">
        <v>61</v>
      </c>
      <c r="F644" s="3" t="s">
        <v>607</v>
      </c>
      <c r="G644" s="4">
        <v>0</v>
      </c>
      <c r="H644" s="4">
        <v>300020</v>
      </c>
      <c r="I644" s="4">
        <v>-46147436.090000004</v>
      </c>
    </row>
    <row r="645" spans="1:9" x14ac:dyDescent="0.3">
      <c r="A645" t="s">
        <v>133</v>
      </c>
      <c r="B645" s="1">
        <v>45873</v>
      </c>
      <c r="C645" s="1">
        <v>45873</v>
      </c>
      <c r="D645">
        <v>911339</v>
      </c>
      <c r="E645">
        <v>78</v>
      </c>
      <c r="F645" s="3" t="s">
        <v>608</v>
      </c>
      <c r="G645" s="4">
        <v>184505.25</v>
      </c>
      <c r="H645" s="4">
        <v>0</v>
      </c>
      <c r="I645" s="4">
        <v>-45962930.840000004</v>
      </c>
    </row>
    <row r="646" spans="1:9" x14ac:dyDescent="0.3">
      <c r="A646" t="s">
        <v>133</v>
      </c>
      <c r="B646" s="1">
        <v>45873</v>
      </c>
      <c r="C646" s="1">
        <v>45873</v>
      </c>
      <c r="D646">
        <v>911350</v>
      </c>
      <c r="E646">
        <v>11</v>
      </c>
      <c r="F646" s="3" t="s">
        <v>609</v>
      </c>
      <c r="G646" s="4">
        <v>1475</v>
      </c>
      <c r="H646" s="4">
        <v>0</v>
      </c>
      <c r="I646" s="4">
        <v>-45961455.840000004</v>
      </c>
    </row>
    <row r="647" spans="1:9" x14ac:dyDescent="0.3">
      <c r="A647" t="s">
        <v>133</v>
      </c>
      <c r="B647" s="1">
        <v>45873</v>
      </c>
      <c r="C647" s="1">
        <v>45873</v>
      </c>
      <c r="D647">
        <v>911360</v>
      </c>
      <c r="E647">
        <v>282</v>
      </c>
      <c r="F647" s="3" t="s">
        <v>610</v>
      </c>
      <c r="G647" s="4">
        <v>781</v>
      </c>
      <c r="H647" s="4">
        <v>0</v>
      </c>
      <c r="I647" s="4">
        <v>-45960674.840000004</v>
      </c>
    </row>
    <row r="648" spans="1:9" x14ac:dyDescent="0.3">
      <c r="A648" t="s">
        <v>133</v>
      </c>
      <c r="B648" s="1">
        <v>45873</v>
      </c>
      <c r="C648" s="1">
        <v>45873</v>
      </c>
      <c r="D648">
        <v>911362</v>
      </c>
      <c r="E648">
        <v>11</v>
      </c>
      <c r="F648" s="3" t="s">
        <v>611</v>
      </c>
      <c r="G648" s="4">
        <v>421025</v>
      </c>
      <c r="H648" s="4">
        <v>0</v>
      </c>
      <c r="I648" s="4">
        <v>-45539649.840000004</v>
      </c>
    </row>
    <row r="649" spans="1:9" x14ac:dyDescent="0.3">
      <c r="A649" t="s">
        <v>133</v>
      </c>
      <c r="B649" s="1">
        <v>45873</v>
      </c>
      <c r="C649" s="1">
        <v>45873</v>
      </c>
      <c r="D649">
        <v>911363</v>
      </c>
      <c r="E649">
        <v>12</v>
      </c>
      <c r="F649" s="3" t="s">
        <v>612</v>
      </c>
      <c r="G649" s="4">
        <v>150000</v>
      </c>
      <c r="H649" s="4">
        <v>0</v>
      </c>
      <c r="I649" s="4">
        <v>-45389649.840000004</v>
      </c>
    </row>
    <row r="650" spans="1:9" x14ac:dyDescent="0.3">
      <c r="A650" t="s">
        <v>133</v>
      </c>
      <c r="B650" s="1">
        <v>45873</v>
      </c>
      <c r="C650" s="1">
        <v>45873</v>
      </c>
      <c r="D650">
        <v>911365</v>
      </c>
      <c r="E650">
        <v>12</v>
      </c>
      <c r="F650" s="3" t="s">
        <v>613</v>
      </c>
      <c r="G650" s="4">
        <v>50000</v>
      </c>
      <c r="H650" s="4">
        <v>0</v>
      </c>
      <c r="I650" s="4">
        <v>-45339649.840000004</v>
      </c>
    </row>
    <row r="651" spans="1:9" x14ac:dyDescent="0.3">
      <c r="A651" t="s">
        <v>133</v>
      </c>
      <c r="B651" s="1">
        <v>45873</v>
      </c>
      <c r="C651" s="1">
        <v>45873</v>
      </c>
      <c r="D651">
        <v>911366</v>
      </c>
      <c r="E651">
        <v>382</v>
      </c>
      <c r="F651" s="3">
        <v>50747911767</v>
      </c>
      <c r="G651" s="4">
        <v>16598</v>
      </c>
      <c r="H651" s="4">
        <v>0</v>
      </c>
      <c r="I651" s="4">
        <v>-45323051.840000004</v>
      </c>
    </row>
    <row r="652" spans="1:9" x14ac:dyDescent="0.3">
      <c r="A652" t="s">
        <v>133</v>
      </c>
      <c r="B652" s="1">
        <v>45873</v>
      </c>
      <c r="C652" s="1">
        <v>45873</v>
      </c>
      <c r="D652">
        <v>911367</v>
      </c>
      <c r="E652">
        <v>12</v>
      </c>
      <c r="F652" s="3" t="s">
        <v>614</v>
      </c>
      <c r="G652" s="4">
        <v>60760</v>
      </c>
      <c r="H652" s="4">
        <v>0</v>
      </c>
      <c r="I652" s="4">
        <v>-45262291.840000004</v>
      </c>
    </row>
    <row r="653" spans="1:9" x14ac:dyDescent="0.3">
      <c r="A653" t="s">
        <v>133</v>
      </c>
      <c r="B653" s="1">
        <v>45873</v>
      </c>
      <c r="C653" s="1">
        <v>45873</v>
      </c>
      <c r="D653">
        <v>911369</v>
      </c>
      <c r="E653">
        <v>59</v>
      </c>
      <c r="F653" s="3" t="s">
        <v>615</v>
      </c>
      <c r="G653" s="4">
        <v>911625</v>
      </c>
      <c r="H653" s="4">
        <v>0</v>
      </c>
      <c r="I653" s="4">
        <v>-44350666.840000004</v>
      </c>
    </row>
    <row r="654" spans="1:9" x14ac:dyDescent="0.3">
      <c r="A654" t="s">
        <v>133</v>
      </c>
      <c r="B654" s="1">
        <v>45873</v>
      </c>
      <c r="C654" s="1">
        <v>45873</v>
      </c>
      <c r="D654">
        <v>911371</v>
      </c>
      <c r="E654">
        <v>77</v>
      </c>
      <c r="F654" s="3" t="s">
        <v>616</v>
      </c>
      <c r="G654" s="4">
        <v>79516.25</v>
      </c>
      <c r="H654" s="4">
        <v>0</v>
      </c>
      <c r="I654" s="4">
        <v>-44271150.590000004</v>
      </c>
    </row>
    <row r="655" spans="1:9" x14ac:dyDescent="0.3">
      <c r="A655" t="s">
        <v>133</v>
      </c>
      <c r="B655" s="1">
        <v>45873</v>
      </c>
      <c r="C655" s="1">
        <v>45873</v>
      </c>
      <c r="D655">
        <v>911377</v>
      </c>
      <c r="E655">
        <v>382</v>
      </c>
      <c r="F655" s="3" t="s">
        <v>617</v>
      </c>
      <c r="G655" s="4">
        <v>100000</v>
      </c>
      <c r="H655" s="4">
        <v>0</v>
      </c>
      <c r="I655" s="4">
        <v>-44171150.590000004</v>
      </c>
    </row>
    <row r="656" spans="1:9" x14ac:dyDescent="0.3">
      <c r="A656" t="s">
        <v>133</v>
      </c>
      <c r="B656" s="1">
        <v>45873</v>
      </c>
      <c r="C656" s="1">
        <v>45873</v>
      </c>
      <c r="D656">
        <v>911379</v>
      </c>
      <c r="E656">
        <v>14</v>
      </c>
      <c r="F656" s="3" t="s">
        <v>618</v>
      </c>
      <c r="G656" s="4">
        <v>150407.75</v>
      </c>
      <c r="H656" s="4">
        <v>0</v>
      </c>
      <c r="I656" s="4">
        <v>-44020742.840000004</v>
      </c>
    </row>
    <row r="657" spans="1:9" x14ac:dyDescent="0.3">
      <c r="A657" t="s">
        <v>133</v>
      </c>
      <c r="B657" s="1">
        <v>45873</v>
      </c>
      <c r="C657" s="1">
        <v>45873</v>
      </c>
      <c r="D657">
        <v>911382</v>
      </c>
      <c r="E657">
        <v>15</v>
      </c>
      <c r="F657" s="3" t="s">
        <v>619</v>
      </c>
      <c r="G657" s="4">
        <v>7234.5</v>
      </c>
      <c r="H657" s="4">
        <v>0</v>
      </c>
      <c r="I657" s="4">
        <v>-44013508.340000004</v>
      </c>
    </row>
    <row r="658" spans="1:9" x14ac:dyDescent="0.3">
      <c r="A658" t="s">
        <v>133</v>
      </c>
      <c r="B658" s="1">
        <v>45873</v>
      </c>
      <c r="C658" s="1">
        <v>45873</v>
      </c>
      <c r="D658">
        <v>911383</v>
      </c>
      <c r="E658">
        <v>38</v>
      </c>
      <c r="F658" s="3">
        <v>874</v>
      </c>
      <c r="G658" s="4">
        <v>15500</v>
      </c>
      <c r="H658" s="4">
        <v>0</v>
      </c>
      <c r="I658" s="4">
        <v>-43998008.340000004</v>
      </c>
    </row>
    <row r="659" spans="1:9" x14ac:dyDescent="0.3">
      <c r="A659" t="s">
        <v>133</v>
      </c>
      <c r="B659" s="1">
        <v>45873</v>
      </c>
      <c r="C659" s="1">
        <v>45873</v>
      </c>
      <c r="D659">
        <v>911384</v>
      </c>
      <c r="E659">
        <v>310</v>
      </c>
      <c r="F659" s="3" t="s">
        <v>620</v>
      </c>
      <c r="G659" s="4">
        <v>145649</v>
      </c>
      <c r="H659" s="4">
        <v>0</v>
      </c>
      <c r="I659" s="4">
        <v>-43852359.340000004</v>
      </c>
    </row>
    <row r="660" spans="1:9" x14ac:dyDescent="0.3">
      <c r="A660" t="s">
        <v>133</v>
      </c>
      <c r="B660" s="1">
        <v>45873</v>
      </c>
      <c r="C660" s="1">
        <v>45873</v>
      </c>
      <c r="D660">
        <v>911394</v>
      </c>
      <c r="E660">
        <v>282</v>
      </c>
      <c r="F660" s="3" t="s">
        <v>621</v>
      </c>
      <c r="G660" s="4">
        <v>520000</v>
      </c>
      <c r="H660" s="4">
        <v>0</v>
      </c>
      <c r="I660" s="4">
        <v>-43332359.340000004</v>
      </c>
    </row>
    <row r="661" spans="1:9" x14ac:dyDescent="0.3">
      <c r="A661" t="s">
        <v>133</v>
      </c>
      <c r="B661" s="1">
        <v>45873</v>
      </c>
      <c r="C661" s="1">
        <v>45873</v>
      </c>
      <c r="D661">
        <v>911398</v>
      </c>
      <c r="E661">
        <v>73</v>
      </c>
      <c r="F661" s="3" t="s">
        <v>622</v>
      </c>
      <c r="G661" s="4">
        <v>570000</v>
      </c>
      <c r="H661" s="4">
        <v>0</v>
      </c>
      <c r="I661" s="4">
        <v>-42762359.340000004</v>
      </c>
    </row>
    <row r="662" spans="1:9" x14ac:dyDescent="0.3">
      <c r="A662" t="s">
        <v>133</v>
      </c>
      <c r="B662" s="1">
        <v>45873</v>
      </c>
      <c r="C662" s="1">
        <v>45873</v>
      </c>
      <c r="D662">
        <v>911401</v>
      </c>
      <c r="E662">
        <v>91</v>
      </c>
      <c r="F662" s="3" t="s">
        <v>623</v>
      </c>
      <c r="G662" s="4">
        <v>100000</v>
      </c>
      <c r="H662" s="4">
        <v>0</v>
      </c>
      <c r="I662" s="4">
        <v>-42662359.340000004</v>
      </c>
    </row>
    <row r="663" spans="1:9" x14ac:dyDescent="0.3">
      <c r="A663" t="s">
        <v>133</v>
      </c>
      <c r="B663" s="1">
        <v>45873</v>
      </c>
      <c r="C663" s="1">
        <v>45873</v>
      </c>
      <c r="D663">
        <v>911415</v>
      </c>
      <c r="E663">
        <v>78</v>
      </c>
      <c r="F663" s="3" t="s">
        <v>624</v>
      </c>
      <c r="G663" s="4">
        <v>140000</v>
      </c>
      <c r="H663" s="4">
        <v>0</v>
      </c>
      <c r="I663" s="4">
        <v>-42522359.340000004</v>
      </c>
    </row>
    <row r="664" spans="1:9" x14ac:dyDescent="0.3">
      <c r="A664" t="s">
        <v>133</v>
      </c>
      <c r="B664" s="1">
        <v>45873</v>
      </c>
      <c r="C664" s="1">
        <v>45873</v>
      </c>
      <c r="D664">
        <v>911428</v>
      </c>
      <c r="E664">
        <v>51</v>
      </c>
      <c r="F664" s="3" t="s">
        <v>625</v>
      </c>
      <c r="G664" s="4">
        <v>1200000</v>
      </c>
      <c r="H664" s="4">
        <v>0</v>
      </c>
      <c r="I664" s="4">
        <v>-41322359.340000004</v>
      </c>
    </row>
    <row r="665" spans="1:9" x14ac:dyDescent="0.3">
      <c r="A665" t="s">
        <v>133</v>
      </c>
      <c r="B665" s="1">
        <v>45873</v>
      </c>
      <c r="C665" s="1">
        <v>45873</v>
      </c>
      <c r="D665">
        <v>911429</v>
      </c>
      <c r="E665">
        <v>11</v>
      </c>
      <c r="F665" s="3" t="s">
        <v>626</v>
      </c>
      <c r="G665" s="4">
        <v>42755</v>
      </c>
      <c r="H665" s="4">
        <v>0</v>
      </c>
      <c r="I665" s="4">
        <v>-41279604.340000004</v>
      </c>
    </row>
    <row r="666" spans="1:9" x14ac:dyDescent="0.3">
      <c r="A666" t="s">
        <v>133</v>
      </c>
      <c r="B666" s="1">
        <v>45873</v>
      </c>
      <c r="C666" s="1">
        <v>45873</v>
      </c>
      <c r="D666">
        <v>911430</v>
      </c>
      <c r="E666">
        <v>27</v>
      </c>
      <c r="F666" s="3" t="s">
        <v>627</v>
      </c>
      <c r="G666" s="4">
        <v>120000</v>
      </c>
      <c r="H666" s="4">
        <v>0</v>
      </c>
      <c r="I666" s="4">
        <v>-41159604.340000004</v>
      </c>
    </row>
    <row r="667" spans="1:9" x14ac:dyDescent="0.3">
      <c r="A667" t="s">
        <v>133</v>
      </c>
      <c r="B667" s="1">
        <v>45873</v>
      </c>
      <c r="C667" s="1">
        <v>45873</v>
      </c>
      <c r="D667">
        <v>911432</v>
      </c>
      <c r="E667">
        <v>27</v>
      </c>
      <c r="F667" s="3" t="s">
        <v>628</v>
      </c>
      <c r="G667" s="4">
        <v>53735</v>
      </c>
      <c r="H667" s="4">
        <v>0</v>
      </c>
      <c r="I667" s="4">
        <v>-41105869.340000004</v>
      </c>
    </row>
    <row r="668" spans="1:9" x14ac:dyDescent="0.3">
      <c r="A668" t="s">
        <v>133</v>
      </c>
      <c r="B668" s="1">
        <v>45873</v>
      </c>
      <c r="C668" s="1">
        <v>45873</v>
      </c>
      <c r="D668">
        <v>911435</v>
      </c>
      <c r="E668">
        <v>59</v>
      </c>
      <c r="F668" s="3" t="s">
        <v>629</v>
      </c>
      <c r="G668" s="4">
        <v>10369.25</v>
      </c>
      <c r="H668" s="4">
        <v>0</v>
      </c>
      <c r="I668" s="4">
        <v>-41095500.090000004</v>
      </c>
    </row>
    <row r="669" spans="1:9" x14ac:dyDescent="0.3">
      <c r="A669" t="s">
        <v>133</v>
      </c>
      <c r="B669" s="1">
        <v>45873</v>
      </c>
      <c r="C669" s="1">
        <v>45873</v>
      </c>
      <c r="D669">
        <v>911436</v>
      </c>
      <c r="E669">
        <v>82</v>
      </c>
      <c r="F669" s="3" t="s">
        <v>630</v>
      </c>
      <c r="G669" s="4">
        <v>33971.5</v>
      </c>
      <c r="H669" s="4">
        <v>0</v>
      </c>
      <c r="I669" s="4">
        <v>-41061528.590000004</v>
      </c>
    </row>
    <row r="670" spans="1:9" x14ac:dyDescent="0.3">
      <c r="A670" t="s">
        <v>133</v>
      </c>
      <c r="B670" s="1">
        <v>45873</v>
      </c>
      <c r="C670" s="1">
        <v>45873</v>
      </c>
      <c r="D670">
        <v>911438</v>
      </c>
      <c r="E670">
        <v>58</v>
      </c>
      <c r="F670" s="3" t="s">
        <v>631</v>
      </c>
      <c r="G670" s="4">
        <v>40000</v>
      </c>
      <c r="H670" s="4">
        <v>0</v>
      </c>
      <c r="I670" s="4">
        <v>-41021528.590000004</v>
      </c>
    </row>
    <row r="671" spans="1:9" x14ac:dyDescent="0.3">
      <c r="A671" t="s">
        <v>133</v>
      </c>
      <c r="B671" s="1">
        <v>45873</v>
      </c>
      <c r="C671" s="1">
        <v>45873</v>
      </c>
      <c r="D671">
        <v>911441</v>
      </c>
      <c r="E671">
        <v>59</v>
      </c>
      <c r="F671" s="3" t="s">
        <v>632</v>
      </c>
      <c r="G671" s="4">
        <v>757.75</v>
      </c>
      <c r="H671" s="4">
        <v>0</v>
      </c>
      <c r="I671" s="4">
        <v>-41020770.840000004</v>
      </c>
    </row>
    <row r="672" spans="1:9" x14ac:dyDescent="0.3">
      <c r="A672" t="s">
        <v>133</v>
      </c>
      <c r="B672" s="1">
        <v>45873</v>
      </c>
      <c r="C672" s="1">
        <v>45873</v>
      </c>
      <c r="D672">
        <v>911463</v>
      </c>
      <c r="E672">
        <v>45</v>
      </c>
      <c r="F672" s="3" t="s">
        <v>633</v>
      </c>
      <c r="G672" s="4">
        <v>560000</v>
      </c>
      <c r="H672" s="4">
        <v>0</v>
      </c>
      <c r="I672" s="4">
        <v>-40460770.840000004</v>
      </c>
    </row>
    <row r="673" spans="1:9" x14ac:dyDescent="0.3">
      <c r="A673" t="s">
        <v>133</v>
      </c>
      <c r="B673" s="1">
        <v>45873</v>
      </c>
      <c r="C673" s="1">
        <v>45873</v>
      </c>
      <c r="D673">
        <v>911468</v>
      </c>
      <c r="E673">
        <v>66</v>
      </c>
      <c r="F673" s="3" t="s">
        <v>634</v>
      </c>
      <c r="G673" s="4">
        <v>250000</v>
      </c>
      <c r="H673" s="4">
        <v>0</v>
      </c>
      <c r="I673" s="4">
        <v>-40210770.840000004</v>
      </c>
    </row>
    <row r="674" spans="1:9" x14ac:dyDescent="0.3">
      <c r="A674" t="s">
        <v>133</v>
      </c>
      <c r="B674" s="1">
        <v>45873</v>
      </c>
      <c r="C674" s="1">
        <v>45873</v>
      </c>
      <c r="D674">
        <v>911469</v>
      </c>
      <c r="E674">
        <v>92</v>
      </c>
      <c r="F674" s="3" t="s">
        <v>635</v>
      </c>
      <c r="G674" s="4">
        <v>450000</v>
      </c>
      <c r="H674" s="4">
        <v>0</v>
      </c>
      <c r="I674" s="4">
        <v>-39760770.840000004</v>
      </c>
    </row>
    <row r="675" spans="1:9" x14ac:dyDescent="0.3">
      <c r="A675" t="s">
        <v>133</v>
      </c>
      <c r="B675" s="1">
        <v>45873</v>
      </c>
      <c r="C675" s="1">
        <v>45873</v>
      </c>
      <c r="D675">
        <v>911471</v>
      </c>
      <c r="E675">
        <v>63</v>
      </c>
      <c r="F675" s="3" t="s">
        <v>636</v>
      </c>
      <c r="G675" s="4">
        <v>9504.25</v>
      </c>
      <c r="H675" s="4">
        <v>0</v>
      </c>
      <c r="I675" s="4">
        <v>-39751266.590000004</v>
      </c>
    </row>
    <row r="676" spans="1:9" x14ac:dyDescent="0.3">
      <c r="A676" t="s">
        <v>133</v>
      </c>
      <c r="B676" s="1">
        <v>45873</v>
      </c>
      <c r="C676" s="1">
        <v>45873</v>
      </c>
      <c r="D676">
        <v>911477</v>
      </c>
      <c r="E676">
        <v>210</v>
      </c>
      <c r="F676" s="3" t="s">
        <v>637</v>
      </c>
      <c r="G676" s="4">
        <v>30000</v>
      </c>
      <c r="H676" s="4">
        <v>0</v>
      </c>
      <c r="I676" s="4">
        <v>-39721266.590000004</v>
      </c>
    </row>
    <row r="677" spans="1:9" x14ac:dyDescent="0.3">
      <c r="A677" t="s">
        <v>133</v>
      </c>
      <c r="B677" s="1">
        <v>45873</v>
      </c>
      <c r="C677" s="1">
        <v>45873</v>
      </c>
      <c r="D677">
        <v>911480</v>
      </c>
      <c r="E677">
        <v>75</v>
      </c>
      <c r="F677" s="3" t="s">
        <v>638</v>
      </c>
      <c r="G677" s="4">
        <v>760000</v>
      </c>
      <c r="H677" s="4">
        <v>0</v>
      </c>
      <c r="I677" s="4">
        <v>-38961266.590000004</v>
      </c>
    </row>
    <row r="678" spans="1:9" x14ac:dyDescent="0.3">
      <c r="A678" t="s">
        <v>133</v>
      </c>
      <c r="B678" s="1">
        <v>45873</v>
      </c>
      <c r="C678" s="1">
        <v>45873</v>
      </c>
      <c r="D678">
        <v>911482</v>
      </c>
      <c r="E678">
        <v>28</v>
      </c>
      <c r="F678" s="3" t="s">
        <v>639</v>
      </c>
      <c r="G678" s="4">
        <v>500000</v>
      </c>
      <c r="H678" s="4">
        <v>0</v>
      </c>
      <c r="I678" s="4">
        <v>-38461266.590000004</v>
      </c>
    </row>
    <row r="679" spans="1:9" x14ac:dyDescent="0.3">
      <c r="A679" t="s">
        <v>133</v>
      </c>
      <c r="B679" s="1">
        <v>45873</v>
      </c>
      <c r="C679" s="1">
        <v>45873</v>
      </c>
      <c r="D679">
        <v>911485</v>
      </c>
      <c r="E679">
        <v>26</v>
      </c>
      <c r="F679" s="3" t="s">
        <v>211</v>
      </c>
      <c r="G679" s="4">
        <v>250275</v>
      </c>
      <c r="H679" s="4">
        <v>0</v>
      </c>
      <c r="I679" s="4">
        <v>-38210991.590000004</v>
      </c>
    </row>
    <row r="680" spans="1:9" x14ac:dyDescent="0.3">
      <c r="A680" t="s">
        <v>133</v>
      </c>
      <c r="B680" s="1">
        <v>45873</v>
      </c>
      <c r="C680" s="1">
        <v>45873</v>
      </c>
      <c r="D680">
        <v>911486</v>
      </c>
      <c r="E680">
        <v>361</v>
      </c>
      <c r="F680" s="3" t="s">
        <v>640</v>
      </c>
      <c r="G680" s="4">
        <v>1000000</v>
      </c>
      <c r="H680" s="4">
        <v>0</v>
      </c>
      <c r="I680" s="4">
        <v>-37210991.590000004</v>
      </c>
    </row>
    <row r="681" spans="1:9" x14ac:dyDescent="0.3">
      <c r="A681" t="s">
        <v>133</v>
      </c>
      <c r="B681" s="1">
        <v>45873</v>
      </c>
      <c r="C681" s="1">
        <v>45873</v>
      </c>
      <c r="D681">
        <v>911489</v>
      </c>
      <c r="E681">
        <v>86</v>
      </c>
      <c r="F681" s="3" t="s">
        <v>641</v>
      </c>
      <c r="G681" s="4">
        <v>33028.25</v>
      </c>
      <c r="H681" s="4">
        <v>0</v>
      </c>
      <c r="I681" s="4">
        <v>-37177963.340000004</v>
      </c>
    </row>
    <row r="682" spans="1:9" x14ac:dyDescent="0.3">
      <c r="A682" t="s">
        <v>133</v>
      </c>
      <c r="B682" s="1">
        <v>45873</v>
      </c>
      <c r="C682" s="1">
        <v>45873</v>
      </c>
      <c r="D682">
        <v>911493</v>
      </c>
      <c r="E682">
        <v>412</v>
      </c>
      <c r="F682" s="3" t="s">
        <v>642</v>
      </c>
      <c r="G682" s="4">
        <v>680000</v>
      </c>
      <c r="H682" s="4">
        <v>0</v>
      </c>
      <c r="I682" s="4">
        <v>-36497963.340000004</v>
      </c>
    </row>
    <row r="683" spans="1:9" x14ac:dyDescent="0.3">
      <c r="A683" t="s">
        <v>133</v>
      </c>
      <c r="B683" s="1">
        <v>45873</v>
      </c>
      <c r="C683" s="1">
        <v>45873</v>
      </c>
      <c r="D683">
        <v>911497</v>
      </c>
      <c r="E683">
        <v>13</v>
      </c>
      <c r="F683" s="3" t="s">
        <v>643</v>
      </c>
      <c r="G683" s="4">
        <v>950000</v>
      </c>
      <c r="H683" s="4">
        <v>0</v>
      </c>
      <c r="I683" s="4">
        <v>-35547963.340000004</v>
      </c>
    </row>
    <row r="684" spans="1:9" x14ac:dyDescent="0.3">
      <c r="A684" t="s">
        <v>133</v>
      </c>
      <c r="B684" s="1">
        <v>45873</v>
      </c>
      <c r="C684" s="1">
        <v>45873</v>
      </c>
      <c r="D684">
        <v>911500</v>
      </c>
      <c r="E684">
        <v>14</v>
      </c>
      <c r="F684" s="3" t="s">
        <v>644</v>
      </c>
      <c r="G684" s="4">
        <v>350000</v>
      </c>
      <c r="H684" s="4">
        <v>0</v>
      </c>
      <c r="I684" s="4">
        <v>-35197963.340000004</v>
      </c>
    </row>
    <row r="685" spans="1:9" x14ac:dyDescent="0.3">
      <c r="A685" t="s">
        <v>133</v>
      </c>
      <c r="B685" s="1">
        <v>45873</v>
      </c>
      <c r="C685" s="1">
        <v>45873</v>
      </c>
      <c r="D685">
        <v>911501</v>
      </c>
      <c r="E685">
        <v>12</v>
      </c>
      <c r="F685" s="3" t="s">
        <v>645</v>
      </c>
      <c r="G685" s="4">
        <v>482089.25</v>
      </c>
      <c r="H685" s="4">
        <v>0</v>
      </c>
      <c r="I685" s="4">
        <v>-34715874.090000004</v>
      </c>
    </row>
    <row r="686" spans="1:9" x14ac:dyDescent="0.3">
      <c r="A686" t="s">
        <v>133</v>
      </c>
      <c r="B686" s="1">
        <v>45873</v>
      </c>
      <c r="C686" s="1">
        <v>45873</v>
      </c>
      <c r="D686">
        <v>911502</v>
      </c>
      <c r="E686">
        <v>84</v>
      </c>
      <c r="F686" s="3" t="s">
        <v>646</v>
      </c>
      <c r="G686" s="4">
        <v>169064.5</v>
      </c>
      <c r="H686" s="4">
        <v>0</v>
      </c>
      <c r="I686" s="4">
        <v>-34546809.590000004</v>
      </c>
    </row>
    <row r="687" spans="1:9" x14ac:dyDescent="0.3">
      <c r="A687" t="s">
        <v>133</v>
      </c>
      <c r="B687" s="1">
        <v>45873</v>
      </c>
      <c r="C687" s="1">
        <v>45873</v>
      </c>
      <c r="D687">
        <v>911504</v>
      </c>
      <c r="E687">
        <v>78</v>
      </c>
      <c r="F687" s="3" t="s">
        <v>647</v>
      </c>
      <c r="G687" s="4">
        <v>3478</v>
      </c>
      <c r="H687" s="4">
        <v>0</v>
      </c>
      <c r="I687" s="4">
        <v>-34543331.590000004</v>
      </c>
    </row>
    <row r="688" spans="1:9" x14ac:dyDescent="0.3">
      <c r="A688" t="s">
        <v>133</v>
      </c>
      <c r="B688" s="1">
        <v>45873</v>
      </c>
      <c r="C688" s="1">
        <v>45873</v>
      </c>
      <c r="D688">
        <v>911505</v>
      </c>
      <c r="E688">
        <v>34</v>
      </c>
      <c r="F688" s="3" t="s">
        <v>648</v>
      </c>
      <c r="G688" s="4">
        <v>30000</v>
      </c>
      <c r="H688" s="4">
        <v>0</v>
      </c>
      <c r="I688" s="4">
        <v>-34513331.590000004</v>
      </c>
    </row>
    <row r="689" spans="1:9" x14ac:dyDescent="0.3">
      <c r="A689" t="s">
        <v>133</v>
      </c>
      <c r="B689" s="1">
        <v>45873</v>
      </c>
      <c r="C689" s="1">
        <v>45873</v>
      </c>
      <c r="D689">
        <v>911506</v>
      </c>
      <c r="E689">
        <v>542</v>
      </c>
      <c r="F689" s="3" t="s">
        <v>208</v>
      </c>
      <c r="G689" s="4">
        <v>340000</v>
      </c>
      <c r="H689" s="4">
        <v>0</v>
      </c>
      <c r="I689" s="4">
        <v>-34173331.590000004</v>
      </c>
    </row>
    <row r="690" spans="1:9" x14ac:dyDescent="0.3">
      <c r="A690" t="s">
        <v>133</v>
      </c>
      <c r="B690" s="1">
        <v>45873</v>
      </c>
      <c r="C690" s="1">
        <v>45873</v>
      </c>
      <c r="D690">
        <v>911507</v>
      </c>
      <c r="E690">
        <v>63</v>
      </c>
      <c r="F690" s="3" t="s">
        <v>649</v>
      </c>
      <c r="G690" s="4">
        <v>9700</v>
      </c>
      <c r="H690" s="4">
        <v>0</v>
      </c>
      <c r="I690" s="4">
        <v>-34163631.590000004</v>
      </c>
    </row>
    <row r="691" spans="1:9" x14ac:dyDescent="0.3">
      <c r="A691" t="s">
        <v>133</v>
      </c>
      <c r="B691" s="1">
        <v>45873</v>
      </c>
      <c r="C691" s="1">
        <v>45873</v>
      </c>
      <c r="D691">
        <v>911509</v>
      </c>
      <c r="E691">
        <v>223</v>
      </c>
      <c r="F691" s="3" t="s">
        <v>650</v>
      </c>
      <c r="G691" s="4">
        <v>540000</v>
      </c>
      <c r="H691" s="4">
        <v>0</v>
      </c>
      <c r="I691" s="4">
        <v>-33623631.590000004</v>
      </c>
    </row>
    <row r="692" spans="1:9" x14ac:dyDescent="0.3">
      <c r="A692" t="s">
        <v>133</v>
      </c>
      <c r="B692" s="1">
        <v>45873</v>
      </c>
      <c r="C692" s="1">
        <v>45873</v>
      </c>
      <c r="D692">
        <v>911512</v>
      </c>
      <c r="E692">
        <v>351</v>
      </c>
      <c r="F692" s="3" t="s">
        <v>651</v>
      </c>
      <c r="G692" s="4">
        <v>919505.25</v>
      </c>
      <c r="H692" s="4">
        <v>0</v>
      </c>
      <c r="I692" s="4">
        <v>-32704126.34</v>
      </c>
    </row>
    <row r="693" spans="1:9" x14ac:dyDescent="0.3">
      <c r="A693" t="s">
        <v>133</v>
      </c>
      <c r="B693" s="1">
        <v>45873</v>
      </c>
      <c r="C693" s="1">
        <v>45873</v>
      </c>
      <c r="D693">
        <v>911517</v>
      </c>
      <c r="E693">
        <v>15</v>
      </c>
      <c r="F693" s="3" t="s">
        <v>652</v>
      </c>
      <c r="G693" s="4">
        <v>18406.75</v>
      </c>
      <c r="H693" s="4">
        <v>0</v>
      </c>
      <c r="I693" s="4">
        <v>-32685719.59</v>
      </c>
    </row>
    <row r="694" spans="1:9" x14ac:dyDescent="0.3">
      <c r="A694" t="s">
        <v>133</v>
      </c>
      <c r="B694" s="1">
        <v>45873</v>
      </c>
      <c r="C694" s="1">
        <v>45873</v>
      </c>
      <c r="D694">
        <v>911518</v>
      </c>
      <c r="E694">
        <v>88</v>
      </c>
      <c r="F694" s="3" t="s">
        <v>653</v>
      </c>
      <c r="G694" s="4">
        <v>17557.75</v>
      </c>
      <c r="H694" s="4">
        <v>0</v>
      </c>
      <c r="I694" s="4">
        <v>-32668161.84</v>
      </c>
    </row>
    <row r="695" spans="1:9" x14ac:dyDescent="0.3">
      <c r="A695" t="s">
        <v>133</v>
      </c>
      <c r="B695" s="1">
        <v>45873</v>
      </c>
      <c r="C695" s="1">
        <v>45873</v>
      </c>
      <c r="D695">
        <v>911521</v>
      </c>
      <c r="E695">
        <v>85</v>
      </c>
      <c r="F695" s="3">
        <v>50752751461</v>
      </c>
      <c r="G695" s="4">
        <v>5883.5</v>
      </c>
      <c r="H695" s="4">
        <v>0</v>
      </c>
      <c r="I695" s="4">
        <v>-32662278.34</v>
      </c>
    </row>
    <row r="696" spans="1:9" x14ac:dyDescent="0.3">
      <c r="A696" t="s">
        <v>133</v>
      </c>
      <c r="B696" s="1">
        <v>45873</v>
      </c>
      <c r="C696" s="1">
        <v>45873</v>
      </c>
      <c r="D696">
        <v>911522</v>
      </c>
      <c r="E696">
        <v>55</v>
      </c>
      <c r="F696" s="3" t="s">
        <v>654</v>
      </c>
      <c r="G696" s="4">
        <v>850000</v>
      </c>
      <c r="H696" s="4">
        <v>0</v>
      </c>
      <c r="I696" s="4">
        <v>-31812278.34</v>
      </c>
    </row>
    <row r="697" spans="1:9" x14ac:dyDescent="0.3">
      <c r="A697" t="s">
        <v>133</v>
      </c>
      <c r="B697" s="1">
        <v>45873</v>
      </c>
      <c r="C697" s="1">
        <v>45873</v>
      </c>
      <c r="D697">
        <v>911527</v>
      </c>
      <c r="E697">
        <v>12</v>
      </c>
      <c r="F697" s="3" t="s">
        <v>402</v>
      </c>
      <c r="G697" s="4">
        <v>1330000</v>
      </c>
      <c r="H697" s="4">
        <v>0</v>
      </c>
      <c r="I697" s="4">
        <v>-30482278.34</v>
      </c>
    </row>
    <row r="698" spans="1:9" x14ac:dyDescent="0.3">
      <c r="A698" t="s">
        <v>133</v>
      </c>
      <c r="B698" s="1">
        <v>45873</v>
      </c>
      <c r="C698" s="1">
        <v>45873</v>
      </c>
      <c r="D698">
        <v>911529</v>
      </c>
      <c r="E698">
        <v>49</v>
      </c>
      <c r="F698" s="3" t="s">
        <v>655</v>
      </c>
      <c r="G698" s="4">
        <v>2230</v>
      </c>
      <c r="H698" s="4">
        <v>0</v>
      </c>
      <c r="I698" s="4">
        <v>-30480048.34</v>
      </c>
    </row>
    <row r="699" spans="1:9" x14ac:dyDescent="0.3">
      <c r="A699" t="s">
        <v>133</v>
      </c>
      <c r="B699" s="1">
        <v>45873</v>
      </c>
      <c r="C699" s="1">
        <v>45873</v>
      </c>
      <c r="D699">
        <v>911531</v>
      </c>
      <c r="E699">
        <v>27</v>
      </c>
      <c r="F699" s="3" t="s">
        <v>656</v>
      </c>
      <c r="G699" s="4">
        <v>71869.75</v>
      </c>
      <c r="H699" s="4">
        <v>0</v>
      </c>
      <c r="I699" s="4">
        <v>-30408178.59</v>
      </c>
    </row>
    <row r="700" spans="1:9" x14ac:dyDescent="0.3">
      <c r="A700" t="s">
        <v>133</v>
      </c>
      <c r="B700" s="1">
        <v>45873</v>
      </c>
      <c r="C700" s="1">
        <v>45873</v>
      </c>
      <c r="D700">
        <v>911535</v>
      </c>
      <c r="E700">
        <v>48</v>
      </c>
      <c r="F700" s="3" t="s">
        <v>657</v>
      </c>
      <c r="G700" s="4">
        <v>21043.5</v>
      </c>
      <c r="H700" s="4">
        <v>0</v>
      </c>
      <c r="I700" s="4">
        <v>-30387135.09</v>
      </c>
    </row>
    <row r="701" spans="1:9" x14ac:dyDescent="0.3">
      <c r="A701" t="s">
        <v>133</v>
      </c>
      <c r="B701" s="1">
        <v>45873</v>
      </c>
      <c r="C701" s="1">
        <v>45873</v>
      </c>
      <c r="D701">
        <v>911536</v>
      </c>
      <c r="E701">
        <v>82</v>
      </c>
      <c r="F701" s="3" t="s">
        <v>658</v>
      </c>
      <c r="G701" s="4">
        <v>21071.5</v>
      </c>
      <c r="H701" s="4">
        <v>0</v>
      </c>
      <c r="I701" s="4">
        <v>-30366063.59</v>
      </c>
    </row>
    <row r="702" spans="1:9" x14ac:dyDescent="0.3">
      <c r="A702" t="s">
        <v>133</v>
      </c>
      <c r="B702" s="1">
        <v>45873</v>
      </c>
      <c r="C702" s="1">
        <v>45873</v>
      </c>
      <c r="D702">
        <v>911537</v>
      </c>
      <c r="E702">
        <v>11</v>
      </c>
      <c r="F702" s="3" t="s">
        <v>659</v>
      </c>
      <c r="G702" s="4">
        <v>42785</v>
      </c>
      <c r="H702" s="4">
        <v>0</v>
      </c>
      <c r="I702" s="4">
        <v>-30323278.59</v>
      </c>
    </row>
    <row r="703" spans="1:9" x14ac:dyDescent="0.3">
      <c r="A703" t="s">
        <v>133</v>
      </c>
      <c r="B703" s="1">
        <v>45873</v>
      </c>
      <c r="C703" s="1">
        <v>45873</v>
      </c>
      <c r="D703">
        <v>911541</v>
      </c>
      <c r="E703">
        <v>94</v>
      </c>
      <c r="F703" s="3" t="s">
        <v>660</v>
      </c>
      <c r="G703" s="4">
        <v>500000</v>
      </c>
      <c r="H703" s="4">
        <v>0</v>
      </c>
      <c r="I703" s="4">
        <v>-29823278.59</v>
      </c>
    </row>
    <row r="704" spans="1:9" x14ac:dyDescent="0.3">
      <c r="A704" t="s">
        <v>133</v>
      </c>
      <c r="B704" s="1">
        <v>45873</v>
      </c>
      <c r="C704" s="1">
        <v>45873</v>
      </c>
      <c r="D704">
        <v>911542</v>
      </c>
      <c r="E704">
        <v>94</v>
      </c>
      <c r="F704" s="3" t="s">
        <v>661</v>
      </c>
      <c r="G704" s="4">
        <v>167083</v>
      </c>
      <c r="H704" s="4">
        <v>0</v>
      </c>
      <c r="I704" s="4">
        <v>-29656195.59</v>
      </c>
    </row>
    <row r="705" spans="1:9" x14ac:dyDescent="0.3">
      <c r="A705" t="s">
        <v>133</v>
      </c>
      <c r="B705" s="1">
        <v>45873</v>
      </c>
      <c r="C705" s="1">
        <v>45873</v>
      </c>
      <c r="D705">
        <v>911545</v>
      </c>
      <c r="E705">
        <v>74</v>
      </c>
      <c r="F705" s="3" t="s">
        <v>662</v>
      </c>
      <c r="G705" s="4">
        <v>600000</v>
      </c>
      <c r="H705" s="4">
        <v>0</v>
      </c>
      <c r="I705" s="4">
        <v>-29056195.59</v>
      </c>
    </row>
    <row r="706" spans="1:9" x14ac:dyDescent="0.3">
      <c r="A706" t="s">
        <v>133</v>
      </c>
      <c r="B706" s="1">
        <v>45873</v>
      </c>
      <c r="C706" s="1">
        <v>45873</v>
      </c>
      <c r="D706">
        <v>911546</v>
      </c>
      <c r="E706">
        <v>71</v>
      </c>
      <c r="F706" s="3" t="s">
        <v>663</v>
      </c>
      <c r="G706" s="4">
        <v>470000</v>
      </c>
      <c r="H706" s="4">
        <v>0</v>
      </c>
      <c r="I706" s="4">
        <v>-28586195.59</v>
      </c>
    </row>
    <row r="707" spans="1:9" x14ac:dyDescent="0.3">
      <c r="A707" t="s">
        <v>133</v>
      </c>
      <c r="B707" s="1">
        <v>45873</v>
      </c>
      <c r="C707" s="1">
        <v>45873</v>
      </c>
      <c r="D707">
        <v>911549</v>
      </c>
      <c r="E707">
        <v>63</v>
      </c>
      <c r="F707" s="3" t="s">
        <v>664</v>
      </c>
      <c r="G707" s="4">
        <v>15608.75</v>
      </c>
      <c r="H707" s="4">
        <v>0</v>
      </c>
      <c r="I707" s="4">
        <v>-28570586.84</v>
      </c>
    </row>
    <row r="708" spans="1:9" x14ac:dyDescent="0.3">
      <c r="A708" t="s">
        <v>133</v>
      </c>
      <c r="B708" s="1">
        <v>45873</v>
      </c>
      <c r="C708" s="1">
        <v>45873</v>
      </c>
      <c r="D708">
        <v>911550</v>
      </c>
      <c r="E708">
        <v>36</v>
      </c>
      <c r="F708" s="3" t="s">
        <v>665</v>
      </c>
      <c r="G708" s="4">
        <v>75027</v>
      </c>
      <c r="H708" s="4">
        <v>0</v>
      </c>
      <c r="I708" s="4">
        <v>-28495559.84</v>
      </c>
    </row>
    <row r="709" spans="1:9" x14ac:dyDescent="0.3">
      <c r="A709" t="s">
        <v>133</v>
      </c>
      <c r="B709" s="1">
        <v>45873</v>
      </c>
      <c r="C709" s="1">
        <v>45873</v>
      </c>
      <c r="D709">
        <v>911558</v>
      </c>
      <c r="E709">
        <v>17</v>
      </c>
      <c r="F709" s="3" t="s">
        <v>666</v>
      </c>
      <c r="G709" s="4">
        <v>250000</v>
      </c>
      <c r="H709" s="4">
        <v>0</v>
      </c>
      <c r="I709" s="4">
        <v>-28245559.84</v>
      </c>
    </row>
    <row r="710" spans="1:9" x14ac:dyDescent="0.3">
      <c r="A710" t="s">
        <v>133</v>
      </c>
      <c r="B710" s="1">
        <v>45873</v>
      </c>
      <c r="C710" s="1">
        <v>45873</v>
      </c>
      <c r="D710">
        <v>911562</v>
      </c>
      <c r="E710">
        <v>76</v>
      </c>
      <c r="F710" s="3" t="s">
        <v>667</v>
      </c>
      <c r="G710" s="4">
        <v>550000</v>
      </c>
      <c r="H710" s="4">
        <v>0</v>
      </c>
      <c r="I710" s="4">
        <v>-27695559.84</v>
      </c>
    </row>
    <row r="711" spans="1:9" x14ac:dyDescent="0.3">
      <c r="A711" t="s">
        <v>133</v>
      </c>
      <c r="B711" s="1">
        <v>45873</v>
      </c>
      <c r="C711" s="1">
        <v>45873</v>
      </c>
      <c r="D711">
        <v>911565</v>
      </c>
      <c r="E711">
        <v>54</v>
      </c>
      <c r="F711" s="3" t="s">
        <v>668</v>
      </c>
      <c r="G711" s="4">
        <v>560000</v>
      </c>
      <c r="H711" s="4">
        <v>0</v>
      </c>
      <c r="I711" s="4">
        <v>-27135559.84</v>
      </c>
    </row>
    <row r="712" spans="1:9" x14ac:dyDescent="0.3">
      <c r="A712" t="s">
        <v>133</v>
      </c>
      <c r="B712" s="1">
        <v>45873</v>
      </c>
      <c r="C712" s="1">
        <v>45873</v>
      </c>
      <c r="D712">
        <v>911566</v>
      </c>
      <c r="E712">
        <v>52</v>
      </c>
      <c r="F712" s="3" t="s">
        <v>669</v>
      </c>
      <c r="G712" s="4">
        <v>630000</v>
      </c>
      <c r="H712" s="4">
        <v>0</v>
      </c>
      <c r="I712" s="4">
        <v>-26505559.84</v>
      </c>
    </row>
    <row r="713" spans="1:9" x14ac:dyDescent="0.3">
      <c r="A713" t="s">
        <v>133</v>
      </c>
      <c r="B713" s="1">
        <v>45873</v>
      </c>
      <c r="C713" s="1">
        <v>45873</v>
      </c>
      <c r="D713">
        <v>911569</v>
      </c>
      <c r="E713">
        <v>64</v>
      </c>
      <c r="F713" s="3" t="s">
        <v>670</v>
      </c>
      <c r="G713" s="4">
        <v>340000</v>
      </c>
      <c r="H713" s="4">
        <v>0</v>
      </c>
      <c r="I713" s="4">
        <v>-26165559.84</v>
      </c>
    </row>
    <row r="714" spans="1:9" x14ac:dyDescent="0.3">
      <c r="A714" t="s">
        <v>133</v>
      </c>
      <c r="B714" s="1">
        <v>45873</v>
      </c>
      <c r="C714" s="1">
        <v>45873</v>
      </c>
      <c r="D714">
        <v>911573</v>
      </c>
      <c r="E714">
        <v>91</v>
      </c>
      <c r="F714" s="3" t="s">
        <v>671</v>
      </c>
      <c r="G714" s="4">
        <v>180000</v>
      </c>
      <c r="H714" s="4">
        <v>0</v>
      </c>
      <c r="I714" s="4">
        <v>-25985559.84</v>
      </c>
    </row>
    <row r="715" spans="1:9" x14ac:dyDescent="0.3">
      <c r="A715" t="s">
        <v>133</v>
      </c>
      <c r="B715" s="1">
        <v>45873</v>
      </c>
      <c r="C715" s="1">
        <v>45873</v>
      </c>
      <c r="D715">
        <v>911576</v>
      </c>
      <c r="E715">
        <v>18</v>
      </c>
      <c r="F715" s="3" t="s">
        <v>672</v>
      </c>
      <c r="G715" s="4">
        <v>1000000</v>
      </c>
      <c r="H715" s="4">
        <v>0</v>
      </c>
      <c r="I715" s="4">
        <v>-24985559.84</v>
      </c>
    </row>
    <row r="716" spans="1:9" x14ac:dyDescent="0.3">
      <c r="A716" t="s">
        <v>133</v>
      </c>
      <c r="B716" s="1">
        <v>45873</v>
      </c>
      <c r="C716" s="1">
        <v>45873</v>
      </c>
      <c r="D716">
        <v>911580</v>
      </c>
      <c r="E716">
        <v>24</v>
      </c>
      <c r="F716" s="3" t="s">
        <v>673</v>
      </c>
      <c r="G716" s="4">
        <v>430000</v>
      </c>
      <c r="H716" s="4">
        <v>0</v>
      </c>
      <c r="I716" s="4">
        <v>-24555559.84</v>
      </c>
    </row>
    <row r="717" spans="1:9" x14ac:dyDescent="0.3">
      <c r="A717" t="s">
        <v>133</v>
      </c>
      <c r="B717" s="1">
        <v>45873</v>
      </c>
      <c r="C717" s="1">
        <v>45873</v>
      </c>
      <c r="D717">
        <v>911582</v>
      </c>
      <c r="E717">
        <v>58</v>
      </c>
      <c r="F717" s="3" t="s">
        <v>674</v>
      </c>
      <c r="G717" s="4">
        <v>210000</v>
      </c>
      <c r="H717" s="4">
        <v>0</v>
      </c>
      <c r="I717" s="4">
        <v>-24345559.84</v>
      </c>
    </row>
    <row r="718" spans="1:9" x14ac:dyDescent="0.3">
      <c r="A718" t="s">
        <v>133</v>
      </c>
      <c r="B718" s="1">
        <v>45873</v>
      </c>
      <c r="C718" s="1">
        <v>45873</v>
      </c>
      <c r="D718">
        <v>911583</v>
      </c>
      <c r="E718">
        <v>65</v>
      </c>
      <c r="F718" s="3" t="s">
        <v>675</v>
      </c>
      <c r="G718" s="4">
        <v>490000</v>
      </c>
      <c r="H718" s="4">
        <v>0</v>
      </c>
      <c r="I718" s="4">
        <v>-23855559.84</v>
      </c>
    </row>
    <row r="719" spans="1:9" x14ac:dyDescent="0.3">
      <c r="A719" t="s">
        <v>133</v>
      </c>
      <c r="B719" s="1">
        <v>45873</v>
      </c>
      <c r="C719" s="1">
        <v>45873</v>
      </c>
      <c r="D719">
        <v>911593</v>
      </c>
      <c r="E719">
        <v>98</v>
      </c>
      <c r="F719" s="3" t="s">
        <v>676</v>
      </c>
      <c r="G719" s="4">
        <v>42221</v>
      </c>
      <c r="H719" s="4">
        <v>0</v>
      </c>
      <c r="I719" s="4">
        <v>-23813338.84</v>
      </c>
    </row>
    <row r="720" spans="1:9" x14ac:dyDescent="0.3">
      <c r="A720" t="s">
        <v>133</v>
      </c>
      <c r="B720" s="1">
        <v>45873</v>
      </c>
      <c r="C720" s="1">
        <v>45873</v>
      </c>
      <c r="D720">
        <v>911595</v>
      </c>
      <c r="E720">
        <v>67</v>
      </c>
      <c r="F720" s="3" t="s">
        <v>677</v>
      </c>
      <c r="G720" s="4">
        <v>430000</v>
      </c>
      <c r="H720" s="4">
        <v>0</v>
      </c>
      <c r="I720" s="4">
        <v>-23383338.84</v>
      </c>
    </row>
    <row r="721" spans="1:9" x14ac:dyDescent="0.3">
      <c r="A721" t="s">
        <v>133</v>
      </c>
      <c r="B721" s="1">
        <v>45873</v>
      </c>
      <c r="C721" s="1">
        <v>45873</v>
      </c>
      <c r="D721">
        <v>911603</v>
      </c>
      <c r="E721">
        <v>43</v>
      </c>
      <c r="F721" s="3" t="s">
        <v>678</v>
      </c>
      <c r="G721" s="4">
        <v>1000000</v>
      </c>
      <c r="H721" s="4">
        <v>0</v>
      </c>
      <c r="I721" s="4">
        <v>-22383338.84</v>
      </c>
    </row>
    <row r="722" spans="1:9" x14ac:dyDescent="0.3">
      <c r="A722" t="s">
        <v>133</v>
      </c>
      <c r="B722" s="1">
        <v>45873</v>
      </c>
      <c r="C722" s="1">
        <v>45873</v>
      </c>
      <c r="D722">
        <v>911604</v>
      </c>
      <c r="E722">
        <v>78</v>
      </c>
      <c r="F722" s="3" t="s">
        <v>679</v>
      </c>
      <c r="G722" s="4">
        <v>510000</v>
      </c>
      <c r="H722" s="4">
        <v>0</v>
      </c>
      <c r="I722" s="4">
        <v>-21873338.84</v>
      </c>
    </row>
    <row r="723" spans="1:9" x14ac:dyDescent="0.3">
      <c r="A723" t="s">
        <v>133</v>
      </c>
      <c r="B723" s="1">
        <v>45873</v>
      </c>
      <c r="C723" s="1">
        <v>45873</v>
      </c>
      <c r="D723">
        <v>911605</v>
      </c>
      <c r="E723">
        <v>422</v>
      </c>
      <c r="F723" s="3" t="s">
        <v>181</v>
      </c>
      <c r="G723" s="4">
        <v>225125</v>
      </c>
      <c r="H723" s="4">
        <v>0</v>
      </c>
      <c r="I723" s="4">
        <v>-21648213.84</v>
      </c>
    </row>
    <row r="724" spans="1:9" x14ac:dyDescent="0.3">
      <c r="A724" t="s">
        <v>133</v>
      </c>
      <c r="B724" s="1">
        <v>45873</v>
      </c>
      <c r="C724" s="1">
        <v>45873</v>
      </c>
      <c r="D724">
        <v>911606</v>
      </c>
      <c r="E724">
        <v>15</v>
      </c>
      <c r="F724" s="3" t="s">
        <v>680</v>
      </c>
      <c r="G724" s="4">
        <v>920000</v>
      </c>
      <c r="H724" s="4">
        <v>0</v>
      </c>
      <c r="I724" s="4">
        <v>-20728213.84</v>
      </c>
    </row>
    <row r="725" spans="1:9" x14ac:dyDescent="0.3">
      <c r="A725" t="s">
        <v>133</v>
      </c>
      <c r="B725" s="1">
        <v>45873</v>
      </c>
      <c r="C725" s="1">
        <v>45873</v>
      </c>
      <c r="D725">
        <v>911608</v>
      </c>
      <c r="E725">
        <v>11</v>
      </c>
      <c r="F725" s="3" t="s">
        <v>681</v>
      </c>
      <c r="G725" s="4">
        <v>2100</v>
      </c>
      <c r="H725" s="4">
        <v>0</v>
      </c>
      <c r="I725" s="4">
        <v>-20726113.84</v>
      </c>
    </row>
    <row r="726" spans="1:9" x14ac:dyDescent="0.3">
      <c r="A726" t="s">
        <v>133</v>
      </c>
      <c r="B726" s="1">
        <v>45873</v>
      </c>
      <c r="C726" s="1">
        <v>45873</v>
      </c>
      <c r="D726">
        <v>911612</v>
      </c>
      <c r="E726">
        <v>32</v>
      </c>
      <c r="F726" s="3" t="s">
        <v>682</v>
      </c>
      <c r="G726" s="4">
        <v>120000</v>
      </c>
      <c r="H726" s="4">
        <v>0</v>
      </c>
      <c r="I726" s="4">
        <v>-20606113.84</v>
      </c>
    </row>
    <row r="727" spans="1:9" x14ac:dyDescent="0.3">
      <c r="A727" t="s">
        <v>133</v>
      </c>
      <c r="B727" s="1">
        <v>45873</v>
      </c>
      <c r="C727" s="1">
        <v>45873</v>
      </c>
      <c r="D727">
        <v>911614</v>
      </c>
      <c r="E727">
        <v>11</v>
      </c>
      <c r="F727" s="3" t="s">
        <v>683</v>
      </c>
      <c r="G727" s="4">
        <v>500000</v>
      </c>
      <c r="H727" s="4">
        <v>0</v>
      </c>
      <c r="I727" s="4">
        <v>-20106113.84</v>
      </c>
    </row>
    <row r="728" spans="1:9" x14ac:dyDescent="0.3">
      <c r="A728" t="s">
        <v>133</v>
      </c>
      <c r="B728" s="1">
        <v>45873</v>
      </c>
      <c r="C728" s="1">
        <v>45873</v>
      </c>
      <c r="D728">
        <v>911615</v>
      </c>
      <c r="E728">
        <v>63</v>
      </c>
      <c r="F728" s="3" t="s">
        <v>684</v>
      </c>
      <c r="G728" s="4">
        <v>410000</v>
      </c>
      <c r="H728" s="4">
        <v>0</v>
      </c>
      <c r="I728" s="4">
        <v>-19696113.84</v>
      </c>
    </row>
    <row r="729" spans="1:9" x14ac:dyDescent="0.3">
      <c r="A729" t="s">
        <v>133</v>
      </c>
      <c r="B729" s="1">
        <v>45873</v>
      </c>
      <c r="C729" s="1">
        <v>45873</v>
      </c>
      <c r="D729">
        <v>911620</v>
      </c>
      <c r="E729">
        <v>82</v>
      </c>
      <c r="F729" s="3" t="s">
        <v>685</v>
      </c>
      <c r="G729" s="4">
        <v>550000</v>
      </c>
      <c r="H729" s="4">
        <v>0</v>
      </c>
      <c r="I729" s="4">
        <v>-19146113.84</v>
      </c>
    </row>
    <row r="730" spans="1:9" x14ac:dyDescent="0.3">
      <c r="A730" t="s">
        <v>133</v>
      </c>
      <c r="B730" s="1">
        <v>45873</v>
      </c>
      <c r="C730" s="1">
        <v>45873</v>
      </c>
      <c r="D730">
        <v>911623</v>
      </c>
      <c r="E730">
        <v>382</v>
      </c>
      <c r="F730" s="3" t="s">
        <v>686</v>
      </c>
      <c r="G730" s="4">
        <v>1102155</v>
      </c>
      <c r="H730" s="4">
        <v>0</v>
      </c>
      <c r="I730" s="4">
        <v>-18043958.84</v>
      </c>
    </row>
    <row r="731" spans="1:9" x14ac:dyDescent="0.3">
      <c r="A731" t="s">
        <v>133</v>
      </c>
      <c r="B731" s="1">
        <v>45873</v>
      </c>
      <c r="C731" s="1">
        <v>45873</v>
      </c>
      <c r="D731">
        <v>911627</v>
      </c>
      <c r="E731">
        <v>36</v>
      </c>
      <c r="F731" s="3" t="s">
        <v>687</v>
      </c>
      <c r="G731" s="4">
        <v>350000</v>
      </c>
      <c r="H731" s="4">
        <v>0</v>
      </c>
      <c r="I731" s="4">
        <v>-17693958.84</v>
      </c>
    </row>
    <row r="732" spans="1:9" x14ac:dyDescent="0.3">
      <c r="A732" t="s">
        <v>133</v>
      </c>
      <c r="B732" s="1">
        <v>45873</v>
      </c>
      <c r="C732" s="1">
        <v>45873</v>
      </c>
      <c r="D732">
        <v>911629</v>
      </c>
      <c r="E732">
        <v>16</v>
      </c>
      <c r="F732" s="3" t="s">
        <v>688</v>
      </c>
      <c r="G732" s="4">
        <v>810000</v>
      </c>
      <c r="H732" s="4">
        <v>0</v>
      </c>
      <c r="I732" s="4">
        <v>-16883958.84</v>
      </c>
    </row>
    <row r="733" spans="1:9" x14ac:dyDescent="0.3">
      <c r="A733" t="s">
        <v>133</v>
      </c>
      <c r="B733" s="1">
        <v>45873</v>
      </c>
      <c r="C733" s="1">
        <v>45873</v>
      </c>
      <c r="D733">
        <v>911630</v>
      </c>
      <c r="E733">
        <v>56</v>
      </c>
      <c r="F733" s="3" t="s">
        <v>433</v>
      </c>
      <c r="G733" s="4">
        <v>1370000</v>
      </c>
      <c r="H733" s="4">
        <v>0</v>
      </c>
      <c r="I733" s="4">
        <v>-15513958.84</v>
      </c>
    </row>
    <row r="734" spans="1:9" x14ac:dyDescent="0.3">
      <c r="A734" t="s">
        <v>133</v>
      </c>
      <c r="B734" s="1">
        <v>45873</v>
      </c>
      <c r="C734" s="1">
        <v>45873</v>
      </c>
      <c r="D734">
        <v>911632</v>
      </c>
      <c r="E734">
        <v>45</v>
      </c>
      <c r="F734" s="3" t="s">
        <v>689</v>
      </c>
      <c r="G734" s="4">
        <v>5498</v>
      </c>
      <c r="H734" s="4">
        <v>0</v>
      </c>
      <c r="I734" s="4">
        <v>-15508460.84</v>
      </c>
    </row>
    <row r="735" spans="1:9" x14ac:dyDescent="0.3">
      <c r="A735" t="s">
        <v>133</v>
      </c>
      <c r="B735" s="1">
        <v>45873</v>
      </c>
      <c r="C735" s="1">
        <v>45873</v>
      </c>
      <c r="D735">
        <v>911634</v>
      </c>
      <c r="E735">
        <v>351</v>
      </c>
      <c r="F735" s="3" t="s">
        <v>690</v>
      </c>
      <c r="G735" s="4">
        <v>800000</v>
      </c>
      <c r="H735" s="4">
        <v>0</v>
      </c>
      <c r="I735" s="4">
        <v>-14708460.84</v>
      </c>
    </row>
    <row r="736" spans="1:9" x14ac:dyDescent="0.3">
      <c r="A736" t="s">
        <v>133</v>
      </c>
      <c r="B736" s="1">
        <v>45873</v>
      </c>
      <c r="C736" s="1">
        <v>45873</v>
      </c>
      <c r="D736">
        <v>911635</v>
      </c>
      <c r="E736">
        <v>89</v>
      </c>
      <c r="F736" s="3" t="s">
        <v>691</v>
      </c>
      <c r="G736" s="4">
        <v>660000</v>
      </c>
      <c r="H736" s="4">
        <v>0</v>
      </c>
      <c r="I736" s="4">
        <v>-14048460.84</v>
      </c>
    </row>
    <row r="737" spans="1:9" x14ac:dyDescent="0.3">
      <c r="A737" t="s">
        <v>133</v>
      </c>
      <c r="B737" s="1">
        <v>45873</v>
      </c>
      <c r="C737" s="1">
        <v>45873</v>
      </c>
      <c r="D737">
        <v>911636</v>
      </c>
      <c r="E737">
        <v>307</v>
      </c>
      <c r="F737" s="3" t="s">
        <v>692</v>
      </c>
      <c r="G737" s="4">
        <v>505090</v>
      </c>
      <c r="H737" s="4">
        <v>0</v>
      </c>
      <c r="I737" s="4">
        <v>-13543370.84</v>
      </c>
    </row>
    <row r="738" spans="1:9" x14ac:dyDescent="0.3">
      <c r="A738" t="s">
        <v>133</v>
      </c>
      <c r="B738" s="1">
        <v>45873</v>
      </c>
      <c r="C738" s="1">
        <v>45873</v>
      </c>
      <c r="D738">
        <v>911639</v>
      </c>
      <c r="E738">
        <v>532</v>
      </c>
      <c r="F738" s="3" t="s">
        <v>693</v>
      </c>
      <c r="G738" s="4">
        <v>500000</v>
      </c>
      <c r="H738" s="4">
        <v>0</v>
      </c>
      <c r="I738" s="4">
        <v>-13043370.84</v>
      </c>
    </row>
    <row r="739" spans="1:9" x14ac:dyDescent="0.3">
      <c r="A739" t="s">
        <v>133</v>
      </c>
      <c r="B739" s="1">
        <v>45873</v>
      </c>
      <c r="C739" s="1">
        <v>45873</v>
      </c>
      <c r="D739">
        <v>911646</v>
      </c>
      <c r="E739">
        <v>27</v>
      </c>
      <c r="F739" s="3" t="s">
        <v>694</v>
      </c>
      <c r="G739" s="4">
        <v>8303.5</v>
      </c>
      <c r="H739" s="4">
        <v>0</v>
      </c>
      <c r="I739" s="4">
        <v>-13035067.34</v>
      </c>
    </row>
    <row r="740" spans="1:9" x14ac:dyDescent="0.3">
      <c r="A740" t="s">
        <v>133</v>
      </c>
      <c r="B740" s="1">
        <v>45873</v>
      </c>
      <c r="C740" s="1">
        <v>45873</v>
      </c>
      <c r="D740">
        <v>911648</v>
      </c>
      <c r="E740">
        <v>23</v>
      </c>
      <c r="F740" s="3" t="s">
        <v>695</v>
      </c>
      <c r="G740" s="4">
        <v>750000</v>
      </c>
      <c r="H740" s="4">
        <v>0</v>
      </c>
      <c r="I740" s="4">
        <v>-12285067.34</v>
      </c>
    </row>
    <row r="741" spans="1:9" x14ac:dyDescent="0.3">
      <c r="A741" t="s">
        <v>133</v>
      </c>
      <c r="B741" s="1">
        <v>45873</v>
      </c>
      <c r="C741" s="1">
        <v>45873</v>
      </c>
      <c r="D741">
        <v>911650</v>
      </c>
      <c r="E741">
        <v>53</v>
      </c>
      <c r="F741" s="3" t="s">
        <v>696</v>
      </c>
      <c r="G741" s="4">
        <v>735000</v>
      </c>
      <c r="H741" s="4">
        <v>0</v>
      </c>
      <c r="I741" s="4">
        <v>-11550067.34</v>
      </c>
    </row>
    <row r="742" spans="1:9" x14ac:dyDescent="0.3">
      <c r="A742" t="s">
        <v>133</v>
      </c>
      <c r="B742" s="1">
        <v>45873</v>
      </c>
      <c r="C742" s="1">
        <v>45873</v>
      </c>
      <c r="D742">
        <v>911654</v>
      </c>
      <c r="E742">
        <v>38</v>
      </c>
      <c r="F742" s="3">
        <v>3660</v>
      </c>
      <c r="G742" s="4">
        <v>67317</v>
      </c>
      <c r="H742" s="4">
        <v>0</v>
      </c>
      <c r="I742" s="4">
        <v>-11482750.34</v>
      </c>
    </row>
    <row r="743" spans="1:9" x14ac:dyDescent="0.3">
      <c r="A743" t="s">
        <v>133</v>
      </c>
      <c r="B743" s="1">
        <v>45873</v>
      </c>
      <c r="C743" s="1">
        <v>45873</v>
      </c>
      <c r="D743">
        <v>911655</v>
      </c>
      <c r="E743">
        <v>37</v>
      </c>
      <c r="F743" s="3" t="s">
        <v>697</v>
      </c>
      <c r="G743" s="4">
        <v>1020000</v>
      </c>
      <c r="H743" s="4">
        <v>0</v>
      </c>
      <c r="I743" s="4">
        <v>-10462750.34</v>
      </c>
    </row>
    <row r="744" spans="1:9" x14ac:dyDescent="0.3">
      <c r="A744" t="s">
        <v>133</v>
      </c>
      <c r="B744" s="1">
        <v>45873</v>
      </c>
      <c r="C744" s="1">
        <v>45873</v>
      </c>
      <c r="D744">
        <v>911656</v>
      </c>
      <c r="E744">
        <v>38</v>
      </c>
      <c r="F744" s="3" t="s">
        <v>698</v>
      </c>
      <c r="G744" s="4">
        <v>1608609.5</v>
      </c>
      <c r="H744" s="4">
        <v>0</v>
      </c>
      <c r="I744" s="4">
        <v>-8854140.8399999999</v>
      </c>
    </row>
    <row r="745" spans="1:9" x14ac:dyDescent="0.3">
      <c r="A745" t="s">
        <v>133</v>
      </c>
      <c r="B745" s="1">
        <v>45873</v>
      </c>
      <c r="C745" s="1">
        <v>45873</v>
      </c>
      <c r="D745">
        <v>911660</v>
      </c>
      <c r="E745">
        <v>97</v>
      </c>
      <c r="F745" s="3" t="s">
        <v>699</v>
      </c>
      <c r="G745" s="4">
        <v>340000</v>
      </c>
      <c r="H745" s="4">
        <v>0</v>
      </c>
      <c r="I745" s="4">
        <v>-8514140.8399999999</v>
      </c>
    </row>
    <row r="746" spans="1:9" x14ac:dyDescent="0.3">
      <c r="A746" t="s">
        <v>133</v>
      </c>
      <c r="B746" s="1">
        <v>45873</v>
      </c>
      <c r="C746" s="1">
        <v>45873</v>
      </c>
      <c r="D746">
        <v>911662</v>
      </c>
      <c r="E746">
        <v>38</v>
      </c>
      <c r="F746" s="3">
        <v>42</v>
      </c>
      <c r="G746" s="4">
        <v>22300</v>
      </c>
      <c r="H746" s="4">
        <v>0</v>
      </c>
      <c r="I746" s="4">
        <v>-8491840.8399999999</v>
      </c>
    </row>
    <row r="747" spans="1:9" x14ac:dyDescent="0.3">
      <c r="A747" t="s">
        <v>133</v>
      </c>
      <c r="B747" s="1">
        <v>45873</v>
      </c>
      <c r="C747" s="1">
        <v>45873</v>
      </c>
      <c r="D747">
        <v>911665</v>
      </c>
      <c r="E747">
        <v>48</v>
      </c>
      <c r="F747" s="3" t="s">
        <v>700</v>
      </c>
      <c r="G747" s="4">
        <v>490000</v>
      </c>
      <c r="H747" s="4">
        <v>0</v>
      </c>
      <c r="I747" s="4">
        <v>-8001840.8399999999</v>
      </c>
    </row>
    <row r="748" spans="1:9" x14ac:dyDescent="0.3">
      <c r="A748" t="s">
        <v>133</v>
      </c>
      <c r="B748" s="1">
        <v>45873</v>
      </c>
      <c r="C748" s="1">
        <v>45873</v>
      </c>
      <c r="D748">
        <v>911666</v>
      </c>
      <c r="E748">
        <v>27</v>
      </c>
      <c r="F748" s="3" t="s">
        <v>701</v>
      </c>
      <c r="G748" s="4">
        <v>550000</v>
      </c>
      <c r="H748" s="4">
        <v>0</v>
      </c>
      <c r="I748" s="4">
        <v>-7451840.8399999999</v>
      </c>
    </row>
    <row r="749" spans="1:9" x14ac:dyDescent="0.3">
      <c r="A749" t="s">
        <v>133</v>
      </c>
      <c r="B749" s="1">
        <v>45873</v>
      </c>
      <c r="C749" s="1">
        <v>45873</v>
      </c>
      <c r="D749">
        <v>911667</v>
      </c>
      <c r="E749">
        <v>85</v>
      </c>
      <c r="F749" s="3" t="s">
        <v>702</v>
      </c>
      <c r="G749" s="4">
        <v>1600000</v>
      </c>
      <c r="H749" s="4">
        <v>0</v>
      </c>
      <c r="I749" s="4">
        <v>-5851840.8399999999</v>
      </c>
    </row>
    <row r="750" spans="1:9" x14ac:dyDescent="0.3">
      <c r="A750" t="s">
        <v>133</v>
      </c>
      <c r="B750" s="1">
        <v>45873</v>
      </c>
      <c r="C750" s="1">
        <v>45873</v>
      </c>
      <c r="D750">
        <v>911670</v>
      </c>
      <c r="E750">
        <v>81</v>
      </c>
      <c r="F750" s="3" t="s">
        <v>422</v>
      </c>
      <c r="G750" s="4">
        <v>450000</v>
      </c>
      <c r="H750" s="4">
        <v>0</v>
      </c>
      <c r="I750" s="4">
        <v>-5401840.8399999999</v>
      </c>
    </row>
    <row r="751" spans="1:9" x14ac:dyDescent="0.3">
      <c r="A751" t="s">
        <v>133</v>
      </c>
      <c r="B751" s="1">
        <v>45873</v>
      </c>
      <c r="C751" s="1">
        <v>45873</v>
      </c>
      <c r="D751">
        <v>911671</v>
      </c>
      <c r="E751">
        <v>41</v>
      </c>
      <c r="F751" s="3" t="s">
        <v>703</v>
      </c>
      <c r="G751" s="4">
        <v>84130.75</v>
      </c>
      <c r="H751" s="4">
        <v>0</v>
      </c>
      <c r="I751" s="4">
        <v>-5317710.09</v>
      </c>
    </row>
    <row r="752" spans="1:9" x14ac:dyDescent="0.3">
      <c r="A752" t="s">
        <v>133</v>
      </c>
      <c r="B752" s="1">
        <v>45873</v>
      </c>
      <c r="C752" s="1">
        <v>45873</v>
      </c>
      <c r="D752">
        <v>911672</v>
      </c>
      <c r="E752">
        <v>382</v>
      </c>
      <c r="F752" s="3" t="s">
        <v>704</v>
      </c>
      <c r="G752" s="4">
        <v>500000</v>
      </c>
      <c r="H752" s="4">
        <v>0</v>
      </c>
      <c r="I752" s="4">
        <v>-4817710.09</v>
      </c>
    </row>
    <row r="753" spans="1:9" x14ac:dyDescent="0.3">
      <c r="A753" t="s">
        <v>133</v>
      </c>
      <c r="B753" s="1">
        <v>45873</v>
      </c>
      <c r="C753" s="1">
        <v>45873</v>
      </c>
      <c r="D753">
        <v>911673</v>
      </c>
      <c r="E753">
        <v>80</v>
      </c>
      <c r="F753" s="3" t="s">
        <v>705</v>
      </c>
      <c r="G753" s="4">
        <v>740000</v>
      </c>
      <c r="H753" s="4">
        <v>0</v>
      </c>
      <c r="I753" s="4">
        <v>-4077710.09</v>
      </c>
    </row>
    <row r="754" spans="1:9" x14ac:dyDescent="0.3">
      <c r="A754" t="s">
        <v>133</v>
      </c>
      <c r="B754" s="1">
        <v>45873</v>
      </c>
      <c r="C754" s="1">
        <v>45873</v>
      </c>
      <c r="D754">
        <v>911681</v>
      </c>
      <c r="E754">
        <v>72</v>
      </c>
      <c r="F754" s="3" t="s">
        <v>706</v>
      </c>
      <c r="G754" s="4">
        <v>685000</v>
      </c>
      <c r="H754" s="4">
        <v>0</v>
      </c>
      <c r="I754" s="4">
        <v>-3392710.09</v>
      </c>
    </row>
    <row r="755" spans="1:9" x14ac:dyDescent="0.3">
      <c r="A755" t="s">
        <v>133</v>
      </c>
      <c r="B755" s="1">
        <v>45873</v>
      </c>
      <c r="C755" s="1">
        <v>45873</v>
      </c>
      <c r="D755">
        <v>911687</v>
      </c>
      <c r="E755">
        <v>91</v>
      </c>
      <c r="F755" s="3" t="s">
        <v>707</v>
      </c>
      <c r="G755" s="4">
        <v>97862</v>
      </c>
      <c r="H755" s="4">
        <v>0</v>
      </c>
      <c r="I755" s="4">
        <v>-3294848.09</v>
      </c>
    </row>
    <row r="756" spans="1:9" x14ac:dyDescent="0.3">
      <c r="A756" t="s">
        <v>133</v>
      </c>
      <c r="B756" s="1">
        <v>45873</v>
      </c>
      <c r="C756" s="1">
        <v>45873</v>
      </c>
      <c r="D756">
        <v>911688</v>
      </c>
      <c r="E756">
        <v>14</v>
      </c>
      <c r="F756" s="3" t="s">
        <v>708</v>
      </c>
      <c r="G756" s="4">
        <v>25664.5</v>
      </c>
      <c r="H756" s="4">
        <v>0</v>
      </c>
      <c r="I756" s="4">
        <v>-3269183.59</v>
      </c>
    </row>
    <row r="757" spans="1:9" x14ac:dyDescent="0.3">
      <c r="A757" t="s">
        <v>133</v>
      </c>
      <c r="B757" s="1">
        <v>45873</v>
      </c>
      <c r="C757" s="1">
        <v>45873</v>
      </c>
      <c r="D757">
        <v>911689</v>
      </c>
      <c r="E757">
        <v>70</v>
      </c>
      <c r="F757" s="3" t="s">
        <v>709</v>
      </c>
      <c r="G757" s="4">
        <v>1230000</v>
      </c>
      <c r="H757" s="4">
        <v>0</v>
      </c>
      <c r="I757" s="4">
        <v>-2039183.59</v>
      </c>
    </row>
    <row r="758" spans="1:9" x14ac:dyDescent="0.3">
      <c r="A758" t="s">
        <v>133</v>
      </c>
      <c r="B758" s="1">
        <v>45873</v>
      </c>
      <c r="C758" s="1">
        <v>45873</v>
      </c>
      <c r="D758">
        <v>911691</v>
      </c>
      <c r="E758">
        <v>72</v>
      </c>
      <c r="F758" s="3" t="s">
        <v>710</v>
      </c>
      <c r="G758" s="4">
        <v>5748.5</v>
      </c>
      <c r="H758" s="4">
        <v>0</v>
      </c>
      <c r="I758" s="4">
        <v>-2033435.09</v>
      </c>
    </row>
    <row r="759" spans="1:9" x14ac:dyDescent="0.3">
      <c r="A759" t="s">
        <v>133</v>
      </c>
      <c r="B759" s="1">
        <v>45873</v>
      </c>
      <c r="C759" s="1">
        <v>45873</v>
      </c>
      <c r="D759">
        <v>911692</v>
      </c>
      <c r="E759">
        <v>252</v>
      </c>
      <c r="F759" s="3">
        <v>38</v>
      </c>
      <c r="G759" s="4">
        <v>50023</v>
      </c>
      <c r="H759" s="4">
        <v>0</v>
      </c>
      <c r="I759" s="4">
        <v>-1983412.09</v>
      </c>
    </row>
    <row r="760" spans="1:9" x14ac:dyDescent="0.3">
      <c r="A760" t="s">
        <v>133</v>
      </c>
      <c r="B760" s="1">
        <v>45873</v>
      </c>
      <c r="C760" s="1">
        <v>45873</v>
      </c>
      <c r="D760">
        <v>911693</v>
      </c>
      <c r="E760">
        <v>62</v>
      </c>
      <c r="F760" s="3" t="s">
        <v>711</v>
      </c>
      <c r="G760" s="4">
        <v>430000</v>
      </c>
      <c r="H760" s="4">
        <v>0</v>
      </c>
      <c r="I760" s="4">
        <v>-1553412.09</v>
      </c>
    </row>
    <row r="761" spans="1:9" x14ac:dyDescent="0.3">
      <c r="A761" t="s">
        <v>133</v>
      </c>
      <c r="B761" s="1">
        <v>45873</v>
      </c>
      <c r="C761" s="1">
        <v>45873</v>
      </c>
      <c r="D761">
        <v>911696</v>
      </c>
      <c r="E761">
        <v>84</v>
      </c>
      <c r="F761" s="3" t="s">
        <v>712</v>
      </c>
      <c r="G761" s="4">
        <v>810000</v>
      </c>
      <c r="H761" s="4">
        <v>0</v>
      </c>
      <c r="I761" s="4">
        <v>-743412.09</v>
      </c>
    </row>
    <row r="762" spans="1:9" x14ac:dyDescent="0.3">
      <c r="A762" t="s">
        <v>133</v>
      </c>
      <c r="B762" s="1">
        <v>45873</v>
      </c>
      <c r="C762" s="1">
        <v>45873</v>
      </c>
      <c r="D762">
        <v>911698</v>
      </c>
      <c r="E762">
        <v>85</v>
      </c>
      <c r="F762" s="3" t="s">
        <v>713</v>
      </c>
      <c r="G762" s="4">
        <v>50000</v>
      </c>
      <c r="H762" s="4">
        <v>0</v>
      </c>
      <c r="I762" s="4">
        <v>-693412.09</v>
      </c>
    </row>
    <row r="763" spans="1:9" x14ac:dyDescent="0.3">
      <c r="A763" t="s">
        <v>133</v>
      </c>
      <c r="B763" s="1">
        <v>45873</v>
      </c>
      <c r="C763" s="1">
        <v>45873</v>
      </c>
      <c r="D763">
        <v>911700</v>
      </c>
      <c r="E763">
        <v>85</v>
      </c>
      <c r="F763" s="3" t="s">
        <v>714</v>
      </c>
      <c r="G763" s="4">
        <v>50000</v>
      </c>
      <c r="H763" s="4">
        <v>0</v>
      </c>
      <c r="I763" s="4">
        <v>-643412.09</v>
      </c>
    </row>
    <row r="764" spans="1:9" x14ac:dyDescent="0.3">
      <c r="A764" t="s">
        <v>133</v>
      </c>
      <c r="B764" s="1">
        <v>45873</v>
      </c>
      <c r="C764" s="1">
        <v>45873</v>
      </c>
      <c r="D764">
        <v>911707</v>
      </c>
      <c r="E764">
        <v>61</v>
      </c>
      <c r="F764" s="3" t="s">
        <v>715</v>
      </c>
      <c r="G764" s="4">
        <v>300020</v>
      </c>
      <c r="H764" s="4">
        <v>0</v>
      </c>
      <c r="I764" s="4">
        <v>-343392.09</v>
      </c>
    </row>
    <row r="765" spans="1:9" x14ac:dyDescent="0.3">
      <c r="A765" t="s">
        <v>133</v>
      </c>
      <c r="B765" s="1">
        <v>45873</v>
      </c>
      <c r="C765" s="1">
        <v>45873</v>
      </c>
      <c r="D765">
        <v>911708</v>
      </c>
      <c r="E765">
        <v>61</v>
      </c>
      <c r="F765" s="3" t="s">
        <v>607</v>
      </c>
      <c r="G765" s="4">
        <v>300020</v>
      </c>
      <c r="H765" s="4">
        <v>0</v>
      </c>
      <c r="I765" s="4">
        <v>-43372.09</v>
      </c>
    </row>
    <row r="766" spans="1:9" x14ac:dyDescent="0.3">
      <c r="A766" t="s">
        <v>133</v>
      </c>
      <c r="B766" s="1">
        <v>45873</v>
      </c>
      <c r="C766" s="1">
        <v>45873</v>
      </c>
      <c r="D766">
        <v>911712</v>
      </c>
      <c r="E766">
        <v>16</v>
      </c>
      <c r="F766" s="3" t="s">
        <v>716</v>
      </c>
      <c r="G766" s="4">
        <v>249900</v>
      </c>
      <c r="H766" s="4">
        <v>0</v>
      </c>
      <c r="I766" s="4">
        <v>206527.91</v>
      </c>
    </row>
    <row r="767" spans="1:9" x14ac:dyDescent="0.3">
      <c r="A767" t="s">
        <v>133</v>
      </c>
      <c r="B767" s="1">
        <v>45873</v>
      </c>
      <c r="C767" s="1">
        <v>45873</v>
      </c>
      <c r="D767">
        <v>911715</v>
      </c>
      <c r="E767">
        <v>310</v>
      </c>
      <c r="F767" s="3" t="s">
        <v>717</v>
      </c>
      <c r="G767" s="4">
        <v>600000</v>
      </c>
      <c r="H767" s="4">
        <v>0</v>
      </c>
      <c r="I767" s="4">
        <v>806527.91</v>
      </c>
    </row>
    <row r="768" spans="1:9" x14ac:dyDescent="0.3">
      <c r="A768" t="s">
        <v>133</v>
      </c>
      <c r="B768" s="1">
        <v>45873</v>
      </c>
      <c r="C768" s="1">
        <v>45873</v>
      </c>
      <c r="D768">
        <v>911717</v>
      </c>
      <c r="E768">
        <v>77</v>
      </c>
      <c r="F768" s="3" t="s">
        <v>718</v>
      </c>
      <c r="G768" s="4">
        <v>1020000</v>
      </c>
      <c r="H768" s="4">
        <v>0</v>
      </c>
      <c r="I768" s="4">
        <v>1826527.91</v>
      </c>
    </row>
    <row r="769" spans="1:9" x14ac:dyDescent="0.3">
      <c r="A769" t="s">
        <v>133</v>
      </c>
      <c r="B769" s="1">
        <v>45873</v>
      </c>
      <c r="C769" s="1">
        <v>45873</v>
      </c>
      <c r="D769">
        <v>911719</v>
      </c>
      <c r="E769">
        <v>98</v>
      </c>
      <c r="F769" s="3" t="s">
        <v>719</v>
      </c>
      <c r="G769" s="4">
        <v>650000</v>
      </c>
      <c r="H769" s="4">
        <v>0</v>
      </c>
      <c r="I769" s="4">
        <v>2476527.91</v>
      </c>
    </row>
    <row r="770" spans="1:9" x14ac:dyDescent="0.3">
      <c r="A770" t="s">
        <v>133</v>
      </c>
      <c r="B770" s="1">
        <v>45873</v>
      </c>
      <c r="C770" s="1">
        <v>45873</v>
      </c>
      <c r="D770">
        <v>911722</v>
      </c>
      <c r="E770">
        <v>77</v>
      </c>
      <c r="F770" s="3" t="s">
        <v>720</v>
      </c>
      <c r="G770" s="4">
        <v>949031.25</v>
      </c>
      <c r="H770" s="4">
        <v>0</v>
      </c>
      <c r="I770" s="4">
        <v>3425559.16</v>
      </c>
    </row>
    <row r="771" spans="1:9" x14ac:dyDescent="0.3">
      <c r="A771" t="s">
        <v>133</v>
      </c>
      <c r="B771" s="1">
        <v>45873</v>
      </c>
      <c r="C771" s="1">
        <v>45873</v>
      </c>
      <c r="D771">
        <v>911723</v>
      </c>
      <c r="E771">
        <v>15</v>
      </c>
      <c r="F771" s="3" t="s">
        <v>721</v>
      </c>
      <c r="G771" s="4">
        <v>10000</v>
      </c>
      <c r="H771" s="4">
        <v>0</v>
      </c>
      <c r="I771" s="4">
        <v>3435559.16</v>
      </c>
    </row>
    <row r="772" spans="1:9" x14ac:dyDescent="0.3">
      <c r="A772" t="s">
        <v>133</v>
      </c>
      <c r="B772" s="1">
        <v>45873</v>
      </c>
      <c r="C772" s="1">
        <v>45873</v>
      </c>
      <c r="D772">
        <v>911724</v>
      </c>
      <c r="E772">
        <v>15</v>
      </c>
      <c r="F772" s="3" t="s">
        <v>722</v>
      </c>
      <c r="G772" s="4">
        <v>10000</v>
      </c>
      <c r="H772" s="4">
        <v>0</v>
      </c>
      <c r="I772" s="4">
        <v>3445559.16</v>
      </c>
    </row>
    <row r="773" spans="1:9" x14ac:dyDescent="0.3">
      <c r="A773" t="s">
        <v>133</v>
      </c>
      <c r="B773" s="1">
        <v>45873</v>
      </c>
      <c r="C773" s="1">
        <v>45873</v>
      </c>
      <c r="D773">
        <v>911725</v>
      </c>
      <c r="E773">
        <v>15</v>
      </c>
      <c r="F773" s="3" t="s">
        <v>723</v>
      </c>
      <c r="G773" s="4">
        <v>10000</v>
      </c>
      <c r="H773" s="4">
        <v>0</v>
      </c>
      <c r="I773" s="4">
        <v>3455559.16</v>
      </c>
    </row>
    <row r="774" spans="1:9" x14ac:dyDescent="0.3">
      <c r="A774" t="s">
        <v>133</v>
      </c>
      <c r="B774" s="1">
        <v>45873</v>
      </c>
      <c r="C774" s="1">
        <v>45873</v>
      </c>
      <c r="D774">
        <v>911727</v>
      </c>
      <c r="E774">
        <v>89</v>
      </c>
      <c r="F774" s="3" t="s">
        <v>724</v>
      </c>
      <c r="G774" s="4">
        <v>198393.25</v>
      </c>
      <c r="H774" s="4">
        <v>0</v>
      </c>
      <c r="I774" s="4">
        <v>3653952.41</v>
      </c>
    </row>
    <row r="775" spans="1:9" x14ac:dyDescent="0.3">
      <c r="A775" t="s">
        <v>133</v>
      </c>
      <c r="B775" s="1">
        <v>45873</v>
      </c>
      <c r="C775" s="1">
        <v>45873</v>
      </c>
      <c r="D775">
        <v>911729</v>
      </c>
      <c r="E775">
        <v>79</v>
      </c>
      <c r="F775" s="3">
        <v>102014022302</v>
      </c>
      <c r="G775" s="4">
        <v>850000</v>
      </c>
      <c r="H775" s="4">
        <v>0</v>
      </c>
      <c r="I775" s="4">
        <v>4503952.41</v>
      </c>
    </row>
    <row r="776" spans="1:9" x14ac:dyDescent="0.3">
      <c r="A776" t="s">
        <v>133</v>
      </c>
      <c r="B776" s="1">
        <v>45873</v>
      </c>
      <c r="C776" s="1">
        <v>45873</v>
      </c>
      <c r="D776">
        <v>911734</v>
      </c>
      <c r="E776">
        <v>210</v>
      </c>
      <c r="F776" s="3" t="s">
        <v>255</v>
      </c>
      <c r="G776" s="4">
        <v>570110</v>
      </c>
      <c r="H776" s="4">
        <v>0</v>
      </c>
      <c r="I776" s="4">
        <v>5074062.41</v>
      </c>
    </row>
    <row r="777" spans="1:9" x14ac:dyDescent="0.3">
      <c r="A777" t="s">
        <v>133</v>
      </c>
      <c r="B777" s="1">
        <v>45873</v>
      </c>
      <c r="C777" s="1">
        <v>45873</v>
      </c>
      <c r="D777">
        <v>911738</v>
      </c>
      <c r="E777">
        <v>43</v>
      </c>
      <c r="F777" s="3" t="s">
        <v>725</v>
      </c>
      <c r="G777" s="4">
        <v>17697.25</v>
      </c>
      <c r="H777" s="4">
        <v>0</v>
      </c>
      <c r="I777" s="4">
        <v>5091759.66</v>
      </c>
    </row>
    <row r="778" spans="1:9" x14ac:dyDescent="0.3">
      <c r="A778" t="s">
        <v>1</v>
      </c>
      <c r="B778" s="1">
        <v>45874</v>
      </c>
      <c r="C778" s="1">
        <v>45874</v>
      </c>
      <c r="D778">
        <v>101561</v>
      </c>
      <c r="E778">
        <v>100</v>
      </c>
      <c r="F778" s="3" t="s">
        <v>726</v>
      </c>
      <c r="G778" s="4">
        <v>103247.56</v>
      </c>
      <c r="I778" s="4">
        <v>5195007.22</v>
      </c>
    </row>
    <row r="779" spans="1:9" x14ac:dyDescent="0.3">
      <c r="A779" t="s">
        <v>1</v>
      </c>
      <c r="B779" s="1">
        <v>45873</v>
      </c>
      <c r="C779" s="1">
        <v>45874</v>
      </c>
      <c r="D779">
        <v>101655</v>
      </c>
      <c r="E779">
        <v>100</v>
      </c>
      <c r="F779" s="3" t="s">
        <v>727</v>
      </c>
      <c r="G779" s="4">
        <v>34227</v>
      </c>
      <c r="I779" s="4">
        <v>5229234.22</v>
      </c>
    </row>
    <row r="780" spans="1:9" x14ac:dyDescent="0.3">
      <c r="A780" t="s">
        <v>1</v>
      </c>
      <c r="B780" s="1">
        <v>45873</v>
      </c>
      <c r="C780" s="1">
        <v>45874</v>
      </c>
      <c r="D780">
        <v>101702</v>
      </c>
      <c r="E780">
        <v>100</v>
      </c>
      <c r="F780" s="3" t="s">
        <v>728</v>
      </c>
      <c r="G780" s="4">
        <v>49942</v>
      </c>
      <c r="I780" s="4">
        <v>5279176.22</v>
      </c>
    </row>
    <row r="781" spans="1:9" x14ac:dyDescent="0.3">
      <c r="A781" t="s">
        <v>1</v>
      </c>
      <c r="B781" s="1">
        <v>45873</v>
      </c>
      <c r="C781" s="1">
        <v>45874</v>
      </c>
      <c r="D781">
        <v>101709</v>
      </c>
      <c r="E781">
        <v>100</v>
      </c>
      <c r="F781" s="3" t="s">
        <v>729</v>
      </c>
      <c r="G781" s="4">
        <v>21907.5</v>
      </c>
      <c r="I781" s="4">
        <v>5301083.72</v>
      </c>
    </row>
    <row r="782" spans="1:9" x14ac:dyDescent="0.3">
      <c r="A782" t="s">
        <v>1</v>
      </c>
      <c r="B782" s="1">
        <v>45873</v>
      </c>
      <c r="C782" s="1">
        <v>45874</v>
      </c>
      <c r="D782">
        <v>101710</v>
      </c>
      <c r="E782">
        <v>100</v>
      </c>
      <c r="F782" s="3" t="s">
        <v>730</v>
      </c>
      <c r="G782" s="4">
        <v>65000</v>
      </c>
      <c r="I782" s="4">
        <v>5366083.72</v>
      </c>
    </row>
    <row r="783" spans="1:9" x14ac:dyDescent="0.3">
      <c r="A783" t="s">
        <v>1</v>
      </c>
      <c r="B783" s="1">
        <v>45873</v>
      </c>
      <c r="C783" s="1">
        <v>45874</v>
      </c>
      <c r="D783">
        <v>101715</v>
      </c>
      <c r="E783">
        <v>100</v>
      </c>
      <c r="F783" s="3" t="s">
        <v>731</v>
      </c>
      <c r="G783" s="4">
        <v>73170</v>
      </c>
      <c r="I783" s="4">
        <v>5439253.7199999997</v>
      </c>
    </row>
    <row r="784" spans="1:9" x14ac:dyDescent="0.3">
      <c r="A784" t="s">
        <v>1</v>
      </c>
      <c r="B784" s="1">
        <v>45871</v>
      </c>
      <c r="C784" s="1">
        <v>45874</v>
      </c>
      <c r="D784">
        <v>101743</v>
      </c>
      <c r="E784">
        <v>100</v>
      </c>
      <c r="F784" s="3" t="s">
        <v>324</v>
      </c>
      <c r="G784" s="4">
        <v>76238.899999999994</v>
      </c>
      <c r="I784" s="4">
        <v>5515492.6200000001</v>
      </c>
    </row>
    <row r="785" spans="1:9" x14ac:dyDescent="0.3">
      <c r="A785" t="s">
        <v>1</v>
      </c>
      <c r="B785" s="1">
        <v>45873</v>
      </c>
      <c r="C785" s="1">
        <v>45874</v>
      </c>
      <c r="D785">
        <v>101759</v>
      </c>
      <c r="E785">
        <v>100</v>
      </c>
      <c r="F785" s="3" t="s">
        <v>732</v>
      </c>
      <c r="G785" s="4">
        <v>16718.900000000001</v>
      </c>
      <c r="I785" s="4">
        <v>5532211.5199999996</v>
      </c>
    </row>
    <row r="786" spans="1:9" x14ac:dyDescent="0.3">
      <c r="A786" t="s">
        <v>1</v>
      </c>
      <c r="B786" s="1">
        <v>45873</v>
      </c>
      <c r="C786" s="1">
        <v>45874</v>
      </c>
      <c r="D786">
        <v>101760</v>
      </c>
      <c r="E786">
        <v>100</v>
      </c>
      <c r="F786" s="3" t="s">
        <v>733</v>
      </c>
      <c r="G786" s="4">
        <v>13276.25</v>
      </c>
      <c r="I786" s="4">
        <v>5545487.7699999996</v>
      </c>
    </row>
    <row r="787" spans="1:9" x14ac:dyDescent="0.3">
      <c r="A787" t="s">
        <v>1</v>
      </c>
      <c r="B787" s="1">
        <v>45873</v>
      </c>
      <c r="C787" s="1">
        <v>45874</v>
      </c>
      <c r="D787">
        <v>101761</v>
      </c>
      <c r="E787">
        <v>100</v>
      </c>
      <c r="F787" s="3" t="s">
        <v>732</v>
      </c>
      <c r="G787" s="4">
        <v>23478.5</v>
      </c>
      <c r="I787" s="4">
        <v>5568966.2699999996</v>
      </c>
    </row>
    <row r="788" spans="1:9" x14ac:dyDescent="0.3">
      <c r="A788" t="s">
        <v>1</v>
      </c>
      <c r="B788" s="1">
        <v>45873</v>
      </c>
      <c r="C788" s="1">
        <v>45874</v>
      </c>
      <c r="D788">
        <v>101762</v>
      </c>
      <c r="E788">
        <v>100</v>
      </c>
      <c r="F788" s="3" t="s">
        <v>732</v>
      </c>
      <c r="G788" s="4">
        <v>368184.55</v>
      </c>
      <c r="I788" s="4">
        <v>5937150.8200000003</v>
      </c>
    </row>
    <row r="789" spans="1:9" x14ac:dyDescent="0.3">
      <c r="A789" t="s">
        <v>1</v>
      </c>
      <c r="B789" s="1">
        <v>45873</v>
      </c>
      <c r="C789" s="1">
        <v>45874</v>
      </c>
      <c r="D789">
        <v>101765</v>
      </c>
      <c r="E789">
        <v>100</v>
      </c>
      <c r="F789" s="3" t="s">
        <v>734</v>
      </c>
      <c r="G789" s="4">
        <v>10000</v>
      </c>
      <c r="I789" s="4">
        <v>5947150.8200000003</v>
      </c>
    </row>
    <row r="790" spans="1:9" x14ac:dyDescent="0.3">
      <c r="A790" t="s">
        <v>1</v>
      </c>
      <c r="B790" s="1">
        <v>45873</v>
      </c>
      <c r="C790" s="1">
        <v>45874</v>
      </c>
      <c r="D790">
        <v>101767</v>
      </c>
      <c r="E790">
        <v>100</v>
      </c>
      <c r="F790" s="3" t="s">
        <v>735</v>
      </c>
      <c r="G790" s="4">
        <v>16621</v>
      </c>
      <c r="I790" s="4">
        <v>5963771.8200000003</v>
      </c>
    </row>
    <row r="791" spans="1:9" x14ac:dyDescent="0.3">
      <c r="A791" t="s">
        <v>1</v>
      </c>
      <c r="B791" s="1">
        <v>45872</v>
      </c>
      <c r="C791" s="1">
        <v>45874</v>
      </c>
      <c r="D791">
        <v>101768</v>
      </c>
      <c r="E791">
        <v>100</v>
      </c>
      <c r="F791" s="3" t="s">
        <v>736</v>
      </c>
      <c r="G791" s="4">
        <v>33007</v>
      </c>
      <c r="I791" s="4">
        <v>5996778.8200000003</v>
      </c>
    </row>
    <row r="792" spans="1:9" x14ac:dyDescent="0.3">
      <c r="A792" t="s">
        <v>1</v>
      </c>
      <c r="B792" s="1">
        <v>45873</v>
      </c>
      <c r="C792" s="1">
        <v>45874</v>
      </c>
      <c r="D792">
        <v>101769</v>
      </c>
      <c r="E792">
        <v>100</v>
      </c>
      <c r="F792" s="3" t="s">
        <v>737</v>
      </c>
      <c r="G792" s="4">
        <v>30145</v>
      </c>
      <c r="I792" s="4">
        <v>6026923.8200000003</v>
      </c>
    </row>
    <row r="793" spans="1:9" x14ac:dyDescent="0.3">
      <c r="A793" t="s">
        <v>1</v>
      </c>
      <c r="B793" s="1">
        <v>45873</v>
      </c>
      <c r="C793" s="1">
        <v>45874</v>
      </c>
      <c r="D793">
        <v>101771</v>
      </c>
      <c r="E793">
        <v>100</v>
      </c>
      <c r="F793" s="3" t="s">
        <v>738</v>
      </c>
      <c r="G793" s="4">
        <v>10006.299999999999</v>
      </c>
      <c r="I793" s="4">
        <v>6036930.1200000001</v>
      </c>
    </row>
    <row r="794" spans="1:9" x14ac:dyDescent="0.3">
      <c r="A794" t="s">
        <v>1</v>
      </c>
      <c r="B794" s="1">
        <v>45873</v>
      </c>
      <c r="C794" s="1">
        <v>45874</v>
      </c>
      <c r="D794">
        <v>101772</v>
      </c>
      <c r="E794">
        <v>100</v>
      </c>
      <c r="F794" s="3" t="s">
        <v>739</v>
      </c>
      <c r="G794" s="4">
        <v>151937</v>
      </c>
      <c r="I794" s="4">
        <v>6188867.1200000001</v>
      </c>
    </row>
    <row r="795" spans="1:9" x14ac:dyDescent="0.3">
      <c r="A795" t="s">
        <v>1</v>
      </c>
      <c r="B795" s="1">
        <v>45873</v>
      </c>
      <c r="C795" s="1">
        <v>45874</v>
      </c>
      <c r="D795">
        <v>101774</v>
      </c>
      <c r="E795">
        <v>100</v>
      </c>
      <c r="F795" s="3" t="s">
        <v>740</v>
      </c>
      <c r="G795" s="4">
        <v>40737.800000000003</v>
      </c>
      <c r="I795" s="4">
        <v>6229604.9199999999</v>
      </c>
    </row>
    <row r="796" spans="1:9" x14ac:dyDescent="0.3">
      <c r="A796" t="s">
        <v>1</v>
      </c>
      <c r="B796" s="1">
        <v>45868</v>
      </c>
      <c r="C796" s="1">
        <v>45874</v>
      </c>
      <c r="D796">
        <v>101776</v>
      </c>
      <c r="E796">
        <v>100</v>
      </c>
      <c r="F796" s="3" t="s">
        <v>741</v>
      </c>
      <c r="G796" s="4">
        <v>9000</v>
      </c>
      <c r="I796" s="4">
        <v>6238604.9199999999</v>
      </c>
    </row>
    <row r="797" spans="1:9" x14ac:dyDescent="0.3">
      <c r="A797" t="s">
        <v>1</v>
      </c>
      <c r="B797" s="1">
        <v>45873</v>
      </c>
      <c r="C797" s="1">
        <v>45874</v>
      </c>
      <c r="D797">
        <v>101777</v>
      </c>
      <c r="E797">
        <v>100</v>
      </c>
      <c r="F797" s="3" t="s">
        <v>742</v>
      </c>
      <c r="G797" s="4">
        <v>28175</v>
      </c>
      <c r="I797" s="4">
        <v>6266779.9199999999</v>
      </c>
    </row>
    <row r="798" spans="1:9" x14ac:dyDescent="0.3">
      <c r="A798" t="s">
        <v>1</v>
      </c>
      <c r="B798" s="1">
        <v>45873</v>
      </c>
      <c r="C798" s="1">
        <v>45874</v>
      </c>
      <c r="D798">
        <v>101784</v>
      </c>
      <c r="E798">
        <v>100</v>
      </c>
      <c r="F798" s="3" t="s">
        <v>743</v>
      </c>
      <c r="G798" s="4">
        <v>91000</v>
      </c>
      <c r="I798" s="4">
        <v>6357779.9199999999</v>
      </c>
    </row>
    <row r="799" spans="1:9" x14ac:dyDescent="0.3">
      <c r="A799" t="s">
        <v>1</v>
      </c>
      <c r="B799" s="1">
        <v>45873</v>
      </c>
      <c r="C799" s="1">
        <v>45874</v>
      </c>
      <c r="D799">
        <v>101788</v>
      </c>
      <c r="E799">
        <v>100</v>
      </c>
      <c r="F799" s="3" t="s">
        <v>744</v>
      </c>
      <c r="G799" s="4">
        <v>40779</v>
      </c>
      <c r="I799" s="4">
        <v>6398558.9199999999</v>
      </c>
    </row>
    <row r="800" spans="1:9" x14ac:dyDescent="0.3">
      <c r="A800" t="s">
        <v>1</v>
      </c>
      <c r="B800" s="1">
        <v>45873</v>
      </c>
      <c r="C800" s="1">
        <v>45874</v>
      </c>
      <c r="D800">
        <v>101793</v>
      </c>
      <c r="E800">
        <v>100</v>
      </c>
      <c r="F800" s="3" t="s">
        <v>745</v>
      </c>
      <c r="G800" s="4">
        <v>16000</v>
      </c>
      <c r="I800" s="4">
        <v>6414558.9199999999</v>
      </c>
    </row>
    <row r="801" spans="1:9" x14ac:dyDescent="0.3">
      <c r="A801" t="s">
        <v>1</v>
      </c>
      <c r="B801" s="1">
        <v>45873</v>
      </c>
      <c r="C801" s="1">
        <v>45874</v>
      </c>
      <c r="D801">
        <v>101795</v>
      </c>
      <c r="E801">
        <v>100</v>
      </c>
      <c r="F801" s="3" t="s">
        <v>746</v>
      </c>
      <c r="G801" s="4">
        <v>8200</v>
      </c>
      <c r="I801" s="4">
        <v>6422758.9199999999</v>
      </c>
    </row>
    <row r="802" spans="1:9" x14ac:dyDescent="0.3">
      <c r="A802" t="s">
        <v>1</v>
      </c>
      <c r="B802" s="1">
        <v>45873</v>
      </c>
      <c r="C802" s="1">
        <v>45874</v>
      </c>
      <c r="D802">
        <v>101797</v>
      </c>
      <c r="E802">
        <v>100</v>
      </c>
      <c r="F802" s="3" t="s">
        <v>747</v>
      </c>
      <c r="G802" s="4">
        <v>10335.6</v>
      </c>
      <c r="I802" s="4">
        <v>6433094.5199999996</v>
      </c>
    </row>
    <row r="803" spans="1:9" x14ac:dyDescent="0.3">
      <c r="A803" t="s">
        <v>1</v>
      </c>
      <c r="B803" s="1">
        <v>45871</v>
      </c>
      <c r="C803" s="1">
        <v>45874</v>
      </c>
      <c r="D803">
        <v>101798</v>
      </c>
      <c r="E803">
        <v>100</v>
      </c>
      <c r="F803" s="3" t="s">
        <v>748</v>
      </c>
      <c r="G803" s="4">
        <v>141673.38</v>
      </c>
      <c r="I803" s="4">
        <v>6574767.9000000004</v>
      </c>
    </row>
    <row r="804" spans="1:9" x14ac:dyDescent="0.3">
      <c r="A804" t="s">
        <v>1</v>
      </c>
      <c r="B804" s="1">
        <v>45873</v>
      </c>
      <c r="C804" s="1">
        <v>45874</v>
      </c>
      <c r="D804">
        <v>101804</v>
      </c>
      <c r="E804">
        <v>100</v>
      </c>
      <c r="F804" s="3" t="s">
        <v>749</v>
      </c>
      <c r="G804" s="4">
        <v>1500</v>
      </c>
      <c r="I804" s="4">
        <v>6576267.9000000004</v>
      </c>
    </row>
    <row r="805" spans="1:9" x14ac:dyDescent="0.3">
      <c r="A805" t="s">
        <v>1</v>
      </c>
      <c r="B805" s="1">
        <v>45873</v>
      </c>
      <c r="C805" s="1">
        <v>45874</v>
      </c>
      <c r="D805">
        <v>101809</v>
      </c>
      <c r="E805">
        <v>100</v>
      </c>
      <c r="F805" s="3" t="s">
        <v>750</v>
      </c>
      <c r="G805" s="4">
        <v>16000</v>
      </c>
      <c r="I805" s="4">
        <v>6592267.9000000004</v>
      </c>
    </row>
    <row r="806" spans="1:9" x14ac:dyDescent="0.3">
      <c r="A806" t="s">
        <v>1</v>
      </c>
      <c r="B806" s="1">
        <v>45870</v>
      </c>
      <c r="C806" s="1">
        <v>45874</v>
      </c>
      <c r="D806">
        <v>101812</v>
      </c>
      <c r="E806">
        <v>100</v>
      </c>
      <c r="F806" s="3" t="s">
        <v>751</v>
      </c>
      <c r="G806" s="4">
        <v>12242</v>
      </c>
      <c r="I806" s="4">
        <v>6604509.9000000004</v>
      </c>
    </row>
    <row r="807" spans="1:9" x14ac:dyDescent="0.3">
      <c r="A807" t="s">
        <v>1</v>
      </c>
      <c r="B807" s="1">
        <v>45873</v>
      </c>
      <c r="C807" s="1">
        <v>45874</v>
      </c>
      <c r="D807">
        <v>101816</v>
      </c>
      <c r="E807">
        <v>100</v>
      </c>
      <c r="F807" s="3" t="s">
        <v>752</v>
      </c>
      <c r="G807" s="4">
        <v>2000</v>
      </c>
      <c r="I807" s="4">
        <v>6606509.9000000004</v>
      </c>
    </row>
    <row r="808" spans="1:9" x14ac:dyDescent="0.3">
      <c r="A808" t="s">
        <v>1</v>
      </c>
      <c r="B808" s="1">
        <v>45873</v>
      </c>
      <c r="C808" s="1">
        <v>45874</v>
      </c>
      <c r="D808">
        <v>101818</v>
      </c>
      <c r="E808">
        <v>100</v>
      </c>
      <c r="F808" s="3" t="s">
        <v>324</v>
      </c>
      <c r="G808" s="4">
        <v>17350.400000000001</v>
      </c>
      <c r="I808" s="4">
        <v>6623860.2999999998</v>
      </c>
    </row>
    <row r="809" spans="1:9" x14ac:dyDescent="0.3">
      <c r="A809" t="s">
        <v>1</v>
      </c>
      <c r="B809" s="1">
        <v>45873</v>
      </c>
      <c r="C809" s="1">
        <v>45874</v>
      </c>
      <c r="D809">
        <v>101819</v>
      </c>
      <c r="E809">
        <v>100</v>
      </c>
      <c r="F809" s="3" t="s">
        <v>753</v>
      </c>
      <c r="G809" s="4">
        <v>18136</v>
      </c>
      <c r="I809" s="4">
        <v>6641996.2999999998</v>
      </c>
    </row>
    <row r="810" spans="1:9" x14ac:dyDescent="0.3">
      <c r="A810" t="s">
        <v>1</v>
      </c>
      <c r="B810" s="1">
        <v>45873</v>
      </c>
      <c r="C810" s="1">
        <v>45874</v>
      </c>
      <c r="D810">
        <v>101821</v>
      </c>
      <c r="E810">
        <v>100</v>
      </c>
      <c r="F810" s="3" t="s">
        <v>754</v>
      </c>
      <c r="G810" s="4">
        <v>4200</v>
      </c>
      <c r="I810" s="4">
        <v>6646196.2999999998</v>
      </c>
    </row>
    <row r="811" spans="1:9" x14ac:dyDescent="0.3">
      <c r="A811" t="s">
        <v>1</v>
      </c>
      <c r="B811" s="1">
        <v>45873</v>
      </c>
      <c r="C811" s="1">
        <v>45874</v>
      </c>
      <c r="D811">
        <v>101828</v>
      </c>
      <c r="E811">
        <v>100</v>
      </c>
      <c r="F811" s="3" t="s">
        <v>755</v>
      </c>
      <c r="G811" s="4">
        <v>43804</v>
      </c>
      <c r="I811" s="4">
        <v>6690000.2999999998</v>
      </c>
    </row>
    <row r="812" spans="1:9" x14ac:dyDescent="0.3">
      <c r="A812" t="s">
        <v>1</v>
      </c>
      <c r="B812" s="1">
        <v>45874</v>
      </c>
      <c r="C812" s="1">
        <v>45874</v>
      </c>
      <c r="D812">
        <v>101831</v>
      </c>
      <c r="E812">
        <v>100</v>
      </c>
      <c r="F812" s="3" t="s">
        <v>756</v>
      </c>
      <c r="G812" s="4">
        <v>20000</v>
      </c>
      <c r="I812" s="4">
        <v>6710000.2999999998</v>
      </c>
    </row>
    <row r="813" spans="1:9" x14ac:dyDescent="0.3">
      <c r="A813" t="s">
        <v>1</v>
      </c>
      <c r="B813" s="1">
        <v>45873</v>
      </c>
      <c r="C813" s="1">
        <v>45874</v>
      </c>
      <c r="D813">
        <v>101833</v>
      </c>
      <c r="E813">
        <v>100</v>
      </c>
      <c r="F813" s="3" t="s">
        <v>757</v>
      </c>
      <c r="G813" s="4">
        <v>40442</v>
      </c>
      <c r="I813" s="4">
        <v>6750442.2999999998</v>
      </c>
    </row>
    <row r="814" spans="1:9" x14ac:dyDescent="0.3">
      <c r="A814" t="s">
        <v>1</v>
      </c>
      <c r="B814" s="1">
        <v>45873</v>
      </c>
      <c r="C814" s="1">
        <v>45874</v>
      </c>
      <c r="D814">
        <v>101834</v>
      </c>
      <c r="E814">
        <v>100</v>
      </c>
      <c r="F814" s="3" t="s">
        <v>758</v>
      </c>
      <c r="G814" s="4">
        <v>14051.25</v>
      </c>
      <c r="I814" s="4">
        <v>6764493.5499999998</v>
      </c>
    </row>
    <row r="815" spans="1:9" x14ac:dyDescent="0.3">
      <c r="A815" t="s">
        <v>1</v>
      </c>
      <c r="B815" s="1">
        <v>45873</v>
      </c>
      <c r="C815" s="1">
        <v>45874</v>
      </c>
      <c r="D815">
        <v>101835</v>
      </c>
      <c r="E815">
        <v>100</v>
      </c>
      <c r="F815" s="3" t="s">
        <v>759</v>
      </c>
      <c r="G815" s="4">
        <v>41150.800000000003</v>
      </c>
      <c r="I815" s="4">
        <v>6805644.3499999996</v>
      </c>
    </row>
    <row r="816" spans="1:9" x14ac:dyDescent="0.3">
      <c r="A816" t="s">
        <v>1</v>
      </c>
      <c r="B816" s="1">
        <v>45874</v>
      </c>
      <c r="C816" s="1">
        <v>45874</v>
      </c>
      <c r="D816">
        <v>101838</v>
      </c>
      <c r="E816">
        <v>100</v>
      </c>
      <c r="F816" s="3" t="s">
        <v>760</v>
      </c>
      <c r="G816" s="4">
        <v>92107.75</v>
      </c>
      <c r="I816" s="4">
        <v>6897752.0999999996</v>
      </c>
    </row>
    <row r="817" spans="1:9" x14ac:dyDescent="0.3">
      <c r="A817" t="s">
        <v>1</v>
      </c>
      <c r="B817" s="1">
        <v>45872</v>
      </c>
      <c r="C817" s="1">
        <v>45874</v>
      </c>
      <c r="D817">
        <v>101839</v>
      </c>
      <c r="E817">
        <v>100</v>
      </c>
      <c r="F817" s="3" t="s">
        <v>761</v>
      </c>
      <c r="G817" s="4">
        <v>5626.25</v>
      </c>
      <c r="I817" s="4">
        <v>6903378.3499999996</v>
      </c>
    </row>
    <row r="818" spans="1:9" x14ac:dyDescent="0.3">
      <c r="A818" t="s">
        <v>1</v>
      </c>
      <c r="B818" s="1">
        <v>45873</v>
      </c>
      <c r="C818" s="1">
        <v>45874</v>
      </c>
      <c r="D818">
        <v>101841</v>
      </c>
      <c r="E818">
        <v>100</v>
      </c>
      <c r="F818" s="3" t="s">
        <v>762</v>
      </c>
      <c r="G818" s="4">
        <v>11556</v>
      </c>
      <c r="I818" s="4">
        <v>6914934.3499999996</v>
      </c>
    </row>
    <row r="819" spans="1:9" x14ac:dyDescent="0.3">
      <c r="A819" t="s">
        <v>1</v>
      </c>
      <c r="B819" s="1">
        <v>45866</v>
      </c>
      <c r="C819" s="1">
        <v>45874</v>
      </c>
      <c r="D819">
        <v>101848</v>
      </c>
      <c r="E819">
        <v>100</v>
      </c>
      <c r="F819" s="3" t="s">
        <v>763</v>
      </c>
      <c r="G819" s="4">
        <v>40726.5</v>
      </c>
      <c r="I819" s="4">
        <v>6955660.8499999996</v>
      </c>
    </row>
    <row r="820" spans="1:9" x14ac:dyDescent="0.3">
      <c r="A820" t="s">
        <v>1</v>
      </c>
      <c r="B820" s="1">
        <v>45873</v>
      </c>
      <c r="C820" s="1">
        <v>45874</v>
      </c>
      <c r="D820">
        <v>101851</v>
      </c>
      <c r="E820">
        <v>100</v>
      </c>
      <c r="F820" s="3" t="s">
        <v>764</v>
      </c>
      <c r="G820" s="4">
        <v>32155</v>
      </c>
      <c r="I820" s="4">
        <v>6987815.8499999996</v>
      </c>
    </row>
    <row r="821" spans="1:9" x14ac:dyDescent="0.3">
      <c r="A821" t="s">
        <v>1</v>
      </c>
      <c r="B821" s="1">
        <v>45873</v>
      </c>
      <c r="C821" s="1">
        <v>45874</v>
      </c>
      <c r="D821">
        <v>101853</v>
      </c>
      <c r="E821">
        <v>100</v>
      </c>
      <c r="F821" s="3" t="s">
        <v>765</v>
      </c>
      <c r="G821" s="4">
        <v>10746.25</v>
      </c>
      <c r="I821" s="4">
        <v>6998562.0999999996</v>
      </c>
    </row>
    <row r="822" spans="1:9" x14ac:dyDescent="0.3">
      <c r="A822" t="s">
        <v>1</v>
      </c>
      <c r="B822" s="1">
        <v>45874</v>
      </c>
      <c r="C822" s="1">
        <v>45874</v>
      </c>
      <c r="D822">
        <v>101855</v>
      </c>
      <c r="E822">
        <v>100</v>
      </c>
      <c r="F822" s="3" t="s">
        <v>58</v>
      </c>
      <c r="G822" s="4">
        <v>33769.620000000003</v>
      </c>
      <c r="I822" s="4">
        <v>7032331.7199999997</v>
      </c>
    </row>
    <row r="823" spans="1:9" x14ac:dyDescent="0.3">
      <c r="A823" t="s">
        <v>1</v>
      </c>
      <c r="B823" s="1">
        <v>45873</v>
      </c>
      <c r="C823" s="1">
        <v>45874</v>
      </c>
      <c r="D823">
        <v>101862</v>
      </c>
      <c r="E823">
        <v>100</v>
      </c>
      <c r="F823" s="3" t="s">
        <v>766</v>
      </c>
      <c r="G823" s="4">
        <v>46000</v>
      </c>
      <c r="I823" s="4">
        <v>7078331.7199999997</v>
      </c>
    </row>
    <row r="824" spans="1:9" x14ac:dyDescent="0.3">
      <c r="A824" t="s">
        <v>1</v>
      </c>
      <c r="B824" s="1">
        <v>45868</v>
      </c>
      <c r="C824" s="1">
        <v>45874</v>
      </c>
      <c r="D824">
        <v>101863</v>
      </c>
      <c r="E824">
        <v>100</v>
      </c>
      <c r="F824" s="3" t="s">
        <v>767</v>
      </c>
      <c r="G824" s="4">
        <v>4000</v>
      </c>
      <c r="I824" s="4">
        <v>7082331.7199999997</v>
      </c>
    </row>
    <row r="825" spans="1:9" x14ac:dyDescent="0.3">
      <c r="A825" t="s">
        <v>1</v>
      </c>
      <c r="B825" s="1">
        <v>45868</v>
      </c>
      <c r="C825" s="1">
        <v>45874</v>
      </c>
      <c r="D825">
        <v>101865</v>
      </c>
      <c r="E825">
        <v>100</v>
      </c>
      <c r="F825" s="3" t="s">
        <v>768</v>
      </c>
      <c r="G825" s="4">
        <v>12210</v>
      </c>
      <c r="I825" s="4">
        <v>7094541.7199999997</v>
      </c>
    </row>
    <row r="826" spans="1:9" x14ac:dyDescent="0.3">
      <c r="A826" t="s">
        <v>1</v>
      </c>
      <c r="B826" s="1">
        <v>45873</v>
      </c>
      <c r="C826" s="1">
        <v>45874</v>
      </c>
      <c r="D826">
        <v>101867</v>
      </c>
      <c r="E826">
        <v>100</v>
      </c>
      <c r="F826" s="3" t="s">
        <v>769</v>
      </c>
      <c r="G826" s="4">
        <v>9026.25</v>
      </c>
      <c r="I826" s="4">
        <v>7103567.9699999997</v>
      </c>
    </row>
    <row r="827" spans="1:9" x14ac:dyDescent="0.3">
      <c r="A827" t="s">
        <v>1</v>
      </c>
      <c r="B827" s="1">
        <v>45873</v>
      </c>
      <c r="C827" s="1">
        <v>45874</v>
      </c>
      <c r="D827">
        <v>101869</v>
      </c>
      <c r="E827">
        <v>100</v>
      </c>
      <c r="F827" s="3" t="s">
        <v>770</v>
      </c>
      <c r="G827" s="4">
        <v>11736.25</v>
      </c>
      <c r="I827" s="4">
        <v>7115304.2199999997</v>
      </c>
    </row>
    <row r="828" spans="1:9" x14ac:dyDescent="0.3">
      <c r="A828" t="s">
        <v>1</v>
      </c>
      <c r="B828" s="1">
        <v>45873</v>
      </c>
      <c r="C828" s="1">
        <v>45874</v>
      </c>
      <c r="D828">
        <v>101874</v>
      </c>
      <c r="E828">
        <v>100</v>
      </c>
      <c r="F828" s="3" t="s">
        <v>771</v>
      </c>
      <c r="G828" s="4">
        <v>53596</v>
      </c>
      <c r="I828" s="4">
        <v>7168900.2199999997</v>
      </c>
    </row>
    <row r="829" spans="1:9" x14ac:dyDescent="0.3">
      <c r="A829" t="s">
        <v>1</v>
      </c>
      <c r="B829" s="1">
        <v>45873</v>
      </c>
      <c r="C829" s="1">
        <v>45874</v>
      </c>
      <c r="D829">
        <v>101875</v>
      </c>
      <c r="E829">
        <v>100</v>
      </c>
      <c r="F829" s="3" t="s">
        <v>772</v>
      </c>
      <c r="G829" s="4">
        <v>9463.85</v>
      </c>
      <c r="I829" s="4">
        <v>7178364.0700000003</v>
      </c>
    </row>
    <row r="830" spans="1:9" x14ac:dyDescent="0.3">
      <c r="A830" t="s">
        <v>1</v>
      </c>
      <c r="B830" s="1">
        <v>45873</v>
      </c>
      <c r="C830" s="1">
        <v>45874</v>
      </c>
      <c r="D830">
        <v>101877</v>
      </c>
      <c r="E830">
        <v>100</v>
      </c>
      <c r="F830" s="3" t="s">
        <v>773</v>
      </c>
      <c r="G830" s="4">
        <v>78880.25</v>
      </c>
      <c r="I830" s="4">
        <v>7257244.3200000003</v>
      </c>
    </row>
    <row r="831" spans="1:9" x14ac:dyDescent="0.3">
      <c r="A831" t="s">
        <v>1</v>
      </c>
      <c r="B831" s="1">
        <v>45873</v>
      </c>
      <c r="C831" s="1">
        <v>45874</v>
      </c>
      <c r="D831">
        <v>101878</v>
      </c>
      <c r="E831">
        <v>100</v>
      </c>
      <c r="F831" s="3" t="s">
        <v>774</v>
      </c>
      <c r="G831" s="4">
        <v>4320</v>
      </c>
      <c r="I831" s="4">
        <v>7261564.3200000003</v>
      </c>
    </row>
    <row r="832" spans="1:9" x14ac:dyDescent="0.3">
      <c r="A832" t="s">
        <v>1</v>
      </c>
      <c r="B832" s="1">
        <v>45873</v>
      </c>
      <c r="C832" s="1">
        <v>45874</v>
      </c>
      <c r="D832">
        <v>101879</v>
      </c>
      <c r="E832">
        <v>100</v>
      </c>
      <c r="F832" s="3" t="s">
        <v>775</v>
      </c>
      <c r="G832" s="4">
        <v>10000</v>
      </c>
      <c r="I832" s="4">
        <v>7271564.3200000003</v>
      </c>
    </row>
    <row r="833" spans="1:9" x14ac:dyDescent="0.3">
      <c r="A833" t="s">
        <v>1</v>
      </c>
      <c r="B833" s="1">
        <v>45873</v>
      </c>
      <c r="C833" s="1">
        <v>45874</v>
      </c>
      <c r="D833">
        <v>101881</v>
      </c>
      <c r="E833">
        <v>100</v>
      </c>
      <c r="F833" s="3" t="s">
        <v>776</v>
      </c>
      <c r="G833" s="4">
        <v>21295</v>
      </c>
      <c r="I833" s="4">
        <v>7292859.3200000003</v>
      </c>
    </row>
    <row r="834" spans="1:9" x14ac:dyDescent="0.3">
      <c r="A834" t="s">
        <v>1</v>
      </c>
      <c r="B834" s="1">
        <v>45874</v>
      </c>
      <c r="C834" s="1">
        <v>45874</v>
      </c>
      <c r="D834">
        <v>101883</v>
      </c>
      <c r="E834">
        <v>100</v>
      </c>
      <c r="F834" s="3" t="s">
        <v>777</v>
      </c>
      <c r="G834" s="4">
        <v>169666</v>
      </c>
      <c r="I834" s="4">
        <v>7462525.3200000003</v>
      </c>
    </row>
    <row r="835" spans="1:9" x14ac:dyDescent="0.3">
      <c r="A835" t="s">
        <v>1</v>
      </c>
      <c r="B835" s="1">
        <v>45874</v>
      </c>
      <c r="C835" s="1">
        <v>45874</v>
      </c>
      <c r="D835">
        <v>101886</v>
      </c>
      <c r="E835">
        <v>100</v>
      </c>
      <c r="F835" s="3" t="s">
        <v>778</v>
      </c>
      <c r="G835" s="4">
        <v>29000</v>
      </c>
      <c r="I835" s="4">
        <v>7491525.3200000003</v>
      </c>
    </row>
    <row r="836" spans="1:9" x14ac:dyDescent="0.3">
      <c r="A836" t="s">
        <v>1</v>
      </c>
      <c r="B836" s="1">
        <v>45873</v>
      </c>
      <c r="C836" s="1">
        <v>45874</v>
      </c>
      <c r="D836">
        <v>101887</v>
      </c>
      <c r="E836">
        <v>100</v>
      </c>
      <c r="F836" s="3" t="s">
        <v>779</v>
      </c>
      <c r="G836" s="4">
        <v>4600</v>
      </c>
      <c r="I836" s="4">
        <v>7496125.3200000003</v>
      </c>
    </row>
    <row r="837" spans="1:9" x14ac:dyDescent="0.3">
      <c r="A837" t="s">
        <v>1</v>
      </c>
      <c r="B837" s="1">
        <v>45874</v>
      </c>
      <c r="C837" s="1">
        <v>45874</v>
      </c>
      <c r="D837">
        <v>101888</v>
      </c>
      <c r="E837">
        <v>100</v>
      </c>
      <c r="F837" s="3" t="s">
        <v>780</v>
      </c>
      <c r="G837" s="4">
        <v>85225</v>
      </c>
      <c r="I837" s="4">
        <v>7581350.3200000003</v>
      </c>
    </row>
    <row r="838" spans="1:9" x14ac:dyDescent="0.3">
      <c r="A838" t="s">
        <v>1</v>
      </c>
      <c r="B838" s="1">
        <v>45874</v>
      </c>
      <c r="C838" s="1">
        <v>45874</v>
      </c>
      <c r="D838">
        <v>101889</v>
      </c>
      <c r="E838">
        <v>100</v>
      </c>
      <c r="F838" s="3" t="s">
        <v>781</v>
      </c>
      <c r="G838" s="4">
        <v>262.5</v>
      </c>
      <c r="I838" s="4">
        <v>7581612.8200000003</v>
      </c>
    </row>
    <row r="839" spans="1:9" x14ac:dyDescent="0.3">
      <c r="A839" t="s">
        <v>1</v>
      </c>
      <c r="B839" s="1">
        <v>45874</v>
      </c>
      <c r="C839" s="1">
        <v>45874</v>
      </c>
      <c r="D839">
        <v>101890</v>
      </c>
      <c r="E839">
        <v>100</v>
      </c>
      <c r="F839" s="3" t="s">
        <v>782</v>
      </c>
      <c r="G839" s="4">
        <v>1194</v>
      </c>
      <c r="I839" s="4">
        <v>7582806.8200000003</v>
      </c>
    </row>
    <row r="840" spans="1:9" x14ac:dyDescent="0.3">
      <c r="A840" t="s">
        <v>1</v>
      </c>
      <c r="B840" s="1">
        <v>45874</v>
      </c>
      <c r="C840" s="1">
        <v>45874</v>
      </c>
      <c r="D840">
        <v>101893</v>
      </c>
      <c r="E840">
        <v>100</v>
      </c>
      <c r="F840" s="3" t="s">
        <v>783</v>
      </c>
      <c r="G840" s="4">
        <v>4200</v>
      </c>
      <c r="I840" s="4">
        <v>7587006.8200000003</v>
      </c>
    </row>
    <row r="841" spans="1:9" x14ac:dyDescent="0.3">
      <c r="A841" t="s">
        <v>1</v>
      </c>
      <c r="B841" s="1">
        <v>45874</v>
      </c>
      <c r="C841" s="1">
        <v>45874</v>
      </c>
      <c r="D841">
        <v>101895</v>
      </c>
      <c r="E841">
        <v>100</v>
      </c>
      <c r="F841" s="3" t="s">
        <v>784</v>
      </c>
      <c r="G841" s="4">
        <v>63291.85</v>
      </c>
      <c r="I841" s="4">
        <v>7650298.6699999999</v>
      </c>
    </row>
    <row r="842" spans="1:9" x14ac:dyDescent="0.3">
      <c r="A842" t="s">
        <v>1</v>
      </c>
      <c r="B842" s="1">
        <v>45874</v>
      </c>
      <c r="C842" s="1">
        <v>45874</v>
      </c>
      <c r="D842">
        <v>101898</v>
      </c>
      <c r="E842">
        <v>100</v>
      </c>
      <c r="F842" s="3" t="s">
        <v>785</v>
      </c>
      <c r="G842" s="4">
        <v>11438</v>
      </c>
      <c r="I842" s="4">
        <v>7661736.6699999999</v>
      </c>
    </row>
    <row r="843" spans="1:9" x14ac:dyDescent="0.3">
      <c r="A843" t="s">
        <v>1</v>
      </c>
      <c r="B843" s="1">
        <v>45874</v>
      </c>
      <c r="C843" s="1">
        <v>45874</v>
      </c>
      <c r="D843">
        <v>101899</v>
      </c>
      <c r="E843">
        <v>100</v>
      </c>
      <c r="F843" s="3" t="s">
        <v>786</v>
      </c>
      <c r="G843" s="4">
        <v>25864.5</v>
      </c>
      <c r="I843" s="4">
        <v>7687601.1699999999</v>
      </c>
    </row>
    <row r="844" spans="1:9" x14ac:dyDescent="0.3">
      <c r="A844" t="s">
        <v>1</v>
      </c>
      <c r="B844" s="1">
        <v>45873</v>
      </c>
      <c r="C844" s="1">
        <v>45874</v>
      </c>
      <c r="D844">
        <v>101908</v>
      </c>
      <c r="E844">
        <v>100</v>
      </c>
      <c r="F844" s="3" t="s">
        <v>787</v>
      </c>
      <c r="G844" s="4">
        <v>36290.75</v>
      </c>
      <c r="I844" s="4">
        <v>7723891.9199999999</v>
      </c>
    </row>
    <row r="845" spans="1:9" x14ac:dyDescent="0.3">
      <c r="A845" t="s">
        <v>1</v>
      </c>
      <c r="B845" s="1">
        <v>45874</v>
      </c>
      <c r="C845" s="1">
        <v>45874</v>
      </c>
      <c r="D845">
        <v>101909</v>
      </c>
      <c r="E845">
        <v>100</v>
      </c>
      <c r="F845" s="3" t="s">
        <v>788</v>
      </c>
      <c r="G845" s="4">
        <v>16650</v>
      </c>
      <c r="I845" s="4">
        <v>7740541.9199999999</v>
      </c>
    </row>
    <row r="846" spans="1:9" x14ac:dyDescent="0.3">
      <c r="A846" t="s">
        <v>1</v>
      </c>
      <c r="B846" s="1">
        <v>45874</v>
      </c>
      <c r="C846" s="1">
        <v>45874</v>
      </c>
      <c r="D846">
        <v>101910</v>
      </c>
      <c r="E846">
        <v>100</v>
      </c>
      <c r="F846" s="3" t="s">
        <v>789</v>
      </c>
      <c r="G846" s="4">
        <v>50502.62</v>
      </c>
      <c r="I846" s="4">
        <v>7791044.54</v>
      </c>
    </row>
    <row r="847" spans="1:9" x14ac:dyDescent="0.3">
      <c r="A847" t="s">
        <v>1</v>
      </c>
      <c r="B847" s="1">
        <v>45874</v>
      </c>
      <c r="C847" s="1">
        <v>45874</v>
      </c>
      <c r="D847">
        <v>101912</v>
      </c>
      <c r="E847">
        <v>100</v>
      </c>
      <c r="F847" s="3" t="s">
        <v>790</v>
      </c>
      <c r="G847" s="4">
        <v>23945</v>
      </c>
      <c r="I847" s="4">
        <v>7814989.54</v>
      </c>
    </row>
    <row r="848" spans="1:9" x14ac:dyDescent="0.3">
      <c r="A848" t="s">
        <v>1</v>
      </c>
      <c r="B848" s="1">
        <v>45874</v>
      </c>
      <c r="C848" s="1">
        <v>45874</v>
      </c>
      <c r="D848">
        <v>101913</v>
      </c>
      <c r="E848">
        <v>100</v>
      </c>
      <c r="F848" s="3" t="s">
        <v>791</v>
      </c>
      <c r="G848" s="4">
        <v>36285.25</v>
      </c>
      <c r="I848" s="4">
        <v>7851274.79</v>
      </c>
    </row>
    <row r="849" spans="1:9" x14ac:dyDescent="0.3">
      <c r="A849" t="s">
        <v>1</v>
      </c>
      <c r="B849" s="1">
        <v>45874</v>
      </c>
      <c r="C849" s="1">
        <v>45874</v>
      </c>
      <c r="D849">
        <v>101917</v>
      </c>
      <c r="E849">
        <v>100</v>
      </c>
      <c r="F849" s="3" t="s">
        <v>792</v>
      </c>
      <c r="G849" s="4">
        <v>84018</v>
      </c>
      <c r="I849" s="4">
        <v>7935292.79</v>
      </c>
    </row>
    <row r="850" spans="1:9" x14ac:dyDescent="0.3">
      <c r="A850" t="s">
        <v>1</v>
      </c>
      <c r="B850" s="1">
        <v>45874</v>
      </c>
      <c r="C850" s="1">
        <v>45874</v>
      </c>
      <c r="D850">
        <v>101918</v>
      </c>
      <c r="E850">
        <v>100</v>
      </c>
      <c r="F850" s="3" t="s">
        <v>793</v>
      </c>
      <c r="G850" s="4">
        <v>18019.25</v>
      </c>
      <c r="I850" s="4">
        <v>7953312.04</v>
      </c>
    </row>
    <row r="851" spans="1:9" x14ac:dyDescent="0.3">
      <c r="A851" t="s">
        <v>1</v>
      </c>
      <c r="B851" s="1">
        <v>45873</v>
      </c>
      <c r="C851" s="1">
        <v>45874</v>
      </c>
      <c r="D851">
        <v>101919</v>
      </c>
      <c r="E851">
        <v>100</v>
      </c>
      <c r="F851" s="3" t="s">
        <v>794</v>
      </c>
      <c r="G851" s="4">
        <v>42000</v>
      </c>
      <c r="I851" s="4">
        <v>7995312.04</v>
      </c>
    </row>
    <row r="852" spans="1:9" x14ac:dyDescent="0.3">
      <c r="A852" t="s">
        <v>1</v>
      </c>
      <c r="B852" s="1">
        <v>45873</v>
      </c>
      <c r="C852" s="1">
        <v>45874</v>
      </c>
      <c r="D852">
        <v>101923</v>
      </c>
      <c r="E852">
        <v>100</v>
      </c>
      <c r="F852" s="3" t="s">
        <v>795</v>
      </c>
      <c r="G852" s="4">
        <v>11049</v>
      </c>
      <c r="I852" s="4">
        <v>8006361.04</v>
      </c>
    </row>
    <row r="853" spans="1:9" x14ac:dyDescent="0.3">
      <c r="A853" t="s">
        <v>1</v>
      </c>
      <c r="B853" s="1">
        <v>45874</v>
      </c>
      <c r="C853" s="1">
        <v>45874</v>
      </c>
      <c r="D853">
        <v>101928</v>
      </c>
      <c r="E853">
        <v>100</v>
      </c>
      <c r="F853" s="3" t="s">
        <v>796</v>
      </c>
      <c r="G853" s="4">
        <v>46376.25</v>
      </c>
      <c r="I853" s="4">
        <v>8052737.29</v>
      </c>
    </row>
    <row r="854" spans="1:9" x14ac:dyDescent="0.3">
      <c r="A854" t="s">
        <v>1</v>
      </c>
      <c r="B854" s="1">
        <v>45867</v>
      </c>
      <c r="C854" s="1">
        <v>45874</v>
      </c>
      <c r="D854">
        <v>101931</v>
      </c>
      <c r="E854">
        <v>100</v>
      </c>
      <c r="F854" s="3" t="s">
        <v>797</v>
      </c>
      <c r="G854" s="4">
        <v>8227.25</v>
      </c>
      <c r="I854" s="4">
        <v>8060964.54</v>
      </c>
    </row>
    <row r="855" spans="1:9" x14ac:dyDescent="0.3">
      <c r="A855" t="s">
        <v>1</v>
      </c>
      <c r="B855" s="1">
        <v>45874</v>
      </c>
      <c r="C855" s="1">
        <v>45874</v>
      </c>
      <c r="D855">
        <v>101932</v>
      </c>
      <c r="E855">
        <v>100</v>
      </c>
      <c r="F855" s="3" t="s">
        <v>798</v>
      </c>
      <c r="G855" s="4">
        <v>5007.5</v>
      </c>
      <c r="I855" s="4">
        <v>8065972.04</v>
      </c>
    </row>
    <row r="856" spans="1:9" x14ac:dyDescent="0.3">
      <c r="A856" t="s">
        <v>1</v>
      </c>
      <c r="B856" s="1">
        <v>45874</v>
      </c>
      <c r="C856" s="1">
        <v>45874</v>
      </c>
      <c r="D856">
        <v>101933</v>
      </c>
      <c r="E856">
        <v>100</v>
      </c>
      <c r="F856" s="3" t="s">
        <v>799</v>
      </c>
      <c r="G856" s="4">
        <v>55761.4</v>
      </c>
      <c r="I856" s="4">
        <v>8121733.4400000004</v>
      </c>
    </row>
    <row r="857" spans="1:9" x14ac:dyDescent="0.3">
      <c r="A857" t="s">
        <v>1</v>
      </c>
      <c r="B857" s="1">
        <v>45874</v>
      </c>
      <c r="C857" s="1">
        <v>45874</v>
      </c>
      <c r="D857">
        <v>101936</v>
      </c>
      <c r="E857">
        <v>100</v>
      </c>
      <c r="F857" s="3" t="s">
        <v>43</v>
      </c>
      <c r="G857" s="4">
        <v>1003.67</v>
      </c>
      <c r="I857" s="4">
        <v>8122737.1100000003</v>
      </c>
    </row>
    <row r="858" spans="1:9" x14ac:dyDescent="0.3">
      <c r="A858" t="s">
        <v>1</v>
      </c>
      <c r="B858" s="1">
        <v>45874</v>
      </c>
      <c r="C858" s="1">
        <v>45874</v>
      </c>
      <c r="D858">
        <v>101937</v>
      </c>
      <c r="E858">
        <v>100</v>
      </c>
      <c r="F858" s="3" t="s">
        <v>800</v>
      </c>
      <c r="G858" s="4">
        <v>1003.67</v>
      </c>
      <c r="I858" s="4">
        <v>8123740.7800000003</v>
      </c>
    </row>
    <row r="859" spans="1:9" x14ac:dyDescent="0.3">
      <c r="A859" t="s">
        <v>1</v>
      </c>
      <c r="B859" s="1">
        <v>45874</v>
      </c>
      <c r="C859" s="1">
        <v>45874</v>
      </c>
      <c r="D859">
        <v>101939</v>
      </c>
      <c r="E859">
        <v>100</v>
      </c>
      <c r="F859" s="3" t="s">
        <v>801</v>
      </c>
      <c r="G859" s="4">
        <v>70416.600000000006</v>
      </c>
      <c r="I859" s="4">
        <v>8194157.3799999999</v>
      </c>
    </row>
    <row r="860" spans="1:9" x14ac:dyDescent="0.3">
      <c r="A860" t="s">
        <v>1</v>
      </c>
      <c r="B860" s="1">
        <v>45874</v>
      </c>
      <c r="C860" s="1">
        <v>45874</v>
      </c>
      <c r="D860">
        <v>101940</v>
      </c>
      <c r="E860">
        <v>100</v>
      </c>
      <c r="F860" s="3" t="s">
        <v>802</v>
      </c>
      <c r="G860" s="4">
        <v>546667.21</v>
      </c>
      <c r="I860" s="4">
        <v>8740824.5899999999</v>
      </c>
    </row>
    <row r="861" spans="1:9" x14ac:dyDescent="0.3">
      <c r="A861" t="s">
        <v>71</v>
      </c>
      <c r="B861" s="1">
        <v>45873</v>
      </c>
      <c r="C861" s="1">
        <v>45874</v>
      </c>
      <c r="D861">
        <v>13676</v>
      </c>
      <c r="E861">
        <v>100</v>
      </c>
      <c r="F861" s="3" t="s">
        <v>803</v>
      </c>
      <c r="G861" s="4">
        <v>3672726</v>
      </c>
      <c r="H861" s="4">
        <v>0</v>
      </c>
      <c r="I861" s="4">
        <v>12413550.59</v>
      </c>
    </row>
    <row r="862" spans="1:9" x14ac:dyDescent="0.3">
      <c r="A862" t="s">
        <v>71</v>
      </c>
      <c r="B862" s="1">
        <v>45873</v>
      </c>
      <c r="C862" s="1">
        <v>45874</v>
      </c>
      <c r="D862">
        <v>13676</v>
      </c>
      <c r="E862">
        <v>100</v>
      </c>
      <c r="F862" s="3" t="s">
        <v>803</v>
      </c>
      <c r="G862" s="4">
        <v>1836363</v>
      </c>
      <c r="H862" s="4">
        <v>0</v>
      </c>
      <c r="I862" s="4">
        <v>14249913.59</v>
      </c>
    </row>
    <row r="863" spans="1:9" x14ac:dyDescent="0.3">
      <c r="A863" t="s">
        <v>71</v>
      </c>
      <c r="B863" s="1">
        <v>45874</v>
      </c>
      <c r="C863" s="1">
        <v>45874</v>
      </c>
      <c r="D863">
        <v>13715</v>
      </c>
      <c r="E863">
        <v>100</v>
      </c>
      <c r="F863" s="3" t="s">
        <v>804</v>
      </c>
      <c r="G863" s="4">
        <v>0</v>
      </c>
      <c r="H863" s="4">
        <v>11019900</v>
      </c>
      <c r="I863" s="4">
        <v>3230013.59</v>
      </c>
    </row>
    <row r="864" spans="1:9" x14ac:dyDescent="0.3">
      <c r="A864" t="s">
        <v>71</v>
      </c>
      <c r="B864" s="1">
        <v>45870</v>
      </c>
      <c r="C864" s="1">
        <v>45874</v>
      </c>
      <c r="D864">
        <v>13722</v>
      </c>
      <c r="E864">
        <v>100</v>
      </c>
      <c r="F864" s="3">
        <v>2508011045467410</v>
      </c>
      <c r="G864" s="4">
        <v>735400</v>
      </c>
      <c r="H864" s="4">
        <v>0</v>
      </c>
      <c r="I864" s="4">
        <v>3965413.59</v>
      </c>
    </row>
    <row r="865" spans="1:9" x14ac:dyDescent="0.3">
      <c r="A865" t="s">
        <v>71</v>
      </c>
      <c r="B865" s="1">
        <v>45871</v>
      </c>
      <c r="C865" s="1">
        <v>45874</v>
      </c>
      <c r="D865">
        <v>13722</v>
      </c>
      <c r="E865">
        <v>100</v>
      </c>
      <c r="F865" s="3" t="s">
        <v>805</v>
      </c>
      <c r="G865" s="4">
        <v>0</v>
      </c>
      <c r="H865" s="4">
        <v>129184</v>
      </c>
      <c r="I865" s="4">
        <v>3836229.59</v>
      </c>
    </row>
    <row r="866" spans="1:9" x14ac:dyDescent="0.3">
      <c r="A866" t="s">
        <v>71</v>
      </c>
      <c r="B866" s="1">
        <v>45874</v>
      </c>
      <c r="C866" s="1">
        <v>45874</v>
      </c>
      <c r="D866">
        <v>13725</v>
      </c>
      <c r="E866">
        <v>100</v>
      </c>
      <c r="F866" s="3" t="s">
        <v>806</v>
      </c>
      <c r="G866" s="4">
        <v>0</v>
      </c>
      <c r="H866" s="4">
        <v>35631010</v>
      </c>
      <c r="I866" s="4">
        <v>-31794780.41</v>
      </c>
    </row>
    <row r="867" spans="1:9" x14ac:dyDescent="0.3">
      <c r="A867" t="s">
        <v>71</v>
      </c>
      <c r="B867" s="1">
        <v>45870</v>
      </c>
      <c r="C867" s="1">
        <v>45874</v>
      </c>
      <c r="D867">
        <v>13732</v>
      </c>
      <c r="E867">
        <v>100</v>
      </c>
      <c r="F867" s="3" t="s">
        <v>807</v>
      </c>
      <c r="G867" s="4">
        <v>2000000</v>
      </c>
      <c r="H867" s="4">
        <v>0</v>
      </c>
      <c r="I867" s="4">
        <v>-29794780.41</v>
      </c>
    </row>
    <row r="868" spans="1:9" x14ac:dyDescent="0.3">
      <c r="A868" t="s">
        <v>71</v>
      </c>
      <c r="B868" s="1">
        <v>45870</v>
      </c>
      <c r="C868" s="1">
        <v>45874</v>
      </c>
      <c r="D868">
        <v>13732</v>
      </c>
      <c r="E868">
        <v>100</v>
      </c>
      <c r="F868" s="3" t="s">
        <v>808</v>
      </c>
      <c r="G868" s="4">
        <v>2413500</v>
      </c>
      <c r="H868" s="4">
        <v>0</v>
      </c>
      <c r="I868" s="4">
        <v>-27381280.41</v>
      </c>
    </row>
    <row r="869" spans="1:9" x14ac:dyDescent="0.3">
      <c r="A869" t="s">
        <v>75</v>
      </c>
      <c r="B869" s="1">
        <v>45870</v>
      </c>
      <c r="C869" s="1">
        <v>45874</v>
      </c>
      <c r="D869">
        <v>142959</v>
      </c>
      <c r="E869">
        <v>44</v>
      </c>
      <c r="F869" s="3" t="s">
        <v>809</v>
      </c>
      <c r="G869" s="4">
        <v>13232</v>
      </c>
      <c r="H869" s="4">
        <v>0</v>
      </c>
      <c r="I869" s="4">
        <v>-27368048.41</v>
      </c>
    </row>
    <row r="870" spans="1:9" x14ac:dyDescent="0.3">
      <c r="A870" t="s">
        <v>75</v>
      </c>
      <c r="B870" s="1">
        <v>45870</v>
      </c>
      <c r="C870" s="1">
        <v>45874</v>
      </c>
      <c r="D870">
        <v>142960</v>
      </c>
      <c r="E870">
        <v>44</v>
      </c>
      <c r="F870" s="3" t="s">
        <v>810</v>
      </c>
      <c r="G870" s="4">
        <v>35000</v>
      </c>
      <c r="H870" s="4">
        <v>0</v>
      </c>
      <c r="I870" s="4">
        <v>-27333048.41</v>
      </c>
    </row>
    <row r="871" spans="1:9" x14ac:dyDescent="0.3">
      <c r="A871" t="s">
        <v>75</v>
      </c>
      <c r="B871" s="1">
        <v>45871</v>
      </c>
      <c r="C871" s="1">
        <v>45874</v>
      </c>
      <c r="D871">
        <v>142961</v>
      </c>
      <c r="E871">
        <v>44</v>
      </c>
      <c r="F871" s="3" t="s">
        <v>811</v>
      </c>
      <c r="G871" s="4">
        <v>32000</v>
      </c>
      <c r="H871" s="4">
        <v>0</v>
      </c>
      <c r="I871" s="4">
        <v>-27301048.41</v>
      </c>
    </row>
    <row r="872" spans="1:9" x14ac:dyDescent="0.3">
      <c r="A872" t="s">
        <v>75</v>
      </c>
      <c r="B872" s="1">
        <v>45873</v>
      </c>
      <c r="C872" s="1">
        <v>45874</v>
      </c>
      <c r="D872">
        <v>142962</v>
      </c>
      <c r="E872">
        <v>72</v>
      </c>
      <c r="F872" s="3" t="s">
        <v>812</v>
      </c>
      <c r="G872" s="4">
        <v>63025.25</v>
      </c>
      <c r="H872" s="4">
        <v>0</v>
      </c>
      <c r="I872" s="4">
        <v>-27238023.16</v>
      </c>
    </row>
    <row r="873" spans="1:9" x14ac:dyDescent="0.3">
      <c r="A873" t="s">
        <v>75</v>
      </c>
      <c r="B873" s="1">
        <v>45873</v>
      </c>
      <c r="C873" s="1">
        <v>45874</v>
      </c>
      <c r="D873">
        <v>142963</v>
      </c>
      <c r="E873">
        <v>72</v>
      </c>
      <c r="F873" s="3" t="s">
        <v>813</v>
      </c>
      <c r="G873" s="4">
        <v>719.5</v>
      </c>
      <c r="H873" s="4">
        <v>0</v>
      </c>
      <c r="I873" s="4">
        <v>-27237303.66</v>
      </c>
    </row>
    <row r="874" spans="1:9" x14ac:dyDescent="0.3">
      <c r="A874" t="s">
        <v>75</v>
      </c>
      <c r="B874" s="1">
        <v>45871</v>
      </c>
      <c r="C874" s="1">
        <v>45874</v>
      </c>
      <c r="D874">
        <v>142964</v>
      </c>
      <c r="E874">
        <v>72</v>
      </c>
      <c r="F874" s="3" t="s">
        <v>814</v>
      </c>
      <c r="G874" s="4">
        <v>40434.25</v>
      </c>
      <c r="H874" s="4">
        <v>0</v>
      </c>
      <c r="I874" s="4">
        <v>-27196869.41</v>
      </c>
    </row>
    <row r="875" spans="1:9" x14ac:dyDescent="0.3">
      <c r="A875" t="s">
        <v>75</v>
      </c>
      <c r="B875" s="1">
        <v>45874</v>
      </c>
      <c r="C875" s="1">
        <v>45874</v>
      </c>
      <c r="D875">
        <v>142967</v>
      </c>
      <c r="E875">
        <v>67</v>
      </c>
      <c r="F875" s="3" t="s">
        <v>815</v>
      </c>
      <c r="G875" s="4">
        <v>3529.5</v>
      </c>
      <c r="H875" s="4">
        <v>0</v>
      </c>
      <c r="I875" s="4">
        <v>-27193339.91</v>
      </c>
    </row>
    <row r="876" spans="1:9" x14ac:dyDescent="0.3">
      <c r="A876" t="s">
        <v>75</v>
      </c>
      <c r="B876" s="1">
        <v>45873</v>
      </c>
      <c r="C876" s="1">
        <v>45874</v>
      </c>
      <c r="D876">
        <v>142968</v>
      </c>
      <c r="E876">
        <v>11</v>
      </c>
      <c r="F876" s="3" t="s">
        <v>816</v>
      </c>
      <c r="G876" s="4">
        <v>22072.5</v>
      </c>
      <c r="H876" s="4">
        <v>0</v>
      </c>
      <c r="I876" s="4">
        <v>-27171267.41</v>
      </c>
    </row>
    <row r="877" spans="1:9" x14ac:dyDescent="0.3">
      <c r="A877" t="s">
        <v>75</v>
      </c>
      <c r="B877" s="1">
        <v>45873</v>
      </c>
      <c r="C877" s="1">
        <v>45874</v>
      </c>
      <c r="D877">
        <v>142969</v>
      </c>
      <c r="E877">
        <v>11</v>
      </c>
      <c r="F877" s="3" t="s">
        <v>817</v>
      </c>
      <c r="G877" s="4">
        <v>33807.660000000003</v>
      </c>
      <c r="H877" s="4">
        <v>0</v>
      </c>
      <c r="I877" s="4">
        <v>-27137459.75</v>
      </c>
    </row>
    <row r="878" spans="1:9" x14ac:dyDescent="0.3">
      <c r="A878" t="s">
        <v>75</v>
      </c>
      <c r="B878" s="1">
        <v>45873</v>
      </c>
      <c r="C878" s="1">
        <v>45874</v>
      </c>
      <c r="D878">
        <v>142972</v>
      </c>
      <c r="E878">
        <v>14</v>
      </c>
      <c r="F878" s="3" t="s">
        <v>818</v>
      </c>
      <c r="G878" s="4">
        <v>125000</v>
      </c>
      <c r="H878" s="4">
        <v>0</v>
      </c>
      <c r="I878" s="4">
        <v>-27012459.75</v>
      </c>
    </row>
    <row r="879" spans="1:9" x14ac:dyDescent="0.3">
      <c r="A879" t="s">
        <v>75</v>
      </c>
      <c r="B879" s="1">
        <v>45874</v>
      </c>
      <c r="C879" s="1">
        <v>45874</v>
      </c>
      <c r="D879">
        <v>142973</v>
      </c>
      <c r="E879">
        <v>14</v>
      </c>
      <c r="F879" s="3" t="s">
        <v>819</v>
      </c>
      <c r="G879" s="4">
        <v>6140.5</v>
      </c>
      <c r="H879" s="4">
        <v>0</v>
      </c>
      <c r="I879" s="4">
        <v>-27006319.25</v>
      </c>
    </row>
    <row r="880" spans="1:9" x14ac:dyDescent="0.3">
      <c r="A880" t="s">
        <v>75</v>
      </c>
      <c r="B880" s="1">
        <v>45873</v>
      </c>
      <c r="C880" s="1">
        <v>45874</v>
      </c>
      <c r="D880">
        <v>142975</v>
      </c>
      <c r="E880">
        <v>14</v>
      </c>
      <c r="F880" s="3" t="s">
        <v>820</v>
      </c>
      <c r="G880" s="4">
        <v>30000</v>
      </c>
      <c r="H880" s="4">
        <v>0</v>
      </c>
      <c r="I880" s="4">
        <v>-26976319.25</v>
      </c>
    </row>
    <row r="881" spans="1:9" x14ac:dyDescent="0.3">
      <c r="A881" t="s">
        <v>75</v>
      </c>
      <c r="B881" s="1">
        <v>45874</v>
      </c>
      <c r="C881" s="1">
        <v>45874</v>
      </c>
      <c r="D881">
        <v>142977</v>
      </c>
      <c r="E881">
        <v>11</v>
      </c>
      <c r="F881" s="3" t="s">
        <v>821</v>
      </c>
      <c r="G881" s="4">
        <v>62182.5</v>
      </c>
      <c r="H881" s="4">
        <v>0</v>
      </c>
      <c r="I881" s="4">
        <v>-26914136.75</v>
      </c>
    </row>
    <row r="882" spans="1:9" x14ac:dyDescent="0.3">
      <c r="A882" t="s">
        <v>75</v>
      </c>
      <c r="B882" s="1">
        <v>45874</v>
      </c>
      <c r="C882" s="1">
        <v>45874</v>
      </c>
      <c r="D882">
        <v>142978</v>
      </c>
      <c r="E882">
        <v>11</v>
      </c>
      <c r="F882" s="3" t="s">
        <v>822</v>
      </c>
      <c r="G882" s="4">
        <v>1906</v>
      </c>
      <c r="H882" s="4">
        <v>0</v>
      </c>
      <c r="I882" s="4">
        <v>-26912230.75</v>
      </c>
    </row>
    <row r="883" spans="1:9" x14ac:dyDescent="0.3">
      <c r="A883" t="s">
        <v>75</v>
      </c>
      <c r="B883" s="1">
        <v>45874</v>
      </c>
      <c r="C883" s="1">
        <v>45874</v>
      </c>
      <c r="D883">
        <v>142979</v>
      </c>
      <c r="E883">
        <v>252</v>
      </c>
      <c r="F883" s="3" t="s">
        <v>823</v>
      </c>
      <c r="G883" s="4">
        <v>350000</v>
      </c>
      <c r="H883" s="4">
        <v>0</v>
      </c>
      <c r="I883" s="4">
        <v>-26562230.75</v>
      </c>
    </row>
    <row r="884" spans="1:9" x14ac:dyDescent="0.3">
      <c r="A884" t="s">
        <v>75</v>
      </c>
      <c r="B884" s="1">
        <v>45872</v>
      </c>
      <c r="C884" s="1">
        <v>45874</v>
      </c>
      <c r="D884">
        <v>142980</v>
      </c>
      <c r="E884">
        <v>69</v>
      </c>
      <c r="F884" s="3" t="s">
        <v>824</v>
      </c>
      <c r="G884" s="4">
        <v>75000</v>
      </c>
      <c r="H884" s="4">
        <v>0</v>
      </c>
      <c r="I884" s="4">
        <v>-26487230.75</v>
      </c>
    </row>
    <row r="885" spans="1:9" x14ac:dyDescent="0.3">
      <c r="A885" t="s">
        <v>75</v>
      </c>
      <c r="B885" s="1">
        <v>45874</v>
      </c>
      <c r="C885" s="1">
        <v>45874</v>
      </c>
      <c r="D885">
        <v>142981</v>
      </c>
      <c r="E885">
        <v>58</v>
      </c>
      <c r="F885" s="3" t="s">
        <v>825</v>
      </c>
      <c r="G885" s="4">
        <v>859.25</v>
      </c>
      <c r="H885" s="4">
        <v>0</v>
      </c>
      <c r="I885" s="4">
        <v>-26486371.5</v>
      </c>
    </row>
    <row r="886" spans="1:9" x14ac:dyDescent="0.3">
      <c r="A886" t="s">
        <v>75</v>
      </c>
      <c r="B886" s="1">
        <v>45874</v>
      </c>
      <c r="C886" s="1">
        <v>45874</v>
      </c>
      <c r="D886">
        <v>142982</v>
      </c>
      <c r="E886">
        <v>72</v>
      </c>
      <c r="F886" s="3" t="s">
        <v>826</v>
      </c>
      <c r="G886" s="4">
        <v>20784.25</v>
      </c>
      <c r="H886" s="4">
        <v>0</v>
      </c>
      <c r="I886" s="4">
        <v>-26465587.25</v>
      </c>
    </row>
    <row r="887" spans="1:9" x14ac:dyDescent="0.3">
      <c r="A887" t="s">
        <v>75</v>
      </c>
      <c r="B887" s="1">
        <v>45873</v>
      </c>
      <c r="C887" s="1">
        <v>45874</v>
      </c>
      <c r="D887">
        <v>142983</v>
      </c>
      <c r="E887">
        <v>58</v>
      </c>
      <c r="F887" s="3" t="s">
        <v>827</v>
      </c>
      <c r="G887" s="4">
        <v>30204</v>
      </c>
      <c r="H887" s="4">
        <v>0</v>
      </c>
      <c r="I887" s="4">
        <v>-26435383.25</v>
      </c>
    </row>
    <row r="888" spans="1:9" x14ac:dyDescent="0.3">
      <c r="A888" t="s">
        <v>75</v>
      </c>
      <c r="B888" s="1">
        <v>45873</v>
      </c>
      <c r="C888" s="1">
        <v>45874</v>
      </c>
      <c r="D888">
        <v>142988</v>
      </c>
      <c r="E888">
        <v>11</v>
      </c>
      <c r="F888" s="3" t="s">
        <v>828</v>
      </c>
      <c r="G888" s="4">
        <v>10651.5</v>
      </c>
      <c r="H888" s="4">
        <v>0</v>
      </c>
      <c r="I888" s="4">
        <v>-26424731.75</v>
      </c>
    </row>
    <row r="889" spans="1:9" x14ac:dyDescent="0.3">
      <c r="A889" t="s">
        <v>75</v>
      </c>
      <c r="B889" s="1">
        <v>45873</v>
      </c>
      <c r="C889" s="1">
        <v>45874</v>
      </c>
      <c r="D889">
        <v>142990</v>
      </c>
      <c r="E889">
        <v>15</v>
      </c>
      <c r="F889" s="3" t="s">
        <v>829</v>
      </c>
      <c r="G889" s="4">
        <v>29280.75</v>
      </c>
      <c r="H889" s="4">
        <v>0</v>
      </c>
      <c r="I889" s="4">
        <v>-26395451</v>
      </c>
    </row>
    <row r="890" spans="1:9" x14ac:dyDescent="0.3">
      <c r="A890" t="s">
        <v>75</v>
      </c>
      <c r="B890" s="1">
        <v>45873</v>
      </c>
      <c r="C890" s="1">
        <v>45874</v>
      </c>
      <c r="D890">
        <v>142991</v>
      </c>
      <c r="E890">
        <v>67</v>
      </c>
      <c r="F890" s="3" t="s">
        <v>830</v>
      </c>
      <c r="G890" s="4">
        <v>74282.25</v>
      </c>
      <c r="H890" s="4">
        <v>0</v>
      </c>
      <c r="I890" s="4">
        <v>-26321168.75</v>
      </c>
    </row>
    <row r="891" spans="1:9" x14ac:dyDescent="0.3">
      <c r="A891" t="s">
        <v>75</v>
      </c>
      <c r="B891" s="1">
        <v>45874</v>
      </c>
      <c r="C891" s="1">
        <v>45874</v>
      </c>
      <c r="D891">
        <v>142992</v>
      </c>
      <c r="E891">
        <v>11</v>
      </c>
      <c r="F891" s="3" t="s">
        <v>831</v>
      </c>
      <c r="G891" s="4">
        <v>63478</v>
      </c>
      <c r="H891" s="4">
        <v>0</v>
      </c>
      <c r="I891" s="4">
        <v>-26257690.75</v>
      </c>
    </row>
    <row r="892" spans="1:9" x14ac:dyDescent="0.3">
      <c r="A892" t="s">
        <v>75</v>
      </c>
      <c r="B892" s="1">
        <v>45874</v>
      </c>
      <c r="C892" s="1">
        <v>45874</v>
      </c>
      <c r="D892">
        <v>142993</v>
      </c>
      <c r="E892">
        <v>11</v>
      </c>
      <c r="F892" s="3" t="s">
        <v>832</v>
      </c>
      <c r="G892" s="4">
        <v>11586.25</v>
      </c>
      <c r="H892" s="4">
        <v>0</v>
      </c>
      <c r="I892" s="4">
        <v>-26246104.5</v>
      </c>
    </row>
    <row r="893" spans="1:9" x14ac:dyDescent="0.3">
      <c r="A893" t="s">
        <v>75</v>
      </c>
      <c r="B893" s="1">
        <v>45874</v>
      </c>
      <c r="C893" s="1">
        <v>45874</v>
      </c>
      <c r="D893">
        <v>142994</v>
      </c>
      <c r="E893">
        <v>11</v>
      </c>
      <c r="F893" s="3" t="s">
        <v>833</v>
      </c>
      <c r="G893" s="4">
        <v>23276.5</v>
      </c>
      <c r="H893" s="4">
        <v>0</v>
      </c>
      <c r="I893" s="4">
        <v>-26222828</v>
      </c>
    </row>
    <row r="894" spans="1:9" x14ac:dyDescent="0.3">
      <c r="A894" t="s">
        <v>75</v>
      </c>
      <c r="B894" s="1">
        <v>45874</v>
      </c>
      <c r="C894" s="1">
        <v>45874</v>
      </c>
      <c r="D894">
        <v>142995</v>
      </c>
      <c r="E894">
        <v>67</v>
      </c>
      <c r="F894" s="3" t="s">
        <v>834</v>
      </c>
      <c r="G894" s="4">
        <v>5000</v>
      </c>
      <c r="H894" s="4">
        <v>0</v>
      </c>
      <c r="I894" s="4">
        <v>-26217828</v>
      </c>
    </row>
    <row r="895" spans="1:9" x14ac:dyDescent="0.3">
      <c r="A895" t="s">
        <v>75</v>
      </c>
      <c r="B895" s="1">
        <v>45869</v>
      </c>
      <c r="C895" s="1">
        <v>45874</v>
      </c>
      <c r="D895">
        <v>142996</v>
      </c>
      <c r="E895">
        <v>34</v>
      </c>
      <c r="F895" s="3" t="s">
        <v>835</v>
      </c>
      <c r="G895" s="4">
        <v>61483</v>
      </c>
      <c r="H895" s="4">
        <v>0</v>
      </c>
      <c r="I895" s="4">
        <v>-26156345</v>
      </c>
    </row>
    <row r="896" spans="1:9" x14ac:dyDescent="0.3">
      <c r="A896" t="s">
        <v>75</v>
      </c>
      <c r="B896" s="1">
        <v>45869</v>
      </c>
      <c r="C896" s="1">
        <v>45874</v>
      </c>
      <c r="D896">
        <v>142997</v>
      </c>
      <c r="E896">
        <v>34</v>
      </c>
      <c r="F896" s="3" t="s">
        <v>836</v>
      </c>
      <c r="G896" s="4">
        <v>121455.75</v>
      </c>
      <c r="H896" s="4">
        <v>0</v>
      </c>
      <c r="I896" s="4">
        <v>-26034889.25</v>
      </c>
    </row>
    <row r="897" spans="1:9" x14ac:dyDescent="0.3">
      <c r="A897" t="s">
        <v>75</v>
      </c>
      <c r="B897" s="1">
        <v>45874</v>
      </c>
      <c r="C897" s="1">
        <v>45874</v>
      </c>
      <c r="D897">
        <v>142999</v>
      </c>
      <c r="E897">
        <v>89</v>
      </c>
      <c r="F897" s="3" t="s">
        <v>837</v>
      </c>
      <c r="G897" s="4">
        <v>40000</v>
      </c>
      <c r="H897" s="4">
        <v>0</v>
      </c>
      <c r="I897" s="4">
        <v>-25994889.25</v>
      </c>
    </row>
    <row r="898" spans="1:9" x14ac:dyDescent="0.3">
      <c r="A898" t="s">
        <v>75</v>
      </c>
      <c r="B898" s="1">
        <v>45874</v>
      </c>
      <c r="C898" s="1">
        <v>45874</v>
      </c>
      <c r="D898">
        <v>143000</v>
      </c>
      <c r="E898">
        <v>412</v>
      </c>
      <c r="F898" s="3" t="s">
        <v>838</v>
      </c>
      <c r="G898" s="4">
        <v>11086</v>
      </c>
      <c r="H898" s="4">
        <v>0</v>
      </c>
      <c r="I898" s="4">
        <v>-25983803.25</v>
      </c>
    </row>
    <row r="899" spans="1:9" x14ac:dyDescent="0.3">
      <c r="A899" t="s">
        <v>75</v>
      </c>
      <c r="B899" s="1">
        <v>45874</v>
      </c>
      <c r="C899" s="1">
        <v>45874</v>
      </c>
      <c r="D899">
        <v>143002</v>
      </c>
      <c r="E899">
        <v>23</v>
      </c>
      <c r="F899" s="3" t="s">
        <v>839</v>
      </c>
      <c r="G899" s="4">
        <v>436.25</v>
      </c>
      <c r="H899" s="4">
        <v>0</v>
      </c>
      <c r="I899" s="4">
        <v>-25983367</v>
      </c>
    </row>
    <row r="900" spans="1:9" x14ac:dyDescent="0.3">
      <c r="A900" t="s">
        <v>75</v>
      </c>
      <c r="B900" s="1">
        <v>45874</v>
      </c>
      <c r="C900" s="1">
        <v>45874</v>
      </c>
      <c r="D900">
        <v>143003</v>
      </c>
      <c r="E900">
        <v>14</v>
      </c>
      <c r="F900" s="3" t="s">
        <v>840</v>
      </c>
      <c r="G900" s="4">
        <v>25000</v>
      </c>
      <c r="H900" s="4">
        <v>0</v>
      </c>
      <c r="I900" s="4">
        <v>-25958367</v>
      </c>
    </row>
    <row r="901" spans="1:9" x14ac:dyDescent="0.3">
      <c r="A901" t="s">
        <v>75</v>
      </c>
      <c r="B901" s="1">
        <v>45874</v>
      </c>
      <c r="C901" s="1">
        <v>45874</v>
      </c>
      <c r="D901">
        <v>143004</v>
      </c>
      <c r="E901">
        <v>14</v>
      </c>
      <c r="F901" s="3" t="s">
        <v>841</v>
      </c>
      <c r="G901" s="4">
        <v>114000</v>
      </c>
      <c r="H901" s="4">
        <v>0</v>
      </c>
      <c r="I901" s="4">
        <v>-25844367</v>
      </c>
    </row>
    <row r="902" spans="1:9" x14ac:dyDescent="0.3">
      <c r="A902" t="s">
        <v>75</v>
      </c>
      <c r="B902" s="1">
        <v>45874</v>
      </c>
      <c r="C902" s="1">
        <v>45874</v>
      </c>
      <c r="D902">
        <v>143005</v>
      </c>
      <c r="E902">
        <v>14</v>
      </c>
      <c r="F902" s="3" t="s">
        <v>842</v>
      </c>
      <c r="G902" s="4">
        <v>6140.5</v>
      </c>
      <c r="H902" s="4">
        <v>0</v>
      </c>
      <c r="I902" s="4">
        <v>-25838226.5</v>
      </c>
    </row>
    <row r="903" spans="1:9" x14ac:dyDescent="0.3">
      <c r="A903" t="s">
        <v>75</v>
      </c>
      <c r="B903" s="1">
        <v>45874</v>
      </c>
      <c r="C903" s="1">
        <v>45874</v>
      </c>
      <c r="D903">
        <v>143007</v>
      </c>
      <c r="E903">
        <v>63</v>
      </c>
      <c r="F903" s="3" t="s">
        <v>843</v>
      </c>
      <c r="G903" s="4">
        <v>58836.5</v>
      </c>
      <c r="H903" s="4">
        <v>0</v>
      </c>
      <c r="I903" s="4">
        <v>-25779390</v>
      </c>
    </row>
    <row r="904" spans="1:9" x14ac:dyDescent="0.3">
      <c r="A904" t="s">
        <v>75</v>
      </c>
      <c r="B904" s="1">
        <v>45874</v>
      </c>
      <c r="C904" s="1">
        <v>45874</v>
      </c>
      <c r="D904">
        <v>143008</v>
      </c>
      <c r="E904">
        <v>14</v>
      </c>
      <c r="F904" s="3" t="s">
        <v>844</v>
      </c>
      <c r="G904" s="4">
        <v>67112</v>
      </c>
      <c r="H904" s="4">
        <v>0</v>
      </c>
      <c r="I904" s="4">
        <v>-25712278</v>
      </c>
    </row>
    <row r="905" spans="1:9" x14ac:dyDescent="0.3">
      <c r="A905" t="s">
        <v>75</v>
      </c>
      <c r="B905" s="1">
        <v>45874</v>
      </c>
      <c r="C905" s="1">
        <v>45874</v>
      </c>
      <c r="D905">
        <v>143009</v>
      </c>
      <c r="E905">
        <v>23</v>
      </c>
      <c r="F905" s="3" t="s">
        <v>845</v>
      </c>
      <c r="G905" s="4">
        <v>20991</v>
      </c>
      <c r="H905" s="4">
        <v>0</v>
      </c>
      <c r="I905" s="4">
        <v>-25691287</v>
      </c>
    </row>
    <row r="906" spans="1:9" x14ac:dyDescent="0.3">
      <c r="A906" t="s">
        <v>75</v>
      </c>
      <c r="B906" s="1">
        <v>45874</v>
      </c>
      <c r="C906" s="1">
        <v>45874</v>
      </c>
      <c r="D906">
        <v>143011</v>
      </c>
      <c r="E906">
        <v>58</v>
      </c>
      <c r="F906" s="3" t="s">
        <v>846</v>
      </c>
      <c r="G906" s="4">
        <v>50000</v>
      </c>
      <c r="H906" s="4">
        <v>0</v>
      </c>
      <c r="I906" s="4">
        <v>-25641287</v>
      </c>
    </row>
    <row r="907" spans="1:9" x14ac:dyDescent="0.3">
      <c r="A907" t="s">
        <v>75</v>
      </c>
      <c r="B907" s="1">
        <v>45874</v>
      </c>
      <c r="C907" s="1">
        <v>45874</v>
      </c>
      <c r="D907">
        <v>143013</v>
      </c>
      <c r="E907">
        <v>14</v>
      </c>
      <c r="F907" s="3" t="s">
        <v>847</v>
      </c>
      <c r="G907" s="4">
        <v>93765</v>
      </c>
      <c r="H907" s="4">
        <v>0</v>
      </c>
      <c r="I907" s="4">
        <v>-25547522</v>
      </c>
    </row>
    <row r="908" spans="1:9" x14ac:dyDescent="0.3">
      <c r="A908" t="s">
        <v>75</v>
      </c>
      <c r="B908" s="1">
        <v>45870</v>
      </c>
      <c r="C908" s="1">
        <v>45874</v>
      </c>
      <c r="D908">
        <v>143014</v>
      </c>
      <c r="E908">
        <v>23</v>
      </c>
      <c r="F908" s="3" t="s">
        <v>848</v>
      </c>
      <c r="G908" s="4">
        <v>22315</v>
      </c>
      <c r="H908" s="4">
        <v>0</v>
      </c>
      <c r="I908" s="4">
        <v>-25525207</v>
      </c>
    </row>
    <row r="909" spans="1:9" x14ac:dyDescent="0.3">
      <c r="A909" t="s">
        <v>75</v>
      </c>
      <c r="B909" s="1">
        <v>45874</v>
      </c>
      <c r="C909" s="1">
        <v>45874</v>
      </c>
      <c r="D909">
        <v>143015</v>
      </c>
      <c r="E909">
        <v>79</v>
      </c>
      <c r="F909" s="3" t="s">
        <v>849</v>
      </c>
      <c r="G909" s="4">
        <v>5000</v>
      </c>
      <c r="H909" s="4">
        <v>0</v>
      </c>
      <c r="I909" s="4">
        <v>-25520207</v>
      </c>
    </row>
    <row r="910" spans="1:9" x14ac:dyDescent="0.3">
      <c r="A910" t="s">
        <v>75</v>
      </c>
      <c r="B910" s="1">
        <v>45874</v>
      </c>
      <c r="C910" s="1">
        <v>45874</v>
      </c>
      <c r="D910">
        <v>143016</v>
      </c>
      <c r="E910">
        <v>77</v>
      </c>
      <c r="F910" s="3" t="s">
        <v>850</v>
      </c>
      <c r="G910" s="4">
        <v>100000</v>
      </c>
      <c r="H910" s="4">
        <v>0</v>
      </c>
      <c r="I910" s="4">
        <v>-25420207</v>
      </c>
    </row>
    <row r="911" spans="1:9" x14ac:dyDescent="0.3">
      <c r="A911" t="s">
        <v>75</v>
      </c>
      <c r="B911" s="1">
        <v>45874</v>
      </c>
      <c r="C911" s="1">
        <v>45874</v>
      </c>
      <c r="D911">
        <v>143019</v>
      </c>
      <c r="E911">
        <v>62</v>
      </c>
      <c r="F911" s="3" t="s">
        <v>851</v>
      </c>
      <c r="G911" s="4">
        <v>37000</v>
      </c>
      <c r="H911" s="4">
        <v>0</v>
      </c>
      <c r="I911" s="4">
        <v>-25383207</v>
      </c>
    </row>
    <row r="912" spans="1:9" x14ac:dyDescent="0.3">
      <c r="A912" t="s">
        <v>75</v>
      </c>
      <c r="B912" s="1">
        <v>45873</v>
      </c>
      <c r="C912" s="1">
        <v>45874</v>
      </c>
      <c r="D912">
        <v>143020</v>
      </c>
      <c r="E912">
        <v>11</v>
      </c>
      <c r="F912" s="3" t="s">
        <v>852</v>
      </c>
      <c r="G912" s="4">
        <v>63025.25</v>
      </c>
      <c r="H912" s="4">
        <v>0</v>
      </c>
      <c r="I912" s="4">
        <v>-25320181.75</v>
      </c>
    </row>
    <row r="913" spans="1:9" x14ac:dyDescent="0.3">
      <c r="A913" t="s">
        <v>75</v>
      </c>
      <c r="B913" s="1">
        <v>45873</v>
      </c>
      <c r="C913" s="1">
        <v>45874</v>
      </c>
      <c r="D913">
        <v>143022</v>
      </c>
      <c r="E913">
        <v>351</v>
      </c>
      <c r="F913" s="3" t="s">
        <v>853</v>
      </c>
      <c r="G913" s="4">
        <v>190000</v>
      </c>
      <c r="H913" s="4">
        <v>0</v>
      </c>
      <c r="I913" s="4">
        <v>-25130181.75</v>
      </c>
    </row>
    <row r="914" spans="1:9" x14ac:dyDescent="0.3">
      <c r="A914" t="s">
        <v>75</v>
      </c>
      <c r="B914" s="1">
        <v>45874</v>
      </c>
      <c r="C914" s="1">
        <v>45874</v>
      </c>
      <c r="D914">
        <v>143024</v>
      </c>
      <c r="E914">
        <v>34</v>
      </c>
      <c r="F914" s="3" t="s">
        <v>854</v>
      </c>
      <c r="G914" s="4">
        <v>158238</v>
      </c>
      <c r="H914" s="4">
        <v>0</v>
      </c>
      <c r="I914" s="4">
        <v>-24971943.75</v>
      </c>
    </row>
    <row r="915" spans="1:9" x14ac:dyDescent="0.3">
      <c r="A915" t="s">
        <v>124</v>
      </c>
      <c r="B915" s="1">
        <v>45874</v>
      </c>
      <c r="C915" s="1">
        <v>45874</v>
      </c>
      <c r="D915">
        <v>22155</v>
      </c>
      <c r="E915">
        <v>11</v>
      </c>
      <c r="F915" s="3" t="s">
        <v>125</v>
      </c>
      <c r="G915" s="4">
        <v>0</v>
      </c>
      <c r="H915" s="4">
        <v>65532103.289999999</v>
      </c>
      <c r="I915" s="4">
        <v>-90504047.040000007</v>
      </c>
    </row>
    <row r="916" spans="1:9" x14ac:dyDescent="0.3">
      <c r="A916" t="s">
        <v>124</v>
      </c>
      <c r="B916" s="1">
        <v>45874</v>
      </c>
      <c r="C916" s="1">
        <v>45874</v>
      </c>
      <c r="D916">
        <v>22156</v>
      </c>
      <c r="E916">
        <v>11</v>
      </c>
      <c r="F916" s="3" t="s">
        <v>127</v>
      </c>
      <c r="G916" s="4">
        <v>15000000</v>
      </c>
      <c r="H916" s="4">
        <v>0</v>
      </c>
      <c r="I916" s="4">
        <v>-75504047.040000007</v>
      </c>
    </row>
    <row r="917" spans="1:9" x14ac:dyDescent="0.3">
      <c r="A917" t="s">
        <v>124</v>
      </c>
      <c r="B917" s="1">
        <v>45874</v>
      </c>
      <c r="C917" s="1">
        <v>45874</v>
      </c>
      <c r="D917">
        <v>22157</v>
      </c>
      <c r="E917">
        <v>11</v>
      </c>
      <c r="F917" s="3" t="s">
        <v>126</v>
      </c>
      <c r="G917" s="4">
        <v>0</v>
      </c>
      <c r="H917" s="4">
        <v>600000</v>
      </c>
      <c r="I917" s="4">
        <v>-76104047.040000007</v>
      </c>
    </row>
    <row r="918" spans="1:9" x14ac:dyDescent="0.3">
      <c r="A918" t="s">
        <v>124</v>
      </c>
      <c r="B918" s="1">
        <v>45874</v>
      </c>
      <c r="C918" s="1">
        <v>45874</v>
      </c>
      <c r="D918">
        <v>22159</v>
      </c>
      <c r="E918">
        <v>11</v>
      </c>
      <c r="F918" s="3" t="s">
        <v>127</v>
      </c>
      <c r="G918" s="4">
        <v>21600000</v>
      </c>
      <c r="H918" s="4">
        <v>0</v>
      </c>
      <c r="I918" s="4">
        <v>-54504047.039999999</v>
      </c>
    </row>
    <row r="919" spans="1:9" x14ac:dyDescent="0.3">
      <c r="A919" t="s">
        <v>124</v>
      </c>
      <c r="B919" s="1">
        <v>45874</v>
      </c>
      <c r="C919" s="1">
        <v>45874</v>
      </c>
      <c r="D919">
        <v>22161</v>
      </c>
      <c r="E919">
        <v>11</v>
      </c>
      <c r="F919" s="3" t="s">
        <v>128</v>
      </c>
      <c r="G919" s="4">
        <v>10000000</v>
      </c>
      <c r="H919" s="4">
        <v>0</v>
      </c>
      <c r="I919" s="4">
        <v>-44504047.039999999</v>
      </c>
    </row>
    <row r="920" spans="1:9" x14ac:dyDescent="0.3">
      <c r="A920" t="s">
        <v>124</v>
      </c>
      <c r="B920" s="1">
        <v>45874</v>
      </c>
      <c r="C920" s="1">
        <v>45874</v>
      </c>
      <c r="D920">
        <v>22162</v>
      </c>
      <c r="E920">
        <v>11</v>
      </c>
      <c r="F920" s="3" t="s">
        <v>128</v>
      </c>
      <c r="G920" s="4">
        <v>12000000</v>
      </c>
      <c r="H920" s="4">
        <v>0</v>
      </c>
      <c r="I920" s="4">
        <v>-32504047.039999999</v>
      </c>
    </row>
    <row r="921" spans="1:9" x14ac:dyDescent="0.3">
      <c r="A921" t="s">
        <v>130</v>
      </c>
      <c r="B921" s="1">
        <v>45874</v>
      </c>
      <c r="C921" s="1">
        <v>45874</v>
      </c>
      <c r="D921">
        <v>3825558</v>
      </c>
      <c r="E921">
        <v>39</v>
      </c>
      <c r="F921" s="3" t="s">
        <v>855</v>
      </c>
      <c r="G921" s="4">
        <v>0</v>
      </c>
      <c r="H921" s="4">
        <v>10000000</v>
      </c>
      <c r="I921" s="4">
        <v>-42504047.039999999</v>
      </c>
    </row>
    <row r="922" spans="1:9" x14ac:dyDescent="0.3">
      <c r="A922" t="s">
        <v>133</v>
      </c>
      <c r="B922" s="1">
        <v>45874</v>
      </c>
      <c r="C922" s="1">
        <v>45874</v>
      </c>
      <c r="D922">
        <v>911751</v>
      </c>
      <c r="E922">
        <v>12</v>
      </c>
      <c r="F922" s="3">
        <v>75</v>
      </c>
      <c r="G922" s="4">
        <v>37278.5</v>
      </c>
      <c r="H922" s="4">
        <v>0</v>
      </c>
      <c r="I922" s="4">
        <v>-42466768.539999999</v>
      </c>
    </row>
    <row r="923" spans="1:9" x14ac:dyDescent="0.3">
      <c r="A923" t="s">
        <v>133</v>
      </c>
      <c r="B923" s="1">
        <v>45874</v>
      </c>
      <c r="C923" s="1">
        <v>45874</v>
      </c>
      <c r="D923">
        <v>911753</v>
      </c>
      <c r="E923">
        <v>12</v>
      </c>
      <c r="F923" s="3" t="s">
        <v>856</v>
      </c>
      <c r="G923" s="4">
        <v>988254</v>
      </c>
      <c r="H923" s="4">
        <v>0</v>
      </c>
      <c r="I923" s="4">
        <v>-41478514.539999999</v>
      </c>
    </row>
    <row r="924" spans="1:9" x14ac:dyDescent="0.3">
      <c r="A924" t="s">
        <v>133</v>
      </c>
      <c r="B924" s="1">
        <v>45874</v>
      </c>
      <c r="C924" s="1">
        <v>45874</v>
      </c>
      <c r="D924">
        <v>911754</v>
      </c>
      <c r="E924">
        <v>12</v>
      </c>
      <c r="F924" s="3" t="s">
        <v>857</v>
      </c>
      <c r="G924" s="4">
        <v>23155.25</v>
      </c>
      <c r="H924" s="4">
        <v>0</v>
      </c>
      <c r="I924" s="4">
        <v>-41455359.289999999</v>
      </c>
    </row>
    <row r="925" spans="1:9" x14ac:dyDescent="0.3">
      <c r="A925" t="s">
        <v>133</v>
      </c>
      <c r="B925" s="1">
        <v>45874</v>
      </c>
      <c r="C925" s="1">
        <v>45874</v>
      </c>
      <c r="D925">
        <v>911759</v>
      </c>
      <c r="E925">
        <v>84</v>
      </c>
      <c r="F925" s="3" t="s">
        <v>858</v>
      </c>
      <c r="G925" s="4">
        <v>150000</v>
      </c>
      <c r="H925" s="4">
        <v>0</v>
      </c>
      <c r="I925" s="4">
        <v>-41305359.289999999</v>
      </c>
    </row>
    <row r="926" spans="1:9" x14ac:dyDescent="0.3">
      <c r="A926" t="s">
        <v>133</v>
      </c>
      <c r="B926" s="1">
        <v>45874</v>
      </c>
      <c r="C926" s="1">
        <v>45874</v>
      </c>
      <c r="D926">
        <v>911761</v>
      </c>
      <c r="E926">
        <v>542</v>
      </c>
      <c r="F926" s="3">
        <v>975</v>
      </c>
      <c r="G926" s="4">
        <v>1291.25</v>
      </c>
      <c r="H926" s="4">
        <v>0</v>
      </c>
      <c r="I926" s="4">
        <v>-41304068.039999999</v>
      </c>
    </row>
    <row r="927" spans="1:9" x14ac:dyDescent="0.3">
      <c r="A927" t="s">
        <v>133</v>
      </c>
      <c r="B927" s="1">
        <v>45874</v>
      </c>
      <c r="C927" s="1">
        <v>45874</v>
      </c>
      <c r="D927">
        <v>911762</v>
      </c>
      <c r="E927">
        <v>84</v>
      </c>
      <c r="F927" s="3" t="s">
        <v>859</v>
      </c>
      <c r="G927" s="4">
        <v>25778.5</v>
      </c>
      <c r="H927" s="4">
        <v>0</v>
      </c>
      <c r="I927" s="4">
        <v>-41278289.539999999</v>
      </c>
    </row>
    <row r="928" spans="1:9" x14ac:dyDescent="0.3">
      <c r="A928" t="s">
        <v>133</v>
      </c>
      <c r="B928" s="1">
        <v>45874</v>
      </c>
      <c r="C928" s="1">
        <v>45874</v>
      </c>
      <c r="D928">
        <v>911763</v>
      </c>
      <c r="E928">
        <v>84</v>
      </c>
      <c r="F928" s="3" t="s">
        <v>860</v>
      </c>
      <c r="G928" s="4">
        <v>4230</v>
      </c>
      <c r="H928" s="4">
        <v>0</v>
      </c>
      <c r="I928" s="4">
        <v>-41274059.539999999</v>
      </c>
    </row>
    <row r="929" spans="1:9" x14ac:dyDescent="0.3">
      <c r="A929" t="s">
        <v>133</v>
      </c>
      <c r="B929" s="1">
        <v>45874</v>
      </c>
      <c r="C929" s="1">
        <v>45874</v>
      </c>
      <c r="D929">
        <v>911771</v>
      </c>
      <c r="E929">
        <v>38</v>
      </c>
      <c r="F929" s="3">
        <v>63</v>
      </c>
      <c r="G929" s="4">
        <v>13170</v>
      </c>
      <c r="H929" s="4">
        <v>0</v>
      </c>
      <c r="I929" s="4">
        <v>-41260889.539999999</v>
      </c>
    </row>
    <row r="930" spans="1:9" x14ac:dyDescent="0.3">
      <c r="A930" t="s">
        <v>133</v>
      </c>
      <c r="B930" s="1">
        <v>45874</v>
      </c>
      <c r="C930" s="1">
        <v>45874</v>
      </c>
      <c r="D930">
        <v>911781</v>
      </c>
      <c r="E930">
        <v>43</v>
      </c>
      <c r="F930" s="3" t="s">
        <v>861</v>
      </c>
      <c r="G930" s="4">
        <v>2400</v>
      </c>
      <c r="H930" s="4">
        <v>0</v>
      </c>
      <c r="I930" s="4">
        <v>-41258489.539999999</v>
      </c>
    </row>
    <row r="931" spans="1:9" x14ac:dyDescent="0.3">
      <c r="A931" t="s">
        <v>133</v>
      </c>
      <c r="B931" s="1">
        <v>45874</v>
      </c>
      <c r="C931" s="1">
        <v>45874</v>
      </c>
      <c r="D931">
        <v>911782</v>
      </c>
      <c r="E931">
        <v>43</v>
      </c>
      <c r="F931" s="3" t="s">
        <v>862</v>
      </c>
      <c r="G931" s="4">
        <v>250000</v>
      </c>
      <c r="H931" s="4">
        <v>0</v>
      </c>
      <c r="I931" s="4">
        <v>-41008489.539999999</v>
      </c>
    </row>
    <row r="932" spans="1:9" x14ac:dyDescent="0.3">
      <c r="A932" t="s">
        <v>133</v>
      </c>
      <c r="B932" s="1">
        <v>45874</v>
      </c>
      <c r="C932" s="1">
        <v>45874</v>
      </c>
      <c r="D932">
        <v>911783</v>
      </c>
      <c r="E932">
        <v>86</v>
      </c>
      <c r="F932" s="3" t="s">
        <v>863</v>
      </c>
      <c r="G932" s="4">
        <v>321089.5</v>
      </c>
      <c r="H932" s="4">
        <v>0</v>
      </c>
      <c r="I932" s="4">
        <v>-40687400.039999999</v>
      </c>
    </row>
    <row r="933" spans="1:9" x14ac:dyDescent="0.3">
      <c r="A933" t="s">
        <v>133</v>
      </c>
      <c r="B933" s="1">
        <v>45874</v>
      </c>
      <c r="C933" s="1">
        <v>45874</v>
      </c>
      <c r="D933">
        <v>911784</v>
      </c>
      <c r="E933">
        <v>43</v>
      </c>
      <c r="F933" s="3" t="s">
        <v>864</v>
      </c>
      <c r="G933" s="4">
        <v>250000</v>
      </c>
      <c r="H933" s="4">
        <v>0</v>
      </c>
      <c r="I933" s="4">
        <v>-40437400.039999999</v>
      </c>
    </row>
    <row r="934" spans="1:9" x14ac:dyDescent="0.3">
      <c r="A934" t="s">
        <v>133</v>
      </c>
      <c r="B934" s="1">
        <v>45874</v>
      </c>
      <c r="C934" s="1">
        <v>45874</v>
      </c>
      <c r="D934">
        <v>911785</v>
      </c>
      <c r="E934">
        <v>86</v>
      </c>
      <c r="F934" s="3" t="s">
        <v>865</v>
      </c>
      <c r="G934" s="4">
        <v>325000</v>
      </c>
      <c r="H934" s="4">
        <v>0</v>
      </c>
      <c r="I934" s="4">
        <v>-40112400.039999999</v>
      </c>
    </row>
    <row r="935" spans="1:9" x14ac:dyDescent="0.3">
      <c r="A935" t="s">
        <v>133</v>
      </c>
      <c r="B935" s="1">
        <v>45874</v>
      </c>
      <c r="C935" s="1">
        <v>45874</v>
      </c>
      <c r="D935">
        <v>911786</v>
      </c>
      <c r="E935">
        <v>86</v>
      </c>
      <c r="F935" s="3" t="s">
        <v>866</v>
      </c>
      <c r="G935" s="4">
        <v>376961.5</v>
      </c>
      <c r="H935" s="4">
        <v>0</v>
      </c>
      <c r="I935" s="4">
        <v>-39735438.539999999</v>
      </c>
    </row>
    <row r="936" spans="1:9" x14ac:dyDescent="0.3">
      <c r="A936" t="s">
        <v>133</v>
      </c>
      <c r="B936" s="1">
        <v>45874</v>
      </c>
      <c r="C936" s="1">
        <v>45874</v>
      </c>
      <c r="D936">
        <v>911787</v>
      </c>
      <c r="E936">
        <v>86</v>
      </c>
      <c r="F936" s="3" t="s">
        <v>867</v>
      </c>
      <c r="G936" s="4">
        <v>375219.5</v>
      </c>
      <c r="H936" s="4">
        <v>0</v>
      </c>
      <c r="I936" s="4">
        <v>-39360219.039999999</v>
      </c>
    </row>
    <row r="937" spans="1:9" x14ac:dyDescent="0.3">
      <c r="A937" t="s">
        <v>133</v>
      </c>
      <c r="B937" s="1">
        <v>45874</v>
      </c>
      <c r="C937" s="1">
        <v>45874</v>
      </c>
      <c r="D937">
        <v>911788</v>
      </c>
      <c r="E937">
        <v>43</v>
      </c>
      <c r="F937" s="3" t="s">
        <v>868</v>
      </c>
      <c r="G937" s="4">
        <v>48910</v>
      </c>
      <c r="H937" s="4">
        <v>0</v>
      </c>
      <c r="I937" s="4">
        <v>-39311309.039999999</v>
      </c>
    </row>
    <row r="938" spans="1:9" x14ac:dyDescent="0.3">
      <c r="A938" t="s">
        <v>133</v>
      </c>
      <c r="B938" s="1">
        <v>45874</v>
      </c>
      <c r="C938" s="1">
        <v>45874</v>
      </c>
      <c r="D938">
        <v>911796</v>
      </c>
      <c r="E938">
        <v>13</v>
      </c>
      <c r="F938" s="3" t="s">
        <v>869</v>
      </c>
      <c r="G938" s="4">
        <v>18430.5</v>
      </c>
      <c r="H938" s="4">
        <v>0</v>
      </c>
      <c r="I938" s="4">
        <v>-39292878.539999999</v>
      </c>
    </row>
    <row r="939" spans="1:9" x14ac:dyDescent="0.3">
      <c r="A939" t="s">
        <v>133</v>
      </c>
      <c r="B939" s="1">
        <v>45874</v>
      </c>
      <c r="C939" s="1">
        <v>45874</v>
      </c>
      <c r="D939">
        <v>911797</v>
      </c>
      <c r="E939">
        <v>31</v>
      </c>
      <c r="F939" s="3" t="s">
        <v>870</v>
      </c>
      <c r="G939" s="4">
        <v>449646</v>
      </c>
      <c r="H939" s="4">
        <v>0</v>
      </c>
      <c r="I939" s="4">
        <v>-38843232.539999999</v>
      </c>
    </row>
    <row r="940" spans="1:9" x14ac:dyDescent="0.3">
      <c r="A940" t="s">
        <v>133</v>
      </c>
      <c r="B940" s="1">
        <v>45874</v>
      </c>
      <c r="C940" s="1">
        <v>45874</v>
      </c>
      <c r="D940">
        <v>911802</v>
      </c>
      <c r="E940">
        <v>13</v>
      </c>
      <c r="F940" s="3" t="s">
        <v>871</v>
      </c>
      <c r="G940" s="4">
        <v>4456</v>
      </c>
      <c r="H940" s="4">
        <v>0</v>
      </c>
      <c r="I940" s="4">
        <v>-38838776.539999999</v>
      </c>
    </row>
    <row r="941" spans="1:9" x14ac:dyDescent="0.3">
      <c r="A941" t="s">
        <v>133</v>
      </c>
      <c r="B941" s="1">
        <v>45874</v>
      </c>
      <c r="C941" s="1">
        <v>45874</v>
      </c>
      <c r="D941">
        <v>911824</v>
      </c>
      <c r="E941">
        <v>220</v>
      </c>
      <c r="F941" s="3" t="s">
        <v>872</v>
      </c>
      <c r="G941" s="4">
        <v>60012</v>
      </c>
      <c r="H941" s="4">
        <v>0</v>
      </c>
      <c r="I941" s="4">
        <v>-38778764.539999999</v>
      </c>
    </row>
    <row r="942" spans="1:9" x14ac:dyDescent="0.3">
      <c r="A942" t="s">
        <v>133</v>
      </c>
      <c r="B942" s="1">
        <v>45874</v>
      </c>
      <c r="C942" s="1">
        <v>45874</v>
      </c>
      <c r="D942">
        <v>911825</v>
      </c>
      <c r="E942">
        <v>220</v>
      </c>
      <c r="F942" s="3" t="s">
        <v>873</v>
      </c>
      <c r="G942" s="4">
        <v>183735.5</v>
      </c>
      <c r="H942" s="4">
        <v>0</v>
      </c>
      <c r="I942" s="4">
        <v>-38595029.039999999</v>
      </c>
    </row>
    <row r="943" spans="1:9" x14ac:dyDescent="0.3">
      <c r="A943" t="s">
        <v>133</v>
      </c>
      <c r="B943" s="1">
        <v>45874</v>
      </c>
      <c r="C943" s="1">
        <v>45874</v>
      </c>
      <c r="D943">
        <v>911827</v>
      </c>
      <c r="E943">
        <v>75</v>
      </c>
      <c r="F943" s="3" t="s">
        <v>874</v>
      </c>
      <c r="G943" s="4">
        <v>100000</v>
      </c>
      <c r="H943" s="4">
        <v>0</v>
      </c>
      <c r="I943" s="4">
        <v>-38495029.039999999</v>
      </c>
    </row>
    <row r="944" spans="1:9" x14ac:dyDescent="0.3">
      <c r="A944" t="s">
        <v>133</v>
      </c>
      <c r="B944" s="1">
        <v>45874</v>
      </c>
      <c r="C944" s="1">
        <v>45874</v>
      </c>
      <c r="D944">
        <v>911832</v>
      </c>
      <c r="E944">
        <v>78</v>
      </c>
      <c r="F944" s="3" t="s">
        <v>875</v>
      </c>
      <c r="G944" s="4">
        <v>50026.5</v>
      </c>
      <c r="H944" s="4">
        <v>0</v>
      </c>
      <c r="I944" s="4">
        <v>-38445002.539999999</v>
      </c>
    </row>
    <row r="945" spans="1:9" x14ac:dyDescent="0.3">
      <c r="A945" t="s">
        <v>133</v>
      </c>
      <c r="B945" s="1">
        <v>45874</v>
      </c>
      <c r="C945" s="1">
        <v>45874</v>
      </c>
      <c r="D945">
        <v>911833</v>
      </c>
      <c r="E945">
        <v>78</v>
      </c>
      <c r="F945" s="3" t="s">
        <v>876</v>
      </c>
      <c r="G945" s="4">
        <v>100000</v>
      </c>
      <c r="H945" s="4">
        <v>0</v>
      </c>
      <c r="I945" s="4">
        <v>-38345002.539999999</v>
      </c>
    </row>
    <row r="946" spans="1:9" x14ac:dyDescent="0.3">
      <c r="A946" t="s">
        <v>133</v>
      </c>
      <c r="B946" s="1">
        <v>45874</v>
      </c>
      <c r="C946" s="1">
        <v>45874</v>
      </c>
      <c r="D946">
        <v>911837</v>
      </c>
      <c r="E946">
        <v>88</v>
      </c>
      <c r="F946" s="3" t="s">
        <v>877</v>
      </c>
      <c r="G946" s="4">
        <v>196105</v>
      </c>
      <c r="H946" s="4">
        <v>0</v>
      </c>
      <c r="I946" s="4">
        <v>-38148897.539999999</v>
      </c>
    </row>
    <row r="947" spans="1:9" x14ac:dyDescent="0.3">
      <c r="A947" t="s">
        <v>133</v>
      </c>
      <c r="B947" s="1">
        <v>45874</v>
      </c>
      <c r="C947" s="1">
        <v>45874</v>
      </c>
      <c r="D947">
        <v>911838</v>
      </c>
      <c r="E947">
        <v>11</v>
      </c>
      <c r="F947" s="3" t="s">
        <v>878</v>
      </c>
      <c r="G947" s="4">
        <v>334114</v>
      </c>
      <c r="H947" s="4">
        <v>0</v>
      </c>
      <c r="I947" s="4">
        <v>-37814783.539999999</v>
      </c>
    </row>
    <row r="948" spans="1:9" x14ac:dyDescent="0.3">
      <c r="A948" t="s">
        <v>133</v>
      </c>
      <c r="B948" s="1">
        <v>45874</v>
      </c>
      <c r="C948" s="1">
        <v>45874</v>
      </c>
      <c r="D948">
        <v>911840</v>
      </c>
      <c r="E948">
        <v>51</v>
      </c>
      <c r="F948" s="3" t="s">
        <v>879</v>
      </c>
      <c r="G948" s="4">
        <v>500000</v>
      </c>
      <c r="H948" s="4">
        <v>0</v>
      </c>
      <c r="I948" s="4">
        <v>-37314783.539999999</v>
      </c>
    </row>
    <row r="949" spans="1:9" x14ac:dyDescent="0.3">
      <c r="A949" t="s">
        <v>133</v>
      </c>
      <c r="B949" s="1">
        <v>45874</v>
      </c>
      <c r="C949" s="1">
        <v>45874</v>
      </c>
      <c r="D949">
        <v>911846</v>
      </c>
      <c r="E949">
        <v>78</v>
      </c>
      <c r="F949" s="3" t="s">
        <v>880</v>
      </c>
      <c r="G949" s="4">
        <v>30000</v>
      </c>
      <c r="H949" s="4">
        <v>0</v>
      </c>
      <c r="I949" s="4">
        <v>-37284783.539999999</v>
      </c>
    </row>
    <row r="950" spans="1:9" x14ac:dyDescent="0.3">
      <c r="A950" t="s">
        <v>133</v>
      </c>
      <c r="B950" s="1">
        <v>45874</v>
      </c>
      <c r="C950" s="1">
        <v>45874</v>
      </c>
      <c r="D950">
        <v>911849</v>
      </c>
      <c r="E950">
        <v>11</v>
      </c>
      <c r="F950" s="3" t="s">
        <v>881</v>
      </c>
      <c r="G950" s="4">
        <v>207547.25</v>
      </c>
      <c r="H950" s="4">
        <v>0</v>
      </c>
      <c r="I950" s="4">
        <v>-37077236.289999999</v>
      </c>
    </row>
    <row r="951" spans="1:9" x14ac:dyDescent="0.3">
      <c r="A951" t="s">
        <v>133</v>
      </c>
      <c r="B951" s="1">
        <v>45874</v>
      </c>
      <c r="C951" s="1">
        <v>45874</v>
      </c>
      <c r="D951">
        <v>911852</v>
      </c>
      <c r="E951">
        <v>27</v>
      </c>
      <c r="F951" s="3" t="s">
        <v>882</v>
      </c>
      <c r="G951" s="4">
        <v>42053</v>
      </c>
      <c r="H951" s="4">
        <v>0</v>
      </c>
      <c r="I951" s="4">
        <v>-37035183.289999999</v>
      </c>
    </row>
    <row r="952" spans="1:9" x14ac:dyDescent="0.3">
      <c r="A952" t="s">
        <v>133</v>
      </c>
      <c r="B952" s="1">
        <v>45874</v>
      </c>
      <c r="C952" s="1">
        <v>45874</v>
      </c>
      <c r="D952">
        <v>911853</v>
      </c>
      <c r="E952">
        <v>12</v>
      </c>
      <c r="F952" s="3" t="s">
        <v>883</v>
      </c>
      <c r="G952" s="4">
        <v>110836.5</v>
      </c>
      <c r="H952" s="4">
        <v>0</v>
      </c>
      <c r="I952" s="4">
        <v>-36924346.789999999</v>
      </c>
    </row>
    <row r="953" spans="1:9" x14ac:dyDescent="0.3">
      <c r="A953" t="s">
        <v>133</v>
      </c>
      <c r="B953" s="1">
        <v>45874</v>
      </c>
      <c r="C953" s="1">
        <v>45874</v>
      </c>
      <c r="D953">
        <v>911854</v>
      </c>
      <c r="E953">
        <v>63</v>
      </c>
      <c r="F953" s="3" t="s">
        <v>884</v>
      </c>
      <c r="G953" s="4">
        <v>19712.5</v>
      </c>
      <c r="H953" s="4">
        <v>0</v>
      </c>
      <c r="I953" s="4">
        <v>-36904634.289999999</v>
      </c>
    </row>
    <row r="954" spans="1:9" x14ac:dyDescent="0.3">
      <c r="A954" t="s">
        <v>133</v>
      </c>
      <c r="B954" s="1">
        <v>45874</v>
      </c>
      <c r="C954" s="1">
        <v>45874</v>
      </c>
      <c r="D954">
        <v>911856</v>
      </c>
      <c r="E954">
        <v>73</v>
      </c>
      <c r="F954" s="3" t="s">
        <v>885</v>
      </c>
      <c r="G954" s="4">
        <v>470000</v>
      </c>
      <c r="H954" s="4">
        <v>0</v>
      </c>
      <c r="I954" s="4">
        <v>-36434634.289999999</v>
      </c>
    </row>
    <row r="955" spans="1:9" x14ac:dyDescent="0.3">
      <c r="A955" t="s">
        <v>133</v>
      </c>
      <c r="B955" s="1">
        <v>45874</v>
      </c>
      <c r="C955" s="1">
        <v>45874</v>
      </c>
      <c r="D955">
        <v>911859</v>
      </c>
      <c r="E955">
        <v>43</v>
      </c>
      <c r="F955" s="3" t="s">
        <v>886</v>
      </c>
      <c r="G955" s="4">
        <v>2370.5</v>
      </c>
      <c r="H955" s="4">
        <v>0</v>
      </c>
      <c r="I955" s="4">
        <v>-36432263.789999999</v>
      </c>
    </row>
    <row r="956" spans="1:9" x14ac:dyDescent="0.3">
      <c r="A956" t="s">
        <v>133</v>
      </c>
      <c r="B956" s="1">
        <v>45874</v>
      </c>
      <c r="C956" s="1">
        <v>45874</v>
      </c>
      <c r="D956">
        <v>911879</v>
      </c>
      <c r="E956">
        <v>11</v>
      </c>
      <c r="F956" s="3" t="s">
        <v>887</v>
      </c>
      <c r="G956" s="4">
        <v>54584</v>
      </c>
      <c r="H956" s="4">
        <v>0</v>
      </c>
      <c r="I956" s="4">
        <v>-36377679.789999999</v>
      </c>
    </row>
    <row r="957" spans="1:9" x14ac:dyDescent="0.3">
      <c r="A957" t="s">
        <v>133</v>
      </c>
      <c r="B957" s="1">
        <v>45874</v>
      </c>
      <c r="C957" s="1">
        <v>45874</v>
      </c>
      <c r="D957">
        <v>911890</v>
      </c>
      <c r="E957">
        <v>45</v>
      </c>
      <c r="F957" s="3" t="s">
        <v>888</v>
      </c>
      <c r="G957" s="4">
        <v>200000</v>
      </c>
      <c r="H957" s="4">
        <v>0</v>
      </c>
      <c r="I957" s="4">
        <v>-36177679.789999999</v>
      </c>
    </row>
    <row r="958" spans="1:9" x14ac:dyDescent="0.3">
      <c r="A958" t="s">
        <v>133</v>
      </c>
      <c r="B958" s="1">
        <v>45874</v>
      </c>
      <c r="C958" s="1">
        <v>45874</v>
      </c>
      <c r="D958">
        <v>911891</v>
      </c>
      <c r="E958">
        <v>13</v>
      </c>
      <c r="F958" s="3" t="s">
        <v>889</v>
      </c>
      <c r="G958" s="4">
        <v>67225.25</v>
      </c>
      <c r="H958" s="4">
        <v>0</v>
      </c>
      <c r="I958" s="4">
        <v>-36110454.539999999</v>
      </c>
    </row>
    <row r="959" spans="1:9" x14ac:dyDescent="0.3">
      <c r="A959" t="s">
        <v>133</v>
      </c>
      <c r="B959" s="1">
        <v>45874</v>
      </c>
      <c r="C959" s="1">
        <v>45874</v>
      </c>
      <c r="D959">
        <v>911892</v>
      </c>
      <c r="E959">
        <v>351</v>
      </c>
      <c r="F959" s="3" t="s">
        <v>890</v>
      </c>
      <c r="G959" s="4">
        <v>93150.75</v>
      </c>
      <c r="H959" s="4">
        <v>0</v>
      </c>
      <c r="I959" s="4">
        <v>-36017303.789999999</v>
      </c>
    </row>
    <row r="960" spans="1:9" x14ac:dyDescent="0.3">
      <c r="A960" t="s">
        <v>133</v>
      </c>
      <c r="B960" s="1">
        <v>45874</v>
      </c>
      <c r="C960" s="1">
        <v>45874</v>
      </c>
      <c r="D960">
        <v>911893</v>
      </c>
      <c r="E960">
        <v>351</v>
      </c>
      <c r="F960" s="3" t="s">
        <v>891</v>
      </c>
      <c r="G960" s="4">
        <v>25256</v>
      </c>
      <c r="H960" s="4">
        <v>0</v>
      </c>
      <c r="I960" s="4">
        <v>-35992047.789999999</v>
      </c>
    </row>
    <row r="961" spans="1:9" x14ac:dyDescent="0.3">
      <c r="A961" t="s">
        <v>133</v>
      </c>
      <c r="B961" s="1">
        <v>45874</v>
      </c>
      <c r="C961" s="1">
        <v>45874</v>
      </c>
      <c r="D961">
        <v>911894</v>
      </c>
      <c r="E961">
        <v>351</v>
      </c>
      <c r="F961" s="3" t="s">
        <v>892</v>
      </c>
      <c r="G961" s="4">
        <v>2445</v>
      </c>
      <c r="H961" s="4">
        <v>0</v>
      </c>
      <c r="I961" s="4">
        <v>-35989602.789999999</v>
      </c>
    </row>
    <row r="962" spans="1:9" x14ac:dyDescent="0.3">
      <c r="A962" t="s">
        <v>133</v>
      </c>
      <c r="B962" s="1">
        <v>45874</v>
      </c>
      <c r="C962" s="1">
        <v>45874</v>
      </c>
      <c r="D962">
        <v>911898</v>
      </c>
      <c r="E962">
        <v>282</v>
      </c>
      <c r="F962" s="3" t="s">
        <v>893</v>
      </c>
      <c r="G962" s="4">
        <v>260000</v>
      </c>
      <c r="H962" s="4">
        <v>0</v>
      </c>
      <c r="I962" s="4">
        <v>-35729602.789999999</v>
      </c>
    </row>
    <row r="963" spans="1:9" x14ac:dyDescent="0.3">
      <c r="A963" t="s">
        <v>133</v>
      </c>
      <c r="B963" s="1">
        <v>45874</v>
      </c>
      <c r="C963" s="1">
        <v>45874</v>
      </c>
      <c r="D963">
        <v>911900</v>
      </c>
      <c r="E963">
        <v>351</v>
      </c>
      <c r="F963" s="3" t="s">
        <v>894</v>
      </c>
      <c r="G963" s="4">
        <v>2445</v>
      </c>
      <c r="H963" s="4">
        <v>0</v>
      </c>
      <c r="I963" s="4">
        <v>-35727157.789999999</v>
      </c>
    </row>
    <row r="964" spans="1:9" x14ac:dyDescent="0.3">
      <c r="A964" t="s">
        <v>133</v>
      </c>
      <c r="B964" s="1">
        <v>45874</v>
      </c>
      <c r="C964" s="1">
        <v>45874</v>
      </c>
      <c r="D964">
        <v>911902</v>
      </c>
      <c r="E964">
        <v>310</v>
      </c>
      <c r="F964" s="3" t="s">
        <v>895</v>
      </c>
      <c r="G964" s="4">
        <v>711514.25</v>
      </c>
      <c r="H964" s="4">
        <v>0</v>
      </c>
      <c r="I964" s="4">
        <v>-35015643.539999999</v>
      </c>
    </row>
    <row r="965" spans="1:9" x14ac:dyDescent="0.3">
      <c r="A965" t="s">
        <v>133</v>
      </c>
      <c r="B965" s="1">
        <v>45874</v>
      </c>
      <c r="C965" s="1">
        <v>45874</v>
      </c>
      <c r="D965">
        <v>911903</v>
      </c>
      <c r="E965">
        <v>23</v>
      </c>
      <c r="F965" s="3" t="s">
        <v>896</v>
      </c>
      <c r="G965" s="4">
        <v>21192.25</v>
      </c>
      <c r="H965" s="4">
        <v>0</v>
      </c>
      <c r="I965" s="4">
        <v>-34994451.289999999</v>
      </c>
    </row>
    <row r="966" spans="1:9" x14ac:dyDescent="0.3">
      <c r="A966" t="s">
        <v>133</v>
      </c>
      <c r="B966" s="1">
        <v>45874</v>
      </c>
      <c r="C966" s="1">
        <v>45874</v>
      </c>
      <c r="D966">
        <v>911904</v>
      </c>
      <c r="E966">
        <v>382</v>
      </c>
      <c r="F966" s="3">
        <v>50778749157</v>
      </c>
      <c r="G966" s="4">
        <v>12322.5</v>
      </c>
      <c r="H966" s="4">
        <v>0</v>
      </c>
      <c r="I966" s="4">
        <v>-34982128.789999999</v>
      </c>
    </row>
    <row r="967" spans="1:9" x14ac:dyDescent="0.3">
      <c r="A967" t="s">
        <v>133</v>
      </c>
      <c r="B967" s="1">
        <v>45874</v>
      </c>
      <c r="C967" s="1">
        <v>45874</v>
      </c>
      <c r="D967">
        <v>911907</v>
      </c>
      <c r="E967">
        <v>85</v>
      </c>
      <c r="F967" s="3" t="s">
        <v>897</v>
      </c>
      <c r="G967" s="4">
        <v>4989.5</v>
      </c>
      <c r="H967" s="4">
        <v>0</v>
      </c>
      <c r="I967" s="4">
        <v>-34977139.289999999</v>
      </c>
    </row>
    <row r="968" spans="1:9" x14ac:dyDescent="0.3">
      <c r="A968" t="s">
        <v>133</v>
      </c>
      <c r="B968" s="1">
        <v>45874</v>
      </c>
      <c r="C968" s="1">
        <v>45874</v>
      </c>
      <c r="D968">
        <v>911908</v>
      </c>
      <c r="E968">
        <v>85</v>
      </c>
      <c r="F968" s="3" t="s">
        <v>898</v>
      </c>
      <c r="G968" s="4">
        <v>2116.5</v>
      </c>
      <c r="H968" s="4">
        <v>0</v>
      </c>
      <c r="I968" s="4">
        <v>-34975022.789999999</v>
      </c>
    </row>
    <row r="969" spans="1:9" x14ac:dyDescent="0.3">
      <c r="A969" t="s">
        <v>133</v>
      </c>
      <c r="B969" s="1">
        <v>45874</v>
      </c>
      <c r="C969" s="1">
        <v>45874</v>
      </c>
      <c r="D969">
        <v>911909</v>
      </c>
      <c r="E969">
        <v>351</v>
      </c>
      <c r="F969" s="3" t="s">
        <v>899</v>
      </c>
      <c r="G969" s="4">
        <v>28876</v>
      </c>
      <c r="H969" s="4">
        <v>0</v>
      </c>
      <c r="I969" s="4">
        <v>-34946146.789999999</v>
      </c>
    </row>
    <row r="970" spans="1:9" x14ac:dyDescent="0.3">
      <c r="A970" t="s">
        <v>133</v>
      </c>
      <c r="B970" s="1">
        <v>45874</v>
      </c>
      <c r="C970" s="1">
        <v>45874</v>
      </c>
      <c r="D970">
        <v>911911</v>
      </c>
      <c r="E970">
        <v>69</v>
      </c>
      <c r="F970" s="3" t="s">
        <v>900</v>
      </c>
      <c r="G970" s="4">
        <v>13759.75</v>
      </c>
      <c r="H970" s="4">
        <v>0</v>
      </c>
      <c r="I970" s="4">
        <v>-34932387.039999999</v>
      </c>
    </row>
    <row r="971" spans="1:9" x14ac:dyDescent="0.3">
      <c r="A971" t="s">
        <v>133</v>
      </c>
      <c r="B971" s="1">
        <v>45874</v>
      </c>
      <c r="C971" s="1">
        <v>45874</v>
      </c>
      <c r="D971">
        <v>911922</v>
      </c>
      <c r="E971">
        <v>91</v>
      </c>
      <c r="F971" s="3" t="s">
        <v>901</v>
      </c>
      <c r="G971" s="4">
        <v>19026.75</v>
      </c>
      <c r="H971" s="4">
        <v>0</v>
      </c>
      <c r="I971" s="4">
        <v>-34913360.289999999</v>
      </c>
    </row>
    <row r="972" spans="1:9" x14ac:dyDescent="0.3">
      <c r="A972" t="s">
        <v>133</v>
      </c>
      <c r="B972" s="1">
        <v>45874</v>
      </c>
      <c r="C972" s="1">
        <v>45874</v>
      </c>
      <c r="D972">
        <v>911924</v>
      </c>
      <c r="E972">
        <v>85</v>
      </c>
      <c r="F972" s="3" t="s">
        <v>902</v>
      </c>
      <c r="G972" s="4">
        <v>1883.5</v>
      </c>
      <c r="H972" s="4">
        <v>0</v>
      </c>
      <c r="I972" s="4">
        <v>-34911476.789999999</v>
      </c>
    </row>
    <row r="973" spans="1:9" x14ac:dyDescent="0.3">
      <c r="A973" t="s">
        <v>133</v>
      </c>
      <c r="B973" s="1">
        <v>45874</v>
      </c>
      <c r="C973" s="1">
        <v>45874</v>
      </c>
      <c r="D973">
        <v>911928</v>
      </c>
      <c r="E973">
        <v>45</v>
      </c>
      <c r="F973" s="3" t="s">
        <v>903</v>
      </c>
      <c r="G973" s="4">
        <v>3600</v>
      </c>
      <c r="H973" s="4">
        <v>0</v>
      </c>
      <c r="I973" s="4">
        <v>-34907876.789999999</v>
      </c>
    </row>
    <row r="974" spans="1:9" x14ac:dyDescent="0.3">
      <c r="A974" t="s">
        <v>133</v>
      </c>
      <c r="B974" s="1">
        <v>45874</v>
      </c>
      <c r="C974" s="1">
        <v>45874</v>
      </c>
      <c r="D974">
        <v>911931</v>
      </c>
      <c r="E974">
        <v>84</v>
      </c>
      <c r="F974" s="3" t="s">
        <v>904</v>
      </c>
      <c r="G974" s="4">
        <v>12626.25</v>
      </c>
      <c r="H974" s="4">
        <v>0</v>
      </c>
      <c r="I974" s="4">
        <v>-34895250.539999999</v>
      </c>
    </row>
    <row r="975" spans="1:9" x14ac:dyDescent="0.3">
      <c r="A975" t="s">
        <v>133</v>
      </c>
      <c r="B975" s="1">
        <v>45874</v>
      </c>
      <c r="C975" s="1">
        <v>45874</v>
      </c>
      <c r="D975">
        <v>911935</v>
      </c>
      <c r="E975">
        <v>85</v>
      </c>
      <c r="F975" s="3" t="s">
        <v>905</v>
      </c>
      <c r="G975" s="4">
        <v>3578.75</v>
      </c>
      <c r="H975" s="4">
        <v>0</v>
      </c>
      <c r="I975" s="4">
        <v>-34891671.789999999</v>
      </c>
    </row>
    <row r="976" spans="1:9" x14ac:dyDescent="0.3">
      <c r="A976" t="s">
        <v>133</v>
      </c>
      <c r="B976" s="1">
        <v>45874</v>
      </c>
      <c r="C976" s="1">
        <v>45874</v>
      </c>
      <c r="D976">
        <v>911936</v>
      </c>
      <c r="E976">
        <v>18</v>
      </c>
      <c r="F976" s="3" t="s">
        <v>906</v>
      </c>
      <c r="G976" s="4">
        <v>370055</v>
      </c>
      <c r="H976" s="4">
        <v>0</v>
      </c>
      <c r="I976" s="4">
        <v>-34521616.789999999</v>
      </c>
    </row>
    <row r="977" spans="1:9" x14ac:dyDescent="0.3">
      <c r="A977" t="s">
        <v>133</v>
      </c>
      <c r="B977" s="1">
        <v>45874</v>
      </c>
      <c r="C977" s="1">
        <v>45874</v>
      </c>
      <c r="D977">
        <v>911955</v>
      </c>
      <c r="E977">
        <v>66</v>
      </c>
      <c r="F977" s="3" t="s">
        <v>907</v>
      </c>
      <c r="G977" s="4">
        <v>200000</v>
      </c>
      <c r="H977" s="4">
        <v>0</v>
      </c>
      <c r="I977" s="4">
        <v>-34321616.789999999</v>
      </c>
    </row>
    <row r="978" spans="1:9" x14ac:dyDescent="0.3">
      <c r="A978" t="s">
        <v>133</v>
      </c>
      <c r="B978" s="1">
        <v>45874</v>
      </c>
      <c r="C978" s="1">
        <v>45874</v>
      </c>
      <c r="D978">
        <v>911956</v>
      </c>
      <c r="E978">
        <v>14</v>
      </c>
      <c r="F978" s="3" t="s">
        <v>908</v>
      </c>
      <c r="G978" s="4">
        <v>250000</v>
      </c>
      <c r="H978" s="4">
        <v>0</v>
      </c>
      <c r="I978" s="4">
        <v>-34071616.789999999</v>
      </c>
    </row>
    <row r="979" spans="1:9" x14ac:dyDescent="0.3">
      <c r="A979" t="s">
        <v>133</v>
      </c>
      <c r="B979" s="1">
        <v>45874</v>
      </c>
      <c r="C979" s="1">
        <v>45874</v>
      </c>
      <c r="D979">
        <v>911961</v>
      </c>
      <c r="E979">
        <v>27</v>
      </c>
      <c r="F979" s="3" t="s">
        <v>909</v>
      </c>
      <c r="G979" s="4">
        <v>46793.5</v>
      </c>
      <c r="H979" s="4">
        <v>0</v>
      </c>
      <c r="I979" s="4">
        <v>-34024823.289999999</v>
      </c>
    </row>
    <row r="980" spans="1:9" x14ac:dyDescent="0.3">
      <c r="A980" t="s">
        <v>133</v>
      </c>
      <c r="B980" s="1">
        <v>45874</v>
      </c>
      <c r="C980" s="1">
        <v>45874</v>
      </c>
      <c r="D980">
        <v>911966</v>
      </c>
      <c r="E980">
        <v>48</v>
      </c>
      <c r="F980" s="3" t="s">
        <v>910</v>
      </c>
      <c r="G980" s="4">
        <v>225</v>
      </c>
      <c r="H980" s="4">
        <v>0</v>
      </c>
      <c r="I980" s="4">
        <v>-34024598.289999999</v>
      </c>
    </row>
    <row r="981" spans="1:9" x14ac:dyDescent="0.3">
      <c r="A981" t="s">
        <v>133</v>
      </c>
      <c r="B981" s="1">
        <v>45874</v>
      </c>
      <c r="C981" s="1">
        <v>45874</v>
      </c>
      <c r="D981">
        <v>911969</v>
      </c>
      <c r="E981">
        <v>91</v>
      </c>
      <c r="F981" s="3" t="s">
        <v>911</v>
      </c>
      <c r="G981" s="4">
        <v>3973.5</v>
      </c>
      <c r="H981" s="4">
        <v>0</v>
      </c>
      <c r="I981" s="4">
        <v>-34020624.789999999</v>
      </c>
    </row>
    <row r="982" spans="1:9" x14ac:dyDescent="0.3">
      <c r="A982" t="s">
        <v>133</v>
      </c>
      <c r="B982" s="1">
        <v>45874</v>
      </c>
      <c r="C982" s="1">
        <v>45874</v>
      </c>
      <c r="D982">
        <v>911970</v>
      </c>
      <c r="E982">
        <v>412</v>
      </c>
      <c r="F982" s="3" t="s">
        <v>912</v>
      </c>
      <c r="G982" s="4">
        <v>212000</v>
      </c>
      <c r="H982" s="4">
        <v>0</v>
      </c>
      <c r="I982" s="4">
        <v>-33808624.789999999</v>
      </c>
    </row>
    <row r="983" spans="1:9" x14ac:dyDescent="0.3">
      <c r="A983" t="s">
        <v>133</v>
      </c>
      <c r="B983" s="1">
        <v>45874</v>
      </c>
      <c r="C983" s="1">
        <v>45874</v>
      </c>
      <c r="D983">
        <v>911971</v>
      </c>
      <c r="E983">
        <v>361</v>
      </c>
      <c r="F983" s="3" t="s">
        <v>913</v>
      </c>
      <c r="G983" s="4">
        <v>340000</v>
      </c>
      <c r="H983" s="4">
        <v>0</v>
      </c>
      <c r="I983" s="4">
        <v>-33468624.789999999</v>
      </c>
    </row>
    <row r="984" spans="1:9" x14ac:dyDescent="0.3">
      <c r="A984" t="s">
        <v>133</v>
      </c>
      <c r="B984" s="1">
        <v>45874</v>
      </c>
      <c r="C984" s="1">
        <v>45874</v>
      </c>
      <c r="D984">
        <v>911972</v>
      </c>
      <c r="E984">
        <v>31</v>
      </c>
      <c r="F984" s="3" t="s">
        <v>914</v>
      </c>
      <c r="G984" s="4">
        <v>450000</v>
      </c>
      <c r="H984" s="4">
        <v>0</v>
      </c>
      <c r="I984" s="4">
        <v>-33018624.789999999</v>
      </c>
    </row>
    <row r="985" spans="1:9" x14ac:dyDescent="0.3">
      <c r="A985" t="s">
        <v>133</v>
      </c>
      <c r="B985" s="1">
        <v>45874</v>
      </c>
      <c r="C985" s="1">
        <v>45874</v>
      </c>
      <c r="D985">
        <v>911978</v>
      </c>
      <c r="E985">
        <v>48</v>
      </c>
      <c r="F985" s="3" t="s">
        <v>915</v>
      </c>
      <c r="G985" s="4">
        <v>83954.25</v>
      </c>
      <c r="H985" s="4">
        <v>0</v>
      </c>
      <c r="I985" s="4">
        <v>-32934670.539999999</v>
      </c>
    </row>
    <row r="986" spans="1:9" x14ac:dyDescent="0.3">
      <c r="A986" t="s">
        <v>133</v>
      </c>
      <c r="B986" s="1">
        <v>45874</v>
      </c>
      <c r="C986" s="1">
        <v>45874</v>
      </c>
      <c r="D986">
        <v>911985</v>
      </c>
      <c r="E986">
        <v>45</v>
      </c>
      <c r="F986" s="3" t="s">
        <v>916</v>
      </c>
      <c r="G986" s="4">
        <v>36800</v>
      </c>
      <c r="H986" s="4">
        <v>0</v>
      </c>
      <c r="I986" s="4">
        <v>-32897870.539999999</v>
      </c>
    </row>
    <row r="987" spans="1:9" x14ac:dyDescent="0.3">
      <c r="A987" t="s">
        <v>133</v>
      </c>
      <c r="B987" s="1">
        <v>45874</v>
      </c>
      <c r="C987" s="1">
        <v>45874</v>
      </c>
      <c r="D987">
        <v>911986</v>
      </c>
      <c r="E987">
        <v>63</v>
      </c>
      <c r="F987" s="3" t="s">
        <v>917</v>
      </c>
      <c r="G987" s="4">
        <v>56288</v>
      </c>
      <c r="H987" s="4">
        <v>0</v>
      </c>
      <c r="I987" s="4">
        <v>-32841582.539999999</v>
      </c>
    </row>
    <row r="988" spans="1:9" x14ac:dyDescent="0.3">
      <c r="A988" t="s">
        <v>133</v>
      </c>
      <c r="B988" s="1">
        <v>45874</v>
      </c>
      <c r="C988" s="1">
        <v>45874</v>
      </c>
      <c r="D988">
        <v>911989</v>
      </c>
      <c r="E988">
        <v>12</v>
      </c>
      <c r="F988" s="3" t="s">
        <v>918</v>
      </c>
      <c r="G988" s="4">
        <v>500000</v>
      </c>
      <c r="H988" s="4">
        <v>0</v>
      </c>
      <c r="I988" s="4">
        <v>-32341582.539999999</v>
      </c>
    </row>
    <row r="989" spans="1:9" x14ac:dyDescent="0.3">
      <c r="A989" t="s">
        <v>133</v>
      </c>
      <c r="B989" s="1">
        <v>45874</v>
      </c>
      <c r="C989" s="1">
        <v>45874</v>
      </c>
      <c r="D989">
        <v>911992</v>
      </c>
      <c r="E989">
        <v>13</v>
      </c>
      <c r="F989" s="3" t="s">
        <v>919</v>
      </c>
      <c r="G989" s="4">
        <v>300000</v>
      </c>
      <c r="H989" s="4">
        <v>0</v>
      </c>
      <c r="I989" s="4">
        <v>-32041582.539999999</v>
      </c>
    </row>
    <row r="990" spans="1:9" x14ac:dyDescent="0.3">
      <c r="A990" t="s">
        <v>133</v>
      </c>
      <c r="B990" s="1">
        <v>45874</v>
      </c>
      <c r="C990" s="1">
        <v>45874</v>
      </c>
      <c r="D990">
        <v>911993</v>
      </c>
      <c r="E990">
        <v>55</v>
      </c>
      <c r="F990" s="3" t="s">
        <v>920</v>
      </c>
      <c r="G990" s="4">
        <v>310000</v>
      </c>
      <c r="H990" s="4">
        <v>0</v>
      </c>
      <c r="I990" s="4">
        <v>-31731582.539999999</v>
      </c>
    </row>
    <row r="991" spans="1:9" x14ac:dyDescent="0.3">
      <c r="A991" t="s">
        <v>133</v>
      </c>
      <c r="B991" s="1">
        <v>45874</v>
      </c>
      <c r="C991" s="1">
        <v>45874</v>
      </c>
      <c r="D991">
        <v>911995</v>
      </c>
      <c r="E991">
        <v>75</v>
      </c>
      <c r="F991" s="3" t="s">
        <v>181</v>
      </c>
      <c r="G991" s="4">
        <v>300000</v>
      </c>
      <c r="H991" s="4">
        <v>0</v>
      </c>
      <c r="I991" s="4">
        <v>-31431582.539999999</v>
      </c>
    </row>
    <row r="992" spans="1:9" x14ac:dyDescent="0.3">
      <c r="A992" t="s">
        <v>133</v>
      </c>
      <c r="B992" s="1">
        <v>45874</v>
      </c>
      <c r="C992" s="1">
        <v>45874</v>
      </c>
      <c r="D992">
        <v>912001</v>
      </c>
      <c r="E992">
        <v>351</v>
      </c>
      <c r="F992" s="3" t="s">
        <v>921</v>
      </c>
      <c r="G992" s="4">
        <v>919505.25</v>
      </c>
      <c r="H992" s="4">
        <v>0</v>
      </c>
      <c r="I992" s="4">
        <v>-30512077.289999999</v>
      </c>
    </row>
    <row r="993" spans="1:9" x14ac:dyDescent="0.3">
      <c r="A993" t="s">
        <v>133</v>
      </c>
      <c r="B993" s="1">
        <v>45874</v>
      </c>
      <c r="C993" s="1">
        <v>45874</v>
      </c>
      <c r="D993">
        <v>912004</v>
      </c>
      <c r="E993">
        <v>223</v>
      </c>
      <c r="F993" s="3" t="s">
        <v>922</v>
      </c>
      <c r="G993" s="4">
        <v>270000</v>
      </c>
      <c r="H993" s="4">
        <v>0</v>
      </c>
      <c r="I993" s="4">
        <v>-30242077.289999999</v>
      </c>
    </row>
    <row r="994" spans="1:9" x14ac:dyDescent="0.3">
      <c r="A994" t="s">
        <v>133</v>
      </c>
      <c r="B994" s="1">
        <v>45874</v>
      </c>
      <c r="C994" s="1">
        <v>45874</v>
      </c>
      <c r="D994">
        <v>912006</v>
      </c>
      <c r="E994">
        <v>58</v>
      </c>
      <c r="F994" s="3" t="s">
        <v>923</v>
      </c>
      <c r="G994" s="4">
        <v>100000</v>
      </c>
      <c r="H994" s="4">
        <v>0</v>
      </c>
      <c r="I994" s="4">
        <v>-30142077.289999999</v>
      </c>
    </row>
    <row r="995" spans="1:9" x14ac:dyDescent="0.3">
      <c r="A995" t="s">
        <v>133</v>
      </c>
      <c r="B995" s="1">
        <v>45874</v>
      </c>
      <c r="C995" s="1">
        <v>45874</v>
      </c>
      <c r="D995">
        <v>912009</v>
      </c>
      <c r="E995">
        <v>75</v>
      </c>
      <c r="F995" s="3" t="s">
        <v>924</v>
      </c>
      <c r="G995" s="4">
        <v>124085.5</v>
      </c>
      <c r="H995" s="4">
        <v>0</v>
      </c>
      <c r="I995" s="4">
        <v>-30017991.789999999</v>
      </c>
    </row>
    <row r="996" spans="1:9" x14ac:dyDescent="0.3">
      <c r="A996" t="s">
        <v>133</v>
      </c>
      <c r="B996" s="1">
        <v>45874</v>
      </c>
      <c r="C996" s="1">
        <v>45874</v>
      </c>
      <c r="D996">
        <v>912010</v>
      </c>
      <c r="E996">
        <v>79</v>
      </c>
      <c r="F996" s="3" t="s">
        <v>925</v>
      </c>
      <c r="G996" s="4">
        <v>420000</v>
      </c>
      <c r="H996" s="4">
        <v>0</v>
      </c>
      <c r="I996" s="4">
        <v>-29597991.789999999</v>
      </c>
    </row>
    <row r="997" spans="1:9" x14ac:dyDescent="0.3">
      <c r="A997" t="s">
        <v>133</v>
      </c>
      <c r="B997" s="1">
        <v>45874</v>
      </c>
      <c r="C997" s="1">
        <v>45874</v>
      </c>
      <c r="D997">
        <v>912013</v>
      </c>
      <c r="E997">
        <v>59</v>
      </c>
      <c r="F997" s="3" t="s">
        <v>926</v>
      </c>
      <c r="G997" s="4">
        <v>17438.75</v>
      </c>
      <c r="H997" s="4">
        <v>0</v>
      </c>
      <c r="I997" s="4">
        <v>-29580553.039999999</v>
      </c>
    </row>
    <row r="998" spans="1:9" x14ac:dyDescent="0.3">
      <c r="A998" t="s">
        <v>133</v>
      </c>
      <c r="B998" s="1">
        <v>45874</v>
      </c>
      <c r="C998" s="1">
        <v>45874</v>
      </c>
      <c r="D998">
        <v>912015</v>
      </c>
      <c r="E998">
        <v>74</v>
      </c>
      <c r="F998" s="3" t="s">
        <v>927</v>
      </c>
      <c r="G998" s="4">
        <v>310000</v>
      </c>
      <c r="H998" s="4">
        <v>0</v>
      </c>
      <c r="I998" s="4">
        <v>-29270553.039999999</v>
      </c>
    </row>
    <row r="999" spans="1:9" x14ac:dyDescent="0.3">
      <c r="A999" t="s">
        <v>133</v>
      </c>
      <c r="B999" s="1">
        <v>45874</v>
      </c>
      <c r="C999" s="1">
        <v>45874</v>
      </c>
      <c r="D999">
        <v>912019</v>
      </c>
      <c r="E999">
        <v>71</v>
      </c>
      <c r="F999" s="3" t="s">
        <v>928</v>
      </c>
      <c r="G999" s="4">
        <v>200000</v>
      </c>
      <c r="H999" s="4">
        <v>0</v>
      </c>
      <c r="I999" s="4">
        <v>-29070553.039999999</v>
      </c>
    </row>
    <row r="1000" spans="1:9" x14ac:dyDescent="0.3">
      <c r="A1000" t="s">
        <v>133</v>
      </c>
      <c r="B1000" s="1">
        <v>45874</v>
      </c>
      <c r="C1000" s="1">
        <v>45874</v>
      </c>
      <c r="D1000">
        <v>912024</v>
      </c>
      <c r="E1000">
        <v>24</v>
      </c>
      <c r="F1000" s="3" t="s">
        <v>929</v>
      </c>
      <c r="G1000" s="4">
        <v>650000</v>
      </c>
      <c r="H1000" s="4">
        <v>0</v>
      </c>
      <c r="I1000" s="4">
        <v>-28420553.039999999</v>
      </c>
    </row>
    <row r="1001" spans="1:9" x14ac:dyDescent="0.3">
      <c r="A1001" t="s">
        <v>133</v>
      </c>
      <c r="B1001" s="1">
        <v>45874</v>
      </c>
      <c r="C1001" s="1">
        <v>45874</v>
      </c>
      <c r="D1001">
        <v>912028</v>
      </c>
      <c r="E1001">
        <v>351</v>
      </c>
      <c r="F1001" s="3" t="s">
        <v>930</v>
      </c>
      <c r="G1001" s="4">
        <v>108030</v>
      </c>
      <c r="H1001" s="4">
        <v>0</v>
      </c>
      <c r="I1001" s="4">
        <v>-28312523.039999999</v>
      </c>
    </row>
    <row r="1002" spans="1:9" x14ac:dyDescent="0.3">
      <c r="A1002" t="s">
        <v>133</v>
      </c>
      <c r="B1002" s="1">
        <v>45874</v>
      </c>
      <c r="C1002" s="1">
        <v>45874</v>
      </c>
      <c r="D1002">
        <v>912029</v>
      </c>
      <c r="E1002">
        <v>65</v>
      </c>
      <c r="F1002" s="3" t="s">
        <v>931</v>
      </c>
      <c r="G1002" s="4">
        <v>270000</v>
      </c>
      <c r="H1002" s="4">
        <v>0</v>
      </c>
      <c r="I1002" s="4">
        <v>-28042523.039999999</v>
      </c>
    </row>
    <row r="1003" spans="1:9" x14ac:dyDescent="0.3">
      <c r="A1003" t="s">
        <v>133</v>
      </c>
      <c r="B1003" s="1">
        <v>45874</v>
      </c>
      <c r="C1003" s="1">
        <v>45874</v>
      </c>
      <c r="D1003">
        <v>912035</v>
      </c>
      <c r="E1003">
        <v>223</v>
      </c>
      <c r="F1003" s="3">
        <v>25874434897</v>
      </c>
      <c r="G1003" s="4">
        <v>49301.25</v>
      </c>
      <c r="H1003" s="4">
        <v>0</v>
      </c>
      <c r="I1003" s="4">
        <v>-27993221.789999999</v>
      </c>
    </row>
    <row r="1004" spans="1:9" x14ac:dyDescent="0.3">
      <c r="A1004" t="s">
        <v>133</v>
      </c>
      <c r="B1004" s="1">
        <v>45874</v>
      </c>
      <c r="C1004" s="1">
        <v>45874</v>
      </c>
      <c r="D1004">
        <v>912041</v>
      </c>
      <c r="E1004">
        <v>15</v>
      </c>
      <c r="F1004" s="3" t="s">
        <v>932</v>
      </c>
      <c r="G1004" s="4">
        <v>330000</v>
      </c>
      <c r="H1004" s="4">
        <v>0</v>
      </c>
      <c r="I1004" s="4">
        <v>-27663221.789999999</v>
      </c>
    </row>
    <row r="1005" spans="1:9" x14ac:dyDescent="0.3">
      <c r="A1005" t="s">
        <v>133</v>
      </c>
      <c r="B1005" s="1">
        <v>45874</v>
      </c>
      <c r="C1005" s="1">
        <v>45874</v>
      </c>
      <c r="D1005">
        <v>912048</v>
      </c>
      <c r="E1005">
        <v>67</v>
      </c>
      <c r="F1005" s="3" t="s">
        <v>181</v>
      </c>
      <c r="G1005" s="4">
        <v>180000</v>
      </c>
      <c r="H1005" s="4">
        <v>0</v>
      </c>
      <c r="I1005" s="4">
        <v>-27483221.789999999</v>
      </c>
    </row>
    <row r="1006" spans="1:9" x14ac:dyDescent="0.3">
      <c r="A1006" t="s">
        <v>133</v>
      </c>
      <c r="B1006" s="1">
        <v>45874</v>
      </c>
      <c r="C1006" s="1">
        <v>45874</v>
      </c>
      <c r="D1006">
        <v>912052</v>
      </c>
      <c r="E1006">
        <v>78</v>
      </c>
      <c r="F1006" s="3" t="s">
        <v>208</v>
      </c>
      <c r="G1006" s="4">
        <v>220000</v>
      </c>
      <c r="H1006" s="4">
        <v>0</v>
      </c>
      <c r="I1006" s="4">
        <v>-27263221.789999999</v>
      </c>
    </row>
    <row r="1007" spans="1:9" x14ac:dyDescent="0.3">
      <c r="A1007" t="s">
        <v>133</v>
      </c>
      <c r="B1007" s="1">
        <v>45874</v>
      </c>
      <c r="C1007" s="1">
        <v>45874</v>
      </c>
      <c r="D1007">
        <v>912054</v>
      </c>
      <c r="E1007">
        <v>86</v>
      </c>
      <c r="F1007" s="3">
        <v>8225</v>
      </c>
      <c r="G1007" s="4">
        <v>2549.25</v>
      </c>
      <c r="H1007" s="4">
        <v>0</v>
      </c>
      <c r="I1007" s="4">
        <v>-27260672.539999999</v>
      </c>
    </row>
    <row r="1008" spans="1:9" x14ac:dyDescent="0.3">
      <c r="A1008" t="s">
        <v>133</v>
      </c>
      <c r="B1008" s="1">
        <v>45874</v>
      </c>
      <c r="C1008" s="1">
        <v>45874</v>
      </c>
      <c r="D1008">
        <v>912058</v>
      </c>
      <c r="E1008">
        <v>63</v>
      </c>
      <c r="F1008" s="3" t="s">
        <v>933</v>
      </c>
      <c r="G1008" s="4">
        <v>130000</v>
      </c>
      <c r="H1008" s="4">
        <v>0</v>
      </c>
      <c r="I1008" s="4">
        <v>-27130672.539999999</v>
      </c>
    </row>
    <row r="1009" spans="1:9" x14ac:dyDescent="0.3">
      <c r="A1009" t="s">
        <v>133</v>
      </c>
      <c r="B1009" s="1">
        <v>45874</v>
      </c>
      <c r="C1009" s="1">
        <v>45874</v>
      </c>
      <c r="D1009">
        <v>912061</v>
      </c>
      <c r="E1009">
        <v>422</v>
      </c>
      <c r="F1009" s="3" t="s">
        <v>934</v>
      </c>
      <c r="G1009" s="4">
        <v>130000</v>
      </c>
      <c r="H1009" s="4">
        <v>0</v>
      </c>
      <c r="I1009" s="4">
        <v>-27000672.539999999</v>
      </c>
    </row>
    <row r="1010" spans="1:9" x14ac:dyDescent="0.3">
      <c r="A1010" t="s">
        <v>133</v>
      </c>
      <c r="B1010" s="1">
        <v>45874</v>
      </c>
      <c r="C1010" s="1">
        <v>45874</v>
      </c>
      <c r="D1010">
        <v>912062</v>
      </c>
      <c r="E1010">
        <v>16</v>
      </c>
      <c r="F1010" s="3" t="s">
        <v>935</v>
      </c>
      <c r="G1010" s="4">
        <v>300000</v>
      </c>
      <c r="H1010" s="4">
        <v>0</v>
      </c>
      <c r="I1010" s="4">
        <v>-26700672.539999999</v>
      </c>
    </row>
    <row r="1011" spans="1:9" x14ac:dyDescent="0.3">
      <c r="A1011" t="s">
        <v>133</v>
      </c>
      <c r="B1011" s="1">
        <v>45874</v>
      </c>
      <c r="C1011" s="1">
        <v>45874</v>
      </c>
      <c r="D1011">
        <v>912063</v>
      </c>
      <c r="E1011">
        <v>382</v>
      </c>
      <c r="F1011" s="3" t="s">
        <v>936</v>
      </c>
      <c r="G1011" s="4">
        <v>300000</v>
      </c>
      <c r="H1011" s="4">
        <v>0</v>
      </c>
      <c r="I1011" s="4">
        <v>-26400672.539999999</v>
      </c>
    </row>
    <row r="1012" spans="1:9" x14ac:dyDescent="0.3">
      <c r="A1012" t="s">
        <v>133</v>
      </c>
      <c r="B1012" s="1">
        <v>45874</v>
      </c>
      <c r="C1012" s="1">
        <v>45874</v>
      </c>
      <c r="D1012">
        <v>912065</v>
      </c>
      <c r="E1012">
        <v>82</v>
      </c>
      <c r="F1012" s="3" t="s">
        <v>937</v>
      </c>
      <c r="G1012" s="4">
        <v>420000</v>
      </c>
      <c r="H1012" s="4">
        <v>0</v>
      </c>
      <c r="I1012" s="4">
        <v>-25980672.539999999</v>
      </c>
    </row>
    <row r="1013" spans="1:9" x14ac:dyDescent="0.3">
      <c r="A1013" t="s">
        <v>133</v>
      </c>
      <c r="B1013" s="1">
        <v>45874</v>
      </c>
      <c r="C1013" s="1">
        <v>45874</v>
      </c>
      <c r="D1013">
        <v>912066</v>
      </c>
      <c r="E1013">
        <v>98</v>
      </c>
      <c r="F1013" s="3">
        <v>5620980001102</v>
      </c>
      <c r="G1013" s="4">
        <v>80999</v>
      </c>
      <c r="H1013" s="4">
        <v>0</v>
      </c>
      <c r="I1013" s="4">
        <v>-25899673.539999999</v>
      </c>
    </row>
    <row r="1014" spans="1:9" x14ac:dyDescent="0.3">
      <c r="A1014" t="s">
        <v>133</v>
      </c>
      <c r="B1014" s="1">
        <v>45874</v>
      </c>
      <c r="C1014" s="1">
        <v>45874</v>
      </c>
      <c r="D1014">
        <v>912068</v>
      </c>
      <c r="E1014">
        <v>11</v>
      </c>
      <c r="F1014" s="3" t="s">
        <v>938</v>
      </c>
      <c r="G1014" s="4">
        <v>770000</v>
      </c>
      <c r="H1014" s="4">
        <v>0</v>
      </c>
      <c r="I1014" s="4">
        <v>-25129673.539999999</v>
      </c>
    </row>
    <row r="1015" spans="1:9" x14ac:dyDescent="0.3">
      <c r="A1015" t="s">
        <v>133</v>
      </c>
      <c r="B1015" s="1">
        <v>45874</v>
      </c>
      <c r="C1015" s="1">
        <v>45874</v>
      </c>
      <c r="D1015">
        <v>912074</v>
      </c>
      <c r="E1015">
        <v>80</v>
      </c>
      <c r="F1015" s="3" t="s">
        <v>939</v>
      </c>
      <c r="G1015" s="4">
        <v>270000</v>
      </c>
      <c r="H1015" s="4">
        <v>0</v>
      </c>
      <c r="I1015" s="4">
        <v>-24859673.539999999</v>
      </c>
    </row>
    <row r="1016" spans="1:9" x14ac:dyDescent="0.3">
      <c r="A1016" t="s">
        <v>133</v>
      </c>
      <c r="B1016" s="1">
        <v>45874</v>
      </c>
      <c r="C1016" s="1">
        <v>45874</v>
      </c>
      <c r="D1016">
        <v>912079</v>
      </c>
      <c r="E1016">
        <v>85</v>
      </c>
      <c r="F1016" s="3" t="s">
        <v>940</v>
      </c>
      <c r="G1016" s="4">
        <v>780000</v>
      </c>
      <c r="H1016" s="4">
        <v>0</v>
      </c>
      <c r="I1016" s="4">
        <v>-24079673.539999999</v>
      </c>
    </row>
    <row r="1017" spans="1:9" x14ac:dyDescent="0.3">
      <c r="A1017" t="s">
        <v>133</v>
      </c>
      <c r="B1017" s="1">
        <v>45874</v>
      </c>
      <c r="C1017" s="1">
        <v>45874</v>
      </c>
      <c r="D1017">
        <v>912080</v>
      </c>
      <c r="E1017">
        <v>210</v>
      </c>
      <c r="F1017" s="3" t="s">
        <v>941</v>
      </c>
      <c r="G1017" s="4">
        <v>350000</v>
      </c>
      <c r="H1017" s="4">
        <v>0</v>
      </c>
      <c r="I1017" s="4">
        <v>-23729673.539999999</v>
      </c>
    </row>
    <row r="1018" spans="1:9" x14ac:dyDescent="0.3">
      <c r="A1018" t="s">
        <v>133</v>
      </c>
      <c r="B1018" s="1">
        <v>45874</v>
      </c>
      <c r="C1018" s="1">
        <v>45874</v>
      </c>
      <c r="D1018">
        <v>912081</v>
      </c>
      <c r="E1018">
        <v>56</v>
      </c>
      <c r="F1018" s="3" t="s">
        <v>942</v>
      </c>
      <c r="G1018" s="4">
        <v>280000</v>
      </c>
      <c r="H1018" s="4">
        <v>0</v>
      </c>
      <c r="I1018" s="4">
        <v>-23449673.539999999</v>
      </c>
    </row>
    <row r="1019" spans="1:9" x14ac:dyDescent="0.3">
      <c r="A1019" t="s">
        <v>133</v>
      </c>
      <c r="B1019" s="1">
        <v>45874</v>
      </c>
      <c r="C1019" s="1">
        <v>45874</v>
      </c>
      <c r="D1019">
        <v>912086</v>
      </c>
      <c r="E1019">
        <v>63</v>
      </c>
      <c r="F1019" s="3" t="s">
        <v>943</v>
      </c>
      <c r="G1019" s="4">
        <v>5110.5</v>
      </c>
      <c r="H1019" s="4">
        <v>0</v>
      </c>
      <c r="I1019" s="4">
        <v>-23444563.039999999</v>
      </c>
    </row>
    <row r="1020" spans="1:9" x14ac:dyDescent="0.3">
      <c r="A1020" t="s">
        <v>133</v>
      </c>
      <c r="B1020" s="1">
        <v>45874</v>
      </c>
      <c r="C1020" s="1">
        <v>45874</v>
      </c>
      <c r="D1020">
        <v>912087</v>
      </c>
      <c r="E1020">
        <v>220</v>
      </c>
      <c r="F1020" s="3" t="s">
        <v>424</v>
      </c>
      <c r="G1020" s="4">
        <v>610000</v>
      </c>
      <c r="H1020" s="4">
        <v>0</v>
      </c>
      <c r="I1020" s="4">
        <v>-22834563.039999999</v>
      </c>
    </row>
    <row r="1021" spans="1:9" x14ac:dyDescent="0.3">
      <c r="A1021" t="s">
        <v>133</v>
      </c>
      <c r="B1021" s="1">
        <v>45874</v>
      </c>
      <c r="C1021" s="1">
        <v>45874</v>
      </c>
      <c r="D1021">
        <v>912089</v>
      </c>
      <c r="E1021">
        <v>77</v>
      </c>
      <c r="F1021" s="3" t="s">
        <v>944</v>
      </c>
      <c r="G1021" s="4">
        <v>210000</v>
      </c>
      <c r="H1021" s="4">
        <v>0</v>
      </c>
      <c r="I1021" s="4">
        <v>-22624563.039999999</v>
      </c>
    </row>
    <row r="1022" spans="1:9" x14ac:dyDescent="0.3">
      <c r="A1022" t="s">
        <v>133</v>
      </c>
      <c r="B1022" s="1">
        <v>45874</v>
      </c>
      <c r="C1022" s="1">
        <v>45874</v>
      </c>
      <c r="D1022">
        <v>912090</v>
      </c>
      <c r="E1022">
        <v>37</v>
      </c>
      <c r="F1022" s="3" t="s">
        <v>945</v>
      </c>
      <c r="G1022" s="4">
        <v>950000</v>
      </c>
      <c r="H1022" s="4">
        <v>0</v>
      </c>
      <c r="I1022" s="4">
        <v>-21674563.039999999</v>
      </c>
    </row>
    <row r="1023" spans="1:9" x14ac:dyDescent="0.3">
      <c r="A1023" t="s">
        <v>133</v>
      </c>
      <c r="B1023" s="1">
        <v>45874</v>
      </c>
      <c r="C1023" s="1">
        <v>45874</v>
      </c>
      <c r="D1023">
        <v>912091</v>
      </c>
      <c r="E1023">
        <v>351</v>
      </c>
      <c r="F1023" s="3" t="s">
        <v>946</v>
      </c>
      <c r="G1023" s="4">
        <v>320000</v>
      </c>
      <c r="H1023" s="4">
        <v>0</v>
      </c>
      <c r="I1023" s="4">
        <v>-21354563.039999999</v>
      </c>
    </row>
    <row r="1024" spans="1:9" x14ac:dyDescent="0.3">
      <c r="A1024" t="s">
        <v>133</v>
      </c>
      <c r="B1024" s="1">
        <v>45874</v>
      </c>
      <c r="C1024" s="1">
        <v>45874</v>
      </c>
      <c r="D1024">
        <v>912092</v>
      </c>
      <c r="E1024">
        <v>84</v>
      </c>
      <c r="F1024" s="3" t="s">
        <v>947</v>
      </c>
      <c r="G1024" s="4">
        <v>390000</v>
      </c>
      <c r="H1024" s="4">
        <v>0</v>
      </c>
      <c r="I1024" s="4">
        <v>-20964563.039999999</v>
      </c>
    </row>
    <row r="1025" spans="1:9" x14ac:dyDescent="0.3">
      <c r="A1025" t="s">
        <v>133</v>
      </c>
      <c r="B1025" s="1">
        <v>45874</v>
      </c>
      <c r="C1025" s="1">
        <v>45874</v>
      </c>
      <c r="D1025">
        <v>912094</v>
      </c>
      <c r="E1025">
        <v>27</v>
      </c>
      <c r="F1025" s="3" t="s">
        <v>948</v>
      </c>
      <c r="G1025" s="4">
        <v>2018472</v>
      </c>
      <c r="H1025" s="4">
        <v>0</v>
      </c>
      <c r="I1025" s="4">
        <v>-18946091.039999999</v>
      </c>
    </row>
    <row r="1026" spans="1:9" x14ac:dyDescent="0.3">
      <c r="A1026" t="s">
        <v>133</v>
      </c>
      <c r="B1026" s="1">
        <v>45874</v>
      </c>
      <c r="C1026" s="1">
        <v>45874</v>
      </c>
      <c r="D1026">
        <v>912095</v>
      </c>
      <c r="E1026">
        <v>81</v>
      </c>
      <c r="F1026" s="3" t="s">
        <v>949</v>
      </c>
      <c r="G1026" s="4">
        <v>1100000</v>
      </c>
      <c r="H1026" s="4">
        <v>0</v>
      </c>
      <c r="I1026" s="4">
        <v>-17846091.039999999</v>
      </c>
    </row>
    <row r="1027" spans="1:9" x14ac:dyDescent="0.3">
      <c r="A1027" t="s">
        <v>133</v>
      </c>
      <c r="B1027" s="1">
        <v>45874</v>
      </c>
      <c r="C1027" s="1">
        <v>45874</v>
      </c>
      <c r="D1027">
        <v>912099</v>
      </c>
      <c r="E1027">
        <v>53</v>
      </c>
      <c r="F1027" s="3" t="s">
        <v>950</v>
      </c>
      <c r="G1027" s="4">
        <v>185000</v>
      </c>
      <c r="H1027" s="4">
        <v>0</v>
      </c>
      <c r="I1027" s="4">
        <v>-17661091.039999999</v>
      </c>
    </row>
    <row r="1028" spans="1:9" x14ac:dyDescent="0.3">
      <c r="A1028" t="s">
        <v>133</v>
      </c>
      <c r="B1028" s="1">
        <v>45874</v>
      </c>
      <c r="C1028" s="1">
        <v>45874</v>
      </c>
      <c r="D1028">
        <v>912102</v>
      </c>
      <c r="E1028">
        <v>27</v>
      </c>
      <c r="F1028" s="3" t="s">
        <v>951</v>
      </c>
      <c r="G1028" s="4">
        <v>105418.75</v>
      </c>
      <c r="H1028" s="4">
        <v>0</v>
      </c>
      <c r="I1028" s="4">
        <v>-17555672.289999999</v>
      </c>
    </row>
    <row r="1029" spans="1:9" x14ac:dyDescent="0.3">
      <c r="A1029" t="s">
        <v>133</v>
      </c>
      <c r="B1029" s="1">
        <v>45874</v>
      </c>
      <c r="C1029" s="1">
        <v>45874</v>
      </c>
      <c r="D1029">
        <v>912105</v>
      </c>
      <c r="E1029">
        <v>23</v>
      </c>
      <c r="F1029" s="3" t="s">
        <v>952</v>
      </c>
      <c r="G1029" s="4">
        <v>570000</v>
      </c>
      <c r="H1029" s="4">
        <v>0</v>
      </c>
      <c r="I1029" s="4">
        <v>-16985672.289999999</v>
      </c>
    </row>
    <row r="1030" spans="1:9" x14ac:dyDescent="0.3">
      <c r="A1030" t="s">
        <v>133</v>
      </c>
      <c r="B1030" s="1">
        <v>45874</v>
      </c>
      <c r="C1030" s="1">
        <v>45874</v>
      </c>
      <c r="D1030">
        <v>912107</v>
      </c>
      <c r="E1030">
        <v>44</v>
      </c>
      <c r="F1030" s="3" t="s">
        <v>953</v>
      </c>
      <c r="G1030" s="4">
        <v>7040.75</v>
      </c>
      <c r="H1030" s="4">
        <v>0</v>
      </c>
      <c r="I1030" s="4">
        <v>-16978631.539999999</v>
      </c>
    </row>
    <row r="1031" spans="1:9" x14ac:dyDescent="0.3">
      <c r="A1031" t="s">
        <v>133</v>
      </c>
      <c r="B1031" s="1">
        <v>45874</v>
      </c>
      <c r="C1031" s="1">
        <v>45874</v>
      </c>
      <c r="D1031">
        <v>912111</v>
      </c>
      <c r="E1031">
        <v>70</v>
      </c>
      <c r="F1031" s="3" t="s">
        <v>954</v>
      </c>
      <c r="G1031" s="4">
        <v>400000</v>
      </c>
      <c r="H1031" s="4">
        <v>0</v>
      </c>
      <c r="I1031" s="4">
        <v>-16578631.539999999</v>
      </c>
    </row>
    <row r="1032" spans="1:9" x14ac:dyDescent="0.3">
      <c r="A1032" t="s">
        <v>133</v>
      </c>
      <c r="B1032" s="1">
        <v>45874</v>
      </c>
      <c r="C1032" s="1">
        <v>45874</v>
      </c>
      <c r="D1032">
        <v>912115</v>
      </c>
      <c r="E1032">
        <v>27</v>
      </c>
      <c r="F1032" s="3" t="s">
        <v>955</v>
      </c>
      <c r="G1032" s="4">
        <v>350000</v>
      </c>
      <c r="H1032" s="4">
        <v>0</v>
      </c>
      <c r="I1032" s="4">
        <v>-16228631.539999999</v>
      </c>
    </row>
    <row r="1033" spans="1:9" x14ac:dyDescent="0.3">
      <c r="A1033" t="s">
        <v>133</v>
      </c>
      <c r="B1033" s="1">
        <v>45874</v>
      </c>
      <c r="C1033" s="1">
        <v>45874</v>
      </c>
      <c r="D1033">
        <v>912117</v>
      </c>
      <c r="E1033">
        <v>84</v>
      </c>
      <c r="F1033" s="3" t="s">
        <v>956</v>
      </c>
      <c r="G1033" s="4">
        <v>22864.25</v>
      </c>
      <c r="H1033" s="4">
        <v>0</v>
      </c>
      <c r="I1033" s="4">
        <v>-16205767.289999999</v>
      </c>
    </row>
    <row r="1034" spans="1:9" x14ac:dyDescent="0.3">
      <c r="A1034" t="s">
        <v>133</v>
      </c>
      <c r="B1034" s="1">
        <v>45874</v>
      </c>
      <c r="C1034" s="1">
        <v>45874</v>
      </c>
      <c r="D1034">
        <v>912118</v>
      </c>
      <c r="E1034">
        <v>62</v>
      </c>
      <c r="F1034" s="3" t="s">
        <v>957</v>
      </c>
      <c r="G1034" s="4">
        <v>1350000</v>
      </c>
      <c r="H1034" s="4">
        <v>0</v>
      </c>
      <c r="I1034" s="4">
        <v>-14855767.289999999</v>
      </c>
    </row>
    <row r="1035" spans="1:9" x14ac:dyDescent="0.3">
      <c r="A1035" t="s">
        <v>133</v>
      </c>
      <c r="B1035" s="1">
        <v>45874</v>
      </c>
      <c r="C1035" s="1">
        <v>45874</v>
      </c>
      <c r="D1035">
        <v>912125</v>
      </c>
      <c r="E1035">
        <v>307</v>
      </c>
      <c r="F1035" s="3" t="s">
        <v>958</v>
      </c>
      <c r="G1035" s="4">
        <v>400000</v>
      </c>
      <c r="H1035" s="4">
        <v>0</v>
      </c>
      <c r="I1035" s="4">
        <v>-14455767.289999999</v>
      </c>
    </row>
    <row r="1036" spans="1:9" x14ac:dyDescent="0.3">
      <c r="A1036" t="s">
        <v>133</v>
      </c>
      <c r="B1036" s="1">
        <v>45874</v>
      </c>
      <c r="C1036" s="1">
        <v>45874</v>
      </c>
      <c r="D1036">
        <v>912126</v>
      </c>
      <c r="E1036">
        <v>33</v>
      </c>
      <c r="F1036" s="3" t="s">
        <v>959</v>
      </c>
      <c r="G1036" s="4">
        <v>500000</v>
      </c>
      <c r="H1036" s="4">
        <v>0</v>
      </c>
      <c r="I1036" s="4">
        <v>-13955767.289999999</v>
      </c>
    </row>
    <row r="1037" spans="1:9" x14ac:dyDescent="0.3">
      <c r="A1037" t="s">
        <v>133</v>
      </c>
      <c r="B1037" s="1">
        <v>45874</v>
      </c>
      <c r="C1037" s="1">
        <v>45874</v>
      </c>
      <c r="D1037">
        <v>912129</v>
      </c>
      <c r="E1037">
        <v>37</v>
      </c>
      <c r="F1037" s="3" t="s">
        <v>960</v>
      </c>
      <c r="G1037" s="4">
        <v>978000</v>
      </c>
      <c r="H1037" s="4">
        <v>0</v>
      </c>
      <c r="I1037" s="4">
        <v>-12977767.289999999</v>
      </c>
    </row>
    <row r="1038" spans="1:9" x14ac:dyDescent="0.3">
      <c r="A1038" t="s">
        <v>133</v>
      </c>
      <c r="B1038" s="1">
        <v>45874</v>
      </c>
      <c r="C1038" s="1">
        <v>45874</v>
      </c>
      <c r="D1038">
        <v>912136</v>
      </c>
      <c r="E1038">
        <v>98</v>
      </c>
      <c r="F1038" s="3" t="s">
        <v>961</v>
      </c>
      <c r="G1038" s="4">
        <v>180095</v>
      </c>
      <c r="H1038" s="4">
        <v>0</v>
      </c>
      <c r="I1038" s="4">
        <v>-12797672.289999999</v>
      </c>
    </row>
    <row r="1039" spans="1:9" x14ac:dyDescent="0.3">
      <c r="A1039" t="s">
        <v>133</v>
      </c>
      <c r="B1039" s="1">
        <v>45874</v>
      </c>
      <c r="C1039" s="1">
        <v>45874</v>
      </c>
      <c r="D1039">
        <v>912141</v>
      </c>
      <c r="E1039">
        <v>310</v>
      </c>
      <c r="F1039" s="3" t="s">
        <v>962</v>
      </c>
      <c r="G1039" s="4">
        <v>2784</v>
      </c>
      <c r="H1039" s="4">
        <v>0</v>
      </c>
      <c r="I1039" s="4">
        <v>-12794888.289999999</v>
      </c>
    </row>
    <row r="1040" spans="1:9" x14ac:dyDescent="0.3">
      <c r="A1040" t="s">
        <v>133</v>
      </c>
      <c r="B1040" s="1">
        <v>45874</v>
      </c>
      <c r="C1040" s="1">
        <v>45874</v>
      </c>
      <c r="D1040">
        <v>912142</v>
      </c>
      <c r="E1040">
        <v>252</v>
      </c>
      <c r="F1040" s="3" t="s">
        <v>963</v>
      </c>
      <c r="G1040" s="4">
        <v>30000</v>
      </c>
      <c r="H1040" s="4">
        <v>0</v>
      </c>
      <c r="I1040" s="4">
        <v>-12764888.289999999</v>
      </c>
    </row>
    <row r="1041" spans="1:9" x14ac:dyDescent="0.3">
      <c r="A1041" t="s">
        <v>133</v>
      </c>
      <c r="B1041" s="1">
        <v>45874</v>
      </c>
      <c r="C1041" s="1">
        <v>45874</v>
      </c>
      <c r="D1041">
        <v>912144</v>
      </c>
      <c r="E1041">
        <v>44</v>
      </c>
      <c r="F1041" s="3" t="s">
        <v>964</v>
      </c>
      <c r="G1041" s="4">
        <v>89964.25</v>
      </c>
      <c r="H1041" s="4">
        <v>0</v>
      </c>
      <c r="I1041" s="4">
        <v>-12674924.039999999</v>
      </c>
    </row>
    <row r="1042" spans="1:9" x14ac:dyDescent="0.3">
      <c r="A1042" t="s">
        <v>133</v>
      </c>
      <c r="B1042" s="1">
        <v>45874</v>
      </c>
      <c r="C1042" s="1">
        <v>45874</v>
      </c>
      <c r="D1042">
        <v>912146</v>
      </c>
      <c r="E1042">
        <v>89</v>
      </c>
      <c r="F1042" s="3" t="s">
        <v>965</v>
      </c>
      <c r="G1042" s="4">
        <v>700000</v>
      </c>
      <c r="H1042" s="4">
        <v>0</v>
      </c>
      <c r="I1042" s="4">
        <v>-11974924.039999999</v>
      </c>
    </row>
    <row r="1043" spans="1:9" x14ac:dyDescent="0.3">
      <c r="A1043" t="s">
        <v>133</v>
      </c>
      <c r="B1043" s="1">
        <v>45874</v>
      </c>
      <c r="C1043" s="1">
        <v>45874</v>
      </c>
      <c r="D1043">
        <v>912147</v>
      </c>
      <c r="E1043">
        <v>97</v>
      </c>
      <c r="F1043" s="3" t="s">
        <v>966</v>
      </c>
      <c r="G1043" s="4">
        <v>450000</v>
      </c>
      <c r="H1043" s="4">
        <v>0</v>
      </c>
      <c r="I1043" s="4">
        <v>-11524924.039999999</v>
      </c>
    </row>
    <row r="1044" spans="1:9" x14ac:dyDescent="0.3">
      <c r="A1044" t="s">
        <v>133</v>
      </c>
      <c r="B1044" s="1">
        <v>45874</v>
      </c>
      <c r="C1044" s="1">
        <v>45874</v>
      </c>
      <c r="D1044">
        <v>912151</v>
      </c>
      <c r="E1044">
        <v>41</v>
      </c>
      <c r="F1044" s="3" t="s">
        <v>967</v>
      </c>
      <c r="G1044" s="4">
        <v>4000</v>
      </c>
      <c r="H1044" s="4">
        <v>0</v>
      </c>
      <c r="I1044" s="4">
        <v>-11520924.039999999</v>
      </c>
    </row>
    <row r="1045" spans="1:9" x14ac:dyDescent="0.3">
      <c r="A1045" t="s">
        <v>133</v>
      </c>
      <c r="B1045" s="1">
        <v>45874</v>
      </c>
      <c r="C1045" s="1">
        <v>45874</v>
      </c>
      <c r="D1045">
        <v>912153</v>
      </c>
      <c r="E1045">
        <v>82</v>
      </c>
      <c r="F1045" s="3">
        <v>5620820003533</v>
      </c>
      <c r="G1045" s="4">
        <v>18428</v>
      </c>
      <c r="H1045" s="4">
        <v>0</v>
      </c>
      <c r="I1045" s="4">
        <v>-11502496.039999999</v>
      </c>
    </row>
    <row r="1046" spans="1:9" x14ac:dyDescent="0.3">
      <c r="A1046" t="s">
        <v>133</v>
      </c>
      <c r="B1046" s="1">
        <v>45874</v>
      </c>
      <c r="C1046" s="1">
        <v>45874</v>
      </c>
      <c r="D1046">
        <v>912154</v>
      </c>
      <c r="E1046">
        <v>61</v>
      </c>
      <c r="F1046" s="3" t="s">
        <v>968</v>
      </c>
      <c r="G1046" s="4">
        <v>400000</v>
      </c>
      <c r="H1046" s="4">
        <v>0</v>
      </c>
      <c r="I1046" s="4">
        <v>-11102496.039999999</v>
      </c>
    </row>
    <row r="1047" spans="1:9" x14ac:dyDescent="0.3">
      <c r="A1047" t="s">
        <v>133</v>
      </c>
      <c r="B1047" s="1">
        <v>45874</v>
      </c>
      <c r="C1047" s="1">
        <v>45874</v>
      </c>
      <c r="D1047">
        <v>912155</v>
      </c>
      <c r="E1047">
        <v>282</v>
      </c>
      <c r="F1047" s="3" t="s">
        <v>969</v>
      </c>
      <c r="G1047" s="4">
        <v>781</v>
      </c>
      <c r="H1047" s="4">
        <v>0</v>
      </c>
      <c r="I1047" s="4">
        <v>-11101715.039999999</v>
      </c>
    </row>
    <row r="1048" spans="1:9" x14ac:dyDescent="0.3">
      <c r="A1048" t="s">
        <v>133</v>
      </c>
      <c r="B1048" s="1">
        <v>45874</v>
      </c>
      <c r="C1048" s="1">
        <v>45874</v>
      </c>
      <c r="D1048">
        <v>912156</v>
      </c>
      <c r="E1048">
        <v>64</v>
      </c>
      <c r="F1048" s="3" t="s">
        <v>236</v>
      </c>
      <c r="G1048" s="4">
        <v>472500</v>
      </c>
      <c r="H1048" s="4">
        <v>0</v>
      </c>
      <c r="I1048" s="4">
        <v>-10629215.039999999</v>
      </c>
    </row>
    <row r="1049" spans="1:9" x14ac:dyDescent="0.3">
      <c r="A1049" t="s">
        <v>133</v>
      </c>
      <c r="B1049" s="1">
        <v>45874</v>
      </c>
      <c r="C1049" s="1">
        <v>45874</v>
      </c>
      <c r="D1049">
        <v>912167</v>
      </c>
      <c r="E1049">
        <v>56</v>
      </c>
      <c r="F1049" s="3" t="s">
        <v>970</v>
      </c>
      <c r="G1049" s="4">
        <v>2179.5</v>
      </c>
      <c r="H1049" s="4">
        <v>0</v>
      </c>
      <c r="I1049" s="4">
        <v>-10627035.539999999</v>
      </c>
    </row>
    <row r="1050" spans="1:9" x14ac:dyDescent="0.3">
      <c r="A1050" t="s">
        <v>1</v>
      </c>
      <c r="B1050" s="1">
        <v>45873</v>
      </c>
      <c r="C1050" s="1">
        <v>45875</v>
      </c>
      <c r="D1050">
        <v>101216</v>
      </c>
      <c r="E1050">
        <v>100</v>
      </c>
      <c r="F1050" s="3" t="s">
        <v>971</v>
      </c>
      <c r="G1050" s="4">
        <v>1092.0999999999999</v>
      </c>
      <c r="I1050" s="4">
        <v>-10625943.439999999</v>
      </c>
    </row>
    <row r="1051" spans="1:9" x14ac:dyDescent="0.3">
      <c r="A1051" t="s">
        <v>1</v>
      </c>
      <c r="B1051" s="1">
        <v>45874</v>
      </c>
      <c r="C1051" s="1">
        <v>45875</v>
      </c>
      <c r="D1051">
        <v>101814</v>
      </c>
      <c r="E1051">
        <v>100</v>
      </c>
      <c r="F1051" s="3" t="s">
        <v>972</v>
      </c>
      <c r="G1051" s="4">
        <v>14015.75</v>
      </c>
      <c r="I1051" s="4">
        <v>-10611927.689999999</v>
      </c>
    </row>
    <row r="1052" spans="1:9" x14ac:dyDescent="0.3">
      <c r="A1052" t="s">
        <v>1</v>
      </c>
      <c r="B1052" s="1">
        <v>45874</v>
      </c>
      <c r="C1052" s="1">
        <v>45875</v>
      </c>
      <c r="D1052">
        <v>101840</v>
      </c>
      <c r="E1052">
        <v>100</v>
      </c>
      <c r="F1052" s="3" t="s">
        <v>973</v>
      </c>
      <c r="G1052" s="4">
        <v>30026.25</v>
      </c>
      <c r="I1052" s="4">
        <v>-10581901.439999999</v>
      </c>
    </row>
    <row r="1053" spans="1:9" x14ac:dyDescent="0.3">
      <c r="A1053" t="s">
        <v>1</v>
      </c>
      <c r="B1053" s="1">
        <v>45874</v>
      </c>
      <c r="C1053" s="1">
        <v>45875</v>
      </c>
      <c r="D1053">
        <v>101871</v>
      </c>
      <c r="E1053">
        <v>100</v>
      </c>
      <c r="F1053" s="3" t="s">
        <v>974</v>
      </c>
      <c r="G1053" s="4">
        <v>45615.77</v>
      </c>
      <c r="I1053" s="4">
        <v>-10536285.67</v>
      </c>
    </row>
    <row r="1054" spans="1:9" x14ac:dyDescent="0.3">
      <c r="A1054" t="s">
        <v>1</v>
      </c>
      <c r="B1054" s="1">
        <v>45874</v>
      </c>
      <c r="C1054" s="1">
        <v>45875</v>
      </c>
      <c r="D1054">
        <v>101873</v>
      </c>
      <c r="E1054">
        <v>100</v>
      </c>
      <c r="F1054" s="3" t="s">
        <v>975</v>
      </c>
      <c r="G1054" s="4">
        <v>47645.41</v>
      </c>
      <c r="I1054" s="4">
        <v>-10488640.26</v>
      </c>
    </row>
    <row r="1055" spans="1:9" x14ac:dyDescent="0.3">
      <c r="A1055" t="s">
        <v>1</v>
      </c>
      <c r="B1055" s="1">
        <v>45874</v>
      </c>
      <c r="C1055" s="1">
        <v>45875</v>
      </c>
      <c r="D1055">
        <v>101901</v>
      </c>
      <c r="E1055">
        <v>100</v>
      </c>
      <c r="F1055" s="3" t="s">
        <v>976</v>
      </c>
      <c r="G1055" s="4">
        <v>5526.5</v>
      </c>
      <c r="I1055" s="4">
        <v>-10483113.76</v>
      </c>
    </row>
    <row r="1056" spans="1:9" x14ac:dyDescent="0.3">
      <c r="A1056" t="s">
        <v>1</v>
      </c>
      <c r="B1056" s="1">
        <v>45874</v>
      </c>
      <c r="C1056" s="1">
        <v>45875</v>
      </c>
      <c r="D1056">
        <v>101902</v>
      </c>
      <c r="E1056">
        <v>100</v>
      </c>
      <c r="F1056" s="3" t="s">
        <v>977</v>
      </c>
      <c r="G1056" s="4">
        <v>8966.5</v>
      </c>
      <c r="I1056" s="4">
        <v>-10474147.26</v>
      </c>
    </row>
    <row r="1057" spans="1:9" x14ac:dyDescent="0.3">
      <c r="A1057" t="s">
        <v>1</v>
      </c>
      <c r="B1057" s="1">
        <v>45874</v>
      </c>
      <c r="C1057" s="1">
        <v>45875</v>
      </c>
      <c r="D1057">
        <v>101924</v>
      </c>
      <c r="E1057">
        <v>100</v>
      </c>
      <c r="F1057" s="3" t="s">
        <v>978</v>
      </c>
      <c r="G1057" s="4">
        <v>36000</v>
      </c>
      <c r="I1057" s="4">
        <v>-10438147.26</v>
      </c>
    </row>
    <row r="1058" spans="1:9" x14ac:dyDescent="0.3">
      <c r="A1058" t="s">
        <v>1</v>
      </c>
      <c r="B1058" s="1">
        <v>45874</v>
      </c>
      <c r="C1058" s="1">
        <v>45875</v>
      </c>
      <c r="D1058">
        <v>101947</v>
      </c>
      <c r="E1058">
        <v>100</v>
      </c>
      <c r="F1058" s="3" t="s">
        <v>979</v>
      </c>
      <c r="G1058" s="4">
        <v>10401</v>
      </c>
      <c r="I1058" s="4">
        <v>-10427746.26</v>
      </c>
    </row>
    <row r="1059" spans="1:9" x14ac:dyDescent="0.3">
      <c r="A1059" t="s">
        <v>1</v>
      </c>
      <c r="B1059" s="1">
        <v>45874</v>
      </c>
      <c r="C1059" s="1">
        <v>45875</v>
      </c>
      <c r="D1059">
        <v>101948</v>
      </c>
      <c r="E1059">
        <v>100</v>
      </c>
      <c r="F1059" s="3" t="s">
        <v>980</v>
      </c>
      <c r="G1059" s="4">
        <v>58410</v>
      </c>
      <c r="I1059" s="4">
        <v>-10369336.26</v>
      </c>
    </row>
    <row r="1060" spans="1:9" x14ac:dyDescent="0.3">
      <c r="A1060" t="s">
        <v>1</v>
      </c>
      <c r="B1060" s="1">
        <v>45874</v>
      </c>
      <c r="C1060" s="1">
        <v>45875</v>
      </c>
      <c r="D1060">
        <v>101951</v>
      </c>
      <c r="E1060">
        <v>100</v>
      </c>
      <c r="F1060" s="3" t="s">
        <v>981</v>
      </c>
      <c r="G1060" s="4">
        <v>6800</v>
      </c>
      <c r="I1060" s="4">
        <v>-10362536.26</v>
      </c>
    </row>
    <row r="1061" spans="1:9" x14ac:dyDescent="0.3">
      <c r="A1061" t="s">
        <v>1</v>
      </c>
      <c r="B1061" s="1">
        <v>45874</v>
      </c>
      <c r="C1061" s="1">
        <v>45875</v>
      </c>
      <c r="D1061">
        <v>101956</v>
      </c>
      <c r="E1061">
        <v>100</v>
      </c>
      <c r="F1061" s="3" t="s">
        <v>982</v>
      </c>
      <c r="G1061" s="4">
        <v>19000</v>
      </c>
      <c r="I1061" s="4">
        <v>-10343536.26</v>
      </c>
    </row>
    <row r="1062" spans="1:9" x14ac:dyDescent="0.3">
      <c r="A1062" t="s">
        <v>1</v>
      </c>
      <c r="B1062" s="1">
        <v>45875</v>
      </c>
      <c r="C1062" s="1">
        <v>45875</v>
      </c>
      <c r="D1062">
        <v>101958</v>
      </c>
      <c r="E1062">
        <v>100</v>
      </c>
      <c r="F1062" s="3" t="s">
        <v>983</v>
      </c>
      <c r="G1062" s="4">
        <v>13500</v>
      </c>
      <c r="I1062" s="4">
        <v>-10330036.26</v>
      </c>
    </row>
    <row r="1063" spans="1:9" x14ac:dyDescent="0.3">
      <c r="A1063" t="s">
        <v>1</v>
      </c>
      <c r="B1063" s="1">
        <v>45874</v>
      </c>
      <c r="C1063" s="1">
        <v>45875</v>
      </c>
      <c r="D1063">
        <v>101962</v>
      </c>
      <c r="E1063">
        <v>100</v>
      </c>
      <c r="F1063" s="3" t="s">
        <v>984</v>
      </c>
      <c r="G1063" s="4">
        <v>40100</v>
      </c>
      <c r="I1063" s="4">
        <v>-10289936.26</v>
      </c>
    </row>
    <row r="1064" spans="1:9" x14ac:dyDescent="0.3">
      <c r="A1064" t="s">
        <v>1</v>
      </c>
      <c r="B1064" s="1">
        <v>45873</v>
      </c>
      <c r="C1064" s="1">
        <v>45875</v>
      </c>
      <c r="D1064">
        <v>101964</v>
      </c>
      <c r="E1064">
        <v>100</v>
      </c>
      <c r="F1064" s="3" t="s">
        <v>985</v>
      </c>
      <c r="G1064" s="4">
        <v>19078.25</v>
      </c>
      <c r="I1064" s="4">
        <v>-10270858.01</v>
      </c>
    </row>
    <row r="1065" spans="1:9" x14ac:dyDescent="0.3">
      <c r="A1065" t="s">
        <v>1</v>
      </c>
      <c r="B1065" s="1">
        <v>45874</v>
      </c>
      <c r="C1065" s="1">
        <v>45875</v>
      </c>
      <c r="D1065">
        <v>101975</v>
      </c>
      <c r="E1065">
        <v>100</v>
      </c>
      <c r="F1065" s="3" t="s">
        <v>986</v>
      </c>
      <c r="G1065" s="4">
        <v>6300</v>
      </c>
      <c r="I1065" s="4">
        <v>-10264558.01</v>
      </c>
    </row>
    <row r="1066" spans="1:9" x14ac:dyDescent="0.3">
      <c r="A1066" t="s">
        <v>1</v>
      </c>
      <c r="B1066" s="1">
        <v>45874</v>
      </c>
      <c r="C1066" s="1">
        <v>45875</v>
      </c>
      <c r="D1066">
        <v>101985</v>
      </c>
      <c r="E1066">
        <v>100</v>
      </c>
      <c r="F1066" s="3" t="s">
        <v>987</v>
      </c>
      <c r="G1066" s="4">
        <v>33174.639999999999</v>
      </c>
      <c r="I1066" s="4">
        <v>-10231383.369999999</v>
      </c>
    </row>
    <row r="1067" spans="1:9" x14ac:dyDescent="0.3">
      <c r="A1067" t="s">
        <v>1</v>
      </c>
      <c r="B1067" s="1">
        <v>45874</v>
      </c>
      <c r="C1067" s="1">
        <v>45875</v>
      </c>
      <c r="D1067">
        <v>101988</v>
      </c>
      <c r="E1067">
        <v>100</v>
      </c>
      <c r="F1067" s="3" t="s">
        <v>988</v>
      </c>
      <c r="G1067" s="4">
        <v>37102</v>
      </c>
      <c r="I1067" s="4">
        <v>-10194281.369999999</v>
      </c>
    </row>
    <row r="1068" spans="1:9" x14ac:dyDescent="0.3">
      <c r="A1068" t="s">
        <v>1</v>
      </c>
      <c r="B1068" s="1">
        <v>45875</v>
      </c>
      <c r="C1068" s="1">
        <v>45875</v>
      </c>
      <c r="D1068">
        <v>101993</v>
      </c>
      <c r="E1068">
        <v>100</v>
      </c>
      <c r="F1068" s="3" t="s">
        <v>989</v>
      </c>
      <c r="G1068" s="4">
        <v>52807.85</v>
      </c>
      <c r="I1068" s="4">
        <v>-10141473.52</v>
      </c>
    </row>
    <row r="1069" spans="1:9" x14ac:dyDescent="0.3">
      <c r="A1069" t="s">
        <v>1</v>
      </c>
      <c r="B1069" s="1">
        <v>45873</v>
      </c>
      <c r="C1069" s="1">
        <v>45875</v>
      </c>
      <c r="D1069">
        <v>101997</v>
      </c>
      <c r="E1069">
        <v>100</v>
      </c>
      <c r="F1069" s="3" t="s">
        <v>297</v>
      </c>
      <c r="G1069" s="4">
        <v>1703.15</v>
      </c>
      <c r="I1069" s="4">
        <v>-10139770.369999999</v>
      </c>
    </row>
    <row r="1070" spans="1:9" x14ac:dyDescent="0.3">
      <c r="A1070" t="s">
        <v>1</v>
      </c>
      <c r="B1070" s="1">
        <v>45875</v>
      </c>
      <c r="C1070" s="1">
        <v>45875</v>
      </c>
      <c r="D1070">
        <v>101999</v>
      </c>
      <c r="E1070">
        <v>100</v>
      </c>
      <c r="F1070" s="3" t="s">
        <v>311</v>
      </c>
      <c r="G1070" s="4">
        <v>80006.3</v>
      </c>
      <c r="I1070" s="4">
        <v>-10059764.07</v>
      </c>
    </row>
    <row r="1071" spans="1:9" x14ac:dyDescent="0.3">
      <c r="A1071" t="s">
        <v>1</v>
      </c>
      <c r="B1071" s="1">
        <v>45874</v>
      </c>
      <c r="C1071" s="1">
        <v>45875</v>
      </c>
      <c r="D1071">
        <v>102003</v>
      </c>
      <c r="E1071">
        <v>100</v>
      </c>
      <c r="F1071" s="3" t="s">
        <v>990</v>
      </c>
      <c r="G1071" s="4">
        <v>4025</v>
      </c>
      <c r="I1071" s="4">
        <v>-10055739.07</v>
      </c>
    </row>
    <row r="1072" spans="1:9" x14ac:dyDescent="0.3">
      <c r="A1072" t="s">
        <v>1</v>
      </c>
      <c r="B1072" s="1">
        <v>45874</v>
      </c>
      <c r="C1072" s="1">
        <v>45875</v>
      </c>
      <c r="D1072">
        <v>102008</v>
      </c>
      <c r="E1072">
        <v>100</v>
      </c>
      <c r="F1072" s="3" t="s">
        <v>991</v>
      </c>
      <c r="G1072" s="4">
        <v>8135</v>
      </c>
      <c r="I1072" s="4">
        <v>-10047604.07</v>
      </c>
    </row>
    <row r="1073" spans="1:9" x14ac:dyDescent="0.3">
      <c r="A1073" t="s">
        <v>1</v>
      </c>
      <c r="B1073" s="1">
        <v>45869</v>
      </c>
      <c r="C1073" s="1">
        <v>45875</v>
      </c>
      <c r="D1073">
        <v>102009</v>
      </c>
      <c r="E1073">
        <v>100</v>
      </c>
      <c r="F1073" s="3" t="s">
        <v>992</v>
      </c>
      <c r="G1073" s="4">
        <v>25000</v>
      </c>
      <c r="I1073" s="4">
        <v>-10022604.07</v>
      </c>
    </row>
    <row r="1074" spans="1:9" x14ac:dyDescent="0.3">
      <c r="A1074" t="s">
        <v>1</v>
      </c>
      <c r="B1074" s="1">
        <v>45875</v>
      </c>
      <c r="C1074" s="1">
        <v>45875</v>
      </c>
      <c r="D1074">
        <v>102015</v>
      </c>
      <c r="E1074">
        <v>100</v>
      </c>
      <c r="F1074" s="3" t="s">
        <v>993</v>
      </c>
      <c r="G1074" s="4">
        <v>228443.2</v>
      </c>
      <c r="I1074" s="4">
        <v>-9794160.8699999992</v>
      </c>
    </row>
    <row r="1075" spans="1:9" x14ac:dyDescent="0.3">
      <c r="A1075" t="s">
        <v>1</v>
      </c>
      <c r="B1075" s="1">
        <v>45875</v>
      </c>
      <c r="C1075" s="1">
        <v>45875</v>
      </c>
      <c r="D1075">
        <v>102018</v>
      </c>
      <c r="E1075">
        <v>100</v>
      </c>
      <c r="F1075" s="3" t="s">
        <v>994</v>
      </c>
      <c r="G1075" s="4">
        <v>333897.62</v>
      </c>
      <c r="I1075" s="4">
        <v>-9460263.25</v>
      </c>
    </row>
    <row r="1076" spans="1:9" x14ac:dyDescent="0.3">
      <c r="A1076" t="s">
        <v>1</v>
      </c>
      <c r="B1076" s="1">
        <v>45874</v>
      </c>
      <c r="C1076" s="1">
        <v>45875</v>
      </c>
      <c r="D1076">
        <v>102023</v>
      </c>
      <c r="E1076">
        <v>100</v>
      </c>
      <c r="F1076" s="3" t="s">
        <v>995</v>
      </c>
      <c r="G1076" s="4">
        <v>17641</v>
      </c>
      <c r="I1076" s="4">
        <v>-9442622.25</v>
      </c>
    </row>
    <row r="1077" spans="1:9" x14ac:dyDescent="0.3">
      <c r="A1077" t="s">
        <v>1</v>
      </c>
      <c r="B1077" s="1">
        <v>45874</v>
      </c>
      <c r="C1077" s="1">
        <v>45875</v>
      </c>
      <c r="D1077">
        <v>102025</v>
      </c>
      <c r="E1077">
        <v>100</v>
      </c>
      <c r="F1077" s="3" t="s">
        <v>996</v>
      </c>
      <c r="G1077" s="4">
        <v>66655</v>
      </c>
      <c r="I1077" s="4">
        <v>-9375967.25</v>
      </c>
    </row>
    <row r="1078" spans="1:9" x14ac:dyDescent="0.3">
      <c r="A1078" t="s">
        <v>1</v>
      </c>
      <c r="B1078" s="1">
        <v>45875</v>
      </c>
      <c r="C1078" s="1">
        <v>45875</v>
      </c>
      <c r="D1078">
        <v>102026</v>
      </c>
      <c r="E1078">
        <v>100</v>
      </c>
      <c r="F1078" s="3" t="s">
        <v>997</v>
      </c>
      <c r="G1078" s="4">
        <v>10300</v>
      </c>
      <c r="I1078" s="4">
        <v>-9365667.25</v>
      </c>
    </row>
    <row r="1079" spans="1:9" x14ac:dyDescent="0.3">
      <c r="A1079" t="s">
        <v>1</v>
      </c>
      <c r="B1079" s="1">
        <v>45871</v>
      </c>
      <c r="C1079" s="1">
        <v>45875</v>
      </c>
      <c r="D1079">
        <v>102027</v>
      </c>
      <c r="E1079">
        <v>100</v>
      </c>
      <c r="F1079" s="3" t="s">
        <v>998</v>
      </c>
      <c r="G1079" s="4">
        <v>262.5</v>
      </c>
      <c r="I1079" s="4">
        <v>-9365404.75</v>
      </c>
    </row>
    <row r="1080" spans="1:9" x14ac:dyDescent="0.3">
      <c r="A1080" t="s">
        <v>1</v>
      </c>
      <c r="B1080" s="1">
        <v>45871</v>
      </c>
      <c r="C1080" s="1">
        <v>45875</v>
      </c>
      <c r="D1080">
        <v>102028</v>
      </c>
      <c r="E1080">
        <v>100</v>
      </c>
      <c r="F1080" s="3" t="s">
        <v>999</v>
      </c>
      <c r="G1080" s="4">
        <v>52.5</v>
      </c>
      <c r="I1080" s="4">
        <v>-9365352.25</v>
      </c>
    </row>
    <row r="1081" spans="1:9" x14ac:dyDescent="0.3">
      <c r="A1081" t="s">
        <v>1</v>
      </c>
      <c r="B1081" s="1">
        <v>45875</v>
      </c>
      <c r="C1081" s="1">
        <v>45875</v>
      </c>
      <c r="D1081">
        <v>102044</v>
      </c>
      <c r="E1081">
        <v>100</v>
      </c>
      <c r="F1081" s="3" t="s">
        <v>1000</v>
      </c>
      <c r="G1081" s="4">
        <v>33800</v>
      </c>
      <c r="I1081" s="4">
        <v>-9331552.25</v>
      </c>
    </row>
    <row r="1082" spans="1:9" x14ac:dyDescent="0.3">
      <c r="A1082" t="s">
        <v>1</v>
      </c>
      <c r="B1082" s="1">
        <v>45875</v>
      </c>
      <c r="C1082" s="1">
        <v>45875</v>
      </c>
      <c r="D1082">
        <v>102051</v>
      </c>
      <c r="E1082">
        <v>100</v>
      </c>
      <c r="F1082" s="3" t="s">
        <v>1001</v>
      </c>
      <c r="G1082" s="4">
        <v>20300</v>
      </c>
      <c r="I1082" s="4">
        <v>-9311252.25</v>
      </c>
    </row>
    <row r="1083" spans="1:9" x14ac:dyDescent="0.3">
      <c r="A1083" t="s">
        <v>1</v>
      </c>
      <c r="B1083" s="1">
        <v>45875</v>
      </c>
      <c r="C1083" s="1">
        <v>45875</v>
      </c>
      <c r="D1083">
        <v>102053</v>
      </c>
      <c r="E1083">
        <v>100</v>
      </c>
      <c r="F1083" s="3" t="s">
        <v>1002</v>
      </c>
      <c r="G1083" s="4">
        <v>72500</v>
      </c>
      <c r="I1083" s="4">
        <v>-9238752.25</v>
      </c>
    </row>
    <row r="1084" spans="1:9" x14ac:dyDescent="0.3">
      <c r="A1084" t="s">
        <v>1</v>
      </c>
      <c r="B1084" s="1">
        <v>45875</v>
      </c>
      <c r="C1084" s="1">
        <v>45875</v>
      </c>
      <c r="D1084">
        <v>102059</v>
      </c>
      <c r="E1084">
        <v>100</v>
      </c>
      <c r="F1084" s="3" t="s">
        <v>1003</v>
      </c>
      <c r="G1084" s="4">
        <v>41350</v>
      </c>
      <c r="I1084" s="4">
        <v>-9197402.25</v>
      </c>
    </row>
    <row r="1085" spans="1:9" x14ac:dyDescent="0.3">
      <c r="A1085" t="s">
        <v>1</v>
      </c>
      <c r="B1085" s="1">
        <v>45874</v>
      </c>
      <c r="C1085" s="1">
        <v>45875</v>
      </c>
      <c r="D1085">
        <v>102062</v>
      </c>
      <c r="E1085">
        <v>100</v>
      </c>
      <c r="F1085" s="3" t="s">
        <v>1004</v>
      </c>
      <c r="G1085" s="4">
        <v>13026.25</v>
      </c>
      <c r="I1085" s="4">
        <v>-9184376</v>
      </c>
    </row>
    <row r="1086" spans="1:9" x14ac:dyDescent="0.3">
      <c r="A1086" t="s">
        <v>1</v>
      </c>
      <c r="B1086" s="1">
        <v>45874</v>
      </c>
      <c r="C1086" s="1">
        <v>45875</v>
      </c>
      <c r="D1086">
        <v>102063</v>
      </c>
      <c r="E1086">
        <v>100</v>
      </c>
      <c r="F1086" s="3" t="s">
        <v>1005</v>
      </c>
      <c r="G1086" s="4">
        <v>59852.5</v>
      </c>
      <c r="I1086" s="4">
        <v>-9124523.5</v>
      </c>
    </row>
    <row r="1087" spans="1:9" x14ac:dyDescent="0.3">
      <c r="A1087" t="s">
        <v>1</v>
      </c>
      <c r="B1087" s="1">
        <v>45875</v>
      </c>
      <c r="C1087" s="1">
        <v>45875</v>
      </c>
      <c r="D1087">
        <v>102067</v>
      </c>
      <c r="E1087">
        <v>100</v>
      </c>
      <c r="F1087" s="3" t="s">
        <v>1006</v>
      </c>
      <c r="G1087" s="4">
        <v>4725</v>
      </c>
      <c r="I1087" s="4">
        <v>-9119798.5</v>
      </c>
    </row>
    <row r="1088" spans="1:9" x14ac:dyDescent="0.3">
      <c r="A1088" t="s">
        <v>1</v>
      </c>
      <c r="B1088" s="1">
        <v>45875</v>
      </c>
      <c r="C1088" s="1">
        <v>45875</v>
      </c>
      <c r="D1088">
        <v>102068</v>
      </c>
      <c r="E1088">
        <v>100</v>
      </c>
      <c r="F1088" s="3" t="s">
        <v>1007</v>
      </c>
      <c r="G1088" s="4">
        <v>16533.599999999999</v>
      </c>
      <c r="I1088" s="4">
        <v>-9103264.9000000004</v>
      </c>
    </row>
    <row r="1089" spans="1:9" x14ac:dyDescent="0.3">
      <c r="A1089" t="s">
        <v>1</v>
      </c>
      <c r="B1089" s="1">
        <v>45869</v>
      </c>
      <c r="C1089" s="1">
        <v>45875</v>
      </c>
      <c r="D1089">
        <v>102069</v>
      </c>
      <c r="E1089">
        <v>100</v>
      </c>
      <c r="F1089" s="3" t="s">
        <v>1008</v>
      </c>
      <c r="G1089" s="4">
        <v>12026.25</v>
      </c>
      <c r="I1089" s="4">
        <v>-9091238.6500000004</v>
      </c>
    </row>
    <row r="1090" spans="1:9" x14ac:dyDescent="0.3">
      <c r="A1090" t="s">
        <v>1</v>
      </c>
      <c r="B1090" s="1">
        <v>45874</v>
      </c>
      <c r="C1090" s="1">
        <v>45875</v>
      </c>
      <c r="D1090">
        <v>102073</v>
      </c>
      <c r="E1090">
        <v>100</v>
      </c>
      <c r="F1090" s="3" t="s">
        <v>1009</v>
      </c>
      <c r="G1090" s="4">
        <v>15715.75</v>
      </c>
      <c r="I1090" s="4">
        <v>-9075522.9000000004</v>
      </c>
    </row>
    <row r="1091" spans="1:9" x14ac:dyDescent="0.3">
      <c r="A1091" t="s">
        <v>1</v>
      </c>
      <c r="B1091" s="1">
        <v>45875</v>
      </c>
      <c r="C1091" s="1">
        <v>45875</v>
      </c>
      <c r="D1091">
        <v>102074</v>
      </c>
      <c r="E1091">
        <v>100</v>
      </c>
      <c r="F1091" s="3" t="s">
        <v>1010</v>
      </c>
      <c r="G1091" s="4">
        <v>40000</v>
      </c>
      <c r="I1091" s="4">
        <v>-9035522.9000000004</v>
      </c>
    </row>
    <row r="1092" spans="1:9" x14ac:dyDescent="0.3">
      <c r="A1092" t="s">
        <v>1</v>
      </c>
      <c r="B1092" s="1">
        <v>45875</v>
      </c>
      <c r="C1092" s="1">
        <v>45875</v>
      </c>
      <c r="D1092">
        <v>102078</v>
      </c>
      <c r="E1092">
        <v>100</v>
      </c>
      <c r="F1092" s="3" t="s">
        <v>1011</v>
      </c>
      <c r="G1092" s="4">
        <v>8500</v>
      </c>
      <c r="I1092" s="4">
        <v>-9027022.9000000004</v>
      </c>
    </row>
    <row r="1093" spans="1:9" x14ac:dyDescent="0.3">
      <c r="A1093" t="s">
        <v>1</v>
      </c>
      <c r="B1093" s="1">
        <v>45875</v>
      </c>
      <c r="C1093" s="1">
        <v>45875</v>
      </c>
      <c r="D1093">
        <v>102089</v>
      </c>
      <c r="E1093">
        <v>100</v>
      </c>
      <c r="F1093" s="3" t="s">
        <v>1012</v>
      </c>
      <c r="G1093" s="4">
        <v>6806.3</v>
      </c>
      <c r="I1093" s="4">
        <v>-9020216.5999999996</v>
      </c>
    </row>
    <row r="1094" spans="1:9" x14ac:dyDescent="0.3">
      <c r="A1094" t="s">
        <v>1</v>
      </c>
      <c r="B1094" s="1">
        <v>45875</v>
      </c>
      <c r="C1094" s="1">
        <v>45875</v>
      </c>
      <c r="D1094">
        <v>102091</v>
      </c>
      <c r="E1094">
        <v>100</v>
      </c>
      <c r="F1094" s="3" t="s">
        <v>1013</v>
      </c>
      <c r="G1094" s="4">
        <v>9880.85</v>
      </c>
      <c r="I1094" s="4">
        <v>-9010335.75</v>
      </c>
    </row>
    <row r="1095" spans="1:9" x14ac:dyDescent="0.3">
      <c r="A1095" t="s">
        <v>1</v>
      </c>
      <c r="B1095" s="1">
        <v>45875</v>
      </c>
      <c r="C1095" s="1">
        <v>45875</v>
      </c>
      <c r="D1095">
        <v>102112</v>
      </c>
      <c r="E1095">
        <v>100</v>
      </c>
      <c r="F1095" s="3" t="s">
        <v>1014</v>
      </c>
      <c r="G1095" s="4">
        <v>50861.25</v>
      </c>
      <c r="I1095" s="4">
        <v>-8959474.5</v>
      </c>
    </row>
    <row r="1096" spans="1:9" x14ac:dyDescent="0.3">
      <c r="A1096" t="s">
        <v>71</v>
      </c>
      <c r="B1096" s="1">
        <v>45875</v>
      </c>
      <c r="C1096" s="1">
        <v>45875</v>
      </c>
      <c r="D1096">
        <v>13793</v>
      </c>
      <c r="E1096">
        <v>100</v>
      </c>
      <c r="F1096" s="3" t="s">
        <v>1015</v>
      </c>
      <c r="G1096" s="4">
        <v>0</v>
      </c>
      <c r="H1096" s="4">
        <v>37834990</v>
      </c>
      <c r="I1096" s="4">
        <v>-46794464.5</v>
      </c>
    </row>
    <row r="1097" spans="1:9" x14ac:dyDescent="0.3">
      <c r="A1097" t="s">
        <v>75</v>
      </c>
      <c r="B1097" s="1">
        <v>45874</v>
      </c>
      <c r="C1097" s="1">
        <v>45875</v>
      </c>
      <c r="D1097">
        <v>143025</v>
      </c>
      <c r="E1097">
        <v>16</v>
      </c>
      <c r="F1097" s="3" t="s">
        <v>1016</v>
      </c>
      <c r="G1097" s="4">
        <v>5571.5</v>
      </c>
      <c r="H1097" s="4">
        <v>0</v>
      </c>
      <c r="I1097" s="4">
        <v>-46788893</v>
      </c>
    </row>
    <row r="1098" spans="1:9" x14ac:dyDescent="0.3">
      <c r="A1098" t="s">
        <v>75</v>
      </c>
      <c r="B1098" s="1">
        <v>45874</v>
      </c>
      <c r="C1098" s="1">
        <v>45875</v>
      </c>
      <c r="D1098">
        <v>143027</v>
      </c>
      <c r="E1098">
        <v>77</v>
      </c>
      <c r="F1098" s="3" t="s">
        <v>1017</v>
      </c>
      <c r="G1098" s="4">
        <v>778</v>
      </c>
      <c r="H1098" s="4">
        <v>0</v>
      </c>
      <c r="I1098" s="4">
        <v>-46788115</v>
      </c>
    </row>
    <row r="1099" spans="1:9" x14ac:dyDescent="0.3">
      <c r="A1099" t="s">
        <v>75</v>
      </c>
      <c r="B1099" s="1">
        <v>45874</v>
      </c>
      <c r="C1099" s="1">
        <v>45875</v>
      </c>
      <c r="D1099">
        <v>143028</v>
      </c>
      <c r="E1099">
        <v>77</v>
      </c>
      <c r="F1099" s="3" t="s">
        <v>1018</v>
      </c>
      <c r="G1099" s="4">
        <v>11413</v>
      </c>
      <c r="H1099" s="4">
        <v>0</v>
      </c>
      <c r="I1099" s="4">
        <v>-46776702</v>
      </c>
    </row>
    <row r="1100" spans="1:9" x14ac:dyDescent="0.3">
      <c r="A1100" t="s">
        <v>75</v>
      </c>
      <c r="B1100" s="1">
        <v>45875</v>
      </c>
      <c r="C1100" s="1">
        <v>45875</v>
      </c>
      <c r="D1100">
        <v>143029</v>
      </c>
      <c r="E1100">
        <v>24</v>
      </c>
      <c r="F1100" s="3" t="s">
        <v>1019</v>
      </c>
      <c r="G1100" s="4">
        <v>119</v>
      </c>
      <c r="H1100" s="4">
        <v>0</v>
      </c>
      <c r="I1100" s="4">
        <v>-46776583</v>
      </c>
    </row>
    <row r="1101" spans="1:9" x14ac:dyDescent="0.3">
      <c r="A1101" t="s">
        <v>75</v>
      </c>
      <c r="B1101" s="1">
        <v>45875</v>
      </c>
      <c r="C1101" s="1">
        <v>45875</v>
      </c>
      <c r="D1101">
        <v>143030</v>
      </c>
      <c r="E1101">
        <v>77</v>
      </c>
      <c r="F1101" s="3" t="s">
        <v>1020</v>
      </c>
      <c r="G1101" s="4">
        <v>1500</v>
      </c>
      <c r="H1101" s="4">
        <v>0</v>
      </c>
      <c r="I1101" s="4">
        <v>-46775083</v>
      </c>
    </row>
    <row r="1102" spans="1:9" x14ac:dyDescent="0.3">
      <c r="A1102" t="s">
        <v>75</v>
      </c>
      <c r="B1102" s="1">
        <v>45874</v>
      </c>
      <c r="C1102" s="1">
        <v>45875</v>
      </c>
      <c r="D1102">
        <v>143031</v>
      </c>
      <c r="E1102">
        <v>44</v>
      </c>
      <c r="F1102" s="3" t="s">
        <v>1021</v>
      </c>
      <c r="G1102" s="4">
        <v>26000</v>
      </c>
      <c r="H1102" s="4">
        <v>0</v>
      </c>
      <c r="I1102" s="4">
        <v>-46749083</v>
      </c>
    </row>
    <row r="1103" spans="1:9" x14ac:dyDescent="0.3">
      <c r="A1103" t="s">
        <v>75</v>
      </c>
      <c r="B1103" s="1">
        <v>45872</v>
      </c>
      <c r="C1103" s="1">
        <v>45875</v>
      </c>
      <c r="D1103">
        <v>143033</v>
      </c>
      <c r="E1103">
        <v>11</v>
      </c>
      <c r="F1103" s="3" t="s">
        <v>1022</v>
      </c>
      <c r="G1103" s="4">
        <v>63478.5</v>
      </c>
      <c r="H1103" s="4">
        <v>0</v>
      </c>
      <c r="I1103" s="4">
        <v>-46685604.5</v>
      </c>
    </row>
    <row r="1104" spans="1:9" x14ac:dyDescent="0.3">
      <c r="A1104" t="s">
        <v>75</v>
      </c>
      <c r="B1104" s="1">
        <v>45875</v>
      </c>
      <c r="C1104" s="1">
        <v>45875</v>
      </c>
      <c r="D1104">
        <v>143034</v>
      </c>
      <c r="E1104">
        <v>61</v>
      </c>
      <c r="F1104" s="3" t="s">
        <v>1023</v>
      </c>
      <c r="G1104" s="4">
        <v>105157</v>
      </c>
      <c r="H1104" s="4">
        <v>0</v>
      </c>
      <c r="I1104" s="4">
        <v>-46580447.5</v>
      </c>
    </row>
    <row r="1105" spans="1:9" x14ac:dyDescent="0.3">
      <c r="A1105" t="s">
        <v>75</v>
      </c>
      <c r="B1105" s="1">
        <v>45874</v>
      </c>
      <c r="C1105" s="1">
        <v>45875</v>
      </c>
      <c r="D1105">
        <v>143035</v>
      </c>
      <c r="E1105">
        <v>89</v>
      </c>
      <c r="F1105" s="3" t="s">
        <v>1024</v>
      </c>
      <c r="G1105" s="4">
        <v>17106.75</v>
      </c>
      <c r="H1105" s="4">
        <v>0</v>
      </c>
      <c r="I1105" s="4">
        <v>-46563340.75</v>
      </c>
    </row>
    <row r="1106" spans="1:9" x14ac:dyDescent="0.3">
      <c r="A1106" t="s">
        <v>75</v>
      </c>
      <c r="B1106" s="1">
        <v>45875</v>
      </c>
      <c r="C1106" s="1">
        <v>45875</v>
      </c>
      <c r="D1106">
        <v>143036</v>
      </c>
      <c r="E1106">
        <v>16</v>
      </c>
      <c r="F1106" s="3" t="s">
        <v>1025</v>
      </c>
      <c r="G1106" s="4">
        <v>7410.5</v>
      </c>
      <c r="H1106" s="4">
        <v>0</v>
      </c>
      <c r="I1106" s="4">
        <v>-46555930.25</v>
      </c>
    </row>
    <row r="1107" spans="1:9" x14ac:dyDescent="0.3">
      <c r="A1107" t="s">
        <v>75</v>
      </c>
      <c r="B1107" s="1">
        <v>45875</v>
      </c>
      <c r="C1107" s="1">
        <v>45875</v>
      </c>
      <c r="D1107">
        <v>143037</v>
      </c>
      <c r="E1107">
        <v>11</v>
      </c>
      <c r="F1107" s="3" t="s">
        <v>1026</v>
      </c>
      <c r="G1107" s="4">
        <v>13523.25</v>
      </c>
      <c r="H1107" s="4">
        <v>0</v>
      </c>
      <c r="I1107" s="4">
        <v>-46542407</v>
      </c>
    </row>
    <row r="1108" spans="1:9" x14ac:dyDescent="0.3">
      <c r="A1108" t="s">
        <v>75</v>
      </c>
      <c r="B1108" s="1">
        <v>45874</v>
      </c>
      <c r="C1108" s="1">
        <v>45875</v>
      </c>
      <c r="D1108">
        <v>143039</v>
      </c>
      <c r="E1108">
        <v>23</v>
      </c>
      <c r="F1108" s="3" t="s">
        <v>1027</v>
      </c>
      <c r="G1108" s="4">
        <v>3079</v>
      </c>
      <c r="H1108" s="4">
        <v>0</v>
      </c>
      <c r="I1108" s="4">
        <v>-46539328</v>
      </c>
    </row>
    <row r="1109" spans="1:9" x14ac:dyDescent="0.3">
      <c r="A1109" t="s">
        <v>75</v>
      </c>
      <c r="B1109" s="1">
        <v>45875</v>
      </c>
      <c r="C1109" s="1">
        <v>45875</v>
      </c>
      <c r="D1109">
        <v>143040</v>
      </c>
      <c r="E1109">
        <v>361</v>
      </c>
      <c r="F1109" s="3" t="s">
        <v>1028</v>
      </c>
      <c r="G1109" s="4">
        <v>49950</v>
      </c>
      <c r="H1109" s="4">
        <v>0</v>
      </c>
      <c r="I1109" s="4">
        <v>-46489378</v>
      </c>
    </row>
    <row r="1110" spans="1:9" x14ac:dyDescent="0.3">
      <c r="A1110" t="s">
        <v>75</v>
      </c>
      <c r="B1110" s="1">
        <v>45874</v>
      </c>
      <c r="C1110" s="1">
        <v>45875</v>
      </c>
      <c r="D1110">
        <v>143041</v>
      </c>
      <c r="E1110">
        <v>67</v>
      </c>
      <c r="F1110" s="3" t="s">
        <v>1029</v>
      </c>
      <c r="G1110" s="4">
        <v>40000</v>
      </c>
      <c r="H1110" s="4">
        <v>0</v>
      </c>
      <c r="I1110" s="4">
        <v>-46449378</v>
      </c>
    </row>
    <row r="1111" spans="1:9" x14ac:dyDescent="0.3">
      <c r="A1111" t="s">
        <v>75</v>
      </c>
      <c r="B1111" s="1">
        <v>45875</v>
      </c>
      <c r="C1111" s="1">
        <v>45875</v>
      </c>
      <c r="D1111">
        <v>143042</v>
      </c>
      <c r="E1111">
        <v>72</v>
      </c>
      <c r="F1111" s="3" t="s">
        <v>1030</v>
      </c>
      <c r="G1111" s="4">
        <v>15000</v>
      </c>
      <c r="H1111" s="4">
        <v>0</v>
      </c>
      <c r="I1111" s="4">
        <v>-46434378</v>
      </c>
    </row>
    <row r="1112" spans="1:9" x14ac:dyDescent="0.3">
      <c r="A1112" t="s">
        <v>75</v>
      </c>
      <c r="B1112" s="1">
        <v>45874</v>
      </c>
      <c r="C1112" s="1">
        <v>45875</v>
      </c>
      <c r="D1112">
        <v>143044</v>
      </c>
      <c r="E1112">
        <v>16</v>
      </c>
      <c r="F1112" s="3" t="s">
        <v>1031</v>
      </c>
      <c r="G1112" s="4">
        <v>7805.75</v>
      </c>
      <c r="H1112" s="4">
        <v>0</v>
      </c>
      <c r="I1112" s="4">
        <v>-46426572.25</v>
      </c>
    </row>
    <row r="1113" spans="1:9" x14ac:dyDescent="0.3">
      <c r="A1113" t="s">
        <v>75</v>
      </c>
      <c r="B1113" s="1">
        <v>45874</v>
      </c>
      <c r="C1113" s="1">
        <v>45875</v>
      </c>
      <c r="D1113">
        <v>143045</v>
      </c>
      <c r="E1113">
        <v>76</v>
      </c>
      <c r="F1113" s="3" t="s">
        <v>1032</v>
      </c>
      <c r="G1113" s="4">
        <v>160000</v>
      </c>
      <c r="H1113" s="4">
        <v>0</v>
      </c>
      <c r="I1113" s="4">
        <v>-46266572.25</v>
      </c>
    </row>
    <row r="1114" spans="1:9" x14ac:dyDescent="0.3">
      <c r="A1114" t="s">
        <v>75</v>
      </c>
      <c r="B1114" s="1">
        <v>45874</v>
      </c>
      <c r="C1114" s="1">
        <v>45875</v>
      </c>
      <c r="D1114">
        <v>143046</v>
      </c>
      <c r="E1114">
        <v>76</v>
      </c>
      <c r="F1114" s="3" t="s">
        <v>1033</v>
      </c>
      <c r="G1114" s="4">
        <v>52000</v>
      </c>
      <c r="H1114" s="4">
        <v>0</v>
      </c>
      <c r="I1114" s="4">
        <v>-46214572.25</v>
      </c>
    </row>
    <row r="1115" spans="1:9" x14ac:dyDescent="0.3">
      <c r="A1115" t="s">
        <v>75</v>
      </c>
      <c r="B1115" s="1">
        <v>45871</v>
      </c>
      <c r="C1115" s="1">
        <v>45875</v>
      </c>
      <c r="D1115">
        <v>143047</v>
      </c>
      <c r="E1115">
        <v>351</v>
      </c>
      <c r="F1115" s="3" t="s">
        <v>1034</v>
      </c>
      <c r="G1115" s="4">
        <v>53326.25</v>
      </c>
      <c r="H1115" s="4">
        <v>0</v>
      </c>
      <c r="I1115" s="4">
        <v>-46161246</v>
      </c>
    </row>
    <row r="1116" spans="1:9" x14ac:dyDescent="0.3">
      <c r="A1116" t="s">
        <v>75</v>
      </c>
      <c r="B1116" s="1">
        <v>45874</v>
      </c>
      <c r="C1116" s="1">
        <v>45875</v>
      </c>
      <c r="D1116">
        <v>143048</v>
      </c>
      <c r="E1116">
        <v>55</v>
      </c>
      <c r="F1116" s="3" t="s">
        <v>1035</v>
      </c>
      <c r="G1116" s="4">
        <v>900</v>
      </c>
      <c r="H1116" s="4">
        <v>0</v>
      </c>
      <c r="I1116" s="4">
        <v>-46160346</v>
      </c>
    </row>
    <row r="1117" spans="1:9" x14ac:dyDescent="0.3">
      <c r="A1117" t="s">
        <v>75</v>
      </c>
      <c r="B1117" s="1">
        <v>45873</v>
      </c>
      <c r="C1117" s="1">
        <v>45875</v>
      </c>
      <c r="D1117">
        <v>143049</v>
      </c>
      <c r="E1117">
        <v>11</v>
      </c>
      <c r="F1117" s="3" t="s">
        <v>1036</v>
      </c>
      <c r="G1117" s="4">
        <v>367455</v>
      </c>
      <c r="H1117" s="4">
        <v>0</v>
      </c>
      <c r="I1117" s="4">
        <v>-45792891</v>
      </c>
    </row>
    <row r="1118" spans="1:9" x14ac:dyDescent="0.3">
      <c r="A1118" t="s">
        <v>75</v>
      </c>
      <c r="B1118" s="1">
        <v>45874</v>
      </c>
      <c r="C1118" s="1">
        <v>45875</v>
      </c>
      <c r="D1118">
        <v>143049</v>
      </c>
      <c r="E1118">
        <v>11</v>
      </c>
      <c r="F1118" s="3" t="s">
        <v>1037</v>
      </c>
      <c r="G1118" s="4">
        <v>33569.5</v>
      </c>
      <c r="H1118" s="4">
        <v>0</v>
      </c>
      <c r="I1118" s="4">
        <v>-45759321.5</v>
      </c>
    </row>
    <row r="1119" spans="1:9" x14ac:dyDescent="0.3">
      <c r="A1119" t="s">
        <v>75</v>
      </c>
      <c r="B1119" s="1">
        <v>45874</v>
      </c>
      <c r="C1119" s="1">
        <v>45875</v>
      </c>
      <c r="D1119">
        <v>143050</v>
      </c>
      <c r="E1119">
        <v>61</v>
      </c>
      <c r="F1119" s="3" t="s">
        <v>1038</v>
      </c>
      <c r="G1119" s="4">
        <v>47250</v>
      </c>
      <c r="H1119" s="4">
        <v>0</v>
      </c>
      <c r="I1119" s="4">
        <v>-45712071.5</v>
      </c>
    </row>
    <row r="1120" spans="1:9" x14ac:dyDescent="0.3">
      <c r="A1120" t="s">
        <v>75</v>
      </c>
      <c r="B1120" s="1">
        <v>45874</v>
      </c>
      <c r="C1120" s="1">
        <v>45875</v>
      </c>
      <c r="D1120">
        <v>143051</v>
      </c>
      <c r="E1120">
        <v>61</v>
      </c>
      <c r="F1120" s="3" t="s">
        <v>1039</v>
      </c>
      <c r="G1120" s="4">
        <v>41937.75</v>
      </c>
      <c r="H1120" s="4">
        <v>0</v>
      </c>
      <c r="I1120" s="4">
        <v>-45670133.75</v>
      </c>
    </row>
    <row r="1121" spans="1:9" x14ac:dyDescent="0.3">
      <c r="A1121" t="s">
        <v>75</v>
      </c>
      <c r="B1121" s="1">
        <v>45874</v>
      </c>
      <c r="C1121" s="1">
        <v>45875</v>
      </c>
      <c r="D1121">
        <v>143052</v>
      </c>
      <c r="E1121">
        <v>61</v>
      </c>
      <c r="F1121" s="3" t="s">
        <v>1040</v>
      </c>
      <c r="G1121" s="4">
        <v>8427</v>
      </c>
      <c r="H1121" s="4">
        <v>0</v>
      </c>
      <c r="I1121" s="4">
        <v>-45661706.75</v>
      </c>
    </row>
    <row r="1122" spans="1:9" x14ac:dyDescent="0.3">
      <c r="A1122" t="s">
        <v>75</v>
      </c>
      <c r="B1122" s="1">
        <v>45875</v>
      </c>
      <c r="C1122" s="1">
        <v>45875</v>
      </c>
      <c r="D1122">
        <v>143063</v>
      </c>
      <c r="E1122">
        <v>63</v>
      </c>
      <c r="F1122" s="3" t="s">
        <v>1041</v>
      </c>
      <c r="G1122" s="4">
        <v>32682</v>
      </c>
      <c r="H1122" s="4">
        <v>0</v>
      </c>
      <c r="I1122" s="4">
        <v>-45629024.75</v>
      </c>
    </row>
    <row r="1123" spans="1:9" x14ac:dyDescent="0.3">
      <c r="A1123" t="s">
        <v>75</v>
      </c>
      <c r="B1123" s="1">
        <v>45874</v>
      </c>
      <c r="C1123" s="1">
        <v>45875</v>
      </c>
      <c r="D1123">
        <v>143064</v>
      </c>
      <c r="E1123">
        <v>61</v>
      </c>
      <c r="F1123" s="3" t="s">
        <v>1042</v>
      </c>
      <c r="G1123" s="4">
        <v>44128</v>
      </c>
      <c r="H1123" s="4">
        <v>0</v>
      </c>
      <c r="I1123" s="4">
        <v>-45584896.75</v>
      </c>
    </row>
    <row r="1124" spans="1:9" x14ac:dyDescent="0.3">
      <c r="A1124" t="s">
        <v>75</v>
      </c>
      <c r="B1124" s="1">
        <v>45875</v>
      </c>
      <c r="C1124" s="1">
        <v>45875</v>
      </c>
      <c r="D1124">
        <v>143065</v>
      </c>
      <c r="E1124">
        <v>61</v>
      </c>
      <c r="F1124" s="3" t="s">
        <v>1043</v>
      </c>
      <c r="G1124" s="4">
        <v>159646.5</v>
      </c>
      <c r="H1124" s="4">
        <v>0</v>
      </c>
      <c r="I1124" s="4">
        <v>-45425250.25</v>
      </c>
    </row>
    <row r="1125" spans="1:9" x14ac:dyDescent="0.3">
      <c r="A1125" t="s">
        <v>75</v>
      </c>
      <c r="B1125" s="1">
        <v>45875</v>
      </c>
      <c r="C1125" s="1">
        <v>45875</v>
      </c>
      <c r="D1125">
        <v>143066</v>
      </c>
      <c r="E1125">
        <v>77</v>
      </c>
      <c r="F1125" s="3" t="s">
        <v>1044</v>
      </c>
      <c r="G1125" s="4">
        <v>71693.75</v>
      </c>
      <c r="H1125" s="4">
        <v>0</v>
      </c>
      <c r="I1125" s="4">
        <v>-45353556.5</v>
      </c>
    </row>
    <row r="1126" spans="1:9" x14ac:dyDescent="0.3">
      <c r="A1126" t="s">
        <v>75</v>
      </c>
      <c r="B1126" s="1">
        <v>45874</v>
      </c>
      <c r="C1126" s="1">
        <v>45875</v>
      </c>
      <c r="D1126">
        <v>143068</v>
      </c>
      <c r="E1126">
        <v>28</v>
      </c>
      <c r="F1126" s="3" t="s">
        <v>1045</v>
      </c>
      <c r="G1126" s="4">
        <v>79758.75</v>
      </c>
      <c r="H1126" s="4">
        <v>0</v>
      </c>
      <c r="I1126" s="4">
        <v>-45273797.75</v>
      </c>
    </row>
    <row r="1127" spans="1:9" x14ac:dyDescent="0.3">
      <c r="A1127" t="s">
        <v>75</v>
      </c>
      <c r="B1127" s="1">
        <v>45875</v>
      </c>
      <c r="C1127" s="1">
        <v>45875</v>
      </c>
      <c r="D1127">
        <v>143069</v>
      </c>
      <c r="E1127">
        <v>62</v>
      </c>
      <c r="F1127" s="3" t="s">
        <v>1046</v>
      </c>
      <c r="G1127" s="4">
        <v>17903.25</v>
      </c>
      <c r="H1127" s="4">
        <v>0</v>
      </c>
      <c r="I1127" s="4">
        <v>-45255894.5</v>
      </c>
    </row>
    <row r="1128" spans="1:9" x14ac:dyDescent="0.3">
      <c r="A1128" t="s">
        <v>75</v>
      </c>
      <c r="B1128" s="1">
        <v>45875</v>
      </c>
      <c r="C1128" s="1">
        <v>45875</v>
      </c>
      <c r="D1128">
        <v>143070</v>
      </c>
      <c r="E1128">
        <v>62</v>
      </c>
      <c r="F1128" s="3" t="s">
        <v>1047</v>
      </c>
      <c r="G1128" s="4">
        <v>2420</v>
      </c>
      <c r="H1128" s="4">
        <v>0</v>
      </c>
      <c r="I1128" s="4">
        <v>-45253474.5</v>
      </c>
    </row>
    <row r="1129" spans="1:9" x14ac:dyDescent="0.3">
      <c r="A1129" t="s">
        <v>75</v>
      </c>
      <c r="B1129" s="1">
        <v>45875</v>
      </c>
      <c r="C1129" s="1">
        <v>45875</v>
      </c>
      <c r="D1129">
        <v>143071</v>
      </c>
      <c r="E1129">
        <v>62</v>
      </c>
      <c r="F1129" s="3" t="s">
        <v>1048</v>
      </c>
      <c r="G1129" s="4">
        <v>18726</v>
      </c>
      <c r="H1129" s="4">
        <v>0</v>
      </c>
      <c r="I1129" s="4">
        <v>-45234748.5</v>
      </c>
    </row>
    <row r="1130" spans="1:9" x14ac:dyDescent="0.3">
      <c r="A1130" t="s">
        <v>75</v>
      </c>
      <c r="B1130" s="1">
        <v>45875</v>
      </c>
      <c r="C1130" s="1">
        <v>45875</v>
      </c>
      <c r="D1130">
        <v>143072</v>
      </c>
      <c r="E1130">
        <v>62</v>
      </c>
      <c r="F1130" s="3" t="s">
        <v>1049</v>
      </c>
      <c r="G1130" s="4">
        <v>13241</v>
      </c>
      <c r="H1130" s="4">
        <v>0</v>
      </c>
      <c r="I1130" s="4">
        <v>-45221507.5</v>
      </c>
    </row>
    <row r="1131" spans="1:9" x14ac:dyDescent="0.3">
      <c r="A1131" t="s">
        <v>75</v>
      </c>
      <c r="B1131" s="1">
        <v>45875</v>
      </c>
      <c r="C1131" s="1">
        <v>45875</v>
      </c>
      <c r="D1131">
        <v>143073</v>
      </c>
      <c r="E1131">
        <v>62</v>
      </c>
      <c r="F1131" s="3" t="s">
        <v>1050</v>
      </c>
      <c r="G1131" s="4">
        <v>11479</v>
      </c>
      <c r="H1131" s="4">
        <v>0</v>
      </c>
      <c r="I1131" s="4">
        <v>-45210028.5</v>
      </c>
    </row>
    <row r="1132" spans="1:9" x14ac:dyDescent="0.3">
      <c r="A1132" t="s">
        <v>75</v>
      </c>
      <c r="B1132" s="1">
        <v>45875</v>
      </c>
      <c r="C1132" s="1">
        <v>45875</v>
      </c>
      <c r="D1132">
        <v>143074</v>
      </c>
      <c r="E1132">
        <v>58</v>
      </c>
      <c r="F1132" s="3" t="s">
        <v>1051</v>
      </c>
      <c r="G1132" s="4">
        <v>1000000</v>
      </c>
      <c r="H1132" s="4">
        <v>0</v>
      </c>
      <c r="I1132" s="4">
        <v>-44210028.5</v>
      </c>
    </row>
    <row r="1133" spans="1:9" x14ac:dyDescent="0.3">
      <c r="A1133" t="s">
        <v>75</v>
      </c>
      <c r="B1133" s="1">
        <v>45871</v>
      </c>
      <c r="C1133" s="1">
        <v>45875</v>
      </c>
      <c r="D1133">
        <v>143075</v>
      </c>
      <c r="E1133">
        <v>301</v>
      </c>
      <c r="F1133" s="3" t="s">
        <v>1052</v>
      </c>
      <c r="G1133" s="4">
        <v>191192.75</v>
      </c>
      <c r="H1133" s="4">
        <v>0</v>
      </c>
      <c r="I1133" s="4">
        <v>-44018835.75</v>
      </c>
    </row>
    <row r="1134" spans="1:9" x14ac:dyDescent="0.3">
      <c r="A1134" t="s">
        <v>75</v>
      </c>
      <c r="B1134" s="1">
        <v>45870</v>
      </c>
      <c r="C1134" s="1">
        <v>45875</v>
      </c>
      <c r="D1134">
        <v>143076</v>
      </c>
      <c r="E1134">
        <v>301</v>
      </c>
      <c r="F1134" s="3" t="s">
        <v>1053</v>
      </c>
      <c r="G1134" s="4">
        <v>11190.5</v>
      </c>
      <c r="H1134" s="4">
        <v>0</v>
      </c>
      <c r="I1134" s="4">
        <v>-44007645.25</v>
      </c>
    </row>
    <row r="1135" spans="1:9" x14ac:dyDescent="0.3">
      <c r="A1135" t="s">
        <v>75</v>
      </c>
      <c r="B1135" s="1">
        <v>45875</v>
      </c>
      <c r="C1135" s="1">
        <v>45875</v>
      </c>
      <c r="D1135">
        <v>143077</v>
      </c>
      <c r="E1135">
        <v>412</v>
      </c>
      <c r="F1135" s="3" t="s">
        <v>1054</v>
      </c>
      <c r="G1135" s="4">
        <v>30000</v>
      </c>
      <c r="H1135" s="4">
        <v>0</v>
      </c>
      <c r="I1135" s="4">
        <v>-43977645.25</v>
      </c>
    </row>
    <row r="1136" spans="1:9" x14ac:dyDescent="0.3">
      <c r="A1136" t="s">
        <v>75</v>
      </c>
      <c r="B1136" s="1">
        <v>45875</v>
      </c>
      <c r="C1136" s="1">
        <v>45875</v>
      </c>
      <c r="D1136">
        <v>143078</v>
      </c>
      <c r="E1136">
        <v>412</v>
      </c>
      <c r="F1136" s="3" t="s">
        <v>1055</v>
      </c>
      <c r="G1136" s="4">
        <v>28800</v>
      </c>
      <c r="H1136" s="4">
        <v>0</v>
      </c>
      <c r="I1136" s="4">
        <v>-43948845.25</v>
      </c>
    </row>
    <row r="1137" spans="1:9" x14ac:dyDescent="0.3">
      <c r="A1137" t="s">
        <v>75</v>
      </c>
      <c r="B1137" s="1">
        <v>45873</v>
      </c>
      <c r="C1137" s="1">
        <v>45875</v>
      </c>
      <c r="D1137">
        <v>143079</v>
      </c>
      <c r="E1137">
        <v>67</v>
      </c>
      <c r="F1137" s="3" t="s">
        <v>1056</v>
      </c>
      <c r="G1137" s="4">
        <v>67276.5</v>
      </c>
      <c r="H1137" s="4">
        <v>0</v>
      </c>
      <c r="I1137" s="4">
        <v>-43881568.75</v>
      </c>
    </row>
    <row r="1138" spans="1:9" x14ac:dyDescent="0.3">
      <c r="A1138" t="s">
        <v>75</v>
      </c>
      <c r="B1138" s="1">
        <v>45874</v>
      </c>
      <c r="C1138" s="1">
        <v>45875</v>
      </c>
      <c r="D1138">
        <v>143080</v>
      </c>
      <c r="E1138">
        <v>78</v>
      </c>
      <c r="F1138" s="3" t="s">
        <v>1057</v>
      </c>
      <c r="G1138" s="4">
        <v>2000000</v>
      </c>
      <c r="H1138" s="4">
        <v>0</v>
      </c>
      <c r="I1138" s="4">
        <v>-41881568.75</v>
      </c>
    </row>
    <row r="1139" spans="1:9" x14ac:dyDescent="0.3">
      <c r="A1139" t="s">
        <v>124</v>
      </c>
      <c r="B1139" s="1">
        <v>45875</v>
      </c>
      <c r="C1139" s="1">
        <v>45875</v>
      </c>
      <c r="D1139">
        <v>22164</v>
      </c>
      <c r="E1139">
        <v>11</v>
      </c>
      <c r="F1139" s="3" t="s">
        <v>125</v>
      </c>
      <c r="G1139" s="4">
        <v>0</v>
      </c>
      <c r="H1139" s="4">
        <v>60757166.640000001</v>
      </c>
      <c r="I1139" s="4">
        <v>-102638735.39</v>
      </c>
    </row>
    <row r="1140" spans="1:9" x14ac:dyDescent="0.3">
      <c r="A1140" t="s">
        <v>124</v>
      </c>
      <c r="B1140" s="1">
        <v>45875</v>
      </c>
      <c r="C1140" s="1">
        <v>45875</v>
      </c>
      <c r="D1140">
        <v>22166</v>
      </c>
      <c r="E1140">
        <v>11</v>
      </c>
      <c r="F1140" s="3" t="s">
        <v>127</v>
      </c>
      <c r="G1140" s="4">
        <v>28000000</v>
      </c>
      <c r="H1140" s="4">
        <v>0</v>
      </c>
      <c r="I1140" s="4">
        <v>-74638735.390000001</v>
      </c>
    </row>
    <row r="1141" spans="1:9" x14ac:dyDescent="0.3">
      <c r="A1141" t="s">
        <v>124</v>
      </c>
      <c r="B1141" s="1">
        <v>45875</v>
      </c>
      <c r="C1141" s="1">
        <v>45875</v>
      </c>
      <c r="D1141">
        <v>22167</v>
      </c>
      <c r="E1141">
        <v>11</v>
      </c>
      <c r="F1141" s="3" t="s">
        <v>125</v>
      </c>
      <c r="G1141" s="4">
        <v>0</v>
      </c>
      <c r="H1141" s="4">
        <v>250000</v>
      </c>
      <c r="I1141" s="4">
        <v>-74888735.390000001</v>
      </c>
    </row>
    <row r="1142" spans="1:9" x14ac:dyDescent="0.3">
      <c r="A1142" t="s">
        <v>124</v>
      </c>
      <c r="B1142" s="1">
        <v>45875</v>
      </c>
      <c r="C1142" s="1">
        <v>45875</v>
      </c>
      <c r="D1142">
        <v>22169</v>
      </c>
      <c r="E1142">
        <v>11</v>
      </c>
      <c r="F1142" s="3" t="s">
        <v>128</v>
      </c>
      <c r="G1142" s="4">
        <v>20000000</v>
      </c>
      <c r="H1142" s="4">
        <v>0</v>
      </c>
      <c r="I1142" s="4">
        <v>-54888735.390000001</v>
      </c>
    </row>
    <row r="1143" spans="1:9" x14ac:dyDescent="0.3">
      <c r="A1143" t="s">
        <v>124</v>
      </c>
      <c r="B1143" s="1">
        <v>45875</v>
      </c>
      <c r="C1143" s="1">
        <v>45875</v>
      </c>
      <c r="D1143">
        <v>22171</v>
      </c>
      <c r="E1143">
        <v>11</v>
      </c>
      <c r="F1143" s="3" t="s">
        <v>128</v>
      </c>
      <c r="G1143" s="4">
        <v>5000000</v>
      </c>
      <c r="H1143" s="4">
        <v>0</v>
      </c>
      <c r="I1143" s="4">
        <v>-49888735.390000001</v>
      </c>
    </row>
    <row r="1144" spans="1:9" x14ac:dyDescent="0.3">
      <c r="A1144" t="s">
        <v>130</v>
      </c>
      <c r="B1144" s="1">
        <v>45875</v>
      </c>
      <c r="C1144" s="1">
        <v>45875</v>
      </c>
      <c r="D1144">
        <v>3827101</v>
      </c>
      <c r="E1144">
        <v>59</v>
      </c>
      <c r="F1144" s="3" t="s">
        <v>1058</v>
      </c>
      <c r="G1144" s="4">
        <v>0</v>
      </c>
      <c r="H1144" s="4">
        <v>47417.75</v>
      </c>
      <c r="I1144" s="4">
        <v>-49936153.140000001</v>
      </c>
    </row>
    <row r="1145" spans="1:9" x14ac:dyDescent="0.3">
      <c r="A1145" t="s">
        <v>130</v>
      </c>
      <c r="B1145" s="1">
        <v>45875</v>
      </c>
      <c r="C1145" s="1">
        <v>45875</v>
      </c>
      <c r="D1145">
        <v>3827319</v>
      </c>
      <c r="E1145">
        <v>58</v>
      </c>
      <c r="F1145" s="3" t="s">
        <v>1059</v>
      </c>
      <c r="G1145" s="4">
        <v>0</v>
      </c>
      <c r="H1145" s="4">
        <v>11528.5</v>
      </c>
      <c r="I1145" s="4">
        <v>-49947681.640000001</v>
      </c>
    </row>
    <row r="1146" spans="1:9" x14ac:dyDescent="0.3">
      <c r="A1146" t="s">
        <v>130</v>
      </c>
      <c r="B1146" s="1">
        <v>45875</v>
      </c>
      <c r="C1146" s="1">
        <v>45875</v>
      </c>
      <c r="D1146">
        <v>3827321</v>
      </c>
      <c r="E1146">
        <v>58</v>
      </c>
      <c r="F1146" s="3" t="s">
        <v>1059</v>
      </c>
      <c r="G1146" s="4">
        <v>0</v>
      </c>
      <c r="H1146" s="4">
        <v>11528.5</v>
      </c>
      <c r="I1146" s="4">
        <v>-49959210.140000001</v>
      </c>
    </row>
    <row r="1147" spans="1:9" x14ac:dyDescent="0.3">
      <c r="A1147" t="s">
        <v>130</v>
      </c>
      <c r="B1147" s="1">
        <v>45875</v>
      </c>
      <c r="C1147" s="1">
        <v>45875</v>
      </c>
      <c r="D1147">
        <v>3827435</v>
      </c>
      <c r="E1147">
        <v>38</v>
      </c>
      <c r="F1147" s="3" t="s">
        <v>1060</v>
      </c>
      <c r="G1147" s="4">
        <v>0</v>
      </c>
      <c r="H1147" s="4">
        <v>20000</v>
      </c>
      <c r="I1147" s="4">
        <v>-49979210.140000001</v>
      </c>
    </row>
    <row r="1148" spans="1:9" x14ac:dyDescent="0.3">
      <c r="A1148" t="s">
        <v>133</v>
      </c>
      <c r="B1148" s="1">
        <v>45875</v>
      </c>
      <c r="C1148" s="1">
        <v>45875</v>
      </c>
      <c r="D1148">
        <v>912177</v>
      </c>
      <c r="E1148">
        <v>78</v>
      </c>
      <c r="F1148" s="3" t="s">
        <v>1061</v>
      </c>
      <c r="G1148" s="4">
        <v>184505.25</v>
      </c>
      <c r="H1148" s="4">
        <v>0</v>
      </c>
      <c r="I1148" s="4">
        <v>-49794704.890000001</v>
      </c>
    </row>
    <row r="1149" spans="1:9" x14ac:dyDescent="0.3">
      <c r="A1149" t="s">
        <v>133</v>
      </c>
      <c r="B1149" s="1">
        <v>45875</v>
      </c>
      <c r="C1149" s="1">
        <v>45875</v>
      </c>
      <c r="D1149">
        <v>912179</v>
      </c>
      <c r="E1149">
        <v>78</v>
      </c>
      <c r="F1149" s="3" t="s">
        <v>1062</v>
      </c>
      <c r="G1149" s="4">
        <v>51654.75</v>
      </c>
      <c r="H1149" s="4">
        <v>0</v>
      </c>
      <c r="I1149" s="4">
        <v>-49743050.140000001</v>
      </c>
    </row>
    <row r="1150" spans="1:9" x14ac:dyDescent="0.3">
      <c r="A1150" t="s">
        <v>133</v>
      </c>
      <c r="B1150" s="1">
        <v>45875</v>
      </c>
      <c r="C1150" s="1">
        <v>45875</v>
      </c>
      <c r="D1150">
        <v>912180</v>
      </c>
      <c r="E1150">
        <v>78</v>
      </c>
      <c r="F1150" s="3" t="s">
        <v>1063</v>
      </c>
      <c r="G1150" s="4">
        <v>73787.75</v>
      </c>
      <c r="H1150" s="4">
        <v>0</v>
      </c>
      <c r="I1150" s="4">
        <v>-49669262.390000001</v>
      </c>
    </row>
    <row r="1151" spans="1:9" x14ac:dyDescent="0.3">
      <c r="A1151" t="s">
        <v>133</v>
      </c>
      <c r="B1151" s="1">
        <v>45875</v>
      </c>
      <c r="C1151" s="1">
        <v>45875</v>
      </c>
      <c r="D1151">
        <v>912182</v>
      </c>
      <c r="E1151">
        <v>69</v>
      </c>
      <c r="F1151" s="3" t="s">
        <v>1064</v>
      </c>
      <c r="G1151" s="4">
        <v>100</v>
      </c>
      <c r="H1151" s="4">
        <v>0</v>
      </c>
      <c r="I1151" s="4">
        <v>-49669162.390000001</v>
      </c>
    </row>
    <row r="1152" spans="1:9" x14ac:dyDescent="0.3">
      <c r="A1152" t="s">
        <v>133</v>
      </c>
      <c r="B1152" s="1">
        <v>45875</v>
      </c>
      <c r="C1152" s="1">
        <v>45875</v>
      </c>
      <c r="D1152">
        <v>912184</v>
      </c>
      <c r="E1152">
        <v>69</v>
      </c>
      <c r="F1152" s="3" t="s">
        <v>1065</v>
      </c>
      <c r="G1152" s="4">
        <v>39900</v>
      </c>
      <c r="H1152" s="4">
        <v>0</v>
      </c>
      <c r="I1152" s="4">
        <v>-49629262.390000001</v>
      </c>
    </row>
    <row r="1153" spans="1:9" x14ac:dyDescent="0.3">
      <c r="A1153" t="s">
        <v>133</v>
      </c>
      <c r="B1153" s="1">
        <v>45875</v>
      </c>
      <c r="C1153" s="1">
        <v>45875</v>
      </c>
      <c r="D1153">
        <v>912186</v>
      </c>
      <c r="E1153">
        <v>59</v>
      </c>
      <c r="F1153" s="3" t="s">
        <v>1066</v>
      </c>
      <c r="G1153" s="4">
        <v>6734.75</v>
      </c>
      <c r="H1153" s="4">
        <v>0</v>
      </c>
      <c r="I1153" s="4">
        <v>-49622527.640000001</v>
      </c>
    </row>
    <row r="1154" spans="1:9" x14ac:dyDescent="0.3">
      <c r="A1154" t="s">
        <v>133</v>
      </c>
      <c r="B1154" s="1">
        <v>45875</v>
      </c>
      <c r="C1154" s="1">
        <v>45875</v>
      </c>
      <c r="D1154">
        <v>912193</v>
      </c>
      <c r="E1154">
        <v>64</v>
      </c>
      <c r="F1154" s="3" t="s">
        <v>1067</v>
      </c>
      <c r="G1154" s="4">
        <v>310905</v>
      </c>
      <c r="H1154" s="4">
        <v>0</v>
      </c>
      <c r="I1154" s="4">
        <v>-49311622.640000001</v>
      </c>
    </row>
    <row r="1155" spans="1:9" x14ac:dyDescent="0.3">
      <c r="A1155" t="s">
        <v>133</v>
      </c>
      <c r="B1155" s="1">
        <v>45875</v>
      </c>
      <c r="C1155" s="1">
        <v>45875</v>
      </c>
      <c r="D1155">
        <v>912194</v>
      </c>
      <c r="E1155">
        <v>64</v>
      </c>
      <c r="F1155" s="3" t="s">
        <v>1068</v>
      </c>
      <c r="G1155" s="4">
        <v>36848</v>
      </c>
      <c r="H1155" s="4">
        <v>0</v>
      </c>
      <c r="I1155" s="4">
        <v>-49274774.640000001</v>
      </c>
    </row>
    <row r="1156" spans="1:9" x14ac:dyDescent="0.3">
      <c r="A1156" t="s">
        <v>133</v>
      </c>
      <c r="B1156" s="1">
        <v>45875</v>
      </c>
      <c r="C1156" s="1">
        <v>45875</v>
      </c>
      <c r="D1156">
        <v>912196</v>
      </c>
      <c r="E1156">
        <v>64</v>
      </c>
      <c r="F1156" s="3" t="s">
        <v>1069</v>
      </c>
      <c r="G1156" s="4">
        <v>129165</v>
      </c>
      <c r="H1156" s="4">
        <v>0</v>
      </c>
      <c r="I1156" s="4">
        <v>-49145609.640000001</v>
      </c>
    </row>
    <row r="1157" spans="1:9" x14ac:dyDescent="0.3">
      <c r="A1157" t="s">
        <v>133</v>
      </c>
      <c r="B1157" s="1">
        <v>45875</v>
      </c>
      <c r="C1157" s="1">
        <v>45875</v>
      </c>
      <c r="D1157">
        <v>912197</v>
      </c>
      <c r="E1157">
        <v>64</v>
      </c>
      <c r="F1157" s="3" t="s">
        <v>1070</v>
      </c>
      <c r="G1157" s="4">
        <v>41651.75</v>
      </c>
      <c r="H1157" s="4">
        <v>0</v>
      </c>
      <c r="I1157" s="4">
        <v>-49103957.890000001</v>
      </c>
    </row>
    <row r="1158" spans="1:9" x14ac:dyDescent="0.3">
      <c r="A1158" t="s">
        <v>133</v>
      </c>
      <c r="B1158" s="1">
        <v>45875</v>
      </c>
      <c r="C1158" s="1">
        <v>45875</v>
      </c>
      <c r="D1158">
        <v>912200</v>
      </c>
      <c r="E1158">
        <v>64</v>
      </c>
      <c r="F1158" s="3" t="s">
        <v>1071</v>
      </c>
      <c r="G1158" s="4">
        <v>21400</v>
      </c>
      <c r="H1158" s="4">
        <v>0</v>
      </c>
      <c r="I1158" s="4">
        <v>-49082557.890000001</v>
      </c>
    </row>
    <row r="1159" spans="1:9" x14ac:dyDescent="0.3">
      <c r="A1159" t="s">
        <v>133</v>
      </c>
      <c r="B1159" s="1">
        <v>45875</v>
      </c>
      <c r="C1159" s="1">
        <v>45875</v>
      </c>
      <c r="D1159">
        <v>912201</v>
      </c>
      <c r="E1159">
        <v>64</v>
      </c>
      <c r="F1159" s="3" t="s">
        <v>1072</v>
      </c>
      <c r="G1159" s="4">
        <v>254883</v>
      </c>
      <c r="H1159" s="4">
        <v>0</v>
      </c>
      <c r="I1159" s="4">
        <v>-48827674.890000001</v>
      </c>
    </row>
    <row r="1160" spans="1:9" x14ac:dyDescent="0.3">
      <c r="A1160" t="s">
        <v>133</v>
      </c>
      <c r="B1160" s="1">
        <v>45875</v>
      </c>
      <c r="C1160" s="1">
        <v>45875</v>
      </c>
      <c r="D1160">
        <v>912202</v>
      </c>
      <c r="E1160">
        <v>64</v>
      </c>
      <c r="F1160" s="3" t="s">
        <v>1073</v>
      </c>
      <c r="G1160" s="4">
        <v>51496.5</v>
      </c>
      <c r="H1160" s="4">
        <v>0</v>
      </c>
      <c r="I1160" s="4">
        <v>-48776178.390000001</v>
      </c>
    </row>
    <row r="1161" spans="1:9" x14ac:dyDescent="0.3">
      <c r="A1161" t="s">
        <v>133</v>
      </c>
      <c r="B1161" s="1">
        <v>45875</v>
      </c>
      <c r="C1161" s="1">
        <v>45875</v>
      </c>
      <c r="D1161">
        <v>912226</v>
      </c>
      <c r="E1161">
        <v>78</v>
      </c>
      <c r="F1161" s="3" t="s">
        <v>1074</v>
      </c>
      <c r="G1161" s="4">
        <v>19075.25</v>
      </c>
      <c r="H1161" s="4">
        <v>0</v>
      </c>
      <c r="I1161" s="4">
        <v>-48757103.140000001</v>
      </c>
    </row>
    <row r="1162" spans="1:9" x14ac:dyDescent="0.3">
      <c r="A1162" t="s">
        <v>133</v>
      </c>
      <c r="B1162" s="1">
        <v>45875</v>
      </c>
      <c r="C1162" s="1">
        <v>45875</v>
      </c>
      <c r="D1162">
        <v>912235</v>
      </c>
      <c r="E1162">
        <v>27</v>
      </c>
      <c r="F1162" s="3" t="s">
        <v>1075</v>
      </c>
      <c r="G1162" s="4">
        <v>73023.5</v>
      </c>
      <c r="H1162" s="4">
        <v>0</v>
      </c>
      <c r="I1162" s="4">
        <v>-48684079.640000001</v>
      </c>
    </row>
    <row r="1163" spans="1:9" x14ac:dyDescent="0.3">
      <c r="A1163" t="s">
        <v>133</v>
      </c>
      <c r="B1163" s="1">
        <v>45875</v>
      </c>
      <c r="C1163" s="1">
        <v>45875</v>
      </c>
      <c r="D1163">
        <v>912236</v>
      </c>
      <c r="E1163">
        <v>38</v>
      </c>
      <c r="F1163" s="3" t="s">
        <v>1076</v>
      </c>
      <c r="G1163" s="4">
        <v>1858</v>
      </c>
      <c r="H1163" s="4">
        <v>0</v>
      </c>
      <c r="I1163" s="4">
        <v>-48682221.640000001</v>
      </c>
    </row>
    <row r="1164" spans="1:9" x14ac:dyDescent="0.3">
      <c r="A1164" t="s">
        <v>133</v>
      </c>
      <c r="B1164" s="1">
        <v>45875</v>
      </c>
      <c r="C1164" s="1">
        <v>45875</v>
      </c>
      <c r="D1164">
        <v>912239</v>
      </c>
      <c r="E1164">
        <v>27</v>
      </c>
      <c r="F1164" s="3" t="s">
        <v>1077</v>
      </c>
      <c r="G1164" s="4">
        <v>74922.5</v>
      </c>
      <c r="H1164" s="4">
        <v>0</v>
      </c>
      <c r="I1164" s="4">
        <v>-48607299.140000001</v>
      </c>
    </row>
    <row r="1165" spans="1:9" x14ac:dyDescent="0.3">
      <c r="A1165" t="s">
        <v>133</v>
      </c>
      <c r="B1165" s="1">
        <v>45875</v>
      </c>
      <c r="C1165" s="1">
        <v>45875</v>
      </c>
      <c r="D1165">
        <v>912241</v>
      </c>
      <c r="E1165">
        <v>27</v>
      </c>
      <c r="F1165" s="3" t="s">
        <v>1078</v>
      </c>
      <c r="G1165" s="4">
        <v>91910.5</v>
      </c>
      <c r="H1165" s="4">
        <v>0</v>
      </c>
      <c r="I1165" s="4">
        <v>-48515388.640000001</v>
      </c>
    </row>
    <row r="1166" spans="1:9" x14ac:dyDescent="0.3">
      <c r="A1166" t="s">
        <v>133</v>
      </c>
      <c r="B1166" s="1">
        <v>45875</v>
      </c>
      <c r="C1166" s="1">
        <v>45875</v>
      </c>
      <c r="D1166">
        <v>912242</v>
      </c>
      <c r="E1166">
        <v>89</v>
      </c>
      <c r="F1166" s="3" t="s">
        <v>1079</v>
      </c>
      <c r="G1166" s="4">
        <v>63553</v>
      </c>
      <c r="H1166" s="4">
        <v>0</v>
      </c>
      <c r="I1166" s="4">
        <v>-48451835.640000001</v>
      </c>
    </row>
    <row r="1167" spans="1:9" x14ac:dyDescent="0.3">
      <c r="A1167" t="s">
        <v>133</v>
      </c>
      <c r="B1167" s="1">
        <v>45875</v>
      </c>
      <c r="C1167" s="1">
        <v>45875</v>
      </c>
      <c r="D1167">
        <v>912243</v>
      </c>
      <c r="E1167">
        <v>27</v>
      </c>
      <c r="F1167" s="3" t="s">
        <v>1080</v>
      </c>
      <c r="G1167" s="4">
        <v>65652.5</v>
      </c>
      <c r="H1167" s="4">
        <v>0</v>
      </c>
      <c r="I1167" s="4">
        <v>-48386183.140000001</v>
      </c>
    </row>
    <row r="1168" spans="1:9" x14ac:dyDescent="0.3">
      <c r="A1168" t="s">
        <v>133</v>
      </c>
      <c r="B1168" s="1">
        <v>45875</v>
      </c>
      <c r="C1168" s="1">
        <v>45875</v>
      </c>
      <c r="D1168">
        <v>912244</v>
      </c>
      <c r="E1168">
        <v>89</v>
      </c>
      <c r="F1168" s="3" t="s">
        <v>1081</v>
      </c>
      <c r="G1168" s="4">
        <v>100000</v>
      </c>
      <c r="H1168" s="4">
        <v>0</v>
      </c>
      <c r="I1168" s="4">
        <v>-48286183.140000001</v>
      </c>
    </row>
    <row r="1169" spans="1:9" x14ac:dyDescent="0.3">
      <c r="A1169" t="s">
        <v>133</v>
      </c>
      <c r="B1169" s="1">
        <v>45875</v>
      </c>
      <c r="C1169" s="1">
        <v>45875</v>
      </c>
      <c r="D1169">
        <v>912247</v>
      </c>
      <c r="E1169">
        <v>27</v>
      </c>
      <c r="F1169" s="3" t="s">
        <v>1082</v>
      </c>
      <c r="G1169" s="4">
        <v>85000</v>
      </c>
      <c r="H1169" s="4">
        <v>0</v>
      </c>
      <c r="I1169" s="4">
        <v>-48201183.140000001</v>
      </c>
    </row>
    <row r="1170" spans="1:9" x14ac:dyDescent="0.3">
      <c r="A1170" t="s">
        <v>133</v>
      </c>
      <c r="B1170" s="1">
        <v>45875</v>
      </c>
      <c r="C1170" s="1">
        <v>45875</v>
      </c>
      <c r="D1170">
        <v>912251</v>
      </c>
      <c r="E1170">
        <v>59</v>
      </c>
      <c r="F1170" s="3" t="s">
        <v>1083</v>
      </c>
      <c r="G1170" s="4">
        <v>47417.75</v>
      </c>
      <c r="H1170" s="4">
        <v>0</v>
      </c>
      <c r="I1170" s="4">
        <v>-48153765.390000001</v>
      </c>
    </row>
    <row r="1171" spans="1:9" x14ac:dyDescent="0.3">
      <c r="A1171" t="s">
        <v>133</v>
      </c>
      <c r="B1171" s="1">
        <v>45875</v>
      </c>
      <c r="C1171" s="1">
        <v>45875</v>
      </c>
      <c r="D1171">
        <v>912252</v>
      </c>
      <c r="E1171">
        <v>301</v>
      </c>
      <c r="F1171" s="3" t="s">
        <v>1084</v>
      </c>
      <c r="G1171" s="4">
        <v>370000</v>
      </c>
      <c r="H1171" s="4">
        <v>0</v>
      </c>
      <c r="I1171" s="4">
        <v>-47783765.390000001</v>
      </c>
    </row>
    <row r="1172" spans="1:9" x14ac:dyDescent="0.3">
      <c r="A1172" t="s">
        <v>133</v>
      </c>
      <c r="B1172" s="1">
        <v>45875</v>
      </c>
      <c r="C1172" s="1">
        <v>45875</v>
      </c>
      <c r="D1172">
        <v>912261</v>
      </c>
      <c r="E1172">
        <v>91</v>
      </c>
      <c r="F1172" s="3" t="s">
        <v>1085</v>
      </c>
      <c r="G1172" s="4">
        <v>165350</v>
      </c>
      <c r="H1172" s="4">
        <v>0</v>
      </c>
      <c r="I1172" s="4">
        <v>-47618415.390000001</v>
      </c>
    </row>
    <row r="1173" spans="1:9" x14ac:dyDescent="0.3">
      <c r="A1173" t="s">
        <v>133</v>
      </c>
      <c r="B1173" s="1">
        <v>45875</v>
      </c>
      <c r="C1173" s="1">
        <v>45875</v>
      </c>
      <c r="D1173">
        <v>912263</v>
      </c>
      <c r="E1173">
        <v>282</v>
      </c>
      <c r="F1173" s="3" t="s">
        <v>1086</v>
      </c>
      <c r="G1173" s="4">
        <v>200000</v>
      </c>
      <c r="H1173" s="4">
        <v>0</v>
      </c>
      <c r="I1173" s="4">
        <v>-47418415.390000001</v>
      </c>
    </row>
    <row r="1174" spans="1:9" x14ac:dyDescent="0.3">
      <c r="A1174" t="s">
        <v>133</v>
      </c>
      <c r="B1174" s="1">
        <v>45875</v>
      </c>
      <c r="C1174" s="1">
        <v>45875</v>
      </c>
      <c r="D1174">
        <v>912265</v>
      </c>
      <c r="E1174">
        <v>382</v>
      </c>
      <c r="F1174" s="3" t="s">
        <v>1087</v>
      </c>
      <c r="G1174" s="4">
        <v>83837</v>
      </c>
      <c r="H1174" s="4">
        <v>0</v>
      </c>
      <c r="I1174" s="4">
        <v>-47334578.390000001</v>
      </c>
    </row>
    <row r="1175" spans="1:9" x14ac:dyDescent="0.3">
      <c r="A1175" t="s">
        <v>133</v>
      </c>
      <c r="B1175" s="1">
        <v>45875</v>
      </c>
      <c r="C1175" s="1">
        <v>45875</v>
      </c>
      <c r="D1175">
        <v>912269</v>
      </c>
      <c r="E1175">
        <v>73</v>
      </c>
      <c r="F1175" s="3" t="s">
        <v>1088</v>
      </c>
      <c r="G1175" s="4">
        <v>200000</v>
      </c>
      <c r="H1175" s="4">
        <v>0</v>
      </c>
      <c r="I1175" s="4">
        <v>-47134578.390000001</v>
      </c>
    </row>
    <row r="1176" spans="1:9" x14ac:dyDescent="0.3">
      <c r="A1176" t="s">
        <v>133</v>
      </c>
      <c r="B1176" s="1">
        <v>45875</v>
      </c>
      <c r="C1176" s="1">
        <v>45875</v>
      </c>
      <c r="D1176">
        <v>912270</v>
      </c>
      <c r="E1176">
        <v>86</v>
      </c>
      <c r="F1176" s="3" t="s">
        <v>1089</v>
      </c>
      <c r="G1176" s="4">
        <v>23737.25</v>
      </c>
      <c r="H1176" s="4">
        <v>0</v>
      </c>
      <c r="I1176" s="4">
        <v>-47110841.140000001</v>
      </c>
    </row>
    <row r="1177" spans="1:9" x14ac:dyDescent="0.3">
      <c r="A1177" t="s">
        <v>133</v>
      </c>
      <c r="B1177" s="1">
        <v>45875</v>
      </c>
      <c r="C1177" s="1">
        <v>45875</v>
      </c>
      <c r="D1177">
        <v>912281</v>
      </c>
      <c r="E1177">
        <v>27</v>
      </c>
      <c r="F1177" s="3" t="s">
        <v>1090</v>
      </c>
      <c r="G1177" s="4">
        <v>5440.25</v>
      </c>
      <c r="H1177" s="4">
        <v>0</v>
      </c>
      <c r="I1177" s="4">
        <v>-47105400.890000001</v>
      </c>
    </row>
    <row r="1178" spans="1:9" x14ac:dyDescent="0.3">
      <c r="A1178" t="s">
        <v>133</v>
      </c>
      <c r="B1178" s="1">
        <v>45875</v>
      </c>
      <c r="C1178" s="1">
        <v>45875</v>
      </c>
      <c r="D1178">
        <v>912314</v>
      </c>
      <c r="E1178">
        <v>15</v>
      </c>
      <c r="F1178" s="3" t="s">
        <v>1091</v>
      </c>
      <c r="G1178" s="4">
        <v>37317.5</v>
      </c>
      <c r="H1178" s="4">
        <v>0</v>
      </c>
      <c r="I1178" s="4">
        <v>-47068083.390000001</v>
      </c>
    </row>
    <row r="1179" spans="1:9" x14ac:dyDescent="0.3">
      <c r="A1179" t="s">
        <v>133</v>
      </c>
      <c r="B1179" s="1">
        <v>45875</v>
      </c>
      <c r="C1179" s="1">
        <v>45875</v>
      </c>
      <c r="D1179">
        <v>912316</v>
      </c>
      <c r="E1179">
        <v>15</v>
      </c>
      <c r="F1179" s="3" t="s">
        <v>1092</v>
      </c>
      <c r="G1179" s="4">
        <v>153775.25</v>
      </c>
      <c r="H1179" s="4">
        <v>0</v>
      </c>
      <c r="I1179" s="4">
        <v>-46914308.140000001</v>
      </c>
    </row>
    <row r="1180" spans="1:9" x14ac:dyDescent="0.3">
      <c r="A1180" t="s">
        <v>133</v>
      </c>
      <c r="B1180" s="1">
        <v>45875</v>
      </c>
      <c r="C1180" s="1">
        <v>45875</v>
      </c>
      <c r="D1180">
        <v>912319</v>
      </c>
      <c r="E1180">
        <v>51</v>
      </c>
      <c r="F1180" s="3" t="s">
        <v>1093</v>
      </c>
      <c r="G1180" s="4">
        <v>510000</v>
      </c>
      <c r="H1180" s="4">
        <v>0</v>
      </c>
      <c r="I1180" s="4">
        <v>-46404308.140000001</v>
      </c>
    </row>
    <row r="1181" spans="1:9" x14ac:dyDescent="0.3">
      <c r="A1181" t="s">
        <v>133</v>
      </c>
      <c r="B1181" s="1">
        <v>45875</v>
      </c>
      <c r="C1181" s="1">
        <v>45875</v>
      </c>
      <c r="D1181">
        <v>912321</v>
      </c>
      <c r="E1181">
        <v>91</v>
      </c>
      <c r="F1181" s="3" t="s">
        <v>1094</v>
      </c>
      <c r="G1181" s="4">
        <v>22110.5</v>
      </c>
      <c r="H1181" s="4">
        <v>0</v>
      </c>
      <c r="I1181" s="4">
        <v>-46382197.640000001</v>
      </c>
    </row>
    <row r="1182" spans="1:9" x14ac:dyDescent="0.3">
      <c r="A1182" t="s">
        <v>133</v>
      </c>
      <c r="B1182" s="1">
        <v>45875</v>
      </c>
      <c r="C1182" s="1">
        <v>45875</v>
      </c>
      <c r="D1182">
        <v>912322</v>
      </c>
      <c r="E1182">
        <v>223</v>
      </c>
      <c r="F1182" s="3">
        <v>50809186509</v>
      </c>
      <c r="G1182" s="4">
        <v>903.25</v>
      </c>
      <c r="H1182" s="4">
        <v>0</v>
      </c>
      <c r="I1182" s="4">
        <v>-46381294.390000001</v>
      </c>
    </row>
    <row r="1183" spans="1:9" x14ac:dyDescent="0.3">
      <c r="A1183" t="s">
        <v>133</v>
      </c>
      <c r="B1183" s="1">
        <v>45875</v>
      </c>
      <c r="C1183" s="1">
        <v>45875</v>
      </c>
      <c r="D1183">
        <v>912323</v>
      </c>
      <c r="E1183">
        <v>12</v>
      </c>
      <c r="F1183" s="3">
        <v>50808647794</v>
      </c>
      <c r="G1183" s="4">
        <v>18430.5</v>
      </c>
      <c r="H1183" s="4">
        <v>0</v>
      </c>
      <c r="I1183" s="4">
        <v>-46362863.890000001</v>
      </c>
    </row>
    <row r="1184" spans="1:9" x14ac:dyDescent="0.3">
      <c r="A1184" t="s">
        <v>133</v>
      </c>
      <c r="B1184" s="1">
        <v>45875</v>
      </c>
      <c r="C1184" s="1">
        <v>45875</v>
      </c>
      <c r="D1184">
        <v>912327</v>
      </c>
      <c r="E1184">
        <v>84</v>
      </c>
      <c r="F1184" s="3" t="s">
        <v>1095</v>
      </c>
      <c r="G1184" s="4">
        <v>26667.75</v>
      </c>
      <c r="H1184" s="4">
        <v>0</v>
      </c>
      <c r="I1184" s="4">
        <v>-46336196.140000001</v>
      </c>
    </row>
    <row r="1185" spans="1:9" x14ac:dyDescent="0.3">
      <c r="A1185" t="s">
        <v>133</v>
      </c>
      <c r="B1185" s="1">
        <v>45875</v>
      </c>
      <c r="C1185" s="1">
        <v>45875</v>
      </c>
      <c r="D1185">
        <v>912338</v>
      </c>
      <c r="E1185">
        <v>66</v>
      </c>
      <c r="F1185" s="3" t="s">
        <v>1096</v>
      </c>
      <c r="G1185" s="4">
        <v>150000</v>
      </c>
      <c r="H1185" s="4">
        <v>0</v>
      </c>
      <c r="I1185" s="4">
        <v>-46186196.140000001</v>
      </c>
    </row>
    <row r="1186" spans="1:9" x14ac:dyDescent="0.3">
      <c r="A1186" t="s">
        <v>133</v>
      </c>
      <c r="B1186" s="1">
        <v>45875</v>
      </c>
      <c r="C1186" s="1">
        <v>45875</v>
      </c>
      <c r="D1186">
        <v>912339</v>
      </c>
      <c r="E1186">
        <v>17</v>
      </c>
      <c r="F1186" s="3" t="s">
        <v>1097</v>
      </c>
      <c r="G1186" s="4">
        <v>380000</v>
      </c>
      <c r="H1186" s="4">
        <v>0</v>
      </c>
      <c r="I1186" s="4">
        <v>-45806196.140000001</v>
      </c>
    </row>
    <row r="1187" spans="1:9" x14ac:dyDescent="0.3">
      <c r="A1187" t="s">
        <v>133</v>
      </c>
      <c r="B1187" s="1">
        <v>45875</v>
      </c>
      <c r="C1187" s="1">
        <v>45875</v>
      </c>
      <c r="D1187">
        <v>912340</v>
      </c>
      <c r="E1187">
        <v>14</v>
      </c>
      <c r="F1187" s="3" t="s">
        <v>1098</v>
      </c>
      <c r="G1187" s="4">
        <v>270000</v>
      </c>
      <c r="H1187" s="4">
        <v>0</v>
      </c>
      <c r="I1187" s="4">
        <v>-45536196.140000001</v>
      </c>
    </row>
    <row r="1188" spans="1:9" x14ac:dyDescent="0.3">
      <c r="A1188" t="s">
        <v>133</v>
      </c>
      <c r="B1188" s="1">
        <v>45875</v>
      </c>
      <c r="C1188" s="1">
        <v>45875</v>
      </c>
      <c r="D1188">
        <v>912342</v>
      </c>
      <c r="E1188">
        <v>75</v>
      </c>
      <c r="F1188" s="3" t="s">
        <v>1099</v>
      </c>
      <c r="G1188" s="4">
        <v>360000</v>
      </c>
      <c r="H1188" s="4">
        <v>0</v>
      </c>
      <c r="I1188" s="4">
        <v>-45176196.140000001</v>
      </c>
    </row>
    <row r="1189" spans="1:9" x14ac:dyDescent="0.3">
      <c r="A1189" t="s">
        <v>133</v>
      </c>
      <c r="B1189" s="1">
        <v>45875</v>
      </c>
      <c r="C1189" s="1">
        <v>45875</v>
      </c>
      <c r="D1189">
        <v>912344</v>
      </c>
      <c r="E1189">
        <v>72</v>
      </c>
      <c r="F1189" s="3" t="s">
        <v>1100</v>
      </c>
      <c r="G1189" s="4">
        <v>20991</v>
      </c>
      <c r="H1189" s="4">
        <v>0</v>
      </c>
      <c r="I1189" s="4">
        <v>-45155205.140000001</v>
      </c>
    </row>
    <row r="1190" spans="1:9" x14ac:dyDescent="0.3">
      <c r="A1190" t="s">
        <v>133</v>
      </c>
      <c r="B1190" s="1">
        <v>45875</v>
      </c>
      <c r="C1190" s="1">
        <v>45875</v>
      </c>
      <c r="D1190">
        <v>912347</v>
      </c>
      <c r="E1190">
        <v>56</v>
      </c>
      <c r="F1190" s="3">
        <v>5620560007843</v>
      </c>
      <c r="G1190" s="4">
        <v>12422.25</v>
      </c>
      <c r="H1190" s="4">
        <v>0</v>
      </c>
      <c r="I1190" s="4">
        <v>-45142782.890000001</v>
      </c>
    </row>
    <row r="1191" spans="1:9" x14ac:dyDescent="0.3">
      <c r="A1191" t="s">
        <v>133</v>
      </c>
      <c r="B1191" s="1">
        <v>45875</v>
      </c>
      <c r="C1191" s="1">
        <v>45875</v>
      </c>
      <c r="D1191">
        <v>912363</v>
      </c>
      <c r="E1191">
        <v>72</v>
      </c>
      <c r="F1191" s="3" t="s">
        <v>1101</v>
      </c>
      <c r="G1191" s="4">
        <v>30000</v>
      </c>
      <c r="H1191" s="4">
        <v>0</v>
      </c>
      <c r="I1191" s="4">
        <v>-45112782.890000001</v>
      </c>
    </row>
    <row r="1192" spans="1:9" x14ac:dyDescent="0.3">
      <c r="A1192" t="s">
        <v>133</v>
      </c>
      <c r="B1192" s="1">
        <v>45875</v>
      </c>
      <c r="C1192" s="1">
        <v>45875</v>
      </c>
      <c r="D1192">
        <v>912376</v>
      </c>
      <c r="E1192">
        <v>76</v>
      </c>
      <c r="F1192" s="3" t="s">
        <v>1102</v>
      </c>
      <c r="G1192" s="4">
        <v>410000</v>
      </c>
      <c r="H1192" s="4">
        <v>0</v>
      </c>
      <c r="I1192" s="4">
        <v>-44702782.890000001</v>
      </c>
    </row>
    <row r="1193" spans="1:9" x14ac:dyDescent="0.3">
      <c r="A1193" t="s">
        <v>133</v>
      </c>
      <c r="B1193" s="1">
        <v>45875</v>
      </c>
      <c r="C1193" s="1">
        <v>45875</v>
      </c>
      <c r="D1193">
        <v>912378</v>
      </c>
      <c r="E1193">
        <v>63</v>
      </c>
      <c r="F1193" s="3" t="s">
        <v>1103</v>
      </c>
      <c r="G1193" s="4">
        <v>25122</v>
      </c>
      <c r="H1193" s="4">
        <v>0</v>
      </c>
      <c r="I1193" s="4">
        <v>-44677660.890000001</v>
      </c>
    </row>
    <row r="1194" spans="1:9" x14ac:dyDescent="0.3">
      <c r="A1194" t="s">
        <v>133</v>
      </c>
      <c r="B1194" s="1">
        <v>45875</v>
      </c>
      <c r="C1194" s="1">
        <v>45875</v>
      </c>
      <c r="D1194">
        <v>912379</v>
      </c>
      <c r="E1194">
        <v>72</v>
      </c>
      <c r="F1194" s="3" t="s">
        <v>1104</v>
      </c>
      <c r="G1194" s="4">
        <v>8.75</v>
      </c>
      <c r="H1194" s="4">
        <v>0</v>
      </c>
      <c r="I1194" s="4">
        <v>-44677652.140000001</v>
      </c>
    </row>
    <row r="1195" spans="1:9" x14ac:dyDescent="0.3">
      <c r="A1195" t="s">
        <v>133</v>
      </c>
      <c r="B1195" s="1">
        <v>45875</v>
      </c>
      <c r="C1195" s="1">
        <v>45875</v>
      </c>
      <c r="D1195">
        <v>912380</v>
      </c>
      <c r="E1195">
        <v>12</v>
      </c>
      <c r="F1195" s="3" t="s">
        <v>1105</v>
      </c>
      <c r="G1195" s="4">
        <v>853072.5</v>
      </c>
      <c r="H1195" s="4">
        <v>0</v>
      </c>
      <c r="I1195" s="4">
        <v>-43824579.640000001</v>
      </c>
    </row>
    <row r="1196" spans="1:9" x14ac:dyDescent="0.3">
      <c r="A1196" t="s">
        <v>133</v>
      </c>
      <c r="B1196" s="1">
        <v>45875</v>
      </c>
      <c r="C1196" s="1">
        <v>45875</v>
      </c>
      <c r="D1196">
        <v>912381</v>
      </c>
      <c r="E1196">
        <v>55</v>
      </c>
      <c r="F1196" s="3" t="s">
        <v>1106</v>
      </c>
      <c r="G1196" s="4">
        <v>410000</v>
      </c>
      <c r="H1196" s="4">
        <v>0</v>
      </c>
      <c r="I1196" s="4">
        <v>-43414579.640000001</v>
      </c>
    </row>
    <row r="1197" spans="1:9" x14ac:dyDescent="0.3">
      <c r="A1197" t="s">
        <v>133</v>
      </c>
      <c r="B1197" s="1">
        <v>45875</v>
      </c>
      <c r="C1197" s="1">
        <v>45875</v>
      </c>
      <c r="D1197">
        <v>912385</v>
      </c>
      <c r="E1197">
        <v>223</v>
      </c>
      <c r="F1197" s="3" t="s">
        <v>1107</v>
      </c>
      <c r="G1197" s="4">
        <v>25000</v>
      </c>
      <c r="H1197" s="4">
        <v>0</v>
      </c>
      <c r="I1197" s="4">
        <v>-43389579.640000001</v>
      </c>
    </row>
    <row r="1198" spans="1:9" x14ac:dyDescent="0.3">
      <c r="A1198" t="s">
        <v>133</v>
      </c>
      <c r="B1198" s="1">
        <v>45875</v>
      </c>
      <c r="C1198" s="1">
        <v>45875</v>
      </c>
      <c r="D1198">
        <v>912391</v>
      </c>
      <c r="E1198">
        <v>13</v>
      </c>
      <c r="F1198" s="3" t="s">
        <v>1108</v>
      </c>
      <c r="G1198" s="4">
        <v>700000</v>
      </c>
      <c r="H1198" s="4">
        <v>0</v>
      </c>
      <c r="I1198" s="4">
        <v>-42689579.640000001</v>
      </c>
    </row>
    <row r="1199" spans="1:9" x14ac:dyDescent="0.3">
      <c r="A1199" t="s">
        <v>133</v>
      </c>
      <c r="B1199" s="1">
        <v>45875</v>
      </c>
      <c r="C1199" s="1">
        <v>45875</v>
      </c>
      <c r="D1199">
        <v>912392</v>
      </c>
      <c r="E1199">
        <v>12</v>
      </c>
      <c r="F1199" s="3" t="s">
        <v>1109</v>
      </c>
      <c r="G1199" s="4">
        <v>29448.5</v>
      </c>
      <c r="H1199" s="4">
        <v>0</v>
      </c>
      <c r="I1199" s="4">
        <v>-42660131.140000001</v>
      </c>
    </row>
    <row r="1200" spans="1:9" x14ac:dyDescent="0.3">
      <c r="A1200" t="s">
        <v>133</v>
      </c>
      <c r="B1200" s="1">
        <v>45875</v>
      </c>
      <c r="C1200" s="1">
        <v>45875</v>
      </c>
      <c r="D1200">
        <v>912393</v>
      </c>
      <c r="E1200">
        <v>28</v>
      </c>
      <c r="F1200" s="3" t="s">
        <v>1110</v>
      </c>
      <c r="G1200" s="4">
        <v>340000</v>
      </c>
      <c r="H1200" s="4">
        <v>0</v>
      </c>
      <c r="I1200" s="4">
        <v>-42320131.140000001</v>
      </c>
    </row>
    <row r="1201" spans="1:9" x14ac:dyDescent="0.3">
      <c r="A1201" t="s">
        <v>133</v>
      </c>
      <c r="B1201" s="1">
        <v>45875</v>
      </c>
      <c r="C1201" s="1">
        <v>45875</v>
      </c>
      <c r="D1201">
        <v>912395</v>
      </c>
      <c r="E1201">
        <v>12</v>
      </c>
      <c r="F1201" s="3" t="s">
        <v>1111</v>
      </c>
      <c r="G1201" s="4">
        <v>800000</v>
      </c>
      <c r="H1201" s="4">
        <v>0</v>
      </c>
      <c r="I1201" s="4">
        <v>-41520131.140000001</v>
      </c>
    </row>
    <row r="1202" spans="1:9" x14ac:dyDescent="0.3">
      <c r="A1202" t="s">
        <v>133</v>
      </c>
      <c r="B1202" s="1">
        <v>45875</v>
      </c>
      <c r="C1202" s="1">
        <v>45875</v>
      </c>
      <c r="D1202">
        <v>912397</v>
      </c>
      <c r="E1202">
        <v>63</v>
      </c>
      <c r="F1202" s="3" t="s">
        <v>1112</v>
      </c>
      <c r="G1202" s="4">
        <v>30000</v>
      </c>
      <c r="H1202" s="4">
        <v>0</v>
      </c>
      <c r="I1202" s="4">
        <v>-41490131.140000001</v>
      </c>
    </row>
    <row r="1203" spans="1:9" x14ac:dyDescent="0.3">
      <c r="A1203" t="s">
        <v>133</v>
      </c>
      <c r="B1203" s="1">
        <v>45875</v>
      </c>
      <c r="C1203" s="1">
        <v>45875</v>
      </c>
      <c r="D1203">
        <v>912403</v>
      </c>
      <c r="E1203">
        <v>18</v>
      </c>
      <c r="F1203" s="3" t="s">
        <v>1113</v>
      </c>
      <c r="G1203" s="4">
        <v>290000</v>
      </c>
      <c r="H1203" s="4">
        <v>0</v>
      </c>
      <c r="I1203" s="4">
        <v>-41200131.140000001</v>
      </c>
    </row>
    <row r="1204" spans="1:9" x14ac:dyDescent="0.3">
      <c r="A1204" t="s">
        <v>133</v>
      </c>
      <c r="B1204" s="1">
        <v>45875</v>
      </c>
      <c r="C1204" s="1">
        <v>45875</v>
      </c>
      <c r="D1204">
        <v>912408</v>
      </c>
      <c r="E1204">
        <v>54</v>
      </c>
      <c r="F1204" s="3" t="s">
        <v>1114</v>
      </c>
      <c r="G1204" s="4">
        <v>580000</v>
      </c>
      <c r="H1204" s="4">
        <v>0</v>
      </c>
      <c r="I1204" s="4">
        <v>-40620131.140000001</v>
      </c>
    </row>
    <row r="1205" spans="1:9" x14ac:dyDescent="0.3">
      <c r="A1205" t="s">
        <v>133</v>
      </c>
      <c r="B1205" s="1">
        <v>45875</v>
      </c>
      <c r="C1205" s="1">
        <v>45875</v>
      </c>
      <c r="D1205">
        <v>912409</v>
      </c>
      <c r="E1205">
        <v>79</v>
      </c>
      <c r="F1205" s="3" t="s">
        <v>1115</v>
      </c>
      <c r="G1205" s="4">
        <v>320000</v>
      </c>
      <c r="H1205" s="4">
        <v>0</v>
      </c>
      <c r="I1205" s="4">
        <v>-40300131.140000001</v>
      </c>
    </row>
    <row r="1206" spans="1:9" x14ac:dyDescent="0.3">
      <c r="A1206" t="s">
        <v>133</v>
      </c>
      <c r="B1206" s="1">
        <v>45875</v>
      </c>
      <c r="C1206" s="1">
        <v>45875</v>
      </c>
      <c r="D1206">
        <v>912410</v>
      </c>
      <c r="E1206">
        <v>44</v>
      </c>
      <c r="F1206" s="3" t="s">
        <v>1116</v>
      </c>
      <c r="G1206" s="4">
        <v>8121</v>
      </c>
      <c r="H1206" s="4">
        <v>0</v>
      </c>
      <c r="I1206" s="4">
        <v>-40292010.140000001</v>
      </c>
    </row>
    <row r="1207" spans="1:9" x14ac:dyDescent="0.3">
      <c r="A1207" t="s">
        <v>133</v>
      </c>
      <c r="B1207" s="1">
        <v>45875</v>
      </c>
      <c r="C1207" s="1">
        <v>45875</v>
      </c>
      <c r="D1207">
        <v>912412</v>
      </c>
      <c r="E1207">
        <v>49</v>
      </c>
      <c r="F1207" s="3" t="s">
        <v>1117</v>
      </c>
      <c r="G1207" s="4">
        <v>143148.75</v>
      </c>
      <c r="H1207" s="4">
        <v>0</v>
      </c>
      <c r="I1207" s="4">
        <v>-40148861.390000001</v>
      </c>
    </row>
    <row r="1208" spans="1:9" x14ac:dyDescent="0.3">
      <c r="A1208" t="s">
        <v>133</v>
      </c>
      <c r="B1208" s="1">
        <v>45875</v>
      </c>
      <c r="C1208" s="1">
        <v>45875</v>
      </c>
      <c r="D1208">
        <v>912414</v>
      </c>
      <c r="E1208">
        <v>361</v>
      </c>
      <c r="F1208" s="3">
        <v>101021684426</v>
      </c>
      <c r="G1208" s="4">
        <v>280000</v>
      </c>
      <c r="H1208" s="4">
        <v>0</v>
      </c>
      <c r="I1208" s="4">
        <v>-39868861.390000001</v>
      </c>
    </row>
    <row r="1209" spans="1:9" x14ac:dyDescent="0.3">
      <c r="A1209" t="s">
        <v>133</v>
      </c>
      <c r="B1209" s="1">
        <v>45875</v>
      </c>
      <c r="C1209" s="1">
        <v>45875</v>
      </c>
      <c r="D1209">
        <v>912416</v>
      </c>
      <c r="E1209">
        <v>223</v>
      </c>
      <c r="F1209" s="3">
        <v>50808242672</v>
      </c>
      <c r="G1209" s="4">
        <v>14453</v>
      </c>
      <c r="H1209" s="4">
        <v>0</v>
      </c>
      <c r="I1209" s="4">
        <v>-39854408.390000001</v>
      </c>
    </row>
    <row r="1210" spans="1:9" x14ac:dyDescent="0.3">
      <c r="A1210" t="s">
        <v>133</v>
      </c>
      <c r="B1210" s="1">
        <v>45875</v>
      </c>
      <c r="C1210" s="1">
        <v>45875</v>
      </c>
      <c r="D1210">
        <v>912419</v>
      </c>
      <c r="E1210">
        <v>71</v>
      </c>
      <c r="F1210" s="3" t="s">
        <v>1118</v>
      </c>
      <c r="G1210" s="4">
        <v>250000</v>
      </c>
      <c r="H1210" s="4">
        <v>0</v>
      </c>
      <c r="I1210" s="4">
        <v>-39604408.390000001</v>
      </c>
    </row>
    <row r="1211" spans="1:9" x14ac:dyDescent="0.3">
      <c r="A1211" t="s">
        <v>133</v>
      </c>
      <c r="B1211" s="1">
        <v>45875</v>
      </c>
      <c r="C1211" s="1">
        <v>45875</v>
      </c>
      <c r="D1211">
        <v>912422</v>
      </c>
      <c r="E1211">
        <v>74</v>
      </c>
      <c r="F1211" s="3" t="s">
        <v>1119</v>
      </c>
      <c r="G1211" s="4">
        <v>200000</v>
      </c>
      <c r="H1211" s="4">
        <v>0</v>
      </c>
      <c r="I1211" s="4">
        <v>-39404408.390000001</v>
      </c>
    </row>
    <row r="1212" spans="1:9" x14ac:dyDescent="0.3">
      <c r="A1212" t="s">
        <v>133</v>
      </c>
      <c r="B1212" s="1">
        <v>45875</v>
      </c>
      <c r="C1212" s="1">
        <v>45875</v>
      </c>
      <c r="D1212">
        <v>912423</v>
      </c>
      <c r="E1212">
        <v>39</v>
      </c>
      <c r="F1212" s="3" t="s">
        <v>1120</v>
      </c>
      <c r="G1212" s="4">
        <v>13000000</v>
      </c>
      <c r="H1212" s="4">
        <v>0</v>
      </c>
      <c r="I1212" s="4">
        <v>-26404408.390000001</v>
      </c>
    </row>
    <row r="1213" spans="1:9" x14ac:dyDescent="0.3">
      <c r="A1213" t="s">
        <v>133</v>
      </c>
      <c r="B1213" s="1">
        <v>45875</v>
      </c>
      <c r="C1213" s="1">
        <v>45875</v>
      </c>
      <c r="D1213">
        <v>912424</v>
      </c>
      <c r="E1213">
        <v>31</v>
      </c>
      <c r="F1213" s="3" t="s">
        <v>1121</v>
      </c>
      <c r="G1213" s="4">
        <v>41990.25</v>
      </c>
      <c r="H1213" s="4">
        <v>0</v>
      </c>
      <c r="I1213" s="4">
        <v>-26362418.140000001</v>
      </c>
    </row>
    <row r="1214" spans="1:9" x14ac:dyDescent="0.3">
      <c r="A1214" t="s">
        <v>133</v>
      </c>
      <c r="B1214" s="1">
        <v>45875</v>
      </c>
      <c r="C1214" s="1">
        <v>45875</v>
      </c>
      <c r="D1214">
        <v>912426</v>
      </c>
      <c r="E1214">
        <v>11</v>
      </c>
      <c r="F1214" s="3" t="s">
        <v>1122</v>
      </c>
      <c r="G1214" s="4">
        <v>4300</v>
      </c>
      <c r="H1214" s="4">
        <v>0</v>
      </c>
      <c r="I1214" s="4">
        <v>-26358118.140000001</v>
      </c>
    </row>
    <row r="1215" spans="1:9" x14ac:dyDescent="0.3">
      <c r="A1215" t="s">
        <v>133</v>
      </c>
      <c r="B1215" s="1">
        <v>45875</v>
      </c>
      <c r="C1215" s="1">
        <v>45875</v>
      </c>
      <c r="D1215">
        <v>912429</v>
      </c>
      <c r="E1215">
        <v>12</v>
      </c>
      <c r="F1215" s="3" t="s">
        <v>1123</v>
      </c>
      <c r="G1215" s="4">
        <v>110265.5</v>
      </c>
      <c r="H1215" s="4">
        <v>0</v>
      </c>
      <c r="I1215" s="4">
        <v>-26247852.640000001</v>
      </c>
    </row>
    <row r="1216" spans="1:9" x14ac:dyDescent="0.3">
      <c r="A1216" t="s">
        <v>133</v>
      </c>
      <c r="B1216" s="1">
        <v>45875</v>
      </c>
      <c r="C1216" s="1">
        <v>45875</v>
      </c>
      <c r="D1216">
        <v>912430</v>
      </c>
      <c r="E1216">
        <v>422</v>
      </c>
      <c r="F1216" s="3" t="s">
        <v>1124</v>
      </c>
      <c r="G1216" s="4">
        <v>170000</v>
      </c>
      <c r="H1216" s="4">
        <v>0</v>
      </c>
      <c r="I1216" s="4">
        <v>-26077852.640000001</v>
      </c>
    </row>
    <row r="1217" spans="1:9" x14ac:dyDescent="0.3">
      <c r="A1217" t="s">
        <v>133</v>
      </c>
      <c r="B1217" s="1">
        <v>45875</v>
      </c>
      <c r="C1217" s="1">
        <v>45875</v>
      </c>
      <c r="D1217">
        <v>912433</v>
      </c>
      <c r="E1217">
        <v>24</v>
      </c>
      <c r="F1217" s="3" t="s">
        <v>1125</v>
      </c>
      <c r="G1217" s="4">
        <v>230000</v>
      </c>
      <c r="H1217" s="4">
        <v>0</v>
      </c>
      <c r="I1217" s="4">
        <v>-25847852.640000001</v>
      </c>
    </row>
    <row r="1218" spans="1:9" x14ac:dyDescent="0.3">
      <c r="A1218" t="s">
        <v>133</v>
      </c>
      <c r="B1218" s="1">
        <v>45875</v>
      </c>
      <c r="C1218" s="1">
        <v>45875</v>
      </c>
      <c r="D1218">
        <v>912434</v>
      </c>
      <c r="E1218">
        <v>58</v>
      </c>
      <c r="F1218" s="3" t="s">
        <v>1126</v>
      </c>
      <c r="G1218" s="4">
        <v>550000</v>
      </c>
      <c r="H1218" s="4">
        <v>0</v>
      </c>
      <c r="I1218" s="4">
        <v>-25297852.640000001</v>
      </c>
    </row>
    <row r="1219" spans="1:9" x14ac:dyDescent="0.3">
      <c r="A1219" t="s">
        <v>133</v>
      </c>
      <c r="B1219" s="1">
        <v>45875</v>
      </c>
      <c r="C1219" s="1">
        <v>45875</v>
      </c>
      <c r="D1219">
        <v>912440</v>
      </c>
      <c r="E1219">
        <v>542</v>
      </c>
      <c r="F1219" s="3" t="s">
        <v>208</v>
      </c>
      <c r="G1219" s="4">
        <v>220000</v>
      </c>
      <c r="H1219" s="4">
        <v>0</v>
      </c>
      <c r="I1219" s="4">
        <v>-25077852.640000001</v>
      </c>
    </row>
    <row r="1220" spans="1:9" x14ac:dyDescent="0.3">
      <c r="A1220" t="s">
        <v>133</v>
      </c>
      <c r="B1220" s="1">
        <v>45875</v>
      </c>
      <c r="C1220" s="1">
        <v>45875</v>
      </c>
      <c r="D1220">
        <v>912449</v>
      </c>
      <c r="E1220">
        <v>94</v>
      </c>
      <c r="F1220" s="3" t="s">
        <v>1127</v>
      </c>
      <c r="G1220" s="4">
        <v>6000</v>
      </c>
      <c r="H1220" s="4">
        <v>0</v>
      </c>
      <c r="I1220" s="4">
        <v>-25071852.640000001</v>
      </c>
    </row>
    <row r="1221" spans="1:9" x14ac:dyDescent="0.3">
      <c r="A1221" t="s">
        <v>133</v>
      </c>
      <c r="B1221" s="1">
        <v>45875</v>
      </c>
      <c r="C1221" s="1">
        <v>45875</v>
      </c>
      <c r="D1221">
        <v>912454</v>
      </c>
      <c r="E1221">
        <v>67</v>
      </c>
      <c r="F1221" s="3" t="s">
        <v>181</v>
      </c>
      <c r="G1221" s="4">
        <v>300000</v>
      </c>
      <c r="H1221" s="4">
        <v>0</v>
      </c>
      <c r="I1221" s="4">
        <v>-24771852.640000001</v>
      </c>
    </row>
    <row r="1222" spans="1:9" x14ac:dyDescent="0.3">
      <c r="A1222" t="s">
        <v>133</v>
      </c>
      <c r="B1222" s="1">
        <v>45875</v>
      </c>
      <c r="C1222" s="1">
        <v>45875</v>
      </c>
      <c r="D1222">
        <v>912456</v>
      </c>
      <c r="E1222">
        <v>85</v>
      </c>
      <c r="F1222" s="3" t="s">
        <v>1128</v>
      </c>
      <c r="G1222" s="4">
        <v>515000</v>
      </c>
      <c r="H1222" s="4">
        <v>0</v>
      </c>
      <c r="I1222" s="4">
        <v>-24256852.640000001</v>
      </c>
    </row>
    <row r="1223" spans="1:9" x14ac:dyDescent="0.3">
      <c r="A1223" t="s">
        <v>133</v>
      </c>
      <c r="B1223" s="1">
        <v>45875</v>
      </c>
      <c r="C1223" s="1">
        <v>45875</v>
      </c>
      <c r="D1223">
        <v>912457</v>
      </c>
      <c r="E1223">
        <v>64</v>
      </c>
      <c r="F1223" s="3" t="s">
        <v>232</v>
      </c>
      <c r="G1223" s="4">
        <v>420000</v>
      </c>
      <c r="H1223" s="4">
        <v>0</v>
      </c>
      <c r="I1223" s="4">
        <v>-23836852.640000001</v>
      </c>
    </row>
    <row r="1224" spans="1:9" x14ac:dyDescent="0.3">
      <c r="A1224" t="s">
        <v>133</v>
      </c>
      <c r="B1224" s="1">
        <v>45875</v>
      </c>
      <c r="C1224" s="1">
        <v>45875</v>
      </c>
      <c r="D1224">
        <v>912462</v>
      </c>
      <c r="E1224">
        <v>86</v>
      </c>
      <c r="F1224" s="3">
        <v>8238</v>
      </c>
      <c r="G1224" s="4">
        <v>1072</v>
      </c>
      <c r="H1224" s="4">
        <v>0</v>
      </c>
      <c r="I1224" s="4">
        <v>-23835780.640000001</v>
      </c>
    </row>
    <row r="1225" spans="1:9" x14ac:dyDescent="0.3">
      <c r="A1225" t="s">
        <v>133</v>
      </c>
      <c r="B1225" s="1">
        <v>45875</v>
      </c>
      <c r="C1225" s="1">
        <v>45875</v>
      </c>
      <c r="D1225">
        <v>912467</v>
      </c>
      <c r="E1225">
        <v>56</v>
      </c>
      <c r="F1225" s="3" t="s">
        <v>1129</v>
      </c>
      <c r="G1225" s="4">
        <v>23142.5</v>
      </c>
      <c r="H1225" s="4">
        <v>0</v>
      </c>
      <c r="I1225" s="4">
        <v>-23812638.140000001</v>
      </c>
    </row>
    <row r="1226" spans="1:9" x14ac:dyDescent="0.3">
      <c r="A1226" t="s">
        <v>133</v>
      </c>
      <c r="B1226" s="1">
        <v>45875</v>
      </c>
      <c r="C1226" s="1">
        <v>45875</v>
      </c>
      <c r="D1226">
        <v>912470</v>
      </c>
      <c r="E1226">
        <v>15</v>
      </c>
      <c r="F1226" s="3" t="s">
        <v>966</v>
      </c>
      <c r="G1226" s="4">
        <v>250000</v>
      </c>
      <c r="H1226" s="4">
        <v>0</v>
      </c>
      <c r="I1226" s="4">
        <v>-23562638.140000001</v>
      </c>
    </row>
    <row r="1227" spans="1:9" x14ac:dyDescent="0.3">
      <c r="A1227" t="s">
        <v>133</v>
      </c>
      <c r="B1227" s="1">
        <v>45875</v>
      </c>
      <c r="C1227" s="1">
        <v>45875</v>
      </c>
      <c r="D1227">
        <v>912474</v>
      </c>
      <c r="E1227">
        <v>78</v>
      </c>
      <c r="F1227" s="3" t="s">
        <v>208</v>
      </c>
      <c r="G1227" s="4">
        <v>550000</v>
      </c>
      <c r="H1227" s="4">
        <v>0</v>
      </c>
      <c r="I1227" s="4">
        <v>-23012638.140000001</v>
      </c>
    </row>
    <row r="1228" spans="1:9" x14ac:dyDescent="0.3">
      <c r="A1228" t="s">
        <v>133</v>
      </c>
      <c r="B1228" s="1">
        <v>45875</v>
      </c>
      <c r="C1228" s="1">
        <v>45875</v>
      </c>
      <c r="D1228">
        <v>912475</v>
      </c>
      <c r="E1228">
        <v>77</v>
      </c>
      <c r="F1228" s="3" t="s">
        <v>1130</v>
      </c>
      <c r="G1228" s="4">
        <v>750000</v>
      </c>
      <c r="H1228" s="4">
        <v>0</v>
      </c>
      <c r="I1228" s="4">
        <v>-22262638.140000001</v>
      </c>
    </row>
    <row r="1229" spans="1:9" x14ac:dyDescent="0.3">
      <c r="A1229" t="s">
        <v>133</v>
      </c>
      <c r="B1229" s="1">
        <v>45875</v>
      </c>
      <c r="C1229" s="1">
        <v>45875</v>
      </c>
      <c r="D1229">
        <v>912476</v>
      </c>
      <c r="E1229">
        <v>84</v>
      </c>
      <c r="F1229" s="3" t="s">
        <v>1131</v>
      </c>
      <c r="G1229" s="4">
        <v>69321.75</v>
      </c>
      <c r="H1229" s="4">
        <v>0</v>
      </c>
      <c r="I1229" s="4">
        <v>-22193316.390000001</v>
      </c>
    </row>
    <row r="1230" spans="1:9" x14ac:dyDescent="0.3">
      <c r="A1230" t="s">
        <v>133</v>
      </c>
      <c r="B1230" s="1">
        <v>45875</v>
      </c>
      <c r="C1230" s="1">
        <v>45875</v>
      </c>
      <c r="D1230">
        <v>912477</v>
      </c>
      <c r="E1230">
        <v>63</v>
      </c>
      <c r="F1230" s="3" t="s">
        <v>1132</v>
      </c>
      <c r="G1230" s="4">
        <v>110000</v>
      </c>
      <c r="H1230" s="4">
        <v>0</v>
      </c>
      <c r="I1230" s="4">
        <v>-22083316.390000001</v>
      </c>
    </row>
    <row r="1231" spans="1:9" x14ac:dyDescent="0.3">
      <c r="A1231" t="s">
        <v>133</v>
      </c>
      <c r="B1231" s="1">
        <v>45875</v>
      </c>
      <c r="C1231" s="1">
        <v>45875</v>
      </c>
      <c r="D1231">
        <v>912479</v>
      </c>
      <c r="E1231">
        <v>11</v>
      </c>
      <c r="F1231" s="3" t="s">
        <v>1133</v>
      </c>
      <c r="G1231" s="4">
        <v>830000</v>
      </c>
      <c r="H1231" s="4">
        <v>0</v>
      </c>
      <c r="I1231" s="4">
        <v>-21253316.390000001</v>
      </c>
    </row>
    <row r="1232" spans="1:9" x14ac:dyDescent="0.3">
      <c r="A1232" t="s">
        <v>133</v>
      </c>
      <c r="B1232" s="1">
        <v>45875</v>
      </c>
      <c r="C1232" s="1">
        <v>45875</v>
      </c>
      <c r="D1232">
        <v>912482</v>
      </c>
      <c r="E1232">
        <v>84</v>
      </c>
      <c r="F1232" s="3" t="s">
        <v>1134</v>
      </c>
      <c r="G1232" s="4">
        <v>49985</v>
      </c>
      <c r="H1232" s="4">
        <v>0</v>
      </c>
      <c r="I1232" s="4">
        <v>-21203331.390000001</v>
      </c>
    </row>
    <row r="1233" spans="1:9" x14ac:dyDescent="0.3">
      <c r="A1233" t="s">
        <v>133</v>
      </c>
      <c r="B1233" s="1">
        <v>45875</v>
      </c>
      <c r="C1233" s="1">
        <v>45875</v>
      </c>
      <c r="D1233">
        <v>912484</v>
      </c>
      <c r="E1233">
        <v>36</v>
      </c>
      <c r="F1233" s="3" t="s">
        <v>1135</v>
      </c>
      <c r="G1233" s="4">
        <v>600000</v>
      </c>
      <c r="H1233" s="4">
        <v>0</v>
      </c>
      <c r="I1233" s="4">
        <v>-20603331.390000001</v>
      </c>
    </row>
    <row r="1234" spans="1:9" x14ac:dyDescent="0.3">
      <c r="A1234" t="s">
        <v>133</v>
      </c>
      <c r="B1234" s="1">
        <v>45875</v>
      </c>
      <c r="C1234" s="1">
        <v>45875</v>
      </c>
      <c r="D1234">
        <v>912502</v>
      </c>
      <c r="E1234">
        <v>65</v>
      </c>
      <c r="F1234" s="3" t="s">
        <v>1136</v>
      </c>
      <c r="G1234" s="4">
        <v>460070</v>
      </c>
      <c r="H1234" s="4">
        <v>0</v>
      </c>
      <c r="I1234" s="4">
        <v>-20143261.390000001</v>
      </c>
    </row>
    <row r="1235" spans="1:9" x14ac:dyDescent="0.3">
      <c r="A1235" t="s">
        <v>133</v>
      </c>
      <c r="B1235" s="1">
        <v>45875</v>
      </c>
      <c r="C1235" s="1">
        <v>45875</v>
      </c>
      <c r="D1235">
        <v>912508</v>
      </c>
      <c r="E1235">
        <v>98</v>
      </c>
      <c r="F1235" s="3" t="s">
        <v>1137</v>
      </c>
      <c r="G1235" s="4">
        <v>35331</v>
      </c>
      <c r="H1235" s="4">
        <v>0</v>
      </c>
      <c r="I1235" s="4">
        <v>-20107930.390000001</v>
      </c>
    </row>
    <row r="1236" spans="1:9" x14ac:dyDescent="0.3">
      <c r="A1236" t="s">
        <v>133</v>
      </c>
      <c r="B1236" s="1">
        <v>45875</v>
      </c>
      <c r="C1236" s="1">
        <v>45875</v>
      </c>
      <c r="D1236">
        <v>912510</v>
      </c>
      <c r="E1236">
        <v>98</v>
      </c>
      <c r="F1236" s="3" t="s">
        <v>1138</v>
      </c>
      <c r="G1236" s="4">
        <v>7820</v>
      </c>
      <c r="H1236" s="4">
        <v>0</v>
      </c>
      <c r="I1236" s="4">
        <v>-20100110.390000001</v>
      </c>
    </row>
    <row r="1237" spans="1:9" x14ac:dyDescent="0.3">
      <c r="A1237" t="s">
        <v>133</v>
      </c>
      <c r="B1237" s="1">
        <v>45875</v>
      </c>
      <c r="C1237" s="1">
        <v>45875</v>
      </c>
      <c r="D1237">
        <v>912512</v>
      </c>
      <c r="E1237">
        <v>12</v>
      </c>
      <c r="F1237" s="3" t="s">
        <v>1139</v>
      </c>
      <c r="G1237" s="4">
        <v>140000</v>
      </c>
      <c r="H1237" s="4">
        <v>0</v>
      </c>
      <c r="I1237" s="4">
        <v>-19960110.390000001</v>
      </c>
    </row>
    <row r="1238" spans="1:9" x14ac:dyDescent="0.3">
      <c r="A1238" t="s">
        <v>133</v>
      </c>
      <c r="B1238" s="1">
        <v>45875</v>
      </c>
      <c r="C1238" s="1">
        <v>45875</v>
      </c>
      <c r="D1238">
        <v>912513</v>
      </c>
      <c r="E1238">
        <v>77</v>
      </c>
      <c r="F1238" s="3" t="s">
        <v>1140</v>
      </c>
      <c r="G1238" s="4">
        <v>60818.75</v>
      </c>
      <c r="H1238" s="4">
        <v>0</v>
      </c>
      <c r="I1238" s="4">
        <v>-19899291.640000001</v>
      </c>
    </row>
    <row r="1239" spans="1:9" x14ac:dyDescent="0.3">
      <c r="A1239" t="s">
        <v>133</v>
      </c>
      <c r="B1239" s="1">
        <v>45875</v>
      </c>
      <c r="C1239" s="1">
        <v>45875</v>
      </c>
      <c r="D1239">
        <v>912516</v>
      </c>
      <c r="E1239">
        <v>84</v>
      </c>
      <c r="F1239" s="3" t="s">
        <v>1141</v>
      </c>
      <c r="G1239" s="4">
        <v>255000</v>
      </c>
      <c r="H1239" s="4">
        <v>0</v>
      </c>
      <c r="I1239" s="4">
        <v>-19644291.640000001</v>
      </c>
    </row>
    <row r="1240" spans="1:9" x14ac:dyDescent="0.3">
      <c r="A1240" t="s">
        <v>133</v>
      </c>
      <c r="B1240" s="1">
        <v>45875</v>
      </c>
      <c r="C1240" s="1">
        <v>45875</v>
      </c>
      <c r="D1240">
        <v>912518</v>
      </c>
      <c r="E1240">
        <v>252</v>
      </c>
      <c r="F1240" s="3">
        <v>349</v>
      </c>
      <c r="G1240" s="4">
        <v>9790.25</v>
      </c>
      <c r="H1240" s="4">
        <v>0</v>
      </c>
      <c r="I1240" s="4">
        <v>-19634501.390000001</v>
      </c>
    </row>
    <row r="1241" spans="1:9" x14ac:dyDescent="0.3">
      <c r="A1241" t="s">
        <v>133</v>
      </c>
      <c r="B1241" s="1">
        <v>45875</v>
      </c>
      <c r="C1241" s="1">
        <v>45875</v>
      </c>
      <c r="D1241">
        <v>912523</v>
      </c>
      <c r="E1241">
        <v>11</v>
      </c>
      <c r="F1241" s="3" t="s">
        <v>1142</v>
      </c>
      <c r="G1241" s="4">
        <v>367455</v>
      </c>
      <c r="H1241" s="4">
        <v>0</v>
      </c>
      <c r="I1241" s="4">
        <v>-19267046.390000001</v>
      </c>
    </row>
    <row r="1242" spans="1:9" x14ac:dyDescent="0.3">
      <c r="A1242" t="s">
        <v>133</v>
      </c>
      <c r="B1242" s="1">
        <v>45875</v>
      </c>
      <c r="C1242" s="1">
        <v>45875</v>
      </c>
      <c r="D1242">
        <v>912527</v>
      </c>
      <c r="E1242">
        <v>78</v>
      </c>
      <c r="F1242" s="3" t="s">
        <v>1143</v>
      </c>
      <c r="G1242" s="4">
        <v>14651.25</v>
      </c>
      <c r="H1242" s="4">
        <v>0</v>
      </c>
      <c r="I1242" s="4">
        <v>-19252395.140000001</v>
      </c>
    </row>
    <row r="1243" spans="1:9" x14ac:dyDescent="0.3">
      <c r="A1243" t="s">
        <v>133</v>
      </c>
      <c r="B1243" s="1">
        <v>45875</v>
      </c>
      <c r="C1243" s="1">
        <v>45875</v>
      </c>
      <c r="D1243">
        <v>912537</v>
      </c>
      <c r="E1243">
        <v>16</v>
      </c>
      <c r="F1243" s="3" t="s">
        <v>1144</v>
      </c>
      <c r="G1243" s="4">
        <v>370000</v>
      </c>
      <c r="H1243" s="4">
        <v>0</v>
      </c>
      <c r="I1243" s="4">
        <v>-18882395.140000001</v>
      </c>
    </row>
    <row r="1244" spans="1:9" x14ac:dyDescent="0.3">
      <c r="A1244" t="s">
        <v>133</v>
      </c>
      <c r="B1244" s="1">
        <v>45875</v>
      </c>
      <c r="C1244" s="1">
        <v>45875</v>
      </c>
      <c r="D1244">
        <v>912539</v>
      </c>
      <c r="E1244">
        <v>33</v>
      </c>
      <c r="F1244" s="3" t="s">
        <v>1145</v>
      </c>
      <c r="G1244" s="4">
        <v>330000</v>
      </c>
      <c r="H1244" s="4">
        <v>0</v>
      </c>
      <c r="I1244" s="4">
        <v>-18552395.140000001</v>
      </c>
    </row>
    <row r="1245" spans="1:9" x14ac:dyDescent="0.3">
      <c r="A1245" t="s">
        <v>133</v>
      </c>
      <c r="B1245" s="1">
        <v>45875</v>
      </c>
      <c r="C1245" s="1">
        <v>45875</v>
      </c>
      <c r="D1245">
        <v>912540</v>
      </c>
      <c r="E1245">
        <v>84</v>
      </c>
      <c r="F1245" s="3" t="s">
        <v>1146</v>
      </c>
      <c r="G1245" s="4">
        <v>69440.25</v>
      </c>
      <c r="H1245" s="4">
        <v>0</v>
      </c>
      <c r="I1245" s="4">
        <v>-18482954.890000001</v>
      </c>
    </row>
    <row r="1246" spans="1:9" x14ac:dyDescent="0.3">
      <c r="A1246" t="s">
        <v>133</v>
      </c>
      <c r="B1246" s="1">
        <v>45875</v>
      </c>
      <c r="C1246" s="1">
        <v>45875</v>
      </c>
      <c r="D1246">
        <v>912545</v>
      </c>
      <c r="E1246">
        <v>310</v>
      </c>
      <c r="F1246" s="3" t="s">
        <v>1147</v>
      </c>
      <c r="G1246" s="4">
        <v>600000</v>
      </c>
      <c r="H1246" s="4">
        <v>0</v>
      </c>
      <c r="I1246" s="4">
        <v>-17882954.890000001</v>
      </c>
    </row>
    <row r="1247" spans="1:9" x14ac:dyDescent="0.3">
      <c r="A1247" t="s">
        <v>133</v>
      </c>
      <c r="B1247" s="1">
        <v>45875</v>
      </c>
      <c r="C1247" s="1">
        <v>45875</v>
      </c>
      <c r="D1247">
        <v>912546</v>
      </c>
      <c r="E1247">
        <v>80</v>
      </c>
      <c r="F1247" s="3" t="s">
        <v>1148</v>
      </c>
      <c r="G1247" s="4">
        <v>140000</v>
      </c>
      <c r="H1247" s="4">
        <v>0</v>
      </c>
      <c r="I1247" s="4">
        <v>-17742954.890000001</v>
      </c>
    </row>
    <row r="1248" spans="1:9" x14ac:dyDescent="0.3">
      <c r="A1248" t="s">
        <v>133</v>
      </c>
      <c r="B1248" s="1">
        <v>45875</v>
      </c>
      <c r="C1248" s="1">
        <v>45875</v>
      </c>
      <c r="D1248">
        <v>912547</v>
      </c>
      <c r="E1248">
        <v>56</v>
      </c>
      <c r="F1248" s="3" t="s">
        <v>1149</v>
      </c>
      <c r="G1248" s="4">
        <v>600000</v>
      </c>
      <c r="H1248" s="4">
        <v>0</v>
      </c>
      <c r="I1248" s="4">
        <v>-17142954.890000001</v>
      </c>
    </row>
    <row r="1249" spans="1:9" x14ac:dyDescent="0.3">
      <c r="A1249" t="s">
        <v>133</v>
      </c>
      <c r="B1249" s="1">
        <v>45875</v>
      </c>
      <c r="C1249" s="1">
        <v>45875</v>
      </c>
      <c r="D1249">
        <v>912548</v>
      </c>
      <c r="E1249">
        <v>382</v>
      </c>
      <c r="F1249" s="3" t="s">
        <v>1150</v>
      </c>
      <c r="G1249" s="4">
        <v>900000</v>
      </c>
      <c r="H1249" s="4">
        <v>0</v>
      </c>
      <c r="I1249" s="4">
        <v>-16242954.890000001</v>
      </c>
    </row>
    <row r="1250" spans="1:9" x14ac:dyDescent="0.3">
      <c r="A1250" t="s">
        <v>133</v>
      </c>
      <c r="B1250" s="1">
        <v>45875</v>
      </c>
      <c r="C1250" s="1">
        <v>45875</v>
      </c>
      <c r="D1250">
        <v>912555</v>
      </c>
      <c r="E1250">
        <v>61</v>
      </c>
      <c r="F1250" s="3" t="s">
        <v>1151</v>
      </c>
      <c r="G1250" s="4">
        <v>500000</v>
      </c>
      <c r="H1250" s="4">
        <v>0</v>
      </c>
      <c r="I1250" s="4">
        <v>-15742954.890000001</v>
      </c>
    </row>
    <row r="1251" spans="1:9" x14ac:dyDescent="0.3">
      <c r="A1251" t="s">
        <v>133</v>
      </c>
      <c r="B1251" s="1">
        <v>45875</v>
      </c>
      <c r="C1251" s="1">
        <v>45875</v>
      </c>
      <c r="D1251">
        <v>912559</v>
      </c>
      <c r="E1251">
        <v>53</v>
      </c>
      <c r="F1251" s="3" t="s">
        <v>1152</v>
      </c>
      <c r="G1251" s="4">
        <v>315000</v>
      </c>
      <c r="H1251" s="4">
        <v>0</v>
      </c>
      <c r="I1251" s="4">
        <v>-15427954.890000001</v>
      </c>
    </row>
    <row r="1252" spans="1:9" x14ac:dyDescent="0.3">
      <c r="A1252" t="s">
        <v>133</v>
      </c>
      <c r="B1252" s="1">
        <v>45875</v>
      </c>
      <c r="C1252" s="1">
        <v>45875</v>
      </c>
      <c r="D1252">
        <v>912562</v>
      </c>
      <c r="E1252">
        <v>28</v>
      </c>
      <c r="F1252" s="3" t="s">
        <v>1153</v>
      </c>
      <c r="G1252" s="4">
        <v>4331</v>
      </c>
      <c r="H1252" s="4">
        <v>0</v>
      </c>
      <c r="I1252" s="4">
        <v>-15423623.890000001</v>
      </c>
    </row>
    <row r="1253" spans="1:9" x14ac:dyDescent="0.3">
      <c r="A1253" t="s">
        <v>133</v>
      </c>
      <c r="B1253" s="1">
        <v>45875</v>
      </c>
      <c r="C1253" s="1">
        <v>45875</v>
      </c>
      <c r="D1253">
        <v>912565</v>
      </c>
      <c r="E1253">
        <v>89</v>
      </c>
      <c r="F1253" s="3" t="s">
        <v>1154</v>
      </c>
      <c r="G1253" s="4">
        <v>720000</v>
      </c>
      <c r="H1253" s="4">
        <v>0</v>
      </c>
      <c r="I1253" s="4">
        <v>-14703623.890000001</v>
      </c>
    </row>
    <row r="1254" spans="1:9" x14ac:dyDescent="0.3">
      <c r="A1254" t="s">
        <v>133</v>
      </c>
      <c r="B1254" s="1">
        <v>45875</v>
      </c>
      <c r="C1254" s="1">
        <v>45875</v>
      </c>
      <c r="D1254">
        <v>912568</v>
      </c>
      <c r="E1254">
        <v>97</v>
      </c>
      <c r="F1254" s="3" t="s">
        <v>1155</v>
      </c>
      <c r="G1254" s="4">
        <v>507000</v>
      </c>
      <c r="H1254" s="4">
        <v>0</v>
      </c>
      <c r="I1254" s="4">
        <v>-14196623.890000001</v>
      </c>
    </row>
    <row r="1255" spans="1:9" x14ac:dyDescent="0.3">
      <c r="A1255" t="s">
        <v>133</v>
      </c>
      <c r="B1255" s="1">
        <v>45875</v>
      </c>
      <c r="C1255" s="1">
        <v>45875</v>
      </c>
      <c r="D1255">
        <v>912570</v>
      </c>
      <c r="E1255">
        <v>98</v>
      </c>
      <c r="F1255" s="3" t="s">
        <v>1156</v>
      </c>
      <c r="G1255" s="4">
        <v>370000</v>
      </c>
      <c r="H1255" s="4">
        <v>0</v>
      </c>
      <c r="I1255" s="4">
        <v>-13826623.890000001</v>
      </c>
    </row>
    <row r="1256" spans="1:9" x14ac:dyDescent="0.3">
      <c r="A1256" t="s">
        <v>133</v>
      </c>
      <c r="B1256" s="1">
        <v>45875</v>
      </c>
      <c r="C1256" s="1">
        <v>45875</v>
      </c>
      <c r="D1256">
        <v>912573</v>
      </c>
      <c r="E1256">
        <v>14</v>
      </c>
      <c r="F1256" s="3">
        <v>4529</v>
      </c>
      <c r="G1256" s="4">
        <v>137491.25</v>
      </c>
      <c r="H1256" s="4">
        <v>0</v>
      </c>
      <c r="I1256" s="4">
        <v>-13689132.640000001</v>
      </c>
    </row>
    <row r="1257" spans="1:9" x14ac:dyDescent="0.3">
      <c r="A1257" t="s">
        <v>133</v>
      </c>
      <c r="B1257" s="1">
        <v>45875</v>
      </c>
      <c r="C1257" s="1">
        <v>45875</v>
      </c>
      <c r="D1257">
        <v>912575</v>
      </c>
      <c r="E1257">
        <v>81</v>
      </c>
      <c r="F1257" s="3" t="s">
        <v>1157</v>
      </c>
      <c r="G1257" s="4">
        <v>220000</v>
      </c>
      <c r="H1257" s="4">
        <v>0</v>
      </c>
      <c r="I1257" s="4">
        <v>-13469132.640000001</v>
      </c>
    </row>
    <row r="1258" spans="1:9" x14ac:dyDescent="0.3">
      <c r="A1258" t="s">
        <v>133</v>
      </c>
      <c r="B1258" s="1">
        <v>45875</v>
      </c>
      <c r="C1258" s="1">
        <v>45875</v>
      </c>
      <c r="D1258">
        <v>912577</v>
      </c>
      <c r="E1258">
        <v>70</v>
      </c>
      <c r="F1258" s="3" t="s">
        <v>1158</v>
      </c>
      <c r="G1258" s="4">
        <v>300000</v>
      </c>
      <c r="H1258" s="4">
        <v>0</v>
      </c>
      <c r="I1258" s="4">
        <v>-13169132.640000001</v>
      </c>
    </row>
    <row r="1259" spans="1:9" x14ac:dyDescent="0.3">
      <c r="A1259" t="s">
        <v>133</v>
      </c>
      <c r="B1259" s="1">
        <v>45875</v>
      </c>
      <c r="C1259" s="1">
        <v>45875</v>
      </c>
      <c r="D1259">
        <v>912579</v>
      </c>
      <c r="E1259">
        <v>59</v>
      </c>
      <c r="F1259" s="3" t="s">
        <v>1159</v>
      </c>
      <c r="G1259" s="4">
        <v>128800</v>
      </c>
      <c r="H1259" s="4">
        <v>0</v>
      </c>
      <c r="I1259" s="4">
        <v>-13040332.640000001</v>
      </c>
    </row>
    <row r="1260" spans="1:9" x14ac:dyDescent="0.3">
      <c r="A1260" t="s">
        <v>133</v>
      </c>
      <c r="B1260" s="1">
        <v>45875</v>
      </c>
      <c r="C1260" s="1">
        <v>45875</v>
      </c>
      <c r="D1260">
        <v>912580</v>
      </c>
      <c r="E1260">
        <v>23</v>
      </c>
      <c r="F1260" s="3" t="s">
        <v>1160</v>
      </c>
      <c r="G1260" s="4">
        <v>310000</v>
      </c>
      <c r="H1260" s="4">
        <v>0</v>
      </c>
      <c r="I1260" s="4">
        <v>-12730332.640000001</v>
      </c>
    </row>
    <row r="1261" spans="1:9" x14ac:dyDescent="0.3">
      <c r="A1261" t="s">
        <v>133</v>
      </c>
      <c r="B1261" s="1">
        <v>45875</v>
      </c>
      <c r="C1261" s="1">
        <v>45875</v>
      </c>
      <c r="D1261">
        <v>912582</v>
      </c>
      <c r="E1261">
        <v>32</v>
      </c>
      <c r="F1261" s="3" t="s">
        <v>1161</v>
      </c>
      <c r="G1261" s="4">
        <v>490000</v>
      </c>
      <c r="H1261" s="4">
        <v>0</v>
      </c>
      <c r="I1261" s="4">
        <v>-12240332.640000001</v>
      </c>
    </row>
    <row r="1262" spans="1:9" x14ac:dyDescent="0.3">
      <c r="A1262" t="s">
        <v>133</v>
      </c>
      <c r="B1262" s="1">
        <v>45875</v>
      </c>
      <c r="C1262" s="1">
        <v>45875</v>
      </c>
      <c r="D1262">
        <v>912584</v>
      </c>
      <c r="E1262">
        <v>86</v>
      </c>
      <c r="F1262" s="3" t="s">
        <v>1162</v>
      </c>
      <c r="G1262" s="4">
        <v>250000</v>
      </c>
      <c r="H1262" s="4">
        <v>0</v>
      </c>
      <c r="I1262" s="4">
        <v>-11990332.640000001</v>
      </c>
    </row>
    <row r="1263" spans="1:9" x14ac:dyDescent="0.3">
      <c r="A1263" t="s">
        <v>133</v>
      </c>
      <c r="B1263" s="1">
        <v>45875</v>
      </c>
      <c r="C1263" s="1">
        <v>45875</v>
      </c>
      <c r="D1263">
        <v>912585</v>
      </c>
      <c r="E1263">
        <v>16</v>
      </c>
      <c r="F1263" s="3" t="s">
        <v>1163</v>
      </c>
      <c r="G1263" s="4">
        <v>13063.5</v>
      </c>
      <c r="H1263" s="4">
        <v>0</v>
      </c>
      <c r="I1263" s="4">
        <v>-11977269.140000001</v>
      </c>
    </row>
    <row r="1264" spans="1:9" x14ac:dyDescent="0.3">
      <c r="A1264" t="s">
        <v>133</v>
      </c>
      <c r="B1264" s="1">
        <v>45875</v>
      </c>
      <c r="C1264" s="1">
        <v>45875</v>
      </c>
      <c r="D1264">
        <v>912586</v>
      </c>
      <c r="E1264">
        <v>16</v>
      </c>
      <c r="F1264" s="3" t="s">
        <v>1164</v>
      </c>
      <c r="G1264" s="4">
        <v>100000</v>
      </c>
      <c r="H1264" s="4">
        <v>0</v>
      </c>
      <c r="I1264" s="4">
        <v>-11877269.140000001</v>
      </c>
    </row>
    <row r="1265" spans="1:9" x14ac:dyDescent="0.3">
      <c r="A1265" t="s">
        <v>133</v>
      </c>
      <c r="B1265" s="1">
        <v>45875</v>
      </c>
      <c r="C1265" s="1">
        <v>45875</v>
      </c>
      <c r="D1265">
        <v>912587</v>
      </c>
      <c r="E1265">
        <v>16</v>
      </c>
      <c r="F1265" s="3" t="s">
        <v>1165</v>
      </c>
      <c r="G1265" s="4">
        <v>100000</v>
      </c>
      <c r="H1265" s="4">
        <v>0</v>
      </c>
      <c r="I1265" s="4">
        <v>-11777269.140000001</v>
      </c>
    </row>
    <row r="1266" spans="1:9" x14ac:dyDescent="0.3">
      <c r="A1266" t="s">
        <v>133</v>
      </c>
      <c r="B1266" s="1">
        <v>45875</v>
      </c>
      <c r="C1266" s="1">
        <v>45875</v>
      </c>
      <c r="D1266">
        <v>912590</v>
      </c>
      <c r="E1266">
        <v>88</v>
      </c>
      <c r="F1266" s="3" t="s">
        <v>1166</v>
      </c>
      <c r="G1266" s="4">
        <v>5000</v>
      </c>
      <c r="H1266" s="4">
        <v>0</v>
      </c>
      <c r="I1266" s="4">
        <v>-11772269.140000001</v>
      </c>
    </row>
    <row r="1267" spans="1:9" x14ac:dyDescent="0.3">
      <c r="A1267" t="s">
        <v>133</v>
      </c>
      <c r="B1267" s="1">
        <v>45875</v>
      </c>
      <c r="C1267" s="1">
        <v>45875</v>
      </c>
      <c r="D1267">
        <v>912591</v>
      </c>
      <c r="E1267">
        <v>82</v>
      </c>
      <c r="F1267" s="3" t="s">
        <v>1167</v>
      </c>
      <c r="G1267" s="4">
        <v>390000</v>
      </c>
      <c r="H1267" s="4">
        <v>0</v>
      </c>
      <c r="I1267" s="4">
        <v>-11382269.140000001</v>
      </c>
    </row>
    <row r="1268" spans="1:9" x14ac:dyDescent="0.3">
      <c r="A1268" t="s">
        <v>133</v>
      </c>
      <c r="B1268" s="1">
        <v>45875</v>
      </c>
      <c r="C1268" s="1">
        <v>45875</v>
      </c>
      <c r="D1268">
        <v>912592</v>
      </c>
      <c r="E1268">
        <v>38</v>
      </c>
      <c r="F1268" s="3" t="s">
        <v>1168</v>
      </c>
      <c r="G1268" s="4">
        <v>1644318.25</v>
      </c>
      <c r="H1268" s="4">
        <v>0</v>
      </c>
      <c r="I1268" s="4">
        <v>-9737950.8900000006</v>
      </c>
    </row>
    <row r="1269" spans="1:9" x14ac:dyDescent="0.3">
      <c r="A1269" t="s">
        <v>133</v>
      </c>
      <c r="B1269" s="1">
        <v>45875</v>
      </c>
      <c r="C1269" s="1">
        <v>45875</v>
      </c>
      <c r="D1269">
        <v>912593</v>
      </c>
      <c r="E1269">
        <v>63</v>
      </c>
      <c r="F1269" s="3" t="s">
        <v>1169</v>
      </c>
      <c r="G1269" s="4">
        <v>263</v>
      </c>
      <c r="H1269" s="4">
        <v>0</v>
      </c>
      <c r="I1269" s="4">
        <v>-9737687.8900000006</v>
      </c>
    </row>
    <row r="1270" spans="1:9" x14ac:dyDescent="0.3">
      <c r="A1270" t="s">
        <v>133</v>
      </c>
      <c r="B1270" s="1">
        <v>45875</v>
      </c>
      <c r="C1270" s="1">
        <v>45875</v>
      </c>
      <c r="D1270">
        <v>912599</v>
      </c>
      <c r="E1270">
        <v>62</v>
      </c>
      <c r="F1270" s="3" t="s">
        <v>1170</v>
      </c>
      <c r="G1270" s="4">
        <v>480000</v>
      </c>
      <c r="H1270" s="4">
        <v>0</v>
      </c>
      <c r="I1270" s="4">
        <v>-9257687.8900000006</v>
      </c>
    </row>
    <row r="1271" spans="1:9" x14ac:dyDescent="0.3">
      <c r="A1271" t="s">
        <v>133</v>
      </c>
      <c r="B1271" s="1">
        <v>45875</v>
      </c>
      <c r="C1271" s="1">
        <v>45875</v>
      </c>
      <c r="D1271">
        <v>912602</v>
      </c>
      <c r="E1271">
        <v>78</v>
      </c>
      <c r="F1271" s="3" t="s">
        <v>1171</v>
      </c>
      <c r="G1271" s="4">
        <v>62182.5</v>
      </c>
      <c r="H1271" s="4">
        <v>0</v>
      </c>
      <c r="I1271" s="4">
        <v>-9195505.3900000006</v>
      </c>
    </row>
    <row r="1272" spans="1:9" x14ac:dyDescent="0.3">
      <c r="A1272" t="s">
        <v>133</v>
      </c>
      <c r="B1272" s="1">
        <v>45875</v>
      </c>
      <c r="C1272" s="1">
        <v>45875</v>
      </c>
      <c r="D1272">
        <v>912608</v>
      </c>
      <c r="E1272">
        <v>43</v>
      </c>
      <c r="F1272" s="3" t="s">
        <v>1172</v>
      </c>
      <c r="G1272" s="4">
        <v>11.75</v>
      </c>
      <c r="H1272" s="4">
        <v>0</v>
      </c>
      <c r="I1272" s="4">
        <v>-9195493.6400000006</v>
      </c>
    </row>
    <row r="1273" spans="1:9" x14ac:dyDescent="0.3">
      <c r="A1273" t="s">
        <v>133</v>
      </c>
      <c r="B1273" s="1">
        <v>45875</v>
      </c>
      <c r="C1273" s="1">
        <v>45875</v>
      </c>
      <c r="D1273">
        <v>912610</v>
      </c>
      <c r="E1273">
        <v>43</v>
      </c>
      <c r="F1273" s="3" t="s">
        <v>1173</v>
      </c>
      <c r="G1273" s="4">
        <v>967</v>
      </c>
      <c r="H1273" s="4">
        <v>0</v>
      </c>
      <c r="I1273" s="4">
        <v>-9194526.6400000006</v>
      </c>
    </row>
    <row r="1274" spans="1:9" x14ac:dyDescent="0.3">
      <c r="A1274" t="s">
        <v>133</v>
      </c>
      <c r="B1274" s="1">
        <v>45875</v>
      </c>
      <c r="C1274" s="1">
        <v>45875</v>
      </c>
      <c r="D1274">
        <v>912615</v>
      </c>
      <c r="E1274">
        <v>351</v>
      </c>
      <c r="F1274" s="3" t="s">
        <v>1174</v>
      </c>
      <c r="G1274" s="4">
        <v>740</v>
      </c>
      <c r="H1274" s="4">
        <v>0</v>
      </c>
      <c r="I1274" s="4">
        <v>-9193786.6400000006</v>
      </c>
    </row>
    <row r="1275" spans="1:9" x14ac:dyDescent="0.3">
      <c r="A1275" t="s">
        <v>133</v>
      </c>
      <c r="B1275" s="1">
        <v>45875</v>
      </c>
      <c r="C1275" s="1">
        <v>45875</v>
      </c>
      <c r="D1275">
        <v>912622</v>
      </c>
      <c r="E1275">
        <v>48</v>
      </c>
      <c r="F1275" s="3" t="s">
        <v>1175</v>
      </c>
      <c r="G1275" s="4">
        <v>500000</v>
      </c>
      <c r="H1275" s="4">
        <v>0</v>
      </c>
      <c r="I1275" s="4">
        <v>-8693786.6400000006</v>
      </c>
    </row>
    <row r="1276" spans="1:9" x14ac:dyDescent="0.3">
      <c r="A1276" t="s">
        <v>133</v>
      </c>
      <c r="B1276" s="1">
        <v>45875</v>
      </c>
      <c r="C1276" s="1">
        <v>45875</v>
      </c>
      <c r="D1276">
        <v>912626</v>
      </c>
      <c r="E1276">
        <v>210</v>
      </c>
      <c r="F1276" s="3" t="s">
        <v>1176</v>
      </c>
      <c r="G1276" s="4">
        <v>83920</v>
      </c>
      <c r="H1276" s="4">
        <v>0</v>
      </c>
      <c r="I1276" s="4">
        <v>-8609866.6400000006</v>
      </c>
    </row>
    <row r="1277" spans="1:9" x14ac:dyDescent="0.3">
      <c r="A1277" t="s">
        <v>1</v>
      </c>
      <c r="B1277" s="1">
        <v>45871</v>
      </c>
      <c r="C1277" s="1">
        <v>45876</v>
      </c>
      <c r="D1277">
        <v>101481</v>
      </c>
      <c r="E1277">
        <v>100</v>
      </c>
      <c r="F1277" s="3" t="s">
        <v>1177</v>
      </c>
      <c r="G1277" s="4">
        <v>88800</v>
      </c>
      <c r="I1277" s="4">
        <v>-8521066.6400000006</v>
      </c>
    </row>
    <row r="1278" spans="1:9" x14ac:dyDescent="0.3">
      <c r="A1278" t="s">
        <v>1</v>
      </c>
      <c r="B1278" s="1">
        <v>45875</v>
      </c>
      <c r="C1278" s="1">
        <v>45876</v>
      </c>
      <c r="D1278">
        <v>101921</v>
      </c>
      <c r="E1278">
        <v>100</v>
      </c>
      <c r="F1278" s="3" t="s">
        <v>1178</v>
      </c>
      <c r="G1278" s="4">
        <v>35896</v>
      </c>
      <c r="I1278" s="4">
        <v>-8485170.6400000006</v>
      </c>
    </row>
    <row r="1279" spans="1:9" x14ac:dyDescent="0.3">
      <c r="A1279" t="s">
        <v>1</v>
      </c>
      <c r="B1279" s="1">
        <v>45875</v>
      </c>
      <c r="C1279" s="1">
        <v>45876</v>
      </c>
      <c r="D1279">
        <v>101957</v>
      </c>
      <c r="E1279">
        <v>100</v>
      </c>
      <c r="F1279" s="3" t="s">
        <v>1179</v>
      </c>
      <c r="G1279" s="4">
        <v>62311.35</v>
      </c>
      <c r="I1279" s="4">
        <v>-8422859.2899999991</v>
      </c>
    </row>
    <row r="1280" spans="1:9" x14ac:dyDescent="0.3">
      <c r="A1280" t="s">
        <v>1</v>
      </c>
      <c r="B1280" s="1">
        <v>45875</v>
      </c>
      <c r="C1280" s="1">
        <v>45876</v>
      </c>
      <c r="D1280">
        <v>102019</v>
      </c>
      <c r="E1280">
        <v>100</v>
      </c>
      <c r="F1280" s="3" t="s">
        <v>1180</v>
      </c>
      <c r="G1280" s="4">
        <v>25386.6</v>
      </c>
      <c r="I1280" s="4">
        <v>-8397472.6899999995</v>
      </c>
    </row>
    <row r="1281" spans="1:9" x14ac:dyDescent="0.3">
      <c r="A1281" t="s">
        <v>1</v>
      </c>
      <c r="B1281" s="1">
        <v>45875</v>
      </c>
      <c r="C1281" s="1">
        <v>45876</v>
      </c>
      <c r="D1281">
        <v>102020</v>
      </c>
      <c r="E1281">
        <v>100</v>
      </c>
      <c r="F1281" s="3" t="s">
        <v>1181</v>
      </c>
      <c r="G1281" s="4">
        <v>7604.2</v>
      </c>
      <c r="I1281" s="4">
        <v>-8389868.4900000002</v>
      </c>
    </row>
    <row r="1282" spans="1:9" x14ac:dyDescent="0.3">
      <c r="A1282" t="s">
        <v>1</v>
      </c>
      <c r="B1282" s="1">
        <v>45875</v>
      </c>
      <c r="C1282" s="1">
        <v>45876</v>
      </c>
      <c r="D1282">
        <v>102076</v>
      </c>
      <c r="E1282">
        <v>100</v>
      </c>
      <c r="F1282" s="3" t="s">
        <v>1182</v>
      </c>
      <c r="G1282" s="4">
        <v>75000</v>
      </c>
      <c r="I1282" s="4">
        <v>-8314868.4900000002</v>
      </c>
    </row>
    <row r="1283" spans="1:9" x14ac:dyDescent="0.3">
      <c r="A1283" t="s">
        <v>1</v>
      </c>
      <c r="B1283" s="1">
        <v>45875</v>
      </c>
      <c r="C1283" s="1">
        <v>45876</v>
      </c>
      <c r="D1283">
        <v>102080</v>
      </c>
      <c r="E1283">
        <v>100</v>
      </c>
      <c r="F1283" s="3" t="s">
        <v>1180</v>
      </c>
      <c r="G1283" s="4">
        <v>168441.17</v>
      </c>
      <c r="I1283" s="4">
        <v>-8146427.3200000003</v>
      </c>
    </row>
    <row r="1284" spans="1:9" x14ac:dyDescent="0.3">
      <c r="A1284" t="s">
        <v>1</v>
      </c>
      <c r="B1284" s="1">
        <v>45875</v>
      </c>
      <c r="C1284" s="1">
        <v>45876</v>
      </c>
      <c r="D1284">
        <v>102081</v>
      </c>
      <c r="E1284">
        <v>100</v>
      </c>
      <c r="F1284" s="3" t="s">
        <v>1183</v>
      </c>
      <c r="G1284" s="4">
        <v>131981.01999999999</v>
      </c>
      <c r="I1284" s="4">
        <v>-8014446.2999999998</v>
      </c>
    </row>
    <row r="1285" spans="1:9" x14ac:dyDescent="0.3">
      <c r="A1285" t="s">
        <v>1</v>
      </c>
      <c r="B1285" s="1">
        <v>45875</v>
      </c>
      <c r="C1285" s="1">
        <v>45876</v>
      </c>
      <c r="D1285">
        <v>102083</v>
      </c>
      <c r="E1285">
        <v>100</v>
      </c>
      <c r="F1285" s="3" t="s">
        <v>1184</v>
      </c>
      <c r="G1285" s="4">
        <v>27000.5</v>
      </c>
      <c r="I1285" s="4">
        <v>-7987445.7999999998</v>
      </c>
    </row>
    <row r="1286" spans="1:9" x14ac:dyDescent="0.3">
      <c r="A1286" t="s">
        <v>1</v>
      </c>
      <c r="B1286" s="1">
        <v>45875</v>
      </c>
      <c r="C1286" s="1">
        <v>45876</v>
      </c>
      <c r="D1286">
        <v>102084</v>
      </c>
      <c r="E1286">
        <v>100</v>
      </c>
      <c r="F1286" s="3" t="s">
        <v>1181</v>
      </c>
      <c r="G1286" s="4">
        <v>65245.75</v>
      </c>
      <c r="I1286" s="4">
        <v>-7922200.0499999998</v>
      </c>
    </row>
    <row r="1287" spans="1:9" x14ac:dyDescent="0.3">
      <c r="A1287" t="s">
        <v>1</v>
      </c>
      <c r="B1287" s="1">
        <v>45875</v>
      </c>
      <c r="C1287" s="1">
        <v>45876</v>
      </c>
      <c r="D1287">
        <v>102085</v>
      </c>
      <c r="E1287">
        <v>100</v>
      </c>
      <c r="F1287" s="3" t="s">
        <v>1185</v>
      </c>
      <c r="G1287" s="4">
        <v>19309.11</v>
      </c>
      <c r="I1287" s="4">
        <v>-7902890.9400000004</v>
      </c>
    </row>
    <row r="1288" spans="1:9" x14ac:dyDescent="0.3">
      <c r="A1288" t="s">
        <v>1</v>
      </c>
      <c r="B1288" s="1">
        <v>45875</v>
      </c>
      <c r="C1288" s="1">
        <v>45876</v>
      </c>
      <c r="D1288">
        <v>102102</v>
      </c>
      <c r="E1288">
        <v>100</v>
      </c>
      <c r="F1288" s="3" t="s">
        <v>1186</v>
      </c>
      <c r="G1288" s="4">
        <v>26000</v>
      </c>
      <c r="I1288" s="4">
        <v>-7876890.9400000004</v>
      </c>
    </row>
    <row r="1289" spans="1:9" x14ac:dyDescent="0.3">
      <c r="A1289" t="s">
        <v>1</v>
      </c>
      <c r="B1289" s="1">
        <v>45875</v>
      </c>
      <c r="C1289" s="1">
        <v>45876</v>
      </c>
      <c r="D1289">
        <v>102107</v>
      </c>
      <c r="E1289">
        <v>100</v>
      </c>
      <c r="F1289" s="3" t="s">
        <v>1187</v>
      </c>
      <c r="G1289" s="4">
        <v>3026.25</v>
      </c>
      <c r="I1289" s="4">
        <v>-7873864.6900000004</v>
      </c>
    </row>
    <row r="1290" spans="1:9" x14ac:dyDescent="0.3">
      <c r="A1290" t="s">
        <v>1</v>
      </c>
      <c r="B1290" s="1">
        <v>45874</v>
      </c>
      <c r="C1290" s="1">
        <v>45876</v>
      </c>
      <c r="D1290">
        <v>102116</v>
      </c>
      <c r="E1290">
        <v>100</v>
      </c>
      <c r="F1290" s="3" t="s">
        <v>1188</v>
      </c>
      <c r="G1290" s="4">
        <v>2925</v>
      </c>
      <c r="I1290" s="4">
        <v>-7870939.6900000004</v>
      </c>
    </row>
    <row r="1291" spans="1:9" x14ac:dyDescent="0.3">
      <c r="A1291" t="s">
        <v>1</v>
      </c>
      <c r="B1291" s="1">
        <v>45875</v>
      </c>
      <c r="C1291" s="1">
        <v>45876</v>
      </c>
      <c r="D1291">
        <v>102117</v>
      </c>
      <c r="E1291">
        <v>100</v>
      </c>
      <c r="F1291" s="3" t="s">
        <v>738</v>
      </c>
      <c r="G1291" s="4">
        <v>92001.25</v>
      </c>
      <c r="I1291" s="4">
        <v>-7778938.4400000004</v>
      </c>
    </row>
    <row r="1292" spans="1:9" x14ac:dyDescent="0.3">
      <c r="A1292" t="s">
        <v>1</v>
      </c>
      <c r="B1292" s="1">
        <v>45875</v>
      </c>
      <c r="C1292" s="1">
        <v>45876</v>
      </c>
      <c r="D1292">
        <v>102118</v>
      </c>
      <c r="E1292">
        <v>100</v>
      </c>
      <c r="F1292" s="3" t="s">
        <v>738</v>
      </c>
      <c r="G1292" s="4">
        <v>102735.15</v>
      </c>
      <c r="I1292" s="4">
        <v>-7676203.29</v>
      </c>
    </row>
    <row r="1293" spans="1:9" x14ac:dyDescent="0.3">
      <c r="A1293" t="s">
        <v>1</v>
      </c>
      <c r="B1293" s="1">
        <v>45875</v>
      </c>
      <c r="C1293" s="1">
        <v>45876</v>
      </c>
      <c r="D1293">
        <v>102120</v>
      </c>
      <c r="E1293">
        <v>100</v>
      </c>
      <c r="F1293" s="3" t="s">
        <v>1189</v>
      </c>
      <c r="G1293" s="4">
        <v>250942.01</v>
      </c>
      <c r="I1293" s="4">
        <v>-7425261.2800000003</v>
      </c>
    </row>
    <row r="1294" spans="1:9" x14ac:dyDescent="0.3">
      <c r="A1294" t="s">
        <v>1</v>
      </c>
      <c r="B1294" s="1">
        <v>45875</v>
      </c>
      <c r="C1294" s="1">
        <v>45876</v>
      </c>
      <c r="D1294">
        <v>102121</v>
      </c>
      <c r="E1294">
        <v>100</v>
      </c>
      <c r="F1294" s="3" t="s">
        <v>1190</v>
      </c>
      <c r="G1294" s="4">
        <v>773916</v>
      </c>
      <c r="I1294" s="4">
        <v>-6651345.2800000003</v>
      </c>
    </row>
    <row r="1295" spans="1:9" x14ac:dyDescent="0.3">
      <c r="A1295" t="s">
        <v>1</v>
      </c>
      <c r="B1295" s="1">
        <v>45875</v>
      </c>
      <c r="C1295" s="1">
        <v>45876</v>
      </c>
      <c r="D1295">
        <v>102122</v>
      </c>
      <c r="E1295">
        <v>100</v>
      </c>
      <c r="F1295" s="3" t="s">
        <v>1190</v>
      </c>
      <c r="G1295" s="4">
        <v>85870.6</v>
      </c>
      <c r="I1295" s="4">
        <v>-6565474.6799999997</v>
      </c>
    </row>
    <row r="1296" spans="1:9" x14ac:dyDescent="0.3">
      <c r="A1296" t="s">
        <v>1</v>
      </c>
      <c r="B1296" s="1">
        <v>45875</v>
      </c>
      <c r="C1296" s="1">
        <v>45876</v>
      </c>
      <c r="D1296">
        <v>102123</v>
      </c>
      <c r="E1296">
        <v>100</v>
      </c>
      <c r="F1296" s="3" t="s">
        <v>1191</v>
      </c>
      <c r="G1296" s="4">
        <v>112348</v>
      </c>
      <c r="I1296" s="4">
        <v>-6453126.6799999997</v>
      </c>
    </row>
    <row r="1297" spans="1:9" x14ac:dyDescent="0.3">
      <c r="A1297" t="s">
        <v>1</v>
      </c>
      <c r="B1297" s="1">
        <v>45875</v>
      </c>
      <c r="C1297" s="1">
        <v>45876</v>
      </c>
      <c r="D1297">
        <v>102124</v>
      </c>
      <c r="E1297">
        <v>100</v>
      </c>
      <c r="F1297" s="3" t="s">
        <v>1192</v>
      </c>
      <c r="G1297" s="4">
        <v>21998</v>
      </c>
      <c r="I1297" s="4">
        <v>-6431128.6799999997</v>
      </c>
    </row>
    <row r="1298" spans="1:9" x14ac:dyDescent="0.3">
      <c r="A1298" t="s">
        <v>1</v>
      </c>
      <c r="B1298" s="1">
        <v>45875</v>
      </c>
      <c r="C1298" s="1">
        <v>45876</v>
      </c>
      <c r="D1298">
        <v>102130</v>
      </c>
      <c r="E1298">
        <v>100</v>
      </c>
      <c r="F1298" s="3" t="s">
        <v>1193</v>
      </c>
      <c r="G1298" s="4">
        <v>2026.25</v>
      </c>
      <c r="I1298" s="4">
        <v>-6429102.4299999997</v>
      </c>
    </row>
    <row r="1299" spans="1:9" x14ac:dyDescent="0.3">
      <c r="A1299" t="s">
        <v>1</v>
      </c>
      <c r="B1299" s="1">
        <v>45875</v>
      </c>
      <c r="C1299" s="1">
        <v>45876</v>
      </c>
      <c r="D1299">
        <v>102131</v>
      </c>
      <c r="E1299">
        <v>100</v>
      </c>
      <c r="F1299" s="3" t="s">
        <v>1194</v>
      </c>
      <c r="G1299" s="4">
        <v>7000</v>
      </c>
      <c r="I1299" s="4">
        <v>-6422102.4299999997</v>
      </c>
    </row>
    <row r="1300" spans="1:9" x14ac:dyDescent="0.3">
      <c r="A1300" t="s">
        <v>1</v>
      </c>
      <c r="B1300" s="1">
        <v>45875</v>
      </c>
      <c r="C1300" s="1">
        <v>45876</v>
      </c>
      <c r="D1300">
        <v>102132</v>
      </c>
      <c r="E1300">
        <v>100</v>
      </c>
      <c r="F1300" s="3" t="s">
        <v>1195</v>
      </c>
      <c r="G1300" s="4">
        <v>5472.3</v>
      </c>
      <c r="I1300" s="4">
        <v>-6416630.1299999999</v>
      </c>
    </row>
    <row r="1301" spans="1:9" x14ac:dyDescent="0.3">
      <c r="A1301" t="s">
        <v>1</v>
      </c>
      <c r="B1301" s="1">
        <v>45875</v>
      </c>
      <c r="C1301" s="1">
        <v>45876</v>
      </c>
      <c r="D1301">
        <v>102134</v>
      </c>
      <c r="E1301">
        <v>100</v>
      </c>
      <c r="F1301" s="3" t="s">
        <v>1196</v>
      </c>
      <c r="G1301" s="4">
        <v>15526.25</v>
      </c>
      <c r="I1301" s="4">
        <v>-6401103.8799999999</v>
      </c>
    </row>
    <row r="1302" spans="1:9" x14ac:dyDescent="0.3">
      <c r="A1302" t="s">
        <v>1</v>
      </c>
      <c r="B1302" s="1">
        <v>45873</v>
      </c>
      <c r="C1302" s="1">
        <v>45876</v>
      </c>
      <c r="D1302">
        <v>102135</v>
      </c>
      <c r="E1302">
        <v>100</v>
      </c>
      <c r="F1302" s="3" t="s">
        <v>1197</v>
      </c>
      <c r="G1302" s="4">
        <v>12055</v>
      </c>
      <c r="I1302" s="4">
        <v>-6389048.8799999999</v>
      </c>
    </row>
    <row r="1303" spans="1:9" x14ac:dyDescent="0.3">
      <c r="A1303" t="s">
        <v>1</v>
      </c>
      <c r="B1303" s="1">
        <v>45874</v>
      </c>
      <c r="C1303" s="1">
        <v>45876</v>
      </c>
      <c r="D1303">
        <v>102139</v>
      </c>
      <c r="E1303">
        <v>100</v>
      </c>
      <c r="F1303" s="3" t="s">
        <v>1198</v>
      </c>
      <c r="G1303" s="4">
        <v>40836.550000000003</v>
      </c>
      <c r="I1303" s="4">
        <v>-6348212.3300000001</v>
      </c>
    </row>
    <row r="1304" spans="1:9" x14ac:dyDescent="0.3">
      <c r="A1304" t="s">
        <v>1</v>
      </c>
      <c r="B1304" s="1">
        <v>45874</v>
      </c>
      <c r="C1304" s="1">
        <v>45876</v>
      </c>
      <c r="D1304">
        <v>102140</v>
      </c>
      <c r="E1304">
        <v>100</v>
      </c>
      <c r="F1304" s="3" t="s">
        <v>1199</v>
      </c>
      <c r="G1304" s="4">
        <v>57294.3</v>
      </c>
      <c r="I1304" s="4">
        <v>-6290918.0300000003</v>
      </c>
    </row>
    <row r="1305" spans="1:9" x14ac:dyDescent="0.3">
      <c r="A1305" t="s">
        <v>1</v>
      </c>
      <c r="B1305" s="1">
        <v>45876</v>
      </c>
      <c r="C1305" s="1">
        <v>45876</v>
      </c>
      <c r="D1305">
        <v>102142</v>
      </c>
      <c r="E1305">
        <v>100</v>
      </c>
      <c r="F1305" s="3" t="s">
        <v>798</v>
      </c>
      <c r="G1305" s="4">
        <v>1305.25</v>
      </c>
      <c r="I1305" s="4">
        <v>-6289612.7800000003</v>
      </c>
    </row>
    <row r="1306" spans="1:9" x14ac:dyDescent="0.3">
      <c r="A1306" t="s">
        <v>1</v>
      </c>
      <c r="B1306" s="1">
        <v>45876</v>
      </c>
      <c r="C1306" s="1">
        <v>45876</v>
      </c>
      <c r="D1306">
        <v>102145</v>
      </c>
      <c r="E1306">
        <v>100</v>
      </c>
      <c r="F1306" s="3" t="s">
        <v>1200</v>
      </c>
      <c r="G1306" s="4">
        <v>7193.45</v>
      </c>
      <c r="I1306" s="4">
        <v>-6282419.3300000001</v>
      </c>
    </row>
    <row r="1307" spans="1:9" x14ac:dyDescent="0.3">
      <c r="A1307" t="s">
        <v>1</v>
      </c>
      <c r="B1307" s="1">
        <v>45876</v>
      </c>
      <c r="C1307" s="1">
        <v>45876</v>
      </c>
      <c r="D1307">
        <v>102146</v>
      </c>
      <c r="E1307">
        <v>100</v>
      </c>
      <c r="F1307" s="3" t="s">
        <v>1201</v>
      </c>
      <c r="G1307" s="4">
        <v>95735</v>
      </c>
      <c r="I1307" s="4">
        <v>-6186684.3300000001</v>
      </c>
    </row>
    <row r="1308" spans="1:9" x14ac:dyDescent="0.3">
      <c r="A1308" t="s">
        <v>1</v>
      </c>
      <c r="B1308" s="1">
        <v>45875</v>
      </c>
      <c r="C1308" s="1">
        <v>45876</v>
      </c>
      <c r="D1308">
        <v>102148</v>
      </c>
      <c r="E1308">
        <v>100</v>
      </c>
      <c r="F1308" s="3" t="s">
        <v>1202</v>
      </c>
      <c r="G1308" s="4">
        <v>166811</v>
      </c>
      <c r="I1308" s="4">
        <v>-6019873.3300000001</v>
      </c>
    </row>
    <row r="1309" spans="1:9" x14ac:dyDescent="0.3">
      <c r="A1309" t="s">
        <v>1</v>
      </c>
      <c r="B1309" s="1">
        <v>45875</v>
      </c>
      <c r="C1309" s="1">
        <v>45876</v>
      </c>
      <c r="D1309">
        <v>102150</v>
      </c>
      <c r="E1309">
        <v>100</v>
      </c>
      <c r="F1309" s="3" t="s">
        <v>1203</v>
      </c>
      <c r="G1309" s="4">
        <v>11000</v>
      </c>
      <c r="I1309" s="4">
        <v>-6008873.3300000001</v>
      </c>
    </row>
    <row r="1310" spans="1:9" x14ac:dyDescent="0.3">
      <c r="A1310" t="s">
        <v>1</v>
      </c>
      <c r="B1310" s="1">
        <v>45876</v>
      </c>
      <c r="C1310" s="1">
        <v>45876</v>
      </c>
      <c r="D1310">
        <v>102152</v>
      </c>
      <c r="E1310">
        <v>100</v>
      </c>
      <c r="F1310" s="3" t="s">
        <v>1204</v>
      </c>
      <c r="G1310" s="4">
        <v>13429.4</v>
      </c>
      <c r="I1310" s="4">
        <v>-5995443.9299999997</v>
      </c>
    </row>
    <row r="1311" spans="1:9" x14ac:dyDescent="0.3">
      <c r="A1311" t="s">
        <v>1</v>
      </c>
      <c r="B1311" s="1">
        <v>45875</v>
      </c>
      <c r="C1311" s="1">
        <v>45876</v>
      </c>
      <c r="D1311">
        <v>102157</v>
      </c>
      <c r="E1311">
        <v>100</v>
      </c>
      <c r="F1311" s="3" t="s">
        <v>1205</v>
      </c>
      <c r="G1311" s="4">
        <v>626.25</v>
      </c>
      <c r="I1311" s="4">
        <v>-5994817.6799999997</v>
      </c>
    </row>
    <row r="1312" spans="1:9" x14ac:dyDescent="0.3">
      <c r="A1312" t="s">
        <v>1</v>
      </c>
      <c r="B1312" s="1">
        <v>45875</v>
      </c>
      <c r="C1312" s="1">
        <v>45876</v>
      </c>
      <c r="D1312">
        <v>102158</v>
      </c>
      <c r="E1312">
        <v>100</v>
      </c>
      <c r="F1312" s="3" t="s">
        <v>1206</v>
      </c>
      <c r="G1312" s="4">
        <v>26142.799999999999</v>
      </c>
      <c r="I1312" s="4">
        <v>-5968674.8799999999</v>
      </c>
    </row>
    <row r="1313" spans="1:9" x14ac:dyDescent="0.3">
      <c r="A1313" t="s">
        <v>1</v>
      </c>
      <c r="B1313" s="1">
        <v>45875</v>
      </c>
      <c r="C1313" s="1">
        <v>45876</v>
      </c>
      <c r="D1313">
        <v>102160</v>
      </c>
      <c r="E1313">
        <v>100</v>
      </c>
      <c r="F1313" s="3" t="s">
        <v>1207</v>
      </c>
      <c r="G1313" s="4">
        <v>44262</v>
      </c>
      <c r="I1313" s="4">
        <v>-5924412.8799999999</v>
      </c>
    </row>
    <row r="1314" spans="1:9" x14ac:dyDescent="0.3">
      <c r="A1314" t="s">
        <v>1</v>
      </c>
      <c r="B1314" s="1">
        <v>45875</v>
      </c>
      <c r="C1314" s="1">
        <v>45876</v>
      </c>
      <c r="D1314">
        <v>102161</v>
      </c>
      <c r="E1314">
        <v>100</v>
      </c>
      <c r="F1314" s="3" t="s">
        <v>1208</v>
      </c>
      <c r="G1314" s="4">
        <v>13700</v>
      </c>
      <c r="I1314" s="4">
        <v>-5910712.8799999999</v>
      </c>
    </row>
    <row r="1315" spans="1:9" x14ac:dyDescent="0.3">
      <c r="A1315" t="s">
        <v>1</v>
      </c>
      <c r="B1315" s="1">
        <v>45870</v>
      </c>
      <c r="C1315" s="1">
        <v>45876</v>
      </c>
      <c r="D1315">
        <v>102162</v>
      </c>
      <c r="E1315">
        <v>100</v>
      </c>
      <c r="F1315" s="3" t="s">
        <v>1209</v>
      </c>
      <c r="G1315" s="4">
        <v>2005.25</v>
      </c>
      <c r="I1315" s="4">
        <v>-5908707.6299999999</v>
      </c>
    </row>
    <row r="1316" spans="1:9" x14ac:dyDescent="0.3">
      <c r="A1316" t="s">
        <v>1</v>
      </c>
      <c r="B1316" s="1">
        <v>45875</v>
      </c>
      <c r="C1316" s="1">
        <v>45876</v>
      </c>
      <c r="D1316">
        <v>102164</v>
      </c>
      <c r="E1316">
        <v>100</v>
      </c>
      <c r="F1316" s="3" t="s">
        <v>1210</v>
      </c>
      <c r="G1316" s="4">
        <v>37116.5</v>
      </c>
      <c r="I1316" s="4">
        <v>-5871591.1299999999</v>
      </c>
    </row>
    <row r="1317" spans="1:9" x14ac:dyDescent="0.3">
      <c r="A1317" t="s">
        <v>1</v>
      </c>
      <c r="B1317" s="1">
        <v>45876</v>
      </c>
      <c r="C1317" s="1">
        <v>45876</v>
      </c>
      <c r="D1317">
        <v>102169</v>
      </c>
      <c r="E1317">
        <v>100</v>
      </c>
      <c r="F1317" s="3" t="s">
        <v>1211</v>
      </c>
      <c r="G1317" s="4">
        <v>12149.5</v>
      </c>
      <c r="I1317" s="4">
        <v>-5859441.6299999999</v>
      </c>
    </row>
    <row r="1318" spans="1:9" x14ac:dyDescent="0.3">
      <c r="A1318" t="s">
        <v>1</v>
      </c>
      <c r="B1318" s="1">
        <v>45871</v>
      </c>
      <c r="C1318" s="1">
        <v>45876</v>
      </c>
      <c r="D1318">
        <v>102172</v>
      </c>
      <c r="E1318">
        <v>100</v>
      </c>
      <c r="F1318" s="3" t="s">
        <v>1212</v>
      </c>
      <c r="G1318" s="4">
        <v>8500</v>
      </c>
      <c r="I1318" s="4">
        <v>-5850941.6299999999</v>
      </c>
    </row>
    <row r="1319" spans="1:9" x14ac:dyDescent="0.3">
      <c r="A1319" t="s">
        <v>1</v>
      </c>
      <c r="B1319" s="1">
        <v>45872</v>
      </c>
      <c r="C1319" s="1">
        <v>45876</v>
      </c>
      <c r="D1319">
        <v>102173</v>
      </c>
      <c r="E1319">
        <v>100</v>
      </c>
      <c r="F1319" s="3" t="s">
        <v>1213</v>
      </c>
      <c r="G1319" s="4">
        <v>4000</v>
      </c>
      <c r="I1319" s="4">
        <v>-5846941.6299999999</v>
      </c>
    </row>
    <row r="1320" spans="1:9" x14ac:dyDescent="0.3">
      <c r="A1320" t="s">
        <v>1</v>
      </c>
      <c r="B1320" s="1">
        <v>45875</v>
      </c>
      <c r="C1320" s="1">
        <v>45876</v>
      </c>
      <c r="D1320">
        <v>102177</v>
      </c>
      <c r="E1320">
        <v>100</v>
      </c>
      <c r="F1320" s="3" t="s">
        <v>1214</v>
      </c>
      <c r="G1320" s="4">
        <v>36775.379999999997</v>
      </c>
      <c r="I1320" s="4">
        <v>-5810166.25</v>
      </c>
    </row>
    <row r="1321" spans="1:9" x14ac:dyDescent="0.3">
      <c r="A1321" t="s">
        <v>1</v>
      </c>
      <c r="B1321" s="1">
        <v>45875</v>
      </c>
      <c r="C1321" s="1">
        <v>45876</v>
      </c>
      <c r="D1321">
        <v>102179</v>
      </c>
      <c r="E1321">
        <v>100</v>
      </c>
      <c r="F1321" s="3" t="s">
        <v>1215</v>
      </c>
      <c r="G1321" s="4">
        <v>25563</v>
      </c>
      <c r="I1321" s="4">
        <v>-5784603.25</v>
      </c>
    </row>
    <row r="1322" spans="1:9" x14ac:dyDescent="0.3">
      <c r="A1322" t="s">
        <v>1</v>
      </c>
      <c r="B1322" s="1">
        <v>45875</v>
      </c>
      <c r="C1322" s="1">
        <v>45876</v>
      </c>
      <c r="D1322">
        <v>102181</v>
      </c>
      <c r="E1322">
        <v>100</v>
      </c>
      <c r="F1322" s="3" t="s">
        <v>1216</v>
      </c>
      <c r="G1322" s="4">
        <v>24627.42</v>
      </c>
      <c r="I1322" s="4">
        <v>-5759975.8300000001</v>
      </c>
    </row>
    <row r="1323" spans="1:9" x14ac:dyDescent="0.3">
      <c r="A1323" t="s">
        <v>1</v>
      </c>
      <c r="B1323" s="1">
        <v>45875</v>
      </c>
      <c r="C1323" s="1">
        <v>45876</v>
      </c>
      <c r="D1323">
        <v>102182</v>
      </c>
      <c r="E1323">
        <v>100</v>
      </c>
      <c r="F1323" s="3" t="s">
        <v>1217</v>
      </c>
      <c r="G1323" s="4">
        <v>526.25</v>
      </c>
      <c r="I1323" s="4">
        <v>-5759449.5800000001</v>
      </c>
    </row>
    <row r="1324" spans="1:9" x14ac:dyDescent="0.3">
      <c r="A1324" t="s">
        <v>1</v>
      </c>
      <c r="B1324" s="1">
        <v>45871</v>
      </c>
      <c r="C1324" s="1">
        <v>45876</v>
      </c>
      <c r="D1324">
        <v>102183</v>
      </c>
      <c r="E1324">
        <v>100</v>
      </c>
      <c r="F1324" s="3" t="s">
        <v>1218</v>
      </c>
      <c r="G1324" s="4">
        <v>10800</v>
      </c>
      <c r="I1324" s="4">
        <v>-5748649.5800000001</v>
      </c>
    </row>
    <row r="1325" spans="1:9" x14ac:dyDescent="0.3">
      <c r="A1325" t="s">
        <v>1</v>
      </c>
      <c r="B1325" s="1">
        <v>45876</v>
      </c>
      <c r="C1325" s="1">
        <v>45876</v>
      </c>
      <c r="D1325">
        <v>102195</v>
      </c>
      <c r="E1325">
        <v>100</v>
      </c>
      <c r="F1325" s="3" t="s">
        <v>1219</v>
      </c>
      <c r="G1325" s="4">
        <v>38439.360000000001</v>
      </c>
      <c r="I1325" s="4">
        <v>-5710210.2199999997</v>
      </c>
    </row>
    <row r="1326" spans="1:9" x14ac:dyDescent="0.3">
      <c r="A1326" t="s">
        <v>1</v>
      </c>
      <c r="B1326" s="1">
        <v>45876</v>
      </c>
      <c r="C1326" s="1">
        <v>45876</v>
      </c>
      <c r="D1326">
        <v>102196</v>
      </c>
      <c r="E1326">
        <v>100</v>
      </c>
      <c r="F1326" s="3" t="s">
        <v>1219</v>
      </c>
      <c r="G1326" s="4">
        <v>47188.12</v>
      </c>
      <c r="I1326" s="4">
        <v>-5663022.0999999996</v>
      </c>
    </row>
    <row r="1327" spans="1:9" x14ac:dyDescent="0.3">
      <c r="A1327" t="s">
        <v>1</v>
      </c>
      <c r="B1327" s="1">
        <v>45876</v>
      </c>
      <c r="C1327" s="1">
        <v>45876</v>
      </c>
      <c r="D1327">
        <v>102218</v>
      </c>
      <c r="E1327">
        <v>100</v>
      </c>
      <c r="F1327" s="3" t="s">
        <v>1220</v>
      </c>
      <c r="G1327" s="4">
        <v>58594</v>
      </c>
      <c r="I1327" s="4">
        <v>-5604428.0999999996</v>
      </c>
    </row>
    <row r="1328" spans="1:9" x14ac:dyDescent="0.3">
      <c r="A1328" t="s">
        <v>71</v>
      </c>
      <c r="B1328" s="1">
        <v>45870</v>
      </c>
      <c r="C1328" s="1">
        <v>45876</v>
      </c>
      <c r="D1328">
        <v>13843</v>
      </c>
      <c r="E1328">
        <v>100</v>
      </c>
      <c r="F1328" s="3" t="s">
        <v>1221</v>
      </c>
      <c r="G1328" s="4">
        <v>4210</v>
      </c>
      <c r="H1328" s="4">
        <v>0</v>
      </c>
      <c r="I1328" s="4">
        <v>-5600218.0999999996</v>
      </c>
    </row>
    <row r="1329" spans="1:9" x14ac:dyDescent="0.3">
      <c r="A1329" t="s">
        <v>71</v>
      </c>
      <c r="B1329" s="1">
        <v>45875</v>
      </c>
      <c r="C1329" s="1">
        <v>45876</v>
      </c>
      <c r="D1329">
        <v>13843</v>
      </c>
      <c r="E1329">
        <v>100</v>
      </c>
      <c r="F1329" s="3" t="s">
        <v>1222</v>
      </c>
      <c r="G1329" s="4">
        <v>105713.75</v>
      </c>
      <c r="H1329" s="4">
        <v>0</v>
      </c>
      <c r="I1329" s="4">
        <v>-5494504.3499999996</v>
      </c>
    </row>
    <row r="1330" spans="1:9" x14ac:dyDescent="0.3">
      <c r="A1330" t="s">
        <v>71</v>
      </c>
      <c r="B1330" s="1">
        <v>45875</v>
      </c>
      <c r="C1330" s="1">
        <v>45876</v>
      </c>
      <c r="D1330">
        <v>13843</v>
      </c>
      <c r="E1330">
        <v>100</v>
      </c>
      <c r="F1330" s="3" t="s">
        <v>1223</v>
      </c>
      <c r="G1330" s="4">
        <v>735200</v>
      </c>
      <c r="H1330" s="4">
        <v>0</v>
      </c>
      <c r="I1330" s="4">
        <v>-4759304.3499999996</v>
      </c>
    </row>
    <row r="1331" spans="1:9" x14ac:dyDescent="0.3">
      <c r="A1331" t="s">
        <v>71</v>
      </c>
      <c r="B1331" s="1">
        <v>45875</v>
      </c>
      <c r="C1331" s="1">
        <v>45876</v>
      </c>
      <c r="D1331">
        <v>13844</v>
      </c>
      <c r="E1331">
        <v>100</v>
      </c>
      <c r="F1331" s="3" t="s">
        <v>1224</v>
      </c>
      <c r="G1331" s="4">
        <v>3792271.05</v>
      </c>
      <c r="H1331" s="4">
        <v>0</v>
      </c>
      <c r="I1331" s="4">
        <v>-967033.3</v>
      </c>
    </row>
    <row r="1332" spans="1:9" x14ac:dyDescent="0.3">
      <c r="A1332" t="s">
        <v>71</v>
      </c>
      <c r="B1332" s="1">
        <v>45874</v>
      </c>
      <c r="C1332" s="1">
        <v>45876</v>
      </c>
      <c r="D1332">
        <v>13850</v>
      </c>
      <c r="E1332">
        <v>100</v>
      </c>
      <c r="F1332" s="3" t="s">
        <v>1225</v>
      </c>
      <c r="G1332" s="4">
        <v>2943813.05</v>
      </c>
      <c r="H1332" s="4">
        <v>0</v>
      </c>
      <c r="I1332" s="4">
        <v>1976779.75</v>
      </c>
    </row>
    <row r="1333" spans="1:9" x14ac:dyDescent="0.3">
      <c r="A1333" t="s">
        <v>71</v>
      </c>
      <c r="B1333" s="1">
        <v>45876</v>
      </c>
      <c r="C1333" s="1">
        <v>45876</v>
      </c>
      <c r="D1333">
        <v>13857</v>
      </c>
      <c r="E1333">
        <v>100</v>
      </c>
      <c r="F1333" s="3" t="s">
        <v>72</v>
      </c>
      <c r="G1333" s="4">
        <v>0</v>
      </c>
      <c r="H1333" s="4">
        <v>26447760</v>
      </c>
      <c r="I1333" s="4">
        <v>-24470980.25</v>
      </c>
    </row>
    <row r="1334" spans="1:9" x14ac:dyDescent="0.3">
      <c r="A1334" t="s">
        <v>71</v>
      </c>
      <c r="B1334" s="1">
        <v>45876</v>
      </c>
      <c r="C1334" s="1">
        <v>45876</v>
      </c>
      <c r="D1334">
        <v>13881</v>
      </c>
      <c r="E1334">
        <v>100</v>
      </c>
      <c r="F1334" s="3" t="s">
        <v>1226</v>
      </c>
      <c r="G1334" s="4">
        <v>0</v>
      </c>
      <c r="H1334" s="4">
        <v>33059700</v>
      </c>
      <c r="I1334" s="4">
        <v>-57530680.25</v>
      </c>
    </row>
    <row r="1335" spans="1:9" x14ac:dyDescent="0.3">
      <c r="A1335" t="s">
        <v>75</v>
      </c>
      <c r="B1335" s="1">
        <v>45874</v>
      </c>
      <c r="C1335" s="1">
        <v>45876</v>
      </c>
      <c r="D1335">
        <v>143082</v>
      </c>
      <c r="E1335">
        <v>62</v>
      </c>
      <c r="F1335" s="3" t="s">
        <v>1227</v>
      </c>
      <c r="G1335" s="4">
        <v>500000</v>
      </c>
      <c r="H1335" s="4">
        <v>0</v>
      </c>
      <c r="I1335" s="4">
        <v>-57030680.25</v>
      </c>
    </row>
    <row r="1336" spans="1:9" x14ac:dyDescent="0.3">
      <c r="A1336" t="s">
        <v>75</v>
      </c>
      <c r="B1336" s="1">
        <v>45871</v>
      </c>
      <c r="C1336" s="1">
        <v>45876</v>
      </c>
      <c r="D1336">
        <v>143083</v>
      </c>
      <c r="E1336">
        <v>15</v>
      </c>
      <c r="F1336" s="3" t="s">
        <v>1228</v>
      </c>
      <c r="G1336" s="4">
        <v>10000</v>
      </c>
      <c r="H1336" s="4">
        <v>0</v>
      </c>
      <c r="I1336" s="4">
        <v>-57020680.25</v>
      </c>
    </row>
    <row r="1337" spans="1:9" x14ac:dyDescent="0.3">
      <c r="A1337" t="s">
        <v>75</v>
      </c>
      <c r="B1337" s="1">
        <v>45876</v>
      </c>
      <c r="C1337" s="1">
        <v>45876</v>
      </c>
      <c r="D1337">
        <v>143085</v>
      </c>
      <c r="E1337">
        <v>14</v>
      </c>
      <c r="F1337" s="3" t="s">
        <v>1229</v>
      </c>
      <c r="G1337" s="4">
        <v>1100</v>
      </c>
      <c r="H1337" s="4">
        <v>0</v>
      </c>
      <c r="I1337" s="4">
        <v>-57019580.25</v>
      </c>
    </row>
    <row r="1338" spans="1:9" x14ac:dyDescent="0.3">
      <c r="A1338" t="s">
        <v>75</v>
      </c>
      <c r="B1338" s="1">
        <v>45874</v>
      </c>
      <c r="C1338" s="1">
        <v>45876</v>
      </c>
      <c r="D1338">
        <v>143087</v>
      </c>
      <c r="E1338">
        <v>70</v>
      </c>
      <c r="F1338" s="3" t="s">
        <v>1230</v>
      </c>
      <c r="G1338" s="4">
        <v>273471.75</v>
      </c>
      <c r="H1338" s="4">
        <v>0</v>
      </c>
      <c r="I1338" s="4">
        <v>-56746108.5</v>
      </c>
    </row>
    <row r="1339" spans="1:9" x14ac:dyDescent="0.3">
      <c r="A1339" t="s">
        <v>75</v>
      </c>
      <c r="B1339" s="1">
        <v>45873</v>
      </c>
      <c r="C1339" s="1">
        <v>45876</v>
      </c>
      <c r="D1339">
        <v>143088</v>
      </c>
      <c r="E1339">
        <v>70</v>
      </c>
      <c r="F1339" s="3" t="s">
        <v>1231</v>
      </c>
      <c r="G1339" s="4">
        <v>16407.75</v>
      </c>
      <c r="H1339" s="4">
        <v>0</v>
      </c>
      <c r="I1339" s="4">
        <v>-56729700.75</v>
      </c>
    </row>
    <row r="1340" spans="1:9" x14ac:dyDescent="0.3">
      <c r="A1340" t="s">
        <v>75</v>
      </c>
      <c r="B1340" s="1">
        <v>45876</v>
      </c>
      <c r="C1340" s="1">
        <v>45876</v>
      </c>
      <c r="D1340">
        <v>143092</v>
      </c>
      <c r="E1340">
        <v>14</v>
      </c>
      <c r="F1340" s="3" t="s">
        <v>1232</v>
      </c>
      <c r="G1340" s="4">
        <v>100000</v>
      </c>
      <c r="H1340" s="4">
        <v>0</v>
      </c>
      <c r="I1340" s="4">
        <v>-56629700.75</v>
      </c>
    </row>
    <row r="1341" spans="1:9" x14ac:dyDescent="0.3">
      <c r="A1341" t="s">
        <v>75</v>
      </c>
      <c r="B1341" s="1">
        <v>45875</v>
      </c>
      <c r="C1341" s="1">
        <v>45876</v>
      </c>
      <c r="D1341">
        <v>143093</v>
      </c>
      <c r="E1341">
        <v>89</v>
      </c>
      <c r="F1341" s="3" t="s">
        <v>1233</v>
      </c>
      <c r="G1341" s="4">
        <v>50000</v>
      </c>
      <c r="H1341" s="4">
        <v>0</v>
      </c>
      <c r="I1341" s="4">
        <v>-56579700.75</v>
      </c>
    </row>
    <row r="1342" spans="1:9" x14ac:dyDescent="0.3">
      <c r="A1342" t="s">
        <v>75</v>
      </c>
      <c r="B1342" s="1">
        <v>45875</v>
      </c>
      <c r="C1342" s="1">
        <v>45876</v>
      </c>
      <c r="D1342">
        <v>143094</v>
      </c>
      <c r="E1342">
        <v>58</v>
      </c>
      <c r="F1342" s="3" t="s">
        <v>1234</v>
      </c>
      <c r="G1342" s="4">
        <v>200000</v>
      </c>
      <c r="H1342" s="4">
        <v>0</v>
      </c>
      <c r="I1342" s="4">
        <v>-56379700.75</v>
      </c>
    </row>
    <row r="1343" spans="1:9" x14ac:dyDescent="0.3">
      <c r="A1343" t="s">
        <v>75</v>
      </c>
      <c r="B1343" s="1">
        <v>45874</v>
      </c>
      <c r="C1343" s="1">
        <v>45876</v>
      </c>
      <c r="D1343">
        <v>143095</v>
      </c>
      <c r="E1343">
        <v>58</v>
      </c>
      <c r="F1343" s="3" t="s">
        <v>1235</v>
      </c>
      <c r="G1343" s="4">
        <v>40000</v>
      </c>
      <c r="H1343" s="4">
        <v>0</v>
      </c>
      <c r="I1343" s="4">
        <v>-56339700.75</v>
      </c>
    </row>
    <row r="1344" spans="1:9" x14ac:dyDescent="0.3">
      <c r="A1344" t="s">
        <v>75</v>
      </c>
      <c r="B1344" s="1">
        <v>45876</v>
      </c>
      <c r="C1344" s="1">
        <v>45876</v>
      </c>
      <c r="D1344">
        <v>143096</v>
      </c>
      <c r="E1344">
        <v>58</v>
      </c>
      <c r="F1344" s="3" t="s">
        <v>1236</v>
      </c>
      <c r="G1344" s="4">
        <v>10000</v>
      </c>
      <c r="H1344" s="4">
        <v>0</v>
      </c>
      <c r="I1344" s="4">
        <v>-56329700.75</v>
      </c>
    </row>
    <row r="1345" spans="1:9" x14ac:dyDescent="0.3">
      <c r="A1345" t="s">
        <v>75</v>
      </c>
      <c r="B1345" s="1">
        <v>45874</v>
      </c>
      <c r="C1345" s="1">
        <v>45876</v>
      </c>
      <c r="D1345">
        <v>143097</v>
      </c>
      <c r="E1345">
        <v>58</v>
      </c>
      <c r="F1345" s="3" t="s">
        <v>1237</v>
      </c>
      <c r="G1345" s="4">
        <v>2500</v>
      </c>
      <c r="H1345" s="4">
        <v>0</v>
      </c>
      <c r="I1345" s="4">
        <v>-56327200.75</v>
      </c>
    </row>
    <row r="1346" spans="1:9" x14ac:dyDescent="0.3">
      <c r="A1346" t="s">
        <v>75</v>
      </c>
      <c r="B1346" s="1">
        <v>45870</v>
      </c>
      <c r="C1346" s="1">
        <v>45876</v>
      </c>
      <c r="D1346">
        <v>143098</v>
      </c>
      <c r="E1346">
        <v>77</v>
      </c>
      <c r="F1346" s="3" t="s">
        <v>1238</v>
      </c>
      <c r="G1346" s="4">
        <v>15750</v>
      </c>
      <c r="H1346" s="4">
        <v>0</v>
      </c>
      <c r="I1346" s="4">
        <v>-56311450.75</v>
      </c>
    </row>
    <row r="1347" spans="1:9" x14ac:dyDescent="0.3">
      <c r="A1347" t="s">
        <v>75</v>
      </c>
      <c r="B1347" s="1">
        <v>45873</v>
      </c>
      <c r="C1347" s="1">
        <v>45876</v>
      </c>
      <c r="D1347">
        <v>143099</v>
      </c>
      <c r="E1347">
        <v>77</v>
      </c>
      <c r="F1347" s="3" t="s">
        <v>1239</v>
      </c>
      <c r="G1347" s="4">
        <v>21035</v>
      </c>
      <c r="H1347" s="4">
        <v>0</v>
      </c>
      <c r="I1347" s="4">
        <v>-56290415.75</v>
      </c>
    </row>
    <row r="1348" spans="1:9" x14ac:dyDescent="0.3">
      <c r="A1348" t="s">
        <v>75</v>
      </c>
      <c r="B1348" s="1">
        <v>45875</v>
      </c>
      <c r="C1348" s="1">
        <v>45876</v>
      </c>
      <c r="D1348">
        <v>143100</v>
      </c>
      <c r="E1348">
        <v>77</v>
      </c>
      <c r="F1348" s="3" t="s">
        <v>1240</v>
      </c>
      <c r="G1348" s="4">
        <v>33534</v>
      </c>
      <c r="H1348" s="4">
        <v>0</v>
      </c>
      <c r="I1348" s="4">
        <v>-56256881.75</v>
      </c>
    </row>
    <row r="1349" spans="1:9" x14ac:dyDescent="0.3">
      <c r="A1349" t="s">
        <v>75</v>
      </c>
      <c r="B1349" s="1">
        <v>45875</v>
      </c>
      <c r="C1349" s="1">
        <v>45876</v>
      </c>
      <c r="D1349">
        <v>143101</v>
      </c>
      <c r="E1349">
        <v>77</v>
      </c>
      <c r="F1349" s="3" t="s">
        <v>1241</v>
      </c>
      <c r="G1349" s="4">
        <v>2767.25</v>
      </c>
      <c r="H1349" s="4">
        <v>0</v>
      </c>
      <c r="I1349" s="4">
        <v>-56254114.5</v>
      </c>
    </row>
    <row r="1350" spans="1:9" x14ac:dyDescent="0.3">
      <c r="A1350" t="s">
        <v>75</v>
      </c>
      <c r="B1350" s="1">
        <v>45859</v>
      </c>
      <c r="C1350" s="1">
        <v>45876</v>
      </c>
      <c r="D1350">
        <v>143102</v>
      </c>
      <c r="E1350">
        <v>11</v>
      </c>
      <c r="F1350" s="3" t="s">
        <v>1242</v>
      </c>
      <c r="G1350" s="4">
        <v>102960</v>
      </c>
      <c r="H1350" s="4">
        <v>0</v>
      </c>
      <c r="I1350" s="4">
        <v>-56151154.5</v>
      </c>
    </row>
    <row r="1351" spans="1:9" x14ac:dyDescent="0.3">
      <c r="A1351" t="s">
        <v>75</v>
      </c>
      <c r="B1351" s="1">
        <v>45876</v>
      </c>
      <c r="C1351" s="1">
        <v>45876</v>
      </c>
      <c r="D1351">
        <v>143107</v>
      </c>
      <c r="E1351">
        <v>58</v>
      </c>
      <c r="F1351" s="3" t="s">
        <v>1243</v>
      </c>
      <c r="G1351" s="4">
        <v>7019.75</v>
      </c>
      <c r="H1351" s="4">
        <v>0</v>
      </c>
      <c r="I1351" s="4">
        <v>-56144134.75</v>
      </c>
    </row>
    <row r="1352" spans="1:9" x14ac:dyDescent="0.3">
      <c r="A1352" t="s">
        <v>75</v>
      </c>
      <c r="B1352" s="1">
        <v>45875</v>
      </c>
      <c r="C1352" s="1">
        <v>45876</v>
      </c>
      <c r="D1352">
        <v>143109</v>
      </c>
      <c r="E1352">
        <v>11</v>
      </c>
      <c r="F1352" s="3" t="s">
        <v>1244</v>
      </c>
      <c r="G1352" s="4">
        <v>14823.5</v>
      </c>
      <c r="H1352" s="4">
        <v>0</v>
      </c>
      <c r="I1352" s="4">
        <v>-56129311.25</v>
      </c>
    </row>
    <row r="1353" spans="1:9" x14ac:dyDescent="0.3">
      <c r="A1353" t="s">
        <v>75</v>
      </c>
      <c r="B1353" s="1">
        <v>45876</v>
      </c>
      <c r="C1353" s="1">
        <v>45876</v>
      </c>
      <c r="D1353">
        <v>143110</v>
      </c>
      <c r="E1353">
        <v>69</v>
      </c>
      <c r="F1353" s="3" t="s">
        <v>1245</v>
      </c>
      <c r="G1353" s="4">
        <v>270000</v>
      </c>
      <c r="H1353" s="4">
        <v>0</v>
      </c>
      <c r="I1353" s="4">
        <v>-55859311.25</v>
      </c>
    </row>
    <row r="1354" spans="1:9" x14ac:dyDescent="0.3">
      <c r="A1354" t="s">
        <v>75</v>
      </c>
      <c r="B1354" s="1">
        <v>45874</v>
      </c>
      <c r="C1354" s="1">
        <v>45876</v>
      </c>
      <c r="D1354">
        <v>143111</v>
      </c>
      <c r="E1354">
        <v>94</v>
      </c>
      <c r="F1354" s="3" t="s">
        <v>1246</v>
      </c>
      <c r="G1354" s="4">
        <v>10978</v>
      </c>
      <c r="H1354" s="4">
        <v>0</v>
      </c>
      <c r="I1354" s="4">
        <v>-55848333.25</v>
      </c>
    </row>
    <row r="1355" spans="1:9" x14ac:dyDescent="0.3">
      <c r="A1355" t="s">
        <v>75</v>
      </c>
      <c r="B1355" s="1">
        <v>45876</v>
      </c>
      <c r="C1355" s="1">
        <v>45876</v>
      </c>
      <c r="D1355">
        <v>143112</v>
      </c>
      <c r="E1355">
        <v>24</v>
      </c>
      <c r="F1355" s="3" t="s">
        <v>1247</v>
      </c>
      <c r="G1355" s="4">
        <v>1000</v>
      </c>
      <c r="H1355" s="4">
        <v>0</v>
      </c>
      <c r="I1355" s="4">
        <v>-55847333.25</v>
      </c>
    </row>
    <row r="1356" spans="1:9" x14ac:dyDescent="0.3">
      <c r="A1356" t="s">
        <v>75</v>
      </c>
      <c r="B1356" s="1">
        <v>45876</v>
      </c>
      <c r="C1356" s="1">
        <v>45876</v>
      </c>
      <c r="D1356">
        <v>143114</v>
      </c>
      <c r="E1356">
        <v>23</v>
      </c>
      <c r="F1356" s="3" t="s">
        <v>1248</v>
      </c>
      <c r="G1356" s="4">
        <v>11752.25</v>
      </c>
      <c r="H1356" s="4">
        <v>0</v>
      </c>
      <c r="I1356" s="4">
        <v>-55835581</v>
      </c>
    </row>
    <row r="1357" spans="1:9" x14ac:dyDescent="0.3">
      <c r="A1357" t="s">
        <v>75</v>
      </c>
      <c r="B1357" s="1">
        <v>45876</v>
      </c>
      <c r="C1357" s="1">
        <v>45876</v>
      </c>
      <c r="D1357">
        <v>143116</v>
      </c>
      <c r="E1357">
        <v>11</v>
      </c>
      <c r="F1357" s="3" t="s">
        <v>1249</v>
      </c>
      <c r="G1357" s="4">
        <v>12431.25</v>
      </c>
      <c r="H1357" s="4">
        <v>0</v>
      </c>
      <c r="I1357" s="4">
        <v>-55823149.75</v>
      </c>
    </row>
    <row r="1358" spans="1:9" x14ac:dyDescent="0.3">
      <c r="A1358" t="s">
        <v>75</v>
      </c>
      <c r="B1358" s="1">
        <v>45876</v>
      </c>
      <c r="C1358" s="1">
        <v>45876</v>
      </c>
      <c r="D1358">
        <v>143117</v>
      </c>
      <c r="E1358">
        <v>11</v>
      </c>
      <c r="F1358" s="3" t="s">
        <v>1250</v>
      </c>
      <c r="G1358" s="4">
        <v>21017.5</v>
      </c>
      <c r="H1358" s="4">
        <v>0</v>
      </c>
      <c r="I1358" s="4">
        <v>-55802132.25</v>
      </c>
    </row>
    <row r="1359" spans="1:9" x14ac:dyDescent="0.3">
      <c r="A1359" t="s">
        <v>75</v>
      </c>
      <c r="B1359" s="1">
        <v>45876</v>
      </c>
      <c r="C1359" s="1">
        <v>45876</v>
      </c>
      <c r="D1359">
        <v>143118</v>
      </c>
      <c r="E1359">
        <v>23</v>
      </c>
      <c r="F1359" s="3" t="s">
        <v>1251</v>
      </c>
      <c r="G1359" s="4">
        <v>16227.75</v>
      </c>
      <c r="H1359" s="4">
        <v>0</v>
      </c>
      <c r="I1359" s="4">
        <v>-55785904.5</v>
      </c>
    </row>
    <row r="1360" spans="1:9" x14ac:dyDescent="0.3">
      <c r="A1360" t="s">
        <v>75</v>
      </c>
      <c r="B1360" s="1">
        <v>45875</v>
      </c>
      <c r="C1360" s="1">
        <v>45876</v>
      </c>
      <c r="D1360">
        <v>143120</v>
      </c>
      <c r="E1360">
        <v>27</v>
      </c>
      <c r="F1360" s="3" t="s">
        <v>1252</v>
      </c>
      <c r="G1360" s="4">
        <v>132692</v>
      </c>
      <c r="H1360" s="4">
        <v>0</v>
      </c>
      <c r="I1360" s="4">
        <v>-55653212.5</v>
      </c>
    </row>
    <row r="1361" spans="1:9" x14ac:dyDescent="0.3">
      <c r="A1361" t="s">
        <v>75</v>
      </c>
      <c r="B1361" s="1">
        <v>45876</v>
      </c>
      <c r="C1361" s="1">
        <v>45876</v>
      </c>
      <c r="D1361">
        <v>143123</v>
      </c>
      <c r="E1361">
        <v>33</v>
      </c>
      <c r="F1361" s="3" t="s">
        <v>1253</v>
      </c>
      <c r="G1361" s="4">
        <v>58000</v>
      </c>
      <c r="H1361" s="4">
        <v>0</v>
      </c>
      <c r="I1361" s="4">
        <v>-55595212.5</v>
      </c>
    </row>
    <row r="1362" spans="1:9" x14ac:dyDescent="0.3">
      <c r="A1362" t="s">
        <v>75</v>
      </c>
      <c r="B1362" s="1">
        <v>45876</v>
      </c>
      <c r="C1362" s="1">
        <v>45876</v>
      </c>
      <c r="D1362">
        <v>143125</v>
      </c>
      <c r="E1362">
        <v>23</v>
      </c>
      <c r="F1362" s="3" t="s">
        <v>1254</v>
      </c>
      <c r="G1362" s="4">
        <v>9946</v>
      </c>
      <c r="H1362" s="4">
        <v>0</v>
      </c>
      <c r="I1362" s="4">
        <v>-55585266.5</v>
      </c>
    </row>
    <row r="1363" spans="1:9" x14ac:dyDescent="0.3">
      <c r="A1363" t="s">
        <v>75</v>
      </c>
      <c r="B1363" s="1">
        <v>45874</v>
      </c>
      <c r="C1363" s="1">
        <v>45876</v>
      </c>
      <c r="D1363">
        <v>143126</v>
      </c>
      <c r="E1363">
        <v>67</v>
      </c>
      <c r="F1363" s="3" t="s">
        <v>1255</v>
      </c>
      <c r="G1363" s="4">
        <v>630026.5</v>
      </c>
      <c r="H1363" s="4">
        <v>0</v>
      </c>
      <c r="I1363" s="4">
        <v>-54955240</v>
      </c>
    </row>
    <row r="1364" spans="1:9" x14ac:dyDescent="0.3">
      <c r="A1364" t="s">
        <v>75</v>
      </c>
      <c r="B1364" s="1">
        <v>45876</v>
      </c>
      <c r="C1364" s="1">
        <v>45876</v>
      </c>
      <c r="D1364">
        <v>143127</v>
      </c>
      <c r="E1364">
        <v>11</v>
      </c>
      <c r="F1364" s="3" t="s">
        <v>1256</v>
      </c>
      <c r="G1364" s="4">
        <v>69060.5</v>
      </c>
      <c r="H1364" s="4">
        <v>0</v>
      </c>
      <c r="I1364" s="4">
        <v>-54886179.5</v>
      </c>
    </row>
    <row r="1365" spans="1:9" x14ac:dyDescent="0.3">
      <c r="A1365" t="s">
        <v>75</v>
      </c>
      <c r="B1365" s="1">
        <v>45876</v>
      </c>
      <c r="C1365" s="1">
        <v>45876</v>
      </c>
      <c r="D1365">
        <v>143128</v>
      </c>
      <c r="E1365">
        <v>14</v>
      </c>
      <c r="F1365" s="3" t="s">
        <v>1257</v>
      </c>
      <c r="G1365" s="4">
        <v>37500</v>
      </c>
      <c r="H1365" s="4">
        <v>0</v>
      </c>
      <c r="I1365" s="4">
        <v>-54848679.5</v>
      </c>
    </row>
    <row r="1366" spans="1:9" x14ac:dyDescent="0.3">
      <c r="A1366" t="s">
        <v>75</v>
      </c>
      <c r="B1366" s="1">
        <v>45874</v>
      </c>
      <c r="C1366" s="1">
        <v>45876</v>
      </c>
      <c r="D1366">
        <v>143129</v>
      </c>
      <c r="E1366">
        <v>77</v>
      </c>
      <c r="F1366" s="3" t="s">
        <v>1258</v>
      </c>
      <c r="G1366" s="4">
        <v>206592</v>
      </c>
      <c r="H1366" s="4">
        <v>0</v>
      </c>
      <c r="I1366" s="4">
        <v>-54642087.5</v>
      </c>
    </row>
    <row r="1367" spans="1:9" x14ac:dyDescent="0.3">
      <c r="A1367" t="s">
        <v>75</v>
      </c>
      <c r="B1367" s="1">
        <v>45874</v>
      </c>
      <c r="C1367" s="1">
        <v>45876</v>
      </c>
      <c r="D1367">
        <v>143130</v>
      </c>
      <c r="E1367">
        <v>11</v>
      </c>
      <c r="F1367" s="3" t="s">
        <v>1259</v>
      </c>
      <c r="G1367" s="4">
        <v>110000</v>
      </c>
      <c r="H1367" s="4">
        <v>0</v>
      </c>
      <c r="I1367" s="4">
        <v>-54532087.5</v>
      </c>
    </row>
    <row r="1368" spans="1:9" x14ac:dyDescent="0.3">
      <c r="A1368" t="s">
        <v>75</v>
      </c>
      <c r="B1368" s="1">
        <v>45875</v>
      </c>
      <c r="C1368" s="1">
        <v>45876</v>
      </c>
      <c r="D1368">
        <v>143131</v>
      </c>
      <c r="E1368">
        <v>67</v>
      </c>
      <c r="F1368" s="3" t="s">
        <v>1260</v>
      </c>
      <c r="G1368" s="4">
        <v>25775</v>
      </c>
      <c r="H1368" s="4">
        <v>0</v>
      </c>
      <c r="I1368" s="4">
        <v>-54506312.5</v>
      </c>
    </row>
    <row r="1369" spans="1:9" x14ac:dyDescent="0.3">
      <c r="A1369" t="s">
        <v>75</v>
      </c>
      <c r="B1369" s="1">
        <v>45876</v>
      </c>
      <c r="C1369" s="1">
        <v>45876</v>
      </c>
      <c r="D1369">
        <v>143133</v>
      </c>
      <c r="E1369">
        <v>72</v>
      </c>
      <c r="F1369" s="3" t="s">
        <v>1261</v>
      </c>
      <c r="G1369" s="4">
        <v>21871</v>
      </c>
      <c r="H1369" s="4">
        <v>0</v>
      </c>
      <c r="I1369" s="4">
        <v>-54484441.5</v>
      </c>
    </row>
    <row r="1370" spans="1:9" x14ac:dyDescent="0.3">
      <c r="A1370" t="s">
        <v>75</v>
      </c>
      <c r="B1370" s="1">
        <v>45875</v>
      </c>
      <c r="C1370" s="1">
        <v>45876</v>
      </c>
      <c r="D1370">
        <v>143134</v>
      </c>
      <c r="E1370">
        <v>72</v>
      </c>
      <c r="F1370" s="3" t="s">
        <v>1262</v>
      </c>
      <c r="G1370" s="4">
        <v>1000</v>
      </c>
      <c r="H1370" s="4">
        <v>0</v>
      </c>
      <c r="I1370" s="4">
        <v>-54483441.5</v>
      </c>
    </row>
    <row r="1371" spans="1:9" x14ac:dyDescent="0.3">
      <c r="A1371" t="s">
        <v>75</v>
      </c>
      <c r="B1371" s="1">
        <v>45876</v>
      </c>
      <c r="C1371" s="1">
        <v>45876</v>
      </c>
      <c r="D1371">
        <v>143138</v>
      </c>
      <c r="E1371">
        <v>361</v>
      </c>
      <c r="F1371" s="3" t="s">
        <v>1263</v>
      </c>
      <c r="G1371" s="4">
        <v>49725.5</v>
      </c>
      <c r="H1371" s="4">
        <v>0</v>
      </c>
      <c r="I1371" s="4">
        <v>-54433716</v>
      </c>
    </row>
    <row r="1372" spans="1:9" x14ac:dyDescent="0.3">
      <c r="A1372" t="s">
        <v>75</v>
      </c>
      <c r="B1372" s="1">
        <v>45873</v>
      </c>
      <c r="C1372" s="1">
        <v>45876</v>
      </c>
      <c r="D1372">
        <v>143139</v>
      </c>
      <c r="E1372">
        <v>361</v>
      </c>
      <c r="F1372" s="3" t="s">
        <v>1264</v>
      </c>
      <c r="G1372" s="4">
        <v>4000</v>
      </c>
      <c r="H1372" s="4">
        <v>0</v>
      </c>
      <c r="I1372" s="4">
        <v>-54429716</v>
      </c>
    </row>
    <row r="1373" spans="1:9" x14ac:dyDescent="0.3">
      <c r="A1373" t="s">
        <v>124</v>
      </c>
      <c r="B1373" s="1">
        <v>45876</v>
      </c>
      <c r="C1373" s="1">
        <v>45876</v>
      </c>
      <c r="D1373">
        <v>22173</v>
      </c>
      <c r="E1373">
        <v>11</v>
      </c>
      <c r="F1373" s="3" t="s">
        <v>125</v>
      </c>
      <c r="G1373" s="4">
        <v>0</v>
      </c>
      <c r="H1373" s="4">
        <v>41790687.619999997</v>
      </c>
      <c r="I1373" s="4">
        <v>-96220403.620000005</v>
      </c>
    </row>
    <row r="1374" spans="1:9" x14ac:dyDescent="0.3">
      <c r="A1374" t="s">
        <v>124</v>
      </c>
      <c r="B1374" s="1">
        <v>45876</v>
      </c>
      <c r="C1374" s="1">
        <v>45876</v>
      </c>
      <c r="D1374">
        <v>22175</v>
      </c>
      <c r="E1374">
        <v>11</v>
      </c>
      <c r="F1374" s="3" t="s">
        <v>127</v>
      </c>
      <c r="G1374" s="4">
        <v>27900000</v>
      </c>
      <c r="H1374" s="4">
        <v>0</v>
      </c>
      <c r="I1374" s="4">
        <v>-68320403.620000005</v>
      </c>
    </row>
    <row r="1375" spans="1:9" x14ac:dyDescent="0.3">
      <c r="A1375" t="s">
        <v>130</v>
      </c>
      <c r="B1375" s="1">
        <v>45876</v>
      </c>
      <c r="C1375" s="1">
        <v>45876</v>
      </c>
      <c r="D1375">
        <v>3827926</v>
      </c>
      <c r="E1375">
        <v>86</v>
      </c>
      <c r="F1375" s="3" t="s">
        <v>1265</v>
      </c>
      <c r="G1375" s="4">
        <v>0</v>
      </c>
      <c r="H1375" s="4">
        <v>250000</v>
      </c>
      <c r="I1375" s="4">
        <v>-68570403.620000005</v>
      </c>
    </row>
    <row r="1376" spans="1:9" x14ac:dyDescent="0.3">
      <c r="A1376" t="s">
        <v>130</v>
      </c>
      <c r="B1376" s="1">
        <v>45876</v>
      </c>
      <c r="C1376" s="1">
        <v>45876</v>
      </c>
      <c r="D1376">
        <v>3827938</v>
      </c>
      <c r="E1376">
        <v>94</v>
      </c>
      <c r="F1376" s="3" t="s">
        <v>1266</v>
      </c>
      <c r="G1376" s="4">
        <v>0</v>
      </c>
      <c r="H1376" s="4">
        <v>10978</v>
      </c>
      <c r="I1376" s="4">
        <v>-68581381.620000005</v>
      </c>
    </row>
    <row r="1377" spans="1:9" x14ac:dyDescent="0.3">
      <c r="A1377" t="s">
        <v>133</v>
      </c>
      <c r="B1377" s="1">
        <v>45876</v>
      </c>
      <c r="C1377" s="1">
        <v>45876</v>
      </c>
      <c r="D1377">
        <v>912638</v>
      </c>
      <c r="E1377">
        <v>86</v>
      </c>
      <c r="F1377" s="3" t="s">
        <v>1267</v>
      </c>
      <c r="G1377" s="4">
        <v>351613.25</v>
      </c>
      <c r="H1377" s="4">
        <v>0</v>
      </c>
      <c r="I1377" s="4">
        <v>-68229768.370000005</v>
      </c>
    </row>
    <row r="1378" spans="1:9" x14ac:dyDescent="0.3">
      <c r="A1378" t="s">
        <v>133</v>
      </c>
      <c r="B1378" s="1">
        <v>45876</v>
      </c>
      <c r="C1378" s="1">
        <v>45876</v>
      </c>
      <c r="D1378">
        <v>912639</v>
      </c>
      <c r="E1378">
        <v>86</v>
      </c>
      <c r="F1378" s="3" t="s">
        <v>1268</v>
      </c>
      <c r="G1378" s="4">
        <v>374757.5</v>
      </c>
      <c r="H1378" s="4">
        <v>0</v>
      </c>
      <c r="I1378" s="4">
        <v>-67855010.870000005</v>
      </c>
    </row>
    <row r="1379" spans="1:9" x14ac:dyDescent="0.3">
      <c r="A1379" t="s">
        <v>133</v>
      </c>
      <c r="B1379" s="1">
        <v>45876</v>
      </c>
      <c r="C1379" s="1">
        <v>45876</v>
      </c>
      <c r="D1379">
        <v>912640</v>
      </c>
      <c r="E1379">
        <v>11</v>
      </c>
      <c r="F1379" s="3" t="s">
        <v>1269</v>
      </c>
      <c r="G1379" s="4">
        <v>1104000</v>
      </c>
      <c r="H1379" s="4">
        <v>0</v>
      </c>
      <c r="I1379" s="4">
        <v>-66751010.869999997</v>
      </c>
    </row>
    <row r="1380" spans="1:9" x14ac:dyDescent="0.3">
      <c r="A1380" t="s">
        <v>133</v>
      </c>
      <c r="B1380" s="1">
        <v>45876</v>
      </c>
      <c r="C1380" s="1">
        <v>45876</v>
      </c>
      <c r="D1380">
        <v>912647</v>
      </c>
      <c r="E1380">
        <v>12</v>
      </c>
      <c r="F1380" s="3" t="s">
        <v>1270</v>
      </c>
      <c r="G1380" s="4">
        <v>97530.75</v>
      </c>
      <c r="H1380" s="4">
        <v>0</v>
      </c>
      <c r="I1380" s="4">
        <v>-66653480.119999997</v>
      </c>
    </row>
    <row r="1381" spans="1:9" x14ac:dyDescent="0.3">
      <c r="A1381" t="s">
        <v>133</v>
      </c>
      <c r="B1381" s="1">
        <v>45876</v>
      </c>
      <c r="C1381" s="1">
        <v>45876</v>
      </c>
      <c r="D1381">
        <v>912653</v>
      </c>
      <c r="E1381">
        <v>98</v>
      </c>
      <c r="F1381" s="3" t="s">
        <v>1271</v>
      </c>
      <c r="G1381" s="4">
        <v>110240.75</v>
      </c>
      <c r="H1381" s="4">
        <v>0</v>
      </c>
      <c r="I1381" s="4">
        <v>-66543239.369999997</v>
      </c>
    </row>
    <row r="1382" spans="1:9" x14ac:dyDescent="0.3">
      <c r="A1382" t="s">
        <v>133</v>
      </c>
      <c r="B1382" s="1">
        <v>45876</v>
      </c>
      <c r="C1382" s="1">
        <v>45876</v>
      </c>
      <c r="D1382">
        <v>912668</v>
      </c>
      <c r="E1382">
        <v>98</v>
      </c>
      <c r="F1382" s="3" t="s">
        <v>1272</v>
      </c>
      <c r="G1382" s="4">
        <v>55170.5</v>
      </c>
      <c r="H1382" s="4">
        <v>0</v>
      </c>
      <c r="I1382" s="4">
        <v>-66488068.869999997</v>
      </c>
    </row>
    <row r="1383" spans="1:9" x14ac:dyDescent="0.3">
      <c r="A1383" t="s">
        <v>133</v>
      </c>
      <c r="B1383" s="1">
        <v>45876</v>
      </c>
      <c r="C1383" s="1">
        <v>45876</v>
      </c>
      <c r="D1383">
        <v>912690</v>
      </c>
      <c r="E1383">
        <v>27</v>
      </c>
      <c r="F1383" s="3" t="s">
        <v>1273</v>
      </c>
      <c r="G1383" s="4">
        <v>2491884</v>
      </c>
      <c r="H1383" s="4">
        <v>0</v>
      </c>
      <c r="I1383" s="4">
        <v>-63996184.869999997</v>
      </c>
    </row>
    <row r="1384" spans="1:9" x14ac:dyDescent="0.3">
      <c r="A1384" t="s">
        <v>133</v>
      </c>
      <c r="B1384" s="1">
        <v>45876</v>
      </c>
      <c r="C1384" s="1">
        <v>45876</v>
      </c>
      <c r="D1384">
        <v>912691</v>
      </c>
      <c r="E1384">
        <v>94</v>
      </c>
      <c r="F1384" s="3" t="s">
        <v>1274</v>
      </c>
      <c r="G1384" s="4">
        <v>3052</v>
      </c>
      <c r="H1384" s="4">
        <v>0</v>
      </c>
      <c r="I1384" s="4">
        <v>-63993132.869999997</v>
      </c>
    </row>
    <row r="1385" spans="1:9" x14ac:dyDescent="0.3">
      <c r="A1385" t="s">
        <v>133</v>
      </c>
      <c r="B1385" s="1">
        <v>45876</v>
      </c>
      <c r="C1385" s="1">
        <v>45876</v>
      </c>
      <c r="D1385">
        <v>912692</v>
      </c>
      <c r="E1385">
        <v>27</v>
      </c>
      <c r="F1385" s="3" t="s">
        <v>1275</v>
      </c>
      <c r="G1385" s="4">
        <v>2480836</v>
      </c>
      <c r="H1385" s="4">
        <v>0</v>
      </c>
      <c r="I1385" s="4">
        <v>-61512296.869999997</v>
      </c>
    </row>
    <row r="1386" spans="1:9" x14ac:dyDescent="0.3">
      <c r="A1386" t="s">
        <v>133</v>
      </c>
      <c r="B1386" s="1">
        <v>45876</v>
      </c>
      <c r="C1386" s="1">
        <v>45876</v>
      </c>
      <c r="D1386">
        <v>912693</v>
      </c>
      <c r="E1386">
        <v>27</v>
      </c>
      <c r="F1386" s="3" t="s">
        <v>1276</v>
      </c>
      <c r="G1386" s="4">
        <v>1257364.25</v>
      </c>
      <c r="H1386" s="4">
        <v>0</v>
      </c>
      <c r="I1386" s="4">
        <v>-60254932.619999997</v>
      </c>
    </row>
    <row r="1387" spans="1:9" x14ac:dyDescent="0.3">
      <c r="A1387" t="s">
        <v>133</v>
      </c>
      <c r="B1387" s="1">
        <v>45876</v>
      </c>
      <c r="C1387" s="1">
        <v>45876</v>
      </c>
      <c r="D1387">
        <v>912694</v>
      </c>
      <c r="E1387">
        <v>27</v>
      </c>
      <c r="F1387" s="3" t="s">
        <v>1277</v>
      </c>
      <c r="G1387" s="4">
        <v>132357.25</v>
      </c>
      <c r="H1387" s="4">
        <v>0</v>
      </c>
      <c r="I1387" s="4">
        <v>-60122575.369999997</v>
      </c>
    </row>
    <row r="1388" spans="1:9" x14ac:dyDescent="0.3">
      <c r="A1388" t="s">
        <v>133</v>
      </c>
      <c r="B1388" s="1">
        <v>45876</v>
      </c>
      <c r="C1388" s="1">
        <v>45876</v>
      </c>
      <c r="D1388">
        <v>912710</v>
      </c>
      <c r="E1388">
        <v>382</v>
      </c>
      <c r="F1388" s="3" t="s">
        <v>1278</v>
      </c>
      <c r="G1388" s="4">
        <v>83855</v>
      </c>
      <c r="H1388" s="4">
        <v>0</v>
      </c>
      <c r="I1388" s="4">
        <v>-60038720.369999997</v>
      </c>
    </row>
    <row r="1389" spans="1:9" x14ac:dyDescent="0.3">
      <c r="A1389" t="s">
        <v>133</v>
      </c>
      <c r="B1389" s="1">
        <v>45876</v>
      </c>
      <c r="C1389" s="1">
        <v>45876</v>
      </c>
      <c r="D1389">
        <v>912714</v>
      </c>
      <c r="E1389">
        <v>382</v>
      </c>
      <c r="F1389" s="3" t="s">
        <v>1279</v>
      </c>
      <c r="G1389" s="4">
        <v>68937.75</v>
      </c>
      <c r="H1389" s="4">
        <v>0</v>
      </c>
      <c r="I1389" s="4">
        <v>-59969782.619999997</v>
      </c>
    </row>
    <row r="1390" spans="1:9" x14ac:dyDescent="0.3">
      <c r="A1390" t="s">
        <v>133</v>
      </c>
      <c r="B1390" s="1">
        <v>45876</v>
      </c>
      <c r="C1390" s="1">
        <v>45876</v>
      </c>
      <c r="D1390">
        <v>912715</v>
      </c>
      <c r="E1390">
        <v>38</v>
      </c>
      <c r="F1390" s="3">
        <v>50795262925</v>
      </c>
      <c r="G1390" s="4">
        <v>7500</v>
      </c>
      <c r="H1390" s="4">
        <v>0</v>
      </c>
      <c r="I1390" s="4">
        <v>-59962282.619999997</v>
      </c>
    </row>
    <row r="1391" spans="1:9" x14ac:dyDescent="0.3">
      <c r="A1391" t="s">
        <v>133</v>
      </c>
      <c r="B1391" s="1">
        <v>45876</v>
      </c>
      <c r="C1391" s="1">
        <v>45876</v>
      </c>
      <c r="D1391">
        <v>912720</v>
      </c>
      <c r="E1391">
        <v>28</v>
      </c>
      <c r="F1391" s="3">
        <v>50818027276</v>
      </c>
      <c r="G1391" s="4">
        <v>22823</v>
      </c>
      <c r="H1391" s="4">
        <v>0</v>
      </c>
      <c r="I1391" s="4">
        <v>-59939459.619999997</v>
      </c>
    </row>
    <row r="1392" spans="1:9" x14ac:dyDescent="0.3">
      <c r="A1392" t="s">
        <v>133</v>
      </c>
      <c r="B1392" s="1">
        <v>45876</v>
      </c>
      <c r="C1392" s="1">
        <v>45876</v>
      </c>
      <c r="D1392">
        <v>912724</v>
      </c>
      <c r="E1392">
        <v>301</v>
      </c>
      <c r="F1392" s="3" t="s">
        <v>1280</v>
      </c>
      <c r="G1392" s="4">
        <v>320000</v>
      </c>
      <c r="H1392" s="4">
        <v>0</v>
      </c>
      <c r="I1392" s="4">
        <v>-59619459.619999997</v>
      </c>
    </row>
    <row r="1393" spans="1:9" x14ac:dyDescent="0.3">
      <c r="A1393" t="s">
        <v>133</v>
      </c>
      <c r="B1393" s="1">
        <v>45876</v>
      </c>
      <c r="C1393" s="1">
        <v>45876</v>
      </c>
      <c r="D1393">
        <v>912730</v>
      </c>
      <c r="E1393">
        <v>78</v>
      </c>
      <c r="F1393" s="3" t="s">
        <v>1281</v>
      </c>
      <c r="G1393" s="4">
        <v>26000</v>
      </c>
      <c r="H1393" s="4">
        <v>0</v>
      </c>
      <c r="I1393" s="4">
        <v>-59593459.619999997</v>
      </c>
    </row>
    <row r="1394" spans="1:9" x14ac:dyDescent="0.3">
      <c r="A1394" t="s">
        <v>133</v>
      </c>
      <c r="B1394" s="1">
        <v>45876</v>
      </c>
      <c r="C1394" s="1">
        <v>45876</v>
      </c>
      <c r="D1394">
        <v>912731</v>
      </c>
      <c r="E1394">
        <v>11</v>
      </c>
      <c r="F1394" s="3" t="s">
        <v>1282</v>
      </c>
      <c r="G1394" s="4">
        <v>40000</v>
      </c>
      <c r="H1394" s="4">
        <v>0</v>
      </c>
      <c r="I1394" s="4">
        <v>-59553459.619999997</v>
      </c>
    </row>
    <row r="1395" spans="1:9" x14ac:dyDescent="0.3">
      <c r="A1395" t="s">
        <v>133</v>
      </c>
      <c r="B1395" s="1">
        <v>45876</v>
      </c>
      <c r="C1395" s="1">
        <v>45876</v>
      </c>
      <c r="D1395">
        <v>912732</v>
      </c>
      <c r="E1395">
        <v>11</v>
      </c>
      <c r="F1395" s="3" t="s">
        <v>1283</v>
      </c>
      <c r="G1395" s="4">
        <v>55000</v>
      </c>
      <c r="H1395" s="4">
        <v>0</v>
      </c>
      <c r="I1395" s="4">
        <v>-59498459.619999997</v>
      </c>
    </row>
    <row r="1396" spans="1:9" x14ac:dyDescent="0.3">
      <c r="A1396" t="s">
        <v>133</v>
      </c>
      <c r="B1396" s="1">
        <v>45876</v>
      </c>
      <c r="C1396" s="1">
        <v>45876</v>
      </c>
      <c r="D1396">
        <v>912733</v>
      </c>
      <c r="E1396">
        <v>11</v>
      </c>
      <c r="F1396" s="3" t="s">
        <v>1284</v>
      </c>
      <c r="G1396" s="4">
        <v>55000</v>
      </c>
      <c r="H1396" s="4">
        <v>0</v>
      </c>
      <c r="I1396" s="4">
        <v>-59443459.619999997</v>
      </c>
    </row>
    <row r="1397" spans="1:9" x14ac:dyDescent="0.3">
      <c r="A1397" t="s">
        <v>133</v>
      </c>
      <c r="B1397" s="1">
        <v>45876</v>
      </c>
      <c r="C1397" s="1">
        <v>45876</v>
      </c>
      <c r="D1397">
        <v>912739</v>
      </c>
      <c r="E1397">
        <v>16</v>
      </c>
      <c r="F1397" s="3" t="s">
        <v>1285</v>
      </c>
      <c r="G1397" s="4">
        <v>19547.75</v>
      </c>
      <c r="H1397" s="4">
        <v>0</v>
      </c>
      <c r="I1397" s="4">
        <v>-59423911.869999997</v>
      </c>
    </row>
    <row r="1398" spans="1:9" x14ac:dyDescent="0.3">
      <c r="A1398" t="s">
        <v>133</v>
      </c>
      <c r="B1398" s="1">
        <v>45876</v>
      </c>
      <c r="C1398" s="1">
        <v>45876</v>
      </c>
      <c r="D1398">
        <v>912740</v>
      </c>
      <c r="E1398">
        <v>16</v>
      </c>
      <c r="F1398" s="3" t="s">
        <v>1286</v>
      </c>
      <c r="G1398" s="4">
        <v>67207.25</v>
      </c>
      <c r="H1398" s="4">
        <v>0</v>
      </c>
      <c r="I1398" s="4">
        <v>-59356704.619999997</v>
      </c>
    </row>
    <row r="1399" spans="1:9" x14ac:dyDescent="0.3">
      <c r="A1399" t="s">
        <v>133</v>
      </c>
      <c r="B1399" s="1">
        <v>45876</v>
      </c>
      <c r="C1399" s="1">
        <v>45876</v>
      </c>
      <c r="D1399">
        <v>912741</v>
      </c>
      <c r="E1399">
        <v>98</v>
      </c>
      <c r="F1399" s="3" t="s">
        <v>1287</v>
      </c>
      <c r="G1399" s="4">
        <v>7947</v>
      </c>
      <c r="H1399" s="4">
        <v>0</v>
      </c>
      <c r="I1399" s="4">
        <v>-59348757.619999997</v>
      </c>
    </row>
    <row r="1400" spans="1:9" x14ac:dyDescent="0.3">
      <c r="A1400" t="s">
        <v>133</v>
      </c>
      <c r="B1400" s="1">
        <v>45876</v>
      </c>
      <c r="C1400" s="1">
        <v>45876</v>
      </c>
      <c r="D1400">
        <v>912756</v>
      </c>
      <c r="E1400">
        <v>51</v>
      </c>
      <c r="F1400" s="3" t="s">
        <v>1288</v>
      </c>
      <c r="G1400" s="4">
        <v>260000</v>
      </c>
      <c r="H1400" s="4">
        <v>0</v>
      </c>
      <c r="I1400" s="4">
        <v>-59088757.619999997</v>
      </c>
    </row>
    <row r="1401" spans="1:9" x14ac:dyDescent="0.3">
      <c r="A1401" t="s">
        <v>133</v>
      </c>
      <c r="B1401" s="1">
        <v>45876</v>
      </c>
      <c r="C1401" s="1">
        <v>45876</v>
      </c>
      <c r="D1401">
        <v>912760</v>
      </c>
      <c r="E1401">
        <v>72</v>
      </c>
      <c r="F1401" s="3" t="s">
        <v>1289</v>
      </c>
      <c r="G1401" s="4">
        <v>5392.5</v>
      </c>
      <c r="H1401" s="4">
        <v>0</v>
      </c>
      <c r="I1401" s="4">
        <v>-59083365.119999997</v>
      </c>
    </row>
    <row r="1402" spans="1:9" x14ac:dyDescent="0.3">
      <c r="A1402" t="s">
        <v>133</v>
      </c>
      <c r="B1402" s="1">
        <v>45876</v>
      </c>
      <c r="C1402" s="1">
        <v>45876</v>
      </c>
      <c r="D1402">
        <v>912761</v>
      </c>
      <c r="E1402">
        <v>422</v>
      </c>
      <c r="F1402" s="3" t="s">
        <v>1290</v>
      </c>
      <c r="G1402" s="4">
        <v>25602.5</v>
      </c>
      <c r="H1402" s="4">
        <v>0</v>
      </c>
      <c r="I1402" s="4">
        <v>-59057762.619999997</v>
      </c>
    </row>
    <row r="1403" spans="1:9" x14ac:dyDescent="0.3">
      <c r="A1403" t="s">
        <v>133</v>
      </c>
      <c r="B1403" s="1">
        <v>45876</v>
      </c>
      <c r="C1403" s="1">
        <v>45876</v>
      </c>
      <c r="D1403">
        <v>912763</v>
      </c>
      <c r="E1403">
        <v>86</v>
      </c>
      <c r="F1403" s="3">
        <v>1659</v>
      </c>
      <c r="G1403" s="4">
        <v>227615.5</v>
      </c>
      <c r="H1403" s="4">
        <v>0</v>
      </c>
      <c r="I1403" s="4">
        <v>-58830147.119999997</v>
      </c>
    </row>
    <row r="1404" spans="1:9" x14ac:dyDescent="0.3">
      <c r="A1404" t="s">
        <v>133</v>
      </c>
      <c r="B1404" s="1">
        <v>45876</v>
      </c>
      <c r="C1404" s="1">
        <v>45876</v>
      </c>
      <c r="D1404">
        <v>912764</v>
      </c>
      <c r="E1404">
        <v>86</v>
      </c>
      <c r="F1404" s="3">
        <v>1658</v>
      </c>
      <c r="G1404" s="4">
        <v>250000</v>
      </c>
      <c r="H1404" s="4">
        <v>0</v>
      </c>
      <c r="I1404" s="4">
        <v>-58580147.119999997</v>
      </c>
    </row>
    <row r="1405" spans="1:9" x14ac:dyDescent="0.3">
      <c r="A1405" t="s">
        <v>133</v>
      </c>
      <c r="B1405" s="1">
        <v>45876</v>
      </c>
      <c r="C1405" s="1">
        <v>45876</v>
      </c>
      <c r="D1405">
        <v>912771</v>
      </c>
      <c r="E1405">
        <v>86</v>
      </c>
      <c r="F1405" s="3" t="s">
        <v>1291</v>
      </c>
      <c r="G1405" s="4">
        <v>4115.25</v>
      </c>
      <c r="H1405" s="4">
        <v>0</v>
      </c>
      <c r="I1405" s="4">
        <v>-58576031.869999997</v>
      </c>
    </row>
    <row r="1406" spans="1:9" x14ac:dyDescent="0.3">
      <c r="A1406" t="s">
        <v>133</v>
      </c>
      <c r="B1406" s="1">
        <v>45876</v>
      </c>
      <c r="C1406" s="1">
        <v>45876</v>
      </c>
      <c r="D1406">
        <v>912774</v>
      </c>
      <c r="E1406">
        <v>12</v>
      </c>
      <c r="F1406" s="3" t="s">
        <v>1292</v>
      </c>
      <c r="G1406" s="4">
        <v>59065.5</v>
      </c>
      <c r="H1406" s="4">
        <v>0</v>
      </c>
      <c r="I1406" s="4">
        <v>-58516966.369999997</v>
      </c>
    </row>
    <row r="1407" spans="1:9" x14ac:dyDescent="0.3">
      <c r="A1407" t="s">
        <v>133</v>
      </c>
      <c r="B1407" s="1">
        <v>45876</v>
      </c>
      <c r="C1407" s="1">
        <v>45876</v>
      </c>
      <c r="D1407">
        <v>912777</v>
      </c>
      <c r="E1407">
        <v>85</v>
      </c>
      <c r="F1407" s="3">
        <v>50572741601</v>
      </c>
      <c r="G1407" s="4">
        <v>5525</v>
      </c>
      <c r="H1407" s="4">
        <v>0</v>
      </c>
      <c r="I1407" s="4">
        <v>-58511441.369999997</v>
      </c>
    </row>
    <row r="1408" spans="1:9" x14ac:dyDescent="0.3">
      <c r="A1408" t="s">
        <v>133</v>
      </c>
      <c r="B1408" s="1">
        <v>45876</v>
      </c>
      <c r="C1408" s="1">
        <v>45876</v>
      </c>
      <c r="D1408">
        <v>912779</v>
      </c>
      <c r="E1408">
        <v>11</v>
      </c>
      <c r="F1408" s="3" t="s">
        <v>1293</v>
      </c>
      <c r="G1408" s="4">
        <v>844072.5</v>
      </c>
      <c r="H1408" s="4">
        <v>0</v>
      </c>
      <c r="I1408" s="4">
        <v>-57667368.869999997</v>
      </c>
    </row>
    <row r="1409" spans="1:9" x14ac:dyDescent="0.3">
      <c r="A1409" t="s">
        <v>133</v>
      </c>
      <c r="B1409" s="1">
        <v>45876</v>
      </c>
      <c r="C1409" s="1">
        <v>45876</v>
      </c>
      <c r="D1409">
        <v>912789</v>
      </c>
      <c r="E1409">
        <v>11</v>
      </c>
      <c r="F1409" s="3" t="s">
        <v>1294</v>
      </c>
      <c r="G1409" s="4">
        <v>385547</v>
      </c>
      <c r="H1409" s="4">
        <v>0</v>
      </c>
      <c r="I1409" s="4">
        <v>-57281821.869999997</v>
      </c>
    </row>
    <row r="1410" spans="1:9" x14ac:dyDescent="0.3">
      <c r="A1410" t="s">
        <v>133</v>
      </c>
      <c r="B1410" s="1">
        <v>45876</v>
      </c>
      <c r="C1410" s="1">
        <v>45876</v>
      </c>
      <c r="D1410">
        <v>912796</v>
      </c>
      <c r="E1410">
        <v>11</v>
      </c>
      <c r="F1410" s="3" t="s">
        <v>1295</v>
      </c>
      <c r="G1410" s="4">
        <v>214492.25</v>
      </c>
      <c r="H1410" s="4">
        <v>0</v>
      </c>
      <c r="I1410" s="4">
        <v>-57067329.619999997</v>
      </c>
    </row>
    <row r="1411" spans="1:9" x14ac:dyDescent="0.3">
      <c r="A1411" t="s">
        <v>133</v>
      </c>
      <c r="B1411" s="1">
        <v>45876</v>
      </c>
      <c r="C1411" s="1">
        <v>45876</v>
      </c>
      <c r="D1411">
        <v>912797</v>
      </c>
      <c r="E1411">
        <v>73</v>
      </c>
      <c r="F1411" s="3" t="s">
        <v>1296</v>
      </c>
      <c r="G1411" s="4">
        <v>210000</v>
      </c>
      <c r="H1411" s="4">
        <v>0</v>
      </c>
      <c r="I1411" s="4">
        <v>-56857329.619999997</v>
      </c>
    </row>
    <row r="1412" spans="1:9" x14ac:dyDescent="0.3">
      <c r="A1412" t="s">
        <v>133</v>
      </c>
      <c r="B1412" s="1">
        <v>45876</v>
      </c>
      <c r="C1412" s="1">
        <v>45876</v>
      </c>
      <c r="D1412">
        <v>912798</v>
      </c>
      <c r="E1412">
        <v>56</v>
      </c>
      <c r="F1412" s="3" t="s">
        <v>1297</v>
      </c>
      <c r="G1412" s="4">
        <v>14888</v>
      </c>
      <c r="H1412" s="4">
        <v>0</v>
      </c>
      <c r="I1412" s="4">
        <v>-56842441.619999997</v>
      </c>
    </row>
    <row r="1413" spans="1:9" x14ac:dyDescent="0.3">
      <c r="A1413" t="s">
        <v>133</v>
      </c>
      <c r="B1413" s="1">
        <v>45876</v>
      </c>
      <c r="C1413" s="1">
        <v>45876</v>
      </c>
      <c r="D1413">
        <v>912799</v>
      </c>
      <c r="E1413">
        <v>56</v>
      </c>
      <c r="F1413" s="3" t="s">
        <v>1298</v>
      </c>
      <c r="G1413" s="4">
        <v>10992.25</v>
      </c>
      <c r="H1413" s="4">
        <v>0</v>
      </c>
      <c r="I1413" s="4">
        <v>-56831449.369999997</v>
      </c>
    </row>
    <row r="1414" spans="1:9" x14ac:dyDescent="0.3">
      <c r="A1414" t="s">
        <v>133</v>
      </c>
      <c r="B1414" s="1">
        <v>45876</v>
      </c>
      <c r="C1414" s="1">
        <v>45876</v>
      </c>
      <c r="D1414">
        <v>912804</v>
      </c>
      <c r="E1414">
        <v>35</v>
      </c>
      <c r="F1414" s="3" t="s">
        <v>1299</v>
      </c>
      <c r="G1414" s="4">
        <v>162216.25</v>
      </c>
      <c r="H1414" s="4">
        <v>0</v>
      </c>
      <c r="I1414" s="4">
        <v>-56669233.119999997</v>
      </c>
    </row>
    <row r="1415" spans="1:9" x14ac:dyDescent="0.3">
      <c r="A1415" t="s">
        <v>133</v>
      </c>
      <c r="B1415" s="1">
        <v>45876</v>
      </c>
      <c r="C1415" s="1">
        <v>45876</v>
      </c>
      <c r="D1415">
        <v>912807</v>
      </c>
      <c r="E1415">
        <v>85</v>
      </c>
      <c r="F1415" s="3">
        <v>50813790675</v>
      </c>
      <c r="G1415" s="4">
        <v>2272.5</v>
      </c>
      <c r="H1415" s="4">
        <v>0</v>
      </c>
      <c r="I1415" s="4">
        <v>-56666960.619999997</v>
      </c>
    </row>
    <row r="1416" spans="1:9" x14ac:dyDescent="0.3">
      <c r="A1416" t="s">
        <v>133</v>
      </c>
      <c r="B1416" s="1">
        <v>45876</v>
      </c>
      <c r="C1416" s="1">
        <v>45876</v>
      </c>
      <c r="D1416">
        <v>912808</v>
      </c>
      <c r="E1416">
        <v>84</v>
      </c>
      <c r="F1416" s="3" t="s">
        <v>1300</v>
      </c>
      <c r="G1416" s="4">
        <v>179636</v>
      </c>
      <c r="H1416" s="4">
        <v>0</v>
      </c>
      <c r="I1416" s="4">
        <v>-56487324.619999997</v>
      </c>
    </row>
    <row r="1417" spans="1:9" x14ac:dyDescent="0.3">
      <c r="A1417" t="s">
        <v>133</v>
      </c>
      <c r="B1417" s="1">
        <v>45876</v>
      </c>
      <c r="C1417" s="1">
        <v>45876</v>
      </c>
      <c r="D1417">
        <v>912812</v>
      </c>
      <c r="E1417">
        <v>84</v>
      </c>
      <c r="F1417" s="3" t="s">
        <v>1301</v>
      </c>
      <c r="G1417" s="4">
        <v>210372.5</v>
      </c>
      <c r="H1417" s="4">
        <v>0</v>
      </c>
      <c r="I1417" s="4">
        <v>-56276952.119999997</v>
      </c>
    </row>
    <row r="1418" spans="1:9" x14ac:dyDescent="0.3">
      <c r="A1418" t="s">
        <v>133</v>
      </c>
      <c r="B1418" s="1">
        <v>45876</v>
      </c>
      <c r="C1418" s="1">
        <v>45876</v>
      </c>
      <c r="D1418">
        <v>912813</v>
      </c>
      <c r="E1418">
        <v>75</v>
      </c>
      <c r="F1418" s="3" t="s">
        <v>1302</v>
      </c>
      <c r="G1418" s="4">
        <v>200000</v>
      </c>
      <c r="H1418" s="4">
        <v>0</v>
      </c>
      <c r="I1418" s="4">
        <v>-56076952.119999997</v>
      </c>
    </row>
    <row r="1419" spans="1:9" x14ac:dyDescent="0.3">
      <c r="A1419" t="s">
        <v>133</v>
      </c>
      <c r="B1419" s="1">
        <v>45876</v>
      </c>
      <c r="C1419" s="1">
        <v>45876</v>
      </c>
      <c r="D1419">
        <v>912814</v>
      </c>
      <c r="E1419">
        <v>84</v>
      </c>
      <c r="F1419" s="3" t="s">
        <v>1303</v>
      </c>
      <c r="G1419" s="4">
        <v>169064.5</v>
      </c>
      <c r="H1419" s="4">
        <v>0</v>
      </c>
      <c r="I1419" s="4">
        <v>-55907887.619999997</v>
      </c>
    </row>
    <row r="1420" spans="1:9" x14ac:dyDescent="0.3">
      <c r="A1420" t="s">
        <v>133</v>
      </c>
      <c r="B1420" s="1">
        <v>45876</v>
      </c>
      <c r="C1420" s="1">
        <v>45876</v>
      </c>
      <c r="D1420">
        <v>912816</v>
      </c>
      <c r="E1420">
        <v>84</v>
      </c>
      <c r="F1420" s="3" t="s">
        <v>1304</v>
      </c>
      <c r="G1420" s="4">
        <v>26164</v>
      </c>
      <c r="H1420" s="4">
        <v>0</v>
      </c>
      <c r="I1420" s="4">
        <v>-55881723.619999997</v>
      </c>
    </row>
    <row r="1421" spans="1:9" x14ac:dyDescent="0.3">
      <c r="A1421" t="s">
        <v>133</v>
      </c>
      <c r="B1421" s="1">
        <v>45876</v>
      </c>
      <c r="C1421" s="1">
        <v>45876</v>
      </c>
      <c r="D1421">
        <v>912821</v>
      </c>
      <c r="E1421">
        <v>84</v>
      </c>
      <c r="F1421" s="3" t="s">
        <v>1305</v>
      </c>
      <c r="G1421" s="4">
        <v>13659.75</v>
      </c>
      <c r="H1421" s="4">
        <v>0</v>
      </c>
      <c r="I1421" s="4">
        <v>-55868063.869999997</v>
      </c>
    </row>
    <row r="1422" spans="1:9" x14ac:dyDescent="0.3">
      <c r="A1422" t="s">
        <v>133</v>
      </c>
      <c r="B1422" s="1">
        <v>45876</v>
      </c>
      <c r="C1422" s="1">
        <v>45876</v>
      </c>
      <c r="D1422">
        <v>912823</v>
      </c>
      <c r="E1422">
        <v>84</v>
      </c>
      <c r="F1422" s="3" t="s">
        <v>1306</v>
      </c>
      <c r="G1422" s="4">
        <v>20216</v>
      </c>
      <c r="H1422" s="4">
        <v>0</v>
      </c>
      <c r="I1422" s="4">
        <v>-55847847.869999997</v>
      </c>
    </row>
    <row r="1423" spans="1:9" x14ac:dyDescent="0.3">
      <c r="A1423" t="s">
        <v>133</v>
      </c>
      <c r="B1423" s="1">
        <v>45876</v>
      </c>
      <c r="C1423" s="1">
        <v>45876</v>
      </c>
      <c r="D1423">
        <v>912824</v>
      </c>
      <c r="E1423">
        <v>11</v>
      </c>
      <c r="F1423" s="3" t="s">
        <v>142</v>
      </c>
      <c r="G1423" s="4">
        <v>159094.75</v>
      </c>
      <c r="H1423" s="4">
        <v>0</v>
      </c>
      <c r="I1423" s="4">
        <v>-55688753.119999997</v>
      </c>
    </row>
    <row r="1424" spans="1:9" x14ac:dyDescent="0.3">
      <c r="A1424" t="s">
        <v>133</v>
      </c>
      <c r="B1424" s="1">
        <v>45876</v>
      </c>
      <c r="C1424" s="1">
        <v>45876</v>
      </c>
      <c r="D1424">
        <v>912827</v>
      </c>
      <c r="E1424">
        <v>84</v>
      </c>
      <c r="F1424" s="3" t="s">
        <v>1307</v>
      </c>
      <c r="G1424" s="4">
        <v>20060</v>
      </c>
      <c r="H1424" s="4">
        <v>0</v>
      </c>
      <c r="I1424" s="4">
        <v>-55668693.119999997</v>
      </c>
    </row>
    <row r="1425" spans="1:9" x14ac:dyDescent="0.3">
      <c r="A1425" t="s">
        <v>133</v>
      </c>
      <c r="B1425" s="1">
        <v>45876</v>
      </c>
      <c r="C1425" s="1">
        <v>45876</v>
      </c>
      <c r="D1425">
        <v>912831</v>
      </c>
      <c r="E1425">
        <v>84</v>
      </c>
      <c r="F1425" s="3" t="s">
        <v>1308</v>
      </c>
      <c r="G1425" s="4">
        <v>18187</v>
      </c>
      <c r="H1425" s="4">
        <v>0</v>
      </c>
      <c r="I1425" s="4">
        <v>-55650506.119999997</v>
      </c>
    </row>
    <row r="1426" spans="1:9" x14ac:dyDescent="0.3">
      <c r="A1426" t="s">
        <v>133</v>
      </c>
      <c r="B1426" s="1">
        <v>45876</v>
      </c>
      <c r="C1426" s="1">
        <v>45876</v>
      </c>
      <c r="D1426">
        <v>912832</v>
      </c>
      <c r="E1426">
        <v>14</v>
      </c>
      <c r="F1426" s="3" t="s">
        <v>1309</v>
      </c>
      <c r="G1426" s="4">
        <v>160000</v>
      </c>
      <c r="H1426" s="4">
        <v>0</v>
      </c>
      <c r="I1426" s="4">
        <v>-55490506.119999997</v>
      </c>
    </row>
    <row r="1427" spans="1:9" x14ac:dyDescent="0.3">
      <c r="A1427" t="s">
        <v>133</v>
      </c>
      <c r="B1427" s="1">
        <v>45876</v>
      </c>
      <c r="C1427" s="1">
        <v>45876</v>
      </c>
      <c r="D1427">
        <v>912836</v>
      </c>
      <c r="E1427">
        <v>11</v>
      </c>
      <c r="F1427" s="3" t="s">
        <v>1310</v>
      </c>
      <c r="G1427" s="4">
        <v>52764.5</v>
      </c>
      <c r="H1427" s="4">
        <v>0</v>
      </c>
      <c r="I1427" s="4">
        <v>-55437741.619999997</v>
      </c>
    </row>
    <row r="1428" spans="1:9" x14ac:dyDescent="0.3">
      <c r="A1428" t="s">
        <v>133</v>
      </c>
      <c r="B1428" s="1">
        <v>45876</v>
      </c>
      <c r="C1428" s="1">
        <v>45876</v>
      </c>
      <c r="D1428">
        <v>912840</v>
      </c>
      <c r="E1428">
        <v>28</v>
      </c>
      <c r="F1428" s="3" t="s">
        <v>1311</v>
      </c>
      <c r="G1428" s="4">
        <v>150000</v>
      </c>
      <c r="H1428" s="4">
        <v>0</v>
      </c>
      <c r="I1428" s="4">
        <v>-55287741.619999997</v>
      </c>
    </row>
    <row r="1429" spans="1:9" x14ac:dyDescent="0.3">
      <c r="A1429" t="s">
        <v>133</v>
      </c>
      <c r="B1429" s="1">
        <v>45876</v>
      </c>
      <c r="C1429" s="1">
        <v>45876</v>
      </c>
      <c r="D1429">
        <v>912842</v>
      </c>
      <c r="E1429">
        <v>66</v>
      </c>
      <c r="F1429" s="3" t="s">
        <v>1312</v>
      </c>
      <c r="G1429" s="4">
        <v>150000</v>
      </c>
      <c r="H1429" s="4">
        <v>0</v>
      </c>
      <c r="I1429" s="4">
        <v>-55137741.619999997</v>
      </c>
    </row>
    <row r="1430" spans="1:9" x14ac:dyDescent="0.3">
      <c r="A1430" t="s">
        <v>133</v>
      </c>
      <c r="B1430" s="1">
        <v>45876</v>
      </c>
      <c r="C1430" s="1">
        <v>45876</v>
      </c>
      <c r="D1430">
        <v>912860</v>
      </c>
      <c r="E1430">
        <v>76</v>
      </c>
      <c r="F1430" s="3" t="s">
        <v>1313</v>
      </c>
      <c r="G1430" s="4">
        <v>221135</v>
      </c>
      <c r="H1430" s="4">
        <v>0</v>
      </c>
      <c r="I1430" s="4">
        <v>-54916606.619999997</v>
      </c>
    </row>
    <row r="1431" spans="1:9" x14ac:dyDescent="0.3">
      <c r="A1431" t="s">
        <v>133</v>
      </c>
      <c r="B1431" s="1">
        <v>45876</v>
      </c>
      <c r="C1431" s="1">
        <v>45876</v>
      </c>
      <c r="D1431">
        <v>912862</v>
      </c>
      <c r="E1431">
        <v>45</v>
      </c>
      <c r="F1431" s="3" t="s">
        <v>1314</v>
      </c>
      <c r="G1431" s="4">
        <v>55171</v>
      </c>
      <c r="H1431" s="4">
        <v>0</v>
      </c>
      <c r="I1431" s="4">
        <v>-54861435.619999997</v>
      </c>
    </row>
    <row r="1432" spans="1:9" x14ac:dyDescent="0.3">
      <c r="A1432" t="s">
        <v>133</v>
      </c>
      <c r="B1432" s="1">
        <v>45876</v>
      </c>
      <c r="C1432" s="1">
        <v>45876</v>
      </c>
      <c r="D1432">
        <v>912868</v>
      </c>
      <c r="E1432">
        <v>35</v>
      </c>
      <c r="F1432" s="3" t="s">
        <v>1315</v>
      </c>
      <c r="G1432" s="4">
        <v>93138.5</v>
      </c>
      <c r="H1432" s="4">
        <v>0</v>
      </c>
      <c r="I1432" s="4">
        <v>-54768297.119999997</v>
      </c>
    </row>
    <row r="1433" spans="1:9" x14ac:dyDescent="0.3">
      <c r="A1433" t="s">
        <v>133</v>
      </c>
      <c r="B1433" s="1">
        <v>45876</v>
      </c>
      <c r="C1433" s="1">
        <v>45876</v>
      </c>
      <c r="D1433">
        <v>912869</v>
      </c>
      <c r="E1433">
        <v>42</v>
      </c>
      <c r="F1433" s="3" t="s">
        <v>1316</v>
      </c>
      <c r="G1433" s="4">
        <v>784358</v>
      </c>
      <c r="H1433" s="4">
        <v>0</v>
      </c>
      <c r="I1433" s="4">
        <v>-53983939.119999997</v>
      </c>
    </row>
    <row r="1434" spans="1:9" x14ac:dyDescent="0.3">
      <c r="A1434" t="s">
        <v>133</v>
      </c>
      <c r="B1434" s="1">
        <v>45876</v>
      </c>
      <c r="C1434" s="1">
        <v>45876</v>
      </c>
      <c r="D1434">
        <v>912870</v>
      </c>
      <c r="E1434">
        <v>45</v>
      </c>
      <c r="F1434" s="3" t="s">
        <v>1317</v>
      </c>
      <c r="G1434" s="4">
        <v>169065</v>
      </c>
      <c r="H1434" s="4">
        <v>0</v>
      </c>
      <c r="I1434" s="4">
        <v>-53814874.119999997</v>
      </c>
    </row>
    <row r="1435" spans="1:9" x14ac:dyDescent="0.3">
      <c r="A1435" t="s">
        <v>133</v>
      </c>
      <c r="B1435" s="1">
        <v>45876</v>
      </c>
      <c r="C1435" s="1">
        <v>45876</v>
      </c>
      <c r="D1435">
        <v>912871</v>
      </c>
      <c r="E1435">
        <v>27</v>
      </c>
      <c r="F1435" s="3" t="s">
        <v>1318</v>
      </c>
      <c r="G1435" s="4">
        <v>474326</v>
      </c>
      <c r="H1435" s="4">
        <v>0</v>
      </c>
      <c r="I1435" s="4">
        <v>-53340548.119999997</v>
      </c>
    </row>
    <row r="1436" spans="1:9" x14ac:dyDescent="0.3">
      <c r="A1436" t="s">
        <v>133</v>
      </c>
      <c r="B1436" s="1">
        <v>45876</v>
      </c>
      <c r="C1436" s="1">
        <v>45876</v>
      </c>
      <c r="D1436">
        <v>912875</v>
      </c>
      <c r="E1436">
        <v>38</v>
      </c>
      <c r="F1436" s="3" t="s">
        <v>1319</v>
      </c>
      <c r="G1436" s="4">
        <v>8702</v>
      </c>
      <c r="H1436" s="4">
        <v>0</v>
      </c>
      <c r="I1436" s="4">
        <v>-53331846.119999997</v>
      </c>
    </row>
    <row r="1437" spans="1:9" x14ac:dyDescent="0.3">
      <c r="A1437" t="s">
        <v>133</v>
      </c>
      <c r="B1437" s="1">
        <v>45876</v>
      </c>
      <c r="C1437" s="1">
        <v>45876</v>
      </c>
      <c r="D1437">
        <v>912877</v>
      </c>
      <c r="E1437">
        <v>27</v>
      </c>
      <c r="F1437" s="3" t="s">
        <v>1320</v>
      </c>
      <c r="G1437" s="4">
        <v>97054</v>
      </c>
      <c r="H1437" s="4">
        <v>0</v>
      </c>
      <c r="I1437" s="4">
        <v>-53234792.119999997</v>
      </c>
    </row>
    <row r="1438" spans="1:9" x14ac:dyDescent="0.3">
      <c r="A1438" t="s">
        <v>133</v>
      </c>
      <c r="B1438" s="1">
        <v>45876</v>
      </c>
      <c r="C1438" s="1">
        <v>45876</v>
      </c>
      <c r="D1438">
        <v>912878</v>
      </c>
      <c r="E1438">
        <v>27</v>
      </c>
      <c r="F1438" s="3" t="s">
        <v>1321</v>
      </c>
      <c r="G1438" s="4">
        <v>239472.5</v>
      </c>
      <c r="H1438" s="4">
        <v>0</v>
      </c>
      <c r="I1438" s="4">
        <v>-52995319.619999997</v>
      </c>
    </row>
    <row r="1439" spans="1:9" x14ac:dyDescent="0.3">
      <c r="A1439" t="s">
        <v>133</v>
      </c>
      <c r="B1439" s="1">
        <v>45876</v>
      </c>
      <c r="C1439" s="1">
        <v>45876</v>
      </c>
      <c r="D1439">
        <v>912879</v>
      </c>
      <c r="E1439">
        <v>27</v>
      </c>
      <c r="F1439" s="3" t="s">
        <v>1322</v>
      </c>
      <c r="G1439" s="4">
        <v>65472.5</v>
      </c>
      <c r="H1439" s="4">
        <v>0</v>
      </c>
      <c r="I1439" s="4">
        <v>-52929847.119999997</v>
      </c>
    </row>
    <row r="1440" spans="1:9" x14ac:dyDescent="0.3">
      <c r="A1440" t="s">
        <v>133</v>
      </c>
      <c r="B1440" s="1">
        <v>45876</v>
      </c>
      <c r="C1440" s="1">
        <v>45876</v>
      </c>
      <c r="D1440">
        <v>912880</v>
      </c>
      <c r="E1440">
        <v>84</v>
      </c>
      <c r="F1440" s="3" t="s">
        <v>1323</v>
      </c>
      <c r="G1440" s="4">
        <v>3179</v>
      </c>
      <c r="H1440" s="4">
        <v>0</v>
      </c>
      <c r="I1440" s="4">
        <v>-52926668.119999997</v>
      </c>
    </row>
    <row r="1441" spans="1:9" x14ac:dyDescent="0.3">
      <c r="A1441" t="s">
        <v>133</v>
      </c>
      <c r="B1441" s="1">
        <v>45876</v>
      </c>
      <c r="C1441" s="1">
        <v>45876</v>
      </c>
      <c r="D1441">
        <v>912881</v>
      </c>
      <c r="E1441">
        <v>31</v>
      </c>
      <c r="F1441" s="3" t="s">
        <v>433</v>
      </c>
      <c r="G1441" s="4">
        <v>300000</v>
      </c>
      <c r="H1441" s="4">
        <v>0</v>
      </c>
      <c r="I1441" s="4">
        <v>-52626668.119999997</v>
      </c>
    </row>
    <row r="1442" spans="1:9" x14ac:dyDescent="0.3">
      <c r="A1442" t="s">
        <v>133</v>
      </c>
      <c r="B1442" s="1">
        <v>45876</v>
      </c>
      <c r="C1442" s="1">
        <v>45876</v>
      </c>
      <c r="D1442">
        <v>912882</v>
      </c>
      <c r="E1442">
        <v>92</v>
      </c>
      <c r="F1442" s="3" t="s">
        <v>1324</v>
      </c>
      <c r="G1442" s="4">
        <v>350000</v>
      </c>
      <c r="H1442" s="4">
        <v>0</v>
      </c>
      <c r="I1442" s="4">
        <v>-52276668.119999997</v>
      </c>
    </row>
    <row r="1443" spans="1:9" x14ac:dyDescent="0.3">
      <c r="A1443" t="s">
        <v>133</v>
      </c>
      <c r="B1443" s="1">
        <v>45876</v>
      </c>
      <c r="C1443" s="1">
        <v>45876</v>
      </c>
      <c r="D1443">
        <v>912884</v>
      </c>
      <c r="E1443">
        <v>63</v>
      </c>
      <c r="F1443" s="3" t="s">
        <v>1325</v>
      </c>
      <c r="G1443" s="4">
        <v>4516.5</v>
      </c>
      <c r="H1443" s="4">
        <v>0</v>
      </c>
      <c r="I1443" s="4">
        <v>-52272151.619999997</v>
      </c>
    </row>
    <row r="1444" spans="1:9" x14ac:dyDescent="0.3">
      <c r="A1444" t="s">
        <v>133</v>
      </c>
      <c r="B1444" s="1">
        <v>45876</v>
      </c>
      <c r="C1444" s="1">
        <v>45876</v>
      </c>
      <c r="D1444">
        <v>912885</v>
      </c>
      <c r="E1444">
        <v>51</v>
      </c>
      <c r="F1444" s="3" t="s">
        <v>1326</v>
      </c>
      <c r="G1444" s="4">
        <v>7310</v>
      </c>
      <c r="H1444" s="4">
        <v>0</v>
      </c>
      <c r="I1444" s="4">
        <v>-52264841.619999997</v>
      </c>
    </row>
    <row r="1445" spans="1:9" x14ac:dyDescent="0.3">
      <c r="A1445" t="s">
        <v>133</v>
      </c>
      <c r="B1445" s="1">
        <v>45876</v>
      </c>
      <c r="C1445" s="1">
        <v>45876</v>
      </c>
      <c r="D1445">
        <v>912889</v>
      </c>
      <c r="E1445">
        <v>412</v>
      </c>
      <c r="F1445" s="3" t="s">
        <v>1327</v>
      </c>
      <c r="G1445" s="4">
        <v>275000</v>
      </c>
      <c r="H1445" s="4">
        <v>0</v>
      </c>
      <c r="I1445" s="4">
        <v>-51989841.619999997</v>
      </c>
    </row>
    <row r="1446" spans="1:9" x14ac:dyDescent="0.3">
      <c r="A1446" t="s">
        <v>133</v>
      </c>
      <c r="B1446" s="1">
        <v>45876</v>
      </c>
      <c r="C1446" s="1">
        <v>45876</v>
      </c>
      <c r="D1446">
        <v>912890</v>
      </c>
      <c r="E1446">
        <v>69</v>
      </c>
      <c r="F1446" s="3" t="s">
        <v>1328</v>
      </c>
      <c r="G1446" s="4">
        <v>145573</v>
      </c>
      <c r="H1446" s="4">
        <v>0</v>
      </c>
      <c r="I1446" s="4">
        <v>-51844268.619999997</v>
      </c>
    </row>
    <row r="1447" spans="1:9" x14ac:dyDescent="0.3">
      <c r="A1447" t="s">
        <v>133</v>
      </c>
      <c r="B1447" s="1">
        <v>45876</v>
      </c>
      <c r="C1447" s="1">
        <v>45876</v>
      </c>
      <c r="D1447">
        <v>912891</v>
      </c>
      <c r="E1447">
        <v>98</v>
      </c>
      <c r="F1447" s="3" t="s">
        <v>1329</v>
      </c>
      <c r="G1447" s="4">
        <v>2920</v>
      </c>
      <c r="H1447" s="4">
        <v>0</v>
      </c>
      <c r="I1447" s="4">
        <v>-51841348.619999997</v>
      </c>
    </row>
    <row r="1448" spans="1:9" x14ac:dyDescent="0.3">
      <c r="A1448" t="s">
        <v>133</v>
      </c>
      <c r="B1448" s="1">
        <v>45876</v>
      </c>
      <c r="C1448" s="1">
        <v>45876</v>
      </c>
      <c r="D1448">
        <v>912896</v>
      </c>
      <c r="E1448">
        <v>351</v>
      </c>
      <c r="F1448" s="3" t="s">
        <v>1330</v>
      </c>
      <c r="G1448" s="4">
        <v>21522</v>
      </c>
      <c r="H1448" s="4">
        <v>0</v>
      </c>
      <c r="I1448" s="4">
        <v>-51819826.619999997</v>
      </c>
    </row>
    <row r="1449" spans="1:9" x14ac:dyDescent="0.3">
      <c r="A1449" t="s">
        <v>133</v>
      </c>
      <c r="B1449" s="1">
        <v>45876</v>
      </c>
      <c r="C1449" s="1">
        <v>45876</v>
      </c>
      <c r="D1449">
        <v>912901</v>
      </c>
      <c r="E1449">
        <v>351</v>
      </c>
      <c r="F1449" s="3" t="s">
        <v>1331</v>
      </c>
      <c r="G1449" s="4">
        <v>82245</v>
      </c>
      <c r="H1449" s="4">
        <v>0</v>
      </c>
      <c r="I1449" s="4">
        <v>-51737581.619999997</v>
      </c>
    </row>
    <row r="1450" spans="1:9" x14ac:dyDescent="0.3">
      <c r="A1450" t="s">
        <v>133</v>
      </c>
      <c r="B1450" s="1">
        <v>45876</v>
      </c>
      <c r="C1450" s="1">
        <v>45876</v>
      </c>
      <c r="D1450">
        <v>912905</v>
      </c>
      <c r="E1450">
        <v>351</v>
      </c>
      <c r="F1450" s="3" t="s">
        <v>1332</v>
      </c>
      <c r="G1450" s="4">
        <v>30012</v>
      </c>
      <c r="H1450" s="4">
        <v>0</v>
      </c>
      <c r="I1450" s="4">
        <v>-51707569.619999997</v>
      </c>
    </row>
    <row r="1451" spans="1:9" x14ac:dyDescent="0.3">
      <c r="A1451" t="s">
        <v>133</v>
      </c>
      <c r="B1451" s="1">
        <v>45876</v>
      </c>
      <c r="C1451" s="1">
        <v>45876</v>
      </c>
      <c r="D1451">
        <v>912908</v>
      </c>
      <c r="E1451">
        <v>351</v>
      </c>
      <c r="F1451" s="3" t="s">
        <v>1333</v>
      </c>
      <c r="G1451" s="4">
        <v>42008</v>
      </c>
      <c r="H1451" s="4">
        <v>0</v>
      </c>
      <c r="I1451" s="4">
        <v>-51665561.619999997</v>
      </c>
    </row>
    <row r="1452" spans="1:9" x14ac:dyDescent="0.3">
      <c r="A1452" t="s">
        <v>133</v>
      </c>
      <c r="B1452" s="1">
        <v>45876</v>
      </c>
      <c r="C1452" s="1">
        <v>45876</v>
      </c>
      <c r="D1452">
        <v>912919</v>
      </c>
      <c r="E1452">
        <v>12</v>
      </c>
      <c r="F1452" s="3" t="s">
        <v>1334</v>
      </c>
      <c r="G1452" s="4">
        <v>980000</v>
      </c>
      <c r="H1452" s="4">
        <v>0</v>
      </c>
      <c r="I1452" s="4">
        <v>-50685561.619999997</v>
      </c>
    </row>
    <row r="1453" spans="1:9" x14ac:dyDescent="0.3">
      <c r="A1453" t="s">
        <v>133</v>
      </c>
      <c r="B1453" s="1">
        <v>45876</v>
      </c>
      <c r="C1453" s="1">
        <v>45876</v>
      </c>
      <c r="D1453">
        <v>912920</v>
      </c>
      <c r="E1453">
        <v>55</v>
      </c>
      <c r="F1453" s="3" t="s">
        <v>1335</v>
      </c>
      <c r="G1453" s="4">
        <v>320000</v>
      </c>
      <c r="H1453" s="4">
        <v>0</v>
      </c>
      <c r="I1453" s="4">
        <v>-50365561.619999997</v>
      </c>
    </row>
    <row r="1454" spans="1:9" x14ac:dyDescent="0.3">
      <c r="A1454" t="s">
        <v>133</v>
      </c>
      <c r="B1454" s="1">
        <v>45876</v>
      </c>
      <c r="C1454" s="1">
        <v>45876</v>
      </c>
      <c r="D1454">
        <v>912923</v>
      </c>
      <c r="E1454">
        <v>58</v>
      </c>
      <c r="F1454" s="3" t="s">
        <v>1336</v>
      </c>
      <c r="G1454" s="4">
        <v>310000</v>
      </c>
      <c r="H1454" s="4">
        <v>0</v>
      </c>
      <c r="I1454" s="4">
        <v>-50055561.619999997</v>
      </c>
    </row>
    <row r="1455" spans="1:9" x14ac:dyDescent="0.3">
      <c r="A1455" t="s">
        <v>133</v>
      </c>
      <c r="B1455" s="1">
        <v>45876</v>
      </c>
      <c r="C1455" s="1">
        <v>45876</v>
      </c>
      <c r="D1455">
        <v>912927</v>
      </c>
      <c r="E1455">
        <v>91</v>
      </c>
      <c r="F1455" s="3" t="s">
        <v>1337</v>
      </c>
      <c r="G1455" s="4">
        <v>10500</v>
      </c>
      <c r="H1455" s="4">
        <v>0</v>
      </c>
      <c r="I1455" s="4">
        <v>-50045061.619999997</v>
      </c>
    </row>
    <row r="1456" spans="1:9" x14ac:dyDescent="0.3">
      <c r="A1456" t="s">
        <v>133</v>
      </c>
      <c r="B1456" s="1">
        <v>45876</v>
      </c>
      <c r="C1456" s="1">
        <v>45876</v>
      </c>
      <c r="D1456">
        <v>912928</v>
      </c>
      <c r="E1456">
        <v>31</v>
      </c>
      <c r="F1456" s="3" t="s">
        <v>1338</v>
      </c>
      <c r="G1456" s="4">
        <v>211352.25</v>
      </c>
      <c r="H1456" s="4">
        <v>0</v>
      </c>
      <c r="I1456" s="4">
        <v>-49833709.369999997</v>
      </c>
    </row>
    <row r="1457" spans="1:9" x14ac:dyDescent="0.3">
      <c r="A1457" t="s">
        <v>133</v>
      </c>
      <c r="B1457" s="1">
        <v>45876</v>
      </c>
      <c r="C1457" s="1">
        <v>45876</v>
      </c>
      <c r="D1457">
        <v>912929</v>
      </c>
      <c r="E1457">
        <v>422</v>
      </c>
      <c r="F1457" s="3" t="s">
        <v>1339</v>
      </c>
      <c r="G1457" s="4">
        <v>145000</v>
      </c>
      <c r="H1457" s="4">
        <v>0</v>
      </c>
      <c r="I1457" s="4">
        <v>-49688709.369999997</v>
      </c>
    </row>
    <row r="1458" spans="1:9" x14ac:dyDescent="0.3">
      <c r="A1458" t="s">
        <v>133</v>
      </c>
      <c r="B1458" s="1">
        <v>45876</v>
      </c>
      <c r="C1458" s="1">
        <v>45876</v>
      </c>
      <c r="D1458">
        <v>912933</v>
      </c>
      <c r="E1458">
        <v>31</v>
      </c>
      <c r="F1458" s="3" t="s">
        <v>1340</v>
      </c>
      <c r="G1458" s="4">
        <v>2556</v>
      </c>
      <c r="H1458" s="4">
        <v>0</v>
      </c>
      <c r="I1458" s="4">
        <v>-49686153.369999997</v>
      </c>
    </row>
    <row r="1459" spans="1:9" x14ac:dyDescent="0.3">
      <c r="A1459" t="s">
        <v>133</v>
      </c>
      <c r="B1459" s="1">
        <v>45876</v>
      </c>
      <c r="C1459" s="1">
        <v>45876</v>
      </c>
      <c r="D1459">
        <v>912940</v>
      </c>
      <c r="E1459">
        <v>27</v>
      </c>
      <c r="F1459" s="3" t="s">
        <v>1341</v>
      </c>
      <c r="G1459" s="4">
        <v>101604.25</v>
      </c>
      <c r="H1459" s="4">
        <v>0</v>
      </c>
      <c r="I1459" s="4">
        <v>-49584549.119999997</v>
      </c>
    </row>
    <row r="1460" spans="1:9" x14ac:dyDescent="0.3">
      <c r="A1460" t="s">
        <v>133</v>
      </c>
      <c r="B1460" s="1">
        <v>45876</v>
      </c>
      <c r="C1460" s="1">
        <v>45876</v>
      </c>
      <c r="D1460">
        <v>912941</v>
      </c>
      <c r="E1460">
        <v>361</v>
      </c>
      <c r="F1460" s="3" t="s">
        <v>1342</v>
      </c>
      <c r="G1460" s="4">
        <v>320000</v>
      </c>
      <c r="H1460" s="4">
        <v>0</v>
      </c>
      <c r="I1460" s="4">
        <v>-49264549.119999997</v>
      </c>
    </row>
    <row r="1461" spans="1:9" x14ac:dyDescent="0.3">
      <c r="A1461" t="s">
        <v>133</v>
      </c>
      <c r="B1461" s="1">
        <v>45876</v>
      </c>
      <c r="C1461" s="1">
        <v>45876</v>
      </c>
      <c r="D1461">
        <v>912943</v>
      </c>
      <c r="E1461">
        <v>31</v>
      </c>
      <c r="F1461" s="3" t="s">
        <v>1343</v>
      </c>
      <c r="G1461" s="4">
        <v>152255.5</v>
      </c>
      <c r="H1461" s="4">
        <v>0</v>
      </c>
      <c r="I1461" s="4">
        <v>-49112293.619999997</v>
      </c>
    </row>
    <row r="1462" spans="1:9" x14ac:dyDescent="0.3">
      <c r="A1462" t="s">
        <v>133</v>
      </c>
      <c r="B1462" s="1">
        <v>45876</v>
      </c>
      <c r="C1462" s="1">
        <v>45876</v>
      </c>
      <c r="D1462">
        <v>912949</v>
      </c>
      <c r="E1462">
        <v>31</v>
      </c>
      <c r="F1462" s="3" t="s">
        <v>1344</v>
      </c>
      <c r="G1462" s="4">
        <v>18483</v>
      </c>
      <c r="H1462" s="4">
        <v>0</v>
      </c>
      <c r="I1462" s="4">
        <v>-49093810.619999997</v>
      </c>
    </row>
    <row r="1463" spans="1:9" x14ac:dyDescent="0.3">
      <c r="A1463" t="s">
        <v>133</v>
      </c>
      <c r="B1463" s="1">
        <v>45876</v>
      </c>
      <c r="C1463" s="1">
        <v>45876</v>
      </c>
      <c r="D1463">
        <v>912952</v>
      </c>
      <c r="E1463">
        <v>27</v>
      </c>
      <c r="F1463" s="3" t="s">
        <v>1345</v>
      </c>
      <c r="G1463" s="4">
        <v>56737.5</v>
      </c>
      <c r="H1463" s="4">
        <v>0</v>
      </c>
      <c r="I1463" s="4">
        <v>-49037073.119999997</v>
      </c>
    </row>
    <row r="1464" spans="1:9" x14ac:dyDescent="0.3">
      <c r="A1464" t="s">
        <v>133</v>
      </c>
      <c r="B1464" s="1">
        <v>45876</v>
      </c>
      <c r="C1464" s="1">
        <v>45876</v>
      </c>
      <c r="D1464">
        <v>912955</v>
      </c>
      <c r="E1464">
        <v>31</v>
      </c>
      <c r="F1464" s="3" t="s">
        <v>1346</v>
      </c>
      <c r="G1464" s="4">
        <v>61228</v>
      </c>
      <c r="H1464" s="4">
        <v>0</v>
      </c>
      <c r="I1464" s="4">
        <v>-48975845.119999997</v>
      </c>
    </row>
    <row r="1465" spans="1:9" x14ac:dyDescent="0.3">
      <c r="A1465" t="s">
        <v>133</v>
      </c>
      <c r="B1465" s="1">
        <v>45876</v>
      </c>
      <c r="C1465" s="1">
        <v>45876</v>
      </c>
      <c r="D1465">
        <v>912957</v>
      </c>
      <c r="E1465">
        <v>31</v>
      </c>
      <c r="F1465" s="3" t="s">
        <v>1347</v>
      </c>
      <c r="G1465" s="4">
        <v>20748.5</v>
      </c>
      <c r="H1465" s="4">
        <v>0</v>
      </c>
      <c r="I1465" s="4">
        <v>-48955096.619999997</v>
      </c>
    </row>
    <row r="1466" spans="1:9" x14ac:dyDescent="0.3">
      <c r="A1466" t="s">
        <v>133</v>
      </c>
      <c r="B1466" s="1">
        <v>45876</v>
      </c>
      <c r="C1466" s="1">
        <v>45876</v>
      </c>
      <c r="D1466">
        <v>912958</v>
      </c>
      <c r="E1466">
        <v>78</v>
      </c>
      <c r="F1466" s="3" t="s">
        <v>1348</v>
      </c>
      <c r="G1466" s="4">
        <v>100000</v>
      </c>
      <c r="H1466" s="4">
        <v>0</v>
      </c>
      <c r="I1466" s="4">
        <v>-48855096.619999997</v>
      </c>
    </row>
    <row r="1467" spans="1:9" x14ac:dyDescent="0.3">
      <c r="A1467" t="s">
        <v>133</v>
      </c>
      <c r="B1467" s="1">
        <v>45876</v>
      </c>
      <c r="C1467" s="1">
        <v>45876</v>
      </c>
      <c r="D1467">
        <v>912959</v>
      </c>
      <c r="E1467">
        <v>27</v>
      </c>
      <c r="F1467" s="3" t="s">
        <v>1349</v>
      </c>
      <c r="G1467" s="4">
        <v>96376</v>
      </c>
      <c r="H1467" s="4">
        <v>0</v>
      </c>
      <c r="I1467" s="4">
        <v>-48758720.619999997</v>
      </c>
    </row>
    <row r="1468" spans="1:9" x14ac:dyDescent="0.3">
      <c r="A1468" t="s">
        <v>133</v>
      </c>
      <c r="B1468" s="1">
        <v>45876</v>
      </c>
      <c r="C1468" s="1">
        <v>45876</v>
      </c>
      <c r="D1468">
        <v>912960</v>
      </c>
      <c r="E1468">
        <v>74</v>
      </c>
      <c r="F1468" s="3" t="s">
        <v>1350</v>
      </c>
      <c r="G1468" s="4">
        <v>170000</v>
      </c>
      <c r="H1468" s="4">
        <v>0</v>
      </c>
      <c r="I1468" s="4">
        <v>-48588720.619999997</v>
      </c>
    </row>
    <row r="1469" spans="1:9" x14ac:dyDescent="0.3">
      <c r="A1469" t="s">
        <v>133</v>
      </c>
      <c r="B1469" s="1">
        <v>45876</v>
      </c>
      <c r="C1469" s="1">
        <v>45876</v>
      </c>
      <c r="D1469">
        <v>912964</v>
      </c>
      <c r="E1469">
        <v>27</v>
      </c>
      <c r="F1469" s="3" t="s">
        <v>1351</v>
      </c>
      <c r="G1469" s="4">
        <v>125022.5</v>
      </c>
      <c r="H1469" s="4">
        <v>0</v>
      </c>
      <c r="I1469" s="4">
        <v>-48463698.119999997</v>
      </c>
    </row>
    <row r="1470" spans="1:9" x14ac:dyDescent="0.3">
      <c r="A1470" t="s">
        <v>133</v>
      </c>
      <c r="B1470" s="1">
        <v>45876</v>
      </c>
      <c r="C1470" s="1">
        <v>45876</v>
      </c>
      <c r="D1470">
        <v>912966</v>
      </c>
      <c r="E1470">
        <v>54</v>
      </c>
      <c r="F1470" s="3" t="s">
        <v>1352</v>
      </c>
      <c r="G1470" s="4">
        <v>550000</v>
      </c>
      <c r="H1470" s="4">
        <v>0</v>
      </c>
      <c r="I1470" s="4">
        <v>-47913698.119999997</v>
      </c>
    </row>
    <row r="1471" spans="1:9" x14ac:dyDescent="0.3">
      <c r="A1471" t="s">
        <v>133</v>
      </c>
      <c r="B1471" s="1">
        <v>45876</v>
      </c>
      <c r="C1471" s="1">
        <v>45876</v>
      </c>
      <c r="D1471">
        <v>912972</v>
      </c>
      <c r="E1471">
        <v>27</v>
      </c>
      <c r="F1471" s="3" t="s">
        <v>1353</v>
      </c>
      <c r="G1471" s="4">
        <v>1446501.75</v>
      </c>
      <c r="H1471" s="4">
        <v>0</v>
      </c>
      <c r="I1471" s="4">
        <v>-46467196.369999997</v>
      </c>
    </row>
    <row r="1472" spans="1:9" x14ac:dyDescent="0.3">
      <c r="A1472" t="s">
        <v>133</v>
      </c>
      <c r="B1472" s="1">
        <v>45876</v>
      </c>
      <c r="C1472" s="1">
        <v>45876</v>
      </c>
      <c r="D1472">
        <v>912974</v>
      </c>
      <c r="E1472">
        <v>351</v>
      </c>
      <c r="F1472" s="3" t="s">
        <v>1354</v>
      </c>
      <c r="G1472" s="4">
        <v>125000</v>
      </c>
      <c r="H1472" s="4">
        <v>0</v>
      </c>
      <c r="I1472" s="4">
        <v>-46342196.369999997</v>
      </c>
    </row>
    <row r="1473" spans="1:9" x14ac:dyDescent="0.3">
      <c r="A1473" t="s">
        <v>133</v>
      </c>
      <c r="B1473" s="1">
        <v>45876</v>
      </c>
      <c r="C1473" s="1">
        <v>45876</v>
      </c>
      <c r="D1473">
        <v>912975</v>
      </c>
      <c r="E1473">
        <v>94</v>
      </c>
      <c r="F1473" s="3" t="s">
        <v>1355</v>
      </c>
      <c r="G1473" s="4">
        <v>8827.25</v>
      </c>
      <c r="H1473" s="4">
        <v>0</v>
      </c>
      <c r="I1473" s="4">
        <v>-46333369.119999997</v>
      </c>
    </row>
    <row r="1474" spans="1:9" x14ac:dyDescent="0.3">
      <c r="A1474" t="s">
        <v>133</v>
      </c>
      <c r="B1474" s="1">
        <v>45876</v>
      </c>
      <c r="C1474" s="1">
        <v>45876</v>
      </c>
      <c r="D1474">
        <v>912977</v>
      </c>
      <c r="E1474">
        <v>71</v>
      </c>
      <c r="F1474" s="3" t="s">
        <v>1356</v>
      </c>
      <c r="G1474" s="4">
        <v>240000</v>
      </c>
      <c r="H1474" s="4">
        <v>0</v>
      </c>
      <c r="I1474" s="4">
        <v>-46093369.119999997</v>
      </c>
    </row>
    <row r="1475" spans="1:9" x14ac:dyDescent="0.3">
      <c r="A1475" t="s">
        <v>133</v>
      </c>
      <c r="B1475" s="1">
        <v>45876</v>
      </c>
      <c r="C1475" s="1">
        <v>45876</v>
      </c>
      <c r="D1475">
        <v>912981</v>
      </c>
      <c r="E1475">
        <v>65</v>
      </c>
      <c r="F1475" s="3" t="s">
        <v>1357</v>
      </c>
      <c r="G1475" s="4">
        <v>360000</v>
      </c>
      <c r="H1475" s="4">
        <v>0</v>
      </c>
      <c r="I1475" s="4">
        <v>-45733369.119999997</v>
      </c>
    </row>
    <row r="1476" spans="1:9" x14ac:dyDescent="0.3">
      <c r="A1476" t="s">
        <v>133</v>
      </c>
      <c r="B1476" s="1">
        <v>45876</v>
      </c>
      <c r="C1476" s="1">
        <v>45876</v>
      </c>
      <c r="D1476">
        <v>912984</v>
      </c>
      <c r="E1476">
        <v>24</v>
      </c>
      <c r="F1476" s="3" t="s">
        <v>1358</v>
      </c>
      <c r="G1476" s="4">
        <v>320000</v>
      </c>
      <c r="H1476" s="4">
        <v>0</v>
      </c>
      <c r="I1476" s="4">
        <v>-45413369.119999997</v>
      </c>
    </row>
    <row r="1477" spans="1:9" x14ac:dyDescent="0.3">
      <c r="A1477" t="s">
        <v>133</v>
      </c>
      <c r="B1477" s="1">
        <v>45876</v>
      </c>
      <c r="C1477" s="1">
        <v>45876</v>
      </c>
      <c r="D1477">
        <v>912989</v>
      </c>
      <c r="E1477">
        <v>282</v>
      </c>
      <c r="F1477" s="3" t="s">
        <v>1359</v>
      </c>
      <c r="G1477" s="4">
        <v>1500</v>
      </c>
      <c r="H1477" s="4">
        <v>0</v>
      </c>
      <c r="I1477" s="4">
        <v>-45411869.119999997</v>
      </c>
    </row>
    <row r="1478" spans="1:9" x14ac:dyDescent="0.3">
      <c r="A1478" t="s">
        <v>133</v>
      </c>
      <c r="B1478" s="1">
        <v>45876</v>
      </c>
      <c r="C1478" s="1">
        <v>45876</v>
      </c>
      <c r="D1478">
        <v>913018</v>
      </c>
      <c r="E1478">
        <v>85</v>
      </c>
      <c r="F1478" s="3" t="s">
        <v>1360</v>
      </c>
      <c r="G1478" s="4">
        <v>700000</v>
      </c>
      <c r="H1478" s="4">
        <v>0</v>
      </c>
      <c r="I1478" s="4">
        <v>-44711869.119999997</v>
      </c>
    </row>
    <row r="1479" spans="1:9" x14ac:dyDescent="0.3">
      <c r="A1479" t="s">
        <v>133</v>
      </c>
      <c r="B1479" s="1">
        <v>45876</v>
      </c>
      <c r="C1479" s="1">
        <v>45876</v>
      </c>
      <c r="D1479">
        <v>913023</v>
      </c>
      <c r="E1479">
        <v>16</v>
      </c>
      <c r="F1479" s="3" t="s">
        <v>1361</v>
      </c>
      <c r="G1479" s="4">
        <v>230000</v>
      </c>
      <c r="H1479" s="4">
        <v>0</v>
      </c>
      <c r="I1479" s="4">
        <v>-44481869.119999997</v>
      </c>
    </row>
    <row r="1480" spans="1:9" x14ac:dyDescent="0.3">
      <c r="A1480" t="s">
        <v>133</v>
      </c>
      <c r="B1480" s="1">
        <v>45876</v>
      </c>
      <c r="C1480" s="1">
        <v>45876</v>
      </c>
      <c r="D1480">
        <v>913027</v>
      </c>
      <c r="E1480">
        <v>382</v>
      </c>
      <c r="F1480" s="3" t="s">
        <v>1362</v>
      </c>
      <c r="G1480" s="4">
        <v>551310</v>
      </c>
      <c r="H1480" s="4">
        <v>0</v>
      </c>
      <c r="I1480" s="4">
        <v>-43930559.119999997</v>
      </c>
    </row>
    <row r="1481" spans="1:9" x14ac:dyDescent="0.3">
      <c r="A1481" t="s">
        <v>133</v>
      </c>
      <c r="B1481" s="1">
        <v>45876</v>
      </c>
      <c r="C1481" s="1">
        <v>45876</v>
      </c>
      <c r="D1481">
        <v>913028</v>
      </c>
      <c r="E1481">
        <v>12</v>
      </c>
      <c r="F1481" s="3" t="s">
        <v>1363</v>
      </c>
      <c r="G1481" s="4">
        <v>109218.5</v>
      </c>
      <c r="H1481" s="4">
        <v>0</v>
      </c>
      <c r="I1481" s="4">
        <v>-43821340.619999997</v>
      </c>
    </row>
    <row r="1482" spans="1:9" x14ac:dyDescent="0.3">
      <c r="A1482" t="s">
        <v>133</v>
      </c>
      <c r="B1482" s="1">
        <v>45876</v>
      </c>
      <c r="C1482" s="1">
        <v>45876</v>
      </c>
      <c r="D1482">
        <v>913030</v>
      </c>
      <c r="E1482">
        <v>86</v>
      </c>
      <c r="F1482" s="3" t="s">
        <v>1364</v>
      </c>
      <c r="G1482" s="4">
        <v>15100</v>
      </c>
      <c r="H1482" s="4">
        <v>0</v>
      </c>
      <c r="I1482" s="4">
        <v>-43806240.619999997</v>
      </c>
    </row>
    <row r="1483" spans="1:9" x14ac:dyDescent="0.3">
      <c r="A1483" t="s">
        <v>133</v>
      </c>
      <c r="B1483" s="1">
        <v>45876</v>
      </c>
      <c r="C1483" s="1">
        <v>45876</v>
      </c>
      <c r="D1483">
        <v>913034</v>
      </c>
      <c r="E1483">
        <v>58</v>
      </c>
      <c r="F1483" s="3" t="s">
        <v>1365</v>
      </c>
      <c r="G1483" s="4">
        <v>36989.25</v>
      </c>
      <c r="H1483" s="4">
        <v>0</v>
      </c>
      <c r="I1483" s="4">
        <v>-43769251.369999997</v>
      </c>
    </row>
    <row r="1484" spans="1:9" x14ac:dyDescent="0.3">
      <c r="A1484" t="s">
        <v>133</v>
      </c>
      <c r="B1484" s="1">
        <v>45876</v>
      </c>
      <c r="C1484" s="1">
        <v>45876</v>
      </c>
      <c r="D1484">
        <v>913036</v>
      </c>
      <c r="E1484">
        <v>67</v>
      </c>
      <c r="F1484" s="3" t="s">
        <v>1366</v>
      </c>
      <c r="G1484" s="4">
        <v>100000</v>
      </c>
      <c r="H1484" s="4">
        <v>0</v>
      </c>
      <c r="I1484" s="4">
        <v>-43669251.369999997</v>
      </c>
    </row>
    <row r="1485" spans="1:9" x14ac:dyDescent="0.3">
      <c r="A1485" t="s">
        <v>133</v>
      </c>
      <c r="B1485" s="1">
        <v>45876</v>
      </c>
      <c r="C1485" s="1">
        <v>45876</v>
      </c>
      <c r="D1485">
        <v>913037</v>
      </c>
      <c r="E1485">
        <v>63</v>
      </c>
      <c r="F1485" s="3" t="s">
        <v>1367</v>
      </c>
      <c r="G1485" s="4">
        <v>300</v>
      </c>
      <c r="H1485" s="4">
        <v>0</v>
      </c>
      <c r="I1485" s="4">
        <v>-43668951.369999997</v>
      </c>
    </row>
    <row r="1486" spans="1:9" x14ac:dyDescent="0.3">
      <c r="A1486" t="s">
        <v>133</v>
      </c>
      <c r="B1486" s="1">
        <v>45876</v>
      </c>
      <c r="C1486" s="1">
        <v>45876</v>
      </c>
      <c r="D1486">
        <v>913040</v>
      </c>
      <c r="E1486">
        <v>18</v>
      </c>
      <c r="F1486" s="3" t="s">
        <v>1368</v>
      </c>
      <c r="G1486" s="4">
        <v>160000</v>
      </c>
      <c r="H1486" s="4">
        <v>0</v>
      </c>
      <c r="I1486" s="4">
        <v>-43508951.369999997</v>
      </c>
    </row>
    <row r="1487" spans="1:9" x14ac:dyDescent="0.3">
      <c r="A1487" t="s">
        <v>133</v>
      </c>
      <c r="B1487" s="1">
        <v>45876</v>
      </c>
      <c r="C1487" s="1">
        <v>45876</v>
      </c>
      <c r="D1487">
        <v>913044</v>
      </c>
      <c r="E1487">
        <v>78</v>
      </c>
      <c r="F1487" s="3" t="s">
        <v>1369</v>
      </c>
      <c r="G1487" s="4">
        <v>310000</v>
      </c>
      <c r="H1487" s="4">
        <v>0</v>
      </c>
      <c r="I1487" s="4">
        <v>-43198951.369999997</v>
      </c>
    </row>
    <row r="1488" spans="1:9" x14ac:dyDescent="0.3">
      <c r="A1488" t="s">
        <v>133</v>
      </c>
      <c r="B1488" s="1">
        <v>45876</v>
      </c>
      <c r="C1488" s="1">
        <v>45876</v>
      </c>
      <c r="D1488">
        <v>913052</v>
      </c>
      <c r="E1488">
        <v>11</v>
      </c>
      <c r="F1488" s="3" t="s">
        <v>1370</v>
      </c>
      <c r="G1488" s="4">
        <v>1700000</v>
      </c>
      <c r="H1488" s="4">
        <v>0</v>
      </c>
      <c r="I1488" s="4">
        <v>-41498951.369999997</v>
      </c>
    </row>
    <row r="1489" spans="1:9" x14ac:dyDescent="0.3">
      <c r="A1489" t="s">
        <v>133</v>
      </c>
      <c r="B1489" s="1">
        <v>45876</v>
      </c>
      <c r="C1489" s="1">
        <v>45876</v>
      </c>
      <c r="D1489">
        <v>913053</v>
      </c>
      <c r="E1489">
        <v>79</v>
      </c>
      <c r="F1489" s="3" t="s">
        <v>1371</v>
      </c>
      <c r="G1489" s="4">
        <v>250000</v>
      </c>
      <c r="H1489" s="4">
        <v>0</v>
      </c>
      <c r="I1489" s="4">
        <v>-41248951.369999997</v>
      </c>
    </row>
    <row r="1490" spans="1:9" x14ac:dyDescent="0.3">
      <c r="A1490" t="s">
        <v>133</v>
      </c>
      <c r="B1490" s="1">
        <v>45876</v>
      </c>
      <c r="C1490" s="1">
        <v>45876</v>
      </c>
      <c r="D1490">
        <v>913062</v>
      </c>
      <c r="E1490">
        <v>382</v>
      </c>
      <c r="F1490" s="3" t="s">
        <v>1372</v>
      </c>
      <c r="G1490" s="4">
        <v>450000</v>
      </c>
      <c r="H1490" s="4">
        <v>0</v>
      </c>
      <c r="I1490" s="4">
        <v>-40798951.369999997</v>
      </c>
    </row>
    <row r="1491" spans="1:9" x14ac:dyDescent="0.3">
      <c r="A1491" t="s">
        <v>133</v>
      </c>
      <c r="B1491" s="1">
        <v>45876</v>
      </c>
      <c r="C1491" s="1">
        <v>45876</v>
      </c>
      <c r="D1491">
        <v>913063</v>
      </c>
      <c r="E1491">
        <v>88</v>
      </c>
      <c r="F1491" s="3" t="s">
        <v>1373</v>
      </c>
      <c r="G1491" s="4">
        <v>23121</v>
      </c>
      <c r="H1491" s="4">
        <v>0</v>
      </c>
      <c r="I1491" s="4">
        <v>-40775830.369999997</v>
      </c>
    </row>
    <row r="1492" spans="1:9" x14ac:dyDescent="0.3">
      <c r="A1492" t="s">
        <v>133</v>
      </c>
      <c r="B1492" s="1">
        <v>45876</v>
      </c>
      <c r="C1492" s="1">
        <v>45876</v>
      </c>
      <c r="D1492">
        <v>913064</v>
      </c>
      <c r="E1492">
        <v>56</v>
      </c>
      <c r="F1492" s="3" t="s">
        <v>1374</v>
      </c>
      <c r="G1492" s="4">
        <v>690000</v>
      </c>
      <c r="H1492" s="4">
        <v>0</v>
      </c>
      <c r="I1492" s="4">
        <v>-40085830.369999997</v>
      </c>
    </row>
    <row r="1493" spans="1:9" x14ac:dyDescent="0.3">
      <c r="A1493" t="s">
        <v>133</v>
      </c>
      <c r="B1493" s="1">
        <v>45876</v>
      </c>
      <c r="C1493" s="1">
        <v>45876</v>
      </c>
      <c r="D1493">
        <v>913068</v>
      </c>
      <c r="E1493">
        <v>82</v>
      </c>
      <c r="F1493" s="3" t="s">
        <v>176</v>
      </c>
      <c r="G1493" s="4">
        <v>150000</v>
      </c>
      <c r="H1493" s="4">
        <v>0</v>
      </c>
      <c r="I1493" s="4">
        <v>-39935830.369999997</v>
      </c>
    </row>
    <row r="1494" spans="1:9" x14ac:dyDescent="0.3">
      <c r="A1494" t="s">
        <v>133</v>
      </c>
      <c r="B1494" s="1">
        <v>45876</v>
      </c>
      <c r="C1494" s="1">
        <v>45876</v>
      </c>
      <c r="D1494">
        <v>913074</v>
      </c>
      <c r="E1494">
        <v>52</v>
      </c>
      <c r="F1494" s="3" t="s">
        <v>669</v>
      </c>
      <c r="G1494" s="4">
        <v>500000</v>
      </c>
      <c r="H1494" s="4">
        <v>0</v>
      </c>
      <c r="I1494" s="4">
        <v>-39435830.369999997</v>
      </c>
    </row>
    <row r="1495" spans="1:9" x14ac:dyDescent="0.3">
      <c r="A1495" t="s">
        <v>133</v>
      </c>
      <c r="B1495" s="1">
        <v>45876</v>
      </c>
      <c r="C1495" s="1">
        <v>45876</v>
      </c>
      <c r="D1495">
        <v>913075</v>
      </c>
      <c r="E1495">
        <v>77</v>
      </c>
      <c r="F1495" s="3" t="s">
        <v>944</v>
      </c>
      <c r="G1495" s="4">
        <v>320000</v>
      </c>
      <c r="H1495" s="4">
        <v>0</v>
      </c>
      <c r="I1495" s="4">
        <v>-39115830.369999997</v>
      </c>
    </row>
    <row r="1496" spans="1:9" x14ac:dyDescent="0.3">
      <c r="A1496" t="s">
        <v>133</v>
      </c>
      <c r="B1496" s="1">
        <v>45876</v>
      </c>
      <c r="C1496" s="1">
        <v>45876</v>
      </c>
      <c r="D1496">
        <v>913076</v>
      </c>
      <c r="E1496">
        <v>63</v>
      </c>
      <c r="F1496" s="3" t="s">
        <v>1352</v>
      </c>
      <c r="G1496" s="4">
        <v>220000</v>
      </c>
      <c r="H1496" s="4">
        <v>0</v>
      </c>
      <c r="I1496" s="4">
        <v>-38895830.369999997</v>
      </c>
    </row>
    <row r="1497" spans="1:9" x14ac:dyDescent="0.3">
      <c r="A1497" t="s">
        <v>133</v>
      </c>
      <c r="B1497" s="1">
        <v>45876</v>
      </c>
      <c r="C1497" s="1">
        <v>45876</v>
      </c>
      <c r="D1497">
        <v>913078</v>
      </c>
      <c r="E1497">
        <v>15</v>
      </c>
      <c r="F1497" s="3" t="s">
        <v>966</v>
      </c>
      <c r="G1497" s="4">
        <v>160000</v>
      </c>
      <c r="H1497" s="4">
        <v>0</v>
      </c>
      <c r="I1497" s="4">
        <v>-38735830.369999997</v>
      </c>
    </row>
    <row r="1498" spans="1:9" x14ac:dyDescent="0.3">
      <c r="A1498" t="s">
        <v>133</v>
      </c>
      <c r="B1498" s="1">
        <v>45876</v>
      </c>
      <c r="C1498" s="1">
        <v>45876</v>
      </c>
      <c r="D1498">
        <v>913083</v>
      </c>
      <c r="E1498">
        <v>84</v>
      </c>
      <c r="F1498" s="3" t="s">
        <v>1375</v>
      </c>
      <c r="G1498" s="4">
        <v>300000</v>
      </c>
      <c r="H1498" s="4">
        <v>0</v>
      </c>
      <c r="I1498" s="4">
        <v>-38435830.369999997</v>
      </c>
    </row>
    <row r="1499" spans="1:9" x14ac:dyDescent="0.3">
      <c r="A1499" t="s">
        <v>133</v>
      </c>
      <c r="B1499" s="1">
        <v>45876</v>
      </c>
      <c r="C1499" s="1">
        <v>45876</v>
      </c>
      <c r="D1499">
        <v>913084</v>
      </c>
      <c r="E1499">
        <v>14</v>
      </c>
      <c r="F1499" s="3" t="s">
        <v>1376</v>
      </c>
      <c r="G1499" s="4">
        <v>178851.25</v>
      </c>
      <c r="H1499" s="4">
        <v>0</v>
      </c>
      <c r="I1499" s="4">
        <v>-38256979.119999997</v>
      </c>
    </row>
    <row r="1500" spans="1:9" x14ac:dyDescent="0.3">
      <c r="A1500" t="s">
        <v>133</v>
      </c>
      <c r="B1500" s="1">
        <v>45876</v>
      </c>
      <c r="C1500" s="1">
        <v>45876</v>
      </c>
      <c r="D1500">
        <v>913086</v>
      </c>
      <c r="E1500">
        <v>27</v>
      </c>
      <c r="F1500" s="3" t="s">
        <v>1377</v>
      </c>
      <c r="G1500" s="4">
        <v>102932.5</v>
      </c>
      <c r="H1500" s="4">
        <v>0</v>
      </c>
      <c r="I1500" s="4">
        <v>-38154046.619999997</v>
      </c>
    </row>
    <row r="1501" spans="1:9" x14ac:dyDescent="0.3">
      <c r="A1501" t="s">
        <v>133</v>
      </c>
      <c r="B1501" s="1">
        <v>45876</v>
      </c>
      <c r="C1501" s="1">
        <v>45876</v>
      </c>
      <c r="D1501">
        <v>913088</v>
      </c>
      <c r="E1501">
        <v>422</v>
      </c>
      <c r="F1501" s="3" t="s">
        <v>1378</v>
      </c>
      <c r="G1501" s="4">
        <v>18315.5</v>
      </c>
      <c r="H1501" s="4">
        <v>0</v>
      </c>
      <c r="I1501" s="4">
        <v>-38135731.119999997</v>
      </c>
    </row>
    <row r="1502" spans="1:9" x14ac:dyDescent="0.3">
      <c r="A1502" t="s">
        <v>133</v>
      </c>
      <c r="B1502" s="1">
        <v>45876</v>
      </c>
      <c r="C1502" s="1">
        <v>45876</v>
      </c>
      <c r="D1502">
        <v>913090</v>
      </c>
      <c r="E1502">
        <v>27</v>
      </c>
      <c r="F1502" s="3" t="s">
        <v>1379</v>
      </c>
      <c r="G1502" s="4">
        <v>179297.5</v>
      </c>
      <c r="H1502" s="4">
        <v>0</v>
      </c>
      <c r="I1502" s="4">
        <v>-37956433.619999997</v>
      </c>
    </row>
    <row r="1503" spans="1:9" x14ac:dyDescent="0.3">
      <c r="A1503" t="s">
        <v>133</v>
      </c>
      <c r="B1503" s="1">
        <v>45876</v>
      </c>
      <c r="C1503" s="1">
        <v>45876</v>
      </c>
      <c r="D1503">
        <v>913100</v>
      </c>
      <c r="E1503">
        <v>11</v>
      </c>
      <c r="F1503" s="3" t="s">
        <v>1380</v>
      </c>
      <c r="G1503" s="4">
        <v>212125</v>
      </c>
      <c r="H1503" s="4">
        <v>0</v>
      </c>
      <c r="I1503" s="4">
        <v>-37744308.619999997</v>
      </c>
    </row>
    <row r="1504" spans="1:9" x14ac:dyDescent="0.3">
      <c r="A1504" t="s">
        <v>133</v>
      </c>
      <c r="B1504" s="1">
        <v>45876</v>
      </c>
      <c r="C1504" s="1">
        <v>45876</v>
      </c>
      <c r="D1504">
        <v>913101</v>
      </c>
      <c r="E1504">
        <v>33</v>
      </c>
      <c r="F1504" s="3" t="s">
        <v>1381</v>
      </c>
      <c r="G1504" s="4">
        <v>870000</v>
      </c>
      <c r="H1504" s="4">
        <v>0</v>
      </c>
      <c r="I1504" s="4">
        <v>-36874308.619999997</v>
      </c>
    </row>
    <row r="1505" spans="1:9" x14ac:dyDescent="0.3">
      <c r="A1505" t="s">
        <v>133</v>
      </c>
      <c r="B1505" s="1">
        <v>45876</v>
      </c>
      <c r="C1505" s="1">
        <v>45876</v>
      </c>
      <c r="D1505">
        <v>913103</v>
      </c>
      <c r="E1505">
        <v>351</v>
      </c>
      <c r="F1505" s="3" t="s">
        <v>1382</v>
      </c>
      <c r="G1505" s="4">
        <v>250000</v>
      </c>
      <c r="H1505" s="4">
        <v>0</v>
      </c>
      <c r="I1505" s="4">
        <v>-36624308.619999997</v>
      </c>
    </row>
    <row r="1506" spans="1:9" x14ac:dyDescent="0.3">
      <c r="A1506" t="s">
        <v>133</v>
      </c>
      <c r="B1506" s="1">
        <v>45876</v>
      </c>
      <c r="C1506" s="1">
        <v>45876</v>
      </c>
      <c r="D1506">
        <v>913104</v>
      </c>
      <c r="E1506">
        <v>53</v>
      </c>
      <c r="F1506" s="3" t="s">
        <v>950</v>
      </c>
      <c r="G1506" s="4">
        <v>710000</v>
      </c>
      <c r="H1506" s="4">
        <v>0</v>
      </c>
      <c r="I1506" s="4">
        <v>-35914308.619999997</v>
      </c>
    </row>
    <row r="1507" spans="1:9" x14ac:dyDescent="0.3">
      <c r="A1507" t="s">
        <v>133</v>
      </c>
      <c r="B1507" s="1">
        <v>45876</v>
      </c>
      <c r="C1507" s="1">
        <v>45876</v>
      </c>
      <c r="D1507">
        <v>913106</v>
      </c>
      <c r="E1507">
        <v>307</v>
      </c>
      <c r="F1507" s="3" t="s">
        <v>1383</v>
      </c>
      <c r="G1507" s="4">
        <v>400600</v>
      </c>
      <c r="H1507" s="4">
        <v>0</v>
      </c>
      <c r="I1507" s="4">
        <v>-35513708.619999997</v>
      </c>
    </row>
    <row r="1508" spans="1:9" x14ac:dyDescent="0.3">
      <c r="A1508" t="s">
        <v>133</v>
      </c>
      <c r="B1508" s="1">
        <v>45876</v>
      </c>
      <c r="C1508" s="1">
        <v>45876</v>
      </c>
      <c r="D1508">
        <v>913112</v>
      </c>
      <c r="E1508">
        <v>61</v>
      </c>
      <c r="F1508" s="3" t="s">
        <v>1384</v>
      </c>
      <c r="G1508" s="4">
        <v>200000</v>
      </c>
      <c r="H1508" s="4">
        <v>0</v>
      </c>
      <c r="I1508" s="4">
        <v>-35313708.619999997</v>
      </c>
    </row>
    <row r="1509" spans="1:9" x14ac:dyDescent="0.3">
      <c r="A1509" t="s">
        <v>133</v>
      </c>
      <c r="B1509" s="1">
        <v>45876</v>
      </c>
      <c r="C1509" s="1">
        <v>45876</v>
      </c>
      <c r="D1509">
        <v>913113</v>
      </c>
      <c r="E1509">
        <v>32</v>
      </c>
      <c r="F1509" s="3" t="s">
        <v>217</v>
      </c>
      <c r="G1509" s="4">
        <v>270000</v>
      </c>
      <c r="H1509" s="4">
        <v>0</v>
      </c>
      <c r="I1509" s="4">
        <v>-35043708.619999997</v>
      </c>
    </row>
    <row r="1510" spans="1:9" x14ac:dyDescent="0.3">
      <c r="A1510" t="s">
        <v>133</v>
      </c>
      <c r="B1510" s="1">
        <v>45876</v>
      </c>
      <c r="C1510" s="1">
        <v>45876</v>
      </c>
      <c r="D1510">
        <v>913121</v>
      </c>
      <c r="E1510">
        <v>98</v>
      </c>
      <c r="F1510" s="3" t="s">
        <v>1385</v>
      </c>
      <c r="G1510" s="4">
        <v>190000</v>
      </c>
      <c r="H1510" s="4">
        <v>0</v>
      </c>
      <c r="I1510" s="4">
        <v>-34853708.619999997</v>
      </c>
    </row>
    <row r="1511" spans="1:9" x14ac:dyDescent="0.3">
      <c r="A1511" t="s">
        <v>133</v>
      </c>
      <c r="B1511" s="1">
        <v>45876</v>
      </c>
      <c r="C1511" s="1">
        <v>45876</v>
      </c>
      <c r="D1511">
        <v>913122</v>
      </c>
      <c r="E1511">
        <v>48</v>
      </c>
      <c r="F1511" s="3" t="s">
        <v>1386</v>
      </c>
      <c r="G1511" s="4">
        <v>800000</v>
      </c>
      <c r="H1511" s="4">
        <v>0</v>
      </c>
      <c r="I1511" s="4">
        <v>-34053708.619999997</v>
      </c>
    </row>
    <row r="1512" spans="1:9" x14ac:dyDescent="0.3">
      <c r="A1512" t="s">
        <v>133</v>
      </c>
      <c r="B1512" s="1">
        <v>45876</v>
      </c>
      <c r="C1512" s="1">
        <v>45876</v>
      </c>
      <c r="D1512">
        <v>913127</v>
      </c>
      <c r="E1512">
        <v>49</v>
      </c>
      <c r="F1512" s="3">
        <v>492985252181647</v>
      </c>
      <c r="G1512" s="4">
        <v>633.75</v>
      </c>
      <c r="H1512" s="4">
        <v>0</v>
      </c>
      <c r="I1512" s="4">
        <v>-34053074.869999997</v>
      </c>
    </row>
    <row r="1513" spans="1:9" x14ac:dyDescent="0.3">
      <c r="A1513" t="s">
        <v>133</v>
      </c>
      <c r="B1513" s="1">
        <v>45876</v>
      </c>
      <c r="C1513" s="1">
        <v>45876</v>
      </c>
      <c r="D1513">
        <v>913131</v>
      </c>
      <c r="E1513">
        <v>70</v>
      </c>
      <c r="F1513" s="3">
        <v>4322</v>
      </c>
      <c r="G1513" s="4">
        <v>13644.25</v>
      </c>
      <c r="H1513" s="4">
        <v>0</v>
      </c>
      <c r="I1513" s="4">
        <v>-34039430.619999997</v>
      </c>
    </row>
    <row r="1514" spans="1:9" x14ac:dyDescent="0.3">
      <c r="A1514" t="s">
        <v>133</v>
      </c>
      <c r="B1514" s="1">
        <v>45876</v>
      </c>
      <c r="C1514" s="1">
        <v>45876</v>
      </c>
      <c r="D1514">
        <v>913135</v>
      </c>
      <c r="E1514">
        <v>70</v>
      </c>
      <c r="F1514" s="3">
        <v>4323</v>
      </c>
      <c r="G1514" s="4">
        <v>10509.5</v>
      </c>
      <c r="H1514" s="4">
        <v>0</v>
      </c>
      <c r="I1514" s="4">
        <v>-34028921.119999997</v>
      </c>
    </row>
    <row r="1515" spans="1:9" x14ac:dyDescent="0.3">
      <c r="A1515" t="s">
        <v>133</v>
      </c>
      <c r="B1515" s="1">
        <v>45876</v>
      </c>
      <c r="C1515" s="1">
        <v>45876</v>
      </c>
      <c r="D1515">
        <v>913136</v>
      </c>
      <c r="E1515">
        <v>64</v>
      </c>
      <c r="F1515" s="3" t="s">
        <v>945</v>
      </c>
      <c r="G1515" s="4">
        <v>500000</v>
      </c>
      <c r="H1515" s="4">
        <v>0</v>
      </c>
      <c r="I1515" s="4">
        <v>-33528921.120000001</v>
      </c>
    </row>
    <row r="1516" spans="1:9" x14ac:dyDescent="0.3">
      <c r="A1516" t="s">
        <v>133</v>
      </c>
      <c r="B1516" s="1">
        <v>45876</v>
      </c>
      <c r="C1516" s="1">
        <v>45876</v>
      </c>
      <c r="D1516">
        <v>913138</v>
      </c>
      <c r="E1516">
        <v>89</v>
      </c>
      <c r="F1516" s="3" t="s">
        <v>1387</v>
      </c>
      <c r="G1516" s="4">
        <v>210000</v>
      </c>
      <c r="H1516" s="4">
        <v>0</v>
      </c>
      <c r="I1516" s="4">
        <v>-33318921.120000001</v>
      </c>
    </row>
    <row r="1517" spans="1:9" x14ac:dyDescent="0.3">
      <c r="A1517" t="s">
        <v>133</v>
      </c>
      <c r="B1517" s="1">
        <v>45876</v>
      </c>
      <c r="C1517" s="1">
        <v>45876</v>
      </c>
      <c r="D1517">
        <v>913139</v>
      </c>
      <c r="E1517">
        <v>80</v>
      </c>
      <c r="F1517" s="3" t="s">
        <v>1388</v>
      </c>
      <c r="G1517" s="4">
        <v>100000</v>
      </c>
      <c r="H1517" s="4">
        <v>0</v>
      </c>
      <c r="I1517" s="4">
        <v>-33218921.120000001</v>
      </c>
    </row>
    <row r="1518" spans="1:9" x14ac:dyDescent="0.3">
      <c r="A1518" t="s">
        <v>133</v>
      </c>
      <c r="B1518" s="1">
        <v>45876</v>
      </c>
      <c r="C1518" s="1">
        <v>45876</v>
      </c>
      <c r="D1518">
        <v>913140</v>
      </c>
      <c r="E1518">
        <v>70</v>
      </c>
      <c r="F1518" s="3">
        <v>4325</v>
      </c>
      <c r="G1518" s="4">
        <v>62615.75</v>
      </c>
      <c r="H1518" s="4">
        <v>0</v>
      </c>
      <c r="I1518" s="4">
        <v>-33156305.370000001</v>
      </c>
    </row>
    <row r="1519" spans="1:9" x14ac:dyDescent="0.3">
      <c r="A1519" t="s">
        <v>133</v>
      </c>
      <c r="B1519" s="1">
        <v>45876</v>
      </c>
      <c r="C1519" s="1">
        <v>45876</v>
      </c>
      <c r="D1519">
        <v>913142</v>
      </c>
      <c r="E1519">
        <v>70</v>
      </c>
      <c r="F1519" s="3" t="s">
        <v>1389</v>
      </c>
      <c r="G1519" s="4">
        <v>260000</v>
      </c>
      <c r="H1519" s="4">
        <v>0</v>
      </c>
      <c r="I1519" s="4">
        <v>-32896305.370000001</v>
      </c>
    </row>
    <row r="1520" spans="1:9" x14ac:dyDescent="0.3">
      <c r="A1520" t="s">
        <v>133</v>
      </c>
      <c r="B1520" s="1">
        <v>45876</v>
      </c>
      <c r="C1520" s="1">
        <v>45876</v>
      </c>
      <c r="D1520">
        <v>913143</v>
      </c>
      <c r="E1520">
        <v>49</v>
      </c>
      <c r="F1520" s="3" t="s">
        <v>1390</v>
      </c>
      <c r="G1520" s="4">
        <v>39403</v>
      </c>
      <c r="H1520" s="4">
        <v>0</v>
      </c>
      <c r="I1520" s="4">
        <v>-32856902.370000001</v>
      </c>
    </row>
    <row r="1521" spans="1:9" x14ac:dyDescent="0.3">
      <c r="A1521" t="s">
        <v>133</v>
      </c>
      <c r="B1521" s="1">
        <v>45876</v>
      </c>
      <c r="C1521" s="1">
        <v>45876</v>
      </c>
      <c r="D1521">
        <v>913145</v>
      </c>
      <c r="E1521">
        <v>310</v>
      </c>
      <c r="F1521" s="3" t="s">
        <v>211</v>
      </c>
      <c r="G1521" s="4">
        <v>300000</v>
      </c>
      <c r="H1521" s="4">
        <v>0</v>
      </c>
      <c r="I1521" s="4">
        <v>-32556902.370000001</v>
      </c>
    </row>
    <row r="1522" spans="1:9" x14ac:dyDescent="0.3">
      <c r="A1522" t="s">
        <v>133</v>
      </c>
      <c r="B1522" s="1">
        <v>45876</v>
      </c>
      <c r="C1522" s="1">
        <v>45876</v>
      </c>
      <c r="D1522">
        <v>913146</v>
      </c>
      <c r="E1522">
        <v>23</v>
      </c>
      <c r="F1522" s="3" t="s">
        <v>1391</v>
      </c>
      <c r="G1522" s="4">
        <v>1100000</v>
      </c>
      <c r="H1522" s="4">
        <v>0</v>
      </c>
      <c r="I1522" s="4">
        <v>-31456902.370000001</v>
      </c>
    </row>
    <row r="1523" spans="1:9" x14ac:dyDescent="0.3">
      <c r="A1523" t="s">
        <v>133</v>
      </c>
      <c r="B1523" s="1">
        <v>45876</v>
      </c>
      <c r="C1523" s="1">
        <v>45876</v>
      </c>
      <c r="D1523">
        <v>913154</v>
      </c>
      <c r="E1523">
        <v>86</v>
      </c>
      <c r="F1523" s="3">
        <v>1661</v>
      </c>
      <c r="G1523" s="4">
        <v>288000</v>
      </c>
      <c r="H1523" s="4">
        <v>0</v>
      </c>
      <c r="I1523" s="4">
        <v>-31168902.370000001</v>
      </c>
    </row>
    <row r="1524" spans="1:9" x14ac:dyDescent="0.3">
      <c r="A1524" t="s">
        <v>133</v>
      </c>
      <c r="B1524" s="1">
        <v>45876</v>
      </c>
      <c r="C1524" s="1">
        <v>45876</v>
      </c>
      <c r="D1524">
        <v>913155</v>
      </c>
      <c r="E1524">
        <v>86</v>
      </c>
      <c r="F1524" s="3">
        <v>1662</v>
      </c>
      <c r="G1524" s="4">
        <v>250000</v>
      </c>
      <c r="H1524" s="4">
        <v>0</v>
      </c>
      <c r="I1524" s="4">
        <v>-30918902.370000001</v>
      </c>
    </row>
    <row r="1525" spans="1:9" x14ac:dyDescent="0.3">
      <c r="A1525" t="s">
        <v>133</v>
      </c>
      <c r="B1525" s="1">
        <v>45876</v>
      </c>
      <c r="C1525" s="1">
        <v>45876</v>
      </c>
      <c r="D1525">
        <v>913156</v>
      </c>
      <c r="E1525">
        <v>86</v>
      </c>
      <c r="F1525" s="3">
        <v>1660</v>
      </c>
      <c r="G1525" s="4">
        <v>280885</v>
      </c>
      <c r="H1525" s="4">
        <v>0</v>
      </c>
      <c r="I1525" s="4">
        <v>-30638017.370000001</v>
      </c>
    </row>
    <row r="1526" spans="1:9" x14ac:dyDescent="0.3">
      <c r="A1526" t="s">
        <v>133</v>
      </c>
      <c r="B1526" s="1">
        <v>45876</v>
      </c>
      <c r="C1526" s="1">
        <v>45876</v>
      </c>
      <c r="D1526">
        <v>913160</v>
      </c>
      <c r="E1526">
        <v>351</v>
      </c>
      <c r="F1526" s="3" t="s">
        <v>1392</v>
      </c>
      <c r="G1526" s="4">
        <v>9068.25</v>
      </c>
      <c r="H1526" s="4">
        <v>0</v>
      </c>
      <c r="I1526" s="4">
        <v>-30628949.120000001</v>
      </c>
    </row>
    <row r="1527" spans="1:9" x14ac:dyDescent="0.3">
      <c r="A1527" t="s">
        <v>133</v>
      </c>
      <c r="B1527" s="1">
        <v>45876</v>
      </c>
      <c r="C1527" s="1">
        <v>45876</v>
      </c>
      <c r="D1527">
        <v>913165</v>
      </c>
      <c r="E1527">
        <v>351</v>
      </c>
      <c r="F1527" s="3" t="s">
        <v>1393</v>
      </c>
      <c r="G1527" s="4">
        <v>128668</v>
      </c>
      <c r="H1527" s="4">
        <v>0</v>
      </c>
      <c r="I1527" s="4">
        <v>-30500281.120000001</v>
      </c>
    </row>
    <row r="1528" spans="1:9" x14ac:dyDescent="0.3">
      <c r="A1528" t="s">
        <v>133</v>
      </c>
      <c r="B1528" s="1">
        <v>45876</v>
      </c>
      <c r="C1528" s="1">
        <v>45876</v>
      </c>
      <c r="D1528">
        <v>913167</v>
      </c>
      <c r="E1528">
        <v>210</v>
      </c>
      <c r="F1528" s="3" t="s">
        <v>255</v>
      </c>
      <c r="G1528" s="4">
        <v>170055</v>
      </c>
      <c r="H1528" s="4">
        <v>0</v>
      </c>
      <c r="I1528" s="4">
        <v>-30330226.120000001</v>
      </c>
    </row>
    <row r="1529" spans="1:9" x14ac:dyDescent="0.3">
      <c r="A1529" t="s">
        <v>133</v>
      </c>
      <c r="B1529" s="1">
        <v>45876</v>
      </c>
      <c r="C1529" s="1">
        <v>45876</v>
      </c>
      <c r="D1529">
        <v>913168</v>
      </c>
      <c r="E1529">
        <v>78</v>
      </c>
      <c r="F1529" s="3" t="s">
        <v>1394</v>
      </c>
      <c r="G1529" s="4">
        <v>40000</v>
      </c>
      <c r="H1529" s="4">
        <v>0</v>
      </c>
      <c r="I1529" s="4">
        <v>-30290226.120000001</v>
      </c>
    </row>
    <row r="1530" spans="1:9" x14ac:dyDescent="0.3">
      <c r="A1530" t="s">
        <v>133</v>
      </c>
      <c r="B1530" s="1">
        <v>45876</v>
      </c>
      <c r="C1530" s="1">
        <v>45876</v>
      </c>
      <c r="D1530">
        <v>913169</v>
      </c>
      <c r="E1530">
        <v>15</v>
      </c>
      <c r="F1530" s="3" t="s">
        <v>1395</v>
      </c>
      <c r="G1530" s="4">
        <v>21000</v>
      </c>
      <c r="H1530" s="4">
        <v>0</v>
      </c>
      <c r="I1530" s="4">
        <v>-30269226.120000001</v>
      </c>
    </row>
    <row r="1531" spans="1:9" x14ac:dyDescent="0.3">
      <c r="A1531" t="s">
        <v>133</v>
      </c>
      <c r="B1531" s="1">
        <v>45876</v>
      </c>
      <c r="C1531" s="1">
        <v>45876</v>
      </c>
      <c r="D1531">
        <v>913175</v>
      </c>
      <c r="E1531">
        <v>15</v>
      </c>
      <c r="F1531" s="3" t="s">
        <v>1396</v>
      </c>
      <c r="G1531" s="4">
        <v>203716</v>
      </c>
      <c r="H1531" s="4">
        <v>0</v>
      </c>
      <c r="I1531" s="4">
        <v>-30065510.120000001</v>
      </c>
    </row>
    <row r="1532" spans="1:9" x14ac:dyDescent="0.3">
      <c r="A1532" t="s">
        <v>133</v>
      </c>
      <c r="B1532" s="1">
        <v>45876</v>
      </c>
      <c r="C1532" s="1">
        <v>45876</v>
      </c>
      <c r="D1532">
        <v>913178</v>
      </c>
      <c r="E1532">
        <v>43</v>
      </c>
      <c r="F1532" s="3" t="s">
        <v>1397</v>
      </c>
      <c r="G1532" s="4">
        <v>6622.75</v>
      </c>
      <c r="H1532" s="4">
        <v>0</v>
      </c>
      <c r="I1532" s="4">
        <v>-30058887.370000001</v>
      </c>
    </row>
    <row r="1533" spans="1:9" x14ac:dyDescent="0.3">
      <c r="A1533" t="s">
        <v>133</v>
      </c>
      <c r="B1533" s="1">
        <v>45876</v>
      </c>
      <c r="C1533" s="1">
        <v>45876</v>
      </c>
      <c r="D1533">
        <v>913180</v>
      </c>
      <c r="E1533">
        <v>15</v>
      </c>
      <c r="F1533" s="3" t="s">
        <v>1398</v>
      </c>
      <c r="G1533" s="4">
        <v>46437.5</v>
      </c>
      <c r="H1533" s="4">
        <v>0</v>
      </c>
      <c r="I1533" s="4">
        <v>-30012449.870000001</v>
      </c>
    </row>
    <row r="1534" spans="1:9" x14ac:dyDescent="0.3">
      <c r="A1534" t="s">
        <v>133</v>
      </c>
      <c r="B1534" s="1">
        <v>45876</v>
      </c>
      <c r="C1534" s="1">
        <v>45876</v>
      </c>
      <c r="D1534">
        <v>913183</v>
      </c>
      <c r="E1534">
        <v>252</v>
      </c>
      <c r="F1534" s="3" t="s">
        <v>1399</v>
      </c>
      <c r="G1534" s="4">
        <v>3464</v>
      </c>
      <c r="H1534" s="4">
        <v>0</v>
      </c>
      <c r="I1534" s="4">
        <v>-30008985.870000001</v>
      </c>
    </row>
    <row r="1535" spans="1:9" x14ac:dyDescent="0.3">
      <c r="A1535" t="s">
        <v>133</v>
      </c>
      <c r="B1535" s="1">
        <v>45876</v>
      </c>
      <c r="C1535" s="1">
        <v>45876</v>
      </c>
      <c r="D1535">
        <v>913184</v>
      </c>
      <c r="E1535">
        <v>60</v>
      </c>
      <c r="F1535" s="3" t="s">
        <v>1400</v>
      </c>
      <c r="G1535" s="4">
        <v>445000</v>
      </c>
      <c r="H1535" s="4">
        <v>0</v>
      </c>
      <c r="I1535" s="4">
        <v>-29563985.870000001</v>
      </c>
    </row>
    <row r="1536" spans="1:9" x14ac:dyDescent="0.3">
      <c r="A1536" t="s">
        <v>133</v>
      </c>
      <c r="B1536" s="1">
        <v>45876</v>
      </c>
      <c r="C1536" s="1">
        <v>45876</v>
      </c>
      <c r="D1536">
        <v>913186</v>
      </c>
      <c r="E1536">
        <v>15</v>
      </c>
      <c r="F1536" s="3" t="s">
        <v>1401</v>
      </c>
      <c r="G1536" s="4">
        <v>12956.25</v>
      </c>
      <c r="H1536" s="4">
        <v>0</v>
      </c>
      <c r="I1536" s="4">
        <v>-29551029.620000001</v>
      </c>
    </row>
    <row r="1537" spans="1:9" x14ac:dyDescent="0.3">
      <c r="A1537" t="s">
        <v>133</v>
      </c>
      <c r="B1537" s="1">
        <v>45876</v>
      </c>
      <c r="C1537" s="1">
        <v>45876</v>
      </c>
      <c r="D1537">
        <v>913187</v>
      </c>
      <c r="E1537">
        <v>46</v>
      </c>
      <c r="F1537" s="3" t="s">
        <v>1402</v>
      </c>
      <c r="G1537" s="4">
        <v>241755.5</v>
      </c>
      <c r="H1537" s="4">
        <v>0</v>
      </c>
      <c r="I1537" s="4">
        <v>-29309274.120000001</v>
      </c>
    </row>
    <row r="1538" spans="1:9" x14ac:dyDescent="0.3">
      <c r="A1538" t="s">
        <v>133</v>
      </c>
      <c r="B1538" s="1">
        <v>45876</v>
      </c>
      <c r="C1538" s="1">
        <v>45876</v>
      </c>
      <c r="D1538">
        <v>913188</v>
      </c>
      <c r="E1538">
        <v>15</v>
      </c>
      <c r="F1538" s="3" t="s">
        <v>1403</v>
      </c>
      <c r="G1538" s="4">
        <v>21046.5</v>
      </c>
      <c r="H1538" s="4">
        <v>0</v>
      </c>
      <c r="I1538" s="4">
        <v>-29288227.620000001</v>
      </c>
    </row>
    <row r="1539" spans="1:9" x14ac:dyDescent="0.3">
      <c r="A1539" t="s">
        <v>133</v>
      </c>
      <c r="B1539" s="1">
        <v>45876</v>
      </c>
      <c r="C1539" s="1">
        <v>45876</v>
      </c>
      <c r="D1539">
        <v>913194</v>
      </c>
      <c r="E1539">
        <v>28</v>
      </c>
      <c r="F1539" s="3" t="s">
        <v>1404</v>
      </c>
      <c r="G1539" s="4">
        <v>14976.5</v>
      </c>
      <c r="H1539" s="4">
        <v>0</v>
      </c>
      <c r="I1539" s="4">
        <v>-29273251.120000001</v>
      </c>
    </row>
    <row r="1540" spans="1:9" x14ac:dyDescent="0.3">
      <c r="A1540" t="s">
        <v>1</v>
      </c>
      <c r="B1540" s="1">
        <v>45876</v>
      </c>
      <c r="C1540" s="1">
        <v>45877</v>
      </c>
      <c r="D1540">
        <v>102088</v>
      </c>
      <c r="E1540">
        <v>100</v>
      </c>
      <c r="F1540" s="3" t="s">
        <v>1405</v>
      </c>
      <c r="G1540" s="4">
        <v>33157.33</v>
      </c>
      <c r="I1540" s="4">
        <v>-29240093.789999999</v>
      </c>
    </row>
    <row r="1541" spans="1:9" x14ac:dyDescent="0.3">
      <c r="A1541" t="s">
        <v>1</v>
      </c>
      <c r="B1541" s="1">
        <v>45876</v>
      </c>
      <c r="C1541" s="1">
        <v>45877</v>
      </c>
      <c r="D1541">
        <v>102175</v>
      </c>
      <c r="E1541">
        <v>100</v>
      </c>
      <c r="F1541" s="3" t="s">
        <v>1406</v>
      </c>
      <c r="G1541" s="4">
        <v>5506</v>
      </c>
      <c r="I1541" s="4">
        <v>-29234587.789999999</v>
      </c>
    </row>
    <row r="1542" spans="1:9" x14ac:dyDescent="0.3">
      <c r="A1542" t="s">
        <v>1</v>
      </c>
      <c r="B1542" s="1">
        <v>45876</v>
      </c>
      <c r="C1542" s="1">
        <v>45877</v>
      </c>
      <c r="D1542">
        <v>102192</v>
      </c>
      <c r="E1542">
        <v>100</v>
      </c>
      <c r="F1542" s="3" t="s">
        <v>1407</v>
      </c>
      <c r="G1542" s="4">
        <v>52868</v>
      </c>
      <c r="I1542" s="4">
        <v>-29181719.789999999</v>
      </c>
    </row>
    <row r="1543" spans="1:9" x14ac:dyDescent="0.3">
      <c r="A1543" t="s">
        <v>1</v>
      </c>
      <c r="B1543" s="1">
        <v>45876</v>
      </c>
      <c r="C1543" s="1">
        <v>45877</v>
      </c>
      <c r="D1543">
        <v>102197</v>
      </c>
      <c r="E1543">
        <v>100</v>
      </c>
      <c r="F1543" s="3" t="s">
        <v>1219</v>
      </c>
      <c r="G1543" s="4">
        <v>68317.98</v>
      </c>
      <c r="I1543" s="4">
        <v>-29113401.809999999</v>
      </c>
    </row>
    <row r="1544" spans="1:9" x14ac:dyDescent="0.3">
      <c r="A1544" t="s">
        <v>1</v>
      </c>
      <c r="B1544" s="1">
        <v>45876</v>
      </c>
      <c r="C1544" s="1">
        <v>45877</v>
      </c>
      <c r="D1544">
        <v>102200</v>
      </c>
      <c r="E1544">
        <v>100</v>
      </c>
      <c r="F1544" s="3" t="s">
        <v>1408</v>
      </c>
      <c r="G1544" s="4">
        <v>15000</v>
      </c>
      <c r="I1544" s="4">
        <v>-29098401.809999999</v>
      </c>
    </row>
    <row r="1545" spans="1:9" x14ac:dyDescent="0.3">
      <c r="A1545" t="s">
        <v>1</v>
      </c>
      <c r="B1545" s="1">
        <v>45876</v>
      </c>
      <c r="C1545" s="1">
        <v>45877</v>
      </c>
      <c r="D1545">
        <v>102202</v>
      </c>
      <c r="E1545">
        <v>100</v>
      </c>
      <c r="F1545" s="3" t="s">
        <v>1409</v>
      </c>
      <c r="G1545" s="4">
        <v>5026.25</v>
      </c>
      <c r="I1545" s="4">
        <v>-29093375.559999999</v>
      </c>
    </row>
    <row r="1546" spans="1:9" x14ac:dyDescent="0.3">
      <c r="A1546" t="s">
        <v>1</v>
      </c>
      <c r="B1546" s="1">
        <v>45876</v>
      </c>
      <c r="C1546" s="1">
        <v>45877</v>
      </c>
      <c r="D1546">
        <v>102203</v>
      </c>
      <c r="E1546">
        <v>100</v>
      </c>
      <c r="F1546" s="3" t="s">
        <v>1410</v>
      </c>
      <c r="G1546" s="4">
        <v>5</v>
      </c>
      <c r="I1546" s="4">
        <v>-29093370.559999999</v>
      </c>
    </row>
    <row r="1547" spans="1:9" x14ac:dyDescent="0.3">
      <c r="A1547" t="s">
        <v>1</v>
      </c>
      <c r="B1547" s="1">
        <v>45870</v>
      </c>
      <c r="C1547" s="1">
        <v>45877</v>
      </c>
      <c r="D1547">
        <v>102206</v>
      </c>
      <c r="E1547">
        <v>100</v>
      </c>
      <c r="F1547" s="3" t="s">
        <v>1411</v>
      </c>
      <c r="G1547" s="4">
        <v>117290</v>
      </c>
      <c r="I1547" s="4">
        <v>-28976080.559999999</v>
      </c>
    </row>
    <row r="1548" spans="1:9" x14ac:dyDescent="0.3">
      <c r="A1548" t="s">
        <v>1</v>
      </c>
      <c r="B1548" s="1">
        <v>45876</v>
      </c>
      <c r="C1548" s="1">
        <v>45877</v>
      </c>
      <c r="D1548">
        <v>102210</v>
      </c>
      <c r="E1548">
        <v>100</v>
      </c>
      <c r="F1548" s="3" t="s">
        <v>1412</v>
      </c>
      <c r="G1548" s="4">
        <v>23285</v>
      </c>
      <c r="I1548" s="4">
        <v>-28952795.559999999</v>
      </c>
    </row>
    <row r="1549" spans="1:9" x14ac:dyDescent="0.3">
      <c r="A1549" t="s">
        <v>1</v>
      </c>
      <c r="B1549" s="1">
        <v>45876</v>
      </c>
      <c r="C1549" s="1">
        <v>45877</v>
      </c>
      <c r="D1549">
        <v>102211</v>
      </c>
      <c r="E1549">
        <v>100</v>
      </c>
      <c r="F1549" s="3" t="s">
        <v>1412</v>
      </c>
      <c r="G1549" s="4">
        <v>31220.38</v>
      </c>
      <c r="I1549" s="4">
        <v>-28921575.18</v>
      </c>
    </row>
    <row r="1550" spans="1:9" x14ac:dyDescent="0.3">
      <c r="A1550" t="s">
        <v>1</v>
      </c>
      <c r="B1550" s="1">
        <v>45876</v>
      </c>
      <c r="C1550" s="1">
        <v>45877</v>
      </c>
      <c r="D1550">
        <v>102212</v>
      </c>
      <c r="E1550">
        <v>100</v>
      </c>
      <c r="F1550" s="3" t="s">
        <v>1413</v>
      </c>
      <c r="G1550" s="4">
        <v>15776.25</v>
      </c>
      <c r="I1550" s="4">
        <v>-28905798.93</v>
      </c>
    </row>
    <row r="1551" spans="1:9" x14ac:dyDescent="0.3">
      <c r="A1551" t="s">
        <v>1</v>
      </c>
      <c r="B1551" s="1">
        <v>45876</v>
      </c>
      <c r="C1551" s="1">
        <v>45877</v>
      </c>
      <c r="D1551">
        <v>102213</v>
      </c>
      <c r="E1551">
        <v>100</v>
      </c>
      <c r="F1551" s="3" t="s">
        <v>1414</v>
      </c>
      <c r="G1551" s="4">
        <v>7680.73</v>
      </c>
      <c r="I1551" s="4">
        <v>-28898118.199999999</v>
      </c>
    </row>
    <row r="1552" spans="1:9" x14ac:dyDescent="0.3">
      <c r="A1552" t="s">
        <v>1</v>
      </c>
      <c r="B1552" s="1">
        <v>45876</v>
      </c>
      <c r="C1552" s="1">
        <v>45877</v>
      </c>
      <c r="D1552">
        <v>102216</v>
      </c>
      <c r="E1552">
        <v>100</v>
      </c>
      <c r="F1552" s="3" t="s">
        <v>1415</v>
      </c>
      <c r="G1552" s="4">
        <v>20615.75</v>
      </c>
      <c r="I1552" s="4">
        <v>-28877502.449999999</v>
      </c>
    </row>
    <row r="1553" spans="1:9" x14ac:dyDescent="0.3">
      <c r="A1553" t="s">
        <v>1</v>
      </c>
      <c r="B1553" s="1">
        <v>45876</v>
      </c>
      <c r="C1553" s="1">
        <v>45877</v>
      </c>
      <c r="D1553">
        <v>102219</v>
      </c>
      <c r="E1553">
        <v>100</v>
      </c>
      <c r="F1553" s="3" t="s">
        <v>1414</v>
      </c>
      <c r="G1553" s="4">
        <v>22563</v>
      </c>
      <c r="I1553" s="4">
        <v>-28854939.449999999</v>
      </c>
    </row>
    <row r="1554" spans="1:9" x14ac:dyDescent="0.3">
      <c r="A1554" t="s">
        <v>1</v>
      </c>
      <c r="B1554" s="1">
        <v>45876</v>
      </c>
      <c r="C1554" s="1">
        <v>45877</v>
      </c>
      <c r="D1554">
        <v>102221</v>
      </c>
      <c r="E1554">
        <v>100</v>
      </c>
      <c r="F1554" s="3" t="s">
        <v>1416</v>
      </c>
      <c r="G1554" s="4">
        <v>7015</v>
      </c>
      <c r="I1554" s="4">
        <v>-28847924.449999999</v>
      </c>
    </row>
    <row r="1555" spans="1:9" x14ac:dyDescent="0.3">
      <c r="A1555" t="s">
        <v>1</v>
      </c>
      <c r="B1555" s="1">
        <v>45876</v>
      </c>
      <c r="C1555" s="1">
        <v>45877</v>
      </c>
      <c r="D1555">
        <v>102223</v>
      </c>
      <c r="E1555">
        <v>100</v>
      </c>
      <c r="F1555" s="3" t="s">
        <v>1417</v>
      </c>
      <c r="G1555" s="4">
        <v>124389</v>
      </c>
      <c r="I1555" s="4">
        <v>-28723535.449999999</v>
      </c>
    </row>
    <row r="1556" spans="1:9" x14ac:dyDescent="0.3">
      <c r="A1556" t="s">
        <v>1</v>
      </c>
      <c r="B1556" s="1">
        <v>45875</v>
      </c>
      <c r="C1556" s="1">
        <v>45877</v>
      </c>
      <c r="D1556">
        <v>102224</v>
      </c>
      <c r="E1556">
        <v>100</v>
      </c>
      <c r="F1556" s="3" t="s">
        <v>1418</v>
      </c>
      <c r="G1556" s="4">
        <v>4570.75</v>
      </c>
      <c r="I1556" s="4">
        <v>-28718964.699999999</v>
      </c>
    </row>
    <row r="1557" spans="1:9" x14ac:dyDescent="0.3">
      <c r="A1557" t="s">
        <v>1</v>
      </c>
      <c r="B1557" s="1">
        <v>45873</v>
      </c>
      <c r="C1557" s="1">
        <v>45877</v>
      </c>
      <c r="D1557">
        <v>102230</v>
      </c>
      <c r="E1557">
        <v>100</v>
      </c>
      <c r="F1557" s="3" t="s">
        <v>1419</v>
      </c>
      <c r="G1557" s="4">
        <v>4200</v>
      </c>
      <c r="I1557" s="4">
        <v>-28714764.699999999</v>
      </c>
    </row>
    <row r="1558" spans="1:9" x14ac:dyDescent="0.3">
      <c r="A1558" t="s">
        <v>1</v>
      </c>
      <c r="B1558" s="1">
        <v>45873</v>
      </c>
      <c r="C1558" s="1">
        <v>45877</v>
      </c>
      <c r="D1558">
        <v>102231</v>
      </c>
      <c r="E1558">
        <v>100</v>
      </c>
      <c r="F1558" s="3" t="s">
        <v>1419</v>
      </c>
      <c r="G1558" s="4">
        <v>3500</v>
      </c>
      <c r="I1558" s="4">
        <v>-28711264.699999999</v>
      </c>
    </row>
    <row r="1559" spans="1:9" x14ac:dyDescent="0.3">
      <c r="A1559" t="s">
        <v>1</v>
      </c>
      <c r="B1559" s="1">
        <v>45873</v>
      </c>
      <c r="C1559" s="1">
        <v>45877</v>
      </c>
      <c r="D1559">
        <v>102232</v>
      </c>
      <c r="E1559">
        <v>100</v>
      </c>
      <c r="F1559" s="3" t="s">
        <v>1419</v>
      </c>
      <c r="G1559" s="4">
        <v>2800</v>
      </c>
      <c r="I1559" s="4">
        <v>-28708464.699999999</v>
      </c>
    </row>
    <row r="1560" spans="1:9" x14ac:dyDescent="0.3">
      <c r="A1560" t="s">
        <v>1</v>
      </c>
      <c r="B1560" s="1">
        <v>45876</v>
      </c>
      <c r="C1560" s="1">
        <v>45877</v>
      </c>
      <c r="D1560">
        <v>102233</v>
      </c>
      <c r="E1560">
        <v>100</v>
      </c>
      <c r="F1560" s="3" t="s">
        <v>1420</v>
      </c>
      <c r="G1560" s="4">
        <v>56849</v>
      </c>
      <c r="I1560" s="4">
        <v>-28651615.699999999</v>
      </c>
    </row>
    <row r="1561" spans="1:9" x14ac:dyDescent="0.3">
      <c r="A1561" t="s">
        <v>1</v>
      </c>
      <c r="B1561" s="1">
        <v>45876</v>
      </c>
      <c r="C1561" s="1">
        <v>45877</v>
      </c>
      <c r="D1561">
        <v>102234</v>
      </c>
      <c r="E1561">
        <v>100</v>
      </c>
      <c r="F1561" s="3" t="s">
        <v>1421</v>
      </c>
      <c r="G1561" s="4">
        <v>20350</v>
      </c>
      <c r="I1561" s="4">
        <v>-28631265.699999999</v>
      </c>
    </row>
    <row r="1562" spans="1:9" x14ac:dyDescent="0.3">
      <c r="A1562" t="s">
        <v>1</v>
      </c>
      <c r="B1562" s="1">
        <v>45876</v>
      </c>
      <c r="C1562" s="1">
        <v>45877</v>
      </c>
      <c r="D1562">
        <v>102235</v>
      </c>
      <c r="E1562">
        <v>100</v>
      </c>
      <c r="F1562" s="3" t="s">
        <v>1422</v>
      </c>
      <c r="G1562" s="4">
        <v>6500</v>
      </c>
      <c r="I1562" s="4">
        <v>-28624765.699999999</v>
      </c>
    </row>
    <row r="1563" spans="1:9" x14ac:dyDescent="0.3">
      <c r="A1563" t="s">
        <v>1</v>
      </c>
      <c r="B1563" s="1">
        <v>45877</v>
      </c>
      <c r="C1563" s="1">
        <v>45877</v>
      </c>
      <c r="D1563">
        <v>102241</v>
      </c>
      <c r="E1563">
        <v>100</v>
      </c>
      <c r="F1563" s="3" t="s">
        <v>1423</v>
      </c>
      <c r="G1563" s="4">
        <v>15191.3</v>
      </c>
      <c r="I1563" s="4">
        <v>-28609574.399999999</v>
      </c>
    </row>
    <row r="1564" spans="1:9" x14ac:dyDescent="0.3">
      <c r="A1564" t="s">
        <v>1</v>
      </c>
      <c r="B1564" s="1">
        <v>45876</v>
      </c>
      <c r="C1564" s="1">
        <v>45877</v>
      </c>
      <c r="D1564">
        <v>102249</v>
      </c>
      <c r="E1564">
        <v>100</v>
      </c>
      <c r="F1564" s="3" t="s">
        <v>1424</v>
      </c>
      <c r="G1564" s="4">
        <v>3500</v>
      </c>
      <c r="I1564" s="4">
        <v>-28606074.399999999</v>
      </c>
    </row>
    <row r="1565" spans="1:9" x14ac:dyDescent="0.3">
      <c r="A1565" t="s">
        <v>1</v>
      </c>
      <c r="B1565" s="1">
        <v>45870</v>
      </c>
      <c r="C1565" s="1">
        <v>45877</v>
      </c>
      <c r="D1565">
        <v>102252</v>
      </c>
      <c r="E1565">
        <v>100</v>
      </c>
      <c r="F1565" s="3" t="s">
        <v>1425</v>
      </c>
      <c r="G1565" s="4">
        <v>19452.5</v>
      </c>
      <c r="I1565" s="4">
        <v>-28586621.899999999</v>
      </c>
    </row>
    <row r="1566" spans="1:9" x14ac:dyDescent="0.3">
      <c r="A1566" t="s">
        <v>1</v>
      </c>
      <c r="B1566" s="1">
        <v>45877</v>
      </c>
      <c r="C1566" s="1">
        <v>45877</v>
      </c>
      <c r="D1566">
        <v>102253</v>
      </c>
      <c r="E1566">
        <v>100</v>
      </c>
      <c r="F1566" s="3" t="s">
        <v>1426</v>
      </c>
      <c r="G1566" s="4">
        <v>30000</v>
      </c>
      <c r="I1566" s="4">
        <v>-28556621.899999999</v>
      </c>
    </row>
    <row r="1567" spans="1:9" x14ac:dyDescent="0.3">
      <c r="A1567" t="s">
        <v>1</v>
      </c>
      <c r="B1567" s="1">
        <v>45876</v>
      </c>
      <c r="C1567" s="1">
        <v>45877</v>
      </c>
      <c r="D1567">
        <v>102254</v>
      </c>
      <c r="E1567">
        <v>100</v>
      </c>
      <c r="F1567" s="3" t="s">
        <v>1427</v>
      </c>
      <c r="G1567" s="4">
        <v>32452.5</v>
      </c>
      <c r="I1567" s="4">
        <v>-28524169.399999999</v>
      </c>
    </row>
    <row r="1568" spans="1:9" x14ac:dyDescent="0.3">
      <c r="A1568" t="s">
        <v>1</v>
      </c>
      <c r="B1568" s="1">
        <v>45876</v>
      </c>
      <c r="C1568" s="1">
        <v>45877</v>
      </c>
      <c r="D1568">
        <v>102256</v>
      </c>
      <c r="E1568">
        <v>100</v>
      </c>
      <c r="F1568" s="3" t="s">
        <v>1428</v>
      </c>
      <c r="G1568" s="4">
        <v>7500</v>
      </c>
      <c r="I1568" s="4">
        <v>-28516669.399999999</v>
      </c>
    </row>
    <row r="1569" spans="1:9" x14ac:dyDescent="0.3">
      <c r="A1569" t="s">
        <v>1</v>
      </c>
      <c r="B1569" s="1">
        <v>45877</v>
      </c>
      <c r="C1569" s="1">
        <v>45877</v>
      </c>
      <c r="D1569">
        <v>102258</v>
      </c>
      <c r="E1569">
        <v>100</v>
      </c>
      <c r="F1569" s="3" t="s">
        <v>1429</v>
      </c>
      <c r="G1569" s="4">
        <v>3800</v>
      </c>
      <c r="I1569" s="4">
        <v>-28512869.399999999</v>
      </c>
    </row>
    <row r="1570" spans="1:9" x14ac:dyDescent="0.3">
      <c r="A1570" t="s">
        <v>1</v>
      </c>
      <c r="B1570" s="1">
        <v>45876</v>
      </c>
      <c r="C1570" s="1">
        <v>45877</v>
      </c>
      <c r="D1570">
        <v>102263</v>
      </c>
      <c r="E1570">
        <v>100</v>
      </c>
      <c r="F1570" s="3" t="s">
        <v>1430</v>
      </c>
      <c r="G1570" s="4">
        <v>63200</v>
      </c>
      <c r="I1570" s="4">
        <v>-28449669.399999999</v>
      </c>
    </row>
    <row r="1571" spans="1:9" x14ac:dyDescent="0.3">
      <c r="A1571" t="s">
        <v>1</v>
      </c>
      <c r="B1571" s="1">
        <v>45877</v>
      </c>
      <c r="C1571" s="1">
        <v>45877</v>
      </c>
      <c r="D1571">
        <v>102270</v>
      </c>
      <c r="E1571">
        <v>100</v>
      </c>
      <c r="F1571" s="3" t="s">
        <v>1431</v>
      </c>
      <c r="G1571" s="4">
        <v>19200</v>
      </c>
      <c r="I1571" s="4">
        <v>-28430469.399999999</v>
      </c>
    </row>
    <row r="1572" spans="1:9" x14ac:dyDescent="0.3">
      <c r="A1572" t="s">
        <v>1</v>
      </c>
      <c r="B1572" s="1">
        <v>45877</v>
      </c>
      <c r="C1572" s="1">
        <v>45877</v>
      </c>
      <c r="D1572">
        <v>102276</v>
      </c>
      <c r="E1572">
        <v>100</v>
      </c>
      <c r="F1572" s="3" t="s">
        <v>1432</v>
      </c>
      <c r="G1572" s="4">
        <v>3600</v>
      </c>
      <c r="I1572" s="4">
        <v>-28426869.399999999</v>
      </c>
    </row>
    <row r="1573" spans="1:9" x14ac:dyDescent="0.3">
      <c r="A1573" t="s">
        <v>1</v>
      </c>
      <c r="B1573" s="1">
        <v>45877</v>
      </c>
      <c r="C1573" s="1">
        <v>45877</v>
      </c>
      <c r="D1573">
        <v>102277</v>
      </c>
      <c r="E1573">
        <v>100</v>
      </c>
      <c r="F1573" s="3" t="s">
        <v>1433</v>
      </c>
      <c r="G1573" s="4">
        <v>1826.25</v>
      </c>
      <c r="I1573" s="4">
        <v>-28425043.149999999</v>
      </c>
    </row>
    <row r="1574" spans="1:9" x14ac:dyDescent="0.3">
      <c r="A1574" t="s">
        <v>1</v>
      </c>
      <c r="B1574" s="1">
        <v>45877</v>
      </c>
      <c r="C1574" s="1">
        <v>45877</v>
      </c>
      <c r="D1574">
        <v>102279</v>
      </c>
      <c r="E1574">
        <v>100</v>
      </c>
      <c r="F1574" s="3" t="s">
        <v>1434</v>
      </c>
      <c r="G1574" s="4">
        <v>17252.5</v>
      </c>
      <c r="I1574" s="4">
        <v>-28407790.649999999</v>
      </c>
    </row>
    <row r="1575" spans="1:9" x14ac:dyDescent="0.3">
      <c r="A1575" t="s">
        <v>1</v>
      </c>
      <c r="B1575" s="1">
        <v>45873</v>
      </c>
      <c r="C1575" s="1">
        <v>45877</v>
      </c>
      <c r="D1575">
        <v>102280</v>
      </c>
      <c r="E1575">
        <v>100</v>
      </c>
      <c r="F1575" s="3" t="s">
        <v>1435</v>
      </c>
      <c r="G1575" s="4">
        <v>16200</v>
      </c>
      <c r="I1575" s="4">
        <v>-28391590.649999999</v>
      </c>
    </row>
    <row r="1576" spans="1:9" x14ac:dyDescent="0.3">
      <c r="A1576" t="s">
        <v>71</v>
      </c>
      <c r="B1576" s="1">
        <v>45875</v>
      </c>
      <c r="C1576" s="1">
        <v>45877</v>
      </c>
      <c r="D1576">
        <v>13939</v>
      </c>
      <c r="E1576">
        <v>100</v>
      </c>
      <c r="F1576" s="3" t="s">
        <v>1436</v>
      </c>
      <c r="G1576" s="4">
        <v>0</v>
      </c>
      <c r="H1576" s="4">
        <v>4975.79</v>
      </c>
      <c r="I1576" s="4">
        <v>-28396566.440000001</v>
      </c>
    </row>
    <row r="1577" spans="1:9" x14ac:dyDescent="0.3">
      <c r="A1577" t="s">
        <v>71</v>
      </c>
      <c r="B1577" s="1">
        <v>45877</v>
      </c>
      <c r="C1577" s="1">
        <v>45877</v>
      </c>
      <c r="D1577">
        <v>13944</v>
      </c>
      <c r="E1577">
        <v>100</v>
      </c>
      <c r="F1577" s="3" t="s">
        <v>1437</v>
      </c>
      <c r="G1577" s="4">
        <v>0</v>
      </c>
      <c r="H1577" s="4">
        <v>7346600</v>
      </c>
      <c r="I1577" s="4">
        <v>-35743166.439999998</v>
      </c>
    </row>
    <row r="1578" spans="1:9" x14ac:dyDescent="0.3">
      <c r="A1578" t="s">
        <v>71</v>
      </c>
      <c r="B1578" s="1">
        <v>45877</v>
      </c>
      <c r="C1578" s="1">
        <v>45877</v>
      </c>
      <c r="D1578">
        <v>13984</v>
      </c>
      <c r="E1578">
        <v>100</v>
      </c>
      <c r="F1578" s="3" t="s">
        <v>1438</v>
      </c>
      <c r="G1578" s="4">
        <v>0</v>
      </c>
      <c r="H1578" s="4">
        <v>33059700</v>
      </c>
      <c r="I1578" s="4">
        <v>-68802866.439999998</v>
      </c>
    </row>
    <row r="1579" spans="1:9" x14ac:dyDescent="0.3">
      <c r="A1579" t="s">
        <v>75</v>
      </c>
      <c r="B1579" s="1">
        <v>45877</v>
      </c>
      <c r="C1579" s="1">
        <v>45877</v>
      </c>
      <c r="D1579">
        <v>143142</v>
      </c>
      <c r="E1579">
        <v>14</v>
      </c>
      <c r="F1579" s="3" t="s">
        <v>1439</v>
      </c>
      <c r="G1579" s="4">
        <v>22000</v>
      </c>
      <c r="H1579" s="4">
        <v>0</v>
      </c>
      <c r="I1579" s="4">
        <v>-68780866.439999998</v>
      </c>
    </row>
    <row r="1580" spans="1:9" x14ac:dyDescent="0.3">
      <c r="A1580" t="s">
        <v>75</v>
      </c>
      <c r="B1580" s="1">
        <v>45877</v>
      </c>
      <c r="C1580" s="1">
        <v>45877</v>
      </c>
      <c r="D1580">
        <v>143143</v>
      </c>
      <c r="E1580">
        <v>14</v>
      </c>
      <c r="F1580" s="3" t="s">
        <v>1440</v>
      </c>
      <c r="G1580" s="4">
        <v>65000</v>
      </c>
      <c r="H1580" s="4">
        <v>0</v>
      </c>
      <c r="I1580" s="4">
        <v>-68715866.439999998</v>
      </c>
    </row>
    <row r="1581" spans="1:9" x14ac:dyDescent="0.3">
      <c r="A1581" t="s">
        <v>75</v>
      </c>
      <c r="B1581" s="1">
        <v>45876</v>
      </c>
      <c r="C1581" s="1">
        <v>45877</v>
      </c>
      <c r="D1581">
        <v>143144</v>
      </c>
      <c r="E1581">
        <v>14</v>
      </c>
      <c r="F1581" s="3" t="s">
        <v>1441</v>
      </c>
      <c r="G1581" s="4">
        <v>300000</v>
      </c>
      <c r="H1581" s="4">
        <v>0</v>
      </c>
      <c r="I1581" s="4">
        <v>-68415866.439999998</v>
      </c>
    </row>
    <row r="1582" spans="1:9" x14ac:dyDescent="0.3">
      <c r="A1582" t="s">
        <v>75</v>
      </c>
      <c r="B1582" s="1">
        <v>45876</v>
      </c>
      <c r="C1582" s="1">
        <v>45877</v>
      </c>
      <c r="D1582">
        <v>143145</v>
      </c>
      <c r="E1582">
        <v>70</v>
      </c>
      <c r="F1582" s="3" t="s">
        <v>1442</v>
      </c>
      <c r="G1582" s="4">
        <v>442494.25</v>
      </c>
      <c r="H1582" s="4">
        <v>0</v>
      </c>
      <c r="I1582" s="4">
        <v>-67973372.189999998</v>
      </c>
    </row>
    <row r="1583" spans="1:9" x14ac:dyDescent="0.3">
      <c r="A1583" t="s">
        <v>75</v>
      </c>
      <c r="B1583" s="1">
        <v>45876</v>
      </c>
      <c r="C1583" s="1">
        <v>45877</v>
      </c>
      <c r="D1583">
        <v>143146</v>
      </c>
      <c r="E1583">
        <v>86</v>
      </c>
      <c r="F1583" s="3" t="s">
        <v>1443</v>
      </c>
      <c r="G1583" s="4">
        <v>6583.75</v>
      </c>
      <c r="H1583" s="4">
        <v>0</v>
      </c>
      <c r="I1583" s="4">
        <v>-67966788.439999998</v>
      </c>
    </row>
    <row r="1584" spans="1:9" x14ac:dyDescent="0.3">
      <c r="A1584" t="s">
        <v>75</v>
      </c>
      <c r="B1584" s="1">
        <v>45876</v>
      </c>
      <c r="C1584" s="1">
        <v>45877</v>
      </c>
      <c r="D1584">
        <v>143150</v>
      </c>
      <c r="E1584">
        <v>84</v>
      </c>
      <c r="F1584" s="3" t="s">
        <v>1444</v>
      </c>
      <c r="G1584" s="4">
        <v>25062.5</v>
      </c>
      <c r="H1584" s="4">
        <v>0</v>
      </c>
      <c r="I1584" s="4">
        <v>-67941725.939999998</v>
      </c>
    </row>
    <row r="1585" spans="1:9" x14ac:dyDescent="0.3">
      <c r="A1585" t="s">
        <v>75</v>
      </c>
      <c r="B1585" s="1">
        <v>45875</v>
      </c>
      <c r="C1585" s="1">
        <v>45877</v>
      </c>
      <c r="D1585">
        <v>143151</v>
      </c>
      <c r="E1585">
        <v>41</v>
      </c>
      <c r="F1585" s="3" t="s">
        <v>1445</v>
      </c>
      <c r="G1585" s="4">
        <v>61014.6</v>
      </c>
      <c r="H1585" s="4">
        <v>0</v>
      </c>
      <c r="I1585" s="4">
        <v>-67880711.340000004</v>
      </c>
    </row>
    <row r="1586" spans="1:9" x14ac:dyDescent="0.3">
      <c r="A1586" t="s">
        <v>75</v>
      </c>
      <c r="B1586" s="1">
        <v>45876</v>
      </c>
      <c r="C1586" s="1">
        <v>45877</v>
      </c>
      <c r="D1586">
        <v>143152</v>
      </c>
      <c r="E1586">
        <v>89</v>
      </c>
      <c r="F1586" s="3" t="s">
        <v>1446</v>
      </c>
      <c r="G1586" s="4">
        <v>208000</v>
      </c>
      <c r="H1586" s="4">
        <v>0</v>
      </c>
      <c r="I1586" s="4">
        <v>-67672711.340000004</v>
      </c>
    </row>
    <row r="1587" spans="1:9" x14ac:dyDescent="0.3">
      <c r="A1587" t="s">
        <v>75</v>
      </c>
      <c r="B1587" s="1">
        <v>45876</v>
      </c>
      <c r="C1587" s="1">
        <v>45877</v>
      </c>
      <c r="D1587">
        <v>143153</v>
      </c>
      <c r="E1587">
        <v>89</v>
      </c>
      <c r="F1587" s="3" t="s">
        <v>1447</v>
      </c>
      <c r="G1587" s="4">
        <v>28305</v>
      </c>
      <c r="H1587" s="4">
        <v>0</v>
      </c>
      <c r="I1587" s="4">
        <v>-67644406.340000004</v>
      </c>
    </row>
    <row r="1588" spans="1:9" x14ac:dyDescent="0.3">
      <c r="A1588" t="s">
        <v>75</v>
      </c>
      <c r="B1588" s="1">
        <v>45876</v>
      </c>
      <c r="C1588" s="1">
        <v>45877</v>
      </c>
      <c r="D1588">
        <v>143156</v>
      </c>
      <c r="E1588">
        <v>62</v>
      </c>
      <c r="F1588" s="3" t="s">
        <v>1448</v>
      </c>
      <c r="G1588" s="4">
        <v>115580</v>
      </c>
      <c r="H1588" s="4">
        <v>0</v>
      </c>
      <c r="I1588" s="4">
        <v>-67528826.340000004</v>
      </c>
    </row>
    <row r="1589" spans="1:9" x14ac:dyDescent="0.3">
      <c r="A1589" t="s">
        <v>75</v>
      </c>
      <c r="B1589" s="1">
        <v>45877</v>
      </c>
      <c r="C1589" s="1">
        <v>45877</v>
      </c>
      <c r="D1589">
        <v>143160</v>
      </c>
      <c r="E1589">
        <v>15</v>
      </c>
      <c r="F1589" s="3" t="s">
        <v>1449</v>
      </c>
      <c r="G1589" s="4">
        <v>10072.25</v>
      </c>
      <c r="H1589" s="4">
        <v>0</v>
      </c>
      <c r="I1589" s="4">
        <v>-67518754.090000004</v>
      </c>
    </row>
    <row r="1590" spans="1:9" x14ac:dyDescent="0.3">
      <c r="A1590" t="s">
        <v>75</v>
      </c>
      <c r="B1590" s="1">
        <v>45877</v>
      </c>
      <c r="C1590" s="1">
        <v>45877</v>
      </c>
      <c r="D1590">
        <v>143161</v>
      </c>
      <c r="E1590">
        <v>14</v>
      </c>
      <c r="F1590" s="3" t="s">
        <v>1450</v>
      </c>
      <c r="G1590" s="4">
        <v>6500</v>
      </c>
      <c r="H1590" s="4">
        <v>0</v>
      </c>
      <c r="I1590" s="4">
        <v>-67512254.090000004</v>
      </c>
    </row>
    <row r="1591" spans="1:9" x14ac:dyDescent="0.3">
      <c r="A1591" t="s">
        <v>75</v>
      </c>
      <c r="B1591" s="1">
        <v>45876</v>
      </c>
      <c r="C1591" s="1">
        <v>45877</v>
      </c>
      <c r="D1591">
        <v>143162</v>
      </c>
      <c r="E1591">
        <v>33</v>
      </c>
      <c r="F1591" s="3" t="s">
        <v>1451</v>
      </c>
      <c r="G1591" s="4">
        <v>50026.5</v>
      </c>
      <c r="H1591" s="4">
        <v>0</v>
      </c>
      <c r="I1591" s="4">
        <v>-67462227.590000004</v>
      </c>
    </row>
    <row r="1592" spans="1:9" x14ac:dyDescent="0.3">
      <c r="A1592" t="s">
        <v>75</v>
      </c>
      <c r="B1592" s="1">
        <v>45877</v>
      </c>
      <c r="C1592" s="1">
        <v>45877</v>
      </c>
      <c r="D1592">
        <v>143163</v>
      </c>
      <c r="E1592">
        <v>19</v>
      </c>
      <c r="F1592" s="3" t="s">
        <v>1452</v>
      </c>
      <c r="G1592" s="4">
        <v>6700</v>
      </c>
      <c r="H1592" s="4">
        <v>0</v>
      </c>
      <c r="I1592" s="4">
        <v>-67455527.590000004</v>
      </c>
    </row>
    <row r="1593" spans="1:9" x14ac:dyDescent="0.3">
      <c r="A1593" t="s">
        <v>75</v>
      </c>
      <c r="B1593" s="1">
        <v>45877</v>
      </c>
      <c r="C1593" s="1">
        <v>45877</v>
      </c>
      <c r="D1593">
        <v>143165</v>
      </c>
      <c r="E1593">
        <v>19</v>
      </c>
      <c r="F1593" s="3" t="s">
        <v>1453</v>
      </c>
      <c r="G1593" s="4">
        <v>6515</v>
      </c>
      <c r="H1593" s="4">
        <v>0</v>
      </c>
      <c r="I1593" s="4">
        <v>-67449012.590000004</v>
      </c>
    </row>
    <row r="1594" spans="1:9" x14ac:dyDescent="0.3">
      <c r="A1594" t="s">
        <v>75</v>
      </c>
      <c r="B1594" s="1">
        <v>45877</v>
      </c>
      <c r="C1594" s="1">
        <v>45877</v>
      </c>
      <c r="D1594">
        <v>143166</v>
      </c>
      <c r="E1594">
        <v>19</v>
      </c>
      <c r="F1594" s="3" t="s">
        <v>1454</v>
      </c>
      <c r="G1594" s="4">
        <v>8016</v>
      </c>
      <c r="H1594" s="4">
        <v>0</v>
      </c>
      <c r="I1594" s="4">
        <v>-67440996.590000004</v>
      </c>
    </row>
    <row r="1595" spans="1:9" x14ac:dyDescent="0.3">
      <c r="A1595" t="s">
        <v>75</v>
      </c>
      <c r="B1595" s="1">
        <v>45875</v>
      </c>
      <c r="C1595" s="1">
        <v>45877</v>
      </c>
      <c r="D1595">
        <v>143169</v>
      </c>
      <c r="E1595">
        <v>67</v>
      </c>
      <c r="F1595" s="3" t="s">
        <v>1455</v>
      </c>
      <c r="G1595" s="4">
        <v>74000</v>
      </c>
      <c r="H1595" s="4">
        <v>0</v>
      </c>
      <c r="I1595" s="4">
        <v>-67366996.590000004</v>
      </c>
    </row>
    <row r="1596" spans="1:9" x14ac:dyDescent="0.3">
      <c r="A1596" t="s">
        <v>75</v>
      </c>
      <c r="B1596" s="1">
        <v>45877</v>
      </c>
      <c r="C1596" s="1">
        <v>45877</v>
      </c>
      <c r="D1596">
        <v>143170</v>
      </c>
      <c r="E1596">
        <v>17</v>
      </c>
      <c r="F1596" s="3" t="s">
        <v>1456</v>
      </c>
      <c r="G1596" s="4">
        <v>57113.5</v>
      </c>
      <c r="H1596" s="4">
        <v>0</v>
      </c>
      <c r="I1596" s="4">
        <v>-67309883.090000004</v>
      </c>
    </row>
    <row r="1597" spans="1:9" x14ac:dyDescent="0.3">
      <c r="A1597" t="s">
        <v>75</v>
      </c>
      <c r="B1597" s="1">
        <v>45877</v>
      </c>
      <c r="C1597" s="1">
        <v>45877</v>
      </c>
      <c r="D1597">
        <v>143171</v>
      </c>
      <c r="E1597">
        <v>17</v>
      </c>
      <c r="F1597" s="3" t="s">
        <v>1457</v>
      </c>
      <c r="G1597" s="4">
        <v>52800</v>
      </c>
      <c r="H1597" s="4">
        <v>0</v>
      </c>
      <c r="I1597" s="4">
        <v>-67257083.090000004</v>
      </c>
    </row>
    <row r="1598" spans="1:9" x14ac:dyDescent="0.3">
      <c r="A1598" t="s">
        <v>75</v>
      </c>
      <c r="B1598" s="1">
        <v>45877</v>
      </c>
      <c r="C1598" s="1">
        <v>45877</v>
      </c>
      <c r="D1598">
        <v>143172</v>
      </c>
      <c r="E1598">
        <v>89</v>
      </c>
      <c r="F1598" s="3" t="s">
        <v>1458</v>
      </c>
      <c r="G1598" s="4">
        <v>17595.25</v>
      </c>
      <c r="H1598" s="4">
        <v>0</v>
      </c>
      <c r="I1598" s="4">
        <v>-67239487.840000004</v>
      </c>
    </row>
    <row r="1599" spans="1:9" x14ac:dyDescent="0.3">
      <c r="A1599" t="s">
        <v>75</v>
      </c>
      <c r="B1599" s="1">
        <v>45877</v>
      </c>
      <c r="C1599" s="1">
        <v>45877</v>
      </c>
      <c r="D1599">
        <v>143173</v>
      </c>
      <c r="E1599">
        <v>89</v>
      </c>
      <c r="F1599" s="3" t="s">
        <v>1459</v>
      </c>
      <c r="G1599" s="4">
        <v>178174.5</v>
      </c>
      <c r="H1599" s="4">
        <v>0</v>
      </c>
      <c r="I1599" s="4">
        <v>-67061313.340000004</v>
      </c>
    </row>
    <row r="1600" spans="1:9" x14ac:dyDescent="0.3">
      <c r="A1600" t="s">
        <v>75</v>
      </c>
      <c r="B1600" s="1">
        <v>45876</v>
      </c>
      <c r="C1600" s="1">
        <v>45877</v>
      </c>
      <c r="D1600">
        <v>143174</v>
      </c>
      <c r="E1600">
        <v>11</v>
      </c>
      <c r="F1600" s="3" t="s">
        <v>1460</v>
      </c>
      <c r="G1600" s="4">
        <v>202147.5</v>
      </c>
      <c r="H1600" s="4">
        <v>0</v>
      </c>
      <c r="I1600" s="4">
        <v>-66859165.840000004</v>
      </c>
    </row>
    <row r="1601" spans="1:9" x14ac:dyDescent="0.3">
      <c r="A1601" t="s">
        <v>75</v>
      </c>
      <c r="B1601" s="1">
        <v>45875</v>
      </c>
      <c r="C1601" s="1">
        <v>45877</v>
      </c>
      <c r="D1601">
        <v>143175</v>
      </c>
      <c r="E1601">
        <v>11</v>
      </c>
      <c r="F1601" s="3" t="s">
        <v>1461</v>
      </c>
      <c r="G1601" s="4">
        <v>2500</v>
      </c>
      <c r="H1601" s="4">
        <v>0</v>
      </c>
      <c r="I1601" s="4">
        <v>-66856665.840000004</v>
      </c>
    </row>
    <row r="1602" spans="1:9" x14ac:dyDescent="0.3">
      <c r="A1602" t="s">
        <v>75</v>
      </c>
      <c r="B1602" s="1">
        <v>45877</v>
      </c>
      <c r="C1602" s="1">
        <v>45877</v>
      </c>
      <c r="D1602">
        <v>143176</v>
      </c>
      <c r="E1602">
        <v>63</v>
      </c>
      <c r="F1602" s="3" t="s">
        <v>1462</v>
      </c>
      <c r="G1602" s="4">
        <v>30000</v>
      </c>
      <c r="H1602" s="4">
        <v>0</v>
      </c>
      <c r="I1602" s="4">
        <v>-66826665.840000004</v>
      </c>
    </row>
    <row r="1603" spans="1:9" x14ac:dyDescent="0.3">
      <c r="A1603" t="s">
        <v>75</v>
      </c>
      <c r="B1603" s="1">
        <v>45875</v>
      </c>
      <c r="C1603" s="1">
        <v>45877</v>
      </c>
      <c r="D1603">
        <v>143177</v>
      </c>
      <c r="E1603">
        <v>224</v>
      </c>
      <c r="F1603" s="3" t="s">
        <v>1463</v>
      </c>
      <c r="G1603" s="4">
        <v>2577.5</v>
      </c>
      <c r="H1603" s="4">
        <v>0</v>
      </c>
      <c r="I1603" s="4">
        <v>-66824088.340000004</v>
      </c>
    </row>
    <row r="1604" spans="1:9" x14ac:dyDescent="0.3">
      <c r="A1604" t="s">
        <v>75</v>
      </c>
      <c r="B1604" s="1">
        <v>45876</v>
      </c>
      <c r="C1604" s="1">
        <v>45877</v>
      </c>
      <c r="D1604">
        <v>143178</v>
      </c>
      <c r="E1604">
        <v>78</v>
      </c>
      <c r="F1604" s="3" t="s">
        <v>1464</v>
      </c>
      <c r="G1604" s="4">
        <v>35000</v>
      </c>
      <c r="H1604" s="4">
        <v>0</v>
      </c>
      <c r="I1604" s="4">
        <v>-66789088.340000004</v>
      </c>
    </row>
    <row r="1605" spans="1:9" x14ac:dyDescent="0.3">
      <c r="A1605" t="s">
        <v>75</v>
      </c>
      <c r="B1605" s="1">
        <v>45877</v>
      </c>
      <c r="C1605" s="1">
        <v>45877</v>
      </c>
      <c r="D1605">
        <v>143179</v>
      </c>
      <c r="E1605">
        <v>14</v>
      </c>
      <c r="F1605" s="3" t="s">
        <v>1465</v>
      </c>
      <c r="G1605" s="4">
        <v>7410.5</v>
      </c>
      <c r="H1605" s="4">
        <v>0</v>
      </c>
      <c r="I1605" s="4">
        <v>-66781677.840000004</v>
      </c>
    </row>
    <row r="1606" spans="1:9" x14ac:dyDescent="0.3">
      <c r="A1606" t="s">
        <v>75</v>
      </c>
      <c r="B1606" s="1">
        <v>45877</v>
      </c>
      <c r="C1606" s="1">
        <v>45877</v>
      </c>
      <c r="D1606">
        <v>143180</v>
      </c>
      <c r="E1606">
        <v>14</v>
      </c>
      <c r="F1606" s="3" t="s">
        <v>1466</v>
      </c>
      <c r="G1606" s="4">
        <v>18942</v>
      </c>
      <c r="H1606" s="4">
        <v>0</v>
      </c>
      <c r="I1606" s="4">
        <v>-66762735.840000004</v>
      </c>
    </row>
    <row r="1607" spans="1:9" x14ac:dyDescent="0.3">
      <c r="A1607" t="s">
        <v>75</v>
      </c>
      <c r="B1607" s="1">
        <v>45877</v>
      </c>
      <c r="C1607" s="1">
        <v>45877</v>
      </c>
      <c r="D1607">
        <v>143182</v>
      </c>
      <c r="E1607">
        <v>14</v>
      </c>
      <c r="F1607" s="3" t="s">
        <v>1467</v>
      </c>
      <c r="G1607" s="4">
        <v>200000</v>
      </c>
      <c r="H1607" s="4">
        <v>0</v>
      </c>
      <c r="I1607" s="4">
        <v>-66562735.840000004</v>
      </c>
    </row>
    <row r="1608" spans="1:9" x14ac:dyDescent="0.3">
      <c r="A1608" t="s">
        <v>75</v>
      </c>
      <c r="B1608" s="1">
        <v>45877</v>
      </c>
      <c r="C1608" s="1">
        <v>45877</v>
      </c>
      <c r="D1608">
        <v>143183</v>
      </c>
      <c r="E1608">
        <v>79</v>
      </c>
      <c r="F1608" s="3" t="s">
        <v>1468</v>
      </c>
      <c r="G1608" s="4">
        <v>26986</v>
      </c>
      <c r="H1608" s="4">
        <v>0</v>
      </c>
      <c r="I1608" s="4">
        <v>-66535749.840000004</v>
      </c>
    </row>
    <row r="1609" spans="1:9" x14ac:dyDescent="0.3">
      <c r="A1609" t="s">
        <v>75</v>
      </c>
      <c r="B1609" s="1">
        <v>45877</v>
      </c>
      <c r="C1609" s="1">
        <v>45877</v>
      </c>
      <c r="D1609">
        <v>143184</v>
      </c>
      <c r="E1609">
        <v>24</v>
      </c>
      <c r="F1609" s="3" t="s">
        <v>1469</v>
      </c>
      <c r="G1609" s="4">
        <v>10030</v>
      </c>
      <c r="H1609" s="4">
        <v>0</v>
      </c>
      <c r="I1609" s="4">
        <v>-66525719.840000004</v>
      </c>
    </row>
    <row r="1610" spans="1:9" x14ac:dyDescent="0.3">
      <c r="A1610" t="s">
        <v>75</v>
      </c>
      <c r="B1610" s="1">
        <v>45875</v>
      </c>
      <c r="C1610" s="1">
        <v>45877</v>
      </c>
      <c r="D1610">
        <v>143185</v>
      </c>
      <c r="E1610">
        <v>79</v>
      </c>
      <c r="F1610" s="3" t="s">
        <v>1470</v>
      </c>
      <c r="G1610" s="4">
        <v>3083.75</v>
      </c>
      <c r="H1610" s="4">
        <v>0</v>
      </c>
      <c r="I1610" s="4">
        <v>-66522636.090000004</v>
      </c>
    </row>
    <row r="1611" spans="1:9" x14ac:dyDescent="0.3">
      <c r="A1611" t="s">
        <v>75</v>
      </c>
      <c r="B1611" s="1">
        <v>45876</v>
      </c>
      <c r="C1611" s="1">
        <v>45877</v>
      </c>
      <c r="D1611">
        <v>143186</v>
      </c>
      <c r="E1611">
        <v>11</v>
      </c>
      <c r="F1611" s="3" t="s">
        <v>1471</v>
      </c>
      <c r="G1611" s="4">
        <v>61060.25</v>
      </c>
      <c r="H1611" s="4">
        <v>0</v>
      </c>
      <c r="I1611" s="4">
        <v>-66461575.840000004</v>
      </c>
    </row>
    <row r="1612" spans="1:9" x14ac:dyDescent="0.3">
      <c r="A1612" t="s">
        <v>75</v>
      </c>
      <c r="B1612" s="1">
        <v>45871</v>
      </c>
      <c r="C1612" s="1">
        <v>45877</v>
      </c>
      <c r="D1612">
        <v>143186</v>
      </c>
      <c r="E1612">
        <v>11</v>
      </c>
      <c r="F1612" s="3" t="s">
        <v>1472</v>
      </c>
      <c r="G1612" s="4">
        <v>7822</v>
      </c>
      <c r="H1612" s="4">
        <v>0</v>
      </c>
      <c r="I1612" s="4">
        <v>-66453753.840000004</v>
      </c>
    </row>
    <row r="1613" spans="1:9" x14ac:dyDescent="0.3">
      <c r="A1613" t="s">
        <v>75</v>
      </c>
      <c r="B1613" s="1">
        <v>45877</v>
      </c>
      <c r="C1613" s="1">
        <v>45877</v>
      </c>
      <c r="D1613">
        <v>143186</v>
      </c>
      <c r="E1613">
        <v>11</v>
      </c>
      <c r="F1613" s="3" t="s">
        <v>1473</v>
      </c>
      <c r="G1613" s="4">
        <v>126500</v>
      </c>
      <c r="H1613" s="4">
        <v>0</v>
      </c>
      <c r="I1613" s="4">
        <v>-66327253.840000004</v>
      </c>
    </row>
    <row r="1614" spans="1:9" x14ac:dyDescent="0.3">
      <c r="A1614" t="s">
        <v>75</v>
      </c>
      <c r="B1614" s="1">
        <v>45875</v>
      </c>
      <c r="C1614" s="1">
        <v>45877</v>
      </c>
      <c r="D1614">
        <v>143186</v>
      </c>
      <c r="E1614">
        <v>11</v>
      </c>
      <c r="F1614" s="3" t="s">
        <v>1474</v>
      </c>
      <c r="G1614" s="4">
        <v>16164.5</v>
      </c>
      <c r="H1614" s="4">
        <v>0</v>
      </c>
      <c r="I1614" s="4">
        <v>-66311089.340000004</v>
      </c>
    </row>
    <row r="1615" spans="1:9" x14ac:dyDescent="0.3">
      <c r="A1615" t="s">
        <v>75</v>
      </c>
      <c r="B1615" s="1">
        <v>45877</v>
      </c>
      <c r="C1615" s="1">
        <v>45877</v>
      </c>
      <c r="D1615">
        <v>143187</v>
      </c>
      <c r="E1615">
        <v>11</v>
      </c>
      <c r="F1615" s="3" t="s">
        <v>1475</v>
      </c>
      <c r="G1615" s="4">
        <v>40899.75</v>
      </c>
      <c r="H1615" s="4">
        <v>0</v>
      </c>
      <c r="I1615" s="4">
        <v>-66270189.590000004</v>
      </c>
    </row>
    <row r="1616" spans="1:9" x14ac:dyDescent="0.3">
      <c r="A1616" t="s">
        <v>75</v>
      </c>
      <c r="B1616" s="1">
        <v>45875</v>
      </c>
      <c r="C1616" s="1">
        <v>45877</v>
      </c>
      <c r="D1616">
        <v>143188</v>
      </c>
      <c r="E1616">
        <v>16</v>
      </c>
      <c r="F1616" s="3" t="s">
        <v>1476</v>
      </c>
      <c r="G1616" s="4">
        <v>5000</v>
      </c>
      <c r="H1616" s="4">
        <v>0</v>
      </c>
      <c r="I1616" s="4">
        <v>-66265189.590000004</v>
      </c>
    </row>
    <row r="1617" spans="1:9" x14ac:dyDescent="0.3">
      <c r="A1617" t="s">
        <v>75</v>
      </c>
      <c r="B1617" s="1">
        <v>45875</v>
      </c>
      <c r="C1617" s="1">
        <v>45877</v>
      </c>
      <c r="D1617">
        <v>143189</v>
      </c>
      <c r="E1617">
        <v>11</v>
      </c>
      <c r="F1617" s="3" t="s">
        <v>1477</v>
      </c>
      <c r="G1617" s="4">
        <v>42880</v>
      </c>
      <c r="H1617" s="4">
        <v>0</v>
      </c>
      <c r="I1617" s="4">
        <v>-66222309.590000004</v>
      </c>
    </row>
    <row r="1618" spans="1:9" x14ac:dyDescent="0.3">
      <c r="A1618" t="s">
        <v>75</v>
      </c>
      <c r="B1618" s="1">
        <v>45875</v>
      </c>
      <c r="C1618" s="1">
        <v>45877</v>
      </c>
      <c r="D1618">
        <v>143191</v>
      </c>
      <c r="E1618">
        <v>11</v>
      </c>
      <c r="F1618" s="3" t="s">
        <v>1478</v>
      </c>
      <c r="G1618" s="4">
        <v>85368.75</v>
      </c>
      <c r="H1618" s="4">
        <v>0</v>
      </c>
      <c r="I1618" s="4">
        <v>-66136940.840000004</v>
      </c>
    </row>
    <row r="1619" spans="1:9" x14ac:dyDescent="0.3">
      <c r="A1619" t="s">
        <v>124</v>
      </c>
      <c r="B1619" s="1">
        <v>45877</v>
      </c>
      <c r="C1619" s="1">
        <v>45877</v>
      </c>
      <c r="D1619">
        <v>22179</v>
      </c>
      <c r="E1619">
        <v>11</v>
      </c>
      <c r="F1619" s="3" t="s">
        <v>125</v>
      </c>
      <c r="G1619" s="4">
        <v>0</v>
      </c>
      <c r="H1619" s="4">
        <v>61207097.609999999</v>
      </c>
      <c r="I1619" s="4">
        <v>-127344038.45</v>
      </c>
    </row>
    <row r="1620" spans="1:9" x14ac:dyDescent="0.3">
      <c r="A1620" t="s">
        <v>124</v>
      </c>
      <c r="B1620" s="1">
        <v>45877</v>
      </c>
      <c r="C1620" s="1">
        <v>45877</v>
      </c>
      <c r="D1620">
        <v>22180</v>
      </c>
      <c r="E1620">
        <v>11</v>
      </c>
      <c r="F1620" s="3" t="s">
        <v>126</v>
      </c>
      <c r="G1620" s="4">
        <v>0</v>
      </c>
      <c r="H1620" s="4">
        <v>2000000</v>
      </c>
      <c r="I1620" s="4">
        <v>-129344038.45</v>
      </c>
    </row>
    <row r="1621" spans="1:9" x14ac:dyDescent="0.3">
      <c r="A1621" t="s">
        <v>124</v>
      </c>
      <c r="B1621" s="1">
        <v>45877</v>
      </c>
      <c r="C1621" s="1">
        <v>45877</v>
      </c>
      <c r="D1621">
        <v>22182</v>
      </c>
      <c r="E1621">
        <v>11</v>
      </c>
      <c r="F1621" s="3" t="s">
        <v>127</v>
      </c>
      <c r="G1621" s="4">
        <v>36000000</v>
      </c>
      <c r="H1621" s="4">
        <v>0</v>
      </c>
      <c r="I1621" s="4">
        <v>-93344038.450000003</v>
      </c>
    </row>
    <row r="1622" spans="1:9" x14ac:dyDescent="0.3">
      <c r="A1622" t="s">
        <v>124</v>
      </c>
      <c r="B1622" s="1">
        <v>45877</v>
      </c>
      <c r="C1622" s="1">
        <v>45877</v>
      </c>
      <c r="D1622">
        <v>22184</v>
      </c>
      <c r="E1622">
        <v>11</v>
      </c>
      <c r="F1622" s="3" t="s">
        <v>128</v>
      </c>
      <c r="G1622" s="4">
        <v>18000000</v>
      </c>
      <c r="H1622" s="4">
        <v>0</v>
      </c>
      <c r="I1622" s="4">
        <v>-75344038.450000003</v>
      </c>
    </row>
    <row r="1623" spans="1:9" x14ac:dyDescent="0.3">
      <c r="A1623" t="s">
        <v>124</v>
      </c>
      <c r="B1623" s="1">
        <v>45877</v>
      </c>
      <c r="C1623" s="1">
        <v>45877</v>
      </c>
      <c r="D1623">
        <v>22186</v>
      </c>
      <c r="E1623">
        <v>11</v>
      </c>
      <c r="F1623" s="3" t="s">
        <v>128</v>
      </c>
      <c r="G1623" s="4">
        <v>9000000</v>
      </c>
      <c r="H1623" s="4">
        <v>0</v>
      </c>
      <c r="I1623" s="4">
        <v>-66344038.450000003</v>
      </c>
    </row>
    <row r="1624" spans="1:9" x14ac:dyDescent="0.3">
      <c r="A1624" t="s">
        <v>130</v>
      </c>
      <c r="B1624" s="1">
        <v>45877</v>
      </c>
      <c r="C1624" s="1">
        <v>45877</v>
      </c>
      <c r="D1624">
        <v>3829950</v>
      </c>
      <c r="E1624">
        <v>16</v>
      </c>
      <c r="F1624" s="3" t="s">
        <v>1479</v>
      </c>
      <c r="G1624" s="4">
        <v>0</v>
      </c>
      <c r="H1624" s="4">
        <v>310000</v>
      </c>
      <c r="I1624" s="4">
        <v>-66654038.450000003</v>
      </c>
    </row>
    <row r="1625" spans="1:9" x14ac:dyDescent="0.3">
      <c r="A1625" t="s">
        <v>133</v>
      </c>
      <c r="B1625" s="1">
        <v>45877</v>
      </c>
      <c r="C1625" s="1">
        <v>45877</v>
      </c>
      <c r="D1625">
        <v>913200</v>
      </c>
      <c r="E1625">
        <v>78</v>
      </c>
      <c r="F1625" s="3" t="s">
        <v>1480</v>
      </c>
      <c r="G1625" s="4">
        <v>381860.75</v>
      </c>
      <c r="H1625" s="4">
        <v>0</v>
      </c>
      <c r="I1625" s="4">
        <v>-66272177.700000003</v>
      </c>
    </row>
    <row r="1626" spans="1:9" x14ac:dyDescent="0.3">
      <c r="A1626" t="s">
        <v>133</v>
      </c>
      <c r="B1626" s="1">
        <v>45877</v>
      </c>
      <c r="C1626" s="1">
        <v>45877</v>
      </c>
      <c r="D1626">
        <v>913205</v>
      </c>
      <c r="E1626">
        <v>11</v>
      </c>
      <c r="F1626" s="3" t="s">
        <v>1481</v>
      </c>
      <c r="G1626" s="4">
        <v>16444.5</v>
      </c>
      <c r="H1626" s="4">
        <v>0</v>
      </c>
      <c r="I1626" s="4">
        <v>-66255733.200000003</v>
      </c>
    </row>
    <row r="1627" spans="1:9" x14ac:dyDescent="0.3">
      <c r="A1627" t="s">
        <v>133</v>
      </c>
      <c r="B1627" s="1">
        <v>45877</v>
      </c>
      <c r="C1627" s="1">
        <v>45877</v>
      </c>
      <c r="D1627">
        <v>913206</v>
      </c>
      <c r="E1627">
        <v>75</v>
      </c>
      <c r="F1627" s="3" t="s">
        <v>1482</v>
      </c>
      <c r="G1627" s="4">
        <v>19654</v>
      </c>
      <c r="H1627" s="4">
        <v>0</v>
      </c>
      <c r="I1627" s="4">
        <v>-66236079.200000003</v>
      </c>
    </row>
    <row r="1628" spans="1:9" x14ac:dyDescent="0.3">
      <c r="A1628" t="s">
        <v>133</v>
      </c>
      <c r="B1628" s="1">
        <v>45877</v>
      </c>
      <c r="C1628" s="1">
        <v>45877</v>
      </c>
      <c r="D1628">
        <v>913208</v>
      </c>
      <c r="E1628">
        <v>11</v>
      </c>
      <c r="F1628" s="3" t="s">
        <v>1483</v>
      </c>
      <c r="G1628" s="4">
        <v>81888.25</v>
      </c>
      <c r="H1628" s="4">
        <v>0</v>
      </c>
      <c r="I1628" s="4">
        <v>-66154190.950000003</v>
      </c>
    </row>
    <row r="1629" spans="1:9" x14ac:dyDescent="0.3">
      <c r="A1629" t="s">
        <v>133</v>
      </c>
      <c r="B1629" s="1">
        <v>45877</v>
      </c>
      <c r="C1629" s="1">
        <v>45877</v>
      </c>
      <c r="D1629">
        <v>913212</v>
      </c>
      <c r="E1629">
        <v>16</v>
      </c>
      <c r="F1629" s="3" t="s">
        <v>1484</v>
      </c>
      <c r="G1629" s="4">
        <v>1500</v>
      </c>
      <c r="H1629" s="4">
        <v>0</v>
      </c>
      <c r="I1629" s="4">
        <v>-66152690.950000003</v>
      </c>
    </row>
    <row r="1630" spans="1:9" x14ac:dyDescent="0.3">
      <c r="A1630" t="s">
        <v>133</v>
      </c>
      <c r="B1630" s="1">
        <v>45877</v>
      </c>
      <c r="C1630" s="1">
        <v>45877</v>
      </c>
      <c r="D1630">
        <v>913214</v>
      </c>
      <c r="E1630">
        <v>16</v>
      </c>
      <c r="F1630" s="3" t="s">
        <v>1485</v>
      </c>
      <c r="G1630" s="4">
        <v>4209.75</v>
      </c>
      <c r="H1630" s="4">
        <v>0</v>
      </c>
      <c r="I1630" s="4">
        <v>-66148481.200000003</v>
      </c>
    </row>
    <row r="1631" spans="1:9" x14ac:dyDescent="0.3">
      <c r="A1631" t="s">
        <v>133</v>
      </c>
      <c r="B1631" s="1">
        <v>45877</v>
      </c>
      <c r="C1631" s="1">
        <v>45877</v>
      </c>
      <c r="D1631">
        <v>913215</v>
      </c>
      <c r="E1631">
        <v>12</v>
      </c>
      <c r="F1631" s="3" t="s">
        <v>1486</v>
      </c>
      <c r="G1631" s="4">
        <v>25958.5</v>
      </c>
      <c r="H1631" s="4">
        <v>0</v>
      </c>
      <c r="I1631" s="4">
        <v>-66122522.700000003</v>
      </c>
    </row>
    <row r="1632" spans="1:9" x14ac:dyDescent="0.3">
      <c r="A1632" t="s">
        <v>133</v>
      </c>
      <c r="B1632" s="1">
        <v>45877</v>
      </c>
      <c r="C1632" s="1">
        <v>45877</v>
      </c>
      <c r="D1632">
        <v>913222</v>
      </c>
      <c r="E1632">
        <v>12</v>
      </c>
      <c r="F1632" s="3" t="s">
        <v>1487</v>
      </c>
      <c r="G1632" s="4">
        <v>147000.5</v>
      </c>
      <c r="H1632" s="4">
        <v>0</v>
      </c>
      <c r="I1632" s="4">
        <v>-65975522.200000003</v>
      </c>
    </row>
    <row r="1633" spans="1:9" x14ac:dyDescent="0.3">
      <c r="A1633" t="s">
        <v>133</v>
      </c>
      <c r="B1633" s="1">
        <v>45877</v>
      </c>
      <c r="C1633" s="1">
        <v>45877</v>
      </c>
      <c r="D1633">
        <v>913235</v>
      </c>
      <c r="E1633">
        <v>91</v>
      </c>
      <c r="F1633" s="3" t="s">
        <v>1488</v>
      </c>
      <c r="G1633" s="4">
        <v>49572.5</v>
      </c>
      <c r="H1633" s="4">
        <v>0</v>
      </c>
      <c r="I1633" s="4">
        <v>-65925949.700000003</v>
      </c>
    </row>
    <row r="1634" spans="1:9" x14ac:dyDescent="0.3">
      <c r="A1634" t="s">
        <v>133</v>
      </c>
      <c r="B1634" s="1">
        <v>45877</v>
      </c>
      <c r="C1634" s="1">
        <v>45877</v>
      </c>
      <c r="D1634">
        <v>913249</v>
      </c>
      <c r="E1634">
        <v>382</v>
      </c>
      <c r="F1634" s="3" t="s">
        <v>1489</v>
      </c>
      <c r="G1634" s="4">
        <v>625653.25</v>
      </c>
      <c r="H1634" s="4">
        <v>0</v>
      </c>
      <c r="I1634" s="4">
        <v>-65300296.450000003</v>
      </c>
    </row>
    <row r="1635" spans="1:9" x14ac:dyDescent="0.3">
      <c r="A1635" t="s">
        <v>133</v>
      </c>
      <c r="B1635" s="1">
        <v>45877</v>
      </c>
      <c r="C1635" s="1">
        <v>45877</v>
      </c>
      <c r="D1635">
        <v>913250</v>
      </c>
      <c r="E1635">
        <v>382</v>
      </c>
      <c r="F1635" s="3" t="s">
        <v>1490</v>
      </c>
      <c r="G1635" s="4">
        <v>285125</v>
      </c>
      <c r="H1635" s="4">
        <v>0</v>
      </c>
      <c r="I1635" s="4">
        <v>-65015171.450000003</v>
      </c>
    </row>
    <row r="1636" spans="1:9" x14ac:dyDescent="0.3">
      <c r="A1636" t="s">
        <v>133</v>
      </c>
      <c r="B1636" s="1">
        <v>45877</v>
      </c>
      <c r="C1636" s="1">
        <v>45877</v>
      </c>
      <c r="D1636">
        <v>913261</v>
      </c>
      <c r="E1636">
        <v>35</v>
      </c>
      <c r="F1636" s="3" t="s">
        <v>1491</v>
      </c>
      <c r="G1636" s="4">
        <v>259666</v>
      </c>
      <c r="H1636" s="4">
        <v>0</v>
      </c>
      <c r="I1636" s="4">
        <v>-64755505.450000003</v>
      </c>
    </row>
    <row r="1637" spans="1:9" x14ac:dyDescent="0.3">
      <c r="A1637" t="s">
        <v>133</v>
      </c>
      <c r="B1637" s="1">
        <v>45877</v>
      </c>
      <c r="C1637" s="1">
        <v>45877</v>
      </c>
      <c r="D1637">
        <v>913268</v>
      </c>
      <c r="E1637">
        <v>78</v>
      </c>
      <c r="F1637" s="3" t="s">
        <v>1492</v>
      </c>
      <c r="G1637" s="4">
        <v>29986</v>
      </c>
      <c r="H1637" s="4">
        <v>0</v>
      </c>
      <c r="I1637" s="4">
        <v>-64725519.450000003</v>
      </c>
    </row>
    <row r="1638" spans="1:9" x14ac:dyDescent="0.3">
      <c r="A1638" t="s">
        <v>133</v>
      </c>
      <c r="B1638" s="1">
        <v>45877</v>
      </c>
      <c r="C1638" s="1">
        <v>45877</v>
      </c>
      <c r="D1638">
        <v>913271</v>
      </c>
      <c r="E1638">
        <v>91</v>
      </c>
      <c r="F1638" s="3" t="s">
        <v>1493</v>
      </c>
      <c r="G1638" s="4">
        <v>101500</v>
      </c>
      <c r="H1638" s="4">
        <v>0</v>
      </c>
      <c r="I1638" s="4">
        <v>-64624019.450000003</v>
      </c>
    </row>
    <row r="1639" spans="1:9" x14ac:dyDescent="0.3">
      <c r="A1639" t="s">
        <v>133</v>
      </c>
      <c r="B1639" s="1">
        <v>45877</v>
      </c>
      <c r="C1639" s="1">
        <v>45877</v>
      </c>
      <c r="D1639">
        <v>913283</v>
      </c>
      <c r="E1639">
        <v>78</v>
      </c>
      <c r="F1639" s="3" t="s">
        <v>1494</v>
      </c>
      <c r="G1639" s="4">
        <v>100000</v>
      </c>
      <c r="H1639" s="4">
        <v>0</v>
      </c>
      <c r="I1639" s="4">
        <v>-64524019.450000003</v>
      </c>
    </row>
    <row r="1640" spans="1:9" x14ac:dyDescent="0.3">
      <c r="A1640" t="s">
        <v>133</v>
      </c>
      <c r="B1640" s="1">
        <v>45877</v>
      </c>
      <c r="C1640" s="1">
        <v>45877</v>
      </c>
      <c r="D1640">
        <v>913287</v>
      </c>
      <c r="E1640">
        <v>82</v>
      </c>
      <c r="F1640" s="3" t="s">
        <v>1495</v>
      </c>
      <c r="G1640" s="4">
        <v>61</v>
      </c>
      <c r="H1640" s="4">
        <v>0</v>
      </c>
      <c r="I1640" s="4">
        <v>-64523958.450000003</v>
      </c>
    </row>
    <row r="1641" spans="1:9" x14ac:dyDescent="0.3">
      <c r="A1641" t="s">
        <v>133</v>
      </c>
      <c r="B1641" s="1">
        <v>45877</v>
      </c>
      <c r="C1641" s="1">
        <v>45877</v>
      </c>
      <c r="D1641">
        <v>913301</v>
      </c>
      <c r="E1641">
        <v>11</v>
      </c>
      <c r="F1641" s="3" t="s">
        <v>1496</v>
      </c>
      <c r="G1641" s="4">
        <v>20000</v>
      </c>
      <c r="H1641" s="4">
        <v>0</v>
      </c>
      <c r="I1641" s="4">
        <v>-64503958.450000003</v>
      </c>
    </row>
    <row r="1642" spans="1:9" x14ac:dyDescent="0.3">
      <c r="A1642" t="s">
        <v>133</v>
      </c>
      <c r="B1642" s="1">
        <v>45877</v>
      </c>
      <c r="C1642" s="1">
        <v>45877</v>
      </c>
      <c r="D1642">
        <v>913302</v>
      </c>
      <c r="E1642">
        <v>38</v>
      </c>
      <c r="F1642" s="3" t="s">
        <v>1497</v>
      </c>
      <c r="G1642" s="4">
        <v>2065442.25</v>
      </c>
      <c r="H1642" s="4">
        <v>0</v>
      </c>
      <c r="I1642" s="4">
        <v>-62438516.200000003</v>
      </c>
    </row>
    <row r="1643" spans="1:9" x14ac:dyDescent="0.3">
      <c r="A1643" t="s">
        <v>133</v>
      </c>
      <c r="B1643" s="1">
        <v>45877</v>
      </c>
      <c r="C1643" s="1">
        <v>45877</v>
      </c>
      <c r="D1643">
        <v>913319</v>
      </c>
      <c r="E1643">
        <v>51</v>
      </c>
      <c r="F1643" s="3" t="s">
        <v>1498</v>
      </c>
      <c r="G1643" s="4">
        <v>310000</v>
      </c>
      <c r="H1643" s="4">
        <v>0</v>
      </c>
      <c r="I1643" s="4">
        <v>-62128516.200000003</v>
      </c>
    </row>
    <row r="1644" spans="1:9" x14ac:dyDescent="0.3">
      <c r="A1644" t="s">
        <v>133</v>
      </c>
      <c r="B1644" s="1">
        <v>45877</v>
      </c>
      <c r="C1644" s="1">
        <v>45877</v>
      </c>
      <c r="D1644">
        <v>913322</v>
      </c>
      <c r="E1644">
        <v>282</v>
      </c>
      <c r="F1644" s="3" t="s">
        <v>1499</v>
      </c>
      <c r="G1644" s="4">
        <v>210000</v>
      </c>
      <c r="H1644" s="4">
        <v>0</v>
      </c>
      <c r="I1644" s="4">
        <v>-61918516.200000003</v>
      </c>
    </row>
    <row r="1645" spans="1:9" x14ac:dyDescent="0.3">
      <c r="A1645" t="s">
        <v>133</v>
      </c>
      <c r="B1645" s="1">
        <v>45877</v>
      </c>
      <c r="C1645" s="1">
        <v>45877</v>
      </c>
      <c r="D1645">
        <v>913346</v>
      </c>
      <c r="E1645">
        <v>11</v>
      </c>
      <c r="F1645" s="3" t="s">
        <v>1500</v>
      </c>
      <c r="G1645" s="4">
        <v>1164.75</v>
      </c>
      <c r="H1645" s="4">
        <v>0</v>
      </c>
      <c r="I1645" s="4">
        <v>-61917351.450000003</v>
      </c>
    </row>
    <row r="1646" spans="1:9" x14ac:dyDescent="0.3">
      <c r="A1646" t="s">
        <v>133</v>
      </c>
      <c r="B1646" s="1">
        <v>45877</v>
      </c>
      <c r="C1646" s="1">
        <v>45877</v>
      </c>
      <c r="D1646">
        <v>913369</v>
      </c>
      <c r="E1646">
        <v>14</v>
      </c>
      <c r="F1646" s="3" t="s">
        <v>1501</v>
      </c>
      <c r="G1646" s="4">
        <v>36000</v>
      </c>
      <c r="H1646" s="4">
        <v>0</v>
      </c>
      <c r="I1646" s="4">
        <v>-61881351.450000003</v>
      </c>
    </row>
    <row r="1647" spans="1:9" x14ac:dyDescent="0.3">
      <c r="A1647" t="s">
        <v>133</v>
      </c>
      <c r="B1647" s="1">
        <v>45877</v>
      </c>
      <c r="C1647" s="1">
        <v>45877</v>
      </c>
      <c r="D1647">
        <v>913405</v>
      </c>
      <c r="E1647">
        <v>42</v>
      </c>
      <c r="F1647" s="3" t="s">
        <v>1502</v>
      </c>
      <c r="G1647" s="4">
        <v>230271.75</v>
      </c>
      <c r="H1647" s="4">
        <v>0</v>
      </c>
      <c r="I1647" s="4">
        <v>-61651079.700000003</v>
      </c>
    </row>
    <row r="1648" spans="1:9" x14ac:dyDescent="0.3">
      <c r="A1648" t="s">
        <v>133</v>
      </c>
      <c r="B1648" s="1">
        <v>45877</v>
      </c>
      <c r="C1648" s="1">
        <v>45877</v>
      </c>
      <c r="D1648">
        <v>913411</v>
      </c>
      <c r="E1648">
        <v>75</v>
      </c>
      <c r="F1648" s="3" t="s">
        <v>1503</v>
      </c>
      <c r="G1648" s="4">
        <v>230000</v>
      </c>
      <c r="H1648" s="4">
        <v>0</v>
      </c>
      <c r="I1648" s="4">
        <v>-61421079.700000003</v>
      </c>
    </row>
    <row r="1649" spans="1:9" x14ac:dyDescent="0.3">
      <c r="A1649" t="s">
        <v>133</v>
      </c>
      <c r="B1649" s="1">
        <v>45877</v>
      </c>
      <c r="C1649" s="1">
        <v>45877</v>
      </c>
      <c r="D1649">
        <v>913445</v>
      </c>
      <c r="E1649">
        <v>65</v>
      </c>
      <c r="F1649" s="3">
        <v>50859772795</v>
      </c>
      <c r="G1649" s="4">
        <v>14972</v>
      </c>
      <c r="H1649" s="4">
        <v>0</v>
      </c>
      <c r="I1649" s="4">
        <v>-61406107.700000003</v>
      </c>
    </row>
    <row r="1650" spans="1:9" x14ac:dyDescent="0.3">
      <c r="A1650" t="s">
        <v>133</v>
      </c>
      <c r="B1650" s="1">
        <v>45877</v>
      </c>
      <c r="C1650" s="1">
        <v>45877</v>
      </c>
      <c r="D1650">
        <v>913454</v>
      </c>
      <c r="E1650">
        <v>66</v>
      </c>
      <c r="F1650" s="3" t="s">
        <v>1504</v>
      </c>
      <c r="G1650" s="4">
        <v>225000</v>
      </c>
      <c r="H1650" s="4">
        <v>0</v>
      </c>
      <c r="I1650" s="4">
        <v>-61181107.700000003</v>
      </c>
    </row>
    <row r="1651" spans="1:9" x14ac:dyDescent="0.3">
      <c r="A1651" t="s">
        <v>133</v>
      </c>
      <c r="B1651" s="1">
        <v>45877</v>
      </c>
      <c r="C1651" s="1">
        <v>45877</v>
      </c>
      <c r="D1651">
        <v>913463</v>
      </c>
      <c r="E1651">
        <v>351</v>
      </c>
      <c r="F1651" s="3" t="s">
        <v>1505</v>
      </c>
      <c r="G1651" s="4">
        <v>1000</v>
      </c>
      <c r="H1651" s="4">
        <v>0</v>
      </c>
      <c r="I1651" s="4">
        <v>-61180107.700000003</v>
      </c>
    </row>
    <row r="1652" spans="1:9" x14ac:dyDescent="0.3">
      <c r="A1652" t="s">
        <v>133</v>
      </c>
      <c r="B1652" s="1">
        <v>45877</v>
      </c>
      <c r="C1652" s="1">
        <v>45877</v>
      </c>
      <c r="D1652">
        <v>913464</v>
      </c>
      <c r="E1652">
        <v>14</v>
      </c>
      <c r="F1652" s="3" t="s">
        <v>1506</v>
      </c>
      <c r="G1652" s="4">
        <v>150000</v>
      </c>
      <c r="H1652" s="4">
        <v>0</v>
      </c>
      <c r="I1652" s="4">
        <v>-61030107.700000003</v>
      </c>
    </row>
    <row r="1653" spans="1:9" x14ac:dyDescent="0.3">
      <c r="A1653" t="s">
        <v>133</v>
      </c>
      <c r="B1653" s="1">
        <v>45877</v>
      </c>
      <c r="C1653" s="1">
        <v>45877</v>
      </c>
      <c r="D1653">
        <v>913466</v>
      </c>
      <c r="E1653">
        <v>92</v>
      </c>
      <c r="F1653" s="3" t="s">
        <v>1507</v>
      </c>
      <c r="G1653" s="4">
        <v>270000</v>
      </c>
      <c r="H1653" s="4">
        <v>0</v>
      </c>
      <c r="I1653" s="4">
        <v>-60760107.700000003</v>
      </c>
    </row>
    <row r="1654" spans="1:9" x14ac:dyDescent="0.3">
      <c r="A1654" t="s">
        <v>133</v>
      </c>
      <c r="B1654" s="1">
        <v>45877</v>
      </c>
      <c r="C1654" s="1">
        <v>45877</v>
      </c>
      <c r="D1654">
        <v>913504</v>
      </c>
      <c r="E1654">
        <v>13</v>
      </c>
      <c r="F1654" s="3" t="s">
        <v>1111</v>
      </c>
      <c r="G1654" s="4">
        <v>260000</v>
      </c>
      <c r="H1654" s="4">
        <v>0</v>
      </c>
      <c r="I1654" s="4">
        <v>-60500107.700000003</v>
      </c>
    </row>
    <row r="1655" spans="1:9" x14ac:dyDescent="0.3">
      <c r="A1655" t="s">
        <v>133</v>
      </c>
      <c r="B1655" s="1">
        <v>45877</v>
      </c>
      <c r="C1655" s="1">
        <v>45877</v>
      </c>
      <c r="D1655">
        <v>913518</v>
      </c>
      <c r="E1655">
        <v>382</v>
      </c>
      <c r="F1655" s="3" t="s">
        <v>1508</v>
      </c>
      <c r="G1655" s="4">
        <v>74151.5</v>
      </c>
      <c r="H1655" s="4">
        <v>0</v>
      </c>
      <c r="I1655" s="4">
        <v>-60425956.200000003</v>
      </c>
    </row>
    <row r="1656" spans="1:9" x14ac:dyDescent="0.3">
      <c r="A1656" t="s">
        <v>133</v>
      </c>
      <c r="B1656" s="1">
        <v>45877</v>
      </c>
      <c r="C1656" s="1">
        <v>45877</v>
      </c>
      <c r="D1656">
        <v>913522</v>
      </c>
      <c r="E1656">
        <v>55</v>
      </c>
      <c r="F1656" s="3" t="s">
        <v>176</v>
      </c>
      <c r="G1656" s="4">
        <v>375000</v>
      </c>
      <c r="H1656" s="4">
        <v>0</v>
      </c>
      <c r="I1656" s="4">
        <v>-60050956.200000003</v>
      </c>
    </row>
    <row r="1657" spans="1:9" x14ac:dyDescent="0.3">
      <c r="A1657" t="s">
        <v>133</v>
      </c>
      <c r="B1657" s="1">
        <v>45877</v>
      </c>
      <c r="C1657" s="1">
        <v>45877</v>
      </c>
      <c r="D1657">
        <v>913527</v>
      </c>
      <c r="E1657">
        <v>49</v>
      </c>
      <c r="F1657" s="3" t="s">
        <v>1509</v>
      </c>
      <c r="G1657" s="4">
        <v>50246.5</v>
      </c>
      <c r="H1657" s="4">
        <v>0</v>
      </c>
      <c r="I1657" s="4">
        <v>-60000709.700000003</v>
      </c>
    </row>
    <row r="1658" spans="1:9" x14ac:dyDescent="0.3">
      <c r="A1658" t="s">
        <v>133</v>
      </c>
      <c r="B1658" s="1">
        <v>45877</v>
      </c>
      <c r="C1658" s="1">
        <v>45877</v>
      </c>
      <c r="D1658">
        <v>913536</v>
      </c>
      <c r="E1658">
        <v>31</v>
      </c>
      <c r="F1658" s="3" t="s">
        <v>433</v>
      </c>
      <c r="G1658" s="4">
        <v>750000</v>
      </c>
      <c r="H1658" s="4">
        <v>0</v>
      </c>
      <c r="I1658" s="4">
        <v>-59250709.700000003</v>
      </c>
    </row>
    <row r="1659" spans="1:9" x14ac:dyDescent="0.3">
      <c r="A1659" t="s">
        <v>133</v>
      </c>
      <c r="B1659" s="1">
        <v>45877</v>
      </c>
      <c r="C1659" s="1">
        <v>45877</v>
      </c>
      <c r="D1659">
        <v>913538</v>
      </c>
      <c r="E1659">
        <v>310</v>
      </c>
      <c r="F1659" s="3" t="s">
        <v>1510</v>
      </c>
      <c r="G1659" s="4">
        <v>40423.25</v>
      </c>
      <c r="H1659" s="4">
        <v>0</v>
      </c>
      <c r="I1659" s="4">
        <v>-59210286.450000003</v>
      </c>
    </row>
    <row r="1660" spans="1:9" x14ac:dyDescent="0.3">
      <c r="A1660" t="s">
        <v>133</v>
      </c>
      <c r="B1660" s="1">
        <v>45877</v>
      </c>
      <c r="C1660" s="1">
        <v>45877</v>
      </c>
      <c r="D1660">
        <v>913543</v>
      </c>
      <c r="E1660">
        <v>12</v>
      </c>
      <c r="F1660" s="3" t="s">
        <v>1511</v>
      </c>
      <c r="G1660" s="4">
        <v>370000</v>
      </c>
      <c r="H1660" s="4">
        <v>0</v>
      </c>
      <c r="I1660" s="4">
        <v>-58840286.450000003</v>
      </c>
    </row>
    <row r="1661" spans="1:9" x14ac:dyDescent="0.3">
      <c r="A1661" t="s">
        <v>133</v>
      </c>
      <c r="B1661" s="1">
        <v>45877</v>
      </c>
      <c r="C1661" s="1">
        <v>45877</v>
      </c>
      <c r="D1661">
        <v>913547</v>
      </c>
      <c r="E1661">
        <v>31</v>
      </c>
      <c r="F1661" s="3" t="s">
        <v>1512</v>
      </c>
      <c r="G1661" s="4">
        <v>13391</v>
      </c>
      <c r="H1661" s="4">
        <v>0</v>
      </c>
      <c r="I1661" s="4">
        <v>-58826895.450000003</v>
      </c>
    </row>
    <row r="1662" spans="1:9" x14ac:dyDescent="0.3">
      <c r="A1662" t="s">
        <v>133</v>
      </c>
      <c r="B1662" s="1">
        <v>45877</v>
      </c>
      <c r="C1662" s="1">
        <v>45877</v>
      </c>
      <c r="D1662">
        <v>913553</v>
      </c>
      <c r="E1662">
        <v>31</v>
      </c>
      <c r="F1662" s="3" t="s">
        <v>1513</v>
      </c>
      <c r="G1662" s="4">
        <v>55170.5</v>
      </c>
      <c r="H1662" s="4">
        <v>0</v>
      </c>
      <c r="I1662" s="4">
        <v>-58771724.950000003</v>
      </c>
    </row>
    <row r="1663" spans="1:9" x14ac:dyDescent="0.3">
      <c r="A1663" t="s">
        <v>133</v>
      </c>
      <c r="B1663" s="1">
        <v>45877</v>
      </c>
      <c r="C1663" s="1">
        <v>45877</v>
      </c>
      <c r="D1663">
        <v>913563</v>
      </c>
      <c r="E1663">
        <v>18</v>
      </c>
      <c r="F1663" s="3" t="s">
        <v>1514</v>
      </c>
      <c r="G1663" s="4">
        <v>160000</v>
      </c>
      <c r="H1663" s="4">
        <v>0</v>
      </c>
      <c r="I1663" s="4">
        <v>-58611724.950000003</v>
      </c>
    </row>
    <row r="1664" spans="1:9" x14ac:dyDescent="0.3">
      <c r="A1664" t="s">
        <v>133</v>
      </c>
      <c r="B1664" s="1">
        <v>45877</v>
      </c>
      <c r="C1664" s="1">
        <v>45877</v>
      </c>
      <c r="D1664">
        <v>913566</v>
      </c>
      <c r="E1664">
        <v>59</v>
      </c>
      <c r="F1664" s="3" t="s">
        <v>1515</v>
      </c>
      <c r="G1664" s="4">
        <v>29515</v>
      </c>
      <c r="H1664" s="4">
        <v>0</v>
      </c>
      <c r="I1664" s="4">
        <v>-58582209.950000003</v>
      </c>
    </row>
    <row r="1665" spans="1:9" x14ac:dyDescent="0.3">
      <c r="A1665" t="s">
        <v>133</v>
      </c>
      <c r="B1665" s="1">
        <v>45877</v>
      </c>
      <c r="C1665" s="1">
        <v>45877</v>
      </c>
      <c r="D1665">
        <v>913567</v>
      </c>
      <c r="E1665">
        <v>54</v>
      </c>
      <c r="F1665" s="3" t="s">
        <v>1516</v>
      </c>
      <c r="G1665" s="4">
        <v>260000</v>
      </c>
      <c r="H1665" s="4">
        <v>0</v>
      </c>
      <c r="I1665" s="4">
        <v>-58322209.950000003</v>
      </c>
    </row>
    <row r="1666" spans="1:9" x14ac:dyDescent="0.3">
      <c r="A1666" t="s">
        <v>133</v>
      </c>
      <c r="B1666" s="1">
        <v>45877</v>
      </c>
      <c r="C1666" s="1">
        <v>45877</v>
      </c>
      <c r="D1666">
        <v>913568</v>
      </c>
      <c r="E1666">
        <v>79</v>
      </c>
      <c r="F1666" s="3" t="s">
        <v>1517</v>
      </c>
      <c r="G1666" s="4">
        <v>220000</v>
      </c>
      <c r="H1666" s="4">
        <v>0</v>
      </c>
      <c r="I1666" s="4">
        <v>-58102209.950000003</v>
      </c>
    </row>
    <row r="1667" spans="1:9" x14ac:dyDescent="0.3">
      <c r="A1667" t="s">
        <v>133</v>
      </c>
      <c r="B1667" s="1">
        <v>45877</v>
      </c>
      <c r="C1667" s="1">
        <v>45877</v>
      </c>
      <c r="D1667">
        <v>913570</v>
      </c>
      <c r="E1667">
        <v>59</v>
      </c>
      <c r="F1667" s="3" t="s">
        <v>1518</v>
      </c>
      <c r="G1667" s="4">
        <v>2434</v>
      </c>
      <c r="H1667" s="4">
        <v>0</v>
      </c>
      <c r="I1667" s="4">
        <v>-58099775.950000003</v>
      </c>
    </row>
    <row r="1668" spans="1:9" x14ac:dyDescent="0.3">
      <c r="A1668" t="s">
        <v>133</v>
      </c>
      <c r="B1668" s="1">
        <v>45877</v>
      </c>
      <c r="C1668" s="1">
        <v>45877</v>
      </c>
      <c r="D1668">
        <v>913573</v>
      </c>
      <c r="E1668">
        <v>59</v>
      </c>
      <c r="F1668" s="3" t="s">
        <v>1519</v>
      </c>
      <c r="G1668" s="4">
        <v>2182.75</v>
      </c>
      <c r="H1668" s="4">
        <v>0</v>
      </c>
      <c r="I1668" s="4">
        <v>-58097593.200000003</v>
      </c>
    </row>
    <row r="1669" spans="1:9" x14ac:dyDescent="0.3">
      <c r="A1669" t="s">
        <v>133</v>
      </c>
      <c r="B1669" s="1">
        <v>45877</v>
      </c>
      <c r="C1669" s="1">
        <v>45877</v>
      </c>
      <c r="D1669">
        <v>913575</v>
      </c>
      <c r="E1669">
        <v>59</v>
      </c>
      <c r="F1669" s="3" t="s">
        <v>1520</v>
      </c>
      <c r="G1669" s="4">
        <v>12491.5</v>
      </c>
      <c r="H1669" s="4">
        <v>0</v>
      </c>
      <c r="I1669" s="4">
        <v>-58085101.700000003</v>
      </c>
    </row>
    <row r="1670" spans="1:9" x14ac:dyDescent="0.3">
      <c r="A1670" t="s">
        <v>133</v>
      </c>
      <c r="B1670" s="1">
        <v>45877</v>
      </c>
      <c r="C1670" s="1">
        <v>45877</v>
      </c>
      <c r="D1670">
        <v>913578</v>
      </c>
      <c r="E1670">
        <v>59</v>
      </c>
      <c r="F1670" s="3" t="s">
        <v>1521</v>
      </c>
      <c r="G1670" s="4">
        <v>5570</v>
      </c>
      <c r="H1670" s="4">
        <v>0</v>
      </c>
      <c r="I1670" s="4">
        <v>-58079531.700000003</v>
      </c>
    </row>
    <row r="1671" spans="1:9" x14ac:dyDescent="0.3">
      <c r="A1671" t="s">
        <v>133</v>
      </c>
      <c r="B1671" s="1">
        <v>45877</v>
      </c>
      <c r="C1671" s="1">
        <v>45877</v>
      </c>
      <c r="D1671">
        <v>913587</v>
      </c>
      <c r="E1671">
        <v>59</v>
      </c>
      <c r="F1671" s="3" t="s">
        <v>1522</v>
      </c>
      <c r="G1671" s="4">
        <v>47417.75</v>
      </c>
      <c r="H1671" s="4">
        <v>0</v>
      </c>
      <c r="I1671" s="4">
        <v>-58032113.950000003</v>
      </c>
    </row>
    <row r="1672" spans="1:9" x14ac:dyDescent="0.3">
      <c r="A1672" t="s">
        <v>133</v>
      </c>
      <c r="B1672" s="1">
        <v>45877</v>
      </c>
      <c r="C1672" s="1">
        <v>45877</v>
      </c>
      <c r="D1672">
        <v>913611</v>
      </c>
      <c r="E1672">
        <v>65</v>
      </c>
      <c r="F1672" s="3" t="s">
        <v>1523</v>
      </c>
      <c r="G1672" s="4">
        <v>220000</v>
      </c>
      <c r="H1672" s="4">
        <v>0</v>
      </c>
      <c r="I1672" s="4">
        <v>-57812113.950000003</v>
      </c>
    </row>
    <row r="1673" spans="1:9" x14ac:dyDescent="0.3">
      <c r="A1673" t="s">
        <v>133</v>
      </c>
      <c r="B1673" s="1">
        <v>45877</v>
      </c>
      <c r="C1673" s="1">
        <v>45877</v>
      </c>
      <c r="D1673">
        <v>913612</v>
      </c>
      <c r="E1673">
        <v>17</v>
      </c>
      <c r="F1673" s="3" t="s">
        <v>181</v>
      </c>
      <c r="G1673" s="4">
        <v>190000</v>
      </c>
      <c r="H1673" s="4">
        <v>0</v>
      </c>
      <c r="I1673" s="4">
        <v>-57622113.950000003</v>
      </c>
    </row>
    <row r="1674" spans="1:9" x14ac:dyDescent="0.3">
      <c r="A1674" t="s">
        <v>133</v>
      </c>
      <c r="B1674" s="1">
        <v>45877</v>
      </c>
      <c r="C1674" s="1">
        <v>45877</v>
      </c>
      <c r="D1674">
        <v>913613</v>
      </c>
      <c r="E1674">
        <v>58</v>
      </c>
      <c r="F1674" s="3" t="s">
        <v>1524</v>
      </c>
      <c r="G1674" s="4">
        <v>100000</v>
      </c>
      <c r="H1674" s="4">
        <v>0</v>
      </c>
      <c r="I1674" s="4">
        <v>-57522113.950000003</v>
      </c>
    </row>
    <row r="1675" spans="1:9" x14ac:dyDescent="0.3">
      <c r="A1675" t="s">
        <v>133</v>
      </c>
      <c r="B1675" s="1">
        <v>45877</v>
      </c>
      <c r="C1675" s="1">
        <v>45877</v>
      </c>
      <c r="D1675">
        <v>913623</v>
      </c>
      <c r="E1675">
        <v>71</v>
      </c>
      <c r="F1675" s="3" t="s">
        <v>1525</v>
      </c>
      <c r="G1675" s="4">
        <v>200000</v>
      </c>
      <c r="H1675" s="4">
        <v>0</v>
      </c>
      <c r="I1675" s="4">
        <v>-57322113.950000003</v>
      </c>
    </row>
    <row r="1676" spans="1:9" x14ac:dyDescent="0.3">
      <c r="A1676" t="s">
        <v>133</v>
      </c>
      <c r="B1676" s="1">
        <v>45877</v>
      </c>
      <c r="C1676" s="1">
        <v>45877</v>
      </c>
      <c r="D1676">
        <v>913633</v>
      </c>
      <c r="E1676">
        <v>91</v>
      </c>
      <c r="F1676" s="3" t="s">
        <v>1526</v>
      </c>
      <c r="G1676" s="4">
        <v>350000</v>
      </c>
      <c r="H1676" s="4">
        <v>0</v>
      </c>
      <c r="I1676" s="4">
        <v>-56972113.950000003</v>
      </c>
    </row>
    <row r="1677" spans="1:9" x14ac:dyDescent="0.3">
      <c r="A1677" t="s">
        <v>133</v>
      </c>
      <c r="B1677" s="1">
        <v>45877</v>
      </c>
      <c r="C1677" s="1">
        <v>45877</v>
      </c>
      <c r="D1677">
        <v>913637</v>
      </c>
      <c r="E1677">
        <v>382</v>
      </c>
      <c r="F1677" s="3" t="s">
        <v>1527</v>
      </c>
      <c r="G1677" s="4">
        <v>25226.5</v>
      </c>
      <c r="H1677" s="4">
        <v>0</v>
      </c>
      <c r="I1677" s="4">
        <v>-56946887.450000003</v>
      </c>
    </row>
    <row r="1678" spans="1:9" x14ac:dyDescent="0.3">
      <c r="A1678" t="s">
        <v>133</v>
      </c>
      <c r="B1678" s="1">
        <v>45877</v>
      </c>
      <c r="C1678" s="1">
        <v>45877</v>
      </c>
      <c r="D1678">
        <v>913639</v>
      </c>
      <c r="E1678">
        <v>11</v>
      </c>
      <c r="F1678" s="3" t="s">
        <v>1528</v>
      </c>
      <c r="G1678" s="4">
        <v>764193.25</v>
      </c>
      <c r="H1678" s="4">
        <v>0</v>
      </c>
      <c r="I1678" s="4">
        <v>-56182694.200000003</v>
      </c>
    </row>
    <row r="1679" spans="1:9" x14ac:dyDescent="0.3">
      <c r="A1679" t="s">
        <v>133</v>
      </c>
      <c r="B1679" s="1">
        <v>45877</v>
      </c>
      <c r="C1679" s="1">
        <v>45877</v>
      </c>
      <c r="D1679">
        <v>913649</v>
      </c>
      <c r="E1679">
        <v>12</v>
      </c>
      <c r="F1679" s="3">
        <v>50854066740</v>
      </c>
      <c r="G1679" s="4">
        <v>117100</v>
      </c>
      <c r="H1679" s="4">
        <v>0</v>
      </c>
      <c r="I1679" s="4">
        <v>-56065594.200000003</v>
      </c>
    </row>
    <row r="1680" spans="1:9" x14ac:dyDescent="0.3">
      <c r="A1680" t="s">
        <v>133</v>
      </c>
      <c r="B1680" s="1">
        <v>45877</v>
      </c>
      <c r="C1680" s="1">
        <v>45877</v>
      </c>
      <c r="D1680">
        <v>913661</v>
      </c>
      <c r="E1680">
        <v>67</v>
      </c>
      <c r="F1680" s="3" t="s">
        <v>677</v>
      </c>
      <c r="G1680" s="4">
        <v>110000</v>
      </c>
      <c r="H1680" s="4">
        <v>0</v>
      </c>
      <c r="I1680" s="4">
        <v>-55955594.200000003</v>
      </c>
    </row>
    <row r="1681" spans="1:9" x14ac:dyDescent="0.3">
      <c r="A1681" t="s">
        <v>133</v>
      </c>
      <c r="B1681" s="1">
        <v>45877</v>
      </c>
      <c r="C1681" s="1">
        <v>45877</v>
      </c>
      <c r="D1681">
        <v>913667</v>
      </c>
      <c r="E1681">
        <v>220</v>
      </c>
      <c r="F1681" s="3" t="s">
        <v>700</v>
      </c>
      <c r="G1681" s="4">
        <v>440000</v>
      </c>
      <c r="H1681" s="4">
        <v>0</v>
      </c>
      <c r="I1681" s="4">
        <v>-55515594.200000003</v>
      </c>
    </row>
    <row r="1682" spans="1:9" x14ac:dyDescent="0.3">
      <c r="A1682" t="s">
        <v>133</v>
      </c>
      <c r="B1682" s="1">
        <v>45877</v>
      </c>
      <c r="C1682" s="1">
        <v>45877</v>
      </c>
      <c r="D1682">
        <v>913694</v>
      </c>
      <c r="E1682">
        <v>32</v>
      </c>
      <c r="F1682" s="3" t="s">
        <v>1161</v>
      </c>
      <c r="G1682" s="4">
        <v>380000</v>
      </c>
      <c r="H1682" s="4">
        <v>0</v>
      </c>
      <c r="I1682" s="4">
        <v>-55135594.200000003</v>
      </c>
    </row>
    <row r="1683" spans="1:9" x14ac:dyDescent="0.3">
      <c r="A1683" t="s">
        <v>133</v>
      </c>
      <c r="B1683" s="1">
        <v>45877</v>
      </c>
      <c r="C1683" s="1">
        <v>45877</v>
      </c>
      <c r="D1683">
        <v>913695</v>
      </c>
      <c r="E1683">
        <v>12</v>
      </c>
      <c r="F1683" s="3" t="s">
        <v>1529</v>
      </c>
      <c r="G1683" s="4">
        <v>43500</v>
      </c>
      <c r="H1683" s="4">
        <v>0</v>
      </c>
      <c r="I1683" s="4">
        <v>-55092094.200000003</v>
      </c>
    </row>
    <row r="1684" spans="1:9" x14ac:dyDescent="0.3">
      <c r="A1684" t="s">
        <v>133</v>
      </c>
      <c r="B1684" s="1">
        <v>45877</v>
      </c>
      <c r="C1684" s="1">
        <v>45877</v>
      </c>
      <c r="D1684">
        <v>913696</v>
      </c>
      <c r="E1684">
        <v>78</v>
      </c>
      <c r="F1684" s="3" t="s">
        <v>208</v>
      </c>
      <c r="G1684" s="4">
        <v>420000</v>
      </c>
      <c r="H1684" s="4">
        <v>0</v>
      </c>
      <c r="I1684" s="4">
        <v>-54672094.200000003</v>
      </c>
    </row>
    <row r="1685" spans="1:9" x14ac:dyDescent="0.3">
      <c r="A1685" t="s">
        <v>133</v>
      </c>
      <c r="B1685" s="1">
        <v>45877</v>
      </c>
      <c r="C1685" s="1">
        <v>45877</v>
      </c>
      <c r="D1685">
        <v>913699</v>
      </c>
      <c r="E1685">
        <v>12</v>
      </c>
      <c r="F1685" s="3" t="s">
        <v>1530</v>
      </c>
      <c r="G1685" s="4">
        <v>40000</v>
      </c>
      <c r="H1685" s="4">
        <v>0</v>
      </c>
      <c r="I1685" s="4">
        <v>-54632094.200000003</v>
      </c>
    </row>
    <row r="1686" spans="1:9" x14ac:dyDescent="0.3">
      <c r="A1686" t="s">
        <v>133</v>
      </c>
      <c r="B1686" s="1">
        <v>45877</v>
      </c>
      <c r="C1686" s="1">
        <v>45877</v>
      </c>
      <c r="D1686">
        <v>913702</v>
      </c>
      <c r="E1686">
        <v>16</v>
      </c>
      <c r="F1686" s="3" t="s">
        <v>688</v>
      </c>
      <c r="G1686" s="4">
        <v>310000</v>
      </c>
      <c r="H1686" s="4">
        <v>0</v>
      </c>
      <c r="I1686" s="4">
        <v>-54322094.200000003</v>
      </c>
    </row>
    <row r="1687" spans="1:9" x14ac:dyDescent="0.3">
      <c r="A1687" t="s">
        <v>133</v>
      </c>
      <c r="B1687" s="1">
        <v>45877</v>
      </c>
      <c r="C1687" s="1">
        <v>45877</v>
      </c>
      <c r="D1687">
        <v>913706</v>
      </c>
      <c r="E1687">
        <v>16</v>
      </c>
      <c r="F1687" s="3" t="s">
        <v>688</v>
      </c>
      <c r="G1687" s="4">
        <v>310000</v>
      </c>
      <c r="H1687" s="4">
        <v>0</v>
      </c>
      <c r="I1687" s="4">
        <v>-54012094.200000003</v>
      </c>
    </row>
    <row r="1688" spans="1:9" x14ac:dyDescent="0.3">
      <c r="A1688" t="s">
        <v>133</v>
      </c>
      <c r="B1688" s="1">
        <v>45877</v>
      </c>
      <c r="C1688" s="1">
        <v>45877</v>
      </c>
      <c r="D1688">
        <v>913708</v>
      </c>
      <c r="E1688">
        <v>11</v>
      </c>
      <c r="F1688" s="3" t="s">
        <v>1531</v>
      </c>
      <c r="G1688" s="4">
        <v>600000</v>
      </c>
      <c r="H1688" s="4">
        <v>0</v>
      </c>
      <c r="I1688" s="4">
        <v>-53412094.200000003</v>
      </c>
    </row>
    <row r="1689" spans="1:9" x14ac:dyDescent="0.3">
      <c r="A1689" t="s">
        <v>133</v>
      </c>
      <c r="B1689" s="1">
        <v>45877</v>
      </c>
      <c r="C1689" s="1">
        <v>45877</v>
      </c>
      <c r="D1689">
        <v>913709</v>
      </c>
      <c r="E1689">
        <v>15</v>
      </c>
      <c r="F1689" s="3" t="s">
        <v>1532</v>
      </c>
      <c r="G1689" s="4">
        <v>150000</v>
      </c>
      <c r="H1689" s="4">
        <v>0</v>
      </c>
      <c r="I1689" s="4">
        <v>-53262094.200000003</v>
      </c>
    </row>
    <row r="1690" spans="1:9" x14ac:dyDescent="0.3">
      <c r="A1690" t="s">
        <v>133</v>
      </c>
      <c r="B1690" s="1">
        <v>45877</v>
      </c>
      <c r="C1690" s="1">
        <v>45877</v>
      </c>
      <c r="D1690">
        <v>913716</v>
      </c>
      <c r="E1690">
        <v>82</v>
      </c>
      <c r="F1690" s="3" t="s">
        <v>1533</v>
      </c>
      <c r="G1690" s="4">
        <v>165000</v>
      </c>
      <c r="H1690" s="4">
        <v>0</v>
      </c>
      <c r="I1690" s="4">
        <v>-53097094.200000003</v>
      </c>
    </row>
    <row r="1691" spans="1:9" x14ac:dyDescent="0.3">
      <c r="A1691" t="s">
        <v>133</v>
      </c>
      <c r="B1691" s="1">
        <v>45877</v>
      </c>
      <c r="C1691" s="1">
        <v>45877</v>
      </c>
      <c r="D1691">
        <v>913724</v>
      </c>
      <c r="E1691">
        <v>56</v>
      </c>
      <c r="F1691" s="3" t="s">
        <v>1534</v>
      </c>
      <c r="G1691" s="4">
        <v>810000</v>
      </c>
      <c r="H1691" s="4">
        <v>0</v>
      </c>
      <c r="I1691" s="4">
        <v>-52287094.200000003</v>
      </c>
    </row>
    <row r="1692" spans="1:9" x14ac:dyDescent="0.3">
      <c r="A1692" t="s">
        <v>133</v>
      </c>
      <c r="B1692" s="1">
        <v>45877</v>
      </c>
      <c r="C1692" s="1">
        <v>45877</v>
      </c>
      <c r="D1692">
        <v>913730</v>
      </c>
      <c r="E1692">
        <v>382</v>
      </c>
      <c r="F1692" s="3" t="s">
        <v>1535</v>
      </c>
      <c r="G1692" s="4">
        <v>650000</v>
      </c>
      <c r="H1692" s="4">
        <v>0</v>
      </c>
      <c r="I1692" s="4">
        <v>-51637094.200000003</v>
      </c>
    </row>
    <row r="1693" spans="1:9" x14ac:dyDescent="0.3">
      <c r="A1693" t="s">
        <v>133</v>
      </c>
      <c r="B1693" s="1">
        <v>45877</v>
      </c>
      <c r="C1693" s="1">
        <v>45877</v>
      </c>
      <c r="D1693">
        <v>913732</v>
      </c>
      <c r="E1693">
        <v>351</v>
      </c>
      <c r="F1693" s="3" t="s">
        <v>181</v>
      </c>
      <c r="G1693" s="4">
        <v>330000</v>
      </c>
      <c r="H1693" s="4">
        <v>0</v>
      </c>
      <c r="I1693" s="4">
        <v>-51307094.200000003</v>
      </c>
    </row>
    <row r="1694" spans="1:9" x14ac:dyDescent="0.3">
      <c r="A1694" t="s">
        <v>133</v>
      </c>
      <c r="B1694" s="1">
        <v>45877</v>
      </c>
      <c r="C1694" s="1">
        <v>45877</v>
      </c>
      <c r="D1694">
        <v>913738</v>
      </c>
      <c r="E1694">
        <v>80</v>
      </c>
      <c r="F1694" s="3" t="s">
        <v>1536</v>
      </c>
      <c r="G1694" s="4">
        <v>180000</v>
      </c>
      <c r="H1694" s="4">
        <v>0</v>
      </c>
      <c r="I1694" s="4">
        <v>-51127094.200000003</v>
      </c>
    </row>
    <row r="1695" spans="1:9" x14ac:dyDescent="0.3">
      <c r="A1695" t="s">
        <v>133</v>
      </c>
      <c r="B1695" s="1">
        <v>45877</v>
      </c>
      <c r="C1695" s="1">
        <v>45877</v>
      </c>
      <c r="D1695">
        <v>913742</v>
      </c>
      <c r="E1695">
        <v>72</v>
      </c>
      <c r="F1695" s="3" t="s">
        <v>1537</v>
      </c>
      <c r="G1695" s="4">
        <v>450000</v>
      </c>
      <c r="H1695" s="4">
        <v>0</v>
      </c>
      <c r="I1695" s="4">
        <v>-50677094.200000003</v>
      </c>
    </row>
    <row r="1696" spans="1:9" x14ac:dyDescent="0.3">
      <c r="A1696" t="s">
        <v>133</v>
      </c>
      <c r="B1696" s="1">
        <v>45877</v>
      </c>
      <c r="C1696" s="1">
        <v>45877</v>
      </c>
      <c r="D1696">
        <v>913747</v>
      </c>
      <c r="E1696">
        <v>361</v>
      </c>
      <c r="F1696" s="3">
        <v>101021684428</v>
      </c>
      <c r="G1696" s="4">
        <v>160000</v>
      </c>
      <c r="H1696" s="4">
        <v>0</v>
      </c>
      <c r="I1696" s="4">
        <v>-50517094.200000003</v>
      </c>
    </row>
    <row r="1697" spans="1:9" x14ac:dyDescent="0.3">
      <c r="A1697" t="s">
        <v>133</v>
      </c>
      <c r="B1697" s="1">
        <v>45877</v>
      </c>
      <c r="C1697" s="1">
        <v>45877</v>
      </c>
      <c r="D1697">
        <v>913752</v>
      </c>
      <c r="E1697">
        <v>69</v>
      </c>
      <c r="F1697" s="3" t="s">
        <v>1538</v>
      </c>
      <c r="G1697" s="4">
        <v>17000</v>
      </c>
      <c r="H1697" s="4">
        <v>0</v>
      </c>
      <c r="I1697" s="4">
        <v>-50500094.200000003</v>
      </c>
    </row>
    <row r="1698" spans="1:9" x14ac:dyDescent="0.3">
      <c r="A1698" t="s">
        <v>133</v>
      </c>
      <c r="B1698" s="1">
        <v>45877</v>
      </c>
      <c r="C1698" s="1">
        <v>45877</v>
      </c>
      <c r="D1698">
        <v>913755</v>
      </c>
      <c r="E1698">
        <v>97</v>
      </c>
      <c r="F1698" s="3" t="s">
        <v>1539</v>
      </c>
      <c r="G1698" s="4">
        <v>450000</v>
      </c>
      <c r="H1698" s="4">
        <v>0</v>
      </c>
      <c r="I1698" s="4">
        <v>-50050094.200000003</v>
      </c>
    </row>
    <row r="1699" spans="1:9" x14ac:dyDescent="0.3">
      <c r="A1699" t="s">
        <v>133</v>
      </c>
      <c r="B1699" s="1">
        <v>45877</v>
      </c>
      <c r="C1699" s="1">
        <v>45877</v>
      </c>
      <c r="D1699">
        <v>913757</v>
      </c>
      <c r="E1699">
        <v>81</v>
      </c>
      <c r="F1699" s="3" t="s">
        <v>1540</v>
      </c>
      <c r="G1699" s="4">
        <v>430000</v>
      </c>
      <c r="H1699" s="4">
        <v>0</v>
      </c>
      <c r="I1699" s="4">
        <v>-49620094.200000003</v>
      </c>
    </row>
    <row r="1700" spans="1:9" x14ac:dyDescent="0.3">
      <c r="A1700" t="s">
        <v>133</v>
      </c>
      <c r="B1700" s="1">
        <v>45877</v>
      </c>
      <c r="C1700" s="1">
        <v>45877</v>
      </c>
      <c r="D1700">
        <v>913761</v>
      </c>
      <c r="E1700">
        <v>84</v>
      </c>
      <c r="F1700" s="3" t="s">
        <v>1541</v>
      </c>
      <c r="G1700" s="4">
        <v>250000</v>
      </c>
      <c r="H1700" s="4">
        <v>0</v>
      </c>
      <c r="I1700" s="4">
        <v>-49370094.200000003</v>
      </c>
    </row>
    <row r="1701" spans="1:9" x14ac:dyDescent="0.3">
      <c r="A1701" t="s">
        <v>133</v>
      </c>
      <c r="B1701" s="1">
        <v>45877</v>
      </c>
      <c r="C1701" s="1">
        <v>45877</v>
      </c>
      <c r="D1701">
        <v>913762</v>
      </c>
      <c r="E1701">
        <v>12</v>
      </c>
      <c r="F1701" s="3" t="s">
        <v>1542</v>
      </c>
      <c r="G1701" s="4">
        <v>94700</v>
      </c>
      <c r="H1701" s="4">
        <v>0</v>
      </c>
      <c r="I1701" s="4">
        <v>-49275394.200000003</v>
      </c>
    </row>
    <row r="1702" spans="1:9" x14ac:dyDescent="0.3">
      <c r="A1702" t="s">
        <v>133</v>
      </c>
      <c r="B1702" s="1">
        <v>45877</v>
      </c>
      <c r="C1702" s="1">
        <v>45877</v>
      </c>
      <c r="D1702">
        <v>913765</v>
      </c>
      <c r="E1702">
        <v>210</v>
      </c>
      <c r="F1702" s="3" t="s">
        <v>1149</v>
      </c>
      <c r="G1702" s="4">
        <v>240000</v>
      </c>
      <c r="H1702" s="4">
        <v>0</v>
      </c>
      <c r="I1702" s="4">
        <v>-49035394.200000003</v>
      </c>
    </row>
    <row r="1703" spans="1:9" x14ac:dyDescent="0.3">
      <c r="A1703" t="s">
        <v>133</v>
      </c>
      <c r="B1703" s="1">
        <v>45877</v>
      </c>
      <c r="C1703" s="1">
        <v>45877</v>
      </c>
      <c r="D1703">
        <v>913767</v>
      </c>
      <c r="E1703">
        <v>98</v>
      </c>
      <c r="F1703" s="3" t="s">
        <v>1543</v>
      </c>
      <c r="G1703" s="4">
        <v>150000</v>
      </c>
      <c r="H1703" s="4">
        <v>0</v>
      </c>
      <c r="I1703" s="4">
        <v>-48885394.200000003</v>
      </c>
    </row>
    <row r="1704" spans="1:9" x14ac:dyDescent="0.3">
      <c r="A1704" t="s">
        <v>133</v>
      </c>
      <c r="B1704" s="1">
        <v>45877</v>
      </c>
      <c r="C1704" s="1">
        <v>45877</v>
      </c>
      <c r="D1704">
        <v>913768</v>
      </c>
      <c r="E1704">
        <v>12</v>
      </c>
      <c r="F1704" s="3">
        <v>503394</v>
      </c>
      <c r="G1704" s="4">
        <v>95581</v>
      </c>
      <c r="H1704" s="4">
        <v>0</v>
      </c>
      <c r="I1704" s="4">
        <v>-48789813.200000003</v>
      </c>
    </row>
    <row r="1705" spans="1:9" x14ac:dyDescent="0.3">
      <c r="A1705" t="s">
        <v>133</v>
      </c>
      <c r="B1705" s="1">
        <v>45877</v>
      </c>
      <c r="C1705" s="1">
        <v>45877</v>
      </c>
      <c r="D1705">
        <v>913770</v>
      </c>
      <c r="E1705">
        <v>58</v>
      </c>
      <c r="F1705" s="3" t="s">
        <v>1544</v>
      </c>
      <c r="G1705" s="4">
        <v>2018.25</v>
      </c>
      <c r="H1705" s="4">
        <v>0</v>
      </c>
      <c r="I1705" s="4">
        <v>-48787794.950000003</v>
      </c>
    </row>
    <row r="1706" spans="1:9" x14ac:dyDescent="0.3">
      <c r="A1706" t="s">
        <v>133</v>
      </c>
      <c r="B1706" s="1">
        <v>45877</v>
      </c>
      <c r="C1706" s="1">
        <v>45877</v>
      </c>
      <c r="D1706">
        <v>913773</v>
      </c>
      <c r="E1706">
        <v>14</v>
      </c>
      <c r="F1706" s="3" t="s">
        <v>1545</v>
      </c>
      <c r="G1706" s="4">
        <v>187089.25</v>
      </c>
      <c r="H1706" s="4">
        <v>0</v>
      </c>
      <c r="I1706" s="4">
        <v>-48600705.700000003</v>
      </c>
    </row>
    <row r="1707" spans="1:9" x14ac:dyDescent="0.3">
      <c r="A1707" t="s">
        <v>133</v>
      </c>
      <c r="B1707" s="1">
        <v>45877</v>
      </c>
      <c r="C1707" s="1">
        <v>45877</v>
      </c>
      <c r="D1707">
        <v>913774</v>
      </c>
      <c r="E1707">
        <v>53</v>
      </c>
      <c r="F1707" s="3" t="s">
        <v>1546</v>
      </c>
      <c r="G1707" s="4">
        <v>170000</v>
      </c>
      <c r="H1707" s="4">
        <v>0</v>
      </c>
      <c r="I1707" s="4">
        <v>-48430705.700000003</v>
      </c>
    </row>
    <row r="1708" spans="1:9" x14ac:dyDescent="0.3">
      <c r="A1708" t="s">
        <v>133</v>
      </c>
      <c r="B1708" s="1">
        <v>45877</v>
      </c>
      <c r="C1708" s="1">
        <v>45877</v>
      </c>
      <c r="D1708">
        <v>913776</v>
      </c>
      <c r="E1708">
        <v>58</v>
      </c>
      <c r="F1708" s="3" t="s">
        <v>1547</v>
      </c>
      <c r="G1708" s="4">
        <v>13654.5</v>
      </c>
      <c r="H1708" s="4">
        <v>0</v>
      </c>
      <c r="I1708" s="4">
        <v>-48417051.200000003</v>
      </c>
    </row>
    <row r="1709" spans="1:9" x14ac:dyDescent="0.3">
      <c r="A1709" t="s">
        <v>133</v>
      </c>
      <c r="B1709" s="1">
        <v>45877</v>
      </c>
      <c r="C1709" s="1">
        <v>45877</v>
      </c>
      <c r="D1709">
        <v>913777</v>
      </c>
      <c r="E1709">
        <v>88</v>
      </c>
      <c r="F1709" s="3" t="s">
        <v>1548</v>
      </c>
      <c r="G1709" s="4">
        <v>16880</v>
      </c>
      <c r="H1709" s="4">
        <v>0</v>
      </c>
      <c r="I1709" s="4">
        <v>-48400171.200000003</v>
      </c>
    </row>
    <row r="1710" spans="1:9" x14ac:dyDescent="0.3">
      <c r="A1710" t="s">
        <v>133</v>
      </c>
      <c r="B1710" s="1">
        <v>45877</v>
      </c>
      <c r="C1710" s="1">
        <v>45877</v>
      </c>
      <c r="D1710">
        <v>913790</v>
      </c>
      <c r="E1710">
        <v>78</v>
      </c>
      <c r="F1710" s="3" t="s">
        <v>1549</v>
      </c>
      <c r="G1710" s="4">
        <v>13628</v>
      </c>
      <c r="H1710" s="4">
        <v>0</v>
      </c>
      <c r="I1710" s="4">
        <v>-48386543.200000003</v>
      </c>
    </row>
    <row r="1711" spans="1:9" x14ac:dyDescent="0.3">
      <c r="A1711" t="s">
        <v>133</v>
      </c>
      <c r="B1711" s="1">
        <v>45877</v>
      </c>
      <c r="C1711" s="1">
        <v>45877</v>
      </c>
      <c r="D1711">
        <v>913791</v>
      </c>
      <c r="E1711">
        <v>223</v>
      </c>
      <c r="F1711" s="3">
        <v>50864243555</v>
      </c>
      <c r="G1711" s="4">
        <v>9772.25</v>
      </c>
      <c r="H1711" s="4">
        <v>0</v>
      </c>
      <c r="I1711" s="4">
        <v>-48376770.950000003</v>
      </c>
    </row>
    <row r="1712" spans="1:9" x14ac:dyDescent="0.3">
      <c r="A1712" t="s">
        <v>133</v>
      </c>
      <c r="B1712" s="1">
        <v>45877</v>
      </c>
      <c r="C1712" s="1">
        <v>45877</v>
      </c>
      <c r="D1712">
        <v>913795</v>
      </c>
      <c r="E1712">
        <v>223</v>
      </c>
      <c r="F1712" s="3">
        <v>50864075335</v>
      </c>
      <c r="G1712" s="4">
        <v>2891</v>
      </c>
      <c r="H1712" s="4">
        <v>0</v>
      </c>
      <c r="I1712" s="4">
        <v>-48373879.950000003</v>
      </c>
    </row>
    <row r="1713" spans="1:9" x14ac:dyDescent="0.3">
      <c r="A1713" t="s">
        <v>133</v>
      </c>
      <c r="B1713" s="1">
        <v>45877</v>
      </c>
      <c r="C1713" s="1">
        <v>45877</v>
      </c>
      <c r="D1713">
        <v>913796</v>
      </c>
      <c r="E1713">
        <v>61</v>
      </c>
      <c r="F1713" s="3" t="s">
        <v>1550</v>
      </c>
      <c r="G1713" s="4">
        <v>200000</v>
      </c>
      <c r="H1713" s="4">
        <v>0</v>
      </c>
      <c r="I1713" s="4">
        <v>-48173879.950000003</v>
      </c>
    </row>
    <row r="1714" spans="1:9" x14ac:dyDescent="0.3">
      <c r="A1714" t="s">
        <v>133</v>
      </c>
      <c r="B1714" s="1">
        <v>45877</v>
      </c>
      <c r="C1714" s="1">
        <v>45877</v>
      </c>
      <c r="D1714">
        <v>913797</v>
      </c>
      <c r="E1714">
        <v>223</v>
      </c>
      <c r="F1714" s="3">
        <v>50863976622</v>
      </c>
      <c r="G1714" s="4">
        <v>8914.75</v>
      </c>
      <c r="H1714" s="4">
        <v>0</v>
      </c>
      <c r="I1714" s="4">
        <v>-48164965.200000003</v>
      </c>
    </row>
    <row r="1715" spans="1:9" x14ac:dyDescent="0.3">
      <c r="A1715" t="s">
        <v>133</v>
      </c>
      <c r="B1715" s="1">
        <v>45877</v>
      </c>
      <c r="C1715" s="1">
        <v>45877</v>
      </c>
      <c r="D1715">
        <v>913798</v>
      </c>
      <c r="E1715">
        <v>223</v>
      </c>
      <c r="F1715" s="3">
        <v>50864131119</v>
      </c>
      <c r="G1715" s="4">
        <v>6232.75</v>
      </c>
      <c r="H1715" s="4">
        <v>0</v>
      </c>
      <c r="I1715" s="4">
        <v>-48158732.450000003</v>
      </c>
    </row>
    <row r="1716" spans="1:9" x14ac:dyDescent="0.3">
      <c r="A1716" t="s">
        <v>133</v>
      </c>
      <c r="B1716" s="1">
        <v>45877</v>
      </c>
      <c r="C1716" s="1">
        <v>45877</v>
      </c>
      <c r="D1716">
        <v>913799</v>
      </c>
      <c r="E1716">
        <v>252</v>
      </c>
      <c r="F1716" s="3">
        <v>2249</v>
      </c>
      <c r="G1716" s="4">
        <v>1448.75</v>
      </c>
      <c r="H1716" s="4">
        <v>0</v>
      </c>
      <c r="I1716" s="4">
        <v>-48157283.700000003</v>
      </c>
    </row>
    <row r="1717" spans="1:9" x14ac:dyDescent="0.3">
      <c r="A1717" t="s">
        <v>133</v>
      </c>
      <c r="B1717" s="1">
        <v>45877</v>
      </c>
      <c r="C1717" s="1">
        <v>45877</v>
      </c>
      <c r="D1717">
        <v>913800</v>
      </c>
      <c r="E1717">
        <v>84</v>
      </c>
      <c r="F1717" s="3" t="s">
        <v>1551</v>
      </c>
      <c r="G1717" s="4">
        <v>1157.5</v>
      </c>
      <c r="H1717" s="4">
        <v>0</v>
      </c>
      <c r="I1717" s="4">
        <v>-48156126.200000003</v>
      </c>
    </row>
    <row r="1718" spans="1:9" x14ac:dyDescent="0.3">
      <c r="A1718" t="s">
        <v>133</v>
      </c>
      <c r="B1718" s="1">
        <v>45877</v>
      </c>
      <c r="C1718" s="1">
        <v>45877</v>
      </c>
      <c r="D1718">
        <v>913801</v>
      </c>
      <c r="E1718">
        <v>84</v>
      </c>
      <c r="F1718" s="3" t="s">
        <v>1552</v>
      </c>
      <c r="G1718" s="4">
        <v>167667.75</v>
      </c>
      <c r="H1718" s="4">
        <v>0</v>
      </c>
      <c r="I1718" s="4">
        <v>-47988458.450000003</v>
      </c>
    </row>
    <row r="1719" spans="1:9" x14ac:dyDescent="0.3">
      <c r="A1719" t="s">
        <v>133</v>
      </c>
      <c r="B1719" s="1">
        <v>45877</v>
      </c>
      <c r="C1719" s="1">
        <v>45877</v>
      </c>
      <c r="D1719">
        <v>913802</v>
      </c>
      <c r="E1719">
        <v>13</v>
      </c>
      <c r="F1719" s="3" t="s">
        <v>1553</v>
      </c>
      <c r="G1719" s="4">
        <v>14523.75</v>
      </c>
      <c r="H1719" s="4">
        <v>0</v>
      </c>
      <c r="I1719" s="4">
        <v>-47973934.700000003</v>
      </c>
    </row>
    <row r="1720" spans="1:9" x14ac:dyDescent="0.3">
      <c r="A1720" t="s">
        <v>133</v>
      </c>
      <c r="B1720" s="1">
        <v>45877</v>
      </c>
      <c r="C1720" s="1">
        <v>45877</v>
      </c>
      <c r="D1720">
        <v>913808</v>
      </c>
      <c r="E1720">
        <v>92</v>
      </c>
      <c r="F1720" s="3" t="s">
        <v>1554</v>
      </c>
      <c r="G1720" s="4">
        <v>2398386.75</v>
      </c>
      <c r="H1720" s="4">
        <v>0</v>
      </c>
      <c r="I1720" s="4">
        <v>-45575547.950000003</v>
      </c>
    </row>
    <row r="1721" spans="1:9" x14ac:dyDescent="0.3">
      <c r="A1721" t="s">
        <v>133</v>
      </c>
      <c r="B1721" s="1">
        <v>45877</v>
      </c>
      <c r="C1721" s="1">
        <v>45877</v>
      </c>
      <c r="D1721">
        <v>913809</v>
      </c>
      <c r="E1721">
        <v>92</v>
      </c>
      <c r="F1721" s="3" t="s">
        <v>1555</v>
      </c>
      <c r="G1721" s="4">
        <v>884160</v>
      </c>
      <c r="H1721" s="4">
        <v>0</v>
      </c>
      <c r="I1721" s="4">
        <v>-44691387.950000003</v>
      </c>
    </row>
    <row r="1722" spans="1:9" x14ac:dyDescent="0.3">
      <c r="A1722" t="s">
        <v>133</v>
      </c>
      <c r="B1722" s="1">
        <v>45877</v>
      </c>
      <c r="C1722" s="1">
        <v>45877</v>
      </c>
      <c r="D1722">
        <v>913810</v>
      </c>
      <c r="E1722">
        <v>86</v>
      </c>
      <c r="F1722" s="3" t="s">
        <v>1556</v>
      </c>
      <c r="G1722" s="4">
        <v>183906.25</v>
      </c>
      <c r="H1722" s="4">
        <v>0</v>
      </c>
      <c r="I1722" s="4">
        <v>-44507481.700000003</v>
      </c>
    </row>
    <row r="1723" spans="1:9" x14ac:dyDescent="0.3">
      <c r="A1723" t="s">
        <v>133</v>
      </c>
      <c r="B1723" s="1">
        <v>45877</v>
      </c>
      <c r="C1723" s="1">
        <v>45877</v>
      </c>
      <c r="D1723">
        <v>913812</v>
      </c>
      <c r="E1723">
        <v>86</v>
      </c>
      <c r="F1723" s="3" t="s">
        <v>1557</v>
      </c>
      <c r="G1723" s="4">
        <v>73541</v>
      </c>
      <c r="H1723" s="4">
        <v>0</v>
      </c>
      <c r="I1723" s="4">
        <v>-44433940.700000003</v>
      </c>
    </row>
    <row r="1724" spans="1:9" x14ac:dyDescent="0.3">
      <c r="A1724" t="s">
        <v>133</v>
      </c>
      <c r="B1724" s="1">
        <v>45877</v>
      </c>
      <c r="C1724" s="1">
        <v>45877</v>
      </c>
      <c r="D1724">
        <v>913813</v>
      </c>
      <c r="E1724">
        <v>33</v>
      </c>
      <c r="F1724" s="3" t="s">
        <v>1558</v>
      </c>
      <c r="G1724" s="4">
        <v>360000</v>
      </c>
      <c r="H1724" s="4">
        <v>0</v>
      </c>
      <c r="I1724" s="4">
        <v>-44073940.700000003</v>
      </c>
    </row>
    <row r="1725" spans="1:9" x14ac:dyDescent="0.3">
      <c r="A1725" t="s">
        <v>133</v>
      </c>
      <c r="B1725" s="1">
        <v>45877</v>
      </c>
      <c r="C1725" s="1">
        <v>45877</v>
      </c>
      <c r="D1725">
        <v>913814</v>
      </c>
      <c r="E1725">
        <v>23</v>
      </c>
      <c r="F1725" s="3" t="s">
        <v>677</v>
      </c>
      <c r="G1725" s="4">
        <v>270000</v>
      </c>
      <c r="H1725" s="4">
        <v>0</v>
      </c>
      <c r="I1725" s="4">
        <v>-43803940.700000003</v>
      </c>
    </row>
    <row r="1726" spans="1:9" x14ac:dyDescent="0.3">
      <c r="A1726" t="s">
        <v>1</v>
      </c>
      <c r="B1726" s="1">
        <v>45877</v>
      </c>
      <c r="C1726" s="1">
        <v>45878</v>
      </c>
      <c r="D1726">
        <v>102190</v>
      </c>
      <c r="E1726">
        <v>100</v>
      </c>
      <c r="F1726" s="3" t="s">
        <v>1559</v>
      </c>
      <c r="G1726" s="4">
        <v>7378.25</v>
      </c>
      <c r="I1726" s="4">
        <v>-43796562.450000003</v>
      </c>
    </row>
    <row r="1727" spans="1:9" x14ac:dyDescent="0.3">
      <c r="A1727" t="s">
        <v>1</v>
      </c>
      <c r="B1727" s="1">
        <v>45877</v>
      </c>
      <c r="C1727" s="1">
        <v>45878</v>
      </c>
      <c r="D1727">
        <v>102271</v>
      </c>
      <c r="E1727">
        <v>100</v>
      </c>
      <c r="F1727" s="3" t="s">
        <v>1560</v>
      </c>
      <c r="G1727" s="4">
        <v>15200</v>
      </c>
      <c r="I1727" s="4">
        <v>-43781362.450000003</v>
      </c>
    </row>
    <row r="1728" spans="1:9" x14ac:dyDescent="0.3">
      <c r="A1728" t="s">
        <v>1</v>
      </c>
      <c r="B1728" s="1">
        <v>45877</v>
      </c>
      <c r="C1728" s="1">
        <v>45878</v>
      </c>
      <c r="D1728">
        <v>102272</v>
      </c>
      <c r="E1728">
        <v>100</v>
      </c>
      <c r="F1728" s="3" t="s">
        <v>1561</v>
      </c>
      <c r="G1728" s="4">
        <v>27140</v>
      </c>
      <c r="I1728" s="4">
        <v>-43754222.450000003</v>
      </c>
    </row>
    <row r="1729" spans="1:9" x14ac:dyDescent="0.3">
      <c r="A1729" t="s">
        <v>1</v>
      </c>
      <c r="B1729" s="1">
        <v>45877</v>
      </c>
      <c r="C1729" s="1">
        <v>45878</v>
      </c>
      <c r="D1729">
        <v>102282</v>
      </c>
      <c r="E1729">
        <v>100</v>
      </c>
      <c r="F1729" s="3" t="s">
        <v>1562</v>
      </c>
      <c r="G1729" s="4">
        <v>128160</v>
      </c>
      <c r="I1729" s="4">
        <v>-43626062.450000003</v>
      </c>
    </row>
    <row r="1730" spans="1:9" x14ac:dyDescent="0.3">
      <c r="A1730" t="s">
        <v>1</v>
      </c>
      <c r="B1730" s="1">
        <v>45877</v>
      </c>
      <c r="C1730" s="1">
        <v>45878</v>
      </c>
      <c r="D1730">
        <v>102283</v>
      </c>
      <c r="E1730">
        <v>100</v>
      </c>
      <c r="F1730" s="3" t="s">
        <v>1563</v>
      </c>
      <c r="G1730" s="4">
        <v>3605.25</v>
      </c>
      <c r="I1730" s="4">
        <v>-43622457.200000003</v>
      </c>
    </row>
    <row r="1731" spans="1:9" x14ac:dyDescent="0.3">
      <c r="A1731" t="s">
        <v>1</v>
      </c>
      <c r="B1731" s="1">
        <v>45877</v>
      </c>
      <c r="C1731" s="1">
        <v>45878</v>
      </c>
      <c r="D1731">
        <v>102288</v>
      </c>
      <c r="E1731">
        <v>100</v>
      </c>
      <c r="F1731" s="3" t="s">
        <v>1564</v>
      </c>
      <c r="G1731" s="4">
        <v>177.45</v>
      </c>
      <c r="I1731" s="4">
        <v>-43622279.75</v>
      </c>
    </row>
    <row r="1732" spans="1:9" x14ac:dyDescent="0.3">
      <c r="A1732" t="s">
        <v>1</v>
      </c>
      <c r="B1732" s="1">
        <v>45875</v>
      </c>
      <c r="C1732" s="1">
        <v>45878</v>
      </c>
      <c r="D1732">
        <v>102289</v>
      </c>
      <c r="E1732">
        <v>100</v>
      </c>
      <c r="F1732" s="3" t="s">
        <v>786</v>
      </c>
      <c r="G1732" s="4">
        <v>4500.5</v>
      </c>
      <c r="I1732" s="4">
        <v>-43617779.25</v>
      </c>
    </row>
    <row r="1733" spans="1:9" x14ac:dyDescent="0.3">
      <c r="A1733" t="s">
        <v>1</v>
      </c>
      <c r="B1733" s="1">
        <v>45875</v>
      </c>
      <c r="C1733" s="1">
        <v>45878</v>
      </c>
      <c r="D1733">
        <v>102291</v>
      </c>
      <c r="E1733">
        <v>100</v>
      </c>
      <c r="F1733" s="3" t="s">
        <v>1565</v>
      </c>
      <c r="G1733" s="4">
        <v>5032</v>
      </c>
      <c r="I1733" s="4">
        <v>-43612747.25</v>
      </c>
    </row>
    <row r="1734" spans="1:9" x14ac:dyDescent="0.3">
      <c r="A1734" t="s">
        <v>1</v>
      </c>
      <c r="B1734" s="1">
        <v>45877</v>
      </c>
      <c r="C1734" s="1">
        <v>45878</v>
      </c>
      <c r="D1734">
        <v>102300</v>
      </c>
      <c r="E1734">
        <v>100</v>
      </c>
      <c r="F1734" s="3" t="s">
        <v>1566</v>
      </c>
      <c r="G1734" s="4">
        <v>28607.18</v>
      </c>
      <c r="I1734" s="4">
        <v>-43584140.07</v>
      </c>
    </row>
    <row r="1735" spans="1:9" x14ac:dyDescent="0.3">
      <c r="A1735" t="s">
        <v>1</v>
      </c>
      <c r="B1735" s="1">
        <v>45874</v>
      </c>
      <c r="C1735" s="1">
        <v>45878</v>
      </c>
      <c r="D1735">
        <v>102375</v>
      </c>
      <c r="E1735">
        <v>100</v>
      </c>
      <c r="F1735" s="3" t="s">
        <v>1567</v>
      </c>
      <c r="G1735" s="4">
        <v>2626.25</v>
      </c>
      <c r="I1735" s="4">
        <v>-43581513.82</v>
      </c>
    </row>
    <row r="1736" spans="1:9" x14ac:dyDescent="0.3">
      <c r="A1736" t="s">
        <v>71</v>
      </c>
      <c r="B1736" s="1">
        <v>45876</v>
      </c>
      <c r="C1736" s="1">
        <v>45878</v>
      </c>
      <c r="D1736">
        <v>14088</v>
      </c>
      <c r="E1736">
        <v>100</v>
      </c>
      <c r="G1736" s="4">
        <v>11034000</v>
      </c>
      <c r="H1736" s="4">
        <v>0</v>
      </c>
      <c r="I1736" s="4">
        <v>-32547513.82</v>
      </c>
    </row>
    <row r="1737" spans="1:9" x14ac:dyDescent="0.3">
      <c r="A1737" t="s">
        <v>71</v>
      </c>
      <c r="B1737" s="1">
        <v>45876</v>
      </c>
      <c r="C1737" s="1">
        <v>45878</v>
      </c>
      <c r="D1737">
        <v>14088</v>
      </c>
      <c r="E1737">
        <v>100</v>
      </c>
      <c r="G1737" s="4">
        <v>100219.26</v>
      </c>
      <c r="H1737" s="4">
        <v>0</v>
      </c>
      <c r="I1737" s="4">
        <v>-32447294.559999999</v>
      </c>
    </row>
    <row r="1738" spans="1:9" x14ac:dyDescent="0.3">
      <c r="A1738" t="s">
        <v>71</v>
      </c>
      <c r="B1738" s="1">
        <v>45877</v>
      </c>
      <c r="C1738" s="1">
        <v>45878</v>
      </c>
      <c r="D1738">
        <v>14088</v>
      </c>
      <c r="E1738">
        <v>100</v>
      </c>
      <c r="G1738" s="4">
        <v>0</v>
      </c>
      <c r="H1738" s="4">
        <v>4890000</v>
      </c>
      <c r="I1738" s="4">
        <v>-37337294.560000002</v>
      </c>
    </row>
    <row r="1739" spans="1:9" x14ac:dyDescent="0.3">
      <c r="A1739" t="s">
        <v>71</v>
      </c>
      <c r="B1739" s="1">
        <v>45877</v>
      </c>
      <c r="C1739" s="1">
        <v>45878</v>
      </c>
      <c r="D1739">
        <v>14088</v>
      </c>
      <c r="E1739">
        <v>100</v>
      </c>
      <c r="G1739" s="4">
        <v>85260</v>
      </c>
      <c r="H1739" s="4">
        <v>0</v>
      </c>
      <c r="I1739" s="4">
        <v>-37252034.560000002</v>
      </c>
    </row>
    <row r="1740" spans="1:9" x14ac:dyDescent="0.3">
      <c r="A1740" t="s">
        <v>71</v>
      </c>
      <c r="B1740" s="1">
        <v>45877</v>
      </c>
      <c r="C1740" s="1">
        <v>45878</v>
      </c>
      <c r="D1740">
        <v>14088</v>
      </c>
      <c r="E1740">
        <v>100</v>
      </c>
      <c r="G1740" s="4">
        <v>11034000</v>
      </c>
      <c r="H1740" s="4">
        <v>0</v>
      </c>
      <c r="I1740" s="4">
        <v>-26218034.559999999</v>
      </c>
    </row>
    <row r="1741" spans="1:9" x14ac:dyDescent="0.3">
      <c r="A1741" t="s">
        <v>71</v>
      </c>
      <c r="B1741" s="1">
        <v>45877</v>
      </c>
      <c r="C1741" s="1">
        <v>45878</v>
      </c>
      <c r="D1741">
        <v>14088</v>
      </c>
      <c r="E1741">
        <v>100</v>
      </c>
      <c r="G1741" s="4">
        <v>992790</v>
      </c>
      <c r="H1741" s="4">
        <v>0</v>
      </c>
      <c r="I1741" s="4">
        <v>-25225244.559999999</v>
      </c>
    </row>
    <row r="1742" spans="1:9" x14ac:dyDescent="0.3">
      <c r="A1742" t="s">
        <v>71</v>
      </c>
      <c r="B1742" s="1">
        <v>45876</v>
      </c>
      <c r="C1742" s="1">
        <v>45878</v>
      </c>
      <c r="D1742">
        <v>14088</v>
      </c>
      <c r="E1742">
        <v>100</v>
      </c>
      <c r="G1742" s="4">
        <v>228504.08</v>
      </c>
      <c r="H1742" s="4">
        <v>0</v>
      </c>
      <c r="I1742" s="4">
        <v>-24996740.48</v>
      </c>
    </row>
    <row r="1743" spans="1:9" x14ac:dyDescent="0.3">
      <c r="A1743" t="s">
        <v>71</v>
      </c>
      <c r="B1743" s="1">
        <v>45877</v>
      </c>
      <c r="C1743" s="1">
        <v>45878</v>
      </c>
      <c r="D1743">
        <v>14088</v>
      </c>
      <c r="E1743">
        <v>100</v>
      </c>
      <c r="G1743" s="4">
        <v>294700</v>
      </c>
      <c r="H1743" s="4">
        <v>0</v>
      </c>
      <c r="I1743" s="4">
        <v>-24702040.48</v>
      </c>
    </row>
    <row r="1744" spans="1:9" x14ac:dyDescent="0.3">
      <c r="A1744" t="s">
        <v>71</v>
      </c>
      <c r="B1744" s="1">
        <v>45871</v>
      </c>
      <c r="C1744" s="1">
        <v>45878</v>
      </c>
      <c r="D1744">
        <v>14088</v>
      </c>
      <c r="E1744">
        <v>100</v>
      </c>
      <c r="G1744" s="4">
        <v>25530</v>
      </c>
      <c r="H1744" s="4">
        <v>0</v>
      </c>
      <c r="I1744" s="4">
        <v>-24676510.48</v>
      </c>
    </row>
    <row r="1745" spans="1:9" x14ac:dyDescent="0.3">
      <c r="A1745" t="s">
        <v>71</v>
      </c>
      <c r="B1745" s="1">
        <v>45870</v>
      </c>
      <c r="C1745" s="1">
        <v>45878</v>
      </c>
      <c r="D1745">
        <v>14112</v>
      </c>
      <c r="E1745">
        <v>100</v>
      </c>
      <c r="F1745" s="3" t="s">
        <v>1568</v>
      </c>
      <c r="G1745" s="4">
        <v>100180</v>
      </c>
      <c r="H1745" s="4">
        <v>0</v>
      </c>
      <c r="I1745" s="4">
        <v>-24576330.48</v>
      </c>
    </row>
    <row r="1746" spans="1:9" x14ac:dyDescent="0.3">
      <c r="A1746" t="s">
        <v>71</v>
      </c>
      <c r="B1746" s="1">
        <v>45873</v>
      </c>
      <c r="C1746" s="1">
        <v>45878</v>
      </c>
      <c r="D1746">
        <v>14121</v>
      </c>
      <c r="E1746">
        <v>100</v>
      </c>
      <c r="F1746" s="3" t="s">
        <v>1569</v>
      </c>
      <c r="G1746" s="4">
        <v>10000000</v>
      </c>
      <c r="H1746" s="4">
        <v>0</v>
      </c>
      <c r="I1746" s="4">
        <v>-14576330.48</v>
      </c>
    </row>
    <row r="1747" spans="1:9" x14ac:dyDescent="0.3">
      <c r="A1747" t="s">
        <v>71</v>
      </c>
      <c r="B1747" s="1">
        <v>45874</v>
      </c>
      <c r="C1747" s="1">
        <v>45878</v>
      </c>
      <c r="D1747">
        <v>14121</v>
      </c>
      <c r="E1747">
        <v>100</v>
      </c>
      <c r="F1747" s="3" t="s">
        <v>1570</v>
      </c>
      <c r="G1747" s="4">
        <v>0</v>
      </c>
      <c r="H1747" s="4">
        <v>2057950</v>
      </c>
      <c r="I1747" s="4">
        <v>-16634280.48</v>
      </c>
    </row>
    <row r="1748" spans="1:9" x14ac:dyDescent="0.3">
      <c r="A1748" t="s">
        <v>71</v>
      </c>
      <c r="B1748" s="1">
        <v>45874</v>
      </c>
      <c r="C1748" s="1">
        <v>45878</v>
      </c>
      <c r="D1748">
        <v>14121</v>
      </c>
      <c r="E1748">
        <v>100</v>
      </c>
      <c r="F1748" s="3" t="s">
        <v>1571</v>
      </c>
      <c r="G1748" s="4">
        <v>6000000</v>
      </c>
      <c r="H1748" s="4">
        <v>0</v>
      </c>
      <c r="I1748" s="4">
        <v>-10634280.48</v>
      </c>
    </row>
    <row r="1749" spans="1:9" x14ac:dyDescent="0.3">
      <c r="A1749" t="s">
        <v>71</v>
      </c>
      <c r="B1749" s="1">
        <v>45875</v>
      </c>
      <c r="C1749" s="1">
        <v>45878</v>
      </c>
      <c r="D1749">
        <v>14121</v>
      </c>
      <c r="E1749">
        <v>100</v>
      </c>
      <c r="F1749" s="3" t="s">
        <v>1572</v>
      </c>
      <c r="G1749" s="4">
        <v>4886750</v>
      </c>
      <c r="H1749" s="4">
        <v>0</v>
      </c>
      <c r="I1749" s="4">
        <v>-5747530.4800000004</v>
      </c>
    </row>
    <row r="1750" spans="1:9" x14ac:dyDescent="0.3">
      <c r="A1750" t="s">
        <v>71</v>
      </c>
      <c r="B1750" s="1">
        <v>45874</v>
      </c>
      <c r="C1750" s="1">
        <v>45878</v>
      </c>
      <c r="D1750">
        <v>14121</v>
      </c>
      <c r="E1750">
        <v>100</v>
      </c>
      <c r="F1750" s="3" t="s">
        <v>1573</v>
      </c>
      <c r="G1750" s="4">
        <v>3000000</v>
      </c>
      <c r="H1750" s="4">
        <v>0</v>
      </c>
      <c r="I1750" s="4">
        <v>-2747530.48</v>
      </c>
    </row>
    <row r="1751" spans="1:9" x14ac:dyDescent="0.3">
      <c r="A1751" t="s">
        <v>71</v>
      </c>
      <c r="B1751" s="1">
        <v>45873</v>
      </c>
      <c r="C1751" s="1">
        <v>45878</v>
      </c>
      <c r="D1751">
        <v>14140</v>
      </c>
      <c r="E1751">
        <v>100</v>
      </c>
      <c r="F1751" s="3" t="s">
        <v>1569</v>
      </c>
      <c r="G1751" s="4">
        <v>10000000</v>
      </c>
      <c r="H1751" s="4">
        <v>0</v>
      </c>
      <c r="I1751" s="4">
        <v>7252469.5199999996</v>
      </c>
    </row>
    <row r="1752" spans="1:9" x14ac:dyDescent="0.3">
      <c r="A1752" t="s">
        <v>71</v>
      </c>
      <c r="B1752" s="1">
        <v>45874</v>
      </c>
      <c r="C1752" s="1">
        <v>45878</v>
      </c>
      <c r="D1752">
        <v>14140</v>
      </c>
      <c r="E1752">
        <v>100</v>
      </c>
      <c r="F1752" s="3" t="s">
        <v>1570</v>
      </c>
      <c r="G1752" s="4">
        <v>0</v>
      </c>
      <c r="H1752" s="4">
        <v>2057950</v>
      </c>
      <c r="I1752" s="4">
        <v>5194519.5199999996</v>
      </c>
    </row>
    <row r="1753" spans="1:9" x14ac:dyDescent="0.3">
      <c r="A1753" t="s">
        <v>71</v>
      </c>
      <c r="B1753" s="1">
        <v>45874</v>
      </c>
      <c r="C1753" s="1">
        <v>45878</v>
      </c>
      <c r="D1753">
        <v>14140</v>
      </c>
      <c r="E1753">
        <v>100</v>
      </c>
      <c r="F1753" s="3" t="s">
        <v>1571</v>
      </c>
      <c r="G1753" s="4">
        <v>6000000</v>
      </c>
      <c r="H1753" s="4">
        <v>0</v>
      </c>
      <c r="I1753" s="4">
        <v>11194519.52</v>
      </c>
    </row>
    <row r="1754" spans="1:9" x14ac:dyDescent="0.3">
      <c r="A1754" t="s">
        <v>71</v>
      </c>
      <c r="B1754" s="1">
        <v>45874</v>
      </c>
      <c r="C1754" s="1">
        <v>45878</v>
      </c>
      <c r="D1754">
        <v>14140</v>
      </c>
      <c r="E1754">
        <v>100</v>
      </c>
      <c r="F1754" s="3" t="s">
        <v>1573</v>
      </c>
      <c r="G1754" s="4">
        <v>3000000</v>
      </c>
      <c r="H1754" s="4">
        <v>0</v>
      </c>
      <c r="I1754" s="4">
        <v>14194519.52</v>
      </c>
    </row>
    <row r="1755" spans="1:9" x14ac:dyDescent="0.3">
      <c r="A1755" t="s">
        <v>71</v>
      </c>
      <c r="B1755" s="1">
        <v>45875</v>
      </c>
      <c r="C1755" s="1">
        <v>45878</v>
      </c>
      <c r="D1755">
        <v>14140</v>
      </c>
      <c r="E1755">
        <v>100</v>
      </c>
      <c r="F1755" s="3" t="s">
        <v>1572</v>
      </c>
      <c r="G1755" s="4">
        <v>4886750</v>
      </c>
      <c r="H1755" s="4">
        <v>0</v>
      </c>
      <c r="I1755" s="4">
        <v>19081269.52</v>
      </c>
    </row>
    <row r="1756" spans="1:9" x14ac:dyDescent="0.3">
      <c r="A1756" t="s">
        <v>71</v>
      </c>
      <c r="B1756" s="1">
        <v>45873</v>
      </c>
      <c r="C1756" s="1">
        <v>45878</v>
      </c>
      <c r="D1756">
        <v>14142</v>
      </c>
      <c r="E1756">
        <v>100</v>
      </c>
      <c r="F1756" s="3" t="s">
        <v>1574</v>
      </c>
      <c r="G1756" s="4">
        <v>0</v>
      </c>
      <c r="H1756" s="4">
        <v>10000000</v>
      </c>
      <c r="I1756" s="4">
        <v>9081269.5199999996</v>
      </c>
    </row>
    <row r="1757" spans="1:9" x14ac:dyDescent="0.3">
      <c r="A1757" t="s">
        <v>71</v>
      </c>
      <c r="B1757" s="1">
        <v>45875</v>
      </c>
      <c r="C1757" s="1">
        <v>45878</v>
      </c>
      <c r="D1757">
        <v>14142</v>
      </c>
      <c r="E1757">
        <v>100</v>
      </c>
      <c r="F1757" s="3" t="s">
        <v>1575</v>
      </c>
      <c r="G1757" s="4">
        <v>0</v>
      </c>
      <c r="H1757" s="4">
        <v>4886750</v>
      </c>
      <c r="I1757" s="4">
        <v>4194519.5199999996</v>
      </c>
    </row>
    <row r="1758" spans="1:9" x14ac:dyDescent="0.3">
      <c r="A1758" t="s">
        <v>71</v>
      </c>
      <c r="B1758" s="1">
        <v>45874</v>
      </c>
      <c r="C1758" s="1">
        <v>45878</v>
      </c>
      <c r="D1758">
        <v>14142</v>
      </c>
      <c r="E1758">
        <v>100</v>
      </c>
      <c r="F1758" s="3" t="s">
        <v>1576</v>
      </c>
      <c r="G1758" s="4">
        <v>0</v>
      </c>
      <c r="H1758" s="4">
        <v>3000000</v>
      </c>
      <c r="I1758" s="4">
        <v>1194519.52</v>
      </c>
    </row>
    <row r="1759" spans="1:9" x14ac:dyDescent="0.3">
      <c r="A1759" t="s">
        <v>71</v>
      </c>
      <c r="B1759" s="1">
        <v>45874</v>
      </c>
      <c r="C1759" s="1">
        <v>45878</v>
      </c>
      <c r="D1759">
        <v>14142</v>
      </c>
      <c r="E1759">
        <v>100</v>
      </c>
      <c r="F1759" s="3" t="s">
        <v>1577</v>
      </c>
      <c r="G1759" s="4">
        <v>2057950</v>
      </c>
      <c r="H1759" s="4">
        <v>0</v>
      </c>
      <c r="I1759" s="4">
        <v>3252469.52</v>
      </c>
    </row>
    <row r="1760" spans="1:9" x14ac:dyDescent="0.3">
      <c r="A1760" t="s">
        <v>71</v>
      </c>
      <c r="B1760" s="1">
        <v>45874</v>
      </c>
      <c r="C1760" s="1">
        <v>45878</v>
      </c>
      <c r="D1760">
        <v>14142</v>
      </c>
      <c r="E1760">
        <v>100</v>
      </c>
      <c r="F1760" s="3" t="s">
        <v>1578</v>
      </c>
      <c r="G1760" s="4">
        <v>0</v>
      </c>
      <c r="H1760" s="4">
        <v>6000000</v>
      </c>
      <c r="I1760" s="4">
        <v>-2747530.48</v>
      </c>
    </row>
    <row r="1761" spans="1:9" x14ac:dyDescent="0.3">
      <c r="A1761" t="s">
        <v>75</v>
      </c>
      <c r="B1761" s="1">
        <v>45877</v>
      </c>
      <c r="C1761" s="1">
        <v>45878</v>
      </c>
      <c r="D1761">
        <v>143192</v>
      </c>
      <c r="E1761">
        <v>77</v>
      </c>
      <c r="F1761" s="3" t="s">
        <v>1579</v>
      </c>
      <c r="G1761" s="4">
        <v>32437.5</v>
      </c>
      <c r="H1761" s="4">
        <v>0</v>
      </c>
      <c r="I1761" s="4">
        <v>-2715092.98</v>
      </c>
    </row>
    <row r="1762" spans="1:9" x14ac:dyDescent="0.3">
      <c r="A1762" t="s">
        <v>75</v>
      </c>
      <c r="B1762" s="1">
        <v>45877</v>
      </c>
      <c r="C1762" s="1">
        <v>45878</v>
      </c>
      <c r="D1762">
        <v>143193</v>
      </c>
      <c r="E1762">
        <v>77</v>
      </c>
      <c r="F1762" s="3" t="s">
        <v>1580</v>
      </c>
      <c r="G1762" s="4">
        <v>3810</v>
      </c>
      <c r="H1762" s="4">
        <v>0</v>
      </c>
      <c r="I1762" s="4">
        <v>-2711282.98</v>
      </c>
    </row>
    <row r="1763" spans="1:9" x14ac:dyDescent="0.3">
      <c r="A1763" t="s">
        <v>75</v>
      </c>
      <c r="B1763" s="1">
        <v>45875</v>
      </c>
      <c r="C1763" s="1">
        <v>45878</v>
      </c>
      <c r="D1763">
        <v>143196</v>
      </c>
      <c r="E1763">
        <v>97</v>
      </c>
      <c r="F1763" s="3" t="s">
        <v>1581</v>
      </c>
      <c r="G1763" s="4">
        <v>31447</v>
      </c>
      <c r="H1763" s="4">
        <v>0</v>
      </c>
      <c r="I1763" s="4">
        <v>-2679835.98</v>
      </c>
    </row>
    <row r="1764" spans="1:9" x14ac:dyDescent="0.3">
      <c r="A1764" t="s">
        <v>75</v>
      </c>
      <c r="B1764" s="1">
        <v>45876</v>
      </c>
      <c r="C1764" s="1">
        <v>45878</v>
      </c>
      <c r="D1764">
        <v>143197</v>
      </c>
      <c r="E1764">
        <v>91</v>
      </c>
      <c r="F1764" s="3" t="s">
        <v>1582</v>
      </c>
      <c r="G1764" s="4">
        <v>103660</v>
      </c>
      <c r="H1764" s="4">
        <v>0</v>
      </c>
      <c r="I1764" s="4">
        <v>-2576175.98</v>
      </c>
    </row>
    <row r="1765" spans="1:9" x14ac:dyDescent="0.3">
      <c r="A1765" t="s">
        <v>75</v>
      </c>
      <c r="B1765" s="1">
        <v>45876</v>
      </c>
      <c r="C1765" s="1">
        <v>45878</v>
      </c>
      <c r="D1765">
        <v>143198</v>
      </c>
      <c r="E1765">
        <v>69</v>
      </c>
      <c r="F1765" s="3" t="s">
        <v>1245</v>
      </c>
      <c r="G1765" s="4">
        <v>270000</v>
      </c>
      <c r="H1765" s="4">
        <v>0</v>
      </c>
      <c r="I1765" s="4">
        <v>-2306175.98</v>
      </c>
    </row>
    <row r="1766" spans="1:9" x14ac:dyDescent="0.3">
      <c r="A1766" t="s">
        <v>75</v>
      </c>
      <c r="B1766" s="1">
        <v>45877</v>
      </c>
      <c r="C1766" s="1">
        <v>45878</v>
      </c>
      <c r="D1766">
        <v>143199</v>
      </c>
      <c r="E1766">
        <v>72</v>
      </c>
      <c r="F1766" s="3" t="s">
        <v>1583</v>
      </c>
      <c r="G1766" s="4">
        <v>10000</v>
      </c>
      <c r="H1766" s="4">
        <v>0</v>
      </c>
      <c r="I1766" s="4">
        <v>-2296175.98</v>
      </c>
    </row>
    <row r="1767" spans="1:9" x14ac:dyDescent="0.3">
      <c r="A1767" t="s">
        <v>71</v>
      </c>
      <c r="B1767" s="1">
        <v>45876</v>
      </c>
      <c r="C1767" s="1">
        <v>45878</v>
      </c>
      <c r="D1767">
        <v>14320</v>
      </c>
      <c r="E1767">
        <v>100</v>
      </c>
      <c r="F1767" s="3" t="s">
        <v>1584</v>
      </c>
      <c r="G1767" s="4">
        <v>0</v>
      </c>
      <c r="H1767" s="4">
        <v>228504.08</v>
      </c>
      <c r="I1767" s="4">
        <v>-2524680.06</v>
      </c>
    </row>
    <row r="1768" spans="1:9" x14ac:dyDescent="0.3">
      <c r="A1768" t="s">
        <v>71</v>
      </c>
      <c r="B1768" s="1">
        <v>45876</v>
      </c>
      <c r="C1768" s="1">
        <v>45878</v>
      </c>
      <c r="D1768">
        <v>14320</v>
      </c>
      <c r="E1768">
        <v>100</v>
      </c>
      <c r="F1768" s="3" t="s">
        <v>1584</v>
      </c>
      <c r="G1768" s="4">
        <v>0</v>
      </c>
      <c r="H1768" s="4">
        <v>100219.26</v>
      </c>
      <c r="I1768" s="4">
        <v>-2624899.3199999998</v>
      </c>
    </row>
    <row r="1769" spans="1:9" x14ac:dyDescent="0.3">
      <c r="A1769" t="s">
        <v>71</v>
      </c>
      <c r="B1769" s="1">
        <v>45877</v>
      </c>
      <c r="C1769" s="1">
        <v>45878</v>
      </c>
      <c r="D1769">
        <v>14320</v>
      </c>
      <c r="E1769">
        <v>100</v>
      </c>
      <c r="F1769" s="3" t="s">
        <v>1584</v>
      </c>
      <c r="G1769" s="4">
        <v>0</v>
      </c>
      <c r="H1769" s="4">
        <v>294700</v>
      </c>
      <c r="I1769" s="4">
        <v>-2919599.32</v>
      </c>
    </row>
    <row r="1770" spans="1:9" x14ac:dyDescent="0.3">
      <c r="A1770" t="s">
        <v>71</v>
      </c>
      <c r="B1770" s="1">
        <v>45877</v>
      </c>
      <c r="C1770" s="1">
        <v>45878</v>
      </c>
      <c r="D1770">
        <v>14320</v>
      </c>
      <c r="E1770">
        <v>100</v>
      </c>
      <c r="F1770" s="3" t="s">
        <v>1584</v>
      </c>
      <c r="G1770" s="4">
        <v>0</v>
      </c>
      <c r="H1770" s="4">
        <v>11034000</v>
      </c>
      <c r="I1770" s="4">
        <v>-13953599.32</v>
      </c>
    </row>
    <row r="1771" spans="1:9" x14ac:dyDescent="0.3">
      <c r="A1771" t="s">
        <v>71</v>
      </c>
      <c r="B1771" s="1">
        <v>45877</v>
      </c>
      <c r="C1771" s="1">
        <v>45878</v>
      </c>
      <c r="D1771">
        <v>14320</v>
      </c>
      <c r="E1771">
        <v>100</v>
      </c>
      <c r="F1771" s="3" t="s">
        <v>1584</v>
      </c>
      <c r="G1771" s="4">
        <v>0</v>
      </c>
      <c r="H1771" s="4">
        <v>85260</v>
      </c>
      <c r="I1771" s="4">
        <v>-14038859.32</v>
      </c>
    </row>
    <row r="1772" spans="1:9" x14ac:dyDescent="0.3">
      <c r="A1772" t="s">
        <v>71</v>
      </c>
      <c r="B1772" s="1">
        <v>45877</v>
      </c>
      <c r="C1772" s="1">
        <v>45878</v>
      </c>
      <c r="D1772">
        <v>14320</v>
      </c>
      <c r="E1772">
        <v>100</v>
      </c>
      <c r="F1772" s="3" t="s">
        <v>1584</v>
      </c>
      <c r="G1772" s="4">
        <v>0</v>
      </c>
      <c r="H1772" s="4">
        <v>992790</v>
      </c>
      <c r="I1772" s="4">
        <v>-15031649.32</v>
      </c>
    </row>
    <row r="1773" spans="1:9" x14ac:dyDescent="0.3">
      <c r="A1773" t="s">
        <v>71</v>
      </c>
      <c r="B1773" s="1">
        <v>45876</v>
      </c>
      <c r="C1773" s="1">
        <v>45878</v>
      </c>
      <c r="D1773">
        <v>14320</v>
      </c>
      <c r="E1773">
        <v>100</v>
      </c>
      <c r="F1773" s="3" t="s">
        <v>1584</v>
      </c>
      <c r="G1773" s="4">
        <v>0</v>
      </c>
      <c r="H1773" s="4">
        <v>11034000</v>
      </c>
      <c r="I1773" s="4">
        <v>-26065649.32</v>
      </c>
    </row>
    <row r="1774" spans="1:9" x14ac:dyDescent="0.3">
      <c r="A1774" t="s">
        <v>71</v>
      </c>
      <c r="B1774" s="1">
        <v>45871</v>
      </c>
      <c r="C1774" s="1">
        <v>45878</v>
      </c>
      <c r="D1774">
        <v>14320</v>
      </c>
      <c r="E1774">
        <v>100</v>
      </c>
      <c r="F1774" s="3" t="s">
        <v>1584</v>
      </c>
      <c r="G1774" s="4">
        <v>0</v>
      </c>
      <c r="H1774" s="4">
        <v>25530</v>
      </c>
      <c r="I1774" s="4">
        <v>-26091179.32</v>
      </c>
    </row>
    <row r="1775" spans="1:9" x14ac:dyDescent="0.3">
      <c r="A1775" t="s">
        <v>71</v>
      </c>
      <c r="B1775" s="1">
        <v>45877</v>
      </c>
      <c r="C1775" s="1">
        <v>45878</v>
      </c>
      <c r="D1775">
        <v>14320</v>
      </c>
      <c r="E1775">
        <v>100</v>
      </c>
      <c r="F1775" s="3" t="s">
        <v>1584</v>
      </c>
      <c r="G1775" s="4">
        <v>4890000</v>
      </c>
      <c r="H1775" s="4">
        <v>0</v>
      </c>
      <c r="I1775" s="4">
        <v>-21201179.32</v>
      </c>
    </row>
    <row r="1776" spans="1:9" x14ac:dyDescent="0.3">
      <c r="A1776" t="s">
        <v>75</v>
      </c>
      <c r="B1776" s="1">
        <v>45877</v>
      </c>
      <c r="C1776" s="1">
        <v>45878</v>
      </c>
      <c r="D1776">
        <v>143200</v>
      </c>
      <c r="E1776">
        <v>67</v>
      </c>
      <c r="F1776" s="3" t="s">
        <v>1585</v>
      </c>
      <c r="G1776" s="4">
        <v>18430.5</v>
      </c>
      <c r="H1776" s="4">
        <v>0</v>
      </c>
      <c r="I1776" s="4">
        <v>-21182748.82</v>
      </c>
    </row>
    <row r="1777" spans="1:9" x14ac:dyDescent="0.3">
      <c r="A1777" t="s">
        <v>75</v>
      </c>
      <c r="B1777" s="1">
        <v>45878</v>
      </c>
      <c r="C1777" s="1">
        <v>45878</v>
      </c>
      <c r="D1777">
        <v>143201</v>
      </c>
      <c r="E1777">
        <v>72</v>
      </c>
      <c r="F1777" s="3" t="s">
        <v>1586</v>
      </c>
      <c r="G1777" s="4">
        <v>1500</v>
      </c>
      <c r="H1777" s="4">
        <v>0</v>
      </c>
      <c r="I1777" s="4">
        <v>-21181248.82</v>
      </c>
    </row>
    <row r="1778" spans="1:9" x14ac:dyDescent="0.3">
      <c r="A1778" t="s">
        <v>75</v>
      </c>
      <c r="B1778" s="1">
        <v>45878</v>
      </c>
      <c r="C1778" s="1">
        <v>45878</v>
      </c>
      <c r="D1778">
        <v>143202</v>
      </c>
      <c r="E1778">
        <v>14</v>
      </c>
      <c r="F1778" s="3" t="s">
        <v>1587</v>
      </c>
      <c r="G1778" s="4">
        <v>87000</v>
      </c>
      <c r="H1778" s="4">
        <v>0</v>
      </c>
      <c r="I1778" s="4">
        <v>-21094248.82</v>
      </c>
    </row>
    <row r="1779" spans="1:9" x14ac:dyDescent="0.3">
      <c r="A1779" t="s">
        <v>75</v>
      </c>
      <c r="B1779" s="1">
        <v>45878</v>
      </c>
      <c r="C1779" s="1">
        <v>45878</v>
      </c>
      <c r="D1779">
        <v>143203</v>
      </c>
      <c r="E1779">
        <v>14</v>
      </c>
      <c r="F1779" s="3" t="s">
        <v>1588</v>
      </c>
      <c r="G1779" s="4">
        <v>7000</v>
      </c>
      <c r="H1779" s="4">
        <v>0</v>
      </c>
      <c r="I1779" s="4">
        <v>-21087248.82</v>
      </c>
    </row>
    <row r="1780" spans="1:9" x14ac:dyDescent="0.3">
      <c r="A1780" t="s">
        <v>75</v>
      </c>
      <c r="B1780" s="1">
        <v>45877</v>
      </c>
      <c r="C1780" s="1">
        <v>45878</v>
      </c>
      <c r="D1780">
        <v>143204</v>
      </c>
      <c r="E1780">
        <v>11</v>
      </c>
      <c r="F1780" s="3" t="s">
        <v>1589</v>
      </c>
      <c r="G1780" s="4">
        <v>25000</v>
      </c>
      <c r="H1780" s="4">
        <v>0</v>
      </c>
      <c r="I1780" s="4">
        <v>-21062248.82</v>
      </c>
    </row>
    <row r="1781" spans="1:9" x14ac:dyDescent="0.3">
      <c r="A1781" t="s">
        <v>75</v>
      </c>
      <c r="B1781" s="1">
        <v>45878</v>
      </c>
      <c r="C1781" s="1">
        <v>45878</v>
      </c>
      <c r="D1781">
        <v>143205</v>
      </c>
      <c r="E1781">
        <v>72</v>
      </c>
      <c r="F1781" s="3" t="s">
        <v>1590</v>
      </c>
      <c r="G1781" s="4">
        <v>3833.25</v>
      </c>
      <c r="H1781" s="4">
        <v>0</v>
      </c>
      <c r="I1781" s="4">
        <v>-21058415.57</v>
      </c>
    </row>
    <row r="1782" spans="1:9" x14ac:dyDescent="0.3">
      <c r="A1782" t="s">
        <v>75</v>
      </c>
      <c r="B1782" s="1">
        <v>45876</v>
      </c>
      <c r="C1782" s="1">
        <v>45878</v>
      </c>
      <c r="D1782">
        <v>143206</v>
      </c>
      <c r="E1782">
        <v>61</v>
      </c>
      <c r="F1782" s="3" t="s">
        <v>1591</v>
      </c>
      <c r="G1782" s="4">
        <v>15000</v>
      </c>
      <c r="H1782" s="4">
        <v>0</v>
      </c>
      <c r="I1782" s="4">
        <v>-21043415.57</v>
      </c>
    </row>
    <row r="1783" spans="1:9" x14ac:dyDescent="0.3">
      <c r="A1783" t="s">
        <v>75</v>
      </c>
      <c r="B1783" s="1">
        <v>45874</v>
      </c>
      <c r="C1783" s="1">
        <v>45878</v>
      </c>
      <c r="D1783">
        <v>143207</v>
      </c>
      <c r="E1783">
        <v>86</v>
      </c>
      <c r="F1783" s="3" t="s">
        <v>1592</v>
      </c>
      <c r="G1783" s="4">
        <v>11600</v>
      </c>
      <c r="H1783" s="4">
        <v>0</v>
      </c>
      <c r="I1783" s="4">
        <v>-21031815.57</v>
      </c>
    </row>
    <row r="1784" spans="1:9" x14ac:dyDescent="0.3">
      <c r="A1784" t="s">
        <v>75</v>
      </c>
      <c r="B1784" s="1">
        <v>45875</v>
      </c>
      <c r="C1784" s="1">
        <v>45878</v>
      </c>
      <c r="D1784">
        <v>143208</v>
      </c>
      <c r="E1784">
        <v>86</v>
      </c>
      <c r="F1784" s="3" t="s">
        <v>1593</v>
      </c>
      <c r="G1784" s="4">
        <v>6000</v>
      </c>
      <c r="H1784" s="4">
        <v>0</v>
      </c>
      <c r="I1784" s="4">
        <v>-21025815.57</v>
      </c>
    </row>
    <row r="1785" spans="1:9" x14ac:dyDescent="0.3">
      <c r="A1785" t="s">
        <v>75</v>
      </c>
      <c r="B1785" s="1">
        <v>45874</v>
      </c>
      <c r="C1785" s="1">
        <v>45878</v>
      </c>
      <c r="D1785">
        <v>143209</v>
      </c>
      <c r="E1785">
        <v>61</v>
      </c>
      <c r="F1785" s="3" t="s">
        <v>1594</v>
      </c>
      <c r="G1785" s="4">
        <v>22110.5</v>
      </c>
      <c r="H1785" s="4">
        <v>0</v>
      </c>
      <c r="I1785" s="4">
        <v>-21003705.07</v>
      </c>
    </row>
    <row r="1786" spans="1:9" x14ac:dyDescent="0.3">
      <c r="A1786" t="s">
        <v>71</v>
      </c>
      <c r="B1786" s="1">
        <v>45877</v>
      </c>
      <c r="C1786" s="1">
        <v>45878</v>
      </c>
      <c r="D1786">
        <v>14321</v>
      </c>
      <c r="E1786">
        <v>100</v>
      </c>
      <c r="F1786" s="3" t="s">
        <v>1595</v>
      </c>
      <c r="G1786" s="4">
        <v>294700</v>
      </c>
      <c r="H1786" s="4">
        <v>0</v>
      </c>
      <c r="I1786" s="4">
        <v>-20709005.07</v>
      </c>
    </row>
    <row r="1787" spans="1:9" x14ac:dyDescent="0.3">
      <c r="A1787" t="s">
        <v>71</v>
      </c>
      <c r="B1787" s="1">
        <v>45877</v>
      </c>
      <c r="C1787" s="1">
        <v>45878</v>
      </c>
      <c r="D1787">
        <v>14321</v>
      </c>
      <c r="E1787">
        <v>100</v>
      </c>
      <c r="F1787" s="3" t="s">
        <v>1596</v>
      </c>
      <c r="G1787" s="4">
        <v>85260</v>
      </c>
      <c r="H1787" s="4">
        <v>0</v>
      </c>
      <c r="I1787" s="4">
        <v>-20623745.07</v>
      </c>
    </row>
    <row r="1788" spans="1:9" x14ac:dyDescent="0.3">
      <c r="A1788" t="s">
        <v>71</v>
      </c>
      <c r="B1788" s="1">
        <v>45877</v>
      </c>
      <c r="C1788" s="1">
        <v>45878</v>
      </c>
      <c r="D1788">
        <v>14321</v>
      </c>
      <c r="E1788">
        <v>100</v>
      </c>
      <c r="F1788" s="3" t="s">
        <v>1597</v>
      </c>
      <c r="G1788" s="4">
        <v>0</v>
      </c>
      <c r="H1788" s="4">
        <v>4890000</v>
      </c>
      <c r="I1788" s="4">
        <v>-25513745.07</v>
      </c>
    </row>
    <row r="1789" spans="1:9" x14ac:dyDescent="0.3">
      <c r="A1789" t="s">
        <v>71</v>
      </c>
      <c r="B1789" s="1">
        <v>45876</v>
      </c>
      <c r="C1789" s="1">
        <v>45878</v>
      </c>
      <c r="D1789">
        <v>14321</v>
      </c>
      <c r="E1789">
        <v>100</v>
      </c>
      <c r="F1789" s="3" t="s">
        <v>1598</v>
      </c>
      <c r="G1789" s="4">
        <v>228504.08</v>
      </c>
      <c r="H1789" s="4">
        <v>0</v>
      </c>
      <c r="I1789" s="4">
        <v>-25285240.989999998</v>
      </c>
    </row>
    <row r="1790" spans="1:9" x14ac:dyDescent="0.3">
      <c r="A1790" t="s">
        <v>71</v>
      </c>
      <c r="B1790" s="1">
        <v>45877</v>
      </c>
      <c r="C1790" s="1">
        <v>45878</v>
      </c>
      <c r="D1790">
        <v>14321</v>
      </c>
      <c r="E1790">
        <v>100</v>
      </c>
      <c r="F1790" s="3" t="s">
        <v>1599</v>
      </c>
      <c r="G1790" s="4">
        <v>11034000</v>
      </c>
      <c r="H1790" s="4">
        <v>0</v>
      </c>
      <c r="I1790" s="4">
        <v>-14251240.99</v>
      </c>
    </row>
    <row r="1791" spans="1:9" x14ac:dyDescent="0.3">
      <c r="A1791" t="s">
        <v>71</v>
      </c>
      <c r="B1791" s="1">
        <v>45876</v>
      </c>
      <c r="C1791" s="1">
        <v>45878</v>
      </c>
      <c r="D1791">
        <v>14321</v>
      </c>
      <c r="E1791">
        <v>100</v>
      </c>
      <c r="F1791" s="3" t="s">
        <v>1600</v>
      </c>
      <c r="G1791" s="4">
        <v>11034000</v>
      </c>
      <c r="H1791" s="4">
        <v>0</v>
      </c>
      <c r="I1791" s="4">
        <v>-3217240.99</v>
      </c>
    </row>
    <row r="1792" spans="1:9" x14ac:dyDescent="0.3">
      <c r="A1792" t="s">
        <v>71</v>
      </c>
      <c r="B1792" s="1">
        <v>45876</v>
      </c>
      <c r="C1792" s="1">
        <v>45878</v>
      </c>
      <c r="D1792">
        <v>14321</v>
      </c>
      <c r="E1792">
        <v>100</v>
      </c>
      <c r="F1792" s="3" t="s">
        <v>1601</v>
      </c>
      <c r="G1792" s="4">
        <v>100219.26</v>
      </c>
      <c r="H1792" s="4">
        <v>0</v>
      </c>
      <c r="I1792" s="4">
        <v>-3117021.73</v>
      </c>
    </row>
    <row r="1793" spans="1:9" x14ac:dyDescent="0.3">
      <c r="A1793" t="s">
        <v>71</v>
      </c>
      <c r="B1793" s="1">
        <v>45871</v>
      </c>
      <c r="C1793" s="1">
        <v>45878</v>
      </c>
      <c r="D1793">
        <v>14321</v>
      </c>
      <c r="E1793">
        <v>100</v>
      </c>
      <c r="F1793" s="3" t="s">
        <v>1602</v>
      </c>
      <c r="G1793" s="4">
        <v>25530</v>
      </c>
      <c r="H1793" s="4">
        <v>0</v>
      </c>
      <c r="I1793" s="4">
        <v>-3091491.73</v>
      </c>
    </row>
    <row r="1794" spans="1:9" x14ac:dyDescent="0.3">
      <c r="A1794" t="s">
        <v>71</v>
      </c>
      <c r="B1794" s="1">
        <v>45877</v>
      </c>
      <c r="C1794" s="1">
        <v>45878</v>
      </c>
      <c r="D1794">
        <v>14321</v>
      </c>
      <c r="E1794">
        <v>100</v>
      </c>
      <c r="F1794" s="3">
        <v>2508081055004380</v>
      </c>
      <c r="G1794" s="4">
        <v>992790</v>
      </c>
      <c r="H1794" s="4">
        <v>0</v>
      </c>
      <c r="I1794" s="4">
        <v>-2098701.73</v>
      </c>
    </row>
    <row r="1795" spans="1:9" x14ac:dyDescent="0.3">
      <c r="A1795" t="s">
        <v>75</v>
      </c>
      <c r="B1795" s="1">
        <v>45876</v>
      </c>
      <c r="C1795" s="1">
        <v>45878</v>
      </c>
      <c r="D1795">
        <v>143210</v>
      </c>
      <c r="E1795">
        <v>61</v>
      </c>
      <c r="F1795" s="3" t="s">
        <v>1603</v>
      </c>
      <c r="G1795" s="4">
        <v>21660.75</v>
      </c>
      <c r="H1795" s="4">
        <v>0</v>
      </c>
      <c r="I1795" s="4">
        <v>-2077040.98</v>
      </c>
    </row>
    <row r="1796" spans="1:9" x14ac:dyDescent="0.3">
      <c r="A1796" t="s">
        <v>75</v>
      </c>
      <c r="B1796" s="1">
        <v>45878</v>
      </c>
      <c r="C1796" s="1">
        <v>45878</v>
      </c>
      <c r="D1796">
        <v>143212</v>
      </c>
      <c r="E1796">
        <v>23</v>
      </c>
      <c r="F1796" s="3" t="s">
        <v>1604</v>
      </c>
      <c r="G1796" s="4">
        <v>25000</v>
      </c>
      <c r="H1796" s="4">
        <v>0</v>
      </c>
      <c r="I1796" s="4">
        <v>-2052040.98</v>
      </c>
    </row>
    <row r="1797" spans="1:9" x14ac:dyDescent="0.3">
      <c r="A1797" t="s">
        <v>75</v>
      </c>
      <c r="B1797" s="1">
        <v>45876</v>
      </c>
      <c r="C1797" s="1">
        <v>45878</v>
      </c>
      <c r="D1797">
        <v>143213</v>
      </c>
      <c r="E1797">
        <v>34</v>
      </c>
      <c r="F1797" s="3" t="s">
        <v>1605</v>
      </c>
      <c r="G1797" s="4">
        <v>50126</v>
      </c>
      <c r="H1797" s="4">
        <v>0</v>
      </c>
      <c r="I1797" s="4">
        <v>-2001914.98</v>
      </c>
    </row>
    <row r="1798" spans="1:9" x14ac:dyDescent="0.3">
      <c r="A1798" t="s">
        <v>75</v>
      </c>
      <c r="B1798" s="1">
        <v>45878</v>
      </c>
      <c r="C1798" s="1">
        <v>45878</v>
      </c>
      <c r="D1798">
        <v>143214</v>
      </c>
      <c r="E1798">
        <v>11</v>
      </c>
      <c r="F1798" s="3" t="s">
        <v>1606</v>
      </c>
      <c r="G1798" s="4">
        <v>92033.75</v>
      </c>
      <c r="H1798" s="4">
        <v>0</v>
      </c>
      <c r="I1798" s="4">
        <v>-1909881.23</v>
      </c>
    </row>
    <row r="1799" spans="1:9" x14ac:dyDescent="0.3">
      <c r="A1799" t="s">
        <v>75</v>
      </c>
      <c r="B1799" s="1">
        <v>45878</v>
      </c>
      <c r="C1799" s="1">
        <v>45878</v>
      </c>
      <c r="D1799">
        <v>143223</v>
      </c>
      <c r="E1799">
        <v>78</v>
      </c>
      <c r="F1799" s="3" t="s">
        <v>1607</v>
      </c>
      <c r="G1799" s="4">
        <v>1463.25</v>
      </c>
      <c r="H1799" s="4">
        <v>0</v>
      </c>
      <c r="I1799" s="4">
        <v>-1908417.98</v>
      </c>
    </row>
    <row r="1800" spans="1:9" x14ac:dyDescent="0.3">
      <c r="A1800" t="s">
        <v>75</v>
      </c>
      <c r="B1800" s="1">
        <v>45878</v>
      </c>
      <c r="C1800" s="1">
        <v>45878</v>
      </c>
      <c r="D1800">
        <v>143224</v>
      </c>
      <c r="E1800">
        <v>14</v>
      </c>
      <c r="F1800" s="3" t="s">
        <v>1608</v>
      </c>
      <c r="G1800" s="4">
        <v>10000</v>
      </c>
      <c r="H1800" s="4">
        <v>0</v>
      </c>
      <c r="I1800" s="4">
        <v>-1898417.98</v>
      </c>
    </row>
    <row r="1801" spans="1:9" x14ac:dyDescent="0.3">
      <c r="A1801" t="s">
        <v>75</v>
      </c>
      <c r="B1801" s="1">
        <v>45877</v>
      </c>
      <c r="C1801" s="1">
        <v>45878</v>
      </c>
      <c r="D1801">
        <v>143225</v>
      </c>
      <c r="E1801">
        <v>27</v>
      </c>
      <c r="F1801" s="3" t="s">
        <v>1609</v>
      </c>
      <c r="G1801" s="4">
        <v>10147</v>
      </c>
      <c r="H1801" s="4">
        <v>0</v>
      </c>
      <c r="I1801" s="4">
        <v>-1888270.98</v>
      </c>
    </row>
    <row r="1802" spans="1:9" x14ac:dyDescent="0.3">
      <c r="A1802" t="s">
        <v>75</v>
      </c>
      <c r="B1802" s="1">
        <v>45878</v>
      </c>
      <c r="C1802" s="1">
        <v>45878</v>
      </c>
      <c r="D1802">
        <v>143226</v>
      </c>
      <c r="E1802">
        <v>14</v>
      </c>
      <c r="F1802" s="3" t="s">
        <v>1610</v>
      </c>
      <c r="G1802" s="4">
        <v>42000</v>
      </c>
      <c r="H1802" s="4">
        <v>0</v>
      </c>
      <c r="I1802" s="4">
        <v>-1846270.98</v>
      </c>
    </row>
    <row r="1803" spans="1:9" x14ac:dyDescent="0.3">
      <c r="A1803" t="s">
        <v>75</v>
      </c>
      <c r="B1803" s="1">
        <v>45874</v>
      </c>
      <c r="C1803" s="1">
        <v>45878</v>
      </c>
      <c r="D1803">
        <v>143227</v>
      </c>
      <c r="E1803">
        <v>351</v>
      </c>
      <c r="F1803" s="3" t="s">
        <v>1611</v>
      </c>
      <c r="G1803" s="4">
        <v>109500</v>
      </c>
      <c r="H1803" s="4">
        <v>0</v>
      </c>
      <c r="I1803" s="4">
        <v>-1736770.98</v>
      </c>
    </row>
    <row r="1804" spans="1:9" x14ac:dyDescent="0.3">
      <c r="A1804" t="s">
        <v>75</v>
      </c>
      <c r="B1804" s="1">
        <v>45876</v>
      </c>
      <c r="C1804" s="1">
        <v>45878</v>
      </c>
      <c r="D1804">
        <v>143228</v>
      </c>
      <c r="E1804">
        <v>11</v>
      </c>
      <c r="F1804" s="3" t="s">
        <v>1612</v>
      </c>
      <c r="G1804" s="4">
        <v>12227</v>
      </c>
      <c r="H1804" s="4">
        <v>0</v>
      </c>
      <c r="I1804" s="4">
        <v>-1724543.98</v>
      </c>
    </row>
    <row r="1805" spans="1:9" x14ac:dyDescent="0.3">
      <c r="A1805" t="s">
        <v>75</v>
      </c>
      <c r="B1805" s="1">
        <v>45871</v>
      </c>
      <c r="C1805" s="1">
        <v>45878</v>
      </c>
      <c r="D1805">
        <v>143229</v>
      </c>
      <c r="E1805">
        <v>301</v>
      </c>
      <c r="F1805" s="3" t="s">
        <v>1613</v>
      </c>
      <c r="G1805" s="4">
        <v>33126.5</v>
      </c>
      <c r="H1805" s="4">
        <v>0</v>
      </c>
      <c r="I1805" s="4">
        <v>-1691417.48</v>
      </c>
    </row>
    <row r="1806" spans="1:9" x14ac:dyDescent="0.3">
      <c r="A1806" t="s">
        <v>75</v>
      </c>
      <c r="B1806" s="1">
        <v>45875</v>
      </c>
      <c r="C1806" s="1">
        <v>45878</v>
      </c>
      <c r="D1806">
        <v>143230</v>
      </c>
      <c r="E1806">
        <v>301</v>
      </c>
      <c r="F1806" s="3" t="s">
        <v>1614</v>
      </c>
      <c r="G1806" s="4">
        <v>8921</v>
      </c>
      <c r="H1806" s="4">
        <v>0</v>
      </c>
      <c r="I1806" s="4">
        <v>-1682496.48</v>
      </c>
    </row>
    <row r="1807" spans="1:9" x14ac:dyDescent="0.3">
      <c r="A1807" t="s">
        <v>75</v>
      </c>
      <c r="B1807" s="1">
        <v>45878</v>
      </c>
      <c r="C1807" s="1">
        <v>45878</v>
      </c>
      <c r="D1807">
        <v>143231</v>
      </c>
      <c r="E1807">
        <v>67</v>
      </c>
      <c r="F1807" s="3" t="s">
        <v>1615</v>
      </c>
      <c r="G1807" s="4">
        <v>6176</v>
      </c>
      <c r="H1807" s="4">
        <v>0</v>
      </c>
      <c r="I1807" s="4">
        <v>-1676320.48</v>
      </c>
    </row>
    <row r="1808" spans="1:9" x14ac:dyDescent="0.3">
      <c r="A1808" t="s">
        <v>75</v>
      </c>
      <c r="B1808" s="1">
        <v>45878</v>
      </c>
      <c r="C1808" s="1">
        <v>45878</v>
      </c>
      <c r="D1808">
        <v>143232</v>
      </c>
      <c r="E1808">
        <v>67</v>
      </c>
      <c r="F1808" s="3" t="s">
        <v>1616</v>
      </c>
      <c r="G1808" s="4">
        <v>145482</v>
      </c>
      <c r="H1808" s="4">
        <v>0</v>
      </c>
      <c r="I1808" s="4">
        <v>-1530838.48</v>
      </c>
    </row>
    <row r="1809" spans="1:9" x14ac:dyDescent="0.3">
      <c r="A1809" t="s">
        <v>75</v>
      </c>
      <c r="B1809" s="1">
        <v>45878</v>
      </c>
      <c r="C1809" s="1">
        <v>45878</v>
      </c>
      <c r="D1809">
        <v>143233</v>
      </c>
      <c r="E1809">
        <v>14</v>
      </c>
      <c r="F1809" s="3" t="s">
        <v>1617</v>
      </c>
      <c r="G1809" s="4">
        <v>100000</v>
      </c>
      <c r="H1809" s="4">
        <v>0</v>
      </c>
      <c r="I1809" s="4">
        <v>-1430838.48</v>
      </c>
    </row>
    <row r="1810" spans="1:9" x14ac:dyDescent="0.3">
      <c r="A1810" t="s">
        <v>75</v>
      </c>
      <c r="B1810" s="1">
        <v>45878</v>
      </c>
      <c r="C1810" s="1">
        <v>45878</v>
      </c>
      <c r="D1810">
        <v>143233</v>
      </c>
      <c r="E1810">
        <v>14</v>
      </c>
      <c r="F1810" s="3" t="s">
        <v>1618</v>
      </c>
      <c r="G1810" s="4">
        <v>100000</v>
      </c>
      <c r="H1810" s="4">
        <v>0</v>
      </c>
      <c r="I1810" s="4">
        <v>-1330838.48</v>
      </c>
    </row>
    <row r="1811" spans="1:9" x14ac:dyDescent="0.3">
      <c r="A1811" t="s">
        <v>75</v>
      </c>
      <c r="B1811" s="1">
        <v>45878</v>
      </c>
      <c r="C1811" s="1">
        <v>45878</v>
      </c>
      <c r="D1811">
        <v>143234</v>
      </c>
      <c r="E1811">
        <v>14</v>
      </c>
      <c r="F1811" s="3" t="s">
        <v>1619</v>
      </c>
      <c r="G1811" s="4">
        <v>50000</v>
      </c>
      <c r="H1811" s="4">
        <v>0</v>
      </c>
      <c r="I1811" s="4">
        <v>-1280838.48</v>
      </c>
    </row>
    <row r="1812" spans="1:9" x14ac:dyDescent="0.3">
      <c r="A1812" t="s">
        <v>75</v>
      </c>
      <c r="B1812" s="1">
        <v>45877</v>
      </c>
      <c r="C1812" s="1">
        <v>45878</v>
      </c>
      <c r="D1812">
        <v>143235</v>
      </c>
      <c r="E1812">
        <v>61</v>
      </c>
      <c r="F1812" s="3" t="s">
        <v>1620</v>
      </c>
      <c r="G1812" s="4">
        <v>105068.5</v>
      </c>
      <c r="H1812" s="4">
        <v>0</v>
      </c>
      <c r="I1812" s="4">
        <v>-1175769.98</v>
      </c>
    </row>
    <row r="1813" spans="1:9" x14ac:dyDescent="0.3">
      <c r="A1813" t="s">
        <v>75</v>
      </c>
      <c r="B1813" s="1">
        <v>45878</v>
      </c>
      <c r="C1813" s="1">
        <v>45878</v>
      </c>
      <c r="D1813">
        <v>143236</v>
      </c>
      <c r="E1813">
        <v>24</v>
      </c>
      <c r="F1813" s="3" t="s">
        <v>1621</v>
      </c>
      <c r="G1813" s="4">
        <v>1021</v>
      </c>
      <c r="H1813" s="4">
        <v>0</v>
      </c>
      <c r="I1813" s="4">
        <v>-1174748.98</v>
      </c>
    </row>
    <row r="1814" spans="1:9" x14ac:dyDescent="0.3">
      <c r="A1814" t="s">
        <v>75</v>
      </c>
      <c r="B1814" s="1">
        <v>45878</v>
      </c>
      <c r="C1814" s="1">
        <v>45878</v>
      </c>
      <c r="D1814">
        <v>143237</v>
      </c>
      <c r="E1814">
        <v>24</v>
      </c>
      <c r="F1814" s="3" t="s">
        <v>1622</v>
      </c>
      <c r="G1814" s="4">
        <v>1521</v>
      </c>
      <c r="H1814" s="4">
        <v>0</v>
      </c>
      <c r="I1814" s="4">
        <v>-1173227.98</v>
      </c>
    </row>
    <row r="1815" spans="1:9" x14ac:dyDescent="0.3">
      <c r="A1815" t="s">
        <v>75</v>
      </c>
      <c r="B1815" s="1">
        <v>45878</v>
      </c>
      <c r="C1815" s="1">
        <v>45878</v>
      </c>
      <c r="D1815">
        <v>143238</v>
      </c>
      <c r="E1815">
        <v>24</v>
      </c>
      <c r="F1815" s="3" t="s">
        <v>1623</v>
      </c>
      <c r="G1815" s="4">
        <v>1021</v>
      </c>
      <c r="H1815" s="4">
        <v>0</v>
      </c>
      <c r="I1815" s="4">
        <v>-1172206.98</v>
      </c>
    </row>
    <row r="1816" spans="1:9" x14ac:dyDescent="0.3">
      <c r="A1816" t="s">
        <v>75</v>
      </c>
      <c r="B1816" s="1">
        <v>45878</v>
      </c>
      <c r="C1816" s="1">
        <v>45878</v>
      </c>
      <c r="D1816">
        <v>143239</v>
      </c>
      <c r="E1816">
        <v>62</v>
      </c>
      <c r="F1816" s="3" t="s">
        <v>1624</v>
      </c>
      <c r="G1816" s="4">
        <v>5173</v>
      </c>
      <c r="H1816" s="4">
        <v>0</v>
      </c>
      <c r="I1816" s="4">
        <v>-1167033.98</v>
      </c>
    </row>
    <row r="1817" spans="1:9" x14ac:dyDescent="0.3">
      <c r="A1817" t="s">
        <v>75</v>
      </c>
      <c r="B1817" s="1">
        <v>45878</v>
      </c>
      <c r="C1817" s="1">
        <v>45878</v>
      </c>
      <c r="D1817">
        <v>143240</v>
      </c>
      <c r="E1817">
        <v>62</v>
      </c>
      <c r="F1817" s="3" t="s">
        <v>1625</v>
      </c>
      <c r="G1817" s="4">
        <v>23080.5</v>
      </c>
      <c r="H1817" s="4">
        <v>0</v>
      </c>
      <c r="I1817" s="4">
        <v>-1143953.48</v>
      </c>
    </row>
    <row r="1818" spans="1:9" x14ac:dyDescent="0.3">
      <c r="A1818" t="s">
        <v>124</v>
      </c>
      <c r="B1818" s="1">
        <v>45878</v>
      </c>
      <c r="C1818" s="1">
        <v>45878</v>
      </c>
      <c r="D1818">
        <v>22187</v>
      </c>
      <c r="E1818">
        <v>11</v>
      </c>
      <c r="F1818" s="3" t="s">
        <v>125</v>
      </c>
      <c r="G1818" s="4">
        <v>0</v>
      </c>
      <c r="H1818" s="4">
        <v>43186471.740000002</v>
      </c>
      <c r="I1818" s="4">
        <v>-44330425.219999999</v>
      </c>
    </row>
    <row r="1819" spans="1:9" x14ac:dyDescent="0.3">
      <c r="A1819" t="s">
        <v>124</v>
      </c>
      <c r="B1819" s="1">
        <v>45878</v>
      </c>
      <c r="C1819" s="1">
        <v>45878</v>
      </c>
      <c r="D1819">
        <v>22189</v>
      </c>
      <c r="E1819">
        <v>11</v>
      </c>
      <c r="F1819" s="3" t="s">
        <v>127</v>
      </c>
      <c r="G1819" s="4">
        <v>19700000</v>
      </c>
      <c r="H1819" s="4">
        <v>0</v>
      </c>
      <c r="I1819" s="4">
        <v>-24630425.219999999</v>
      </c>
    </row>
    <row r="1820" spans="1:9" x14ac:dyDescent="0.3">
      <c r="A1820" t="s">
        <v>130</v>
      </c>
      <c r="B1820" s="1">
        <v>45878</v>
      </c>
      <c r="C1820" s="1">
        <v>45878</v>
      </c>
      <c r="D1820">
        <v>3830560</v>
      </c>
      <c r="E1820">
        <v>31</v>
      </c>
      <c r="F1820" s="3" t="s">
        <v>1626</v>
      </c>
      <c r="G1820" s="4">
        <v>0</v>
      </c>
      <c r="H1820" s="4">
        <v>7461</v>
      </c>
      <c r="I1820" s="4">
        <v>-24637886.219999999</v>
      </c>
    </row>
    <row r="1821" spans="1:9" x14ac:dyDescent="0.3">
      <c r="A1821" t="s">
        <v>133</v>
      </c>
      <c r="B1821" s="1">
        <v>45878</v>
      </c>
      <c r="C1821" s="1">
        <v>45878</v>
      </c>
      <c r="D1821">
        <v>913817</v>
      </c>
      <c r="E1821">
        <v>282</v>
      </c>
      <c r="F1821" s="3" t="s">
        <v>1627</v>
      </c>
      <c r="G1821" s="4">
        <v>5500</v>
      </c>
      <c r="H1821" s="4">
        <v>0</v>
      </c>
      <c r="I1821" s="4">
        <v>-24632386.219999999</v>
      </c>
    </row>
    <row r="1822" spans="1:9" x14ac:dyDescent="0.3">
      <c r="A1822" t="s">
        <v>133</v>
      </c>
      <c r="B1822" s="1">
        <v>45878</v>
      </c>
      <c r="C1822" s="1">
        <v>45878</v>
      </c>
      <c r="D1822">
        <v>913836</v>
      </c>
      <c r="E1822">
        <v>98</v>
      </c>
      <c r="F1822" s="3" t="s">
        <v>1628</v>
      </c>
      <c r="G1822" s="4">
        <v>2253.75</v>
      </c>
      <c r="H1822" s="4">
        <v>0</v>
      </c>
      <c r="I1822" s="4">
        <v>-24630132.469999999</v>
      </c>
    </row>
    <row r="1823" spans="1:9" x14ac:dyDescent="0.3">
      <c r="A1823" t="s">
        <v>133</v>
      </c>
      <c r="B1823" s="1">
        <v>45878</v>
      </c>
      <c r="C1823" s="1">
        <v>45878</v>
      </c>
      <c r="D1823">
        <v>913839</v>
      </c>
      <c r="E1823">
        <v>78</v>
      </c>
      <c r="F1823" s="3" t="s">
        <v>1629</v>
      </c>
      <c r="G1823" s="4">
        <v>22104.5</v>
      </c>
      <c r="H1823" s="4">
        <v>0</v>
      </c>
      <c r="I1823" s="4">
        <v>-24608027.969999999</v>
      </c>
    </row>
    <row r="1824" spans="1:9" x14ac:dyDescent="0.3">
      <c r="A1824" t="s">
        <v>133</v>
      </c>
      <c r="B1824" s="1">
        <v>45878</v>
      </c>
      <c r="C1824" s="1">
        <v>45878</v>
      </c>
      <c r="D1824">
        <v>913840</v>
      </c>
      <c r="E1824">
        <v>35</v>
      </c>
      <c r="F1824" s="3" t="s">
        <v>1630</v>
      </c>
      <c r="G1824" s="4">
        <v>52432</v>
      </c>
      <c r="H1824" s="4">
        <v>0</v>
      </c>
      <c r="I1824" s="4">
        <v>-24555595.969999999</v>
      </c>
    </row>
    <row r="1825" spans="1:9" x14ac:dyDescent="0.3">
      <c r="A1825" t="s">
        <v>133</v>
      </c>
      <c r="B1825" s="1">
        <v>45878</v>
      </c>
      <c r="C1825" s="1">
        <v>45878</v>
      </c>
      <c r="D1825">
        <v>913849</v>
      </c>
      <c r="E1825">
        <v>91</v>
      </c>
      <c r="F1825" s="3" t="s">
        <v>1631</v>
      </c>
      <c r="G1825" s="4">
        <v>124309.5</v>
      </c>
      <c r="H1825" s="4">
        <v>0</v>
      </c>
      <c r="I1825" s="4">
        <v>-24431286.469999999</v>
      </c>
    </row>
    <row r="1826" spans="1:9" x14ac:dyDescent="0.3">
      <c r="A1826" t="s">
        <v>133</v>
      </c>
      <c r="B1826" s="1">
        <v>45878</v>
      </c>
      <c r="C1826" s="1">
        <v>45878</v>
      </c>
      <c r="D1826">
        <v>913866</v>
      </c>
      <c r="E1826">
        <v>32</v>
      </c>
      <c r="F1826" s="3" t="s">
        <v>1632</v>
      </c>
      <c r="G1826" s="4">
        <v>23872</v>
      </c>
      <c r="H1826" s="4">
        <v>0</v>
      </c>
      <c r="I1826" s="4">
        <v>-24407414.469999999</v>
      </c>
    </row>
    <row r="1827" spans="1:9" x14ac:dyDescent="0.3">
      <c r="A1827" t="s">
        <v>133</v>
      </c>
      <c r="B1827" s="1">
        <v>45878</v>
      </c>
      <c r="C1827" s="1">
        <v>45878</v>
      </c>
      <c r="D1827">
        <v>913893</v>
      </c>
      <c r="E1827">
        <v>32</v>
      </c>
      <c r="F1827" s="3" t="s">
        <v>1633</v>
      </c>
      <c r="G1827" s="4">
        <v>29922</v>
      </c>
      <c r="H1827" s="4">
        <v>0</v>
      </c>
      <c r="I1827" s="4">
        <v>-24377492.469999999</v>
      </c>
    </row>
    <row r="1828" spans="1:9" x14ac:dyDescent="0.3">
      <c r="A1828" t="s">
        <v>133</v>
      </c>
      <c r="B1828" s="1">
        <v>45878</v>
      </c>
      <c r="C1828" s="1">
        <v>45878</v>
      </c>
      <c r="D1828">
        <v>913900</v>
      </c>
      <c r="E1828">
        <v>32</v>
      </c>
      <c r="F1828" s="3" t="s">
        <v>1634</v>
      </c>
      <c r="G1828" s="4">
        <v>330000</v>
      </c>
      <c r="H1828" s="4">
        <v>0</v>
      </c>
      <c r="I1828" s="4">
        <v>-24047492.469999999</v>
      </c>
    </row>
    <row r="1829" spans="1:9" x14ac:dyDescent="0.3">
      <c r="A1829" t="s">
        <v>133</v>
      </c>
      <c r="B1829" s="1">
        <v>45878</v>
      </c>
      <c r="C1829" s="1">
        <v>45878</v>
      </c>
      <c r="D1829">
        <v>913904</v>
      </c>
      <c r="E1829">
        <v>282</v>
      </c>
      <c r="F1829" s="3" t="s">
        <v>1635</v>
      </c>
      <c r="G1829" s="4">
        <v>110000</v>
      </c>
      <c r="H1829" s="4">
        <v>0</v>
      </c>
      <c r="I1829" s="4">
        <v>-23937492.469999999</v>
      </c>
    </row>
    <row r="1830" spans="1:9" x14ac:dyDescent="0.3">
      <c r="A1830" t="s">
        <v>133</v>
      </c>
      <c r="B1830" s="1">
        <v>45878</v>
      </c>
      <c r="C1830" s="1">
        <v>45878</v>
      </c>
      <c r="D1830">
        <v>913905</v>
      </c>
      <c r="E1830">
        <v>91</v>
      </c>
      <c r="F1830" s="3" t="s">
        <v>1636</v>
      </c>
      <c r="G1830" s="4">
        <v>2630.25</v>
      </c>
      <c r="H1830" s="4">
        <v>0</v>
      </c>
      <c r="I1830" s="4">
        <v>-23934862.219999999</v>
      </c>
    </row>
    <row r="1831" spans="1:9" x14ac:dyDescent="0.3">
      <c r="A1831" t="s">
        <v>133</v>
      </c>
      <c r="B1831" s="1">
        <v>45878</v>
      </c>
      <c r="C1831" s="1">
        <v>45878</v>
      </c>
      <c r="D1831">
        <v>913908</v>
      </c>
      <c r="E1831">
        <v>32</v>
      </c>
      <c r="F1831" s="3" t="s">
        <v>1637</v>
      </c>
      <c r="G1831" s="4">
        <v>223614</v>
      </c>
      <c r="H1831" s="4">
        <v>0</v>
      </c>
      <c r="I1831" s="4">
        <v>-23711248.219999999</v>
      </c>
    </row>
    <row r="1832" spans="1:9" x14ac:dyDescent="0.3">
      <c r="A1832" t="s">
        <v>133</v>
      </c>
      <c r="B1832" s="1">
        <v>45878</v>
      </c>
      <c r="C1832" s="1">
        <v>45878</v>
      </c>
      <c r="D1832">
        <v>913916</v>
      </c>
      <c r="E1832">
        <v>15</v>
      </c>
      <c r="F1832" s="3" t="s">
        <v>1638</v>
      </c>
      <c r="G1832" s="4">
        <v>8000</v>
      </c>
      <c r="H1832" s="4">
        <v>0</v>
      </c>
      <c r="I1832" s="4">
        <v>-23703248.219999999</v>
      </c>
    </row>
    <row r="1833" spans="1:9" x14ac:dyDescent="0.3">
      <c r="A1833" t="s">
        <v>133</v>
      </c>
      <c r="B1833" s="1">
        <v>45878</v>
      </c>
      <c r="C1833" s="1">
        <v>45878</v>
      </c>
      <c r="D1833">
        <v>913926</v>
      </c>
      <c r="E1833">
        <v>82</v>
      </c>
      <c r="F1833" s="3" t="s">
        <v>1639</v>
      </c>
      <c r="G1833" s="4">
        <v>54412</v>
      </c>
      <c r="H1833" s="4">
        <v>0</v>
      </c>
      <c r="I1833" s="4">
        <v>-23648836.219999999</v>
      </c>
    </row>
    <row r="1834" spans="1:9" x14ac:dyDescent="0.3">
      <c r="A1834" t="s">
        <v>133</v>
      </c>
      <c r="B1834" s="1">
        <v>45878</v>
      </c>
      <c r="C1834" s="1">
        <v>45878</v>
      </c>
      <c r="D1834">
        <v>913933</v>
      </c>
      <c r="E1834">
        <v>73</v>
      </c>
      <c r="F1834" s="3" t="s">
        <v>1640</v>
      </c>
      <c r="G1834" s="4">
        <v>450000</v>
      </c>
      <c r="H1834" s="4">
        <v>0</v>
      </c>
      <c r="I1834" s="4">
        <v>-23198836.219999999</v>
      </c>
    </row>
    <row r="1835" spans="1:9" x14ac:dyDescent="0.3">
      <c r="A1835" t="s">
        <v>133</v>
      </c>
      <c r="B1835" s="1">
        <v>45878</v>
      </c>
      <c r="C1835" s="1">
        <v>45878</v>
      </c>
      <c r="D1835">
        <v>913934</v>
      </c>
      <c r="E1835">
        <v>51</v>
      </c>
      <c r="F1835" s="3" t="s">
        <v>1641</v>
      </c>
      <c r="G1835" s="4">
        <v>260000</v>
      </c>
      <c r="H1835" s="4">
        <v>0</v>
      </c>
      <c r="I1835" s="4">
        <v>-22938836.219999999</v>
      </c>
    </row>
    <row r="1836" spans="1:9" x14ac:dyDescent="0.3">
      <c r="A1836" t="s">
        <v>133</v>
      </c>
      <c r="B1836" s="1">
        <v>45878</v>
      </c>
      <c r="C1836" s="1">
        <v>45878</v>
      </c>
      <c r="D1836">
        <v>913939</v>
      </c>
      <c r="E1836">
        <v>32</v>
      </c>
      <c r="F1836" s="3" t="s">
        <v>1642</v>
      </c>
      <c r="G1836" s="4">
        <v>3985</v>
      </c>
      <c r="H1836" s="4">
        <v>0</v>
      </c>
      <c r="I1836" s="4">
        <v>-22934851.219999999</v>
      </c>
    </row>
    <row r="1837" spans="1:9" x14ac:dyDescent="0.3">
      <c r="A1837" t="s">
        <v>133</v>
      </c>
      <c r="B1837" s="1">
        <v>45878</v>
      </c>
      <c r="C1837" s="1">
        <v>45878</v>
      </c>
      <c r="D1837">
        <v>913940</v>
      </c>
      <c r="E1837">
        <v>32</v>
      </c>
      <c r="F1837" s="3" t="s">
        <v>1643</v>
      </c>
      <c r="G1837" s="4">
        <v>4461</v>
      </c>
      <c r="H1837" s="4">
        <v>0</v>
      </c>
      <c r="I1837" s="4">
        <v>-22930390.219999999</v>
      </c>
    </row>
    <row r="1838" spans="1:9" x14ac:dyDescent="0.3">
      <c r="A1838" t="s">
        <v>133</v>
      </c>
      <c r="B1838" s="1">
        <v>45878</v>
      </c>
      <c r="C1838" s="1">
        <v>45878</v>
      </c>
      <c r="D1838">
        <v>913942</v>
      </c>
      <c r="E1838">
        <v>11</v>
      </c>
      <c r="F1838" s="3" t="s">
        <v>1644</v>
      </c>
      <c r="G1838" s="4">
        <v>24953.75</v>
      </c>
      <c r="H1838" s="4">
        <v>0</v>
      </c>
      <c r="I1838" s="4">
        <v>-22905436.469999999</v>
      </c>
    </row>
    <row r="1839" spans="1:9" x14ac:dyDescent="0.3">
      <c r="A1839" t="s">
        <v>133</v>
      </c>
      <c r="B1839" s="1">
        <v>45878</v>
      </c>
      <c r="C1839" s="1">
        <v>45878</v>
      </c>
      <c r="D1839">
        <v>913958</v>
      </c>
      <c r="E1839">
        <v>32</v>
      </c>
      <c r="F1839" s="3" t="s">
        <v>1645</v>
      </c>
      <c r="G1839" s="4">
        <v>3140</v>
      </c>
      <c r="H1839" s="4">
        <v>0</v>
      </c>
      <c r="I1839" s="4">
        <v>-22902296.469999999</v>
      </c>
    </row>
    <row r="1840" spans="1:9" x14ac:dyDescent="0.3">
      <c r="A1840" t="s">
        <v>133</v>
      </c>
      <c r="B1840" s="1">
        <v>45878</v>
      </c>
      <c r="C1840" s="1">
        <v>45878</v>
      </c>
      <c r="D1840">
        <v>913965</v>
      </c>
      <c r="E1840">
        <v>31</v>
      </c>
      <c r="F1840" s="3" t="s">
        <v>1646</v>
      </c>
      <c r="G1840" s="4">
        <v>14313</v>
      </c>
      <c r="H1840" s="4">
        <v>0</v>
      </c>
      <c r="I1840" s="4">
        <v>-22887983.469999999</v>
      </c>
    </row>
    <row r="1841" spans="1:9" x14ac:dyDescent="0.3">
      <c r="A1841" t="s">
        <v>133</v>
      </c>
      <c r="B1841" s="1">
        <v>45878</v>
      </c>
      <c r="C1841" s="1">
        <v>45878</v>
      </c>
      <c r="D1841">
        <v>913967</v>
      </c>
      <c r="E1841">
        <v>31</v>
      </c>
      <c r="F1841" s="3" t="s">
        <v>1647</v>
      </c>
      <c r="G1841" s="4">
        <v>4154.25</v>
      </c>
      <c r="H1841" s="4">
        <v>0</v>
      </c>
      <c r="I1841" s="4">
        <v>-22883829.219999999</v>
      </c>
    </row>
    <row r="1842" spans="1:9" x14ac:dyDescent="0.3">
      <c r="A1842" t="s">
        <v>133</v>
      </c>
      <c r="B1842" s="1">
        <v>45878</v>
      </c>
      <c r="C1842" s="1">
        <v>45878</v>
      </c>
      <c r="D1842">
        <v>913972</v>
      </c>
      <c r="E1842">
        <v>18</v>
      </c>
      <c r="F1842" s="3" t="s">
        <v>1648</v>
      </c>
      <c r="G1842" s="4">
        <v>210000</v>
      </c>
      <c r="H1842" s="4">
        <v>0</v>
      </c>
      <c r="I1842" s="4">
        <v>-22673829.219999999</v>
      </c>
    </row>
    <row r="1843" spans="1:9" x14ac:dyDescent="0.3">
      <c r="A1843" t="s">
        <v>133</v>
      </c>
      <c r="B1843" s="1">
        <v>45878</v>
      </c>
      <c r="C1843" s="1">
        <v>45878</v>
      </c>
      <c r="D1843">
        <v>913973</v>
      </c>
      <c r="E1843">
        <v>32</v>
      </c>
      <c r="F1843" s="3" t="s">
        <v>1649</v>
      </c>
      <c r="G1843" s="4">
        <v>282663</v>
      </c>
      <c r="H1843" s="4">
        <v>0</v>
      </c>
      <c r="I1843" s="4">
        <v>-22391166.219999999</v>
      </c>
    </row>
    <row r="1844" spans="1:9" x14ac:dyDescent="0.3">
      <c r="A1844" t="s">
        <v>133</v>
      </c>
      <c r="B1844" s="1">
        <v>45878</v>
      </c>
      <c r="C1844" s="1">
        <v>45878</v>
      </c>
      <c r="D1844">
        <v>913979</v>
      </c>
      <c r="E1844">
        <v>36</v>
      </c>
      <c r="F1844" s="3" t="s">
        <v>1650</v>
      </c>
      <c r="G1844" s="4">
        <v>3000</v>
      </c>
      <c r="H1844" s="4">
        <v>0</v>
      </c>
      <c r="I1844" s="4">
        <v>-22388166.219999999</v>
      </c>
    </row>
    <row r="1845" spans="1:9" x14ac:dyDescent="0.3">
      <c r="A1845" t="s">
        <v>133</v>
      </c>
      <c r="B1845" s="1">
        <v>45878</v>
      </c>
      <c r="C1845" s="1">
        <v>45878</v>
      </c>
      <c r="D1845">
        <v>913982</v>
      </c>
      <c r="E1845">
        <v>31</v>
      </c>
      <c r="F1845" s="3" t="s">
        <v>1651</v>
      </c>
      <c r="G1845" s="4">
        <v>184014.5</v>
      </c>
      <c r="H1845" s="4">
        <v>0</v>
      </c>
      <c r="I1845" s="4">
        <v>-22204151.719999999</v>
      </c>
    </row>
    <row r="1846" spans="1:9" x14ac:dyDescent="0.3">
      <c r="A1846" t="s">
        <v>133</v>
      </c>
      <c r="B1846" s="1">
        <v>45878</v>
      </c>
      <c r="C1846" s="1">
        <v>45878</v>
      </c>
      <c r="D1846">
        <v>913986</v>
      </c>
      <c r="E1846">
        <v>31</v>
      </c>
      <c r="F1846" s="3" t="s">
        <v>1652</v>
      </c>
      <c r="G1846" s="4">
        <v>7461</v>
      </c>
      <c r="H1846" s="4">
        <v>0</v>
      </c>
      <c r="I1846" s="4">
        <v>-22196690.719999999</v>
      </c>
    </row>
    <row r="1847" spans="1:9" x14ac:dyDescent="0.3">
      <c r="A1847" t="s">
        <v>133</v>
      </c>
      <c r="B1847" s="1">
        <v>45878</v>
      </c>
      <c r="C1847" s="1">
        <v>45878</v>
      </c>
      <c r="D1847">
        <v>913987</v>
      </c>
      <c r="E1847">
        <v>36</v>
      </c>
      <c r="F1847" s="3" t="s">
        <v>1653</v>
      </c>
      <c r="G1847" s="4">
        <v>3871</v>
      </c>
      <c r="H1847" s="4">
        <v>0</v>
      </c>
      <c r="I1847" s="4">
        <v>-22192819.719999999</v>
      </c>
    </row>
    <row r="1848" spans="1:9" x14ac:dyDescent="0.3">
      <c r="A1848" t="s">
        <v>133</v>
      </c>
      <c r="B1848" s="1">
        <v>45878</v>
      </c>
      <c r="C1848" s="1">
        <v>45878</v>
      </c>
      <c r="D1848">
        <v>913989</v>
      </c>
      <c r="E1848">
        <v>31</v>
      </c>
      <c r="F1848" s="3" t="s">
        <v>1626</v>
      </c>
      <c r="G1848" s="4">
        <v>7461</v>
      </c>
      <c r="H1848" s="4">
        <v>0</v>
      </c>
      <c r="I1848" s="4">
        <v>-22185358.719999999</v>
      </c>
    </row>
    <row r="1849" spans="1:9" x14ac:dyDescent="0.3">
      <c r="A1849" t="s">
        <v>133</v>
      </c>
      <c r="B1849" s="1">
        <v>45878</v>
      </c>
      <c r="C1849" s="1">
        <v>45878</v>
      </c>
      <c r="D1849">
        <v>913992</v>
      </c>
      <c r="E1849">
        <v>31</v>
      </c>
      <c r="F1849" s="3" t="s">
        <v>1654</v>
      </c>
      <c r="G1849" s="4">
        <v>28756</v>
      </c>
      <c r="H1849" s="4">
        <v>0</v>
      </c>
      <c r="I1849" s="4">
        <v>-22156602.719999999</v>
      </c>
    </row>
    <row r="1850" spans="1:9" x14ac:dyDescent="0.3">
      <c r="A1850" t="s">
        <v>133</v>
      </c>
      <c r="B1850" s="1">
        <v>45878</v>
      </c>
      <c r="C1850" s="1">
        <v>45878</v>
      </c>
      <c r="D1850">
        <v>913995</v>
      </c>
      <c r="E1850">
        <v>31</v>
      </c>
      <c r="F1850" s="3" t="s">
        <v>1655</v>
      </c>
      <c r="G1850" s="4">
        <v>29211</v>
      </c>
      <c r="H1850" s="4">
        <v>0</v>
      </c>
      <c r="I1850" s="4">
        <v>-22127391.719999999</v>
      </c>
    </row>
    <row r="1851" spans="1:9" x14ac:dyDescent="0.3">
      <c r="A1851" t="s">
        <v>133</v>
      </c>
      <c r="B1851" s="1">
        <v>45878</v>
      </c>
      <c r="C1851" s="1">
        <v>45878</v>
      </c>
      <c r="D1851">
        <v>913997</v>
      </c>
      <c r="E1851">
        <v>31</v>
      </c>
      <c r="F1851" s="3" t="s">
        <v>1656</v>
      </c>
      <c r="G1851" s="4">
        <v>117546</v>
      </c>
      <c r="H1851" s="4">
        <v>0</v>
      </c>
      <c r="I1851" s="4">
        <v>-22009845.719999999</v>
      </c>
    </row>
    <row r="1852" spans="1:9" x14ac:dyDescent="0.3">
      <c r="A1852" t="s">
        <v>133</v>
      </c>
      <c r="B1852" s="1">
        <v>45878</v>
      </c>
      <c r="C1852" s="1">
        <v>45878</v>
      </c>
      <c r="D1852">
        <v>914006</v>
      </c>
      <c r="E1852">
        <v>31</v>
      </c>
      <c r="F1852" s="3" t="s">
        <v>1657</v>
      </c>
      <c r="G1852" s="4">
        <v>94091</v>
      </c>
      <c r="H1852" s="4">
        <v>0</v>
      </c>
      <c r="I1852" s="4">
        <v>-21915754.719999999</v>
      </c>
    </row>
    <row r="1853" spans="1:9" x14ac:dyDescent="0.3">
      <c r="A1853" t="s">
        <v>133</v>
      </c>
      <c r="B1853" s="1">
        <v>45878</v>
      </c>
      <c r="C1853" s="1">
        <v>45878</v>
      </c>
      <c r="D1853">
        <v>914013</v>
      </c>
      <c r="E1853">
        <v>31</v>
      </c>
      <c r="F1853" s="3" t="s">
        <v>1658</v>
      </c>
      <c r="G1853" s="4">
        <v>3933</v>
      </c>
      <c r="H1853" s="4">
        <v>0</v>
      </c>
      <c r="I1853" s="4">
        <v>-21911821.719999999</v>
      </c>
    </row>
    <row r="1854" spans="1:9" x14ac:dyDescent="0.3">
      <c r="A1854" t="s">
        <v>133</v>
      </c>
      <c r="B1854" s="1">
        <v>45878</v>
      </c>
      <c r="C1854" s="1">
        <v>45878</v>
      </c>
      <c r="D1854">
        <v>914025</v>
      </c>
      <c r="E1854">
        <v>65</v>
      </c>
      <c r="F1854" s="3" t="s">
        <v>1659</v>
      </c>
      <c r="G1854" s="4">
        <v>100000</v>
      </c>
      <c r="H1854" s="4">
        <v>0</v>
      </c>
      <c r="I1854" s="4">
        <v>-21811821.719999999</v>
      </c>
    </row>
    <row r="1855" spans="1:9" x14ac:dyDescent="0.3">
      <c r="A1855" t="s">
        <v>133</v>
      </c>
      <c r="B1855" s="1">
        <v>45878</v>
      </c>
      <c r="C1855" s="1">
        <v>45878</v>
      </c>
      <c r="D1855">
        <v>914027</v>
      </c>
      <c r="E1855">
        <v>65</v>
      </c>
      <c r="F1855" s="3" t="s">
        <v>1660</v>
      </c>
      <c r="G1855" s="4">
        <v>100000</v>
      </c>
      <c r="H1855" s="4">
        <v>0</v>
      </c>
      <c r="I1855" s="4">
        <v>-21711821.719999999</v>
      </c>
    </row>
    <row r="1856" spans="1:9" x14ac:dyDescent="0.3">
      <c r="A1856" t="s">
        <v>133</v>
      </c>
      <c r="B1856" s="1">
        <v>45878</v>
      </c>
      <c r="C1856" s="1">
        <v>45878</v>
      </c>
      <c r="D1856">
        <v>914028</v>
      </c>
      <c r="E1856">
        <v>85</v>
      </c>
      <c r="F1856" s="3">
        <v>50865170609</v>
      </c>
      <c r="G1856" s="4">
        <v>9064.25</v>
      </c>
      <c r="H1856" s="4">
        <v>0</v>
      </c>
      <c r="I1856" s="4">
        <v>-21702757.469999999</v>
      </c>
    </row>
    <row r="1857" spans="1:9" x14ac:dyDescent="0.3">
      <c r="A1857" t="s">
        <v>133</v>
      </c>
      <c r="B1857" s="1">
        <v>45878</v>
      </c>
      <c r="C1857" s="1">
        <v>45878</v>
      </c>
      <c r="D1857">
        <v>914029</v>
      </c>
      <c r="E1857">
        <v>65</v>
      </c>
      <c r="F1857" s="3" t="s">
        <v>1661</v>
      </c>
      <c r="G1857" s="4">
        <v>26567</v>
      </c>
      <c r="H1857" s="4">
        <v>0</v>
      </c>
      <c r="I1857" s="4">
        <v>-21676190.469999999</v>
      </c>
    </row>
    <row r="1858" spans="1:9" x14ac:dyDescent="0.3">
      <c r="A1858" t="s">
        <v>133</v>
      </c>
      <c r="B1858" s="1">
        <v>45878</v>
      </c>
      <c r="C1858" s="1">
        <v>45878</v>
      </c>
      <c r="D1858">
        <v>914032</v>
      </c>
      <c r="E1858">
        <v>75</v>
      </c>
      <c r="F1858" s="3" t="s">
        <v>1662</v>
      </c>
      <c r="G1858" s="4">
        <v>150000</v>
      </c>
      <c r="H1858" s="4">
        <v>0</v>
      </c>
      <c r="I1858" s="4">
        <v>-21526190.469999999</v>
      </c>
    </row>
    <row r="1859" spans="1:9" x14ac:dyDescent="0.3">
      <c r="A1859" t="s">
        <v>133</v>
      </c>
      <c r="B1859" s="1">
        <v>45878</v>
      </c>
      <c r="C1859" s="1">
        <v>45878</v>
      </c>
      <c r="D1859">
        <v>914043</v>
      </c>
      <c r="E1859">
        <v>85</v>
      </c>
      <c r="F1859" s="3" t="s">
        <v>1663</v>
      </c>
      <c r="G1859" s="4">
        <v>45580</v>
      </c>
      <c r="H1859" s="4">
        <v>0</v>
      </c>
      <c r="I1859" s="4">
        <v>-21480610.469999999</v>
      </c>
    </row>
    <row r="1860" spans="1:9" x14ac:dyDescent="0.3">
      <c r="A1860" t="s">
        <v>133</v>
      </c>
      <c r="B1860" s="1">
        <v>45878</v>
      </c>
      <c r="C1860" s="1">
        <v>45878</v>
      </c>
      <c r="D1860">
        <v>914049</v>
      </c>
      <c r="E1860">
        <v>66</v>
      </c>
      <c r="F1860" s="3" t="s">
        <v>1664</v>
      </c>
      <c r="G1860" s="4">
        <v>150000</v>
      </c>
      <c r="H1860" s="4">
        <v>0</v>
      </c>
      <c r="I1860" s="4">
        <v>-21330610.469999999</v>
      </c>
    </row>
    <row r="1861" spans="1:9" x14ac:dyDescent="0.3">
      <c r="A1861" t="s">
        <v>133</v>
      </c>
      <c r="B1861" s="1">
        <v>45878</v>
      </c>
      <c r="C1861" s="1">
        <v>45878</v>
      </c>
      <c r="D1861">
        <v>914053</v>
      </c>
      <c r="E1861">
        <v>32</v>
      </c>
      <c r="F1861" s="3" t="s">
        <v>1665</v>
      </c>
      <c r="G1861" s="4">
        <v>1010317.5</v>
      </c>
      <c r="H1861" s="4">
        <v>0</v>
      </c>
      <c r="I1861" s="4">
        <v>-20320292.969999999</v>
      </c>
    </row>
    <row r="1862" spans="1:9" x14ac:dyDescent="0.3">
      <c r="A1862" t="s">
        <v>133</v>
      </c>
      <c r="B1862" s="1">
        <v>45878</v>
      </c>
      <c r="C1862" s="1">
        <v>45878</v>
      </c>
      <c r="D1862">
        <v>914074</v>
      </c>
      <c r="E1862">
        <v>55</v>
      </c>
      <c r="F1862" s="3" t="s">
        <v>1666</v>
      </c>
      <c r="G1862" s="4">
        <v>150000</v>
      </c>
      <c r="H1862" s="4">
        <v>0</v>
      </c>
      <c r="I1862" s="4">
        <v>-20170292.969999999</v>
      </c>
    </row>
    <row r="1863" spans="1:9" x14ac:dyDescent="0.3">
      <c r="A1863" t="s">
        <v>133</v>
      </c>
      <c r="B1863" s="1">
        <v>45878</v>
      </c>
      <c r="C1863" s="1">
        <v>45878</v>
      </c>
      <c r="D1863">
        <v>914078</v>
      </c>
      <c r="E1863">
        <v>32</v>
      </c>
      <c r="F1863" s="3" t="s">
        <v>1667</v>
      </c>
      <c r="G1863" s="4">
        <v>311992</v>
      </c>
      <c r="H1863" s="4">
        <v>0</v>
      </c>
      <c r="I1863" s="4">
        <v>-19858300.969999999</v>
      </c>
    </row>
    <row r="1864" spans="1:9" x14ac:dyDescent="0.3">
      <c r="A1864" t="s">
        <v>133</v>
      </c>
      <c r="B1864" s="1">
        <v>45878</v>
      </c>
      <c r="C1864" s="1">
        <v>45878</v>
      </c>
      <c r="D1864">
        <v>914086</v>
      </c>
      <c r="E1864">
        <v>32</v>
      </c>
      <c r="F1864" s="3" t="s">
        <v>1668</v>
      </c>
      <c r="G1864" s="4">
        <v>30077.25</v>
      </c>
      <c r="H1864" s="4">
        <v>0</v>
      </c>
      <c r="I1864" s="4">
        <v>-19828223.719999999</v>
      </c>
    </row>
    <row r="1865" spans="1:9" x14ac:dyDescent="0.3">
      <c r="A1865" t="s">
        <v>133</v>
      </c>
      <c r="B1865" s="1">
        <v>45878</v>
      </c>
      <c r="C1865" s="1">
        <v>45878</v>
      </c>
      <c r="D1865">
        <v>914088</v>
      </c>
      <c r="E1865">
        <v>32</v>
      </c>
      <c r="F1865" s="3" t="s">
        <v>1669</v>
      </c>
      <c r="G1865" s="4">
        <v>36227.5</v>
      </c>
      <c r="H1865" s="4">
        <v>0</v>
      </c>
      <c r="I1865" s="4">
        <v>-19791996.219999999</v>
      </c>
    </row>
    <row r="1866" spans="1:9" x14ac:dyDescent="0.3">
      <c r="A1866" t="s">
        <v>133</v>
      </c>
      <c r="B1866" s="1">
        <v>45878</v>
      </c>
      <c r="C1866" s="1">
        <v>45878</v>
      </c>
      <c r="D1866">
        <v>914089</v>
      </c>
      <c r="E1866">
        <v>56</v>
      </c>
      <c r="F1866" s="3" t="s">
        <v>1670</v>
      </c>
      <c r="G1866" s="4">
        <v>28274</v>
      </c>
      <c r="H1866" s="4">
        <v>0</v>
      </c>
      <c r="I1866" s="4">
        <v>-19763722.219999999</v>
      </c>
    </row>
    <row r="1867" spans="1:9" x14ac:dyDescent="0.3">
      <c r="A1867" t="s">
        <v>133</v>
      </c>
      <c r="B1867" s="1">
        <v>45878</v>
      </c>
      <c r="C1867" s="1">
        <v>45878</v>
      </c>
      <c r="D1867">
        <v>914090</v>
      </c>
      <c r="E1867">
        <v>91</v>
      </c>
      <c r="F1867" s="3" t="s">
        <v>1671</v>
      </c>
      <c r="G1867" s="4">
        <v>37171</v>
      </c>
      <c r="H1867" s="4">
        <v>0</v>
      </c>
      <c r="I1867" s="4">
        <v>-19726551.219999999</v>
      </c>
    </row>
    <row r="1868" spans="1:9" x14ac:dyDescent="0.3">
      <c r="A1868" t="s">
        <v>133</v>
      </c>
      <c r="B1868" s="1">
        <v>45878</v>
      </c>
      <c r="C1868" s="1">
        <v>45878</v>
      </c>
      <c r="D1868">
        <v>914096</v>
      </c>
      <c r="E1868">
        <v>91</v>
      </c>
      <c r="F1868" s="3" t="s">
        <v>1672</v>
      </c>
      <c r="G1868" s="4">
        <v>54082.5</v>
      </c>
      <c r="H1868" s="4">
        <v>0</v>
      </c>
      <c r="I1868" s="4">
        <v>-19672468.719999999</v>
      </c>
    </row>
    <row r="1869" spans="1:9" x14ac:dyDescent="0.3">
      <c r="A1869" t="s">
        <v>133</v>
      </c>
      <c r="B1869" s="1">
        <v>45878</v>
      </c>
      <c r="C1869" s="1">
        <v>45878</v>
      </c>
      <c r="D1869">
        <v>914105</v>
      </c>
      <c r="E1869">
        <v>91</v>
      </c>
      <c r="F1869" s="3" t="s">
        <v>1673</v>
      </c>
      <c r="G1869" s="4">
        <v>33563.75</v>
      </c>
      <c r="H1869" s="4">
        <v>0</v>
      </c>
      <c r="I1869" s="4">
        <v>-19638904.969999999</v>
      </c>
    </row>
    <row r="1870" spans="1:9" x14ac:dyDescent="0.3">
      <c r="A1870" t="s">
        <v>133</v>
      </c>
      <c r="B1870" s="1">
        <v>45878</v>
      </c>
      <c r="C1870" s="1">
        <v>45878</v>
      </c>
      <c r="D1870">
        <v>914114</v>
      </c>
      <c r="E1870">
        <v>72</v>
      </c>
      <c r="F1870" s="3">
        <v>50882742736</v>
      </c>
      <c r="G1870" s="4">
        <v>57000</v>
      </c>
      <c r="H1870" s="4">
        <v>0</v>
      </c>
      <c r="I1870" s="4">
        <v>-19581904.969999999</v>
      </c>
    </row>
    <row r="1871" spans="1:9" x14ac:dyDescent="0.3">
      <c r="A1871" t="s">
        <v>133</v>
      </c>
      <c r="B1871" s="1">
        <v>45878</v>
      </c>
      <c r="C1871" s="1">
        <v>45878</v>
      </c>
      <c r="D1871">
        <v>914116</v>
      </c>
      <c r="E1871">
        <v>32</v>
      </c>
      <c r="F1871" s="3" t="s">
        <v>1674</v>
      </c>
      <c r="G1871" s="4">
        <v>42149.5</v>
      </c>
      <c r="H1871" s="4">
        <v>0</v>
      </c>
      <c r="I1871" s="4">
        <v>-19539755.469999999</v>
      </c>
    </row>
    <row r="1872" spans="1:9" x14ac:dyDescent="0.3">
      <c r="A1872" t="s">
        <v>133</v>
      </c>
      <c r="B1872" s="1">
        <v>45878</v>
      </c>
      <c r="C1872" s="1">
        <v>45878</v>
      </c>
      <c r="D1872">
        <v>914134</v>
      </c>
      <c r="E1872">
        <v>32</v>
      </c>
      <c r="F1872" s="3" t="s">
        <v>1675</v>
      </c>
      <c r="G1872" s="4">
        <v>100000</v>
      </c>
      <c r="H1872" s="4">
        <v>0</v>
      </c>
      <c r="I1872" s="4">
        <v>-19439755.469999999</v>
      </c>
    </row>
    <row r="1873" spans="1:9" x14ac:dyDescent="0.3">
      <c r="A1873" t="s">
        <v>133</v>
      </c>
      <c r="B1873" s="1">
        <v>45878</v>
      </c>
      <c r="C1873" s="1">
        <v>45878</v>
      </c>
      <c r="D1873">
        <v>914136</v>
      </c>
      <c r="E1873">
        <v>32</v>
      </c>
      <c r="F1873" s="3" t="s">
        <v>1676</v>
      </c>
      <c r="G1873" s="4">
        <v>100000</v>
      </c>
      <c r="H1873" s="4">
        <v>0</v>
      </c>
      <c r="I1873" s="4">
        <v>-19339755.469999999</v>
      </c>
    </row>
    <row r="1874" spans="1:9" x14ac:dyDescent="0.3">
      <c r="A1874" t="s">
        <v>133</v>
      </c>
      <c r="B1874" s="1">
        <v>45878</v>
      </c>
      <c r="C1874" s="1">
        <v>45878</v>
      </c>
      <c r="D1874">
        <v>914142</v>
      </c>
      <c r="E1874">
        <v>32</v>
      </c>
      <c r="F1874" s="3" t="s">
        <v>1677</v>
      </c>
      <c r="G1874" s="4">
        <v>100000</v>
      </c>
      <c r="H1874" s="4">
        <v>0</v>
      </c>
      <c r="I1874" s="4">
        <v>-19239755.469999999</v>
      </c>
    </row>
    <row r="1875" spans="1:9" x14ac:dyDescent="0.3">
      <c r="A1875" t="s">
        <v>133</v>
      </c>
      <c r="B1875" s="1">
        <v>45878</v>
      </c>
      <c r="C1875" s="1">
        <v>45878</v>
      </c>
      <c r="D1875">
        <v>914146</v>
      </c>
      <c r="E1875">
        <v>32</v>
      </c>
      <c r="F1875" s="3" t="s">
        <v>1678</v>
      </c>
      <c r="G1875" s="4">
        <v>13764.75</v>
      </c>
      <c r="H1875" s="4">
        <v>0</v>
      </c>
      <c r="I1875" s="4">
        <v>-19225990.719999999</v>
      </c>
    </row>
    <row r="1876" spans="1:9" x14ac:dyDescent="0.3">
      <c r="A1876" t="s">
        <v>133</v>
      </c>
      <c r="B1876" s="1">
        <v>45878</v>
      </c>
      <c r="C1876" s="1">
        <v>45878</v>
      </c>
      <c r="D1876">
        <v>914149</v>
      </c>
      <c r="E1876">
        <v>14</v>
      </c>
      <c r="F1876" s="3" t="s">
        <v>1679</v>
      </c>
      <c r="G1876" s="4">
        <v>150000</v>
      </c>
      <c r="H1876" s="4">
        <v>0</v>
      </c>
      <c r="I1876" s="4">
        <v>-19075990.719999999</v>
      </c>
    </row>
    <row r="1877" spans="1:9" x14ac:dyDescent="0.3">
      <c r="A1877" t="s">
        <v>133</v>
      </c>
      <c r="B1877" s="1">
        <v>45878</v>
      </c>
      <c r="C1877" s="1">
        <v>45878</v>
      </c>
      <c r="D1877">
        <v>914164</v>
      </c>
      <c r="E1877">
        <v>17</v>
      </c>
      <c r="F1877" s="3" t="s">
        <v>1680</v>
      </c>
      <c r="G1877" s="4">
        <v>230000</v>
      </c>
      <c r="H1877" s="4">
        <v>0</v>
      </c>
      <c r="I1877" s="4">
        <v>-18845990.719999999</v>
      </c>
    </row>
    <row r="1878" spans="1:9" x14ac:dyDescent="0.3">
      <c r="A1878" t="s">
        <v>133</v>
      </c>
      <c r="B1878" s="1">
        <v>45878</v>
      </c>
      <c r="C1878" s="1">
        <v>45878</v>
      </c>
      <c r="D1878">
        <v>914167</v>
      </c>
      <c r="E1878">
        <v>28</v>
      </c>
      <c r="F1878" s="3" t="s">
        <v>1681</v>
      </c>
      <c r="G1878" s="4">
        <v>280000</v>
      </c>
      <c r="H1878" s="4">
        <v>0</v>
      </c>
      <c r="I1878" s="4">
        <v>-18565990.719999999</v>
      </c>
    </row>
    <row r="1879" spans="1:9" x14ac:dyDescent="0.3">
      <c r="A1879" t="s">
        <v>133</v>
      </c>
      <c r="B1879" s="1">
        <v>45878</v>
      </c>
      <c r="C1879" s="1">
        <v>45878</v>
      </c>
      <c r="D1879">
        <v>914169</v>
      </c>
      <c r="E1879">
        <v>351</v>
      </c>
      <c r="F1879" s="3" t="s">
        <v>1682</v>
      </c>
      <c r="G1879" s="4">
        <v>70167.75</v>
      </c>
      <c r="H1879" s="4">
        <v>0</v>
      </c>
      <c r="I1879" s="4">
        <v>-18495822.969999999</v>
      </c>
    </row>
    <row r="1880" spans="1:9" x14ac:dyDescent="0.3">
      <c r="A1880" t="s">
        <v>133</v>
      </c>
      <c r="B1880" s="1">
        <v>45878</v>
      </c>
      <c r="C1880" s="1">
        <v>45878</v>
      </c>
      <c r="D1880">
        <v>914171</v>
      </c>
      <c r="E1880">
        <v>31</v>
      </c>
      <c r="F1880" s="3" t="s">
        <v>1683</v>
      </c>
      <c r="G1880" s="4">
        <v>71500</v>
      </c>
      <c r="H1880" s="4">
        <v>0</v>
      </c>
      <c r="I1880" s="4">
        <v>-18424322.969999999</v>
      </c>
    </row>
    <row r="1881" spans="1:9" x14ac:dyDescent="0.3">
      <c r="A1881" t="s">
        <v>133</v>
      </c>
      <c r="B1881" s="1">
        <v>45878</v>
      </c>
      <c r="C1881" s="1">
        <v>45878</v>
      </c>
      <c r="D1881">
        <v>914173</v>
      </c>
      <c r="E1881">
        <v>79</v>
      </c>
      <c r="F1881" s="3" t="s">
        <v>1684</v>
      </c>
      <c r="G1881" s="4">
        <v>215000</v>
      </c>
      <c r="H1881" s="4">
        <v>0</v>
      </c>
      <c r="I1881" s="4">
        <v>-18209322.969999999</v>
      </c>
    </row>
    <row r="1882" spans="1:9" x14ac:dyDescent="0.3">
      <c r="A1882" t="s">
        <v>133</v>
      </c>
      <c r="B1882" s="1">
        <v>45878</v>
      </c>
      <c r="C1882" s="1">
        <v>45878</v>
      </c>
      <c r="D1882">
        <v>914174</v>
      </c>
      <c r="E1882">
        <v>351</v>
      </c>
      <c r="F1882" s="3" t="s">
        <v>1685</v>
      </c>
      <c r="G1882" s="4">
        <v>212583.5</v>
      </c>
      <c r="H1882" s="4">
        <v>0</v>
      </c>
      <c r="I1882" s="4">
        <v>-17996739.469999999</v>
      </c>
    </row>
    <row r="1883" spans="1:9" x14ac:dyDescent="0.3">
      <c r="A1883" t="s">
        <v>133</v>
      </c>
      <c r="B1883" s="1">
        <v>45878</v>
      </c>
      <c r="C1883" s="1">
        <v>45878</v>
      </c>
      <c r="D1883">
        <v>914175</v>
      </c>
      <c r="E1883">
        <v>84</v>
      </c>
      <c r="F1883" s="3" t="s">
        <v>1686</v>
      </c>
      <c r="G1883" s="4">
        <v>7000</v>
      </c>
      <c r="H1883" s="4">
        <v>0</v>
      </c>
      <c r="I1883" s="4">
        <v>-17989739.469999999</v>
      </c>
    </row>
    <row r="1884" spans="1:9" x14ac:dyDescent="0.3">
      <c r="A1884" t="s">
        <v>133</v>
      </c>
      <c r="B1884" s="1">
        <v>45878</v>
      </c>
      <c r="C1884" s="1">
        <v>45878</v>
      </c>
      <c r="D1884">
        <v>914176</v>
      </c>
      <c r="E1884">
        <v>351</v>
      </c>
      <c r="F1884" s="3" t="s">
        <v>1687</v>
      </c>
      <c r="G1884" s="4">
        <v>169833.75</v>
      </c>
      <c r="H1884" s="4">
        <v>0</v>
      </c>
      <c r="I1884" s="4">
        <v>-17819905.719999999</v>
      </c>
    </row>
    <row r="1885" spans="1:9" x14ac:dyDescent="0.3">
      <c r="A1885" t="s">
        <v>133</v>
      </c>
      <c r="B1885" s="1">
        <v>45878</v>
      </c>
      <c r="C1885" s="1">
        <v>45878</v>
      </c>
      <c r="D1885">
        <v>914183</v>
      </c>
      <c r="E1885">
        <v>74</v>
      </c>
      <c r="F1885" s="3" t="s">
        <v>1688</v>
      </c>
      <c r="G1885" s="4">
        <v>1400000</v>
      </c>
      <c r="H1885" s="4">
        <v>0</v>
      </c>
      <c r="I1885" s="4">
        <v>-16419905.720000001</v>
      </c>
    </row>
    <row r="1886" spans="1:9" x14ac:dyDescent="0.3">
      <c r="A1886" t="s">
        <v>133</v>
      </c>
      <c r="B1886" s="1">
        <v>45878</v>
      </c>
      <c r="C1886" s="1">
        <v>45878</v>
      </c>
      <c r="D1886">
        <v>914188</v>
      </c>
      <c r="E1886">
        <v>54</v>
      </c>
      <c r="F1886" s="3" t="s">
        <v>1689</v>
      </c>
      <c r="G1886" s="4">
        <v>200000</v>
      </c>
      <c r="H1886" s="4">
        <v>0</v>
      </c>
      <c r="I1886" s="4">
        <v>-16219905.720000001</v>
      </c>
    </row>
    <row r="1887" spans="1:9" x14ac:dyDescent="0.3">
      <c r="A1887" t="s">
        <v>133</v>
      </c>
      <c r="B1887" s="1">
        <v>45878</v>
      </c>
      <c r="C1887" s="1">
        <v>45878</v>
      </c>
      <c r="D1887">
        <v>914189</v>
      </c>
      <c r="E1887">
        <v>71</v>
      </c>
      <c r="F1887" s="3" t="s">
        <v>1690</v>
      </c>
      <c r="G1887" s="4">
        <v>200000</v>
      </c>
      <c r="H1887" s="4">
        <v>0</v>
      </c>
      <c r="I1887" s="4">
        <v>-16019905.720000001</v>
      </c>
    </row>
    <row r="1888" spans="1:9" x14ac:dyDescent="0.3">
      <c r="A1888" t="s">
        <v>133</v>
      </c>
      <c r="B1888" s="1">
        <v>45878</v>
      </c>
      <c r="C1888" s="1">
        <v>45878</v>
      </c>
      <c r="D1888">
        <v>914193</v>
      </c>
      <c r="E1888">
        <v>351</v>
      </c>
      <c r="F1888" s="3" t="s">
        <v>1691</v>
      </c>
      <c r="G1888" s="4">
        <v>20091</v>
      </c>
      <c r="H1888" s="4">
        <v>0</v>
      </c>
      <c r="I1888" s="4">
        <v>-15999814.720000001</v>
      </c>
    </row>
    <row r="1889" spans="1:9" x14ac:dyDescent="0.3">
      <c r="A1889" t="s">
        <v>133</v>
      </c>
      <c r="B1889" s="1">
        <v>45878</v>
      </c>
      <c r="C1889" s="1">
        <v>45878</v>
      </c>
      <c r="D1889">
        <v>914197</v>
      </c>
      <c r="E1889">
        <v>351</v>
      </c>
      <c r="F1889" s="3" t="s">
        <v>1692</v>
      </c>
      <c r="G1889" s="4">
        <v>48357.5</v>
      </c>
      <c r="H1889" s="4">
        <v>0</v>
      </c>
      <c r="I1889" s="4">
        <v>-15951457.220000001</v>
      </c>
    </row>
    <row r="1890" spans="1:9" x14ac:dyDescent="0.3">
      <c r="A1890" t="s">
        <v>133</v>
      </c>
      <c r="B1890" s="1">
        <v>45878</v>
      </c>
      <c r="C1890" s="1">
        <v>45878</v>
      </c>
      <c r="D1890">
        <v>914208</v>
      </c>
      <c r="E1890">
        <v>361</v>
      </c>
      <c r="F1890" s="3" t="s">
        <v>1693</v>
      </c>
      <c r="G1890" s="4">
        <v>270000</v>
      </c>
      <c r="H1890" s="4">
        <v>0</v>
      </c>
      <c r="I1890" s="4">
        <v>-15681457.220000001</v>
      </c>
    </row>
    <row r="1891" spans="1:9" x14ac:dyDescent="0.3">
      <c r="A1891" t="s">
        <v>133</v>
      </c>
      <c r="B1891" s="1">
        <v>45878</v>
      </c>
      <c r="C1891" s="1">
        <v>45878</v>
      </c>
      <c r="D1891">
        <v>914209</v>
      </c>
      <c r="E1891">
        <v>412</v>
      </c>
      <c r="F1891" s="3" t="s">
        <v>1694</v>
      </c>
      <c r="G1891" s="4">
        <v>290000</v>
      </c>
      <c r="H1891" s="4">
        <v>0</v>
      </c>
      <c r="I1891" s="4">
        <v>-15391457.220000001</v>
      </c>
    </row>
    <row r="1892" spans="1:9" x14ac:dyDescent="0.3">
      <c r="A1892" t="s">
        <v>133</v>
      </c>
      <c r="B1892" s="1">
        <v>45878</v>
      </c>
      <c r="C1892" s="1">
        <v>45878</v>
      </c>
      <c r="D1892">
        <v>914210</v>
      </c>
      <c r="E1892">
        <v>65</v>
      </c>
      <c r="F1892" s="3" t="s">
        <v>1695</v>
      </c>
      <c r="G1892" s="4">
        <v>300000</v>
      </c>
      <c r="H1892" s="4">
        <v>0</v>
      </c>
      <c r="I1892" s="4">
        <v>-15091457.220000001</v>
      </c>
    </row>
    <row r="1893" spans="1:9" x14ac:dyDescent="0.3">
      <c r="A1893" t="s">
        <v>133</v>
      </c>
      <c r="B1893" s="1">
        <v>45878</v>
      </c>
      <c r="C1893" s="1">
        <v>45878</v>
      </c>
      <c r="D1893">
        <v>914213</v>
      </c>
      <c r="E1893">
        <v>27</v>
      </c>
      <c r="F1893" s="3" t="s">
        <v>1696</v>
      </c>
      <c r="G1893" s="4">
        <v>3375</v>
      </c>
      <c r="H1893" s="4">
        <v>0</v>
      </c>
      <c r="I1893" s="4">
        <v>-15088082.220000001</v>
      </c>
    </row>
    <row r="1894" spans="1:9" x14ac:dyDescent="0.3">
      <c r="A1894" t="s">
        <v>133</v>
      </c>
      <c r="B1894" s="1">
        <v>45878</v>
      </c>
      <c r="C1894" s="1">
        <v>45878</v>
      </c>
      <c r="D1894">
        <v>914216</v>
      </c>
      <c r="E1894">
        <v>27</v>
      </c>
      <c r="F1894" s="3" t="s">
        <v>1697</v>
      </c>
      <c r="G1894" s="4">
        <v>221012.75</v>
      </c>
      <c r="H1894" s="4">
        <v>0</v>
      </c>
      <c r="I1894" s="4">
        <v>-14867069.470000001</v>
      </c>
    </row>
    <row r="1895" spans="1:9" x14ac:dyDescent="0.3">
      <c r="A1895" t="s">
        <v>133</v>
      </c>
      <c r="B1895" s="1">
        <v>45878</v>
      </c>
      <c r="C1895" s="1">
        <v>45878</v>
      </c>
      <c r="D1895">
        <v>914223</v>
      </c>
      <c r="E1895">
        <v>27</v>
      </c>
      <c r="F1895" s="3" t="s">
        <v>1698</v>
      </c>
      <c r="G1895" s="4">
        <v>67607.75</v>
      </c>
      <c r="H1895" s="4">
        <v>0</v>
      </c>
      <c r="I1895" s="4">
        <v>-14799461.720000001</v>
      </c>
    </row>
    <row r="1896" spans="1:9" x14ac:dyDescent="0.3">
      <c r="A1896" t="s">
        <v>133</v>
      </c>
      <c r="B1896" s="1">
        <v>45878</v>
      </c>
      <c r="C1896" s="1">
        <v>45878</v>
      </c>
      <c r="D1896">
        <v>914232</v>
      </c>
      <c r="E1896">
        <v>91</v>
      </c>
      <c r="F1896" s="3" t="s">
        <v>1699</v>
      </c>
      <c r="G1896" s="4">
        <v>250000</v>
      </c>
      <c r="H1896" s="4">
        <v>0</v>
      </c>
      <c r="I1896" s="4">
        <v>-14549461.720000001</v>
      </c>
    </row>
    <row r="1897" spans="1:9" x14ac:dyDescent="0.3">
      <c r="A1897" t="s">
        <v>133</v>
      </c>
      <c r="B1897" s="1">
        <v>45878</v>
      </c>
      <c r="C1897" s="1">
        <v>45878</v>
      </c>
      <c r="D1897">
        <v>914242</v>
      </c>
      <c r="E1897">
        <v>78</v>
      </c>
      <c r="F1897" s="3" t="s">
        <v>1700</v>
      </c>
      <c r="G1897" s="4">
        <v>997475.5</v>
      </c>
      <c r="H1897" s="4">
        <v>0</v>
      </c>
      <c r="I1897" s="4">
        <v>-13551986.220000001</v>
      </c>
    </row>
    <row r="1898" spans="1:9" x14ac:dyDescent="0.3">
      <c r="A1898" t="s">
        <v>133</v>
      </c>
      <c r="B1898" s="1">
        <v>45878</v>
      </c>
      <c r="C1898" s="1">
        <v>45878</v>
      </c>
      <c r="D1898">
        <v>914246</v>
      </c>
      <c r="E1898">
        <v>422</v>
      </c>
      <c r="F1898" s="3" t="s">
        <v>1701</v>
      </c>
      <c r="G1898" s="4">
        <v>210000</v>
      </c>
      <c r="H1898" s="4">
        <v>0</v>
      </c>
      <c r="I1898" s="4">
        <v>-13341986.220000001</v>
      </c>
    </row>
    <row r="1899" spans="1:9" x14ac:dyDescent="0.3">
      <c r="A1899" t="s">
        <v>133</v>
      </c>
      <c r="B1899" s="1">
        <v>45878</v>
      </c>
      <c r="C1899" s="1">
        <v>45878</v>
      </c>
      <c r="D1899">
        <v>914263</v>
      </c>
      <c r="E1899">
        <v>85</v>
      </c>
      <c r="F1899" s="3" t="s">
        <v>1702</v>
      </c>
      <c r="G1899" s="4">
        <v>430000</v>
      </c>
      <c r="H1899" s="4">
        <v>0</v>
      </c>
      <c r="I1899" s="4">
        <v>-12911986.220000001</v>
      </c>
    </row>
    <row r="1900" spans="1:9" x14ac:dyDescent="0.3">
      <c r="A1900" t="s">
        <v>133</v>
      </c>
      <c r="B1900" s="1">
        <v>45878</v>
      </c>
      <c r="C1900" s="1">
        <v>45878</v>
      </c>
      <c r="D1900">
        <v>914266</v>
      </c>
      <c r="E1900">
        <v>67</v>
      </c>
      <c r="F1900" s="3" t="s">
        <v>181</v>
      </c>
      <c r="G1900" s="4">
        <v>120000</v>
      </c>
      <c r="H1900" s="4">
        <v>0</v>
      </c>
      <c r="I1900" s="4">
        <v>-12791986.220000001</v>
      </c>
    </row>
    <row r="1901" spans="1:9" x14ac:dyDescent="0.3">
      <c r="A1901" t="s">
        <v>133</v>
      </c>
      <c r="B1901" s="1">
        <v>45878</v>
      </c>
      <c r="C1901" s="1">
        <v>45878</v>
      </c>
      <c r="D1901">
        <v>914277</v>
      </c>
      <c r="E1901">
        <v>16</v>
      </c>
      <c r="F1901" s="3" t="s">
        <v>1703</v>
      </c>
      <c r="G1901" s="4">
        <v>250000</v>
      </c>
      <c r="H1901" s="4">
        <v>0</v>
      </c>
      <c r="I1901" s="4">
        <v>-12541986.220000001</v>
      </c>
    </row>
    <row r="1902" spans="1:9" x14ac:dyDescent="0.3">
      <c r="A1902" t="s">
        <v>133</v>
      </c>
      <c r="B1902" s="1">
        <v>45878</v>
      </c>
      <c r="C1902" s="1">
        <v>45878</v>
      </c>
      <c r="D1902">
        <v>914282</v>
      </c>
      <c r="E1902">
        <v>11</v>
      </c>
      <c r="F1902" s="3" t="s">
        <v>1704</v>
      </c>
      <c r="G1902" s="4">
        <v>2000</v>
      </c>
      <c r="H1902" s="4">
        <v>0</v>
      </c>
      <c r="I1902" s="4">
        <v>-12539986.220000001</v>
      </c>
    </row>
    <row r="1903" spans="1:9" x14ac:dyDescent="0.3">
      <c r="A1903" t="s">
        <v>133</v>
      </c>
      <c r="B1903" s="1">
        <v>45878</v>
      </c>
      <c r="C1903" s="1">
        <v>45878</v>
      </c>
      <c r="D1903">
        <v>914288</v>
      </c>
      <c r="E1903">
        <v>63</v>
      </c>
      <c r="F1903" s="3" t="s">
        <v>1705</v>
      </c>
      <c r="G1903" s="4">
        <v>130000</v>
      </c>
      <c r="H1903" s="4">
        <v>0</v>
      </c>
      <c r="I1903" s="4">
        <v>-12409986.220000001</v>
      </c>
    </row>
    <row r="1904" spans="1:9" x14ac:dyDescent="0.3">
      <c r="A1904" t="s">
        <v>133</v>
      </c>
      <c r="B1904" s="1">
        <v>45878</v>
      </c>
      <c r="C1904" s="1">
        <v>45878</v>
      </c>
      <c r="D1904">
        <v>914290</v>
      </c>
      <c r="E1904">
        <v>11</v>
      </c>
      <c r="F1904" s="3" t="s">
        <v>1706</v>
      </c>
      <c r="G1904" s="4">
        <v>320000</v>
      </c>
      <c r="H1904" s="4">
        <v>0</v>
      </c>
      <c r="I1904" s="4">
        <v>-12089986.220000001</v>
      </c>
    </row>
    <row r="1905" spans="1:9" x14ac:dyDescent="0.3">
      <c r="A1905" t="s">
        <v>133</v>
      </c>
      <c r="B1905" s="1">
        <v>45878</v>
      </c>
      <c r="C1905" s="1">
        <v>45878</v>
      </c>
      <c r="D1905">
        <v>914300</v>
      </c>
      <c r="E1905">
        <v>84</v>
      </c>
      <c r="F1905" s="3" t="s">
        <v>1707</v>
      </c>
      <c r="G1905" s="4">
        <v>480000</v>
      </c>
      <c r="H1905" s="4">
        <v>0</v>
      </c>
      <c r="I1905" s="4">
        <v>-11609986.220000001</v>
      </c>
    </row>
    <row r="1906" spans="1:9" x14ac:dyDescent="0.3">
      <c r="A1906" t="s">
        <v>133</v>
      </c>
      <c r="B1906" s="1">
        <v>45878</v>
      </c>
      <c r="C1906" s="1">
        <v>45878</v>
      </c>
      <c r="D1906">
        <v>914301</v>
      </c>
      <c r="E1906">
        <v>52</v>
      </c>
      <c r="F1906" s="3" t="s">
        <v>669</v>
      </c>
      <c r="G1906" s="4">
        <v>360000</v>
      </c>
      <c r="H1906" s="4">
        <v>0</v>
      </c>
      <c r="I1906" s="4">
        <v>-11249986.220000001</v>
      </c>
    </row>
    <row r="1907" spans="1:9" x14ac:dyDescent="0.3">
      <c r="A1907" t="s">
        <v>133</v>
      </c>
      <c r="B1907" s="1">
        <v>45878</v>
      </c>
      <c r="C1907" s="1">
        <v>45878</v>
      </c>
      <c r="D1907">
        <v>914305</v>
      </c>
      <c r="E1907">
        <v>82</v>
      </c>
      <c r="F1907" s="3" t="s">
        <v>1708</v>
      </c>
      <c r="G1907" s="4">
        <v>130000</v>
      </c>
      <c r="H1907" s="4">
        <v>0</v>
      </c>
      <c r="I1907" s="4">
        <v>-11119986.220000001</v>
      </c>
    </row>
    <row r="1908" spans="1:9" x14ac:dyDescent="0.3">
      <c r="A1908" t="s">
        <v>133</v>
      </c>
      <c r="B1908" s="1">
        <v>45878</v>
      </c>
      <c r="C1908" s="1">
        <v>45878</v>
      </c>
      <c r="D1908">
        <v>914307</v>
      </c>
      <c r="E1908">
        <v>32</v>
      </c>
      <c r="F1908" s="3" t="s">
        <v>217</v>
      </c>
      <c r="G1908" s="4">
        <v>350000</v>
      </c>
      <c r="H1908" s="4">
        <v>0</v>
      </c>
      <c r="I1908" s="4">
        <v>-10769986.220000001</v>
      </c>
    </row>
    <row r="1909" spans="1:9" x14ac:dyDescent="0.3">
      <c r="A1909" t="s">
        <v>133</v>
      </c>
      <c r="B1909" s="1">
        <v>45878</v>
      </c>
      <c r="C1909" s="1">
        <v>45878</v>
      </c>
      <c r="D1909">
        <v>914308</v>
      </c>
      <c r="E1909">
        <v>89</v>
      </c>
      <c r="F1909" s="3" t="s">
        <v>1709</v>
      </c>
      <c r="G1909" s="4">
        <v>480000</v>
      </c>
      <c r="H1909" s="4">
        <v>0</v>
      </c>
      <c r="I1909" s="4">
        <v>-10289986.220000001</v>
      </c>
    </row>
    <row r="1910" spans="1:9" x14ac:dyDescent="0.3">
      <c r="A1910" t="s">
        <v>133</v>
      </c>
      <c r="B1910" s="1">
        <v>45878</v>
      </c>
      <c r="C1910" s="1">
        <v>45878</v>
      </c>
      <c r="D1910">
        <v>914309</v>
      </c>
      <c r="E1910">
        <v>14</v>
      </c>
      <c r="F1910" s="3" t="s">
        <v>1710</v>
      </c>
      <c r="G1910" s="4">
        <v>7223.25</v>
      </c>
      <c r="H1910" s="4">
        <v>0</v>
      </c>
      <c r="I1910" s="4">
        <v>-10282762.970000001</v>
      </c>
    </row>
    <row r="1911" spans="1:9" x14ac:dyDescent="0.3">
      <c r="A1911" t="s">
        <v>133</v>
      </c>
      <c r="B1911" s="1">
        <v>45878</v>
      </c>
      <c r="C1911" s="1">
        <v>45878</v>
      </c>
      <c r="D1911">
        <v>914310</v>
      </c>
      <c r="E1911">
        <v>50</v>
      </c>
      <c r="F1911" s="3" t="s">
        <v>1711</v>
      </c>
      <c r="G1911" s="4">
        <v>405462.25</v>
      </c>
      <c r="H1911" s="4">
        <v>0</v>
      </c>
      <c r="I1911" s="4">
        <v>-9877300.7200000007</v>
      </c>
    </row>
    <row r="1912" spans="1:9" x14ac:dyDescent="0.3">
      <c r="A1912" t="s">
        <v>133</v>
      </c>
      <c r="B1912" s="1">
        <v>45878</v>
      </c>
      <c r="C1912" s="1">
        <v>45878</v>
      </c>
      <c r="D1912">
        <v>914323</v>
      </c>
      <c r="E1912">
        <v>382</v>
      </c>
      <c r="F1912" s="3" t="s">
        <v>1712</v>
      </c>
      <c r="G1912" s="4">
        <v>200000</v>
      </c>
      <c r="H1912" s="4">
        <v>0</v>
      </c>
      <c r="I1912" s="4">
        <v>-9677300.7200000007</v>
      </c>
    </row>
    <row r="1913" spans="1:9" x14ac:dyDescent="0.3">
      <c r="A1913" t="s">
        <v>133</v>
      </c>
      <c r="B1913" s="1">
        <v>45878</v>
      </c>
      <c r="C1913" s="1">
        <v>45878</v>
      </c>
      <c r="D1913">
        <v>914325</v>
      </c>
      <c r="E1913">
        <v>11</v>
      </c>
      <c r="F1913" s="3" t="s">
        <v>1713</v>
      </c>
      <c r="G1913" s="4">
        <v>100000</v>
      </c>
      <c r="H1913" s="4">
        <v>0</v>
      </c>
      <c r="I1913" s="4">
        <v>-9577300.7200000007</v>
      </c>
    </row>
    <row r="1914" spans="1:9" x14ac:dyDescent="0.3">
      <c r="A1914" t="s">
        <v>133</v>
      </c>
      <c r="B1914" s="1">
        <v>45878</v>
      </c>
      <c r="C1914" s="1">
        <v>45878</v>
      </c>
      <c r="D1914">
        <v>914327</v>
      </c>
      <c r="E1914">
        <v>11</v>
      </c>
      <c r="F1914" s="3" t="s">
        <v>1714</v>
      </c>
      <c r="G1914" s="4">
        <v>100000</v>
      </c>
      <c r="H1914" s="4">
        <v>0</v>
      </c>
      <c r="I1914" s="4">
        <v>-9477300.7200000007</v>
      </c>
    </row>
    <row r="1915" spans="1:9" x14ac:dyDescent="0.3">
      <c r="A1915" t="s">
        <v>133</v>
      </c>
      <c r="B1915" s="1">
        <v>45878</v>
      </c>
      <c r="C1915" s="1">
        <v>45878</v>
      </c>
      <c r="D1915">
        <v>914329</v>
      </c>
      <c r="E1915">
        <v>80</v>
      </c>
      <c r="F1915" s="3" t="s">
        <v>1715</v>
      </c>
      <c r="G1915" s="4">
        <v>200000</v>
      </c>
      <c r="H1915" s="4">
        <v>0</v>
      </c>
      <c r="I1915" s="4">
        <v>-9277300.7200000007</v>
      </c>
    </row>
    <row r="1916" spans="1:9" x14ac:dyDescent="0.3">
      <c r="A1916" t="s">
        <v>133</v>
      </c>
      <c r="B1916" s="1">
        <v>45878</v>
      </c>
      <c r="C1916" s="1">
        <v>45878</v>
      </c>
      <c r="D1916">
        <v>914330</v>
      </c>
      <c r="E1916">
        <v>11</v>
      </c>
      <c r="F1916" s="3" t="s">
        <v>1716</v>
      </c>
      <c r="G1916" s="4">
        <v>100000</v>
      </c>
      <c r="H1916" s="4">
        <v>0</v>
      </c>
      <c r="I1916" s="4">
        <v>-9177300.7200000007</v>
      </c>
    </row>
    <row r="1917" spans="1:9" x14ac:dyDescent="0.3">
      <c r="A1917" t="s">
        <v>133</v>
      </c>
      <c r="B1917" s="1">
        <v>45878</v>
      </c>
      <c r="C1917" s="1">
        <v>45878</v>
      </c>
      <c r="D1917">
        <v>914331</v>
      </c>
      <c r="E1917">
        <v>78</v>
      </c>
      <c r="F1917" s="3" t="s">
        <v>1717</v>
      </c>
      <c r="G1917" s="4">
        <v>182172.25</v>
      </c>
      <c r="H1917" s="4">
        <v>0</v>
      </c>
      <c r="I1917" s="4">
        <v>-8995128.4700000007</v>
      </c>
    </row>
    <row r="1918" spans="1:9" x14ac:dyDescent="0.3">
      <c r="A1918" t="s">
        <v>133</v>
      </c>
      <c r="B1918" s="1">
        <v>45878</v>
      </c>
      <c r="C1918" s="1">
        <v>45878</v>
      </c>
      <c r="D1918">
        <v>914333</v>
      </c>
      <c r="E1918">
        <v>33</v>
      </c>
      <c r="F1918" s="3" t="s">
        <v>1718</v>
      </c>
      <c r="G1918" s="4">
        <v>420000</v>
      </c>
      <c r="H1918" s="4">
        <v>0</v>
      </c>
      <c r="I1918" s="4">
        <v>-8575128.4700000007</v>
      </c>
    </row>
    <row r="1919" spans="1:9" x14ac:dyDescent="0.3">
      <c r="A1919" t="s">
        <v>133</v>
      </c>
      <c r="B1919" s="1">
        <v>45878</v>
      </c>
      <c r="C1919" s="1">
        <v>45878</v>
      </c>
      <c r="D1919">
        <v>914334</v>
      </c>
      <c r="E1919">
        <v>53</v>
      </c>
      <c r="F1919" s="3" t="s">
        <v>1546</v>
      </c>
      <c r="G1919" s="4">
        <v>100000</v>
      </c>
      <c r="H1919" s="4">
        <v>0</v>
      </c>
      <c r="I1919" s="4">
        <v>-8475128.4700000007</v>
      </c>
    </row>
    <row r="1920" spans="1:9" x14ac:dyDescent="0.3">
      <c r="A1920" t="s">
        <v>133</v>
      </c>
      <c r="B1920" s="1">
        <v>45878</v>
      </c>
      <c r="C1920" s="1">
        <v>45878</v>
      </c>
      <c r="D1920">
        <v>914335</v>
      </c>
      <c r="E1920">
        <v>11</v>
      </c>
      <c r="F1920" s="3" t="s">
        <v>1719</v>
      </c>
      <c r="G1920" s="4">
        <v>100000</v>
      </c>
      <c r="H1920" s="4">
        <v>0</v>
      </c>
      <c r="I1920" s="4">
        <v>-8375128.4699999997</v>
      </c>
    </row>
    <row r="1921" spans="1:9" x14ac:dyDescent="0.3">
      <c r="A1921" t="s">
        <v>133</v>
      </c>
      <c r="B1921" s="1">
        <v>45878</v>
      </c>
      <c r="C1921" s="1">
        <v>45878</v>
      </c>
      <c r="D1921">
        <v>914336</v>
      </c>
      <c r="E1921">
        <v>11</v>
      </c>
      <c r="F1921" s="3" t="s">
        <v>1720</v>
      </c>
      <c r="G1921" s="4">
        <v>21000</v>
      </c>
      <c r="H1921" s="4">
        <v>0</v>
      </c>
      <c r="I1921" s="4">
        <v>-8354128.4699999997</v>
      </c>
    </row>
    <row r="1922" spans="1:9" x14ac:dyDescent="0.3">
      <c r="A1922" t="s">
        <v>133</v>
      </c>
      <c r="B1922" s="1">
        <v>45878</v>
      </c>
      <c r="C1922" s="1">
        <v>45878</v>
      </c>
      <c r="D1922">
        <v>914342</v>
      </c>
      <c r="E1922">
        <v>77</v>
      </c>
      <c r="F1922" s="3" t="s">
        <v>1721</v>
      </c>
      <c r="G1922" s="4">
        <v>600000</v>
      </c>
      <c r="H1922" s="4">
        <v>0</v>
      </c>
      <c r="I1922" s="4">
        <v>-7754128.4699999997</v>
      </c>
    </row>
    <row r="1923" spans="1:9" x14ac:dyDescent="0.3">
      <c r="A1923" t="s">
        <v>133</v>
      </c>
      <c r="B1923" s="1">
        <v>45878</v>
      </c>
      <c r="C1923" s="1">
        <v>45878</v>
      </c>
      <c r="D1923">
        <v>914343</v>
      </c>
      <c r="E1923">
        <v>12</v>
      </c>
      <c r="F1923" s="3" t="s">
        <v>1722</v>
      </c>
      <c r="G1923" s="4">
        <v>229336.5</v>
      </c>
      <c r="H1923" s="4">
        <v>0</v>
      </c>
      <c r="I1923" s="4">
        <v>-7524791.9699999997</v>
      </c>
    </row>
    <row r="1924" spans="1:9" x14ac:dyDescent="0.3">
      <c r="A1924" t="s">
        <v>133</v>
      </c>
      <c r="B1924" s="1">
        <v>45878</v>
      </c>
      <c r="C1924" s="1">
        <v>45878</v>
      </c>
      <c r="D1924">
        <v>914352</v>
      </c>
      <c r="E1924">
        <v>98</v>
      </c>
      <c r="F1924" s="3" t="s">
        <v>1723</v>
      </c>
      <c r="G1924" s="4">
        <v>280000</v>
      </c>
      <c r="H1924" s="4">
        <v>0</v>
      </c>
      <c r="I1924" s="4">
        <v>-7244791.9699999997</v>
      </c>
    </row>
    <row r="1925" spans="1:9" x14ac:dyDescent="0.3">
      <c r="A1925" t="s">
        <v>133</v>
      </c>
      <c r="B1925" s="1">
        <v>45878</v>
      </c>
      <c r="C1925" s="1">
        <v>45878</v>
      </c>
      <c r="D1925">
        <v>914356</v>
      </c>
      <c r="E1925">
        <v>70</v>
      </c>
      <c r="F1925" s="3" t="s">
        <v>1724</v>
      </c>
      <c r="G1925" s="4">
        <v>390000</v>
      </c>
      <c r="H1925" s="4">
        <v>0</v>
      </c>
      <c r="I1925" s="4">
        <v>-6854791.9699999997</v>
      </c>
    </row>
    <row r="1926" spans="1:9" x14ac:dyDescent="0.3">
      <c r="A1926" t="s">
        <v>133</v>
      </c>
      <c r="B1926" s="1">
        <v>45878</v>
      </c>
      <c r="C1926" s="1">
        <v>45878</v>
      </c>
      <c r="D1926">
        <v>914359</v>
      </c>
      <c r="E1926">
        <v>23</v>
      </c>
      <c r="F1926" s="3" t="s">
        <v>677</v>
      </c>
      <c r="G1926" s="4">
        <v>510000</v>
      </c>
      <c r="H1926" s="4">
        <v>0</v>
      </c>
      <c r="I1926" s="4">
        <v>-6344791.9699999997</v>
      </c>
    </row>
    <row r="1927" spans="1:9" x14ac:dyDescent="0.3">
      <c r="A1927" t="s">
        <v>133</v>
      </c>
      <c r="B1927" s="1">
        <v>45878</v>
      </c>
      <c r="C1927" s="1">
        <v>45878</v>
      </c>
      <c r="D1927">
        <v>914363</v>
      </c>
      <c r="E1927">
        <v>13</v>
      </c>
      <c r="F1927" s="3" t="s">
        <v>1725</v>
      </c>
      <c r="G1927" s="4">
        <v>49642</v>
      </c>
      <c r="H1927" s="4">
        <v>0</v>
      </c>
      <c r="I1927" s="4">
        <v>-6295149.9699999997</v>
      </c>
    </row>
    <row r="1928" spans="1:9" x14ac:dyDescent="0.3">
      <c r="A1928" t="s">
        <v>133</v>
      </c>
      <c r="B1928" s="1">
        <v>45878</v>
      </c>
      <c r="C1928" s="1">
        <v>45878</v>
      </c>
      <c r="D1928">
        <v>914367</v>
      </c>
      <c r="E1928">
        <v>48</v>
      </c>
      <c r="F1928" s="3" t="s">
        <v>211</v>
      </c>
      <c r="G1928" s="4">
        <v>300000</v>
      </c>
      <c r="H1928" s="4">
        <v>0</v>
      </c>
      <c r="I1928" s="4">
        <v>-5995149.9699999997</v>
      </c>
    </row>
    <row r="1929" spans="1:9" x14ac:dyDescent="0.3">
      <c r="A1929" t="s">
        <v>133</v>
      </c>
      <c r="B1929" s="1">
        <v>45878</v>
      </c>
      <c r="C1929" s="1">
        <v>45878</v>
      </c>
      <c r="D1929">
        <v>914368</v>
      </c>
      <c r="E1929">
        <v>56</v>
      </c>
      <c r="F1929" s="3" t="s">
        <v>1726</v>
      </c>
      <c r="G1929" s="4">
        <v>300000</v>
      </c>
      <c r="H1929" s="4">
        <v>0</v>
      </c>
      <c r="I1929" s="4">
        <v>-5695149.9699999997</v>
      </c>
    </row>
    <row r="1930" spans="1:9" x14ac:dyDescent="0.3">
      <c r="A1930" t="s">
        <v>133</v>
      </c>
      <c r="B1930" s="1">
        <v>45878</v>
      </c>
      <c r="C1930" s="1">
        <v>45878</v>
      </c>
      <c r="D1930">
        <v>914371</v>
      </c>
      <c r="E1930">
        <v>27</v>
      </c>
      <c r="F1930" s="3" t="s">
        <v>1727</v>
      </c>
      <c r="G1930" s="4">
        <v>100192.5</v>
      </c>
      <c r="H1930" s="4">
        <v>0</v>
      </c>
      <c r="I1930" s="4">
        <v>-5594957.4699999997</v>
      </c>
    </row>
    <row r="1931" spans="1:9" x14ac:dyDescent="0.3">
      <c r="A1931" t="s">
        <v>133</v>
      </c>
      <c r="B1931" s="1">
        <v>45878</v>
      </c>
      <c r="C1931" s="1">
        <v>45878</v>
      </c>
      <c r="D1931">
        <v>914372</v>
      </c>
      <c r="E1931">
        <v>75</v>
      </c>
      <c r="F1931" s="3" t="s">
        <v>1728</v>
      </c>
      <c r="G1931" s="4">
        <v>1000</v>
      </c>
      <c r="H1931" s="4">
        <v>0</v>
      </c>
      <c r="I1931" s="4">
        <v>-5593957.4699999997</v>
      </c>
    </row>
    <row r="1932" spans="1:9" x14ac:dyDescent="0.3">
      <c r="A1932" t="s">
        <v>133</v>
      </c>
      <c r="B1932" s="1">
        <v>45878</v>
      </c>
      <c r="C1932" s="1">
        <v>45878</v>
      </c>
      <c r="D1932">
        <v>914374</v>
      </c>
      <c r="E1932">
        <v>27</v>
      </c>
      <c r="F1932" s="3" t="s">
        <v>1729</v>
      </c>
      <c r="G1932" s="4">
        <v>111351.5</v>
      </c>
      <c r="H1932" s="4">
        <v>0</v>
      </c>
      <c r="I1932" s="4">
        <v>-5482605.9699999997</v>
      </c>
    </row>
    <row r="1933" spans="1:9" x14ac:dyDescent="0.3">
      <c r="A1933" t="s">
        <v>133</v>
      </c>
      <c r="B1933" s="1">
        <v>45878</v>
      </c>
      <c r="C1933" s="1">
        <v>45878</v>
      </c>
      <c r="D1933">
        <v>914380</v>
      </c>
      <c r="E1933">
        <v>27</v>
      </c>
      <c r="F1933" s="3" t="s">
        <v>1730</v>
      </c>
      <c r="G1933" s="4">
        <v>108931.25</v>
      </c>
      <c r="H1933" s="4">
        <v>0</v>
      </c>
      <c r="I1933" s="4">
        <v>-5373674.7199999997</v>
      </c>
    </row>
    <row r="1934" spans="1:9" x14ac:dyDescent="0.3">
      <c r="A1934" t="s">
        <v>133</v>
      </c>
      <c r="B1934" s="1">
        <v>45878</v>
      </c>
      <c r="C1934" s="1">
        <v>45878</v>
      </c>
      <c r="D1934">
        <v>914381</v>
      </c>
      <c r="E1934">
        <v>84</v>
      </c>
      <c r="F1934" s="3" t="s">
        <v>1731</v>
      </c>
      <c r="G1934" s="4">
        <v>26662.75</v>
      </c>
      <c r="H1934" s="4">
        <v>0</v>
      </c>
      <c r="I1934" s="4">
        <v>-5347011.97</v>
      </c>
    </row>
    <row r="1935" spans="1:9" x14ac:dyDescent="0.3">
      <c r="A1935" t="s">
        <v>133</v>
      </c>
      <c r="B1935" s="1">
        <v>45878</v>
      </c>
      <c r="C1935" s="1">
        <v>45878</v>
      </c>
      <c r="D1935">
        <v>914382</v>
      </c>
      <c r="E1935">
        <v>84</v>
      </c>
      <c r="F1935" s="3" t="s">
        <v>1732</v>
      </c>
      <c r="G1935" s="4">
        <v>86012.5</v>
      </c>
      <c r="H1935" s="4">
        <v>0</v>
      </c>
      <c r="I1935" s="4">
        <v>-5260999.47</v>
      </c>
    </row>
    <row r="1936" spans="1:9" x14ac:dyDescent="0.3">
      <c r="A1936" t="s">
        <v>133</v>
      </c>
      <c r="B1936" s="1">
        <v>45878</v>
      </c>
      <c r="C1936" s="1">
        <v>45878</v>
      </c>
      <c r="D1936">
        <v>914384</v>
      </c>
      <c r="E1936">
        <v>27</v>
      </c>
      <c r="F1936" s="3" t="s">
        <v>1733</v>
      </c>
      <c r="G1936" s="4">
        <v>79305</v>
      </c>
      <c r="H1936" s="4">
        <v>0</v>
      </c>
      <c r="I1936" s="4">
        <v>-5181694.47</v>
      </c>
    </row>
    <row r="1937" spans="1:9" x14ac:dyDescent="0.3">
      <c r="A1937" t="s">
        <v>133</v>
      </c>
      <c r="B1937" s="1">
        <v>45878</v>
      </c>
      <c r="C1937" s="1">
        <v>45878</v>
      </c>
      <c r="D1937">
        <v>914386</v>
      </c>
      <c r="E1937">
        <v>84</v>
      </c>
      <c r="F1937" s="3" t="s">
        <v>1734</v>
      </c>
      <c r="G1937" s="4">
        <v>63441.75</v>
      </c>
      <c r="H1937" s="4">
        <v>0</v>
      </c>
      <c r="I1937" s="4">
        <v>-5118252.72</v>
      </c>
    </row>
    <row r="1938" spans="1:9" x14ac:dyDescent="0.3">
      <c r="A1938" t="s">
        <v>133</v>
      </c>
      <c r="B1938" s="1">
        <v>45878</v>
      </c>
      <c r="C1938" s="1">
        <v>45878</v>
      </c>
      <c r="D1938">
        <v>914387</v>
      </c>
      <c r="E1938">
        <v>64</v>
      </c>
      <c r="F1938" s="3" t="s">
        <v>1735</v>
      </c>
      <c r="G1938" s="4">
        <v>360000</v>
      </c>
      <c r="H1938" s="4">
        <v>0</v>
      </c>
      <c r="I1938" s="4">
        <v>-4758252.72</v>
      </c>
    </row>
    <row r="1939" spans="1:9" x14ac:dyDescent="0.3">
      <c r="A1939" t="s">
        <v>133</v>
      </c>
      <c r="B1939" s="1">
        <v>45878</v>
      </c>
      <c r="C1939" s="1">
        <v>45878</v>
      </c>
      <c r="D1939">
        <v>914390</v>
      </c>
      <c r="E1939">
        <v>41</v>
      </c>
      <c r="F1939" s="3">
        <v>5620410003625</v>
      </c>
      <c r="G1939" s="4">
        <v>262.5</v>
      </c>
      <c r="H1939" s="4">
        <v>0</v>
      </c>
      <c r="I1939" s="4">
        <v>-4757990.22</v>
      </c>
    </row>
    <row r="1940" spans="1:9" x14ac:dyDescent="0.3">
      <c r="A1940" t="s">
        <v>133</v>
      </c>
      <c r="B1940" s="1">
        <v>45878</v>
      </c>
      <c r="C1940" s="1">
        <v>45878</v>
      </c>
      <c r="D1940">
        <v>914399</v>
      </c>
      <c r="E1940">
        <v>62</v>
      </c>
      <c r="F1940" s="3" t="s">
        <v>1736</v>
      </c>
      <c r="G1940" s="4">
        <v>440000</v>
      </c>
      <c r="H1940" s="4">
        <v>0</v>
      </c>
      <c r="I1940" s="4">
        <v>-4317990.22</v>
      </c>
    </row>
    <row r="1941" spans="1:9" x14ac:dyDescent="0.3">
      <c r="A1941" t="s">
        <v>133</v>
      </c>
      <c r="B1941" s="1">
        <v>45878</v>
      </c>
      <c r="C1941" s="1">
        <v>45878</v>
      </c>
      <c r="D1941">
        <v>914402</v>
      </c>
      <c r="E1941">
        <v>97</v>
      </c>
      <c r="F1941" s="3" t="s">
        <v>1737</v>
      </c>
      <c r="G1941" s="4">
        <v>178500</v>
      </c>
      <c r="H1941" s="4">
        <v>0</v>
      </c>
      <c r="I1941" s="4">
        <v>-4139490.22</v>
      </c>
    </row>
    <row r="1942" spans="1:9" x14ac:dyDescent="0.3">
      <c r="A1942" t="s">
        <v>133</v>
      </c>
      <c r="B1942" s="1">
        <v>45878</v>
      </c>
      <c r="C1942" s="1">
        <v>45878</v>
      </c>
      <c r="D1942">
        <v>914404</v>
      </c>
      <c r="E1942">
        <v>38</v>
      </c>
      <c r="F1942" s="3">
        <v>187</v>
      </c>
      <c r="G1942" s="4">
        <v>385677.5</v>
      </c>
      <c r="H1942" s="4">
        <v>0</v>
      </c>
      <c r="I1942" s="4">
        <v>-3753812.72</v>
      </c>
    </row>
    <row r="1943" spans="1:9" x14ac:dyDescent="0.3">
      <c r="A1943" t="s">
        <v>133</v>
      </c>
      <c r="B1943" s="1">
        <v>45878</v>
      </c>
      <c r="C1943" s="1">
        <v>45878</v>
      </c>
      <c r="D1943">
        <v>914410</v>
      </c>
      <c r="E1943">
        <v>351</v>
      </c>
      <c r="F1943" s="3" t="s">
        <v>1738</v>
      </c>
      <c r="G1943" s="4">
        <v>8713.75</v>
      </c>
      <c r="H1943" s="4">
        <v>0</v>
      </c>
      <c r="I1943" s="4">
        <v>-3745098.97</v>
      </c>
    </row>
    <row r="1944" spans="1:9" x14ac:dyDescent="0.3">
      <c r="A1944" t="s">
        <v>133</v>
      </c>
      <c r="B1944" s="1">
        <v>45878</v>
      </c>
      <c r="C1944" s="1">
        <v>45878</v>
      </c>
      <c r="D1944">
        <v>914411</v>
      </c>
      <c r="E1944">
        <v>351</v>
      </c>
      <c r="F1944" s="3" t="s">
        <v>1739</v>
      </c>
      <c r="G1944" s="4">
        <v>40320.25</v>
      </c>
      <c r="H1944" s="4">
        <v>0</v>
      </c>
      <c r="I1944" s="4">
        <v>-3704778.72</v>
      </c>
    </row>
    <row r="1945" spans="1:9" x14ac:dyDescent="0.3">
      <c r="A1945" t="s">
        <v>75</v>
      </c>
      <c r="B1945" s="1">
        <v>45879</v>
      </c>
      <c r="C1945" s="1">
        <v>45879</v>
      </c>
      <c r="D1945">
        <v>143241</v>
      </c>
      <c r="E1945">
        <v>67</v>
      </c>
      <c r="F1945" s="3" t="s">
        <v>1740</v>
      </c>
      <c r="G1945" s="4">
        <v>6260</v>
      </c>
      <c r="H1945" s="4">
        <v>0</v>
      </c>
      <c r="I1945" s="4">
        <v>-3698518.72</v>
      </c>
    </row>
    <row r="1946" spans="1:9" x14ac:dyDescent="0.3">
      <c r="A1946" t="s">
        <v>75</v>
      </c>
      <c r="B1946" s="1">
        <v>45879</v>
      </c>
      <c r="C1946" s="1">
        <v>45879</v>
      </c>
      <c r="D1946">
        <v>143244</v>
      </c>
      <c r="E1946">
        <v>19</v>
      </c>
      <c r="F1946" s="3" t="s">
        <v>1741</v>
      </c>
      <c r="G1946" s="4">
        <v>2200</v>
      </c>
      <c r="H1946" s="4">
        <v>0</v>
      </c>
      <c r="I1946" s="4">
        <v>-3696318.72</v>
      </c>
    </row>
    <row r="1947" spans="1:9" x14ac:dyDescent="0.3">
      <c r="A1947" t="s">
        <v>75</v>
      </c>
      <c r="B1947" s="1">
        <v>45879</v>
      </c>
      <c r="C1947" s="1">
        <v>45879</v>
      </c>
      <c r="D1947">
        <v>143245</v>
      </c>
      <c r="E1947">
        <v>63</v>
      </c>
      <c r="F1947" s="3" t="s">
        <v>1742</v>
      </c>
      <c r="G1947" s="4">
        <v>150</v>
      </c>
      <c r="H1947" s="4">
        <v>0</v>
      </c>
      <c r="I1947" s="4">
        <v>-3696168.72</v>
      </c>
    </row>
    <row r="1948" spans="1:9" x14ac:dyDescent="0.3">
      <c r="A1948" t="s">
        <v>75</v>
      </c>
      <c r="B1948" s="1">
        <v>45879</v>
      </c>
      <c r="C1948" s="1">
        <v>45879</v>
      </c>
      <c r="D1948">
        <v>143246</v>
      </c>
      <c r="E1948">
        <v>62</v>
      </c>
      <c r="F1948" s="3" t="s">
        <v>1743</v>
      </c>
      <c r="G1948" s="4">
        <v>8434</v>
      </c>
      <c r="H1948" s="4">
        <v>0</v>
      </c>
      <c r="I1948" s="4">
        <v>-3687734.72</v>
      </c>
    </row>
    <row r="1949" spans="1:9" x14ac:dyDescent="0.3">
      <c r="A1949" t="s">
        <v>75</v>
      </c>
      <c r="B1949" s="1">
        <v>45879</v>
      </c>
      <c r="C1949" s="1">
        <v>45879</v>
      </c>
      <c r="D1949">
        <v>143248</v>
      </c>
      <c r="E1949">
        <v>77</v>
      </c>
      <c r="F1949" s="3" t="s">
        <v>1744</v>
      </c>
      <c r="G1949" s="4">
        <v>2345.5</v>
      </c>
      <c r="H1949" s="4">
        <v>0</v>
      </c>
      <c r="I1949" s="4">
        <v>-3685389.22</v>
      </c>
    </row>
    <row r="1950" spans="1:9" x14ac:dyDescent="0.3">
      <c r="A1950" t="s">
        <v>75</v>
      </c>
      <c r="B1950" s="1">
        <v>45876</v>
      </c>
      <c r="C1950" s="1">
        <v>45879</v>
      </c>
      <c r="D1950">
        <v>143249</v>
      </c>
      <c r="E1950">
        <v>77</v>
      </c>
      <c r="F1950" s="3" t="s">
        <v>1745</v>
      </c>
      <c r="G1950" s="4">
        <v>740</v>
      </c>
      <c r="H1950" s="4">
        <v>0</v>
      </c>
      <c r="I1950" s="4">
        <v>-3684649.22</v>
      </c>
    </row>
    <row r="1951" spans="1:9" x14ac:dyDescent="0.3">
      <c r="A1951" t="s">
        <v>75</v>
      </c>
      <c r="B1951" s="1">
        <v>45879</v>
      </c>
      <c r="C1951" s="1">
        <v>45879</v>
      </c>
      <c r="D1951">
        <v>143252</v>
      </c>
      <c r="E1951">
        <v>14</v>
      </c>
      <c r="F1951" s="3" t="s">
        <v>1746</v>
      </c>
      <c r="G1951" s="4">
        <v>18200</v>
      </c>
      <c r="H1951" s="4">
        <v>0</v>
      </c>
      <c r="I1951" s="4">
        <v>-3666449.22</v>
      </c>
    </row>
    <row r="1952" spans="1:9" x14ac:dyDescent="0.3">
      <c r="A1952" t="s">
        <v>75</v>
      </c>
      <c r="B1952" s="1">
        <v>45879</v>
      </c>
      <c r="C1952" s="1">
        <v>45879</v>
      </c>
      <c r="D1952">
        <v>143253</v>
      </c>
      <c r="E1952">
        <v>14</v>
      </c>
      <c r="F1952" s="3" t="s">
        <v>1747</v>
      </c>
      <c r="G1952" s="4">
        <v>51000</v>
      </c>
      <c r="H1952" s="4">
        <v>0</v>
      </c>
      <c r="I1952" s="4">
        <v>-3615449.22</v>
      </c>
    </row>
    <row r="1953" spans="1:9" x14ac:dyDescent="0.3">
      <c r="A1953" t="s">
        <v>75</v>
      </c>
      <c r="B1953" s="1">
        <v>45879</v>
      </c>
      <c r="C1953" s="1">
        <v>45879</v>
      </c>
      <c r="D1953">
        <v>143256</v>
      </c>
      <c r="E1953">
        <v>14</v>
      </c>
      <c r="F1953" s="3" t="s">
        <v>1748</v>
      </c>
      <c r="G1953" s="4">
        <v>42100</v>
      </c>
      <c r="H1953" s="4">
        <v>0</v>
      </c>
      <c r="I1953" s="4">
        <v>-3573349.22</v>
      </c>
    </row>
    <row r="1954" spans="1:9" x14ac:dyDescent="0.3">
      <c r="A1954" t="s">
        <v>75</v>
      </c>
      <c r="B1954" s="1">
        <v>45879</v>
      </c>
      <c r="C1954" s="1">
        <v>45879</v>
      </c>
      <c r="D1954">
        <v>143257</v>
      </c>
      <c r="E1954">
        <v>14</v>
      </c>
      <c r="F1954" s="3" t="s">
        <v>1749</v>
      </c>
      <c r="G1954" s="4">
        <v>90000</v>
      </c>
      <c r="H1954" s="4">
        <v>0</v>
      </c>
      <c r="I1954" s="4">
        <v>-3483349.22</v>
      </c>
    </row>
    <row r="1955" spans="1:9" x14ac:dyDescent="0.3">
      <c r="A1955" t="s">
        <v>75</v>
      </c>
      <c r="B1955" s="1">
        <v>45879</v>
      </c>
      <c r="C1955" s="1">
        <v>45879</v>
      </c>
      <c r="D1955">
        <v>143258</v>
      </c>
      <c r="E1955">
        <v>14</v>
      </c>
      <c r="F1955" s="3" t="s">
        <v>1750</v>
      </c>
      <c r="G1955" s="4">
        <v>40579</v>
      </c>
      <c r="H1955" s="4">
        <v>0</v>
      </c>
      <c r="I1955" s="4">
        <v>-3442770.22</v>
      </c>
    </row>
    <row r="1956" spans="1:9" x14ac:dyDescent="0.3">
      <c r="A1956" t="s">
        <v>75</v>
      </c>
      <c r="B1956" s="1">
        <v>45879</v>
      </c>
      <c r="C1956" s="1">
        <v>45879</v>
      </c>
      <c r="D1956">
        <v>143259</v>
      </c>
      <c r="E1956">
        <v>67</v>
      </c>
      <c r="F1956" s="3" t="s">
        <v>1751</v>
      </c>
      <c r="G1956" s="4">
        <v>30000</v>
      </c>
      <c r="H1956" s="4">
        <v>0</v>
      </c>
      <c r="I1956" s="4">
        <v>-3412770.22</v>
      </c>
    </row>
    <row r="1957" spans="1:9" x14ac:dyDescent="0.3">
      <c r="A1957" t="s">
        <v>75</v>
      </c>
      <c r="B1957" s="1">
        <v>45879</v>
      </c>
      <c r="C1957" s="1">
        <v>45879</v>
      </c>
      <c r="D1957">
        <v>143260</v>
      </c>
      <c r="E1957">
        <v>89</v>
      </c>
      <c r="F1957" s="3" t="s">
        <v>1752</v>
      </c>
      <c r="G1957" s="4">
        <v>1200</v>
      </c>
      <c r="H1957" s="4">
        <v>0</v>
      </c>
      <c r="I1957" s="4">
        <v>-3411570.22</v>
      </c>
    </row>
    <row r="1958" spans="1:9" x14ac:dyDescent="0.3">
      <c r="A1958" t="s">
        <v>133</v>
      </c>
      <c r="B1958" s="1">
        <v>45879</v>
      </c>
      <c r="C1958" s="1">
        <v>45879</v>
      </c>
      <c r="D1958">
        <v>914429</v>
      </c>
      <c r="E1958">
        <v>84</v>
      </c>
      <c r="F1958" s="3" t="s">
        <v>1753</v>
      </c>
      <c r="G1958" s="4">
        <v>9230.5</v>
      </c>
      <c r="H1958" s="4">
        <v>0</v>
      </c>
      <c r="I1958" s="4">
        <v>-3402339.72</v>
      </c>
    </row>
    <row r="1959" spans="1:9" x14ac:dyDescent="0.3">
      <c r="A1959" t="s">
        <v>133</v>
      </c>
      <c r="B1959" s="1">
        <v>45879</v>
      </c>
      <c r="C1959" s="1">
        <v>45879</v>
      </c>
      <c r="D1959">
        <v>914430</v>
      </c>
      <c r="E1959">
        <v>84</v>
      </c>
      <c r="F1959" s="3" t="s">
        <v>1754</v>
      </c>
      <c r="G1959" s="4">
        <v>19640.25</v>
      </c>
      <c r="H1959" s="4">
        <v>0</v>
      </c>
      <c r="I1959" s="4">
        <v>-3382699.47</v>
      </c>
    </row>
    <row r="1960" spans="1:9" x14ac:dyDescent="0.3">
      <c r="A1960" t="s">
        <v>133</v>
      </c>
      <c r="B1960" s="1">
        <v>45879</v>
      </c>
      <c r="C1960" s="1">
        <v>45879</v>
      </c>
      <c r="D1960">
        <v>914438</v>
      </c>
      <c r="E1960">
        <v>46</v>
      </c>
      <c r="F1960" s="3" t="s">
        <v>1755</v>
      </c>
      <c r="G1960" s="4">
        <v>4331.25</v>
      </c>
      <c r="H1960" s="4">
        <v>0</v>
      </c>
      <c r="I1960" s="4">
        <v>-3378368.22</v>
      </c>
    </row>
    <row r="1961" spans="1:9" x14ac:dyDescent="0.3">
      <c r="A1961" t="s">
        <v>133</v>
      </c>
      <c r="B1961" s="1">
        <v>45879</v>
      </c>
      <c r="C1961" s="1">
        <v>45879</v>
      </c>
      <c r="D1961">
        <v>914450</v>
      </c>
      <c r="E1961">
        <v>46</v>
      </c>
      <c r="F1961" s="3" t="s">
        <v>1756</v>
      </c>
      <c r="G1961" s="4">
        <v>991958</v>
      </c>
      <c r="H1961" s="4">
        <v>0</v>
      </c>
      <c r="I1961" s="4">
        <v>-2386410.2200000002</v>
      </c>
    </row>
    <row r="1962" spans="1:9" x14ac:dyDescent="0.3">
      <c r="A1962" t="s">
        <v>133</v>
      </c>
      <c r="B1962" s="1">
        <v>45879</v>
      </c>
      <c r="C1962" s="1">
        <v>45879</v>
      </c>
      <c r="D1962">
        <v>914452</v>
      </c>
      <c r="E1962">
        <v>46</v>
      </c>
      <c r="F1962" s="3" t="s">
        <v>1757</v>
      </c>
      <c r="G1962" s="4">
        <v>84167</v>
      </c>
      <c r="H1962" s="4">
        <v>0</v>
      </c>
      <c r="I1962" s="4">
        <v>-2302243.2200000002</v>
      </c>
    </row>
    <row r="1963" spans="1:9" x14ac:dyDescent="0.3">
      <c r="A1963" t="s">
        <v>133</v>
      </c>
      <c r="B1963" s="1">
        <v>45879</v>
      </c>
      <c r="C1963" s="1">
        <v>45879</v>
      </c>
      <c r="D1963">
        <v>914453</v>
      </c>
      <c r="E1963">
        <v>46</v>
      </c>
      <c r="F1963" s="3" t="s">
        <v>1758</v>
      </c>
      <c r="G1963" s="4">
        <v>174766.25</v>
      </c>
      <c r="H1963" s="4">
        <v>0</v>
      </c>
      <c r="I1963" s="4">
        <v>-2127476.9700000002</v>
      </c>
    </row>
    <row r="1964" spans="1:9" x14ac:dyDescent="0.3">
      <c r="A1964" t="s">
        <v>133</v>
      </c>
      <c r="B1964" s="1">
        <v>45879</v>
      </c>
      <c r="C1964" s="1">
        <v>45879</v>
      </c>
      <c r="D1964">
        <v>914478</v>
      </c>
      <c r="E1964">
        <v>46</v>
      </c>
      <c r="F1964" s="3" t="s">
        <v>1759</v>
      </c>
      <c r="G1964" s="4">
        <v>14617.25</v>
      </c>
      <c r="H1964" s="4">
        <v>0</v>
      </c>
      <c r="I1964" s="4">
        <v>-2112859.7200000002</v>
      </c>
    </row>
    <row r="1965" spans="1:9" x14ac:dyDescent="0.3">
      <c r="A1965" t="s">
        <v>133</v>
      </c>
      <c r="B1965" s="1">
        <v>45879</v>
      </c>
      <c r="C1965" s="1">
        <v>45879</v>
      </c>
      <c r="D1965">
        <v>914479</v>
      </c>
      <c r="E1965">
        <v>46</v>
      </c>
      <c r="F1965" s="3" t="s">
        <v>1760</v>
      </c>
      <c r="G1965" s="4">
        <v>17328.25</v>
      </c>
      <c r="H1965" s="4">
        <v>0</v>
      </c>
      <c r="I1965" s="4">
        <v>-2095531.47</v>
      </c>
    </row>
    <row r="1966" spans="1:9" x14ac:dyDescent="0.3">
      <c r="A1966" t="s">
        <v>133</v>
      </c>
      <c r="B1966" s="1">
        <v>45879</v>
      </c>
      <c r="C1966" s="1">
        <v>45879</v>
      </c>
      <c r="D1966">
        <v>914487</v>
      </c>
      <c r="E1966">
        <v>46</v>
      </c>
      <c r="F1966" s="3">
        <v>763</v>
      </c>
      <c r="G1966" s="4">
        <v>7408.5</v>
      </c>
      <c r="H1966" s="4">
        <v>0</v>
      </c>
      <c r="I1966" s="4">
        <v>-2088122.97</v>
      </c>
    </row>
    <row r="1967" spans="1:9" x14ac:dyDescent="0.3">
      <c r="A1967" t="s">
        <v>133</v>
      </c>
      <c r="B1967" s="1">
        <v>45879</v>
      </c>
      <c r="C1967" s="1">
        <v>45879</v>
      </c>
      <c r="D1967">
        <v>914491</v>
      </c>
      <c r="E1967">
        <v>46</v>
      </c>
      <c r="F1967" s="3" t="s">
        <v>1761</v>
      </c>
      <c r="G1967" s="4">
        <v>7667.25</v>
      </c>
      <c r="H1967" s="4">
        <v>0</v>
      </c>
      <c r="I1967" s="4">
        <v>-2080455.72</v>
      </c>
    </row>
    <row r="1968" spans="1:9" x14ac:dyDescent="0.3">
      <c r="A1968" t="s">
        <v>133</v>
      </c>
      <c r="B1968" s="1">
        <v>45879</v>
      </c>
      <c r="C1968" s="1">
        <v>45879</v>
      </c>
      <c r="D1968">
        <v>914494</v>
      </c>
      <c r="E1968">
        <v>46</v>
      </c>
      <c r="F1968" s="3" t="s">
        <v>1762</v>
      </c>
      <c r="G1968" s="4">
        <v>2724</v>
      </c>
      <c r="H1968" s="4">
        <v>0</v>
      </c>
      <c r="I1968" s="4">
        <v>-2077731.72</v>
      </c>
    </row>
    <row r="1969" spans="1:9" x14ac:dyDescent="0.3">
      <c r="A1969" t="s">
        <v>133</v>
      </c>
      <c r="B1969" s="1">
        <v>45879</v>
      </c>
      <c r="C1969" s="1">
        <v>45879</v>
      </c>
      <c r="D1969">
        <v>914499</v>
      </c>
      <c r="E1969">
        <v>46</v>
      </c>
      <c r="F1969" s="3" t="s">
        <v>1763</v>
      </c>
      <c r="G1969" s="4">
        <v>314938.75</v>
      </c>
      <c r="H1969" s="4">
        <v>0</v>
      </c>
      <c r="I1969" s="4">
        <v>-1762792.97</v>
      </c>
    </row>
    <row r="1970" spans="1:9" x14ac:dyDescent="0.3">
      <c r="A1970" t="s">
        <v>133</v>
      </c>
      <c r="B1970" s="1">
        <v>45879</v>
      </c>
      <c r="C1970" s="1">
        <v>45879</v>
      </c>
      <c r="D1970">
        <v>914501</v>
      </c>
      <c r="E1970">
        <v>46</v>
      </c>
      <c r="F1970" s="3" t="s">
        <v>1764</v>
      </c>
      <c r="G1970" s="4">
        <v>4653</v>
      </c>
      <c r="H1970" s="4">
        <v>0</v>
      </c>
      <c r="I1970" s="4">
        <v>-1758139.97</v>
      </c>
    </row>
    <row r="1971" spans="1:9" x14ac:dyDescent="0.3">
      <c r="A1971" t="s">
        <v>133</v>
      </c>
      <c r="B1971" s="1">
        <v>45879</v>
      </c>
      <c r="C1971" s="1">
        <v>45879</v>
      </c>
      <c r="D1971">
        <v>914512</v>
      </c>
      <c r="E1971">
        <v>94</v>
      </c>
      <c r="F1971" s="3" t="s">
        <v>1765</v>
      </c>
      <c r="G1971" s="4">
        <v>74628</v>
      </c>
      <c r="H1971" s="4">
        <v>0</v>
      </c>
      <c r="I1971" s="4">
        <v>-1683511.97</v>
      </c>
    </row>
    <row r="1972" spans="1:9" x14ac:dyDescent="0.3">
      <c r="A1972" t="s">
        <v>133</v>
      </c>
      <c r="B1972" s="1">
        <v>45879</v>
      </c>
      <c r="C1972" s="1">
        <v>45879</v>
      </c>
      <c r="D1972">
        <v>914518</v>
      </c>
      <c r="E1972">
        <v>46</v>
      </c>
      <c r="F1972" s="3" t="s">
        <v>1766</v>
      </c>
      <c r="G1972" s="4">
        <v>196428.25</v>
      </c>
      <c r="H1972" s="4">
        <v>0</v>
      </c>
      <c r="I1972" s="4">
        <v>-1487083.72</v>
      </c>
    </row>
    <row r="1973" spans="1:9" x14ac:dyDescent="0.3">
      <c r="A1973" t="s">
        <v>133</v>
      </c>
      <c r="B1973" s="1">
        <v>45879</v>
      </c>
      <c r="C1973" s="1">
        <v>45879</v>
      </c>
      <c r="D1973">
        <v>914521</v>
      </c>
      <c r="E1973">
        <v>46</v>
      </c>
      <c r="F1973" s="3" t="s">
        <v>1767</v>
      </c>
      <c r="G1973" s="4">
        <v>252</v>
      </c>
      <c r="H1973" s="4">
        <v>0</v>
      </c>
      <c r="I1973" s="4">
        <v>-1486831.72</v>
      </c>
    </row>
    <row r="1974" spans="1:9" x14ac:dyDescent="0.3">
      <c r="A1974" t="s">
        <v>133</v>
      </c>
      <c r="B1974" s="1">
        <v>45879</v>
      </c>
      <c r="C1974" s="1">
        <v>45879</v>
      </c>
      <c r="D1974">
        <v>914522</v>
      </c>
      <c r="E1974">
        <v>91</v>
      </c>
      <c r="F1974" s="3">
        <v>35</v>
      </c>
      <c r="G1974" s="4">
        <v>565553.5</v>
      </c>
      <c r="H1974" s="4">
        <v>0</v>
      </c>
      <c r="I1974" s="4">
        <v>-921278.22</v>
      </c>
    </row>
    <row r="1975" spans="1:9" x14ac:dyDescent="0.3">
      <c r="A1975" t="s">
        <v>133</v>
      </c>
      <c r="B1975" s="1">
        <v>45879</v>
      </c>
      <c r="C1975" s="1">
        <v>45879</v>
      </c>
      <c r="D1975">
        <v>914560</v>
      </c>
      <c r="E1975">
        <v>59</v>
      </c>
      <c r="F1975" s="3" t="s">
        <v>1768</v>
      </c>
      <c r="G1975" s="4">
        <v>1969.5</v>
      </c>
      <c r="H1975" s="4">
        <v>0</v>
      </c>
      <c r="I1975" s="4">
        <v>-919308.72</v>
      </c>
    </row>
    <row r="1976" spans="1:9" x14ac:dyDescent="0.3">
      <c r="A1976" t="s">
        <v>133</v>
      </c>
      <c r="B1976" s="1">
        <v>45879</v>
      </c>
      <c r="C1976" s="1">
        <v>45879</v>
      </c>
      <c r="D1976">
        <v>914594</v>
      </c>
      <c r="E1976">
        <v>88</v>
      </c>
      <c r="F1976" s="3">
        <v>522273015</v>
      </c>
      <c r="G1976" s="4">
        <v>2968.75</v>
      </c>
      <c r="H1976" s="4">
        <v>0</v>
      </c>
      <c r="I1976" s="4">
        <v>-916339.97</v>
      </c>
    </row>
    <row r="1977" spans="1:9" x14ac:dyDescent="0.3">
      <c r="A1977" t="s">
        <v>133</v>
      </c>
      <c r="B1977" s="1">
        <v>45879</v>
      </c>
      <c r="C1977" s="1">
        <v>45879</v>
      </c>
      <c r="D1977">
        <v>914669</v>
      </c>
      <c r="E1977">
        <v>61</v>
      </c>
      <c r="F1977" s="3" t="s">
        <v>1769</v>
      </c>
      <c r="G1977" s="4">
        <v>520</v>
      </c>
      <c r="H1977" s="4">
        <v>0</v>
      </c>
      <c r="I1977" s="4">
        <v>-915819.97</v>
      </c>
    </row>
    <row r="1978" spans="1:9" x14ac:dyDescent="0.3">
      <c r="A1978" t="s">
        <v>133</v>
      </c>
      <c r="B1978" s="1">
        <v>45879</v>
      </c>
      <c r="C1978" s="1">
        <v>45879</v>
      </c>
      <c r="D1978">
        <v>914693</v>
      </c>
      <c r="E1978">
        <v>72</v>
      </c>
      <c r="F1978" s="3">
        <v>50902165452</v>
      </c>
      <c r="G1978" s="4">
        <v>1798.5</v>
      </c>
      <c r="H1978" s="4">
        <v>0</v>
      </c>
      <c r="I1978" s="4">
        <v>-914021.47</v>
      </c>
    </row>
    <row r="1979" spans="1:9" x14ac:dyDescent="0.3">
      <c r="A1979" t="s">
        <v>133</v>
      </c>
      <c r="B1979" s="1">
        <v>45879</v>
      </c>
      <c r="C1979" s="1">
        <v>45879</v>
      </c>
      <c r="D1979">
        <v>914701</v>
      </c>
      <c r="E1979">
        <v>15</v>
      </c>
      <c r="F1979" s="3" t="s">
        <v>1770</v>
      </c>
      <c r="G1979" s="4">
        <v>114768</v>
      </c>
      <c r="H1979" s="4">
        <v>0</v>
      </c>
      <c r="I1979" s="4">
        <v>-799253.47</v>
      </c>
    </row>
    <row r="1980" spans="1:9" x14ac:dyDescent="0.3">
      <c r="A1980" t="s">
        <v>133</v>
      </c>
      <c r="B1980" s="1">
        <v>45879</v>
      </c>
      <c r="C1980" s="1">
        <v>45879</v>
      </c>
      <c r="D1980">
        <v>914729</v>
      </c>
      <c r="E1980">
        <v>49</v>
      </c>
      <c r="F1980" s="3">
        <v>50804492291</v>
      </c>
      <c r="G1980" s="4">
        <v>48120</v>
      </c>
      <c r="H1980" s="4">
        <v>0</v>
      </c>
      <c r="I1980" s="4">
        <v>-751133.47</v>
      </c>
    </row>
    <row r="1981" spans="1:9" x14ac:dyDescent="0.3">
      <c r="A1981" t="s">
        <v>133</v>
      </c>
      <c r="B1981" s="1">
        <v>45879</v>
      </c>
      <c r="C1981" s="1">
        <v>45879</v>
      </c>
      <c r="D1981">
        <v>914739</v>
      </c>
      <c r="E1981">
        <v>220</v>
      </c>
      <c r="F1981" s="3" t="s">
        <v>1771</v>
      </c>
      <c r="G1981" s="4">
        <v>56141</v>
      </c>
      <c r="H1981" s="4">
        <v>0</v>
      </c>
      <c r="I1981" s="4">
        <v>-694992.47</v>
      </c>
    </row>
    <row r="1982" spans="1:9" x14ac:dyDescent="0.3">
      <c r="A1982" t="s">
        <v>1</v>
      </c>
      <c r="B1982" s="1">
        <v>45877</v>
      </c>
      <c r="C1982" s="1">
        <v>45880</v>
      </c>
      <c r="D1982">
        <v>102245</v>
      </c>
      <c r="E1982">
        <v>100</v>
      </c>
      <c r="F1982" s="3" t="s">
        <v>1772</v>
      </c>
      <c r="G1982" s="4">
        <v>36552</v>
      </c>
      <c r="I1982" s="4">
        <v>-658440.47</v>
      </c>
    </row>
    <row r="1983" spans="1:9" x14ac:dyDescent="0.3">
      <c r="A1983" t="s">
        <v>1</v>
      </c>
      <c r="B1983" s="1">
        <v>45877</v>
      </c>
      <c r="C1983" s="1">
        <v>45880</v>
      </c>
      <c r="D1983">
        <v>102246</v>
      </c>
      <c r="E1983">
        <v>100</v>
      </c>
      <c r="F1983" s="3" t="s">
        <v>1773</v>
      </c>
      <c r="G1983" s="4">
        <v>13070</v>
      </c>
      <c r="I1983" s="4">
        <v>-645370.47</v>
      </c>
    </row>
    <row r="1984" spans="1:9" x14ac:dyDescent="0.3">
      <c r="A1984" t="s">
        <v>1</v>
      </c>
      <c r="B1984" s="1">
        <v>45877</v>
      </c>
      <c r="C1984" s="1">
        <v>45880</v>
      </c>
      <c r="D1984">
        <v>102286</v>
      </c>
      <c r="E1984">
        <v>100</v>
      </c>
      <c r="F1984" s="3" t="s">
        <v>1774</v>
      </c>
      <c r="G1984" s="4">
        <v>3026.25</v>
      </c>
      <c r="I1984" s="4">
        <v>-642344.22</v>
      </c>
    </row>
    <row r="1985" spans="1:9" x14ac:dyDescent="0.3">
      <c r="A1985" t="s">
        <v>1</v>
      </c>
      <c r="B1985" s="1">
        <v>45877</v>
      </c>
      <c r="C1985" s="1">
        <v>45880</v>
      </c>
      <c r="D1985">
        <v>102297</v>
      </c>
      <c r="E1985">
        <v>100</v>
      </c>
      <c r="F1985" s="3" t="s">
        <v>1775</v>
      </c>
      <c r="G1985" s="4">
        <v>3226.25</v>
      </c>
      <c r="I1985" s="4">
        <v>-639117.97</v>
      </c>
    </row>
    <row r="1986" spans="1:9" x14ac:dyDescent="0.3">
      <c r="A1986" t="s">
        <v>1</v>
      </c>
      <c r="B1986" s="1">
        <v>45876</v>
      </c>
      <c r="C1986" s="1">
        <v>45880</v>
      </c>
      <c r="D1986">
        <v>102298</v>
      </c>
      <c r="E1986">
        <v>100</v>
      </c>
      <c r="F1986" s="3" t="s">
        <v>1775</v>
      </c>
      <c r="G1986" s="4">
        <v>4037.52</v>
      </c>
      <c r="I1986" s="4">
        <v>-635080.44999999995</v>
      </c>
    </row>
    <row r="1987" spans="1:9" x14ac:dyDescent="0.3">
      <c r="A1987" t="s">
        <v>1</v>
      </c>
      <c r="B1987" s="1">
        <v>45877</v>
      </c>
      <c r="C1987" s="1">
        <v>45880</v>
      </c>
      <c r="D1987">
        <v>102303</v>
      </c>
      <c r="E1987">
        <v>100</v>
      </c>
      <c r="F1987" s="3" t="s">
        <v>1776</v>
      </c>
      <c r="G1987" s="4">
        <v>1175</v>
      </c>
      <c r="I1987" s="4">
        <v>-633905.44999999995</v>
      </c>
    </row>
    <row r="1988" spans="1:9" x14ac:dyDescent="0.3">
      <c r="A1988" t="s">
        <v>1</v>
      </c>
      <c r="B1988" s="1">
        <v>45877</v>
      </c>
      <c r="C1988" s="1">
        <v>45880</v>
      </c>
      <c r="D1988">
        <v>102305</v>
      </c>
      <c r="E1988">
        <v>100</v>
      </c>
      <c r="F1988" s="3" t="s">
        <v>1777</v>
      </c>
      <c r="G1988" s="4">
        <v>341991</v>
      </c>
      <c r="I1988" s="4">
        <v>-291914.45</v>
      </c>
    </row>
    <row r="1989" spans="1:9" x14ac:dyDescent="0.3">
      <c r="A1989" t="s">
        <v>1</v>
      </c>
      <c r="B1989" s="1">
        <v>45871</v>
      </c>
      <c r="C1989" s="1">
        <v>45880</v>
      </c>
      <c r="D1989">
        <v>102317</v>
      </c>
      <c r="E1989">
        <v>100</v>
      </c>
      <c r="F1989" s="3" t="s">
        <v>1778</v>
      </c>
      <c r="G1989" s="4">
        <v>83698</v>
      </c>
      <c r="I1989" s="4">
        <v>-208216.45</v>
      </c>
    </row>
    <row r="1990" spans="1:9" x14ac:dyDescent="0.3">
      <c r="A1990" t="s">
        <v>1</v>
      </c>
      <c r="B1990" s="1">
        <v>45877</v>
      </c>
      <c r="C1990" s="1">
        <v>45880</v>
      </c>
      <c r="D1990">
        <v>102323</v>
      </c>
      <c r="E1990">
        <v>100</v>
      </c>
      <c r="F1990" s="3" t="s">
        <v>1779</v>
      </c>
      <c r="G1990" s="4">
        <v>33694.1</v>
      </c>
      <c r="I1990" s="4">
        <v>-174522.35</v>
      </c>
    </row>
    <row r="1991" spans="1:9" x14ac:dyDescent="0.3">
      <c r="A1991" t="s">
        <v>1</v>
      </c>
      <c r="B1991" s="1">
        <v>45877</v>
      </c>
      <c r="C1991" s="1">
        <v>45880</v>
      </c>
      <c r="D1991">
        <v>102334</v>
      </c>
      <c r="E1991">
        <v>100</v>
      </c>
      <c r="F1991" s="3" t="s">
        <v>1780</v>
      </c>
      <c r="G1991" s="4">
        <v>383768.77</v>
      </c>
      <c r="I1991" s="4">
        <v>209246.42</v>
      </c>
    </row>
    <row r="1992" spans="1:9" x14ac:dyDescent="0.3">
      <c r="A1992" t="s">
        <v>1</v>
      </c>
      <c r="B1992" s="1">
        <v>45877</v>
      </c>
      <c r="C1992" s="1">
        <v>45880</v>
      </c>
      <c r="D1992">
        <v>102339</v>
      </c>
      <c r="E1992">
        <v>100</v>
      </c>
      <c r="F1992" s="3" t="s">
        <v>1781</v>
      </c>
      <c r="G1992" s="4">
        <v>2006.3</v>
      </c>
      <c r="I1992" s="4">
        <v>211252.72</v>
      </c>
    </row>
    <row r="1993" spans="1:9" x14ac:dyDescent="0.3">
      <c r="A1993" t="s">
        <v>1</v>
      </c>
      <c r="B1993" s="1">
        <v>45877</v>
      </c>
      <c r="C1993" s="1">
        <v>45880</v>
      </c>
      <c r="D1993">
        <v>102346</v>
      </c>
      <c r="E1993">
        <v>100</v>
      </c>
      <c r="F1993" s="3" t="s">
        <v>1782</v>
      </c>
      <c r="G1993" s="4">
        <v>42000</v>
      </c>
      <c r="I1993" s="4">
        <v>253252.72</v>
      </c>
    </row>
    <row r="1994" spans="1:9" x14ac:dyDescent="0.3">
      <c r="A1994" t="s">
        <v>1</v>
      </c>
      <c r="B1994" s="1">
        <v>45877</v>
      </c>
      <c r="C1994" s="1">
        <v>45880</v>
      </c>
      <c r="D1994">
        <v>102347</v>
      </c>
      <c r="E1994">
        <v>100</v>
      </c>
      <c r="F1994" s="3" t="s">
        <v>1783</v>
      </c>
      <c r="G1994" s="4">
        <v>2207.25</v>
      </c>
      <c r="I1994" s="4">
        <v>255459.97</v>
      </c>
    </row>
    <row r="1995" spans="1:9" x14ac:dyDescent="0.3">
      <c r="A1995" t="s">
        <v>1</v>
      </c>
      <c r="B1995" s="1">
        <v>45877</v>
      </c>
      <c r="C1995" s="1">
        <v>45880</v>
      </c>
      <c r="D1995">
        <v>102348</v>
      </c>
      <c r="E1995">
        <v>100</v>
      </c>
      <c r="F1995" s="3" t="s">
        <v>1784</v>
      </c>
      <c r="G1995" s="4">
        <v>118012.6</v>
      </c>
      <c r="I1995" s="4">
        <v>373472.57</v>
      </c>
    </row>
    <row r="1996" spans="1:9" x14ac:dyDescent="0.3">
      <c r="A1996" t="s">
        <v>1</v>
      </c>
      <c r="B1996" s="1">
        <v>45877</v>
      </c>
      <c r="C1996" s="1">
        <v>45880</v>
      </c>
      <c r="D1996">
        <v>102349</v>
      </c>
      <c r="E1996">
        <v>100</v>
      </c>
      <c r="F1996" s="3" t="s">
        <v>1785</v>
      </c>
      <c r="G1996" s="4">
        <v>167225.75</v>
      </c>
      <c r="I1996" s="4">
        <v>540698.31999999995</v>
      </c>
    </row>
    <row r="1997" spans="1:9" x14ac:dyDescent="0.3">
      <c r="A1997" t="s">
        <v>1</v>
      </c>
      <c r="B1997" s="1">
        <v>45877</v>
      </c>
      <c r="C1997" s="1">
        <v>45880</v>
      </c>
      <c r="D1997">
        <v>102351</v>
      </c>
      <c r="E1997">
        <v>100</v>
      </c>
      <c r="F1997" s="3" t="s">
        <v>1786</v>
      </c>
      <c r="G1997" s="4">
        <v>18703.8</v>
      </c>
      <c r="I1997" s="4">
        <v>559402.12</v>
      </c>
    </row>
    <row r="1998" spans="1:9" x14ac:dyDescent="0.3">
      <c r="A1998" t="s">
        <v>1</v>
      </c>
      <c r="B1998" s="1">
        <v>45877</v>
      </c>
      <c r="C1998" s="1">
        <v>45880</v>
      </c>
      <c r="D1998">
        <v>102353</v>
      </c>
      <c r="E1998">
        <v>100</v>
      </c>
      <c r="F1998" s="3" t="s">
        <v>1787</v>
      </c>
      <c r="G1998" s="4">
        <v>18508</v>
      </c>
      <c r="I1998" s="4">
        <v>577910.12</v>
      </c>
    </row>
    <row r="1999" spans="1:9" x14ac:dyDescent="0.3">
      <c r="A1999" t="s">
        <v>1</v>
      </c>
      <c r="B1999" s="1">
        <v>45874</v>
      </c>
      <c r="C1999" s="1">
        <v>45880</v>
      </c>
      <c r="D1999">
        <v>102366</v>
      </c>
      <c r="E1999">
        <v>100</v>
      </c>
      <c r="F1999" s="3" t="s">
        <v>1788</v>
      </c>
      <c r="G1999" s="4">
        <v>3811.03</v>
      </c>
      <c r="I1999" s="4">
        <v>581721.15</v>
      </c>
    </row>
    <row r="2000" spans="1:9" x14ac:dyDescent="0.3">
      <c r="A2000" t="s">
        <v>1</v>
      </c>
      <c r="B2000" s="1">
        <v>45877</v>
      </c>
      <c r="C2000" s="1">
        <v>45880</v>
      </c>
      <c r="D2000">
        <v>102367</v>
      </c>
      <c r="E2000">
        <v>100</v>
      </c>
      <c r="F2000" s="3" t="s">
        <v>1789</v>
      </c>
      <c r="G2000" s="4">
        <v>47810</v>
      </c>
      <c r="I2000" s="4">
        <v>629531.15</v>
      </c>
    </row>
    <row r="2001" spans="1:9" x14ac:dyDescent="0.3">
      <c r="A2001" t="s">
        <v>1</v>
      </c>
      <c r="B2001" s="1">
        <v>45877</v>
      </c>
      <c r="C2001" s="1">
        <v>45880</v>
      </c>
      <c r="D2001">
        <v>102369</v>
      </c>
      <c r="E2001">
        <v>100</v>
      </c>
      <c r="F2001" s="3" t="s">
        <v>1790</v>
      </c>
      <c r="G2001" s="4">
        <v>14282</v>
      </c>
      <c r="I2001" s="4">
        <v>643813.15</v>
      </c>
    </row>
    <row r="2002" spans="1:9" x14ac:dyDescent="0.3">
      <c r="A2002" t="s">
        <v>1</v>
      </c>
      <c r="B2002" s="1">
        <v>45877</v>
      </c>
      <c r="C2002" s="1">
        <v>45880</v>
      </c>
      <c r="D2002">
        <v>102370</v>
      </c>
      <c r="E2002">
        <v>100</v>
      </c>
      <c r="F2002" s="3" t="s">
        <v>1791</v>
      </c>
      <c r="G2002" s="4">
        <v>24750</v>
      </c>
      <c r="I2002" s="4">
        <v>668563.15</v>
      </c>
    </row>
    <row r="2003" spans="1:9" x14ac:dyDescent="0.3">
      <c r="A2003" t="s">
        <v>1</v>
      </c>
      <c r="B2003" s="1">
        <v>45877</v>
      </c>
      <c r="C2003" s="1">
        <v>45880</v>
      </c>
      <c r="D2003">
        <v>102371</v>
      </c>
      <c r="E2003">
        <v>100</v>
      </c>
      <c r="F2003" s="3" t="s">
        <v>1792</v>
      </c>
      <c r="G2003" s="4">
        <v>51887</v>
      </c>
      <c r="I2003" s="4">
        <v>720450.15</v>
      </c>
    </row>
    <row r="2004" spans="1:9" x14ac:dyDescent="0.3">
      <c r="A2004" t="s">
        <v>1</v>
      </c>
      <c r="B2004" s="1">
        <v>45877</v>
      </c>
      <c r="C2004" s="1">
        <v>45880</v>
      </c>
      <c r="D2004">
        <v>102372</v>
      </c>
      <c r="E2004">
        <v>100</v>
      </c>
      <c r="F2004" s="3" t="s">
        <v>1793</v>
      </c>
      <c r="G2004" s="4">
        <v>44790</v>
      </c>
      <c r="I2004" s="4">
        <v>765240.15</v>
      </c>
    </row>
    <row r="2005" spans="1:9" x14ac:dyDescent="0.3">
      <c r="A2005" t="s">
        <v>1</v>
      </c>
      <c r="B2005" s="1">
        <v>45878</v>
      </c>
      <c r="C2005" s="1">
        <v>45880</v>
      </c>
      <c r="D2005">
        <v>102377</v>
      </c>
      <c r="E2005">
        <v>100</v>
      </c>
      <c r="F2005" s="3" t="s">
        <v>1794</v>
      </c>
      <c r="G2005" s="4">
        <v>20026.25</v>
      </c>
      <c r="I2005" s="4">
        <v>785266.4</v>
      </c>
    </row>
    <row r="2006" spans="1:9" x14ac:dyDescent="0.3">
      <c r="A2006" t="s">
        <v>1</v>
      </c>
      <c r="B2006" s="1">
        <v>45877</v>
      </c>
      <c r="C2006" s="1">
        <v>45880</v>
      </c>
      <c r="D2006">
        <v>102379</v>
      </c>
      <c r="E2006">
        <v>100</v>
      </c>
      <c r="F2006" s="3" t="s">
        <v>1795</v>
      </c>
      <c r="G2006" s="4">
        <v>17000</v>
      </c>
      <c r="I2006" s="4">
        <v>802266.4</v>
      </c>
    </row>
    <row r="2007" spans="1:9" x14ac:dyDescent="0.3">
      <c r="A2007" t="s">
        <v>1</v>
      </c>
      <c r="B2007" s="1">
        <v>45878</v>
      </c>
      <c r="C2007" s="1">
        <v>45880</v>
      </c>
      <c r="D2007">
        <v>102381</v>
      </c>
      <c r="E2007">
        <v>100</v>
      </c>
      <c r="F2007" s="3" t="s">
        <v>1796</v>
      </c>
      <c r="G2007" s="4">
        <v>6600</v>
      </c>
      <c r="I2007" s="4">
        <v>808866.4</v>
      </c>
    </row>
    <row r="2008" spans="1:9" x14ac:dyDescent="0.3">
      <c r="A2008" t="s">
        <v>1</v>
      </c>
      <c r="B2008" s="1">
        <v>45877</v>
      </c>
      <c r="C2008" s="1">
        <v>45880</v>
      </c>
      <c r="D2008">
        <v>102385</v>
      </c>
      <c r="E2008">
        <v>100</v>
      </c>
      <c r="F2008" s="3" t="s">
        <v>1797</v>
      </c>
      <c r="G2008" s="4">
        <v>82020</v>
      </c>
      <c r="I2008" s="4">
        <v>890886.4</v>
      </c>
    </row>
    <row r="2009" spans="1:9" x14ac:dyDescent="0.3">
      <c r="A2009" t="s">
        <v>1</v>
      </c>
      <c r="B2009" s="1">
        <v>45878</v>
      </c>
      <c r="C2009" s="1">
        <v>45880</v>
      </c>
      <c r="D2009">
        <v>102387</v>
      </c>
      <c r="E2009">
        <v>100</v>
      </c>
      <c r="F2009" s="3" t="s">
        <v>1798</v>
      </c>
      <c r="G2009" s="4">
        <v>20536</v>
      </c>
      <c r="I2009" s="4">
        <v>911422.4</v>
      </c>
    </row>
    <row r="2010" spans="1:9" x14ac:dyDescent="0.3">
      <c r="A2010" t="s">
        <v>1</v>
      </c>
      <c r="B2010" s="1">
        <v>45878</v>
      </c>
      <c r="C2010" s="1">
        <v>45880</v>
      </c>
      <c r="D2010">
        <v>102388</v>
      </c>
      <c r="E2010">
        <v>100</v>
      </c>
      <c r="F2010" s="3" t="s">
        <v>1799</v>
      </c>
      <c r="G2010" s="4">
        <v>56515.97</v>
      </c>
      <c r="I2010" s="4">
        <v>967938.37</v>
      </c>
    </row>
    <row r="2011" spans="1:9" x14ac:dyDescent="0.3">
      <c r="A2011" t="s">
        <v>1</v>
      </c>
      <c r="B2011" s="1">
        <v>45878</v>
      </c>
      <c r="C2011" s="1">
        <v>45880</v>
      </c>
      <c r="D2011">
        <v>102390</v>
      </c>
      <c r="E2011">
        <v>100</v>
      </c>
      <c r="F2011" s="3" t="s">
        <v>1800</v>
      </c>
      <c r="G2011" s="4">
        <v>238170.19</v>
      </c>
      <c r="I2011" s="4">
        <v>1206108.56</v>
      </c>
    </row>
    <row r="2012" spans="1:9" x14ac:dyDescent="0.3">
      <c r="A2012" t="s">
        <v>1</v>
      </c>
      <c r="B2012" s="1">
        <v>45878</v>
      </c>
      <c r="C2012" s="1">
        <v>45880</v>
      </c>
      <c r="D2012">
        <v>102393</v>
      </c>
      <c r="E2012">
        <v>100</v>
      </c>
      <c r="F2012" s="3" t="s">
        <v>1801</v>
      </c>
      <c r="G2012" s="4">
        <v>57500</v>
      </c>
      <c r="I2012" s="4">
        <v>1263608.56</v>
      </c>
    </row>
    <row r="2013" spans="1:9" x14ac:dyDescent="0.3">
      <c r="A2013" t="s">
        <v>1</v>
      </c>
      <c r="B2013" s="1">
        <v>45877</v>
      </c>
      <c r="C2013" s="1">
        <v>45880</v>
      </c>
      <c r="D2013">
        <v>102394</v>
      </c>
      <c r="E2013">
        <v>100</v>
      </c>
      <c r="F2013" s="3" t="s">
        <v>1802</v>
      </c>
      <c r="G2013" s="4">
        <v>55000</v>
      </c>
      <c r="I2013" s="4">
        <v>1318608.56</v>
      </c>
    </row>
    <row r="2014" spans="1:9" x14ac:dyDescent="0.3">
      <c r="A2014" t="s">
        <v>1</v>
      </c>
      <c r="B2014" s="1">
        <v>45878</v>
      </c>
      <c r="C2014" s="1">
        <v>45880</v>
      </c>
      <c r="D2014">
        <v>102395</v>
      </c>
      <c r="E2014">
        <v>100</v>
      </c>
      <c r="F2014" s="3" t="s">
        <v>1803</v>
      </c>
      <c r="G2014" s="4">
        <v>23600</v>
      </c>
      <c r="I2014" s="4">
        <v>1342208.56</v>
      </c>
    </row>
    <row r="2015" spans="1:9" x14ac:dyDescent="0.3">
      <c r="A2015" t="s">
        <v>1</v>
      </c>
      <c r="B2015" s="1">
        <v>45877</v>
      </c>
      <c r="C2015" s="1">
        <v>45880</v>
      </c>
      <c r="D2015">
        <v>102403</v>
      </c>
      <c r="E2015">
        <v>100</v>
      </c>
      <c r="F2015" s="3" t="s">
        <v>795</v>
      </c>
      <c r="G2015" s="4">
        <v>503</v>
      </c>
      <c r="I2015" s="4">
        <v>1342711.56</v>
      </c>
    </row>
    <row r="2016" spans="1:9" x14ac:dyDescent="0.3">
      <c r="A2016" t="s">
        <v>1</v>
      </c>
      <c r="B2016" s="1">
        <v>45878</v>
      </c>
      <c r="C2016" s="1">
        <v>45880</v>
      </c>
      <c r="D2016">
        <v>102406</v>
      </c>
      <c r="E2016">
        <v>100</v>
      </c>
      <c r="F2016" s="3" t="s">
        <v>297</v>
      </c>
      <c r="G2016" s="4">
        <v>1593.15</v>
      </c>
      <c r="I2016" s="4">
        <v>1344304.71</v>
      </c>
    </row>
    <row r="2017" spans="1:9" x14ac:dyDescent="0.3">
      <c r="A2017" t="s">
        <v>1</v>
      </c>
      <c r="B2017" s="1">
        <v>45878</v>
      </c>
      <c r="C2017" s="1">
        <v>45880</v>
      </c>
      <c r="D2017">
        <v>102408</v>
      </c>
      <c r="E2017">
        <v>100</v>
      </c>
      <c r="F2017" s="3" t="s">
        <v>1804</v>
      </c>
      <c r="G2017" s="4">
        <v>79029.55</v>
      </c>
      <c r="I2017" s="4">
        <v>1423334.26</v>
      </c>
    </row>
    <row r="2018" spans="1:9" x14ac:dyDescent="0.3">
      <c r="A2018" t="s">
        <v>1</v>
      </c>
      <c r="B2018" s="1">
        <v>45874</v>
      </c>
      <c r="C2018" s="1">
        <v>45880</v>
      </c>
      <c r="D2018">
        <v>102410</v>
      </c>
      <c r="E2018">
        <v>100</v>
      </c>
      <c r="F2018" s="3" t="s">
        <v>1805</v>
      </c>
      <c r="G2018" s="4">
        <v>97587.58</v>
      </c>
      <c r="I2018" s="4">
        <v>1520921.84</v>
      </c>
    </row>
    <row r="2019" spans="1:9" x14ac:dyDescent="0.3">
      <c r="A2019" t="s">
        <v>1</v>
      </c>
      <c r="B2019" s="1">
        <v>45874</v>
      </c>
      <c r="C2019" s="1">
        <v>45880</v>
      </c>
      <c r="D2019">
        <v>102411</v>
      </c>
      <c r="E2019">
        <v>100</v>
      </c>
      <c r="F2019" s="3" t="s">
        <v>1805</v>
      </c>
      <c r="G2019" s="4">
        <v>86779.67</v>
      </c>
      <c r="I2019" s="4">
        <v>1607701.51</v>
      </c>
    </row>
    <row r="2020" spans="1:9" x14ac:dyDescent="0.3">
      <c r="A2020" t="s">
        <v>1</v>
      </c>
      <c r="B2020" s="1">
        <v>45878</v>
      </c>
      <c r="C2020" s="1">
        <v>45880</v>
      </c>
      <c r="D2020">
        <v>102420</v>
      </c>
      <c r="E2020">
        <v>100</v>
      </c>
      <c r="F2020" s="3" t="s">
        <v>1806</v>
      </c>
      <c r="G2020" s="4">
        <v>48806.25</v>
      </c>
      <c r="I2020" s="4">
        <v>1656507.76</v>
      </c>
    </row>
    <row r="2021" spans="1:9" x14ac:dyDescent="0.3">
      <c r="A2021" t="s">
        <v>1</v>
      </c>
      <c r="B2021" s="1">
        <v>45879</v>
      </c>
      <c r="C2021" s="1">
        <v>45880</v>
      </c>
      <c r="D2021">
        <v>102429</v>
      </c>
      <c r="E2021">
        <v>100</v>
      </c>
      <c r="F2021" s="3" t="s">
        <v>1807</v>
      </c>
      <c r="G2021" s="4">
        <v>73099</v>
      </c>
      <c r="I2021" s="4">
        <v>1729606.76</v>
      </c>
    </row>
    <row r="2022" spans="1:9" x14ac:dyDescent="0.3">
      <c r="A2022" t="s">
        <v>1</v>
      </c>
      <c r="B2022" s="1">
        <v>45879</v>
      </c>
      <c r="C2022" s="1">
        <v>45880</v>
      </c>
      <c r="D2022">
        <v>102432</v>
      </c>
      <c r="E2022">
        <v>100</v>
      </c>
      <c r="F2022" s="3" t="s">
        <v>1808</v>
      </c>
      <c r="G2022" s="4">
        <v>15639</v>
      </c>
      <c r="I2022" s="4">
        <v>1745245.76</v>
      </c>
    </row>
    <row r="2023" spans="1:9" x14ac:dyDescent="0.3">
      <c r="A2023" t="s">
        <v>1</v>
      </c>
      <c r="B2023" s="1">
        <v>45880</v>
      </c>
      <c r="C2023" s="1">
        <v>45880</v>
      </c>
      <c r="D2023">
        <v>102434</v>
      </c>
      <c r="E2023">
        <v>100</v>
      </c>
      <c r="F2023" s="3" t="s">
        <v>1809</v>
      </c>
      <c r="G2023" s="4">
        <v>2250</v>
      </c>
      <c r="I2023" s="4">
        <v>1747495.76</v>
      </c>
    </row>
    <row r="2024" spans="1:9" x14ac:dyDescent="0.3">
      <c r="A2024" t="s">
        <v>1</v>
      </c>
      <c r="B2024" s="1">
        <v>45880</v>
      </c>
      <c r="C2024" s="1">
        <v>45880</v>
      </c>
      <c r="D2024">
        <v>102436</v>
      </c>
      <c r="E2024">
        <v>100</v>
      </c>
      <c r="F2024" s="3" t="s">
        <v>1810</v>
      </c>
      <c r="G2024" s="4">
        <v>7026.25</v>
      </c>
      <c r="I2024" s="4">
        <v>1754522.01</v>
      </c>
    </row>
    <row r="2025" spans="1:9" x14ac:dyDescent="0.3">
      <c r="A2025" t="s">
        <v>1</v>
      </c>
      <c r="B2025" s="1">
        <v>45877</v>
      </c>
      <c r="C2025" s="1">
        <v>45880</v>
      </c>
      <c r="D2025">
        <v>102438</v>
      </c>
      <c r="E2025">
        <v>100</v>
      </c>
      <c r="F2025" s="3" t="s">
        <v>750</v>
      </c>
      <c r="G2025" s="4">
        <v>14000</v>
      </c>
      <c r="I2025" s="4">
        <v>1768522.01</v>
      </c>
    </row>
    <row r="2026" spans="1:9" x14ac:dyDescent="0.3">
      <c r="A2026" t="s">
        <v>1</v>
      </c>
      <c r="B2026" s="1">
        <v>45879</v>
      </c>
      <c r="C2026" s="1">
        <v>45880</v>
      </c>
      <c r="D2026">
        <v>102443</v>
      </c>
      <c r="E2026">
        <v>100</v>
      </c>
      <c r="F2026" s="3" t="s">
        <v>1811</v>
      </c>
      <c r="G2026" s="4">
        <v>1731.83</v>
      </c>
      <c r="I2026" s="4">
        <v>1770253.84</v>
      </c>
    </row>
    <row r="2027" spans="1:9" x14ac:dyDescent="0.3">
      <c r="A2027" t="s">
        <v>1</v>
      </c>
      <c r="B2027" s="1">
        <v>45880</v>
      </c>
      <c r="C2027" s="1">
        <v>45880</v>
      </c>
      <c r="D2027">
        <v>102444</v>
      </c>
      <c r="E2027">
        <v>100</v>
      </c>
      <c r="F2027" s="3" t="s">
        <v>1800</v>
      </c>
      <c r="G2027" s="4">
        <v>9165.73</v>
      </c>
      <c r="I2027" s="4">
        <v>1779419.57</v>
      </c>
    </row>
    <row r="2028" spans="1:9" x14ac:dyDescent="0.3">
      <c r="A2028" t="s">
        <v>1</v>
      </c>
      <c r="B2028" s="1">
        <v>45877</v>
      </c>
      <c r="C2028" s="1">
        <v>45880</v>
      </c>
      <c r="D2028">
        <v>102451</v>
      </c>
      <c r="E2028">
        <v>100</v>
      </c>
      <c r="F2028" s="3" t="s">
        <v>1812</v>
      </c>
      <c r="G2028" s="4">
        <v>19471.57</v>
      </c>
      <c r="I2028" s="4">
        <v>1798891.14</v>
      </c>
    </row>
    <row r="2029" spans="1:9" x14ac:dyDescent="0.3">
      <c r="A2029" t="s">
        <v>1</v>
      </c>
      <c r="B2029" s="1">
        <v>45877</v>
      </c>
      <c r="C2029" s="1">
        <v>45880</v>
      </c>
      <c r="D2029">
        <v>102452</v>
      </c>
      <c r="E2029">
        <v>100</v>
      </c>
      <c r="F2029" s="3" t="s">
        <v>1813</v>
      </c>
      <c r="G2029" s="4">
        <v>13172.85</v>
      </c>
      <c r="I2029" s="4">
        <v>1812063.99</v>
      </c>
    </row>
    <row r="2030" spans="1:9" x14ac:dyDescent="0.3">
      <c r="A2030" t="s">
        <v>71</v>
      </c>
      <c r="B2030" s="1">
        <v>45878</v>
      </c>
      <c r="C2030" s="1">
        <v>45880</v>
      </c>
      <c r="D2030">
        <v>14152</v>
      </c>
      <c r="E2030">
        <v>100</v>
      </c>
      <c r="F2030" s="3" t="s">
        <v>1814</v>
      </c>
      <c r="G2030" s="4">
        <v>0</v>
      </c>
      <c r="H2030" s="4">
        <v>2934000</v>
      </c>
      <c r="I2030" s="4">
        <v>-1121936.01</v>
      </c>
    </row>
    <row r="2031" spans="1:9" x14ac:dyDescent="0.3">
      <c r="A2031" t="s">
        <v>71</v>
      </c>
      <c r="B2031" s="1">
        <v>45880</v>
      </c>
      <c r="C2031" s="1">
        <v>45880</v>
      </c>
      <c r="D2031">
        <v>14171</v>
      </c>
      <c r="E2031">
        <v>100</v>
      </c>
      <c r="F2031" s="3" t="s">
        <v>74</v>
      </c>
      <c r="G2031" s="4">
        <v>0</v>
      </c>
      <c r="H2031" s="4">
        <v>47752900</v>
      </c>
      <c r="I2031" s="4">
        <v>-48874836.009999998</v>
      </c>
    </row>
    <row r="2032" spans="1:9" x14ac:dyDescent="0.3">
      <c r="A2032" t="s">
        <v>71</v>
      </c>
      <c r="B2032" s="1">
        <v>45880</v>
      </c>
      <c r="C2032" s="1">
        <v>45880</v>
      </c>
      <c r="D2032">
        <v>14172</v>
      </c>
      <c r="E2032">
        <v>100</v>
      </c>
      <c r="F2032" s="3" t="s">
        <v>74</v>
      </c>
      <c r="G2032" s="4">
        <v>0</v>
      </c>
      <c r="H2032" s="4">
        <v>42793945</v>
      </c>
      <c r="I2032" s="4">
        <v>-91668781.010000005</v>
      </c>
    </row>
    <row r="2033" spans="1:9" x14ac:dyDescent="0.3">
      <c r="A2033" t="s">
        <v>71</v>
      </c>
      <c r="B2033" s="1">
        <v>45880</v>
      </c>
      <c r="C2033" s="1">
        <v>45880</v>
      </c>
      <c r="D2033">
        <v>14182</v>
      </c>
      <c r="E2033">
        <v>100</v>
      </c>
      <c r="F2033" s="3" t="s">
        <v>74</v>
      </c>
      <c r="G2033" s="4">
        <v>0</v>
      </c>
      <c r="H2033" s="4">
        <v>3673300</v>
      </c>
      <c r="I2033" s="4">
        <v>-95342081.010000005</v>
      </c>
    </row>
    <row r="2034" spans="1:9" x14ac:dyDescent="0.3">
      <c r="A2034" t="s">
        <v>75</v>
      </c>
      <c r="B2034" s="1">
        <v>45878</v>
      </c>
      <c r="C2034" s="1">
        <v>45880</v>
      </c>
      <c r="D2034">
        <v>143262</v>
      </c>
      <c r="E2034">
        <v>27</v>
      </c>
      <c r="F2034" s="3" t="s">
        <v>1815</v>
      </c>
      <c r="G2034" s="4">
        <v>12550.5</v>
      </c>
      <c r="H2034" s="4">
        <v>0</v>
      </c>
      <c r="I2034" s="4">
        <v>-95329530.510000005</v>
      </c>
    </row>
    <row r="2035" spans="1:9" x14ac:dyDescent="0.3">
      <c r="A2035" t="s">
        <v>75</v>
      </c>
      <c r="B2035" s="1">
        <v>45879</v>
      </c>
      <c r="C2035" s="1">
        <v>45880</v>
      </c>
      <c r="D2035">
        <v>143263</v>
      </c>
      <c r="E2035">
        <v>27</v>
      </c>
      <c r="F2035" s="3" t="s">
        <v>1816</v>
      </c>
      <c r="G2035" s="4">
        <v>91910.5</v>
      </c>
      <c r="H2035" s="4">
        <v>0</v>
      </c>
      <c r="I2035" s="4">
        <v>-95237620.010000005</v>
      </c>
    </row>
    <row r="2036" spans="1:9" x14ac:dyDescent="0.3">
      <c r="A2036" t="s">
        <v>75</v>
      </c>
      <c r="B2036" s="1">
        <v>45879</v>
      </c>
      <c r="C2036" s="1">
        <v>45880</v>
      </c>
      <c r="D2036">
        <v>143264</v>
      </c>
      <c r="E2036">
        <v>89</v>
      </c>
      <c r="F2036" s="3" t="s">
        <v>1817</v>
      </c>
      <c r="G2036" s="4">
        <v>2000</v>
      </c>
      <c r="H2036" s="4">
        <v>0</v>
      </c>
      <c r="I2036" s="4">
        <v>-95235620.010000005</v>
      </c>
    </row>
    <row r="2037" spans="1:9" x14ac:dyDescent="0.3">
      <c r="A2037" t="s">
        <v>75</v>
      </c>
      <c r="B2037" s="1">
        <v>45879</v>
      </c>
      <c r="C2037" s="1">
        <v>45880</v>
      </c>
      <c r="D2037">
        <v>143266</v>
      </c>
      <c r="E2037">
        <v>11</v>
      </c>
      <c r="F2037" s="3" t="s">
        <v>1818</v>
      </c>
      <c r="G2037" s="4">
        <v>7500</v>
      </c>
      <c r="H2037" s="4">
        <v>0</v>
      </c>
      <c r="I2037" s="4">
        <v>-95228120.010000005</v>
      </c>
    </row>
    <row r="2038" spans="1:9" x14ac:dyDescent="0.3">
      <c r="A2038" t="s">
        <v>75</v>
      </c>
      <c r="B2038" s="1">
        <v>45880</v>
      </c>
      <c r="C2038" s="1">
        <v>45880</v>
      </c>
      <c r="D2038">
        <v>143267</v>
      </c>
      <c r="E2038">
        <v>16</v>
      </c>
      <c r="F2038" s="3" t="s">
        <v>1819</v>
      </c>
      <c r="G2038" s="4">
        <v>245</v>
      </c>
      <c r="H2038" s="4">
        <v>0</v>
      </c>
      <c r="I2038" s="4">
        <v>-95227875.010000005</v>
      </c>
    </row>
    <row r="2039" spans="1:9" x14ac:dyDescent="0.3">
      <c r="A2039" t="s">
        <v>75</v>
      </c>
      <c r="B2039" s="1">
        <v>45879</v>
      </c>
      <c r="C2039" s="1">
        <v>45880</v>
      </c>
      <c r="D2039">
        <v>143268</v>
      </c>
      <c r="E2039">
        <v>16</v>
      </c>
      <c r="F2039" s="3" t="s">
        <v>1820</v>
      </c>
      <c r="G2039" s="4">
        <v>22104.5</v>
      </c>
      <c r="H2039" s="4">
        <v>0</v>
      </c>
      <c r="I2039" s="4">
        <v>-95205770.510000005</v>
      </c>
    </row>
    <row r="2040" spans="1:9" x14ac:dyDescent="0.3">
      <c r="A2040" t="s">
        <v>75</v>
      </c>
      <c r="B2040" s="1">
        <v>45880</v>
      </c>
      <c r="C2040" s="1">
        <v>45880</v>
      </c>
      <c r="D2040">
        <v>143269</v>
      </c>
      <c r="E2040">
        <v>79</v>
      </c>
      <c r="F2040" s="3" t="s">
        <v>1821</v>
      </c>
      <c r="G2040" s="4">
        <v>5650</v>
      </c>
      <c r="H2040" s="4">
        <v>0</v>
      </c>
      <c r="I2040" s="4">
        <v>-95200120.510000005</v>
      </c>
    </row>
    <row r="2041" spans="1:9" x14ac:dyDescent="0.3">
      <c r="A2041" t="s">
        <v>75</v>
      </c>
      <c r="B2041" s="1">
        <v>45880</v>
      </c>
      <c r="C2041" s="1">
        <v>45880</v>
      </c>
      <c r="D2041">
        <v>143270</v>
      </c>
      <c r="E2041">
        <v>12</v>
      </c>
      <c r="F2041" s="3" t="s">
        <v>1822</v>
      </c>
      <c r="G2041" s="4">
        <v>57801.75</v>
      </c>
      <c r="H2041" s="4">
        <v>0</v>
      </c>
      <c r="I2041" s="4">
        <v>-95142318.760000005</v>
      </c>
    </row>
    <row r="2042" spans="1:9" x14ac:dyDescent="0.3">
      <c r="A2042" t="s">
        <v>75</v>
      </c>
      <c r="B2042" s="1">
        <v>45879</v>
      </c>
      <c r="C2042" s="1">
        <v>45880</v>
      </c>
      <c r="D2042">
        <v>143272</v>
      </c>
      <c r="E2042">
        <v>11</v>
      </c>
      <c r="F2042" s="3" t="s">
        <v>1823</v>
      </c>
      <c r="G2042" s="4">
        <v>92033.75</v>
      </c>
      <c r="H2042" s="4">
        <v>0</v>
      </c>
      <c r="I2042" s="4">
        <v>-95050285.010000005</v>
      </c>
    </row>
    <row r="2043" spans="1:9" x14ac:dyDescent="0.3">
      <c r="A2043" t="s">
        <v>75</v>
      </c>
      <c r="B2043" s="1">
        <v>45879</v>
      </c>
      <c r="C2043" s="1">
        <v>45880</v>
      </c>
      <c r="D2043">
        <v>143273</v>
      </c>
      <c r="E2043">
        <v>11</v>
      </c>
      <c r="F2043" s="3" t="s">
        <v>1824</v>
      </c>
      <c r="G2043" s="4">
        <v>21035</v>
      </c>
      <c r="H2043" s="4">
        <v>0</v>
      </c>
      <c r="I2043" s="4">
        <v>-95029250.010000005</v>
      </c>
    </row>
    <row r="2044" spans="1:9" x14ac:dyDescent="0.3">
      <c r="A2044" t="s">
        <v>75</v>
      </c>
      <c r="B2044" s="1">
        <v>45880</v>
      </c>
      <c r="C2044" s="1">
        <v>45880</v>
      </c>
      <c r="D2044">
        <v>143276</v>
      </c>
      <c r="E2044">
        <v>11</v>
      </c>
      <c r="F2044" s="3" t="s">
        <v>1825</v>
      </c>
      <c r="G2044" s="4">
        <v>33231.5</v>
      </c>
      <c r="H2044" s="4">
        <v>0</v>
      </c>
      <c r="I2044" s="4">
        <v>-94996018.510000005</v>
      </c>
    </row>
    <row r="2045" spans="1:9" x14ac:dyDescent="0.3">
      <c r="A2045" t="s">
        <v>75</v>
      </c>
      <c r="B2045" s="1">
        <v>45879</v>
      </c>
      <c r="C2045" s="1">
        <v>45880</v>
      </c>
      <c r="D2045">
        <v>143277</v>
      </c>
      <c r="E2045">
        <v>77</v>
      </c>
      <c r="F2045" s="3" t="s">
        <v>1826</v>
      </c>
      <c r="G2045" s="4">
        <v>85000</v>
      </c>
      <c r="H2045" s="4">
        <v>0</v>
      </c>
      <c r="I2045" s="4">
        <v>-94911018.510000005</v>
      </c>
    </row>
    <row r="2046" spans="1:9" x14ac:dyDescent="0.3">
      <c r="A2046" t="s">
        <v>75</v>
      </c>
      <c r="B2046" s="1">
        <v>45880</v>
      </c>
      <c r="C2046" s="1">
        <v>45880</v>
      </c>
      <c r="D2046">
        <v>143278</v>
      </c>
      <c r="E2046">
        <v>72</v>
      </c>
      <c r="F2046" s="3" t="s">
        <v>1827</v>
      </c>
      <c r="G2046" s="4">
        <v>13000</v>
      </c>
      <c r="H2046" s="4">
        <v>0</v>
      </c>
      <c r="I2046" s="4">
        <v>-94898018.510000005</v>
      </c>
    </row>
    <row r="2047" spans="1:9" x14ac:dyDescent="0.3">
      <c r="A2047" t="s">
        <v>75</v>
      </c>
      <c r="B2047" s="1">
        <v>45879</v>
      </c>
      <c r="C2047" s="1">
        <v>45880</v>
      </c>
      <c r="D2047">
        <v>143279</v>
      </c>
      <c r="E2047">
        <v>14</v>
      </c>
      <c r="F2047" s="3" t="s">
        <v>1828</v>
      </c>
      <c r="G2047" s="4">
        <v>51601</v>
      </c>
      <c r="H2047" s="4">
        <v>0</v>
      </c>
      <c r="I2047" s="4">
        <v>-94846417.510000005</v>
      </c>
    </row>
    <row r="2048" spans="1:9" x14ac:dyDescent="0.3">
      <c r="A2048" t="s">
        <v>75</v>
      </c>
      <c r="B2048" s="1">
        <v>45880</v>
      </c>
      <c r="C2048" s="1">
        <v>45880</v>
      </c>
      <c r="D2048">
        <v>143280</v>
      </c>
      <c r="E2048">
        <v>11</v>
      </c>
      <c r="F2048" s="3" t="s">
        <v>1829</v>
      </c>
      <c r="G2048" s="4">
        <v>97</v>
      </c>
      <c r="H2048" s="4">
        <v>0</v>
      </c>
      <c r="I2048" s="4">
        <v>-94846320.510000005</v>
      </c>
    </row>
    <row r="2049" spans="1:9" x14ac:dyDescent="0.3">
      <c r="A2049" t="s">
        <v>75</v>
      </c>
      <c r="B2049" s="1">
        <v>45880</v>
      </c>
      <c r="C2049" s="1">
        <v>45880</v>
      </c>
      <c r="D2049">
        <v>143283</v>
      </c>
      <c r="E2049">
        <v>89</v>
      </c>
      <c r="F2049" s="3" t="s">
        <v>1830</v>
      </c>
      <c r="G2049" s="4">
        <v>152260.5</v>
      </c>
      <c r="H2049" s="4">
        <v>0</v>
      </c>
      <c r="I2049" s="4">
        <v>-94694060.010000005</v>
      </c>
    </row>
    <row r="2050" spans="1:9" x14ac:dyDescent="0.3">
      <c r="A2050" t="s">
        <v>75</v>
      </c>
      <c r="B2050" s="1">
        <v>45880</v>
      </c>
      <c r="C2050" s="1">
        <v>45880</v>
      </c>
      <c r="D2050">
        <v>143284</v>
      </c>
      <c r="E2050">
        <v>61</v>
      </c>
      <c r="F2050" s="3" t="s">
        <v>1831</v>
      </c>
      <c r="G2050" s="4">
        <v>43273</v>
      </c>
      <c r="H2050" s="4">
        <v>0</v>
      </c>
      <c r="I2050" s="4">
        <v>-94650787.010000005</v>
      </c>
    </row>
    <row r="2051" spans="1:9" x14ac:dyDescent="0.3">
      <c r="A2051" t="s">
        <v>75</v>
      </c>
      <c r="B2051" s="1">
        <v>45880</v>
      </c>
      <c r="C2051" s="1">
        <v>45880</v>
      </c>
      <c r="D2051">
        <v>143286</v>
      </c>
      <c r="E2051">
        <v>58</v>
      </c>
      <c r="F2051" s="3" t="s">
        <v>1832</v>
      </c>
      <c r="G2051" s="4">
        <v>18449.25</v>
      </c>
      <c r="H2051" s="4">
        <v>0</v>
      </c>
      <c r="I2051" s="4">
        <v>-94632337.760000005</v>
      </c>
    </row>
    <row r="2052" spans="1:9" x14ac:dyDescent="0.3">
      <c r="A2052" t="s">
        <v>75</v>
      </c>
      <c r="B2052" s="1">
        <v>45878</v>
      </c>
      <c r="C2052" s="1">
        <v>45880</v>
      </c>
      <c r="D2052">
        <v>143287</v>
      </c>
      <c r="E2052">
        <v>11</v>
      </c>
      <c r="F2052" s="3" t="s">
        <v>1833</v>
      </c>
      <c r="G2052" s="4">
        <v>35000</v>
      </c>
      <c r="H2052" s="4">
        <v>0</v>
      </c>
      <c r="I2052" s="4">
        <v>-94597337.760000005</v>
      </c>
    </row>
    <row r="2053" spans="1:9" x14ac:dyDescent="0.3">
      <c r="A2053" t="s">
        <v>75</v>
      </c>
      <c r="B2053" s="1">
        <v>45878</v>
      </c>
      <c r="C2053" s="1">
        <v>45880</v>
      </c>
      <c r="D2053">
        <v>143287</v>
      </c>
      <c r="E2053">
        <v>11</v>
      </c>
      <c r="F2053" s="3" t="s">
        <v>1834</v>
      </c>
      <c r="G2053" s="4">
        <v>65000</v>
      </c>
      <c r="H2053" s="4">
        <v>0</v>
      </c>
      <c r="I2053" s="4">
        <v>-94532337.760000005</v>
      </c>
    </row>
    <row r="2054" spans="1:9" x14ac:dyDescent="0.3">
      <c r="A2054" t="s">
        <v>75</v>
      </c>
      <c r="B2054" s="1">
        <v>45873</v>
      </c>
      <c r="C2054" s="1">
        <v>45880</v>
      </c>
      <c r="D2054">
        <v>143288</v>
      </c>
      <c r="E2054">
        <v>34</v>
      </c>
      <c r="F2054" s="3" t="s">
        <v>1835</v>
      </c>
      <c r="G2054" s="4">
        <v>115066.25</v>
      </c>
      <c r="H2054" s="4">
        <v>0</v>
      </c>
      <c r="I2054" s="4">
        <v>-94417271.510000005</v>
      </c>
    </row>
    <row r="2055" spans="1:9" x14ac:dyDescent="0.3">
      <c r="A2055" t="s">
        <v>75</v>
      </c>
      <c r="B2055" s="1">
        <v>45873</v>
      </c>
      <c r="C2055" s="1">
        <v>45880</v>
      </c>
      <c r="D2055">
        <v>143289</v>
      </c>
      <c r="E2055">
        <v>34</v>
      </c>
      <c r="F2055" s="3" t="s">
        <v>1836</v>
      </c>
      <c r="G2055" s="4">
        <v>97811.75</v>
      </c>
      <c r="H2055" s="4">
        <v>0</v>
      </c>
      <c r="I2055" s="4">
        <v>-94319459.760000005</v>
      </c>
    </row>
    <row r="2056" spans="1:9" x14ac:dyDescent="0.3">
      <c r="A2056" t="s">
        <v>75</v>
      </c>
      <c r="B2056" s="1">
        <v>45877</v>
      </c>
      <c r="C2056" s="1">
        <v>45880</v>
      </c>
      <c r="D2056">
        <v>143290</v>
      </c>
      <c r="E2056">
        <v>301</v>
      </c>
      <c r="F2056" s="3" t="s">
        <v>1837</v>
      </c>
      <c r="G2056" s="4">
        <v>6500</v>
      </c>
      <c r="H2056" s="4">
        <v>0</v>
      </c>
      <c r="I2056" s="4">
        <v>-94312959.760000005</v>
      </c>
    </row>
    <row r="2057" spans="1:9" x14ac:dyDescent="0.3">
      <c r="A2057" t="s">
        <v>75</v>
      </c>
      <c r="B2057" s="1">
        <v>45880</v>
      </c>
      <c r="C2057" s="1">
        <v>45880</v>
      </c>
      <c r="D2057">
        <v>143292</v>
      </c>
      <c r="E2057">
        <v>14</v>
      </c>
      <c r="F2057" s="3" t="s">
        <v>1838</v>
      </c>
      <c r="G2057" s="4">
        <v>65070</v>
      </c>
      <c r="H2057" s="4">
        <v>0</v>
      </c>
      <c r="I2057" s="4">
        <v>-94247889.760000005</v>
      </c>
    </row>
    <row r="2058" spans="1:9" x14ac:dyDescent="0.3">
      <c r="A2058" t="s">
        <v>75</v>
      </c>
      <c r="B2058" s="1">
        <v>45875</v>
      </c>
      <c r="C2058" s="1">
        <v>45880</v>
      </c>
      <c r="D2058">
        <v>143293</v>
      </c>
      <c r="E2058">
        <v>301</v>
      </c>
      <c r="F2058" s="3" t="s">
        <v>1839</v>
      </c>
      <c r="G2058" s="4">
        <v>50000</v>
      </c>
      <c r="H2058" s="4">
        <v>0</v>
      </c>
      <c r="I2058" s="4">
        <v>-94197889.760000005</v>
      </c>
    </row>
    <row r="2059" spans="1:9" x14ac:dyDescent="0.3">
      <c r="A2059" t="s">
        <v>75</v>
      </c>
      <c r="B2059" s="1">
        <v>45877</v>
      </c>
      <c r="C2059" s="1">
        <v>45880</v>
      </c>
      <c r="D2059">
        <v>143294</v>
      </c>
      <c r="E2059">
        <v>301</v>
      </c>
      <c r="F2059" s="3" t="s">
        <v>1840</v>
      </c>
      <c r="G2059" s="4">
        <v>21058.25</v>
      </c>
      <c r="H2059" s="4">
        <v>0</v>
      </c>
      <c r="I2059" s="4">
        <v>-94176831.510000005</v>
      </c>
    </row>
    <row r="2060" spans="1:9" x14ac:dyDescent="0.3">
      <c r="A2060" t="s">
        <v>75</v>
      </c>
      <c r="B2060" s="1">
        <v>45880</v>
      </c>
      <c r="C2060" s="1">
        <v>45880</v>
      </c>
      <c r="D2060">
        <v>143295</v>
      </c>
      <c r="E2060">
        <v>14</v>
      </c>
      <c r="F2060" s="3" t="s">
        <v>1841</v>
      </c>
      <c r="G2060" s="4">
        <v>25000</v>
      </c>
      <c r="H2060" s="4">
        <v>0</v>
      </c>
      <c r="I2060" s="4">
        <v>-94151831.510000005</v>
      </c>
    </row>
    <row r="2061" spans="1:9" x14ac:dyDescent="0.3">
      <c r="A2061" t="s">
        <v>75</v>
      </c>
      <c r="B2061" s="1">
        <v>45880</v>
      </c>
      <c r="C2061" s="1">
        <v>45880</v>
      </c>
      <c r="D2061">
        <v>143296</v>
      </c>
      <c r="E2061">
        <v>72</v>
      </c>
      <c r="F2061" s="3" t="s">
        <v>1842</v>
      </c>
      <c r="G2061" s="4">
        <v>115092.5</v>
      </c>
      <c r="H2061" s="4">
        <v>0</v>
      </c>
      <c r="I2061" s="4">
        <v>-94036739.010000005</v>
      </c>
    </row>
    <row r="2062" spans="1:9" x14ac:dyDescent="0.3">
      <c r="A2062" t="s">
        <v>75</v>
      </c>
      <c r="B2062" s="1">
        <v>45878</v>
      </c>
      <c r="C2062" s="1">
        <v>45880</v>
      </c>
      <c r="D2062">
        <v>143297</v>
      </c>
      <c r="E2062">
        <v>382</v>
      </c>
      <c r="F2062" s="3" t="s">
        <v>1843</v>
      </c>
      <c r="G2062" s="4">
        <v>250000</v>
      </c>
      <c r="H2062" s="4">
        <v>0</v>
      </c>
      <c r="I2062" s="4">
        <v>-93786739.010000005</v>
      </c>
    </row>
    <row r="2063" spans="1:9" x14ac:dyDescent="0.3">
      <c r="A2063" t="s">
        <v>75</v>
      </c>
      <c r="B2063" s="1">
        <v>45880</v>
      </c>
      <c r="C2063" s="1">
        <v>45880</v>
      </c>
      <c r="D2063">
        <v>143299</v>
      </c>
      <c r="E2063">
        <v>23</v>
      </c>
      <c r="F2063" s="3" t="s">
        <v>1844</v>
      </c>
      <c r="G2063" s="4">
        <v>18846.5</v>
      </c>
      <c r="H2063" s="4">
        <v>0</v>
      </c>
      <c r="I2063" s="4">
        <v>-93767892.510000005</v>
      </c>
    </row>
    <row r="2064" spans="1:9" x14ac:dyDescent="0.3">
      <c r="A2064" t="s">
        <v>75</v>
      </c>
      <c r="B2064" s="1">
        <v>45878</v>
      </c>
      <c r="C2064" s="1">
        <v>45880</v>
      </c>
      <c r="D2064">
        <v>143300</v>
      </c>
      <c r="E2064">
        <v>23</v>
      </c>
      <c r="F2064" s="3" t="s">
        <v>1845</v>
      </c>
      <c r="G2064" s="4">
        <v>40000</v>
      </c>
      <c r="H2064" s="4">
        <v>0</v>
      </c>
      <c r="I2064" s="4">
        <v>-93727892.510000005</v>
      </c>
    </row>
    <row r="2065" spans="1:9" x14ac:dyDescent="0.3">
      <c r="A2065" t="s">
        <v>75</v>
      </c>
      <c r="B2065" s="1">
        <v>45874</v>
      </c>
      <c r="C2065" s="1">
        <v>45880</v>
      </c>
      <c r="D2065">
        <v>143301</v>
      </c>
      <c r="E2065">
        <v>82</v>
      </c>
      <c r="F2065" s="3" t="s">
        <v>1846</v>
      </c>
      <c r="G2065" s="4">
        <v>5026.75</v>
      </c>
      <c r="H2065" s="4">
        <v>0</v>
      </c>
      <c r="I2065" s="4">
        <v>-93722865.760000005</v>
      </c>
    </row>
    <row r="2066" spans="1:9" x14ac:dyDescent="0.3">
      <c r="A2066" t="s">
        <v>75</v>
      </c>
      <c r="B2066" s="1">
        <v>45880</v>
      </c>
      <c r="C2066" s="1">
        <v>45880</v>
      </c>
      <c r="D2066">
        <v>143302</v>
      </c>
      <c r="E2066">
        <v>14</v>
      </c>
      <c r="F2066" s="3" t="s">
        <v>1847</v>
      </c>
      <c r="G2066" s="4">
        <v>10000</v>
      </c>
      <c r="H2066" s="4">
        <v>0</v>
      </c>
      <c r="I2066" s="4">
        <v>-93712865.760000005</v>
      </c>
    </row>
    <row r="2067" spans="1:9" x14ac:dyDescent="0.3">
      <c r="A2067" t="s">
        <v>75</v>
      </c>
      <c r="B2067" s="1">
        <v>45879</v>
      </c>
      <c r="C2067" s="1">
        <v>45880</v>
      </c>
      <c r="D2067">
        <v>143303</v>
      </c>
      <c r="E2067">
        <v>33</v>
      </c>
      <c r="F2067" s="3" t="s">
        <v>1848</v>
      </c>
      <c r="G2067" s="4">
        <v>23399.25</v>
      </c>
      <c r="H2067" s="4">
        <v>0</v>
      </c>
      <c r="I2067" s="4">
        <v>-93689466.510000005</v>
      </c>
    </row>
    <row r="2068" spans="1:9" x14ac:dyDescent="0.3">
      <c r="A2068" t="s">
        <v>75</v>
      </c>
      <c r="B2068" s="1">
        <v>45878</v>
      </c>
      <c r="C2068" s="1">
        <v>45880</v>
      </c>
      <c r="D2068">
        <v>143304</v>
      </c>
      <c r="E2068">
        <v>33</v>
      </c>
      <c r="F2068" s="3" t="s">
        <v>1849</v>
      </c>
      <c r="G2068" s="4">
        <v>20376</v>
      </c>
      <c r="H2068" s="4">
        <v>0</v>
      </c>
      <c r="I2068" s="4">
        <v>-93669090.510000005</v>
      </c>
    </row>
    <row r="2069" spans="1:9" x14ac:dyDescent="0.3">
      <c r="A2069" t="s">
        <v>75</v>
      </c>
      <c r="B2069" s="1">
        <v>45880</v>
      </c>
      <c r="C2069" s="1">
        <v>45880</v>
      </c>
      <c r="D2069">
        <v>143305</v>
      </c>
      <c r="E2069">
        <v>14</v>
      </c>
      <c r="F2069" s="3" t="s">
        <v>1850</v>
      </c>
      <c r="G2069" s="4">
        <v>380000</v>
      </c>
      <c r="H2069" s="4">
        <v>0</v>
      </c>
      <c r="I2069" s="4">
        <v>-93289090.510000005</v>
      </c>
    </row>
    <row r="2070" spans="1:9" x14ac:dyDescent="0.3">
      <c r="A2070" t="s">
        <v>75</v>
      </c>
      <c r="B2070" s="1">
        <v>45880</v>
      </c>
      <c r="C2070" s="1">
        <v>45880</v>
      </c>
      <c r="D2070">
        <v>143306</v>
      </c>
      <c r="E2070">
        <v>80</v>
      </c>
      <c r="F2070" s="3" t="s">
        <v>1851</v>
      </c>
      <c r="G2070" s="4">
        <v>60000</v>
      </c>
      <c r="H2070" s="4">
        <v>0</v>
      </c>
      <c r="I2070" s="4">
        <v>-93229090.510000005</v>
      </c>
    </row>
    <row r="2071" spans="1:9" x14ac:dyDescent="0.3">
      <c r="A2071" t="s">
        <v>75</v>
      </c>
      <c r="B2071" s="1">
        <v>45876</v>
      </c>
      <c r="C2071" s="1">
        <v>45880</v>
      </c>
      <c r="D2071">
        <v>143307</v>
      </c>
      <c r="E2071">
        <v>86</v>
      </c>
      <c r="F2071" s="3" t="s">
        <v>1852</v>
      </c>
      <c r="G2071" s="4">
        <v>10800</v>
      </c>
      <c r="H2071" s="4">
        <v>0</v>
      </c>
      <c r="I2071" s="4">
        <v>-93218290.510000005</v>
      </c>
    </row>
    <row r="2072" spans="1:9" x14ac:dyDescent="0.3">
      <c r="A2072" t="s">
        <v>75</v>
      </c>
      <c r="B2072" s="1">
        <v>45880</v>
      </c>
      <c r="C2072" s="1">
        <v>45880</v>
      </c>
      <c r="D2072">
        <v>143308</v>
      </c>
      <c r="E2072">
        <v>14</v>
      </c>
      <c r="F2072" s="3" t="s">
        <v>1853</v>
      </c>
      <c r="G2072" s="4">
        <v>43000</v>
      </c>
      <c r="H2072" s="4">
        <v>0</v>
      </c>
      <c r="I2072" s="4">
        <v>-93175290.510000005</v>
      </c>
    </row>
    <row r="2073" spans="1:9" x14ac:dyDescent="0.3">
      <c r="A2073" t="s">
        <v>75</v>
      </c>
      <c r="B2073" s="1">
        <v>45880</v>
      </c>
      <c r="C2073" s="1">
        <v>45880</v>
      </c>
      <c r="D2073">
        <v>143309</v>
      </c>
      <c r="E2073">
        <v>15</v>
      </c>
      <c r="F2073" s="3" t="s">
        <v>1854</v>
      </c>
      <c r="G2073" s="4">
        <v>22626.25</v>
      </c>
      <c r="H2073" s="4">
        <v>0</v>
      </c>
      <c r="I2073" s="4">
        <v>-93152664.260000005</v>
      </c>
    </row>
    <row r="2074" spans="1:9" x14ac:dyDescent="0.3">
      <c r="A2074" t="s">
        <v>75</v>
      </c>
      <c r="B2074" s="1">
        <v>45877</v>
      </c>
      <c r="C2074" s="1">
        <v>45880</v>
      </c>
      <c r="D2074">
        <v>143310</v>
      </c>
      <c r="E2074">
        <v>82</v>
      </c>
      <c r="F2074" s="3" t="s">
        <v>1855</v>
      </c>
      <c r="G2074" s="4">
        <v>63566.75</v>
      </c>
      <c r="H2074" s="4">
        <v>0</v>
      </c>
      <c r="I2074" s="4">
        <v>-93089097.510000005</v>
      </c>
    </row>
    <row r="2075" spans="1:9" x14ac:dyDescent="0.3">
      <c r="A2075" t="s">
        <v>75</v>
      </c>
      <c r="B2075" s="1">
        <v>45880</v>
      </c>
      <c r="C2075" s="1">
        <v>45880</v>
      </c>
      <c r="D2075">
        <v>143311</v>
      </c>
      <c r="E2075">
        <v>33</v>
      </c>
      <c r="F2075" s="3" t="s">
        <v>1856</v>
      </c>
      <c r="G2075" s="4">
        <v>47465</v>
      </c>
      <c r="H2075" s="4">
        <v>0</v>
      </c>
      <c r="I2075" s="4">
        <v>-93041632.510000005</v>
      </c>
    </row>
    <row r="2076" spans="1:9" x14ac:dyDescent="0.3">
      <c r="A2076" t="s">
        <v>75</v>
      </c>
      <c r="B2076" s="1">
        <v>45880</v>
      </c>
      <c r="C2076" s="1">
        <v>45880</v>
      </c>
      <c r="D2076">
        <v>143312</v>
      </c>
      <c r="E2076">
        <v>11</v>
      </c>
      <c r="F2076" s="3" t="s">
        <v>1857</v>
      </c>
      <c r="G2076" s="4">
        <v>49801.5</v>
      </c>
      <c r="H2076" s="4">
        <v>0</v>
      </c>
      <c r="I2076" s="4">
        <v>-92991831.010000005</v>
      </c>
    </row>
    <row r="2077" spans="1:9" x14ac:dyDescent="0.3">
      <c r="A2077" t="s">
        <v>75</v>
      </c>
      <c r="B2077" s="1">
        <v>45880</v>
      </c>
      <c r="C2077" s="1">
        <v>45880</v>
      </c>
      <c r="D2077">
        <v>143313</v>
      </c>
      <c r="E2077">
        <v>63</v>
      </c>
      <c r="F2077" s="3" t="s">
        <v>1858</v>
      </c>
      <c r="G2077" s="4">
        <v>220</v>
      </c>
      <c r="H2077" s="4">
        <v>0</v>
      </c>
      <c r="I2077" s="4">
        <v>-92991611.010000005</v>
      </c>
    </row>
    <row r="2078" spans="1:9" x14ac:dyDescent="0.3">
      <c r="A2078" t="s">
        <v>124</v>
      </c>
      <c r="B2078" s="1">
        <v>45880</v>
      </c>
      <c r="C2078" s="1">
        <v>45880</v>
      </c>
      <c r="D2078">
        <v>22190</v>
      </c>
      <c r="E2078">
        <v>11</v>
      </c>
      <c r="F2078" s="3" t="s">
        <v>125</v>
      </c>
      <c r="G2078" s="4">
        <v>0</v>
      </c>
      <c r="H2078" s="4">
        <v>20881973.949999999</v>
      </c>
      <c r="I2078" s="4">
        <v>-113873584.95999999</v>
      </c>
    </row>
    <row r="2079" spans="1:9" x14ac:dyDescent="0.3">
      <c r="A2079" t="s">
        <v>124</v>
      </c>
      <c r="B2079" s="1">
        <v>45880</v>
      </c>
      <c r="C2079" s="1">
        <v>45880</v>
      </c>
      <c r="D2079">
        <v>22191</v>
      </c>
      <c r="E2079">
        <v>11</v>
      </c>
      <c r="F2079" s="3" t="s">
        <v>125</v>
      </c>
      <c r="G2079" s="4">
        <v>0</v>
      </c>
      <c r="H2079" s="4">
        <v>14200609.189999999</v>
      </c>
      <c r="I2079" s="4">
        <v>-128074194.15000001</v>
      </c>
    </row>
    <row r="2080" spans="1:9" x14ac:dyDescent="0.3">
      <c r="A2080" t="s">
        <v>124</v>
      </c>
      <c r="B2080" s="1">
        <v>45880</v>
      </c>
      <c r="C2080" s="1">
        <v>45880</v>
      </c>
      <c r="D2080">
        <v>22192</v>
      </c>
      <c r="E2080">
        <v>11</v>
      </c>
      <c r="F2080" s="3" t="s">
        <v>126</v>
      </c>
      <c r="G2080" s="4">
        <v>0</v>
      </c>
      <c r="H2080" s="4">
        <v>3000000</v>
      </c>
      <c r="I2080" s="4">
        <v>-131074194.15000001</v>
      </c>
    </row>
    <row r="2081" spans="1:9" x14ac:dyDescent="0.3">
      <c r="A2081" t="s">
        <v>124</v>
      </c>
      <c r="B2081" s="1">
        <v>45880</v>
      </c>
      <c r="C2081" s="1">
        <v>45880</v>
      </c>
      <c r="D2081">
        <v>22193</v>
      </c>
      <c r="E2081">
        <v>11</v>
      </c>
      <c r="F2081" s="3" t="s">
        <v>127</v>
      </c>
      <c r="G2081" s="4">
        <v>34700000</v>
      </c>
      <c r="H2081" s="4">
        <v>0</v>
      </c>
      <c r="I2081" s="4">
        <v>-96374194.150000006</v>
      </c>
    </row>
    <row r="2082" spans="1:9" x14ac:dyDescent="0.3">
      <c r="A2082" t="s">
        <v>124</v>
      </c>
      <c r="B2082" s="1">
        <v>45880</v>
      </c>
      <c r="C2082" s="1">
        <v>45880</v>
      </c>
      <c r="D2082">
        <v>22195</v>
      </c>
      <c r="E2082">
        <v>11</v>
      </c>
      <c r="F2082" s="3" t="s">
        <v>128</v>
      </c>
      <c r="G2082" s="4">
        <v>6500000</v>
      </c>
      <c r="H2082" s="4">
        <v>0</v>
      </c>
      <c r="I2082" s="4">
        <v>-89874194.150000006</v>
      </c>
    </row>
    <row r="2083" spans="1:9" x14ac:dyDescent="0.3">
      <c r="A2083" t="s">
        <v>124</v>
      </c>
      <c r="B2083" s="1">
        <v>45880</v>
      </c>
      <c r="C2083" s="1">
        <v>45880</v>
      </c>
      <c r="D2083">
        <v>22196</v>
      </c>
      <c r="E2083">
        <v>11</v>
      </c>
      <c r="F2083" s="3" t="s">
        <v>128</v>
      </c>
      <c r="G2083" s="4">
        <v>2200000</v>
      </c>
      <c r="H2083" s="4">
        <v>0</v>
      </c>
      <c r="I2083" s="4">
        <v>-87674194.150000006</v>
      </c>
    </row>
    <row r="2084" spans="1:9" x14ac:dyDescent="0.3">
      <c r="A2084" t="s">
        <v>130</v>
      </c>
      <c r="B2084" s="1">
        <v>45880</v>
      </c>
      <c r="C2084" s="1">
        <v>45880</v>
      </c>
      <c r="D2084">
        <v>3832636</v>
      </c>
      <c r="E2084">
        <v>71</v>
      </c>
      <c r="F2084" s="3" t="s">
        <v>1859</v>
      </c>
      <c r="G2084" s="4">
        <v>0</v>
      </c>
      <c r="H2084" s="4">
        <v>200000</v>
      </c>
      <c r="I2084" s="4">
        <v>-87874194.150000006</v>
      </c>
    </row>
    <row r="2085" spans="1:9" x14ac:dyDescent="0.3">
      <c r="A2085" t="s">
        <v>130</v>
      </c>
      <c r="B2085" s="1">
        <v>45880</v>
      </c>
      <c r="C2085" s="1">
        <v>45880</v>
      </c>
      <c r="D2085">
        <v>3832807</v>
      </c>
      <c r="E2085">
        <v>39</v>
      </c>
      <c r="F2085" s="3" t="s">
        <v>1860</v>
      </c>
      <c r="G2085" s="4">
        <v>0</v>
      </c>
      <c r="H2085" s="4">
        <v>5000000</v>
      </c>
      <c r="I2085" s="4">
        <v>-92874194.150000006</v>
      </c>
    </row>
    <row r="2086" spans="1:9" x14ac:dyDescent="0.3">
      <c r="A2086" t="s">
        <v>130</v>
      </c>
      <c r="B2086" s="1">
        <v>45880</v>
      </c>
      <c r="C2086" s="1">
        <v>45880</v>
      </c>
      <c r="D2086">
        <v>3833312</v>
      </c>
      <c r="E2086">
        <v>64</v>
      </c>
      <c r="F2086" s="3" t="s">
        <v>1861</v>
      </c>
      <c r="G2086" s="4">
        <v>0</v>
      </c>
      <c r="H2086" s="4">
        <v>298000</v>
      </c>
      <c r="I2086" s="4">
        <v>-93172194.150000006</v>
      </c>
    </row>
    <row r="2087" spans="1:9" x14ac:dyDescent="0.3">
      <c r="A2087" t="s">
        <v>130</v>
      </c>
      <c r="B2087" s="1">
        <v>45880</v>
      </c>
      <c r="C2087" s="1">
        <v>45880</v>
      </c>
      <c r="D2087">
        <v>3833328</v>
      </c>
      <c r="E2087">
        <v>80</v>
      </c>
      <c r="F2087" s="3" t="s">
        <v>1862</v>
      </c>
      <c r="G2087" s="4">
        <v>0</v>
      </c>
      <c r="H2087" s="4">
        <v>500000</v>
      </c>
      <c r="I2087" s="4">
        <v>-93672194.150000006</v>
      </c>
    </row>
    <row r="2088" spans="1:9" x14ac:dyDescent="0.3">
      <c r="A2088" t="s">
        <v>133</v>
      </c>
      <c r="B2088" s="1">
        <v>45880</v>
      </c>
      <c r="C2088" s="1">
        <v>45880</v>
      </c>
      <c r="D2088">
        <v>914767</v>
      </c>
      <c r="E2088">
        <v>12</v>
      </c>
      <c r="F2088" s="3" t="s">
        <v>1863</v>
      </c>
      <c r="G2088" s="4">
        <v>34597</v>
      </c>
      <c r="H2088" s="4">
        <v>0</v>
      </c>
      <c r="I2088" s="4">
        <v>-93637597.150000006</v>
      </c>
    </row>
    <row r="2089" spans="1:9" x14ac:dyDescent="0.3">
      <c r="A2089" t="s">
        <v>133</v>
      </c>
      <c r="B2089" s="1">
        <v>45880</v>
      </c>
      <c r="C2089" s="1">
        <v>45880</v>
      </c>
      <c r="D2089">
        <v>914787</v>
      </c>
      <c r="E2089">
        <v>11</v>
      </c>
      <c r="F2089" s="3" t="s">
        <v>1864</v>
      </c>
      <c r="G2089" s="4">
        <v>2100</v>
      </c>
      <c r="H2089" s="4">
        <v>0</v>
      </c>
      <c r="I2089" s="4">
        <v>-93635497.150000006</v>
      </c>
    </row>
    <row r="2090" spans="1:9" x14ac:dyDescent="0.3">
      <c r="A2090" t="s">
        <v>133</v>
      </c>
      <c r="B2090" s="1">
        <v>45880</v>
      </c>
      <c r="C2090" s="1">
        <v>45880</v>
      </c>
      <c r="D2090">
        <v>914789</v>
      </c>
      <c r="E2090">
        <v>78</v>
      </c>
      <c r="F2090" s="3" t="s">
        <v>1865</v>
      </c>
      <c r="G2090" s="4">
        <v>166055.25</v>
      </c>
      <c r="H2090" s="4">
        <v>0</v>
      </c>
      <c r="I2090" s="4">
        <v>-93469441.900000006</v>
      </c>
    </row>
    <row r="2091" spans="1:9" x14ac:dyDescent="0.3">
      <c r="A2091" t="s">
        <v>133</v>
      </c>
      <c r="B2091" s="1">
        <v>45880</v>
      </c>
      <c r="C2091" s="1">
        <v>45880</v>
      </c>
      <c r="D2091">
        <v>914799</v>
      </c>
      <c r="E2091">
        <v>12</v>
      </c>
      <c r="F2091" s="3" t="s">
        <v>1866</v>
      </c>
      <c r="G2091" s="4">
        <v>30000</v>
      </c>
      <c r="H2091" s="4">
        <v>0</v>
      </c>
      <c r="I2091" s="4">
        <v>-93439441.900000006</v>
      </c>
    </row>
    <row r="2092" spans="1:9" x14ac:dyDescent="0.3">
      <c r="A2092" t="s">
        <v>133</v>
      </c>
      <c r="B2092" s="1">
        <v>45880</v>
      </c>
      <c r="C2092" s="1">
        <v>45880</v>
      </c>
      <c r="D2092">
        <v>914811</v>
      </c>
      <c r="E2092">
        <v>382</v>
      </c>
      <c r="F2092" s="3" t="s">
        <v>1867</v>
      </c>
      <c r="G2092" s="4">
        <v>207831.25</v>
      </c>
      <c r="H2092" s="4">
        <v>0</v>
      </c>
      <c r="I2092" s="4">
        <v>-93231610.650000006</v>
      </c>
    </row>
    <row r="2093" spans="1:9" x14ac:dyDescent="0.3">
      <c r="A2093" t="s">
        <v>133</v>
      </c>
      <c r="B2093" s="1">
        <v>45880</v>
      </c>
      <c r="C2093" s="1">
        <v>45880</v>
      </c>
      <c r="D2093">
        <v>914817</v>
      </c>
      <c r="E2093">
        <v>98</v>
      </c>
      <c r="F2093" s="3" t="s">
        <v>1868</v>
      </c>
      <c r="G2093" s="4">
        <v>30000</v>
      </c>
      <c r="H2093" s="4">
        <v>0</v>
      </c>
      <c r="I2093" s="4">
        <v>-93201610.650000006</v>
      </c>
    </row>
    <row r="2094" spans="1:9" x14ac:dyDescent="0.3">
      <c r="A2094" t="s">
        <v>133</v>
      </c>
      <c r="B2094" s="1">
        <v>45880</v>
      </c>
      <c r="C2094" s="1">
        <v>45880</v>
      </c>
      <c r="D2094">
        <v>914818</v>
      </c>
      <c r="E2094">
        <v>542</v>
      </c>
      <c r="F2094" s="3" t="s">
        <v>1869</v>
      </c>
      <c r="G2094" s="4">
        <v>73540.5</v>
      </c>
      <c r="H2094" s="4">
        <v>0</v>
      </c>
      <c r="I2094" s="4">
        <v>-93128070.150000006</v>
      </c>
    </row>
    <row r="2095" spans="1:9" x14ac:dyDescent="0.3">
      <c r="A2095" t="s">
        <v>133</v>
      </c>
      <c r="B2095" s="1">
        <v>45880</v>
      </c>
      <c r="C2095" s="1">
        <v>45880</v>
      </c>
      <c r="D2095">
        <v>914819</v>
      </c>
      <c r="E2095">
        <v>51</v>
      </c>
      <c r="F2095" s="3" t="s">
        <v>1870</v>
      </c>
      <c r="G2095" s="4">
        <v>510000</v>
      </c>
      <c r="H2095" s="4">
        <v>0</v>
      </c>
      <c r="I2095" s="4">
        <v>-92618070.150000006</v>
      </c>
    </row>
    <row r="2096" spans="1:9" x14ac:dyDescent="0.3">
      <c r="A2096" t="s">
        <v>133</v>
      </c>
      <c r="B2096" s="1">
        <v>45880</v>
      </c>
      <c r="C2096" s="1">
        <v>45880</v>
      </c>
      <c r="D2096">
        <v>914825</v>
      </c>
      <c r="E2096">
        <v>84</v>
      </c>
      <c r="F2096" s="3" t="s">
        <v>1871</v>
      </c>
      <c r="G2096" s="4">
        <v>210100</v>
      </c>
      <c r="H2096" s="4">
        <v>0</v>
      </c>
      <c r="I2096" s="4">
        <v>-92407970.150000006</v>
      </c>
    </row>
    <row r="2097" spans="1:9" x14ac:dyDescent="0.3">
      <c r="A2097" t="s">
        <v>133</v>
      </c>
      <c r="B2097" s="1">
        <v>45880</v>
      </c>
      <c r="C2097" s="1">
        <v>45880</v>
      </c>
      <c r="D2097">
        <v>914835</v>
      </c>
      <c r="E2097">
        <v>58</v>
      </c>
      <c r="F2097" s="3" t="s">
        <v>1872</v>
      </c>
      <c r="G2097" s="4">
        <v>250000</v>
      </c>
      <c r="H2097" s="4">
        <v>0</v>
      </c>
      <c r="I2097" s="4">
        <v>-92157970.150000006</v>
      </c>
    </row>
    <row r="2098" spans="1:9" x14ac:dyDescent="0.3">
      <c r="A2098" t="s">
        <v>133</v>
      </c>
      <c r="B2098" s="1">
        <v>45880</v>
      </c>
      <c r="C2098" s="1">
        <v>45880</v>
      </c>
      <c r="D2098">
        <v>914836</v>
      </c>
      <c r="E2098">
        <v>58</v>
      </c>
      <c r="F2098" s="3" t="s">
        <v>1873</v>
      </c>
      <c r="G2098" s="4">
        <v>250000</v>
      </c>
      <c r="H2098" s="4">
        <v>0</v>
      </c>
      <c r="I2098" s="4">
        <v>-91907970.150000006</v>
      </c>
    </row>
    <row r="2099" spans="1:9" x14ac:dyDescent="0.3">
      <c r="A2099" t="s">
        <v>133</v>
      </c>
      <c r="B2099" s="1">
        <v>45880</v>
      </c>
      <c r="C2099" s="1">
        <v>45880</v>
      </c>
      <c r="D2099">
        <v>914837</v>
      </c>
      <c r="E2099">
        <v>58</v>
      </c>
      <c r="F2099" s="3" t="s">
        <v>1874</v>
      </c>
      <c r="G2099" s="4">
        <v>250000</v>
      </c>
      <c r="H2099" s="4">
        <v>0</v>
      </c>
      <c r="I2099" s="4">
        <v>-91657970.150000006</v>
      </c>
    </row>
    <row r="2100" spans="1:9" x14ac:dyDescent="0.3">
      <c r="A2100" t="s">
        <v>133</v>
      </c>
      <c r="B2100" s="1">
        <v>45880</v>
      </c>
      <c r="C2100" s="1">
        <v>45880</v>
      </c>
      <c r="D2100">
        <v>914839</v>
      </c>
      <c r="E2100">
        <v>32</v>
      </c>
      <c r="F2100" s="3" t="s">
        <v>1875</v>
      </c>
      <c r="G2100" s="4">
        <v>150000</v>
      </c>
      <c r="H2100" s="4">
        <v>0</v>
      </c>
      <c r="I2100" s="4">
        <v>-91507970.150000006</v>
      </c>
    </row>
    <row r="2101" spans="1:9" x14ac:dyDescent="0.3">
      <c r="A2101" t="s">
        <v>133</v>
      </c>
      <c r="B2101" s="1">
        <v>45880</v>
      </c>
      <c r="C2101" s="1">
        <v>45880</v>
      </c>
      <c r="D2101">
        <v>914842</v>
      </c>
      <c r="E2101">
        <v>73</v>
      </c>
      <c r="F2101" s="3" t="s">
        <v>1876</v>
      </c>
      <c r="G2101" s="4">
        <v>400000</v>
      </c>
      <c r="H2101" s="4">
        <v>0</v>
      </c>
      <c r="I2101" s="4">
        <v>-91107970.150000006</v>
      </c>
    </row>
    <row r="2102" spans="1:9" x14ac:dyDescent="0.3">
      <c r="A2102" t="s">
        <v>133</v>
      </c>
      <c r="B2102" s="1">
        <v>45880</v>
      </c>
      <c r="C2102" s="1">
        <v>45880</v>
      </c>
      <c r="D2102">
        <v>914849</v>
      </c>
      <c r="E2102">
        <v>13</v>
      </c>
      <c r="F2102" s="3" t="s">
        <v>1877</v>
      </c>
      <c r="G2102" s="4">
        <v>22000</v>
      </c>
      <c r="H2102" s="4">
        <v>0</v>
      </c>
      <c r="I2102" s="4">
        <v>-91085970.150000006</v>
      </c>
    </row>
    <row r="2103" spans="1:9" x14ac:dyDescent="0.3">
      <c r="A2103" t="s">
        <v>133</v>
      </c>
      <c r="B2103" s="1">
        <v>45880</v>
      </c>
      <c r="C2103" s="1">
        <v>45880</v>
      </c>
      <c r="D2103">
        <v>914850</v>
      </c>
      <c r="E2103">
        <v>35</v>
      </c>
      <c r="F2103" s="3" t="s">
        <v>1878</v>
      </c>
      <c r="G2103" s="4">
        <v>55188</v>
      </c>
      <c r="H2103" s="4">
        <v>0</v>
      </c>
      <c r="I2103" s="4">
        <v>-91030782.150000006</v>
      </c>
    </row>
    <row r="2104" spans="1:9" x14ac:dyDescent="0.3">
      <c r="A2104" t="s">
        <v>133</v>
      </c>
      <c r="B2104" s="1">
        <v>45880</v>
      </c>
      <c r="C2104" s="1">
        <v>45880</v>
      </c>
      <c r="D2104">
        <v>914851</v>
      </c>
      <c r="E2104">
        <v>45</v>
      </c>
      <c r="F2104" s="3" t="s">
        <v>1879</v>
      </c>
      <c r="G2104" s="4">
        <v>7889.75</v>
      </c>
      <c r="H2104" s="4">
        <v>0</v>
      </c>
      <c r="I2104" s="4">
        <v>-91022892.400000006</v>
      </c>
    </row>
    <row r="2105" spans="1:9" x14ac:dyDescent="0.3">
      <c r="A2105" t="s">
        <v>133</v>
      </c>
      <c r="B2105" s="1">
        <v>45880</v>
      </c>
      <c r="C2105" s="1">
        <v>45880</v>
      </c>
      <c r="D2105">
        <v>914852</v>
      </c>
      <c r="E2105">
        <v>71</v>
      </c>
      <c r="F2105" s="3" t="s">
        <v>1880</v>
      </c>
      <c r="G2105" s="4">
        <v>190000</v>
      </c>
      <c r="H2105" s="4">
        <v>0</v>
      </c>
      <c r="I2105" s="4">
        <v>-90832892.400000006</v>
      </c>
    </row>
    <row r="2106" spans="1:9" x14ac:dyDescent="0.3">
      <c r="A2106" t="s">
        <v>133</v>
      </c>
      <c r="B2106" s="1">
        <v>45880</v>
      </c>
      <c r="C2106" s="1">
        <v>45880</v>
      </c>
      <c r="D2106">
        <v>914854</v>
      </c>
      <c r="E2106">
        <v>94</v>
      </c>
      <c r="F2106" s="3" t="s">
        <v>1881</v>
      </c>
      <c r="G2106" s="4">
        <v>15000</v>
      </c>
      <c r="H2106" s="4">
        <v>0</v>
      </c>
      <c r="I2106" s="4">
        <v>-90817892.400000006</v>
      </c>
    </row>
    <row r="2107" spans="1:9" x14ac:dyDescent="0.3">
      <c r="A2107" t="s">
        <v>133</v>
      </c>
      <c r="B2107" s="1">
        <v>45880</v>
      </c>
      <c r="C2107" s="1">
        <v>45880</v>
      </c>
      <c r="D2107">
        <v>914875</v>
      </c>
      <c r="E2107">
        <v>53</v>
      </c>
      <c r="F2107" s="3" t="s">
        <v>1882</v>
      </c>
      <c r="G2107" s="4">
        <v>22351.25</v>
      </c>
      <c r="H2107" s="4">
        <v>0</v>
      </c>
      <c r="I2107" s="4">
        <v>-90795541.150000006</v>
      </c>
    </row>
    <row r="2108" spans="1:9" x14ac:dyDescent="0.3">
      <c r="A2108" t="s">
        <v>133</v>
      </c>
      <c r="B2108" s="1">
        <v>45880</v>
      </c>
      <c r="C2108" s="1">
        <v>45880</v>
      </c>
      <c r="D2108">
        <v>914880</v>
      </c>
      <c r="E2108">
        <v>11</v>
      </c>
      <c r="F2108" s="3" t="s">
        <v>1883</v>
      </c>
      <c r="G2108" s="4">
        <v>47834.75</v>
      </c>
      <c r="H2108" s="4">
        <v>0</v>
      </c>
      <c r="I2108" s="4">
        <v>-90747706.400000006</v>
      </c>
    </row>
    <row r="2109" spans="1:9" x14ac:dyDescent="0.3">
      <c r="A2109" t="s">
        <v>133</v>
      </c>
      <c r="B2109" s="1">
        <v>45880</v>
      </c>
      <c r="C2109" s="1">
        <v>45880</v>
      </c>
      <c r="D2109">
        <v>914882</v>
      </c>
      <c r="E2109">
        <v>11</v>
      </c>
      <c r="F2109" s="3" t="s">
        <v>1884</v>
      </c>
      <c r="G2109" s="4">
        <v>46628.25</v>
      </c>
      <c r="H2109" s="4">
        <v>0</v>
      </c>
      <c r="I2109" s="4">
        <v>-90701078.150000006</v>
      </c>
    </row>
    <row r="2110" spans="1:9" x14ac:dyDescent="0.3">
      <c r="A2110" t="s">
        <v>133</v>
      </c>
      <c r="B2110" s="1">
        <v>45880</v>
      </c>
      <c r="C2110" s="1">
        <v>45880</v>
      </c>
      <c r="D2110">
        <v>914884</v>
      </c>
      <c r="E2110">
        <v>89</v>
      </c>
      <c r="F2110" s="3" t="s">
        <v>1885</v>
      </c>
      <c r="G2110" s="4">
        <v>10000</v>
      </c>
      <c r="H2110" s="4">
        <v>0</v>
      </c>
      <c r="I2110" s="4">
        <v>-90691078.150000006</v>
      </c>
    </row>
    <row r="2111" spans="1:9" x14ac:dyDescent="0.3">
      <c r="A2111" t="s">
        <v>133</v>
      </c>
      <c r="B2111" s="1">
        <v>45880</v>
      </c>
      <c r="C2111" s="1">
        <v>45880</v>
      </c>
      <c r="D2111">
        <v>914887</v>
      </c>
      <c r="E2111">
        <v>223</v>
      </c>
      <c r="F2111" s="3" t="s">
        <v>1886</v>
      </c>
      <c r="G2111" s="4">
        <v>8585</v>
      </c>
      <c r="H2111" s="4">
        <v>0</v>
      </c>
      <c r="I2111" s="4">
        <v>-90682493.150000006</v>
      </c>
    </row>
    <row r="2112" spans="1:9" x14ac:dyDescent="0.3">
      <c r="A2112" t="s">
        <v>133</v>
      </c>
      <c r="B2112" s="1">
        <v>45880</v>
      </c>
      <c r="C2112" s="1">
        <v>45880</v>
      </c>
      <c r="D2112">
        <v>914888</v>
      </c>
      <c r="E2112">
        <v>43</v>
      </c>
      <c r="F2112" s="3" t="s">
        <v>1887</v>
      </c>
      <c r="G2112" s="4">
        <v>1000</v>
      </c>
      <c r="H2112" s="4">
        <v>0</v>
      </c>
      <c r="I2112" s="4">
        <v>-90681493.150000006</v>
      </c>
    </row>
    <row r="2113" spans="1:9" x14ac:dyDescent="0.3">
      <c r="A2113" t="s">
        <v>133</v>
      </c>
      <c r="B2113" s="1">
        <v>45880</v>
      </c>
      <c r="C2113" s="1">
        <v>45880</v>
      </c>
      <c r="D2113">
        <v>914891</v>
      </c>
      <c r="E2113">
        <v>75</v>
      </c>
      <c r="F2113" s="3" t="s">
        <v>1888</v>
      </c>
      <c r="G2113" s="4">
        <v>430000</v>
      </c>
      <c r="H2113" s="4">
        <v>0</v>
      </c>
      <c r="I2113" s="4">
        <v>-90251493.150000006</v>
      </c>
    </row>
    <row r="2114" spans="1:9" x14ac:dyDescent="0.3">
      <c r="A2114" t="s">
        <v>133</v>
      </c>
      <c r="B2114" s="1">
        <v>45880</v>
      </c>
      <c r="C2114" s="1">
        <v>45880</v>
      </c>
      <c r="D2114">
        <v>914892</v>
      </c>
      <c r="E2114">
        <v>45</v>
      </c>
      <c r="F2114" s="3" t="s">
        <v>1889</v>
      </c>
      <c r="G2114" s="4">
        <v>300650</v>
      </c>
      <c r="H2114" s="4">
        <v>0</v>
      </c>
      <c r="I2114" s="4">
        <v>-89950843.150000006</v>
      </c>
    </row>
    <row r="2115" spans="1:9" x14ac:dyDescent="0.3">
      <c r="A2115" t="s">
        <v>133</v>
      </c>
      <c r="B2115" s="1">
        <v>45880</v>
      </c>
      <c r="C2115" s="1">
        <v>45880</v>
      </c>
      <c r="D2115">
        <v>914919</v>
      </c>
      <c r="E2115">
        <v>41</v>
      </c>
      <c r="F2115" s="3" t="s">
        <v>1890</v>
      </c>
      <c r="G2115" s="4">
        <v>40000</v>
      </c>
      <c r="H2115" s="4">
        <v>0</v>
      </c>
      <c r="I2115" s="4">
        <v>-89910843.150000006</v>
      </c>
    </row>
    <row r="2116" spans="1:9" x14ac:dyDescent="0.3">
      <c r="A2116" t="s">
        <v>133</v>
      </c>
      <c r="B2116" s="1">
        <v>45880</v>
      </c>
      <c r="C2116" s="1">
        <v>45880</v>
      </c>
      <c r="D2116">
        <v>914929</v>
      </c>
      <c r="E2116">
        <v>14</v>
      </c>
      <c r="F2116" s="3" t="s">
        <v>1891</v>
      </c>
      <c r="G2116" s="4">
        <v>200000</v>
      </c>
      <c r="H2116" s="4">
        <v>0</v>
      </c>
      <c r="I2116" s="4">
        <v>-89710843.150000006</v>
      </c>
    </row>
    <row r="2117" spans="1:9" x14ac:dyDescent="0.3">
      <c r="A2117" t="s">
        <v>133</v>
      </c>
      <c r="B2117" s="1">
        <v>45880</v>
      </c>
      <c r="C2117" s="1">
        <v>45880</v>
      </c>
      <c r="D2117">
        <v>914930</v>
      </c>
      <c r="E2117">
        <v>28</v>
      </c>
      <c r="F2117" s="3" t="s">
        <v>1892</v>
      </c>
      <c r="G2117" s="4">
        <v>320000</v>
      </c>
      <c r="H2117" s="4">
        <v>0</v>
      </c>
      <c r="I2117" s="4">
        <v>-89390843.150000006</v>
      </c>
    </row>
    <row r="2118" spans="1:9" x14ac:dyDescent="0.3">
      <c r="A2118" t="s">
        <v>133</v>
      </c>
      <c r="B2118" s="1">
        <v>45880</v>
      </c>
      <c r="C2118" s="1">
        <v>45880</v>
      </c>
      <c r="D2118">
        <v>914932</v>
      </c>
      <c r="E2118">
        <v>78</v>
      </c>
      <c r="F2118" s="3" t="s">
        <v>1893</v>
      </c>
      <c r="G2118" s="4">
        <v>22200</v>
      </c>
      <c r="H2118" s="4">
        <v>0</v>
      </c>
      <c r="I2118" s="4">
        <v>-89368643.150000006</v>
      </c>
    </row>
    <row r="2119" spans="1:9" x14ac:dyDescent="0.3">
      <c r="A2119" t="s">
        <v>133</v>
      </c>
      <c r="B2119" s="1">
        <v>45880</v>
      </c>
      <c r="C2119" s="1">
        <v>45880</v>
      </c>
      <c r="D2119">
        <v>914933</v>
      </c>
      <c r="E2119">
        <v>92</v>
      </c>
      <c r="F2119" s="3" t="s">
        <v>1894</v>
      </c>
      <c r="G2119" s="4">
        <v>400000</v>
      </c>
      <c r="H2119" s="4">
        <v>0</v>
      </c>
      <c r="I2119" s="4">
        <v>-88968643.150000006</v>
      </c>
    </row>
    <row r="2120" spans="1:9" x14ac:dyDescent="0.3">
      <c r="A2120" t="s">
        <v>133</v>
      </c>
      <c r="B2120" s="1">
        <v>45880</v>
      </c>
      <c r="C2120" s="1">
        <v>45880</v>
      </c>
      <c r="D2120">
        <v>914934</v>
      </c>
      <c r="E2120">
        <v>76</v>
      </c>
      <c r="F2120" s="3" t="s">
        <v>1895</v>
      </c>
      <c r="G2120" s="4">
        <v>310000</v>
      </c>
      <c r="H2120" s="4">
        <v>0</v>
      </c>
      <c r="I2120" s="4">
        <v>-88658643.150000006</v>
      </c>
    </row>
    <row r="2121" spans="1:9" x14ac:dyDescent="0.3">
      <c r="A2121" t="s">
        <v>133</v>
      </c>
      <c r="B2121" s="1">
        <v>45880</v>
      </c>
      <c r="C2121" s="1">
        <v>45880</v>
      </c>
      <c r="D2121">
        <v>914938</v>
      </c>
      <c r="E2121">
        <v>301</v>
      </c>
      <c r="F2121" s="3" t="s">
        <v>1896</v>
      </c>
      <c r="G2121" s="4">
        <v>210000</v>
      </c>
      <c r="H2121" s="4">
        <v>0</v>
      </c>
      <c r="I2121" s="4">
        <v>-88448643.150000006</v>
      </c>
    </row>
    <row r="2122" spans="1:9" x14ac:dyDescent="0.3">
      <c r="A2122" t="s">
        <v>133</v>
      </c>
      <c r="B2122" s="1">
        <v>45880</v>
      </c>
      <c r="C2122" s="1">
        <v>45880</v>
      </c>
      <c r="D2122">
        <v>914939</v>
      </c>
      <c r="E2122">
        <v>542</v>
      </c>
      <c r="F2122" s="3" t="s">
        <v>208</v>
      </c>
      <c r="G2122" s="4">
        <v>295000</v>
      </c>
      <c r="H2122" s="4">
        <v>0</v>
      </c>
      <c r="I2122" s="4">
        <v>-88153643.150000006</v>
      </c>
    </row>
    <row r="2123" spans="1:9" x14ac:dyDescent="0.3">
      <c r="A2123" t="s">
        <v>133</v>
      </c>
      <c r="B2123" s="1">
        <v>45880</v>
      </c>
      <c r="C2123" s="1">
        <v>45880</v>
      </c>
      <c r="D2123">
        <v>914940</v>
      </c>
      <c r="E2123">
        <v>28</v>
      </c>
      <c r="F2123" s="3">
        <v>50921738957</v>
      </c>
      <c r="G2123" s="4">
        <v>10620.25</v>
      </c>
      <c r="H2123" s="4">
        <v>0</v>
      </c>
      <c r="I2123" s="4">
        <v>-88143022.900000006</v>
      </c>
    </row>
    <row r="2124" spans="1:9" x14ac:dyDescent="0.3">
      <c r="A2124" t="s">
        <v>133</v>
      </c>
      <c r="B2124" s="1">
        <v>45880</v>
      </c>
      <c r="C2124" s="1">
        <v>45880</v>
      </c>
      <c r="D2124">
        <v>914946</v>
      </c>
      <c r="E2124">
        <v>78</v>
      </c>
      <c r="F2124" s="3" t="s">
        <v>1897</v>
      </c>
      <c r="G2124" s="4">
        <v>1500</v>
      </c>
      <c r="H2124" s="4">
        <v>0</v>
      </c>
      <c r="I2124" s="4">
        <v>-88141522.900000006</v>
      </c>
    </row>
    <row r="2125" spans="1:9" x14ac:dyDescent="0.3">
      <c r="A2125" t="s">
        <v>133</v>
      </c>
      <c r="B2125" s="1">
        <v>45880</v>
      </c>
      <c r="C2125" s="1">
        <v>45880</v>
      </c>
      <c r="D2125">
        <v>914949</v>
      </c>
      <c r="E2125">
        <v>78</v>
      </c>
      <c r="F2125" s="3" t="s">
        <v>1898</v>
      </c>
      <c r="G2125" s="4">
        <v>21528.5</v>
      </c>
      <c r="H2125" s="4">
        <v>0</v>
      </c>
      <c r="I2125" s="4">
        <v>-88119994.400000006</v>
      </c>
    </row>
    <row r="2126" spans="1:9" x14ac:dyDescent="0.3">
      <c r="A2126" t="s">
        <v>133</v>
      </c>
      <c r="B2126" s="1">
        <v>45880</v>
      </c>
      <c r="C2126" s="1">
        <v>45880</v>
      </c>
      <c r="D2126">
        <v>914954</v>
      </c>
      <c r="E2126">
        <v>11</v>
      </c>
      <c r="F2126" s="3" t="s">
        <v>1899</v>
      </c>
      <c r="G2126" s="4">
        <v>216500</v>
      </c>
      <c r="H2126" s="4">
        <v>0</v>
      </c>
      <c r="I2126" s="4">
        <v>-87903494.400000006</v>
      </c>
    </row>
    <row r="2127" spans="1:9" x14ac:dyDescent="0.3">
      <c r="A2127" t="s">
        <v>133</v>
      </c>
      <c r="B2127" s="1">
        <v>45880</v>
      </c>
      <c r="C2127" s="1">
        <v>45880</v>
      </c>
      <c r="D2127">
        <v>914956</v>
      </c>
      <c r="E2127">
        <v>301</v>
      </c>
      <c r="F2127" s="3" t="s">
        <v>1900</v>
      </c>
      <c r="G2127" s="4">
        <v>22304.75</v>
      </c>
      <c r="H2127" s="4">
        <v>0</v>
      </c>
      <c r="I2127" s="4">
        <v>-87881189.650000006</v>
      </c>
    </row>
    <row r="2128" spans="1:9" x14ac:dyDescent="0.3">
      <c r="A2128" t="s">
        <v>133</v>
      </c>
      <c r="B2128" s="1">
        <v>45880</v>
      </c>
      <c r="C2128" s="1">
        <v>45880</v>
      </c>
      <c r="D2128">
        <v>914960</v>
      </c>
      <c r="E2128">
        <v>74</v>
      </c>
      <c r="F2128" s="3" t="s">
        <v>403</v>
      </c>
      <c r="G2128" s="4">
        <v>320000</v>
      </c>
      <c r="H2128" s="4">
        <v>0</v>
      </c>
      <c r="I2128" s="4">
        <v>-87561189.650000006</v>
      </c>
    </row>
    <row r="2129" spans="1:9" x14ac:dyDescent="0.3">
      <c r="A2129" t="s">
        <v>133</v>
      </c>
      <c r="B2129" s="1">
        <v>45880</v>
      </c>
      <c r="C2129" s="1">
        <v>45880</v>
      </c>
      <c r="D2129">
        <v>914965</v>
      </c>
      <c r="E2129">
        <v>66</v>
      </c>
      <c r="F2129" s="3" t="s">
        <v>1901</v>
      </c>
      <c r="G2129" s="4">
        <v>500000</v>
      </c>
      <c r="H2129" s="4">
        <v>0</v>
      </c>
      <c r="I2129" s="4">
        <v>-87061189.650000006</v>
      </c>
    </row>
    <row r="2130" spans="1:9" x14ac:dyDescent="0.3">
      <c r="A2130" t="s">
        <v>133</v>
      </c>
      <c r="B2130" s="1">
        <v>45880</v>
      </c>
      <c r="C2130" s="1">
        <v>45880</v>
      </c>
      <c r="D2130">
        <v>914967</v>
      </c>
      <c r="E2130">
        <v>56</v>
      </c>
      <c r="F2130" s="3" t="s">
        <v>1902</v>
      </c>
      <c r="G2130" s="4">
        <v>30053.25</v>
      </c>
      <c r="H2130" s="4">
        <v>0</v>
      </c>
      <c r="I2130" s="4">
        <v>-87031136.400000006</v>
      </c>
    </row>
    <row r="2131" spans="1:9" x14ac:dyDescent="0.3">
      <c r="A2131" t="s">
        <v>133</v>
      </c>
      <c r="B2131" s="1">
        <v>45880</v>
      </c>
      <c r="C2131" s="1">
        <v>45880</v>
      </c>
      <c r="D2131">
        <v>914968</v>
      </c>
      <c r="E2131">
        <v>13</v>
      </c>
      <c r="F2131" s="3" t="s">
        <v>1903</v>
      </c>
      <c r="G2131" s="4">
        <v>330000</v>
      </c>
      <c r="H2131" s="4">
        <v>0</v>
      </c>
      <c r="I2131" s="4">
        <v>-86701136.400000006</v>
      </c>
    </row>
    <row r="2132" spans="1:9" x14ac:dyDescent="0.3">
      <c r="A2132" t="s">
        <v>133</v>
      </c>
      <c r="B2132" s="1">
        <v>45880</v>
      </c>
      <c r="C2132" s="1">
        <v>45880</v>
      </c>
      <c r="D2132">
        <v>914972</v>
      </c>
      <c r="E2132">
        <v>31</v>
      </c>
      <c r="F2132" s="3" t="s">
        <v>700</v>
      </c>
      <c r="G2132" s="4">
        <v>600000</v>
      </c>
      <c r="H2132" s="4">
        <v>0</v>
      </c>
      <c r="I2132" s="4">
        <v>-86101136.400000006</v>
      </c>
    </row>
    <row r="2133" spans="1:9" x14ac:dyDescent="0.3">
      <c r="A2133" t="s">
        <v>133</v>
      </c>
      <c r="B2133" s="1">
        <v>45880</v>
      </c>
      <c r="C2133" s="1">
        <v>45880</v>
      </c>
      <c r="D2133">
        <v>914975</v>
      </c>
      <c r="E2133">
        <v>18</v>
      </c>
      <c r="F2133" s="3" t="s">
        <v>1904</v>
      </c>
      <c r="G2133" s="4">
        <v>300480</v>
      </c>
      <c r="H2133" s="4">
        <v>0</v>
      </c>
      <c r="I2133" s="4">
        <v>-85800656.400000006</v>
      </c>
    </row>
    <row r="2134" spans="1:9" x14ac:dyDescent="0.3">
      <c r="A2134" t="s">
        <v>133</v>
      </c>
      <c r="B2134" s="1">
        <v>45880</v>
      </c>
      <c r="C2134" s="1">
        <v>45880</v>
      </c>
      <c r="D2134">
        <v>914977</v>
      </c>
      <c r="E2134">
        <v>37</v>
      </c>
      <c r="F2134" s="3" t="s">
        <v>1905</v>
      </c>
      <c r="G2134" s="4">
        <v>629353</v>
      </c>
      <c r="H2134" s="4">
        <v>0</v>
      </c>
      <c r="I2134" s="4">
        <v>-85171303.400000006</v>
      </c>
    </row>
    <row r="2135" spans="1:9" x14ac:dyDescent="0.3">
      <c r="A2135" t="s">
        <v>133</v>
      </c>
      <c r="B2135" s="1">
        <v>45880</v>
      </c>
      <c r="C2135" s="1">
        <v>45880</v>
      </c>
      <c r="D2135">
        <v>914978</v>
      </c>
      <c r="E2135">
        <v>223</v>
      </c>
      <c r="F2135" s="3" t="s">
        <v>922</v>
      </c>
      <c r="G2135" s="4">
        <v>540000</v>
      </c>
      <c r="H2135" s="4">
        <v>0</v>
      </c>
      <c r="I2135" s="4">
        <v>-84631303.400000006</v>
      </c>
    </row>
    <row r="2136" spans="1:9" x14ac:dyDescent="0.3">
      <c r="A2136" t="s">
        <v>133</v>
      </c>
      <c r="B2136" s="1">
        <v>45880</v>
      </c>
      <c r="C2136" s="1">
        <v>45880</v>
      </c>
      <c r="D2136">
        <v>914979</v>
      </c>
      <c r="E2136">
        <v>27</v>
      </c>
      <c r="F2136" s="3" t="s">
        <v>1906</v>
      </c>
      <c r="G2136" s="4">
        <v>25000</v>
      </c>
      <c r="H2136" s="4">
        <v>0</v>
      </c>
      <c r="I2136" s="4">
        <v>-84606303.400000006</v>
      </c>
    </row>
    <row r="2137" spans="1:9" x14ac:dyDescent="0.3">
      <c r="A2137" t="s">
        <v>133</v>
      </c>
      <c r="B2137" s="1">
        <v>45880</v>
      </c>
      <c r="C2137" s="1">
        <v>45880</v>
      </c>
      <c r="D2137">
        <v>914980</v>
      </c>
      <c r="E2137">
        <v>48</v>
      </c>
      <c r="F2137" s="3" t="s">
        <v>1907</v>
      </c>
      <c r="G2137" s="4">
        <v>84060</v>
      </c>
      <c r="H2137" s="4">
        <v>0</v>
      </c>
      <c r="I2137" s="4">
        <v>-84522243.400000006</v>
      </c>
    </row>
    <row r="2138" spans="1:9" x14ac:dyDescent="0.3">
      <c r="A2138" t="s">
        <v>133</v>
      </c>
      <c r="B2138" s="1">
        <v>45880</v>
      </c>
      <c r="C2138" s="1">
        <v>45880</v>
      </c>
      <c r="D2138">
        <v>914981</v>
      </c>
      <c r="E2138">
        <v>11</v>
      </c>
      <c r="F2138" s="3" t="s">
        <v>1908</v>
      </c>
      <c r="G2138" s="4">
        <v>3872</v>
      </c>
      <c r="H2138" s="4">
        <v>0</v>
      </c>
      <c r="I2138" s="4">
        <v>-84518371.400000006</v>
      </c>
    </row>
    <row r="2139" spans="1:9" x14ac:dyDescent="0.3">
      <c r="A2139" t="s">
        <v>133</v>
      </c>
      <c r="B2139" s="1">
        <v>45880</v>
      </c>
      <c r="C2139" s="1">
        <v>45880</v>
      </c>
      <c r="D2139">
        <v>914983</v>
      </c>
      <c r="E2139">
        <v>11</v>
      </c>
      <c r="F2139" s="3" t="s">
        <v>1909</v>
      </c>
      <c r="G2139" s="4">
        <v>267044</v>
      </c>
      <c r="H2139" s="4">
        <v>0</v>
      </c>
      <c r="I2139" s="4">
        <v>-84251327.400000006</v>
      </c>
    </row>
    <row r="2140" spans="1:9" x14ac:dyDescent="0.3">
      <c r="A2140" t="s">
        <v>133</v>
      </c>
      <c r="B2140" s="1">
        <v>45880</v>
      </c>
      <c r="C2140" s="1">
        <v>45880</v>
      </c>
      <c r="D2140">
        <v>914984</v>
      </c>
      <c r="E2140">
        <v>12</v>
      </c>
      <c r="F2140" s="3" t="s">
        <v>1910</v>
      </c>
      <c r="G2140" s="4">
        <v>410000</v>
      </c>
      <c r="H2140" s="4">
        <v>0</v>
      </c>
      <c r="I2140" s="4">
        <v>-83841327.400000006</v>
      </c>
    </row>
    <row r="2141" spans="1:9" x14ac:dyDescent="0.3">
      <c r="A2141" t="s">
        <v>133</v>
      </c>
      <c r="B2141" s="1">
        <v>45880</v>
      </c>
      <c r="C2141" s="1">
        <v>45880</v>
      </c>
      <c r="D2141">
        <v>914985</v>
      </c>
      <c r="E2141">
        <v>78</v>
      </c>
      <c r="F2141" s="3" t="s">
        <v>1911</v>
      </c>
      <c r="G2141" s="4">
        <v>5525</v>
      </c>
      <c r="H2141" s="4">
        <v>0</v>
      </c>
      <c r="I2141" s="4">
        <v>-83835802.400000006</v>
      </c>
    </row>
    <row r="2142" spans="1:9" x14ac:dyDescent="0.3">
      <c r="A2142" t="s">
        <v>133</v>
      </c>
      <c r="B2142" s="1">
        <v>45880</v>
      </c>
      <c r="C2142" s="1">
        <v>45880</v>
      </c>
      <c r="D2142">
        <v>914989</v>
      </c>
      <c r="E2142">
        <v>27</v>
      </c>
      <c r="F2142" s="3" t="s">
        <v>1912</v>
      </c>
      <c r="G2142" s="4">
        <v>65652.5</v>
      </c>
      <c r="H2142" s="4">
        <v>0</v>
      </c>
      <c r="I2142" s="4">
        <v>-83770149.900000006</v>
      </c>
    </row>
    <row r="2143" spans="1:9" x14ac:dyDescent="0.3">
      <c r="A2143" t="s">
        <v>133</v>
      </c>
      <c r="B2143" s="1">
        <v>45880</v>
      </c>
      <c r="C2143" s="1">
        <v>45880</v>
      </c>
      <c r="D2143">
        <v>914990</v>
      </c>
      <c r="E2143">
        <v>532</v>
      </c>
      <c r="F2143" s="3" t="s">
        <v>1913</v>
      </c>
      <c r="G2143" s="4">
        <v>750180</v>
      </c>
      <c r="H2143" s="4">
        <v>0</v>
      </c>
      <c r="I2143" s="4">
        <v>-83019969.900000006</v>
      </c>
    </row>
    <row r="2144" spans="1:9" x14ac:dyDescent="0.3">
      <c r="A2144" t="s">
        <v>133</v>
      </c>
      <c r="B2144" s="1">
        <v>45880</v>
      </c>
      <c r="C2144" s="1">
        <v>45880</v>
      </c>
      <c r="D2144">
        <v>914991</v>
      </c>
      <c r="E2144">
        <v>45</v>
      </c>
      <c r="F2144" s="3" t="s">
        <v>1914</v>
      </c>
      <c r="G2144" s="4">
        <v>54509</v>
      </c>
      <c r="H2144" s="4">
        <v>0</v>
      </c>
      <c r="I2144" s="4">
        <v>-82965460.900000006</v>
      </c>
    </row>
    <row r="2145" spans="1:9" x14ac:dyDescent="0.3">
      <c r="A2145" t="s">
        <v>133</v>
      </c>
      <c r="B2145" s="1">
        <v>45880</v>
      </c>
      <c r="C2145" s="1">
        <v>45880</v>
      </c>
      <c r="D2145">
        <v>914994</v>
      </c>
      <c r="E2145">
        <v>54</v>
      </c>
      <c r="F2145" s="3" t="s">
        <v>1915</v>
      </c>
      <c r="G2145" s="4">
        <v>480000</v>
      </c>
      <c r="H2145" s="4">
        <v>0</v>
      </c>
      <c r="I2145" s="4">
        <v>-82485460.900000006</v>
      </c>
    </row>
    <row r="2146" spans="1:9" x14ac:dyDescent="0.3">
      <c r="A2146" t="s">
        <v>133</v>
      </c>
      <c r="B2146" s="1">
        <v>45880</v>
      </c>
      <c r="C2146" s="1">
        <v>45880</v>
      </c>
      <c r="D2146">
        <v>914995</v>
      </c>
      <c r="E2146">
        <v>17</v>
      </c>
      <c r="F2146" s="3" t="s">
        <v>1916</v>
      </c>
      <c r="G2146" s="4">
        <v>190000</v>
      </c>
      <c r="H2146" s="4">
        <v>0</v>
      </c>
      <c r="I2146" s="4">
        <v>-82295460.900000006</v>
      </c>
    </row>
    <row r="2147" spans="1:9" x14ac:dyDescent="0.3">
      <c r="A2147" t="s">
        <v>133</v>
      </c>
      <c r="B2147" s="1">
        <v>45880</v>
      </c>
      <c r="C2147" s="1">
        <v>45880</v>
      </c>
      <c r="D2147">
        <v>914996</v>
      </c>
      <c r="E2147">
        <v>27</v>
      </c>
      <c r="F2147" s="3" t="s">
        <v>1917</v>
      </c>
      <c r="G2147" s="4">
        <v>259969</v>
      </c>
      <c r="H2147" s="4">
        <v>0</v>
      </c>
      <c r="I2147" s="4">
        <v>-82035491.900000006</v>
      </c>
    </row>
    <row r="2148" spans="1:9" x14ac:dyDescent="0.3">
      <c r="A2148" t="s">
        <v>133</v>
      </c>
      <c r="B2148" s="1">
        <v>45880</v>
      </c>
      <c r="C2148" s="1">
        <v>45880</v>
      </c>
      <c r="D2148">
        <v>915001</v>
      </c>
      <c r="E2148">
        <v>52</v>
      </c>
      <c r="F2148" s="3" t="s">
        <v>1918</v>
      </c>
      <c r="G2148" s="4">
        <v>49722.5</v>
      </c>
      <c r="H2148" s="4">
        <v>0</v>
      </c>
      <c r="I2148" s="4">
        <v>-81985769.400000006</v>
      </c>
    </row>
    <row r="2149" spans="1:9" x14ac:dyDescent="0.3">
      <c r="A2149" t="s">
        <v>133</v>
      </c>
      <c r="B2149" s="1">
        <v>45880</v>
      </c>
      <c r="C2149" s="1">
        <v>45880</v>
      </c>
      <c r="D2149">
        <v>915004</v>
      </c>
      <c r="E2149">
        <v>75</v>
      </c>
      <c r="F2149" s="3" t="s">
        <v>1919</v>
      </c>
      <c r="G2149" s="4">
        <v>49990</v>
      </c>
      <c r="H2149" s="4">
        <v>0</v>
      </c>
      <c r="I2149" s="4">
        <v>-81935779.400000006</v>
      </c>
    </row>
    <row r="2150" spans="1:9" x14ac:dyDescent="0.3">
      <c r="A2150" t="s">
        <v>133</v>
      </c>
      <c r="B2150" s="1">
        <v>45880</v>
      </c>
      <c r="C2150" s="1">
        <v>45880</v>
      </c>
      <c r="D2150">
        <v>915005</v>
      </c>
      <c r="E2150">
        <v>27</v>
      </c>
      <c r="F2150" s="3" t="s">
        <v>1920</v>
      </c>
      <c r="G2150" s="4">
        <v>64656.75</v>
      </c>
      <c r="H2150" s="4">
        <v>0</v>
      </c>
      <c r="I2150" s="4">
        <v>-81871122.650000006</v>
      </c>
    </row>
    <row r="2151" spans="1:9" x14ac:dyDescent="0.3">
      <c r="A2151" t="s">
        <v>133</v>
      </c>
      <c r="B2151" s="1">
        <v>45880</v>
      </c>
      <c r="C2151" s="1">
        <v>45880</v>
      </c>
      <c r="D2151">
        <v>915007</v>
      </c>
      <c r="E2151">
        <v>27</v>
      </c>
      <c r="F2151" s="3" t="s">
        <v>1921</v>
      </c>
      <c r="G2151" s="4">
        <v>110280.5</v>
      </c>
      <c r="H2151" s="4">
        <v>0</v>
      </c>
      <c r="I2151" s="4">
        <v>-81760842.150000006</v>
      </c>
    </row>
    <row r="2152" spans="1:9" x14ac:dyDescent="0.3">
      <c r="A2152" t="s">
        <v>133</v>
      </c>
      <c r="B2152" s="1">
        <v>45880</v>
      </c>
      <c r="C2152" s="1">
        <v>45880</v>
      </c>
      <c r="D2152">
        <v>915008</v>
      </c>
      <c r="E2152">
        <v>55</v>
      </c>
      <c r="F2152" s="3" t="s">
        <v>1922</v>
      </c>
      <c r="G2152" s="4">
        <v>470000</v>
      </c>
      <c r="H2152" s="4">
        <v>0</v>
      </c>
      <c r="I2152" s="4">
        <v>-81290842.150000006</v>
      </c>
    </row>
    <row r="2153" spans="1:9" x14ac:dyDescent="0.3">
      <c r="A2153" t="s">
        <v>133</v>
      </c>
      <c r="B2153" s="1">
        <v>45880</v>
      </c>
      <c r="C2153" s="1">
        <v>45880</v>
      </c>
      <c r="D2153">
        <v>915009</v>
      </c>
      <c r="E2153">
        <v>27</v>
      </c>
      <c r="F2153" s="3" t="s">
        <v>1923</v>
      </c>
      <c r="G2153" s="4">
        <v>103385</v>
      </c>
      <c r="H2153" s="4">
        <v>0</v>
      </c>
      <c r="I2153" s="4">
        <v>-81187457.150000006</v>
      </c>
    </row>
    <row r="2154" spans="1:9" x14ac:dyDescent="0.3">
      <c r="A2154" t="s">
        <v>133</v>
      </c>
      <c r="B2154" s="1">
        <v>45880</v>
      </c>
      <c r="C2154" s="1">
        <v>45880</v>
      </c>
      <c r="D2154">
        <v>915014</v>
      </c>
      <c r="E2154">
        <v>58</v>
      </c>
      <c r="F2154" s="3" t="s">
        <v>1924</v>
      </c>
      <c r="G2154" s="4">
        <v>220000</v>
      </c>
      <c r="H2154" s="4">
        <v>0</v>
      </c>
      <c r="I2154" s="4">
        <v>-80967457.150000006</v>
      </c>
    </row>
    <row r="2155" spans="1:9" x14ac:dyDescent="0.3">
      <c r="A2155" t="s">
        <v>133</v>
      </c>
      <c r="B2155" s="1">
        <v>45880</v>
      </c>
      <c r="C2155" s="1">
        <v>45880</v>
      </c>
      <c r="D2155">
        <v>915018</v>
      </c>
      <c r="E2155">
        <v>71</v>
      </c>
      <c r="F2155" s="3" t="s">
        <v>1925</v>
      </c>
      <c r="G2155" s="4">
        <v>210000</v>
      </c>
      <c r="H2155" s="4">
        <v>0</v>
      </c>
      <c r="I2155" s="4">
        <v>-80757457.150000006</v>
      </c>
    </row>
    <row r="2156" spans="1:9" x14ac:dyDescent="0.3">
      <c r="A2156" t="s">
        <v>133</v>
      </c>
      <c r="B2156" s="1">
        <v>45880</v>
      </c>
      <c r="C2156" s="1">
        <v>45880</v>
      </c>
      <c r="D2156">
        <v>915029</v>
      </c>
      <c r="E2156">
        <v>78</v>
      </c>
      <c r="F2156" s="3" t="s">
        <v>1926</v>
      </c>
      <c r="G2156" s="4">
        <v>665000</v>
      </c>
      <c r="H2156" s="4">
        <v>0</v>
      </c>
      <c r="I2156" s="4">
        <v>-80092457.150000006</v>
      </c>
    </row>
    <row r="2157" spans="1:9" x14ac:dyDescent="0.3">
      <c r="A2157" t="s">
        <v>133</v>
      </c>
      <c r="B2157" s="1">
        <v>45880</v>
      </c>
      <c r="C2157" s="1">
        <v>45880</v>
      </c>
      <c r="D2157">
        <v>915034</v>
      </c>
      <c r="E2157">
        <v>78</v>
      </c>
      <c r="F2157" s="3" t="s">
        <v>1927</v>
      </c>
      <c r="G2157" s="4">
        <v>50000</v>
      </c>
      <c r="H2157" s="4">
        <v>0</v>
      </c>
      <c r="I2157" s="4">
        <v>-80042457.150000006</v>
      </c>
    </row>
    <row r="2158" spans="1:9" x14ac:dyDescent="0.3">
      <c r="A2158" t="s">
        <v>133</v>
      </c>
      <c r="B2158" s="1">
        <v>45880</v>
      </c>
      <c r="C2158" s="1">
        <v>45880</v>
      </c>
      <c r="D2158">
        <v>915035</v>
      </c>
      <c r="E2158">
        <v>78</v>
      </c>
      <c r="F2158" s="3" t="s">
        <v>1928</v>
      </c>
      <c r="G2158" s="4">
        <v>250000</v>
      </c>
      <c r="H2158" s="4">
        <v>0</v>
      </c>
      <c r="I2158" s="4">
        <v>-79792457.150000006</v>
      </c>
    </row>
    <row r="2159" spans="1:9" x14ac:dyDescent="0.3">
      <c r="A2159" t="s">
        <v>133</v>
      </c>
      <c r="B2159" s="1">
        <v>45880</v>
      </c>
      <c r="C2159" s="1">
        <v>45880</v>
      </c>
      <c r="D2159">
        <v>915044</v>
      </c>
      <c r="E2159">
        <v>16</v>
      </c>
      <c r="F2159" s="3" t="s">
        <v>1929</v>
      </c>
      <c r="G2159" s="4">
        <v>820000</v>
      </c>
      <c r="H2159" s="4">
        <v>0</v>
      </c>
      <c r="I2159" s="4">
        <v>-78972457.150000006</v>
      </c>
    </row>
    <row r="2160" spans="1:9" x14ac:dyDescent="0.3">
      <c r="A2160" t="s">
        <v>133</v>
      </c>
      <c r="B2160" s="1">
        <v>45880</v>
      </c>
      <c r="C2160" s="1">
        <v>45880</v>
      </c>
      <c r="D2160">
        <v>915045</v>
      </c>
      <c r="E2160">
        <v>77</v>
      </c>
      <c r="F2160" s="3" t="s">
        <v>1930</v>
      </c>
      <c r="G2160" s="4">
        <v>430000</v>
      </c>
      <c r="H2160" s="4">
        <v>0</v>
      </c>
      <c r="I2160" s="4">
        <v>-78542457.150000006</v>
      </c>
    </row>
    <row r="2161" spans="1:9" x14ac:dyDescent="0.3">
      <c r="A2161" t="s">
        <v>133</v>
      </c>
      <c r="B2161" s="1">
        <v>45880</v>
      </c>
      <c r="C2161" s="1">
        <v>45880</v>
      </c>
      <c r="D2161">
        <v>915057</v>
      </c>
      <c r="E2161">
        <v>67</v>
      </c>
      <c r="F2161" s="3" t="s">
        <v>1931</v>
      </c>
      <c r="G2161" s="4">
        <v>235000</v>
      </c>
      <c r="H2161" s="4">
        <v>0</v>
      </c>
      <c r="I2161" s="4">
        <v>-78307457.150000006</v>
      </c>
    </row>
    <row r="2162" spans="1:9" x14ac:dyDescent="0.3">
      <c r="A2162" t="s">
        <v>133</v>
      </c>
      <c r="B2162" s="1">
        <v>45880</v>
      </c>
      <c r="C2162" s="1">
        <v>45880</v>
      </c>
      <c r="D2162">
        <v>915058</v>
      </c>
      <c r="E2162">
        <v>85</v>
      </c>
      <c r="F2162" s="3" t="s">
        <v>1932</v>
      </c>
      <c r="G2162" s="4">
        <v>720000</v>
      </c>
      <c r="H2162" s="4">
        <v>0</v>
      </c>
      <c r="I2162" s="4">
        <v>-77587457.150000006</v>
      </c>
    </row>
    <row r="2163" spans="1:9" x14ac:dyDescent="0.3">
      <c r="A2163" t="s">
        <v>133</v>
      </c>
      <c r="B2163" s="1">
        <v>45880</v>
      </c>
      <c r="C2163" s="1">
        <v>45880</v>
      </c>
      <c r="D2163">
        <v>915061</v>
      </c>
      <c r="E2163">
        <v>307</v>
      </c>
      <c r="F2163" s="3" t="s">
        <v>1933</v>
      </c>
      <c r="G2163" s="4">
        <v>350000</v>
      </c>
      <c r="H2163" s="4">
        <v>0</v>
      </c>
      <c r="I2163" s="4">
        <v>-77237457.150000006</v>
      </c>
    </row>
    <row r="2164" spans="1:9" x14ac:dyDescent="0.3">
      <c r="A2164" t="s">
        <v>133</v>
      </c>
      <c r="B2164" s="1">
        <v>45880</v>
      </c>
      <c r="C2164" s="1">
        <v>45880</v>
      </c>
      <c r="D2164">
        <v>915063</v>
      </c>
      <c r="E2164">
        <v>79</v>
      </c>
      <c r="F2164" s="3" t="s">
        <v>1934</v>
      </c>
      <c r="G2164" s="4">
        <v>860000</v>
      </c>
      <c r="H2164" s="4">
        <v>0</v>
      </c>
      <c r="I2164" s="4">
        <v>-76377457.150000006</v>
      </c>
    </row>
    <row r="2165" spans="1:9" x14ac:dyDescent="0.3">
      <c r="A2165" t="s">
        <v>133</v>
      </c>
      <c r="B2165" s="1">
        <v>45880</v>
      </c>
      <c r="C2165" s="1">
        <v>45880</v>
      </c>
      <c r="D2165">
        <v>915065</v>
      </c>
      <c r="E2165">
        <v>63</v>
      </c>
      <c r="F2165" s="3" t="s">
        <v>1935</v>
      </c>
      <c r="G2165" s="4">
        <v>300000</v>
      </c>
      <c r="H2165" s="4">
        <v>0</v>
      </c>
      <c r="I2165" s="4">
        <v>-76077457.150000006</v>
      </c>
    </row>
    <row r="2166" spans="1:9" x14ac:dyDescent="0.3">
      <c r="A2166" t="s">
        <v>133</v>
      </c>
      <c r="B2166" s="1">
        <v>45880</v>
      </c>
      <c r="C2166" s="1">
        <v>45880</v>
      </c>
      <c r="D2166">
        <v>915066</v>
      </c>
      <c r="E2166">
        <v>53</v>
      </c>
      <c r="F2166" s="3" t="s">
        <v>1936</v>
      </c>
      <c r="G2166" s="4">
        <v>60266</v>
      </c>
      <c r="H2166" s="4">
        <v>0</v>
      </c>
      <c r="I2166" s="4">
        <v>-76017191.150000006</v>
      </c>
    </row>
    <row r="2167" spans="1:9" x14ac:dyDescent="0.3">
      <c r="A2167" t="s">
        <v>133</v>
      </c>
      <c r="B2167" s="1">
        <v>45880</v>
      </c>
      <c r="C2167" s="1">
        <v>45880</v>
      </c>
      <c r="D2167">
        <v>915068</v>
      </c>
      <c r="E2167">
        <v>32</v>
      </c>
      <c r="F2167" s="3" t="s">
        <v>1161</v>
      </c>
      <c r="G2167" s="4">
        <v>410000</v>
      </c>
      <c r="H2167" s="4">
        <v>0</v>
      </c>
      <c r="I2167" s="4">
        <v>-75607191.150000006</v>
      </c>
    </row>
    <row r="2168" spans="1:9" x14ac:dyDescent="0.3">
      <c r="A2168" t="s">
        <v>133</v>
      </c>
      <c r="B2168" s="1">
        <v>45880</v>
      </c>
      <c r="C2168" s="1">
        <v>45880</v>
      </c>
      <c r="D2168">
        <v>915069</v>
      </c>
      <c r="E2168">
        <v>88</v>
      </c>
      <c r="F2168" s="3" t="s">
        <v>1937</v>
      </c>
      <c r="G2168" s="4">
        <v>11550</v>
      </c>
      <c r="H2168" s="4">
        <v>0</v>
      </c>
      <c r="I2168" s="4">
        <v>-75595641.150000006</v>
      </c>
    </row>
    <row r="2169" spans="1:9" x14ac:dyDescent="0.3">
      <c r="A2169" t="s">
        <v>133</v>
      </c>
      <c r="B2169" s="1">
        <v>45880</v>
      </c>
      <c r="C2169" s="1">
        <v>45880</v>
      </c>
      <c r="D2169">
        <v>915071</v>
      </c>
      <c r="E2169">
        <v>72</v>
      </c>
      <c r="F2169" s="3" t="s">
        <v>1938</v>
      </c>
      <c r="G2169" s="4">
        <v>320000</v>
      </c>
      <c r="H2169" s="4">
        <v>0</v>
      </c>
      <c r="I2169" s="4">
        <v>-75275641.150000006</v>
      </c>
    </row>
    <row r="2170" spans="1:9" x14ac:dyDescent="0.3">
      <c r="A2170" t="s">
        <v>133</v>
      </c>
      <c r="B2170" s="1">
        <v>45880</v>
      </c>
      <c r="C2170" s="1">
        <v>45880</v>
      </c>
      <c r="D2170">
        <v>915073</v>
      </c>
      <c r="E2170">
        <v>82</v>
      </c>
      <c r="F2170" s="3" t="s">
        <v>685</v>
      </c>
      <c r="G2170" s="4">
        <v>410000</v>
      </c>
      <c r="H2170" s="4">
        <v>0</v>
      </c>
      <c r="I2170" s="4">
        <v>-74865641.150000006</v>
      </c>
    </row>
    <row r="2171" spans="1:9" x14ac:dyDescent="0.3">
      <c r="A2171" t="s">
        <v>133</v>
      </c>
      <c r="B2171" s="1">
        <v>45880</v>
      </c>
      <c r="C2171" s="1">
        <v>45880</v>
      </c>
      <c r="D2171">
        <v>915075</v>
      </c>
      <c r="E2171">
        <v>11</v>
      </c>
      <c r="F2171" s="3" t="s">
        <v>1939</v>
      </c>
      <c r="G2171" s="4">
        <v>1170000</v>
      </c>
      <c r="H2171" s="4">
        <v>0</v>
      </c>
      <c r="I2171" s="4">
        <v>-73695641.150000006</v>
      </c>
    </row>
    <row r="2172" spans="1:9" x14ac:dyDescent="0.3">
      <c r="A2172" t="s">
        <v>133</v>
      </c>
      <c r="B2172" s="1">
        <v>45880</v>
      </c>
      <c r="C2172" s="1">
        <v>45880</v>
      </c>
      <c r="D2172">
        <v>915076</v>
      </c>
      <c r="E2172">
        <v>310</v>
      </c>
      <c r="F2172" s="3" t="s">
        <v>1120</v>
      </c>
      <c r="G2172" s="4">
        <v>400000</v>
      </c>
      <c r="H2172" s="4">
        <v>0</v>
      </c>
      <c r="I2172" s="4">
        <v>-73295641.150000006</v>
      </c>
    </row>
    <row r="2173" spans="1:9" x14ac:dyDescent="0.3">
      <c r="A2173" t="s">
        <v>133</v>
      </c>
      <c r="B2173" s="1">
        <v>45880</v>
      </c>
      <c r="C2173" s="1">
        <v>45880</v>
      </c>
      <c r="D2173">
        <v>915077</v>
      </c>
      <c r="E2173">
        <v>44</v>
      </c>
      <c r="F2173" s="3" t="s">
        <v>1940</v>
      </c>
      <c r="G2173" s="4">
        <v>94060.25</v>
      </c>
      <c r="H2173" s="4">
        <v>0</v>
      </c>
      <c r="I2173" s="4">
        <v>-73201580.900000006</v>
      </c>
    </row>
    <row r="2174" spans="1:9" x14ac:dyDescent="0.3">
      <c r="A2174" t="s">
        <v>133</v>
      </c>
      <c r="B2174" s="1">
        <v>45880</v>
      </c>
      <c r="C2174" s="1">
        <v>45880</v>
      </c>
      <c r="D2174">
        <v>915080</v>
      </c>
      <c r="E2174">
        <v>220</v>
      </c>
      <c r="F2174" s="3" t="s">
        <v>1941</v>
      </c>
      <c r="G2174" s="4">
        <v>600000</v>
      </c>
      <c r="H2174" s="4">
        <v>0</v>
      </c>
      <c r="I2174" s="4">
        <v>-72601580.900000006</v>
      </c>
    </row>
    <row r="2175" spans="1:9" x14ac:dyDescent="0.3">
      <c r="A2175" t="s">
        <v>133</v>
      </c>
      <c r="B2175" s="1">
        <v>45880</v>
      </c>
      <c r="C2175" s="1">
        <v>45880</v>
      </c>
      <c r="D2175">
        <v>915081</v>
      </c>
      <c r="E2175">
        <v>361</v>
      </c>
      <c r="F2175" s="3" t="s">
        <v>1942</v>
      </c>
      <c r="G2175" s="4">
        <v>360000</v>
      </c>
      <c r="H2175" s="4">
        <v>0</v>
      </c>
      <c r="I2175" s="4">
        <v>-72241580.900000006</v>
      </c>
    </row>
    <row r="2176" spans="1:9" x14ac:dyDescent="0.3">
      <c r="A2176" t="s">
        <v>133</v>
      </c>
      <c r="B2176" s="1">
        <v>45880</v>
      </c>
      <c r="C2176" s="1">
        <v>45880</v>
      </c>
      <c r="D2176">
        <v>915083</v>
      </c>
      <c r="E2176">
        <v>84</v>
      </c>
      <c r="F2176" s="3" t="s">
        <v>1943</v>
      </c>
      <c r="G2176" s="4">
        <v>845050</v>
      </c>
      <c r="H2176" s="4">
        <v>0</v>
      </c>
      <c r="I2176" s="4">
        <v>-71396530.900000006</v>
      </c>
    </row>
    <row r="2177" spans="1:9" x14ac:dyDescent="0.3">
      <c r="A2177" t="s">
        <v>133</v>
      </c>
      <c r="B2177" s="1">
        <v>45880</v>
      </c>
      <c r="C2177" s="1">
        <v>45880</v>
      </c>
      <c r="D2177">
        <v>915084</v>
      </c>
      <c r="E2177">
        <v>84</v>
      </c>
      <c r="F2177" s="3" t="s">
        <v>1944</v>
      </c>
      <c r="G2177" s="4">
        <v>20662.5</v>
      </c>
      <c r="H2177" s="4">
        <v>0</v>
      </c>
      <c r="I2177" s="4">
        <v>-71375868.400000006</v>
      </c>
    </row>
    <row r="2178" spans="1:9" x14ac:dyDescent="0.3">
      <c r="A2178" t="s">
        <v>133</v>
      </c>
      <c r="B2178" s="1">
        <v>45880</v>
      </c>
      <c r="C2178" s="1">
        <v>45880</v>
      </c>
      <c r="D2178">
        <v>915085</v>
      </c>
      <c r="E2178">
        <v>56</v>
      </c>
      <c r="F2178" s="3" t="s">
        <v>433</v>
      </c>
      <c r="G2178" s="4">
        <v>620000</v>
      </c>
      <c r="H2178" s="4">
        <v>0</v>
      </c>
      <c r="I2178" s="4">
        <v>-70755868.400000006</v>
      </c>
    </row>
    <row r="2179" spans="1:9" x14ac:dyDescent="0.3">
      <c r="A2179" t="s">
        <v>133</v>
      </c>
      <c r="B2179" s="1">
        <v>45880</v>
      </c>
      <c r="C2179" s="1">
        <v>45880</v>
      </c>
      <c r="D2179">
        <v>915089</v>
      </c>
      <c r="E2179">
        <v>91</v>
      </c>
      <c r="F2179" s="3" t="s">
        <v>1945</v>
      </c>
      <c r="G2179" s="4">
        <v>464680</v>
      </c>
      <c r="H2179" s="4">
        <v>0</v>
      </c>
      <c r="I2179" s="4">
        <v>-70291188.400000006</v>
      </c>
    </row>
    <row r="2180" spans="1:9" x14ac:dyDescent="0.3">
      <c r="A2180" t="s">
        <v>133</v>
      </c>
      <c r="B2180" s="1">
        <v>45880</v>
      </c>
      <c r="C2180" s="1">
        <v>45880</v>
      </c>
      <c r="D2180">
        <v>915090</v>
      </c>
      <c r="E2180">
        <v>91</v>
      </c>
      <c r="F2180" s="3" t="s">
        <v>1946</v>
      </c>
      <c r="G2180" s="4">
        <v>537700</v>
      </c>
      <c r="H2180" s="4">
        <v>0</v>
      </c>
      <c r="I2180" s="4">
        <v>-69753488.400000006</v>
      </c>
    </row>
    <row r="2181" spans="1:9" x14ac:dyDescent="0.3">
      <c r="A2181" t="s">
        <v>133</v>
      </c>
      <c r="B2181" s="1">
        <v>45880</v>
      </c>
      <c r="C2181" s="1">
        <v>45880</v>
      </c>
      <c r="D2181">
        <v>915093</v>
      </c>
      <c r="E2181">
        <v>351</v>
      </c>
      <c r="F2181" s="3" t="s">
        <v>1947</v>
      </c>
      <c r="G2181" s="4">
        <v>750000</v>
      </c>
      <c r="H2181" s="4">
        <v>0</v>
      </c>
      <c r="I2181" s="4">
        <v>-69003488.400000006</v>
      </c>
    </row>
    <row r="2182" spans="1:9" x14ac:dyDescent="0.3">
      <c r="A2182" t="s">
        <v>133</v>
      </c>
      <c r="B2182" s="1">
        <v>45880</v>
      </c>
      <c r="C2182" s="1">
        <v>45880</v>
      </c>
      <c r="D2182">
        <v>915094</v>
      </c>
      <c r="E2182">
        <v>33</v>
      </c>
      <c r="F2182" s="3" t="s">
        <v>1948</v>
      </c>
      <c r="G2182" s="4">
        <v>490000</v>
      </c>
      <c r="H2182" s="4">
        <v>0</v>
      </c>
      <c r="I2182" s="4">
        <v>-68513488.400000006</v>
      </c>
    </row>
    <row r="2183" spans="1:9" x14ac:dyDescent="0.3">
      <c r="A2183" t="s">
        <v>133</v>
      </c>
      <c r="B2183" s="1">
        <v>45880</v>
      </c>
      <c r="C2183" s="1">
        <v>45880</v>
      </c>
      <c r="D2183">
        <v>915098</v>
      </c>
      <c r="E2183">
        <v>23</v>
      </c>
      <c r="F2183" s="3" t="s">
        <v>181</v>
      </c>
      <c r="G2183" s="4">
        <v>530000</v>
      </c>
      <c r="H2183" s="4">
        <v>0</v>
      </c>
      <c r="I2183" s="4">
        <v>-67983488.400000006</v>
      </c>
    </row>
    <row r="2184" spans="1:9" x14ac:dyDescent="0.3">
      <c r="A2184" t="s">
        <v>133</v>
      </c>
      <c r="B2184" s="1">
        <v>45880</v>
      </c>
      <c r="C2184" s="1">
        <v>45880</v>
      </c>
      <c r="D2184">
        <v>915100</v>
      </c>
      <c r="E2184">
        <v>89</v>
      </c>
      <c r="F2184" s="3" t="s">
        <v>1949</v>
      </c>
      <c r="G2184" s="4">
        <v>500005</v>
      </c>
      <c r="H2184" s="4">
        <v>0</v>
      </c>
      <c r="I2184" s="4">
        <v>-67483483.400000006</v>
      </c>
    </row>
    <row r="2185" spans="1:9" x14ac:dyDescent="0.3">
      <c r="A2185" t="s">
        <v>133</v>
      </c>
      <c r="B2185" s="1">
        <v>45880</v>
      </c>
      <c r="C2185" s="1">
        <v>45880</v>
      </c>
      <c r="D2185">
        <v>915102</v>
      </c>
      <c r="E2185">
        <v>210</v>
      </c>
      <c r="F2185" s="3" t="s">
        <v>255</v>
      </c>
      <c r="G2185" s="4">
        <v>350070</v>
      </c>
      <c r="H2185" s="4">
        <v>0</v>
      </c>
      <c r="I2185" s="4">
        <v>-67133413.400000006</v>
      </c>
    </row>
    <row r="2186" spans="1:9" x14ac:dyDescent="0.3">
      <c r="A2186" t="s">
        <v>133</v>
      </c>
      <c r="B2186" s="1">
        <v>45880</v>
      </c>
      <c r="C2186" s="1">
        <v>45880</v>
      </c>
      <c r="D2186">
        <v>915103</v>
      </c>
      <c r="E2186">
        <v>61</v>
      </c>
      <c r="F2186" s="3" t="s">
        <v>1950</v>
      </c>
      <c r="G2186" s="4">
        <v>350000</v>
      </c>
      <c r="H2186" s="4">
        <v>0</v>
      </c>
      <c r="I2186" s="4">
        <v>-66783413.399999999</v>
      </c>
    </row>
    <row r="2187" spans="1:9" x14ac:dyDescent="0.3">
      <c r="A2187" t="s">
        <v>133</v>
      </c>
      <c r="B2187" s="1">
        <v>45880</v>
      </c>
      <c r="C2187" s="1">
        <v>45880</v>
      </c>
      <c r="D2187">
        <v>915104</v>
      </c>
      <c r="E2187">
        <v>53</v>
      </c>
      <c r="F2187" s="3" t="s">
        <v>1546</v>
      </c>
      <c r="G2187" s="4">
        <v>320000</v>
      </c>
      <c r="H2187" s="4">
        <v>0</v>
      </c>
      <c r="I2187" s="4">
        <v>-66463413.399999999</v>
      </c>
    </row>
    <row r="2188" spans="1:9" x14ac:dyDescent="0.3">
      <c r="A2188" t="s">
        <v>133</v>
      </c>
      <c r="B2188" s="1">
        <v>45880</v>
      </c>
      <c r="C2188" s="1">
        <v>45880</v>
      </c>
      <c r="D2188">
        <v>915106</v>
      </c>
      <c r="E2188">
        <v>382</v>
      </c>
      <c r="F2188" s="3" t="s">
        <v>1951</v>
      </c>
      <c r="G2188" s="4">
        <v>187000</v>
      </c>
      <c r="H2188" s="4">
        <v>0</v>
      </c>
      <c r="I2188" s="4">
        <v>-66276413.399999999</v>
      </c>
    </row>
    <row r="2189" spans="1:9" x14ac:dyDescent="0.3">
      <c r="A2189" t="s">
        <v>133</v>
      </c>
      <c r="B2189" s="1">
        <v>45880</v>
      </c>
      <c r="C2189" s="1">
        <v>45880</v>
      </c>
      <c r="D2189">
        <v>915107</v>
      </c>
      <c r="E2189">
        <v>98</v>
      </c>
      <c r="F2189" s="3" t="s">
        <v>1952</v>
      </c>
      <c r="G2189" s="4">
        <v>235000</v>
      </c>
      <c r="H2189" s="4">
        <v>0</v>
      </c>
      <c r="I2189" s="4">
        <v>-66041413.399999999</v>
      </c>
    </row>
    <row r="2190" spans="1:9" x14ac:dyDescent="0.3">
      <c r="A2190" t="s">
        <v>133</v>
      </c>
      <c r="B2190" s="1">
        <v>45880</v>
      </c>
      <c r="C2190" s="1">
        <v>45880</v>
      </c>
      <c r="D2190">
        <v>915111</v>
      </c>
      <c r="E2190">
        <v>27</v>
      </c>
      <c r="F2190" s="3" t="s">
        <v>1953</v>
      </c>
      <c r="G2190" s="4">
        <v>63723</v>
      </c>
      <c r="H2190" s="4">
        <v>0</v>
      </c>
      <c r="I2190" s="4">
        <v>-65977690.399999999</v>
      </c>
    </row>
    <row r="2191" spans="1:9" x14ac:dyDescent="0.3">
      <c r="A2191" t="s">
        <v>133</v>
      </c>
      <c r="B2191" s="1">
        <v>45880</v>
      </c>
      <c r="C2191" s="1">
        <v>45880</v>
      </c>
      <c r="D2191">
        <v>915112</v>
      </c>
      <c r="E2191">
        <v>382</v>
      </c>
      <c r="F2191" s="3" t="s">
        <v>1954</v>
      </c>
      <c r="G2191" s="4">
        <v>400000</v>
      </c>
      <c r="H2191" s="4">
        <v>0</v>
      </c>
      <c r="I2191" s="4">
        <v>-65577690.399999999</v>
      </c>
    </row>
    <row r="2192" spans="1:9" x14ac:dyDescent="0.3">
      <c r="A2192" t="s">
        <v>133</v>
      </c>
      <c r="B2192" s="1">
        <v>45880</v>
      </c>
      <c r="C2192" s="1">
        <v>45880</v>
      </c>
      <c r="D2192">
        <v>915113</v>
      </c>
      <c r="E2192">
        <v>27</v>
      </c>
      <c r="F2192" s="3" t="s">
        <v>1955</v>
      </c>
      <c r="G2192" s="4">
        <v>122982.5</v>
      </c>
      <c r="H2192" s="4">
        <v>0</v>
      </c>
      <c r="I2192" s="4">
        <v>-65454707.899999999</v>
      </c>
    </row>
    <row r="2193" spans="1:9" x14ac:dyDescent="0.3">
      <c r="A2193" t="s">
        <v>133</v>
      </c>
      <c r="B2193" s="1">
        <v>45880</v>
      </c>
      <c r="C2193" s="1">
        <v>45880</v>
      </c>
      <c r="D2193">
        <v>915115</v>
      </c>
      <c r="E2193">
        <v>27</v>
      </c>
      <c r="F2193" s="3" t="s">
        <v>1956</v>
      </c>
      <c r="G2193" s="4">
        <v>147307.5</v>
      </c>
      <c r="H2193" s="4">
        <v>0</v>
      </c>
      <c r="I2193" s="4">
        <v>-65307400.399999999</v>
      </c>
    </row>
    <row r="2194" spans="1:9" x14ac:dyDescent="0.3">
      <c r="A2194" t="s">
        <v>133</v>
      </c>
      <c r="B2194" s="1">
        <v>45880</v>
      </c>
      <c r="C2194" s="1">
        <v>45880</v>
      </c>
      <c r="D2194">
        <v>915117</v>
      </c>
      <c r="E2194">
        <v>27</v>
      </c>
      <c r="F2194" s="3" t="s">
        <v>1957</v>
      </c>
      <c r="G2194" s="4">
        <v>116216.5</v>
      </c>
      <c r="H2194" s="4">
        <v>0</v>
      </c>
      <c r="I2194" s="4">
        <v>-65191183.899999999</v>
      </c>
    </row>
    <row r="2195" spans="1:9" x14ac:dyDescent="0.3">
      <c r="A2195" t="s">
        <v>133</v>
      </c>
      <c r="B2195" s="1">
        <v>45880</v>
      </c>
      <c r="C2195" s="1">
        <v>45880</v>
      </c>
      <c r="D2195">
        <v>915118</v>
      </c>
      <c r="E2195">
        <v>27</v>
      </c>
      <c r="F2195" s="3" t="s">
        <v>1958</v>
      </c>
      <c r="G2195" s="4">
        <v>46972</v>
      </c>
      <c r="H2195" s="4">
        <v>0</v>
      </c>
      <c r="I2195" s="4">
        <v>-65144211.899999999</v>
      </c>
    </row>
    <row r="2196" spans="1:9" x14ac:dyDescent="0.3">
      <c r="A2196" t="s">
        <v>133</v>
      </c>
      <c r="B2196" s="1">
        <v>45880</v>
      </c>
      <c r="C2196" s="1">
        <v>45880</v>
      </c>
      <c r="D2196">
        <v>915120</v>
      </c>
      <c r="E2196">
        <v>12</v>
      </c>
      <c r="F2196" s="3" t="s">
        <v>1959</v>
      </c>
      <c r="G2196" s="4">
        <v>180091.25</v>
      </c>
      <c r="H2196" s="4">
        <v>0</v>
      </c>
      <c r="I2196" s="4">
        <v>-64964120.649999999</v>
      </c>
    </row>
    <row r="2197" spans="1:9" x14ac:dyDescent="0.3">
      <c r="A2197" t="s">
        <v>133</v>
      </c>
      <c r="B2197" s="1">
        <v>45880</v>
      </c>
      <c r="C2197" s="1">
        <v>45880</v>
      </c>
      <c r="D2197">
        <v>915122</v>
      </c>
      <c r="E2197">
        <v>75</v>
      </c>
      <c r="F2197" s="3" t="s">
        <v>1960</v>
      </c>
      <c r="G2197" s="4">
        <v>349.25</v>
      </c>
      <c r="H2197" s="4">
        <v>0</v>
      </c>
      <c r="I2197" s="4">
        <v>-64963771.399999999</v>
      </c>
    </row>
    <row r="2198" spans="1:9" x14ac:dyDescent="0.3">
      <c r="A2198" t="s">
        <v>133</v>
      </c>
      <c r="B2198" s="1">
        <v>45880</v>
      </c>
      <c r="C2198" s="1">
        <v>45880</v>
      </c>
      <c r="D2198">
        <v>915124</v>
      </c>
      <c r="E2198">
        <v>27</v>
      </c>
      <c r="F2198" s="3" t="s">
        <v>1961</v>
      </c>
      <c r="G2198" s="4">
        <v>178062.25</v>
      </c>
      <c r="H2198" s="4">
        <v>0</v>
      </c>
      <c r="I2198" s="4">
        <v>-64785709.149999999</v>
      </c>
    </row>
    <row r="2199" spans="1:9" x14ac:dyDescent="0.3">
      <c r="A2199" t="s">
        <v>133</v>
      </c>
      <c r="B2199" s="1">
        <v>45880</v>
      </c>
      <c r="C2199" s="1">
        <v>45880</v>
      </c>
      <c r="D2199">
        <v>915130</v>
      </c>
      <c r="E2199">
        <v>11</v>
      </c>
      <c r="F2199" s="3" t="s">
        <v>1962</v>
      </c>
      <c r="G2199" s="4">
        <v>10002</v>
      </c>
      <c r="H2199" s="4">
        <v>0</v>
      </c>
      <c r="I2199" s="4">
        <v>-64775707.149999999</v>
      </c>
    </row>
    <row r="2200" spans="1:9" x14ac:dyDescent="0.3">
      <c r="A2200" t="s">
        <v>133</v>
      </c>
      <c r="B2200" s="1">
        <v>45880</v>
      </c>
      <c r="C2200" s="1">
        <v>45880</v>
      </c>
      <c r="D2200">
        <v>915131</v>
      </c>
      <c r="E2200">
        <v>15</v>
      </c>
      <c r="F2200" s="3" t="s">
        <v>1963</v>
      </c>
      <c r="G2200" s="4">
        <v>900000</v>
      </c>
      <c r="H2200" s="4">
        <v>0</v>
      </c>
      <c r="I2200" s="4">
        <v>-63875707.149999999</v>
      </c>
    </row>
    <row r="2201" spans="1:9" x14ac:dyDescent="0.3">
      <c r="A2201" t="s">
        <v>133</v>
      </c>
      <c r="B2201" s="1">
        <v>45880</v>
      </c>
      <c r="C2201" s="1">
        <v>45880</v>
      </c>
      <c r="D2201">
        <v>915132</v>
      </c>
      <c r="E2201">
        <v>80</v>
      </c>
      <c r="F2201" s="3" t="s">
        <v>1964</v>
      </c>
      <c r="G2201" s="4">
        <v>500000</v>
      </c>
      <c r="H2201" s="4">
        <v>0</v>
      </c>
      <c r="I2201" s="4">
        <v>-63375707.149999999</v>
      </c>
    </row>
    <row r="2202" spans="1:9" x14ac:dyDescent="0.3">
      <c r="A2202" t="s">
        <v>133</v>
      </c>
      <c r="B2202" s="1">
        <v>45880</v>
      </c>
      <c r="C2202" s="1">
        <v>45880</v>
      </c>
      <c r="D2202">
        <v>915133</v>
      </c>
      <c r="E2202">
        <v>80</v>
      </c>
      <c r="F2202" s="3" t="s">
        <v>1862</v>
      </c>
      <c r="G2202" s="4">
        <v>500000</v>
      </c>
      <c r="H2202" s="4">
        <v>0</v>
      </c>
      <c r="I2202" s="4">
        <v>-62875707.149999999</v>
      </c>
    </row>
    <row r="2203" spans="1:9" x14ac:dyDescent="0.3">
      <c r="A2203" t="s">
        <v>133</v>
      </c>
      <c r="B2203" s="1">
        <v>45880</v>
      </c>
      <c r="C2203" s="1">
        <v>45880</v>
      </c>
      <c r="D2203">
        <v>915135</v>
      </c>
      <c r="E2203">
        <v>28</v>
      </c>
      <c r="F2203" s="3">
        <v>1113</v>
      </c>
      <c r="G2203" s="4">
        <v>22097</v>
      </c>
      <c r="H2203" s="4">
        <v>0</v>
      </c>
      <c r="I2203" s="4">
        <v>-62853610.149999999</v>
      </c>
    </row>
    <row r="2204" spans="1:9" x14ac:dyDescent="0.3">
      <c r="A2204" t="s">
        <v>133</v>
      </c>
      <c r="B2204" s="1">
        <v>45880</v>
      </c>
      <c r="C2204" s="1">
        <v>45880</v>
      </c>
      <c r="D2204">
        <v>915136</v>
      </c>
      <c r="E2204">
        <v>70</v>
      </c>
      <c r="F2204" s="3" t="s">
        <v>1965</v>
      </c>
      <c r="G2204" s="4">
        <v>607000</v>
      </c>
      <c r="H2204" s="4">
        <v>0</v>
      </c>
      <c r="I2204" s="4">
        <v>-62246610.149999999</v>
      </c>
    </row>
    <row r="2205" spans="1:9" x14ac:dyDescent="0.3">
      <c r="A2205" t="s">
        <v>133</v>
      </c>
      <c r="B2205" s="1">
        <v>45880</v>
      </c>
      <c r="C2205" s="1">
        <v>45880</v>
      </c>
      <c r="D2205">
        <v>915137</v>
      </c>
      <c r="E2205">
        <v>97</v>
      </c>
      <c r="F2205" s="3" t="s">
        <v>966</v>
      </c>
      <c r="G2205" s="4">
        <v>275000</v>
      </c>
      <c r="H2205" s="4">
        <v>0</v>
      </c>
      <c r="I2205" s="4">
        <v>-61971610.149999999</v>
      </c>
    </row>
    <row r="2206" spans="1:9" x14ac:dyDescent="0.3">
      <c r="A2206" t="s">
        <v>133</v>
      </c>
      <c r="B2206" s="1">
        <v>45880</v>
      </c>
      <c r="C2206" s="1">
        <v>45880</v>
      </c>
      <c r="D2206">
        <v>915139</v>
      </c>
      <c r="E2206">
        <v>38</v>
      </c>
      <c r="F2206" s="3" t="s">
        <v>1966</v>
      </c>
      <c r="G2206" s="4">
        <v>54672.5</v>
      </c>
      <c r="H2206" s="4">
        <v>0</v>
      </c>
      <c r="I2206" s="4">
        <v>-61916937.649999999</v>
      </c>
    </row>
    <row r="2207" spans="1:9" x14ac:dyDescent="0.3">
      <c r="A2207" t="s">
        <v>133</v>
      </c>
      <c r="B2207" s="1">
        <v>45880</v>
      </c>
      <c r="C2207" s="1">
        <v>45880</v>
      </c>
      <c r="D2207">
        <v>915141</v>
      </c>
      <c r="E2207">
        <v>27</v>
      </c>
      <c r="F2207" s="3" t="s">
        <v>1967</v>
      </c>
      <c r="G2207" s="4">
        <v>400085</v>
      </c>
      <c r="H2207" s="4">
        <v>0</v>
      </c>
      <c r="I2207" s="4">
        <v>-61516852.649999999</v>
      </c>
    </row>
    <row r="2208" spans="1:9" x14ac:dyDescent="0.3">
      <c r="A2208" t="s">
        <v>133</v>
      </c>
      <c r="B2208" s="1">
        <v>45880</v>
      </c>
      <c r="C2208" s="1">
        <v>45880</v>
      </c>
      <c r="D2208">
        <v>915143</v>
      </c>
      <c r="E2208">
        <v>64</v>
      </c>
      <c r="F2208" s="3" t="s">
        <v>1968</v>
      </c>
      <c r="G2208" s="4">
        <v>298000</v>
      </c>
      <c r="H2208" s="4">
        <v>0</v>
      </c>
      <c r="I2208" s="4">
        <v>-61218852.649999999</v>
      </c>
    </row>
    <row r="2209" spans="1:9" x14ac:dyDescent="0.3">
      <c r="A2209" t="s">
        <v>133</v>
      </c>
      <c r="B2209" s="1">
        <v>45880</v>
      </c>
      <c r="C2209" s="1">
        <v>45880</v>
      </c>
      <c r="D2209">
        <v>915144</v>
      </c>
      <c r="E2209">
        <v>64</v>
      </c>
      <c r="F2209" s="3" t="s">
        <v>1969</v>
      </c>
      <c r="G2209" s="4">
        <v>298000</v>
      </c>
      <c r="H2209" s="4">
        <v>0</v>
      </c>
      <c r="I2209" s="4">
        <v>-60920852.649999999</v>
      </c>
    </row>
    <row r="2210" spans="1:9" x14ac:dyDescent="0.3">
      <c r="A2210" t="s">
        <v>133</v>
      </c>
      <c r="B2210" s="1">
        <v>45880</v>
      </c>
      <c r="C2210" s="1">
        <v>45880</v>
      </c>
      <c r="D2210">
        <v>915150</v>
      </c>
      <c r="E2210">
        <v>72</v>
      </c>
      <c r="F2210" s="3" t="s">
        <v>1970</v>
      </c>
      <c r="G2210" s="4">
        <v>11345</v>
      </c>
      <c r="H2210" s="4">
        <v>0</v>
      </c>
      <c r="I2210" s="4">
        <v>-60909507.649999999</v>
      </c>
    </row>
    <row r="2211" spans="1:9" x14ac:dyDescent="0.3">
      <c r="A2211" t="s">
        <v>133</v>
      </c>
      <c r="B2211" s="1">
        <v>45880</v>
      </c>
      <c r="C2211" s="1">
        <v>45880</v>
      </c>
      <c r="D2211">
        <v>915152</v>
      </c>
      <c r="E2211">
        <v>72</v>
      </c>
      <c r="F2211" s="3" t="s">
        <v>1971</v>
      </c>
      <c r="G2211" s="4">
        <v>300</v>
      </c>
      <c r="H2211" s="4">
        <v>0</v>
      </c>
      <c r="I2211" s="4">
        <v>-60909207.649999999</v>
      </c>
    </row>
    <row r="2212" spans="1:9" x14ac:dyDescent="0.3">
      <c r="A2212" t="s">
        <v>1</v>
      </c>
      <c r="B2212" s="1">
        <v>45876</v>
      </c>
      <c r="C2212" s="1">
        <v>45881</v>
      </c>
      <c r="D2212">
        <v>102299</v>
      </c>
      <c r="E2212">
        <v>100</v>
      </c>
      <c r="F2212" s="3" t="s">
        <v>1972</v>
      </c>
      <c r="G2212" s="4">
        <v>58643</v>
      </c>
      <c r="I2212" s="4">
        <v>-60850564.649999999</v>
      </c>
    </row>
    <row r="2213" spans="1:9" x14ac:dyDescent="0.3">
      <c r="A2213" t="s">
        <v>1</v>
      </c>
      <c r="B2213" s="1">
        <v>45877</v>
      </c>
      <c r="C2213" s="1">
        <v>45881</v>
      </c>
      <c r="D2213">
        <v>102302</v>
      </c>
      <c r="E2213">
        <v>100</v>
      </c>
      <c r="F2213" s="3" t="s">
        <v>1973</v>
      </c>
      <c r="G2213" s="4">
        <v>61709.25</v>
      </c>
      <c r="I2213" s="4">
        <v>-60788855.399999999</v>
      </c>
    </row>
    <row r="2214" spans="1:9" x14ac:dyDescent="0.3">
      <c r="A2214" t="s">
        <v>1</v>
      </c>
      <c r="B2214" s="1">
        <v>45877</v>
      </c>
      <c r="C2214" s="1">
        <v>45881</v>
      </c>
      <c r="D2214">
        <v>102310</v>
      </c>
      <c r="E2214">
        <v>100</v>
      </c>
      <c r="F2214" s="3" t="s">
        <v>1974</v>
      </c>
      <c r="G2214" s="4">
        <v>23569.3</v>
      </c>
      <c r="I2214" s="4">
        <v>-60765286.100000001</v>
      </c>
    </row>
    <row r="2215" spans="1:9" x14ac:dyDescent="0.3">
      <c r="A2215" t="s">
        <v>1</v>
      </c>
      <c r="B2215" s="1">
        <v>45876</v>
      </c>
      <c r="C2215" s="1">
        <v>45881</v>
      </c>
      <c r="D2215">
        <v>102313</v>
      </c>
      <c r="E2215">
        <v>100</v>
      </c>
      <c r="F2215" s="3" t="s">
        <v>1975</v>
      </c>
      <c r="G2215" s="4">
        <v>4036.25</v>
      </c>
      <c r="I2215" s="4">
        <v>-60761249.850000001</v>
      </c>
    </row>
    <row r="2216" spans="1:9" x14ac:dyDescent="0.3">
      <c r="A2216" t="s">
        <v>1</v>
      </c>
      <c r="B2216" s="1">
        <v>45877</v>
      </c>
      <c r="C2216" s="1">
        <v>45881</v>
      </c>
      <c r="D2216">
        <v>102324</v>
      </c>
      <c r="E2216">
        <v>100</v>
      </c>
      <c r="F2216" s="3" t="s">
        <v>1779</v>
      </c>
      <c r="G2216" s="4">
        <v>100000</v>
      </c>
      <c r="I2216" s="4">
        <v>-60661249.850000001</v>
      </c>
    </row>
    <row r="2217" spans="1:9" x14ac:dyDescent="0.3">
      <c r="A2217" t="s">
        <v>1</v>
      </c>
      <c r="B2217" s="1">
        <v>45877</v>
      </c>
      <c r="C2217" s="1">
        <v>45881</v>
      </c>
      <c r="D2217">
        <v>102326</v>
      </c>
      <c r="E2217">
        <v>100</v>
      </c>
      <c r="F2217" s="3" t="s">
        <v>1779</v>
      </c>
      <c r="G2217" s="4">
        <v>8066.33</v>
      </c>
      <c r="I2217" s="4">
        <v>-60653183.520000003</v>
      </c>
    </row>
    <row r="2218" spans="1:9" x14ac:dyDescent="0.3">
      <c r="A2218" t="s">
        <v>1</v>
      </c>
      <c r="B2218" s="1">
        <v>45877</v>
      </c>
      <c r="C2218" s="1">
        <v>45881</v>
      </c>
      <c r="D2218">
        <v>102327</v>
      </c>
      <c r="E2218">
        <v>100</v>
      </c>
      <c r="F2218" s="3" t="s">
        <v>1779</v>
      </c>
      <c r="G2218" s="4">
        <v>49481.5</v>
      </c>
      <c r="I2218" s="4">
        <v>-60603702.020000003</v>
      </c>
    </row>
    <row r="2219" spans="1:9" x14ac:dyDescent="0.3">
      <c r="A2219" t="s">
        <v>1</v>
      </c>
      <c r="B2219" s="1">
        <v>45877</v>
      </c>
      <c r="C2219" s="1">
        <v>45881</v>
      </c>
      <c r="D2219">
        <v>102328</v>
      </c>
      <c r="E2219">
        <v>100</v>
      </c>
      <c r="F2219" s="3" t="s">
        <v>1779</v>
      </c>
      <c r="G2219" s="4">
        <v>53385.83</v>
      </c>
      <c r="I2219" s="4">
        <v>-60550316.189999998</v>
      </c>
    </row>
    <row r="2220" spans="1:9" x14ac:dyDescent="0.3">
      <c r="A2220" t="s">
        <v>1</v>
      </c>
      <c r="B2220" s="1">
        <v>45877</v>
      </c>
      <c r="C2220" s="1">
        <v>45881</v>
      </c>
      <c r="D2220">
        <v>102330</v>
      </c>
      <c r="E2220">
        <v>100</v>
      </c>
      <c r="F2220" s="3" t="s">
        <v>1976</v>
      </c>
      <c r="G2220" s="4">
        <v>30002.63</v>
      </c>
      <c r="I2220" s="4">
        <v>-60520313.560000002</v>
      </c>
    </row>
    <row r="2221" spans="1:9" x14ac:dyDescent="0.3">
      <c r="A2221" t="s">
        <v>1</v>
      </c>
      <c r="B2221" s="1">
        <v>45877</v>
      </c>
      <c r="C2221" s="1">
        <v>45881</v>
      </c>
      <c r="D2221">
        <v>102331</v>
      </c>
      <c r="E2221">
        <v>100</v>
      </c>
      <c r="F2221" s="3" t="s">
        <v>1977</v>
      </c>
      <c r="G2221" s="4">
        <v>15002.63</v>
      </c>
      <c r="I2221" s="4">
        <v>-60505310.93</v>
      </c>
    </row>
    <row r="2222" spans="1:9" x14ac:dyDescent="0.3">
      <c r="A2222" t="s">
        <v>1</v>
      </c>
      <c r="B2222" s="1">
        <v>45877</v>
      </c>
      <c r="C2222" s="1">
        <v>45881</v>
      </c>
      <c r="D2222">
        <v>102343</v>
      </c>
      <c r="E2222">
        <v>100</v>
      </c>
      <c r="F2222" s="3" t="s">
        <v>1978</v>
      </c>
      <c r="G2222" s="4">
        <v>14646.25</v>
      </c>
      <c r="I2222" s="4">
        <v>-60490664.68</v>
      </c>
    </row>
    <row r="2223" spans="1:9" x14ac:dyDescent="0.3">
      <c r="A2223" t="s">
        <v>1</v>
      </c>
      <c r="B2223" s="1">
        <v>45878</v>
      </c>
      <c r="C2223" s="1">
        <v>45881</v>
      </c>
      <c r="D2223">
        <v>102373</v>
      </c>
      <c r="E2223">
        <v>100</v>
      </c>
      <c r="F2223" s="3" t="s">
        <v>1979</v>
      </c>
      <c r="G2223" s="4">
        <v>152929.82</v>
      </c>
      <c r="I2223" s="4">
        <v>-60337734.859999999</v>
      </c>
    </row>
    <row r="2224" spans="1:9" x14ac:dyDescent="0.3">
      <c r="A2224" t="s">
        <v>1</v>
      </c>
      <c r="B2224" s="1">
        <v>45880</v>
      </c>
      <c r="C2224" s="1">
        <v>45881</v>
      </c>
      <c r="D2224">
        <v>102374</v>
      </c>
      <c r="E2224">
        <v>100</v>
      </c>
      <c r="F2224" s="3" t="s">
        <v>1980</v>
      </c>
      <c r="G2224" s="4">
        <v>221073</v>
      </c>
      <c r="I2224" s="4">
        <v>-60116661.859999999</v>
      </c>
    </row>
    <row r="2225" spans="1:9" x14ac:dyDescent="0.3">
      <c r="A2225" t="s">
        <v>1</v>
      </c>
      <c r="B2225" s="1">
        <v>45878</v>
      </c>
      <c r="C2225" s="1">
        <v>45881</v>
      </c>
      <c r="D2225">
        <v>102376</v>
      </c>
      <c r="E2225">
        <v>100</v>
      </c>
      <c r="F2225" s="3" t="s">
        <v>1981</v>
      </c>
      <c r="G2225" s="4">
        <v>27144</v>
      </c>
      <c r="I2225" s="4">
        <v>-60089517.859999999</v>
      </c>
    </row>
    <row r="2226" spans="1:9" x14ac:dyDescent="0.3">
      <c r="A2226" t="s">
        <v>1</v>
      </c>
      <c r="B2226" s="1">
        <v>45878</v>
      </c>
      <c r="C2226" s="1">
        <v>45881</v>
      </c>
      <c r="D2226">
        <v>102384</v>
      </c>
      <c r="E2226">
        <v>100</v>
      </c>
      <c r="F2226" s="3" t="s">
        <v>1982</v>
      </c>
      <c r="G2226" s="4">
        <v>14006.25</v>
      </c>
      <c r="I2226" s="4">
        <v>-60075511.609999999</v>
      </c>
    </row>
    <row r="2227" spans="1:9" x14ac:dyDescent="0.3">
      <c r="A2227" t="s">
        <v>1</v>
      </c>
      <c r="B2227" s="1">
        <v>45878</v>
      </c>
      <c r="C2227" s="1">
        <v>45881</v>
      </c>
      <c r="D2227">
        <v>102399</v>
      </c>
      <c r="E2227">
        <v>100</v>
      </c>
      <c r="F2227" s="3" t="s">
        <v>1983</v>
      </c>
      <c r="G2227" s="4">
        <v>13100</v>
      </c>
      <c r="I2227" s="4">
        <v>-60062411.609999999</v>
      </c>
    </row>
    <row r="2228" spans="1:9" x14ac:dyDescent="0.3">
      <c r="A2228" t="s">
        <v>1</v>
      </c>
      <c r="B2228" s="1">
        <v>45878</v>
      </c>
      <c r="C2228" s="1">
        <v>45881</v>
      </c>
      <c r="D2228">
        <v>102401</v>
      </c>
      <c r="E2228">
        <v>100</v>
      </c>
      <c r="F2228" s="3" t="s">
        <v>1984</v>
      </c>
      <c r="G2228" s="4">
        <v>12918.25</v>
      </c>
      <c r="I2228" s="4">
        <v>-60049493.359999999</v>
      </c>
    </row>
    <row r="2229" spans="1:9" x14ac:dyDescent="0.3">
      <c r="A2229" t="s">
        <v>1</v>
      </c>
      <c r="B2229" s="1">
        <v>45880</v>
      </c>
      <c r="C2229" s="1">
        <v>45881</v>
      </c>
      <c r="D2229">
        <v>102407</v>
      </c>
      <c r="E2229">
        <v>100</v>
      </c>
      <c r="F2229" s="3" t="s">
        <v>1985</v>
      </c>
      <c r="G2229" s="4">
        <v>31525.75</v>
      </c>
      <c r="I2229" s="4">
        <v>-60017967.609999999</v>
      </c>
    </row>
    <row r="2230" spans="1:9" x14ac:dyDescent="0.3">
      <c r="A2230" t="s">
        <v>1</v>
      </c>
      <c r="B2230" s="1">
        <v>45878</v>
      </c>
      <c r="C2230" s="1">
        <v>45881</v>
      </c>
      <c r="D2230">
        <v>102417</v>
      </c>
      <c r="E2230">
        <v>100</v>
      </c>
      <c r="F2230" s="3" t="s">
        <v>1986</v>
      </c>
      <c r="G2230" s="4">
        <v>16450</v>
      </c>
      <c r="I2230" s="4">
        <v>-60001517.609999999</v>
      </c>
    </row>
    <row r="2231" spans="1:9" x14ac:dyDescent="0.3">
      <c r="A2231" t="s">
        <v>1</v>
      </c>
      <c r="B2231" s="1">
        <v>45873</v>
      </c>
      <c r="C2231" s="1">
        <v>45881</v>
      </c>
      <c r="D2231">
        <v>102439</v>
      </c>
      <c r="E2231">
        <v>100</v>
      </c>
      <c r="F2231" s="3" t="s">
        <v>1987</v>
      </c>
      <c r="G2231" s="4">
        <v>12.6</v>
      </c>
      <c r="I2231" s="4">
        <v>-60001505.009999998</v>
      </c>
    </row>
    <row r="2232" spans="1:9" x14ac:dyDescent="0.3">
      <c r="A2232" t="s">
        <v>1</v>
      </c>
      <c r="B2232" s="1">
        <v>45877</v>
      </c>
      <c r="C2232" s="1">
        <v>45881</v>
      </c>
      <c r="D2232">
        <v>102440</v>
      </c>
      <c r="E2232">
        <v>100</v>
      </c>
      <c r="F2232" s="3" t="s">
        <v>1988</v>
      </c>
      <c r="G2232" s="4">
        <v>8.4</v>
      </c>
      <c r="I2232" s="4">
        <v>-60001496.609999999</v>
      </c>
    </row>
    <row r="2233" spans="1:9" x14ac:dyDescent="0.3">
      <c r="A2233" t="s">
        <v>1</v>
      </c>
      <c r="B2233" s="1">
        <v>45880</v>
      </c>
      <c r="C2233" s="1">
        <v>45881</v>
      </c>
      <c r="D2233">
        <v>102441</v>
      </c>
      <c r="E2233">
        <v>100</v>
      </c>
      <c r="F2233" s="3" t="s">
        <v>1989</v>
      </c>
      <c r="G2233" s="4">
        <v>100000</v>
      </c>
      <c r="I2233" s="4">
        <v>-59901496.609999999</v>
      </c>
    </row>
    <row r="2234" spans="1:9" x14ac:dyDescent="0.3">
      <c r="A2234" t="s">
        <v>1</v>
      </c>
      <c r="B2234" s="1">
        <v>45880</v>
      </c>
      <c r="C2234" s="1">
        <v>45881</v>
      </c>
      <c r="D2234">
        <v>102442</v>
      </c>
      <c r="E2234">
        <v>100</v>
      </c>
      <c r="F2234" s="3" t="s">
        <v>1990</v>
      </c>
      <c r="G2234" s="4">
        <v>12991.5</v>
      </c>
      <c r="I2234" s="4">
        <v>-59888505.109999999</v>
      </c>
    </row>
    <row r="2235" spans="1:9" x14ac:dyDescent="0.3">
      <c r="A2235" t="s">
        <v>1</v>
      </c>
      <c r="B2235" s="1">
        <v>45880</v>
      </c>
      <c r="C2235" s="1">
        <v>45881</v>
      </c>
      <c r="D2235">
        <v>102447</v>
      </c>
      <c r="E2235">
        <v>100</v>
      </c>
      <c r="F2235" s="3" t="s">
        <v>1991</v>
      </c>
      <c r="G2235" s="4">
        <v>43826.02</v>
      </c>
      <c r="I2235" s="4">
        <v>-59844679.090000004</v>
      </c>
    </row>
    <row r="2236" spans="1:9" x14ac:dyDescent="0.3">
      <c r="A2236" t="s">
        <v>1</v>
      </c>
      <c r="B2236" s="1">
        <v>45880</v>
      </c>
      <c r="C2236" s="1">
        <v>45881</v>
      </c>
      <c r="D2236">
        <v>102448</v>
      </c>
      <c r="E2236">
        <v>100</v>
      </c>
      <c r="F2236" s="3" t="s">
        <v>1992</v>
      </c>
      <c r="G2236" s="4">
        <v>45457.97</v>
      </c>
      <c r="I2236" s="4">
        <v>-59799221.119999997</v>
      </c>
    </row>
    <row r="2237" spans="1:9" x14ac:dyDescent="0.3">
      <c r="A2237" t="s">
        <v>1</v>
      </c>
      <c r="B2237" s="1">
        <v>45880</v>
      </c>
      <c r="C2237" s="1">
        <v>45881</v>
      </c>
      <c r="D2237">
        <v>102449</v>
      </c>
      <c r="E2237">
        <v>100</v>
      </c>
      <c r="F2237" s="3" t="s">
        <v>1993</v>
      </c>
      <c r="G2237" s="4">
        <v>3300</v>
      </c>
      <c r="I2237" s="4">
        <v>-59795921.119999997</v>
      </c>
    </row>
    <row r="2238" spans="1:9" x14ac:dyDescent="0.3">
      <c r="A2238" t="s">
        <v>1</v>
      </c>
      <c r="B2238" s="1">
        <v>45880</v>
      </c>
      <c r="C2238" s="1">
        <v>45881</v>
      </c>
      <c r="D2238">
        <v>102450</v>
      </c>
      <c r="E2238">
        <v>100</v>
      </c>
      <c r="F2238" s="3" t="s">
        <v>1994</v>
      </c>
      <c r="G2238" s="4">
        <v>26.25</v>
      </c>
      <c r="I2238" s="4">
        <v>-59795894.869999997</v>
      </c>
    </row>
    <row r="2239" spans="1:9" x14ac:dyDescent="0.3">
      <c r="A2239" t="s">
        <v>1</v>
      </c>
      <c r="B2239" s="1">
        <v>45880</v>
      </c>
      <c r="C2239" s="1">
        <v>45881</v>
      </c>
      <c r="D2239">
        <v>102453</v>
      </c>
      <c r="E2239">
        <v>100</v>
      </c>
      <c r="F2239" s="3" t="s">
        <v>1995</v>
      </c>
      <c r="G2239" s="4">
        <v>41497.54</v>
      </c>
      <c r="I2239" s="4">
        <v>-59754397.329999998</v>
      </c>
    </row>
    <row r="2240" spans="1:9" x14ac:dyDescent="0.3">
      <c r="A2240" t="s">
        <v>1</v>
      </c>
      <c r="B2240" s="1">
        <v>45880</v>
      </c>
      <c r="C2240" s="1">
        <v>45881</v>
      </c>
      <c r="D2240">
        <v>102455</v>
      </c>
      <c r="E2240">
        <v>100</v>
      </c>
      <c r="F2240" s="3" t="s">
        <v>1996</v>
      </c>
      <c r="G2240" s="4">
        <v>31130.57</v>
      </c>
      <c r="I2240" s="4">
        <v>-59723266.759999998</v>
      </c>
    </row>
    <row r="2241" spans="1:9" x14ac:dyDescent="0.3">
      <c r="A2241" t="s">
        <v>1</v>
      </c>
      <c r="B2241" s="1">
        <v>45879</v>
      </c>
      <c r="C2241" s="1">
        <v>45881</v>
      </c>
      <c r="D2241">
        <v>102456</v>
      </c>
      <c r="E2241">
        <v>100</v>
      </c>
      <c r="F2241" s="3" t="s">
        <v>1997</v>
      </c>
      <c r="G2241" s="4">
        <v>143913.06</v>
      </c>
      <c r="I2241" s="4">
        <v>-59579353.700000003</v>
      </c>
    </row>
    <row r="2242" spans="1:9" x14ac:dyDescent="0.3">
      <c r="A2242" t="s">
        <v>1</v>
      </c>
      <c r="B2242" s="1">
        <v>45880</v>
      </c>
      <c r="C2242" s="1">
        <v>45881</v>
      </c>
      <c r="D2242">
        <v>102457</v>
      </c>
      <c r="E2242">
        <v>100</v>
      </c>
      <c r="F2242" s="3" t="s">
        <v>1998</v>
      </c>
      <c r="G2242" s="4">
        <v>23918.6</v>
      </c>
      <c r="I2242" s="4">
        <v>-59555435.100000001</v>
      </c>
    </row>
    <row r="2243" spans="1:9" x14ac:dyDescent="0.3">
      <c r="A2243" t="s">
        <v>1</v>
      </c>
      <c r="B2243" s="1">
        <v>45880</v>
      </c>
      <c r="C2243" s="1">
        <v>45881</v>
      </c>
      <c r="D2243">
        <v>102458</v>
      </c>
      <c r="E2243">
        <v>100</v>
      </c>
      <c r="F2243" s="3" t="s">
        <v>1999</v>
      </c>
      <c r="G2243" s="4">
        <v>27871.85</v>
      </c>
      <c r="I2243" s="4">
        <v>-59527563.25</v>
      </c>
    </row>
    <row r="2244" spans="1:9" x14ac:dyDescent="0.3">
      <c r="A2244" t="s">
        <v>1</v>
      </c>
      <c r="B2244" s="1">
        <v>45880</v>
      </c>
      <c r="C2244" s="1">
        <v>45881</v>
      </c>
      <c r="D2244">
        <v>102462</v>
      </c>
      <c r="E2244">
        <v>100</v>
      </c>
      <c r="F2244" s="3" t="s">
        <v>2000</v>
      </c>
      <c r="G2244" s="4">
        <v>111832.75</v>
      </c>
      <c r="I2244" s="4">
        <v>-59415730.5</v>
      </c>
    </row>
    <row r="2245" spans="1:9" x14ac:dyDescent="0.3">
      <c r="A2245" t="s">
        <v>1</v>
      </c>
      <c r="B2245" s="1">
        <v>45880</v>
      </c>
      <c r="C2245" s="1">
        <v>45881</v>
      </c>
      <c r="D2245">
        <v>102464</v>
      </c>
      <c r="E2245">
        <v>100</v>
      </c>
      <c r="F2245" s="3" t="s">
        <v>2001</v>
      </c>
      <c r="G2245" s="4">
        <v>138506.38</v>
      </c>
      <c r="I2245" s="4">
        <v>-59277224.119999997</v>
      </c>
    </row>
    <row r="2246" spans="1:9" x14ac:dyDescent="0.3">
      <c r="A2246" t="s">
        <v>1</v>
      </c>
      <c r="B2246" s="1">
        <v>45880</v>
      </c>
      <c r="C2246" s="1">
        <v>45881</v>
      </c>
      <c r="D2246">
        <v>102469</v>
      </c>
      <c r="E2246">
        <v>100</v>
      </c>
      <c r="F2246" s="3" t="s">
        <v>2002</v>
      </c>
      <c r="G2246" s="4">
        <v>18000</v>
      </c>
      <c r="I2246" s="4">
        <v>-59259224.119999997</v>
      </c>
    </row>
    <row r="2247" spans="1:9" x14ac:dyDescent="0.3">
      <c r="A2247" t="s">
        <v>1</v>
      </c>
      <c r="B2247" s="1">
        <v>45880</v>
      </c>
      <c r="C2247" s="1">
        <v>45881</v>
      </c>
      <c r="D2247">
        <v>102473</v>
      </c>
      <c r="E2247">
        <v>100</v>
      </c>
      <c r="F2247" s="3" t="s">
        <v>1976</v>
      </c>
      <c r="G2247" s="4">
        <v>22324.13</v>
      </c>
      <c r="I2247" s="4">
        <v>-59236899.990000002</v>
      </c>
    </row>
    <row r="2248" spans="1:9" x14ac:dyDescent="0.3">
      <c r="A2248" t="s">
        <v>1</v>
      </c>
      <c r="B2248" s="1">
        <v>45880</v>
      </c>
      <c r="C2248" s="1">
        <v>45881</v>
      </c>
      <c r="D2248">
        <v>102475</v>
      </c>
      <c r="E2248">
        <v>100</v>
      </c>
      <c r="F2248" s="3" t="s">
        <v>2003</v>
      </c>
      <c r="G2248" s="4">
        <v>16027.88</v>
      </c>
      <c r="I2248" s="4">
        <v>-59220872.109999999</v>
      </c>
    </row>
    <row r="2249" spans="1:9" x14ac:dyDescent="0.3">
      <c r="A2249" t="s">
        <v>1</v>
      </c>
      <c r="B2249" s="1">
        <v>45880</v>
      </c>
      <c r="C2249" s="1">
        <v>45881</v>
      </c>
      <c r="D2249">
        <v>102476</v>
      </c>
      <c r="E2249">
        <v>100</v>
      </c>
      <c r="F2249" s="3" t="s">
        <v>2004</v>
      </c>
      <c r="G2249" s="4">
        <v>3000</v>
      </c>
      <c r="I2249" s="4">
        <v>-59217872.109999999</v>
      </c>
    </row>
    <row r="2250" spans="1:9" x14ac:dyDescent="0.3">
      <c r="A2250" t="s">
        <v>1</v>
      </c>
      <c r="B2250" s="1">
        <v>45880</v>
      </c>
      <c r="C2250" s="1">
        <v>45881</v>
      </c>
      <c r="D2250">
        <v>102478</v>
      </c>
      <c r="E2250">
        <v>100</v>
      </c>
      <c r="F2250" s="3" t="s">
        <v>2005</v>
      </c>
      <c r="G2250" s="4">
        <v>8378.4</v>
      </c>
      <c r="I2250" s="4">
        <v>-59209493.710000001</v>
      </c>
    </row>
    <row r="2251" spans="1:9" x14ac:dyDescent="0.3">
      <c r="A2251" t="s">
        <v>1</v>
      </c>
      <c r="B2251" s="1">
        <v>45876</v>
      </c>
      <c r="C2251" s="1">
        <v>45881</v>
      </c>
      <c r="D2251">
        <v>102480</v>
      </c>
      <c r="E2251">
        <v>100</v>
      </c>
      <c r="F2251" s="3" t="s">
        <v>2006</v>
      </c>
      <c r="G2251" s="4">
        <v>2505.25</v>
      </c>
      <c r="I2251" s="4">
        <v>-59206988.460000001</v>
      </c>
    </row>
    <row r="2252" spans="1:9" x14ac:dyDescent="0.3">
      <c r="A2252" t="s">
        <v>1</v>
      </c>
      <c r="B2252" s="1">
        <v>45880</v>
      </c>
      <c r="C2252" s="1">
        <v>45881</v>
      </c>
      <c r="D2252">
        <v>102482</v>
      </c>
      <c r="E2252">
        <v>100</v>
      </c>
      <c r="F2252" s="3" t="s">
        <v>2007</v>
      </c>
      <c r="G2252" s="4">
        <v>12620</v>
      </c>
      <c r="I2252" s="4">
        <v>-59194368.460000001</v>
      </c>
    </row>
    <row r="2253" spans="1:9" x14ac:dyDescent="0.3">
      <c r="A2253" t="s">
        <v>1</v>
      </c>
      <c r="B2253" s="1">
        <v>45880</v>
      </c>
      <c r="C2253" s="1">
        <v>45881</v>
      </c>
      <c r="D2253">
        <v>102491</v>
      </c>
      <c r="E2253">
        <v>100</v>
      </c>
      <c r="F2253" s="3" t="s">
        <v>2008</v>
      </c>
      <c r="G2253" s="4">
        <v>6726.25</v>
      </c>
      <c r="I2253" s="4">
        <v>-59187642.210000001</v>
      </c>
    </row>
    <row r="2254" spans="1:9" x14ac:dyDescent="0.3">
      <c r="A2254" t="s">
        <v>1</v>
      </c>
      <c r="B2254" s="1">
        <v>45880</v>
      </c>
      <c r="C2254" s="1">
        <v>45881</v>
      </c>
      <c r="D2254">
        <v>102500</v>
      </c>
      <c r="E2254">
        <v>100</v>
      </c>
      <c r="F2254" s="3" t="s">
        <v>2009</v>
      </c>
      <c r="G2254" s="4">
        <v>20546</v>
      </c>
      <c r="I2254" s="4">
        <v>-59167096.210000001</v>
      </c>
    </row>
    <row r="2255" spans="1:9" x14ac:dyDescent="0.3">
      <c r="A2255" t="s">
        <v>1</v>
      </c>
      <c r="B2255" s="1">
        <v>45880</v>
      </c>
      <c r="C2255" s="1">
        <v>45881</v>
      </c>
      <c r="D2255">
        <v>102502</v>
      </c>
      <c r="E2255">
        <v>100</v>
      </c>
      <c r="F2255" s="3" t="s">
        <v>2010</v>
      </c>
      <c r="G2255" s="4">
        <v>2250</v>
      </c>
      <c r="I2255" s="4">
        <v>-59164846.210000001</v>
      </c>
    </row>
    <row r="2256" spans="1:9" x14ac:dyDescent="0.3">
      <c r="A2256" t="s">
        <v>1</v>
      </c>
      <c r="B2256" s="1">
        <v>45880</v>
      </c>
      <c r="C2256" s="1">
        <v>45881</v>
      </c>
      <c r="D2256">
        <v>102507</v>
      </c>
      <c r="E2256">
        <v>100</v>
      </c>
      <c r="F2256" s="3" t="s">
        <v>2011</v>
      </c>
      <c r="G2256" s="4">
        <v>290939.59999999998</v>
      </c>
      <c r="I2256" s="4">
        <v>-58873906.609999999</v>
      </c>
    </row>
    <row r="2257" spans="1:9" x14ac:dyDescent="0.3">
      <c r="A2257" t="s">
        <v>1</v>
      </c>
      <c r="B2257" s="1">
        <v>45880</v>
      </c>
      <c r="C2257" s="1">
        <v>45881</v>
      </c>
      <c r="D2257">
        <v>102510</v>
      </c>
      <c r="E2257">
        <v>100</v>
      </c>
      <c r="F2257" s="3" t="s">
        <v>2012</v>
      </c>
      <c r="G2257" s="4">
        <v>373404.3</v>
      </c>
      <c r="I2257" s="4">
        <v>-58500502.310000002</v>
      </c>
    </row>
    <row r="2258" spans="1:9" x14ac:dyDescent="0.3">
      <c r="A2258" t="s">
        <v>1</v>
      </c>
      <c r="B2258" s="1">
        <v>45880</v>
      </c>
      <c r="C2258" s="1">
        <v>45881</v>
      </c>
      <c r="D2258">
        <v>102515</v>
      </c>
      <c r="E2258">
        <v>100</v>
      </c>
      <c r="F2258" s="3" t="s">
        <v>2013</v>
      </c>
      <c r="G2258" s="4">
        <v>107877.92</v>
      </c>
      <c r="I2258" s="4">
        <v>-58392624.390000001</v>
      </c>
    </row>
    <row r="2259" spans="1:9" x14ac:dyDescent="0.3">
      <c r="A2259" t="s">
        <v>1</v>
      </c>
      <c r="B2259" s="1">
        <v>45881</v>
      </c>
      <c r="C2259" s="1">
        <v>45881</v>
      </c>
      <c r="D2259">
        <v>102530</v>
      </c>
      <c r="E2259">
        <v>100</v>
      </c>
      <c r="F2259" s="3" t="s">
        <v>2014</v>
      </c>
      <c r="G2259" s="4">
        <v>268653.5</v>
      </c>
      <c r="I2259" s="4">
        <v>-58123970.890000001</v>
      </c>
    </row>
    <row r="2260" spans="1:9" x14ac:dyDescent="0.3">
      <c r="A2260" t="s">
        <v>1</v>
      </c>
      <c r="B2260" s="1">
        <v>45881</v>
      </c>
      <c r="C2260" s="1">
        <v>45881</v>
      </c>
      <c r="D2260">
        <v>102531</v>
      </c>
      <c r="E2260">
        <v>100</v>
      </c>
      <c r="F2260" s="3" t="s">
        <v>2015</v>
      </c>
      <c r="G2260" s="4">
        <v>929673.75</v>
      </c>
      <c r="I2260" s="4">
        <v>-57194297.140000001</v>
      </c>
    </row>
    <row r="2261" spans="1:9" x14ac:dyDescent="0.3">
      <c r="A2261" t="s">
        <v>1</v>
      </c>
      <c r="B2261" s="1">
        <v>45881</v>
      </c>
      <c r="C2261" s="1">
        <v>45881</v>
      </c>
      <c r="D2261">
        <v>102532</v>
      </c>
      <c r="E2261">
        <v>100</v>
      </c>
      <c r="F2261" s="3" t="s">
        <v>2016</v>
      </c>
      <c r="G2261" s="4">
        <v>87386</v>
      </c>
      <c r="I2261" s="4">
        <v>-57106911.140000001</v>
      </c>
    </row>
    <row r="2262" spans="1:9" x14ac:dyDescent="0.3">
      <c r="A2262" t="s">
        <v>1</v>
      </c>
      <c r="B2262" s="1">
        <v>45881</v>
      </c>
      <c r="C2262" s="1">
        <v>45881</v>
      </c>
      <c r="D2262">
        <v>102533</v>
      </c>
      <c r="E2262">
        <v>100</v>
      </c>
      <c r="F2262" s="3" t="s">
        <v>2016</v>
      </c>
      <c r="G2262" s="4">
        <v>3502.75</v>
      </c>
      <c r="I2262" s="4">
        <v>-57103408.390000001</v>
      </c>
    </row>
    <row r="2263" spans="1:9" x14ac:dyDescent="0.3">
      <c r="A2263" t="s">
        <v>1</v>
      </c>
      <c r="B2263" s="1">
        <v>45881</v>
      </c>
      <c r="C2263" s="1">
        <v>45881</v>
      </c>
      <c r="D2263">
        <v>102534</v>
      </c>
      <c r="E2263">
        <v>100</v>
      </c>
      <c r="F2263" s="3" t="s">
        <v>2017</v>
      </c>
      <c r="G2263" s="4">
        <v>18002.75</v>
      </c>
      <c r="I2263" s="4">
        <v>-57085405.640000001</v>
      </c>
    </row>
    <row r="2264" spans="1:9" x14ac:dyDescent="0.3">
      <c r="A2264" t="s">
        <v>1</v>
      </c>
      <c r="B2264" s="1">
        <v>45881</v>
      </c>
      <c r="C2264" s="1">
        <v>45881</v>
      </c>
      <c r="D2264">
        <v>102535</v>
      </c>
      <c r="E2264">
        <v>100</v>
      </c>
      <c r="F2264" s="3" t="s">
        <v>2015</v>
      </c>
      <c r="G2264" s="4">
        <v>24899.5</v>
      </c>
      <c r="I2264" s="4">
        <v>-57060506.140000001</v>
      </c>
    </row>
    <row r="2265" spans="1:9" x14ac:dyDescent="0.3">
      <c r="A2265" t="s">
        <v>1</v>
      </c>
      <c r="B2265" s="1">
        <v>45881</v>
      </c>
      <c r="C2265" s="1">
        <v>45881</v>
      </c>
      <c r="D2265">
        <v>102536</v>
      </c>
      <c r="E2265">
        <v>100</v>
      </c>
      <c r="F2265" s="3" t="s">
        <v>2016</v>
      </c>
      <c r="G2265" s="4">
        <v>35002.75</v>
      </c>
      <c r="I2265" s="4">
        <v>-57025503.390000001</v>
      </c>
    </row>
    <row r="2266" spans="1:9" x14ac:dyDescent="0.3">
      <c r="A2266" t="s">
        <v>1</v>
      </c>
      <c r="B2266" s="1">
        <v>45881</v>
      </c>
      <c r="C2266" s="1">
        <v>45881</v>
      </c>
      <c r="D2266">
        <v>102538</v>
      </c>
      <c r="E2266">
        <v>100</v>
      </c>
      <c r="F2266" s="3" t="s">
        <v>2015</v>
      </c>
      <c r="G2266" s="4">
        <v>1190209.5</v>
      </c>
      <c r="I2266" s="4">
        <v>-55835293.890000001</v>
      </c>
    </row>
    <row r="2267" spans="1:9" x14ac:dyDescent="0.3">
      <c r="A2267" t="s">
        <v>1</v>
      </c>
      <c r="B2267" s="1">
        <v>45881</v>
      </c>
      <c r="C2267" s="1">
        <v>45881</v>
      </c>
      <c r="D2267">
        <v>102543</v>
      </c>
      <c r="E2267">
        <v>100</v>
      </c>
      <c r="F2267" s="3" t="s">
        <v>2018</v>
      </c>
      <c r="G2267" s="4">
        <v>12935</v>
      </c>
      <c r="I2267" s="4">
        <v>-55822358.890000001</v>
      </c>
    </row>
    <row r="2268" spans="1:9" x14ac:dyDescent="0.3">
      <c r="A2268" t="s">
        <v>1</v>
      </c>
      <c r="B2268" s="1">
        <v>45881</v>
      </c>
      <c r="C2268" s="1">
        <v>45881</v>
      </c>
      <c r="D2268">
        <v>102544</v>
      </c>
      <c r="E2268">
        <v>100</v>
      </c>
      <c r="F2268" s="3" t="s">
        <v>1190</v>
      </c>
      <c r="G2268" s="4">
        <v>4196</v>
      </c>
      <c r="I2268" s="4">
        <v>-55818162.890000001</v>
      </c>
    </row>
    <row r="2269" spans="1:9" x14ac:dyDescent="0.3">
      <c r="A2269" t="s">
        <v>1</v>
      </c>
      <c r="B2269" s="1">
        <v>45881</v>
      </c>
      <c r="C2269" s="1">
        <v>45881</v>
      </c>
      <c r="D2269">
        <v>102553</v>
      </c>
      <c r="E2269">
        <v>100</v>
      </c>
      <c r="F2269" s="3" t="s">
        <v>2019</v>
      </c>
      <c r="G2269" s="4">
        <v>9527.5</v>
      </c>
      <c r="I2269" s="4">
        <v>-55808635.390000001</v>
      </c>
    </row>
    <row r="2270" spans="1:9" x14ac:dyDescent="0.3">
      <c r="A2270" t="s">
        <v>1</v>
      </c>
      <c r="B2270" s="1">
        <v>45881</v>
      </c>
      <c r="C2270" s="1">
        <v>45881</v>
      </c>
      <c r="D2270">
        <v>102557</v>
      </c>
      <c r="E2270">
        <v>100</v>
      </c>
      <c r="F2270" s="3" t="s">
        <v>2020</v>
      </c>
      <c r="G2270" s="4">
        <v>64581</v>
      </c>
      <c r="I2270" s="4">
        <v>-55744054.390000001</v>
      </c>
    </row>
    <row r="2271" spans="1:9" x14ac:dyDescent="0.3">
      <c r="A2271" t="s">
        <v>1</v>
      </c>
      <c r="B2271" s="1">
        <v>45876</v>
      </c>
      <c r="C2271" s="1">
        <v>45881</v>
      </c>
      <c r="D2271">
        <v>102558</v>
      </c>
      <c r="E2271">
        <v>100</v>
      </c>
      <c r="F2271" s="3" t="s">
        <v>2021</v>
      </c>
      <c r="G2271" s="4">
        <v>37990</v>
      </c>
      <c r="I2271" s="4">
        <v>-55706064.390000001</v>
      </c>
    </row>
    <row r="2272" spans="1:9" x14ac:dyDescent="0.3">
      <c r="A2272" t="s">
        <v>1</v>
      </c>
      <c r="B2272" s="1">
        <v>45881</v>
      </c>
      <c r="C2272" s="1">
        <v>45881</v>
      </c>
      <c r="D2272">
        <v>102559</v>
      </c>
      <c r="E2272">
        <v>100</v>
      </c>
      <c r="F2272" s="3" t="s">
        <v>1423</v>
      </c>
      <c r="G2272" s="4">
        <v>211127.35</v>
      </c>
      <c r="I2272" s="4">
        <v>-55494937.039999999</v>
      </c>
    </row>
    <row r="2273" spans="1:9" x14ac:dyDescent="0.3">
      <c r="A2273" t="s">
        <v>1</v>
      </c>
      <c r="B2273" s="1">
        <v>45881</v>
      </c>
      <c r="C2273" s="1">
        <v>45881</v>
      </c>
      <c r="D2273">
        <v>102560</v>
      </c>
      <c r="E2273">
        <v>100</v>
      </c>
      <c r="F2273" s="3" t="s">
        <v>2022</v>
      </c>
      <c r="G2273" s="4">
        <v>6000</v>
      </c>
      <c r="I2273" s="4">
        <v>-55488937.039999999</v>
      </c>
    </row>
    <row r="2274" spans="1:9" x14ac:dyDescent="0.3">
      <c r="A2274" t="s">
        <v>71</v>
      </c>
      <c r="B2274" s="1">
        <v>45880</v>
      </c>
      <c r="C2274" s="1">
        <v>45881</v>
      </c>
      <c r="D2274">
        <v>14237</v>
      </c>
      <c r="E2274">
        <v>100</v>
      </c>
      <c r="F2274" s="3">
        <v>2022508110001220</v>
      </c>
      <c r="G2274" s="4">
        <v>10045000</v>
      </c>
      <c r="H2274" s="4">
        <v>0</v>
      </c>
      <c r="I2274" s="4">
        <v>-45443937.039999999</v>
      </c>
    </row>
    <row r="2275" spans="1:9" x14ac:dyDescent="0.3">
      <c r="A2275" t="s">
        <v>71</v>
      </c>
      <c r="B2275" s="1">
        <v>45881</v>
      </c>
      <c r="C2275" s="1">
        <v>45881</v>
      </c>
      <c r="D2275">
        <v>14255</v>
      </c>
      <c r="E2275">
        <v>100</v>
      </c>
      <c r="F2275" s="3" t="s">
        <v>74</v>
      </c>
      <c r="G2275" s="4">
        <v>0</v>
      </c>
      <c r="H2275" s="4">
        <v>17264510</v>
      </c>
      <c r="I2275" s="4">
        <v>-62708447.039999999</v>
      </c>
    </row>
    <row r="2276" spans="1:9" x14ac:dyDescent="0.3">
      <c r="A2276" t="s">
        <v>75</v>
      </c>
      <c r="B2276" s="1">
        <v>45880</v>
      </c>
      <c r="C2276" s="1">
        <v>45881</v>
      </c>
      <c r="D2276">
        <v>143315</v>
      </c>
      <c r="E2276">
        <v>62</v>
      </c>
      <c r="F2276" s="3" t="s">
        <v>2023</v>
      </c>
      <c r="G2276" s="4">
        <v>83566</v>
      </c>
      <c r="H2276" s="4">
        <v>0</v>
      </c>
      <c r="I2276" s="4">
        <v>-62624881.039999999</v>
      </c>
    </row>
    <row r="2277" spans="1:9" x14ac:dyDescent="0.3">
      <c r="A2277" t="s">
        <v>75</v>
      </c>
      <c r="B2277" s="1">
        <v>45880</v>
      </c>
      <c r="C2277" s="1">
        <v>45881</v>
      </c>
      <c r="D2277">
        <v>143316</v>
      </c>
      <c r="E2277">
        <v>11</v>
      </c>
      <c r="F2277" s="3" t="s">
        <v>2024</v>
      </c>
      <c r="G2277" s="4">
        <v>83989.75</v>
      </c>
      <c r="H2277" s="4">
        <v>0</v>
      </c>
      <c r="I2277" s="4">
        <v>-62540891.289999999</v>
      </c>
    </row>
    <row r="2278" spans="1:9" x14ac:dyDescent="0.3">
      <c r="A2278" t="s">
        <v>75</v>
      </c>
      <c r="B2278" s="1">
        <v>45877</v>
      </c>
      <c r="C2278" s="1">
        <v>45881</v>
      </c>
      <c r="D2278">
        <v>143317</v>
      </c>
      <c r="E2278">
        <v>11</v>
      </c>
      <c r="F2278" s="3" t="s">
        <v>2025</v>
      </c>
      <c r="G2278" s="4">
        <v>10000</v>
      </c>
      <c r="H2278" s="4">
        <v>0</v>
      </c>
      <c r="I2278" s="4">
        <v>-62530891.289999999</v>
      </c>
    </row>
    <row r="2279" spans="1:9" x14ac:dyDescent="0.3">
      <c r="A2279" t="s">
        <v>75</v>
      </c>
      <c r="B2279" s="1">
        <v>45880</v>
      </c>
      <c r="C2279" s="1">
        <v>45881</v>
      </c>
      <c r="D2279">
        <v>143318</v>
      </c>
      <c r="E2279">
        <v>11</v>
      </c>
      <c r="F2279" s="3" t="s">
        <v>2026</v>
      </c>
      <c r="G2279" s="4">
        <v>1775</v>
      </c>
      <c r="H2279" s="4">
        <v>0</v>
      </c>
      <c r="I2279" s="4">
        <v>-62529116.289999999</v>
      </c>
    </row>
    <row r="2280" spans="1:9" x14ac:dyDescent="0.3">
      <c r="A2280" t="s">
        <v>75</v>
      </c>
      <c r="B2280" s="1">
        <v>45880</v>
      </c>
      <c r="C2280" s="1">
        <v>45881</v>
      </c>
      <c r="D2280">
        <v>143319</v>
      </c>
      <c r="E2280">
        <v>11</v>
      </c>
      <c r="F2280" s="3" t="s">
        <v>2027</v>
      </c>
      <c r="G2280" s="4">
        <v>51000</v>
      </c>
      <c r="H2280" s="4">
        <v>0</v>
      </c>
      <c r="I2280" s="4">
        <v>-62478116.289999999</v>
      </c>
    </row>
    <row r="2281" spans="1:9" x14ac:dyDescent="0.3">
      <c r="A2281" t="s">
        <v>75</v>
      </c>
      <c r="B2281" s="1">
        <v>45881</v>
      </c>
      <c r="C2281" s="1">
        <v>45881</v>
      </c>
      <c r="D2281">
        <v>143320</v>
      </c>
      <c r="E2281">
        <v>24</v>
      </c>
      <c r="F2281" s="3" t="s">
        <v>2028</v>
      </c>
      <c r="G2281" s="4">
        <v>40000</v>
      </c>
      <c r="H2281" s="4">
        <v>0</v>
      </c>
      <c r="I2281" s="4">
        <v>-62438116.289999999</v>
      </c>
    </row>
    <row r="2282" spans="1:9" x14ac:dyDescent="0.3">
      <c r="A2282" t="s">
        <v>75</v>
      </c>
      <c r="B2282" s="1">
        <v>45881</v>
      </c>
      <c r="C2282" s="1">
        <v>45881</v>
      </c>
      <c r="D2282">
        <v>143321</v>
      </c>
      <c r="E2282">
        <v>38</v>
      </c>
      <c r="F2282" s="3" t="s">
        <v>2029</v>
      </c>
      <c r="G2282" s="4">
        <v>25290</v>
      </c>
      <c r="H2282" s="4">
        <v>0</v>
      </c>
      <c r="I2282" s="4">
        <v>-62412826.289999999</v>
      </c>
    </row>
    <row r="2283" spans="1:9" x14ac:dyDescent="0.3">
      <c r="A2283" t="s">
        <v>75</v>
      </c>
      <c r="B2283" s="1">
        <v>45880</v>
      </c>
      <c r="C2283" s="1">
        <v>45881</v>
      </c>
      <c r="D2283">
        <v>143322</v>
      </c>
      <c r="E2283">
        <v>70</v>
      </c>
      <c r="F2283" s="3" t="s">
        <v>2030</v>
      </c>
      <c r="G2283" s="4">
        <v>16407.75</v>
      </c>
      <c r="H2283" s="4">
        <v>0</v>
      </c>
      <c r="I2283" s="4">
        <v>-62396418.539999999</v>
      </c>
    </row>
    <row r="2284" spans="1:9" x14ac:dyDescent="0.3">
      <c r="A2284" t="s">
        <v>75</v>
      </c>
      <c r="B2284" s="1">
        <v>45878</v>
      </c>
      <c r="C2284" s="1">
        <v>45881</v>
      </c>
      <c r="D2284">
        <v>143323</v>
      </c>
      <c r="E2284">
        <v>70</v>
      </c>
      <c r="F2284" s="3" t="s">
        <v>2031</v>
      </c>
      <c r="G2284" s="4">
        <v>130844.5</v>
      </c>
      <c r="H2284" s="4">
        <v>0</v>
      </c>
      <c r="I2284" s="4">
        <v>-62265574.039999999</v>
      </c>
    </row>
    <row r="2285" spans="1:9" x14ac:dyDescent="0.3">
      <c r="A2285" t="s">
        <v>75</v>
      </c>
      <c r="B2285" s="1">
        <v>45881</v>
      </c>
      <c r="C2285" s="1">
        <v>45881</v>
      </c>
      <c r="D2285">
        <v>143324</v>
      </c>
      <c r="E2285">
        <v>11</v>
      </c>
      <c r="F2285" s="3" t="s">
        <v>2032</v>
      </c>
      <c r="G2285" s="4">
        <v>73910</v>
      </c>
      <c r="H2285" s="4">
        <v>0</v>
      </c>
      <c r="I2285" s="4">
        <v>-62191664.039999999</v>
      </c>
    </row>
    <row r="2286" spans="1:9" x14ac:dyDescent="0.3">
      <c r="A2286" t="s">
        <v>75</v>
      </c>
      <c r="B2286" s="1">
        <v>45881</v>
      </c>
      <c r="C2286" s="1">
        <v>45881</v>
      </c>
      <c r="D2286">
        <v>143327</v>
      </c>
      <c r="E2286">
        <v>67</v>
      </c>
      <c r="F2286" s="3" t="s">
        <v>2033</v>
      </c>
      <c r="G2286" s="4">
        <v>3000</v>
      </c>
      <c r="H2286" s="4">
        <v>0</v>
      </c>
      <c r="I2286" s="4">
        <v>-62188664.039999999</v>
      </c>
    </row>
    <row r="2287" spans="1:9" x14ac:dyDescent="0.3">
      <c r="A2287" t="s">
        <v>75</v>
      </c>
      <c r="B2287" s="1">
        <v>45881</v>
      </c>
      <c r="C2287" s="1">
        <v>45881</v>
      </c>
      <c r="D2287">
        <v>143328</v>
      </c>
      <c r="E2287">
        <v>33</v>
      </c>
      <c r="F2287" s="3" t="s">
        <v>2034</v>
      </c>
      <c r="G2287" s="4">
        <v>52083</v>
      </c>
      <c r="H2287" s="4">
        <v>0</v>
      </c>
      <c r="I2287" s="4">
        <v>-62136581.039999999</v>
      </c>
    </row>
    <row r="2288" spans="1:9" x14ac:dyDescent="0.3">
      <c r="A2288" t="s">
        <v>75</v>
      </c>
      <c r="B2288" s="1">
        <v>45878</v>
      </c>
      <c r="C2288" s="1">
        <v>45881</v>
      </c>
      <c r="D2288">
        <v>143330</v>
      </c>
      <c r="E2288">
        <v>11</v>
      </c>
      <c r="F2288" s="3" t="s">
        <v>2035</v>
      </c>
      <c r="G2288" s="4">
        <v>4807.5</v>
      </c>
      <c r="H2288" s="4">
        <v>0</v>
      </c>
      <c r="I2288" s="4">
        <v>-62131773.539999999</v>
      </c>
    </row>
    <row r="2289" spans="1:9" x14ac:dyDescent="0.3">
      <c r="A2289" t="s">
        <v>75</v>
      </c>
      <c r="B2289" s="1">
        <v>45878</v>
      </c>
      <c r="C2289" s="1">
        <v>45881</v>
      </c>
      <c r="D2289">
        <v>143332</v>
      </c>
      <c r="E2289">
        <v>27</v>
      </c>
      <c r="F2289" s="3" t="s">
        <v>2036</v>
      </c>
      <c r="G2289" s="4">
        <v>3939.64</v>
      </c>
      <c r="H2289" s="4">
        <v>0</v>
      </c>
      <c r="I2289" s="4">
        <v>-62127833.899999999</v>
      </c>
    </row>
    <row r="2290" spans="1:9" x14ac:dyDescent="0.3">
      <c r="A2290" t="s">
        <v>75</v>
      </c>
      <c r="B2290" s="1">
        <v>45880</v>
      </c>
      <c r="C2290" s="1">
        <v>45881</v>
      </c>
      <c r="D2290">
        <v>143333</v>
      </c>
      <c r="E2290">
        <v>11</v>
      </c>
      <c r="F2290" s="3" t="s">
        <v>2037</v>
      </c>
      <c r="G2290" s="4">
        <v>12</v>
      </c>
      <c r="H2290" s="4">
        <v>0</v>
      </c>
      <c r="I2290" s="4">
        <v>-62127821.899999999</v>
      </c>
    </row>
    <row r="2291" spans="1:9" x14ac:dyDescent="0.3">
      <c r="A2291" t="s">
        <v>75</v>
      </c>
      <c r="B2291" s="1">
        <v>45880</v>
      </c>
      <c r="C2291" s="1">
        <v>45881</v>
      </c>
      <c r="D2291">
        <v>143333</v>
      </c>
      <c r="E2291">
        <v>11</v>
      </c>
      <c r="F2291" s="3" t="s">
        <v>2038</v>
      </c>
      <c r="G2291" s="4">
        <v>6080.65</v>
      </c>
      <c r="H2291" s="4">
        <v>0</v>
      </c>
      <c r="I2291" s="4">
        <v>-62121741.25</v>
      </c>
    </row>
    <row r="2292" spans="1:9" x14ac:dyDescent="0.3">
      <c r="A2292" t="s">
        <v>75</v>
      </c>
      <c r="B2292" s="1">
        <v>45879</v>
      </c>
      <c r="C2292" s="1">
        <v>45881</v>
      </c>
      <c r="D2292">
        <v>143336</v>
      </c>
      <c r="E2292">
        <v>77</v>
      </c>
      <c r="F2292" s="3" t="s">
        <v>2039</v>
      </c>
      <c r="G2292" s="4">
        <v>1955</v>
      </c>
      <c r="H2292" s="4">
        <v>0</v>
      </c>
      <c r="I2292" s="4">
        <v>-62119786.25</v>
      </c>
    </row>
    <row r="2293" spans="1:9" x14ac:dyDescent="0.3">
      <c r="A2293" t="s">
        <v>75</v>
      </c>
      <c r="B2293" s="1">
        <v>45877</v>
      </c>
      <c r="C2293" s="1">
        <v>45881</v>
      </c>
      <c r="D2293">
        <v>143338</v>
      </c>
      <c r="E2293">
        <v>77</v>
      </c>
      <c r="F2293" s="3" t="s">
        <v>2040</v>
      </c>
      <c r="G2293" s="4">
        <v>4634</v>
      </c>
      <c r="H2293" s="4">
        <v>0</v>
      </c>
      <c r="I2293" s="4">
        <v>-62115152.25</v>
      </c>
    </row>
    <row r="2294" spans="1:9" x14ac:dyDescent="0.3">
      <c r="A2294" t="s">
        <v>75</v>
      </c>
      <c r="B2294" s="1">
        <v>45877</v>
      </c>
      <c r="C2294" s="1">
        <v>45881</v>
      </c>
      <c r="D2294">
        <v>143339</v>
      </c>
      <c r="E2294">
        <v>77</v>
      </c>
      <c r="F2294" s="3" t="s">
        <v>2041</v>
      </c>
      <c r="G2294" s="4">
        <v>538.75</v>
      </c>
      <c r="H2294" s="4">
        <v>0</v>
      </c>
      <c r="I2294" s="4">
        <v>-62114613.5</v>
      </c>
    </row>
    <row r="2295" spans="1:9" x14ac:dyDescent="0.3">
      <c r="A2295" t="s">
        <v>75</v>
      </c>
      <c r="B2295" s="1">
        <v>45880</v>
      </c>
      <c r="C2295" s="1">
        <v>45881</v>
      </c>
      <c r="D2295">
        <v>143340</v>
      </c>
      <c r="E2295">
        <v>77</v>
      </c>
      <c r="F2295" s="3" t="s">
        <v>2042</v>
      </c>
      <c r="G2295" s="4">
        <v>2342.25</v>
      </c>
      <c r="H2295" s="4">
        <v>0</v>
      </c>
      <c r="I2295" s="4">
        <v>-62112271.25</v>
      </c>
    </row>
    <row r="2296" spans="1:9" x14ac:dyDescent="0.3">
      <c r="A2296" t="s">
        <v>75</v>
      </c>
      <c r="B2296" s="1">
        <v>45878</v>
      </c>
      <c r="C2296" s="1">
        <v>45881</v>
      </c>
      <c r="D2296">
        <v>143341</v>
      </c>
      <c r="E2296">
        <v>77</v>
      </c>
      <c r="F2296" s="3" t="s">
        <v>2043</v>
      </c>
      <c r="G2296" s="4">
        <v>1127.75</v>
      </c>
      <c r="H2296" s="4">
        <v>0</v>
      </c>
      <c r="I2296" s="4">
        <v>-62111143.5</v>
      </c>
    </row>
    <row r="2297" spans="1:9" x14ac:dyDescent="0.3">
      <c r="A2297" t="s">
        <v>75</v>
      </c>
      <c r="B2297" s="1">
        <v>45881</v>
      </c>
      <c r="C2297" s="1">
        <v>45881</v>
      </c>
      <c r="D2297">
        <v>143342</v>
      </c>
      <c r="E2297">
        <v>56</v>
      </c>
      <c r="F2297" s="3" t="s">
        <v>2044</v>
      </c>
      <c r="G2297" s="4">
        <v>772782.07</v>
      </c>
      <c r="H2297" s="4">
        <v>0</v>
      </c>
      <c r="I2297" s="4">
        <v>-61338361.43</v>
      </c>
    </row>
    <row r="2298" spans="1:9" x14ac:dyDescent="0.3">
      <c r="A2298" t="s">
        <v>75</v>
      </c>
      <c r="B2298" s="1">
        <v>45879</v>
      </c>
      <c r="C2298" s="1">
        <v>45881</v>
      </c>
      <c r="D2298">
        <v>143343</v>
      </c>
      <c r="E2298">
        <v>77</v>
      </c>
      <c r="F2298" s="3" t="s">
        <v>2045</v>
      </c>
      <c r="G2298" s="4">
        <v>67974.5</v>
      </c>
      <c r="H2298" s="4">
        <v>0</v>
      </c>
      <c r="I2298" s="4">
        <v>-61270386.93</v>
      </c>
    </row>
    <row r="2299" spans="1:9" x14ac:dyDescent="0.3">
      <c r="A2299" t="s">
        <v>75</v>
      </c>
      <c r="B2299" s="1">
        <v>45881</v>
      </c>
      <c r="C2299" s="1">
        <v>45881</v>
      </c>
      <c r="D2299">
        <v>143345</v>
      </c>
      <c r="E2299">
        <v>23</v>
      </c>
      <c r="F2299" s="3" t="s">
        <v>2046</v>
      </c>
      <c r="G2299" s="4">
        <v>5216.25</v>
      </c>
      <c r="H2299" s="4">
        <v>0</v>
      </c>
      <c r="I2299" s="4">
        <v>-61265170.68</v>
      </c>
    </row>
    <row r="2300" spans="1:9" x14ac:dyDescent="0.3">
      <c r="A2300" t="s">
        <v>75</v>
      </c>
      <c r="B2300" s="1">
        <v>45881</v>
      </c>
      <c r="C2300" s="1">
        <v>45881</v>
      </c>
      <c r="D2300">
        <v>143347</v>
      </c>
      <c r="E2300">
        <v>92</v>
      </c>
      <c r="F2300" s="3" t="s">
        <v>2047</v>
      </c>
      <c r="G2300" s="4">
        <v>11000</v>
      </c>
      <c r="H2300" s="4">
        <v>0</v>
      </c>
      <c r="I2300" s="4">
        <v>-61254170.68</v>
      </c>
    </row>
    <row r="2301" spans="1:9" x14ac:dyDescent="0.3">
      <c r="A2301" t="s">
        <v>75</v>
      </c>
      <c r="B2301" s="1">
        <v>45881</v>
      </c>
      <c r="C2301" s="1">
        <v>45881</v>
      </c>
      <c r="D2301">
        <v>143348</v>
      </c>
      <c r="E2301">
        <v>15</v>
      </c>
      <c r="F2301" s="3" t="s">
        <v>2048</v>
      </c>
      <c r="G2301" s="4">
        <v>63500</v>
      </c>
      <c r="H2301" s="4">
        <v>0</v>
      </c>
      <c r="I2301" s="4">
        <v>-61190670.68</v>
      </c>
    </row>
    <row r="2302" spans="1:9" x14ac:dyDescent="0.3">
      <c r="A2302" t="s">
        <v>75</v>
      </c>
      <c r="B2302" s="1">
        <v>45880</v>
      </c>
      <c r="C2302" s="1">
        <v>45881</v>
      </c>
      <c r="D2302">
        <v>143349</v>
      </c>
      <c r="E2302">
        <v>27</v>
      </c>
      <c r="F2302" s="3" t="s">
        <v>2049</v>
      </c>
      <c r="G2302" s="4">
        <v>16079.25</v>
      </c>
      <c r="H2302" s="4">
        <v>0</v>
      </c>
      <c r="I2302" s="4">
        <v>-61174591.43</v>
      </c>
    </row>
    <row r="2303" spans="1:9" x14ac:dyDescent="0.3">
      <c r="A2303" t="s">
        <v>75</v>
      </c>
      <c r="B2303" s="1">
        <v>45881</v>
      </c>
      <c r="C2303" s="1">
        <v>45881</v>
      </c>
      <c r="D2303">
        <v>143350</v>
      </c>
      <c r="E2303">
        <v>23</v>
      </c>
      <c r="F2303" s="3" t="s">
        <v>2050</v>
      </c>
      <c r="G2303" s="4">
        <v>100000</v>
      </c>
      <c r="H2303" s="4">
        <v>0</v>
      </c>
      <c r="I2303" s="4">
        <v>-61074591.43</v>
      </c>
    </row>
    <row r="2304" spans="1:9" x14ac:dyDescent="0.3">
      <c r="A2304" t="s">
        <v>75</v>
      </c>
      <c r="B2304" s="1">
        <v>45881</v>
      </c>
      <c r="C2304" s="1">
        <v>45881</v>
      </c>
      <c r="D2304">
        <v>143351</v>
      </c>
      <c r="E2304">
        <v>14</v>
      </c>
      <c r="F2304" s="3" t="s">
        <v>2051</v>
      </c>
      <c r="G2304" s="4">
        <v>26960</v>
      </c>
      <c r="H2304" s="4">
        <v>0</v>
      </c>
      <c r="I2304" s="4">
        <v>-61047631.43</v>
      </c>
    </row>
    <row r="2305" spans="1:9" x14ac:dyDescent="0.3">
      <c r="A2305" t="s">
        <v>75</v>
      </c>
      <c r="B2305" s="1">
        <v>45881</v>
      </c>
      <c r="C2305" s="1">
        <v>45881</v>
      </c>
      <c r="D2305">
        <v>143352</v>
      </c>
      <c r="E2305">
        <v>14</v>
      </c>
      <c r="F2305" s="3" t="s">
        <v>2052</v>
      </c>
      <c r="G2305" s="4">
        <v>449.5</v>
      </c>
      <c r="H2305" s="4">
        <v>0</v>
      </c>
      <c r="I2305" s="4">
        <v>-61047181.93</v>
      </c>
    </row>
    <row r="2306" spans="1:9" x14ac:dyDescent="0.3">
      <c r="A2306" t="s">
        <v>75</v>
      </c>
      <c r="B2306" s="1">
        <v>45881</v>
      </c>
      <c r="C2306" s="1">
        <v>45881</v>
      </c>
      <c r="D2306">
        <v>143353</v>
      </c>
      <c r="E2306">
        <v>78</v>
      </c>
      <c r="F2306" s="3" t="s">
        <v>2053</v>
      </c>
      <c r="G2306" s="4">
        <v>812</v>
      </c>
      <c r="H2306" s="4">
        <v>0</v>
      </c>
      <c r="I2306" s="4">
        <v>-61046369.93</v>
      </c>
    </row>
    <row r="2307" spans="1:9" x14ac:dyDescent="0.3">
      <c r="A2307" t="s">
        <v>75</v>
      </c>
      <c r="B2307" s="1">
        <v>45880</v>
      </c>
      <c r="C2307" s="1">
        <v>45881</v>
      </c>
      <c r="D2307">
        <v>143354</v>
      </c>
      <c r="E2307">
        <v>11</v>
      </c>
      <c r="F2307" s="3" t="s">
        <v>2054</v>
      </c>
      <c r="G2307" s="4">
        <v>50000</v>
      </c>
      <c r="H2307" s="4">
        <v>0</v>
      </c>
      <c r="I2307" s="4">
        <v>-60996369.93</v>
      </c>
    </row>
    <row r="2308" spans="1:9" x14ac:dyDescent="0.3">
      <c r="A2308" t="s">
        <v>75</v>
      </c>
      <c r="B2308" s="1">
        <v>45881</v>
      </c>
      <c r="C2308" s="1">
        <v>45881</v>
      </c>
      <c r="D2308">
        <v>143356</v>
      </c>
      <c r="E2308">
        <v>11</v>
      </c>
      <c r="F2308" s="3" t="s">
        <v>2055</v>
      </c>
      <c r="G2308" s="4">
        <v>12614.25</v>
      </c>
      <c r="H2308" s="4">
        <v>0</v>
      </c>
      <c r="I2308" s="4">
        <v>-60983755.68</v>
      </c>
    </row>
    <row r="2309" spans="1:9" x14ac:dyDescent="0.3">
      <c r="A2309" t="s">
        <v>75</v>
      </c>
      <c r="B2309" s="1">
        <v>45881</v>
      </c>
      <c r="C2309" s="1">
        <v>45881</v>
      </c>
      <c r="D2309">
        <v>143356</v>
      </c>
      <c r="E2309">
        <v>11</v>
      </c>
      <c r="F2309" s="3" t="s">
        <v>2056</v>
      </c>
      <c r="G2309" s="4">
        <v>20004</v>
      </c>
      <c r="H2309" s="4">
        <v>0</v>
      </c>
      <c r="I2309" s="4">
        <v>-60963751.68</v>
      </c>
    </row>
    <row r="2310" spans="1:9" x14ac:dyDescent="0.3">
      <c r="A2310" t="s">
        <v>75</v>
      </c>
      <c r="B2310" s="1">
        <v>45881</v>
      </c>
      <c r="C2310" s="1">
        <v>45881</v>
      </c>
      <c r="D2310">
        <v>143359</v>
      </c>
      <c r="E2310">
        <v>67</v>
      </c>
      <c r="F2310" s="3" t="s">
        <v>2057</v>
      </c>
      <c r="G2310" s="4">
        <v>32309.75</v>
      </c>
      <c r="H2310" s="4">
        <v>0</v>
      </c>
      <c r="I2310" s="4">
        <v>-60931441.93</v>
      </c>
    </row>
    <row r="2311" spans="1:9" x14ac:dyDescent="0.3">
      <c r="A2311" t="s">
        <v>75</v>
      </c>
      <c r="B2311" s="1">
        <v>45880</v>
      </c>
      <c r="C2311" s="1">
        <v>45881</v>
      </c>
      <c r="D2311">
        <v>143360</v>
      </c>
      <c r="E2311">
        <v>44</v>
      </c>
      <c r="F2311" s="3" t="s">
        <v>2058</v>
      </c>
      <c r="G2311" s="4">
        <v>2463.42</v>
      </c>
      <c r="H2311" s="4">
        <v>0</v>
      </c>
      <c r="I2311" s="4">
        <v>-60928978.509999998</v>
      </c>
    </row>
    <row r="2312" spans="1:9" x14ac:dyDescent="0.3">
      <c r="A2312" t="s">
        <v>75</v>
      </c>
      <c r="B2312" s="1">
        <v>45876</v>
      </c>
      <c r="C2312" s="1">
        <v>45881</v>
      </c>
      <c r="D2312">
        <v>143361</v>
      </c>
      <c r="E2312">
        <v>23</v>
      </c>
      <c r="F2312" s="3" t="s">
        <v>2059</v>
      </c>
      <c r="G2312" s="4">
        <v>31398.75</v>
      </c>
      <c r="H2312" s="4">
        <v>0</v>
      </c>
      <c r="I2312" s="4">
        <v>-60897579.759999998</v>
      </c>
    </row>
    <row r="2313" spans="1:9" x14ac:dyDescent="0.3">
      <c r="A2313" t="s">
        <v>75</v>
      </c>
      <c r="B2313" s="1">
        <v>45876</v>
      </c>
      <c r="C2313" s="1">
        <v>45881</v>
      </c>
      <c r="D2313">
        <v>143362</v>
      </c>
      <c r="E2313">
        <v>23</v>
      </c>
      <c r="F2313" s="3" t="s">
        <v>2059</v>
      </c>
      <c r="G2313" s="4">
        <v>87680</v>
      </c>
      <c r="H2313" s="4">
        <v>0</v>
      </c>
      <c r="I2313" s="4">
        <v>-60809899.759999998</v>
      </c>
    </row>
    <row r="2314" spans="1:9" x14ac:dyDescent="0.3">
      <c r="A2314" t="s">
        <v>75</v>
      </c>
      <c r="B2314" s="1">
        <v>45876</v>
      </c>
      <c r="C2314" s="1">
        <v>45881</v>
      </c>
      <c r="D2314">
        <v>143363</v>
      </c>
      <c r="E2314">
        <v>34</v>
      </c>
      <c r="F2314" s="3" t="s">
        <v>2060</v>
      </c>
      <c r="G2314" s="4">
        <v>1500</v>
      </c>
      <c r="H2314" s="4">
        <v>0</v>
      </c>
      <c r="I2314" s="4">
        <v>-60808399.759999998</v>
      </c>
    </row>
    <row r="2315" spans="1:9" x14ac:dyDescent="0.3">
      <c r="A2315" t="s">
        <v>75</v>
      </c>
      <c r="B2315" s="1">
        <v>45877</v>
      </c>
      <c r="C2315" s="1">
        <v>45881</v>
      </c>
      <c r="D2315">
        <v>143364</v>
      </c>
      <c r="E2315">
        <v>34</v>
      </c>
      <c r="F2315" s="3" t="s">
        <v>2061</v>
      </c>
      <c r="G2315" s="4">
        <v>186282</v>
      </c>
      <c r="H2315" s="4">
        <v>0</v>
      </c>
      <c r="I2315" s="4">
        <v>-60622117.759999998</v>
      </c>
    </row>
    <row r="2316" spans="1:9" x14ac:dyDescent="0.3">
      <c r="A2316" t="s">
        <v>75</v>
      </c>
      <c r="B2316" s="1">
        <v>45880</v>
      </c>
      <c r="C2316" s="1">
        <v>45881</v>
      </c>
      <c r="D2316">
        <v>143365</v>
      </c>
      <c r="E2316">
        <v>34</v>
      </c>
      <c r="F2316" s="3" t="s">
        <v>2062</v>
      </c>
      <c r="G2316" s="4">
        <v>169697.25</v>
      </c>
      <c r="H2316" s="4">
        <v>0</v>
      </c>
      <c r="I2316" s="4">
        <v>-60452420.509999998</v>
      </c>
    </row>
    <row r="2317" spans="1:9" x14ac:dyDescent="0.3">
      <c r="A2317" t="s">
        <v>75</v>
      </c>
      <c r="B2317" s="1">
        <v>45881</v>
      </c>
      <c r="C2317" s="1">
        <v>45881</v>
      </c>
      <c r="D2317">
        <v>143366</v>
      </c>
      <c r="E2317">
        <v>23</v>
      </c>
      <c r="F2317" s="3" t="s">
        <v>2063</v>
      </c>
      <c r="G2317" s="4">
        <v>439</v>
      </c>
      <c r="H2317" s="4">
        <v>0</v>
      </c>
      <c r="I2317" s="4">
        <v>-60451981.509999998</v>
      </c>
    </row>
    <row r="2318" spans="1:9" x14ac:dyDescent="0.3">
      <c r="A2318" t="s">
        <v>124</v>
      </c>
      <c r="B2318" s="1">
        <v>45881</v>
      </c>
      <c r="C2318" s="1">
        <v>45881</v>
      </c>
      <c r="D2318">
        <v>22198</v>
      </c>
      <c r="E2318">
        <v>11</v>
      </c>
      <c r="F2318" s="3" t="s">
        <v>125</v>
      </c>
      <c r="G2318" s="4">
        <v>0</v>
      </c>
      <c r="H2318" s="4">
        <v>45947508.240000002</v>
      </c>
      <c r="I2318" s="4">
        <v>-106399489.75</v>
      </c>
    </row>
    <row r="2319" spans="1:9" x14ac:dyDescent="0.3">
      <c r="A2319" t="s">
        <v>124</v>
      </c>
      <c r="B2319" s="1">
        <v>45881</v>
      </c>
      <c r="C2319" s="1">
        <v>45881</v>
      </c>
      <c r="D2319">
        <v>22199</v>
      </c>
      <c r="E2319">
        <v>11</v>
      </c>
      <c r="F2319" s="3" t="s">
        <v>127</v>
      </c>
      <c r="G2319" s="4">
        <v>19900000</v>
      </c>
      <c r="H2319" s="4">
        <v>0</v>
      </c>
      <c r="I2319" s="4">
        <v>-86499489.75</v>
      </c>
    </row>
    <row r="2320" spans="1:9" x14ac:dyDescent="0.3">
      <c r="A2320" t="s">
        <v>124</v>
      </c>
      <c r="B2320" s="1">
        <v>45881</v>
      </c>
      <c r="C2320" s="1">
        <v>45881</v>
      </c>
      <c r="D2320">
        <v>22201</v>
      </c>
      <c r="E2320">
        <v>11</v>
      </c>
      <c r="F2320" s="3" t="s">
        <v>128</v>
      </c>
      <c r="G2320" s="4">
        <v>10000000</v>
      </c>
      <c r="H2320" s="4">
        <v>0</v>
      </c>
      <c r="I2320" s="4">
        <v>-76499489.75</v>
      </c>
    </row>
    <row r="2321" spans="1:9" x14ac:dyDescent="0.3">
      <c r="A2321" t="s">
        <v>124</v>
      </c>
      <c r="B2321" s="1">
        <v>45881</v>
      </c>
      <c r="C2321" s="1">
        <v>45881</v>
      </c>
      <c r="D2321">
        <v>22203</v>
      </c>
      <c r="E2321">
        <v>11</v>
      </c>
      <c r="F2321" s="3" t="s">
        <v>128</v>
      </c>
      <c r="G2321" s="4">
        <v>6000000</v>
      </c>
      <c r="H2321" s="4">
        <v>0</v>
      </c>
      <c r="I2321" s="4">
        <v>-70499489.75</v>
      </c>
    </row>
    <row r="2322" spans="1:9" x14ac:dyDescent="0.3">
      <c r="A2322" t="s">
        <v>133</v>
      </c>
      <c r="B2322" s="1">
        <v>45881</v>
      </c>
      <c r="C2322" s="1">
        <v>45881</v>
      </c>
      <c r="D2322">
        <v>915167</v>
      </c>
      <c r="E2322">
        <v>27</v>
      </c>
      <c r="F2322" s="3" t="s">
        <v>2064</v>
      </c>
      <c r="G2322" s="4">
        <v>67513</v>
      </c>
      <c r="H2322" s="4">
        <v>0</v>
      </c>
      <c r="I2322" s="4">
        <v>-70431976.75</v>
      </c>
    </row>
    <row r="2323" spans="1:9" x14ac:dyDescent="0.3">
      <c r="A2323" t="s">
        <v>133</v>
      </c>
      <c r="B2323" s="1">
        <v>45881</v>
      </c>
      <c r="C2323" s="1">
        <v>45881</v>
      </c>
      <c r="D2323">
        <v>915168</v>
      </c>
      <c r="E2323">
        <v>27</v>
      </c>
      <c r="F2323" s="3" t="s">
        <v>2065</v>
      </c>
      <c r="G2323" s="4">
        <v>100000</v>
      </c>
      <c r="H2323" s="4">
        <v>0</v>
      </c>
      <c r="I2323" s="4">
        <v>-70331976.75</v>
      </c>
    </row>
    <row r="2324" spans="1:9" x14ac:dyDescent="0.3">
      <c r="A2324" t="s">
        <v>133</v>
      </c>
      <c r="B2324" s="1">
        <v>45881</v>
      </c>
      <c r="C2324" s="1">
        <v>45881</v>
      </c>
      <c r="D2324">
        <v>915169</v>
      </c>
      <c r="E2324">
        <v>27</v>
      </c>
      <c r="F2324" s="3" t="s">
        <v>2066</v>
      </c>
      <c r="G2324" s="4">
        <v>100000</v>
      </c>
      <c r="H2324" s="4">
        <v>0</v>
      </c>
      <c r="I2324" s="4">
        <v>-70231976.75</v>
      </c>
    </row>
    <row r="2325" spans="1:9" x14ac:dyDescent="0.3">
      <c r="A2325" t="s">
        <v>133</v>
      </c>
      <c r="B2325" s="1">
        <v>45881</v>
      </c>
      <c r="C2325" s="1">
        <v>45881</v>
      </c>
      <c r="D2325">
        <v>915170</v>
      </c>
      <c r="E2325">
        <v>27</v>
      </c>
      <c r="F2325" s="3" t="s">
        <v>2067</v>
      </c>
      <c r="G2325" s="4">
        <v>100000</v>
      </c>
      <c r="H2325" s="4">
        <v>0</v>
      </c>
      <c r="I2325" s="4">
        <v>-70131976.75</v>
      </c>
    </row>
    <row r="2326" spans="1:9" x14ac:dyDescent="0.3">
      <c r="A2326" t="s">
        <v>133</v>
      </c>
      <c r="B2326" s="1">
        <v>45881</v>
      </c>
      <c r="C2326" s="1">
        <v>45881</v>
      </c>
      <c r="D2326">
        <v>915181</v>
      </c>
      <c r="E2326">
        <v>223</v>
      </c>
      <c r="F2326" s="3">
        <v>50933259298</v>
      </c>
      <c r="G2326" s="4">
        <v>111301</v>
      </c>
      <c r="H2326" s="4">
        <v>0</v>
      </c>
      <c r="I2326" s="4">
        <v>-70020675.75</v>
      </c>
    </row>
    <row r="2327" spans="1:9" x14ac:dyDescent="0.3">
      <c r="A2327" t="s">
        <v>133</v>
      </c>
      <c r="B2327" s="1">
        <v>45881</v>
      </c>
      <c r="C2327" s="1">
        <v>45881</v>
      </c>
      <c r="D2327">
        <v>915190</v>
      </c>
      <c r="E2327">
        <v>11</v>
      </c>
      <c r="F2327" s="3" t="s">
        <v>2068</v>
      </c>
      <c r="G2327" s="4">
        <v>13000</v>
      </c>
      <c r="H2327" s="4">
        <v>0</v>
      </c>
      <c r="I2327" s="4">
        <v>-70007675.75</v>
      </c>
    </row>
    <row r="2328" spans="1:9" x14ac:dyDescent="0.3">
      <c r="A2328" t="s">
        <v>133</v>
      </c>
      <c r="B2328" s="1">
        <v>45881</v>
      </c>
      <c r="C2328" s="1">
        <v>45881</v>
      </c>
      <c r="D2328">
        <v>915191</v>
      </c>
      <c r="E2328">
        <v>220</v>
      </c>
      <c r="F2328" s="3" t="s">
        <v>2069</v>
      </c>
      <c r="G2328" s="4">
        <v>100000</v>
      </c>
      <c r="H2328" s="4">
        <v>0</v>
      </c>
      <c r="I2328" s="4">
        <v>-69907675.75</v>
      </c>
    </row>
    <row r="2329" spans="1:9" x14ac:dyDescent="0.3">
      <c r="A2329" t="s">
        <v>133</v>
      </c>
      <c r="B2329" s="1">
        <v>45881</v>
      </c>
      <c r="C2329" s="1">
        <v>45881</v>
      </c>
      <c r="D2329">
        <v>915192</v>
      </c>
      <c r="E2329">
        <v>220</v>
      </c>
      <c r="F2329" s="3" t="s">
        <v>2070</v>
      </c>
      <c r="G2329" s="4">
        <v>40384.75</v>
      </c>
      <c r="H2329" s="4">
        <v>0</v>
      </c>
      <c r="I2329" s="4">
        <v>-69867291</v>
      </c>
    </row>
    <row r="2330" spans="1:9" x14ac:dyDescent="0.3">
      <c r="A2330" t="s">
        <v>133</v>
      </c>
      <c r="B2330" s="1">
        <v>45881</v>
      </c>
      <c r="C2330" s="1">
        <v>45881</v>
      </c>
      <c r="D2330">
        <v>915193</v>
      </c>
      <c r="E2330">
        <v>220</v>
      </c>
      <c r="F2330" s="3" t="s">
        <v>2071</v>
      </c>
      <c r="G2330" s="4">
        <v>100000</v>
      </c>
      <c r="H2330" s="4">
        <v>0</v>
      </c>
      <c r="I2330" s="4">
        <v>-69767291</v>
      </c>
    </row>
    <row r="2331" spans="1:9" x14ac:dyDescent="0.3">
      <c r="A2331" t="s">
        <v>133</v>
      </c>
      <c r="B2331" s="1">
        <v>45881</v>
      </c>
      <c r="C2331" s="1">
        <v>45881</v>
      </c>
      <c r="D2331">
        <v>915197</v>
      </c>
      <c r="E2331">
        <v>36</v>
      </c>
      <c r="F2331" s="3" t="s">
        <v>2072</v>
      </c>
      <c r="G2331" s="4">
        <v>50000</v>
      </c>
      <c r="H2331" s="4">
        <v>0</v>
      </c>
      <c r="I2331" s="4">
        <v>-69717291</v>
      </c>
    </row>
    <row r="2332" spans="1:9" x14ac:dyDescent="0.3">
      <c r="A2332" t="s">
        <v>133</v>
      </c>
      <c r="B2332" s="1">
        <v>45881</v>
      </c>
      <c r="C2332" s="1">
        <v>45881</v>
      </c>
      <c r="D2332">
        <v>915198</v>
      </c>
      <c r="E2332">
        <v>382</v>
      </c>
      <c r="F2332" s="3" t="s">
        <v>2073</v>
      </c>
      <c r="G2332" s="4">
        <v>9228</v>
      </c>
      <c r="H2332" s="4">
        <v>0</v>
      </c>
      <c r="I2332" s="4">
        <v>-69708063</v>
      </c>
    </row>
    <row r="2333" spans="1:9" x14ac:dyDescent="0.3">
      <c r="A2333" t="s">
        <v>133</v>
      </c>
      <c r="B2333" s="1">
        <v>45881</v>
      </c>
      <c r="C2333" s="1">
        <v>45881</v>
      </c>
      <c r="D2333">
        <v>915204</v>
      </c>
      <c r="E2333">
        <v>220</v>
      </c>
      <c r="F2333" s="3" t="s">
        <v>2074</v>
      </c>
      <c r="G2333" s="4">
        <v>36800.5</v>
      </c>
      <c r="H2333" s="4">
        <v>0</v>
      </c>
      <c r="I2333" s="4">
        <v>-69671262.5</v>
      </c>
    </row>
    <row r="2334" spans="1:9" x14ac:dyDescent="0.3">
      <c r="A2334" t="s">
        <v>133</v>
      </c>
      <c r="B2334" s="1">
        <v>45881</v>
      </c>
      <c r="C2334" s="1">
        <v>45881</v>
      </c>
      <c r="D2334">
        <v>915207</v>
      </c>
      <c r="E2334">
        <v>12</v>
      </c>
      <c r="F2334" s="3">
        <v>50940678033</v>
      </c>
      <c r="G2334" s="4">
        <v>294025</v>
      </c>
      <c r="H2334" s="4">
        <v>0</v>
      </c>
      <c r="I2334" s="4">
        <v>-69377237.5</v>
      </c>
    </row>
    <row r="2335" spans="1:9" x14ac:dyDescent="0.3">
      <c r="A2335" t="s">
        <v>133</v>
      </c>
      <c r="B2335" s="1">
        <v>45881</v>
      </c>
      <c r="C2335" s="1">
        <v>45881</v>
      </c>
      <c r="D2335">
        <v>915208</v>
      </c>
      <c r="E2335">
        <v>72</v>
      </c>
      <c r="F2335" s="3" t="s">
        <v>2075</v>
      </c>
      <c r="G2335" s="4">
        <v>10000</v>
      </c>
      <c r="H2335" s="4">
        <v>0</v>
      </c>
      <c r="I2335" s="4">
        <v>-69367237.5</v>
      </c>
    </row>
    <row r="2336" spans="1:9" x14ac:dyDescent="0.3">
      <c r="A2336" t="s">
        <v>133</v>
      </c>
      <c r="B2336" s="1">
        <v>45881</v>
      </c>
      <c r="C2336" s="1">
        <v>45881</v>
      </c>
      <c r="D2336">
        <v>915209</v>
      </c>
      <c r="E2336">
        <v>72</v>
      </c>
      <c r="F2336" s="3" t="s">
        <v>2076</v>
      </c>
      <c r="G2336" s="4">
        <v>50000</v>
      </c>
      <c r="H2336" s="4">
        <v>0</v>
      </c>
      <c r="I2336" s="4">
        <v>-69317237.5</v>
      </c>
    </row>
    <row r="2337" spans="1:9" x14ac:dyDescent="0.3">
      <c r="A2337" t="s">
        <v>133</v>
      </c>
      <c r="B2337" s="1">
        <v>45881</v>
      </c>
      <c r="C2337" s="1">
        <v>45881</v>
      </c>
      <c r="D2337">
        <v>915212</v>
      </c>
      <c r="E2337">
        <v>91</v>
      </c>
      <c r="F2337" s="3" t="s">
        <v>2077</v>
      </c>
      <c r="G2337" s="4">
        <v>133827.25</v>
      </c>
      <c r="H2337" s="4">
        <v>0</v>
      </c>
      <c r="I2337" s="4">
        <v>-69183410.25</v>
      </c>
    </row>
    <row r="2338" spans="1:9" x14ac:dyDescent="0.3">
      <c r="A2338" t="s">
        <v>133</v>
      </c>
      <c r="B2338" s="1">
        <v>45881</v>
      </c>
      <c r="C2338" s="1">
        <v>45881</v>
      </c>
      <c r="D2338">
        <v>915217</v>
      </c>
      <c r="E2338">
        <v>91</v>
      </c>
      <c r="F2338" s="3" t="s">
        <v>2078</v>
      </c>
      <c r="G2338" s="4">
        <v>16646</v>
      </c>
      <c r="H2338" s="4">
        <v>0</v>
      </c>
      <c r="I2338" s="4">
        <v>-69166764.25</v>
      </c>
    </row>
    <row r="2339" spans="1:9" x14ac:dyDescent="0.3">
      <c r="A2339" t="s">
        <v>133</v>
      </c>
      <c r="B2339" s="1">
        <v>45881</v>
      </c>
      <c r="C2339" s="1">
        <v>45881</v>
      </c>
      <c r="D2339">
        <v>915218</v>
      </c>
      <c r="E2339">
        <v>11</v>
      </c>
      <c r="F2339" s="3" t="s">
        <v>2079</v>
      </c>
      <c r="G2339" s="4">
        <v>91897.75</v>
      </c>
      <c r="H2339" s="4">
        <v>0</v>
      </c>
      <c r="I2339" s="4">
        <v>-69074866.5</v>
      </c>
    </row>
    <row r="2340" spans="1:9" x14ac:dyDescent="0.3">
      <c r="A2340" t="s">
        <v>133</v>
      </c>
      <c r="B2340" s="1">
        <v>45881</v>
      </c>
      <c r="C2340" s="1">
        <v>45881</v>
      </c>
      <c r="D2340">
        <v>915219</v>
      </c>
      <c r="E2340">
        <v>11</v>
      </c>
      <c r="F2340" s="3" t="s">
        <v>2080</v>
      </c>
      <c r="G2340" s="4">
        <v>180905.25</v>
      </c>
      <c r="H2340" s="4">
        <v>0</v>
      </c>
      <c r="I2340" s="4">
        <v>-68893961.25</v>
      </c>
    </row>
    <row r="2341" spans="1:9" x14ac:dyDescent="0.3">
      <c r="A2341" t="s">
        <v>133</v>
      </c>
      <c r="B2341" s="1">
        <v>45881</v>
      </c>
      <c r="C2341" s="1">
        <v>45881</v>
      </c>
      <c r="D2341">
        <v>915220</v>
      </c>
      <c r="E2341">
        <v>11</v>
      </c>
      <c r="F2341" s="3" t="s">
        <v>2081</v>
      </c>
      <c r="G2341" s="4">
        <v>43519.25</v>
      </c>
      <c r="H2341" s="4">
        <v>0</v>
      </c>
      <c r="I2341" s="4">
        <v>-68850442</v>
      </c>
    </row>
    <row r="2342" spans="1:9" x14ac:dyDescent="0.3">
      <c r="A2342" t="s">
        <v>133</v>
      </c>
      <c r="B2342" s="1">
        <v>45881</v>
      </c>
      <c r="C2342" s="1">
        <v>45881</v>
      </c>
      <c r="D2342">
        <v>915230</v>
      </c>
      <c r="E2342">
        <v>16</v>
      </c>
      <c r="F2342" s="3" t="s">
        <v>2082</v>
      </c>
      <c r="G2342" s="4">
        <v>100000</v>
      </c>
      <c r="H2342" s="4">
        <v>0</v>
      </c>
      <c r="I2342" s="4">
        <v>-68750442</v>
      </c>
    </row>
    <row r="2343" spans="1:9" x14ac:dyDescent="0.3">
      <c r="A2343" t="s">
        <v>133</v>
      </c>
      <c r="B2343" s="1">
        <v>45881</v>
      </c>
      <c r="C2343" s="1">
        <v>45881</v>
      </c>
      <c r="D2343">
        <v>915232</v>
      </c>
      <c r="E2343">
        <v>16</v>
      </c>
      <c r="F2343" s="3" t="s">
        <v>2083</v>
      </c>
      <c r="G2343" s="4">
        <v>83821</v>
      </c>
      <c r="H2343" s="4">
        <v>0</v>
      </c>
      <c r="I2343" s="4">
        <v>-68666621</v>
      </c>
    </row>
    <row r="2344" spans="1:9" x14ac:dyDescent="0.3">
      <c r="A2344" t="s">
        <v>133</v>
      </c>
      <c r="B2344" s="1">
        <v>45881</v>
      </c>
      <c r="C2344" s="1">
        <v>45881</v>
      </c>
      <c r="D2344">
        <v>915233</v>
      </c>
      <c r="E2344">
        <v>51</v>
      </c>
      <c r="F2344" s="3" t="s">
        <v>2084</v>
      </c>
      <c r="G2344" s="4">
        <v>310000</v>
      </c>
      <c r="H2344" s="4">
        <v>0</v>
      </c>
      <c r="I2344" s="4">
        <v>-68356621</v>
      </c>
    </row>
    <row r="2345" spans="1:9" x14ac:dyDescent="0.3">
      <c r="A2345" t="s">
        <v>133</v>
      </c>
      <c r="B2345" s="1">
        <v>45881</v>
      </c>
      <c r="C2345" s="1">
        <v>45881</v>
      </c>
      <c r="D2345">
        <v>915240</v>
      </c>
      <c r="E2345">
        <v>27</v>
      </c>
      <c r="F2345" s="3" t="s">
        <v>2085</v>
      </c>
      <c r="G2345" s="4">
        <v>102932.5</v>
      </c>
      <c r="H2345" s="4">
        <v>0</v>
      </c>
      <c r="I2345" s="4">
        <v>-68253688.5</v>
      </c>
    </row>
    <row r="2346" spans="1:9" x14ac:dyDescent="0.3">
      <c r="A2346" t="s">
        <v>133</v>
      </c>
      <c r="B2346" s="1">
        <v>45881</v>
      </c>
      <c r="C2346" s="1">
        <v>45881</v>
      </c>
      <c r="D2346">
        <v>915242</v>
      </c>
      <c r="E2346">
        <v>12</v>
      </c>
      <c r="F2346" s="3" t="s">
        <v>2086</v>
      </c>
      <c r="G2346" s="4">
        <v>527200.25</v>
      </c>
      <c r="H2346" s="4">
        <v>0</v>
      </c>
      <c r="I2346" s="4">
        <v>-67726488.25</v>
      </c>
    </row>
    <row r="2347" spans="1:9" x14ac:dyDescent="0.3">
      <c r="A2347" t="s">
        <v>133</v>
      </c>
      <c r="B2347" s="1">
        <v>45881</v>
      </c>
      <c r="C2347" s="1">
        <v>45881</v>
      </c>
      <c r="D2347">
        <v>915245</v>
      </c>
      <c r="E2347">
        <v>27</v>
      </c>
      <c r="F2347" s="3" t="s">
        <v>2087</v>
      </c>
      <c r="G2347" s="4">
        <v>100137.5</v>
      </c>
      <c r="H2347" s="4">
        <v>0</v>
      </c>
      <c r="I2347" s="4">
        <v>-67626350.75</v>
      </c>
    </row>
    <row r="2348" spans="1:9" x14ac:dyDescent="0.3">
      <c r="A2348" t="s">
        <v>133</v>
      </c>
      <c r="B2348" s="1">
        <v>45881</v>
      </c>
      <c r="C2348" s="1">
        <v>45881</v>
      </c>
      <c r="D2348">
        <v>915249</v>
      </c>
      <c r="E2348">
        <v>12</v>
      </c>
      <c r="F2348" s="3" t="s">
        <v>2088</v>
      </c>
      <c r="G2348" s="4">
        <v>43654.25</v>
      </c>
      <c r="H2348" s="4">
        <v>0</v>
      </c>
      <c r="I2348" s="4">
        <v>-67582696.5</v>
      </c>
    </row>
    <row r="2349" spans="1:9" x14ac:dyDescent="0.3">
      <c r="A2349" t="s">
        <v>133</v>
      </c>
      <c r="B2349" s="1">
        <v>45881</v>
      </c>
      <c r="C2349" s="1">
        <v>45881</v>
      </c>
      <c r="D2349">
        <v>915254</v>
      </c>
      <c r="E2349">
        <v>89</v>
      </c>
      <c r="F2349" s="3" t="s">
        <v>2089</v>
      </c>
      <c r="G2349" s="4">
        <v>25000</v>
      </c>
      <c r="H2349" s="4">
        <v>0</v>
      </c>
      <c r="I2349" s="4">
        <v>-67557696.5</v>
      </c>
    </row>
    <row r="2350" spans="1:9" x14ac:dyDescent="0.3">
      <c r="A2350" t="s">
        <v>133</v>
      </c>
      <c r="B2350" s="1">
        <v>45881</v>
      </c>
      <c r="C2350" s="1">
        <v>45881</v>
      </c>
      <c r="D2350">
        <v>915255</v>
      </c>
      <c r="E2350">
        <v>27</v>
      </c>
      <c r="F2350" s="3" t="s">
        <v>2090</v>
      </c>
      <c r="G2350" s="4">
        <v>125072.5</v>
      </c>
      <c r="H2350" s="4">
        <v>0</v>
      </c>
      <c r="I2350" s="4">
        <v>-67432624</v>
      </c>
    </row>
    <row r="2351" spans="1:9" x14ac:dyDescent="0.3">
      <c r="A2351" t="s">
        <v>133</v>
      </c>
      <c r="B2351" s="1">
        <v>45881</v>
      </c>
      <c r="C2351" s="1">
        <v>45881</v>
      </c>
      <c r="D2351">
        <v>915257</v>
      </c>
      <c r="E2351">
        <v>12</v>
      </c>
      <c r="F2351" s="3" t="s">
        <v>2091</v>
      </c>
      <c r="G2351" s="4">
        <v>60.5</v>
      </c>
      <c r="H2351" s="4">
        <v>0</v>
      </c>
      <c r="I2351" s="4">
        <v>-67432563.5</v>
      </c>
    </row>
    <row r="2352" spans="1:9" x14ac:dyDescent="0.3">
      <c r="A2352" t="s">
        <v>133</v>
      </c>
      <c r="B2352" s="1">
        <v>45881</v>
      </c>
      <c r="C2352" s="1">
        <v>45881</v>
      </c>
      <c r="D2352">
        <v>915258</v>
      </c>
      <c r="E2352">
        <v>12</v>
      </c>
      <c r="F2352" s="3" t="s">
        <v>2092</v>
      </c>
      <c r="G2352" s="4">
        <v>27158</v>
      </c>
      <c r="H2352" s="4">
        <v>0</v>
      </c>
      <c r="I2352" s="4">
        <v>-67405405.5</v>
      </c>
    </row>
    <row r="2353" spans="1:9" x14ac:dyDescent="0.3">
      <c r="A2353" t="s">
        <v>133</v>
      </c>
      <c r="B2353" s="1">
        <v>45881</v>
      </c>
      <c r="C2353" s="1">
        <v>45881</v>
      </c>
      <c r="D2353">
        <v>915261</v>
      </c>
      <c r="E2353">
        <v>72</v>
      </c>
      <c r="F2353" s="3">
        <v>50944576689</v>
      </c>
      <c r="G2353" s="4">
        <v>1798.5</v>
      </c>
      <c r="H2353" s="4">
        <v>0</v>
      </c>
      <c r="I2353" s="4">
        <v>-67403607</v>
      </c>
    </row>
    <row r="2354" spans="1:9" x14ac:dyDescent="0.3">
      <c r="A2354" t="s">
        <v>133</v>
      </c>
      <c r="B2354" s="1">
        <v>45881</v>
      </c>
      <c r="C2354" s="1">
        <v>45881</v>
      </c>
      <c r="D2354">
        <v>915262</v>
      </c>
      <c r="E2354">
        <v>45</v>
      </c>
      <c r="F2354" s="3" t="s">
        <v>166</v>
      </c>
      <c r="G2354" s="4">
        <v>320000</v>
      </c>
      <c r="H2354" s="4">
        <v>0</v>
      </c>
      <c r="I2354" s="4">
        <v>-67083607</v>
      </c>
    </row>
    <row r="2355" spans="1:9" x14ac:dyDescent="0.3">
      <c r="A2355" t="s">
        <v>133</v>
      </c>
      <c r="B2355" s="1">
        <v>45881</v>
      </c>
      <c r="C2355" s="1">
        <v>45881</v>
      </c>
      <c r="D2355">
        <v>915263</v>
      </c>
      <c r="E2355">
        <v>13</v>
      </c>
      <c r="F2355" s="3" t="s">
        <v>2093</v>
      </c>
      <c r="G2355" s="4">
        <v>27650.75</v>
      </c>
      <c r="H2355" s="4">
        <v>0</v>
      </c>
      <c r="I2355" s="4">
        <v>-67055956.25</v>
      </c>
    </row>
    <row r="2356" spans="1:9" x14ac:dyDescent="0.3">
      <c r="A2356" t="s">
        <v>133</v>
      </c>
      <c r="B2356" s="1">
        <v>45881</v>
      </c>
      <c r="C2356" s="1">
        <v>45881</v>
      </c>
      <c r="D2356">
        <v>915264</v>
      </c>
      <c r="E2356">
        <v>78</v>
      </c>
      <c r="F2356" s="3" t="s">
        <v>2094</v>
      </c>
      <c r="G2356" s="4">
        <v>88409.5</v>
      </c>
      <c r="H2356" s="4">
        <v>0</v>
      </c>
      <c r="I2356" s="4">
        <v>-66967546.75</v>
      </c>
    </row>
    <row r="2357" spans="1:9" x14ac:dyDescent="0.3">
      <c r="A2357" t="s">
        <v>133</v>
      </c>
      <c r="B2357" s="1">
        <v>45881</v>
      </c>
      <c r="C2357" s="1">
        <v>45881</v>
      </c>
      <c r="D2357">
        <v>915265</v>
      </c>
      <c r="E2357">
        <v>78</v>
      </c>
      <c r="F2357" s="3" t="s">
        <v>2095</v>
      </c>
      <c r="G2357" s="4">
        <v>183330.5</v>
      </c>
      <c r="H2357" s="4">
        <v>0</v>
      </c>
      <c r="I2357" s="4">
        <v>-66784216.25</v>
      </c>
    </row>
    <row r="2358" spans="1:9" x14ac:dyDescent="0.3">
      <c r="A2358" t="s">
        <v>133</v>
      </c>
      <c r="B2358" s="1">
        <v>45881</v>
      </c>
      <c r="C2358" s="1">
        <v>45881</v>
      </c>
      <c r="D2358">
        <v>915274</v>
      </c>
      <c r="E2358">
        <v>18</v>
      </c>
      <c r="F2358" s="3" t="s">
        <v>2096</v>
      </c>
      <c r="G2358" s="4">
        <v>270000</v>
      </c>
      <c r="H2358" s="4">
        <v>0</v>
      </c>
      <c r="I2358" s="4">
        <v>-66514216.25</v>
      </c>
    </row>
    <row r="2359" spans="1:9" x14ac:dyDescent="0.3">
      <c r="A2359" t="s">
        <v>133</v>
      </c>
      <c r="B2359" s="1">
        <v>45881</v>
      </c>
      <c r="C2359" s="1">
        <v>45881</v>
      </c>
      <c r="D2359">
        <v>915277</v>
      </c>
      <c r="E2359">
        <v>252</v>
      </c>
      <c r="F2359" s="3" t="s">
        <v>2097</v>
      </c>
      <c r="G2359" s="4">
        <v>15638.25</v>
      </c>
      <c r="H2359" s="4">
        <v>0</v>
      </c>
      <c r="I2359" s="4">
        <v>-66498578</v>
      </c>
    </row>
    <row r="2360" spans="1:9" x14ac:dyDescent="0.3">
      <c r="A2360" t="s">
        <v>133</v>
      </c>
      <c r="B2360" s="1">
        <v>45881</v>
      </c>
      <c r="C2360" s="1">
        <v>45881</v>
      </c>
      <c r="D2360">
        <v>915280</v>
      </c>
      <c r="E2360">
        <v>223</v>
      </c>
      <c r="F2360" s="3" t="s">
        <v>922</v>
      </c>
      <c r="G2360" s="4">
        <v>210000</v>
      </c>
      <c r="H2360" s="4">
        <v>0</v>
      </c>
      <c r="I2360" s="4">
        <v>-66288578</v>
      </c>
    </row>
    <row r="2361" spans="1:9" x14ac:dyDescent="0.3">
      <c r="A2361" t="s">
        <v>133</v>
      </c>
      <c r="B2361" s="1">
        <v>45881</v>
      </c>
      <c r="C2361" s="1">
        <v>45881</v>
      </c>
      <c r="D2361">
        <v>915281</v>
      </c>
      <c r="E2361">
        <v>28</v>
      </c>
      <c r="F2361" s="3" t="s">
        <v>2098</v>
      </c>
      <c r="G2361" s="4">
        <v>271000</v>
      </c>
      <c r="H2361" s="4">
        <v>0</v>
      </c>
      <c r="I2361" s="4">
        <v>-66017578</v>
      </c>
    </row>
    <row r="2362" spans="1:9" x14ac:dyDescent="0.3">
      <c r="A2362" t="s">
        <v>133</v>
      </c>
      <c r="B2362" s="1">
        <v>45881</v>
      </c>
      <c r="C2362" s="1">
        <v>45881</v>
      </c>
      <c r="D2362">
        <v>915287</v>
      </c>
      <c r="E2362">
        <v>33</v>
      </c>
      <c r="F2362" s="3" t="s">
        <v>2099</v>
      </c>
      <c r="G2362" s="4">
        <v>15963</v>
      </c>
      <c r="H2362" s="4">
        <v>0</v>
      </c>
      <c r="I2362" s="4">
        <v>-66001615</v>
      </c>
    </row>
    <row r="2363" spans="1:9" x14ac:dyDescent="0.3">
      <c r="A2363" t="s">
        <v>133</v>
      </c>
      <c r="B2363" s="1">
        <v>45881</v>
      </c>
      <c r="C2363" s="1">
        <v>45881</v>
      </c>
      <c r="D2363">
        <v>915294</v>
      </c>
      <c r="E2363">
        <v>78</v>
      </c>
      <c r="F2363" s="3" t="s">
        <v>2100</v>
      </c>
      <c r="G2363" s="4">
        <v>18798.75</v>
      </c>
      <c r="H2363" s="4">
        <v>0</v>
      </c>
      <c r="I2363" s="4">
        <v>-65982816.25</v>
      </c>
    </row>
    <row r="2364" spans="1:9" x14ac:dyDescent="0.3">
      <c r="A2364" t="s">
        <v>133</v>
      </c>
      <c r="B2364" s="1">
        <v>45881</v>
      </c>
      <c r="C2364" s="1">
        <v>45881</v>
      </c>
      <c r="D2364">
        <v>915296</v>
      </c>
      <c r="E2364">
        <v>31</v>
      </c>
      <c r="F2364" s="3" t="s">
        <v>2101</v>
      </c>
      <c r="G2364" s="4">
        <v>52537.5</v>
      </c>
      <c r="H2364" s="4">
        <v>0</v>
      </c>
      <c r="I2364" s="4">
        <v>-65930278.75</v>
      </c>
    </row>
    <row r="2365" spans="1:9" x14ac:dyDescent="0.3">
      <c r="A2365" t="s">
        <v>133</v>
      </c>
      <c r="B2365" s="1">
        <v>45881</v>
      </c>
      <c r="C2365" s="1">
        <v>45881</v>
      </c>
      <c r="D2365">
        <v>915302</v>
      </c>
      <c r="E2365">
        <v>49</v>
      </c>
      <c r="F2365" s="3">
        <v>50876336899</v>
      </c>
      <c r="G2365" s="4">
        <v>28221.75</v>
      </c>
      <c r="H2365" s="4">
        <v>0</v>
      </c>
      <c r="I2365" s="4">
        <v>-65902057</v>
      </c>
    </row>
    <row r="2366" spans="1:9" x14ac:dyDescent="0.3">
      <c r="A2366" t="s">
        <v>133</v>
      </c>
      <c r="B2366" s="1">
        <v>45881</v>
      </c>
      <c r="C2366" s="1">
        <v>45881</v>
      </c>
      <c r="D2366">
        <v>915304</v>
      </c>
      <c r="E2366">
        <v>49</v>
      </c>
      <c r="F2366" s="3">
        <v>50876253157</v>
      </c>
      <c r="G2366" s="4">
        <v>100000</v>
      </c>
      <c r="H2366" s="4">
        <v>0</v>
      </c>
      <c r="I2366" s="4">
        <v>-65802057</v>
      </c>
    </row>
    <row r="2367" spans="1:9" x14ac:dyDescent="0.3">
      <c r="A2367" t="s">
        <v>133</v>
      </c>
      <c r="B2367" s="1">
        <v>45881</v>
      </c>
      <c r="C2367" s="1">
        <v>45881</v>
      </c>
      <c r="D2367">
        <v>915314</v>
      </c>
      <c r="E2367">
        <v>351</v>
      </c>
      <c r="F2367" s="3" t="s">
        <v>2102</v>
      </c>
      <c r="G2367" s="4">
        <v>123673.75</v>
      </c>
      <c r="H2367" s="4">
        <v>0</v>
      </c>
      <c r="I2367" s="4">
        <v>-65678383.25</v>
      </c>
    </row>
    <row r="2368" spans="1:9" x14ac:dyDescent="0.3">
      <c r="A2368" t="s">
        <v>133</v>
      </c>
      <c r="B2368" s="1">
        <v>45881</v>
      </c>
      <c r="C2368" s="1">
        <v>45881</v>
      </c>
      <c r="D2368">
        <v>915320</v>
      </c>
      <c r="E2368">
        <v>351</v>
      </c>
      <c r="F2368" s="3" t="s">
        <v>2103</v>
      </c>
      <c r="G2368" s="4">
        <v>27267.25</v>
      </c>
      <c r="H2368" s="4">
        <v>0</v>
      </c>
      <c r="I2368" s="4">
        <v>-65651116</v>
      </c>
    </row>
    <row r="2369" spans="1:9" x14ac:dyDescent="0.3">
      <c r="A2369" t="s">
        <v>133</v>
      </c>
      <c r="B2369" s="1">
        <v>45881</v>
      </c>
      <c r="C2369" s="1">
        <v>45881</v>
      </c>
      <c r="D2369">
        <v>915321</v>
      </c>
      <c r="E2369">
        <v>75</v>
      </c>
      <c r="F2369" s="3" t="s">
        <v>2104</v>
      </c>
      <c r="G2369" s="4">
        <v>150000</v>
      </c>
      <c r="H2369" s="4">
        <v>0</v>
      </c>
      <c r="I2369" s="4">
        <v>-65501116</v>
      </c>
    </row>
    <row r="2370" spans="1:9" x14ac:dyDescent="0.3">
      <c r="A2370" t="s">
        <v>133</v>
      </c>
      <c r="B2370" s="1">
        <v>45881</v>
      </c>
      <c r="C2370" s="1">
        <v>45881</v>
      </c>
      <c r="D2370">
        <v>915326</v>
      </c>
      <c r="E2370">
        <v>72</v>
      </c>
      <c r="F2370" s="3" t="s">
        <v>2105</v>
      </c>
      <c r="G2370" s="4">
        <v>41990.5</v>
      </c>
      <c r="H2370" s="4">
        <v>0</v>
      </c>
      <c r="I2370" s="4">
        <v>-65459125.5</v>
      </c>
    </row>
    <row r="2371" spans="1:9" x14ac:dyDescent="0.3">
      <c r="A2371" t="s">
        <v>133</v>
      </c>
      <c r="B2371" s="1">
        <v>45881</v>
      </c>
      <c r="C2371" s="1">
        <v>45881</v>
      </c>
      <c r="D2371">
        <v>915329</v>
      </c>
      <c r="E2371">
        <v>351</v>
      </c>
      <c r="F2371" s="3" t="s">
        <v>2106</v>
      </c>
      <c r="G2371" s="4">
        <v>919505.25</v>
      </c>
      <c r="H2371" s="4">
        <v>0</v>
      </c>
      <c r="I2371" s="4">
        <v>-64539620.25</v>
      </c>
    </row>
    <row r="2372" spans="1:9" x14ac:dyDescent="0.3">
      <c r="A2372" t="s">
        <v>133</v>
      </c>
      <c r="B2372" s="1">
        <v>45881</v>
      </c>
      <c r="C2372" s="1">
        <v>45881</v>
      </c>
      <c r="D2372">
        <v>915346</v>
      </c>
      <c r="E2372">
        <v>94</v>
      </c>
      <c r="F2372" s="3" t="s">
        <v>2107</v>
      </c>
      <c r="G2372" s="4">
        <v>18728</v>
      </c>
      <c r="H2372" s="4">
        <v>0</v>
      </c>
      <c r="I2372" s="4">
        <v>-64520892.25</v>
      </c>
    </row>
    <row r="2373" spans="1:9" x14ac:dyDescent="0.3">
      <c r="A2373" t="s">
        <v>133</v>
      </c>
      <c r="B2373" s="1">
        <v>45881</v>
      </c>
      <c r="C2373" s="1">
        <v>45881</v>
      </c>
      <c r="D2373">
        <v>915350</v>
      </c>
      <c r="E2373">
        <v>13</v>
      </c>
      <c r="F2373" s="3" t="s">
        <v>2108</v>
      </c>
      <c r="G2373" s="4">
        <v>250000</v>
      </c>
      <c r="H2373" s="4">
        <v>0</v>
      </c>
      <c r="I2373" s="4">
        <v>-64270892.25</v>
      </c>
    </row>
    <row r="2374" spans="1:9" x14ac:dyDescent="0.3">
      <c r="A2374" t="s">
        <v>133</v>
      </c>
      <c r="B2374" s="1">
        <v>45881</v>
      </c>
      <c r="C2374" s="1">
        <v>45881</v>
      </c>
      <c r="D2374">
        <v>915357</v>
      </c>
      <c r="E2374">
        <v>91</v>
      </c>
      <c r="F2374" s="3" t="s">
        <v>2109</v>
      </c>
      <c r="G2374" s="4">
        <v>24322.5</v>
      </c>
      <c r="H2374" s="4">
        <v>0</v>
      </c>
      <c r="I2374" s="4">
        <v>-64246569.75</v>
      </c>
    </row>
    <row r="2375" spans="1:9" x14ac:dyDescent="0.3">
      <c r="A2375" t="s">
        <v>133</v>
      </c>
      <c r="B2375" s="1">
        <v>45881</v>
      </c>
      <c r="C2375" s="1">
        <v>45881</v>
      </c>
      <c r="D2375">
        <v>915361</v>
      </c>
      <c r="E2375">
        <v>58</v>
      </c>
      <c r="F2375" s="3" t="s">
        <v>2110</v>
      </c>
      <c r="G2375" s="4">
        <v>250000</v>
      </c>
      <c r="H2375" s="4">
        <v>0</v>
      </c>
      <c r="I2375" s="4">
        <v>-63996569.75</v>
      </c>
    </row>
    <row r="2376" spans="1:9" x14ac:dyDescent="0.3">
      <c r="A2376" t="s">
        <v>133</v>
      </c>
      <c r="B2376" s="1">
        <v>45881</v>
      </c>
      <c r="C2376" s="1">
        <v>45881</v>
      </c>
      <c r="D2376">
        <v>915365</v>
      </c>
      <c r="E2376">
        <v>79</v>
      </c>
      <c r="F2376" s="3" t="s">
        <v>2111</v>
      </c>
      <c r="G2376" s="4">
        <v>200000</v>
      </c>
      <c r="H2376" s="4">
        <v>0</v>
      </c>
      <c r="I2376" s="4">
        <v>-63796569.75</v>
      </c>
    </row>
    <row r="2377" spans="1:9" x14ac:dyDescent="0.3">
      <c r="A2377" t="s">
        <v>133</v>
      </c>
      <c r="B2377" s="1">
        <v>45881</v>
      </c>
      <c r="C2377" s="1">
        <v>45881</v>
      </c>
      <c r="D2377">
        <v>915368</v>
      </c>
      <c r="E2377">
        <v>12</v>
      </c>
      <c r="F2377" s="3" t="s">
        <v>2112</v>
      </c>
      <c r="G2377" s="4">
        <v>360000</v>
      </c>
      <c r="H2377" s="4">
        <v>0</v>
      </c>
      <c r="I2377" s="4">
        <v>-63436569.75</v>
      </c>
    </row>
    <row r="2378" spans="1:9" x14ac:dyDescent="0.3">
      <c r="A2378" t="s">
        <v>133</v>
      </c>
      <c r="B2378" s="1">
        <v>45881</v>
      </c>
      <c r="C2378" s="1">
        <v>45881</v>
      </c>
      <c r="D2378">
        <v>915369</v>
      </c>
      <c r="E2378">
        <v>24</v>
      </c>
      <c r="F2378" s="3" t="s">
        <v>2113</v>
      </c>
      <c r="G2378" s="4">
        <v>480000</v>
      </c>
      <c r="H2378" s="4">
        <v>0</v>
      </c>
      <c r="I2378" s="4">
        <v>-62956569.75</v>
      </c>
    </row>
    <row r="2379" spans="1:9" x14ac:dyDescent="0.3">
      <c r="A2379" t="s">
        <v>133</v>
      </c>
      <c r="B2379" s="1">
        <v>45881</v>
      </c>
      <c r="C2379" s="1">
        <v>45881</v>
      </c>
      <c r="D2379">
        <v>915376</v>
      </c>
      <c r="E2379">
        <v>27</v>
      </c>
      <c r="F2379" s="3" t="s">
        <v>2114</v>
      </c>
      <c r="G2379" s="4">
        <v>170921</v>
      </c>
      <c r="H2379" s="4">
        <v>0</v>
      </c>
      <c r="I2379" s="4">
        <v>-62785648.75</v>
      </c>
    </row>
    <row r="2380" spans="1:9" x14ac:dyDescent="0.3">
      <c r="A2380" t="s">
        <v>133</v>
      </c>
      <c r="B2380" s="1">
        <v>45881</v>
      </c>
      <c r="C2380" s="1">
        <v>45881</v>
      </c>
      <c r="D2380">
        <v>915380</v>
      </c>
      <c r="E2380">
        <v>27</v>
      </c>
      <c r="F2380" s="3" t="s">
        <v>2115</v>
      </c>
      <c r="G2380" s="4">
        <v>73540.5</v>
      </c>
      <c r="H2380" s="4">
        <v>0</v>
      </c>
      <c r="I2380" s="4">
        <v>-62712108.25</v>
      </c>
    </row>
    <row r="2381" spans="1:9" x14ac:dyDescent="0.3">
      <c r="A2381" t="s">
        <v>133</v>
      </c>
      <c r="B2381" s="1">
        <v>45881</v>
      </c>
      <c r="C2381" s="1">
        <v>45881</v>
      </c>
      <c r="D2381">
        <v>915381</v>
      </c>
      <c r="E2381">
        <v>27</v>
      </c>
      <c r="F2381" s="3" t="s">
        <v>2116</v>
      </c>
      <c r="G2381" s="4">
        <v>174932.5</v>
      </c>
      <c r="H2381" s="4">
        <v>0</v>
      </c>
      <c r="I2381" s="4">
        <v>-62537175.75</v>
      </c>
    </row>
    <row r="2382" spans="1:9" x14ac:dyDescent="0.3">
      <c r="A2382" t="s">
        <v>133</v>
      </c>
      <c r="B2382" s="1">
        <v>45881</v>
      </c>
      <c r="C2382" s="1">
        <v>45881</v>
      </c>
      <c r="D2382">
        <v>915382</v>
      </c>
      <c r="E2382">
        <v>54</v>
      </c>
      <c r="F2382" s="3" t="s">
        <v>2117</v>
      </c>
      <c r="G2382" s="4">
        <v>1320000</v>
      </c>
      <c r="H2382" s="4">
        <v>0</v>
      </c>
      <c r="I2382" s="4">
        <v>-61217175.75</v>
      </c>
    </row>
    <row r="2383" spans="1:9" x14ac:dyDescent="0.3">
      <c r="A2383" t="s">
        <v>133</v>
      </c>
      <c r="B2383" s="1">
        <v>45881</v>
      </c>
      <c r="C2383" s="1">
        <v>45881</v>
      </c>
      <c r="D2383">
        <v>915383</v>
      </c>
      <c r="E2383">
        <v>27</v>
      </c>
      <c r="F2383" s="3" t="s">
        <v>2118</v>
      </c>
      <c r="G2383" s="4">
        <v>99952.5</v>
      </c>
      <c r="H2383" s="4">
        <v>0</v>
      </c>
      <c r="I2383" s="4">
        <v>-61117223.25</v>
      </c>
    </row>
    <row r="2384" spans="1:9" x14ac:dyDescent="0.3">
      <c r="A2384" t="s">
        <v>133</v>
      </c>
      <c r="B2384" s="1">
        <v>45881</v>
      </c>
      <c r="C2384" s="1">
        <v>45881</v>
      </c>
      <c r="D2384">
        <v>915384</v>
      </c>
      <c r="E2384">
        <v>27</v>
      </c>
      <c r="F2384" s="3" t="s">
        <v>2119</v>
      </c>
      <c r="G2384" s="4">
        <v>44635.75</v>
      </c>
      <c r="H2384" s="4">
        <v>0</v>
      </c>
      <c r="I2384" s="4">
        <v>-61072587.5</v>
      </c>
    </row>
    <row r="2385" spans="1:9" x14ac:dyDescent="0.3">
      <c r="A2385" t="s">
        <v>133</v>
      </c>
      <c r="B2385" s="1">
        <v>45881</v>
      </c>
      <c r="C2385" s="1">
        <v>45881</v>
      </c>
      <c r="D2385">
        <v>915386</v>
      </c>
      <c r="E2385">
        <v>361</v>
      </c>
      <c r="F2385" s="3" t="s">
        <v>2120</v>
      </c>
      <c r="G2385" s="4">
        <v>150000</v>
      </c>
      <c r="H2385" s="4">
        <v>0</v>
      </c>
      <c r="I2385" s="4">
        <v>-60922587.5</v>
      </c>
    </row>
    <row r="2386" spans="1:9" x14ac:dyDescent="0.3">
      <c r="A2386" t="s">
        <v>133</v>
      </c>
      <c r="B2386" s="1">
        <v>45881</v>
      </c>
      <c r="C2386" s="1">
        <v>45881</v>
      </c>
      <c r="D2386">
        <v>915392</v>
      </c>
      <c r="E2386">
        <v>65</v>
      </c>
      <c r="F2386" s="3" t="s">
        <v>2121</v>
      </c>
      <c r="G2386" s="4">
        <v>390000</v>
      </c>
      <c r="H2386" s="4">
        <v>0</v>
      </c>
      <c r="I2386" s="4">
        <v>-60532587.5</v>
      </c>
    </row>
    <row r="2387" spans="1:9" x14ac:dyDescent="0.3">
      <c r="A2387" t="s">
        <v>133</v>
      </c>
      <c r="B2387" s="1">
        <v>45881</v>
      </c>
      <c r="C2387" s="1">
        <v>45881</v>
      </c>
      <c r="D2387">
        <v>915397</v>
      </c>
      <c r="E2387">
        <v>27</v>
      </c>
      <c r="F2387" s="3" t="s">
        <v>2122</v>
      </c>
      <c r="G2387" s="4">
        <v>34297.75</v>
      </c>
      <c r="H2387" s="4">
        <v>0</v>
      </c>
      <c r="I2387" s="4">
        <v>-60498289.75</v>
      </c>
    </row>
    <row r="2388" spans="1:9" x14ac:dyDescent="0.3">
      <c r="A2388" t="s">
        <v>133</v>
      </c>
      <c r="B2388" s="1">
        <v>45881</v>
      </c>
      <c r="C2388" s="1">
        <v>45881</v>
      </c>
      <c r="D2388">
        <v>915399</v>
      </c>
      <c r="E2388">
        <v>27</v>
      </c>
      <c r="F2388" s="3" t="s">
        <v>2123</v>
      </c>
      <c r="G2388" s="4">
        <v>144446.75</v>
      </c>
      <c r="H2388" s="4">
        <v>0</v>
      </c>
      <c r="I2388" s="4">
        <v>-60353843</v>
      </c>
    </row>
    <row r="2389" spans="1:9" x14ac:dyDescent="0.3">
      <c r="A2389" t="s">
        <v>133</v>
      </c>
      <c r="B2389" s="1">
        <v>45881</v>
      </c>
      <c r="C2389" s="1">
        <v>45881</v>
      </c>
      <c r="D2389">
        <v>915401</v>
      </c>
      <c r="E2389">
        <v>27</v>
      </c>
      <c r="F2389" s="3" t="s">
        <v>2124</v>
      </c>
      <c r="G2389" s="4">
        <v>278021.5</v>
      </c>
      <c r="H2389" s="4">
        <v>0</v>
      </c>
      <c r="I2389" s="4">
        <v>-60075821.5</v>
      </c>
    </row>
    <row r="2390" spans="1:9" x14ac:dyDescent="0.3">
      <c r="A2390" t="s">
        <v>133</v>
      </c>
      <c r="B2390" s="1">
        <v>45881</v>
      </c>
      <c r="C2390" s="1">
        <v>45881</v>
      </c>
      <c r="D2390">
        <v>915404</v>
      </c>
      <c r="E2390">
        <v>15</v>
      </c>
      <c r="F2390" s="3" t="s">
        <v>2125</v>
      </c>
      <c r="G2390" s="4">
        <v>450000</v>
      </c>
      <c r="H2390" s="4">
        <v>0</v>
      </c>
      <c r="I2390" s="4">
        <v>-59625821.5</v>
      </c>
    </row>
    <row r="2391" spans="1:9" x14ac:dyDescent="0.3">
      <c r="A2391" t="s">
        <v>133</v>
      </c>
      <c r="B2391" s="1">
        <v>45881</v>
      </c>
      <c r="C2391" s="1">
        <v>45881</v>
      </c>
      <c r="D2391">
        <v>915411</v>
      </c>
      <c r="E2391">
        <v>58</v>
      </c>
      <c r="F2391" s="3" t="s">
        <v>2126</v>
      </c>
      <c r="G2391" s="4">
        <v>205000</v>
      </c>
      <c r="H2391" s="4">
        <v>0</v>
      </c>
      <c r="I2391" s="4">
        <v>-59420821.5</v>
      </c>
    </row>
    <row r="2392" spans="1:9" x14ac:dyDescent="0.3">
      <c r="A2392" t="s">
        <v>133</v>
      </c>
      <c r="B2392" s="1">
        <v>45881</v>
      </c>
      <c r="C2392" s="1">
        <v>45881</v>
      </c>
      <c r="D2392">
        <v>915417</v>
      </c>
      <c r="E2392">
        <v>67</v>
      </c>
      <c r="F2392" s="3" t="s">
        <v>181</v>
      </c>
      <c r="G2392" s="4">
        <v>155000</v>
      </c>
      <c r="H2392" s="4">
        <v>0</v>
      </c>
      <c r="I2392" s="4">
        <v>-59265821.5</v>
      </c>
    </row>
    <row r="2393" spans="1:9" x14ac:dyDescent="0.3">
      <c r="A2393" t="s">
        <v>133</v>
      </c>
      <c r="B2393" s="1">
        <v>45881</v>
      </c>
      <c r="C2393" s="1">
        <v>45881</v>
      </c>
      <c r="D2393">
        <v>915424</v>
      </c>
      <c r="E2393">
        <v>78</v>
      </c>
      <c r="F2393" s="3" t="s">
        <v>208</v>
      </c>
      <c r="G2393" s="4">
        <v>170000</v>
      </c>
      <c r="H2393" s="4">
        <v>0</v>
      </c>
      <c r="I2393" s="4">
        <v>-59095821.5</v>
      </c>
    </row>
    <row r="2394" spans="1:9" x14ac:dyDescent="0.3">
      <c r="A2394" t="s">
        <v>133</v>
      </c>
      <c r="B2394" s="1">
        <v>45881</v>
      </c>
      <c r="C2394" s="1">
        <v>45881</v>
      </c>
      <c r="D2394">
        <v>915429</v>
      </c>
      <c r="E2394">
        <v>63</v>
      </c>
      <c r="F2394" s="3" t="s">
        <v>2127</v>
      </c>
      <c r="G2394" s="4">
        <v>100000</v>
      </c>
      <c r="H2394" s="4">
        <v>0</v>
      </c>
      <c r="I2394" s="4">
        <v>-58995821.5</v>
      </c>
    </row>
    <row r="2395" spans="1:9" x14ac:dyDescent="0.3">
      <c r="A2395" t="s">
        <v>133</v>
      </c>
      <c r="B2395" s="1">
        <v>45881</v>
      </c>
      <c r="C2395" s="1">
        <v>45881</v>
      </c>
      <c r="D2395">
        <v>915430</v>
      </c>
      <c r="E2395">
        <v>58</v>
      </c>
      <c r="F2395" s="3" t="s">
        <v>2128</v>
      </c>
      <c r="G2395" s="4">
        <v>205000</v>
      </c>
      <c r="H2395" s="4">
        <v>0</v>
      </c>
      <c r="I2395" s="4">
        <v>-58790821.5</v>
      </c>
    </row>
    <row r="2396" spans="1:9" x14ac:dyDescent="0.3">
      <c r="A2396" t="s">
        <v>133</v>
      </c>
      <c r="B2396" s="1">
        <v>45881</v>
      </c>
      <c r="C2396" s="1">
        <v>45881</v>
      </c>
      <c r="D2396">
        <v>915432</v>
      </c>
      <c r="E2396">
        <v>85</v>
      </c>
      <c r="F2396" s="3" t="s">
        <v>2129</v>
      </c>
      <c r="G2396" s="4">
        <v>390000</v>
      </c>
      <c r="H2396" s="4">
        <v>0</v>
      </c>
      <c r="I2396" s="4">
        <v>-58400821.5</v>
      </c>
    </row>
    <row r="2397" spans="1:9" x14ac:dyDescent="0.3">
      <c r="A2397" t="s">
        <v>133</v>
      </c>
      <c r="B2397" s="1">
        <v>45881</v>
      </c>
      <c r="C2397" s="1">
        <v>45881</v>
      </c>
      <c r="D2397">
        <v>915433</v>
      </c>
      <c r="E2397">
        <v>58</v>
      </c>
      <c r="F2397" s="3" t="s">
        <v>2130</v>
      </c>
      <c r="G2397" s="4">
        <v>205000</v>
      </c>
      <c r="H2397" s="4">
        <v>0</v>
      </c>
      <c r="I2397" s="4">
        <v>-58195821.5</v>
      </c>
    </row>
    <row r="2398" spans="1:9" x14ac:dyDescent="0.3">
      <c r="A2398" t="s">
        <v>133</v>
      </c>
      <c r="B2398" s="1">
        <v>45881</v>
      </c>
      <c r="C2398" s="1">
        <v>45881</v>
      </c>
      <c r="D2398">
        <v>915438</v>
      </c>
      <c r="E2398">
        <v>84</v>
      </c>
      <c r="F2398" s="3" t="s">
        <v>2131</v>
      </c>
      <c r="G2398" s="4">
        <v>555000</v>
      </c>
      <c r="H2398" s="4">
        <v>0</v>
      </c>
      <c r="I2398" s="4">
        <v>-57640821.5</v>
      </c>
    </row>
    <row r="2399" spans="1:9" x14ac:dyDescent="0.3">
      <c r="A2399" t="s">
        <v>133</v>
      </c>
      <c r="B2399" s="1">
        <v>45881</v>
      </c>
      <c r="C2399" s="1">
        <v>45881</v>
      </c>
      <c r="D2399">
        <v>915441</v>
      </c>
      <c r="E2399">
        <v>72</v>
      </c>
      <c r="F2399" s="3" t="s">
        <v>2132</v>
      </c>
      <c r="G2399" s="4">
        <v>180000</v>
      </c>
      <c r="H2399" s="4">
        <v>0</v>
      </c>
      <c r="I2399" s="4">
        <v>-57460821.5</v>
      </c>
    </row>
    <row r="2400" spans="1:9" x14ac:dyDescent="0.3">
      <c r="A2400" t="s">
        <v>133</v>
      </c>
      <c r="B2400" s="1">
        <v>45881</v>
      </c>
      <c r="C2400" s="1">
        <v>45881</v>
      </c>
      <c r="D2400">
        <v>915442</v>
      </c>
      <c r="E2400">
        <v>41</v>
      </c>
      <c r="F2400" s="3">
        <v>5620410003626</v>
      </c>
      <c r="G2400" s="4">
        <v>11259</v>
      </c>
      <c r="H2400" s="4">
        <v>0</v>
      </c>
      <c r="I2400" s="4">
        <v>-57449562.5</v>
      </c>
    </row>
    <row r="2401" spans="1:9" x14ac:dyDescent="0.3">
      <c r="A2401" t="s">
        <v>133</v>
      </c>
      <c r="B2401" s="1">
        <v>45881</v>
      </c>
      <c r="C2401" s="1">
        <v>45881</v>
      </c>
      <c r="D2401">
        <v>915444</v>
      </c>
      <c r="E2401">
        <v>80</v>
      </c>
      <c r="F2401" s="3" t="s">
        <v>2133</v>
      </c>
      <c r="G2401" s="4">
        <v>100000</v>
      </c>
      <c r="H2401" s="4">
        <v>0</v>
      </c>
      <c r="I2401" s="4">
        <v>-57349562.5</v>
      </c>
    </row>
    <row r="2402" spans="1:9" x14ac:dyDescent="0.3">
      <c r="A2402" t="s">
        <v>133</v>
      </c>
      <c r="B2402" s="1">
        <v>45881</v>
      </c>
      <c r="C2402" s="1">
        <v>45881</v>
      </c>
      <c r="D2402">
        <v>915445</v>
      </c>
      <c r="E2402">
        <v>56</v>
      </c>
      <c r="F2402" s="3" t="s">
        <v>2134</v>
      </c>
      <c r="G2402" s="4">
        <v>210000</v>
      </c>
      <c r="H2402" s="4">
        <v>0</v>
      </c>
      <c r="I2402" s="4">
        <v>-57139562.5</v>
      </c>
    </row>
    <row r="2403" spans="1:9" x14ac:dyDescent="0.3">
      <c r="A2403" t="s">
        <v>133</v>
      </c>
      <c r="B2403" s="1">
        <v>45881</v>
      </c>
      <c r="C2403" s="1">
        <v>45881</v>
      </c>
      <c r="D2403">
        <v>915447</v>
      </c>
      <c r="E2403">
        <v>32</v>
      </c>
      <c r="F2403" s="3" t="s">
        <v>2135</v>
      </c>
      <c r="G2403" s="4">
        <v>500000</v>
      </c>
      <c r="H2403" s="4">
        <v>0</v>
      </c>
      <c r="I2403" s="4">
        <v>-56639562.5</v>
      </c>
    </row>
    <row r="2404" spans="1:9" x14ac:dyDescent="0.3">
      <c r="A2404" t="s">
        <v>133</v>
      </c>
      <c r="B2404" s="1">
        <v>45881</v>
      </c>
      <c r="C2404" s="1">
        <v>45881</v>
      </c>
      <c r="D2404">
        <v>915448</v>
      </c>
      <c r="E2404">
        <v>382</v>
      </c>
      <c r="F2404" s="3" t="s">
        <v>1372</v>
      </c>
      <c r="G2404" s="4">
        <v>250000</v>
      </c>
      <c r="H2404" s="4">
        <v>0</v>
      </c>
      <c r="I2404" s="4">
        <v>-56389562.5</v>
      </c>
    </row>
    <row r="2405" spans="1:9" x14ac:dyDescent="0.3">
      <c r="A2405" t="s">
        <v>133</v>
      </c>
      <c r="B2405" s="1">
        <v>45881</v>
      </c>
      <c r="C2405" s="1">
        <v>45881</v>
      </c>
      <c r="D2405">
        <v>915456</v>
      </c>
      <c r="E2405">
        <v>89</v>
      </c>
      <c r="F2405" s="3" t="s">
        <v>2136</v>
      </c>
      <c r="G2405" s="4">
        <v>150000</v>
      </c>
      <c r="H2405" s="4">
        <v>0</v>
      </c>
      <c r="I2405" s="4">
        <v>-56239562.5</v>
      </c>
    </row>
    <row r="2406" spans="1:9" x14ac:dyDescent="0.3">
      <c r="A2406" t="s">
        <v>133</v>
      </c>
      <c r="B2406" s="1">
        <v>45881</v>
      </c>
      <c r="C2406" s="1">
        <v>45881</v>
      </c>
      <c r="D2406">
        <v>915459</v>
      </c>
      <c r="E2406">
        <v>382</v>
      </c>
      <c r="F2406" s="3" t="s">
        <v>2137</v>
      </c>
      <c r="G2406" s="4">
        <v>23400</v>
      </c>
      <c r="H2406" s="4">
        <v>0</v>
      </c>
      <c r="I2406" s="4">
        <v>-56216162.5</v>
      </c>
    </row>
    <row r="2407" spans="1:9" x14ac:dyDescent="0.3">
      <c r="A2407" t="s">
        <v>133</v>
      </c>
      <c r="B2407" s="1">
        <v>45881</v>
      </c>
      <c r="C2407" s="1">
        <v>45881</v>
      </c>
      <c r="D2407">
        <v>915462</v>
      </c>
      <c r="E2407">
        <v>33</v>
      </c>
      <c r="F2407" s="3" t="s">
        <v>2138</v>
      </c>
      <c r="G2407" s="4">
        <v>660000</v>
      </c>
      <c r="H2407" s="4">
        <v>0</v>
      </c>
      <c r="I2407" s="4">
        <v>-55556162.5</v>
      </c>
    </row>
    <row r="2408" spans="1:9" x14ac:dyDescent="0.3">
      <c r="A2408" t="s">
        <v>133</v>
      </c>
      <c r="B2408" s="1">
        <v>45881</v>
      </c>
      <c r="C2408" s="1">
        <v>45881</v>
      </c>
      <c r="D2408">
        <v>915463</v>
      </c>
      <c r="E2408">
        <v>53</v>
      </c>
      <c r="F2408" s="3" t="s">
        <v>2139</v>
      </c>
      <c r="G2408" s="4">
        <v>288000</v>
      </c>
      <c r="H2408" s="4">
        <v>0</v>
      </c>
      <c r="I2408" s="4">
        <v>-55268162.5</v>
      </c>
    </row>
    <row r="2409" spans="1:9" x14ac:dyDescent="0.3">
      <c r="A2409" t="s">
        <v>133</v>
      </c>
      <c r="B2409" s="1">
        <v>45881</v>
      </c>
      <c r="C2409" s="1">
        <v>45881</v>
      </c>
      <c r="D2409">
        <v>915466</v>
      </c>
      <c r="E2409">
        <v>382</v>
      </c>
      <c r="F2409" s="3" t="s">
        <v>2140</v>
      </c>
      <c r="G2409" s="4">
        <v>500000</v>
      </c>
      <c r="H2409" s="4">
        <v>0</v>
      </c>
      <c r="I2409" s="4">
        <v>-54768162.5</v>
      </c>
    </row>
    <row r="2410" spans="1:9" x14ac:dyDescent="0.3">
      <c r="A2410" t="s">
        <v>133</v>
      </c>
      <c r="B2410" s="1">
        <v>45881</v>
      </c>
      <c r="C2410" s="1">
        <v>45881</v>
      </c>
      <c r="D2410">
        <v>915467</v>
      </c>
      <c r="E2410">
        <v>307</v>
      </c>
      <c r="F2410" s="3" t="s">
        <v>1933</v>
      </c>
      <c r="G2410" s="4">
        <v>301855</v>
      </c>
      <c r="H2410" s="4">
        <v>0</v>
      </c>
      <c r="I2410" s="4">
        <v>-54466307.5</v>
      </c>
    </row>
    <row r="2411" spans="1:9" x14ac:dyDescent="0.3">
      <c r="A2411" t="s">
        <v>133</v>
      </c>
      <c r="B2411" s="1">
        <v>45881</v>
      </c>
      <c r="C2411" s="1">
        <v>45881</v>
      </c>
      <c r="D2411">
        <v>915469</v>
      </c>
      <c r="E2411">
        <v>210</v>
      </c>
      <c r="F2411" s="3" t="s">
        <v>1149</v>
      </c>
      <c r="G2411" s="4">
        <v>180000</v>
      </c>
      <c r="H2411" s="4">
        <v>0</v>
      </c>
      <c r="I2411" s="4">
        <v>-54286307.5</v>
      </c>
    </row>
    <row r="2412" spans="1:9" x14ac:dyDescent="0.3">
      <c r="A2412" t="s">
        <v>133</v>
      </c>
      <c r="B2412" s="1">
        <v>45881</v>
      </c>
      <c r="C2412" s="1">
        <v>45881</v>
      </c>
      <c r="D2412">
        <v>915471</v>
      </c>
      <c r="E2412">
        <v>82</v>
      </c>
      <c r="F2412" s="3">
        <v>5620820003559</v>
      </c>
      <c r="G2412" s="4">
        <v>1535</v>
      </c>
      <c r="H2412" s="4">
        <v>0</v>
      </c>
      <c r="I2412" s="4">
        <v>-54284772.5</v>
      </c>
    </row>
    <row r="2413" spans="1:9" x14ac:dyDescent="0.3">
      <c r="A2413" t="s">
        <v>133</v>
      </c>
      <c r="B2413" s="1">
        <v>45881</v>
      </c>
      <c r="C2413" s="1">
        <v>45881</v>
      </c>
      <c r="D2413">
        <v>915472</v>
      </c>
      <c r="E2413">
        <v>12</v>
      </c>
      <c r="F2413" s="3" t="s">
        <v>2141</v>
      </c>
      <c r="G2413" s="4">
        <v>102101</v>
      </c>
      <c r="H2413" s="4">
        <v>0</v>
      </c>
      <c r="I2413" s="4">
        <v>-54182671.5</v>
      </c>
    </row>
    <row r="2414" spans="1:9" x14ac:dyDescent="0.3">
      <c r="A2414" t="s">
        <v>133</v>
      </c>
      <c r="B2414" s="1">
        <v>45881</v>
      </c>
      <c r="C2414" s="1">
        <v>45881</v>
      </c>
      <c r="D2414">
        <v>915473</v>
      </c>
      <c r="E2414">
        <v>11</v>
      </c>
      <c r="F2414" s="3" t="s">
        <v>2142</v>
      </c>
      <c r="G2414" s="4">
        <v>33778.5</v>
      </c>
      <c r="H2414" s="4">
        <v>0</v>
      </c>
      <c r="I2414" s="4">
        <v>-54148893</v>
      </c>
    </row>
    <row r="2415" spans="1:9" x14ac:dyDescent="0.3">
      <c r="A2415" t="s">
        <v>133</v>
      </c>
      <c r="B2415" s="1">
        <v>45881</v>
      </c>
      <c r="C2415" s="1">
        <v>45881</v>
      </c>
      <c r="D2415">
        <v>915474</v>
      </c>
      <c r="E2415">
        <v>82</v>
      </c>
      <c r="F2415" s="3">
        <v>5620820003560</v>
      </c>
      <c r="G2415" s="4">
        <v>1497.25</v>
      </c>
      <c r="H2415" s="4">
        <v>0</v>
      </c>
      <c r="I2415" s="4">
        <v>-54147395.75</v>
      </c>
    </row>
    <row r="2416" spans="1:9" x14ac:dyDescent="0.3">
      <c r="A2416" t="s">
        <v>133</v>
      </c>
      <c r="B2416" s="1">
        <v>45881</v>
      </c>
      <c r="C2416" s="1">
        <v>45881</v>
      </c>
      <c r="D2416">
        <v>915477</v>
      </c>
      <c r="E2416">
        <v>97</v>
      </c>
      <c r="F2416" s="3" t="s">
        <v>2143</v>
      </c>
      <c r="G2416" s="4">
        <v>260000</v>
      </c>
      <c r="H2416" s="4">
        <v>0</v>
      </c>
      <c r="I2416" s="4">
        <v>-53887395.75</v>
      </c>
    </row>
    <row r="2417" spans="1:9" x14ac:dyDescent="0.3">
      <c r="A2417" t="s">
        <v>133</v>
      </c>
      <c r="B2417" s="1">
        <v>45881</v>
      </c>
      <c r="C2417" s="1">
        <v>45881</v>
      </c>
      <c r="D2417">
        <v>915485</v>
      </c>
      <c r="E2417">
        <v>61</v>
      </c>
      <c r="F2417" s="3" t="s">
        <v>2144</v>
      </c>
      <c r="G2417" s="4">
        <v>100000</v>
      </c>
      <c r="H2417" s="4">
        <v>0</v>
      </c>
      <c r="I2417" s="4">
        <v>-53787395.75</v>
      </c>
    </row>
    <row r="2418" spans="1:9" x14ac:dyDescent="0.3">
      <c r="A2418" t="s">
        <v>133</v>
      </c>
      <c r="B2418" s="1">
        <v>45881</v>
      </c>
      <c r="C2418" s="1">
        <v>45881</v>
      </c>
      <c r="D2418">
        <v>915486</v>
      </c>
      <c r="E2418">
        <v>78</v>
      </c>
      <c r="F2418" s="3" t="s">
        <v>2145</v>
      </c>
      <c r="G2418" s="4">
        <v>11935.5</v>
      </c>
      <c r="H2418" s="4">
        <v>0</v>
      </c>
      <c r="I2418" s="4">
        <v>-53775460.25</v>
      </c>
    </row>
    <row r="2419" spans="1:9" x14ac:dyDescent="0.3">
      <c r="A2419" t="s">
        <v>133</v>
      </c>
      <c r="B2419" s="1">
        <v>45881</v>
      </c>
      <c r="C2419" s="1">
        <v>45881</v>
      </c>
      <c r="D2419">
        <v>915488</v>
      </c>
      <c r="E2419">
        <v>310</v>
      </c>
      <c r="F2419" s="3" t="s">
        <v>181</v>
      </c>
      <c r="G2419" s="4">
        <v>1400000</v>
      </c>
      <c r="H2419" s="4">
        <v>0</v>
      </c>
      <c r="I2419" s="4">
        <v>-52375460.25</v>
      </c>
    </row>
    <row r="2420" spans="1:9" x14ac:dyDescent="0.3">
      <c r="A2420" t="s">
        <v>133</v>
      </c>
      <c r="B2420" s="1">
        <v>45881</v>
      </c>
      <c r="C2420" s="1">
        <v>45881</v>
      </c>
      <c r="D2420">
        <v>915489</v>
      </c>
      <c r="E2420">
        <v>63</v>
      </c>
      <c r="F2420" s="3" t="s">
        <v>2146</v>
      </c>
      <c r="G2420" s="4">
        <v>4434.25</v>
      </c>
      <c r="H2420" s="4">
        <v>0</v>
      </c>
      <c r="I2420" s="4">
        <v>-52371026</v>
      </c>
    </row>
    <row r="2421" spans="1:9" x14ac:dyDescent="0.3">
      <c r="A2421" t="s">
        <v>133</v>
      </c>
      <c r="B2421" s="1">
        <v>45881</v>
      </c>
      <c r="C2421" s="1">
        <v>45881</v>
      </c>
      <c r="D2421">
        <v>915494</v>
      </c>
      <c r="E2421">
        <v>23</v>
      </c>
      <c r="F2421" s="3" t="s">
        <v>2147</v>
      </c>
      <c r="G2421" s="4">
        <v>260000</v>
      </c>
      <c r="H2421" s="4">
        <v>0</v>
      </c>
      <c r="I2421" s="4">
        <v>-52111026</v>
      </c>
    </row>
    <row r="2422" spans="1:9" x14ac:dyDescent="0.3">
      <c r="A2422" t="s">
        <v>133</v>
      </c>
      <c r="B2422" s="1">
        <v>45881</v>
      </c>
      <c r="C2422" s="1">
        <v>45881</v>
      </c>
      <c r="D2422">
        <v>915495</v>
      </c>
      <c r="E2422">
        <v>98</v>
      </c>
      <c r="F2422" s="3" t="s">
        <v>2148</v>
      </c>
      <c r="G2422" s="4">
        <v>250000</v>
      </c>
      <c r="H2422" s="4">
        <v>0</v>
      </c>
      <c r="I2422" s="4">
        <v>-51861026</v>
      </c>
    </row>
    <row r="2423" spans="1:9" x14ac:dyDescent="0.3">
      <c r="A2423" t="s">
        <v>133</v>
      </c>
      <c r="B2423" s="1">
        <v>45881</v>
      </c>
      <c r="C2423" s="1">
        <v>45881</v>
      </c>
      <c r="D2423">
        <v>915496</v>
      </c>
      <c r="E2423">
        <v>70</v>
      </c>
      <c r="F2423" s="3" t="s">
        <v>2149</v>
      </c>
      <c r="G2423" s="4">
        <v>315000</v>
      </c>
      <c r="H2423" s="4">
        <v>0</v>
      </c>
      <c r="I2423" s="4">
        <v>-51546026</v>
      </c>
    </row>
    <row r="2424" spans="1:9" x14ac:dyDescent="0.3">
      <c r="A2424" t="s">
        <v>133</v>
      </c>
      <c r="B2424" s="1">
        <v>45881</v>
      </c>
      <c r="C2424" s="1">
        <v>45881</v>
      </c>
      <c r="D2424">
        <v>915497</v>
      </c>
      <c r="E2424">
        <v>85</v>
      </c>
      <c r="F2424" s="3" t="s">
        <v>2150</v>
      </c>
      <c r="G2424" s="4">
        <v>1071</v>
      </c>
      <c r="H2424" s="4">
        <v>0</v>
      </c>
      <c r="I2424" s="4">
        <v>-51544955</v>
      </c>
    </row>
    <row r="2425" spans="1:9" x14ac:dyDescent="0.3">
      <c r="A2425" t="s">
        <v>133</v>
      </c>
      <c r="B2425" s="1">
        <v>45881</v>
      </c>
      <c r="C2425" s="1">
        <v>45881</v>
      </c>
      <c r="D2425">
        <v>915498</v>
      </c>
      <c r="E2425">
        <v>62</v>
      </c>
      <c r="F2425" s="3" t="s">
        <v>2151</v>
      </c>
      <c r="G2425" s="4">
        <v>1300000</v>
      </c>
      <c r="H2425" s="4">
        <v>0</v>
      </c>
      <c r="I2425" s="4">
        <v>-50244955</v>
      </c>
    </row>
    <row r="2426" spans="1:9" x14ac:dyDescent="0.3">
      <c r="A2426" t="s">
        <v>133</v>
      </c>
      <c r="B2426" s="1">
        <v>45881</v>
      </c>
      <c r="C2426" s="1">
        <v>45881</v>
      </c>
      <c r="D2426">
        <v>915500</v>
      </c>
      <c r="E2426">
        <v>223</v>
      </c>
      <c r="F2426" s="3">
        <v>2294</v>
      </c>
      <c r="G2426" s="4">
        <v>209934</v>
      </c>
      <c r="H2426" s="4">
        <v>0</v>
      </c>
      <c r="I2426" s="4">
        <v>-50035021</v>
      </c>
    </row>
    <row r="2427" spans="1:9" x14ac:dyDescent="0.3">
      <c r="A2427" t="s">
        <v>133</v>
      </c>
      <c r="B2427" s="1">
        <v>45881</v>
      </c>
      <c r="C2427" s="1">
        <v>45881</v>
      </c>
      <c r="D2427">
        <v>915502</v>
      </c>
      <c r="E2427">
        <v>351</v>
      </c>
      <c r="F2427" s="3" t="s">
        <v>181</v>
      </c>
      <c r="G2427" s="4">
        <v>220000</v>
      </c>
      <c r="H2427" s="4">
        <v>0</v>
      </c>
      <c r="I2427" s="4">
        <v>-49815021</v>
      </c>
    </row>
    <row r="2428" spans="1:9" x14ac:dyDescent="0.3">
      <c r="A2428" t="s">
        <v>133</v>
      </c>
      <c r="B2428" s="1">
        <v>45881</v>
      </c>
      <c r="C2428" s="1">
        <v>45881</v>
      </c>
      <c r="D2428">
        <v>915503</v>
      </c>
      <c r="E2428">
        <v>77</v>
      </c>
      <c r="F2428" s="3" t="s">
        <v>2152</v>
      </c>
      <c r="G2428" s="4">
        <v>500000</v>
      </c>
      <c r="H2428" s="4">
        <v>0</v>
      </c>
      <c r="I2428" s="4">
        <v>-49315021</v>
      </c>
    </row>
    <row r="2429" spans="1:9" x14ac:dyDescent="0.3">
      <c r="A2429" t="s">
        <v>133</v>
      </c>
      <c r="B2429" s="1">
        <v>45881</v>
      </c>
      <c r="C2429" s="1">
        <v>45881</v>
      </c>
      <c r="D2429">
        <v>915504</v>
      </c>
      <c r="E2429">
        <v>89</v>
      </c>
      <c r="F2429" s="3" t="s">
        <v>2153</v>
      </c>
      <c r="G2429" s="4">
        <v>4689.5</v>
      </c>
      <c r="H2429" s="4">
        <v>0</v>
      </c>
      <c r="I2429" s="4">
        <v>-49310331.5</v>
      </c>
    </row>
    <row r="2430" spans="1:9" x14ac:dyDescent="0.3">
      <c r="A2430" t="s">
        <v>133</v>
      </c>
      <c r="B2430" s="1">
        <v>45881</v>
      </c>
      <c r="C2430" s="1">
        <v>45881</v>
      </c>
      <c r="D2430">
        <v>915512</v>
      </c>
      <c r="E2430">
        <v>82</v>
      </c>
      <c r="F2430" s="3" t="s">
        <v>685</v>
      </c>
      <c r="G2430" s="4">
        <v>160000</v>
      </c>
      <c r="H2430" s="4">
        <v>0</v>
      </c>
      <c r="I2430" s="4">
        <v>-49150331.5</v>
      </c>
    </row>
    <row r="2431" spans="1:9" x14ac:dyDescent="0.3">
      <c r="A2431" t="s">
        <v>133</v>
      </c>
      <c r="B2431" s="1">
        <v>45881</v>
      </c>
      <c r="C2431" s="1">
        <v>45881</v>
      </c>
      <c r="D2431">
        <v>915513</v>
      </c>
      <c r="E2431">
        <v>27</v>
      </c>
      <c r="F2431" s="3" t="s">
        <v>2154</v>
      </c>
      <c r="G2431" s="4">
        <v>800000</v>
      </c>
      <c r="H2431" s="4">
        <v>0</v>
      </c>
      <c r="I2431" s="4">
        <v>-48350331.5</v>
      </c>
    </row>
    <row r="2432" spans="1:9" x14ac:dyDescent="0.3">
      <c r="A2432" t="s">
        <v>133</v>
      </c>
      <c r="B2432" s="1">
        <v>45881</v>
      </c>
      <c r="C2432" s="1">
        <v>45881</v>
      </c>
      <c r="D2432">
        <v>915515</v>
      </c>
      <c r="E2432">
        <v>36</v>
      </c>
      <c r="F2432" s="3" t="s">
        <v>2155</v>
      </c>
      <c r="G2432" s="4">
        <v>3711.25</v>
      </c>
      <c r="H2432" s="4">
        <v>0</v>
      </c>
      <c r="I2432" s="4">
        <v>-48346620.25</v>
      </c>
    </row>
    <row r="2433" spans="1:9" x14ac:dyDescent="0.3">
      <c r="A2433" t="s">
        <v>133</v>
      </c>
      <c r="B2433" s="1">
        <v>45881</v>
      </c>
      <c r="C2433" s="1">
        <v>45881</v>
      </c>
      <c r="D2433">
        <v>915518</v>
      </c>
      <c r="E2433">
        <v>63</v>
      </c>
      <c r="F2433" s="3" t="s">
        <v>2156</v>
      </c>
      <c r="G2433" s="4">
        <v>1200</v>
      </c>
      <c r="H2433" s="4">
        <v>0</v>
      </c>
      <c r="I2433" s="4">
        <v>-48345420.25</v>
      </c>
    </row>
    <row r="2434" spans="1:9" x14ac:dyDescent="0.3">
      <c r="A2434" t="s">
        <v>133</v>
      </c>
      <c r="B2434" s="1">
        <v>45881</v>
      </c>
      <c r="C2434" s="1">
        <v>45881</v>
      </c>
      <c r="D2434">
        <v>915521</v>
      </c>
      <c r="E2434">
        <v>14</v>
      </c>
      <c r="F2434" s="3" t="s">
        <v>2157</v>
      </c>
      <c r="G2434" s="4">
        <v>80000</v>
      </c>
      <c r="H2434" s="4">
        <v>0</v>
      </c>
      <c r="I2434" s="4">
        <v>-48265420.25</v>
      </c>
    </row>
    <row r="2435" spans="1:9" x14ac:dyDescent="0.3">
      <c r="A2435" t="s">
        <v>133</v>
      </c>
      <c r="B2435" s="1">
        <v>45881</v>
      </c>
      <c r="C2435" s="1">
        <v>45881</v>
      </c>
      <c r="D2435">
        <v>915524</v>
      </c>
      <c r="E2435">
        <v>23</v>
      </c>
      <c r="F2435" s="3" t="s">
        <v>2158</v>
      </c>
      <c r="G2435" s="4">
        <v>562439</v>
      </c>
      <c r="H2435" s="4">
        <v>0</v>
      </c>
      <c r="I2435" s="4">
        <v>-47702981.25</v>
      </c>
    </row>
    <row r="2436" spans="1:9" x14ac:dyDescent="0.3">
      <c r="A2436" t="s">
        <v>133</v>
      </c>
      <c r="B2436" s="1">
        <v>45881</v>
      </c>
      <c r="C2436" s="1">
        <v>45881</v>
      </c>
      <c r="D2436">
        <v>915525</v>
      </c>
      <c r="E2436">
        <v>23</v>
      </c>
      <c r="F2436" s="3" t="s">
        <v>2159</v>
      </c>
      <c r="G2436" s="4">
        <v>52.5</v>
      </c>
      <c r="H2436" s="4">
        <v>0</v>
      </c>
      <c r="I2436" s="4">
        <v>-47702928.75</v>
      </c>
    </row>
    <row r="2437" spans="1:9" x14ac:dyDescent="0.3">
      <c r="A2437" t="s">
        <v>133</v>
      </c>
      <c r="B2437" s="1">
        <v>45881</v>
      </c>
      <c r="C2437" s="1">
        <v>45881</v>
      </c>
      <c r="D2437">
        <v>915528</v>
      </c>
      <c r="E2437">
        <v>41</v>
      </c>
      <c r="F2437" s="3" t="s">
        <v>2160</v>
      </c>
      <c r="G2437" s="4">
        <v>7679</v>
      </c>
      <c r="H2437" s="4">
        <v>0</v>
      </c>
      <c r="I2437" s="4">
        <v>-47695249.75</v>
      </c>
    </row>
    <row r="2438" spans="1:9" x14ac:dyDescent="0.3">
      <c r="A2438" t="s">
        <v>133</v>
      </c>
      <c r="B2438" s="1">
        <v>45881</v>
      </c>
      <c r="C2438" s="1">
        <v>45881</v>
      </c>
      <c r="D2438">
        <v>915530</v>
      </c>
      <c r="E2438">
        <v>28</v>
      </c>
      <c r="F2438" s="3" t="s">
        <v>2161</v>
      </c>
      <c r="G2438" s="4">
        <v>19168</v>
      </c>
      <c r="H2438" s="4">
        <v>0</v>
      </c>
      <c r="I2438" s="4">
        <v>-47676081.75</v>
      </c>
    </row>
    <row r="2439" spans="1:9" x14ac:dyDescent="0.3">
      <c r="A2439" t="s">
        <v>133</v>
      </c>
      <c r="B2439" s="1">
        <v>45881</v>
      </c>
      <c r="C2439" s="1">
        <v>45881</v>
      </c>
      <c r="D2439">
        <v>915543</v>
      </c>
      <c r="E2439">
        <v>23</v>
      </c>
      <c r="F2439" s="3" t="s">
        <v>2162</v>
      </c>
      <c r="G2439" s="4">
        <v>63872.75</v>
      </c>
      <c r="H2439" s="4">
        <v>0</v>
      </c>
      <c r="I2439" s="4">
        <v>-47612209</v>
      </c>
    </row>
    <row r="2440" spans="1:9" x14ac:dyDescent="0.3">
      <c r="A2440" t="s">
        <v>1</v>
      </c>
      <c r="B2440" s="1">
        <v>45871</v>
      </c>
      <c r="C2440" s="1">
        <v>45882</v>
      </c>
      <c r="D2440">
        <v>101725</v>
      </c>
      <c r="E2440">
        <v>100</v>
      </c>
      <c r="F2440" s="3" t="s">
        <v>2163</v>
      </c>
      <c r="G2440" s="4">
        <v>5093.25</v>
      </c>
      <c r="I2440" s="4">
        <v>-47607115.75</v>
      </c>
    </row>
    <row r="2441" spans="1:9" x14ac:dyDescent="0.3">
      <c r="A2441" t="s">
        <v>1</v>
      </c>
      <c r="B2441" s="1">
        <v>45875</v>
      </c>
      <c r="C2441" s="1">
        <v>45882</v>
      </c>
      <c r="D2441">
        <v>102096</v>
      </c>
      <c r="E2441">
        <v>100</v>
      </c>
      <c r="F2441" s="3" t="s">
        <v>2164</v>
      </c>
      <c r="G2441" s="4">
        <v>10300</v>
      </c>
      <c r="I2441" s="4">
        <v>-47596815.75</v>
      </c>
    </row>
    <row r="2442" spans="1:9" x14ac:dyDescent="0.3">
      <c r="A2442" t="s">
        <v>1</v>
      </c>
      <c r="B2442" s="1">
        <v>45878</v>
      </c>
      <c r="C2442" s="1">
        <v>45882</v>
      </c>
      <c r="D2442">
        <v>102337</v>
      </c>
      <c r="E2442">
        <v>100</v>
      </c>
      <c r="F2442" s="3" t="s">
        <v>2165</v>
      </c>
      <c r="G2442" s="4">
        <v>6718.9</v>
      </c>
      <c r="I2442" s="4">
        <v>-47590096.850000001</v>
      </c>
    </row>
    <row r="2443" spans="1:9" x14ac:dyDescent="0.3">
      <c r="A2443" t="s">
        <v>1</v>
      </c>
      <c r="B2443" s="1">
        <v>45878</v>
      </c>
      <c r="C2443" s="1">
        <v>45882</v>
      </c>
      <c r="D2443">
        <v>102412</v>
      </c>
      <c r="E2443">
        <v>100</v>
      </c>
      <c r="F2443" s="3" t="s">
        <v>2166</v>
      </c>
      <c r="G2443" s="4">
        <v>15200</v>
      </c>
      <c r="I2443" s="4">
        <v>-47574896.850000001</v>
      </c>
    </row>
    <row r="2444" spans="1:9" x14ac:dyDescent="0.3">
      <c r="A2444" t="s">
        <v>1</v>
      </c>
      <c r="B2444" s="1">
        <v>45878</v>
      </c>
      <c r="C2444" s="1">
        <v>45882</v>
      </c>
      <c r="D2444">
        <v>102414</v>
      </c>
      <c r="E2444">
        <v>100</v>
      </c>
      <c r="F2444" s="3" t="s">
        <v>2167</v>
      </c>
      <c r="G2444" s="4">
        <v>10000</v>
      </c>
      <c r="I2444" s="4">
        <v>-47564896.850000001</v>
      </c>
    </row>
    <row r="2445" spans="1:9" x14ac:dyDescent="0.3">
      <c r="A2445" t="s">
        <v>1</v>
      </c>
      <c r="B2445" s="1">
        <v>45878</v>
      </c>
      <c r="C2445" s="1">
        <v>45882</v>
      </c>
      <c r="D2445">
        <v>102422</v>
      </c>
      <c r="E2445">
        <v>100</v>
      </c>
      <c r="F2445" s="3" t="s">
        <v>2168</v>
      </c>
      <c r="G2445" s="4">
        <v>27477.5</v>
      </c>
      <c r="I2445" s="4">
        <v>-47537419.350000001</v>
      </c>
    </row>
    <row r="2446" spans="1:9" x14ac:dyDescent="0.3">
      <c r="A2446" t="s">
        <v>1</v>
      </c>
      <c r="B2446" s="1">
        <v>45877</v>
      </c>
      <c r="C2446" s="1">
        <v>45882</v>
      </c>
      <c r="D2446">
        <v>102428</v>
      </c>
      <c r="E2446">
        <v>100</v>
      </c>
      <c r="F2446" s="3" t="s">
        <v>2169</v>
      </c>
      <c r="G2446" s="4">
        <v>7926.25</v>
      </c>
      <c r="I2446" s="4">
        <v>-47529493.100000001</v>
      </c>
    </row>
    <row r="2447" spans="1:9" x14ac:dyDescent="0.3">
      <c r="A2447" t="s">
        <v>1</v>
      </c>
      <c r="B2447" s="1">
        <v>45880</v>
      </c>
      <c r="C2447" s="1">
        <v>45882</v>
      </c>
      <c r="D2447">
        <v>102467</v>
      </c>
      <c r="E2447">
        <v>100</v>
      </c>
      <c r="F2447" s="3" t="s">
        <v>2170</v>
      </c>
      <c r="G2447" s="4">
        <v>4800</v>
      </c>
      <c r="I2447" s="4">
        <v>-47524693.100000001</v>
      </c>
    </row>
    <row r="2448" spans="1:9" x14ac:dyDescent="0.3">
      <c r="A2448" t="s">
        <v>1</v>
      </c>
      <c r="B2448" s="1">
        <v>45881</v>
      </c>
      <c r="C2448" s="1">
        <v>45882</v>
      </c>
      <c r="D2448">
        <v>102471</v>
      </c>
      <c r="E2448">
        <v>100</v>
      </c>
      <c r="F2448" s="3" t="s">
        <v>2171</v>
      </c>
      <c r="G2448" s="4">
        <v>35026.25</v>
      </c>
      <c r="I2448" s="4">
        <v>-47489666.850000001</v>
      </c>
    </row>
    <row r="2449" spans="1:9" x14ac:dyDescent="0.3">
      <c r="A2449" t="s">
        <v>1</v>
      </c>
      <c r="B2449" s="1">
        <v>45881</v>
      </c>
      <c r="C2449" s="1">
        <v>45882</v>
      </c>
      <c r="D2449">
        <v>102479</v>
      </c>
      <c r="E2449">
        <v>100</v>
      </c>
      <c r="F2449" s="3" t="s">
        <v>2172</v>
      </c>
      <c r="G2449" s="4">
        <v>7841</v>
      </c>
      <c r="I2449" s="4">
        <v>-47481825.850000001</v>
      </c>
    </row>
    <row r="2450" spans="1:9" x14ac:dyDescent="0.3">
      <c r="A2450" t="s">
        <v>1</v>
      </c>
      <c r="B2450" s="1">
        <v>45880</v>
      </c>
      <c r="C2450" s="1">
        <v>45882</v>
      </c>
      <c r="D2450">
        <v>102485</v>
      </c>
      <c r="E2450">
        <v>100</v>
      </c>
      <c r="F2450" s="3" t="s">
        <v>2173</v>
      </c>
      <c r="G2450" s="4">
        <v>5792.52</v>
      </c>
      <c r="I2450" s="4">
        <v>-47476033.329999998</v>
      </c>
    </row>
    <row r="2451" spans="1:9" x14ac:dyDescent="0.3">
      <c r="A2451" t="s">
        <v>1</v>
      </c>
      <c r="B2451" s="1">
        <v>45878</v>
      </c>
      <c r="C2451" s="1">
        <v>45882</v>
      </c>
      <c r="D2451">
        <v>102486</v>
      </c>
      <c r="E2451">
        <v>100</v>
      </c>
      <c r="F2451" s="3" t="s">
        <v>534</v>
      </c>
      <c r="G2451" s="4">
        <v>14666.67</v>
      </c>
      <c r="I2451" s="4">
        <v>-47461366.659999996</v>
      </c>
    </row>
    <row r="2452" spans="1:9" x14ac:dyDescent="0.3">
      <c r="A2452" t="s">
        <v>1</v>
      </c>
      <c r="B2452" s="1">
        <v>45880</v>
      </c>
      <c r="C2452" s="1">
        <v>45882</v>
      </c>
      <c r="D2452">
        <v>102509</v>
      </c>
      <c r="E2452">
        <v>100</v>
      </c>
      <c r="F2452" s="3" t="s">
        <v>2174</v>
      </c>
      <c r="G2452" s="4">
        <v>40200</v>
      </c>
      <c r="I2452" s="4">
        <v>-47421166.659999996</v>
      </c>
    </row>
    <row r="2453" spans="1:9" x14ac:dyDescent="0.3">
      <c r="A2453" t="s">
        <v>1</v>
      </c>
      <c r="B2453" s="1">
        <v>45879</v>
      </c>
      <c r="C2453" s="1">
        <v>45882</v>
      </c>
      <c r="D2453">
        <v>102522</v>
      </c>
      <c r="E2453">
        <v>100</v>
      </c>
      <c r="F2453" s="3" t="s">
        <v>2175</v>
      </c>
      <c r="G2453" s="4">
        <v>1005.25</v>
      </c>
      <c r="I2453" s="4">
        <v>-47420161.409999996</v>
      </c>
    </row>
    <row r="2454" spans="1:9" x14ac:dyDescent="0.3">
      <c r="A2454" t="s">
        <v>1</v>
      </c>
      <c r="B2454" s="1">
        <v>45881</v>
      </c>
      <c r="C2454" s="1">
        <v>45882</v>
      </c>
      <c r="D2454">
        <v>102525</v>
      </c>
      <c r="E2454">
        <v>100</v>
      </c>
      <c r="F2454" s="3" t="s">
        <v>2176</v>
      </c>
      <c r="G2454" s="4">
        <v>24743</v>
      </c>
      <c r="I2454" s="4">
        <v>-47395418.409999996</v>
      </c>
    </row>
    <row r="2455" spans="1:9" x14ac:dyDescent="0.3">
      <c r="A2455" t="s">
        <v>1</v>
      </c>
      <c r="B2455" s="1">
        <v>45880</v>
      </c>
      <c r="C2455" s="1">
        <v>45882</v>
      </c>
      <c r="D2455">
        <v>102527</v>
      </c>
      <c r="E2455">
        <v>100</v>
      </c>
      <c r="F2455" s="3" t="s">
        <v>2177</v>
      </c>
      <c r="G2455" s="4">
        <v>23078.75</v>
      </c>
      <c r="I2455" s="4">
        <v>-47372339.659999996</v>
      </c>
    </row>
    <row r="2456" spans="1:9" x14ac:dyDescent="0.3">
      <c r="A2456" t="s">
        <v>1</v>
      </c>
      <c r="B2456" s="1">
        <v>45881</v>
      </c>
      <c r="C2456" s="1">
        <v>45882</v>
      </c>
      <c r="D2456">
        <v>102546</v>
      </c>
      <c r="E2456">
        <v>100</v>
      </c>
      <c r="F2456" s="3" t="s">
        <v>42</v>
      </c>
      <c r="G2456" s="4">
        <v>1803.15</v>
      </c>
      <c r="I2456" s="4">
        <v>-47370536.509999998</v>
      </c>
    </row>
    <row r="2457" spans="1:9" x14ac:dyDescent="0.3">
      <c r="A2457" t="s">
        <v>1</v>
      </c>
      <c r="B2457" s="1">
        <v>45881</v>
      </c>
      <c r="C2457" s="1">
        <v>45882</v>
      </c>
      <c r="D2457">
        <v>102556</v>
      </c>
      <c r="E2457">
        <v>100</v>
      </c>
      <c r="F2457" s="3" t="s">
        <v>2178</v>
      </c>
      <c r="G2457" s="4">
        <v>10483</v>
      </c>
      <c r="I2457" s="4">
        <v>-47360053.509999998</v>
      </c>
    </row>
    <row r="2458" spans="1:9" x14ac:dyDescent="0.3">
      <c r="A2458" t="s">
        <v>1</v>
      </c>
      <c r="B2458" s="1">
        <v>45880</v>
      </c>
      <c r="C2458" s="1">
        <v>45882</v>
      </c>
      <c r="D2458">
        <v>102561</v>
      </c>
      <c r="E2458">
        <v>100</v>
      </c>
      <c r="F2458" s="3" t="s">
        <v>2179</v>
      </c>
      <c r="G2458" s="4">
        <v>11029.4</v>
      </c>
      <c r="I2458" s="4">
        <v>-47349024.109999999</v>
      </c>
    </row>
    <row r="2459" spans="1:9" x14ac:dyDescent="0.3">
      <c r="A2459" t="s">
        <v>1</v>
      </c>
      <c r="B2459" s="1">
        <v>45880</v>
      </c>
      <c r="C2459" s="1">
        <v>45882</v>
      </c>
      <c r="D2459">
        <v>102562</v>
      </c>
      <c r="E2459">
        <v>100</v>
      </c>
      <c r="F2459" s="3" t="s">
        <v>2180</v>
      </c>
      <c r="G2459" s="4">
        <v>3595.4</v>
      </c>
      <c r="I2459" s="4">
        <v>-47345428.710000001</v>
      </c>
    </row>
    <row r="2460" spans="1:9" x14ac:dyDescent="0.3">
      <c r="A2460" t="s">
        <v>1</v>
      </c>
      <c r="B2460" s="1">
        <v>45880</v>
      </c>
      <c r="C2460" s="1">
        <v>45882</v>
      </c>
      <c r="D2460">
        <v>102563</v>
      </c>
      <c r="E2460">
        <v>100</v>
      </c>
      <c r="F2460" s="3" t="s">
        <v>2181</v>
      </c>
      <c r="G2460" s="4">
        <v>23547.4</v>
      </c>
      <c r="I2460" s="4">
        <v>-47321881.310000002</v>
      </c>
    </row>
    <row r="2461" spans="1:9" x14ac:dyDescent="0.3">
      <c r="A2461" t="s">
        <v>1</v>
      </c>
      <c r="B2461" s="1">
        <v>45880</v>
      </c>
      <c r="C2461" s="1">
        <v>45882</v>
      </c>
      <c r="D2461">
        <v>102564</v>
      </c>
      <c r="E2461">
        <v>100</v>
      </c>
      <c r="F2461" s="3" t="s">
        <v>2182</v>
      </c>
      <c r="G2461" s="4">
        <v>8112.6</v>
      </c>
      <c r="I2461" s="4">
        <v>-47313768.710000001</v>
      </c>
    </row>
    <row r="2462" spans="1:9" x14ac:dyDescent="0.3">
      <c r="A2462" t="s">
        <v>1</v>
      </c>
      <c r="B2462" s="1">
        <v>45880</v>
      </c>
      <c r="C2462" s="1">
        <v>45882</v>
      </c>
      <c r="D2462">
        <v>102565</v>
      </c>
      <c r="E2462">
        <v>100</v>
      </c>
      <c r="F2462" s="3" t="s">
        <v>2183</v>
      </c>
      <c r="G2462" s="4">
        <v>11217</v>
      </c>
      <c r="I2462" s="4">
        <v>-47302551.710000001</v>
      </c>
    </row>
    <row r="2463" spans="1:9" x14ac:dyDescent="0.3">
      <c r="A2463" t="s">
        <v>1</v>
      </c>
      <c r="B2463" s="1">
        <v>45880</v>
      </c>
      <c r="C2463" s="1">
        <v>45882</v>
      </c>
      <c r="D2463">
        <v>102567</v>
      </c>
      <c r="E2463">
        <v>100</v>
      </c>
      <c r="F2463" s="3" t="s">
        <v>2184</v>
      </c>
      <c r="G2463" s="4">
        <v>12712.6</v>
      </c>
      <c r="I2463" s="4">
        <v>-47289839.109999999</v>
      </c>
    </row>
    <row r="2464" spans="1:9" x14ac:dyDescent="0.3">
      <c r="A2464" t="s">
        <v>1</v>
      </c>
      <c r="B2464" s="1">
        <v>45880</v>
      </c>
      <c r="C2464" s="1">
        <v>45882</v>
      </c>
      <c r="D2464">
        <v>102568</v>
      </c>
      <c r="E2464">
        <v>100</v>
      </c>
      <c r="F2464" s="3" t="s">
        <v>2185</v>
      </c>
      <c r="G2464" s="4">
        <v>46990.5</v>
      </c>
      <c r="I2464" s="4">
        <v>-47242848.609999999</v>
      </c>
    </row>
    <row r="2465" spans="1:9" x14ac:dyDescent="0.3">
      <c r="A2465" t="s">
        <v>1</v>
      </c>
      <c r="B2465" s="1">
        <v>45881</v>
      </c>
      <c r="C2465" s="1">
        <v>45882</v>
      </c>
      <c r="D2465">
        <v>102569</v>
      </c>
      <c r="E2465">
        <v>100</v>
      </c>
      <c r="F2465" s="3" t="s">
        <v>2186</v>
      </c>
      <c r="G2465" s="4">
        <v>13542</v>
      </c>
      <c r="I2465" s="4">
        <v>-47229306.609999999</v>
      </c>
    </row>
    <row r="2466" spans="1:9" x14ac:dyDescent="0.3">
      <c r="A2466" t="s">
        <v>1</v>
      </c>
      <c r="B2466" s="1">
        <v>45881</v>
      </c>
      <c r="C2466" s="1">
        <v>45882</v>
      </c>
      <c r="D2466">
        <v>102571</v>
      </c>
      <c r="E2466">
        <v>100</v>
      </c>
      <c r="F2466" s="3" t="s">
        <v>2187</v>
      </c>
      <c r="G2466" s="4">
        <v>5004</v>
      </c>
      <c r="I2466" s="4">
        <v>-47224302.609999999</v>
      </c>
    </row>
    <row r="2467" spans="1:9" x14ac:dyDescent="0.3">
      <c r="A2467" t="s">
        <v>1</v>
      </c>
      <c r="B2467" s="1">
        <v>45881</v>
      </c>
      <c r="C2467" s="1">
        <v>45882</v>
      </c>
      <c r="D2467">
        <v>102576</v>
      </c>
      <c r="E2467">
        <v>100</v>
      </c>
      <c r="F2467" s="3" t="s">
        <v>2188</v>
      </c>
      <c r="G2467" s="4">
        <v>1853.31</v>
      </c>
      <c r="I2467" s="4">
        <v>-47222449.299999997</v>
      </c>
    </row>
    <row r="2468" spans="1:9" x14ac:dyDescent="0.3">
      <c r="A2468" t="s">
        <v>1</v>
      </c>
      <c r="B2468" s="1">
        <v>45881</v>
      </c>
      <c r="C2468" s="1">
        <v>45882</v>
      </c>
      <c r="D2468">
        <v>102577</v>
      </c>
      <c r="E2468">
        <v>100</v>
      </c>
      <c r="F2468" s="3" t="s">
        <v>2189</v>
      </c>
      <c r="G2468" s="4">
        <v>16502</v>
      </c>
      <c r="I2468" s="4">
        <v>-47205947.299999997</v>
      </c>
    </row>
    <row r="2469" spans="1:9" x14ac:dyDescent="0.3">
      <c r="A2469" t="s">
        <v>1</v>
      </c>
      <c r="B2469" s="1">
        <v>45881</v>
      </c>
      <c r="C2469" s="1">
        <v>45882</v>
      </c>
      <c r="D2469">
        <v>102578</v>
      </c>
      <c r="E2469">
        <v>100</v>
      </c>
      <c r="F2469" s="3" t="s">
        <v>2190</v>
      </c>
      <c r="G2469" s="4">
        <v>88599.75</v>
      </c>
      <c r="I2469" s="4">
        <v>-47117347.549999997</v>
      </c>
    </row>
    <row r="2470" spans="1:9" x14ac:dyDescent="0.3">
      <c r="A2470" t="s">
        <v>1</v>
      </c>
      <c r="B2470" s="1">
        <v>45881</v>
      </c>
      <c r="C2470" s="1">
        <v>45882</v>
      </c>
      <c r="D2470">
        <v>102581</v>
      </c>
      <c r="E2470">
        <v>100</v>
      </c>
      <c r="F2470" s="3" t="s">
        <v>2191</v>
      </c>
      <c r="G2470" s="4">
        <v>54576.25</v>
      </c>
      <c r="I2470" s="4">
        <v>-47062771.299999997</v>
      </c>
    </row>
    <row r="2471" spans="1:9" x14ac:dyDescent="0.3">
      <c r="A2471" t="s">
        <v>1</v>
      </c>
      <c r="B2471" s="1">
        <v>45881</v>
      </c>
      <c r="C2471" s="1">
        <v>45882</v>
      </c>
      <c r="D2471">
        <v>102587</v>
      </c>
      <c r="E2471">
        <v>100</v>
      </c>
      <c r="F2471" s="3" t="s">
        <v>2192</v>
      </c>
      <c r="G2471" s="4">
        <v>33706</v>
      </c>
      <c r="I2471" s="4">
        <v>-47029065.299999997</v>
      </c>
    </row>
    <row r="2472" spans="1:9" x14ac:dyDescent="0.3">
      <c r="A2472" t="s">
        <v>1</v>
      </c>
      <c r="B2472" s="1">
        <v>45881</v>
      </c>
      <c r="C2472" s="1">
        <v>45882</v>
      </c>
      <c r="D2472">
        <v>102589</v>
      </c>
      <c r="E2472">
        <v>100</v>
      </c>
      <c r="F2472" s="3" t="s">
        <v>2193</v>
      </c>
      <c r="G2472" s="4">
        <v>10726.25</v>
      </c>
      <c r="I2472" s="4">
        <v>-47018339.049999997</v>
      </c>
    </row>
    <row r="2473" spans="1:9" x14ac:dyDescent="0.3">
      <c r="A2473" t="s">
        <v>1</v>
      </c>
      <c r="B2473" s="1">
        <v>45878</v>
      </c>
      <c r="C2473" s="1">
        <v>45882</v>
      </c>
      <c r="D2473">
        <v>102594</v>
      </c>
      <c r="E2473">
        <v>100</v>
      </c>
      <c r="F2473" s="3" t="s">
        <v>2194</v>
      </c>
      <c r="G2473" s="4">
        <v>22326</v>
      </c>
      <c r="I2473" s="4">
        <v>-46996013.049999997</v>
      </c>
    </row>
    <row r="2474" spans="1:9" x14ac:dyDescent="0.3">
      <c r="A2474" t="s">
        <v>1</v>
      </c>
      <c r="B2474" s="1">
        <v>45881</v>
      </c>
      <c r="C2474" s="1">
        <v>45882</v>
      </c>
      <c r="D2474">
        <v>102596</v>
      </c>
      <c r="E2474">
        <v>100</v>
      </c>
      <c r="F2474" s="3" t="s">
        <v>2195</v>
      </c>
      <c r="G2474" s="4">
        <v>10160</v>
      </c>
      <c r="I2474" s="4">
        <v>-46985853.049999997</v>
      </c>
    </row>
    <row r="2475" spans="1:9" x14ac:dyDescent="0.3">
      <c r="A2475" t="s">
        <v>1</v>
      </c>
      <c r="B2475" s="1">
        <v>45881</v>
      </c>
      <c r="C2475" s="1">
        <v>45882</v>
      </c>
      <c r="D2475">
        <v>102603</v>
      </c>
      <c r="E2475">
        <v>100</v>
      </c>
      <c r="F2475" s="3" t="s">
        <v>2196</v>
      </c>
      <c r="G2475" s="4">
        <v>14000</v>
      </c>
      <c r="I2475" s="4">
        <v>-46971853.049999997</v>
      </c>
    </row>
    <row r="2476" spans="1:9" x14ac:dyDescent="0.3">
      <c r="A2476" t="s">
        <v>1</v>
      </c>
      <c r="B2476" s="1">
        <v>45881</v>
      </c>
      <c r="C2476" s="1">
        <v>45882</v>
      </c>
      <c r="D2476">
        <v>102608</v>
      </c>
      <c r="E2476">
        <v>100</v>
      </c>
      <c r="F2476" s="3" t="s">
        <v>2197</v>
      </c>
      <c r="G2476" s="4">
        <v>190567</v>
      </c>
      <c r="I2476" s="4">
        <v>-46781286.049999997</v>
      </c>
    </row>
    <row r="2477" spans="1:9" x14ac:dyDescent="0.3">
      <c r="A2477" t="s">
        <v>1</v>
      </c>
      <c r="B2477" s="1">
        <v>45881</v>
      </c>
      <c r="C2477" s="1">
        <v>45882</v>
      </c>
      <c r="D2477">
        <v>102609</v>
      </c>
      <c r="E2477">
        <v>100</v>
      </c>
      <c r="F2477" s="3" t="s">
        <v>2198</v>
      </c>
      <c r="G2477" s="4">
        <v>19500</v>
      </c>
      <c r="I2477" s="4">
        <v>-46761786.049999997</v>
      </c>
    </row>
    <row r="2478" spans="1:9" x14ac:dyDescent="0.3">
      <c r="A2478" t="s">
        <v>1</v>
      </c>
      <c r="B2478" s="1">
        <v>45881</v>
      </c>
      <c r="C2478" s="1">
        <v>45882</v>
      </c>
      <c r="D2478">
        <v>102612</v>
      </c>
      <c r="E2478">
        <v>100</v>
      </c>
      <c r="F2478" s="3" t="s">
        <v>2199</v>
      </c>
      <c r="G2478" s="4">
        <v>4000</v>
      </c>
      <c r="I2478" s="4">
        <v>-46757786.049999997</v>
      </c>
    </row>
    <row r="2479" spans="1:9" x14ac:dyDescent="0.3">
      <c r="A2479" t="s">
        <v>1</v>
      </c>
      <c r="B2479" s="1">
        <v>45880</v>
      </c>
      <c r="C2479" s="1">
        <v>45882</v>
      </c>
      <c r="D2479">
        <v>102613</v>
      </c>
      <c r="E2479">
        <v>100</v>
      </c>
      <c r="F2479" s="3" t="s">
        <v>2200</v>
      </c>
      <c r="G2479" s="4">
        <v>19415</v>
      </c>
      <c r="I2479" s="4">
        <v>-46738371.049999997</v>
      </c>
    </row>
    <row r="2480" spans="1:9" x14ac:dyDescent="0.3">
      <c r="A2480" t="s">
        <v>1</v>
      </c>
      <c r="B2480" s="1">
        <v>45881</v>
      </c>
      <c r="C2480" s="1">
        <v>45882</v>
      </c>
      <c r="D2480">
        <v>102615</v>
      </c>
      <c r="E2480">
        <v>100</v>
      </c>
      <c r="F2480" s="3" t="s">
        <v>2201</v>
      </c>
      <c r="G2480" s="4">
        <v>99209.25</v>
      </c>
      <c r="I2480" s="4">
        <v>-46639161.799999997</v>
      </c>
    </row>
    <row r="2481" spans="1:9" x14ac:dyDescent="0.3">
      <c r="A2481" t="s">
        <v>1</v>
      </c>
      <c r="B2481" s="1">
        <v>45882</v>
      </c>
      <c r="C2481" s="1">
        <v>45882</v>
      </c>
      <c r="D2481">
        <v>102618</v>
      </c>
      <c r="E2481">
        <v>100</v>
      </c>
      <c r="F2481" s="3" t="s">
        <v>42</v>
      </c>
      <c r="G2481" s="4">
        <v>9537.2199999999993</v>
      </c>
      <c r="I2481" s="4">
        <v>-46629624.579999998</v>
      </c>
    </row>
    <row r="2482" spans="1:9" x14ac:dyDescent="0.3">
      <c r="A2482" t="s">
        <v>1</v>
      </c>
      <c r="B2482" s="1">
        <v>45881</v>
      </c>
      <c r="C2482" s="1">
        <v>45882</v>
      </c>
      <c r="D2482">
        <v>102619</v>
      </c>
      <c r="E2482">
        <v>100</v>
      </c>
      <c r="F2482" s="3" t="s">
        <v>2202</v>
      </c>
      <c r="G2482" s="4">
        <v>201898.85</v>
      </c>
      <c r="I2482" s="4">
        <v>-46427725.729999997</v>
      </c>
    </row>
    <row r="2483" spans="1:9" x14ac:dyDescent="0.3">
      <c r="A2483" t="s">
        <v>1</v>
      </c>
      <c r="B2483" s="1">
        <v>45881</v>
      </c>
      <c r="C2483" s="1">
        <v>45882</v>
      </c>
      <c r="D2483">
        <v>102620</v>
      </c>
      <c r="E2483">
        <v>100</v>
      </c>
      <c r="F2483" s="3" t="s">
        <v>2203</v>
      </c>
      <c r="G2483" s="4">
        <v>38184.85</v>
      </c>
      <c r="I2483" s="4">
        <v>-46389540.880000003</v>
      </c>
    </row>
    <row r="2484" spans="1:9" x14ac:dyDescent="0.3">
      <c r="A2484" t="s">
        <v>1</v>
      </c>
      <c r="B2484" s="1">
        <v>45881</v>
      </c>
      <c r="C2484" s="1">
        <v>45882</v>
      </c>
      <c r="D2484">
        <v>102621</v>
      </c>
      <c r="E2484">
        <v>100</v>
      </c>
      <c r="F2484" s="3" t="s">
        <v>2204</v>
      </c>
      <c r="G2484" s="4">
        <v>80759.55</v>
      </c>
      <c r="I2484" s="4">
        <v>-46308781.329999998</v>
      </c>
    </row>
    <row r="2485" spans="1:9" x14ac:dyDescent="0.3">
      <c r="A2485" t="s">
        <v>1</v>
      </c>
      <c r="B2485" s="1">
        <v>45881</v>
      </c>
      <c r="C2485" s="1">
        <v>45882</v>
      </c>
      <c r="D2485">
        <v>102627</v>
      </c>
      <c r="E2485">
        <v>100</v>
      </c>
      <c r="F2485" s="3" t="s">
        <v>2205</v>
      </c>
      <c r="G2485" s="4">
        <v>3256.3</v>
      </c>
      <c r="I2485" s="4">
        <v>-46305525.030000001</v>
      </c>
    </row>
    <row r="2486" spans="1:9" x14ac:dyDescent="0.3">
      <c r="A2486" t="s">
        <v>1</v>
      </c>
      <c r="B2486" s="1">
        <v>45881</v>
      </c>
      <c r="C2486" s="1">
        <v>45882</v>
      </c>
      <c r="D2486">
        <v>102628</v>
      </c>
      <c r="E2486">
        <v>100</v>
      </c>
      <c r="F2486" s="3" t="s">
        <v>2206</v>
      </c>
      <c r="G2486" s="4">
        <v>68997.649999999994</v>
      </c>
      <c r="I2486" s="4">
        <v>-46236527.380000003</v>
      </c>
    </row>
    <row r="2487" spans="1:9" x14ac:dyDescent="0.3">
      <c r="A2487" t="s">
        <v>1</v>
      </c>
      <c r="B2487" s="1">
        <v>45882</v>
      </c>
      <c r="C2487" s="1">
        <v>45882</v>
      </c>
      <c r="D2487">
        <v>102631</v>
      </c>
      <c r="E2487">
        <v>100</v>
      </c>
      <c r="F2487" s="3" t="s">
        <v>311</v>
      </c>
      <c r="G2487" s="4">
        <v>9003.15</v>
      </c>
      <c r="I2487" s="4">
        <v>-46227524.229999997</v>
      </c>
    </row>
    <row r="2488" spans="1:9" x14ac:dyDescent="0.3">
      <c r="A2488" t="s">
        <v>1</v>
      </c>
      <c r="B2488" s="1">
        <v>45882</v>
      </c>
      <c r="C2488" s="1">
        <v>45882</v>
      </c>
      <c r="D2488">
        <v>102632</v>
      </c>
      <c r="E2488">
        <v>100</v>
      </c>
      <c r="F2488" s="3" t="s">
        <v>2207</v>
      </c>
      <c r="G2488" s="4">
        <v>174315.92</v>
      </c>
      <c r="I2488" s="4">
        <v>-46053208.310000002</v>
      </c>
    </row>
    <row r="2489" spans="1:9" x14ac:dyDescent="0.3">
      <c r="A2489" t="s">
        <v>1</v>
      </c>
      <c r="B2489" s="1">
        <v>45882</v>
      </c>
      <c r="C2489" s="1">
        <v>45882</v>
      </c>
      <c r="D2489">
        <v>102639</v>
      </c>
      <c r="E2489">
        <v>100</v>
      </c>
      <c r="F2489" s="3" t="s">
        <v>2208</v>
      </c>
      <c r="G2489" s="4">
        <v>36000</v>
      </c>
      <c r="I2489" s="4">
        <v>-46017208.310000002</v>
      </c>
    </row>
    <row r="2490" spans="1:9" x14ac:dyDescent="0.3">
      <c r="A2490" t="s">
        <v>1</v>
      </c>
      <c r="B2490" s="1">
        <v>45882</v>
      </c>
      <c r="C2490" s="1">
        <v>45882</v>
      </c>
      <c r="D2490">
        <v>102641</v>
      </c>
      <c r="E2490">
        <v>100</v>
      </c>
      <c r="F2490" s="3" t="s">
        <v>2209</v>
      </c>
      <c r="G2490" s="4">
        <v>3006.3</v>
      </c>
      <c r="I2490" s="4">
        <v>-46014202.009999998</v>
      </c>
    </row>
    <row r="2491" spans="1:9" x14ac:dyDescent="0.3">
      <c r="A2491" t="s">
        <v>1</v>
      </c>
      <c r="B2491" s="1">
        <v>45882</v>
      </c>
      <c r="C2491" s="1">
        <v>45882</v>
      </c>
      <c r="D2491">
        <v>102644</v>
      </c>
      <c r="E2491">
        <v>100</v>
      </c>
      <c r="F2491" s="3" t="s">
        <v>2210</v>
      </c>
      <c r="G2491" s="4">
        <v>139167.25</v>
      </c>
      <c r="I2491" s="4">
        <v>-45875034.759999998</v>
      </c>
    </row>
    <row r="2492" spans="1:9" x14ac:dyDescent="0.3">
      <c r="A2492" t="s">
        <v>1</v>
      </c>
      <c r="B2492" s="1">
        <v>45881</v>
      </c>
      <c r="C2492" s="1">
        <v>45882</v>
      </c>
      <c r="D2492">
        <v>102646</v>
      </c>
      <c r="E2492">
        <v>100</v>
      </c>
      <c r="F2492" s="3" t="s">
        <v>2211</v>
      </c>
      <c r="G2492" s="4">
        <v>24856.79</v>
      </c>
      <c r="I2492" s="4">
        <v>-45850177.969999999</v>
      </c>
    </row>
    <row r="2493" spans="1:9" x14ac:dyDescent="0.3">
      <c r="A2493" t="s">
        <v>1</v>
      </c>
      <c r="B2493" s="1">
        <v>45882</v>
      </c>
      <c r="C2493" s="1">
        <v>45882</v>
      </c>
      <c r="D2493">
        <v>102647</v>
      </c>
      <c r="E2493">
        <v>100</v>
      </c>
      <c r="F2493" s="3" t="s">
        <v>2178</v>
      </c>
      <c r="G2493" s="4">
        <v>525</v>
      </c>
      <c r="I2493" s="4">
        <v>-45849652.969999999</v>
      </c>
    </row>
    <row r="2494" spans="1:9" x14ac:dyDescent="0.3">
      <c r="A2494" t="s">
        <v>1</v>
      </c>
      <c r="B2494" s="1">
        <v>45882</v>
      </c>
      <c r="C2494" s="1">
        <v>45882</v>
      </c>
      <c r="D2494">
        <v>102649</v>
      </c>
      <c r="E2494">
        <v>100</v>
      </c>
      <c r="F2494" s="3" t="s">
        <v>26</v>
      </c>
      <c r="G2494" s="4">
        <v>22706</v>
      </c>
      <c r="I2494" s="4">
        <v>-45826946.969999999</v>
      </c>
    </row>
    <row r="2495" spans="1:9" x14ac:dyDescent="0.3">
      <c r="A2495" t="s">
        <v>1</v>
      </c>
      <c r="B2495" s="1">
        <v>45882</v>
      </c>
      <c r="C2495" s="1">
        <v>45882</v>
      </c>
      <c r="D2495">
        <v>102653</v>
      </c>
      <c r="E2495">
        <v>100</v>
      </c>
      <c r="F2495" s="3" t="s">
        <v>2212</v>
      </c>
      <c r="G2495" s="4">
        <v>12026.25</v>
      </c>
      <c r="I2495" s="4">
        <v>-45814920.719999999</v>
      </c>
    </row>
    <row r="2496" spans="1:9" x14ac:dyDescent="0.3">
      <c r="A2496" t="s">
        <v>1</v>
      </c>
      <c r="B2496" s="1">
        <v>45882</v>
      </c>
      <c r="C2496" s="1">
        <v>45882</v>
      </c>
      <c r="D2496">
        <v>102658</v>
      </c>
      <c r="E2496">
        <v>100</v>
      </c>
      <c r="F2496" s="3" t="s">
        <v>2213</v>
      </c>
      <c r="G2496" s="4">
        <v>249175</v>
      </c>
      <c r="I2496" s="4">
        <v>-45565745.719999999</v>
      </c>
    </row>
    <row r="2497" spans="1:9" x14ac:dyDescent="0.3">
      <c r="A2497" t="s">
        <v>71</v>
      </c>
      <c r="B2497" s="1">
        <v>45881</v>
      </c>
      <c r="C2497" s="1">
        <v>45882</v>
      </c>
      <c r="D2497">
        <v>14316</v>
      </c>
      <c r="E2497">
        <v>100</v>
      </c>
      <c r="F2497" s="3" t="s">
        <v>2214</v>
      </c>
      <c r="G2497" s="4">
        <v>0</v>
      </c>
      <c r="H2497" s="4">
        <v>3502955.71</v>
      </c>
      <c r="I2497" s="4">
        <v>-49068701.43</v>
      </c>
    </row>
    <row r="2498" spans="1:9" x14ac:dyDescent="0.3">
      <c r="A2498" t="s">
        <v>71</v>
      </c>
      <c r="B2498" s="1">
        <v>45878</v>
      </c>
      <c r="C2498" s="1">
        <v>45882</v>
      </c>
      <c r="D2498">
        <v>14322</v>
      </c>
      <c r="E2498">
        <v>100</v>
      </c>
      <c r="F2498" s="3">
        <v>2508091145543160</v>
      </c>
      <c r="G2498" s="4">
        <v>588320</v>
      </c>
      <c r="H2498" s="4">
        <v>0</v>
      </c>
      <c r="I2498" s="4">
        <v>-48480381.43</v>
      </c>
    </row>
    <row r="2499" spans="1:9" x14ac:dyDescent="0.3">
      <c r="A2499" t="s">
        <v>71</v>
      </c>
      <c r="B2499" s="1">
        <v>45878</v>
      </c>
      <c r="C2499" s="1">
        <v>45882</v>
      </c>
      <c r="D2499">
        <v>14322</v>
      </c>
      <c r="E2499">
        <v>100</v>
      </c>
      <c r="F2499" s="3" t="s">
        <v>2215</v>
      </c>
      <c r="G2499" s="4">
        <v>14730000</v>
      </c>
      <c r="H2499" s="4">
        <v>0</v>
      </c>
      <c r="I2499" s="4">
        <v>-33750381.43</v>
      </c>
    </row>
    <row r="2500" spans="1:9" x14ac:dyDescent="0.3">
      <c r="A2500" t="s">
        <v>71</v>
      </c>
      <c r="B2500" s="1">
        <v>45882</v>
      </c>
      <c r="C2500" s="1">
        <v>45882</v>
      </c>
      <c r="D2500">
        <v>14324</v>
      </c>
      <c r="E2500">
        <v>100</v>
      </c>
      <c r="F2500" s="3" t="s">
        <v>74</v>
      </c>
      <c r="G2500" s="4">
        <v>0</v>
      </c>
      <c r="H2500" s="4">
        <v>29019070</v>
      </c>
      <c r="I2500" s="4">
        <v>-62769451.43</v>
      </c>
    </row>
    <row r="2501" spans="1:9" x14ac:dyDescent="0.3">
      <c r="A2501" t="s">
        <v>71</v>
      </c>
      <c r="B2501" s="1">
        <v>45874</v>
      </c>
      <c r="C2501" s="1">
        <v>45882</v>
      </c>
      <c r="D2501">
        <v>14334</v>
      </c>
      <c r="E2501">
        <v>100</v>
      </c>
      <c r="F2501" s="3" t="s">
        <v>2216</v>
      </c>
      <c r="G2501" s="4">
        <v>3500000</v>
      </c>
      <c r="H2501" s="4">
        <v>0</v>
      </c>
      <c r="I2501" s="4">
        <v>-59269451.43</v>
      </c>
    </row>
    <row r="2502" spans="1:9" x14ac:dyDescent="0.3">
      <c r="A2502" t="s">
        <v>75</v>
      </c>
      <c r="B2502" s="1">
        <v>45880</v>
      </c>
      <c r="C2502" s="1">
        <v>45882</v>
      </c>
      <c r="D2502">
        <v>143368</v>
      </c>
      <c r="E2502">
        <v>58</v>
      </c>
      <c r="F2502" s="3" t="s">
        <v>2217</v>
      </c>
      <c r="G2502" s="4">
        <v>100000</v>
      </c>
      <c r="H2502" s="4">
        <v>0</v>
      </c>
      <c r="I2502" s="4">
        <v>-59169451.43</v>
      </c>
    </row>
    <row r="2503" spans="1:9" x14ac:dyDescent="0.3">
      <c r="A2503" t="s">
        <v>75</v>
      </c>
      <c r="B2503" s="1">
        <v>45881</v>
      </c>
      <c r="C2503" s="1">
        <v>45882</v>
      </c>
      <c r="D2503">
        <v>143370</v>
      </c>
      <c r="E2503">
        <v>58</v>
      </c>
      <c r="F2503" s="3" t="s">
        <v>2218</v>
      </c>
      <c r="G2503" s="4">
        <v>35166.25</v>
      </c>
      <c r="H2503" s="4">
        <v>0</v>
      </c>
      <c r="I2503" s="4">
        <v>-59134285.18</v>
      </c>
    </row>
    <row r="2504" spans="1:9" x14ac:dyDescent="0.3">
      <c r="A2504" t="s">
        <v>75</v>
      </c>
      <c r="B2504" s="1">
        <v>45881</v>
      </c>
      <c r="C2504" s="1">
        <v>45882</v>
      </c>
      <c r="D2504">
        <v>143371</v>
      </c>
      <c r="E2504">
        <v>58</v>
      </c>
      <c r="F2504" s="3" t="s">
        <v>2219</v>
      </c>
      <c r="G2504" s="4">
        <v>3803.63</v>
      </c>
      <c r="H2504" s="4">
        <v>0</v>
      </c>
      <c r="I2504" s="4">
        <v>-59130481.549999997</v>
      </c>
    </row>
    <row r="2505" spans="1:9" x14ac:dyDescent="0.3">
      <c r="A2505" t="s">
        <v>75</v>
      </c>
      <c r="B2505" s="1">
        <v>45882</v>
      </c>
      <c r="C2505" s="1">
        <v>45882</v>
      </c>
      <c r="D2505">
        <v>143372</v>
      </c>
      <c r="E2505">
        <v>224</v>
      </c>
      <c r="F2505" s="3" t="s">
        <v>2220</v>
      </c>
      <c r="G2505" s="4">
        <v>2577.5</v>
      </c>
      <c r="H2505" s="4">
        <v>0</v>
      </c>
      <c r="I2505" s="4">
        <v>-59127904.049999997</v>
      </c>
    </row>
    <row r="2506" spans="1:9" x14ac:dyDescent="0.3">
      <c r="A2506" t="s">
        <v>75</v>
      </c>
      <c r="B2506" s="1">
        <v>45881</v>
      </c>
      <c r="C2506" s="1">
        <v>45882</v>
      </c>
      <c r="D2506">
        <v>143373</v>
      </c>
      <c r="E2506">
        <v>16</v>
      </c>
      <c r="F2506" s="3" t="s">
        <v>2221</v>
      </c>
      <c r="G2506" s="4">
        <v>25275.75</v>
      </c>
      <c r="H2506" s="4">
        <v>0</v>
      </c>
      <c r="I2506" s="4">
        <v>-59102628.299999997</v>
      </c>
    </row>
    <row r="2507" spans="1:9" x14ac:dyDescent="0.3">
      <c r="A2507" t="s">
        <v>75</v>
      </c>
      <c r="B2507" s="1">
        <v>45881</v>
      </c>
      <c r="C2507" s="1">
        <v>45882</v>
      </c>
      <c r="D2507">
        <v>143375</v>
      </c>
      <c r="E2507">
        <v>79</v>
      </c>
      <c r="F2507" s="3" t="s">
        <v>2222</v>
      </c>
      <c r="G2507" s="4">
        <v>33521</v>
      </c>
      <c r="H2507" s="4">
        <v>0</v>
      </c>
      <c r="I2507" s="4">
        <v>-59069107.299999997</v>
      </c>
    </row>
    <row r="2508" spans="1:9" x14ac:dyDescent="0.3">
      <c r="A2508" t="s">
        <v>75</v>
      </c>
      <c r="B2508" s="1">
        <v>45881</v>
      </c>
      <c r="C2508" s="1">
        <v>45882</v>
      </c>
      <c r="D2508">
        <v>143376</v>
      </c>
      <c r="E2508">
        <v>12</v>
      </c>
      <c r="F2508" s="3" t="s">
        <v>2223</v>
      </c>
      <c r="G2508" s="4">
        <v>70123.75</v>
      </c>
      <c r="H2508" s="4">
        <v>0</v>
      </c>
      <c r="I2508" s="4">
        <v>-58998983.549999997</v>
      </c>
    </row>
    <row r="2509" spans="1:9" x14ac:dyDescent="0.3">
      <c r="A2509" t="s">
        <v>75</v>
      </c>
      <c r="B2509" s="1">
        <v>45882</v>
      </c>
      <c r="C2509" s="1">
        <v>45882</v>
      </c>
      <c r="D2509">
        <v>143378</v>
      </c>
      <c r="E2509">
        <v>79</v>
      </c>
      <c r="F2509" s="3" t="s">
        <v>2224</v>
      </c>
      <c r="G2509" s="4">
        <v>134476</v>
      </c>
      <c r="H2509" s="4">
        <v>0</v>
      </c>
      <c r="I2509" s="4">
        <v>-58864507.549999997</v>
      </c>
    </row>
    <row r="2510" spans="1:9" x14ac:dyDescent="0.3">
      <c r="A2510" t="s">
        <v>75</v>
      </c>
      <c r="B2510" s="1">
        <v>45882</v>
      </c>
      <c r="C2510" s="1">
        <v>45882</v>
      </c>
      <c r="D2510">
        <v>143379</v>
      </c>
      <c r="E2510">
        <v>14</v>
      </c>
      <c r="F2510" s="3" t="s">
        <v>2225</v>
      </c>
      <c r="G2510" s="4">
        <v>92000</v>
      </c>
      <c r="H2510" s="4">
        <v>0</v>
      </c>
      <c r="I2510" s="4">
        <v>-58772507.549999997</v>
      </c>
    </row>
    <row r="2511" spans="1:9" x14ac:dyDescent="0.3">
      <c r="A2511" t="s">
        <v>75</v>
      </c>
      <c r="B2511" s="1">
        <v>45882</v>
      </c>
      <c r="C2511" s="1">
        <v>45882</v>
      </c>
      <c r="D2511">
        <v>143380</v>
      </c>
      <c r="E2511">
        <v>72</v>
      </c>
      <c r="F2511" s="3" t="s">
        <v>2226</v>
      </c>
      <c r="G2511" s="4">
        <v>10000</v>
      </c>
      <c r="H2511" s="4">
        <v>0</v>
      </c>
      <c r="I2511" s="4">
        <v>-58762507.549999997</v>
      </c>
    </row>
    <row r="2512" spans="1:9" x14ac:dyDescent="0.3">
      <c r="A2512" t="s">
        <v>75</v>
      </c>
      <c r="B2512" s="1">
        <v>45882</v>
      </c>
      <c r="C2512" s="1">
        <v>45882</v>
      </c>
      <c r="D2512">
        <v>143381</v>
      </c>
      <c r="E2512">
        <v>16</v>
      </c>
      <c r="F2512" s="3" t="s">
        <v>2227</v>
      </c>
      <c r="G2512" s="4">
        <v>48912.5</v>
      </c>
      <c r="H2512" s="4">
        <v>0</v>
      </c>
      <c r="I2512" s="4">
        <v>-58713595.049999997</v>
      </c>
    </row>
    <row r="2513" spans="1:9" x14ac:dyDescent="0.3">
      <c r="A2513" t="s">
        <v>75</v>
      </c>
      <c r="B2513" s="1">
        <v>45881</v>
      </c>
      <c r="C2513" s="1">
        <v>45882</v>
      </c>
      <c r="D2513">
        <v>143382</v>
      </c>
      <c r="E2513">
        <v>15</v>
      </c>
      <c r="F2513" s="3" t="s">
        <v>2228</v>
      </c>
      <c r="G2513" s="4">
        <v>18533</v>
      </c>
      <c r="H2513" s="4">
        <v>0</v>
      </c>
      <c r="I2513" s="4">
        <v>-58695062.049999997</v>
      </c>
    </row>
    <row r="2514" spans="1:9" x14ac:dyDescent="0.3">
      <c r="A2514" t="s">
        <v>75</v>
      </c>
      <c r="B2514" s="1">
        <v>45882</v>
      </c>
      <c r="C2514" s="1">
        <v>45882</v>
      </c>
      <c r="D2514">
        <v>143383</v>
      </c>
      <c r="E2514">
        <v>14</v>
      </c>
      <c r="F2514" s="3" t="s">
        <v>2229</v>
      </c>
      <c r="G2514" s="4">
        <v>1838.25</v>
      </c>
      <c r="H2514" s="4">
        <v>0</v>
      </c>
      <c r="I2514" s="4">
        <v>-58693223.799999997</v>
      </c>
    </row>
    <row r="2515" spans="1:9" x14ac:dyDescent="0.3">
      <c r="A2515" t="s">
        <v>75</v>
      </c>
      <c r="B2515" s="1">
        <v>45882</v>
      </c>
      <c r="C2515" s="1">
        <v>45882</v>
      </c>
      <c r="D2515">
        <v>143385</v>
      </c>
      <c r="E2515">
        <v>58</v>
      </c>
      <c r="F2515" s="3" t="s">
        <v>2230</v>
      </c>
      <c r="G2515" s="4">
        <v>3000</v>
      </c>
      <c r="H2515" s="4">
        <v>0</v>
      </c>
      <c r="I2515" s="4">
        <v>-58690223.799999997</v>
      </c>
    </row>
    <row r="2516" spans="1:9" x14ac:dyDescent="0.3">
      <c r="A2516" t="s">
        <v>75</v>
      </c>
      <c r="B2516" s="1">
        <v>45882</v>
      </c>
      <c r="C2516" s="1">
        <v>45882</v>
      </c>
      <c r="D2516">
        <v>143386</v>
      </c>
      <c r="E2516">
        <v>12</v>
      </c>
      <c r="F2516" s="3" t="s">
        <v>2231</v>
      </c>
      <c r="G2516" s="4">
        <v>183760.5</v>
      </c>
      <c r="H2516" s="4">
        <v>0</v>
      </c>
      <c r="I2516" s="4">
        <v>-58506463.299999997</v>
      </c>
    </row>
    <row r="2517" spans="1:9" x14ac:dyDescent="0.3">
      <c r="A2517" t="s">
        <v>75</v>
      </c>
      <c r="B2517" s="1">
        <v>45880</v>
      </c>
      <c r="C2517" s="1">
        <v>45882</v>
      </c>
      <c r="D2517">
        <v>143387</v>
      </c>
      <c r="E2517">
        <v>84</v>
      </c>
      <c r="F2517" s="3" t="s">
        <v>2232</v>
      </c>
      <c r="G2517" s="4">
        <v>151645</v>
      </c>
      <c r="H2517" s="4">
        <v>0</v>
      </c>
      <c r="I2517" s="4">
        <v>-58354818.299999997</v>
      </c>
    </row>
    <row r="2518" spans="1:9" x14ac:dyDescent="0.3">
      <c r="A2518" t="s">
        <v>75</v>
      </c>
      <c r="B2518" s="1">
        <v>45880</v>
      </c>
      <c r="C2518" s="1">
        <v>45882</v>
      </c>
      <c r="D2518">
        <v>143389</v>
      </c>
      <c r="E2518">
        <v>422</v>
      </c>
      <c r="F2518" s="3" t="s">
        <v>2233</v>
      </c>
      <c r="G2518" s="4">
        <v>22158</v>
      </c>
      <c r="H2518" s="4">
        <v>0</v>
      </c>
      <c r="I2518" s="4">
        <v>-58332660.299999997</v>
      </c>
    </row>
    <row r="2519" spans="1:9" x14ac:dyDescent="0.3">
      <c r="A2519" t="s">
        <v>75</v>
      </c>
      <c r="B2519" s="1">
        <v>45880</v>
      </c>
      <c r="C2519" s="1">
        <v>45882</v>
      </c>
      <c r="D2519">
        <v>143390</v>
      </c>
      <c r="E2519">
        <v>41</v>
      </c>
      <c r="F2519" s="3" t="s">
        <v>2234</v>
      </c>
      <c r="G2519" s="4">
        <v>14756.5</v>
      </c>
      <c r="H2519" s="4">
        <v>0</v>
      </c>
      <c r="I2519" s="4">
        <v>-58317903.799999997</v>
      </c>
    </row>
    <row r="2520" spans="1:9" x14ac:dyDescent="0.3">
      <c r="A2520" t="s">
        <v>75</v>
      </c>
      <c r="B2520" s="1">
        <v>45880</v>
      </c>
      <c r="C2520" s="1">
        <v>45882</v>
      </c>
      <c r="D2520">
        <v>143391</v>
      </c>
      <c r="E2520">
        <v>28</v>
      </c>
      <c r="F2520" s="3" t="s">
        <v>2235</v>
      </c>
      <c r="G2520" s="4">
        <v>9621</v>
      </c>
      <c r="H2520" s="4">
        <v>0</v>
      </c>
      <c r="I2520" s="4">
        <v>-58308282.799999997</v>
      </c>
    </row>
    <row r="2521" spans="1:9" x14ac:dyDescent="0.3">
      <c r="A2521" t="s">
        <v>75</v>
      </c>
      <c r="B2521" s="1">
        <v>45881</v>
      </c>
      <c r="C2521" s="1">
        <v>45882</v>
      </c>
      <c r="D2521">
        <v>143392</v>
      </c>
      <c r="E2521">
        <v>23</v>
      </c>
      <c r="F2521" s="3" t="s">
        <v>2236</v>
      </c>
      <c r="G2521" s="4">
        <v>83421.25</v>
      </c>
      <c r="H2521" s="4">
        <v>0</v>
      </c>
      <c r="I2521" s="4">
        <v>-58224861.549999997</v>
      </c>
    </row>
    <row r="2522" spans="1:9" x14ac:dyDescent="0.3">
      <c r="A2522" t="s">
        <v>75</v>
      </c>
      <c r="B2522" s="1">
        <v>45881</v>
      </c>
      <c r="C2522" s="1">
        <v>45882</v>
      </c>
      <c r="D2522">
        <v>143393</v>
      </c>
      <c r="E2522">
        <v>27</v>
      </c>
      <c r="F2522" s="3" t="s">
        <v>2237</v>
      </c>
      <c r="G2522" s="4">
        <v>44107.25</v>
      </c>
      <c r="H2522" s="4">
        <v>0</v>
      </c>
      <c r="I2522" s="4">
        <v>-58180754.299999997</v>
      </c>
    </row>
    <row r="2523" spans="1:9" x14ac:dyDescent="0.3">
      <c r="A2523" t="s">
        <v>75</v>
      </c>
      <c r="B2523" s="1">
        <v>45880</v>
      </c>
      <c r="C2523" s="1">
        <v>45882</v>
      </c>
      <c r="D2523">
        <v>143395</v>
      </c>
      <c r="E2523">
        <v>61</v>
      </c>
      <c r="F2523" s="3" t="s">
        <v>2238</v>
      </c>
      <c r="G2523" s="4">
        <v>617987</v>
      </c>
      <c r="H2523" s="4">
        <v>0</v>
      </c>
      <c r="I2523" s="4">
        <v>-57562767.299999997</v>
      </c>
    </row>
    <row r="2524" spans="1:9" x14ac:dyDescent="0.3">
      <c r="A2524" t="s">
        <v>75</v>
      </c>
      <c r="B2524" s="1">
        <v>45881</v>
      </c>
      <c r="C2524" s="1">
        <v>45882</v>
      </c>
      <c r="D2524">
        <v>143397</v>
      </c>
      <c r="E2524">
        <v>34</v>
      </c>
      <c r="F2524" s="3" t="s">
        <v>2239</v>
      </c>
      <c r="G2524" s="4">
        <v>47669.25</v>
      </c>
      <c r="H2524" s="4">
        <v>0</v>
      </c>
      <c r="I2524" s="4">
        <v>-57515098.049999997</v>
      </c>
    </row>
    <row r="2525" spans="1:9" x14ac:dyDescent="0.3">
      <c r="A2525" t="s">
        <v>75</v>
      </c>
      <c r="B2525" s="1">
        <v>45881</v>
      </c>
      <c r="C2525" s="1">
        <v>45882</v>
      </c>
      <c r="D2525">
        <v>143400</v>
      </c>
      <c r="E2525">
        <v>84</v>
      </c>
      <c r="F2525" s="3" t="s">
        <v>2240</v>
      </c>
      <c r="G2525" s="4">
        <v>150000</v>
      </c>
      <c r="H2525" s="4">
        <v>0</v>
      </c>
      <c r="I2525" s="4">
        <v>-57365098.049999997</v>
      </c>
    </row>
    <row r="2526" spans="1:9" x14ac:dyDescent="0.3">
      <c r="A2526" t="s">
        <v>75</v>
      </c>
      <c r="B2526" s="1">
        <v>45882</v>
      </c>
      <c r="C2526" s="1">
        <v>45882</v>
      </c>
      <c r="D2526">
        <v>143401</v>
      </c>
      <c r="E2526">
        <v>19</v>
      </c>
      <c r="F2526" s="3" t="s">
        <v>2241</v>
      </c>
      <c r="G2526" s="4">
        <v>3200</v>
      </c>
      <c r="H2526" s="4">
        <v>0</v>
      </c>
      <c r="I2526" s="4">
        <v>-57361898.049999997</v>
      </c>
    </row>
    <row r="2527" spans="1:9" x14ac:dyDescent="0.3">
      <c r="A2527" t="s">
        <v>75</v>
      </c>
      <c r="B2527" s="1">
        <v>45874</v>
      </c>
      <c r="C2527" s="1">
        <v>45882</v>
      </c>
      <c r="D2527">
        <v>143407</v>
      </c>
      <c r="E2527">
        <v>58</v>
      </c>
      <c r="F2527" s="3" t="s">
        <v>2242</v>
      </c>
      <c r="G2527" s="4">
        <v>30903.25</v>
      </c>
      <c r="H2527" s="4">
        <v>0</v>
      </c>
      <c r="I2527" s="4">
        <v>-57330994.799999997</v>
      </c>
    </row>
    <row r="2528" spans="1:9" x14ac:dyDescent="0.3">
      <c r="A2528" t="s">
        <v>75</v>
      </c>
      <c r="B2528" s="1">
        <v>45882</v>
      </c>
      <c r="C2528" s="1">
        <v>45882</v>
      </c>
      <c r="D2528">
        <v>143411</v>
      </c>
      <c r="E2528">
        <v>24</v>
      </c>
      <c r="F2528" s="3" t="s">
        <v>2243</v>
      </c>
      <c r="G2528" s="4">
        <v>14485</v>
      </c>
      <c r="H2528" s="4">
        <v>0</v>
      </c>
      <c r="I2528" s="4">
        <v>-57316509.799999997</v>
      </c>
    </row>
    <row r="2529" spans="1:9" x14ac:dyDescent="0.3">
      <c r="A2529" t="s">
        <v>75</v>
      </c>
      <c r="B2529" s="1">
        <v>45882</v>
      </c>
      <c r="C2529" s="1">
        <v>45882</v>
      </c>
      <c r="D2529">
        <v>143413</v>
      </c>
      <c r="E2529">
        <v>62</v>
      </c>
      <c r="F2529" s="3" t="s">
        <v>2244</v>
      </c>
      <c r="G2529" s="4">
        <v>5060</v>
      </c>
      <c r="H2529" s="4">
        <v>0</v>
      </c>
      <c r="I2529" s="4">
        <v>-57311449.799999997</v>
      </c>
    </row>
    <row r="2530" spans="1:9" x14ac:dyDescent="0.3">
      <c r="A2530" t="s">
        <v>75</v>
      </c>
      <c r="B2530" s="1">
        <v>45882</v>
      </c>
      <c r="C2530" s="1">
        <v>45882</v>
      </c>
      <c r="D2530">
        <v>143414</v>
      </c>
      <c r="E2530">
        <v>62</v>
      </c>
      <c r="F2530" s="3" t="s">
        <v>2245</v>
      </c>
      <c r="G2530" s="4">
        <v>7500</v>
      </c>
      <c r="H2530" s="4">
        <v>0</v>
      </c>
      <c r="I2530" s="4">
        <v>-57303949.799999997</v>
      </c>
    </row>
    <row r="2531" spans="1:9" x14ac:dyDescent="0.3">
      <c r="A2531" t="s">
        <v>75</v>
      </c>
      <c r="B2531" s="1">
        <v>45882</v>
      </c>
      <c r="C2531" s="1">
        <v>45882</v>
      </c>
      <c r="D2531">
        <v>143415</v>
      </c>
      <c r="E2531">
        <v>62</v>
      </c>
      <c r="F2531" s="3" t="s">
        <v>2246</v>
      </c>
      <c r="G2531" s="4">
        <v>6003</v>
      </c>
      <c r="H2531" s="4">
        <v>0</v>
      </c>
      <c r="I2531" s="4">
        <v>-57297946.799999997</v>
      </c>
    </row>
    <row r="2532" spans="1:9" x14ac:dyDescent="0.3">
      <c r="A2532" t="s">
        <v>75</v>
      </c>
      <c r="B2532" s="1">
        <v>45882</v>
      </c>
      <c r="C2532" s="1">
        <v>45882</v>
      </c>
      <c r="D2532">
        <v>143416</v>
      </c>
      <c r="E2532">
        <v>61</v>
      </c>
      <c r="F2532" s="3" t="s">
        <v>2247</v>
      </c>
      <c r="G2532" s="4">
        <v>25332.5</v>
      </c>
      <c r="H2532" s="4">
        <v>0</v>
      </c>
      <c r="I2532" s="4">
        <v>-57272614.299999997</v>
      </c>
    </row>
    <row r="2533" spans="1:9" x14ac:dyDescent="0.3">
      <c r="A2533" t="s">
        <v>75</v>
      </c>
      <c r="B2533" s="1">
        <v>45880</v>
      </c>
      <c r="C2533" s="1">
        <v>45882</v>
      </c>
      <c r="D2533">
        <v>143418</v>
      </c>
      <c r="E2533">
        <v>34</v>
      </c>
      <c r="F2533" s="3" t="s">
        <v>2248</v>
      </c>
      <c r="G2533" s="4">
        <v>385728</v>
      </c>
      <c r="H2533" s="4">
        <v>0</v>
      </c>
      <c r="I2533" s="4">
        <v>-56886886.299999997</v>
      </c>
    </row>
    <row r="2534" spans="1:9" x14ac:dyDescent="0.3">
      <c r="A2534" t="s">
        <v>75</v>
      </c>
      <c r="B2534" s="1">
        <v>45881</v>
      </c>
      <c r="C2534" s="1">
        <v>45882</v>
      </c>
      <c r="D2534">
        <v>143419</v>
      </c>
      <c r="E2534">
        <v>76</v>
      </c>
      <c r="F2534" s="3" t="s">
        <v>2249</v>
      </c>
      <c r="G2534" s="4">
        <v>63000</v>
      </c>
      <c r="H2534" s="4">
        <v>0</v>
      </c>
      <c r="I2534" s="4">
        <v>-56823886.299999997</v>
      </c>
    </row>
    <row r="2535" spans="1:9" x14ac:dyDescent="0.3">
      <c r="A2535" t="s">
        <v>75</v>
      </c>
      <c r="B2535" s="1">
        <v>45882</v>
      </c>
      <c r="C2535" s="1">
        <v>45882</v>
      </c>
      <c r="D2535">
        <v>143421</v>
      </c>
      <c r="E2535">
        <v>72</v>
      </c>
      <c r="F2535" s="3" t="s">
        <v>2250</v>
      </c>
      <c r="G2535" s="4">
        <v>7132.5</v>
      </c>
      <c r="H2535" s="4">
        <v>0</v>
      </c>
      <c r="I2535" s="4">
        <v>-56816753.799999997</v>
      </c>
    </row>
    <row r="2536" spans="1:9" x14ac:dyDescent="0.3">
      <c r="A2536" t="s">
        <v>75</v>
      </c>
      <c r="B2536" s="1">
        <v>45882</v>
      </c>
      <c r="C2536" s="1">
        <v>45882</v>
      </c>
      <c r="D2536">
        <v>143423</v>
      </c>
      <c r="E2536">
        <v>61</v>
      </c>
      <c r="F2536" s="3" t="s">
        <v>2251</v>
      </c>
      <c r="G2536" s="4">
        <v>86532.5</v>
      </c>
      <c r="H2536" s="4">
        <v>0</v>
      </c>
      <c r="I2536" s="4">
        <v>-56730221.299999997</v>
      </c>
    </row>
    <row r="2537" spans="1:9" x14ac:dyDescent="0.3">
      <c r="A2537" t="s">
        <v>124</v>
      </c>
      <c r="B2537" s="1">
        <v>45882</v>
      </c>
      <c r="C2537" s="1">
        <v>45882</v>
      </c>
      <c r="D2537">
        <v>22204</v>
      </c>
      <c r="E2537">
        <v>11</v>
      </c>
      <c r="F2537" s="3" t="s">
        <v>125</v>
      </c>
      <c r="G2537" s="4">
        <v>0</v>
      </c>
      <c r="H2537" s="4">
        <v>25194414.57</v>
      </c>
      <c r="I2537" s="4">
        <v>-81924635.870000005</v>
      </c>
    </row>
    <row r="2538" spans="1:9" x14ac:dyDescent="0.3">
      <c r="A2538" t="s">
        <v>124</v>
      </c>
      <c r="B2538" s="1">
        <v>45882</v>
      </c>
      <c r="C2538" s="1">
        <v>45882</v>
      </c>
      <c r="D2538">
        <v>22205</v>
      </c>
      <c r="E2538">
        <v>11</v>
      </c>
      <c r="F2538" s="3" t="s">
        <v>125</v>
      </c>
      <c r="G2538" s="4">
        <v>0</v>
      </c>
      <c r="H2538" s="4">
        <v>17700000</v>
      </c>
      <c r="I2538" s="4">
        <v>-99624635.870000005</v>
      </c>
    </row>
    <row r="2539" spans="1:9" x14ac:dyDescent="0.3">
      <c r="A2539" t="s">
        <v>124</v>
      </c>
      <c r="B2539" s="1">
        <v>45882</v>
      </c>
      <c r="C2539" s="1">
        <v>45882</v>
      </c>
      <c r="D2539">
        <v>22206</v>
      </c>
      <c r="E2539">
        <v>11</v>
      </c>
      <c r="F2539" s="3" t="s">
        <v>127</v>
      </c>
      <c r="G2539" s="4">
        <v>17000000</v>
      </c>
      <c r="H2539" s="4">
        <v>0</v>
      </c>
      <c r="I2539" s="4">
        <v>-82624635.870000005</v>
      </c>
    </row>
    <row r="2540" spans="1:9" x14ac:dyDescent="0.3">
      <c r="A2540" t="s">
        <v>124</v>
      </c>
      <c r="B2540" s="1">
        <v>45882</v>
      </c>
      <c r="C2540" s="1">
        <v>45882</v>
      </c>
      <c r="D2540">
        <v>22207</v>
      </c>
      <c r="E2540">
        <v>11</v>
      </c>
      <c r="F2540" s="3" t="s">
        <v>127</v>
      </c>
      <c r="G2540" s="4">
        <v>24600000</v>
      </c>
      <c r="H2540" s="4">
        <v>0</v>
      </c>
      <c r="I2540" s="4">
        <v>-58024635.869999997</v>
      </c>
    </row>
    <row r="2541" spans="1:9" x14ac:dyDescent="0.3">
      <c r="A2541" t="s">
        <v>124</v>
      </c>
      <c r="B2541" s="1">
        <v>45882</v>
      </c>
      <c r="C2541" s="1">
        <v>45882</v>
      </c>
      <c r="D2541">
        <v>22211</v>
      </c>
      <c r="E2541">
        <v>11</v>
      </c>
      <c r="F2541" s="3" t="s">
        <v>128</v>
      </c>
      <c r="G2541" s="4">
        <v>6000000</v>
      </c>
      <c r="H2541" s="4">
        <v>0</v>
      </c>
      <c r="I2541" s="4">
        <v>-52024635.869999997</v>
      </c>
    </row>
    <row r="2542" spans="1:9" x14ac:dyDescent="0.3">
      <c r="A2542" t="s">
        <v>130</v>
      </c>
      <c r="B2542" s="1">
        <v>45882</v>
      </c>
      <c r="C2542" s="1">
        <v>45882</v>
      </c>
      <c r="D2542">
        <v>3834923</v>
      </c>
      <c r="E2542">
        <v>39</v>
      </c>
      <c r="F2542" s="3" t="s">
        <v>2252</v>
      </c>
      <c r="G2542" s="4">
        <v>0</v>
      </c>
      <c r="H2542" s="4">
        <v>20000000</v>
      </c>
      <c r="I2542" s="4">
        <v>-72024635.870000005</v>
      </c>
    </row>
    <row r="2543" spans="1:9" x14ac:dyDescent="0.3">
      <c r="A2543" t="s">
        <v>130</v>
      </c>
      <c r="B2543" s="1">
        <v>45882</v>
      </c>
      <c r="C2543" s="1">
        <v>45882</v>
      </c>
      <c r="D2543">
        <v>3835315</v>
      </c>
      <c r="E2543">
        <v>45</v>
      </c>
      <c r="F2543" s="3">
        <v>45032915703</v>
      </c>
      <c r="G2543" s="4">
        <v>0</v>
      </c>
      <c r="H2543" s="4">
        <v>18430</v>
      </c>
      <c r="I2543" s="4">
        <v>-72043065.870000005</v>
      </c>
    </row>
    <row r="2544" spans="1:9" x14ac:dyDescent="0.3">
      <c r="A2544" t="s">
        <v>130</v>
      </c>
      <c r="B2544" s="1">
        <v>45882</v>
      </c>
      <c r="C2544" s="1">
        <v>45882</v>
      </c>
      <c r="D2544">
        <v>3835537</v>
      </c>
      <c r="E2544">
        <v>11</v>
      </c>
      <c r="F2544" s="3" t="s">
        <v>2253</v>
      </c>
      <c r="G2544" s="4">
        <v>0</v>
      </c>
      <c r="H2544" s="4">
        <v>850000</v>
      </c>
      <c r="I2544" s="4">
        <v>-72893065.870000005</v>
      </c>
    </row>
    <row r="2545" spans="1:9" x14ac:dyDescent="0.3">
      <c r="A2545" t="s">
        <v>133</v>
      </c>
      <c r="B2545" s="1">
        <v>45882</v>
      </c>
      <c r="C2545" s="1">
        <v>45882</v>
      </c>
      <c r="D2545">
        <v>915550</v>
      </c>
      <c r="E2545">
        <v>64</v>
      </c>
      <c r="F2545" s="3" t="s">
        <v>2254</v>
      </c>
      <c r="G2545" s="4">
        <v>37039</v>
      </c>
      <c r="H2545" s="4">
        <v>0</v>
      </c>
      <c r="I2545" s="4">
        <v>-72856026.870000005</v>
      </c>
    </row>
    <row r="2546" spans="1:9" x14ac:dyDescent="0.3">
      <c r="A2546" t="s">
        <v>133</v>
      </c>
      <c r="B2546" s="1">
        <v>45882</v>
      </c>
      <c r="C2546" s="1">
        <v>45882</v>
      </c>
      <c r="D2546">
        <v>915554</v>
      </c>
      <c r="E2546">
        <v>64</v>
      </c>
      <c r="F2546" s="3" t="s">
        <v>2255</v>
      </c>
      <c r="G2546" s="4">
        <v>1381819.25</v>
      </c>
      <c r="H2546" s="4">
        <v>0</v>
      </c>
      <c r="I2546" s="4">
        <v>-71474207.620000005</v>
      </c>
    </row>
    <row r="2547" spans="1:9" x14ac:dyDescent="0.3">
      <c r="A2547" t="s">
        <v>133</v>
      </c>
      <c r="B2547" s="1">
        <v>45882</v>
      </c>
      <c r="C2547" s="1">
        <v>45882</v>
      </c>
      <c r="D2547">
        <v>915556</v>
      </c>
      <c r="E2547">
        <v>38</v>
      </c>
      <c r="F2547" s="3">
        <v>50954270508</v>
      </c>
      <c r="G2547" s="4">
        <v>2526.5</v>
      </c>
      <c r="H2547" s="4">
        <v>0</v>
      </c>
      <c r="I2547" s="4">
        <v>-71471681.120000005</v>
      </c>
    </row>
    <row r="2548" spans="1:9" x14ac:dyDescent="0.3">
      <c r="A2548" t="s">
        <v>133</v>
      </c>
      <c r="B2548" s="1">
        <v>45882</v>
      </c>
      <c r="C2548" s="1">
        <v>45882</v>
      </c>
      <c r="D2548">
        <v>915569</v>
      </c>
      <c r="E2548">
        <v>64</v>
      </c>
      <c r="F2548" s="3" t="s">
        <v>2256</v>
      </c>
      <c r="G2548" s="4">
        <v>107244</v>
      </c>
      <c r="H2548" s="4">
        <v>0</v>
      </c>
      <c r="I2548" s="4">
        <v>-71364437.120000005</v>
      </c>
    </row>
    <row r="2549" spans="1:9" x14ac:dyDescent="0.3">
      <c r="A2549" t="s">
        <v>133</v>
      </c>
      <c r="B2549" s="1">
        <v>45882</v>
      </c>
      <c r="C2549" s="1">
        <v>45882</v>
      </c>
      <c r="D2549">
        <v>915571</v>
      </c>
      <c r="E2549">
        <v>13</v>
      </c>
      <c r="F2549" s="3" t="s">
        <v>2257</v>
      </c>
      <c r="G2549" s="4">
        <v>3300</v>
      </c>
      <c r="H2549" s="4">
        <v>0</v>
      </c>
      <c r="I2549" s="4">
        <v>-71361137.120000005</v>
      </c>
    </row>
    <row r="2550" spans="1:9" x14ac:dyDescent="0.3">
      <c r="A2550" t="s">
        <v>133</v>
      </c>
      <c r="B2550" s="1">
        <v>45882</v>
      </c>
      <c r="C2550" s="1">
        <v>45882</v>
      </c>
      <c r="D2550">
        <v>915578</v>
      </c>
      <c r="E2550">
        <v>91</v>
      </c>
      <c r="F2550" s="3" t="s">
        <v>2258</v>
      </c>
      <c r="G2550" s="4">
        <v>245000</v>
      </c>
      <c r="H2550" s="4">
        <v>0</v>
      </c>
      <c r="I2550" s="4">
        <v>-71116137.120000005</v>
      </c>
    </row>
    <row r="2551" spans="1:9" x14ac:dyDescent="0.3">
      <c r="A2551" t="s">
        <v>133</v>
      </c>
      <c r="B2551" s="1">
        <v>45882</v>
      </c>
      <c r="C2551" s="1">
        <v>45882</v>
      </c>
      <c r="D2551">
        <v>915586</v>
      </c>
      <c r="E2551">
        <v>86</v>
      </c>
      <c r="F2551" s="3" t="s">
        <v>2259</v>
      </c>
      <c r="G2551" s="4">
        <v>253700</v>
      </c>
      <c r="H2551" s="4">
        <v>0</v>
      </c>
      <c r="I2551" s="4">
        <v>-70862437.120000005</v>
      </c>
    </row>
    <row r="2552" spans="1:9" x14ac:dyDescent="0.3">
      <c r="A2552" t="s">
        <v>133</v>
      </c>
      <c r="B2552" s="1">
        <v>45882</v>
      </c>
      <c r="C2552" s="1">
        <v>45882</v>
      </c>
      <c r="D2552">
        <v>915587</v>
      </c>
      <c r="E2552">
        <v>86</v>
      </c>
      <c r="F2552" s="3" t="s">
        <v>2260</v>
      </c>
      <c r="G2552" s="4">
        <v>263082</v>
      </c>
      <c r="H2552" s="4">
        <v>0</v>
      </c>
      <c r="I2552" s="4">
        <v>-70599355.120000005</v>
      </c>
    </row>
    <row r="2553" spans="1:9" x14ac:dyDescent="0.3">
      <c r="A2553" t="s">
        <v>133</v>
      </c>
      <c r="B2553" s="1">
        <v>45882</v>
      </c>
      <c r="C2553" s="1">
        <v>45882</v>
      </c>
      <c r="D2553">
        <v>915588</v>
      </c>
      <c r="E2553">
        <v>86</v>
      </c>
      <c r="F2553" s="3" t="s">
        <v>2261</v>
      </c>
      <c r="G2553" s="4">
        <v>246000</v>
      </c>
      <c r="H2553" s="4">
        <v>0</v>
      </c>
      <c r="I2553" s="4">
        <v>-70353355.120000005</v>
      </c>
    </row>
    <row r="2554" spans="1:9" x14ac:dyDescent="0.3">
      <c r="A2554" t="s">
        <v>133</v>
      </c>
      <c r="B2554" s="1">
        <v>45882</v>
      </c>
      <c r="C2554" s="1">
        <v>45882</v>
      </c>
      <c r="D2554">
        <v>915590</v>
      </c>
      <c r="E2554">
        <v>45</v>
      </c>
      <c r="F2554" s="3" t="s">
        <v>2262</v>
      </c>
      <c r="G2554" s="4">
        <v>24442.75</v>
      </c>
      <c r="H2554" s="4">
        <v>0</v>
      </c>
      <c r="I2554" s="4">
        <v>-70328912.370000005</v>
      </c>
    </row>
    <row r="2555" spans="1:9" x14ac:dyDescent="0.3">
      <c r="A2555" t="s">
        <v>133</v>
      </c>
      <c r="B2555" s="1">
        <v>45882</v>
      </c>
      <c r="C2555" s="1">
        <v>45882</v>
      </c>
      <c r="D2555">
        <v>915598</v>
      </c>
      <c r="E2555">
        <v>84</v>
      </c>
      <c r="F2555" s="3" t="s">
        <v>2263</v>
      </c>
      <c r="G2555" s="4">
        <v>100300</v>
      </c>
      <c r="H2555" s="4">
        <v>0</v>
      </c>
      <c r="I2555" s="4">
        <v>-70228612.370000005</v>
      </c>
    </row>
    <row r="2556" spans="1:9" x14ac:dyDescent="0.3">
      <c r="A2556" t="s">
        <v>133</v>
      </c>
      <c r="B2556" s="1">
        <v>45882</v>
      </c>
      <c r="C2556" s="1">
        <v>45882</v>
      </c>
      <c r="D2556">
        <v>915599</v>
      </c>
      <c r="E2556">
        <v>84</v>
      </c>
      <c r="F2556" s="3" t="s">
        <v>2264</v>
      </c>
      <c r="G2556" s="4">
        <v>3201.75</v>
      </c>
      <c r="H2556" s="4">
        <v>0</v>
      </c>
      <c r="I2556" s="4">
        <v>-70225410.620000005</v>
      </c>
    </row>
    <row r="2557" spans="1:9" x14ac:dyDescent="0.3">
      <c r="A2557" t="s">
        <v>133</v>
      </c>
      <c r="B2557" s="1">
        <v>45882</v>
      </c>
      <c r="C2557" s="1">
        <v>45882</v>
      </c>
      <c r="D2557">
        <v>915600</v>
      </c>
      <c r="E2557">
        <v>84</v>
      </c>
      <c r="F2557" s="3" t="s">
        <v>2265</v>
      </c>
      <c r="G2557" s="4">
        <v>73663.75</v>
      </c>
      <c r="H2557" s="4">
        <v>0</v>
      </c>
      <c r="I2557" s="4">
        <v>-70151746.870000005</v>
      </c>
    </row>
    <row r="2558" spans="1:9" x14ac:dyDescent="0.3">
      <c r="A2558" t="s">
        <v>133</v>
      </c>
      <c r="B2558" s="1">
        <v>45882</v>
      </c>
      <c r="C2558" s="1">
        <v>45882</v>
      </c>
      <c r="D2558">
        <v>915601</v>
      </c>
      <c r="E2558">
        <v>86</v>
      </c>
      <c r="F2558" s="3" t="s">
        <v>2266</v>
      </c>
      <c r="G2558" s="4">
        <v>26242.25</v>
      </c>
      <c r="H2558" s="4">
        <v>0</v>
      </c>
      <c r="I2558" s="4">
        <v>-70125504.620000005</v>
      </c>
    </row>
    <row r="2559" spans="1:9" x14ac:dyDescent="0.3">
      <c r="A2559" t="s">
        <v>133</v>
      </c>
      <c r="B2559" s="1">
        <v>45882</v>
      </c>
      <c r="C2559" s="1">
        <v>45882</v>
      </c>
      <c r="D2559">
        <v>915605</v>
      </c>
      <c r="E2559">
        <v>12</v>
      </c>
      <c r="F2559" s="3" t="s">
        <v>2267</v>
      </c>
      <c r="G2559" s="4">
        <v>113939</v>
      </c>
      <c r="H2559" s="4">
        <v>0</v>
      </c>
      <c r="I2559" s="4">
        <v>-70011565.620000005</v>
      </c>
    </row>
    <row r="2560" spans="1:9" x14ac:dyDescent="0.3">
      <c r="A2560" t="s">
        <v>133</v>
      </c>
      <c r="B2560" s="1">
        <v>45882</v>
      </c>
      <c r="C2560" s="1">
        <v>45882</v>
      </c>
      <c r="D2560">
        <v>915616</v>
      </c>
      <c r="E2560">
        <v>42</v>
      </c>
      <c r="F2560" s="3" t="s">
        <v>2268</v>
      </c>
      <c r="G2560" s="4">
        <v>3183</v>
      </c>
      <c r="H2560" s="4">
        <v>0</v>
      </c>
      <c r="I2560" s="4">
        <v>-70008382.620000005</v>
      </c>
    </row>
    <row r="2561" spans="1:9" x14ac:dyDescent="0.3">
      <c r="A2561" t="s">
        <v>133</v>
      </c>
      <c r="B2561" s="1">
        <v>45882</v>
      </c>
      <c r="C2561" s="1">
        <v>45882</v>
      </c>
      <c r="D2561">
        <v>915619</v>
      </c>
      <c r="E2561">
        <v>382</v>
      </c>
      <c r="F2561" s="3" t="s">
        <v>2269</v>
      </c>
      <c r="G2561" s="4">
        <v>209790</v>
      </c>
      <c r="H2561" s="4">
        <v>0</v>
      </c>
      <c r="I2561" s="4">
        <v>-69798592.620000005</v>
      </c>
    </row>
    <row r="2562" spans="1:9" x14ac:dyDescent="0.3">
      <c r="A2562" t="s">
        <v>133</v>
      </c>
      <c r="B2562" s="1">
        <v>45882</v>
      </c>
      <c r="C2562" s="1">
        <v>45882</v>
      </c>
      <c r="D2562">
        <v>915620</v>
      </c>
      <c r="E2562">
        <v>382</v>
      </c>
      <c r="F2562" s="3" t="s">
        <v>2270</v>
      </c>
      <c r="G2562" s="4">
        <v>209965</v>
      </c>
      <c r="H2562" s="4">
        <v>0</v>
      </c>
      <c r="I2562" s="4">
        <v>-69588627.620000005</v>
      </c>
    </row>
    <row r="2563" spans="1:9" x14ac:dyDescent="0.3">
      <c r="A2563" t="s">
        <v>133</v>
      </c>
      <c r="B2563" s="1">
        <v>45882</v>
      </c>
      <c r="C2563" s="1">
        <v>45882</v>
      </c>
      <c r="D2563">
        <v>915640</v>
      </c>
      <c r="E2563">
        <v>224</v>
      </c>
      <c r="F2563" s="3" t="s">
        <v>2271</v>
      </c>
      <c r="G2563" s="4">
        <v>300000</v>
      </c>
      <c r="H2563" s="4">
        <v>0</v>
      </c>
      <c r="I2563" s="4">
        <v>-69288627.620000005</v>
      </c>
    </row>
    <row r="2564" spans="1:9" x14ac:dyDescent="0.3">
      <c r="A2564" t="s">
        <v>133</v>
      </c>
      <c r="B2564" s="1">
        <v>45882</v>
      </c>
      <c r="C2564" s="1">
        <v>45882</v>
      </c>
      <c r="D2564">
        <v>915645</v>
      </c>
      <c r="E2564">
        <v>15</v>
      </c>
      <c r="F2564" s="3" t="s">
        <v>2272</v>
      </c>
      <c r="G2564" s="4">
        <v>250000</v>
      </c>
      <c r="H2564" s="4">
        <v>0</v>
      </c>
      <c r="I2564" s="4">
        <v>-69038627.620000005</v>
      </c>
    </row>
    <row r="2565" spans="1:9" x14ac:dyDescent="0.3">
      <c r="A2565" t="s">
        <v>133</v>
      </c>
      <c r="B2565" s="1">
        <v>45882</v>
      </c>
      <c r="C2565" s="1">
        <v>45882</v>
      </c>
      <c r="D2565">
        <v>915648</v>
      </c>
      <c r="E2565">
        <v>15</v>
      </c>
      <c r="F2565" s="3" t="s">
        <v>2273</v>
      </c>
      <c r="G2565" s="4">
        <v>169841</v>
      </c>
      <c r="H2565" s="4">
        <v>0</v>
      </c>
      <c r="I2565" s="4">
        <v>-68868786.620000005</v>
      </c>
    </row>
    <row r="2566" spans="1:9" x14ac:dyDescent="0.3">
      <c r="A2566" t="s">
        <v>133</v>
      </c>
      <c r="B2566" s="1">
        <v>45882</v>
      </c>
      <c r="C2566" s="1">
        <v>45882</v>
      </c>
      <c r="D2566">
        <v>915654</v>
      </c>
      <c r="E2566">
        <v>15</v>
      </c>
      <c r="F2566" s="3" t="s">
        <v>2274</v>
      </c>
      <c r="G2566" s="4">
        <v>2629.5</v>
      </c>
      <c r="H2566" s="4">
        <v>0</v>
      </c>
      <c r="I2566" s="4">
        <v>-68866157.120000005</v>
      </c>
    </row>
    <row r="2567" spans="1:9" x14ac:dyDescent="0.3">
      <c r="A2567" t="s">
        <v>133</v>
      </c>
      <c r="B2567" s="1">
        <v>45882</v>
      </c>
      <c r="C2567" s="1">
        <v>45882</v>
      </c>
      <c r="D2567">
        <v>915656</v>
      </c>
      <c r="E2567">
        <v>351</v>
      </c>
      <c r="F2567" s="3" t="s">
        <v>2275</v>
      </c>
      <c r="G2567" s="4">
        <v>15800</v>
      </c>
      <c r="H2567" s="4">
        <v>0</v>
      </c>
      <c r="I2567" s="4">
        <v>-68850357.120000005</v>
      </c>
    </row>
    <row r="2568" spans="1:9" x14ac:dyDescent="0.3">
      <c r="A2568" t="s">
        <v>133</v>
      </c>
      <c r="B2568" s="1">
        <v>45882</v>
      </c>
      <c r="C2568" s="1">
        <v>45882</v>
      </c>
      <c r="D2568">
        <v>915657</v>
      </c>
      <c r="E2568">
        <v>51</v>
      </c>
      <c r="F2568" s="3" t="s">
        <v>2276</v>
      </c>
      <c r="G2568" s="4">
        <v>250000</v>
      </c>
      <c r="H2568" s="4">
        <v>0</v>
      </c>
      <c r="I2568" s="4">
        <v>-68600357.120000005</v>
      </c>
    </row>
    <row r="2569" spans="1:9" x14ac:dyDescent="0.3">
      <c r="A2569" t="s">
        <v>133</v>
      </c>
      <c r="B2569" s="1">
        <v>45882</v>
      </c>
      <c r="C2569" s="1">
        <v>45882</v>
      </c>
      <c r="D2569">
        <v>915658</v>
      </c>
      <c r="E2569">
        <v>15</v>
      </c>
      <c r="F2569" s="3" t="s">
        <v>2277</v>
      </c>
      <c r="G2569" s="4">
        <v>17313</v>
      </c>
      <c r="H2569" s="4">
        <v>0</v>
      </c>
      <c r="I2569" s="4">
        <v>-68583044.120000005</v>
      </c>
    </row>
    <row r="2570" spans="1:9" x14ac:dyDescent="0.3">
      <c r="A2570" t="s">
        <v>133</v>
      </c>
      <c r="B2570" s="1">
        <v>45882</v>
      </c>
      <c r="C2570" s="1">
        <v>45882</v>
      </c>
      <c r="D2570">
        <v>915662</v>
      </c>
      <c r="E2570">
        <v>39</v>
      </c>
      <c r="F2570" s="3" t="s">
        <v>2278</v>
      </c>
      <c r="G2570" s="4">
        <v>3380350</v>
      </c>
      <c r="H2570" s="4">
        <v>0</v>
      </c>
      <c r="I2570" s="4">
        <v>-65202694.119999997</v>
      </c>
    </row>
    <row r="2571" spans="1:9" x14ac:dyDescent="0.3">
      <c r="A2571" t="s">
        <v>133</v>
      </c>
      <c r="B2571" s="1">
        <v>45882</v>
      </c>
      <c r="C2571" s="1">
        <v>45882</v>
      </c>
      <c r="D2571">
        <v>915664</v>
      </c>
      <c r="E2571">
        <v>88</v>
      </c>
      <c r="F2571" s="3" t="s">
        <v>2279</v>
      </c>
      <c r="G2571" s="4">
        <v>7775.75</v>
      </c>
      <c r="H2571" s="4">
        <v>0</v>
      </c>
      <c r="I2571" s="4">
        <v>-65194918.369999997</v>
      </c>
    </row>
    <row r="2572" spans="1:9" x14ac:dyDescent="0.3">
      <c r="A2572" t="s">
        <v>133</v>
      </c>
      <c r="B2572" s="1">
        <v>45882</v>
      </c>
      <c r="C2572" s="1">
        <v>45882</v>
      </c>
      <c r="D2572">
        <v>915672</v>
      </c>
      <c r="E2572">
        <v>46</v>
      </c>
      <c r="F2572" s="3" t="s">
        <v>2280</v>
      </c>
      <c r="G2572" s="4">
        <v>15000</v>
      </c>
      <c r="H2572" s="4">
        <v>0</v>
      </c>
      <c r="I2572" s="4">
        <v>-65179918.369999997</v>
      </c>
    </row>
    <row r="2573" spans="1:9" x14ac:dyDescent="0.3">
      <c r="A2573" t="s">
        <v>133</v>
      </c>
      <c r="B2573" s="1">
        <v>45882</v>
      </c>
      <c r="C2573" s="1">
        <v>45882</v>
      </c>
      <c r="D2573">
        <v>915674</v>
      </c>
      <c r="E2573">
        <v>88</v>
      </c>
      <c r="F2573" s="3" t="s">
        <v>2281</v>
      </c>
      <c r="G2573" s="4">
        <v>1089.25</v>
      </c>
      <c r="H2573" s="4">
        <v>0</v>
      </c>
      <c r="I2573" s="4">
        <v>-65178829.119999997</v>
      </c>
    </row>
    <row r="2574" spans="1:9" x14ac:dyDescent="0.3">
      <c r="A2574" t="s">
        <v>133</v>
      </c>
      <c r="B2574" s="1">
        <v>45882</v>
      </c>
      <c r="C2574" s="1">
        <v>45882</v>
      </c>
      <c r="D2574">
        <v>915680</v>
      </c>
      <c r="E2574">
        <v>351</v>
      </c>
      <c r="F2574" s="3" t="s">
        <v>2282</v>
      </c>
      <c r="G2574" s="4">
        <v>177790</v>
      </c>
      <c r="H2574" s="4">
        <v>0</v>
      </c>
      <c r="I2574" s="4">
        <v>-65001039.119999997</v>
      </c>
    </row>
    <row r="2575" spans="1:9" x14ac:dyDescent="0.3">
      <c r="A2575" t="s">
        <v>133</v>
      </c>
      <c r="B2575" s="1">
        <v>45882</v>
      </c>
      <c r="C2575" s="1">
        <v>45882</v>
      </c>
      <c r="D2575">
        <v>915681</v>
      </c>
      <c r="E2575">
        <v>84</v>
      </c>
      <c r="F2575" s="3" t="s">
        <v>2283</v>
      </c>
      <c r="G2575" s="4">
        <v>48367.5</v>
      </c>
      <c r="H2575" s="4">
        <v>0</v>
      </c>
      <c r="I2575" s="4">
        <v>-64952671.619999997</v>
      </c>
    </row>
    <row r="2576" spans="1:9" x14ac:dyDescent="0.3">
      <c r="A2576" t="s">
        <v>133</v>
      </c>
      <c r="B2576" s="1">
        <v>45882</v>
      </c>
      <c r="C2576" s="1">
        <v>45882</v>
      </c>
      <c r="D2576">
        <v>915694</v>
      </c>
      <c r="E2576">
        <v>45</v>
      </c>
      <c r="F2576" s="3" t="s">
        <v>2284</v>
      </c>
      <c r="G2576" s="4">
        <v>300000</v>
      </c>
      <c r="H2576" s="4">
        <v>0</v>
      </c>
      <c r="I2576" s="4">
        <v>-64652671.619999997</v>
      </c>
    </row>
    <row r="2577" spans="1:9" x14ac:dyDescent="0.3">
      <c r="A2577" t="s">
        <v>133</v>
      </c>
      <c r="B2577" s="1">
        <v>45882</v>
      </c>
      <c r="C2577" s="1">
        <v>45882</v>
      </c>
      <c r="D2577">
        <v>915695</v>
      </c>
      <c r="E2577">
        <v>75</v>
      </c>
      <c r="F2577" s="3" t="s">
        <v>2285</v>
      </c>
      <c r="G2577" s="4">
        <v>230000</v>
      </c>
      <c r="H2577" s="4">
        <v>0</v>
      </c>
      <c r="I2577" s="4">
        <v>-64422671.619999997</v>
      </c>
    </row>
    <row r="2578" spans="1:9" x14ac:dyDescent="0.3">
      <c r="A2578" t="s">
        <v>133</v>
      </c>
      <c r="B2578" s="1">
        <v>45882</v>
      </c>
      <c r="C2578" s="1">
        <v>45882</v>
      </c>
      <c r="D2578">
        <v>915699</v>
      </c>
      <c r="E2578">
        <v>12</v>
      </c>
      <c r="F2578" s="3" t="s">
        <v>2286</v>
      </c>
      <c r="G2578" s="4">
        <v>123372.25</v>
      </c>
      <c r="H2578" s="4">
        <v>0</v>
      </c>
      <c r="I2578" s="4">
        <v>-64299299.369999997</v>
      </c>
    </row>
    <row r="2579" spans="1:9" x14ac:dyDescent="0.3">
      <c r="A2579" t="s">
        <v>133</v>
      </c>
      <c r="B2579" s="1">
        <v>45882</v>
      </c>
      <c r="C2579" s="1">
        <v>45882</v>
      </c>
      <c r="D2579">
        <v>915700</v>
      </c>
      <c r="E2579">
        <v>36</v>
      </c>
      <c r="F2579" s="3" t="s">
        <v>2287</v>
      </c>
      <c r="G2579" s="4">
        <v>16627.25</v>
      </c>
      <c r="H2579" s="4">
        <v>0</v>
      </c>
      <c r="I2579" s="4">
        <v>-64282672.119999997</v>
      </c>
    </row>
    <row r="2580" spans="1:9" x14ac:dyDescent="0.3">
      <c r="A2580" t="s">
        <v>133</v>
      </c>
      <c r="B2580" s="1">
        <v>45882</v>
      </c>
      <c r="C2580" s="1">
        <v>45882</v>
      </c>
      <c r="D2580">
        <v>915703</v>
      </c>
      <c r="E2580">
        <v>45</v>
      </c>
      <c r="F2580" s="3" t="s">
        <v>2288</v>
      </c>
      <c r="G2580" s="4">
        <v>18430</v>
      </c>
      <c r="H2580" s="4">
        <v>0</v>
      </c>
      <c r="I2580" s="4">
        <v>-64264242.119999997</v>
      </c>
    </row>
    <row r="2581" spans="1:9" x14ac:dyDescent="0.3">
      <c r="A2581" t="s">
        <v>133</v>
      </c>
      <c r="B2581" s="1">
        <v>45882</v>
      </c>
      <c r="C2581" s="1">
        <v>45882</v>
      </c>
      <c r="D2581">
        <v>915704</v>
      </c>
      <c r="E2581">
        <v>63</v>
      </c>
      <c r="F2581" s="3" t="s">
        <v>2289</v>
      </c>
      <c r="G2581" s="4">
        <v>24577</v>
      </c>
      <c r="H2581" s="4">
        <v>0</v>
      </c>
      <c r="I2581" s="4">
        <v>-64239665.119999997</v>
      </c>
    </row>
    <row r="2582" spans="1:9" x14ac:dyDescent="0.3">
      <c r="A2582" t="s">
        <v>133</v>
      </c>
      <c r="B2582" s="1">
        <v>45882</v>
      </c>
      <c r="C2582" s="1">
        <v>45882</v>
      </c>
      <c r="D2582">
        <v>915705</v>
      </c>
      <c r="E2582">
        <v>63</v>
      </c>
      <c r="F2582" s="3" t="s">
        <v>2289</v>
      </c>
      <c r="G2582" s="4">
        <v>1295</v>
      </c>
      <c r="H2582" s="4">
        <v>0</v>
      </c>
      <c r="I2582" s="4">
        <v>-64238370.119999997</v>
      </c>
    </row>
    <row r="2583" spans="1:9" x14ac:dyDescent="0.3">
      <c r="A2583" t="s">
        <v>133</v>
      </c>
      <c r="B2583" s="1">
        <v>45882</v>
      </c>
      <c r="C2583" s="1">
        <v>45882</v>
      </c>
      <c r="D2583">
        <v>915706</v>
      </c>
      <c r="E2583">
        <v>63</v>
      </c>
      <c r="F2583" s="3" t="s">
        <v>2289</v>
      </c>
      <c r="G2583" s="4">
        <v>9903.25</v>
      </c>
      <c r="H2583" s="4">
        <v>0</v>
      </c>
      <c r="I2583" s="4">
        <v>-64228466.869999997</v>
      </c>
    </row>
    <row r="2584" spans="1:9" x14ac:dyDescent="0.3">
      <c r="A2584" t="s">
        <v>133</v>
      </c>
      <c r="B2584" s="1">
        <v>45882</v>
      </c>
      <c r="C2584" s="1">
        <v>45882</v>
      </c>
      <c r="D2584">
        <v>915707</v>
      </c>
      <c r="E2584">
        <v>63</v>
      </c>
      <c r="F2584" s="3" t="s">
        <v>2289</v>
      </c>
      <c r="G2584" s="4">
        <v>1813.75</v>
      </c>
      <c r="H2584" s="4">
        <v>0</v>
      </c>
      <c r="I2584" s="4">
        <v>-64226653.119999997</v>
      </c>
    </row>
    <row r="2585" spans="1:9" x14ac:dyDescent="0.3">
      <c r="A2585" t="s">
        <v>133</v>
      </c>
      <c r="B2585" s="1">
        <v>45882</v>
      </c>
      <c r="C2585" s="1">
        <v>45882</v>
      </c>
      <c r="D2585">
        <v>915708</v>
      </c>
      <c r="E2585">
        <v>63</v>
      </c>
      <c r="F2585" s="3" t="s">
        <v>2289</v>
      </c>
      <c r="G2585" s="4">
        <v>2954.75</v>
      </c>
      <c r="H2585" s="4">
        <v>0</v>
      </c>
      <c r="I2585" s="4">
        <v>-64223698.369999997</v>
      </c>
    </row>
    <row r="2586" spans="1:9" x14ac:dyDescent="0.3">
      <c r="A2586" t="s">
        <v>133</v>
      </c>
      <c r="B2586" s="1">
        <v>45882</v>
      </c>
      <c r="C2586" s="1">
        <v>45882</v>
      </c>
      <c r="D2586">
        <v>915711</v>
      </c>
      <c r="E2586">
        <v>12</v>
      </c>
      <c r="F2586" s="3" t="s">
        <v>2290</v>
      </c>
      <c r="G2586" s="4">
        <v>110265.5</v>
      </c>
      <c r="H2586" s="4">
        <v>0</v>
      </c>
      <c r="I2586" s="4">
        <v>-64113432.869999997</v>
      </c>
    </row>
    <row r="2587" spans="1:9" x14ac:dyDescent="0.3">
      <c r="A2587" t="s">
        <v>133</v>
      </c>
      <c r="B2587" s="1">
        <v>45882</v>
      </c>
      <c r="C2587" s="1">
        <v>45882</v>
      </c>
      <c r="D2587">
        <v>915725</v>
      </c>
      <c r="E2587">
        <v>89</v>
      </c>
      <c r="F2587" s="3" t="s">
        <v>2291</v>
      </c>
      <c r="G2587" s="4">
        <v>3788</v>
      </c>
      <c r="H2587" s="4">
        <v>0</v>
      </c>
      <c r="I2587" s="4">
        <v>-64109644.869999997</v>
      </c>
    </row>
    <row r="2588" spans="1:9" x14ac:dyDescent="0.3">
      <c r="A2588" t="s">
        <v>133</v>
      </c>
      <c r="B2588" s="1">
        <v>45882</v>
      </c>
      <c r="C2588" s="1">
        <v>45882</v>
      </c>
      <c r="D2588">
        <v>915730</v>
      </c>
      <c r="E2588">
        <v>34</v>
      </c>
      <c r="F2588" s="3" t="s">
        <v>2292</v>
      </c>
      <c r="G2588" s="4">
        <v>463582</v>
      </c>
      <c r="H2588" s="4">
        <v>0</v>
      </c>
      <c r="I2588" s="4">
        <v>-63646062.869999997</v>
      </c>
    </row>
    <row r="2589" spans="1:9" x14ac:dyDescent="0.3">
      <c r="A2589" t="s">
        <v>133</v>
      </c>
      <c r="B2589" s="1">
        <v>45882</v>
      </c>
      <c r="C2589" s="1">
        <v>45882</v>
      </c>
      <c r="D2589">
        <v>915732</v>
      </c>
      <c r="E2589">
        <v>310</v>
      </c>
      <c r="F2589" s="3" t="s">
        <v>2293</v>
      </c>
      <c r="G2589" s="4">
        <v>328182</v>
      </c>
      <c r="H2589" s="4">
        <v>0</v>
      </c>
      <c r="I2589" s="4">
        <v>-63317880.869999997</v>
      </c>
    </row>
    <row r="2590" spans="1:9" x14ac:dyDescent="0.3">
      <c r="A2590" t="s">
        <v>133</v>
      </c>
      <c r="B2590" s="1">
        <v>45882</v>
      </c>
      <c r="C2590" s="1">
        <v>45882</v>
      </c>
      <c r="D2590">
        <v>915733</v>
      </c>
      <c r="E2590">
        <v>32</v>
      </c>
      <c r="F2590" s="3" t="s">
        <v>2294</v>
      </c>
      <c r="G2590" s="4">
        <v>2124.5</v>
      </c>
      <c r="H2590" s="4">
        <v>0</v>
      </c>
      <c r="I2590" s="4">
        <v>-63315756.369999997</v>
      </c>
    </row>
    <row r="2591" spans="1:9" x14ac:dyDescent="0.3">
      <c r="A2591" t="s">
        <v>133</v>
      </c>
      <c r="B2591" s="1">
        <v>45882</v>
      </c>
      <c r="C2591" s="1">
        <v>45882</v>
      </c>
      <c r="D2591">
        <v>915735</v>
      </c>
      <c r="E2591">
        <v>45</v>
      </c>
      <c r="F2591" s="3" t="s">
        <v>2295</v>
      </c>
      <c r="G2591" s="4">
        <v>110281</v>
      </c>
      <c r="H2591" s="4">
        <v>0</v>
      </c>
      <c r="I2591" s="4">
        <v>-63205475.369999997</v>
      </c>
    </row>
    <row r="2592" spans="1:9" x14ac:dyDescent="0.3">
      <c r="A2592" t="s">
        <v>133</v>
      </c>
      <c r="B2592" s="1">
        <v>45882</v>
      </c>
      <c r="C2592" s="1">
        <v>45882</v>
      </c>
      <c r="D2592">
        <v>915738</v>
      </c>
      <c r="E2592">
        <v>92</v>
      </c>
      <c r="F2592" s="3" t="s">
        <v>2296</v>
      </c>
      <c r="G2592" s="4">
        <v>7168.75</v>
      </c>
      <c r="H2592" s="4">
        <v>0</v>
      </c>
      <c r="I2592" s="4">
        <v>-63198306.619999997</v>
      </c>
    </row>
    <row r="2593" spans="1:9" x14ac:dyDescent="0.3">
      <c r="A2593" t="s">
        <v>133</v>
      </c>
      <c r="B2593" s="1">
        <v>45882</v>
      </c>
      <c r="C2593" s="1">
        <v>45882</v>
      </c>
      <c r="D2593">
        <v>915739</v>
      </c>
      <c r="E2593">
        <v>351</v>
      </c>
      <c r="F2593" s="3" t="s">
        <v>2297</v>
      </c>
      <c r="G2593" s="4">
        <v>216241</v>
      </c>
      <c r="H2593" s="4">
        <v>0</v>
      </c>
      <c r="I2593" s="4">
        <v>-62982065.619999997</v>
      </c>
    </row>
    <row r="2594" spans="1:9" x14ac:dyDescent="0.3">
      <c r="A2594" t="s">
        <v>133</v>
      </c>
      <c r="B2594" s="1">
        <v>45882</v>
      </c>
      <c r="C2594" s="1">
        <v>45882</v>
      </c>
      <c r="D2594">
        <v>915748</v>
      </c>
      <c r="E2594">
        <v>85</v>
      </c>
      <c r="F2594" s="3" t="s">
        <v>2298</v>
      </c>
      <c r="G2594" s="4">
        <v>500000</v>
      </c>
      <c r="H2594" s="4">
        <v>0</v>
      </c>
      <c r="I2594" s="4">
        <v>-62482065.619999997</v>
      </c>
    </row>
    <row r="2595" spans="1:9" x14ac:dyDescent="0.3">
      <c r="A2595" t="s">
        <v>133</v>
      </c>
      <c r="B2595" s="1">
        <v>45882</v>
      </c>
      <c r="C2595" s="1">
        <v>45882</v>
      </c>
      <c r="D2595">
        <v>915756</v>
      </c>
      <c r="E2595">
        <v>28</v>
      </c>
      <c r="F2595" s="3" t="s">
        <v>2299</v>
      </c>
      <c r="G2595" s="4">
        <v>200000</v>
      </c>
      <c r="H2595" s="4">
        <v>0</v>
      </c>
      <c r="I2595" s="4">
        <v>-62282065.619999997</v>
      </c>
    </row>
    <row r="2596" spans="1:9" x14ac:dyDescent="0.3">
      <c r="A2596" t="s">
        <v>133</v>
      </c>
      <c r="B2596" s="1">
        <v>45882</v>
      </c>
      <c r="C2596" s="1">
        <v>45882</v>
      </c>
      <c r="D2596">
        <v>915758</v>
      </c>
      <c r="E2596">
        <v>27</v>
      </c>
      <c r="F2596" s="3" t="s">
        <v>2300</v>
      </c>
      <c r="G2596" s="4">
        <v>64890.5</v>
      </c>
      <c r="H2596" s="4">
        <v>0</v>
      </c>
      <c r="I2596" s="4">
        <v>-62217175.119999997</v>
      </c>
    </row>
    <row r="2597" spans="1:9" x14ac:dyDescent="0.3">
      <c r="A2597" t="s">
        <v>133</v>
      </c>
      <c r="B2597" s="1">
        <v>45882</v>
      </c>
      <c r="C2597" s="1">
        <v>45882</v>
      </c>
      <c r="D2597">
        <v>915760</v>
      </c>
      <c r="E2597">
        <v>27</v>
      </c>
      <c r="F2597" s="3" t="s">
        <v>2301</v>
      </c>
      <c r="G2597" s="4">
        <v>42028</v>
      </c>
      <c r="H2597" s="4">
        <v>0</v>
      </c>
      <c r="I2597" s="4">
        <v>-62175147.119999997</v>
      </c>
    </row>
    <row r="2598" spans="1:9" x14ac:dyDescent="0.3">
      <c r="A2598" t="s">
        <v>133</v>
      </c>
      <c r="B2598" s="1">
        <v>45882</v>
      </c>
      <c r="C2598" s="1">
        <v>45882</v>
      </c>
      <c r="D2598">
        <v>915763</v>
      </c>
      <c r="E2598">
        <v>27</v>
      </c>
      <c r="F2598" s="3" t="s">
        <v>2302</v>
      </c>
      <c r="G2598" s="4">
        <v>174322.5</v>
      </c>
      <c r="H2598" s="4">
        <v>0</v>
      </c>
      <c r="I2598" s="4">
        <v>-62000824.619999997</v>
      </c>
    </row>
    <row r="2599" spans="1:9" x14ac:dyDescent="0.3">
      <c r="A2599" t="s">
        <v>133</v>
      </c>
      <c r="B2599" s="1">
        <v>45882</v>
      </c>
      <c r="C2599" s="1">
        <v>45882</v>
      </c>
      <c r="D2599">
        <v>915774</v>
      </c>
      <c r="E2599">
        <v>13</v>
      </c>
      <c r="F2599" s="3" t="s">
        <v>2303</v>
      </c>
      <c r="G2599" s="4">
        <v>210000</v>
      </c>
      <c r="H2599" s="4">
        <v>0</v>
      </c>
      <c r="I2599" s="4">
        <v>-61790824.619999997</v>
      </c>
    </row>
    <row r="2600" spans="1:9" x14ac:dyDescent="0.3">
      <c r="A2600" t="s">
        <v>133</v>
      </c>
      <c r="B2600" s="1">
        <v>45882</v>
      </c>
      <c r="C2600" s="1">
        <v>45882</v>
      </c>
      <c r="D2600">
        <v>915781</v>
      </c>
      <c r="E2600">
        <v>45</v>
      </c>
      <c r="F2600" s="3" t="s">
        <v>2304</v>
      </c>
      <c r="G2600" s="4">
        <v>18430</v>
      </c>
      <c r="H2600" s="4">
        <v>0</v>
      </c>
      <c r="I2600" s="4">
        <v>-61772394.619999997</v>
      </c>
    </row>
    <row r="2601" spans="1:9" x14ac:dyDescent="0.3">
      <c r="A2601" t="s">
        <v>133</v>
      </c>
      <c r="B2601" s="1">
        <v>45882</v>
      </c>
      <c r="C2601" s="1">
        <v>45882</v>
      </c>
      <c r="D2601">
        <v>915788</v>
      </c>
      <c r="E2601">
        <v>14</v>
      </c>
      <c r="F2601" s="3" t="s">
        <v>2305</v>
      </c>
      <c r="G2601" s="4">
        <v>125193.25</v>
      </c>
      <c r="H2601" s="4">
        <v>0</v>
      </c>
      <c r="I2601" s="4">
        <v>-61647201.369999997</v>
      </c>
    </row>
    <row r="2602" spans="1:9" x14ac:dyDescent="0.3">
      <c r="A2602" t="s">
        <v>133</v>
      </c>
      <c r="B2602" s="1">
        <v>45882</v>
      </c>
      <c r="C2602" s="1">
        <v>45882</v>
      </c>
      <c r="D2602">
        <v>915789</v>
      </c>
      <c r="E2602">
        <v>27</v>
      </c>
      <c r="F2602" s="3" t="s">
        <v>2306</v>
      </c>
      <c r="G2602" s="4">
        <v>195841</v>
      </c>
      <c r="H2602" s="4">
        <v>0</v>
      </c>
      <c r="I2602" s="4">
        <v>-61451360.369999997</v>
      </c>
    </row>
    <row r="2603" spans="1:9" x14ac:dyDescent="0.3">
      <c r="A2603" t="s">
        <v>133</v>
      </c>
      <c r="B2603" s="1">
        <v>45882</v>
      </c>
      <c r="C2603" s="1">
        <v>45882</v>
      </c>
      <c r="D2603">
        <v>915793</v>
      </c>
      <c r="E2603">
        <v>27</v>
      </c>
      <c r="F2603" s="3" t="s">
        <v>2307</v>
      </c>
      <c r="G2603" s="4">
        <v>30918.25</v>
      </c>
      <c r="H2603" s="4">
        <v>0</v>
      </c>
      <c r="I2603" s="4">
        <v>-61420442.119999997</v>
      </c>
    </row>
    <row r="2604" spans="1:9" x14ac:dyDescent="0.3">
      <c r="A2604" t="s">
        <v>133</v>
      </c>
      <c r="B2604" s="1">
        <v>45882</v>
      </c>
      <c r="C2604" s="1">
        <v>45882</v>
      </c>
      <c r="D2604">
        <v>915796</v>
      </c>
      <c r="E2604">
        <v>81</v>
      </c>
      <c r="F2604" s="3" t="s">
        <v>2308</v>
      </c>
      <c r="G2604" s="4">
        <v>43152.5</v>
      </c>
      <c r="H2604" s="4">
        <v>0</v>
      </c>
      <c r="I2604" s="4">
        <v>-61377289.619999997</v>
      </c>
    </row>
    <row r="2605" spans="1:9" x14ac:dyDescent="0.3">
      <c r="A2605" t="s">
        <v>133</v>
      </c>
      <c r="B2605" s="1">
        <v>45882</v>
      </c>
      <c r="C2605" s="1">
        <v>45882</v>
      </c>
      <c r="D2605">
        <v>915797</v>
      </c>
      <c r="E2605">
        <v>18</v>
      </c>
      <c r="F2605" s="3" t="s">
        <v>2309</v>
      </c>
      <c r="G2605" s="4">
        <v>300000</v>
      </c>
      <c r="H2605" s="4">
        <v>0</v>
      </c>
      <c r="I2605" s="4">
        <v>-61077289.619999997</v>
      </c>
    </row>
    <row r="2606" spans="1:9" x14ac:dyDescent="0.3">
      <c r="A2606" t="s">
        <v>133</v>
      </c>
      <c r="B2606" s="1">
        <v>45882</v>
      </c>
      <c r="C2606" s="1">
        <v>45882</v>
      </c>
      <c r="D2606">
        <v>915798</v>
      </c>
      <c r="E2606">
        <v>74</v>
      </c>
      <c r="F2606" s="3" t="s">
        <v>2310</v>
      </c>
      <c r="G2606" s="4">
        <v>280000</v>
      </c>
      <c r="H2606" s="4">
        <v>0</v>
      </c>
      <c r="I2606" s="4">
        <v>-60797289.619999997</v>
      </c>
    </row>
    <row r="2607" spans="1:9" x14ac:dyDescent="0.3">
      <c r="A2607" t="s">
        <v>133</v>
      </c>
      <c r="B2607" s="1">
        <v>45882</v>
      </c>
      <c r="C2607" s="1">
        <v>45882</v>
      </c>
      <c r="D2607">
        <v>915802</v>
      </c>
      <c r="E2607">
        <v>11</v>
      </c>
      <c r="F2607" s="3" t="s">
        <v>2311</v>
      </c>
      <c r="G2607" s="4">
        <v>34369.75</v>
      </c>
      <c r="H2607" s="4">
        <v>0</v>
      </c>
      <c r="I2607" s="4">
        <v>-60762919.869999997</v>
      </c>
    </row>
    <row r="2608" spans="1:9" x14ac:dyDescent="0.3">
      <c r="A2608" t="s">
        <v>133</v>
      </c>
      <c r="B2608" s="1">
        <v>45882</v>
      </c>
      <c r="C2608" s="1">
        <v>45882</v>
      </c>
      <c r="D2608">
        <v>915804</v>
      </c>
      <c r="E2608">
        <v>72</v>
      </c>
      <c r="F2608" s="3">
        <v>50972457731</v>
      </c>
      <c r="G2608" s="4">
        <v>1800</v>
      </c>
      <c r="H2608" s="4">
        <v>0</v>
      </c>
      <c r="I2608" s="4">
        <v>-60761119.869999997</v>
      </c>
    </row>
    <row r="2609" spans="1:9" x14ac:dyDescent="0.3">
      <c r="A2609" t="s">
        <v>133</v>
      </c>
      <c r="B2609" s="1">
        <v>45882</v>
      </c>
      <c r="C2609" s="1">
        <v>45882</v>
      </c>
      <c r="D2609">
        <v>915807</v>
      </c>
      <c r="E2609">
        <v>422</v>
      </c>
      <c r="F2609" s="3" t="s">
        <v>2312</v>
      </c>
      <c r="G2609" s="4">
        <v>111220</v>
      </c>
      <c r="H2609" s="4">
        <v>0</v>
      </c>
      <c r="I2609" s="4">
        <v>-60649899.869999997</v>
      </c>
    </row>
    <row r="2610" spans="1:9" x14ac:dyDescent="0.3">
      <c r="A2610" t="s">
        <v>133</v>
      </c>
      <c r="B2610" s="1">
        <v>45882</v>
      </c>
      <c r="C2610" s="1">
        <v>45882</v>
      </c>
      <c r="D2610">
        <v>915810</v>
      </c>
      <c r="E2610">
        <v>12</v>
      </c>
      <c r="F2610" s="3" t="s">
        <v>2313</v>
      </c>
      <c r="G2610" s="4">
        <v>720000</v>
      </c>
      <c r="H2610" s="4">
        <v>0</v>
      </c>
      <c r="I2610" s="4">
        <v>-59929899.869999997</v>
      </c>
    </row>
    <row r="2611" spans="1:9" x14ac:dyDescent="0.3">
      <c r="A2611" t="s">
        <v>133</v>
      </c>
      <c r="B2611" s="1">
        <v>45882</v>
      </c>
      <c r="C2611" s="1">
        <v>45882</v>
      </c>
      <c r="D2611">
        <v>915815</v>
      </c>
      <c r="E2611">
        <v>89</v>
      </c>
      <c r="F2611" s="3" t="s">
        <v>2314</v>
      </c>
      <c r="G2611" s="4">
        <v>20726.75</v>
      </c>
      <c r="H2611" s="4">
        <v>0</v>
      </c>
      <c r="I2611" s="4">
        <v>-59909173.119999997</v>
      </c>
    </row>
    <row r="2612" spans="1:9" x14ac:dyDescent="0.3">
      <c r="A2612" t="s">
        <v>133</v>
      </c>
      <c r="B2612" s="1">
        <v>45882</v>
      </c>
      <c r="C2612" s="1">
        <v>45882</v>
      </c>
      <c r="D2612">
        <v>915821</v>
      </c>
      <c r="E2612">
        <v>64</v>
      </c>
      <c r="F2612" s="3" t="s">
        <v>2315</v>
      </c>
      <c r="G2612" s="4">
        <v>325000</v>
      </c>
      <c r="H2612" s="4">
        <v>0</v>
      </c>
      <c r="I2612" s="4">
        <v>-59584173.119999997</v>
      </c>
    </row>
    <row r="2613" spans="1:9" x14ac:dyDescent="0.3">
      <c r="A2613" t="s">
        <v>133</v>
      </c>
      <c r="B2613" s="1">
        <v>45882</v>
      </c>
      <c r="C2613" s="1">
        <v>45882</v>
      </c>
      <c r="D2613">
        <v>915826</v>
      </c>
      <c r="E2613">
        <v>361</v>
      </c>
      <c r="F2613" s="3">
        <v>101021684432</v>
      </c>
      <c r="G2613" s="4">
        <v>200000</v>
      </c>
      <c r="H2613" s="4">
        <v>0</v>
      </c>
      <c r="I2613" s="4">
        <v>-59384173.119999997</v>
      </c>
    </row>
    <row r="2614" spans="1:9" x14ac:dyDescent="0.3">
      <c r="A2614" t="s">
        <v>133</v>
      </c>
      <c r="B2614" s="1">
        <v>45882</v>
      </c>
      <c r="C2614" s="1">
        <v>45882</v>
      </c>
      <c r="D2614">
        <v>915829</v>
      </c>
      <c r="E2614">
        <v>24</v>
      </c>
      <c r="F2614" s="3" t="s">
        <v>2316</v>
      </c>
      <c r="G2614" s="4">
        <v>350000</v>
      </c>
      <c r="H2614" s="4">
        <v>0</v>
      </c>
      <c r="I2614" s="4">
        <v>-59034173.119999997</v>
      </c>
    </row>
    <row r="2615" spans="1:9" x14ac:dyDescent="0.3">
      <c r="A2615" t="s">
        <v>133</v>
      </c>
      <c r="B2615" s="1">
        <v>45882</v>
      </c>
      <c r="C2615" s="1">
        <v>45882</v>
      </c>
      <c r="D2615">
        <v>915831</v>
      </c>
      <c r="E2615">
        <v>58</v>
      </c>
      <c r="F2615" s="3" t="s">
        <v>2317</v>
      </c>
      <c r="G2615" s="4">
        <v>220000</v>
      </c>
      <c r="H2615" s="4">
        <v>0</v>
      </c>
      <c r="I2615" s="4">
        <v>-58814173.119999997</v>
      </c>
    </row>
    <row r="2616" spans="1:9" x14ac:dyDescent="0.3">
      <c r="A2616" t="s">
        <v>133</v>
      </c>
      <c r="B2616" s="1">
        <v>45882</v>
      </c>
      <c r="C2616" s="1">
        <v>45882</v>
      </c>
      <c r="D2616">
        <v>915847</v>
      </c>
      <c r="E2616">
        <v>91</v>
      </c>
      <c r="F2616" s="3" t="s">
        <v>2318</v>
      </c>
      <c r="G2616" s="4">
        <v>430000</v>
      </c>
      <c r="H2616" s="4">
        <v>0</v>
      </c>
      <c r="I2616" s="4">
        <v>-58384173.119999997</v>
      </c>
    </row>
    <row r="2617" spans="1:9" x14ac:dyDescent="0.3">
      <c r="A2617" t="s">
        <v>133</v>
      </c>
      <c r="B2617" s="1">
        <v>45882</v>
      </c>
      <c r="C2617" s="1">
        <v>45882</v>
      </c>
      <c r="D2617">
        <v>915849</v>
      </c>
      <c r="E2617">
        <v>76</v>
      </c>
      <c r="F2617" s="3" t="s">
        <v>2319</v>
      </c>
      <c r="G2617" s="4">
        <v>310000</v>
      </c>
      <c r="H2617" s="4">
        <v>0</v>
      </c>
      <c r="I2617" s="4">
        <v>-58074173.119999997</v>
      </c>
    </row>
    <row r="2618" spans="1:9" x14ac:dyDescent="0.3">
      <c r="A2618" t="s">
        <v>133</v>
      </c>
      <c r="B2618" s="1">
        <v>45882</v>
      </c>
      <c r="C2618" s="1">
        <v>45882</v>
      </c>
      <c r="D2618">
        <v>915873</v>
      </c>
      <c r="E2618">
        <v>16</v>
      </c>
      <c r="F2618" s="3" t="s">
        <v>1361</v>
      </c>
      <c r="G2618" s="4">
        <v>430000</v>
      </c>
      <c r="H2618" s="4">
        <v>0</v>
      </c>
      <c r="I2618" s="4">
        <v>-57644173.119999997</v>
      </c>
    </row>
    <row r="2619" spans="1:9" x14ac:dyDescent="0.3">
      <c r="A2619" t="s">
        <v>133</v>
      </c>
      <c r="B2619" s="1">
        <v>45882</v>
      </c>
      <c r="C2619" s="1">
        <v>45882</v>
      </c>
      <c r="D2619">
        <v>915876</v>
      </c>
      <c r="E2619">
        <v>67</v>
      </c>
      <c r="F2619" s="3" t="s">
        <v>181</v>
      </c>
      <c r="G2619" s="4">
        <v>890000</v>
      </c>
      <c r="H2619" s="4">
        <v>0</v>
      </c>
      <c r="I2619" s="4">
        <v>-56754173.119999997</v>
      </c>
    </row>
    <row r="2620" spans="1:9" x14ac:dyDescent="0.3">
      <c r="A2620" t="s">
        <v>133</v>
      </c>
      <c r="B2620" s="1">
        <v>45882</v>
      </c>
      <c r="C2620" s="1">
        <v>45882</v>
      </c>
      <c r="D2620">
        <v>915881</v>
      </c>
      <c r="E2620">
        <v>12</v>
      </c>
      <c r="F2620" s="3" t="s">
        <v>2320</v>
      </c>
      <c r="G2620" s="4">
        <v>3000</v>
      </c>
      <c r="H2620" s="4">
        <v>0</v>
      </c>
      <c r="I2620" s="4">
        <v>-56751173.119999997</v>
      </c>
    </row>
    <row r="2621" spans="1:9" x14ac:dyDescent="0.3">
      <c r="A2621" t="s">
        <v>133</v>
      </c>
      <c r="B2621" s="1">
        <v>45882</v>
      </c>
      <c r="C2621" s="1">
        <v>45882</v>
      </c>
      <c r="D2621">
        <v>915882</v>
      </c>
      <c r="E2621">
        <v>32</v>
      </c>
      <c r="F2621" s="3" t="s">
        <v>2321</v>
      </c>
      <c r="G2621" s="4">
        <v>400000</v>
      </c>
      <c r="H2621" s="4">
        <v>0</v>
      </c>
      <c r="I2621" s="4">
        <v>-56351173.119999997</v>
      </c>
    </row>
    <row r="2622" spans="1:9" x14ac:dyDescent="0.3">
      <c r="A2622" t="s">
        <v>133</v>
      </c>
      <c r="B2622" s="1">
        <v>45882</v>
      </c>
      <c r="C2622" s="1">
        <v>45882</v>
      </c>
      <c r="D2622">
        <v>915883</v>
      </c>
      <c r="E2622">
        <v>31</v>
      </c>
      <c r="F2622" s="3" t="s">
        <v>2322</v>
      </c>
      <c r="G2622" s="4">
        <v>12000000</v>
      </c>
      <c r="H2622" s="4">
        <v>0</v>
      </c>
      <c r="I2622" s="4">
        <v>-44351173.119999997</v>
      </c>
    </row>
    <row r="2623" spans="1:9" x14ac:dyDescent="0.3">
      <c r="A2623" t="s">
        <v>133</v>
      </c>
      <c r="B2623" s="1">
        <v>45882</v>
      </c>
      <c r="C2623" s="1">
        <v>45882</v>
      </c>
      <c r="D2623">
        <v>915886</v>
      </c>
      <c r="E2623">
        <v>56</v>
      </c>
      <c r="F2623" s="3" t="s">
        <v>2323</v>
      </c>
      <c r="G2623" s="4">
        <v>170000</v>
      </c>
      <c r="H2623" s="4">
        <v>0</v>
      </c>
      <c r="I2623" s="4">
        <v>-44181173.119999997</v>
      </c>
    </row>
    <row r="2624" spans="1:9" x14ac:dyDescent="0.3">
      <c r="A2624" t="s">
        <v>133</v>
      </c>
      <c r="B2624" s="1">
        <v>45882</v>
      </c>
      <c r="C2624" s="1">
        <v>45882</v>
      </c>
      <c r="D2624">
        <v>915887</v>
      </c>
      <c r="E2624">
        <v>210</v>
      </c>
      <c r="F2624" s="3" t="s">
        <v>2324</v>
      </c>
      <c r="G2624" s="4">
        <v>30000</v>
      </c>
      <c r="H2624" s="4">
        <v>0</v>
      </c>
      <c r="I2624" s="4">
        <v>-44151173.119999997</v>
      </c>
    </row>
    <row r="2625" spans="1:9" x14ac:dyDescent="0.3">
      <c r="A2625" t="s">
        <v>133</v>
      </c>
      <c r="B2625" s="1">
        <v>45882</v>
      </c>
      <c r="C2625" s="1">
        <v>45882</v>
      </c>
      <c r="D2625">
        <v>915888</v>
      </c>
      <c r="E2625">
        <v>82</v>
      </c>
      <c r="F2625" s="3" t="s">
        <v>2325</v>
      </c>
      <c r="G2625" s="4">
        <v>260000</v>
      </c>
      <c r="H2625" s="4">
        <v>0</v>
      </c>
      <c r="I2625" s="4">
        <v>-43891173.119999997</v>
      </c>
    </row>
    <row r="2626" spans="1:9" x14ac:dyDescent="0.3">
      <c r="A2626" t="s">
        <v>133</v>
      </c>
      <c r="B2626" s="1">
        <v>45882</v>
      </c>
      <c r="C2626" s="1">
        <v>45882</v>
      </c>
      <c r="D2626">
        <v>915902</v>
      </c>
      <c r="E2626">
        <v>89</v>
      </c>
      <c r="F2626" s="3" t="s">
        <v>2326</v>
      </c>
      <c r="G2626" s="4">
        <v>150000</v>
      </c>
      <c r="H2626" s="4">
        <v>0</v>
      </c>
      <c r="I2626" s="4">
        <v>-43741173.119999997</v>
      </c>
    </row>
    <row r="2627" spans="1:9" x14ac:dyDescent="0.3">
      <c r="A2627" t="s">
        <v>133</v>
      </c>
      <c r="B2627" s="1">
        <v>45882</v>
      </c>
      <c r="C2627" s="1">
        <v>45882</v>
      </c>
      <c r="D2627">
        <v>915904</v>
      </c>
      <c r="E2627">
        <v>92</v>
      </c>
      <c r="F2627" s="3" t="s">
        <v>2327</v>
      </c>
      <c r="G2627" s="4">
        <v>208290</v>
      </c>
      <c r="H2627" s="4">
        <v>0</v>
      </c>
      <c r="I2627" s="4">
        <v>-43532883.119999997</v>
      </c>
    </row>
    <row r="2628" spans="1:9" x14ac:dyDescent="0.3">
      <c r="A2628" t="s">
        <v>133</v>
      </c>
      <c r="B2628" s="1">
        <v>45882</v>
      </c>
      <c r="C2628" s="1">
        <v>45882</v>
      </c>
      <c r="D2628">
        <v>915907</v>
      </c>
      <c r="E2628">
        <v>80</v>
      </c>
      <c r="F2628" s="3" t="s">
        <v>2328</v>
      </c>
      <c r="G2628" s="4">
        <v>110000</v>
      </c>
      <c r="H2628" s="4">
        <v>0</v>
      </c>
      <c r="I2628" s="4">
        <v>-43422883.119999997</v>
      </c>
    </row>
    <row r="2629" spans="1:9" x14ac:dyDescent="0.3">
      <c r="A2629" t="s">
        <v>133</v>
      </c>
      <c r="B2629" s="1">
        <v>45882</v>
      </c>
      <c r="C2629" s="1">
        <v>45882</v>
      </c>
      <c r="D2629">
        <v>915908</v>
      </c>
      <c r="E2629">
        <v>33</v>
      </c>
      <c r="F2629" s="3" t="s">
        <v>2329</v>
      </c>
      <c r="G2629" s="4">
        <v>470000</v>
      </c>
      <c r="H2629" s="4">
        <v>0</v>
      </c>
      <c r="I2629" s="4">
        <v>-42952883.119999997</v>
      </c>
    </row>
    <row r="2630" spans="1:9" x14ac:dyDescent="0.3">
      <c r="A2630" t="s">
        <v>133</v>
      </c>
      <c r="B2630" s="1">
        <v>45882</v>
      </c>
      <c r="C2630" s="1">
        <v>45882</v>
      </c>
      <c r="D2630">
        <v>915909</v>
      </c>
      <c r="E2630">
        <v>88</v>
      </c>
      <c r="F2630" s="3" t="s">
        <v>2330</v>
      </c>
      <c r="G2630" s="4">
        <v>1659</v>
      </c>
      <c r="H2630" s="4">
        <v>0</v>
      </c>
      <c r="I2630" s="4">
        <v>-42951224.119999997</v>
      </c>
    </row>
    <row r="2631" spans="1:9" x14ac:dyDescent="0.3">
      <c r="A2631" t="s">
        <v>133</v>
      </c>
      <c r="B2631" s="1">
        <v>45882</v>
      </c>
      <c r="C2631" s="1">
        <v>45882</v>
      </c>
      <c r="D2631">
        <v>915913</v>
      </c>
      <c r="E2631">
        <v>12</v>
      </c>
      <c r="F2631" s="3">
        <v>503398</v>
      </c>
      <c r="G2631" s="4">
        <v>44918</v>
      </c>
      <c r="H2631" s="4">
        <v>0</v>
      </c>
      <c r="I2631" s="4">
        <v>-42906306.119999997</v>
      </c>
    </row>
    <row r="2632" spans="1:9" x14ac:dyDescent="0.3">
      <c r="A2632" t="s">
        <v>133</v>
      </c>
      <c r="B2632" s="1">
        <v>45882</v>
      </c>
      <c r="C2632" s="1">
        <v>45882</v>
      </c>
      <c r="D2632">
        <v>915927</v>
      </c>
      <c r="E2632">
        <v>11</v>
      </c>
      <c r="F2632" s="3" t="s">
        <v>2331</v>
      </c>
      <c r="G2632" s="4">
        <v>16873.25</v>
      </c>
      <c r="H2632" s="4">
        <v>0</v>
      </c>
      <c r="I2632" s="4">
        <v>-42889432.869999997</v>
      </c>
    </row>
    <row r="2633" spans="1:9" x14ac:dyDescent="0.3">
      <c r="A2633" t="s">
        <v>133</v>
      </c>
      <c r="B2633" s="1">
        <v>45882</v>
      </c>
      <c r="C2633" s="1">
        <v>45882</v>
      </c>
      <c r="D2633">
        <v>915928</v>
      </c>
      <c r="E2633">
        <v>11</v>
      </c>
      <c r="F2633" s="3" t="s">
        <v>2332</v>
      </c>
      <c r="G2633" s="4">
        <v>60000</v>
      </c>
      <c r="H2633" s="4">
        <v>0</v>
      </c>
      <c r="I2633" s="4">
        <v>-42829432.869999997</v>
      </c>
    </row>
    <row r="2634" spans="1:9" x14ac:dyDescent="0.3">
      <c r="A2634" t="s">
        <v>133</v>
      </c>
      <c r="B2634" s="1">
        <v>45882</v>
      </c>
      <c r="C2634" s="1">
        <v>45882</v>
      </c>
      <c r="D2634">
        <v>915938</v>
      </c>
      <c r="E2634">
        <v>53</v>
      </c>
      <c r="F2634" s="3" t="s">
        <v>2333</v>
      </c>
      <c r="G2634" s="4">
        <v>260000</v>
      </c>
      <c r="H2634" s="4">
        <v>0</v>
      </c>
      <c r="I2634" s="4">
        <v>-42569432.869999997</v>
      </c>
    </row>
    <row r="2635" spans="1:9" x14ac:dyDescent="0.3">
      <c r="A2635" t="s">
        <v>133</v>
      </c>
      <c r="B2635" s="1">
        <v>45882</v>
      </c>
      <c r="C2635" s="1">
        <v>45882</v>
      </c>
      <c r="D2635">
        <v>915939</v>
      </c>
      <c r="E2635">
        <v>382</v>
      </c>
      <c r="F2635" s="3" t="s">
        <v>2334</v>
      </c>
      <c r="G2635" s="4">
        <v>300000</v>
      </c>
      <c r="H2635" s="4">
        <v>0</v>
      </c>
      <c r="I2635" s="4">
        <v>-42269432.869999997</v>
      </c>
    </row>
    <row r="2636" spans="1:9" x14ac:dyDescent="0.3">
      <c r="A2636" t="s">
        <v>133</v>
      </c>
      <c r="B2636" s="1">
        <v>45882</v>
      </c>
      <c r="C2636" s="1">
        <v>45882</v>
      </c>
      <c r="D2636">
        <v>915941</v>
      </c>
      <c r="E2636">
        <v>97</v>
      </c>
      <c r="F2636" s="3" t="s">
        <v>2335</v>
      </c>
      <c r="G2636" s="4">
        <v>240000</v>
      </c>
      <c r="H2636" s="4">
        <v>0</v>
      </c>
      <c r="I2636" s="4">
        <v>-42029432.869999997</v>
      </c>
    </row>
    <row r="2637" spans="1:9" x14ac:dyDescent="0.3">
      <c r="A2637" t="s">
        <v>133</v>
      </c>
      <c r="B2637" s="1">
        <v>45882</v>
      </c>
      <c r="C2637" s="1">
        <v>45882</v>
      </c>
      <c r="D2637">
        <v>915949</v>
      </c>
      <c r="E2637">
        <v>72</v>
      </c>
      <c r="F2637" s="3" t="s">
        <v>2336</v>
      </c>
      <c r="G2637" s="4">
        <v>190000</v>
      </c>
      <c r="H2637" s="4">
        <v>0</v>
      </c>
      <c r="I2637" s="4">
        <v>-41839432.869999997</v>
      </c>
    </row>
    <row r="2638" spans="1:9" x14ac:dyDescent="0.3">
      <c r="A2638" t="s">
        <v>133</v>
      </c>
      <c r="B2638" s="1">
        <v>45882</v>
      </c>
      <c r="C2638" s="1">
        <v>45882</v>
      </c>
      <c r="D2638">
        <v>915950</v>
      </c>
      <c r="E2638">
        <v>48</v>
      </c>
      <c r="F2638" s="3" t="s">
        <v>2129</v>
      </c>
      <c r="G2638" s="4">
        <v>300280</v>
      </c>
      <c r="H2638" s="4">
        <v>0</v>
      </c>
      <c r="I2638" s="4">
        <v>-41539152.869999997</v>
      </c>
    </row>
    <row r="2639" spans="1:9" x14ac:dyDescent="0.3">
      <c r="A2639" t="s">
        <v>133</v>
      </c>
      <c r="B2639" s="1">
        <v>45882</v>
      </c>
      <c r="C2639" s="1">
        <v>45882</v>
      </c>
      <c r="D2639">
        <v>915951</v>
      </c>
      <c r="E2639">
        <v>23</v>
      </c>
      <c r="F2639" s="3" t="s">
        <v>1160</v>
      </c>
      <c r="G2639" s="4">
        <v>200000</v>
      </c>
      <c r="H2639" s="4">
        <v>0</v>
      </c>
      <c r="I2639" s="4">
        <v>-41339152.869999997</v>
      </c>
    </row>
    <row r="2640" spans="1:9" x14ac:dyDescent="0.3">
      <c r="A2640" t="s">
        <v>133</v>
      </c>
      <c r="B2640" s="1">
        <v>45882</v>
      </c>
      <c r="C2640" s="1">
        <v>45882</v>
      </c>
      <c r="D2640">
        <v>915962</v>
      </c>
      <c r="E2640">
        <v>210</v>
      </c>
      <c r="F2640" s="3" t="s">
        <v>941</v>
      </c>
      <c r="G2640" s="4">
        <v>150000</v>
      </c>
      <c r="H2640" s="4">
        <v>0</v>
      </c>
      <c r="I2640" s="4">
        <v>-41189152.869999997</v>
      </c>
    </row>
    <row r="2641" spans="1:9" x14ac:dyDescent="0.3">
      <c r="A2641" t="s">
        <v>133</v>
      </c>
      <c r="B2641" s="1">
        <v>45882</v>
      </c>
      <c r="C2641" s="1">
        <v>45882</v>
      </c>
      <c r="D2641">
        <v>915963</v>
      </c>
      <c r="E2641">
        <v>82</v>
      </c>
      <c r="F2641" s="3">
        <v>5620820003568</v>
      </c>
      <c r="G2641" s="4">
        <v>17726.25</v>
      </c>
      <c r="H2641" s="4">
        <v>0</v>
      </c>
      <c r="I2641" s="4">
        <v>-41171426.619999997</v>
      </c>
    </row>
    <row r="2642" spans="1:9" x14ac:dyDescent="0.3">
      <c r="A2642" t="s">
        <v>133</v>
      </c>
      <c r="B2642" s="1">
        <v>45882</v>
      </c>
      <c r="C2642" s="1">
        <v>45882</v>
      </c>
      <c r="D2642">
        <v>915965</v>
      </c>
      <c r="E2642">
        <v>13</v>
      </c>
      <c r="F2642" s="3" t="s">
        <v>2337</v>
      </c>
      <c r="G2642" s="4">
        <v>11859</v>
      </c>
      <c r="H2642" s="4">
        <v>0</v>
      </c>
      <c r="I2642" s="4">
        <v>-41159567.619999997</v>
      </c>
    </row>
    <row r="2643" spans="1:9" x14ac:dyDescent="0.3">
      <c r="A2643" t="s">
        <v>133</v>
      </c>
      <c r="B2643" s="1">
        <v>45882</v>
      </c>
      <c r="C2643" s="1">
        <v>45882</v>
      </c>
      <c r="D2643">
        <v>915972</v>
      </c>
      <c r="E2643">
        <v>11</v>
      </c>
      <c r="F2643" s="3" t="s">
        <v>2338</v>
      </c>
      <c r="G2643" s="4">
        <v>850000</v>
      </c>
      <c r="H2643" s="4">
        <v>0</v>
      </c>
      <c r="I2643" s="4">
        <v>-40309567.619999997</v>
      </c>
    </row>
    <row r="2644" spans="1:9" x14ac:dyDescent="0.3">
      <c r="A2644" t="s">
        <v>133</v>
      </c>
      <c r="B2644" s="1">
        <v>45882</v>
      </c>
      <c r="C2644" s="1">
        <v>45882</v>
      </c>
      <c r="D2644">
        <v>915974</v>
      </c>
      <c r="E2644">
        <v>11</v>
      </c>
      <c r="F2644" s="3" t="s">
        <v>2253</v>
      </c>
      <c r="G2644" s="4">
        <v>850000</v>
      </c>
      <c r="H2644" s="4">
        <v>0</v>
      </c>
      <c r="I2644" s="4">
        <v>-39459567.619999997</v>
      </c>
    </row>
    <row r="2645" spans="1:9" x14ac:dyDescent="0.3">
      <c r="A2645" t="s">
        <v>133</v>
      </c>
      <c r="B2645" s="1">
        <v>45882</v>
      </c>
      <c r="C2645" s="1">
        <v>45882</v>
      </c>
      <c r="D2645">
        <v>915975</v>
      </c>
      <c r="E2645">
        <v>62</v>
      </c>
      <c r="F2645" s="3" t="s">
        <v>2339</v>
      </c>
      <c r="G2645" s="4">
        <v>1190000</v>
      </c>
      <c r="H2645" s="4">
        <v>0</v>
      </c>
      <c r="I2645" s="4">
        <v>-38269567.619999997</v>
      </c>
    </row>
    <row r="2646" spans="1:9" x14ac:dyDescent="0.3">
      <c r="A2646" t="s">
        <v>133</v>
      </c>
      <c r="B2646" s="1">
        <v>45882</v>
      </c>
      <c r="C2646" s="1">
        <v>45882</v>
      </c>
      <c r="D2646">
        <v>915978</v>
      </c>
      <c r="E2646">
        <v>15</v>
      </c>
      <c r="F2646" s="3" t="s">
        <v>2340</v>
      </c>
      <c r="G2646" s="4">
        <v>405000</v>
      </c>
      <c r="H2646" s="4">
        <v>0</v>
      </c>
      <c r="I2646" s="4">
        <v>-37864567.619999997</v>
      </c>
    </row>
    <row r="2647" spans="1:9" x14ac:dyDescent="0.3">
      <c r="A2647" t="s">
        <v>133</v>
      </c>
      <c r="B2647" s="1">
        <v>45882</v>
      </c>
      <c r="C2647" s="1">
        <v>45882</v>
      </c>
      <c r="D2647">
        <v>915980</v>
      </c>
      <c r="E2647">
        <v>43</v>
      </c>
      <c r="F2647" s="3" t="s">
        <v>2341</v>
      </c>
      <c r="G2647" s="4">
        <v>8000</v>
      </c>
      <c r="H2647" s="4">
        <v>0</v>
      </c>
      <c r="I2647" s="4">
        <v>-37856567.619999997</v>
      </c>
    </row>
    <row r="2648" spans="1:9" x14ac:dyDescent="0.3">
      <c r="A2648" t="s">
        <v>133</v>
      </c>
      <c r="B2648" s="1">
        <v>45882</v>
      </c>
      <c r="C2648" s="1">
        <v>45882</v>
      </c>
      <c r="D2648">
        <v>915983</v>
      </c>
      <c r="E2648">
        <v>61</v>
      </c>
      <c r="F2648" s="3" t="s">
        <v>2342</v>
      </c>
      <c r="G2648" s="4">
        <v>210000</v>
      </c>
      <c r="H2648" s="4">
        <v>0</v>
      </c>
      <c r="I2648" s="4">
        <v>-37646567.619999997</v>
      </c>
    </row>
    <row r="2649" spans="1:9" x14ac:dyDescent="0.3">
      <c r="A2649" t="s">
        <v>133</v>
      </c>
      <c r="B2649" s="1">
        <v>45882</v>
      </c>
      <c r="C2649" s="1">
        <v>45882</v>
      </c>
      <c r="D2649">
        <v>915984</v>
      </c>
      <c r="E2649">
        <v>76</v>
      </c>
      <c r="F2649" s="3" t="s">
        <v>2343</v>
      </c>
      <c r="G2649" s="4">
        <v>300000</v>
      </c>
      <c r="H2649" s="4">
        <v>0</v>
      </c>
      <c r="I2649" s="4">
        <v>-37346567.619999997</v>
      </c>
    </row>
    <row r="2650" spans="1:9" x14ac:dyDescent="0.3">
      <c r="A2650" t="s">
        <v>133</v>
      </c>
      <c r="B2650" s="1">
        <v>45882</v>
      </c>
      <c r="C2650" s="1">
        <v>45882</v>
      </c>
      <c r="D2650">
        <v>915989</v>
      </c>
      <c r="E2650">
        <v>98</v>
      </c>
      <c r="F2650" s="3" t="s">
        <v>2344</v>
      </c>
      <c r="G2650" s="4">
        <v>160000</v>
      </c>
      <c r="H2650" s="4">
        <v>0</v>
      </c>
      <c r="I2650" s="4">
        <v>-37186567.619999997</v>
      </c>
    </row>
    <row r="2651" spans="1:9" x14ac:dyDescent="0.3">
      <c r="A2651" t="s">
        <v>133</v>
      </c>
      <c r="B2651" s="1">
        <v>45882</v>
      </c>
      <c r="C2651" s="1">
        <v>45882</v>
      </c>
      <c r="D2651">
        <v>915993</v>
      </c>
      <c r="E2651">
        <v>77</v>
      </c>
      <c r="F2651" s="3" t="s">
        <v>2345</v>
      </c>
      <c r="G2651" s="4">
        <v>250000</v>
      </c>
      <c r="H2651" s="4">
        <v>0</v>
      </c>
      <c r="I2651" s="4">
        <v>-36936567.619999997</v>
      </c>
    </row>
    <row r="2652" spans="1:9" x14ac:dyDescent="0.3">
      <c r="A2652" t="s">
        <v>133</v>
      </c>
      <c r="B2652" s="1">
        <v>45882</v>
      </c>
      <c r="C2652" s="1">
        <v>45882</v>
      </c>
      <c r="D2652">
        <v>916000</v>
      </c>
      <c r="E2652">
        <v>28</v>
      </c>
      <c r="F2652" s="3">
        <v>50973261215</v>
      </c>
      <c r="G2652" s="4">
        <v>100000</v>
      </c>
      <c r="H2652" s="4">
        <v>0</v>
      </c>
      <c r="I2652" s="4">
        <v>-36836567.619999997</v>
      </c>
    </row>
    <row r="2653" spans="1:9" x14ac:dyDescent="0.3">
      <c r="A2653" t="s">
        <v>133</v>
      </c>
      <c r="B2653" s="1">
        <v>45882</v>
      </c>
      <c r="C2653" s="1">
        <v>45882</v>
      </c>
      <c r="D2653">
        <v>916001</v>
      </c>
      <c r="E2653">
        <v>63</v>
      </c>
      <c r="F2653" s="3" t="s">
        <v>2346</v>
      </c>
      <c r="G2653" s="4">
        <v>7082.25</v>
      </c>
      <c r="H2653" s="4">
        <v>0</v>
      </c>
      <c r="I2653" s="4">
        <v>-36829485.369999997</v>
      </c>
    </row>
    <row r="2654" spans="1:9" x14ac:dyDescent="0.3">
      <c r="A2654" t="s">
        <v>133</v>
      </c>
      <c r="B2654" s="1">
        <v>45882</v>
      </c>
      <c r="C2654" s="1">
        <v>45882</v>
      </c>
      <c r="D2654">
        <v>916003</v>
      </c>
      <c r="E2654">
        <v>63</v>
      </c>
      <c r="F2654" s="3" t="s">
        <v>2347</v>
      </c>
      <c r="G2654" s="4">
        <v>9748</v>
      </c>
      <c r="H2654" s="4">
        <v>0</v>
      </c>
      <c r="I2654" s="4">
        <v>-36819737.369999997</v>
      </c>
    </row>
    <row r="2655" spans="1:9" x14ac:dyDescent="0.3">
      <c r="A2655" t="s">
        <v>133</v>
      </c>
      <c r="B2655" s="1">
        <v>45882</v>
      </c>
      <c r="C2655" s="1">
        <v>45882</v>
      </c>
      <c r="D2655">
        <v>916007</v>
      </c>
      <c r="E2655">
        <v>44</v>
      </c>
      <c r="F2655" s="3" t="s">
        <v>2348</v>
      </c>
      <c r="G2655" s="4">
        <v>127103</v>
      </c>
      <c r="H2655" s="4">
        <v>0</v>
      </c>
      <c r="I2655" s="4">
        <v>-36692634.369999997</v>
      </c>
    </row>
    <row r="2656" spans="1:9" x14ac:dyDescent="0.3">
      <c r="A2656" t="s">
        <v>1</v>
      </c>
      <c r="B2656" s="1">
        <v>45881</v>
      </c>
      <c r="C2656" s="1">
        <v>45883</v>
      </c>
      <c r="D2656">
        <v>102566</v>
      </c>
      <c r="E2656">
        <v>100</v>
      </c>
      <c r="F2656" s="3" t="s">
        <v>2349</v>
      </c>
      <c r="G2656" s="4">
        <v>20000</v>
      </c>
      <c r="I2656" s="4">
        <v>-36672634.369999997</v>
      </c>
    </row>
    <row r="2657" spans="1:9" x14ac:dyDescent="0.3">
      <c r="A2657" t="s">
        <v>1</v>
      </c>
      <c r="B2657" s="1">
        <v>45882</v>
      </c>
      <c r="C2657" s="1">
        <v>45883</v>
      </c>
      <c r="D2657">
        <v>102592</v>
      </c>
      <c r="E2657">
        <v>100</v>
      </c>
      <c r="F2657" s="3" t="s">
        <v>2350</v>
      </c>
      <c r="G2657" s="4">
        <v>60023.45</v>
      </c>
      <c r="I2657" s="4">
        <v>-36612610.920000002</v>
      </c>
    </row>
    <row r="2658" spans="1:9" x14ac:dyDescent="0.3">
      <c r="A2658" t="s">
        <v>1</v>
      </c>
      <c r="B2658" s="1">
        <v>45881</v>
      </c>
      <c r="C2658" s="1">
        <v>45883</v>
      </c>
      <c r="D2658">
        <v>102593</v>
      </c>
      <c r="E2658">
        <v>100</v>
      </c>
      <c r="F2658" s="3" t="s">
        <v>2197</v>
      </c>
      <c r="G2658" s="4">
        <v>200192.75</v>
      </c>
      <c r="I2658" s="4">
        <v>-36412418.170000002</v>
      </c>
    </row>
    <row r="2659" spans="1:9" x14ac:dyDescent="0.3">
      <c r="A2659" t="s">
        <v>1</v>
      </c>
      <c r="B2659" s="1">
        <v>45882</v>
      </c>
      <c r="C2659" s="1">
        <v>45883</v>
      </c>
      <c r="D2659">
        <v>102597</v>
      </c>
      <c r="E2659">
        <v>100</v>
      </c>
      <c r="F2659" s="3" t="s">
        <v>2351</v>
      </c>
      <c r="G2659" s="4">
        <v>5659.25</v>
      </c>
      <c r="I2659" s="4">
        <v>-36406758.920000002</v>
      </c>
    </row>
    <row r="2660" spans="1:9" x14ac:dyDescent="0.3">
      <c r="A2660" t="s">
        <v>1</v>
      </c>
      <c r="B2660" s="1">
        <v>45881</v>
      </c>
      <c r="C2660" s="1">
        <v>45883</v>
      </c>
      <c r="D2660">
        <v>102601</v>
      </c>
      <c r="E2660">
        <v>100</v>
      </c>
      <c r="F2660" s="3" t="s">
        <v>2352</v>
      </c>
      <c r="G2660" s="4">
        <v>78500</v>
      </c>
      <c r="I2660" s="4">
        <v>-36328258.920000002</v>
      </c>
    </row>
    <row r="2661" spans="1:9" x14ac:dyDescent="0.3">
      <c r="A2661" t="s">
        <v>1</v>
      </c>
      <c r="B2661" s="1">
        <v>45882</v>
      </c>
      <c r="C2661" s="1">
        <v>45883</v>
      </c>
      <c r="D2661">
        <v>102606</v>
      </c>
      <c r="E2661">
        <v>100</v>
      </c>
      <c r="F2661" s="3" t="s">
        <v>2353</v>
      </c>
      <c r="G2661" s="4">
        <v>60101.25</v>
      </c>
      <c r="I2661" s="4">
        <v>-36268157.670000002</v>
      </c>
    </row>
    <row r="2662" spans="1:9" x14ac:dyDescent="0.3">
      <c r="A2662" t="s">
        <v>1</v>
      </c>
      <c r="B2662" s="1">
        <v>45881</v>
      </c>
      <c r="C2662" s="1">
        <v>45883</v>
      </c>
      <c r="D2662">
        <v>102617</v>
      </c>
      <c r="E2662">
        <v>100</v>
      </c>
      <c r="F2662" s="3" t="s">
        <v>2354</v>
      </c>
      <c r="G2662" s="4">
        <v>20860</v>
      </c>
      <c r="I2662" s="4">
        <v>-36247297.670000002</v>
      </c>
    </row>
    <row r="2663" spans="1:9" x14ac:dyDescent="0.3">
      <c r="A2663" t="s">
        <v>1</v>
      </c>
      <c r="B2663" s="1">
        <v>45882</v>
      </c>
      <c r="C2663" s="1">
        <v>45883</v>
      </c>
      <c r="D2663">
        <v>102622</v>
      </c>
      <c r="E2663">
        <v>100</v>
      </c>
      <c r="F2663" s="3" t="s">
        <v>2355</v>
      </c>
      <c r="G2663" s="4">
        <v>36202.5</v>
      </c>
      <c r="I2663" s="4">
        <v>-36211095.170000002</v>
      </c>
    </row>
    <row r="2664" spans="1:9" x14ac:dyDescent="0.3">
      <c r="A2664" t="s">
        <v>1</v>
      </c>
      <c r="B2664" s="1">
        <v>45873</v>
      </c>
      <c r="C2664" s="1">
        <v>45883</v>
      </c>
      <c r="D2664">
        <v>102625</v>
      </c>
      <c r="E2664">
        <v>100</v>
      </c>
      <c r="F2664" s="3" t="s">
        <v>2356</v>
      </c>
      <c r="G2664" s="4">
        <v>5112.25</v>
      </c>
      <c r="I2664" s="4">
        <v>-36205982.920000002</v>
      </c>
    </row>
    <row r="2665" spans="1:9" x14ac:dyDescent="0.3">
      <c r="A2665" t="s">
        <v>1</v>
      </c>
      <c r="B2665" s="1">
        <v>45882</v>
      </c>
      <c r="C2665" s="1">
        <v>45883</v>
      </c>
      <c r="D2665">
        <v>102633</v>
      </c>
      <c r="E2665">
        <v>100</v>
      </c>
      <c r="F2665" s="3" t="s">
        <v>2357</v>
      </c>
      <c r="G2665" s="4">
        <v>54300.25</v>
      </c>
      <c r="I2665" s="4">
        <v>-36151682.670000002</v>
      </c>
    </row>
    <row r="2666" spans="1:9" x14ac:dyDescent="0.3">
      <c r="A2666" t="s">
        <v>1</v>
      </c>
      <c r="B2666" s="1">
        <v>45883</v>
      </c>
      <c r="C2666" s="1">
        <v>45883</v>
      </c>
      <c r="D2666">
        <v>102660</v>
      </c>
      <c r="E2666">
        <v>100</v>
      </c>
      <c r="F2666" s="3" t="s">
        <v>2358</v>
      </c>
      <c r="G2666" s="4">
        <v>30778.75</v>
      </c>
      <c r="I2666" s="4">
        <v>-36120903.920000002</v>
      </c>
    </row>
    <row r="2667" spans="1:9" x14ac:dyDescent="0.3">
      <c r="A2667" t="s">
        <v>1</v>
      </c>
      <c r="B2667" s="1">
        <v>45882</v>
      </c>
      <c r="C2667" s="1">
        <v>45883</v>
      </c>
      <c r="D2667">
        <v>102662</v>
      </c>
      <c r="E2667">
        <v>100</v>
      </c>
      <c r="F2667" s="3" t="s">
        <v>2359</v>
      </c>
      <c r="G2667" s="4">
        <v>198444</v>
      </c>
      <c r="I2667" s="4">
        <v>-35922459.920000002</v>
      </c>
    </row>
    <row r="2668" spans="1:9" x14ac:dyDescent="0.3">
      <c r="A2668" t="s">
        <v>1</v>
      </c>
      <c r="B2668" s="1">
        <v>45882</v>
      </c>
      <c r="C2668" s="1">
        <v>45883</v>
      </c>
      <c r="D2668">
        <v>102663</v>
      </c>
      <c r="E2668">
        <v>100</v>
      </c>
      <c r="F2668" s="3" t="s">
        <v>2360</v>
      </c>
      <c r="G2668" s="4">
        <v>20948.400000000001</v>
      </c>
      <c r="I2668" s="4">
        <v>-35901511.520000003</v>
      </c>
    </row>
    <row r="2669" spans="1:9" x14ac:dyDescent="0.3">
      <c r="A2669" t="s">
        <v>1</v>
      </c>
      <c r="B2669" s="1">
        <v>45881</v>
      </c>
      <c r="C2669" s="1">
        <v>45883</v>
      </c>
      <c r="D2669">
        <v>102664</v>
      </c>
      <c r="E2669">
        <v>100</v>
      </c>
      <c r="F2669" s="3" t="s">
        <v>2361</v>
      </c>
      <c r="G2669" s="4">
        <v>30026</v>
      </c>
      <c r="I2669" s="4">
        <v>-35871485.520000003</v>
      </c>
    </row>
    <row r="2670" spans="1:9" x14ac:dyDescent="0.3">
      <c r="A2670" t="s">
        <v>1</v>
      </c>
      <c r="B2670" s="1">
        <v>45881</v>
      </c>
      <c r="C2670" s="1">
        <v>45883</v>
      </c>
      <c r="D2670">
        <v>102667</v>
      </c>
      <c r="E2670">
        <v>100</v>
      </c>
      <c r="F2670" s="3" t="s">
        <v>2362</v>
      </c>
      <c r="G2670" s="4">
        <v>193487.26</v>
      </c>
      <c r="I2670" s="4">
        <v>-35677998.259999998</v>
      </c>
    </row>
    <row r="2671" spans="1:9" x14ac:dyDescent="0.3">
      <c r="A2671" t="s">
        <v>1</v>
      </c>
      <c r="B2671" s="1">
        <v>45882</v>
      </c>
      <c r="C2671" s="1">
        <v>45883</v>
      </c>
      <c r="D2671">
        <v>102673</v>
      </c>
      <c r="E2671">
        <v>100</v>
      </c>
      <c r="F2671" s="3" t="s">
        <v>2363</v>
      </c>
      <c r="G2671" s="4">
        <v>2445.38</v>
      </c>
      <c r="I2671" s="4">
        <v>-35675552.880000003</v>
      </c>
    </row>
    <row r="2672" spans="1:9" x14ac:dyDescent="0.3">
      <c r="A2672" t="s">
        <v>1</v>
      </c>
      <c r="B2672" s="1">
        <v>45882</v>
      </c>
      <c r="C2672" s="1">
        <v>45883</v>
      </c>
      <c r="D2672">
        <v>102674</v>
      </c>
      <c r="E2672">
        <v>100</v>
      </c>
      <c r="F2672" s="3" t="s">
        <v>2364</v>
      </c>
      <c r="G2672" s="4">
        <v>17045.46</v>
      </c>
      <c r="I2672" s="4">
        <v>-35658507.420000002</v>
      </c>
    </row>
    <row r="2673" spans="1:9" x14ac:dyDescent="0.3">
      <c r="A2673" t="s">
        <v>1</v>
      </c>
      <c r="B2673" s="1">
        <v>45882</v>
      </c>
      <c r="C2673" s="1">
        <v>45883</v>
      </c>
      <c r="D2673">
        <v>102678</v>
      </c>
      <c r="E2673">
        <v>100</v>
      </c>
      <c r="F2673" s="3" t="s">
        <v>971</v>
      </c>
      <c r="G2673" s="4">
        <v>1482.1</v>
      </c>
      <c r="I2673" s="4">
        <v>-35657025.32</v>
      </c>
    </row>
    <row r="2674" spans="1:9" x14ac:dyDescent="0.3">
      <c r="A2674" t="s">
        <v>1</v>
      </c>
      <c r="B2674" s="1">
        <v>45882</v>
      </c>
      <c r="C2674" s="1">
        <v>45883</v>
      </c>
      <c r="D2674">
        <v>102679</v>
      </c>
      <c r="E2674">
        <v>100</v>
      </c>
      <c r="F2674" s="3" t="s">
        <v>1800</v>
      </c>
      <c r="G2674" s="4">
        <v>1122.0999999999999</v>
      </c>
      <c r="I2674" s="4">
        <v>-35655903.219999999</v>
      </c>
    </row>
    <row r="2675" spans="1:9" x14ac:dyDescent="0.3">
      <c r="A2675" t="s">
        <v>1</v>
      </c>
      <c r="B2675" s="1">
        <v>45882</v>
      </c>
      <c r="C2675" s="1">
        <v>45883</v>
      </c>
      <c r="D2675">
        <v>102681</v>
      </c>
      <c r="E2675">
        <v>100</v>
      </c>
      <c r="F2675" s="3" t="s">
        <v>2365</v>
      </c>
      <c r="G2675" s="4">
        <v>154517.32999999999</v>
      </c>
      <c r="I2675" s="4">
        <v>-35501385.890000001</v>
      </c>
    </row>
    <row r="2676" spans="1:9" x14ac:dyDescent="0.3">
      <c r="A2676" t="s">
        <v>1</v>
      </c>
      <c r="B2676" s="1">
        <v>45882</v>
      </c>
      <c r="C2676" s="1">
        <v>45883</v>
      </c>
      <c r="D2676">
        <v>102682</v>
      </c>
      <c r="E2676">
        <v>100</v>
      </c>
      <c r="F2676" s="3" t="s">
        <v>2366</v>
      </c>
      <c r="G2676" s="4">
        <v>158214.04</v>
      </c>
      <c r="I2676" s="4">
        <v>-35343171.850000001</v>
      </c>
    </row>
    <row r="2677" spans="1:9" x14ac:dyDescent="0.3">
      <c r="A2677" t="s">
        <v>1</v>
      </c>
      <c r="B2677" s="1">
        <v>45883</v>
      </c>
      <c r="C2677" s="1">
        <v>45883</v>
      </c>
      <c r="D2677">
        <v>102684</v>
      </c>
      <c r="E2677">
        <v>100</v>
      </c>
      <c r="F2677" s="3" t="s">
        <v>2367</v>
      </c>
      <c r="G2677" s="4">
        <v>12300</v>
      </c>
      <c r="I2677" s="4">
        <v>-35330871.850000001</v>
      </c>
    </row>
    <row r="2678" spans="1:9" x14ac:dyDescent="0.3">
      <c r="A2678" t="s">
        <v>1</v>
      </c>
      <c r="B2678" s="1">
        <v>45883</v>
      </c>
      <c r="C2678" s="1">
        <v>45883</v>
      </c>
      <c r="D2678">
        <v>102685</v>
      </c>
      <c r="E2678">
        <v>100</v>
      </c>
      <c r="F2678" s="3" t="s">
        <v>2368</v>
      </c>
      <c r="G2678" s="4">
        <v>10003.15</v>
      </c>
      <c r="I2678" s="4">
        <v>-35320868.700000003</v>
      </c>
    </row>
    <row r="2679" spans="1:9" x14ac:dyDescent="0.3">
      <c r="A2679" t="s">
        <v>1</v>
      </c>
      <c r="B2679" s="1">
        <v>45883</v>
      </c>
      <c r="C2679" s="1">
        <v>45883</v>
      </c>
      <c r="D2679">
        <v>102690</v>
      </c>
      <c r="E2679">
        <v>100</v>
      </c>
      <c r="F2679" s="3" t="s">
        <v>2369</v>
      </c>
      <c r="G2679" s="4">
        <v>14124.15</v>
      </c>
      <c r="I2679" s="4">
        <v>-35306744.549999997</v>
      </c>
    </row>
    <row r="2680" spans="1:9" x14ac:dyDescent="0.3">
      <c r="A2680" t="s">
        <v>1</v>
      </c>
      <c r="B2680" s="1">
        <v>45883</v>
      </c>
      <c r="C2680" s="1">
        <v>45883</v>
      </c>
      <c r="D2680">
        <v>102691</v>
      </c>
      <c r="E2680">
        <v>100</v>
      </c>
      <c r="F2680" s="3" t="s">
        <v>2370</v>
      </c>
      <c r="G2680" s="4">
        <v>50028.35</v>
      </c>
      <c r="I2680" s="4">
        <v>-35256716.200000003</v>
      </c>
    </row>
    <row r="2681" spans="1:9" x14ac:dyDescent="0.3">
      <c r="A2681" t="s">
        <v>1</v>
      </c>
      <c r="B2681" s="1">
        <v>45883</v>
      </c>
      <c r="C2681" s="1">
        <v>45883</v>
      </c>
      <c r="D2681">
        <v>102692</v>
      </c>
      <c r="E2681">
        <v>100</v>
      </c>
      <c r="F2681" s="3" t="s">
        <v>2371</v>
      </c>
      <c r="G2681" s="4">
        <v>50028.35</v>
      </c>
      <c r="I2681" s="4">
        <v>-35206687.850000001</v>
      </c>
    </row>
    <row r="2682" spans="1:9" x14ac:dyDescent="0.3">
      <c r="A2682" t="s">
        <v>1</v>
      </c>
      <c r="B2682" s="1">
        <v>45883</v>
      </c>
      <c r="C2682" s="1">
        <v>45883</v>
      </c>
      <c r="D2682">
        <v>102693</v>
      </c>
      <c r="E2682">
        <v>100</v>
      </c>
      <c r="F2682" s="3" t="s">
        <v>2372</v>
      </c>
      <c r="G2682" s="4">
        <v>3016</v>
      </c>
      <c r="I2682" s="4">
        <v>-35203671.850000001</v>
      </c>
    </row>
    <row r="2683" spans="1:9" x14ac:dyDescent="0.3">
      <c r="A2683" t="s">
        <v>1</v>
      </c>
      <c r="B2683" s="1">
        <v>45883</v>
      </c>
      <c r="C2683" s="1">
        <v>45883</v>
      </c>
      <c r="D2683">
        <v>102697</v>
      </c>
      <c r="E2683">
        <v>100</v>
      </c>
      <c r="F2683" s="3" t="s">
        <v>2373</v>
      </c>
      <c r="G2683" s="4">
        <v>37487</v>
      </c>
      <c r="I2683" s="4">
        <v>-35166184.850000001</v>
      </c>
    </row>
    <row r="2684" spans="1:9" x14ac:dyDescent="0.3">
      <c r="A2684" t="s">
        <v>1</v>
      </c>
      <c r="B2684" s="1">
        <v>45882</v>
      </c>
      <c r="C2684" s="1">
        <v>45883</v>
      </c>
      <c r="D2684">
        <v>102706</v>
      </c>
      <c r="E2684">
        <v>100</v>
      </c>
      <c r="F2684" s="3" t="s">
        <v>2374</v>
      </c>
      <c r="G2684" s="4">
        <v>1005.25</v>
      </c>
      <c r="I2684" s="4">
        <v>-35165179.600000001</v>
      </c>
    </row>
    <row r="2685" spans="1:9" x14ac:dyDescent="0.3">
      <c r="A2685" t="s">
        <v>1</v>
      </c>
      <c r="B2685" s="1">
        <v>45883</v>
      </c>
      <c r="C2685" s="1">
        <v>45883</v>
      </c>
      <c r="D2685">
        <v>102709</v>
      </c>
      <c r="E2685">
        <v>100</v>
      </c>
      <c r="F2685" s="3" t="s">
        <v>2375</v>
      </c>
      <c r="G2685" s="4">
        <v>14438</v>
      </c>
      <c r="I2685" s="4">
        <v>-35150741.600000001</v>
      </c>
    </row>
    <row r="2686" spans="1:9" x14ac:dyDescent="0.3">
      <c r="A2686" t="s">
        <v>1</v>
      </c>
      <c r="B2686" s="1">
        <v>45883</v>
      </c>
      <c r="C2686" s="1">
        <v>45883</v>
      </c>
      <c r="D2686">
        <v>102710</v>
      </c>
      <c r="E2686">
        <v>100</v>
      </c>
      <c r="F2686" s="3" t="s">
        <v>2208</v>
      </c>
      <c r="G2686" s="4">
        <v>36000</v>
      </c>
      <c r="I2686" s="4">
        <v>-35114741.600000001</v>
      </c>
    </row>
    <row r="2687" spans="1:9" x14ac:dyDescent="0.3">
      <c r="A2687" t="s">
        <v>1</v>
      </c>
      <c r="B2687" s="1">
        <v>45883</v>
      </c>
      <c r="C2687" s="1">
        <v>45883</v>
      </c>
      <c r="D2687">
        <v>102711</v>
      </c>
      <c r="E2687">
        <v>100</v>
      </c>
      <c r="F2687" s="3" t="s">
        <v>2376</v>
      </c>
      <c r="G2687" s="4">
        <v>326009.95</v>
      </c>
      <c r="I2687" s="4">
        <v>-34788731.649999999</v>
      </c>
    </row>
    <row r="2688" spans="1:9" x14ac:dyDescent="0.3">
      <c r="A2688" t="s">
        <v>1</v>
      </c>
      <c r="B2688" s="1">
        <v>45882</v>
      </c>
      <c r="C2688" s="1">
        <v>45883</v>
      </c>
      <c r="D2688">
        <v>102715</v>
      </c>
      <c r="E2688">
        <v>100</v>
      </c>
      <c r="F2688" s="3" t="s">
        <v>2377</v>
      </c>
      <c r="G2688" s="4">
        <v>9905.75</v>
      </c>
      <c r="I2688" s="4">
        <v>-34778825.899999999</v>
      </c>
    </row>
    <row r="2689" spans="1:9" x14ac:dyDescent="0.3">
      <c r="A2689" t="s">
        <v>1</v>
      </c>
      <c r="B2689" s="1">
        <v>45883</v>
      </c>
      <c r="C2689" s="1">
        <v>45883</v>
      </c>
      <c r="D2689">
        <v>102716</v>
      </c>
      <c r="E2689">
        <v>100</v>
      </c>
      <c r="F2689" s="3" t="s">
        <v>2378</v>
      </c>
      <c r="G2689" s="4">
        <v>36729</v>
      </c>
      <c r="I2689" s="4">
        <v>-34742096.899999999</v>
      </c>
    </row>
    <row r="2690" spans="1:9" x14ac:dyDescent="0.3">
      <c r="A2690" t="s">
        <v>1</v>
      </c>
      <c r="B2690" s="1">
        <v>45883</v>
      </c>
      <c r="C2690" s="1">
        <v>45883</v>
      </c>
      <c r="D2690">
        <v>102720</v>
      </c>
      <c r="E2690">
        <v>100</v>
      </c>
      <c r="F2690" s="3" t="s">
        <v>2379</v>
      </c>
      <c r="G2690" s="4">
        <v>19403</v>
      </c>
      <c r="I2690" s="4">
        <v>-34722693.899999999</v>
      </c>
    </row>
    <row r="2691" spans="1:9" x14ac:dyDescent="0.3">
      <c r="A2691" t="s">
        <v>1</v>
      </c>
      <c r="B2691" s="1">
        <v>45883</v>
      </c>
      <c r="C2691" s="1">
        <v>45883</v>
      </c>
      <c r="D2691">
        <v>102725</v>
      </c>
      <c r="E2691">
        <v>100</v>
      </c>
      <c r="F2691" s="3" t="s">
        <v>2380</v>
      </c>
      <c r="G2691" s="4">
        <v>29229.75</v>
      </c>
      <c r="I2691" s="4">
        <v>-34693464.149999999</v>
      </c>
    </row>
    <row r="2692" spans="1:9" x14ac:dyDescent="0.3">
      <c r="A2692" t="s">
        <v>1</v>
      </c>
      <c r="B2692" s="1">
        <v>45883</v>
      </c>
      <c r="C2692" s="1">
        <v>45883</v>
      </c>
      <c r="D2692">
        <v>102738</v>
      </c>
      <c r="E2692">
        <v>100</v>
      </c>
      <c r="F2692" s="3" t="s">
        <v>2381</v>
      </c>
      <c r="G2692" s="4">
        <v>16526.25</v>
      </c>
      <c r="I2692" s="4">
        <v>-34676937.899999999</v>
      </c>
    </row>
    <row r="2693" spans="1:9" x14ac:dyDescent="0.3">
      <c r="A2693" t="s">
        <v>1</v>
      </c>
      <c r="B2693" s="1">
        <v>45883</v>
      </c>
      <c r="C2693" s="1">
        <v>45883</v>
      </c>
      <c r="D2693">
        <v>102739</v>
      </c>
      <c r="E2693">
        <v>100</v>
      </c>
      <c r="F2693" s="3" t="s">
        <v>275</v>
      </c>
      <c r="G2693" s="4">
        <v>50000</v>
      </c>
      <c r="I2693" s="4">
        <v>-34626937.899999999</v>
      </c>
    </row>
    <row r="2694" spans="1:9" x14ac:dyDescent="0.3">
      <c r="A2694" t="s">
        <v>75</v>
      </c>
      <c r="B2694" s="1">
        <v>45883</v>
      </c>
      <c r="C2694" s="1">
        <v>45883</v>
      </c>
      <c r="D2694">
        <v>143427</v>
      </c>
      <c r="E2694">
        <v>14</v>
      </c>
      <c r="F2694" s="3" t="s">
        <v>2382</v>
      </c>
      <c r="G2694" s="4">
        <v>1050</v>
      </c>
      <c r="H2694" s="4">
        <v>0</v>
      </c>
      <c r="I2694" s="4">
        <v>-34625887.899999999</v>
      </c>
    </row>
    <row r="2695" spans="1:9" x14ac:dyDescent="0.3">
      <c r="A2695" t="s">
        <v>75</v>
      </c>
      <c r="B2695" s="1">
        <v>45882</v>
      </c>
      <c r="C2695" s="1">
        <v>45883</v>
      </c>
      <c r="D2695">
        <v>143428</v>
      </c>
      <c r="E2695">
        <v>77</v>
      </c>
      <c r="F2695" s="3" t="s">
        <v>2383</v>
      </c>
      <c r="G2695" s="4">
        <v>2079</v>
      </c>
      <c r="H2695" s="4">
        <v>0</v>
      </c>
      <c r="I2695" s="4">
        <v>-34623808.899999999</v>
      </c>
    </row>
    <row r="2696" spans="1:9" x14ac:dyDescent="0.3">
      <c r="A2696" t="s">
        <v>75</v>
      </c>
      <c r="B2696" s="1">
        <v>45882</v>
      </c>
      <c r="C2696" s="1">
        <v>45883</v>
      </c>
      <c r="D2696">
        <v>143429</v>
      </c>
      <c r="E2696">
        <v>77</v>
      </c>
      <c r="F2696" s="3" t="s">
        <v>2384</v>
      </c>
      <c r="G2696" s="4">
        <v>367713.75</v>
      </c>
      <c r="H2696" s="4">
        <v>0</v>
      </c>
      <c r="I2696" s="4">
        <v>-34256095.149999999</v>
      </c>
    </row>
    <row r="2697" spans="1:9" x14ac:dyDescent="0.3">
      <c r="A2697" t="s">
        <v>75</v>
      </c>
      <c r="B2697" s="1">
        <v>45881</v>
      </c>
      <c r="C2697" s="1">
        <v>45883</v>
      </c>
      <c r="D2697">
        <v>143430</v>
      </c>
      <c r="E2697">
        <v>77</v>
      </c>
      <c r="F2697" s="3" t="s">
        <v>2385</v>
      </c>
      <c r="G2697" s="4">
        <v>8617.75</v>
      </c>
      <c r="H2697" s="4">
        <v>0</v>
      </c>
      <c r="I2697" s="4">
        <v>-34247477.399999999</v>
      </c>
    </row>
    <row r="2698" spans="1:9" x14ac:dyDescent="0.3">
      <c r="A2698" t="s">
        <v>75</v>
      </c>
      <c r="B2698" s="1">
        <v>45881</v>
      </c>
      <c r="C2698" s="1">
        <v>45883</v>
      </c>
      <c r="D2698">
        <v>143431</v>
      </c>
      <c r="E2698">
        <v>77</v>
      </c>
      <c r="F2698" s="3" t="s">
        <v>2386</v>
      </c>
      <c r="G2698" s="4">
        <v>5955.25</v>
      </c>
      <c r="H2698" s="4">
        <v>0</v>
      </c>
      <c r="I2698" s="4">
        <v>-34241522.149999999</v>
      </c>
    </row>
    <row r="2699" spans="1:9" x14ac:dyDescent="0.3">
      <c r="A2699" t="s">
        <v>75</v>
      </c>
      <c r="B2699" s="1">
        <v>45882</v>
      </c>
      <c r="C2699" s="1">
        <v>45883</v>
      </c>
      <c r="D2699">
        <v>143432</v>
      </c>
      <c r="E2699">
        <v>77</v>
      </c>
      <c r="F2699" s="3" t="s">
        <v>2387</v>
      </c>
      <c r="G2699" s="4">
        <v>25322</v>
      </c>
      <c r="H2699" s="4">
        <v>0</v>
      </c>
      <c r="I2699" s="4">
        <v>-34216200.149999999</v>
      </c>
    </row>
    <row r="2700" spans="1:9" x14ac:dyDescent="0.3">
      <c r="A2700" t="s">
        <v>75</v>
      </c>
      <c r="B2700" s="1">
        <v>45880</v>
      </c>
      <c r="C2700" s="1">
        <v>45883</v>
      </c>
      <c r="D2700">
        <v>143433</v>
      </c>
      <c r="E2700">
        <v>77</v>
      </c>
      <c r="F2700" s="3" t="s">
        <v>2388</v>
      </c>
      <c r="G2700" s="4">
        <v>220470.5</v>
      </c>
      <c r="H2700" s="4">
        <v>0</v>
      </c>
      <c r="I2700" s="4">
        <v>-33995729.649999999</v>
      </c>
    </row>
    <row r="2701" spans="1:9" x14ac:dyDescent="0.3">
      <c r="A2701" t="s">
        <v>75</v>
      </c>
      <c r="B2701" s="1">
        <v>45876</v>
      </c>
      <c r="C2701" s="1">
        <v>45883</v>
      </c>
      <c r="D2701">
        <v>143434</v>
      </c>
      <c r="E2701">
        <v>77</v>
      </c>
      <c r="F2701" s="3" t="s">
        <v>2389</v>
      </c>
      <c r="G2701" s="4">
        <v>27615.5</v>
      </c>
      <c r="H2701" s="4">
        <v>0</v>
      </c>
      <c r="I2701" s="4">
        <v>-33968114.149999999</v>
      </c>
    </row>
    <row r="2702" spans="1:9" x14ac:dyDescent="0.3">
      <c r="A2702" t="s">
        <v>75</v>
      </c>
      <c r="B2702" s="1">
        <v>45880</v>
      </c>
      <c r="C2702" s="1">
        <v>45883</v>
      </c>
      <c r="D2702">
        <v>143435</v>
      </c>
      <c r="E2702">
        <v>91</v>
      </c>
      <c r="F2702" s="3" t="s">
        <v>2390</v>
      </c>
      <c r="G2702" s="4">
        <v>144485.5</v>
      </c>
      <c r="H2702" s="4">
        <v>0</v>
      </c>
      <c r="I2702" s="4">
        <v>-33823628.649999999</v>
      </c>
    </row>
    <row r="2703" spans="1:9" x14ac:dyDescent="0.3">
      <c r="A2703" t="s">
        <v>75</v>
      </c>
      <c r="B2703" s="1">
        <v>45880</v>
      </c>
      <c r="C2703" s="1">
        <v>45883</v>
      </c>
      <c r="D2703">
        <v>143436</v>
      </c>
      <c r="E2703">
        <v>91</v>
      </c>
      <c r="F2703" s="3" t="s">
        <v>2391</v>
      </c>
      <c r="G2703" s="4">
        <v>90147</v>
      </c>
      <c r="H2703" s="4">
        <v>0</v>
      </c>
      <c r="I2703" s="4">
        <v>-33733481.649999999</v>
      </c>
    </row>
    <row r="2704" spans="1:9" x14ac:dyDescent="0.3">
      <c r="A2704" t="s">
        <v>75</v>
      </c>
      <c r="B2704" s="1">
        <v>45883</v>
      </c>
      <c r="C2704" s="1">
        <v>45883</v>
      </c>
      <c r="D2704">
        <v>143437</v>
      </c>
      <c r="E2704">
        <v>14</v>
      </c>
      <c r="F2704" s="3" t="s">
        <v>2392</v>
      </c>
      <c r="G2704" s="4">
        <v>25978.25</v>
      </c>
      <c r="H2704" s="4">
        <v>0</v>
      </c>
      <c r="I2704" s="4">
        <v>-33707503.399999999</v>
      </c>
    </row>
    <row r="2705" spans="1:9" x14ac:dyDescent="0.3">
      <c r="A2705" t="s">
        <v>75</v>
      </c>
      <c r="B2705" s="1">
        <v>45880</v>
      </c>
      <c r="C2705" s="1">
        <v>45883</v>
      </c>
      <c r="D2705">
        <v>143438</v>
      </c>
      <c r="E2705">
        <v>91</v>
      </c>
      <c r="F2705" s="3" t="s">
        <v>2393</v>
      </c>
      <c r="G2705" s="4">
        <v>20293.25</v>
      </c>
      <c r="H2705" s="4">
        <v>0</v>
      </c>
      <c r="I2705" s="4">
        <v>-33687210.149999999</v>
      </c>
    </row>
    <row r="2706" spans="1:9" x14ac:dyDescent="0.3">
      <c r="A2706" t="s">
        <v>75</v>
      </c>
      <c r="B2706" s="1">
        <v>45881</v>
      </c>
      <c r="C2706" s="1">
        <v>45883</v>
      </c>
      <c r="D2706">
        <v>143439</v>
      </c>
      <c r="E2706">
        <v>11</v>
      </c>
      <c r="F2706" s="3" t="s">
        <v>2394</v>
      </c>
      <c r="G2706" s="4">
        <v>5638.14</v>
      </c>
      <c r="H2706" s="4">
        <v>0</v>
      </c>
      <c r="I2706" s="4">
        <v>-33681572.009999998</v>
      </c>
    </row>
    <row r="2707" spans="1:9" x14ac:dyDescent="0.3">
      <c r="A2707" t="s">
        <v>75</v>
      </c>
      <c r="B2707" s="1">
        <v>45883</v>
      </c>
      <c r="C2707" s="1">
        <v>45883</v>
      </c>
      <c r="D2707">
        <v>143440</v>
      </c>
      <c r="E2707">
        <v>72</v>
      </c>
      <c r="F2707" s="3" t="s">
        <v>2395</v>
      </c>
      <c r="G2707" s="4">
        <v>25353.75</v>
      </c>
      <c r="H2707" s="4">
        <v>0</v>
      </c>
      <c r="I2707" s="4">
        <v>-33656218.259999998</v>
      </c>
    </row>
    <row r="2708" spans="1:9" x14ac:dyDescent="0.3">
      <c r="A2708" t="s">
        <v>75</v>
      </c>
      <c r="B2708" s="1">
        <v>45882</v>
      </c>
      <c r="C2708" s="1">
        <v>45883</v>
      </c>
      <c r="D2708">
        <v>143441</v>
      </c>
      <c r="E2708">
        <v>16</v>
      </c>
      <c r="F2708" s="3" t="s">
        <v>2396</v>
      </c>
      <c r="G2708" s="4">
        <v>5462.75</v>
      </c>
      <c r="H2708" s="4">
        <v>0</v>
      </c>
      <c r="I2708" s="4">
        <v>-33650755.509999998</v>
      </c>
    </row>
    <row r="2709" spans="1:9" x14ac:dyDescent="0.3">
      <c r="A2709" t="s">
        <v>75</v>
      </c>
      <c r="B2709" s="1">
        <v>45883</v>
      </c>
      <c r="C2709" s="1">
        <v>45883</v>
      </c>
      <c r="D2709">
        <v>143442</v>
      </c>
      <c r="E2709">
        <v>34</v>
      </c>
      <c r="F2709" s="3" t="s">
        <v>2397</v>
      </c>
      <c r="G2709" s="4">
        <v>11081</v>
      </c>
      <c r="H2709" s="4">
        <v>0</v>
      </c>
      <c r="I2709" s="4">
        <v>-33639674.509999998</v>
      </c>
    </row>
    <row r="2710" spans="1:9" x14ac:dyDescent="0.3">
      <c r="A2710" t="s">
        <v>75</v>
      </c>
      <c r="B2710" s="1">
        <v>45881</v>
      </c>
      <c r="C2710" s="1">
        <v>45883</v>
      </c>
      <c r="D2710">
        <v>143443</v>
      </c>
      <c r="E2710">
        <v>11</v>
      </c>
      <c r="F2710" s="3" t="s">
        <v>2398</v>
      </c>
      <c r="G2710" s="4">
        <v>117948.5</v>
      </c>
      <c r="H2710" s="4">
        <v>0</v>
      </c>
      <c r="I2710" s="4">
        <v>-33521726.010000002</v>
      </c>
    </row>
    <row r="2711" spans="1:9" x14ac:dyDescent="0.3">
      <c r="A2711" t="s">
        <v>75</v>
      </c>
      <c r="B2711" s="1">
        <v>45883</v>
      </c>
      <c r="C2711" s="1">
        <v>45883</v>
      </c>
      <c r="D2711">
        <v>143444</v>
      </c>
      <c r="E2711">
        <v>92</v>
      </c>
      <c r="F2711" s="3" t="s">
        <v>2399</v>
      </c>
      <c r="G2711" s="4">
        <v>380</v>
      </c>
      <c r="H2711" s="4">
        <v>0</v>
      </c>
      <c r="I2711" s="4">
        <v>-33521346.010000002</v>
      </c>
    </row>
    <row r="2712" spans="1:9" x14ac:dyDescent="0.3">
      <c r="A2712" t="s">
        <v>75</v>
      </c>
      <c r="B2712" s="1">
        <v>45882</v>
      </c>
      <c r="C2712" s="1">
        <v>45883</v>
      </c>
      <c r="D2712">
        <v>143445</v>
      </c>
      <c r="E2712">
        <v>69</v>
      </c>
      <c r="F2712" s="3" t="s">
        <v>2400</v>
      </c>
      <c r="G2712" s="4">
        <v>71606.25</v>
      </c>
      <c r="H2712" s="4">
        <v>0</v>
      </c>
      <c r="I2712" s="4">
        <v>-33449739.760000002</v>
      </c>
    </row>
    <row r="2713" spans="1:9" x14ac:dyDescent="0.3">
      <c r="A2713" t="s">
        <v>75</v>
      </c>
      <c r="B2713" s="1">
        <v>45882</v>
      </c>
      <c r="C2713" s="1">
        <v>45883</v>
      </c>
      <c r="D2713">
        <v>143446</v>
      </c>
      <c r="E2713">
        <v>98</v>
      </c>
      <c r="F2713" s="3" t="s">
        <v>2401</v>
      </c>
      <c r="G2713" s="4">
        <v>26513.5</v>
      </c>
      <c r="H2713" s="4">
        <v>0</v>
      </c>
      <c r="I2713" s="4">
        <v>-33423226.260000002</v>
      </c>
    </row>
    <row r="2714" spans="1:9" x14ac:dyDescent="0.3">
      <c r="A2714" t="s">
        <v>75</v>
      </c>
      <c r="B2714" s="1">
        <v>45883</v>
      </c>
      <c r="C2714" s="1">
        <v>45883</v>
      </c>
      <c r="D2714">
        <v>143448</v>
      </c>
      <c r="E2714">
        <v>62</v>
      </c>
      <c r="F2714" s="3" t="s">
        <v>2402</v>
      </c>
      <c r="G2714" s="4">
        <v>4330</v>
      </c>
      <c r="H2714" s="4">
        <v>0</v>
      </c>
      <c r="I2714" s="4">
        <v>-33418896.260000002</v>
      </c>
    </row>
    <row r="2715" spans="1:9" x14ac:dyDescent="0.3">
      <c r="A2715" t="s">
        <v>75</v>
      </c>
      <c r="B2715" s="1">
        <v>45878</v>
      </c>
      <c r="C2715" s="1">
        <v>45883</v>
      </c>
      <c r="D2715">
        <v>143449</v>
      </c>
      <c r="E2715">
        <v>86</v>
      </c>
      <c r="F2715" s="3" t="s">
        <v>2403</v>
      </c>
      <c r="G2715" s="4">
        <v>6340</v>
      </c>
      <c r="H2715" s="4">
        <v>0</v>
      </c>
      <c r="I2715" s="4">
        <v>-33412556.260000002</v>
      </c>
    </row>
    <row r="2716" spans="1:9" x14ac:dyDescent="0.3">
      <c r="A2716" t="s">
        <v>75</v>
      </c>
      <c r="B2716" s="1">
        <v>45882</v>
      </c>
      <c r="C2716" s="1">
        <v>45883</v>
      </c>
      <c r="D2716">
        <v>143457</v>
      </c>
      <c r="E2716">
        <v>11</v>
      </c>
      <c r="F2716" s="3" t="s">
        <v>2404</v>
      </c>
      <c r="G2716" s="4">
        <v>2827.22</v>
      </c>
      <c r="H2716" s="4">
        <v>0</v>
      </c>
      <c r="I2716" s="4">
        <v>-33409729.039999999</v>
      </c>
    </row>
    <row r="2717" spans="1:9" x14ac:dyDescent="0.3">
      <c r="A2717" t="s">
        <v>75</v>
      </c>
      <c r="B2717" s="1">
        <v>45882</v>
      </c>
      <c r="C2717" s="1">
        <v>45883</v>
      </c>
      <c r="D2717">
        <v>143457</v>
      </c>
      <c r="E2717">
        <v>11</v>
      </c>
      <c r="F2717" s="3" t="s">
        <v>2405</v>
      </c>
      <c r="G2717" s="4">
        <v>6</v>
      </c>
      <c r="H2717" s="4">
        <v>0</v>
      </c>
      <c r="I2717" s="4">
        <v>-33409723.039999999</v>
      </c>
    </row>
    <row r="2718" spans="1:9" x14ac:dyDescent="0.3">
      <c r="A2718" t="s">
        <v>75</v>
      </c>
      <c r="B2718" s="1">
        <v>45883</v>
      </c>
      <c r="C2718" s="1">
        <v>45883</v>
      </c>
      <c r="D2718">
        <v>143463</v>
      </c>
      <c r="E2718">
        <v>63</v>
      </c>
      <c r="F2718" s="3" t="s">
        <v>2406</v>
      </c>
      <c r="G2718" s="4">
        <v>3000</v>
      </c>
      <c r="H2718" s="4">
        <v>0</v>
      </c>
      <c r="I2718" s="4">
        <v>-33406723.039999999</v>
      </c>
    </row>
    <row r="2719" spans="1:9" x14ac:dyDescent="0.3">
      <c r="A2719" t="s">
        <v>75</v>
      </c>
      <c r="B2719" s="1">
        <v>45881</v>
      </c>
      <c r="C2719" s="1">
        <v>45883</v>
      </c>
      <c r="D2719">
        <v>143464</v>
      </c>
      <c r="E2719">
        <v>11</v>
      </c>
      <c r="F2719" s="3" t="s">
        <v>2407</v>
      </c>
      <c r="G2719" s="4">
        <v>34828.75</v>
      </c>
      <c r="H2719" s="4">
        <v>0</v>
      </c>
      <c r="I2719" s="4">
        <v>-33371894.289999999</v>
      </c>
    </row>
    <row r="2720" spans="1:9" x14ac:dyDescent="0.3">
      <c r="A2720" t="s">
        <v>75</v>
      </c>
      <c r="B2720" s="1">
        <v>45882</v>
      </c>
      <c r="C2720" s="1">
        <v>45883</v>
      </c>
      <c r="D2720">
        <v>143465</v>
      </c>
      <c r="E2720">
        <v>11</v>
      </c>
      <c r="F2720" s="3" t="s">
        <v>2408</v>
      </c>
      <c r="G2720" s="4">
        <v>89520</v>
      </c>
      <c r="H2720" s="4">
        <v>0</v>
      </c>
      <c r="I2720" s="4">
        <v>-33282374.289999999</v>
      </c>
    </row>
    <row r="2721" spans="1:9" x14ac:dyDescent="0.3">
      <c r="A2721" t="s">
        <v>75</v>
      </c>
      <c r="B2721" s="1">
        <v>45881</v>
      </c>
      <c r="C2721" s="1">
        <v>45883</v>
      </c>
      <c r="D2721">
        <v>143466</v>
      </c>
      <c r="E2721">
        <v>11</v>
      </c>
      <c r="F2721" s="3" t="s">
        <v>2409</v>
      </c>
      <c r="G2721" s="4">
        <v>21384.5</v>
      </c>
      <c r="H2721" s="4">
        <v>0</v>
      </c>
      <c r="I2721" s="4">
        <v>-33260989.789999999</v>
      </c>
    </row>
    <row r="2722" spans="1:9" x14ac:dyDescent="0.3">
      <c r="A2722" t="s">
        <v>75</v>
      </c>
      <c r="B2722" s="1">
        <v>45883</v>
      </c>
      <c r="C2722" s="1">
        <v>45883</v>
      </c>
      <c r="D2722">
        <v>143468</v>
      </c>
      <c r="E2722">
        <v>16</v>
      </c>
      <c r="F2722" s="3" t="s">
        <v>2410</v>
      </c>
      <c r="G2722" s="4">
        <v>30500</v>
      </c>
      <c r="H2722" s="4">
        <v>0</v>
      </c>
      <c r="I2722" s="4">
        <v>-33230489.789999999</v>
      </c>
    </row>
    <row r="2723" spans="1:9" x14ac:dyDescent="0.3">
      <c r="A2723" t="s">
        <v>75</v>
      </c>
      <c r="B2723" s="1">
        <v>45882</v>
      </c>
      <c r="C2723" s="1">
        <v>45883</v>
      </c>
      <c r="D2723">
        <v>143475</v>
      </c>
      <c r="E2723">
        <v>23</v>
      </c>
      <c r="F2723" s="3" t="s">
        <v>2411</v>
      </c>
      <c r="G2723" s="4">
        <v>30000</v>
      </c>
      <c r="H2723" s="4">
        <v>0</v>
      </c>
      <c r="I2723" s="4">
        <v>-33200489.789999999</v>
      </c>
    </row>
    <row r="2724" spans="1:9" x14ac:dyDescent="0.3">
      <c r="A2724" t="s">
        <v>75</v>
      </c>
      <c r="B2724" s="1">
        <v>45883</v>
      </c>
      <c r="C2724" s="1">
        <v>45883</v>
      </c>
      <c r="D2724">
        <v>143476</v>
      </c>
      <c r="E2724">
        <v>23</v>
      </c>
      <c r="F2724" s="3" t="s">
        <v>2412</v>
      </c>
      <c r="G2724" s="4">
        <v>42020.5</v>
      </c>
      <c r="H2724" s="4">
        <v>0</v>
      </c>
      <c r="I2724" s="4">
        <v>-33158469.289999999</v>
      </c>
    </row>
    <row r="2725" spans="1:9" x14ac:dyDescent="0.3">
      <c r="A2725" t="s">
        <v>75</v>
      </c>
      <c r="B2725" s="1">
        <v>45882</v>
      </c>
      <c r="C2725" s="1">
        <v>45883</v>
      </c>
      <c r="D2725">
        <v>143477</v>
      </c>
      <c r="E2725">
        <v>23</v>
      </c>
      <c r="F2725" s="3" t="s">
        <v>2413</v>
      </c>
      <c r="G2725" s="4">
        <v>91947.5</v>
      </c>
      <c r="H2725" s="4">
        <v>0</v>
      </c>
      <c r="I2725" s="4">
        <v>-33066521.789999999</v>
      </c>
    </row>
    <row r="2726" spans="1:9" x14ac:dyDescent="0.3">
      <c r="A2726" t="s">
        <v>75</v>
      </c>
      <c r="B2726" s="1">
        <v>45883</v>
      </c>
      <c r="C2726" s="1">
        <v>45883</v>
      </c>
      <c r="D2726">
        <v>143478</v>
      </c>
      <c r="E2726">
        <v>23</v>
      </c>
      <c r="F2726" s="3" t="s">
        <v>2414</v>
      </c>
      <c r="G2726" s="4">
        <v>134319.5</v>
      </c>
      <c r="H2726" s="4">
        <v>0</v>
      </c>
      <c r="I2726" s="4">
        <v>-32932202.289999999</v>
      </c>
    </row>
    <row r="2727" spans="1:9" x14ac:dyDescent="0.3">
      <c r="A2727" t="s">
        <v>75</v>
      </c>
      <c r="B2727" s="1">
        <v>45883</v>
      </c>
      <c r="C2727" s="1">
        <v>45883</v>
      </c>
      <c r="D2727">
        <v>143479</v>
      </c>
      <c r="E2727">
        <v>361</v>
      </c>
      <c r="F2727" s="3" t="s">
        <v>2415</v>
      </c>
      <c r="G2727" s="4">
        <v>5028.25</v>
      </c>
      <c r="H2727" s="4">
        <v>0</v>
      </c>
      <c r="I2727" s="4">
        <v>-32927174.039999999</v>
      </c>
    </row>
    <row r="2728" spans="1:9" x14ac:dyDescent="0.3">
      <c r="A2728" t="s">
        <v>75</v>
      </c>
      <c r="B2728" s="1">
        <v>45883</v>
      </c>
      <c r="C2728" s="1">
        <v>45883</v>
      </c>
      <c r="D2728">
        <v>143481</v>
      </c>
      <c r="E2728">
        <v>67</v>
      </c>
      <c r="F2728" s="3" t="s">
        <v>2416</v>
      </c>
      <c r="G2728" s="4">
        <v>32456.25</v>
      </c>
      <c r="H2728" s="4">
        <v>0</v>
      </c>
      <c r="I2728" s="4">
        <v>-32894717.789999999</v>
      </c>
    </row>
    <row r="2729" spans="1:9" x14ac:dyDescent="0.3">
      <c r="A2729" t="s">
        <v>75</v>
      </c>
      <c r="B2729" s="1">
        <v>45883</v>
      </c>
      <c r="C2729" s="1">
        <v>45883</v>
      </c>
      <c r="D2729">
        <v>143482</v>
      </c>
      <c r="E2729">
        <v>84</v>
      </c>
      <c r="F2729" s="3" t="s">
        <v>2417</v>
      </c>
      <c r="G2729" s="4">
        <v>100000</v>
      </c>
      <c r="H2729" s="4">
        <v>0</v>
      </c>
      <c r="I2729" s="4">
        <v>-32794717.789999999</v>
      </c>
    </row>
    <row r="2730" spans="1:9" x14ac:dyDescent="0.3">
      <c r="A2730" t="s">
        <v>71</v>
      </c>
      <c r="B2730" s="1">
        <v>45883</v>
      </c>
      <c r="C2730" s="1">
        <v>45883</v>
      </c>
      <c r="D2730">
        <v>14379</v>
      </c>
      <c r="E2730">
        <v>100</v>
      </c>
      <c r="F2730" s="3" t="s">
        <v>74</v>
      </c>
      <c r="G2730" s="4">
        <v>0</v>
      </c>
      <c r="H2730" s="4">
        <v>34529020</v>
      </c>
      <c r="I2730" s="4">
        <v>-67323737.790000007</v>
      </c>
    </row>
    <row r="2731" spans="1:9" x14ac:dyDescent="0.3">
      <c r="A2731" t="s">
        <v>124</v>
      </c>
      <c r="B2731" s="1">
        <v>45883</v>
      </c>
      <c r="C2731" s="1">
        <v>45883</v>
      </c>
      <c r="D2731">
        <v>22214</v>
      </c>
      <c r="E2731">
        <v>11</v>
      </c>
      <c r="F2731" s="3" t="s">
        <v>125</v>
      </c>
      <c r="G2731" s="4">
        <v>0</v>
      </c>
      <c r="H2731" s="4">
        <v>37143183.649999999</v>
      </c>
      <c r="I2731" s="4">
        <v>-104466921.44</v>
      </c>
    </row>
    <row r="2732" spans="1:9" x14ac:dyDescent="0.3">
      <c r="A2732" t="s">
        <v>124</v>
      </c>
      <c r="B2732" s="1">
        <v>45883</v>
      </c>
      <c r="C2732" s="1">
        <v>45883</v>
      </c>
      <c r="D2732">
        <v>22215</v>
      </c>
      <c r="E2732">
        <v>11</v>
      </c>
      <c r="F2732" s="3" t="s">
        <v>127</v>
      </c>
      <c r="G2732" s="4">
        <v>36900000</v>
      </c>
      <c r="H2732" s="4">
        <v>0</v>
      </c>
      <c r="I2732" s="4">
        <v>-67566921.439999998</v>
      </c>
    </row>
    <row r="2733" spans="1:9" x14ac:dyDescent="0.3">
      <c r="A2733" t="s">
        <v>124</v>
      </c>
      <c r="B2733" s="1">
        <v>45883</v>
      </c>
      <c r="C2733" s="1">
        <v>45883</v>
      </c>
      <c r="D2733">
        <v>22216</v>
      </c>
      <c r="E2733">
        <v>11</v>
      </c>
      <c r="F2733" s="3" t="s">
        <v>125</v>
      </c>
      <c r="G2733" s="4">
        <v>0</v>
      </c>
      <c r="H2733" s="4">
        <v>350000</v>
      </c>
      <c r="I2733" s="4">
        <v>-67916921.439999998</v>
      </c>
    </row>
    <row r="2734" spans="1:9" x14ac:dyDescent="0.3">
      <c r="A2734" t="s">
        <v>133</v>
      </c>
      <c r="B2734" s="1">
        <v>45883</v>
      </c>
      <c r="C2734" s="1">
        <v>45883</v>
      </c>
      <c r="D2734">
        <v>916023</v>
      </c>
      <c r="E2734">
        <v>64</v>
      </c>
      <c r="F2734" s="3" t="s">
        <v>2418</v>
      </c>
      <c r="G2734" s="4">
        <v>1253507.75</v>
      </c>
      <c r="H2734" s="4">
        <v>0</v>
      </c>
      <c r="I2734" s="4">
        <v>-66663413.689999998</v>
      </c>
    </row>
    <row r="2735" spans="1:9" x14ac:dyDescent="0.3">
      <c r="A2735" t="s">
        <v>133</v>
      </c>
      <c r="B2735" s="1">
        <v>45883</v>
      </c>
      <c r="C2735" s="1">
        <v>45883</v>
      </c>
      <c r="D2735">
        <v>916031</v>
      </c>
      <c r="E2735">
        <v>14</v>
      </c>
      <c r="F2735" s="3">
        <v>4546</v>
      </c>
      <c r="G2735" s="4">
        <v>88624.75</v>
      </c>
      <c r="H2735" s="4">
        <v>0</v>
      </c>
      <c r="I2735" s="4">
        <v>-66574788.939999998</v>
      </c>
    </row>
    <row r="2736" spans="1:9" x14ac:dyDescent="0.3">
      <c r="A2736" t="s">
        <v>133</v>
      </c>
      <c r="B2736" s="1">
        <v>45883</v>
      </c>
      <c r="C2736" s="1">
        <v>45883</v>
      </c>
      <c r="D2736">
        <v>916032</v>
      </c>
      <c r="E2736">
        <v>78</v>
      </c>
      <c r="F2736" s="3" t="s">
        <v>2419</v>
      </c>
      <c r="G2736" s="4">
        <v>196426.5</v>
      </c>
      <c r="H2736" s="4">
        <v>0</v>
      </c>
      <c r="I2736" s="4">
        <v>-66378362.439999998</v>
      </c>
    </row>
    <row r="2737" spans="1:9" x14ac:dyDescent="0.3">
      <c r="A2737" t="s">
        <v>133</v>
      </c>
      <c r="B2737" s="1">
        <v>45883</v>
      </c>
      <c r="C2737" s="1">
        <v>45883</v>
      </c>
      <c r="D2737">
        <v>916033</v>
      </c>
      <c r="E2737">
        <v>11</v>
      </c>
      <c r="F2737" s="3" t="s">
        <v>2420</v>
      </c>
      <c r="G2737" s="4">
        <v>73585.25</v>
      </c>
      <c r="H2737" s="4">
        <v>0</v>
      </c>
      <c r="I2737" s="4">
        <v>-66304777.189999998</v>
      </c>
    </row>
    <row r="2738" spans="1:9" x14ac:dyDescent="0.3">
      <c r="A2738" t="s">
        <v>133</v>
      </c>
      <c r="B2738" s="1">
        <v>45883</v>
      </c>
      <c r="C2738" s="1">
        <v>45883</v>
      </c>
      <c r="D2738">
        <v>916040</v>
      </c>
      <c r="E2738">
        <v>72</v>
      </c>
      <c r="F2738" s="3" t="s">
        <v>2421</v>
      </c>
      <c r="G2738" s="4">
        <v>50000</v>
      </c>
      <c r="H2738" s="4">
        <v>0</v>
      </c>
      <c r="I2738" s="4">
        <v>-66254777.189999998</v>
      </c>
    </row>
    <row r="2739" spans="1:9" x14ac:dyDescent="0.3">
      <c r="A2739" t="s">
        <v>133</v>
      </c>
      <c r="B2739" s="1">
        <v>45883</v>
      </c>
      <c r="C2739" s="1">
        <v>45883</v>
      </c>
      <c r="D2739">
        <v>916047</v>
      </c>
      <c r="E2739">
        <v>220</v>
      </c>
      <c r="F2739" s="3" t="s">
        <v>2422</v>
      </c>
      <c r="G2739" s="4">
        <v>79676</v>
      </c>
      <c r="H2739" s="4">
        <v>0</v>
      </c>
      <c r="I2739" s="4">
        <v>-66175101.189999998</v>
      </c>
    </row>
    <row r="2740" spans="1:9" x14ac:dyDescent="0.3">
      <c r="A2740" t="s">
        <v>133</v>
      </c>
      <c r="B2740" s="1">
        <v>45883</v>
      </c>
      <c r="C2740" s="1">
        <v>45883</v>
      </c>
      <c r="D2740">
        <v>916055</v>
      </c>
      <c r="E2740">
        <v>33</v>
      </c>
      <c r="F2740" s="3" t="s">
        <v>2423</v>
      </c>
      <c r="G2740" s="4">
        <v>43100</v>
      </c>
      <c r="H2740" s="4">
        <v>0</v>
      </c>
      <c r="I2740" s="4">
        <v>-66132001.189999998</v>
      </c>
    </row>
    <row r="2741" spans="1:9" x14ac:dyDescent="0.3">
      <c r="A2741" t="s">
        <v>133</v>
      </c>
      <c r="B2741" s="1">
        <v>45883</v>
      </c>
      <c r="C2741" s="1">
        <v>45883</v>
      </c>
      <c r="D2741">
        <v>916060</v>
      </c>
      <c r="E2741">
        <v>12</v>
      </c>
      <c r="F2741" s="3" t="s">
        <v>2424</v>
      </c>
      <c r="G2741" s="4">
        <v>51610</v>
      </c>
      <c r="H2741" s="4">
        <v>0</v>
      </c>
      <c r="I2741" s="4">
        <v>-66080391.189999998</v>
      </c>
    </row>
    <row r="2742" spans="1:9" x14ac:dyDescent="0.3">
      <c r="A2742" t="s">
        <v>133</v>
      </c>
      <c r="B2742" s="1">
        <v>45883</v>
      </c>
      <c r="C2742" s="1">
        <v>45883</v>
      </c>
      <c r="D2742">
        <v>916061</v>
      </c>
      <c r="E2742">
        <v>12</v>
      </c>
      <c r="F2742" s="3" t="s">
        <v>2425</v>
      </c>
      <c r="G2742" s="4">
        <v>15000</v>
      </c>
      <c r="H2742" s="4">
        <v>0</v>
      </c>
      <c r="I2742" s="4">
        <v>-66065391.189999998</v>
      </c>
    </row>
    <row r="2743" spans="1:9" x14ac:dyDescent="0.3">
      <c r="A2743" t="s">
        <v>133</v>
      </c>
      <c r="B2743" s="1">
        <v>45883</v>
      </c>
      <c r="C2743" s="1">
        <v>45883</v>
      </c>
      <c r="D2743">
        <v>916072</v>
      </c>
      <c r="E2743">
        <v>55</v>
      </c>
      <c r="F2743" s="3">
        <v>5620550000104</v>
      </c>
      <c r="G2743" s="4">
        <v>116356</v>
      </c>
      <c r="H2743" s="4">
        <v>0</v>
      </c>
      <c r="I2743" s="4">
        <v>-65949035.189999998</v>
      </c>
    </row>
    <row r="2744" spans="1:9" x14ac:dyDescent="0.3">
      <c r="A2744" t="s">
        <v>133</v>
      </c>
      <c r="B2744" s="1">
        <v>45883</v>
      </c>
      <c r="C2744" s="1">
        <v>45883</v>
      </c>
      <c r="D2744">
        <v>916091</v>
      </c>
      <c r="E2744">
        <v>84</v>
      </c>
      <c r="F2744" s="3" t="s">
        <v>2426</v>
      </c>
      <c r="G2744" s="4">
        <v>2005.25</v>
      </c>
      <c r="H2744" s="4">
        <v>0</v>
      </c>
      <c r="I2744" s="4">
        <v>-65947029.939999998</v>
      </c>
    </row>
    <row r="2745" spans="1:9" x14ac:dyDescent="0.3">
      <c r="A2745" t="s">
        <v>133</v>
      </c>
      <c r="B2745" s="1">
        <v>45883</v>
      </c>
      <c r="C2745" s="1">
        <v>45883</v>
      </c>
      <c r="D2745">
        <v>916096</v>
      </c>
      <c r="E2745">
        <v>91</v>
      </c>
      <c r="F2745" s="3" t="s">
        <v>2427</v>
      </c>
      <c r="G2745" s="4">
        <v>63711.75</v>
      </c>
      <c r="H2745" s="4">
        <v>0</v>
      </c>
      <c r="I2745" s="4">
        <v>-65883318.189999998</v>
      </c>
    </row>
    <row r="2746" spans="1:9" x14ac:dyDescent="0.3">
      <c r="A2746" t="s">
        <v>133</v>
      </c>
      <c r="B2746" s="1">
        <v>45883</v>
      </c>
      <c r="C2746" s="1">
        <v>45883</v>
      </c>
      <c r="D2746">
        <v>916108</v>
      </c>
      <c r="E2746">
        <v>382</v>
      </c>
      <c r="F2746" s="3" t="s">
        <v>2428</v>
      </c>
      <c r="G2746" s="4">
        <v>84380</v>
      </c>
      <c r="H2746" s="4">
        <v>0</v>
      </c>
      <c r="I2746" s="4">
        <v>-65798938.189999998</v>
      </c>
    </row>
    <row r="2747" spans="1:9" x14ac:dyDescent="0.3">
      <c r="A2747" t="s">
        <v>133</v>
      </c>
      <c r="B2747" s="1">
        <v>45883</v>
      </c>
      <c r="C2747" s="1">
        <v>45883</v>
      </c>
      <c r="D2747">
        <v>916109</v>
      </c>
      <c r="E2747">
        <v>72</v>
      </c>
      <c r="F2747" s="3" t="s">
        <v>2429</v>
      </c>
      <c r="G2747" s="4">
        <v>6750</v>
      </c>
      <c r="H2747" s="4">
        <v>0</v>
      </c>
      <c r="I2747" s="4">
        <v>-65792188.189999998</v>
      </c>
    </row>
    <row r="2748" spans="1:9" x14ac:dyDescent="0.3">
      <c r="A2748" t="s">
        <v>133</v>
      </c>
      <c r="B2748" s="1">
        <v>45883</v>
      </c>
      <c r="C2748" s="1">
        <v>45883</v>
      </c>
      <c r="D2748">
        <v>916110</v>
      </c>
      <c r="E2748">
        <v>72</v>
      </c>
      <c r="F2748" s="3" t="s">
        <v>2430</v>
      </c>
      <c r="G2748" s="4">
        <v>11750</v>
      </c>
      <c r="H2748" s="4">
        <v>0</v>
      </c>
      <c r="I2748" s="4">
        <v>-65780438.189999998</v>
      </c>
    </row>
    <row r="2749" spans="1:9" x14ac:dyDescent="0.3">
      <c r="A2749" t="s">
        <v>133</v>
      </c>
      <c r="B2749" s="1">
        <v>45883</v>
      </c>
      <c r="C2749" s="1">
        <v>45883</v>
      </c>
      <c r="D2749">
        <v>916112</v>
      </c>
      <c r="E2749">
        <v>85</v>
      </c>
      <c r="F2749" s="3" t="s">
        <v>2431</v>
      </c>
      <c r="G2749" s="4">
        <v>13360.25</v>
      </c>
      <c r="H2749" s="4">
        <v>0</v>
      </c>
      <c r="I2749" s="4">
        <v>-65767077.939999998</v>
      </c>
    </row>
    <row r="2750" spans="1:9" x14ac:dyDescent="0.3">
      <c r="A2750" t="s">
        <v>133</v>
      </c>
      <c r="B2750" s="1">
        <v>45883</v>
      </c>
      <c r="C2750" s="1">
        <v>45883</v>
      </c>
      <c r="D2750">
        <v>916114</v>
      </c>
      <c r="E2750">
        <v>85</v>
      </c>
      <c r="F2750" s="3" t="s">
        <v>2432</v>
      </c>
      <c r="G2750" s="4">
        <v>1244</v>
      </c>
      <c r="H2750" s="4">
        <v>0</v>
      </c>
      <c r="I2750" s="4">
        <v>-65765833.939999998</v>
      </c>
    </row>
    <row r="2751" spans="1:9" x14ac:dyDescent="0.3">
      <c r="A2751" t="s">
        <v>133</v>
      </c>
      <c r="B2751" s="1">
        <v>45883</v>
      </c>
      <c r="C2751" s="1">
        <v>45883</v>
      </c>
      <c r="D2751">
        <v>916120</v>
      </c>
      <c r="E2751">
        <v>224</v>
      </c>
      <c r="F2751" s="3" t="s">
        <v>2433</v>
      </c>
      <c r="G2751" s="4">
        <v>220000</v>
      </c>
      <c r="H2751" s="4">
        <v>0</v>
      </c>
      <c r="I2751" s="4">
        <v>-65545833.939999998</v>
      </c>
    </row>
    <row r="2752" spans="1:9" x14ac:dyDescent="0.3">
      <c r="A2752" t="s">
        <v>133</v>
      </c>
      <c r="B2752" s="1">
        <v>45883</v>
      </c>
      <c r="C2752" s="1">
        <v>45883</v>
      </c>
      <c r="D2752">
        <v>916170</v>
      </c>
      <c r="E2752">
        <v>33</v>
      </c>
      <c r="F2752" s="3">
        <v>5620330001989</v>
      </c>
      <c r="G2752" s="4">
        <v>5000</v>
      </c>
      <c r="H2752" s="4">
        <v>0</v>
      </c>
      <c r="I2752" s="4">
        <v>-65540833.939999998</v>
      </c>
    </row>
    <row r="2753" spans="1:9" x14ac:dyDescent="0.3">
      <c r="A2753" t="s">
        <v>133</v>
      </c>
      <c r="B2753" s="1">
        <v>45883</v>
      </c>
      <c r="C2753" s="1">
        <v>45883</v>
      </c>
      <c r="D2753">
        <v>916177</v>
      </c>
      <c r="E2753">
        <v>53</v>
      </c>
      <c r="F2753" s="3" t="s">
        <v>2434</v>
      </c>
      <c r="G2753" s="4">
        <v>79309</v>
      </c>
      <c r="H2753" s="4">
        <v>0</v>
      </c>
      <c r="I2753" s="4">
        <v>-65461524.939999998</v>
      </c>
    </row>
    <row r="2754" spans="1:9" x14ac:dyDescent="0.3">
      <c r="A2754" t="s">
        <v>133</v>
      </c>
      <c r="B2754" s="1">
        <v>45883</v>
      </c>
      <c r="C2754" s="1">
        <v>45883</v>
      </c>
      <c r="D2754">
        <v>916179</v>
      </c>
      <c r="E2754">
        <v>53</v>
      </c>
      <c r="F2754" s="3" t="s">
        <v>2435</v>
      </c>
      <c r="G2754" s="4">
        <v>100000</v>
      </c>
      <c r="H2754" s="4">
        <v>0</v>
      </c>
      <c r="I2754" s="4">
        <v>-65361524.939999998</v>
      </c>
    </row>
    <row r="2755" spans="1:9" x14ac:dyDescent="0.3">
      <c r="A2755" t="s">
        <v>133</v>
      </c>
      <c r="B2755" s="1">
        <v>45883</v>
      </c>
      <c r="C2755" s="1">
        <v>45883</v>
      </c>
      <c r="D2755">
        <v>916182</v>
      </c>
      <c r="E2755">
        <v>53</v>
      </c>
      <c r="F2755" s="3" t="s">
        <v>2436</v>
      </c>
      <c r="G2755" s="4">
        <v>100000</v>
      </c>
      <c r="H2755" s="4">
        <v>0</v>
      </c>
      <c r="I2755" s="4">
        <v>-65261524.939999998</v>
      </c>
    </row>
    <row r="2756" spans="1:9" x14ac:dyDescent="0.3">
      <c r="A2756" t="s">
        <v>133</v>
      </c>
      <c r="B2756" s="1">
        <v>45883</v>
      </c>
      <c r="C2756" s="1">
        <v>45883</v>
      </c>
      <c r="D2756">
        <v>916183</v>
      </c>
      <c r="E2756">
        <v>53</v>
      </c>
      <c r="F2756" s="3" t="s">
        <v>2437</v>
      </c>
      <c r="G2756" s="4">
        <v>50000</v>
      </c>
      <c r="H2756" s="4">
        <v>0</v>
      </c>
      <c r="I2756" s="4">
        <v>-65211524.939999998</v>
      </c>
    </row>
    <row r="2757" spans="1:9" x14ac:dyDescent="0.3">
      <c r="A2757" t="s">
        <v>133</v>
      </c>
      <c r="B2757" s="1">
        <v>45883</v>
      </c>
      <c r="C2757" s="1">
        <v>45883</v>
      </c>
      <c r="D2757">
        <v>916184</v>
      </c>
      <c r="E2757">
        <v>18</v>
      </c>
      <c r="F2757" s="3" t="s">
        <v>2438</v>
      </c>
      <c r="G2757" s="4">
        <v>185000</v>
      </c>
      <c r="H2757" s="4">
        <v>0</v>
      </c>
      <c r="I2757" s="4">
        <v>-65026524.939999998</v>
      </c>
    </row>
    <row r="2758" spans="1:9" x14ac:dyDescent="0.3">
      <c r="A2758" t="s">
        <v>133</v>
      </c>
      <c r="B2758" s="1">
        <v>45883</v>
      </c>
      <c r="C2758" s="1">
        <v>45883</v>
      </c>
      <c r="D2758">
        <v>916187</v>
      </c>
      <c r="E2758">
        <v>49</v>
      </c>
      <c r="F2758" s="3" t="s">
        <v>2439</v>
      </c>
      <c r="G2758" s="4">
        <v>81636.25</v>
      </c>
      <c r="H2758" s="4">
        <v>0</v>
      </c>
      <c r="I2758" s="4">
        <v>-64944888.689999998</v>
      </c>
    </row>
    <row r="2759" spans="1:9" x14ac:dyDescent="0.3">
      <c r="A2759" t="s">
        <v>133</v>
      </c>
      <c r="B2759" s="1">
        <v>45883</v>
      </c>
      <c r="C2759" s="1">
        <v>45883</v>
      </c>
      <c r="D2759">
        <v>916193</v>
      </c>
      <c r="E2759">
        <v>532</v>
      </c>
      <c r="F2759" s="3" t="s">
        <v>2440</v>
      </c>
      <c r="G2759" s="4">
        <v>400000</v>
      </c>
      <c r="H2759" s="4">
        <v>0</v>
      </c>
      <c r="I2759" s="4">
        <v>-64544888.689999998</v>
      </c>
    </row>
    <row r="2760" spans="1:9" x14ac:dyDescent="0.3">
      <c r="A2760" t="s">
        <v>133</v>
      </c>
      <c r="B2760" s="1">
        <v>45883</v>
      </c>
      <c r="C2760" s="1">
        <v>45883</v>
      </c>
      <c r="D2760">
        <v>916195</v>
      </c>
      <c r="E2760">
        <v>34</v>
      </c>
      <c r="F2760" s="3" t="s">
        <v>2441</v>
      </c>
      <c r="G2760" s="4">
        <v>14592.25</v>
      </c>
      <c r="H2760" s="4">
        <v>0</v>
      </c>
      <c r="I2760" s="4">
        <v>-64530296.439999998</v>
      </c>
    </row>
    <row r="2761" spans="1:9" x14ac:dyDescent="0.3">
      <c r="A2761" t="s">
        <v>133</v>
      </c>
      <c r="B2761" s="1">
        <v>45883</v>
      </c>
      <c r="C2761" s="1">
        <v>45883</v>
      </c>
      <c r="D2761">
        <v>916196</v>
      </c>
      <c r="E2761">
        <v>11</v>
      </c>
      <c r="F2761" s="3" t="s">
        <v>2442</v>
      </c>
      <c r="G2761" s="4">
        <v>27477.5</v>
      </c>
      <c r="H2761" s="4">
        <v>0</v>
      </c>
      <c r="I2761" s="4">
        <v>-64502818.939999998</v>
      </c>
    </row>
    <row r="2762" spans="1:9" x14ac:dyDescent="0.3">
      <c r="A2762" t="s">
        <v>133</v>
      </c>
      <c r="B2762" s="1">
        <v>45883</v>
      </c>
      <c r="C2762" s="1">
        <v>45883</v>
      </c>
      <c r="D2762">
        <v>916197</v>
      </c>
      <c r="E2762">
        <v>86</v>
      </c>
      <c r="F2762" s="3">
        <v>50861540304</v>
      </c>
      <c r="G2762" s="4">
        <v>100000</v>
      </c>
      <c r="H2762" s="4">
        <v>0</v>
      </c>
      <c r="I2762" s="4">
        <v>-64402818.939999998</v>
      </c>
    </row>
    <row r="2763" spans="1:9" x14ac:dyDescent="0.3">
      <c r="A2763" t="s">
        <v>133</v>
      </c>
      <c r="B2763" s="1">
        <v>45883</v>
      </c>
      <c r="C2763" s="1">
        <v>45883</v>
      </c>
      <c r="D2763">
        <v>916198</v>
      </c>
      <c r="E2763">
        <v>86</v>
      </c>
      <c r="F2763" s="3">
        <v>50861594691</v>
      </c>
      <c r="G2763" s="4">
        <v>50000</v>
      </c>
      <c r="H2763" s="4">
        <v>0</v>
      </c>
      <c r="I2763" s="4">
        <v>-64352818.939999998</v>
      </c>
    </row>
    <row r="2764" spans="1:9" x14ac:dyDescent="0.3">
      <c r="A2764" t="s">
        <v>133</v>
      </c>
      <c r="B2764" s="1">
        <v>45883</v>
      </c>
      <c r="C2764" s="1">
        <v>45883</v>
      </c>
      <c r="D2764">
        <v>916199</v>
      </c>
      <c r="E2764">
        <v>86</v>
      </c>
      <c r="F2764" s="3">
        <v>50861563848</v>
      </c>
      <c r="G2764" s="4">
        <v>100000</v>
      </c>
      <c r="H2764" s="4">
        <v>0</v>
      </c>
      <c r="I2764" s="4">
        <v>-64252818.939999998</v>
      </c>
    </row>
    <row r="2765" spans="1:9" x14ac:dyDescent="0.3">
      <c r="A2765" t="s">
        <v>133</v>
      </c>
      <c r="B2765" s="1">
        <v>45883</v>
      </c>
      <c r="C2765" s="1">
        <v>45883</v>
      </c>
      <c r="D2765">
        <v>916202</v>
      </c>
      <c r="E2765">
        <v>86</v>
      </c>
      <c r="F2765" s="3" t="s">
        <v>2443</v>
      </c>
      <c r="G2765" s="4">
        <v>100000</v>
      </c>
      <c r="H2765" s="4">
        <v>0</v>
      </c>
      <c r="I2765" s="4">
        <v>-64152818.939999998</v>
      </c>
    </row>
    <row r="2766" spans="1:9" x14ac:dyDescent="0.3">
      <c r="A2766" t="s">
        <v>133</v>
      </c>
      <c r="B2766" s="1">
        <v>45883</v>
      </c>
      <c r="C2766" s="1">
        <v>45883</v>
      </c>
      <c r="D2766">
        <v>916203</v>
      </c>
      <c r="E2766">
        <v>86</v>
      </c>
      <c r="F2766" s="3" t="s">
        <v>2444</v>
      </c>
      <c r="G2766" s="4">
        <v>100000</v>
      </c>
      <c r="H2766" s="4">
        <v>0</v>
      </c>
      <c r="I2766" s="4">
        <v>-64052818.939999998</v>
      </c>
    </row>
    <row r="2767" spans="1:9" x14ac:dyDescent="0.3">
      <c r="A2767" t="s">
        <v>133</v>
      </c>
      <c r="B2767" s="1">
        <v>45883</v>
      </c>
      <c r="C2767" s="1">
        <v>45883</v>
      </c>
      <c r="D2767">
        <v>916204</v>
      </c>
      <c r="E2767">
        <v>86</v>
      </c>
      <c r="F2767" s="3" t="s">
        <v>2445</v>
      </c>
      <c r="G2767" s="4">
        <v>50000</v>
      </c>
      <c r="H2767" s="4">
        <v>0</v>
      </c>
      <c r="I2767" s="4">
        <v>-64002818.939999998</v>
      </c>
    </row>
    <row r="2768" spans="1:9" x14ac:dyDescent="0.3">
      <c r="A2768" t="s">
        <v>133</v>
      </c>
      <c r="B2768" s="1">
        <v>45883</v>
      </c>
      <c r="C2768" s="1">
        <v>45883</v>
      </c>
      <c r="D2768">
        <v>916205</v>
      </c>
      <c r="E2768">
        <v>86</v>
      </c>
      <c r="F2768" s="3" t="s">
        <v>2446</v>
      </c>
      <c r="G2768" s="4">
        <v>100000</v>
      </c>
      <c r="H2768" s="4">
        <v>0</v>
      </c>
      <c r="I2768" s="4">
        <v>-63902818.939999998</v>
      </c>
    </row>
    <row r="2769" spans="1:9" x14ac:dyDescent="0.3">
      <c r="A2769" t="s">
        <v>133</v>
      </c>
      <c r="B2769" s="1">
        <v>45883</v>
      </c>
      <c r="C2769" s="1">
        <v>45883</v>
      </c>
      <c r="D2769">
        <v>916206</v>
      </c>
      <c r="E2769">
        <v>86</v>
      </c>
      <c r="F2769" s="3" t="s">
        <v>2447</v>
      </c>
      <c r="G2769" s="4">
        <v>100000</v>
      </c>
      <c r="H2769" s="4">
        <v>0</v>
      </c>
      <c r="I2769" s="4">
        <v>-63802818.939999998</v>
      </c>
    </row>
    <row r="2770" spans="1:9" x14ac:dyDescent="0.3">
      <c r="A2770" t="s">
        <v>133</v>
      </c>
      <c r="B2770" s="1">
        <v>45883</v>
      </c>
      <c r="C2770" s="1">
        <v>45883</v>
      </c>
      <c r="D2770">
        <v>916208</v>
      </c>
      <c r="E2770">
        <v>86</v>
      </c>
      <c r="F2770" s="3" t="s">
        <v>2448</v>
      </c>
      <c r="G2770" s="4">
        <v>100000</v>
      </c>
      <c r="H2770" s="4">
        <v>0</v>
      </c>
      <c r="I2770" s="4">
        <v>-63702818.939999998</v>
      </c>
    </row>
    <row r="2771" spans="1:9" x14ac:dyDescent="0.3">
      <c r="A2771" t="s">
        <v>133</v>
      </c>
      <c r="B2771" s="1">
        <v>45883</v>
      </c>
      <c r="C2771" s="1">
        <v>45883</v>
      </c>
      <c r="D2771">
        <v>916209</v>
      </c>
      <c r="E2771">
        <v>86</v>
      </c>
      <c r="F2771" s="3" t="s">
        <v>2449</v>
      </c>
      <c r="G2771" s="4">
        <v>100000</v>
      </c>
      <c r="H2771" s="4">
        <v>0</v>
      </c>
      <c r="I2771" s="4">
        <v>-63602818.939999998</v>
      </c>
    </row>
    <row r="2772" spans="1:9" x14ac:dyDescent="0.3">
      <c r="A2772" t="s">
        <v>133</v>
      </c>
      <c r="B2772" s="1">
        <v>45883</v>
      </c>
      <c r="C2772" s="1">
        <v>45883</v>
      </c>
      <c r="D2772">
        <v>916210</v>
      </c>
      <c r="E2772">
        <v>86</v>
      </c>
      <c r="F2772" s="3" t="s">
        <v>2450</v>
      </c>
      <c r="G2772" s="4">
        <v>1288</v>
      </c>
      <c r="H2772" s="4">
        <v>0</v>
      </c>
      <c r="I2772" s="4">
        <v>-63601530.939999998</v>
      </c>
    </row>
    <row r="2773" spans="1:9" x14ac:dyDescent="0.3">
      <c r="A2773" t="s">
        <v>133</v>
      </c>
      <c r="B2773" s="1">
        <v>45883</v>
      </c>
      <c r="C2773" s="1">
        <v>45883</v>
      </c>
      <c r="D2773">
        <v>916211</v>
      </c>
      <c r="E2773">
        <v>86</v>
      </c>
      <c r="F2773" s="3" t="s">
        <v>2451</v>
      </c>
      <c r="G2773" s="4">
        <v>100000</v>
      </c>
      <c r="H2773" s="4">
        <v>0</v>
      </c>
      <c r="I2773" s="4">
        <v>-63501530.939999998</v>
      </c>
    </row>
    <row r="2774" spans="1:9" x14ac:dyDescent="0.3">
      <c r="A2774" t="s">
        <v>133</v>
      </c>
      <c r="B2774" s="1">
        <v>45883</v>
      </c>
      <c r="C2774" s="1">
        <v>45883</v>
      </c>
      <c r="D2774">
        <v>916214</v>
      </c>
      <c r="E2774">
        <v>86</v>
      </c>
      <c r="F2774" s="3" t="s">
        <v>2452</v>
      </c>
      <c r="G2774" s="4">
        <v>50000</v>
      </c>
      <c r="H2774" s="4">
        <v>0</v>
      </c>
      <c r="I2774" s="4">
        <v>-63451530.939999998</v>
      </c>
    </row>
    <row r="2775" spans="1:9" x14ac:dyDescent="0.3">
      <c r="A2775" t="s">
        <v>133</v>
      </c>
      <c r="B2775" s="1">
        <v>45883</v>
      </c>
      <c r="C2775" s="1">
        <v>45883</v>
      </c>
      <c r="D2775">
        <v>916215</v>
      </c>
      <c r="E2775">
        <v>86</v>
      </c>
      <c r="F2775" s="3" t="s">
        <v>2453</v>
      </c>
      <c r="G2775" s="4">
        <v>100000</v>
      </c>
      <c r="H2775" s="4">
        <v>0</v>
      </c>
      <c r="I2775" s="4">
        <v>-63351530.939999998</v>
      </c>
    </row>
    <row r="2776" spans="1:9" x14ac:dyDescent="0.3">
      <c r="A2776" t="s">
        <v>133</v>
      </c>
      <c r="B2776" s="1">
        <v>45883</v>
      </c>
      <c r="C2776" s="1">
        <v>45883</v>
      </c>
      <c r="D2776">
        <v>916219</v>
      </c>
      <c r="E2776">
        <v>11</v>
      </c>
      <c r="F2776" s="3" t="s">
        <v>2454</v>
      </c>
      <c r="G2776" s="4">
        <v>429675</v>
      </c>
      <c r="H2776" s="4">
        <v>0</v>
      </c>
      <c r="I2776" s="4">
        <v>-62921855.939999998</v>
      </c>
    </row>
    <row r="2777" spans="1:9" x14ac:dyDescent="0.3">
      <c r="A2777" t="s">
        <v>133</v>
      </c>
      <c r="B2777" s="1">
        <v>45883</v>
      </c>
      <c r="C2777" s="1">
        <v>45883</v>
      </c>
      <c r="D2777">
        <v>916233</v>
      </c>
      <c r="E2777">
        <v>72</v>
      </c>
      <c r="F2777" s="3">
        <v>50991897697</v>
      </c>
      <c r="G2777" s="4">
        <v>1800</v>
      </c>
      <c r="H2777" s="4">
        <v>0</v>
      </c>
      <c r="I2777" s="4">
        <v>-62920055.939999998</v>
      </c>
    </row>
    <row r="2778" spans="1:9" x14ac:dyDescent="0.3">
      <c r="A2778" t="s">
        <v>133</v>
      </c>
      <c r="B2778" s="1">
        <v>45883</v>
      </c>
      <c r="C2778" s="1">
        <v>45883</v>
      </c>
      <c r="D2778">
        <v>916236</v>
      </c>
      <c r="E2778">
        <v>64</v>
      </c>
      <c r="F2778" s="3">
        <v>50992648659</v>
      </c>
      <c r="G2778" s="4">
        <v>23189</v>
      </c>
      <c r="H2778" s="4">
        <v>0</v>
      </c>
      <c r="I2778" s="4">
        <v>-62896866.939999998</v>
      </c>
    </row>
    <row r="2779" spans="1:9" x14ac:dyDescent="0.3">
      <c r="A2779" t="s">
        <v>133</v>
      </c>
      <c r="B2779" s="1">
        <v>45883</v>
      </c>
      <c r="C2779" s="1">
        <v>45883</v>
      </c>
      <c r="D2779">
        <v>916238</v>
      </c>
      <c r="E2779">
        <v>63</v>
      </c>
      <c r="F2779" s="3">
        <v>1330630005155</v>
      </c>
      <c r="G2779" s="4">
        <v>25925</v>
      </c>
      <c r="H2779" s="4">
        <v>0</v>
      </c>
      <c r="I2779" s="4">
        <v>-62870941.939999998</v>
      </c>
    </row>
    <row r="2780" spans="1:9" x14ac:dyDescent="0.3">
      <c r="A2780" t="s">
        <v>133</v>
      </c>
      <c r="B2780" s="1">
        <v>45883</v>
      </c>
      <c r="C2780" s="1">
        <v>45883</v>
      </c>
      <c r="D2780">
        <v>916243</v>
      </c>
      <c r="E2780">
        <v>45</v>
      </c>
      <c r="F2780" s="3" t="s">
        <v>2455</v>
      </c>
      <c r="G2780" s="4">
        <v>300000</v>
      </c>
      <c r="H2780" s="4">
        <v>0</v>
      </c>
      <c r="I2780" s="4">
        <v>-62570941.939999998</v>
      </c>
    </row>
    <row r="2781" spans="1:9" x14ac:dyDescent="0.3">
      <c r="A2781" t="s">
        <v>133</v>
      </c>
      <c r="B2781" s="1">
        <v>45883</v>
      </c>
      <c r="C2781" s="1">
        <v>45883</v>
      </c>
      <c r="D2781">
        <v>916244</v>
      </c>
      <c r="E2781">
        <v>82</v>
      </c>
      <c r="F2781" s="3" t="s">
        <v>2456</v>
      </c>
      <c r="G2781" s="4">
        <v>20000</v>
      </c>
      <c r="H2781" s="4">
        <v>0</v>
      </c>
      <c r="I2781" s="4">
        <v>-62550941.939999998</v>
      </c>
    </row>
    <row r="2782" spans="1:9" x14ac:dyDescent="0.3">
      <c r="A2782" t="s">
        <v>133</v>
      </c>
      <c r="B2782" s="1">
        <v>45883</v>
      </c>
      <c r="C2782" s="1">
        <v>45883</v>
      </c>
      <c r="D2782">
        <v>916247</v>
      </c>
      <c r="E2782">
        <v>85</v>
      </c>
      <c r="F2782" s="3" t="s">
        <v>2457</v>
      </c>
      <c r="G2782" s="4">
        <v>10575.75</v>
      </c>
      <c r="H2782" s="4">
        <v>0</v>
      </c>
      <c r="I2782" s="4">
        <v>-62540366.189999998</v>
      </c>
    </row>
    <row r="2783" spans="1:9" x14ac:dyDescent="0.3">
      <c r="A2783" t="s">
        <v>133</v>
      </c>
      <c r="B2783" s="1">
        <v>45883</v>
      </c>
      <c r="C2783" s="1">
        <v>45883</v>
      </c>
      <c r="D2783">
        <v>916270</v>
      </c>
      <c r="E2783">
        <v>84</v>
      </c>
      <c r="F2783" s="3" t="s">
        <v>2458</v>
      </c>
      <c r="G2783" s="4">
        <v>12643</v>
      </c>
      <c r="H2783" s="4">
        <v>0</v>
      </c>
      <c r="I2783" s="4">
        <v>-62527723.189999998</v>
      </c>
    </row>
    <row r="2784" spans="1:9" x14ac:dyDescent="0.3">
      <c r="A2784" t="s">
        <v>133</v>
      </c>
      <c r="B2784" s="1">
        <v>45883</v>
      </c>
      <c r="C2784" s="1">
        <v>45883</v>
      </c>
      <c r="D2784">
        <v>916276</v>
      </c>
      <c r="E2784">
        <v>84</v>
      </c>
      <c r="F2784" s="3" t="s">
        <v>2459</v>
      </c>
      <c r="G2784" s="4">
        <v>79830.25</v>
      </c>
      <c r="H2784" s="4">
        <v>0</v>
      </c>
      <c r="I2784" s="4">
        <v>-62447892.939999998</v>
      </c>
    </row>
    <row r="2785" spans="1:9" x14ac:dyDescent="0.3">
      <c r="A2785" t="s">
        <v>133</v>
      </c>
      <c r="B2785" s="1">
        <v>45883</v>
      </c>
      <c r="C2785" s="1">
        <v>45883</v>
      </c>
      <c r="D2785">
        <v>916290</v>
      </c>
      <c r="E2785">
        <v>76</v>
      </c>
      <c r="F2785" s="3" t="s">
        <v>2460</v>
      </c>
      <c r="G2785" s="4">
        <v>220000</v>
      </c>
      <c r="H2785" s="4">
        <v>0</v>
      </c>
      <c r="I2785" s="4">
        <v>-62227892.939999998</v>
      </c>
    </row>
    <row r="2786" spans="1:9" x14ac:dyDescent="0.3">
      <c r="A2786" t="s">
        <v>133</v>
      </c>
      <c r="B2786" s="1">
        <v>45883</v>
      </c>
      <c r="C2786" s="1">
        <v>45883</v>
      </c>
      <c r="D2786">
        <v>916297</v>
      </c>
      <c r="E2786">
        <v>542</v>
      </c>
      <c r="F2786" s="3" t="s">
        <v>208</v>
      </c>
      <c r="G2786" s="4">
        <v>200000</v>
      </c>
      <c r="H2786" s="4">
        <v>0</v>
      </c>
      <c r="I2786" s="4">
        <v>-62027892.939999998</v>
      </c>
    </row>
    <row r="2787" spans="1:9" x14ac:dyDescent="0.3">
      <c r="A2787" t="s">
        <v>133</v>
      </c>
      <c r="B2787" s="1">
        <v>45883</v>
      </c>
      <c r="C2787" s="1">
        <v>45883</v>
      </c>
      <c r="D2787">
        <v>916307</v>
      </c>
      <c r="E2787">
        <v>69</v>
      </c>
      <c r="F2787" s="3" t="s">
        <v>2461</v>
      </c>
      <c r="G2787" s="4">
        <v>48303.75</v>
      </c>
      <c r="H2787" s="4">
        <v>0</v>
      </c>
      <c r="I2787" s="4">
        <v>-61979589.189999998</v>
      </c>
    </row>
    <row r="2788" spans="1:9" x14ac:dyDescent="0.3">
      <c r="A2788" t="s">
        <v>133</v>
      </c>
      <c r="B2788" s="1">
        <v>45883</v>
      </c>
      <c r="C2788" s="1">
        <v>45883</v>
      </c>
      <c r="D2788">
        <v>916312</v>
      </c>
      <c r="E2788">
        <v>301</v>
      </c>
      <c r="F2788" s="3" t="s">
        <v>2462</v>
      </c>
      <c r="G2788" s="4">
        <v>260000</v>
      </c>
      <c r="H2788" s="4">
        <v>0</v>
      </c>
      <c r="I2788" s="4">
        <v>-61719589.189999998</v>
      </c>
    </row>
    <row r="2789" spans="1:9" x14ac:dyDescent="0.3">
      <c r="A2789" t="s">
        <v>133</v>
      </c>
      <c r="B2789" s="1">
        <v>45883</v>
      </c>
      <c r="C2789" s="1">
        <v>45883</v>
      </c>
      <c r="D2789">
        <v>916313</v>
      </c>
      <c r="E2789">
        <v>69</v>
      </c>
      <c r="F2789" s="3" t="s">
        <v>2463</v>
      </c>
      <c r="G2789" s="4">
        <v>306180.25</v>
      </c>
      <c r="H2789" s="4">
        <v>0</v>
      </c>
      <c r="I2789" s="4">
        <v>-61413408.939999998</v>
      </c>
    </row>
    <row r="2790" spans="1:9" x14ac:dyDescent="0.3">
      <c r="A2790" t="s">
        <v>133</v>
      </c>
      <c r="B2790" s="1">
        <v>45883</v>
      </c>
      <c r="C2790" s="1">
        <v>45883</v>
      </c>
      <c r="D2790">
        <v>916314</v>
      </c>
      <c r="E2790">
        <v>72</v>
      </c>
      <c r="F2790" s="3">
        <v>50994803434</v>
      </c>
      <c r="G2790" s="4">
        <v>1300</v>
      </c>
      <c r="H2790" s="4">
        <v>0</v>
      </c>
      <c r="I2790" s="4">
        <v>-61412108.939999998</v>
      </c>
    </row>
    <row r="2791" spans="1:9" x14ac:dyDescent="0.3">
      <c r="A2791" t="s">
        <v>133</v>
      </c>
      <c r="B2791" s="1">
        <v>45883</v>
      </c>
      <c r="C2791" s="1">
        <v>45883</v>
      </c>
      <c r="D2791">
        <v>916321</v>
      </c>
      <c r="E2791">
        <v>15</v>
      </c>
      <c r="F2791" s="3" t="s">
        <v>2464</v>
      </c>
      <c r="G2791" s="4">
        <v>183780</v>
      </c>
      <c r="H2791" s="4">
        <v>0</v>
      </c>
      <c r="I2791" s="4">
        <v>-61228328.939999998</v>
      </c>
    </row>
    <row r="2792" spans="1:9" x14ac:dyDescent="0.3">
      <c r="A2792" t="s">
        <v>133</v>
      </c>
      <c r="B2792" s="1">
        <v>45883</v>
      </c>
      <c r="C2792" s="1">
        <v>45883</v>
      </c>
      <c r="D2792">
        <v>916338</v>
      </c>
      <c r="E2792">
        <v>28</v>
      </c>
      <c r="F2792" s="3" t="s">
        <v>2465</v>
      </c>
      <c r="G2792" s="4">
        <v>18435.5</v>
      </c>
      <c r="H2792" s="4">
        <v>0</v>
      </c>
      <c r="I2792" s="4">
        <v>-61209893.439999998</v>
      </c>
    </row>
    <row r="2793" spans="1:9" x14ac:dyDescent="0.3">
      <c r="A2793" t="s">
        <v>133</v>
      </c>
      <c r="B2793" s="1">
        <v>45883</v>
      </c>
      <c r="C2793" s="1">
        <v>45883</v>
      </c>
      <c r="D2793">
        <v>916348</v>
      </c>
      <c r="E2793">
        <v>422</v>
      </c>
      <c r="F2793" s="3" t="s">
        <v>2466</v>
      </c>
      <c r="G2793" s="4">
        <v>100000</v>
      </c>
      <c r="H2793" s="4">
        <v>0</v>
      </c>
      <c r="I2793" s="4">
        <v>-61109893.439999998</v>
      </c>
    </row>
    <row r="2794" spans="1:9" x14ac:dyDescent="0.3">
      <c r="A2794" t="s">
        <v>133</v>
      </c>
      <c r="B2794" s="1">
        <v>45883</v>
      </c>
      <c r="C2794" s="1">
        <v>45883</v>
      </c>
      <c r="D2794">
        <v>916350</v>
      </c>
      <c r="E2794">
        <v>12</v>
      </c>
      <c r="F2794" s="3" t="s">
        <v>2467</v>
      </c>
      <c r="G2794" s="4">
        <v>250000</v>
      </c>
      <c r="H2794" s="4">
        <v>0</v>
      </c>
      <c r="I2794" s="4">
        <v>-60859893.439999998</v>
      </c>
    </row>
    <row r="2795" spans="1:9" x14ac:dyDescent="0.3">
      <c r="A2795" t="s">
        <v>133</v>
      </c>
      <c r="B2795" s="1">
        <v>45883</v>
      </c>
      <c r="C2795" s="1">
        <v>45883</v>
      </c>
      <c r="D2795">
        <v>916363</v>
      </c>
      <c r="E2795">
        <v>58</v>
      </c>
      <c r="F2795" s="3" t="s">
        <v>2468</v>
      </c>
      <c r="G2795" s="4">
        <v>120000</v>
      </c>
      <c r="H2795" s="4">
        <v>0</v>
      </c>
      <c r="I2795" s="4">
        <v>-60739893.439999998</v>
      </c>
    </row>
    <row r="2796" spans="1:9" x14ac:dyDescent="0.3">
      <c r="A2796" t="s">
        <v>133</v>
      </c>
      <c r="B2796" s="1">
        <v>45883</v>
      </c>
      <c r="C2796" s="1">
        <v>45883</v>
      </c>
      <c r="D2796">
        <v>916368</v>
      </c>
      <c r="E2796">
        <v>36</v>
      </c>
      <c r="F2796" s="3" t="s">
        <v>2469</v>
      </c>
      <c r="G2796" s="4">
        <v>75027</v>
      </c>
      <c r="H2796" s="4">
        <v>0</v>
      </c>
      <c r="I2796" s="4">
        <v>-60664866.439999998</v>
      </c>
    </row>
    <row r="2797" spans="1:9" x14ac:dyDescent="0.3">
      <c r="A2797" t="s">
        <v>133</v>
      </c>
      <c r="B2797" s="1">
        <v>45883</v>
      </c>
      <c r="C2797" s="1">
        <v>45883</v>
      </c>
      <c r="D2797">
        <v>916374</v>
      </c>
      <c r="E2797">
        <v>39</v>
      </c>
      <c r="F2797" s="3" t="s">
        <v>1120</v>
      </c>
      <c r="G2797" s="4">
        <v>20000000</v>
      </c>
      <c r="H2797" s="4">
        <v>0</v>
      </c>
      <c r="I2797" s="4">
        <v>-40664866.439999998</v>
      </c>
    </row>
    <row r="2798" spans="1:9" x14ac:dyDescent="0.3">
      <c r="A2798" t="s">
        <v>133</v>
      </c>
      <c r="B2798" s="1">
        <v>45883</v>
      </c>
      <c r="C2798" s="1">
        <v>45883</v>
      </c>
      <c r="D2798">
        <v>916383</v>
      </c>
      <c r="E2798">
        <v>65</v>
      </c>
      <c r="F2798" s="3" t="s">
        <v>176</v>
      </c>
      <c r="G2798" s="4">
        <v>300000</v>
      </c>
      <c r="H2798" s="4">
        <v>0</v>
      </c>
      <c r="I2798" s="4">
        <v>-40364866.439999998</v>
      </c>
    </row>
    <row r="2799" spans="1:9" x14ac:dyDescent="0.3">
      <c r="A2799" t="s">
        <v>133</v>
      </c>
      <c r="B2799" s="1">
        <v>45883</v>
      </c>
      <c r="C2799" s="1">
        <v>45883</v>
      </c>
      <c r="D2799">
        <v>916384</v>
      </c>
      <c r="E2799">
        <v>46</v>
      </c>
      <c r="F2799" s="3" t="s">
        <v>2470</v>
      </c>
      <c r="G2799" s="4">
        <v>91305</v>
      </c>
      <c r="H2799" s="4">
        <v>0</v>
      </c>
      <c r="I2799" s="4">
        <v>-40273561.439999998</v>
      </c>
    </row>
    <row r="2800" spans="1:9" x14ac:dyDescent="0.3">
      <c r="A2800" t="s">
        <v>133</v>
      </c>
      <c r="B2800" s="1">
        <v>45883</v>
      </c>
      <c r="C2800" s="1">
        <v>45883</v>
      </c>
      <c r="D2800">
        <v>916390</v>
      </c>
      <c r="E2800">
        <v>11</v>
      </c>
      <c r="F2800" s="3" t="s">
        <v>2471</v>
      </c>
      <c r="G2800" s="4">
        <v>65213.5</v>
      </c>
      <c r="H2800" s="4">
        <v>0</v>
      </c>
      <c r="I2800" s="4">
        <v>-40208347.939999998</v>
      </c>
    </row>
    <row r="2801" spans="1:9" x14ac:dyDescent="0.3">
      <c r="A2801" t="s">
        <v>133</v>
      </c>
      <c r="B2801" s="1">
        <v>45883</v>
      </c>
      <c r="C2801" s="1">
        <v>45883</v>
      </c>
      <c r="D2801">
        <v>916395</v>
      </c>
      <c r="E2801">
        <v>11</v>
      </c>
      <c r="F2801" s="3" t="s">
        <v>2472</v>
      </c>
      <c r="G2801" s="4">
        <v>19992</v>
      </c>
      <c r="H2801" s="4">
        <v>0</v>
      </c>
      <c r="I2801" s="4">
        <v>-40188355.939999998</v>
      </c>
    </row>
    <row r="2802" spans="1:9" x14ac:dyDescent="0.3">
      <c r="A2802" t="s">
        <v>133</v>
      </c>
      <c r="B2802" s="1">
        <v>45883</v>
      </c>
      <c r="C2802" s="1">
        <v>45883</v>
      </c>
      <c r="D2802">
        <v>916420</v>
      </c>
      <c r="E2802">
        <v>361</v>
      </c>
      <c r="F2802" s="3" t="s">
        <v>2473</v>
      </c>
      <c r="G2802" s="4">
        <v>160000</v>
      </c>
      <c r="H2802" s="4">
        <v>0</v>
      </c>
      <c r="I2802" s="4">
        <v>-40028355.939999998</v>
      </c>
    </row>
    <row r="2803" spans="1:9" x14ac:dyDescent="0.3">
      <c r="A2803" t="s">
        <v>133</v>
      </c>
      <c r="B2803" s="1">
        <v>45883</v>
      </c>
      <c r="C2803" s="1">
        <v>45883</v>
      </c>
      <c r="D2803">
        <v>916433</v>
      </c>
      <c r="E2803">
        <v>54</v>
      </c>
      <c r="F2803" s="3" t="s">
        <v>2474</v>
      </c>
      <c r="G2803" s="4">
        <v>225000</v>
      </c>
      <c r="H2803" s="4">
        <v>0</v>
      </c>
      <c r="I2803" s="4">
        <v>-39803355.939999998</v>
      </c>
    </row>
    <row r="2804" spans="1:9" x14ac:dyDescent="0.3">
      <c r="A2804" t="s">
        <v>133</v>
      </c>
      <c r="B2804" s="1">
        <v>45883</v>
      </c>
      <c r="C2804" s="1">
        <v>45883</v>
      </c>
      <c r="D2804">
        <v>916442</v>
      </c>
      <c r="E2804">
        <v>12</v>
      </c>
      <c r="F2804" s="3" t="s">
        <v>2475</v>
      </c>
      <c r="G2804" s="4">
        <v>140362</v>
      </c>
      <c r="H2804" s="4">
        <v>0</v>
      </c>
      <c r="I2804" s="4">
        <v>-39662993.939999998</v>
      </c>
    </row>
    <row r="2805" spans="1:9" x14ac:dyDescent="0.3">
      <c r="A2805" t="s">
        <v>133</v>
      </c>
      <c r="B2805" s="1">
        <v>45883</v>
      </c>
      <c r="C2805" s="1">
        <v>45883</v>
      </c>
      <c r="D2805">
        <v>916443</v>
      </c>
      <c r="E2805">
        <v>91</v>
      </c>
      <c r="F2805" s="3" t="s">
        <v>2476</v>
      </c>
      <c r="G2805" s="4">
        <v>50644</v>
      </c>
      <c r="H2805" s="4">
        <v>0</v>
      </c>
      <c r="I2805" s="4">
        <v>-39612349.939999998</v>
      </c>
    </row>
    <row r="2806" spans="1:9" x14ac:dyDescent="0.3">
      <c r="A2806" t="s">
        <v>133</v>
      </c>
      <c r="B2806" s="1">
        <v>45883</v>
      </c>
      <c r="C2806" s="1">
        <v>45883</v>
      </c>
      <c r="D2806">
        <v>916444</v>
      </c>
      <c r="E2806">
        <v>24</v>
      </c>
      <c r="F2806" s="3" t="s">
        <v>2477</v>
      </c>
      <c r="G2806" s="4">
        <v>220000</v>
      </c>
      <c r="H2806" s="4">
        <v>0</v>
      </c>
      <c r="I2806" s="4">
        <v>-39392349.939999998</v>
      </c>
    </row>
    <row r="2807" spans="1:9" x14ac:dyDescent="0.3">
      <c r="A2807" t="s">
        <v>133</v>
      </c>
      <c r="B2807" s="1">
        <v>45883</v>
      </c>
      <c r="C2807" s="1">
        <v>45883</v>
      </c>
      <c r="D2807">
        <v>916454</v>
      </c>
      <c r="E2807">
        <v>36</v>
      </c>
      <c r="F2807" s="3" t="s">
        <v>2478</v>
      </c>
      <c r="G2807" s="4">
        <v>500000</v>
      </c>
      <c r="H2807" s="4">
        <v>0</v>
      </c>
      <c r="I2807" s="4">
        <v>-38892349.939999998</v>
      </c>
    </row>
    <row r="2808" spans="1:9" x14ac:dyDescent="0.3">
      <c r="A2808" t="s">
        <v>133</v>
      </c>
      <c r="B2808" s="1">
        <v>45883</v>
      </c>
      <c r="C2808" s="1">
        <v>45883</v>
      </c>
      <c r="D2808">
        <v>916469</v>
      </c>
      <c r="E2808">
        <v>79</v>
      </c>
      <c r="F2808" s="3" t="s">
        <v>2479</v>
      </c>
      <c r="G2808" s="4">
        <v>410000</v>
      </c>
      <c r="H2808" s="4">
        <v>0</v>
      </c>
      <c r="I2808" s="4">
        <v>-38482349.939999998</v>
      </c>
    </row>
    <row r="2809" spans="1:9" x14ac:dyDescent="0.3">
      <c r="A2809" t="s">
        <v>133</v>
      </c>
      <c r="B2809" s="1">
        <v>45883</v>
      </c>
      <c r="C2809" s="1">
        <v>45883</v>
      </c>
      <c r="D2809">
        <v>916487</v>
      </c>
      <c r="E2809">
        <v>15</v>
      </c>
      <c r="F2809" s="3" t="s">
        <v>966</v>
      </c>
      <c r="G2809" s="4">
        <v>250000</v>
      </c>
      <c r="H2809" s="4">
        <v>0</v>
      </c>
      <c r="I2809" s="4">
        <v>-38232349.939999998</v>
      </c>
    </row>
    <row r="2810" spans="1:9" x14ac:dyDescent="0.3">
      <c r="A2810" t="s">
        <v>133</v>
      </c>
      <c r="B2810" s="1">
        <v>45883</v>
      </c>
      <c r="C2810" s="1">
        <v>45883</v>
      </c>
      <c r="D2810">
        <v>916490</v>
      </c>
      <c r="E2810">
        <v>63</v>
      </c>
      <c r="F2810" s="3" t="s">
        <v>2474</v>
      </c>
      <c r="G2810" s="4">
        <v>246000</v>
      </c>
      <c r="H2810" s="4">
        <v>0</v>
      </c>
      <c r="I2810" s="4">
        <v>-37986349.939999998</v>
      </c>
    </row>
    <row r="2811" spans="1:9" x14ac:dyDescent="0.3">
      <c r="A2811" t="s">
        <v>133</v>
      </c>
      <c r="B2811" s="1">
        <v>45883</v>
      </c>
      <c r="C2811" s="1">
        <v>45883</v>
      </c>
      <c r="D2811">
        <v>916500</v>
      </c>
      <c r="E2811">
        <v>70</v>
      </c>
      <c r="F2811" s="3" t="s">
        <v>2480</v>
      </c>
      <c r="G2811" s="4">
        <v>1526.75</v>
      </c>
      <c r="H2811" s="4">
        <v>0</v>
      </c>
      <c r="I2811" s="4">
        <v>-37984823.189999998</v>
      </c>
    </row>
    <row r="2812" spans="1:9" x14ac:dyDescent="0.3">
      <c r="A2812" t="s">
        <v>133</v>
      </c>
      <c r="B2812" s="1">
        <v>45883</v>
      </c>
      <c r="C2812" s="1">
        <v>45883</v>
      </c>
      <c r="D2812">
        <v>916520</v>
      </c>
      <c r="E2812">
        <v>77</v>
      </c>
      <c r="F2812" s="3" t="s">
        <v>2481</v>
      </c>
      <c r="G2812" s="4">
        <v>25000</v>
      </c>
      <c r="H2812" s="4">
        <v>0</v>
      </c>
      <c r="I2812" s="4">
        <v>-37959823.189999998</v>
      </c>
    </row>
    <row r="2813" spans="1:9" x14ac:dyDescent="0.3">
      <c r="A2813" t="s">
        <v>133</v>
      </c>
      <c r="B2813" s="1">
        <v>45883</v>
      </c>
      <c r="C2813" s="1">
        <v>45883</v>
      </c>
      <c r="D2813">
        <v>916521</v>
      </c>
      <c r="E2813">
        <v>94</v>
      </c>
      <c r="F2813" s="3" t="s">
        <v>2482</v>
      </c>
      <c r="G2813" s="4">
        <v>88787</v>
      </c>
      <c r="H2813" s="4">
        <v>0</v>
      </c>
      <c r="I2813" s="4">
        <v>-37871036.189999998</v>
      </c>
    </row>
    <row r="2814" spans="1:9" x14ac:dyDescent="0.3">
      <c r="A2814" t="s">
        <v>133</v>
      </c>
      <c r="B2814" s="1">
        <v>45883</v>
      </c>
      <c r="C2814" s="1">
        <v>45883</v>
      </c>
      <c r="D2814">
        <v>916524</v>
      </c>
      <c r="E2814">
        <v>307</v>
      </c>
      <c r="F2814" s="3" t="s">
        <v>2483</v>
      </c>
      <c r="G2814" s="4">
        <v>400000</v>
      </c>
      <c r="H2814" s="4">
        <v>0</v>
      </c>
      <c r="I2814" s="4">
        <v>-37471036.189999998</v>
      </c>
    </row>
    <row r="2815" spans="1:9" x14ac:dyDescent="0.3">
      <c r="A2815" t="s">
        <v>133</v>
      </c>
      <c r="B2815" s="1">
        <v>45883</v>
      </c>
      <c r="C2815" s="1">
        <v>45883</v>
      </c>
      <c r="D2815">
        <v>916528</v>
      </c>
      <c r="E2815">
        <v>59</v>
      </c>
      <c r="F2815" s="3" t="s">
        <v>2484</v>
      </c>
      <c r="G2815" s="4">
        <v>27000</v>
      </c>
      <c r="H2815" s="4">
        <v>0</v>
      </c>
      <c r="I2815" s="4">
        <v>-37444036.189999998</v>
      </c>
    </row>
    <row r="2816" spans="1:9" x14ac:dyDescent="0.3">
      <c r="A2816" t="s">
        <v>133</v>
      </c>
      <c r="B2816" s="1">
        <v>45883</v>
      </c>
      <c r="C2816" s="1">
        <v>45883</v>
      </c>
      <c r="D2816">
        <v>916533</v>
      </c>
      <c r="E2816">
        <v>89</v>
      </c>
      <c r="F2816" s="3" t="s">
        <v>2485</v>
      </c>
      <c r="G2816" s="4">
        <v>18430.5</v>
      </c>
      <c r="H2816" s="4">
        <v>0</v>
      </c>
      <c r="I2816" s="4">
        <v>-37425605.689999998</v>
      </c>
    </row>
    <row r="2817" spans="1:9" x14ac:dyDescent="0.3">
      <c r="A2817" t="s">
        <v>133</v>
      </c>
      <c r="B2817" s="1">
        <v>45883</v>
      </c>
      <c r="C2817" s="1">
        <v>45883</v>
      </c>
      <c r="D2817">
        <v>916534</v>
      </c>
      <c r="E2817">
        <v>351</v>
      </c>
      <c r="F2817" s="3" t="s">
        <v>181</v>
      </c>
      <c r="G2817" s="4">
        <v>470000</v>
      </c>
      <c r="H2817" s="4">
        <v>0</v>
      </c>
      <c r="I2817" s="4">
        <v>-36955605.689999998</v>
      </c>
    </row>
    <row r="2818" spans="1:9" x14ac:dyDescent="0.3">
      <c r="A2818" t="s">
        <v>133</v>
      </c>
      <c r="B2818" s="1">
        <v>45883</v>
      </c>
      <c r="C2818" s="1">
        <v>45883</v>
      </c>
      <c r="D2818">
        <v>916536</v>
      </c>
      <c r="E2818">
        <v>78</v>
      </c>
      <c r="F2818" s="3" t="s">
        <v>2486</v>
      </c>
      <c r="G2818" s="4">
        <v>238838</v>
      </c>
      <c r="H2818" s="4">
        <v>0</v>
      </c>
      <c r="I2818" s="4">
        <v>-36716767.689999998</v>
      </c>
    </row>
    <row r="2819" spans="1:9" x14ac:dyDescent="0.3">
      <c r="A2819" t="s">
        <v>133</v>
      </c>
      <c r="B2819" s="1">
        <v>45883</v>
      </c>
      <c r="C2819" s="1">
        <v>45883</v>
      </c>
      <c r="D2819">
        <v>916540</v>
      </c>
      <c r="E2819">
        <v>77</v>
      </c>
      <c r="F2819" s="3" t="s">
        <v>2487</v>
      </c>
      <c r="G2819" s="4">
        <v>370000</v>
      </c>
      <c r="H2819" s="4">
        <v>0</v>
      </c>
      <c r="I2819" s="4">
        <v>-36346767.689999998</v>
      </c>
    </row>
    <row r="2820" spans="1:9" x14ac:dyDescent="0.3">
      <c r="A2820" t="s">
        <v>133</v>
      </c>
      <c r="B2820" s="1">
        <v>45883</v>
      </c>
      <c r="C2820" s="1">
        <v>45883</v>
      </c>
      <c r="D2820">
        <v>916545</v>
      </c>
      <c r="E2820">
        <v>12</v>
      </c>
      <c r="F2820" s="3" t="s">
        <v>2488</v>
      </c>
      <c r="G2820" s="4">
        <v>3850</v>
      </c>
      <c r="H2820" s="4">
        <v>0</v>
      </c>
      <c r="I2820" s="4">
        <v>-36342917.689999998</v>
      </c>
    </row>
    <row r="2821" spans="1:9" x14ac:dyDescent="0.3">
      <c r="A2821" t="s">
        <v>133</v>
      </c>
      <c r="B2821" s="1">
        <v>45883</v>
      </c>
      <c r="C2821" s="1">
        <v>45883</v>
      </c>
      <c r="D2821">
        <v>916549</v>
      </c>
      <c r="E2821">
        <v>78</v>
      </c>
      <c r="F2821" s="3" t="s">
        <v>2489</v>
      </c>
      <c r="G2821" s="4">
        <v>30000</v>
      </c>
      <c r="H2821" s="4">
        <v>0</v>
      </c>
      <c r="I2821" s="4">
        <v>-36312917.689999998</v>
      </c>
    </row>
    <row r="2822" spans="1:9" x14ac:dyDescent="0.3">
      <c r="A2822" t="s">
        <v>133</v>
      </c>
      <c r="B2822" s="1">
        <v>45883</v>
      </c>
      <c r="C2822" s="1">
        <v>45883</v>
      </c>
      <c r="D2822">
        <v>916551</v>
      </c>
      <c r="E2822">
        <v>78</v>
      </c>
      <c r="F2822" s="3" t="s">
        <v>2490</v>
      </c>
      <c r="G2822" s="4">
        <v>500000</v>
      </c>
      <c r="H2822" s="4">
        <v>0</v>
      </c>
      <c r="I2822" s="4">
        <v>-35812917.689999998</v>
      </c>
    </row>
    <row r="2823" spans="1:9" x14ac:dyDescent="0.3">
      <c r="A2823" t="s">
        <v>133</v>
      </c>
      <c r="B2823" s="1">
        <v>45883</v>
      </c>
      <c r="C2823" s="1">
        <v>45883</v>
      </c>
      <c r="D2823">
        <v>916555</v>
      </c>
      <c r="E2823">
        <v>56</v>
      </c>
      <c r="F2823" s="3" t="s">
        <v>2491</v>
      </c>
      <c r="G2823" s="4">
        <v>450000</v>
      </c>
      <c r="H2823" s="4">
        <v>0</v>
      </c>
      <c r="I2823" s="4">
        <v>-35362917.689999998</v>
      </c>
    </row>
    <row r="2824" spans="1:9" x14ac:dyDescent="0.3">
      <c r="A2824" t="s">
        <v>133</v>
      </c>
      <c r="B2824" s="1">
        <v>45883</v>
      </c>
      <c r="C2824" s="1">
        <v>45883</v>
      </c>
      <c r="D2824">
        <v>916556</v>
      </c>
      <c r="E2824">
        <v>82</v>
      </c>
      <c r="F2824" s="3" t="s">
        <v>2492</v>
      </c>
      <c r="G2824" s="4">
        <v>160000</v>
      </c>
      <c r="H2824" s="4">
        <v>0</v>
      </c>
      <c r="I2824" s="4">
        <v>-35202917.689999998</v>
      </c>
    </row>
    <row r="2825" spans="1:9" x14ac:dyDescent="0.3">
      <c r="A2825" t="s">
        <v>133</v>
      </c>
      <c r="B2825" s="1">
        <v>45883</v>
      </c>
      <c r="C2825" s="1">
        <v>45883</v>
      </c>
      <c r="D2825">
        <v>916560</v>
      </c>
      <c r="E2825">
        <v>78</v>
      </c>
      <c r="F2825" s="3" t="s">
        <v>2493</v>
      </c>
      <c r="G2825" s="4">
        <v>58800.5</v>
      </c>
      <c r="H2825" s="4">
        <v>0</v>
      </c>
      <c r="I2825" s="4">
        <v>-35144117.189999998</v>
      </c>
    </row>
    <row r="2826" spans="1:9" x14ac:dyDescent="0.3">
      <c r="A2826" t="s">
        <v>133</v>
      </c>
      <c r="B2826" s="1">
        <v>45883</v>
      </c>
      <c r="C2826" s="1">
        <v>45883</v>
      </c>
      <c r="D2826">
        <v>916562</v>
      </c>
      <c r="E2826">
        <v>72</v>
      </c>
      <c r="F2826" s="3" t="s">
        <v>2494</v>
      </c>
      <c r="G2826" s="4">
        <v>160000</v>
      </c>
      <c r="H2826" s="4">
        <v>0</v>
      </c>
      <c r="I2826" s="4">
        <v>-34984117.189999998</v>
      </c>
    </row>
    <row r="2827" spans="1:9" x14ac:dyDescent="0.3">
      <c r="A2827" t="s">
        <v>133</v>
      </c>
      <c r="B2827" s="1">
        <v>45883</v>
      </c>
      <c r="C2827" s="1">
        <v>45883</v>
      </c>
      <c r="D2827">
        <v>916580</v>
      </c>
      <c r="E2827">
        <v>71</v>
      </c>
      <c r="F2827" s="3" t="s">
        <v>2495</v>
      </c>
      <c r="G2827" s="4">
        <v>170000</v>
      </c>
      <c r="H2827" s="4">
        <v>0</v>
      </c>
      <c r="I2827" s="4">
        <v>-34814117.189999998</v>
      </c>
    </row>
    <row r="2828" spans="1:9" x14ac:dyDescent="0.3">
      <c r="A2828" t="s">
        <v>133</v>
      </c>
      <c r="B2828" s="1">
        <v>45883</v>
      </c>
      <c r="C2828" s="1">
        <v>45883</v>
      </c>
      <c r="D2828">
        <v>916619</v>
      </c>
      <c r="E2828">
        <v>86</v>
      </c>
      <c r="F2828" s="3">
        <v>3132</v>
      </c>
      <c r="G2828" s="4">
        <v>297073.5</v>
      </c>
      <c r="H2828" s="4">
        <v>0</v>
      </c>
      <c r="I2828" s="4">
        <v>-34517043.689999998</v>
      </c>
    </row>
    <row r="2829" spans="1:9" x14ac:dyDescent="0.3">
      <c r="A2829" t="s">
        <v>133</v>
      </c>
      <c r="B2829" s="1">
        <v>45883</v>
      </c>
      <c r="C2829" s="1">
        <v>45883</v>
      </c>
      <c r="D2829">
        <v>916626</v>
      </c>
      <c r="E2829">
        <v>70</v>
      </c>
      <c r="F2829" s="3" t="s">
        <v>2496</v>
      </c>
      <c r="G2829" s="4">
        <v>375000</v>
      </c>
      <c r="H2829" s="4">
        <v>0</v>
      </c>
      <c r="I2829" s="4">
        <v>-34142043.689999998</v>
      </c>
    </row>
    <row r="2830" spans="1:9" x14ac:dyDescent="0.3">
      <c r="A2830" t="s">
        <v>133</v>
      </c>
      <c r="B2830" s="1">
        <v>45883</v>
      </c>
      <c r="C2830" s="1">
        <v>45883</v>
      </c>
      <c r="D2830">
        <v>916630</v>
      </c>
      <c r="E2830">
        <v>89</v>
      </c>
      <c r="F2830" s="3" t="s">
        <v>2497</v>
      </c>
      <c r="G2830" s="4">
        <v>530000</v>
      </c>
      <c r="H2830" s="4">
        <v>0</v>
      </c>
      <c r="I2830" s="4">
        <v>-33612043.689999998</v>
      </c>
    </row>
    <row r="2831" spans="1:9" x14ac:dyDescent="0.3">
      <c r="A2831" t="s">
        <v>133</v>
      </c>
      <c r="B2831" s="1">
        <v>45883</v>
      </c>
      <c r="C2831" s="1">
        <v>45883</v>
      </c>
      <c r="D2831">
        <v>916634</v>
      </c>
      <c r="E2831">
        <v>31</v>
      </c>
      <c r="F2831" s="3" t="s">
        <v>700</v>
      </c>
      <c r="G2831" s="4">
        <v>5000000</v>
      </c>
      <c r="H2831" s="4">
        <v>0</v>
      </c>
      <c r="I2831" s="4">
        <v>-28612043.690000001</v>
      </c>
    </row>
    <row r="2832" spans="1:9" x14ac:dyDescent="0.3">
      <c r="A2832" t="s">
        <v>133</v>
      </c>
      <c r="B2832" s="1">
        <v>45883</v>
      </c>
      <c r="C2832" s="1">
        <v>45883</v>
      </c>
      <c r="D2832">
        <v>916638</v>
      </c>
      <c r="E2832">
        <v>62</v>
      </c>
      <c r="F2832" s="3" t="s">
        <v>2498</v>
      </c>
      <c r="G2832" s="4">
        <v>300000</v>
      </c>
      <c r="H2832" s="4">
        <v>0</v>
      </c>
      <c r="I2832" s="4">
        <v>-28312043.690000001</v>
      </c>
    </row>
    <row r="2833" spans="1:9" x14ac:dyDescent="0.3">
      <c r="A2833" t="s">
        <v>133</v>
      </c>
      <c r="B2833" s="1">
        <v>45883</v>
      </c>
      <c r="C2833" s="1">
        <v>45883</v>
      </c>
      <c r="D2833">
        <v>916640</v>
      </c>
      <c r="E2833">
        <v>53</v>
      </c>
      <c r="F2833" s="3" t="s">
        <v>2499</v>
      </c>
      <c r="G2833" s="4">
        <v>540000</v>
      </c>
      <c r="H2833" s="4">
        <v>0</v>
      </c>
      <c r="I2833" s="4">
        <v>-27772043.690000001</v>
      </c>
    </row>
    <row r="2834" spans="1:9" x14ac:dyDescent="0.3">
      <c r="A2834" t="s">
        <v>133</v>
      </c>
      <c r="B2834" s="1">
        <v>45883</v>
      </c>
      <c r="C2834" s="1">
        <v>45883</v>
      </c>
      <c r="D2834">
        <v>916654</v>
      </c>
      <c r="E2834">
        <v>61</v>
      </c>
      <c r="F2834" s="3" t="s">
        <v>2500</v>
      </c>
      <c r="G2834" s="4">
        <v>210000</v>
      </c>
      <c r="H2834" s="4">
        <v>0</v>
      </c>
      <c r="I2834" s="4">
        <v>-27562043.690000001</v>
      </c>
    </row>
    <row r="2835" spans="1:9" x14ac:dyDescent="0.3">
      <c r="A2835" t="s">
        <v>133</v>
      </c>
      <c r="B2835" s="1">
        <v>45883</v>
      </c>
      <c r="C2835" s="1">
        <v>45883</v>
      </c>
      <c r="D2835">
        <v>916666</v>
      </c>
      <c r="E2835">
        <v>63</v>
      </c>
      <c r="F2835" s="3" t="s">
        <v>2501</v>
      </c>
      <c r="G2835" s="4">
        <v>3391.75</v>
      </c>
      <c r="H2835" s="4">
        <v>0</v>
      </c>
      <c r="I2835" s="4">
        <v>-27558651.940000001</v>
      </c>
    </row>
    <row r="2836" spans="1:9" x14ac:dyDescent="0.3">
      <c r="A2836" t="s">
        <v>133</v>
      </c>
      <c r="B2836" s="1">
        <v>45883</v>
      </c>
      <c r="C2836" s="1">
        <v>45883</v>
      </c>
      <c r="D2836">
        <v>916668</v>
      </c>
      <c r="E2836">
        <v>84</v>
      </c>
      <c r="F2836" s="3" t="s">
        <v>2502</v>
      </c>
      <c r="G2836" s="4">
        <v>89153.25</v>
      </c>
      <c r="H2836" s="4">
        <v>0</v>
      </c>
      <c r="I2836" s="4">
        <v>-27469498.690000001</v>
      </c>
    </row>
    <row r="2837" spans="1:9" x14ac:dyDescent="0.3">
      <c r="A2837" t="s">
        <v>133</v>
      </c>
      <c r="B2837" s="1">
        <v>45883</v>
      </c>
      <c r="C2837" s="1">
        <v>45883</v>
      </c>
      <c r="D2837">
        <v>916670</v>
      </c>
      <c r="E2837">
        <v>33</v>
      </c>
      <c r="F2837" s="3" t="s">
        <v>2503</v>
      </c>
      <c r="G2837" s="4">
        <v>1720000</v>
      </c>
      <c r="H2837" s="4">
        <v>0</v>
      </c>
      <c r="I2837" s="4">
        <v>-25749498.690000001</v>
      </c>
    </row>
    <row r="2838" spans="1:9" x14ac:dyDescent="0.3">
      <c r="A2838" t="s">
        <v>133</v>
      </c>
      <c r="B2838" s="1">
        <v>45883</v>
      </c>
      <c r="C2838" s="1">
        <v>45883</v>
      </c>
      <c r="D2838">
        <v>916671</v>
      </c>
      <c r="E2838">
        <v>23</v>
      </c>
      <c r="F2838" s="3" t="s">
        <v>2504</v>
      </c>
      <c r="G2838" s="4">
        <v>200000</v>
      </c>
      <c r="H2838" s="4">
        <v>0</v>
      </c>
      <c r="I2838" s="4">
        <v>-25549498.690000001</v>
      </c>
    </row>
    <row r="2839" spans="1:9" x14ac:dyDescent="0.3">
      <c r="A2839" t="s">
        <v>133</v>
      </c>
      <c r="B2839" s="1">
        <v>45883</v>
      </c>
      <c r="C2839" s="1">
        <v>45883</v>
      </c>
      <c r="D2839">
        <v>916673</v>
      </c>
      <c r="E2839">
        <v>210</v>
      </c>
      <c r="F2839" s="3" t="s">
        <v>2505</v>
      </c>
      <c r="G2839" s="4">
        <v>250000</v>
      </c>
      <c r="H2839" s="4">
        <v>0</v>
      </c>
      <c r="I2839" s="4">
        <v>-25299498.690000001</v>
      </c>
    </row>
    <row r="2840" spans="1:9" x14ac:dyDescent="0.3">
      <c r="A2840" t="s">
        <v>133</v>
      </c>
      <c r="B2840" s="1">
        <v>45883</v>
      </c>
      <c r="C2840" s="1">
        <v>45883</v>
      </c>
      <c r="D2840">
        <v>916674</v>
      </c>
      <c r="E2840">
        <v>98</v>
      </c>
      <c r="F2840" s="3" t="s">
        <v>2506</v>
      </c>
      <c r="G2840" s="4">
        <v>460000</v>
      </c>
      <c r="H2840" s="4">
        <v>0</v>
      </c>
      <c r="I2840" s="4">
        <v>-24839498.690000001</v>
      </c>
    </row>
    <row r="2841" spans="1:9" x14ac:dyDescent="0.3">
      <c r="A2841" t="s">
        <v>133</v>
      </c>
      <c r="B2841" s="1">
        <v>45883</v>
      </c>
      <c r="C2841" s="1">
        <v>45883</v>
      </c>
      <c r="D2841">
        <v>916678</v>
      </c>
      <c r="E2841">
        <v>80</v>
      </c>
      <c r="F2841" s="3" t="s">
        <v>2507</v>
      </c>
      <c r="G2841" s="4">
        <v>120000</v>
      </c>
      <c r="H2841" s="4">
        <v>0</v>
      </c>
      <c r="I2841" s="4">
        <v>-24719498.690000001</v>
      </c>
    </row>
    <row r="2842" spans="1:9" x14ac:dyDescent="0.3">
      <c r="A2842" t="s">
        <v>133</v>
      </c>
      <c r="B2842" s="1">
        <v>45883</v>
      </c>
      <c r="C2842" s="1">
        <v>45883</v>
      </c>
      <c r="D2842">
        <v>916688</v>
      </c>
      <c r="E2842">
        <v>84</v>
      </c>
      <c r="F2842" s="3" t="s">
        <v>2508</v>
      </c>
      <c r="G2842" s="4">
        <v>112024</v>
      </c>
      <c r="H2842" s="4">
        <v>0</v>
      </c>
      <c r="I2842" s="4">
        <v>-24607474.690000001</v>
      </c>
    </row>
    <row r="2843" spans="1:9" x14ac:dyDescent="0.3">
      <c r="A2843" t="s">
        <v>133</v>
      </c>
      <c r="B2843" s="1">
        <v>45883</v>
      </c>
      <c r="C2843" s="1">
        <v>45883</v>
      </c>
      <c r="D2843">
        <v>916690</v>
      </c>
      <c r="E2843">
        <v>82</v>
      </c>
      <c r="F2843" s="3">
        <v>5620820003567</v>
      </c>
      <c r="G2843" s="4">
        <v>71899.25</v>
      </c>
      <c r="H2843" s="4">
        <v>0</v>
      </c>
      <c r="I2843" s="4">
        <v>-24535575.440000001</v>
      </c>
    </row>
    <row r="2844" spans="1:9" x14ac:dyDescent="0.3">
      <c r="A2844" t="s">
        <v>133</v>
      </c>
      <c r="B2844" s="1">
        <v>45883</v>
      </c>
      <c r="C2844" s="1">
        <v>45883</v>
      </c>
      <c r="D2844">
        <v>916700</v>
      </c>
      <c r="E2844">
        <v>84</v>
      </c>
      <c r="F2844" s="3" t="s">
        <v>2509</v>
      </c>
      <c r="G2844" s="4">
        <v>76773</v>
      </c>
      <c r="H2844" s="4">
        <v>0</v>
      </c>
      <c r="I2844" s="4">
        <v>-24458802.440000001</v>
      </c>
    </row>
    <row r="2845" spans="1:9" x14ac:dyDescent="0.3">
      <c r="A2845" t="s">
        <v>133</v>
      </c>
      <c r="B2845" s="1">
        <v>45883</v>
      </c>
      <c r="C2845" s="1">
        <v>45883</v>
      </c>
      <c r="D2845">
        <v>916719</v>
      </c>
      <c r="E2845">
        <v>84</v>
      </c>
      <c r="F2845" s="3" t="s">
        <v>2510</v>
      </c>
      <c r="G2845" s="4">
        <v>230000</v>
      </c>
      <c r="H2845" s="4">
        <v>0</v>
      </c>
      <c r="I2845" s="4">
        <v>-24228802.440000001</v>
      </c>
    </row>
    <row r="2846" spans="1:9" x14ac:dyDescent="0.3">
      <c r="A2846" t="s">
        <v>133</v>
      </c>
      <c r="B2846" s="1">
        <v>45883</v>
      </c>
      <c r="C2846" s="1">
        <v>45883</v>
      </c>
      <c r="D2846">
        <v>916727</v>
      </c>
      <c r="E2846">
        <v>382</v>
      </c>
      <c r="F2846" s="3" t="s">
        <v>2511</v>
      </c>
      <c r="G2846" s="4">
        <v>148500</v>
      </c>
      <c r="H2846" s="4">
        <v>0</v>
      </c>
      <c r="I2846" s="4">
        <v>-24080302.440000001</v>
      </c>
    </row>
    <row r="2847" spans="1:9" x14ac:dyDescent="0.3">
      <c r="A2847" t="s">
        <v>133</v>
      </c>
      <c r="B2847" s="1">
        <v>45883</v>
      </c>
      <c r="C2847" s="1">
        <v>45883</v>
      </c>
      <c r="D2847">
        <v>916735</v>
      </c>
      <c r="E2847">
        <v>382</v>
      </c>
      <c r="F2847" s="3" t="s">
        <v>2512</v>
      </c>
      <c r="G2847" s="4">
        <v>96075</v>
      </c>
      <c r="H2847" s="4">
        <v>0</v>
      </c>
      <c r="I2847" s="4">
        <v>-23984227.440000001</v>
      </c>
    </row>
    <row r="2848" spans="1:9" x14ac:dyDescent="0.3">
      <c r="A2848" t="s">
        <v>1</v>
      </c>
      <c r="B2848" s="1">
        <v>45883</v>
      </c>
      <c r="C2848" s="1">
        <v>45884</v>
      </c>
      <c r="D2848">
        <v>102701</v>
      </c>
      <c r="E2848">
        <v>100</v>
      </c>
      <c r="F2848" s="3" t="s">
        <v>2513</v>
      </c>
      <c r="G2848" s="4">
        <v>42554</v>
      </c>
      <c r="I2848" s="4">
        <v>-23941673.440000001</v>
      </c>
    </row>
    <row r="2849" spans="1:9" x14ac:dyDescent="0.3">
      <c r="A2849" t="s">
        <v>1</v>
      </c>
      <c r="B2849" s="1">
        <v>45883</v>
      </c>
      <c r="C2849" s="1">
        <v>45884</v>
      </c>
      <c r="D2849">
        <v>102702</v>
      </c>
      <c r="E2849">
        <v>100</v>
      </c>
      <c r="F2849" s="3" t="s">
        <v>2514</v>
      </c>
      <c r="G2849" s="4">
        <v>15965.75</v>
      </c>
      <c r="I2849" s="4">
        <v>-23925707.690000001</v>
      </c>
    </row>
    <row r="2850" spans="1:9" x14ac:dyDescent="0.3">
      <c r="A2850" t="s">
        <v>1</v>
      </c>
      <c r="B2850" s="1">
        <v>45883</v>
      </c>
      <c r="C2850" s="1">
        <v>45884</v>
      </c>
      <c r="D2850">
        <v>102713</v>
      </c>
      <c r="E2850">
        <v>100</v>
      </c>
      <c r="F2850" s="3" t="s">
        <v>2515</v>
      </c>
      <c r="G2850" s="4">
        <v>10350</v>
      </c>
      <c r="I2850" s="4">
        <v>-23915357.690000001</v>
      </c>
    </row>
    <row r="2851" spans="1:9" x14ac:dyDescent="0.3">
      <c r="A2851" t="s">
        <v>1</v>
      </c>
      <c r="B2851" s="1">
        <v>45883</v>
      </c>
      <c r="C2851" s="1">
        <v>45884</v>
      </c>
      <c r="D2851">
        <v>102721</v>
      </c>
      <c r="E2851">
        <v>100</v>
      </c>
      <c r="F2851" s="3" t="s">
        <v>2379</v>
      </c>
      <c r="G2851" s="4">
        <v>29229.75</v>
      </c>
      <c r="I2851" s="4">
        <v>-23886127.940000001</v>
      </c>
    </row>
    <row r="2852" spans="1:9" x14ac:dyDescent="0.3">
      <c r="A2852" t="s">
        <v>1</v>
      </c>
      <c r="B2852" s="1">
        <v>45883</v>
      </c>
      <c r="C2852" s="1">
        <v>45884</v>
      </c>
      <c r="D2852">
        <v>102722</v>
      </c>
      <c r="E2852">
        <v>100</v>
      </c>
      <c r="F2852" s="3" t="s">
        <v>2516</v>
      </c>
      <c r="G2852" s="4">
        <v>17739</v>
      </c>
      <c r="I2852" s="4">
        <v>-23868388.940000001</v>
      </c>
    </row>
    <row r="2853" spans="1:9" x14ac:dyDescent="0.3">
      <c r="A2853" t="s">
        <v>1</v>
      </c>
      <c r="B2853" s="1">
        <v>45883</v>
      </c>
      <c r="C2853" s="1">
        <v>45884</v>
      </c>
      <c r="D2853">
        <v>102723</v>
      </c>
      <c r="E2853">
        <v>100</v>
      </c>
      <c r="F2853" s="3" t="s">
        <v>2517</v>
      </c>
      <c r="G2853" s="4">
        <v>48361</v>
      </c>
      <c r="I2853" s="4">
        <v>-23820027.940000001</v>
      </c>
    </row>
    <row r="2854" spans="1:9" x14ac:dyDescent="0.3">
      <c r="A2854" t="s">
        <v>1</v>
      </c>
      <c r="B2854" s="1">
        <v>45883</v>
      </c>
      <c r="C2854" s="1">
        <v>45884</v>
      </c>
      <c r="D2854">
        <v>102724</v>
      </c>
      <c r="E2854">
        <v>100</v>
      </c>
      <c r="F2854" s="3" t="s">
        <v>2359</v>
      </c>
      <c r="G2854" s="4">
        <v>15527</v>
      </c>
      <c r="I2854" s="4">
        <v>-23804500.940000001</v>
      </c>
    </row>
    <row r="2855" spans="1:9" x14ac:dyDescent="0.3">
      <c r="A2855" t="s">
        <v>1</v>
      </c>
      <c r="B2855" s="1">
        <v>45883</v>
      </c>
      <c r="C2855" s="1">
        <v>45884</v>
      </c>
      <c r="D2855">
        <v>102728</v>
      </c>
      <c r="E2855">
        <v>100</v>
      </c>
      <c r="F2855" s="3" t="s">
        <v>2518</v>
      </c>
      <c r="G2855" s="4">
        <v>4026.25</v>
      </c>
      <c r="I2855" s="4">
        <v>-23800474.690000001</v>
      </c>
    </row>
    <row r="2856" spans="1:9" x14ac:dyDescent="0.3">
      <c r="A2856" t="s">
        <v>1</v>
      </c>
      <c r="B2856" s="1">
        <v>45883</v>
      </c>
      <c r="C2856" s="1">
        <v>45884</v>
      </c>
      <c r="D2856">
        <v>102729</v>
      </c>
      <c r="E2856">
        <v>100</v>
      </c>
      <c r="F2856" s="3" t="s">
        <v>2519</v>
      </c>
      <c r="G2856" s="4">
        <v>4026.25</v>
      </c>
      <c r="I2856" s="4">
        <v>-23796448.440000001</v>
      </c>
    </row>
    <row r="2857" spans="1:9" x14ac:dyDescent="0.3">
      <c r="A2857" t="s">
        <v>1</v>
      </c>
      <c r="B2857" s="1">
        <v>45883</v>
      </c>
      <c r="C2857" s="1">
        <v>45884</v>
      </c>
      <c r="D2857">
        <v>102736</v>
      </c>
      <c r="E2857">
        <v>100</v>
      </c>
      <c r="F2857" s="3" t="s">
        <v>2520</v>
      </c>
      <c r="G2857" s="4">
        <v>3458.87</v>
      </c>
      <c r="I2857" s="4">
        <v>-23792989.57</v>
      </c>
    </row>
    <row r="2858" spans="1:9" x14ac:dyDescent="0.3">
      <c r="A2858" t="s">
        <v>1</v>
      </c>
      <c r="B2858" s="1">
        <v>45884</v>
      </c>
      <c r="C2858" s="1">
        <v>45884</v>
      </c>
      <c r="D2858">
        <v>102741</v>
      </c>
      <c r="E2858">
        <v>100</v>
      </c>
      <c r="F2858" s="3" t="s">
        <v>2521</v>
      </c>
      <c r="G2858" s="4">
        <v>8486.2999999999993</v>
      </c>
      <c r="I2858" s="4">
        <v>-23784503.27</v>
      </c>
    </row>
    <row r="2859" spans="1:9" x14ac:dyDescent="0.3">
      <c r="A2859" t="s">
        <v>1</v>
      </c>
      <c r="B2859" s="1">
        <v>45883</v>
      </c>
      <c r="C2859" s="1">
        <v>45884</v>
      </c>
      <c r="D2859">
        <v>102742</v>
      </c>
      <c r="E2859">
        <v>100</v>
      </c>
      <c r="F2859" s="3" t="s">
        <v>2522</v>
      </c>
      <c r="G2859" s="4">
        <v>3000</v>
      </c>
      <c r="I2859" s="4">
        <v>-23781503.27</v>
      </c>
    </row>
    <row r="2860" spans="1:9" x14ac:dyDescent="0.3">
      <c r="A2860" t="s">
        <v>1</v>
      </c>
      <c r="B2860" s="1">
        <v>45883</v>
      </c>
      <c r="C2860" s="1">
        <v>45884</v>
      </c>
      <c r="D2860">
        <v>102745</v>
      </c>
      <c r="E2860">
        <v>100</v>
      </c>
      <c r="F2860" s="3" t="s">
        <v>2523</v>
      </c>
      <c r="G2860" s="4">
        <v>31565</v>
      </c>
      <c r="I2860" s="4">
        <v>-23749938.27</v>
      </c>
    </row>
    <row r="2861" spans="1:9" x14ac:dyDescent="0.3">
      <c r="A2861" t="s">
        <v>1</v>
      </c>
      <c r="B2861" s="1">
        <v>45883</v>
      </c>
      <c r="C2861" s="1">
        <v>45884</v>
      </c>
      <c r="D2861">
        <v>102747</v>
      </c>
      <c r="E2861">
        <v>100</v>
      </c>
      <c r="F2861" s="3" t="s">
        <v>2524</v>
      </c>
      <c r="G2861" s="4">
        <v>3526.25</v>
      </c>
      <c r="I2861" s="4">
        <v>-23746412.02</v>
      </c>
    </row>
    <row r="2862" spans="1:9" x14ac:dyDescent="0.3">
      <c r="A2862" t="s">
        <v>1</v>
      </c>
      <c r="B2862" s="1">
        <v>45881</v>
      </c>
      <c r="C2862" s="1">
        <v>45884</v>
      </c>
      <c r="D2862">
        <v>102754</v>
      </c>
      <c r="E2862">
        <v>100</v>
      </c>
      <c r="F2862" s="3" t="s">
        <v>2525</v>
      </c>
      <c r="G2862" s="4">
        <v>9528.35</v>
      </c>
      <c r="I2862" s="4">
        <v>-23736883.670000002</v>
      </c>
    </row>
    <row r="2863" spans="1:9" x14ac:dyDescent="0.3">
      <c r="A2863" t="s">
        <v>1</v>
      </c>
      <c r="B2863" s="1">
        <v>45883</v>
      </c>
      <c r="C2863" s="1">
        <v>45884</v>
      </c>
      <c r="D2863">
        <v>102760</v>
      </c>
      <c r="E2863">
        <v>100</v>
      </c>
      <c r="F2863" s="3" t="s">
        <v>2526</v>
      </c>
      <c r="G2863" s="4">
        <v>67448</v>
      </c>
      <c r="I2863" s="4">
        <v>-23669435.670000002</v>
      </c>
    </row>
    <row r="2864" spans="1:9" x14ac:dyDescent="0.3">
      <c r="A2864" t="s">
        <v>1</v>
      </c>
      <c r="B2864" s="1">
        <v>45883</v>
      </c>
      <c r="C2864" s="1">
        <v>45884</v>
      </c>
      <c r="D2864">
        <v>102761</v>
      </c>
      <c r="E2864">
        <v>100</v>
      </c>
      <c r="F2864" s="3" t="s">
        <v>2527</v>
      </c>
      <c r="G2864" s="4">
        <v>6599.74</v>
      </c>
      <c r="I2864" s="4">
        <v>-23662835.93</v>
      </c>
    </row>
    <row r="2865" spans="1:9" x14ac:dyDescent="0.3">
      <c r="A2865" t="s">
        <v>1</v>
      </c>
      <c r="B2865" s="1">
        <v>45881</v>
      </c>
      <c r="C2865" s="1">
        <v>45884</v>
      </c>
      <c r="D2865">
        <v>102764</v>
      </c>
      <c r="E2865">
        <v>100</v>
      </c>
      <c r="F2865" s="3" t="s">
        <v>2528</v>
      </c>
      <c r="G2865" s="4">
        <v>105650.32</v>
      </c>
      <c r="I2865" s="4">
        <v>-23557185.609999999</v>
      </c>
    </row>
    <row r="2866" spans="1:9" x14ac:dyDescent="0.3">
      <c r="A2866" t="s">
        <v>1</v>
      </c>
      <c r="B2866" s="1">
        <v>45883</v>
      </c>
      <c r="C2866" s="1">
        <v>45884</v>
      </c>
      <c r="D2866">
        <v>102765</v>
      </c>
      <c r="E2866">
        <v>100</v>
      </c>
      <c r="F2866" s="3" t="s">
        <v>2529</v>
      </c>
      <c r="G2866" s="4">
        <v>126</v>
      </c>
      <c r="I2866" s="4">
        <v>-23557059.609999999</v>
      </c>
    </row>
    <row r="2867" spans="1:9" x14ac:dyDescent="0.3">
      <c r="A2867" t="s">
        <v>1</v>
      </c>
      <c r="B2867" s="1">
        <v>45884</v>
      </c>
      <c r="C2867" s="1">
        <v>45884</v>
      </c>
      <c r="D2867">
        <v>102768</v>
      </c>
      <c r="E2867">
        <v>100</v>
      </c>
      <c r="F2867" s="3" t="s">
        <v>2530</v>
      </c>
      <c r="G2867" s="4">
        <v>88106</v>
      </c>
      <c r="I2867" s="4">
        <v>-23468953.609999999</v>
      </c>
    </row>
    <row r="2868" spans="1:9" x14ac:dyDescent="0.3">
      <c r="A2868" t="s">
        <v>1</v>
      </c>
      <c r="B2868" s="1">
        <v>45883</v>
      </c>
      <c r="C2868" s="1">
        <v>45884</v>
      </c>
      <c r="D2868">
        <v>102769</v>
      </c>
      <c r="E2868">
        <v>100</v>
      </c>
      <c r="F2868" s="3" t="s">
        <v>2531</v>
      </c>
      <c r="G2868" s="4">
        <v>18919</v>
      </c>
      <c r="I2868" s="4">
        <v>-23450034.609999999</v>
      </c>
    </row>
    <row r="2869" spans="1:9" x14ac:dyDescent="0.3">
      <c r="A2869" t="s">
        <v>1</v>
      </c>
      <c r="B2869" s="1">
        <v>45884</v>
      </c>
      <c r="C2869" s="1">
        <v>45884</v>
      </c>
      <c r="D2869">
        <v>102770</v>
      </c>
      <c r="E2869">
        <v>100</v>
      </c>
      <c r="F2869" s="3" t="s">
        <v>760</v>
      </c>
      <c r="G2869" s="4">
        <v>11903157.01</v>
      </c>
      <c r="I2869" s="4">
        <v>-11546877.6</v>
      </c>
    </row>
    <row r="2870" spans="1:9" x14ac:dyDescent="0.3">
      <c r="A2870" t="s">
        <v>1</v>
      </c>
      <c r="B2870" s="1">
        <v>45884</v>
      </c>
      <c r="C2870" s="1">
        <v>45884</v>
      </c>
      <c r="D2870">
        <v>102771</v>
      </c>
      <c r="E2870">
        <v>100</v>
      </c>
      <c r="F2870" s="3" t="s">
        <v>2532</v>
      </c>
      <c r="G2870" s="4">
        <v>5514954.5</v>
      </c>
      <c r="I2870" s="4">
        <v>-6031923.0999999996</v>
      </c>
    </row>
    <row r="2871" spans="1:9" x14ac:dyDescent="0.3">
      <c r="A2871" t="s">
        <v>1</v>
      </c>
      <c r="B2871" s="1">
        <v>45884</v>
      </c>
      <c r="C2871" s="1">
        <v>45884</v>
      </c>
      <c r="D2871">
        <v>102774</v>
      </c>
      <c r="E2871">
        <v>100</v>
      </c>
      <c r="F2871" s="3" t="s">
        <v>2533</v>
      </c>
      <c r="G2871" s="4">
        <v>58708</v>
      </c>
      <c r="I2871" s="4">
        <v>-5973215.0999999996</v>
      </c>
    </row>
    <row r="2872" spans="1:9" x14ac:dyDescent="0.3">
      <c r="A2872" t="s">
        <v>1</v>
      </c>
      <c r="B2872" s="1">
        <v>45884</v>
      </c>
      <c r="C2872" s="1">
        <v>45884</v>
      </c>
      <c r="D2872">
        <v>102776</v>
      </c>
      <c r="E2872">
        <v>100</v>
      </c>
      <c r="F2872" s="3" t="s">
        <v>2534</v>
      </c>
      <c r="G2872" s="4">
        <v>1602.1</v>
      </c>
      <c r="I2872" s="4">
        <v>-5971613</v>
      </c>
    </row>
    <row r="2873" spans="1:9" x14ac:dyDescent="0.3">
      <c r="A2873" t="s">
        <v>1</v>
      </c>
      <c r="B2873" s="1">
        <v>45884</v>
      </c>
      <c r="C2873" s="1">
        <v>45884</v>
      </c>
      <c r="D2873">
        <v>102777</v>
      </c>
      <c r="E2873">
        <v>100</v>
      </c>
      <c r="F2873" s="3" t="s">
        <v>2535</v>
      </c>
      <c r="G2873" s="4">
        <v>53880.38</v>
      </c>
      <c r="I2873" s="4">
        <v>-5917732.6200000001</v>
      </c>
    </row>
    <row r="2874" spans="1:9" x14ac:dyDescent="0.3">
      <c r="A2874" t="s">
        <v>1</v>
      </c>
      <c r="B2874" s="1">
        <v>45884</v>
      </c>
      <c r="C2874" s="1">
        <v>45884</v>
      </c>
      <c r="D2874">
        <v>102778</v>
      </c>
      <c r="E2874">
        <v>100</v>
      </c>
      <c r="F2874" s="3" t="s">
        <v>1976</v>
      </c>
      <c r="G2874" s="4">
        <v>73664</v>
      </c>
      <c r="I2874" s="4">
        <v>-5844068.6200000001</v>
      </c>
    </row>
    <row r="2875" spans="1:9" x14ac:dyDescent="0.3">
      <c r="A2875" t="s">
        <v>1</v>
      </c>
      <c r="B2875" s="1">
        <v>45876</v>
      </c>
      <c r="C2875" s="1">
        <v>45884</v>
      </c>
      <c r="D2875">
        <v>102779</v>
      </c>
      <c r="E2875">
        <v>100</v>
      </c>
      <c r="F2875" s="3" t="s">
        <v>2536</v>
      </c>
      <c r="G2875" s="4">
        <v>31.5</v>
      </c>
      <c r="I2875" s="4">
        <v>-5844037.1200000001</v>
      </c>
    </row>
    <row r="2876" spans="1:9" x14ac:dyDescent="0.3">
      <c r="A2876" t="s">
        <v>1</v>
      </c>
      <c r="B2876" s="1">
        <v>45876</v>
      </c>
      <c r="C2876" s="1">
        <v>45884</v>
      </c>
      <c r="D2876">
        <v>102780</v>
      </c>
      <c r="E2876">
        <v>100</v>
      </c>
      <c r="F2876" s="3" t="s">
        <v>2537</v>
      </c>
      <c r="G2876" s="4">
        <v>119.7</v>
      </c>
      <c r="I2876" s="4">
        <v>-5843917.4199999999</v>
      </c>
    </row>
    <row r="2877" spans="1:9" x14ac:dyDescent="0.3">
      <c r="A2877" t="s">
        <v>1</v>
      </c>
      <c r="B2877" s="1">
        <v>45876</v>
      </c>
      <c r="C2877" s="1">
        <v>45884</v>
      </c>
      <c r="D2877">
        <v>102781</v>
      </c>
      <c r="E2877">
        <v>100</v>
      </c>
      <c r="F2877" s="3" t="s">
        <v>2538</v>
      </c>
      <c r="G2877" s="4">
        <v>16.8</v>
      </c>
      <c r="I2877" s="4">
        <v>-5843900.6200000001</v>
      </c>
    </row>
    <row r="2878" spans="1:9" x14ac:dyDescent="0.3">
      <c r="A2878" t="s">
        <v>1</v>
      </c>
      <c r="B2878" s="1">
        <v>45876</v>
      </c>
      <c r="C2878" s="1">
        <v>45884</v>
      </c>
      <c r="D2878">
        <v>102782</v>
      </c>
      <c r="E2878">
        <v>100</v>
      </c>
      <c r="F2878" s="3" t="s">
        <v>2539</v>
      </c>
      <c r="G2878" s="4">
        <v>16.8</v>
      </c>
      <c r="I2878" s="4">
        <v>-5843883.8200000003</v>
      </c>
    </row>
    <row r="2879" spans="1:9" x14ac:dyDescent="0.3">
      <c r="A2879" t="s">
        <v>1</v>
      </c>
      <c r="B2879" s="1">
        <v>45876</v>
      </c>
      <c r="C2879" s="1">
        <v>45884</v>
      </c>
      <c r="D2879">
        <v>102783</v>
      </c>
      <c r="E2879">
        <v>100</v>
      </c>
      <c r="F2879" s="3" t="s">
        <v>2540</v>
      </c>
      <c r="G2879" s="4">
        <v>12.6</v>
      </c>
      <c r="I2879" s="4">
        <v>-5843871.2199999997</v>
      </c>
    </row>
    <row r="2880" spans="1:9" x14ac:dyDescent="0.3">
      <c r="A2880" t="s">
        <v>1</v>
      </c>
      <c r="B2880" s="1">
        <v>45876</v>
      </c>
      <c r="C2880" s="1">
        <v>45884</v>
      </c>
      <c r="D2880">
        <v>102784</v>
      </c>
      <c r="E2880">
        <v>100</v>
      </c>
      <c r="F2880" s="3" t="s">
        <v>2541</v>
      </c>
      <c r="G2880" s="4">
        <v>14.7</v>
      </c>
      <c r="I2880" s="4">
        <v>-5843856.5199999996</v>
      </c>
    </row>
    <row r="2881" spans="1:9" x14ac:dyDescent="0.3">
      <c r="A2881" t="s">
        <v>1</v>
      </c>
      <c r="B2881" s="1">
        <v>45884</v>
      </c>
      <c r="C2881" s="1">
        <v>45884</v>
      </c>
      <c r="D2881">
        <v>102785</v>
      </c>
      <c r="E2881">
        <v>100</v>
      </c>
      <c r="F2881" s="3" t="s">
        <v>2542</v>
      </c>
      <c r="G2881" s="4">
        <v>24715</v>
      </c>
      <c r="I2881" s="4">
        <v>-5819141.5199999996</v>
      </c>
    </row>
    <row r="2882" spans="1:9" x14ac:dyDescent="0.3">
      <c r="A2882" t="s">
        <v>1</v>
      </c>
      <c r="B2882" s="1">
        <v>45884</v>
      </c>
      <c r="C2882" s="1">
        <v>45884</v>
      </c>
      <c r="D2882">
        <v>102797</v>
      </c>
      <c r="E2882">
        <v>100</v>
      </c>
      <c r="F2882" s="3" t="s">
        <v>2543</v>
      </c>
      <c r="G2882" s="4">
        <v>32100</v>
      </c>
      <c r="I2882" s="4">
        <v>-5787041.5199999996</v>
      </c>
    </row>
    <row r="2883" spans="1:9" x14ac:dyDescent="0.3">
      <c r="A2883" t="s">
        <v>75</v>
      </c>
      <c r="B2883" s="1">
        <v>45882</v>
      </c>
      <c r="C2883" s="1">
        <v>45884</v>
      </c>
      <c r="D2883">
        <v>143484</v>
      </c>
      <c r="E2883">
        <v>69</v>
      </c>
      <c r="F2883" s="3" t="s">
        <v>2544</v>
      </c>
      <c r="G2883" s="4">
        <v>121320.87</v>
      </c>
      <c r="H2883" s="4">
        <v>0</v>
      </c>
      <c r="I2883" s="4">
        <v>-5665720.6500000004</v>
      </c>
    </row>
    <row r="2884" spans="1:9" x14ac:dyDescent="0.3">
      <c r="A2884" t="s">
        <v>75</v>
      </c>
      <c r="B2884" s="1">
        <v>45883</v>
      </c>
      <c r="C2884" s="1">
        <v>45884</v>
      </c>
      <c r="D2884">
        <v>143485</v>
      </c>
      <c r="E2884">
        <v>69</v>
      </c>
      <c r="F2884" s="3" t="s">
        <v>2545</v>
      </c>
      <c r="G2884" s="4">
        <v>97243</v>
      </c>
      <c r="H2884" s="4">
        <v>0</v>
      </c>
      <c r="I2884" s="4">
        <v>-5568477.6500000004</v>
      </c>
    </row>
    <row r="2885" spans="1:9" x14ac:dyDescent="0.3">
      <c r="A2885" t="s">
        <v>75</v>
      </c>
      <c r="B2885" s="1">
        <v>45883</v>
      </c>
      <c r="C2885" s="1">
        <v>45884</v>
      </c>
      <c r="D2885">
        <v>143486</v>
      </c>
      <c r="E2885">
        <v>69</v>
      </c>
      <c r="F2885" s="3" t="s">
        <v>2546</v>
      </c>
      <c r="G2885" s="4">
        <v>72971.25</v>
      </c>
      <c r="H2885" s="4">
        <v>0</v>
      </c>
      <c r="I2885" s="4">
        <v>-5495506.4000000004</v>
      </c>
    </row>
    <row r="2886" spans="1:9" x14ac:dyDescent="0.3">
      <c r="A2886" t="s">
        <v>75</v>
      </c>
      <c r="B2886" s="1">
        <v>45883</v>
      </c>
      <c r="C2886" s="1">
        <v>45884</v>
      </c>
      <c r="D2886">
        <v>143488</v>
      </c>
      <c r="E2886">
        <v>351</v>
      </c>
      <c r="F2886" s="3" t="s">
        <v>2547</v>
      </c>
      <c r="G2886" s="4">
        <v>27000</v>
      </c>
      <c r="H2886" s="4">
        <v>0</v>
      </c>
      <c r="I2886" s="4">
        <v>-5468506.4000000004</v>
      </c>
    </row>
    <row r="2887" spans="1:9" x14ac:dyDescent="0.3">
      <c r="A2887" t="s">
        <v>75</v>
      </c>
      <c r="B2887" s="1">
        <v>45884</v>
      </c>
      <c r="C2887" s="1">
        <v>45884</v>
      </c>
      <c r="D2887">
        <v>143489</v>
      </c>
      <c r="E2887">
        <v>61</v>
      </c>
      <c r="F2887" s="3" t="s">
        <v>2548</v>
      </c>
      <c r="G2887" s="4">
        <v>26994</v>
      </c>
      <c r="H2887" s="4">
        <v>0</v>
      </c>
      <c r="I2887" s="4">
        <v>-5441512.4000000004</v>
      </c>
    </row>
    <row r="2888" spans="1:9" x14ac:dyDescent="0.3">
      <c r="A2888" t="s">
        <v>75</v>
      </c>
      <c r="B2888" s="1">
        <v>45875</v>
      </c>
      <c r="C2888" s="1">
        <v>45884</v>
      </c>
      <c r="D2888">
        <v>143490</v>
      </c>
      <c r="E2888">
        <v>61</v>
      </c>
      <c r="F2888" s="3" t="s">
        <v>2549</v>
      </c>
      <c r="G2888" s="4">
        <v>10000</v>
      </c>
      <c r="H2888" s="4">
        <v>0</v>
      </c>
      <c r="I2888" s="4">
        <v>-5431512.4000000004</v>
      </c>
    </row>
    <row r="2889" spans="1:9" x14ac:dyDescent="0.3">
      <c r="A2889" t="s">
        <v>75</v>
      </c>
      <c r="B2889" s="1">
        <v>45882</v>
      </c>
      <c r="C2889" s="1">
        <v>45884</v>
      </c>
      <c r="D2889">
        <v>143493</v>
      </c>
      <c r="E2889">
        <v>27</v>
      </c>
      <c r="F2889" s="3" t="s">
        <v>2550</v>
      </c>
      <c r="G2889" s="4">
        <v>121670</v>
      </c>
      <c r="H2889" s="4">
        <v>0</v>
      </c>
      <c r="I2889" s="4">
        <v>-5309842.4000000004</v>
      </c>
    </row>
    <row r="2890" spans="1:9" x14ac:dyDescent="0.3">
      <c r="A2890" t="s">
        <v>75</v>
      </c>
      <c r="B2890" s="1">
        <v>45884</v>
      </c>
      <c r="C2890" s="1">
        <v>45884</v>
      </c>
      <c r="D2890">
        <v>143496</v>
      </c>
      <c r="E2890">
        <v>14</v>
      </c>
      <c r="F2890" s="3" t="s">
        <v>2551</v>
      </c>
      <c r="G2890" s="4">
        <v>8830</v>
      </c>
      <c r="H2890" s="4">
        <v>0</v>
      </c>
      <c r="I2890" s="4">
        <v>-5301012.4000000004</v>
      </c>
    </row>
    <row r="2891" spans="1:9" x14ac:dyDescent="0.3">
      <c r="A2891" t="s">
        <v>75</v>
      </c>
      <c r="B2891" s="1">
        <v>45884</v>
      </c>
      <c r="C2891" s="1">
        <v>45884</v>
      </c>
      <c r="D2891">
        <v>143497</v>
      </c>
      <c r="E2891">
        <v>16</v>
      </c>
      <c r="F2891" s="3" t="s">
        <v>2552</v>
      </c>
      <c r="G2891" s="4">
        <v>86399.5</v>
      </c>
      <c r="H2891" s="4">
        <v>0</v>
      </c>
      <c r="I2891" s="4">
        <v>-5214612.9000000004</v>
      </c>
    </row>
    <row r="2892" spans="1:9" x14ac:dyDescent="0.3">
      <c r="A2892" t="s">
        <v>75</v>
      </c>
      <c r="B2892" s="1">
        <v>45884</v>
      </c>
      <c r="C2892" s="1">
        <v>45884</v>
      </c>
      <c r="D2892">
        <v>143498</v>
      </c>
      <c r="E2892">
        <v>14</v>
      </c>
      <c r="F2892" s="3" t="s">
        <v>2553</v>
      </c>
      <c r="G2892" s="4">
        <v>100000</v>
      </c>
      <c r="H2892" s="4">
        <v>0</v>
      </c>
      <c r="I2892" s="4">
        <v>-5114612.9000000004</v>
      </c>
    </row>
    <row r="2893" spans="1:9" x14ac:dyDescent="0.3">
      <c r="A2893" t="s">
        <v>75</v>
      </c>
      <c r="B2893" s="1">
        <v>45882</v>
      </c>
      <c r="C2893" s="1">
        <v>45884</v>
      </c>
      <c r="D2893">
        <v>143503</v>
      </c>
      <c r="E2893">
        <v>301</v>
      </c>
      <c r="F2893" s="3" t="s">
        <v>2554</v>
      </c>
      <c r="G2893" s="4">
        <v>734760.5</v>
      </c>
      <c r="H2893" s="4">
        <v>0</v>
      </c>
      <c r="I2893" s="4">
        <v>-4379852.4000000004</v>
      </c>
    </row>
    <row r="2894" spans="1:9" x14ac:dyDescent="0.3">
      <c r="A2894" t="s">
        <v>75</v>
      </c>
      <c r="B2894" s="1">
        <v>45884</v>
      </c>
      <c r="C2894" s="1">
        <v>45884</v>
      </c>
      <c r="D2894">
        <v>143504</v>
      </c>
      <c r="E2894">
        <v>14</v>
      </c>
      <c r="F2894" s="3" t="s">
        <v>2555</v>
      </c>
      <c r="G2894" s="4">
        <v>250000</v>
      </c>
      <c r="H2894" s="4">
        <v>0</v>
      </c>
      <c r="I2894" s="4">
        <v>-4129852.4</v>
      </c>
    </row>
    <row r="2895" spans="1:9" x14ac:dyDescent="0.3">
      <c r="A2895" t="s">
        <v>75</v>
      </c>
      <c r="B2895" s="1">
        <v>45884</v>
      </c>
      <c r="C2895" s="1">
        <v>45884</v>
      </c>
      <c r="D2895">
        <v>143510</v>
      </c>
      <c r="E2895">
        <v>45</v>
      </c>
      <c r="F2895" s="3" t="s">
        <v>2556</v>
      </c>
      <c r="G2895" s="4">
        <v>50060.5</v>
      </c>
      <c r="H2895" s="4">
        <v>0</v>
      </c>
      <c r="I2895" s="4">
        <v>-4079791.9</v>
      </c>
    </row>
    <row r="2896" spans="1:9" x14ac:dyDescent="0.3">
      <c r="A2896" t="s">
        <v>75</v>
      </c>
      <c r="B2896" s="1">
        <v>45884</v>
      </c>
      <c r="C2896" s="1">
        <v>45884</v>
      </c>
      <c r="D2896">
        <v>143512</v>
      </c>
      <c r="E2896">
        <v>58</v>
      </c>
      <c r="F2896" s="3" t="s">
        <v>2557</v>
      </c>
      <c r="G2896" s="4">
        <v>1000</v>
      </c>
      <c r="H2896" s="4">
        <v>0</v>
      </c>
      <c r="I2896" s="4">
        <v>-4078791.9</v>
      </c>
    </row>
    <row r="2897" spans="1:9" x14ac:dyDescent="0.3">
      <c r="A2897" t="s">
        <v>75</v>
      </c>
      <c r="B2897" s="1">
        <v>45869</v>
      </c>
      <c r="C2897" s="1">
        <v>45884</v>
      </c>
      <c r="D2897">
        <v>143513</v>
      </c>
      <c r="E2897">
        <v>69</v>
      </c>
      <c r="F2897" s="3" t="s">
        <v>2558</v>
      </c>
      <c r="G2897" s="4">
        <v>66424</v>
      </c>
      <c r="H2897" s="4">
        <v>0</v>
      </c>
      <c r="I2897" s="4">
        <v>-4012367.9</v>
      </c>
    </row>
    <row r="2898" spans="1:9" x14ac:dyDescent="0.3">
      <c r="A2898" t="s">
        <v>75</v>
      </c>
      <c r="B2898" s="1">
        <v>45883</v>
      </c>
      <c r="C2898" s="1">
        <v>45884</v>
      </c>
      <c r="D2898">
        <v>143514</v>
      </c>
      <c r="E2898">
        <v>33</v>
      </c>
      <c r="F2898" s="3" t="s">
        <v>2559</v>
      </c>
      <c r="G2898" s="4">
        <v>10553</v>
      </c>
      <c r="H2898" s="4">
        <v>0</v>
      </c>
      <c r="I2898" s="4">
        <v>-4001814.9</v>
      </c>
    </row>
    <row r="2899" spans="1:9" x14ac:dyDescent="0.3">
      <c r="A2899" t="s">
        <v>75</v>
      </c>
      <c r="B2899" s="1">
        <v>45882</v>
      </c>
      <c r="C2899" s="1">
        <v>45884</v>
      </c>
      <c r="D2899">
        <v>143515</v>
      </c>
      <c r="E2899">
        <v>11</v>
      </c>
      <c r="F2899" s="3" t="s">
        <v>2560</v>
      </c>
      <c r="G2899" s="4">
        <v>147045</v>
      </c>
      <c r="H2899" s="4">
        <v>0</v>
      </c>
      <c r="I2899" s="4">
        <v>-3854769.9</v>
      </c>
    </row>
    <row r="2900" spans="1:9" x14ac:dyDescent="0.3">
      <c r="A2900" t="s">
        <v>75</v>
      </c>
      <c r="B2900" s="1">
        <v>45883</v>
      </c>
      <c r="C2900" s="1">
        <v>45884</v>
      </c>
      <c r="D2900">
        <v>143516</v>
      </c>
      <c r="E2900">
        <v>91</v>
      </c>
      <c r="F2900" s="3" t="s">
        <v>2561</v>
      </c>
      <c r="G2900" s="4">
        <v>80910</v>
      </c>
      <c r="H2900" s="4">
        <v>0</v>
      </c>
      <c r="I2900" s="4">
        <v>-3773859.9</v>
      </c>
    </row>
    <row r="2901" spans="1:9" x14ac:dyDescent="0.3">
      <c r="A2901" t="s">
        <v>75</v>
      </c>
      <c r="B2901" s="1">
        <v>45884</v>
      </c>
      <c r="C2901" s="1">
        <v>45884</v>
      </c>
      <c r="D2901">
        <v>143518</v>
      </c>
      <c r="E2901">
        <v>16</v>
      </c>
      <c r="F2901" s="3" t="s">
        <v>2562</v>
      </c>
      <c r="G2901" s="4">
        <v>42130</v>
      </c>
      <c r="H2901" s="4">
        <v>0</v>
      </c>
      <c r="I2901" s="4">
        <v>-3731729.9</v>
      </c>
    </row>
    <row r="2902" spans="1:9" x14ac:dyDescent="0.3">
      <c r="A2902" t="s">
        <v>75</v>
      </c>
      <c r="B2902" s="1">
        <v>45884</v>
      </c>
      <c r="C2902" s="1">
        <v>45884</v>
      </c>
      <c r="D2902">
        <v>143519</v>
      </c>
      <c r="E2902">
        <v>16</v>
      </c>
      <c r="F2902" s="3" t="s">
        <v>2563</v>
      </c>
      <c r="G2902" s="4">
        <v>18637.75</v>
      </c>
      <c r="H2902" s="4">
        <v>0</v>
      </c>
      <c r="I2902" s="4">
        <v>-3713092.15</v>
      </c>
    </row>
    <row r="2903" spans="1:9" x14ac:dyDescent="0.3">
      <c r="A2903" t="s">
        <v>75</v>
      </c>
      <c r="B2903" s="1">
        <v>45884</v>
      </c>
      <c r="C2903" s="1">
        <v>45884</v>
      </c>
      <c r="D2903">
        <v>143521</v>
      </c>
      <c r="E2903">
        <v>19</v>
      </c>
      <c r="F2903" s="3" t="s">
        <v>2564</v>
      </c>
      <c r="G2903" s="4">
        <v>500</v>
      </c>
      <c r="H2903" s="4">
        <v>0</v>
      </c>
      <c r="I2903" s="4">
        <v>-3712592.15</v>
      </c>
    </row>
    <row r="2904" spans="1:9" x14ac:dyDescent="0.3">
      <c r="A2904" t="s">
        <v>75</v>
      </c>
      <c r="B2904" s="1">
        <v>45884</v>
      </c>
      <c r="C2904" s="1">
        <v>45884</v>
      </c>
      <c r="D2904">
        <v>143522</v>
      </c>
      <c r="E2904">
        <v>58</v>
      </c>
      <c r="F2904" s="3" t="s">
        <v>2565</v>
      </c>
      <c r="G2904" s="4">
        <v>50026.5</v>
      </c>
      <c r="H2904" s="4">
        <v>0</v>
      </c>
      <c r="I2904" s="4">
        <v>-3662565.65</v>
      </c>
    </row>
    <row r="2905" spans="1:9" x14ac:dyDescent="0.3">
      <c r="A2905" t="s">
        <v>75</v>
      </c>
      <c r="B2905" s="1">
        <v>45884</v>
      </c>
      <c r="C2905" s="1">
        <v>45884</v>
      </c>
      <c r="D2905">
        <v>143523</v>
      </c>
      <c r="E2905">
        <v>11</v>
      </c>
      <c r="F2905" s="3" t="s">
        <v>2566</v>
      </c>
      <c r="G2905" s="4">
        <v>1300</v>
      </c>
      <c r="H2905" s="4">
        <v>0</v>
      </c>
      <c r="I2905" s="4">
        <v>-3661265.65</v>
      </c>
    </row>
    <row r="2906" spans="1:9" x14ac:dyDescent="0.3">
      <c r="A2906" t="s">
        <v>75</v>
      </c>
      <c r="B2906" s="1">
        <v>45884</v>
      </c>
      <c r="C2906" s="1">
        <v>45884</v>
      </c>
      <c r="D2906">
        <v>143524</v>
      </c>
      <c r="E2906">
        <v>41</v>
      </c>
      <c r="F2906" s="3" t="s">
        <v>2567</v>
      </c>
      <c r="G2906" s="4">
        <v>12684.25</v>
      </c>
      <c r="H2906" s="4">
        <v>0</v>
      </c>
      <c r="I2906" s="4">
        <v>-3648581.4</v>
      </c>
    </row>
    <row r="2907" spans="1:9" x14ac:dyDescent="0.3">
      <c r="A2907" t="s">
        <v>75</v>
      </c>
      <c r="B2907" s="1">
        <v>45884</v>
      </c>
      <c r="C2907" s="1">
        <v>45884</v>
      </c>
      <c r="D2907">
        <v>143525</v>
      </c>
      <c r="E2907">
        <v>24</v>
      </c>
      <c r="F2907" s="3" t="s">
        <v>2568</v>
      </c>
      <c r="G2907" s="4">
        <v>36794.25</v>
      </c>
      <c r="H2907" s="4">
        <v>0</v>
      </c>
      <c r="I2907" s="4">
        <v>-3611787.15</v>
      </c>
    </row>
    <row r="2908" spans="1:9" x14ac:dyDescent="0.3">
      <c r="A2908" t="s">
        <v>75</v>
      </c>
      <c r="B2908" s="1">
        <v>45884</v>
      </c>
      <c r="C2908" s="1">
        <v>45884</v>
      </c>
      <c r="D2908">
        <v>143527</v>
      </c>
      <c r="E2908">
        <v>62</v>
      </c>
      <c r="F2908" s="3" t="s">
        <v>2569</v>
      </c>
      <c r="G2908" s="4">
        <v>12668.75</v>
      </c>
      <c r="H2908" s="4">
        <v>0</v>
      </c>
      <c r="I2908" s="4">
        <v>-3599118.4</v>
      </c>
    </row>
    <row r="2909" spans="1:9" x14ac:dyDescent="0.3">
      <c r="A2909" t="s">
        <v>75</v>
      </c>
      <c r="B2909" s="1">
        <v>45884</v>
      </c>
      <c r="C2909" s="1">
        <v>45884</v>
      </c>
      <c r="D2909">
        <v>143528</v>
      </c>
      <c r="E2909">
        <v>62</v>
      </c>
      <c r="F2909" s="3" t="s">
        <v>2570</v>
      </c>
      <c r="G2909" s="4">
        <v>21838</v>
      </c>
      <c r="H2909" s="4">
        <v>0</v>
      </c>
      <c r="I2909" s="4">
        <v>-3577280.4</v>
      </c>
    </row>
    <row r="2910" spans="1:9" x14ac:dyDescent="0.3">
      <c r="A2910" t="s">
        <v>75</v>
      </c>
      <c r="B2910" s="1">
        <v>45884</v>
      </c>
      <c r="C2910" s="1">
        <v>45884</v>
      </c>
      <c r="D2910">
        <v>143529</v>
      </c>
      <c r="E2910">
        <v>11</v>
      </c>
      <c r="F2910" s="3" t="s">
        <v>2571</v>
      </c>
      <c r="G2910" s="4">
        <v>58900</v>
      </c>
      <c r="H2910" s="4">
        <v>0</v>
      </c>
      <c r="I2910" s="4">
        <v>-3518380.4</v>
      </c>
    </row>
    <row r="2911" spans="1:9" x14ac:dyDescent="0.3">
      <c r="A2911" t="s">
        <v>71</v>
      </c>
      <c r="B2911" s="1">
        <v>45884</v>
      </c>
      <c r="C2911" s="1">
        <v>45884</v>
      </c>
      <c r="D2911">
        <v>14440</v>
      </c>
      <c r="E2911">
        <v>100</v>
      </c>
      <c r="F2911" s="3" t="s">
        <v>74</v>
      </c>
      <c r="G2911" s="4">
        <v>0</v>
      </c>
      <c r="H2911" s="4">
        <v>54732170</v>
      </c>
      <c r="I2911" s="4">
        <v>-58250550.399999999</v>
      </c>
    </row>
    <row r="2912" spans="1:9" x14ac:dyDescent="0.3">
      <c r="A2912" t="s">
        <v>71</v>
      </c>
      <c r="B2912" s="1">
        <v>45884</v>
      </c>
      <c r="C2912" s="1">
        <v>45884</v>
      </c>
      <c r="D2912">
        <v>14443</v>
      </c>
      <c r="E2912">
        <v>100</v>
      </c>
      <c r="F2912" s="3" t="s">
        <v>2572</v>
      </c>
      <c r="G2912" s="4">
        <v>54732170</v>
      </c>
      <c r="H2912" s="4">
        <v>0</v>
      </c>
      <c r="I2912" s="4">
        <v>-3518380.4</v>
      </c>
    </row>
    <row r="2913" spans="1:9" x14ac:dyDescent="0.3">
      <c r="A2913" t="s">
        <v>71</v>
      </c>
      <c r="B2913" s="1">
        <v>45884</v>
      </c>
      <c r="C2913" s="1">
        <v>45884</v>
      </c>
      <c r="D2913">
        <v>14447</v>
      </c>
      <c r="E2913">
        <v>100</v>
      </c>
      <c r="F2913" s="3" t="s">
        <v>74</v>
      </c>
      <c r="G2913" s="4">
        <v>0</v>
      </c>
      <c r="H2913" s="4">
        <v>49222220</v>
      </c>
      <c r="I2913" s="4">
        <v>-52740600.399999999</v>
      </c>
    </row>
    <row r="2914" spans="1:9" x14ac:dyDescent="0.3">
      <c r="A2914" t="s">
        <v>71</v>
      </c>
      <c r="B2914" s="1">
        <v>45882</v>
      </c>
      <c r="C2914" s="1">
        <v>45884</v>
      </c>
      <c r="D2914">
        <v>14449</v>
      </c>
      <c r="E2914">
        <v>100</v>
      </c>
      <c r="F2914" s="3" t="s">
        <v>2573</v>
      </c>
      <c r="G2914" s="4">
        <v>42770</v>
      </c>
      <c r="H2914" s="4">
        <v>0</v>
      </c>
      <c r="I2914" s="4">
        <v>-52697830.399999999</v>
      </c>
    </row>
    <row r="2915" spans="1:9" x14ac:dyDescent="0.3">
      <c r="A2915" t="s">
        <v>71</v>
      </c>
      <c r="B2915" s="1">
        <v>45882</v>
      </c>
      <c r="C2915" s="1">
        <v>45884</v>
      </c>
      <c r="D2915">
        <v>14449</v>
      </c>
      <c r="E2915">
        <v>100</v>
      </c>
      <c r="F2915" s="3" t="s">
        <v>2574</v>
      </c>
      <c r="G2915" s="4">
        <v>165465</v>
      </c>
      <c r="H2915" s="4">
        <v>0</v>
      </c>
      <c r="I2915" s="4">
        <v>-52532365.399999999</v>
      </c>
    </row>
    <row r="2916" spans="1:9" x14ac:dyDescent="0.3">
      <c r="A2916" t="s">
        <v>71</v>
      </c>
      <c r="B2916" s="1">
        <v>45883</v>
      </c>
      <c r="C2916" s="1">
        <v>45884</v>
      </c>
      <c r="D2916">
        <v>14449</v>
      </c>
      <c r="E2916">
        <v>100</v>
      </c>
      <c r="F2916" s="3">
        <v>2508141027398730</v>
      </c>
      <c r="G2916" s="4">
        <v>73550</v>
      </c>
      <c r="H2916" s="4">
        <v>0</v>
      </c>
      <c r="I2916" s="4">
        <v>-52458815.399999999</v>
      </c>
    </row>
    <row r="2917" spans="1:9" x14ac:dyDescent="0.3">
      <c r="A2917" t="s">
        <v>71</v>
      </c>
      <c r="B2917" s="1">
        <v>45875</v>
      </c>
      <c r="C2917" s="1">
        <v>45884</v>
      </c>
      <c r="D2917">
        <v>14449</v>
      </c>
      <c r="E2917">
        <v>100</v>
      </c>
      <c r="F2917" s="3" t="s">
        <v>2575</v>
      </c>
      <c r="G2917" s="4">
        <v>38268</v>
      </c>
      <c r="H2917" s="4">
        <v>0</v>
      </c>
      <c r="I2917" s="4">
        <v>-52420547.399999999</v>
      </c>
    </row>
    <row r="2918" spans="1:9" x14ac:dyDescent="0.3">
      <c r="A2918" t="s">
        <v>71</v>
      </c>
      <c r="B2918" s="1">
        <v>45882</v>
      </c>
      <c r="C2918" s="1">
        <v>45884</v>
      </c>
      <c r="D2918">
        <v>14449</v>
      </c>
      <c r="E2918">
        <v>100</v>
      </c>
      <c r="F2918" s="3" t="s">
        <v>2576</v>
      </c>
      <c r="G2918" s="4">
        <v>43040</v>
      </c>
      <c r="H2918" s="4">
        <v>0</v>
      </c>
      <c r="I2918" s="4">
        <v>-52377507.399999999</v>
      </c>
    </row>
    <row r="2919" spans="1:9" x14ac:dyDescent="0.3">
      <c r="A2919" t="s">
        <v>71</v>
      </c>
      <c r="B2919" s="1">
        <v>45880</v>
      </c>
      <c r="C2919" s="1">
        <v>45884</v>
      </c>
      <c r="D2919">
        <v>14461</v>
      </c>
      <c r="E2919">
        <v>100</v>
      </c>
      <c r="F2919" s="3" t="s">
        <v>2577</v>
      </c>
      <c r="G2919" s="4">
        <v>21758000</v>
      </c>
      <c r="H2919" s="4">
        <v>0</v>
      </c>
      <c r="I2919" s="4">
        <v>-30619507.399999999</v>
      </c>
    </row>
    <row r="2920" spans="1:9" x14ac:dyDescent="0.3">
      <c r="A2920" t="s">
        <v>71</v>
      </c>
      <c r="B2920" s="1">
        <v>45878</v>
      </c>
      <c r="C2920" s="1">
        <v>45884</v>
      </c>
      <c r="D2920">
        <v>14461</v>
      </c>
      <c r="E2920">
        <v>100</v>
      </c>
      <c r="F2920" s="3" t="s">
        <v>2578</v>
      </c>
      <c r="G2920" s="4">
        <v>15000000</v>
      </c>
      <c r="H2920" s="4">
        <v>0</v>
      </c>
      <c r="I2920" s="4">
        <v>-15619507.4</v>
      </c>
    </row>
    <row r="2921" spans="1:9" x14ac:dyDescent="0.3">
      <c r="A2921" t="s">
        <v>2579</v>
      </c>
      <c r="B2921" s="1">
        <v>45878</v>
      </c>
      <c r="C2921" s="1">
        <v>45884</v>
      </c>
      <c r="D2921">
        <v>1813</v>
      </c>
      <c r="E2921">
        <v>69</v>
      </c>
      <c r="F2921" s="3" t="s">
        <v>2580</v>
      </c>
      <c r="G2921" s="4">
        <v>0</v>
      </c>
      <c r="H2921" s="4">
        <v>270000</v>
      </c>
      <c r="I2921" s="4">
        <v>-15889507.4</v>
      </c>
    </row>
    <row r="2922" spans="1:9" x14ac:dyDescent="0.3">
      <c r="A2922" t="s">
        <v>124</v>
      </c>
      <c r="B2922" s="1">
        <v>45884</v>
      </c>
      <c r="C2922" s="1">
        <v>45884</v>
      </c>
      <c r="D2922">
        <v>22221</v>
      </c>
      <c r="E2922">
        <v>11</v>
      </c>
      <c r="F2922" s="3" t="s">
        <v>125</v>
      </c>
      <c r="G2922" s="4">
        <v>0</v>
      </c>
      <c r="H2922" s="4">
        <v>39093322.149999999</v>
      </c>
      <c r="I2922" s="4">
        <v>-54982829.549999997</v>
      </c>
    </row>
    <row r="2923" spans="1:9" x14ac:dyDescent="0.3">
      <c r="A2923" t="s">
        <v>124</v>
      </c>
      <c r="B2923" s="1">
        <v>45884</v>
      </c>
      <c r="C2923" s="1">
        <v>45884</v>
      </c>
      <c r="D2923">
        <v>22222</v>
      </c>
      <c r="E2923">
        <v>11</v>
      </c>
      <c r="F2923" s="3" t="s">
        <v>126</v>
      </c>
      <c r="G2923" s="4">
        <v>0</v>
      </c>
      <c r="H2923" s="4">
        <v>1200000</v>
      </c>
      <c r="I2923" s="4">
        <v>-56182829.549999997</v>
      </c>
    </row>
    <row r="2924" spans="1:9" x14ac:dyDescent="0.3">
      <c r="A2924" t="s">
        <v>124</v>
      </c>
      <c r="B2924" s="1">
        <v>45884</v>
      </c>
      <c r="C2924" s="1">
        <v>45884</v>
      </c>
      <c r="D2924">
        <v>22224</v>
      </c>
      <c r="E2924">
        <v>11</v>
      </c>
      <c r="F2924" s="3" t="s">
        <v>127</v>
      </c>
      <c r="G2924" s="4">
        <v>22000000</v>
      </c>
      <c r="H2924" s="4">
        <v>0</v>
      </c>
      <c r="I2924" s="4">
        <v>-34182829.549999997</v>
      </c>
    </row>
    <row r="2925" spans="1:9" x14ac:dyDescent="0.3">
      <c r="A2925" t="s">
        <v>124</v>
      </c>
      <c r="B2925" s="1">
        <v>45884</v>
      </c>
      <c r="C2925" s="1">
        <v>45884</v>
      </c>
      <c r="D2925">
        <v>22225</v>
      </c>
      <c r="E2925">
        <v>11</v>
      </c>
      <c r="F2925" s="3" t="s">
        <v>129</v>
      </c>
      <c r="G2925" s="4">
        <v>0</v>
      </c>
      <c r="H2925" s="4">
        <v>7000000</v>
      </c>
      <c r="I2925" s="4">
        <v>-41182829.549999997</v>
      </c>
    </row>
    <row r="2926" spans="1:9" x14ac:dyDescent="0.3">
      <c r="A2926" t="s">
        <v>124</v>
      </c>
      <c r="B2926" s="1">
        <v>45884</v>
      </c>
      <c r="C2926" s="1">
        <v>45884</v>
      </c>
      <c r="D2926">
        <v>22228</v>
      </c>
      <c r="E2926">
        <v>11</v>
      </c>
      <c r="F2926" s="3" t="s">
        <v>129</v>
      </c>
      <c r="G2926" s="4">
        <v>0</v>
      </c>
      <c r="H2926" s="4">
        <v>4000000</v>
      </c>
      <c r="I2926" s="4">
        <v>-45182829.549999997</v>
      </c>
    </row>
    <row r="2927" spans="1:9" x14ac:dyDescent="0.3">
      <c r="A2927" t="s">
        <v>133</v>
      </c>
      <c r="B2927" s="1">
        <v>45884</v>
      </c>
      <c r="C2927" s="1">
        <v>45884</v>
      </c>
      <c r="D2927">
        <v>916757</v>
      </c>
      <c r="E2927">
        <v>72</v>
      </c>
      <c r="F2927" s="3" t="s">
        <v>2581</v>
      </c>
      <c r="G2927" s="4">
        <v>1200</v>
      </c>
      <c r="H2927" s="4">
        <v>0</v>
      </c>
      <c r="I2927" s="4">
        <v>-45181629.549999997</v>
      </c>
    </row>
    <row r="2928" spans="1:9" x14ac:dyDescent="0.3">
      <c r="A2928" t="s">
        <v>133</v>
      </c>
      <c r="B2928" s="1">
        <v>45884</v>
      </c>
      <c r="C2928" s="1">
        <v>45884</v>
      </c>
      <c r="D2928">
        <v>916820</v>
      </c>
      <c r="E2928">
        <v>94</v>
      </c>
      <c r="F2928" s="3" t="s">
        <v>2582</v>
      </c>
      <c r="G2928" s="4">
        <v>40397.25</v>
      </c>
      <c r="H2928" s="4">
        <v>0</v>
      </c>
      <c r="I2928" s="4">
        <v>-45141232.299999997</v>
      </c>
    </row>
    <row r="2929" spans="1:9" x14ac:dyDescent="0.3">
      <c r="A2929" t="s">
        <v>133</v>
      </c>
      <c r="B2929" s="1">
        <v>45884</v>
      </c>
      <c r="C2929" s="1">
        <v>45884</v>
      </c>
      <c r="D2929">
        <v>916829</v>
      </c>
      <c r="E2929">
        <v>78</v>
      </c>
      <c r="F2929" s="3" t="s">
        <v>2583</v>
      </c>
      <c r="G2929" s="4">
        <v>20785.75</v>
      </c>
      <c r="H2929" s="4">
        <v>0</v>
      </c>
      <c r="I2929" s="4">
        <v>-45120446.549999997</v>
      </c>
    </row>
    <row r="2930" spans="1:9" x14ac:dyDescent="0.3">
      <c r="A2930" t="s">
        <v>133</v>
      </c>
      <c r="B2930" s="1">
        <v>45884</v>
      </c>
      <c r="C2930" s="1">
        <v>45884</v>
      </c>
      <c r="D2930">
        <v>916846</v>
      </c>
      <c r="E2930">
        <v>94</v>
      </c>
      <c r="F2930" s="3" t="s">
        <v>2584</v>
      </c>
      <c r="G2930" s="4">
        <v>17500</v>
      </c>
      <c r="H2930" s="4">
        <v>0</v>
      </c>
      <c r="I2930" s="4">
        <v>-45102946.549999997</v>
      </c>
    </row>
    <row r="2931" spans="1:9" x14ac:dyDescent="0.3">
      <c r="A2931" t="s">
        <v>133</v>
      </c>
      <c r="B2931" s="1">
        <v>45884</v>
      </c>
      <c r="C2931" s="1">
        <v>45884</v>
      </c>
      <c r="D2931">
        <v>916852</v>
      </c>
      <c r="E2931">
        <v>28</v>
      </c>
      <c r="F2931" s="3">
        <v>50989139760</v>
      </c>
      <c r="G2931" s="4">
        <v>100000</v>
      </c>
      <c r="H2931" s="4">
        <v>0</v>
      </c>
      <c r="I2931" s="4">
        <v>-45002946.549999997</v>
      </c>
    </row>
    <row r="2932" spans="1:9" x14ac:dyDescent="0.3">
      <c r="A2932" t="s">
        <v>133</v>
      </c>
      <c r="B2932" s="1">
        <v>45884</v>
      </c>
      <c r="C2932" s="1">
        <v>45884</v>
      </c>
      <c r="D2932">
        <v>916854</v>
      </c>
      <c r="E2932">
        <v>28</v>
      </c>
      <c r="F2932" s="3">
        <v>50989045537</v>
      </c>
      <c r="G2932" s="4">
        <v>71213.5</v>
      </c>
      <c r="H2932" s="4">
        <v>0</v>
      </c>
      <c r="I2932" s="4">
        <v>-44931733.049999997</v>
      </c>
    </row>
    <row r="2933" spans="1:9" x14ac:dyDescent="0.3">
      <c r="A2933" t="s">
        <v>133</v>
      </c>
      <c r="B2933" s="1">
        <v>45884</v>
      </c>
      <c r="C2933" s="1">
        <v>45884</v>
      </c>
      <c r="D2933">
        <v>916871</v>
      </c>
      <c r="E2933">
        <v>382</v>
      </c>
      <c r="F2933" s="3" t="s">
        <v>2585</v>
      </c>
      <c r="G2933" s="4">
        <v>99276.75</v>
      </c>
      <c r="H2933" s="4">
        <v>0</v>
      </c>
      <c r="I2933" s="4">
        <v>-44832456.299999997</v>
      </c>
    </row>
    <row r="2934" spans="1:9" x14ac:dyDescent="0.3">
      <c r="A2934" t="s">
        <v>133</v>
      </c>
      <c r="B2934" s="1">
        <v>45884</v>
      </c>
      <c r="C2934" s="1">
        <v>45884</v>
      </c>
      <c r="D2934">
        <v>916903</v>
      </c>
      <c r="E2934">
        <v>72</v>
      </c>
      <c r="F2934" s="3" t="s">
        <v>2586</v>
      </c>
      <c r="G2934" s="4">
        <v>400</v>
      </c>
      <c r="H2934" s="4">
        <v>0</v>
      </c>
      <c r="I2934" s="4">
        <v>-44832056.299999997</v>
      </c>
    </row>
    <row r="2935" spans="1:9" x14ac:dyDescent="0.3">
      <c r="A2935" t="s">
        <v>133</v>
      </c>
      <c r="B2935" s="1">
        <v>45884</v>
      </c>
      <c r="C2935" s="1">
        <v>45884</v>
      </c>
      <c r="D2935">
        <v>916928</v>
      </c>
      <c r="E2935">
        <v>27</v>
      </c>
      <c r="F2935" s="3" t="s">
        <v>2587</v>
      </c>
      <c r="G2935" s="4">
        <v>79671.25</v>
      </c>
      <c r="H2935" s="4">
        <v>0</v>
      </c>
      <c r="I2935" s="4">
        <v>-44752385.049999997</v>
      </c>
    </row>
    <row r="2936" spans="1:9" x14ac:dyDescent="0.3">
      <c r="A2936" t="s">
        <v>133</v>
      </c>
      <c r="B2936" s="1">
        <v>45884</v>
      </c>
      <c r="C2936" s="1">
        <v>45884</v>
      </c>
      <c r="D2936">
        <v>916935</v>
      </c>
      <c r="E2936">
        <v>11</v>
      </c>
      <c r="F2936" s="3" t="s">
        <v>2588</v>
      </c>
      <c r="G2936" s="4">
        <v>5300</v>
      </c>
      <c r="H2936" s="4">
        <v>0</v>
      </c>
      <c r="I2936" s="4">
        <v>-44747085.049999997</v>
      </c>
    </row>
    <row r="2937" spans="1:9" x14ac:dyDescent="0.3">
      <c r="A2937" t="s">
        <v>133</v>
      </c>
      <c r="B2937" s="1">
        <v>45884</v>
      </c>
      <c r="C2937" s="1">
        <v>45884</v>
      </c>
      <c r="D2937">
        <v>916953</v>
      </c>
      <c r="E2937">
        <v>35</v>
      </c>
      <c r="F2937" s="3" t="s">
        <v>2589</v>
      </c>
      <c r="G2937" s="4">
        <v>169979.5</v>
      </c>
      <c r="H2937" s="4">
        <v>0</v>
      </c>
      <c r="I2937" s="4">
        <v>-44577105.549999997</v>
      </c>
    </row>
    <row r="2938" spans="1:9" x14ac:dyDescent="0.3">
      <c r="A2938" t="s">
        <v>133</v>
      </c>
      <c r="B2938" s="1">
        <v>45884</v>
      </c>
      <c r="C2938" s="1">
        <v>45884</v>
      </c>
      <c r="D2938">
        <v>916956</v>
      </c>
      <c r="E2938">
        <v>88</v>
      </c>
      <c r="F2938" s="3" t="s">
        <v>2590</v>
      </c>
      <c r="G2938" s="4">
        <v>16843.5</v>
      </c>
      <c r="H2938" s="4">
        <v>0</v>
      </c>
      <c r="I2938" s="4">
        <v>-44560262.049999997</v>
      </c>
    </row>
    <row r="2939" spans="1:9" x14ac:dyDescent="0.3">
      <c r="A2939" t="s">
        <v>133</v>
      </c>
      <c r="B2939" s="1">
        <v>45884</v>
      </c>
      <c r="C2939" s="1">
        <v>45884</v>
      </c>
      <c r="D2939">
        <v>916975</v>
      </c>
      <c r="E2939">
        <v>78</v>
      </c>
      <c r="F2939" s="3" t="s">
        <v>2591</v>
      </c>
      <c r="G2939" s="4">
        <v>2000</v>
      </c>
      <c r="H2939" s="4">
        <v>0</v>
      </c>
      <c r="I2939" s="4">
        <v>-44558262.049999997</v>
      </c>
    </row>
    <row r="2940" spans="1:9" x14ac:dyDescent="0.3">
      <c r="A2940" t="s">
        <v>133</v>
      </c>
      <c r="B2940" s="1">
        <v>45884</v>
      </c>
      <c r="C2940" s="1">
        <v>45884</v>
      </c>
      <c r="D2940">
        <v>916976</v>
      </c>
      <c r="E2940">
        <v>27</v>
      </c>
      <c r="F2940" s="3" t="s">
        <v>2592</v>
      </c>
      <c r="G2940" s="4">
        <v>130006.25</v>
      </c>
      <c r="H2940" s="4">
        <v>0</v>
      </c>
      <c r="I2940" s="4">
        <v>-44428255.799999997</v>
      </c>
    </row>
    <row r="2941" spans="1:9" x14ac:dyDescent="0.3">
      <c r="A2941" t="s">
        <v>133</v>
      </c>
      <c r="B2941" s="1">
        <v>45884</v>
      </c>
      <c r="C2941" s="1">
        <v>45884</v>
      </c>
      <c r="D2941">
        <v>916977</v>
      </c>
      <c r="E2941">
        <v>27</v>
      </c>
      <c r="F2941" s="3" t="s">
        <v>2593</v>
      </c>
      <c r="G2941" s="4">
        <v>150000</v>
      </c>
      <c r="H2941" s="4">
        <v>0</v>
      </c>
      <c r="I2941" s="4">
        <v>-44278255.799999997</v>
      </c>
    </row>
    <row r="2942" spans="1:9" x14ac:dyDescent="0.3">
      <c r="A2942" t="s">
        <v>133</v>
      </c>
      <c r="B2942" s="1">
        <v>45884</v>
      </c>
      <c r="C2942" s="1">
        <v>45884</v>
      </c>
      <c r="D2942">
        <v>916980</v>
      </c>
      <c r="E2942">
        <v>27</v>
      </c>
      <c r="F2942" s="3" t="s">
        <v>2594</v>
      </c>
      <c r="G2942" s="4">
        <v>50000</v>
      </c>
      <c r="H2942" s="4">
        <v>0</v>
      </c>
      <c r="I2942" s="4">
        <v>-44228255.799999997</v>
      </c>
    </row>
    <row r="2943" spans="1:9" x14ac:dyDescent="0.3">
      <c r="A2943" t="s">
        <v>133</v>
      </c>
      <c r="B2943" s="1">
        <v>45884</v>
      </c>
      <c r="C2943" s="1">
        <v>45884</v>
      </c>
      <c r="D2943">
        <v>916981</v>
      </c>
      <c r="E2943">
        <v>27</v>
      </c>
      <c r="F2943" s="3" t="s">
        <v>2595</v>
      </c>
      <c r="G2943" s="4">
        <v>99500</v>
      </c>
      <c r="H2943" s="4">
        <v>0</v>
      </c>
      <c r="I2943" s="4">
        <v>-44128755.799999997</v>
      </c>
    </row>
    <row r="2944" spans="1:9" x14ac:dyDescent="0.3">
      <c r="A2944" t="s">
        <v>133</v>
      </c>
      <c r="B2944" s="1">
        <v>45884</v>
      </c>
      <c r="C2944" s="1">
        <v>45884</v>
      </c>
      <c r="D2944">
        <v>916986</v>
      </c>
      <c r="E2944">
        <v>27</v>
      </c>
      <c r="F2944" s="3" t="s">
        <v>2596</v>
      </c>
      <c r="G2944" s="4">
        <v>110073</v>
      </c>
      <c r="H2944" s="4">
        <v>0</v>
      </c>
      <c r="I2944" s="4">
        <v>-44018682.799999997</v>
      </c>
    </row>
    <row r="2945" spans="1:9" x14ac:dyDescent="0.3">
      <c r="A2945" t="s">
        <v>133</v>
      </c>
      <c r="B2945" s="1">
        <v>45884</v>
      </c>
      <c r="C2945" s="1">
        <v>45884</v>
      </c>
      <c r="D2945">
        <v>916990</v>
      </c>
      <c r="E2945">
        <v>27</v>
      </c>
      <c r="F2945" s="3" t="s">
        <v>2597</v>
      </c>
      <c r="G2945" s="4">
        <v>992040</v>
      </c>
      <c r="H2945" s="4">
        <v>0</v>
      </c>
      <c r="I2945" s="4">
        <v>-43026642.799999997</v>
      </c>
    </row>
    <row r="2946" spans="1:9" x14ac:dyDescent="0.3">
      <c r="A2946" t="s">
        <v>133</v>
      </c>
      <c r="B2946" s="1">
        <v>45884</v>
      </c>
      <c r="C2946" s="1">
        <v>45884</v>
      </c>
      <c r="D2946">
        <v>916992</v>
      </c>
      <c r="E2946">
        <v>27</v>
      </c>
      <c r="F2946" s="3" t="s">
        <v>2598</v>
      </c>
      <c r="G2946" s="4">
        <v>65865.5</v>
      </c>
      <c r="H2946" s="4">
        <v>0</v>
      </c>
      <c r="I2946" s="4">
        <v>-42960777.299999997</v>
      </c>
    </row>
    <row r="2947" spans="1:9" x14ac:dyDescent="0.3">
      <c r="A2947" t="s">
        <v>133</v>
      </c>
      <c r="B2947" s="1">
        <v>45884</v>
      </c>
      <c r="C2947" s="1">
        <v>45884</v>
      </c>
      <c r="D2947">
        <v>916993</v>
      </c>
      <c r="E2947">
        <v>72</v>
      </c>
      <c r="F2947" s="3" t="s">
        <v>2599</v>
      </c>
      <c r="G2947" s="4">
        <v>5000</v>
      </c>
      <c r="H2947" s="4">
        <v>0</v>
      </c>
      <c r="I2947" s="4">
        <v>-42955777.299999997</v>
      </c>
    </row>
    <row r="2948" spans="1:9" x14ac:dyDescent="0.3">
      <c r="A2948" t="s">
        <v>133</v>
      </c>
      <c r="B2948" s="1">
        <v>45884</v>
      </c>
      <c r="C2948" s="1">
        <v>45884</v>
      </c>
      <c r="D2948">
        <v>916994</v>
      </c>
      <c r="E2948">
        <v>27</v>
      </c>
      <c r="F2948" s="3" t="s">
        <v>2600</v>
      </c>
      <c r="G2948" s="4">
        <v>24932.5</v>
      </c>
      <c r="H2948" s="4">
        <v>0</v>
      </c>
      <c r="I2948" s="4">
        <v>-42930844.799999997</v>
      </c>
    </row>
    <row r="2949" spans="1:9" x14ac:dyDescent="0.3">
      <c r="A2949" t="s">
        <v>133</v>
      </c>
      <c r="B2949" s="1">
        <v>45884</v>
      </c>
      <c r="C2949" s="1">
        <v>45884</v>
      </c>
      <c r="D2949">
        <v>916996</v>
      </c>
      <c r="E2949">
        <v>27</v>
      </c>
      <c r="F2949" s="3" t="s">
        <v>2601</v>
      </c>
      <c r="G2949" s="4">
        <v>147307.5</v>
      </c>
      <c r="H2949" s="4">
        <v>0</v>
      </c>
      <c r="I2949" s="4">
        <v>-42783537.299999997</v>
      </c>
    </row>
    <row r="2950" spans="1:9" x14ac:dyDescent="0.3">
      <c r="A2950" t="s">
        <v>133</v>
      </c>
      <c r="B2950" s="1">
        <v>45884</v>
      </c>
      <c r="C2950" s="1">
        <v>45884</v>
      </c>
      <c r="D2950">
        <v>917001</v>
      </c>
      <c r="E2950">
        <v>59</v>
      </c>
      <c r="F2950" s="3" t="s">
        <v>2602</v>
      </c>
      <c r="G2950" s="4">
        <v>1723.5</v>
      </c>
      <c r="H2950" s="4">
        <v>0</v>
      </c>
      <c r="I2950" s="4">
        <v>-42781813.799999997</v>
      </c>
    </row>
    <row r="2951" spans="1:9" x14ac:dyDescent="0.3">
      <c r="A2951" t="s">
        <v>133</v>
      </c>
      <c r="B2951" s="1">
        <v>45884</v>
      </c>
      <c r="C2951" s="1">
        <v>45884</v>
      </c>
      <c r="D2951">
        <v>917007</v>
      </c>
      <c r="E2951">
        <v>79</v>
      </c>
      <c r="F2951" s="3" t="s">
        <v>2603</v>
      </c>
      <c r="G2951" s="4">
        <v>71852</v>
      </c>
      <c r="H2951" s="4">
        <v>0</v>
      </c>
      <c r="I2951" s="4">
        <v>-42709961.799999997</v>
      </c>
    </row>
    <row r="2952" spans="1:9" x14ac:dyDescent="0.3">
      <c r="A2952" t="s">
        <v>133</v>
      </c>
      <c r="B2952" s="1">
        <v>45884</v>
      </c>
      <c r="C2952" s="1">
        <v>45884</v>
      </c>
      <c r="D2952">
        <v>917008</v>
      </c>
      <c r="E2952">
        <v>45</v>
      </c>
      <c r="F2952" s="3" t="s">
        <v>2604</v>
      </c>
      <c r="G2952" s="4">
        <v>200000</v>
      </c>
      <c r="H2952" s="4">
        <v>0</v>
      </c>
      <c r="I2952" s="4">
        <v>-42509961.799999997</v>
      </c>
    </row>
    <row r="2953" spans="1:9" x14ac:dyDescent="0.3">
      <c r="A2953" t="s">
        <v>133</v>
      </c>
      <c r="B2953" s="1">
        <v>45884</v>
      </c>
      <c r="C2953" s="1">
        <v>45884</v>
      </c>
      <c r="D2953">
        <v>917010</v>
      </c>
      <c r="E2953">
        <v>27</v>
      </c>
      <c r="F2953" s="3" t="s">
        <v>2605</v>
      </c>
      <c r="G2953" s="4">
        <v>183761</v>
      </c>
      <c r="H2953" s="4">
        <v>0</v>
      </c>
      <c r="I2953" s="4">
        <v>-42326200.799999997</v>
      </c>
    </row>
    <row r="2954" spans="1:9" x14ac:dyDescent="0.3">
      <c r="A2954" t="s">
        <v>133</v>
      </c>
      <c r="B2954" s="1">
        <v>45884</v>
      </c>
      <c r="C2954" s="1">
        <v>45884</v>
      </c>
      <c r="D2954">
        <v>917013</v>
      </c>
      <c r="E2954">
        <v>220</v>
      </c>
      <c r="F2954" s="3" t="s">
        <v>2606</v>
      </c>
      <c r="G2954" s="4">
        <v>30863.25</v>
      </c>
      <c r="H2954" s="4">
        <v>0</v>
      </c>
      <c r="I2954" s="4">
        <v>-42295337.549999997</v>
      </c>
    </row>
    <row r="2955" spans="1:9" x14ac:dyDescent="0.3">
      <c r="A2955" t="s">
        <v>133</v>
      </c>
      <c r="B2955" s="1">
        <v>45884</v>
      </c>
      <c r="C2955" s="1">
        <v>45884</v>
      </c>
      <c r="D2955">
        <v>917015</v>
      </c>
      <c r="E2955">
        <v>11</v>
      </c>
      <c r="F2955" s="3" t="s">
        <v>2607</v>
      </c>
      <c r="G2955" s="4">
        <v>5520.25</v>
      </c>
      <c r="H2955" s="4">
        <v>0</v>
      </c>
      <c r="I2955" s="4">
        <v>-42289817.299999997</v>
      </c>
    </row>
    <row r="2956" spans="1:9" x14ac:dyDescent="0.3">
      <c r="A2956" t="s">
        <v>133</v>
      </c>
      <c r="B2956" s="1">
        <v>45884</v>
      </c>
      <c r="C2956" s="1">
        <v>45884</v>
      </c>
      <c r="D2956">
        <v>917019</v>
      </c>
      <c r="E2956">
        <v>51</v>
      </c>
      <c r="F2956" s="3" t="s">
        <v>2608</v>
      </c>
      <c r="G2956" s="4">
        <v>270000</v>
      </c>
      <c r="H2956" s="4">
        <v>0</v>
      </c>
      <c r="I2956" s="4">
        <v>-42019817.299999997</v>
      </c>
    </row>
    <row r="2957" spans="1:9" x14ac:dyDescent="0.3">
      <c r="A2957" t="s">
        <v>133</v>
      </c>
      <c r="B2957" s="1">
        <v>45884</v>
      </c>
      <c r="C2957" s="1">
        <v>45884</v>
      </c>
      <c r="D2957">
        <v>917053</v>
      </c>
      <c r="E2957">
        <v>252</v>
      </c>
      <c r="F2957" s="3" t="s">
        <v>2609</v>
      </c>
      <c r="G2957" s="4">
        <v>1633</v>
      </c>
      <c r="H2957" s="4">
        <v>0</v>
      </c>
      <c r="I2957" s="4">
        <v>-42018184.299999997</v>
      </c>
    </row>
    <row r="2958" spans="1:9" x14ac:dyDescent="0.3">
      <c r="A2958" t="s">
        <v>133</v>
      </c>
      <c r="B2958" s="1">
        <v>45884</v>
      </c>
      <c r="C2958" s="1">
        <v>45884</v>
      </c>
      <c r="D2958">
        <v>917090</v>
      </c>
      <c r="E2958">
        <v>84</v>
      </c>
      <c r="F2958" s="3" t="s">
        <v>2610</v>
      </c>
      <c r="G2958" s="4">
        <v>278264.25</v>
      </c>
      <c r="H2958" s="4">
        <v>0</v>
      </c>
      <c r="I2958" s="4">
        <v>-41739920.049999997</v>
      </c>
    </row>
    <row r="2959" spans="1:9" x14ac:dyDescent="0.3">
      <c r="A2959" t="s">
        <v>133</v>
      </c>
      <c r="B2959" s="1">
        <v>45884</v>
      </c>
      <c r="C2959" s="1">
        <v>45884</v>
      </c>
      <c r="D2959">
        <v>917092</v>
      </c>
      <c r="E2959">
        <v>84</v>
      </c>
      <c r="F2959" s="3" t="s">
        <v>2611</v>
      </c>
      <c r="G2959" s="4">
        <v>25026.25</v>
      </c>
      <c r="H2959" s="4">
        <v>0</v>
      </c>
      <c r="I2959" s="4">
        <v>-41714893.799999997</v>
      </c>
    </row>
    <row r="2960" spans="1:9" x14ac:dyDescent="0.3">
      <c r="A2960" t="s">
        <v>133</v>
      </c>
      <c r="B2960" s="1">
        <v>45884</v>
      </c>
      <c r="C2960" s="1">
        <v>45884</v>
      </c>
      <c r="D2960">
        <v>917097</v>
      </c>
      <c r="E2960">
        <v>84</v>
      </c>
      <c r="F2960" s="3" t="s">
        <v>2612</v>
      </c>
      <c r="G2960" s="4">
        <v>61427.25</v>
      </c>
      <c r="H2960" s="4">
        <v>0</v>
      </c>
      <c r="I2960" s="4">
        <v>-41653466.549999997</v>
      </c>
    </row>
    <row r="2961" spans="1:9" x14ac:dyDescent="0.3">
      <c r="A2961" t="s">
        <v>133</v>
      </c>
      <c r="B2961" s="1">
        <v>45884</v>
      </c>
      <c r="C2961" s="1">
        <v>45884</v>
      </c>
      <c r="D2961">
        <v>917098</v>
      </c>
      <c r="E2961">
        <v>351</v>
      </c>
      <c r="F2961" s="3" t="s">
        <v>2613</v>
      </c>
      <c r="G2961" s="4">
        <v>257581</v>
      </c>
      <c r="H2961" s="4">
        <v>0</v>
      </c>
      <c r="I2961" s="4">
        <v>-41395885.549999997</v>
      </c>
    </row>
    <row r="2962" spans="1:9" x14ac:dyDescent="0.3">
      <c r="A2962" t="s">
        <v>133</v>
      </c>
      <c r="B2962" s="1">
        <v>45884</v>
      </c>
      <c r="C2962" s="1">
        <v>45884</v>
      </c>
      <c r="D2962">
        <v>917101</v>
      </c>
      <c r="E2962">
        <v>351</v>
      </c>
      <c r="F2962" s="3" t="s">
        <v>2614</v>
      </c>
      <c r="G2962" s="4">
        <v>18259.5</v>
      </c>
      <c r="H2962" s="4">
        <v>0</v>
      </c>
      <c r="I2962" s="4">
        <v>-41377626.049999997</v>
      </c>
    </row>
    <row r="2963" spans="1:9" x14ac:dyDescent="0.3">
      <c r="A2963" t="s">
        <v>133</v>
      </c>
      <c r="B2963" s="1">
        <v>45884</v>
      </c>
      <c r="C2963" s="1">
        <v>45884</v>
      </c>
      <c r="D2963">
        <v>917104</v>
      </c>
      <c r="E2963">
        <v>91</v>
      </c>
      <c r="F2963" s="3" t="s">
        <v>2615</v>
      </c>
      <c r="G2963" s="4">
        <v>329639.25</v>
      </c>
      <c r="H2963" s="4">
        <v>0</v>
      </c>
      <c r="I2963" s="4">
        <v>-41047986.799999997</v>
      </c>
    </row>
    <row r="2964" spans="1:9" x14ac:dyDescent="0.3">
      <c r="A2964" t="s">
        <v>133</v>
      </c>
      <c r="B2964" s="1">
        <v>45884</v>
      </c>
      <c r="C2964" s="1">
        <v>45884</v>
      </c>
      <c r="D2964">
        <v>917107</v>
      </c>
      <c r="E2964">
        <v>75</v>
      </c>
      <c r="F2964" s="3" t="s">
        <v>2616</v>
      </c>
      <c r="G2964" s="4">
        <v>200000</v>
      </c>
      <c r="H2964" s="4">
        <v>0</v>
      </c>
      <c r="I2964" s="4">
        <v>-40847986.799999997</v>
      </c>
    </row>
    <row r="2965" spans="1:9" x14ac:dyDescent="0.3">
      <c r="A2965" t="s">
        <v>133</v>
      </c>
      <c r="B2965" s="1">
        <v>45884</v>
      </c>
      <c r="C2965" s="1">
        <v>45884</v>
      </c>
      <c r="D2965">
        <v>917108</v>
      </c>
      <c r="E2965">
        <v>54</v>
      </c>
      <c r="F2965" s="3" t="s">
        <v>2617</v>
      </c>
      <c r="G2965" s="4">
        <v>73480</v>
      </c>
      <c r="H2965" s="4">
        <v>0</v>
      </c>
      <c r="I2965" s="4">
        <v>-40774506.799999997</v>
      </c>
    </row>
    <row r="2966" spans="1:9" x14ac:dyDescent="0.3">
      <c r="A2966" t="s">
        <v>133</v>
      </c>
      <c r="B2966" s="1">
        <v>45884</v>
      </c>
      <c r="C2966" s="1">
        <v>45884</v>
      </c>
      <c r="D2966">
        <v>917116</v>
      </c>
      <c r="E2966">
        <v>210</v>
      </c>
      <c r="F2966" s="3" t="s">
        <v>2618</v>
      </c>
      <c r="G2966" s="4">
        <v>46427</v>
      </c>
      <c r="H2966" s="4">
        <v>0</v>
      </c>
      <c r="I2966" s="4">
        <v>-40728079.799999997</v>
      </c>
    </row>
    <row r="2967" spans="1:9" x14ac:dyDescent="0.3">
      <c r="A2967" t="s">
        <v>133</v>
      </c>
      <c r="B2967" s="1">
        <v>45884</v>
      </c>
      <c r="C2967" s="1">
        <v>45884</v>
      </c>
      <c r="D2967">
        <v>917123</v>
      </c>
      <c r="E2967">
        <v>351</v>
      </c>
      <c r="F2967" s="3" t="s">
        <v>2619</v>
      </c>
      <c r="G2967" s="4">
        <v>113917.75</v>
      </c>
      <c r="H2967" s="4">
        <v>0</v>
      </c>
      <c r="I2967" s="4">
        <v>-40614162.049999997</v>
      </c>
    </row>
    <row r="2968" spans="1:9" x14ac:dyDescent="0.3">
      <c r="A2968" t="s">
        <v>133</v>
      </c>
      <c r="B2968" s="1">
        <v>45884</v>
      </c>
      <c r="C2968" s="1">
        <v>45884</v>
      </c>
      <c r="D2968">
        <v>917124</v>
      </c>
      <c r="E2968">
        <v>23</v>
      </c>
      <c r="F2968" s="3" t="s">
        <v>2620</v>
      </c>
      <c r="G2968" s="4">
        <v>2981</v>
      </c>
      <c r="H2968" s="4">
        <v>0</v>
      </c>
      <c r="I2968" s="4">
        <v>-40611181.049999997</v>
      </c>
    </row>
    <row r="2969" spans="1:9" x14ac:dyDescent="0.3">
      <c r="A2969" t="s">
        <v>133</v>
      </c>
      <c r="B2969" s="1">
        <v>45884</v>
      </c>
      <c r="C2969" s="1">
        <v>45884</v>
      </c>
      <c r="D2969">
        <v>917127</v>
      </c>
      <c r="E2969">
        <v>351</v>
      </c>
      <c r="F2969" s="3" t="s">
        <v>2621</v>
      </c>
      <c r="G2969" s="4">
        <v>128650.5</v>
      </c>
      <c r="H2969" s="4">
        <v>0</v>
      </c>
      <c r="I2969" s="4">
        <v>-40482530.549999997</v>
      </c>
    </row>
    <row r="2970" spans="1:9" x14ac:dyDescent="0.3">
      <c r="A2970" t="s">
        <v>133</v>
      </c>
      <c r="B2970" s="1">
        <v>45884</v>
      </c>
      <c r="C2970" s="1">
        <v>45884</v>
      </c>
      <c r="D2970">
        <v>917129</v>
      </c>
      <c r="E2970">
        <v>351</v>
      </c>
      <c r="F2970" s="3" t="s">
        <v>2622</v>
      </c>
      <c r="G2970" s="4">
        <v>147040.5</v>
      </c>
      <c r="H2970" s="4">
        <v>0</v>
      </c>
      <c r="I2970" s="4">
        <v>-40335490.049999997</v>
      </c>
    </row>
    <row r="2971" spans="1:9" x14ac:dyDescent="0.3">
      <c r="A2971" t="s">
        <v>133</v>
      </c>
      <c r="B2971" s="1">
        <v>45884</v>
      </c>
      <c r="C2971" s="1">
        <v>45884</v>
      </c>
      <c r="D2971">
        <v>917131</v>
      </c>
      <c r="E2971">
        <v>351</v>
      </c>
      <c r="F2971" s="3" t="s">
        <v>2623</v>
      </c>
      <c r="G2971" s="4">
        <v>7959.5</v>
      </c>
      <c r="H2971" s="4">
        <v>0</v>
      </c>
      <c r="I2971" s="4">
        <v>-40327530.549999997</v>
      </c>
    </row>
    <row r="2972" spans="1:9" x14ac:dyDescent="0.3">
      <c r="A2972" t="s">
        <v>133</v>
      </c>
      <c r="B2972" s="1">
        <v>45884</v>
      </c>
      <c r="C2972" s="1">
        <v>45884</v>
      </c>
      <c r="D2972">
        <v>917132</v>
      </c>
      <c r="E2972">
        <v>351</v>
      </c>
      <c r="F2972" s="3" t="s">
        <v>2624</v>
      </c>
      <c r="G2972" s="4">
        <v>1383</v>
      </c>
      <c r="H2972" s="4">
        <v>0</v>
      </c>
      <c r="I2972" s="4">
        <v>-40326147.549999997</v>
      </c>
    </row>
    <row r="2973" spans="1:9" x14ac:dyDescent="0.3">
      <c r="A2973" t="s">
        <v>133</v>
      </c>
      <c r="B2973" s="1">
        <v>45884</v>
      </c>
      <c r="C2973" s="1">
        <v>45884</v>
      </c>
      <c r="D2973">
        <v>917137</v>
      </c>
      <c r="E2973">
        <v>94</v>
      </c>
      <c r="F2973" s="3" t="s">
        <v>2625</v>
      </c>
      <c r="G2973" s="4">
        <v>185654.75</v>
      </c>
      <c r="H2973" s="4">
        <v>0</v>
      </c>
      <c r="I2973" s="4">
        <v>-40140492.799999997</v>
      </c>
    </row>
    <row r="2974" spans="1:9" x14ac:dyDescent="0.3">
      <c r="A2974" t="s">
        <v>133</v>
      </c>
      <c r="B2974" s="1">
        <v>45884</v>
      </c>
      <c r="C2974" s="1">
        <v>45884</v>
      </c>
      <c r="D2974">
        <v>917139</v>
      </c>
      <c r="E2974">
        <v>35</v>
      </c>
      <c r="F2974" s="3" t="s">
        <v>2626</v>
      </c>
      <c r="G2974" s="4">
        <v>24191</v>
      </c>
      <c r="H2974" s="4">
        <v>0</v>
      </c>
      <c r="I2974" s="4">
        <v>-40116301.799999997</v>
      </c>
    </row>
    <row r="2975" spans="1:9" x14ac:dyDescent="0.3">
      <c r="A2975" t="s">
        <v>133</v>
      </c>
      <c r="B2975" s="1">
        <v>45884</v>
      </c>
      <c r="C2975" s="1">
        <v>45884</v>
      </c>
      <c r="D2975">
        <v>917144</v>
      </c>
      <c r="E2975">
        <v>74</v>
      </c>
      <c r="F2975" s="3" t="s">
        <v>2627</v>
      </c>
      <c r="G2975" s="4">
        <v>650000</v>
      </c>
      <c r="H2975" s="4">
        <v>0</v>
      </c>
      <c r="I2975" s="4">
        <v>-39466301.799999997</v>
      </c>
    </row>
    <row r="2976" spans="1:9" x14ac:dyDescent="0.3">
      <c r="A2976" t="s">
        <v>133</v>
      </c>
      <c r="B2976" s="1">
        <v>45884</v>
      </c>
      <c r="C2976" s="1">
        <v>45884</v>
      </c>
      <c r="D2976">
        <v>917183</v>
      </c>
      <c r="E2976">
        <v>39</v>
      </c>
      <c r="F2976" s="3" t="s">
        <v>2628</v>
      </c>
      <c r="G2976" s="4">
        <v>1500000</v>
      </c>
      <c r="H2976" s="4">
        <v>0</v>
      </c>
      <c r="I2976" s="4">
        <v>-37966301.799999997</v>
      </c>
    </row>
    <row r="2977" spans="1:9" x14ac:dyDescent="0.3">
      <c r="A2977" t="s">
        <v>133</v>
      </c>
      <c r="B2977" s="1">
        <v>45884</v>
      </c>
      <c r="C2977" s="1">
        <v>45884</v>
      </c>
      <c r="D2977">
        <v>917202</v>
      </c>
      <c r="E2977">
        <v>65</v>
      </c>
      <c r="F2977" s="3" t="s">
        <v>2629</v>
      </c>
      <c r="G2977" s="4">
        <v>200000</v>
      </c>
      <c r="H2977" s="4">
        <v>0</v>
      </c>
      <c r="I2977" s="4">
        <v>-37766301.799999997</v>
      </c>
    </row>
    <row r="2978" spans="1:9" x14ac:dyDescent="0.3">
      <c r="A2978" t="s">
        <v>133</v>
      </c>
      <c r="B2978" s="1">
        <v>45884</v>
      </c>
      <c r="C2978" s="1">
        <v>45884</v>
      </c>
      <c r="D2978">
        <v>917203</v>
      </c>
      <c r="E2978">
        <v>361</v>
      </c>
      <c r="F2978" s="3">
        <v>101021684434</v>
      </c>
      <c r="G2978" s="4">
        <v>170000</v>
      </c>
      <c r="H2978" s="4">
        <v>0</v>
      </c>
      <c r="I2978" s="4">
        <v>-37596301.799999997</v>
      </c>
    </row>
    <row r="2979" spans="1:9" x14ac:dyDescent="0.3">
      <c r="A2979" t="s">
        <v>133</v>
      </c>
      <c r="B2979" s="1">
        <v>45884</v>
      </c>
      <c r="C2979" s="1">
        <v>45884</v>
      </c>
      <c r="D2979">
        <v>917204</v>
      </c>
      <c r="E2979">
        <v>56</v>
      </c>
      <c r="F2979" s="3" t="s">
        <v>2630</v>
      </c>
      <c r="G2979" s="4">
        <v>4154.5</v>
      </c>
      <c r="H2979" s="4">
        <v>0</v>
      </c>
      <c r="I2979" s="4">
        <v>-37592147.299999997</v>
      </c>
    </row>
    <row r="2980" spans="1:9" x14ac:dyDescent="0.3">
      <c r="A2980" t="s">
        <v>133</v>
      </c>
      <c r="B2980" s="1">
        <v>45884</v>
      </c>
      <c r="C2980" s="1">
        <v>45884</v>
      </c>
      <c r="D2980">
        <v>917219</v>
      </c>
      <c r="E2980">
        <v>79</v>
      </c>
      <c r="F2980" s="3" t="s">
        <v>2631</v>
      </c>
      <c r="G2980" s="4">
        <v>210000</v>
      </c>
      <c r="H2980" s="4">
        <v>0</v>
      </c>
      <c r="I2980" s="4">
        <v>-37382147.299999997</v>
      </c>
    </row>
    <row r="2981" spans="1:9" x14ac:dyDescent="0.3">
      <c r="A2981" t="s">
        <v>133</v>
      </c>
      <c r="B2981" s="1">
        <v>45884</v>
      </c>
      <c r="C2981" s="1">
        <v>45884</v>
      </c>
      <c r="D2981">
        <v>917226</v>
      </c>
      <c r="E2981">
        <v>282</v>
      </c>
      <c r="F2981" s="3" t="s">
        <v>2632</v>
      </c>
      <c r="G2981" s="4">
        <v>24530.25</v>
      </c>
      <c r="H2981" s="4">
        <v>0</v>
      </c>
      <c r="I2981" s="4">
        <v>-37357617.049999997</v>
      </c>
    </row>
    <row r="2982" spans="1:9" x14ac:dyDescent="0.3">
      <c r="A2982" t="s">
        <v>133</v>
      </c>
      <c r="B2982" s="1">
        <v>45884</v>
      </c>
      <c r="C2982" s="1">
        <v>45884</v>
      </c>
      <c r="D2982">
        <v>917229</v>
      </c>
      <c r="E2982">
        <v>77</v>
      </c>
      <c r="F2982" s="3" t="s">
        <v>2633</v>
      </c>
      <c r="G2982" s="4">
        <v>3900</v>
      </c>
      <c r="H2982" s="4">
        <v>0</v>
      </c>
      <c r="I2982" s="4">
        <v>-37353717.049999997</v>
      </c>
    </row>
    <row r="2983" spans="1:9" x14ac:dyDescent="0.3">
      <c r="A2983" t="s">
        <v>133</v>
      </c>
      <c r="B2983" s="1">
        <v>45884</v>
      </c>
      <c r="C2983" s="1">
        <v>45884</v>
      </c>
      <c r="D2983">
        <v>917231</v>
      </c>
      <c r="E2983">
        <v>41</v>
      </c>
      <c r="F2983" s="3" t="s">
        <v>2634</v>
      </c>
      <c r="G2983" s="4">
        <v>183850</v>
      </c>
      <c r="H2983" s="4">
        <v>0</v>
      </c>
      <c r="I2983" s="4">
        <v>-37169867.049999997</v>
      </c>
    </row>
    <row r="2984" spans="1:9" x14ac:dyDescent="0.3">
      <c r="A2984" t="s">
        <v>133</v>
      </c>
      <c r="B2984" s="1">
        <v>45884</v>
      </c>
      <c r="C2984" s="1">
        <v>45884</v>
      </c>
      <c r="D2984">
        <v>917235</v>
      </c>
      <c r="E2984">
        <v>351</v>
      </c>
      <c r="F2984" s="3" t="s">
        <v>2635</v>
      </c>
      <c r="G2984" s="4">
        <v>163366</v>
      </c>
      <c r="H2984" s="4">
        <v>0</v>
      </c>
      <c r="I2984" s="4">
        <v>-37006501.049999997</v>
      </c>
    </row>
    <row r="2985" spans="1:9" x14ac:dyDescent="0.3">
      <c r="A2985" t="s">
        <v>133</v>
      </c>
      <c r="B2985" s="1">
        <v>45884</v>
      </c>
      <c r="C2985" s="1">
        <v>45884</v>
      </c>
      <c r="D2985">
        <v>917236</v>
      </c>
      <c r="E2985">
        <v>85</v>
      </c>
      <c r="F2985" s="3" t="s">
        <v>2636</v>
      </c>
      <c r="G2985" s="4">
        <v>400000</v>
      </c>
      <c r="H2985" s="4">
        <v>0</v>
      </c>
      <c r="I2985" s="4">
        <v>-36606501.049999997</v>
      </c>
    </row>
    <row r="2986" spans="1:9" x14ac:dyDescent="0.3">
      <c r="A2986" t="s">
        <v>133</v>
      </c>
      <c r="B2986" s="1">
        <v>45884</v>
      </c>
      <c r="C2986" s="1">
        <v>45884</v>
      </c>
      <c r="D2986">
        <v>917252</v>
      </c>
      <c r="E2986">
        <v>18</v>
      </c>
      <c r="F2986" s="3" t="s">
        <v>2637</v>
      </c>
      <c r="G2986" s="4">
        <v>245030</v>
      </c>
      <c r="H2986" s="4">
        <v>0</v>
      </c>
      <c r="I2986" s="4">
        <v>-36361471.049999997</v>
      </c>
    </row>
    <row r="2987" spans="1:9" x14ac:dyDescent="0.3">
      <c r="A2987" t="s">
        <v>133</v>
      </c>
      <c r="B2987" s="1">
        <v>45884</v>
      </c>
      <c r="C2987" s="1">
        <v>45884</v>
      </c>
      <c r="D2987">
        <v>917279</v>
      </c>
      <c r="E2987">
        <v>67</v>
      </c>
      <c r="F2987" s="3" t="s">
        <v>181</v>
      </c>
      <c r="G2987" s="4">
        <v>140000</v>
      </c>
      <c r="H2987" s="4">
        <v>0</v>
      </c>
      <c r="I2987" s="4">
        <v>-36221471.049999997</v>
      </c>
    </row>
    <row r="2988" spans="1:9" x14ac:dyDescent="0.3">
      <c r="A2988" t="s">
        <v>133</v>
      </c>
      <c r="B2988" s="1">
        <v>45884</v>
      </c>
      <c r="C2988" s="1">
        <v>45884</v>
      </c>
      <c r="D2988">
        <v>917285</v>
      </c>
      <c r="E2988">
        <v>15</v>
      </c>
      <c r="F2988" s="3" t="s">
        <v>2638</v>
      </c>
      <c r="G2988" s="4">
        <v>300000</v>
      </c>
      <c r="H2988" s="4">
        <v>0</v>
      </c>
      <c r="I2988" s="4">
        <v>-35921471.049999997</v>
      </c>
    </row>
    <row r="2989" spans="1:9" x14ac:dyDescent="0.3">
      <c r="A2989" t="s">
        <v>133</v>
      </c>
      <c r="B2989" s="1">
        <v>45884</v>
      </c>
      <c r="C2989" s="1">
        <v>45884</v>
      </c>
      <c r="D2989">
        <v>917287</v>
      </c>
      <c r="E2989">
        <v>16</v>
      </c>
      <c r="F2989" s="3" t="s">
        <v>2639</v>
      </c>
      <c r="G2989" s="4">
        <v>590000</v>
      </c>
      <c r="H2989" s="4">
        <v>0</v>
      </c>
      <c r="I2989" s="4">
        <v>-35331471.049999997</v>
      </c>
    </row>
    <row r="2990" spans="1:9" x14ac:dyDescent="0.3">
      <c r="A2990" t="s">
        <v>133</v>
      </c>
      <c r="B2990" s="1">
        <v>45884</v>
      </c>
      <c r="C2990" s="1">
        <v>45884</v>
      </c>
      <c r="D2990">
        <v>917290</v>
      </c>
      <c r="E2990">
        <v>78</v>
      </c>
      <c r="F2990" s="3" t="s">
        <v>2640</v>
      </c>
      <c r="G2990" s="4">
        <v>180000</v>
      </c>
      <c r="H2990" s="4">
        <v>0</v>
      </c>
      <c r="I2990" s="4">
        <v>-35151471.049999997</v>
      </c>
    </row>
    <row r="2991" spans="1:9" x14ac:dyDescent="0.3">
      <c r="A2991" t="s">
        <v>133</v>
      </c>
      <c r="B2991" s="1">
        <v>45884</v>
      </c>
      <c r="C2991" s="1">
        <v>45884</v>
      </c>
      <c r="D2991">
        <v>917298</v>
      </c>
      <c r="E2991">
        <v>48</v>
      </c>
      <c r="F2991" s="3" t="s">
        <v>2641</v>
      </c>
      <c r="G2991" s="4">
        <v>56916.5</v>
      </c>
      <c r="H2991" s="4">
        <v>0</v>
      </c>
      <c r="I2991" s="4">
        <v>-35094554.549999997</v>
      </c>
    </row>
    <row r="2992" spans="1:9" x14ac:dyDescent="0.3">
      <c r="A2992" t="s">
        <v>133</v>
      </c>
      <c r="B2992" s="1">
        <v>45884</v>
      </c>
      <c r="C2992" s="1">
        <v>45884</v>
      </c>
      <c r="D2992">
        <v>917299</v>
      </c>
      <c r="E2992">
        <v>11</v>
      </c>
      <c r="F2992" s="3" t="s">
        <v>2642</v>
      </c>
      <c r="G2992" s="4">
        <v>12707.5</v>
      </c>
      <c r="H2992" s="4">
        <v>0</v>
      </c>
      <c r="I2992" s="4">
        <v>-35081847.049999997</v>
      </c>
    </row>
    <row r="2993" spans="1:9" x14ac:dyDescent="0.3">
      <c r="A2993" t="s">
        <v>133</v>
      </c>
      <c r="B2993" s="1">
        <v>45884</v>
      </c>
      <c r="C2993" s="1">
        <v>45884</v>
      </c>
      <c r="D2993">
        <v>917313</v>
      </c>
      <c r="E2993">
        <v>72</v>
      </c>
      <c r="F2993" s="3" t="s">
        <v>2643</v>
      </c>
      <c r="G2993" s="4">
        <v>280000</v>
      </c>
      <c r="H2993" s="4">
        <v>0</v>
      </c>
      <c r="I2993" s="4">
        <v>-34801847.049999997</v>
      </c>
    </row>
    <row r="2994" spans="1:9" x14ac:dyDescent="0.3">
      <c r="A2994" t="s">
        <v>133</v>
      </c>
      <c r="B2994" s="1">
        <v>45884</v>
      </c>
      <c r="C2994" s="1">
        <v>45884</v>
      </c>
      <c r="D2994">
        <v>917330</v>
      </c>
      <c r="E2994">
        <v>11</v>
      </c>
      <c r="F2994" s="3" t="s">
        <v>2644</v>
      </c>
      <c r="G2994" s="4">
        <v>1310000</v>
      </c>
      <c r="H2994" s="4">
        <v>0</v>
      </c>
      <c r="I2994" s="4">
        <v>-33491847.050000001</v>
      </c>
    </row>
    <row r="2995" spans="1:9" x14ac:dyDescent="0.3">
      <c r="A2995" t="s">
        <v>133</v>
      </c>
      <c r="B2995" s="1">
        <v>45884</v>
      </c>
      <c r="C2995" s="1">
        <v>45884</v>
      </c>
      <c r="D2995">
        <v>917340</v>
      </c>
      <c r="E2995">
        <v>37</v>
      </c>
      <c r="F2995" s="3" t="s">
        <v>697</v>
      </c>
      <c r="G2995" s="4">
        <v>220000</v>
      </c>
      <c r="H2995" s="4">
        <v>0</v>
      </c>
      <c r="I2995" s="4">
        <v>-33271847.050000001</v>
      </c>
    </row>
    <row r="2996" spans="1:9" x14ac:dyDescent="0.3">
      <c r="A2996" t="s">
        <v>133</v>
      </c>
      <c r="B2996" s="1">
        <v>45884</v>
      </c>
      <c r="C2996" s="1">
        <v>45884</v>
      </c>
      <c r="D2996">
        <v>917342</v>
      </c>
      <c r="E2996">
        <v>210</v>
      </c>
      <c r="F2996" s="3" t="s">
        <v>1149</v>
      </c>
      <c r="G2996" s="4">
        <v>150000</v>
      </c>
      <c r="H2996" s="4">
        <v>0</v>
      </c>
      <c r="I2996" s="4">
        <v>-33121847.050000001</v>
      </c>
    </row>
    <row r="2997" spans="1:9" x14ac:dyDescent="0.3">
      <c r="A2997" t="s">
        <v>133</v>
      </c>
      <c r="B2997" s="1">
        <v>45884</v>
      </c>
      <c r="C2997" s="1">
        <v>45884</v>
      </c>
      <c r="D2997">
        <v>917345</v>
      </c>
      <c r="E2997">
        <v>73</v>
      </c>
      <c r="F2997" s="3" t="s">
        <v>2645</v>
      </c>
      <c r="G2997" s="4">
        <v>11000</v>
      </c>
      <c r="H2997" s="4">
        <v>0</v>
      </c>
      <c r="I2997" s="4">
        <v>-33110847.050000001</v>
      </c>
    </row>
    <row r="2998" spans="1:9" x14ac:dyDescent="0.3">
      <c r="A2998" t="s">
        <v>133</v>
      </c>
      <c r="B2998" s="1">
        <v>45884</v>
      </c>
      <c r="C2998" s="1">
        <v>45884</v>
      </c>
      <c r="D2998">
        <v>917349</v>
      </c>
      <c r="E2998">
        <v>89</v>
      </c>
      <c r="F2998" s="3" t="s">
        <v>2646</v>
      </c>
      <c r="G2998" s="4">
        <v>150000</v>
      </c>
      <c r="H2998" s="4">
        <v>0</v>
      </c>
      <c r="I2998" s="4">
        <v>-32960847.050000001</v>
      </c>
    </row>
    <row r="2999" spans="1:9" x14ac:dyDescent="0.3">
      <c r="A2999" t="s">
        <v>133</v>
      </c>
      <c r="B2999" s="1">
        <v>45884</v>
      </c>
      <c r="C2999" s="1">
        <v>45884</v>
      </c>
      <c r="D2999">
        <v>917357</v>
      </c>
      <c r="E2999">
        <v>33</v>
      </c>
      <c r="F2999" s="3" t="s">
        <v>2647</v>
      </c>
      <c r="G2999" s="4">
        <v>210000</v>
      </c>
      <c r="H2999" s="4">
        <v>0</v>
      </c>
      <c r="I2999" s="4">
        <v>-32750847.050000001</v>
      </c>
    </row>
    <row r="3000" spans="1:9" x14ac:dyDescent="0.3">
      <c r="A3000" t="s">
        <v>133</v>
      </c>
      <c r="B3000" s="1">
        <v>45884</v>
      </c>
      <c r="C3000" s="1">
        <v>45884</v>
      </c>
      <c r="D3000">
        <v>917359</v>
      </c>
      <c r="E3000">
        <v>382</v>
      </c>
      <c r="F3000" s="3" t="s">
        <v>2648</v>
      </c>
      <c r="G3000" s="4">
        <v>250000</v>
      </c>
      <c r="H3000" s="4">
        <v>0</v>
      </c>
      <c r="I3000" s="4">
        <v>-32500847.050000001</v>
      </c>
    </row>
    <row r="3001" spans="1:9" x14ac:dyDescent="0.3">
      <c r="A3001" t="s">
        <v>133</v>
      </c>
      <c r="B3001" s="1">
        <v>45884</v>
      </c>
      <c r="C3001" s="1">
        <v>45884</v>
      </c>
      <c r="D3001">
        <v>917363</v>
      </c>
      <c r="E3001">
        <v>84</v>
      </c>
      <c r="F3001" s="3" t="s">
        <v>2649</v>
      </c>
      <c r="G3001" s="4">
        <v>42072.5</v>
      </c>
      <c r="H3001" s="4">
        <v>0</v>
      </c>
      <c r="I3001" s="4">
        <v>-32458774.550000001</v>
      </c>
    </row>
    <row r="3002" spans="1:9" x14ac:dyDescent="0.3">
      <c r="A3002" t="s">
        <v>133</v>
      </c>
      <c r="B3002" s="1">
        <v>45884</v>
      </c>
      <c r="C3002" s="1">
        <v>45884</v>
      </c>
      <c r="D3002">
        <v>917375</v>
      </c>
      <c r="E3002">
        <v>98</v>
      </c>
      <c r="F3002" s="3" t="s">
        <v>2650</v>
      </c>
      <c r="G3002" s="4">
        <v>198970.5</v>
      </c>
      <c r="H3002" s="4">
        <v>0</v>
      </c>
      <c r="I3002" s="4">
        <v>-32259804.050000001</v>
      </c>
    </row>
    <row r="3003" spans="1:9" x14ac:dyDescent="0.3">
      <c r="A3003" t="s">
        <v>133</v>
      </c>
      <c r="B3003" s="1">
        <v>45884</v>
      </c>
      <c r="C3003" s="1">
        <v>45884</v>
      </c>
      <c r="D3003">
        <v>917382</v>
      </c>
      <c r="E3003">
        <v>82</v>
      </c>
      <c r="F3003" s="3" t="s">
        <v>2651</v>
      </c>
      <c r="G3003" s="4">
        <v>255000</v>
      </c>
      <c r="H3003" s="4">
        <v>0</v>
      </c>
      <c r="I3003" s="4">
        <v>-32004804.050000001</v>
      </c>
    </row>
    <row r="3004" spans="1:9" x14ac:dyDescent="0.3">
      <c r="A3004" t="s">
        <v>133</v>
      </c>
      <c r="B3004" s="1">
        <v>45884</v>
      </c>
      <c r="C3004" s="1">
        <v>45884</v>
      </c>
      <c r="D3004">
        <v>917387</v>
      </c>
      <c r="E3004">
        <v>27</v>
      </c>
      <c r="F3004" s="3" t="s">
        <v>2652</v>
      </c>
      <c r="G3004" s="4">
        <v>200000</v>
      </c>
      <c r="H3004" s="4">
        <v>0</v>
      </c>
      <c r="I3004" s="4">
        <v>-31804804.050000001</v>
      </c>
    </row>
    <row r="3005" spans="1:9" x14ac:dyDescent="0.3">
      <c r="A3005" t="s">
        <v>133</v>
      </c>
      <c r="B3005" s="1">
        <v>45884</v>
      </c>
      <c r="C3005" s="1">
        <v>45884</v>
      </c>
      <c r="D3005">
        <v>917390</v>
      </c>
      <c r="E3005">
        <v>53</v>
      </c>
      <c r="F3005" s="3" t="s">
        <v>2333</v>
      </c>
      <c r="G3005" s="4">
        <v>80000</v>
      </c>
      <c r="H3005" s="4">
        <v>0</v>
      </c>
      <c r="I3005" s="4">
        <v>-31724804.050000001</v>
      </c>
    </row>
    <row r="3006" spans="1:9" x14ac:dyDescent="0.3">
      <c r="A3006" t="s">
        <v>133</v>
      </c>
      <c r="B3006" s="1">
        <v>45884</v>
      </c>
      <c r="C3006" s="1">
        <v>45884</v>
      </c>
      <c r="D3006">
        <v>917391</v>
      </c>
      <c r="E3006">
        <v>91</v>
      </c>
      <c r="F3006" s="3" t="s">
        <v>2653</v>
      </c>
      <c r="G3006" s="4">
        <v>6979.25</v>
      </c>
      <c r="H3006" s="4">
        <v>0</v>
      </c>
      <c r="I3006" s="4">
        <v>-31717824.800000001</v>
      </c>
    </row>
    <row r="3007" spans="1:9" x14ac:dyDescent="0.3">
      <c r="A3007" t="s">
        <v>133</v>
      </c>
      <c r="B3007" s="1">
        <v>45884</v>
      </c>
      <c r="C3007" s="1">
        <v>45884</v>
      </c>
      <c r="D3007">
        <v>917397</v>
      </c>
      <c r="E3007">
        <v>382</v>
      </c>
      <c r="F3007" s="3" t="s">
        <v>2654</v>
      </c>
      <c r="G3007" s="4">
        <v>200000</v>
      </c>
      <c r="H3007" s="4">
        <v>0</v>
      </c>
      <c r="I3007" s="4">
        <v>-31517824.800000001</v>
      </c>
    </row>
    <row r="3008" spans="1:9" x14ac:dyDescent="0.3">
      <c r="A3008" t="s">
        <v>133</v>
      </c>
      <c r="B3008" s="1">
        <v>45884</v>
      </c>
      <c r="C3008" s="1">
        <v>45884</v>
      </c>
      <c r="D3008">
        <v>917398</v>
      </c>
      <c r="E3008">
        <v>62</v>
      </c>
      <c r="F3008" s="3" t="s">
        <v>2655</v>
      </c>
      <c r="G3008" s="4">
        <v>350000</v>
      </c>
      <c r="H3008" s="4">
        <v>0</v>
      </c>
      <c r="I3008" s="4">
        <v>-31167824.800000001</v>
      </c>
    </row>
    <row r="3009" spans="1:9" x14ac:dyDescent="0.3">
      <c r="A3009" t="s">
        <v>133</v>
      </c>
      <c r="B3009" s="1">
        <v>45884</v>
      </c>
      <c r="C3009" s="1">
        <v>45884</v>
      </c>
      <c r="D3009">
        <v>917405</v>
      </c>
      <c r="E3009">
        <v>28</v>
      </c>
      <c r="F3009" s="3">
        <v>51017841944</v>
      </c>
      <c r="G3009" s="4">
        <v>73540.5</v>
      </c>
      <c r="H3009" s="4">
        <v>0</v>
      </c>
      <c r="I3009" s="4">
        <v>-31094284.300000001</v>
      </c>
    </row>
    <row r="3010" spans="1:9" x14ac:dyDescent="0.3">
      <c r="A3010" t="s">
        <v>133</v>
      </c>
      <c r="B3010" s="1">
        <v>45884</v>
      </c>
      <c r="C3010" s="1">
        <v>45884</v>
      </c>
      <c r="D3010">
        <v>917406</v>
      </c>
      <c r="E3010">
        <v>98</v>
      </c>
      <c r="F3010" s="3" t="s">
        <v>2656</v>
      </c>
      <c r="G3010" s="4">
        <v>160000</v>
      </c>
      <c r="H3010" s="4">
        <v>0</v>
      </c>
      <c r="I3010" s="4">
        <v>-30934284.300000001</v>
      </c>
    </row>
    <row r="3011" spans="1:9" x14ac:dyDescent="0.3">
      <c r="A3011" t="s">
        <v>133</v>
      </c>
      <c r="B3011" s="1">
        <v>45884</v>
      </c>
      <c r="C3011" s="1">
        <v>45884</v>
      </c>
      <c r="D3011">
        <v>917410</v>
      </c>
      <c r="E3011">
        <v>81</v>
      </c>
      <c r="F3011" s="3" t="s">
        <v>2657</v>
      </c>
      <c r="G3011" s="4">
        <v>200000</v>
      </c>
      <c r="H3011" s="4">
        <v>0</v>
      </c>
      <c r="I3011" s="4">
        <v>-30734284.300000001</v>
      </c>
    </row>
    <row r="3012" spans="1:9" x14ac:dyDescent="0.3">
      <c r="A3012" t="s">
        <v>133</v>
      </c>
      <c r="B3012" s="1">
        <v>45884</v>
      </c>
      <c r="C3012" s="1">
        <v>45884</v>
      </c>
      <c r="D3012">
        <v>917413</v>
      </c>
      <c r="E3012">
        <v>78</v>
      </c>
      <c r="F3012" s="3" t="s">
        <v>2658</v>
      </c>
      <c r="G3012" s="4">
        <v>100060.5</v>
      </c>
      <c r="H3012" s="4">
        <v>0</v>
      </c>
      <c r="I3012" s="4">
        <v>-30634223.800000001</v>
      </c>
    </row>
    <row r="3013" spans="1:9" x14ac:dyDescent="0.3">
      <c r="A3013" t="s">
        <v>133</v>
      </c>
      <c r="B3013" s="1">
        <v>45884</v>
      </c>
      <c r="C3013" s="1">
        <v>45884</v>
      </c>
      <c r="D3013">
        <v>917416</v>
      </c>
      <c r="E3013">
        <v>86</v>
      </c>
      <c r="F3013" s="3" t="s">
        <v>2659</v>
      </c>
      <c r="G3013" s="4">
        <v>29448.5</v>
      </c>
      <c r="H3013" s="4">
        <v>0</v>
      </c>
      <c r="I3013" s="4">
        <v>-30604775.300000001</v>
      </c>
    </row>
    <row r="3014" spans="1:9" x14ac:dyDescent="0.3">
      <c r="A3014" t="s">
        <v>133</v>
      </c>
      <c r="B3014" s="1">
        <v>45884</v>
      </c>
      <c r="C3014" s="1">
        <v>45884</v>
      </c>
      <c r="D3014">
        <v>917417</v>
      </c>
      <c r="E3014">
        <v>252</v>
      </c>
      <c r="F3014" s="3" t="s">
        <v>2660</v>
      </c>
      <c r="G3014" s="4">
        <v>34519.75</v>
      </c>
      <c r="H3014" s="4">
        <v>0</v>
      </c>
      <c r="I3014" s="4">
        <v>-30570255.550000001</v>
      </c>
    </row>
    <row r="3015" spans="1:9" x14ac:dyDescent="0.3">
      <c r="A3015" t="s">
        <v>133</v>
      </c>
      <c r="B3015" s="1">
        <v>45884</v>
      </c>
      <c r="C3015" s="1">
        <v>45884</v>
      </c>
      <c r="D3015">
        <v>917422</v>
      </c>
      <c r="E3015">
        <v>80</v>
      </c>
      <c r="F3015" s="3" t="s">
        <v>2661</v>
      </c>
      <c r="G3015" s="4">
        <v>150000</v>
      </c>
      <c r="H3015" s="4">
        <v>0</v>
      </c>
      <c r="I3015" s="4">
        <v>-30420255.550000001</v>
      </c>
    </row>
    <row r="3016" spans="1:9" x14ac:dyDescent="0.3">
      <c r="A3016" t="s">
        <v>133</v>
      </c>
      <c r="B3016" s="1">
        <v>45884</v>
      </c>
      <c r="C3016" s="1">
        <v>45884</v>
      </c>
      <c r="D3016">
        <v>917428</v>
      </c>
      <c r="E3016">
        <v>351</v>
      </c>
      <c r="F3016" s="3" t="s">
        <v>2662</v>
      </c>
      <c r="G3016" s="4">
        <v>280000</v>
      </c>
      <c r="H3016" s="4">
        <v>0</v>
      </c>
      <c r="I3016" s="4">
        <v>-30140255.550000001</v>
      </c>
    </row>
    <row r="3017" spans="1:9" x14ac:dyDescent="0.3">
      <c r="A3017" t="s">
        <v>133</v>
      </c>
      <c r="B3017" s="1">
        <v>45884</v>
      </c>
      <c r="C3017" s="1">
        <v>45884</v>
      </c>
      <c r="D3017">
        <v>917430</v>
      </c>
      <c r="E3017">
        <v>351</v>
      </c>
      <c r="F3017" s="3" t="s">
        <v>2663</v>
      </c>
      <c r="G3017" s="4">
        <v>35315.75</v>
      </c>
      <c r="H3017" s="4">
        <v>0</v>
      </c>
      <c r="I3017" s="4">
        <v>-30104939.800000001</v>
      </c>
    </row>
    <row r="3018" spans="1:9" x14ac:dyDescent="0.3">
      <c r="A3018" t="s">
        <v>133</v>
      </c>
      <c r="B3018" s="1">
        <v>45884</v>
      </c>
      <c r="C3018" s="1">
        <v>45884</v>
      </c>
      <c r="D3018">
        <v>917431</v>
      </c>
      <c r="E3018">
        <v>351</v>
      </c>
      <c r="F3018" s="3" t="s">
        <v>2664</v>
      </c>
      <c r="G3018" s="4">
        <v>1713.75</v>
      </c>
      <c r="H3018" s="4">
        <v>0</v>
      </c>
      <c r="I3018" s="4">
        <v>-30103226.050000001</v>
      </c>
    </row>
    <row r="3019" spans="1:9" x14ac:dyDescent="0.3">
      <c r="A3019" t="s">
        <v>133</v>
      </c>
      <c r="B3019" s="1">
        <v>45884</v>
      </c>
      <c r="C3019" s="1">
        <v>45884</v>
      </c>
      <c r="D3019">
        <v>917432</v>
      </c>
      <c r="E3019">
        <v>61</v>
      </c>
      <c r="F3019" s="3" t="s">
        <v>2665</v>
      </c>
      <c r="G3019" s="4">
        <v>300000</v>
      </c>
      <c r="H3019" s="4">
        <v>0</v>
      </c>
      <c r="I3019" s="4">
        <v>-29803226.050000001</v>
      </c>
    </row>
    <row r="3020" spans="1:9" x14ac:dyDescent="0.3">
      <c r="A3020" t="s">
        <v>133</v>
      </c>
      <c r="B3020" s="1">
        <v>45884</v>
      </c>
      <c r="C3020" s="1">
        <v>45884</v>
      </c>
      <c r="D3020">
        <v>917433</v>
      </c>
      <c r="E3020">
        <v>351</v>
      </c>
      <c r="F3020" s="3" t="s">
        <v>2666</v>
      </c>
      <c r="G3020" s="4">
        <v>36800</v>
      </c>
      <c r="H3020" s="4">
        <v>0</v>
      </c>
      <c r="I3020" s="4">
        <v>-29766426.050000001</v>
      </c>
    </row>
    <row r="3021" spans="1:9" x14ac:dyDescent="0.3">
      <c r="A3021" t="s">
        <v>133</v>
      </c>
      <c r="B3021" s="1">
        <v>45884</v>
      </c>
      <c r="C3021" s="1">
        <v>45884</v>
      </c>
      <c r="D3021">
        <v>917435</v>
      </c>
      <c r="E3021">
        <v>23</v>
      </c>
      <c r="F3021" s="3" t="s">
        <v>2667</v>
      </c>
      <c r="G3021" s="4">
        <v>950000</v>
      </c>
      <c r="H3021" s="4">
        <v>0</v>
      </c>
      <c r="I3021" s="4">
        <v>-28816426.050000001</v>
      </c>
    </row>
    <row r="3022" spans="1:9" x14ac:dyDescent="0.3">
      <c r="A3022" t="s">
        <v>133</v>
      </c>
      <c r="B3022" s="1">
        <v>45884</v>
      </c>
      <c r="C3022" s="1">
        <v>45884</v>
      </c>
      <c r="D3022">
        <v>917436</v>
      </c>
      <c r="E3022">
        <v>70</v>
      </c>
      <c r="F3022" s="3">
        <v>4366</v>
      </c>
      <c r="G3022" s="4">
        <v>361348.5</v>
      </c>
      <c r="H3022" s="4">
        <v>0</v>
      </c>
      <c r="I3022" s="4">
        <v>-28455077.550000001</v>
      </c>
    </row>
    <row r="3023" spans="1:9" x14ac:dyDescent="0.3">
      <c r="A3023" t="s">
        <v>133</v>
      </c>
      <c r="B3023" s="1">
        <v>45884</v>
      </c>
      <c r="C3023" s="1">
        <v>45884</v>
      </c>
      <c r="D3023">
        <v>917438</v>
      </c>
      <c r="E3023">
        <v>88</v>
      </c>
      <c r="F3023" s="3" t="s">
        <v>2668</v>
      </c>
      <c r="G3023" s="4">
        <v>22768</v>
      </c>
      <c r="H3023" s="4">
        <v>0</v>
      </c>
      <c r="I3023" s="4">
        <v>-28432309.550000001</v>
      </c>
    </row>
    <row r="3024" spans="1:9" x14ac:dyDescent="0.3">
      <c r="A3024" t="s">
        <v>133</v>
      </c>
      <c r="B3024" s="1">
        <v>45884</v>
      </c>
      <c r="C3024" s="1">
        <v>45884</v>
      </c>
      <c r="D3024">
        <v>917439</v>
      </c>
      <c r="E3024">
        <v>86</v>
      </c>
      <c r="F3024" s="3" t="s">
        <v>2669</v>
      </c>
      <c r="G3024" s="4">
        <v>5619.25</v>
      </c>
      <c r="H3024" s="4">
        <v>0</v>
      </c>
      <c r="I3024" s="4">
        <v>-28426690.300000001</v>
      </c>
    </row>
    <row r="3025" spans="1:9" x14ac:dyDescent="0.3">
      <c r="A3025" t="s">
        <v>133</v>
      </c>
      <c r="B3025" s="1">
        <v>45884</v>
      </c>
      <c r="C3025" s="1">
        <v>45884</v>
      </c>
      <c r="D3025">
        <v>917442</v>
      </c>
      <c r="E3025">
        <v>86</v>
      </c>
      <c r="F3025" s="3" t="s">
        <v>2670</v>
      </c>
      <c r="G3025" s="4">
        <v>138816.5</v>
      </c>
      <c r="H3025" s="4">
        <v>0</v>
      </c>
      <c r="I3025" s="4">
        <v>-28287873.800000001</v>
      </c>
    </row>
    <row r="3026" spans="1:9" x14ac:dyDescent="0.3">
      <c r="A3026" t="s">
        <v>133</v>
      </c>
      <c r="B3026" s="1">
        <v>45884</v>
      </c>
      <c r="C3026" s="1">
        <v>45884</v>
      </c>
      <c r="D3026">
        <v>917445</v>
      </c>
      <c r="E3026">
        <v>86</v>
      </c>
      <c r="F3026" s="3" t="s">
        <v>2671</v>
      </c>
      <c r="G3026" s="4">
        <v>223400</v>
      </c>
      <c r="H3026" s="4">
        <v>0</v>
      </c>
      <c r="I3026" s="4">
        <v>-28064473.800000001</v>
      </c>
    </row>
    <row r="3027" spans="1:9" x14ac:dyDescent="0.3">
      <c r="A3027" t="s">
        <v>133</v>
      </c>
      <c r="B3027" s="1">
        <v>45884</v>
      </c>
      <c r="C3027" s="1">
        <v>45884</v>
      </c>
      <c r="D3027">
        <v>917447</v>
      </c>
      <c r="E3027">
        <v>86</v>
      </c>
      <c r="F3027" s="3" t="s">
        <v>2672</v>
      </c>
      <c r="G3027" s="4">
        <v>217480.5</v>
      </c>
      <c r="H3027" s="4">
        <v>0</v>
      </c>
      <c r="I3027" s="4">
        <v>-27846993.300000001</v>
      </c>
    </row>
    <row r="3028" spans="1:9" x14ac:dyDescent="0.3">
      <c r="A3028" t="s">
        <v>133</v>
      </c>
      <c r="B3028" s="1">
        <v>45884</v>
      </c>
      <c r="C3028" s="1">
        <v>45884</v>
      </c>
      <c r="D3028">
        <v>917449</v>
      </c>
      <c r="E3028">
        <v>56</v>
      </c>
      <c r="F3028" s="3" t="s">
        <v>1726</v>
      </c>
      <c r="G3028" s="4">
        <v>250000</v>
      </c>
      <c r="H3028" s="4">
        <v>0</v>
      </c>
      <c r="I3028" s="4">
        <v>-27596993.300000001</v>
      </c>
    </row>
    <row r="3029" spans="1:9" x14ac:dyDescent="0.3">
      <c r="A3029" t="s">
        <v>133</v>
      </c>
      <c r="B3029" s="1">
        <v>45884</v>
      </c>
      <c r="C3029" s="1">
        <v>45884</v>
      </c>
      <c r="D3029">
        <v>917459</v>
      </c>
      <c r="E3029">
        <v>11</v>
      </c>
      <c r="F3029" s="3" t="s">
        <v>2673</v>
      </c>
      <c r="G3029" s="4">
        <v>100000</v>
      </c>
      <c r="H3029" s="4">
        <v>0</v>
      </c>
      <c r="I3029" s="4">
        <v>-27496993.300000001</v>
      </c>
    </row>
    <row r="3030" spans="1:9" x14ac:dyDescent="0.3">
      <c r="A3030" t="s">
        <v>133</v>
      </c>
      <c r="B3030" s="1">
        <v>45884</v>
      </c>
      <c r="C3030" s="1">
        <v>45884</v>
      </c>
      <c r="D3030">
        <v>917460</v>
      </c>
      <c r="E3030">
        <v>97</v>
      </c>
      <c r="F3030" s="3" t="s">
        <v>2129</v>
      </c>
      <c r="G3030" s="4">
        <v>220000</v>
      </c>
      <c r="H3030" s="4">
        <v>0</v>
      </c>
      <c r="I3030" s="4">
        <v>-27276993.300000001</v>
      </c>
    </row>
    <row r="3031" spans="1:9" x14ac:dyDescent="0.3">
      <c r="A3031" t="s">
        <v>133</v>
      </c>
      <c r="B3031" s="1">
        <v>45884</v>
      </c>
      <c r="C3031" s="1">
        <v>45884</v>
      </c>
      <c r="D3031">
        <v>917464</v>
      </c>
      <c r="E3031">
        <v>28</v>
      </c>
      <c r="F3031" s="3" t="s">
        <v>2674</v>
      </c>
      <c r="G3031" s="4">
        <v>6671</v>
      </c>
      <c r="H3031" s="4">
        <v>0</v>
      </c>
      <c r="I3031" s="4">
        <v>-27270322.300000001</v>
      </c>
    </row>
    <row r="3032" spans="1:9" x14ac:dyDescent="0.3">
      <c r="A3032" t="s">
        <v>1</v>
      </c>
      <c r="B3032" s="1">
        <v>45880</v>
      </c>
      <c r="C3032" s="1">
        <v>45885</v>
      </c>
      <c r="D3032">
        <v>102626</v>
      </c>
      <c r="E3032">
        <v>100</v>
      </c>
      <c r="F3032" s="3" t="s">
        <v>2675</v>
      </c>
      <c r="G3032" s="4">
        <v>3900</v>
      </c>
      <c r="I3032" s="4">
        <v>-27266422.300000001</v>
      </c>
    </row>
    <row r="3033" spans="1:9" x14ac:dyDescent="0.3">
      <c r="A3033" t="s">
        <v>1</v>
      </c>
      <c r="B3033" s="1">
        <v>45883</v>
      </c>
      <c r="C3033" s="1">
        <v>45885</v>
      </c>
      <c r="D3033">
        <v>102772</v>
      </c>
      <c r="E3033">
        <v>100</v>
      </c>
      <c r="F3033" s="3" t="s">
        <v>2676</v>
      </c>
      <c r="G3033" s="4">
        <v>6000</v>
      </c>
      <c r="I3033" s="4">
        <v>-27260422.300000001</v>
      </c>
    </row>
    <row r="3034" spans="1:9" x14ac:dyDescent="0.3">
      <c r="A3034" t="s">
        <v>1</v>
      </c>
      <c r="B3034" s="1">
        <v>45884</v>
      </c>
      <c r="C3034" s="1">
        <v>45885</v>
      </c>
      <c r="D3034">
        <v>102787</v>
      </c>
      <c r="E3034">
        <v>100</v>
      </c>
      <c r="F3034" s="3" t="s">
        <v>2677</v>
      </c>
      <c r="G3034" s="4">
        <v>22004.2</v>
      </c>
      <c r="I3034" s="4">
        <v>-27238418.100000001</v>
      </c>
    </row>
    <row r="3035" spans="1:9" x14ac:dyDescent="0.3">
      <c r="A3035" t="s">
        <v>1</v>
      </c>
      <c r="B3035" s="1">
        <v>45884</v>
      </c>
      <c r="C3035" s="1">
        <v>45885</v>
      </c>
      <c r="D3035">
        <v>102789</v>
      </c>
      <c r="E3035">
        <v>100</v>
      </c>
      <c r="F3035" s="3" t="s">
        <v>2678</v>
      </c>
      <c r="G3035" s="4">
        <v>3705.25</v>
      </c>
      <c r="I3035" s="4">
        <v>-27234712.850000001</v>
      </c>
    </row>
    <row r="3036" spans="1:9" x14ac:dyDescent="0.3">
      <c r="A3036" t="s">
        <v>1</v>
      </c>
      <c r="B3036" s="1">
        <v>45884</v>
      </c>
      <c r="C3036" s="1">
        <v>45885</v>
      </c>
      <c r="D3036">
        <v>102790</v>
      </c>
      <c r="E3036">
        <v>100</v>
      </c>
      <c r="F3036" s="3" t="s">
        <v>2679</v>
      </c>
      <c r="G3036" s="4">
        <v>8042.7</v>
      </c>
      <c r="I3036" s="4">
        <v>-27226670.149999999</v>
      </c>
    </row>
    <row r="3037" spans="1:9" x14ac:dyDescent="0.3">
      <c r="A3037" t="s">
        <v>1</v>
      </c>
      <c r="B3037" s="1">
        <v>45884</v>
      </c>
      <c r="C3037" s="1">
        <v>45885</v>
      </c>
      <c r="D3037">
        <v>102796</v>
      </c>
      <c r="E3037">
        <v>100</v>
      </c>
      <c r="F3037" s="3" t="s">
        <v>1995</v>
      </c>
      <c r="G3037" s="4">
        <v>3611.79</v>
      </c>
      <c r="I3037" s="4">
        <v>-27223058.359999999</v>
      </c>
    </row>
    <row r="3038" spans="1:9" x14ac:dyDescent="0.3">
      <c r="A3038" t="s">
        <v>1</v>
      </c>
      <c r="B3038" s="1">
        <v>45884</v>
      </c>
      <c r="C3038" s="1">
        <v>45885</v>
      </c>
      <c r="D3038">
        <v>102801</v>
      </c>
      <c r="E3038">
        <v>100</v>
      </c>
      <c r="F3038" s="3" t="s">
        <v>2680</v>
      </c>
      <c r="G3038" s="4">
        <v>3830.41</v>
      </c>
      <c r="I3038" s="4">
        <v>-27219227.949999999</v>
      </c>
    </row>
    <row r="3039" spans="1:9" x14ac:dyDescent="0.3">
      <c r="A3039" t="s">
        <v>1</v>
      </c>
      <c r="B3039" s="1">
        <v>45884</v>
      </c>
      <c r="C3039" s="1">
        <v>45885</v>
      </c>
      <c r="D3039">
        <v>102803</v>
      </c>
      <c r="E3039">
        <v>100</v>
      </c>
      <c r="F3039" s="3" t="s">
        <v>2681</v>
      </c>
      <c r="G3039" s="4">
        <v>23567.5</v>
      </c>
      <c r="I3039" s="4">
        <v>-27195660.449999999</v>
      </c>
    </row>
    <row r="3040" spans="1:9" x14ac:dyDescent="0.3">
      <c r="A3040" t="s">
        <v>1</v>
      </c>
      <c r="B3040" s="1">
        <v>45884</v>
      </c>
      <c r="C3040" s="1">
        <v>45885</v>
      </c>
      <c r="D3040">
        <v>102804</v>
      </c>
      <c r="E3040">
        <v>100</v>
      </c>
      <c r="F3040" s="3" t="s">
        <v>1999</v>
      </c>
      <c r="G3040" s="4">
        <v>32553.22</v>
      </c>
      <c r="I3040" s="4">
        <v>-27163107.23</v>
      </c>
    </row>
    <row r="3041" spans="1:9" x14ac:dyDescent="0.3">
      <c r="A3041" t="s">
        <v>1</v>
      </c>
      <c r="B3041" s="1">
        <v>45884</v>
      </c>
      <c r="C3041" s="1">
        <v>45885</v>
      </c>
      <c r="D3041">
        <v>102805</v>
      </c>
      <c r="E3041">
        <v>100</v>
      </c>
      <c r="F3041" s="3" t="s">
        <v>2001</v>
      </c>
      <c r="G3041" s="4">
        <v>16112.66</v>
      </c>
      <c r="I3041" s="4">
        <v>-27146994.57</v>
      </c>
    </row>
    <row r="3042" spans="1:9" x14ac:dyDescent="0.3">
      <c r="A3042" t="s">
        <v>1</v>
      </c>
      <c r="B3042" s="1">
        <v>45884</v>
      </c>
      <c r="C3042" s="1">
        <v>45885</v>
      </c>
      <c r="D3042">
        <v>102808</v>
      </c>
      <c r="E3042">
        <v>100</v>
      </c>
      <c r="F3042" s="3" t="s">
        <v>2682</v>
      </c>
      <c r="G3042" s="4">
        <v>282381.08</v>
      </c>
      <c r="I3042" s="4">
        <v>-26864613.489999998</v>
      </c>
    </row>
    <row r="3043" spans="1:9" x14ac:dyDescent="0.3">
      <c r="A3043" t="s">
        <v>1</v>
      </c>
      <c r="B3043" s="1">
        <v>45884</v>
      </c>
      <c r="C3043" s="1">
        <v>45885</v>
      </c>
      <c r="D3043">
        <v>102812</v>
      </c>
      <c r="E3043">
        <v>100</v>
      </c>
      <c r="F3043" s="3" t="s">
        <v>2683</v>
      </c>
      <c r="G3043" s="4">
        <v>69882.25</v>
      </c>
      <c r="I3043" s="4">
        <v>-26794731.239999998</v>
      </c>
    </row>
    <row r="3044" spans="1:9" x14ac:dyDescent="0.3">
      <c r="A3044" t="s">
        <v>1</v>
      </c>
      <c r="B3044" s="1">
        <v>45884</v>
      </c>
      <c r="C3044" s="1">
        <v>45885</v>
      </c>
      <c r="D3044">
        <v>102813</v>
      </c>
      <c r="E3044">
        <v>100</v>
      </c>
      <c r="F3044" s="3" t="s">
        <v>2684</v>
      </c>
      <c r="G3044" s="4">
        <v>19728.75</v>
      </c>
      <c r="I3044" s="4">
        <v>-26775002.489999998</v>
      </c>
    </row>
    <row r="3045" spans="1:9" x14ac:dyDescent="0.3">
      <c r="A3045" t="s">
        <v>1</v>
      </c>
      <c r="B3045" s="1">
        <v>45884</v>
      </c>
      <c r="C3045" s="1">
        <v>45885</v>
      </c>
      <c r="D3045">
        <v>102814</v>
      </c>
      <c r="E3045">
        <v>100</v>
      </c>
      <c r="F3045" s="3" t="s">
        <v>2683</v>
      </c>
      <c r="G3045" s="4">
        <v>207021.65</v>
      </c>
      <c r="I3045" s="4">
        <v>-26567980.84</v>
      </c>
    </row>
    <row r="3046" spans="1:9" x14ac:dyDescent="0.3">
      <c r="A3046" t="s">
        <v>1</v>
      </c>
      <c r="B3046" s="1">
        <v>45884</v>
      </c>
      <c r="C3046" s="1">
        <v>45885</v>
      </c>
      <c r="D3046">
        <v>102815</v>
      </c>
      <c r="E3046">
        <v>100</v>
      </c>
      <c r="F3046" s="3" t="s">
        <v>2685</v>
      </c>
      <c r="G3046" s="4">
        <v>81968.25</v>
      </c>
      <c r="I3046" s="4">
        <v>-26486012.59</v>
      </c>
    </row>
    <row r="3047" spans="1:9" x14ac:dyDescent="0.3">
      <c r="A3047" t="s">
        <v>1</v>
      </c>
      <c r="B3047" s="1">
        <v>45884</v>
      </c>
      <c r="C3047" s="1">
        <v>45885</v>
      </c>
      <c r="D3047">
        <v>102816</v>
      </c>
      <c r="E3047">
        <v>100</v>
      </c>
      <c r="F3047" s="3" t="s">
        <v>2686</v>
      </c>
      <c r="G3047" s="4">
        <v>8543.0499999999993</v>
      </c>
      <c r="I3047" s="4">
        <v>-26477469.539999999</v>
      </c>
    </row>
    <row r="3048" spans="1:9" x14ac:dyDescent="0.3">
      <c r="A3048" t="s">
        <v>1</v>
      </c>
      <c r="B3048" s="1">
        <v>45885</v>
      </c>
      <c r="C3048" s="1">
        <v>45885</v>
      </c>
      <c r="D3048">
        <v>102820</v>
      </c>
      <c r="E3048">
        <v>100</v>
      </c>
      <c r="F3048" s="3" t="s">
        <v>2687</v>
      </c>
      <c r="G3048" s="4">
        <v>4003.15</v>
      </c>
      <c r="I3048" s="4">
        <v>-26473466.390000001</v>
      </c>
    </row>
    <row r="3049" spans="1:9" x14ac:dyDescent="0.3">
      <c r="A3049" t="s">
        <v>1</v>
      </c>
      <c r="B3049" s="1">
        <v>45883</v>
      </c>
      <c r="C3049" s="1">
        <v>45885</v>
      </c>
      <c r="D3049">
        <v>102831</v>
      </c>
      <c r="E3049">
        <v>100</v>
      </c>
      <c r="F3049" s="3" t="s">
        <v>2688</v>
      </c>
      <c r="G3049" s="4">
        <v>16837.8</v>
      </c>
      <c r="I3049" s="4">
        <v>-26456628.59</v>
      </c>
    </row>
    <row r="3050" spans="1:9" x14ac:dyDescent="0.3">
      <c r="A3050" t="s">
        <v>75</v>
      </c>
      <c r="B3050" s="1">
        <v>45884</v>
      </c>
      <c r="C3050" s="1">
        <v>45885</v>
      </c>
      <c r="D3050">
        <v>143530</v>
      </c>
      <c r="E3050">
        <v>223</v>
      </c>
      <c r="F3050" s="3" t="s">
        <v>2689</v>
      </c>
      <c r="G3050" s="4">
        <v>36795.5</v>
      </c>
      <c r="H3050" s="4">
        <v>0</v>
      </c>
      <c r="I3050" s="4">
        <v>-26419833.09</v>
      </c>
    </row>
    <row r="3051" spans="1:9" x14ac:dyDescent="0.3">
      <c r="A3051" t="s">
        <v>75</v>
      </c>
      <c r="B3051" s="1">
        <v>45884</v>
      </c>
      <c r="C3051" s="1">
        <v>45885</v>
      </c>
      <c r="D3051">
        <v>143531</v>
      </c>
      <c r="E3051">
        <v>11</v>
      </c>
      <c r="F3051" s="3" t="s">
        <v>2690</v>
      </c>
      <c r="G3051" s="4">
        <v>100000</v>
      </c>
      <c r="H3051" s="4">
        <v>0</v>
      </c>
      <c r="I3051" s="4">
        <v>-26319833.09</v>
      </c>
    </row>
    <row r="3052" spans="1:9" x14ac:dyDescent="0.3">
      <c r="A3052" t="s">
        <v>75</v>
      </c>
      <c r="B3052" s="1">
        <v>45884</v>
      </c>
      <c r="C3052" s="1">
        <v>45885</v>
      </c>
      <c r="D3052">
        <v>143532</v>
      </c>
      <c r="E3052">
        <v>11</v>
      </c>
      <c r="F3052" s="3" t="s">
        <v>2691</v>
      </c>
      <c r="G3052" s="4">
        <v>16618.5</v>
      </c>
      <c r="H3052" s="4">
        <v>0</v>
      </c>
      <c r="I3052" s="4">
        <v>-26303214.59</v>
      </c>
    </row>
    <row r="3053" spans="1:9" x14ac:dyDescent="0.3">
      <c r="A3053" t="s">
        <v>75</v>
      </c>
      <c r="B3053" s="1">
        <v>45883</v>
      </c>
      <c r="C3053" s="1">
        <v>45885</v>
      </c>
      <c r="D3053">
        <v>143533</v>
      </c>
      <c r="E3053">
        <v>11</v>
      </c>
      <c r="F3053" s="3" t="s">
        <v>2692</v>
      </c>
      <c r="G3053" s="4">
        <v>2478.5</v>
      </c>
      <c r="H3053" s="4">
        <v>0</v>
      </c>
      <c r="I3053" s="4">
        <v>-26300736.09</v>
      </c>
    </row>
    <row r="3054" spans="1:9" x14ac:dyDescent="0.3">
      <c r="A3054" t="s">
        <v>75</v>
      </c>
      <c r="B3054" s="1">
        <v>45885</v>
      </c>
      <c r="C3054" s="1">
        <v>45885</v>
      </c>
      <c r="D3054">
        <v>143535</v>
      </c>
      <c r="E3054">
        <v>14</v>
      </c>
      <c r="F3054" s="3" t="s">
        <v>2693</v>
      </c>
      <c r="G3054" s="4">
        <v>33690</v>
      </c>
      <c r="H3054" s="4">
        <v>0</v>
      </c>
      <c r="I3054" s="4">
        <v>-26267046.09</v>
      </c>
    </row>
    <row r="3055" spans="1:9" x14ac:dyDescent="0.3">
      <c r="A3055" t="s">
        <v>75</v>
      </c>
      <c r="B3055" s="1">
        <v>45885</v>
      </c>
      <c r="C3055" s="1">
        <v>45885</v>
      </c>
      <c r="D3055">
        <v>143536</v>
      </c>
      <c r="E3055">
        <v>16</v>
      </c>
      <c r="F3055" s="3" t="s">
        <v>2694</v>
      </c>
      <c r="G3055" s="4">
        <v>3813.25</v>
      </c>
      <c r="H3055" s="4">
        <v>0</v>
      </c>
      <c r="I3055" s="4">
        <v>-26263232.84</v>
      </c>
    </row>
    <row r="3056" spans="1:9" x14ac:dyDescent="0.3">
      <c r="A3056" t="s">
        <v>75</v>
      </c>
      <c r="B3056" s="1">
        <v>45885</v>
      </c>
      <c r="C3056" s="1">
        <v>45885</v>
      </c>
      <c r="D3056">
        <v>143537</v>
      </c>
      <c r="E3056">
        <v>63</v>
      </c>
      <c r="F3056" s="3" t="s">
        <v>2695</v>
      </c>
      <c r="G3056" s="4">
        <v>4505.5</v>
      </c>
      <c r="H3056" s="4">
        <v>0</v>
      </c>
      <c r="I3056" s="4">
        <v>-26258727.34</v>
      </c>
    </row>
    <row r="3057" spans="1:9" x14ac:dyDescent="0.3">
      <c r="A3057" t="s">
        <v>75</v>
      </c>
      <c r="B3057" s="1">
        <v>45884</v>
      </c>
      <c r="C3057" s="1">
        <v>45885</v>
      </c>
      <c r="D3057">
        <v>143542</v>
      </c>
      <c r="E3057">
        <v>412</v>
      </c>
      <c r="F3057" s="3" t="s">
        <v>2696</v>
      </c>
      <c r="G3057" s="4">
        <v>11000</v>
      </c>
      <c r="H3057" s="4">
        <v>0</v>
      </c>
      <c r="I3057" s="4">
        <v>-26247727.34</v>
      </c>
    </row>
    <row r="3058" spans="1:9" x14ac:dyDescent="0.3">
      <c r="A3058" t="s">
        <v>75</v>
      </c>
      <c r="B3058" s="1">
        <v>45883</v>
      </c>
      <c r="C3058" s="1">
        <v>45885</v>
      </c>
      <c r="D3058">
        <v>143543</v>
      </c>
      <c r="E3058">
        <v>77</v>
      </c>
      <c r="F3058" s="3" t="s">
        <v>2697</v>
      </c>
      <c r="G3058" s="4">
        <v>811</v>
      </c>
      <c r="H3058" s="4">
        <v>0</v>
      </c>
      <c r="I3058" s="4">
        <v>-26246916.34</v>
      </c>
    </row>
    <row r="3059" spans="1:9" x14ac:dyDescent="0.3">
      <c r="A3059" t="s">
        <v>75</v>
      </c>
      <c r="B3059" s="1">
        <v>45883</v>
      </c>
      <c r="C3059" s="1">
        <v>45885</v>
      </c>
      <c r="D3059">
        <v>143544</v>
      </c>
      <c r="E3059">
        <v>77</v>
      </c>
      <c r="F3059" s="3" t="s">
        <v>2698</v>
      </c>
      <c r="G3059" s="4">
        <v>47218</v>
      </c>
      <c r="H3059" s="4">
        <v>0</v>
      </c>
      <c r="I3059" s="4">
        <v>-26199698.34</v>
      </c>
    </row>
    <row r="3060" spans="1:9" x14ac:dyDescent="0.3">
      <c r="A3060" t="s">
        <v>75</v>
      </c>
      <c r="B3060" s="1">
        <v>45884</v>
      </c>
      <c r="C3060" s="1">
        <v>45885</v>
      </c>
      <c r="D3060">
        <v>143545</v>
      </c>
      <c r="E3060">
        <v>77</v>
      </c>
      <c r="F3060" s="3" t="s">
        <v>2699</v>
      </c>
      <c r="G3060" s="4">
        <v>1131.25</v>
      </c>
      <c r="H3060" s="4">
        <v>0</v>
      </c>
      <c r="I3060" s="4">
        <v>-26198567.09</v>
      </c>
    </row>
    <row r="3061" spans="1:9" x14ac:dyDescent="0.3">
      <c r="A3061" t="s">
        <v>75</v>
      </c>
      <c r="B3061" s="1">
        <v>45885</v>
      </c>
      <c r="C3061" s="1">
        <v>45885</v>
      </c>
      <c r="D3061">
        <v>143546</v>
      </c>
      <c r="E3061">
        <v>77</v>
      </c>
      <c r="F3061" s="3" t="s">
        <v>2700</v>
      </c>
      <c r="G3061" s="4">
        <v>16882.5</v>
      </c>
      <c r="H3061" s="4">
        <v>0</v>
      </c>
      <c r="I3061" s="4">
        <v>-26181684.59</v>
      </c>
    </row>
    <row r="3062" spans="1:9" x14ac:dyDescent="0.3">
      <c r="A3062" t="s">
        <v>75</v>
      </c>
      <c r="B3062" s="1">
        <v>45885</v>
      </c>
      <c r="C3062" s="1">
        <v>45885</v>
      </c>
      <c r="D3062">
        <v>143547</v>
      </c>
      <c r="E3062">
        <v>77</v>
      </c>
      <c r="F3062" s="3" t="s">
        <v>2701</v>
      </c>
      <c r="G3062" s="4">
        <v>4645</v>
      </c>
      <c r="H3062" s="4">
        <v>0</v>
      </c>
      <c r="I3062" s="4">
        <v>-26177039.59</v>
      </c>
    </row>
    <row r="3063" spans="1:9" x14ac:dyDescent="0.3">
      <c r="A3063" t="s">
        <v>75</v>
      </c>
      <c r="B3063" s="1">
        <v>45883</v>
      </c>
      <c r="C3063" s="1">
        <v>45885</v>
      </c>
      <c r="D3063">
        <v>143548</v>
      </c>
      <c r="E3063">
        <v>11</v>
      </c>
      <c r="F3063" s="3" t="s">
        <v>2702</v>
      </c>
      <c r="G3063" s="4">
        <v>2500</v>
      </c>
      <c r="H3063" s="4">
        <v>0</v>
      </c>
      <c r="I3063" s="4">
        <v>-26174539.59</v>
      </c>
    </row>
    <row r="3064" spans="1:9" x14ac:dyDescent="0.3">
      <c r="A3064" t="s">
        <v>75</v>
      </c>
      <c r="B3064" s="1">
        <v>45885</v>
      </c>
      <c r="C3064" s="1">
        <v>45885</v>
      </c>
      <c r="D3064">
        <v>143552</v>
      </c>
      <c r="E3064">
        <v>14</v>
      </c>
      <c r="F3064" s="3" t="s">
        <v>2703</v>
      </c>
      <c r="G3064" s="4">
        <v>25000</v>
      </c>
      <c r="H3064" s="4">
        <v>0</v>
      </c>
      <c r="I3064" s="4">
        <v>-26149539.59</v>
      </c>
    </row>
    <row r="3065" spans="1:9" x14ac:dyDescent="0.3">
      <c r="A3065" t="s">
        <v>75</v>
      </c>
      <c r="B3065" s="1">
        <v>45885</v>
      </c>
      <c r="C3065" s="1">
        <v>45885</v>
      </c>
      <c r="D3065">
        <v>143553</v>
      </c>
      <c r="E3065">
        <v>58</v>
      </c>
      <c r="F3065" s="3" t="s">
        <v>2704</v>
      </c>
      <c r="G3065" s="4">
        <v>367465</v>
      </c>
      <c r="H3065" s="4">
        <v>0</v>
      </c>
      <c r="I3065" s="4">
        <v>-25782074.59</v>
      </c>
    </row>
    <row r="3066" spans="1:9" x14ac:dyDescent="0.3">
      <c r="A3066" t="s">
        <v>75</v>
      </c>
      <c r="B3066" s="1">
        <v>45885</v>
      </c>
      <c r="C3066" s="1">
        <v>45885</v>
      </c>
      <c r="D3066">
        <v>143554</v>
      </c>
      <c r="E3066">
        <v>67</v>
      </c>
      <c r="F3066" s="3" t="s">
        <v>2705</v>
      </c>
      <c r="G3066" s="4">
        <v>5922.5</v>
      </c>
      <c r="H3066" s="4">
        <v>0</v>
      </c>
      <c r="I3066" s="4">
        <v>-25776152.09</v>
      </c>
    </row>
    <row r="3067" spans="1:9" x14ac:dyDescent="0.3">
      <c r="A3067" t="s">
        <v>75</v>
      </c>
      <c r="B3067" s="1">
        <v>45885</v>
      </c>
      <c r="C3067" s="1">
        <v>45885</v>
      </c>
      <c r="D3067">
        <v>143555</v>
      </c>
      <c r="E3067">
        <v>61</v>
      </c>
      <c r="F3067" s="3" t="s">
        <v>2706</v>
      </c>
      <c r="G3067" s="4">
        <v>10000</v>
      </c>
      <c r="H3067" s="4">
        <v>0</v>
      </c>
      <c r="I3067" s="4">
        <v>-25766152.09</v>
      </c>
    </row>
    <row r="3068" spans="1:9" x14ac:dyDescent="0.3">
      <c r="A3068" t="s">
        <v>75</v>
      </c>
      <c r="B3068" s="1">
        <v>45882</v>
      </c>
      <c r="C3068" s="1">
        <v>45885</v>
      </c>
      <c r="D3068">
        <v>143556</v>
      </c>
      <c r="E3068">
        <v>17</v>
      </c>
      <c r="F3068" s="3" t="s">
        <v>2707</v>
      </c>
      <c r="G3068" s="4">
        <v>15200</v>
      </c>
      <c r="H3068" s="4">
        <v>0</v>
      </c>
      <c r="I3068" s="4">
        <v>-25750952.09</v>
      </c>
    </row>
    <row r="3069" spans="1:9" x14ac:dyDescent="0.3">
      <c r="A3069" t="s">
        <v>75</v>
      </c>
      <c r="B3069" s="1">
        <v>45884</v>
      </c>
      <c r="C3069" s="1">
        <v>45885</v>
      </c>
      <c r="D3069">
        <v>143557</v>
      </c>
      <c r="E3069">
        <v>11</v>
      </c>
      <c r="F3069" s="3" t="s">
        <v>2708</v>
      </c>
      <c r="G3069" s="4">
        <v>2828.25</v>
      </c>
      <c r="H3069" s="4">
        <v>0</v>
      </c>
      <c r="I3069" s="4">
        <v>-25748123.84</v>
      </c>
    </row>
    <row r="3070" spans="1:9" x14ac:dyDescent="0.3">
      <c r="A3070" t="s">
        <v>75</v>
      </c>
      <c r="B3070" s="1">
        <v>45879</v>
      </c>
      <c r="C3070" s="1">
        <v>45885</v>
      </c>
      <c r="D3070">
        <v>143558</v>
      </c>
      <c r="E3070">
        <v>301</v>
      </c>
      <c r="F3070" s="3" t="s">
        <v>2709</v>
      </c>
      <c r="G3070" s="4">
        <v>75292.75</v>
      </c>
      <c r="H3070" s="4">
        <v>0</v>
      </c>
      <c r="I3070" s="4">
        <v>-25672831.09</v>
      </c>
    </row>
    <row r="3071" spans="1:9" x14ac:dyDescent="0.3">
      <c r="A3071" t="s">
        <v>75</v>
      </c>
      <c r="B3071" s="1">
        <v>45884</v>
      </c>
      <c r="C3071" s="1">
        <v>45885</v>
      </c>
      <c r="D3071">
        <v>143559</v>
      </c>
      <c r="E3071">
        <v>69</v>
      </c>
      <c r="F3071" s="3" t="s">
        <v>2710</v>
      </c>
      <c r="G3071" s="4">
        <v>30000</v>
      </c>
      <c r="H3071" s="4">
        <v>0</v>
      </c>
      <c r="I3071" s="4">
        <v>-25642831.09</v>
      </c>
    </row>
    <row r="3072" spans="1:9" x14ac:dyDescent="0.3">
      <c r="A3072" t="s">
        <v>75</v>
      </c>
      <c r="B3072" s="1">
        <v>45885</v>
      </c>
      <c r="C3072" s="1">
        <v>45885</v>
      </c>
      <c r="D3072">
        <v>143561</v>
      </c>
      <c r="E3072">
        <v>17</v>
      </c>
      <c r="F3072" s="3" t="s">
        <v>2711</v>
      </c>
      <c r="G3072" s="4">
        <v>5001</v>
      </c>
      <c r="H3072" s="4">
        <v>0</v>
      </c>
      <c r="I3072" s="4">
        <v>-25637830.09</v>
      </c>
    </row>
    <row r="3073" spans="1:9" x14ac:dyDescent="0.3">
      <c r="A3073" t="s">
        <v>75</v>
      </c>
      <c r="B3073" s="1">
        <v>45884</v>
      </c>
      <c r="C3073" s="1">
        <v>45885</v>
      </c>
      <c r="D3073">
        <v>143562</v>
      </c>
      <c r="E3073">
        <v>17</v>
      </c>
      <c r="F3073" s="3" t="s">
        <v>2712</v>
      </c>
      <c r="G3073" s="4">
        <v>100000</v>
      </c>
      <c r="H3073" s="4">
        <v>0</v>
      </c>
      <c r="I3073" s="4">
        <v>-25537830.09</v>
      </c>
    </row>
    <row r="3074" spans="1:9" x14ac:dyDescent="0.3">
      <c r="A3074" t="s">
        <v>75</v>
      </c>
      <c r="B3074" s="1">
        <v>45884</v>
      </c>
      <c r="C3074" s="1">
        <v>45885</v>
      </c>
      <c r="D3074">
        <v>143563</v>
      </c>
      <c r="E3074">
        <v>11</v>
      </c>
      <c r="F3074" s="3" t="s">
        <v>2713</v>
      </c>
      <c r="G3074" s="4">
        <v>27773</v>
      </c>
      <c r="H3074" s="4">
        <v>0</v>
      </c>
      <c r="I3074" s="4">
        <v>-25510057.09</v>
      </c>
    </row>
    <row r="3075" spans="1:9" x14ac:dyDescent="0.3">
      <c r="A3075" t="s">
        <v>75</v>
      </c>
      <c r="B3075" s="1">
        <v>45860</v>
      </c>
      <c r="C3075" s="1">
        <v>45885</v>
      </c>
      <c r="D3075">
        <v>143565</v>
      </c>
      <c r="E3075">
        <v>23</v>
      </c>
      <c r="F3075" s="3" t="s">
        <v>2714</v>
      </c>
      <c r="G3075" s="4">
        <v>106682</v>
      </c>
      <c r="H3075" s="4">
        <v>0</v>
      </c>
      <c r="I3075" s="4">
        <v>-25403375.09</v>
      </c>
    </row>
    <row r="3076" spans="1:9" x14ac:dyDescent="0.3">
      <c r="A3076" t="s">
        <v>75</v>
      </c>
      <c r="B3076" s="1">
        <v>45869</v>
      </c>
      <c r="C3076" s="1">
        <v>45885</v>
      </c>
      <c r="D3076">
        <v>143566</v>
      </c>
      <c r="E3076">
        <v>23</v>
      </c>
      <c r="F3076" s="3" t="s">
        <v>2715</v>
      </c>
      <c r="G3076" s="4">
        <v>105112.75</v>
      </c>
      <c r="H3076" s="4">
        <v>0</v>
      </c>
      <c r="I3076" s="4">
        <v>-25298262.34</v>
      </c>
    </row>
    <row r="3077" spans="1:9" x14ac:dyDescent="0.3">
      <c r="A3077" t="s">
        <v>75</v>
      </c>
      <c r="B3077" s="1">
        <v>45876</v>
      </c>
      <c r="C3077" s="1">
        <v>45885</v>
      </c>
      <c r="D3077">
        <v>143568</v>
      </c>
      <c r="E3077">
        <v>23</v>
      </c>
      <c r="F3077" s="3" t="s">
        <v>2716</v>
      </c>
      <c r="G3077" s="4">
        <v>8000</v>
      </c>
      <c r="H3077" s="4">
        <v>0</v>
      </c>
      <c r="I3077" s="4">
        <v>-25290262.34</v>
      </c>
    </row>
    <row r="3078" spans="1:9" x14ac:dyDescent="0.3">
      <c r="A3078" t="s">
        <v>75</v>
      </c>
      <c r="B3078" s="1">
        <v>45807</v>
      </c>
      <c r="C3078" s="1">
        <v>45885</v>
      </c>
      <c r="D3078">
        <v>143569</v>
      </c>
      <c r="E3078">
        <v>23</v>
      </c>
      <c r="F3078" s="3" t="s">
        <v>2717</v>
      </c>
      <c r="G3078" s="4">
        <v>45985.5</v>
      </c>
      <c r="H3078" s="4">
        <v>0</v>
      </c>
      <c r="I3078" s="4">
        <v>-25244276.84</v>
      </c>
    </row>
    <row r="3079" spans="1:9" x14ac:dyDescent="0.3">
      <c r="A3079" t="s">
        <v>75</v>
      </c>
      <c r="B3079" s="1">
        <v>45869</v>
      </c>
      <c r="C3079" s="1">
        <v>45885</v>
      </c>
      <c r="D3079">
        <v>143570</v>
      </c>
      <c r="E3079">
        <v>23</v>
      </c>
      <c r="F3079" s="3" t="s">
        <v>2718</v>
      </c>
      <c r="G3079" s="4">
        <v>145000</v>
      </c>
      <c r="H3079" s="4">
        <v>0</v>
      </c>
      <c r="I3079" s="4">
        <v>-25099276.84</v>
      </c>
    </row>
    <row r="3080" spans="1:9" x14ac:dyDescent="0.3">
      <c r="A3080" t="s">
        <v>75</v>
      </c>
      <c r="B3080" s="1">
        <v>45885</v>
      </c>
      <c r="C3080" s="1">
        <v>45885</v>
      </c>
      <c r="D3080">
        <v>143571</v>
      </c>
      <c r="E3080">
        <v>23</v>
      </c>
      <c r="F3080" s="3" t="s">
        <v>2719</v>
      </c>
      <c r="G3080" s="4">
        <v>43000</v>
      </c>
      <c r="H3080" s="4">
        <v>0</v>
      </c>
      <c r="I3080" s="4">
        <v>-25056276.84</v>
      </c>
    </row>
    <row r="3081" spans="1:9" x14ac:dyDescent="0.3">
      <c r="A3081" t="s">
        <v>75</v>
      </c>
      <c r="B3081" s="1">
        <v>45885</v>
      </c>
      <c r="C3081" s="1">
        <v>45885</v>
      </c>
      <c r="D3081">
        <v>143573</v>
      </c>
      <c r="E3081">
        <v>23</v>
      </c>
      <c r="F3081" s="3" t="s">
        <v>2720</v>
      </c>
      <c r="G3081" s="4">
        <v>125000</v>
      </c>
      <c r="H3081" s="4">
        <v>0</v>
      </c>
      <c r="I3081" s="4">
        <v>-24931276.84</v>
      </c>
    </row>
    <row r="3082" spans="1:9" x14ac:dyDescent="0.3">
      <c r="A3082" t="s">
        <v>75</v>
      </c>
      <c r="B3082" s="1">
        <v>45876</v>
      </c>
      <c r="C3082" s="1">
        <v>45885</v>
      </c>
      <c r="D3082">
        <v>143574</v>
      </c>
      <c r="E3082">
        <v>23</v>
      </c>
      <c r="F3082" s="3" t="s">
        <v>2721</v>
      </c>
      <c r="G3082" s="4">
        <v>65594.5</v>
      </c>
      <c r="H3082" s="4">
        <v>0</v>
      </c>
      <c r="I3082" s="4">
        <v>-24865682.34</v>
      </c>
    </row>
    <row r="3083" spans="1:9" x14ac:dyDescent="0.3">
      <c r="A3083" t="s">
        <v>75</v>
      </c>
      <c r="B3083" s="1">
        <v>45884</v>
      </c>
      <c r="C3083" s="1">
        <v>45885</v>
      </c>
      <c r="D3083">
        <v>143575</v>
      </c>
      <c r="E3083">
        <v>23</v>
      </c>
      <c r="F3083" s="3" t="s">
        <v>2722</v>
      </c>
      <c r="G3083" s="4">
        <v>72818.25</v>
      </c>
      <c r="H3083" s="4">
        <v>0</v>
      </c>
      <c r="I3083" s="4">
        <v>-24792864.09</v>
      </c>
    </row>
    <row r="3084" spans="1:9" x14ac:dyDescent="0.3">
      <c r="A3084" t="s">
        <v>71</v>
      </c>
      <c r="B3084" s="1">
        <v>45885</v>
      </c>
      <c r="C3084" s="1">
        <v>45885</v>
      </c>
      <c r="D3084">
        <v>14494</v>
      </c>
      <c r="E3084">
        <v>100</v>
      </c>
      <c r="F3084" s="3" t="s">
        <v>2723</v>
      </c>
      <c r="G3084" s="4">
        <v>0</v>
      </c>
      <c r="H3084" s="4">
        <v>892.5</v>
      </c>
      <c r="I3084" s="4">
        <v>-24793756.59</v>
      </c>
    </row>
    <row r="3085" spans="1:9" x14ac:dyDescent="0.3">
      <c r="A3085" t="s">
        <v>71</v>
      </c>
      <c r="B3085" s="1">
        <v>45885</v>
      </c>
      <c r="C3085" s="1">
        <v>45885</v>
      </c>
      <c r="D3085">
        <v>14494</v>
      </c>
      <c r="E3085">
        <v>100</v>
      </c>
      <c r="F3085" s="3" t="s">
        <v>2724</v>
      </c>
      <c r="G3085" s="4">
        <v>0</v>
      </c>
      <c r="H3085" s="4">
        <v>2100</v>
      </c>
      <c r="I3085" s="4">
        <v>-24795856.59</v>
      </c>
    </row>
    <row r="3086" spans="1:9" x14ac:dyDescent="0.3">
      <c r="A3086" t="s">
        <v>71</v>
      </c>
      <c r="B3086" s="1">
        <v>45885</v>
      </c>
      <c r="C3086" s="1">
        <v>45885</v>
      </c>
      <c r="D3086">
        <v>14496</v>
      </c>
      <c r="E3086">
        <v>220</v>
      </c>
      <c r="F3086" s="3" t="s">
        <v>2725</v>
      </c>
      <c r="G3086" s="4">
        <v>0</v>
      </c>
      <c r="H3086" s="4">
        <v>840</v>
      </c>
      <c r="I3086" s="4">
        <v>-24796696.59</v>
      </c>
    </row>
    <row r="3087" spans="1:9" x14ac:dyDescent="0.3">
      <c r="A3087" t="s">
        <v>71</v>
      </c>
      <c r="B3087" s="1">
        <v>45885</v>
      </c>
      <c r="C3087" s="1">
        <v>45885</v>
      </c>
      <c r="D3087">
        <v>14496</v>
      </c>
      <c r="E3087">
        <v>100</v>
      </c>
      <c r="F3087" s="3" t="s">
        <v>2726</v>
      </c>
      <c r="G3087" s="4">
        <v>0</v>
      </c>
      <c r="H3087" s="4">
        <v>2850</v>
      </c>
      <c r="I3087" s="4">
        <v>-24799546.59</v>
      </c>
    </row>
    <row r="3088" spans="1:9" x14ac:dyDescent="0.3">
      <c r="A3088" t="s">
        <v>71</v>
      </c>
      <c r="B3088" s="1">
        <v>45885</v>
      </c>
      <c r="C3088" s="1">
        <v>45885</v>
      </c>
      <c r="D3088">
        <v>14497</v>
      </c>
      <c r="E3088">
        <v>100</v>
      </c>
      <c r="F3088" s="3" t="s">
        <v>2727</v>
      </c>
      <c r="G3088" s="4">
        <v>0</v>
      </c>
      <c r="H3088" s="4">
        <v>45380</v>
      </c>
      <c r="I3088" s="4">
        <v>-24844926.59</v>
      </c>
    </row>
    <row r="3089" spans="1:9" x14ac:dyDescent="0.3">
      <c r="A3089" t="s">
        <v>71</v>
      </c>
      <c r="B3089" s="1">
        <v>45885</v>
      </c>
      <c r="C3089" s="1">
        <v>45885</v>
      </c>
      <c r="D3089">
        <v>14497</v>
      </c>
      <c r="E3089">
        <v>100</v>
      </c>
      <c r="F3089" s="3" t="s">
        <v>2728</v>
      </c>
      <c r="G3089" s="4">
        <v>0</v>
      </c>
      <c r="H3089" s="4">
        <v>48405</v>
      </c>
      <c r="I3089" s="4">
        <v>-24893331.59</v>
      </c>
    </row>
    <row r="3090" spans="1:9" x14ac:dyDescent="0.3">
      <c r="A3090" t="s">
        <v>71</v>
      </c>
      <c r="B3090" s="1">
        <v>45885</v>
      </c>
      <c r="C3090" s="1">
        <v>45885</v>
      </c>
      <c r="D3090">
        <v>14498</v>
      </c>
      <c r="E3090">
        <v>100</v>
      </c>
      <c r="F3090" s="3" t="s">
        <v>2729</v>
      </c>
      <c r="G3090" s="4">
        <v>0</v>
      </c>
      <c r="H3090" s="4">
        <v>1181.25</v>
      </c>
      <c r="I3090" s="4">
        <v>-24894512.84</v>
      </c>
    </row>
    <row r="3091" spans="1:9" x14ac:dyDescent="0.3">
      <c r="A3091" t="s">
        <v>71</v>
      </c>
      <c r="B3091" s="1">
        <v>45885</v>
      </c>
      <c r="C3091" s="1">
        <v>45885</v>
      </c>
      <c r="D3091">
        <v>14499</v>
      </c>
      <c r="E3091">
        <v>100</v>
      </c>
      <c r="F3091" s="3" t="s">
        <v>2730</v>
      </c>
      <c r="G3091" s="4">
        <v>0</v>
      </c>
      <c r="H3091" s="4">
        <v>14280</v>
      </c>
      <c r="I3091" s="4">
        <v>-24908792.84</v>
      </c>
    </row>
    <row r="3092" spans="1:9" x14ac:dyDescent="0.3">
      <c r="A3092" t="s">
        <v>124</v>
      </c>
      <c r="B3092" s="1">
        <v>45885</v>
      </c>
      <c r="C3092" s="1">
        <v>45885</v>
      </c>
      <c r="D3092">
        <v>22230</v>
      </c>
      <c r="E3092">
        <v>11</v>
      </c>
      <c r="F3092" s="3" t="s">
        <v>125</v>
      </c>
      <c r="G3092" s="4">
        <v>0</v>
      </c>
      <c r="H3092" s="4">
        <v>34719601.149999999</v>
      </c>
      <c r="I3092" s="4">
        <v>-59628393.990000002</v>
      </c>
    </row>
    <row r="3093" spans="1:9" x14ac:dyDescent="0.3">
      <c r="A3093" t="s">
        <v>124</v>
      </c>
      <c r="B3093" s="1">
        <v>45885</v>
      </c>
      <c r="C3093" s="1">
        <v>45885</v>
      </c>
      <c r="D3093">
        <v>22232</v>
      </c>
      <c r="E3093">
        <v>11</v>
      </c>
      <c r="F3093" s="3" t="s">
        <v>127</v>
      </c>
      <c r="G3093" s="4">
        <v>15600000</v>
      </c>
      <c r="H3093" s="4">
        <v>0</v>
      </c>
      <c r="I3093" s="4">
        <v>-44028393.990000002</v>
      </c>
    </row>
    <row r="3094" spans="1:9" x14ac:dyDescent="0.3">
      <c r="A3094" t="s">
        <v>130</v>
      </c>
      <c r="B3094" s="1">
        <v>45885</v>
      </c>
      <c r="C3094" s="1">
        <v>45885</v>
      </c>
      <c r="D3094">
        <v>3838721</v>
      </c>
      <c r="E3094">
        <v>58</v>
      </c>
      <c r="F3094" s="3">
        <v>5620580000965</v>
      </c>
      <c r="G3094" s="4">
        <v>0</v>
      </c>
      <c r="H3094" s="4">
        <v>205000</v>
      </c>
      <c r="I3094" s="4">
        <v>-44233393.990000002</v>
      </c>
    </row>
    <row r="3095" spans="1:9" x14ac:dyDescent="0.3">
      <c r="A3095" t="s">
        <v>130</v>
      </c>
      <c r="B3095" s="1">
        <v>45885</v>
      </c>
      <c r="C3095" s="1">
        <v>45885</v>
      </c>
      <c r="D3095">
        <v>3838770</v>
      </c>
      <c r="E3095">
        <v>39</v>
      </c>
      <c r="F3095" s="3" t="s">
        <v>855</v>
      </c>
      <c r="G3095" s="4">
        <v>0</v>
      </c>
      <c r="H3095" s="4">
        <v>4000000</v>
      </c>
      <c r="I3095" s="4">
        <v>-48233393.990000002</v>
      </c>
    </row>
    <row r="3096" spans="1:9" x14ac:dyDescent="0.3">
      <c r="A3096" t="s">
        <v>130</v>
      </c>
      <c r="B3096" s="1">
        <v>45885</v>
      </c>
      <c r="C3096" s="1">
        <v>45885</v>
      </c>
      <c r="D3096">
        <v>3838792</v>
      </c>
      <c r="E3096">
        <v>78</v>
      </c>
      <c r="F3096" s="3" t="s">
        <v>2731</v>
      </c>
      <c r="G3096" s="4">
        <v>0</v>
      </c>
      <c r="H3096" s="4">
        <v>62182.5</v>
      </c>
      <c r="I3096" s="4">
        <v>-48295576.490000002</v>
      </c>
    </row>
    <row r="3097" spans="1:9" x14ac:dyDescent="0.3">
      <c r="A3097" t="s">
        <v>130</v>
      </c>
      <c r="B3097" s="1">
        <v>45885</v>
      </c>
      <c r="C3097" s="1">
        <v>45885</v>
      </c>
      <c r="D3097">
        <v>3838814</v>
      </c>
      <c r="E3097">
        <v>11</v>
      </c>
      <c r="F3097" s="3" t="s">
        <v>2732</v>
      </c>
      <c r="G3097" s="4">
        <v>0</v>
      </c>
      <c r="H3097" s="4">
        <v>81888.25</v>
      </c>
      <c r="I3097" s="4">
        <v>-48377464.740000002</v>
      </c>
    </row>
    <row r="3098" spans="1:9" x14ac:dyDescent="0.3">
      <c r="A3098" t="s">
        <v>133</v>
      </c>
      <c r="B3098" s="1">
        <v>45885</v>
      </c>
      <c r="C3098" s="1">
        <v>45885</v>
      </c>
      <c r="D3098">
        <v>917520</v>
      </c>
      <c r="E3098">
        <v>542</v>
      </c>
      <c r="F3098" s="3" t="s">
        <v>2733</v>
      </c>
      <c r="G3098" s="4">
        <v>7500</v>
      </c>
      <c r="H3098" s="4">
        <v>0</v>
      </c>
      <c r="I3098" s="4">
        <v>-48369964.740000002</v>
      </c>
    </row>
    <row r="3099" spans="1:9" x14ac:dyDescent="0.3">
      <c r="A3099" t="s">
        <v>133</v>
      </c>
      <c r="B3099" s="1">
        <v>45885</v>
      </c>
      <c r="C3099" s="1">
        <v>45885</v>
      </c>
      <c r="D3099">
        <v>917557</v>
      </c>
      <c r="E3099">
        <v>282</v>
      </c>
      <c r="F3099" s="3" t="s">
        <v>2734</v>
      </c>
      <c r="G3099" s="4">
        <v>13597.5</v>
      </c>
      <c r="H3099" s="4">
        <v>0</v>
      </c>
      <c r="I3099" s="4">
        <v>-48356367.240000002</v>
      </c>
    </row>
    <row r="3100" spans="1:9" x14ac:dyDescent="0.3">
      <c r="A3100" t="s">
        <v>133</v>
      </c>
      <c r="B3100" s="1">
        <v>45885</v>
      </c>
      <c r="C3100" s="1">
        <v>45885</v>
      </c>
      <c r="D3100">
        <v>917567</v>
      </c>
      <c r="E3100">
        <v>85</v>
      </c>
      <c r="F3100" s="3">
        <v>51027757743</v>
      </c>
      <c r="G3100" s="4">
        <v>3529.25</v>
      </c>
      <c r="H3100" s="4">
        <v>0</v>
      </c>
      <c r="I3100" s="4">
        <v>-48352837.990000002</v>
      </c>
    </row>
    <row r="3101" spans="1:9" x14ac:dyDescent="0.3">
      <c r="A3101" t="s">
        <v>133</v>
      </c>
      <c r="B3101" s="1">
        <v>45885</v>
      </c>
      <c r="C3101" s="1">
        <v>45885</v>
      </c>
      <c r="D3101">
        <v>917573</v>
      </c>
      <c r="E3101">
        <v>85</v>
      </c>
      <c r="F3101" s="3">
        <v>51027805070</v>
      </c>
      <c r="G3101" s="4">
        <v>1181.25</v>
      </c>
      <c r="H3101" s="4">
        <v>0</v>
      </c>
      <c r="I3101" s="4">
        <v>-48351656.740000002</v>
      </c>
    </row>
    <row r="3102" spans="1:9" x14ac:dyDescent="0.3">
      <c r="A3102" t="s">
        <v>133</v>
      </c>
      <c r="B3102" s="1">
        <v>45885</v>
      </c>
      <c r="C3102" s="1">
        <v>45885</v>
      </c>
      <c r="D3102">
        <v>917580</v>
      </c>
      <c r="E3102">
        <v>85</v>
      </c>
      <c r="F3102" s="3">
        <v>51027860763</v>
      </c>
      <c r="G3102" s="4">
        <v>10404</v>
      </c>
      <c r="H3102" s="4">
        <v>0</v>
      </c>
      <c r="I3102" s="4">
        <v>-48341252.740000002</v>
      </c>
    </row>
    <row r="3103" spans="1:9" x14ac:dyDescent="0.3">
      <c r="A3103" t="s">
        <v>133</v>
      </c>
      <c r="B3103" s="1">
        <v>45885</v>
      </c>
      <c r="C3103" s="1">
        <v>45885</v>
      </c>
      <c r="D3103">
        <v>917582</v>
      </c>
      <c r="E3103">
        <v>85</v>
      </c>
      <c r="F3103" s="3">
        <v>51027705380</v>
      </c>
      <c r="G3103" s="4">
        <v>10336.5</v>
      </c>
      <c r="H3103" s="4">
        <v>0</v>
      </c>
      <c r="I3103" s="4">
        <v>-48330916.240000002</v>
      </c>
    </row>
    <row r="3104" spans="1:9" x14ac:dyDescent="0.3">
      <c r="A3104" t="s">
        <v>133</v>
      </c>
      <c r="B3104" s="1">
        <v>45885</v>
      </c>
      <c r="C3104" s="1">
        <v>45885</v>
      </c>
      <c r="D3104">
        <v>917584</v>
      </c>
      <c r="E3104">
        <v>85</v>
      </c>
      <c r="F3104" s="3">
        <v>51027672712</v>
      </c>
      <c r="G3104" s="4">
        <v>8972.25</v>
      </c>
      <c r="H3104" s="4">
        <v>0</v>
      </c>
      <c r="I3104" s="4">
        <v>-48321943.990000002</v>
      </c>
    </row>
    <row r="3105" spans="1:9" x14ac:dyDescent="0.3">
      <c r="A3105" t="s">
        <v>133</v>
      </c>
      <c r="B3105" s="1">
        <v>45885</v>
      </c>
      <c r="C3105" s="1">
        <v>45885</v>
      </c>
      <c r="D3105">
        <v>917601</v>
      </c>
      <c r="E3105">
        <v>85</v>
      </c>
      <c r="F3105" s="3" t="s">
        <v>2735</v>
      </c>
      <c r="G3105" s="4">
        <v>34822.5</v>
      </c>
      <c r="H3105" s="4">
        <v>0</v>
      </c>
      <c r="I3105" s="4">
        <v>-48287121.490000002</v>
      </c>
    </row>
    <row r="3106" spans="1:9" x14ac:dyDescent="0.3">
      <c r="A3106" t="s">
        <v>133</v>
      </c>
      <c r="B3106" s="1">
        <v>45885</v>
      </c>
      <c r="C3106" s="1">
        <v>45885</v>
      </c>
      <c r="D3106">
        <v>917679</v>
      </c>
      <c r="E3106">
        <v>85</v>
      </c>
      <c r="F3106" s="3">
        <v>51029014736</v>
      </c>
      <c r="G3106" s="4">
        <v>5739.25</v>
      </c>
      <c r="H3106" s="4">
        <v>0</v>
      </c>
      <c r="I3106" s="4">
        <v>-48281382.240000002</v>
      </c>
    </row>
    <row r="3107" spans="1:9" x14ac:dyDescent="0.3">
      <c r="A3107" t="s">
        <v>133</v>
      </c>
      <c r="B3107" s="1">
        <v>45885</v>
      </c>
      <c r="C3107" s="1">
        <v>45885</v>
      </c>
      <c r="D3107">
        <v>917681</v>
      </c>
      <c r="E3107">
        <v>12</v>
      </c>
      <c r="F3107" s="3" t="s">
        <v>2736</v>
      </c>
      <c r="G3107" s="4">
        <v>1500</v>
      </c>
      <c r="H3107" s="4">
        <v>0</v>
      </c>
      <c r="I3107" s="4">
        <v>-48279882.240000002</v>
      </c>
    </row>
    <row r="3108" spans="1:9" x14ac:dyDescent="0.3">
      <c r="A3108" t="s">
        <v>133</v>
      </c>
      <c r="B3108" s="1">
        <v>45885</v>
      </c>
      <c r="C3108" s="1">
        <v>45885</v>
      </c>
      <c r="D3108">
        <v>917702</v>
      </c>
      <c r="E3108">
        <v>51</v>
      </c>
      <c r="F3108" s="3" t="s">
        <v>2737</v>
      </c>
      <c r="G3108" s="4">
        <v>215000</v>
      </c>
      <c r="H3108" s="4">
        <v>0</v>
      </c>
      <c r="I3108" s="4">
        <v>-48064882.240000002</v>
      </c>
    </row>
    <row r="3109" spans="1:9" x14ac:dyDescent="0.3">
      <c r="A3109" t="s">
        <v>133</v>
      </c>
      <c r="B3109" s="1">
        <v>45885</v>
      </c>
      <c r="C3109" s="1">
        <v>45885</v>
      </c>
      <c r="D3109">
        <v>917715</v>
      </c>
      <c r="E3109">
        <v>43</v>
      </c>
      <c r="F3109" s="3" t="s">
        <v>2738</v>
      </c>
      <c r="G3109" s="4">
        <v>6216</v>
      </c>
      <c r="H3109" s="4">
        <v>0</v>
      </c>
      <c r="I3109" s="4">
        <v>-48058666.240000002</v>
      </c>
    </row>
    <row r="3110" spans="1:9" x14ac:dyDescent="0.3">
      <c r="A3110" t="s">
        <v>133</v>
      </c>
      <c r="B3110" s="1">
        <v>45885</v>
      </c>
      <c r="C3110" s="1">
        <v>45885</v>
      </c>
      <c r="D3110">
        <v>917742</v>
      </c>
      <c r="E3110">
        <v>14</v>
      </c>
      <c r="F3110" s="3">
        <v>1031014830</v>
      </c>
      <c r="G3110" s="4">
        <v>353.25</v>
      </c>
      <c r="H3110" s="4">
        <v>0</v>
      </c>
      <c r="I3110" s="4">
        <v>-48058312.990000002</v>
      </c>
    </row>
    <row r="3111" spans="1:9" x14ac:dyDescent="0.3">
      <c r="A3111" t="s">
        <v>133</v>
      </c>
      <c r="B3111" s="1">
        <v>45885</v>
      </c>
      <c r="C3111" s="1">
        <v>45885</v>
      </c>
      <c r="D3111">
        <v>917748</v>
      </c>
      <c r="E3111">
        <v>282</v>
      </c>
      <c r="F3111" s="3" t="s">
        <v>2739</v>
      </c>
      <c r="G3111" s="4">
        <v>400000</v>
      </c>
      <c r="H3111" s="4">
        <v>0</v>
      </c>
      <c r="I3111" s="4">
        <v>-47658312.990000002</v>
      </c>
    </row>
    <row r="3112" spans="1:9" x14ac:dyDescent="0.3">
      <c r="A3112" t="s">
        <v>133</v>
      </c>
      <c r="B3112" s="1">
        <v>45885</v>
      </c>
      <c r="C3112" s="1">
        <v>45885</v>
      </c>
      <c r="D3112">
        <v>917818</v>
      </c>
      <c r="E3112">
        <v>12</v>
      </c>
      <c r="F3112" s="3" t="s">
        <v>2740</v>
      </c>
      <c r="G3112" s="4">
        <v>15020</v>
      </c>
      <c r="H3112" s="4">
        <v>0</v>
      </c>
      <c r="I3112" s="4">
        <v>-47643292.990000002</v>
      </c>
    </row>
    <row r="3113" spans="1:9" x14ac:dyDescent="0.3">
      <c r="A3113" t="s">
        <v>133</v>
      </c>
      <c r="B3113" s="1">
        <v>45885</v>
      </c>
      <c r="C3113" s="1">
        <v>45885</v>
      </c>
      <c r="D3113">
        <v>917826</v>
      </c>
      <c r="E3113">
        <v>75</v>
      </c>
      <c r="F3113" s="3" t="s">
        <v>2741</v>
      </c>
      <c r="G3113" s="4">
        <v>220000</v>
      </c>
      <c r="H3113" s="4">
        <v>0</v>
      </c>
      <c r="I3113" s="4">
        <v>-47423292.990000002</v>
      </c>
    </row>
    <row r="3114" spans="1:9" x14ac:dyDescent="0.3">
      <c r="A3114" t="s">
        <v>133</v>
      </c>
      <c r="B3114" s="1">
        <v>45885</v>
      </c>
      <c r="C3114" s="1">
        <v>45885</v>
      </c>
      <c r="D3114">
        <v>917857</v>
      </c>
      <c r="E3114">
        <v>64</v>
      </c>
      <c r="F3114" s="3" t="s">
        <v>2742</v>
      </c>
      <c r="G3114" s="4">
        <v>24596.75</v>
      </c>
      <c r="H3114" s="4">
        <v>0</v>
      </c>
      <c r="I3114" s="4">
        <v>-47398696.240000002</v>
      </c>
    </row>
    <row r="3115" spans="1:9" x14ac:dyDescent="0.3">
      <c r="A3115" t="s">
        <v>133</v>
      </c>
      <c r="B3115" s="1">
        <v>45885</v>
      </c>
      <c r="C3115" s="1">
        <v>45885</v>
      </c>
      <c r="D3115">
        <v>917894</v>
      </c>
      <c r="E3115">
        <v>45</v>
      </c>
      <c r="F3115" s="3" t="s">
        <v>2743</v>
      </c>
      <c r="G3115" s="4">
        <v>200000</v>
      </c>
      <c r="H3115" s="4">
        <v>0</v>
      </c>
      <c r="I3115" s="4">
        <v>-47198696.240000002</v>
      </c>
    </row>
    <row r="3116" spans="1:9" x14ac:dyDescent="0.3">
      <c r="A3116" t="s">
        <v>133</v>
      </c>
      <c r="B3116" s="1">
        <v>45885</v>
      </c>
      <c r="C3116" s="1">
        <v>45885</v>
      </c>
      <c r="D3116">
        <v>917928</v>
      </c>
      <c r="E3116">
        <v>58</v>
      </c>
      <c r="F3116" s="3" t="s">
        <v>2744</v>
      </c>
      <c r="G3116" s="4">
        <v>50000</v>
      </c>
      <c r="H3116" s="4">
        <v>0</v>
      </c>
      <c r="I3116" s="4">
        <v>-47148696.240000002</v>
      </c>
    </row>
    <row r="3117" spans="1:9" x14ac:dyDescent="0.3">
      <c r="A3117" t="s">
        <v>133</v>
      </c>
      <c r="B3117" s="1">
        <v>45885</v>
      </c>
      <c r="C3117" s="1">
        <v>45885</v>
      </c>
      <c r="D3117">
        <v>917975</v>
      </c>
      <c r="E3117">
        <v>27</v>
      </c>
      <c r="F3117" s="3" t="s">
        <v>2745</v>
      </c>
      <c r="G3117" s="4">
        <v>149772.5</v>
      </c>
      <c r="H3117" s="4">
        <v>0</v>
      </c>
      <c r="I3117" s="4">
        <v>-46998923.740000002</v>
      </c>
    </row>
    <row r="3118" spans="1:9" x14ac:dyDescent="0.3">
      <c r="A3118" t="s">
        <v>133</v>
      </c>
      <c r="B3118" s="1">
        <v>45885</v>
      </c>
      <c r="C3118" s="1">
        <v>45885</v>
      </c>
      <c r="D3118">
        <v>917985</v>
      </c>
      <c r="E3118">
        <v>27</v>
      </c>
      <c r="F3118" s="3" t="s">
        <v>2746</v>
      </c>
      <c r="G3118" s="4">
        <v>100017.5</v>
      </c>
      <c r="H3118" s="4">
        <v>0</v>
      </c>
      <c r="I3118" s="4">
        <v>-46898906.240000002</v>
      </c>
    </row>
    <row r="3119" spans="1:9" x14ac:dyDescent="0.3">
      <c r="A3119" t="s">
        <v>133</v>
      </c>
      <c r="B3119" s="1">
        <v>45885</v>
      </c>
      <c r="C3119" s="1">
        <v>45885</v>
      </c>
      <c r="D3119">
        <v>918041</v>
      </c>
      <c r="E3119">
        <v>72</v>
      </c>
      <c r="F3119" s="3">
        <v>51036201554</v>
      </c>
      <c r="G3119" s="4">
        <v>1800</v>
      </c>
      <c r="H3119" s="4">
        <v>0</v>
      </c>
      <c r="I3119" s="4">
        <v>-46897106.240000002</v>
      </c>
    </row>
    <row r="3120" spans="1:9" x14ac:dyDescent="0.3">
      <c r="A3120" t="s">
        <v>133</v>
      </c>
      <c r="B3120" s="1">
        <v>45885</v>
      </c>
      <c r="C3120" s="1">
        <v>45885</v>
      </c>
      <c r="D3120">
        <v>918045</v>
      </c>
      <c r="E3120">
        <v>15</v>
      </c>
      <c r="F3120" s="3" t="s">
        <v>2747</v>
      </c>
      <c r="G3120" s="4">
        <v>113087.75</v>
      </c>
      <c r="H3120" s="4">
        <v>0</v>
      </c>
      <c r="I3120" s="4">
        <v>-46784018.490000002</v>
      </c>
    </row>
    <row r="3121" spans="1:9" x14ac:dyDescent="0.3">
      <c r="A3121" t="s">
        <v>133</v>
      </c>
      <c r="B3121" s="1">
        <v>45885</v>
      </c>
      <c r="C3121" s="1">
        <v>45885</v>
      </c>
      <c r="D3121">
        <v>918054</v>
      </c>
      <c r="E3121">
        <v>13</v>
      </c>
      <c r="F3121" s="3" t="s">
        <v>2748</v>
      </c>
      <c r="G3121" s="4">
        <v>300000</v>
      </c>
      <c r="H3121" s="4">
        <v>0</v>
      </c>
      <c r="I3121" s="4">
        <v>-46484018.490000002</v>
      </c>
    </row>
    <row r="3122" spans="1:9" x14ac:dyDescent="0.3">
      <c r="A3122" t="s">
        <v>133</v>
      </c>
      <c r="B3122" s="1">
        <v>45885</v>
      </c>
      <c r="C3122" s="1">
        <v>45885</v>
      </c>
      <c r="D3122">
        <v>918063</v>
      </c>
      <c r="E3122">
        <v>17</v>
      </c>
      <c r="F3122" s="3" t="s">
        <v>181</v>
      </c>
      <c r="G3122" s="4">
        <v>300000</v>
      </c>
      <c r="H3122" s="4">
        <v>0</v>
      </c>
      <c r="I3122" s="4">
        <v>-46184018.490000002</v>
      </c>
    </row>
    <row r="3123" spans="1:9" x14ac:dyDescent="0.3">
      <c r="A3123" t="s">
        <v>133</v>
      </c>
      <c r="B3123" s="1">
        <v>45885</v>
      </c>
      <c r="C3123" s="1">
        <v>45885</v>
      </c>
      <c r="D3123">
        <v>918094</v>
      </c>
      <c r="E3123">
        <v>74</v>
      </c>
      <c r="F3123" s="3" t="s">
        <v>2749</v>
      </c>
      <c r="G3123" s="4">
        <v>430000</v>
      </c>
      <c r="H3123" s="4">
        <v>0</v>
      </c>
      <c r="I3123" s="4">
        <v>-45754018.490000002</v>
      </c>
    </row>
    <row r="3124" spans="1:9" x14ac:dyDescent="0.3">
      <c r="A3124" t="s">
        <v>133</v>
      </c>
      <c r="B3124" s="1">
        <v>45885</v>
      </c>
      <c r="C3124" s="1">
        <v>45885</v>
      </c>
      <c r="D3124">
        <v>918096</v>
      </c>
      <c r="E3124">
        <v>382</v>
      </c>
      <c r="F3124" s="3" t="s">
        <v>2750</v>
      </c>
      <c r="G3124" s="4">
        <v>1102</v>
      </c>
      <c r="H3124" s="4">
        <v>0</v>
      </c>
      <c r="I3124" s="4">
        <v>-45752916.490000002</v>
      </c>
    </row>
    <row r="3125" spans="1:9" x14ac:dyDescent="0.3">
      <c r="A3125" t="s">
        <v>133</v>
      </c>
      <c r="B3125" s="1">
        <v>45885</v>
      </c>
      <c r="C3125" s="1">
        <v>45885</v>
      </c>
      <c r="D3125">
        <v>918097</v>
      </c>
      <c r="E3125">
        <v>382</v>
      </c>
      <c r="F3125" s="3" t="s">
        <v>2751</v>
      </c>
      <c r="G3125" s="4">
        <v>325</v>
      </c>
      <c r="H3125" s="4">
        <v>0</v>
      </c>
      <c r="I3125" s="4">
        <v>-45752591.490000002</v>
      </c>
    </row>
    <row r="3126" spans="1:9" x14ac:dyDescent="0.3">
      <c r="A3126" t="s">
        <v>133</v>
      </c>
      <c r="B3126" s="1">
        <v>45885</v>
      </c>
      <c r="C3126" s="1">
        <v>45885</v>
      </c>
      <c r="D3126">
        <v>918099</v>
      </c>
      <c r="E3126">
        <v>63</v>
      </c>
      <c r="F3126" s="3" t="s">
        <v>2752</v>
      </c>
      <c r="G3126" s="4">
        <v>14840.5</v>
      </c>
      <c r="H3126" s="4">
        <v>0</v>
      </c>
      <c r="I3126" s="4">
        <v>-45737750.990000002</v>
      </c>
    </row>
    <row r="3127" spans="1:9" x14ac:dyDescent="0.3">
      <c r="A3127" t="s">
        <v>133</v>
      </c>
      <c r="B3127" s="1">
        <v>45885</v>
      </c>
      <c r="C3127" s="1">
        <v>45885</v>
      </c>
      <c r="D3127">
        <v>918103</v>
      </c>
      <c r="E3127">
        <v>31</v>
      </c>
      <c r="F3127" s="3" t="s">
        <v>2753</v>
      </c>
      <c r="G3127" s="4">
        <v>700485</v>
      </c>
      <c r="H3127" s="4">
        <v>0</v>
      </c>
      <c r="I3127" s="4">
        <v>-45037265.990000002</v>
      </c>
    </row>
    <row r="3128" spans="1:9" x14ac:dyDescent="0.3">
      <c r="A3128" t="s">
        <v>133</v>
      </c>
      <c r="B3128" s="1">
        <v>45885</v>
      </c>
      <c r="C3128" s="1">
        <v>45885</v>
      </c>
      <c r="D3128">
        <v>918106</v>
      </c>
      <c r="E3128">
        <v>86</v>
      </c>
      <c r="F3128" s="3" t="s">
        <v>2754</v>
      </c>
      <c r="G3128" s="4">
        <v>16881</v>
      </c>
      <c r="H3128" s="4">
        <v>0</v>
      </c>
      <c r="I3128" s="4">
        <v>-45020384.990000002</v>
      </c>
    </row>
    <row r="3129" spans="1:9" x14ac:dyDescent="0.3">
      <c r="A3129" t="s">
        <v>133</v>
      </c>
      <c r="B3129" s="1">
        <v>45885</v>
      </c>
      <c r="C3129" s="1">
        <v>45885</v>
      </c>
      <c r="D3129">
        <v>918114</v>
      </c>
      <c r="E3129">
        <v>58</v>
      </c>
      <c r="F3129" s="3" t="s">
        <v>2755</v>
      </c>
      <c r="G3129" s="4">
        <v>100000</v>
      </c>
      <c r="H3129" s="4">
        <v>0</v>
      </c>
      <c r="I3129" s="4">
        <v>-44920384.990000002</v>
      </c>
    </row>
    <row r="3130" spans="1:9" x14ac:dyDescent="0.3">
      <c r="A3130" t="s">
        <v>133</v>
      </c>
      <c r="B3130" s="1">
        <v>45885</v>
      </c>
      <c r="C3130" s="1">
        <v>45885</v>
      </c>
      <c r="D3130">
        <v>918127</v>
      </c>
      <c r="E3130">
        <v>382</v>
      </c>
      <c r="F3130" s="3" t="s">
        <v>2756</v>
      </c>
      <c r="G3130" s="4">
        <v>100000</v>
      </c>
      <c r="H3130" s="4">
        <v>0</v>
      </c>
      <c r="I3130" s="4">
        <v>-44820384.990000002</v>
      </c>
    </row>
    <row r="3131" spans="1:9" x14ac:dyDescent="0.3">
      <c r="A3131" t="s">
        <v>133</v>
      </c>
      <c r="B3131" s="1">
        <v>45885</v>
      </c>
      <c r="C3131" s="1">
        <v>45885</v>
      </c>
      <c r="D3131">
        <v>918128</v>
      </c>
      <c r="E3131">
        <v>58</v>
      </c>
      <c r="F3131" s="3" t="s">
        <v>168</v>
      </c>
      <c r="G3131" s="4">
        <v>11528.5</v>
      </c>
      <c r="H3131" s="4">
        <v>0</v>
      </c>
      <c r="I3131" s="4">
        <v>-44808856.490000002</v>
      </c>
    </row>
    <row r="3132" spans="1:9" x14ac:dyDescent="0.3">
      <c r="A3132" t="s">
        <v>133</v>
      </c>
      <c r="B3132" s="1">
        <v>45885</v>
      </c>
      <c r="C3132" s="1">
        <v>45885</v>
      </c>
      <c r="D3132">
        <v>918131</v>
      </c>
      <c r="E3132">
        <v>382</v>
      </c>
      <c r="F3132" s="3" t="s">
        <v>2757</v>
      </c>
      <c r="G3132" s="4">
        <v>100000</v>
      </c>
      <c r="H3132" s="4">
        <v>0</v>
      </c>
      <c r="I3132" s="4">
        <v>-44708856.490000002</v>
      </c>
    </row>
    <row r="3133" spans="1:9" x14ac:dyDescent="0.3">
      <c r="A3133" t="s">
        <v>133</v>
      </c>
      <c r="B3133" s="1">
        <v>45885</v>
      </c>
      <c r="C3133" s="1">
        <v>45885</v>
      </c>
      <c r="D3133">
        <v>918157</v>
      </c>
      <c r="E3133">
        <v>382</v>
      </c>
      <c r="F3133" s="3" t="s">
        <v>2758</v>
      </c>
      <c r="G3133" s="4">
        <v>3385.25</v>
      </c>
      <c r="H3133" s="4">
        <v>0</v>
      </c>
      <c r="I3133" s="4">
        <v>-44705471.240000002</v>
      </c>
    </row>
    <row r="3134" spans="1:9" x14ac:dyDescent="0.3">
      <c r="A3134" t="s">
        <v>133</v>
      </c>
      <c r="B3134" s="1">
        <v>45885</v>
      </c>
      <c r="C3134" s="1">
        <v>45885</v>
      </c>
      <c r="D3134">
        <v>918158</v>
      </c>
      <c r="E3134">
        <v>76</v>
      </c>
      <c r="F3134" s="3" t="s">
        <v>2759</v>
      </c>
      <c r="G3134" s="4">
        <v>320000</v>
      </c>
      <c r="H3134" s="4">
        <v>0</v>
      </c>
      <c r="I3134" s="4">
        <v>-44385471.240000002</v>
      </c>
    </row>
    <row r="3135" spans="1:9" x14ac:dyDescent="0.3">
      <c r="A3135" t="s">
        <v>133</v>
      </c>
      <c r="B3135" s="1">
        <v>45885</v>
      </c>
      <c r="C3135" s="1">
        <v>45885</v>
      </c>
      <c r="D3135">
        <v>918164</v>
      </c>
      <c r="E3135">
        <v>28</v>
      </c>
      <c r="F3135" s="3">
        <v>51035069737</v>
      </c>
      <c r="G3135" s="4">
        <v>73254.75</v>
      </c>
      <c r="H3135" s="4">
        <v>0</v>
      </c>
      <c r="I3135" s="4">
        <v>-44312216.490000002</v>
      </c>
    </row>
    <row r="3136" spans="1:9" x14ac:dyDescent="0.3">
      <c r="A3136" t="s">
        <v>133</v>
      </c>
      <c r="B3136" s="1">
        <v>45885</v>
      </c>
      <c r="C3136" s="1">
        <v>45885</v>
      </c>
      <c r="D3136">
        <v>918180</v>
      </c>
      <c r="E3136">
        <v>54</v>
      </c>
      <c r="F3136" s="3" t="s">
        <v>2760</v>
      </c>
      <c r="G3136" s="4">
        <v>260000</v>
      </c>
      <c r="H3136" s="4">
        <v>0</v>
      </c>
      <c r="I3136" s="4">
        <v>-44052216.490000002</v>
      </c>
    </row>
    <row r="3137" spans="1:9" x14ac:dyDescent="0.3">
      <c r="A3137" t="s">
        <v>133</v>
      </c>
      <c r="B3137" s="1">
        <v>45885</v>
      </c>
      <c r="C3137" s="1">
        <v>45885</v>
      </c>
      <c r="D3137">
        <v>918187</v>
      </c>
      <c r="E3137">
        <v>18</v>
      </c>
      <c r="F3137" s="3" t="s">
        <v>2761</v>
      </c>
      <c r="G3137" s="4">
        <v>150000</v>
      </c>
      <c r="H3137" s="4">
        <v>0</v>
      </c>
      <c r="I3137" s="4">
        <v>-43902216.490000002</v>
      </c>
    </row>
    <row r="3138" spans="1:9" x14ac:dyDescent="0.3">
      <c r="A3138" t="s">
        <v>133</v>
      </c>
      <c r="B3138" s="1">
        <v>45885</v>
      </c>
      <c r="C3138" s="1">
        <v>45885</v>
      </c>
      <c r="D3138">
        <v>918201</v>
      </c>
      <c r="E3138">
        <v>65</v>
      </c>
      <c r="F3138" s="3" t="s">
        <v>176</v>
      </c>
      <c r="G3138" s="4">
        <v>200000</v>
      </c>
      <c r="H3138" s="4">
        <v>0</v>
      </c>
      <c r="I3138" s="4">
        <v>-43702216.490000002</v>
      </c>
    </row>
    <row r="3139" spans="1:9" x14ac:dyDescent="0.3">
      <c r="A3139" t="s">
        <v>133</v>
      </c>
      <c r="B3139" s="1">
        <v>45885</v>
      </c>
      <c r="C3139" s="1">
        <v>45885</v>
      </c>
      <c r="D3139">
        <v>918216</v>
      </c>
      <c r="E3139">
        <v>98</v>
      </c>
      <c r="F3139" s="3" t="s">
        <v>2762</v>
      </c>
      <c r="G3139" s="4">
        <v>55170.5</v>
      </c>
      <c r="H3139" s="4">
        <v>0</v>
      </c>
      <c r="I3139" s="4">
        <v>-43647045.990000002</v>
      </c>
    </row>
    <row r="3140" spans="1:9" x14ac:dyDescent="0.3">
      <c r="A3140" t="s">
        <v>133</v>
      </c>
      <c r="B3140" s="1">
        <v>45885</v>
      </c>
      <c r="C3140" s="1">
        <v>45885</v>
      </c>
      <c r="D3140">
        <v>918270</v>
      </c>
      <c r="E3140">
        <v>78</v>
      </c>
      <c r="F3140" s="3" t="s">
        <v>2763</v>
      </c>
      <c r="G3140" s="4">
        <v>19005</v>
      </c>
      <c r="H3140" s="4">
        <v>0</v>
      </c>
      <c r="I3140" s="4">
        <v>-43628040.990000002</v>
      </c>
    </row>
    <row r="3141" spans="1:9" x14ac:dyDescent="0.3">
      <c r="A3141" t="s">
        <v>133</v>
      </c>
      <c r="B3141" s="1">
        <v>45885</v>
      </c>
      <c r="C3141" s="1">
        <v>45885</v>
      </c>
      <c r="D3141">
        <v>918279</v>
      </c>
      <c r="E3141">
        <v>422</v>
      </c>
      <c r="F3141" s="3" t="s">
        <v>2764</v>
      </c>
      <c r="G3141" s="4">
        <v>210000</v>
      </c>
      <c r="H3141" s="4">
        <v>0</v>
      </c>
      <c r="I3141" s="4">
        <v>-43418040.990000002</v>
      </c>
    </row>
    <row r="3142" spans="1:9" x14ac:dyDescent="0.3">
      <c r="A3142" t="s">
        <v>133</v>
      </c>
      <c r="B3142" s="1">
        <v>45885</v>
      </c>
      <c r="C3142" s="1">
        <v>45885</v>
      </c>
      <c r="D3142">
        <v>918307</v>
      </c>
      <c r="E3142">
        <v>32</v>
      </c>
      <c r="F3142" s="3" t="s">
        <v>1161</v>
      </c>
      <c r="G3142" s="4">
        <v>175000</v>
      </c>
      <c r="H3142" s="4">
        <v>0</v>
      </c>
      <c r="I3142" s="4">
        <v>-43243040.990000002</v>
      </c>
    </row>
    <row r="3143" spans="1:9" x14ac:dyDescent="0.3">
      <c r="A3143" t="s">
        <v>133</v>
      </c>
      <c r="B3143" s="1">
        <v>45885</v>
      </c>
      <c r="C3143" s="1">
        <v>45885</v>
      </c>
      <c r="D3143">
        <v>918308</v>
      </c>
      <c r="E3143">
        <v>72</v>
      </c>
      <c r="F3143" s="3" t="s">
        <v>2765</v>
      </c>
      <c r="G3143" s="4">
        <v>1420</v>
      </c>
      <c r="H3143" s="4">
        <v>0</v>
      </c>
      <c r="I3143" s="4">
        <v>-43241620.990000002</v>
      </c>
    </row>
    <row r="3144" spans="1:9" x14ac:dyDescent="0.3">
      <c r="A3144" t="s">
        <v>133</v>
      </c>
      <c r="B3144" s="1">
        <v>45885</v>
      </c>
      <c r="C3144" s="1">
        <v>45885</v>
      </c>
      <c r="D3144">
        <v>918310</v>
      </c>
      <c r="E3144">
        <v>24</v>
      </c>
      <c r="F3144" s="3" t="s">
        <v>2766</v>
      </c>
      <c r="G3144" s="4">
        <v>1050000</v>
      </c>
      <c r="H3144" s="4">
        <v>0</v>
      </c>
      <c r="I3144" s="4">
        <v>-42191620.990000002</v>
      </c>
    </row>
    <row r="3145" spans="1:9" x14ac:dyDescent="0.3">
      <c r="A3145" t="s">
        <v>133</v>
      </c>
      <c r="B3145" s="1">
        <v>45885</v>
      </c>
      <c r="C3145" s="1">
        <v>45885</v>
      </c>
      <c r="D3145">
        <v>918325</v>
      </c>
      <c r="E3145">
        <v>361</v>
      </c>
      <c r="F3145" s="3" t="s">
        <v>2767</v>
      </c>
      <c r="G3145" s="4">
        <v>110000</v>
      </c>
      <c r="H3145" s="4">
        <v>0</v>
      </c>
      <c r="I3145" s="4">
        <v>-42081620.990000002</v>
      </c>
    </row>
    <row r="3146" spans="1:9" x14ac:dyDescent="0.3">
      <c r="A3146" t="s">
        <v>133</v>
      </c>
      <c r="B3146" s="1">
        <v>45885</v>
      </c>
      <c r="C3146" s="1">
        <v>45885</v>
      </c>
      <c r="D3146">
        <v>918341</v>
      </c>
      <c r="E3146">
        <v>63</v>
      </c>
      <c r="F3146" s="3" t="s">
        <v>2768</v>
      </c>
      <c r="G3146" s="4">
        <v>100000</v>
      </c>
      <c r="H3146" s="4">
        <v>0</v>
      </c>
      <c r="I3146" s="4">
        <v>-41981620.990000002</v>
      </c>
    </row>
    <row r="3147" spans="1:9" x14ac:dyDescent="0.3">
      <c r="A3147" t="s">
        <v>133</v>
      </c>
      <c r="B3147" s="1">
        <v>45885</v>
      </c>
      <c r="C3147" s="1">
        <v>45885</v>
      </c>
      <c r="D3147">
        <v>918342</v>
      </c>
      <c r="E3147">
        <v>82</v>
      </c>
      <c r="F3147" s="3" t="s">
        <v>2769</v>
      </c>
      <c r="G3147" s="4">
        <v>466124.75</v>
      </c>
      <c r="H3147" s="4">
        <v>0</v>
      </c>
      <c r="I3147" s="4">
        <v>-41515496.240000002</v>
      </c>
    </row>
    <row r="3148" spans="1:9" x14ac:dyDescent="0.3">
      <c r="A3148" t="s">
        <v>133</v>
      </c>
      <c r="B3148" s="1">
        <v>45885</v>
      </c>
      <c r="C3148" s="1">
        <v>45885</v>
      </c>
      <c r="D3148">
        <v>918345</v>
      </c>
      <c r="E3148">
        <v>78</v>
      </c>
      <c r="F3148" s="3" t="s">
        <v>2770</v>
      </c>
      <c r="G3148" s="4">
        <v>280000</v>
      </c>
      <c r="H3148" s="4">
        <v>0</v>
      </c>
      <c r="I3148" s="4">
        <v>-41235496.240000002</v>
      </c>
    </row>
    <row r="3149" spans="1:9" x14ac:dyDescent="0.3">
      <c r="A3149" t="s">
        <v>133</v>
      </c>
      <c r="B3149" s="1">
        <v>45885</v>
      </c>
      <c r="C3149" s="1">
        <v>45885</v>
      </c>
      <c r="D3149">
        <v>918350</v>
      </c>
      <c r="E3149">
        <v>85</v>
      </c>
      <c r="F3149" s="3" t="s">
        <v>2771</v>
      </c>
      <c r="G3149" s="4">
        <v>320000</v>
      </c>
      <c r="H3149" s="4">
        <v>0</v>
      </c>
      <c r="I3149" s="4">
        <v>-40915496.240000002</v>
      </c>
    </row>
    <row r="3150" spans="1:9" x14ac:dyDescent="0.3">
      <c r="A3150" t="s">
        <v>133</v>
      </c>
      <c r="B3150" s="1">
        <v>45885</v>
      </c>
      <c r="C3150" s="1">
        <v>45885</v>
      </c>
      <c r="D3150">
        <v>918356</v>
      </c>
      <c r="E3150">
        <v>91</v>
      </c>
      <c r="F3150" s="3">
        <v>37243</v>
      </c>
      <c r="G3150" s="4">
        <v>14127</v>
      </c>
      <c r="H3150" s="4">
        <v>0</v>
      </c>
      <c r="I3150" s="4">
        <v>-40901369.240000002</v>
      </c>
    </row>
    <row r="3151" spans="1:9" x14ac:dyDescent="0.3">
      <c r="A3151" t="s">
        <v>133</v>
      </c>
      <c r="B3151" s="1">
        <v>45885</v>
      </c>
      <c r="C3151" s="1">
        <v>45885</v>
      </c>
      <c r="D3151">
        <v>918363</v>
      </c>
      <c r="E3151">
        <v>220</v>
      </c>
      <c r="F3151" s="3" t="s">
        <v>236</v>
      </c>
      <c r="G3151" s="4">
        <v>300000</v>
      </c>
      <c r="H3151" s="4">
        <v>0</v>
      </c>
      <c r="I3151" s="4">
        <v>-40601369.240000002</v>
      </c>
    </row>
    <row r="3152" spans="1:9" x14ac:dyDescent="0.3">
      <c r="A3152" t="s">
        <v>133</v>
      </c>
      <c r="B3152" s="1">
        <v>45885</v>
      </c>
      <c r="C3152" s="1">
        <v>45885</v>
      </c>
      <c r="D3152">
        <v>918364</v>
      </c>
      <c r="E3152">
        <v>67</v>
      </c>
      <c r="F3152" s="3" t="s">
        <v>181</v>
      </c>
      <c r="G3152" s="4">
        <v>270000</v>
      </c>
      <c r="H3152" s="4">
        <v>0</v>
      </c>
      <c r="I3152" s="4">
        <v>-40331369.240000002</v>
      </c>
    </row>
    <row r="3153" spans="1:9" x14ac:dyDescent="0.3">
      <c r="A3153" t="s">
        <v>133</v>
      </c>
      <c r="B3153" s="1">
        <v>45885</v>
      </c>
      <c r="C3153" s="1">
        <v>45885</v>
      </c>
      <c r="D3153">
        <v>918381</v>
      </c>
      <c r="E3153">
        <v>71</v>
      </c>
      <c r="F3153" s="3" t="s">
        <v>2772</v>
      </c>
      <c r="G3153" s="4">
        <v>300000</v>
      </c>
      <c r="H3153" s="4">
        <v>0</v>
      </c>
      <c r="I3153" s="4">
        <v>-40031369.240000002</v>
      </c>
    </row>
    <row r="3154" spans="1:9" x14ac:dyDescent="0.3">
      <c r="A3154" t="s">
        <v>133</v>
      </c>
      <c r="B3154" s="1">
        <v>45885</v>
      </c>
      <c r="C3154" s="1">
        <v>45885</v>
      </c>
      <c r="D3154">
        <v>918389</v>
      </c>
      <c r="E3154">
        <v>16</v>
      </c>
      <c r="F3154" s="3" t="s">
        <v>2773</v>
      </c>
      <c r="G3154" s="4">
        <v>780000</v>
      </c>
      <c r="H3154" s="4">
        <v>0</v>
      </c>
      <c r="I3154" s="4">
        <v>-39251369.240000002</v>
      </c>
    </row>
    <row r="3155" spans="1:9" x14ac:dyDescent="0.3">
      <c r="A3155" t="s">
        <v>133</v>
      </c>
      <c r="B3155" s="1">
        <v>45885</v>
      </c>
      <c r="C3155" s="1">
        <v>45885</v>
      </c>
      <c r="D3155">
        <v>918395</v>
      </c>
      <c r="E3155">
        <v>56</v>
      </c>
      <c r="F3155" s="3" t="s">
        <v>2134</v>
      </c>
      <c r="G3155" s="4">
        <v>210000</v>
      </c>
      <c r="H3155" s="4">
        <v>0</v>
      </c>
      <c r="I3155" s="4">
        <v>-39041369.240000002</v>
      </c>
    </row>
    <row r="3156" spans="1:9" x14ac:dyDescent="0.3">
      <c r="A3156" t="s">
        <v>133</v>
      </c>
      <c r="B3156" s="1">
        <v>45885</v>
      </c>
      <c r="C3156" s="1">
        <v>45885</v>
      </c>
      <c r="D3156">
        <v>918399</v>
      </c>
      <c r="E3156">
        <v>38</v>
      </c>
      <c r="F3156" s="3" t="s">
        <v>2774</v>
      </c>
      <c r="G3156" s="4">
        <v>37422</v>
      </c>
      <c r="H3156" s="4">
        <v>0</v>
      </c>
      <c r="I3156" s="4">
        <v>-39003947.240000002</v>
      </c>
    </row>
    <row r="3157" spans="1:9" x14ac:dyDescent="0.3">
      <c r="A3157" t="s">
        <v>133</v>
      </c>
      <c r="B3157" s="1">
        <v>45885</v>
      </c>
      <c r="C3157" s="1">
        <v>45885</v>
      </c>
      <c r="D3157">
        <v>918411</v>
      </c>
      <c r="E3157">
        <v>72</v>
      </c>
      <c r="F3157" s="3" t="s">
        <v>2775</v>
      </c>
      <c r="G3157" s="4">
        <v>170000</v>
      </c>
      <c r="H3157" s="4">
        <v>0</v>
      </c>
      <c r="I3157" s="4">
        <v>-38833947.240000002</v>
      </c>
    </row>
    <row r="3158" spans="1:9" x14ac:dyDescent="0.3">
      <c r="A3158" t="s">
        <v>133</v>
      </c>
      <c r="B3158" s="1">
        <v>45885</v>
      </c>
      <c r="C3158" s="1">
        <v>45885</v>
      </c>
      <c r="D3158">
        <v>918418</v>
      </c>
      <c r="E3158">
        <v>82</v>
      </c>
      <c r="F3158" s="3" t="s">
        <v>2651</v>
      </c>
      <c r="G3158" s="4">
        <v>430000</v>
      </c>
      <c r="H3158" s="4">
        <v>0</v>
      </c>
      <c r="I3158" s="4">
        <v>-38403947.240000002</v>
      </c>
    </row>
    <row r="3159" spans="1:9" x14ac:dyDescent="0.3">
      <c r="A3159" t="s">
        <v>133</v>
      </c>
      <c r="B3159" s="1">
        <v>45885</v>
      </c>
      <c r="C3159" s="1">
        <v>45885</v>
      </c>
      <c r="D3159">
        <v>918438</v>
      </c>
      <c r="E3159">
        <v>33</v>
      </c>
      <c r="F3159" s="3" t="s">
        <v>2776</v>
      </c>
      <c r="G3159" s="4">
        <v>330000</v>
      </c>
      <c r="H3159" s="4">
        <v>0</v>
      </c>
      <c r="I3159" s="4">
        <v>-38073947.240000002</v>
      </c>
    </row>
    <row r="3160" spans="1:9" x14ac:dyDescent="0.3">
      <c r="A3160" t="s">
        <v>133</v>
      </c>
      <c r="B3160" s="1">
        <v>45885</v>
      </c>
      <c r="C3160" s="1">
        <v>45885</v>
      </c>
      <c r="D3160">
        <v>918440</v>
      </c>
      <c r="E3160">
        <v>80</v>
      </c>
      <c r="F3160" s="3" t="s">
        <v>1715</v>
      </c>
      <c r="G3160" s="4">
        <v>50000</v>
      </c>
      <c r="H3160" s="4">
        <v>0</v>
      </c>
      <c r="I3160" s="4">
        <v>-38023947.240000002</v>
      </c>
    </row>
    <row r="3161" spans="1:9" x14ac:dyDescent="0.3">
      <c r="A3161" t="s">
        <v>133</v>
      </c>
      <c r="B3161" s="1">
        <v>45885</v>
      </c>
      <c r="C3161" s="1">
        <v>45885</v>
      </c>
      <c r="D3161">
        <v>918457</v>
      </c>
      <c r="E3161">
        <v>89</v>
      </c>
      <c r="F3161" s="3" t="s">
        <v>2777</v>
      </c>
      <c r="G3161" s="4">
        <v>250000</v>
      </c>
      <c r="H3161" s="4">
        <v>0</v>
      </c>
      <c r="I3161" s="4">
        <v>-37773947.240000002</v>
      </c>
    </row>
    <row r="3162" spans="1:9" x14ac:dyDescent="0.3">
      <c r="A3162" t="s">
        <v>133</v>
      </c>
      <c r="B3162" s="1">
        <v>45885</v>
      </c>
      <c r="C3162" s="1">
        <v>45885</v>
      </c>
      <c r="D3162">
        <v>918469</v>
      </c>
      <c r="E3162">
        <v>31</v>
      </c>
      <c r="F3162" s="3" t="s">
        <v>2753</v>
      </c>
      <c r="G3162" s="4">
        <v>5000000</v>
      </c>
      <c r="H3162" s="4">
        <v>0</v>
      </c>
      <c r="I3162" s="4">
        <v>-32773947.239999998</v>
      </c>
    </row>
    <row r="3163" spans="1:9" x14ac:dyDescent="0.3">
      <c r="A3163" t="s">
        <v>133</v>
      </c>
      <c r="B3163" s="1">
        <v>45885</v>
      </c>
      <c r="C3163" s="1">
        <v>45885</v>
      </c>
      <c r="D3163">
        <v>918493</v>
      </c>
      <c r="E3163">
        <v>64</v>
      </c>
      <c r="F3163" s="3" t="s">
        <v>2778</v>
      </c>
      <c r="G3163" s="4">
        <v>410000</v>
      </c>
      <c r="H3163" s="4">
        <v>0</v>
      </c>
      <c r="I3163" s="4">
        <v>-32363947.239999998</v>
      </c>
    </row>
    <row r="3164" spans="1:9" x14ac:dyDescent="0.3">
      <c r="A3164" t="s">
        <v>133</v>
      </c>
      <c r="B3164" s="1">
        <v>45885</v>
      </c>
      <c r="C3164" s="1">
        <v>45885</v>
      </c>
      <c r="D3164">
        <v>918507</v>
      </c>
      <c r="E3164">
        <v>301</v>
      </c>
      <c r="F3164" s="3" t="s">
        <v>2779</v>
      </c>
      <c r="G3164" s="4">
        <v>5634</v>
      </c>
      <c r="H3164" s="4">
        <v>0</v>
      </c>
      <c r="I3164" s="4">
        <v>-32358313.239999998</v>
      </c>
    </row>
    <row r="3165" spans="1:9" x14ac:dyDescent="0.3">
      <c r="A3165" t="s">
        <v>133</v>
      </c>
      <c r="B3165" s="1">
        <v>45885</v>
      </c>
      <c r="C3165" s="1">
        <v>45885</v>
      </c>
      <c r="D3165">
        <v>918510</v>
      </c>
      <c r="E3165">
        <v>77</v>
      </c>
      <c r="F3165" s="3" t="s">
        <v>2780</v>
      </c>
      <c r="G3165" s="4">
        <v>300000</v>
      </c>
      <c r="H3165" s="4">
        <v>0</v>
      </c>
      <c r="I3165" s="4">
        <v>-32058313.239999998</v>
      </c>
    </row>
    <row r="3166" spans="1:9" x14ac:dyDescent="0.3">
      <c r="A3166" t="s">
        <v>133</v>
      </c>
      <c r="B3166" s="1">
        <v>45885</v>
      </c>
      <c r="C3166" s="1">
        <v>45885</v>
      </c>
      <c r="D3166">
        <v>918522</v>
      </c>
      <c r="E3166">
        <v>62</v>
      </c>
      <c r="F3166" s="3" t="s">
        <v>2781</v>
      </c>
      <c r="G3166" s="4">
        <v>400000</v>
      </c>
      <c r="H3166" s="4">
        <v>0</v>
      </c>
      <c r="I3166" s="4">
        <v>-31658313.239999998</v>
      </c>
    </row>
    <row r="3167" spans="1:9" x14ac:dyDescent="0.3">
      <c r="A3167" t="s">
        <v>133</v>
      </c>
      <c r="B3167" s="1">
        <v>45885</v>
      </c>
      <c r="C3167" s="1">
        <v>45885</v>
      </c>
      <c r="D3167">
        <v>918523</v>
      </c>
      <c r="E3167">
        <v>15</v>
      </c>
      <c r="F3167" s="3" t="s">
        <v>2782</v>
      </c>
      <c r="G3167" s="4">
        <v>210000</v>
      </c>
      <c r="H3167" s="4">
        <v>0</v>
      </c>
      <c r="I3167" s="4">
        <v>-31448313.239999998</v>
      </c>
    </row>
    <row r="3168" spans="1:9" x14ac:dyDescent="0.3">
      <c r="A3168" t="s">
        <v>133</v>
      </c>
      <c r="B3168" s="1">
        <v>45885</v>
      </c>
      <c r="C3168" s="1">
        <v>45885</v>
      </c>
      <c r="D3168">
        <v>918531</v>
      </c>
      <c r="E3168">
        <v>97</v>
      </c>
      <c r="F3168" s="3" t="s">
        <v>2783</v>
      </c>
      <c r="G3168" s="4">
        <v>200000</v>
      </c>
      <c r="H3168" s="4">
        <v>0</v>
      </c>
      <c r="I3168" s="4">
        <v>-31248313.239999998</v>
      </c>
    </row>
    <row r="3169" spans="1:9" x14ac:dyDescent="0.3">
      <c r="A3169" t="s">
        <v>133</v>
      </c>
      <c r="B3169" s="1">
        <v>45885</v>
      </c>
      <c r="C3169" s="1">
        <v>45885</v>
      </c>
      <c r="D3169">
        <v>918532</v>
      </c>
      <c r="E3169">
        <v>82</v>
      </c>
      <c r="F3169" s="3">
        <v>5620820003642</v>
      </c>
      <c r="G3169" s="4">
        <v>70219</v>
      </c>
      <c r="H3169" s="4">
        <v>0</v>
      </c>
      <c r="I3169" s="4">
        <v>-31178094.239999998</v>
      </c>
    </row>
    <row r="3170" spans="1:9" x14ac:dyDescent="0.3">
      <c r="A3170" t="s">
        <v>133</v>
      </c>
      <c r="B3170" s="1">
        <v>45885</v>
      </c>
      <c r="C3170" s="1">
        <v>45885</v>
      </c>
      <c r="D3170">
        <v>918540</v>
      </c>
      <c r="E3170">
        <v>53</v>
      </c>
      <c r="F3170" s="3" t="s">
        <v>2784</v>
      </c>
      <c r="G3170" s="4">
        <v>93000</v>
      </c>
      <c r="H3170" s="4">
        <v>0</v>
      </c>
      <c r="I3170" s="4">
        <v>-31085094.239999998</v>
      </c>
    </row>
    <row r="3171" spans="1:9" x14ac:dyDescent="0.3">
      <c r="A3171" t="s">
        <v>133</v>
      </c>
      <c r="B3171" s="1">
        <v>45885</v>
      </c>
      <c r="C3171" s="1">
        <v>45885</v>
      </c>
      <c r="D3171">
        <v>918542</v>
      </c>
      <c r="E3171">
        <v>84</v>
      </c>
      <c r="F3171" s="3" t="s">
        <v>2785</v>
      </c>
      <c r="G3171" s="4">
        <v>260000</v>
      </c>
      <c r="H3171" s="4">
        <v>0</v>
      </c>
      <c r="I3171" s="4">
        <v>-30825094.239999998</v>
      </c>
    </row>
    <row r="3172" spans="1:9" x14ac:dyDescent="0.3">
      <c r="A3172" t="s">
        <v>133</v>
      </c>
      <c r="B3172" s="1">
        <v>45885</v>
      </c>
      <c r="C3172" s="1">
        <v>45885</v>
      </c>
      <c r="D3172">
        <v>918543</v>
      </c>
      <c r="E3172">
        <v>98</v>
      </c>
      <c r="F3172" s="3" t="s">
        <v>2786</v>
      </c>
      <c r="G3172" s="4">
        <v>170000</v>
      </c>
      <c r="H3172" s="4">
        <v>0</v>
      </c>
      <c r="I3172" s="4">
        <v>-30655094.239999998</v>
      </c>
    </row>
    <row r="3173" spans="1:9" x14ac:dyDescent="0.3">
      <c r="A3173" t="s">
        <v>133</v>
      </c>
      <c r="B3173" s="1">
        <v>45885</v>
      </c>
      <c r="C3173" s="1">
        <v>45885</v>
      </c>
      <c r="D3173">
        <v>918563</v>
      </c>
      <c r="E3173">
        <v>70</v>
      </c>
      <c r="F3173" s="3" t="s">
        <v>2787</v>
      </c>
      <c r="G3173" s="4">
        <v>550000</v>
      </c>
      <c r="H3173" s="4">
        <v>0</v>
      </c>
      <c r="I3173" s="4">
        <v>-30105094.239999998</v>
      </c>
    </row>
    <row r="3174" spans="1:9" x14ac:dyDescent="0.3">
      <c r="A3174" t="s">
        <v>133</v>
      </c>
      <c r="B3174" s="1">
        <v>45885</v>
      </c>
      <c r="C3174" s="1">
        <v>45885</v>
      </c>
      <c r="D3174">
        <v>918583</v>
      </c>
      <c r="E3174">
        <v>61</v>
      </c>
      <c r="F3174" s="3" t="s">
        <v>2788</v>
      </c>
      <c r="G3174" s="4">
        <v>200000</v>
      </c>
      <c r="H3174" s="4">
        <v>0</v>
      </c>
      <c r="I3174" s="4">
        <v>-29905094.239999998</v>
      </c>
    </row>
    <row r="3175" spans="1:9" x14ac:dyDescent="0.3">
      <c r="A3175" t="s">
        <v>133</v>
      </c>
      <c r="B3175" s="1">
        <v>45885</v>
      </c>
      <c r="C3175" s="1">
        <v>45885</v>
      </c>
      <c r="D3175">
        <v>918646</v>
      </c>
      <c r="E3175">
        <v>26</v>
      </c>
      <c r="F3175" s="3" t="s">
        <v>2789</v>
      </c>
      <c r="G3175" s="4">
        <v>450000</v>
      </c>
      <c r="H3175" s="4">
        <v>0</v>
      </c>
      <c r="I3175" s="4">
        <v>-29455094.239999998</v>
      </c>
    </row>
    <row r="3176" spans="1:9" x14ac:dyDescent="0.3">
      <c r="A3176" t="s">
        <v>75</v>
      </c>
      <c r="B3176" s="1">
        <v>45886</v>
      </c>
      <c r="C3176" s="1">
        <v>45886</v>
      </c>
      <c r="D3176">
        <v>143578</v>
      </c>
      <c r="E3176">
        <v>72</v>
      </c>
      <c r="F3176" s="3" t="s">
        <v>2790</v>
      </c>
      <c r="G3176" s="4">
        <v>7633</v>
      </c>
      <c r="H3176" s="4">
        <v>0</v>
      </c>
      <c r="I3176" s="4">
        <v>-29447461.239999998</v>
      </c>
    </row>
    <row r="3177" spans="1:9" x14ac:dyDescent="0.3">
      <c r="A3177" t="s">
        <v>75</v>
      </c>
      <c r="B3177" s="1">
        <v>45886</v>
      </c>
      <c r="C3177" s="1">
        <v>45886</v>
      </c>
      <c r="D3177">
        <v>143579</v>
      </c>
      <c r="E3177">
        <v>16</v>
      </c>
      <c r="F3177" s="3" t="s">
        <v>2791</v>
      </c>
      <c r="G3177" s="4">
        <v>200</v>
      </c>
      <c r="H3177" s="4">
        <v>0</v>
      </c>
      <c r="I3177" s="4">
        <v>-29447261.239999998</v>
      </c>
    </row>
    <row r="3178" spans="1:9" x14ac:dyDescent="0.3">
      <c r="A3178" t="s">
        <v>75</v>
      </c>
      <c r="B3178" s="1">
        <v>45883</v>
      </c>
      <c r="C3178" s="1">
        <v>45886</v>
      </c>
      <c r="D3178">
        <v>143580</v>
      </c>
      <c r="E3178">
        <v>16</v>
      </c>
      <c r="F3178" s="3" t="s">
        <v>2792</v>
      </c>
      <c r="G3178" s="4">
        <v>60600</v>
      </c>
      <c r="H3178" s="4">
        <v>0</v>
      </c>
      <c r="I3178" s="4">
        <v>-29386661.239999998</v>
      </c>
    </row>
    <row r="3179" spans="1:9" x14ac:dyDescent="0.3">
      <c r="A3179" t="s">
        <v>75</v>
      </c>
      <c r="B3179" s="1">
        <v>45886</v>
      </c>
      <c r="C3179" s="1">
        <v>45886</v>
      </c>
      <c r="D3179">
        <v>143584</v>
      </c>
      <c r="E3179">
        <v>23</v>
      </c>
      <c r="F3179" s="3" t="s">
        <v>2793</v>
      </c>
      <c r="G3179" s="4">
        <v>4000</v>
      </c>
      <c r="H3179" s="4">
        <v>0</v>
      </c>
      <c r="I3179" s="4">
        <v>-29382661.239999998</v>
      </c>
    </row>
    <row r="3180" spans="1:9" x14ac:dyDescent="0.3">
      <c r="A3180" t="s">
        <v>75</v>
      </c>
      <c r="B3180" s="1">
        <v>45886</v>
      </c>
      <c r="C3180" s="1">
        <v>45886</v>
      </c>
      <c r="D3180">
        <v>143585</v>
      </c>
      <c r="E3180">
        <v>14</v>
      </c>
      <c r="F3180" s="3" t="s">
        <v>2794</v>
      </c>
      <c r="G3180" s="4">
        <v>25974</v>
      </c>
      <c r="H3180" s="4">
        <v>0</v>
      </c>
      <c r="I3180" s="4">
        <v>-29356687.239999998</v>
      </c>
    </row>
    <row r="3181" spans="1:9" x14ac:dyDescent="0.3">
      <c r="A3181" t="s">
        <v>75</v>
      </c>
      <c r="B3181" s="1">
        <v>45886</v>
      </c>
      <c r="C3181" s="1">
        <v>45886</v>
      </c>
      <c r="D3181">
        <v>143586</v>
      </c>
      <c r="E3181">
        <v>89</v>
      </c>
      <c r="F3181" s="3" t="s">
        <v>2795</v>
      </c>
      <c r="G3181" s="4">
        <v>36589</v>
      </c>
      <c r="H3181" s="4">
        <v>0</v>
      </c>
      <c r="I3181" s="4">
        <v>-29320098.239999998</v>
      </c>
    </row>
    <row r="3182" spans="1:9" x14ac:dyDescent="0.3">
      <c r="A3182" t="s">
        <v>75</v>
      </c>
      <c r="B3182" s="1">
        <v>45886</v>
      </c>
      <c r="C3182" s="1">
        <v>45886</v>
      </c>
      <c r="D3182">
        <v>143587</v>
      </c>
      <c r="E3182">
        <v>14</v>
      </c>
      <c r="F3182" s="3" t="s">
        <v>2796</v>
      </c>
      <c r="G3182" s="4">
        <v>30000</v>
      </c>
      <c r="H3182" s="4">
        <v>0</v>
      </c>
      <c r="I3182" s="4">
        <v>-29290098.239999998</v>
      </c>
    </row>
    <row r="3183" spans="1:9" x14ac:dyDescent="0.3">
      <c r="A3183" t="s">
        <v>75</v>
      </c>
      <c r="B3183" s="1">
        <v>45882</v>
      </c>
      <c r="C3183" s="1">
        <v>45886</v>
      </c>
      <c r="D3183">
        <v>143588</v>
      </c>
      <c r="E3183">
        <v>422</v>
      </c>
      <c r="F3183" s="3" t="s">
        <v>2797</v>
      </c>
      <c r="G3183" s="4">
        <v>125000</v>
      </c>
      <c r="H3183" s="4">
        <v>0</v>
      </c>
      <c r="I3183" s="4">
        <v>-29165098.239999998</v>
      </c>
    </row>
    <row r="3184" spans="1:9" x14ac:dyDescent="0.3">
      <c r="A3184" t="s">
        <v>71</v>
      </c>
      <c r="B3184" s="1">
        <v>45880</v>
      </c>
      <c r="C3184" s="1">
        <v>45886</v>
      </c>
      <c r="D3184">
        <v>14519</v>
      </c>
      <c r="E3184">
        <v>100</v>
      </c>
      <c r="F3184" s="3" t="s">
        <v>2798</v>
      </c>
      <c r="G3184" s="4">
        <v>19170</v>
      </c>
      <c r="H3184" s="4">
        <v>0</v>
      </c>
      <c r="I3184" s="4">
        <v>-29145928.239999998</v>
      </c>
    </row>
    <row r="3185" spans="1:9" x14ac:dyDescent="0.3">
      <c r="A3185" t="s">
        <v>133</v>
      </c>
      <c r="B3185" s="1">
        <v>45886</v>
      </c>
      <c r="C3185" s="1">
        <v>45886</v>
      </c>
      <c r="D3185">
        <v>918756</v>
      </c>
      <c r="E3185">
        <v>32</v>
      </c>
      <c r="F3185" s="3" t="s">
        <v>2799</v>
      </c>
      <c r="G3185" s="4">
        <v>8073</v>
      </c>
      <c r="H3185" s="4">
        <v>0</v>
      </c>
      <c r="I3185" s="4">
        <v>-29137855.239999998</v>
      </c>
    </row>
    <row r="3186" spans="1:9" x14ac:dyDescent="0.3">
      <c r="A3186" t="s">
        <v>133</v>
      </c>
      <c r="B3186" s="1">
        <v>45886</v>
      </c>
      <c r="C3186" s="1">
        <v>45886</v>
      </c>
      <c r="D3186">
        <v>918773</v>
      </c>
      <c r="E3186">
        <v>32</v>
      </c>
      <c r="F3186" s="3" t="s">
        <v>2800</v>
      </c>
      <c r="G3186" s="4">
        <v>60000</v>
      </c>
      <c r="H3186" s="4">
        <v>0</v>
      </c>
      <c r="I3186" s="4">
        <v>-29077855.239999998</v>
      </c>
    </row>
    <row r="3187" spans="1:9" x14ac:dyDescent="0.3">
      <c r="A3187" t="s">
        <v>133</v>
      </c>
      <c r="B3187" s="1">
        <v>45886</v>
      </c>
      <c r="C3187" s="1">
        <v>45886</v>
      </c>
      <c r="D3187">
        <v>918796</v>
      </c>
      <c r="E3187">
        <v>46</v>
      </c>
      <c r="F3187" s="3" t="s">
        <v>2801</v>
      </c>
      <c r="G3187" s="4">
        <v>30279</v>
      </c>
      <c r="H3187" s="4">
        <v>0</v>
      </c>
      <c r="I3187" s="4">
        <v>-29047576.239999998</v>
      </c>
    </row>
    <row r="3188" spans="1:9" x14ac:dyDescent="0.3">
      <c r="A3188" t="s">
        <v>133</v>
      </c>
      <c r="B3188" s="1">
        <v>45886</v>
      </c>
      <c r="C3188" s="1">
        <v>45886</v>
      </c>
      <c r="D3188">
        <v>918800</v>
      </c>
      <c r="E3188">
        <v>46</v>
      </c>
      <c r="F3188" s="3" t="s">
        <v>2802</v>
      </c>
      <c r="G3188" s="4">
        <v>234663.75</v>
      </c>
      <c r="H3188" s="4">
        <v>0</v>
      </c>
      <c r="I3188" s="4">
        <v>-28812912.489999998</v>
      </c>
    </row>
    <row r="3189" spans="1:9" x14ac:dyDescent="0.3">
      <c r="A3189" t="s">
        <v>133</v>
      </c>
      <c r="B3189" s="1">
        <v>45886</v>
      </c>
      <c r="C3189" s="1">
        <v>45886</v>
      </c>
      <c r="D3189">
        <v>918806</v>
      </c>
      <c r="E3189">
        <v>46</v>
      </c>
      <c r="F3189" s="3" t="s">
        <v>2803</v>
      </c>
      <c r="G3189" s="4">
        <v>2194.5</v>
      </c>
      <c r="H3189" s="4">
        <v>0</v>
      </c>
      <c r="I3189" s="4">
        <v>-28810717.989999998</v>
      </c>
    </row>
    <row r="3190" spans="1:9" x14ac:dyDescent="0.3">
      <c r="A3190" t="s">
        <v>133</v>
      </c>
      <c r="B3190" s="1">
        <v>45886</v>
      </c>
      <c r="C3190" s="1">
        <v>45886</v>
      </c>
      <c r="D3190">
        <v>918815</v>
      </c>
      <c r="E3190">
        <v>46</v>
      </c>
      <c r="F3190" s="3" t="s">
        <v>2804</v>
      </c>
      <c r="G3190" s="4">
        <v>11394.75</v>
      </c>
      <c r="H3190" s="4">
        <v>0</v>
      </c>
      <c r="I3190" s="4">
        <v>-28799323.239999998</v>
      </c>
    </row>
    <row r="3191" spans="1:9" x14ac:dyDescent="0.3">
      <c r="A3191" t="s">
        <v>133</v>
      </c>
      <c r="B3191" s="1">
        <v>45886</v>
      </c>
      <c r="C3191" s="1">
        <v>45886</v>
      </c>
      <c r="D3191">
        <v>918820</v>
      </c>
      <c r="E3191">
        <v>46</v>
      </c>
      <c r="F3191" s="3" t="s">
        <v>2805</v>
      </c>
      <c r="G3191" s="4">
        <v>103789</v>
      </c>
      <c r="H3191" s="4">
        <v>0</v>
      </c>
      <c r="I3191" s="4">
        <v>-28695534.239999998</v>
      </c>
    </row>
    <row r="3192" spans="1:9" x14ac:dyDescent="0.3">
      <c r="A3192" t="s">
        <v>133</v>
      </c>
      <c r="B3192" s="1">
        <v>45886</v>
      </c>
      <c r="C3192" s="1">
        <v>45886</v>
      </c>
      <c r="D3192">
        <v>918823</v>
      </c>
      <c r="E3192">
        <v>32</v>
      </c>
      <c r="F3192" s="3" t="s">
        <v>2806</v>
      </c>
      <c r="G3192" s="4">
        <v>147232.5</v>
      </c>
      <c r="H3192" s="4">
        <v>0</v>
      </c>
      <c r="I3192" s="4">
        <v>-28548301.739999998</v>
      </c>
    </row>
    <row r="3193" spans="1:9" x14ac:dyDescent="0.3">
      <c r="A3193" t="s">
        <v>133</v>
      </c>
      <c r="B3193" s="1">
        <v>45886</v>
      </c>
      <c r="C3193" s="1">
        <v>45886</v>
      </c>
      <c r="D3193">
        <v>918827</v>
      </c>
      <c r="E3193">
        <v>46</v>
      </c>
      <c r="F3193" s="3" t="s">
        <v>2807</v>
      </c>
      <c r="G3193" s="4">
        <v>742542.5</v>
      </c>
      <c r="H3193" s="4">
        <v>0</v>
      </c>
      <c r="I3193" s="4">
        <v>-27805759.239999998</v>
      </c>
    </row>
    <row r="3194" spans="1:9" x14ac:dyDescent="0.3">
      <c r="A3194" t="s">
        <v>133</v>
      </c>
      <c r="B3194" s="1">
        <v>45886</v>
      </c>
      <c r="C3194" s="1">
        <v>45886</v>
      </c>
      <c r="D3194">
        <v>918832</v>
      </c>
      <c r="E3194">
        <v>46</v>
      </c>
      <c r="F3194" s="3" t="s">
        <v>2808</v>
      </c>
      <c r="G3194" s="4">
        <v>8731</v>
      </c>
      <c r="H3194" s="4">
        <v>0</v>
      </c>
      <c r="I3194" s="4">
        <v>-27797028.239999998</v>
      </c>
    </row>
    <row r="3195" spans="1:9" x14ac:dyDescent="0.3">
      <c r="A3195" t="s">
        <v>133</v>
      </c>
      <c r="B3195" s="1">
        <v>45886</v>
      </c>
      <c r="C3195" s="1">
        <v>45886</v>
      </c>
      <c r="D3195">
        <v>918836</v>
      </c>
      <c r="E3195">
        <v>46</v>
      </c>
      <c r="F3195" s="3" t="s">
        <v>2809</v>
      </c>
      <c r="G3195" s="4">
        <v>1162.5</v>
      </c>
      <c r="H3195" s="4">
        <v>0</v>
      </c>
      <c r="I3195" s="4">
        <v>-27795865.739999998</v>
      </c>
    </row>
    <row r="3196" spans="1:9" x14ac:dyDescent="0.3">
      <c r="A3196" t="s">
        <v>133</v>
      </c>
      <c r="B3196" s="1">
        <v>45886</v>
      </c>
      <c r="C3196" s="1">
        <v>45886</v>
      </c>
      <c r="D3196">
        <v>918842</v>
      </c>
      <c r="E3196">
        <v>46</v>
      </c>
      <c r="F3196" s="3" t="s">
        <v>2810</v>
      </c>
      <c r="G3196" s="4">
        <v>30000</v>
      </c>
      <c r="H3196" s="4">
        <v>0</v>
      </c>
      <c r="I3196" s="4">
        <v>-27765865.739999998</v>
      </c>
    </row>
    <row r="3197" spans="1:9" x14ac:dyDescent="0.3">
      <c r="A3197" t="s">
        <v>133</v>
      </c>
      <c r="B3197" s="1">
        <v>45886</v>
      </c>
      <c r="C3197" s="1">
        <v>45886</v>
      </c>
      <c r="D3197">
        <v>918866</v>
      </c>
      <c r="E3197">
        <v>46</v>
      </c>
      <c r="F3197" s="3" t="s">
        <v>2811</v>
      </c>
      <c r="G3197" s="4">
        <v>36800.5</v>
      </c>
      <c r="H3197" s="4">
        <v>0</v>
      </c>
      <c r="I3197" s="4">
        <v>-27729065.239999998</v>
      </c>
    </row>
    <row r="3198" spans="1:9" x14ac:dyDescent="0.3">
      <c r="A3198" t="s">
        <v>133</v>
      </c>
      <c r="B3198" s="1">
        <v>45886</v>
      </c>
      <c r="C3198" s="1">
        <v>45886</v>
      </c>
      <c r="D3198">
        <v>918873</v>
      </c>
      <c r="E3198">
        <v>46</v>
      </c>
      <c r="F3198" s="3" t="s">
        <v>2812</v>
      </c>
      <c r="G3198" s="4">
        <v>18340.75</v>
      </c>
      <c r="H3198" s="4">
        <v>0</v>
      </c>
      <c r="I3198" s="4">
        <v>-27710724.489999998</v>
      </c>
    </row>
    <row r="3199" spans="1:9" x14ac:dyDescent="0.3">
      <c r="A3199" t="s">
        <v>133</v>
      </c>
      <c r="B3199" s="1">
        <v>45886</v>
      </c>
      <c r="C3199" s="1">
        <v>45886</v>
      </c>
      <c r="D3199">
        <v>918881</v>
      </c>
      <c r="E3199">
        <v>46</v>
      </c>
      <c r="F3199" s="3" t="s">
        <v>2813</v>
      </c>
      <c r="G3199" s="4">
        <v>1766.25</v>
      </c>
      <c r="H3199" s="4">
        <v>0</v>
      </c>
      <c r="I3199" s="4">
        <v>-27708958.239999998</v>
      </c>
    </row>
    <row r="3200" spans="1:9" x14ac:dyDescent="0.3">
      <c r="A3200" t="s">
        <v>133</v>
      </c>
      <c r="B3200" s="1">
        <v>45886</v>
      </c>
      <c r="C3200" s="1">
        <v>45886</v>
      </c>
      <c r="D3200">
        <v>918884</v>
      </c>
      <c r="E3200">
        <v>32</v>
      </c>
      <c r="F3200" s="3" t="s">
        <v>2814</v>
      </c>
      <c r="G3200" s="4">
        <v>13922</v>
      </c>
      <c r="H3200" s="4">
        <v>0</v>
      </c>
      <c r="I3200" s="4">
        <v>-27695036.239999998</v>
      </c>
    </row>
    <row r="3201" spans="1:9" x14ac:dyDescent="0.3">
      <c r="A3201" t="s">
        <v>133</v>
      </c>
      <c r="B3201" s="1">
        <v>45886</v>
      </c>
      <c r="C3201" s="1">
        <v>45886</v>
      </c>
      <c r="D3201">
        <v>918887</v>
      </c>
      <c r="E3201">
        <v>32</v>
      </c>
      <c r="F3201" s="3" t="s">
        <v>2815</v>
      </c>
      <c r="G3201" s="4">
        <v>72233</v>
      </c>
      <c r="H3201" s="4">
        <v>0</v>
      </c>
      <c r="I3201" s="4">
        <v>-27622803.239999998</v>
      </c>
    </row>
    <row r="3202" spans="1:9" x14ac:dyDescent="0.3">
      <c r="A3202" t="s">
        <v>133</v>
      </c>
      <c r="B3202" s="1">
        <v>45886</v>
      </c>
      <c r="C3202" s="1">
        <v>45886</v>
      </c>
      <c r="D3202">
        <v>918892</v>
      </c>
      <c r="E3202">
        <v>46</v>
      </c>
      <c r="F3202" s="3" t="s">
        <v>2816</v>
      </c>
      <c r="G3202" s="4">
        <v>13003.75</v>
      </c>
      <c r="H3202" s="4">
        <v>0</v>
      </c>
      <c r="I3202" s="4">
        <v>-27609799.489999998</v>
      </c>
    </row>
    <row r="3203" spans="1:9" x14ac:dyDescent="0.3">
      <c r="A3203" t="s">
        <v>133</v>
      </c>
      <c r="B3203" s="1">
        <v>45886</v>
      </c>
      <c r="C3203" s="1">
        <v>45886</v>
      </c>
      <c r="D3203">
        <v>918896</v>
      </c>
      <c r="E3203">
        <v>46</v>
      </c>
      <c r="F3203" s="3" t="s">
        <v>2817</v>
      </c>
      <c r="G3203" s="4">
        <v>19237.5</v>
      </c>
      <c r="H3203" s="4">
        <v>0</v>
      </c>
      <c r="I3203" s="4">
        <v>-27590561.989999998</v>
      </c>
    </row>
    <row r="3204" spans="1:9" x14ac:dyDescent="0.3">
      <c r="A3204" t="s">
        <v>133</v>
      </c>
      <c r="B3204" s="1">
        <v>45886</v>
      </c>
      <c r="C3204" s="1">
        <v>45886</v>
      </c>
      <c r="D3204">
        <v>918901</v>
      </c>
      <c r="E3204">
        <v>46</v>
      </c>
      <c r="F3204" s="3" t="s">
        <v>2818</v>
      </c>
      <c r="G3204" s="4">
        <v>85472.5</v>
      </c>
      <c r="H3204" s="4">
        <v>0</v>
      </c>
      <c r="I3204" s="4">
        <v>-27505089.489999998</v>
      </c>
    </row>
    <row r="3205" spans="1:9" x14ac:dyDescent="0.3">
      <c r="A3205" t="s">
        <v>133</v>
      </c>
      <c r="B3205" s="1">
        <v>45886</v>
      </c>
      <c r="C3205" s="1">
        <v>45886</v>
      </c>
      <c r="D3205">
        <v>918904</v>
      </c>
      <c r="E3205">
        <v>46</v>
      </c>
      <c r="F3205" s="3" t="s">
        <v>2819</v>
      </c>
      <c r="G3205" s="4">
        <v>10000</v>
      </c>
      <c r="H3205" s="4">
        <v>0</v>
      </c>
      <c r="I3205" s="4">
        <v>-27495089.489999998</v>
      </c>
    </row>
    <row r="3206" spans="1:9" x14ac:dyDescent="0.3">
      <c r="A3206" t="s">
        <v>133</v>
      </c>
      <c r="B3206" s="1">
        <v>45886</v>
      </c>
      <c r="C3206" s="1">
        <v>45886</v>
      </c>
      <c r="D3206">
        <v>918906</v>
      </c>
      <c r="E3206">
        <v>46</v>
      </c>
      <c r="F3206" s="3" t="s">
        <v>2820</v>
      </c>
      <c r="G3206" s="4">
        <v>85772.5</v>
      </c>
      <c r="H3206" s="4">
        <v>0</v>
      </c>
      <c r="I3206" s="4">
        <v>-27409316.989999998</v>
      </c>
    </row>
    <row r="3207" spans="1:9" x14ac:dyDescent="0.3">
      <c r="A3207" t="s">
        <v>133</v>
      </c>
      <c r="B3207" s="1">
        <v>45886</v>
      </c>
      <c r="C3207" s="1">
        <v>45886</v>
      </c>
      <c r="D3207">
        <v>918915</v>
      </c>
      <c r="E3207">
        <v>46</v>
      </c>
      <c r="F3207" s="3" t="s">
        <v>2821</v>
      </c>
      <c r="G3207" s="4">
        <v>40000</v>
      </c>
      <c r="H3207" s="4">
        <v>0</v>
      </c>
      <c r="I3207" s="4">
        <v>-27369316.989999998</v>
      </c>
    </row>
    <row r="3208" spans="1:9" x14ac:dyDescent="0.3">
      <c r="A3208" t="s">
        <v>133</v>
      </c>
      <c r="B3208" s="1">
        <v>45886</v>
      </c>
      <c r="C3208" s="1">
        <v>45886</v>
      </c>
      <c r="D3208">
        <v>918921</v>
      </c>
      <c r="E3208">
        <v>46</v>
      </c>
      <c r="F3208" s="3" t="s">
        <v>2822</v>
      </c>
      <c r="G3208" s="4">
        <v>41812.75</v>
      </c>
      <c r="H3208" s="4">
        <v>0</v>
      </c>
      <c r="I3208" s="4">
        <v>-27327504.239999998</v>
      </c>
    </row>
    <row r="3209" spans="1:9" x14ac:dyDescent="0.3">
      <c r="A3209" t="s">
        <v>133</v>
      </c>
      <c r="B3209" s="1">
        <v>45886</v>
      </c>
      <c r="C3209" s="1">
        <v>45886</v>
      </c>
      <c r="D3209">
        <v>918925</v>
      </c>
      <c r="E3209">
        <v>46</v>
      </c>
      <c r="F3209" s="3" t="s">
        <v>2823</v>
      </c>
      <c r="G3209" s="4">
        <v>77196</v>
      </c>
      <c r="H3209" s="4">
        <v>0</v>
      </c>
      <c r="I3209" s="4">
        <v>-27250308.239999998</v>
      </c>
    </row>
    <row r="3210" spans="1:9" x14ac:dyDescent="0.3">
      <c r="A3210" t="s">
        <v>133</v>
      </c>
      <c r="B3210" s="1">
        <v>45886</v>
      </c>
      <c r="C3210" s="1">
        <v>45886</v>
      </c>
      <c r="D3210">
        <v>918926</v>
      </c>
      <c r="E3210">
        <v>46</v>
      </c>
      <c r="F3210" s="3" t="s">
        <v>2824</v>
      </c>
      <c r="G3210" s="4">
        <v>100</v>
      </c>
      <c r="H3210" s="4">
        <v>0</v>
      </c>
      <c r="I3210" s="4">
        <v>-27250208.239999998</v>
      </c>
    </row>
    <row r="3211" spans="1:9" x14ac:dyDescent="0.3">
      <c r="A3211" t="s">
        <v>133</v>
      </c>
      <c r="B3211" s="1">
        <v>45886</v>
      </c>
      <c r="C3211" s="1">
        <v>45886</v>
      </c>
      <c r="D3211">
        <v>919017</v>
      </c>
      <c r="E3211">
        <v>32</v>
      </c>
      <c r="F3211" s="3" t="s">
        <v>2825</v>
      </c>
      <c r="G3211" s="4">
        <v>6894.25</v>
      </c>
      <c r="H3211" s="4">
        <v>0</v>
      </c>
      <c r="I3211" s="4">
        <v>-27243313.989999998</v>
      </c>
    </row>
    <row r="3212" spans="1:9" x14ac:dyDescent="0.3">
      <c r="A3212" t="s">
        <v>133</v>
      </c>
      <c r="B3212" s="1">
        <v>45886</v>
      </c>
      <c r="C3212" s="1">
        <v>45886</v>
      </c>
      <c r="D3212">
        <v>919061</v>
      </c>
      <c r="E3212">
        <v>32</v>
      </c>
      <c r="F3212" s="3" t="s">
        <v>2826</v>
      </c>
      <c r="G3212" s="4">
        <v>100000</v>
      </c>
      <c r="H3212" s="4">
        <v>0</v>
      </c>
      <c r="I3212" s="4">
        <v>-27143313.989999998</v>
      </c>
    </row>
    <row r="3213" spans="1:9" x14ac:dyDescent="0.3">
      <c r="A3213" t="s">
        <v>133</v>
      </c>
      <c r="B3213" s="1">
        <v>45886</v>
      </c>
      <c r="C3213" s="1">
        <v>45886</v>
      </c>
      <c r="D3213">
        <v>919083</v>
      </c>
      <c r="E3213">
        <v>32</v>
      </c>
      <c r="F3213" s="3" t="s">
        <v>2827</v>
      </c>
      <c r="G3213" s="4">
        <v>147232.5</v>
      </c>
      <c r="H3213" s="4">
        <v>0</v>
      </c>
      <c r="I3213" s="4">
        <v>-26996081.489999998</v>
      </c>
    </row>
    <row r="3214" spans="1:9" x14ac:dyDescent="0.3">
      <c r="A3214" t="s">
        <v>133</v>
      </c>
      <c r="B3214" s="1">
        <v>45886</v>
      </c>
      <c r="C3214" s="1">
        <v>45886</v>
      </c>
      <c r="D3214">
        <v>919108</v>
      </c>
      <c r="E3214">
        <v>32</v>
      </c>
      <c r="F3214" s="3" t="s">
        <v>2828</v>
      </c>
      <c r="G3214" s="4">
        <v>83885</v>
      </c>
      <c r="H3214" s="4">
        <v>0</v>
      </c>
      <c r="I3214" s="4">
        <v>-26912196.489999998</v>
      </c>
    </row>
    <row r="3215" spans="1:9" x14ac:dyDescent="0.3">
      <c r="A3215" t="s">
        <v>133</v>
      </c>
      <c r="B3215" s="1">
        <v>45886</v>
      </c>
      <c r="C3215" s="1">
        <v>45886</v>
      </c>
      <c r="D3215">
        <v>919110</v>
      </c>
      <c r="E3215">
        <v>32</v>
      </c>
      <c r="F3215" s="3" t="s">
        <v>2829</v>
      </c>
      <c r="G3215" s="4">
        <v>100000</v>
      </c>
      <c r="H3215" s="4">
        <v>0</v>
      </c>
      <c r="I3215" s="4">
        <v>-26812196.489999998</v>
      </c>
    </row>
    <row r="3216" spans="1:9" x14ac:dyDescent="0.3">
      <c r="A3216" t="s">
        <v>133</v>
      </c>
      <c r="B3216" s="1">
        <v>45886</v>
      </c>
      <c r="C3216" s="1">
        <v>45886</v>
      </c>
      <c r="D3216">
        <v>919134</v>
      </c>
      <c r="E3216">
        <v>32</v>
      </c>
      <c r="F3216" s="3" t="s">
        <v>2830</v>
      </c>
      <c r="G3216" s="4">
        <v>187960</v>
      </c>
      <c r="H3216" s="4">
        <v>0</v>
      </c>
      <c r="I3216" s="4">
        <v>-26624236.489999998</v>
      </c>
    </row>
    <row r="3217" spans="1:9" x14ac:dyDescent="0.3">
      <c r="A3217" t="s">
        <v>133</v>
      </c>
      <c r="B3217" s="1">
        <v>45886</v>
      </c>
      <c r="C3217" s="1">
        <v>45886</v>
      </c>
      <c r="D3217">
        <v>919157</v>
      </c>
      <c r="E3217">
        <v>32</v>
      </c>
      <c r="F3217" s="3" t="s">
        <v>2831</v>
      </c>
      <c r="G3217" s="4">
        <v>84371</v>
      </c>
      <c r="H3217" s="4">
        <v>0</v>
      </c>
      <c r="I3217" s="4">
        <v>-26539865.489999998</v>
      </c>
    </row>
    <row r="3218" spans="1:9" x14ac:dyDescent="0.3">
      <c r="A3218" t="s">
        <v>133</v>
      </c>
      <c r="B3218" s="1">
        <v>45886</v>
      </c>
      <c r="C3218" s="1">
        <v>45886</v>
      </c>
      <c r="D3218">
        <v>919163</v>
      </c>
      <c r="E3218">
        <v>32</v>
      </c>
      <c r="F3218" s="3" t="s">
        <v>2832</v>
      </c>
      <c r="G3218" s="4">
        <v>126369</v>
      </c>
      <c r="H3218" s="4">
        <v>0</v>
      </c>
      <c r="I3218" s="4">
        <v>-26413496.489999998</v>
      </c>
    </row>
    <row r="3219" spans="1:9" x14ac:dyDescent="0.3">
      <c r="A3219" t="s">
        <v>133</v>
      </c>
      <c r="B3219" s="1">
        <v>45886</v>
      </c>
      <c r="C3219" s="1">
        <v>45886</v>
      </c>
      <c r="D3219">
        <v>919164</v>
      </c>
      <c r="E3219">
        <v>32</v>
      </c>
      <c r="F3219" s="3" t="s">
        <v>2833</v>
      </c>
      <c r="G3219" s="4">
        <v>127045</v>
      </c>
      <c r="H3219" s="4">
        <v>0</v>
      </c>
      <c r="I3219" s="4">
        <v>-26286451.489999998</v>
      </c>
    </row>
    <row r="3220" spans="1:9" x14ac:dyDescent="0.3">
      <c r="A3220" t="s">
        <v>133</v>
      </c>
      <c r="B3220" s="1">
        <v>45886</v>
      </c>
      <c r="C3220" s="1">
        <v>45886</v>
      </c>
      <c r="D3220">
        <v>919167</v>
      </c>
      <c r="E3220">
        <v>72</v>
      </c>
      <c r="F3220" s="3" t="s">
        <v>2834</v>
      </c>
      <c r="G3220" s="4">
        <v>4015.75</v>
      </c>
      <c r="H3220" s="4">
        <v>0</v>
      </c>
      <c r="I3220" s="4">
        <v>-26282435.739999998</v>
      </c>
    </row>
    <row r="3221" spans="1:9" x14ac:dyDescent="0.3">
      <c r="A3221" t="s">
        <v>133</v>
      </c>
      <c r="B3221" s="1">
        <v>45886</v>
      </c>
      <c r="C3221" s="1">
        <v>45886</v>
      </c>
      <c r="D3221">
        <v>919168</v>
      </c>
      <c r="E3221">
        <v>32</v>
      </c>
      <c r="F3221" s="3" t="s">
        <v>2835</v>
      </c>
      <c r="G3221" s="4">
        <v>167501</v>
      </c>
      <c r="H3221" s="4">
        <v>0</v>
      </c>
      <c r="I3221" s="4">
        <v>-26114934.739999998</v>
      </c>
    </row>
    <row r="3222" spans="1:9" x14ac:dyDescent="0.3">
      <c r="A3222" t="s">
        <v>133</v>
      </c>
      <c r="B3222" s="1">
        <v>45886</v>
      </c>
      <c r="C3222" s="1">
        <v>45886</v>
      </c>
      <c r="D3222">
        <v>919459</v>
      </c>
      <c r="E3222">
        <v>31</v>
      </c>
      <c r="F3222" s="3" t="s">
        <v>2836</v>
      </c>
      <c r="G3222" s="4">
        <v>101393.5</v>
      </c>
      <c r="H3222" s="4">
        <v>0</v>
      </c>
      <c r="I3222" s="4">
        <v>-26013541.239999998</v>
      </c>
    </row>
    <row r="3223" spans="1:9" x14ac:dyDescent="0.3">
      <c r="A3223" t="s">
        <v>133</v>
      </c>
      <c r="B3223" s="1">
        <v>45886</v>
      </c>
      <c r="C3223" s="1">
        <v>45886</v>
      </c>
      <c r="D3223">
        <v>919476</v>
      </c>
      <c r="E3223">
        <v>31</v>
      </c>
      <c r="F3223" s="3" t="s">
        <v>2837</v>
      </c>
      <c r="G3223" s="4">
        <v>5886</v>
      </c>
      <c r="H3223" s="4">
        <v>0</v>
      </c>
      <c r="I3223" s="4">
        <v>-26007655.239999998</v>
      </c>
    </row>
    <row r="3224" spans="1:9" x14ac:dyDescent="0.3">
      <c r="A3224" t="s">
        <v>133</v>
      </c>
      <c r="B3224" s="1">
        <v>45886</v>
      </c>
      <c r="C3224" s="1">
        <v>45886</v>
      </c>
      <c r="D3224">
        <v>919498</v>
      </c>
      <c r="E3224">
        <v>31</v>
      </c>
      <c r="F3224" s="3" t="s">
        <v>2838</v>
      </c>
      <c r="G3224" s="4">
        <v>167477.75</v>
      </c>
      <c r="H3224" s="4">
        <v>0</v>
      </c>
      <c r="I3224" s="4">
        <v>-25840177.489999998</v>
      </c>
    </row>
    <row r="3225" spans="1:9" x14ac:dyDescent="0.3">
      <c r="A3225" t="s">
        <v>133</v>
      </c>
      <c r="B3225" s="1">
        <v>45886</v>
      </c>
      <c r="C3225" s="1">
        <v>45886</v>
      </c>
      <c r="D3225">
        <v>919530</v>
      </c>
      <c r="E3225">
        <v>31</v>
      </c>
      <c r="F3225" s="3" t="s">
        <v>2839</v>
      </c>
      <c r="G3225" s="4">
        <v>11083</v>
      </c>
      <c r="H3225" s="4">
        <v>0</v>
      </c>
      <c r="I3225" s="4">
        <v>-25829094.489999998</v>
      </c>
    </row>
    <row r="3226" spans="1:9" x14ac:dyDescent="0.3">
      <c r="A3226" t="s">
        <v>133</v>
      </c>
      <c r="B3226" s="1">
        <v>45886</v>
      </c>
      <c r="C3226" s="1">
        <v>45886</v>
      </c>
      <c r="D3226">
        <v>919544</v>
      </c>
      <c r="E3226">
        <v>31</v>
      </c>
      <c r="F3226" s="3" t="s">
        <v>2840</v>
      </c>
      <c r="G3226" s="4">
        <v>55170.5</v>
      </c>
      <c r="H3226" s="4">
        <v>0</v>
      </c>
      <c r="I3226" s="4">
        <v>-25773923.989999998</v>
      </c>
    </row>
    <row r="3227" spans="1:9" x14ac:dyDescent="0.3">
      <c r="A3227" t="s">
        <v>133</v>
      </c>
      <c r="B3227" s="1">
        <v>45886</v>
      </c>
      <c r="C3227" s="1">
        <v>45886</v>
      </c>
      <c r="D3227">
        <v>919556</v>
      </c>
      <c r="E3227">
        <v>31</v>
      </c>
      <c r="F3227" s="3" t="s">
        <v>2841</v>
      </c>
      <c r="G3227" s="4">
        <v>4037.25</v>
      </c>
      <c r="H3227" s="4">
        <v>0</v>
      </c>
      <c r="I3227" s="4">
        <v>-25769886.739999998</v>
      </c>
    </row>
    <row r="3228" spans="1:9" x14ac:dyDescent="0.3">
      <c r="A3228" t="s">
        <v>133</v>
      </c>
      <c r="B3228" s="1">
        <v>45886</v>
      </c>
      <c r="C3228" s="1">
        <v>45886</v>
      </c>
      <c r="D3228">
        <v>919563</v>
      </c>
      <c r="E3228">
        <v>31</v>
      </c>
      <c r="F3228" s="3" t="s">
        <v>2842</v>
      </c>
      <c r="G3228" s="4">
        <v>24086</v>
      </c>
      <c r="H3228" s="4">
        <v>0</v>
      </c>
      <c r="I3228" s="4">
        <v>-25745800.739999998</v>
      </c>
    </row>
    <row r="3229" spans="1:9" x14ac:dyDescent="0.3">
      <c r="A3229" t="s">
        <v>133</v>
      </c>
      <c r="B3229" s="1">
        <v>45886</v>
      </c>
      <c r="C3229" s="1">
        <v>45886</v>
      </c>
      <c r="D3229">
        <v>919573</v>
      </c>
      <c r="E3229">
        <v>31</v>
      </c>
      <c r="F3229" s="3" t="s">
        <v>2843</v>
      </c>
      <c r="G3229" s="4">
        <v>4522</v>
      </c>
      <c r="H3229" s="4">
        <v>0</v>
      </c>
      <c r="I3229" s="4">
        <v>-25741278.739999998</v>
      </c>
    </row>
    <row r="3230" spans="1:9" x14ac:dyDescent="0.3">
      <c r="A3230" t="s">
        <v>133</v>
      </c>
      <c r="B3230" s="1">
        <v>45886</v>
      </c>
      <c r="C3230" s="1">
        <v>45886</v>
      </c>
      <c r="D3230">
        <v>919577</v>
      </c>
      <c r="E3230">
        <v>31</v>
      </c>
      <c r="F3230" s="3" t="s">
        <v>2844</v>
      </c>
      <c r="G3230" s="4">
        <v>18916.5</v>
      </c>
      <c r="H3230" s="4">
        <v>0</v>
      </c>
      <c r="I3230" s="4">
        <v>-25722362.239999998</v>
      </c>
    </row>
    <row r="3231" spans="1:9" x14ac:dyDescent="0.3">
      <c r="A3231" t="s">
        <v>133</v>
      </c>
      <c r="B3231" s="1">
        <v>45886</v>
      </c>
      <c r="C3231" s="1">
        <v>45886</v>
      </c>
      <c r="D3231">
        <v>919586</v>
      </c>
      <c r="E3231">
        <v>31</v>
      </c>
      <c r="F3231" s="3" t="s">
        <v>2845</v>
      </c>
      <c r="G3231" s="4">
        <v>22229</v>
      </c>
      <c r="H3231" s="4">
        <v>0</v>
      </c>
      <c r="I3231" s="4">
        <v>-25700133.239999998</v>
      </c>
    </row>
    <row r="3232" spans="1:9" x14ac:dyDescent="0.3">
      <c r="A3232" t="s">
        <v>133</v>
      </c>
      <c r="B3232" s="1">
        <v>45886</v>
      </c>
      <c r="C3232" s="1">
        <v>45886</v>
      </c>
      <c r="D3232">
        <v>919587</v>
      </c>
      <c r="E3232">
        <v>31</v>
      </c>
      <c r="F3232" s="3" t="s">
        <v>2846</v>
      </c>
      <c r="G3232" s="4">
        <v>17089</v>
      </c>
      <c r="H3232" s="4">
        <v>0</v>
      </c>
      <c r="I3232" s="4">
        <v>-25683044.239999998</v>
      </c>
    </row>
    <row r="3233" spans="1:9" x14ac:dyDescent="0.3">
      <c r="A3233" t="s">
        <v>133</v>
      </c>
      <c r="B3233" s="1">
        <v>45886</v>
      </c>
      <c r="C3233" s="1">
        <v>45886</v>
      </c>
      <c r="D3233">
        <v>919638</v>
      </c>
      <c r="E3233">
        <v>31</v>
      </c>
      <c r="F3233" s="3" t="s">
        <v>2847</v>
      </c>
      <c r="G3233" s="4">
        <v>55170.5</v>
      </c>
      <c r="H3233" s="4">
        <v>0</v>
      </c>
      <c r="I3233" s="4">
        <v>-25627873.739999998</v>
      </c>
    </row>
    <row r="3234" spans="1:9" x14ac:dyDescent="0.3">
      <c r="A3234" t="s">
        <v>133</v>
      </c>
      <c r="B3234" s="1">
        <v>45886</v>
      </c>
      <c r="C3234" s="1">
        <v>45886</v>
      </c>
      <c r="D3234">
        <v>919688</v>
      </c>
      <c r="E3234">
        <v>63</v>
      </c>
      <c r="F3234" s="3" t="s">
        <v>2848</v>
      </c>
      <c r="G3234" s="4">
        <v>494328</v>
      </c>
      <c r="H3234" s="4">
        <v>0</v>
      </c>
      <c r="I3234" s="4">
        <v>-25133545.739999998</v>
      </c>
    </row>
    <row r="3235" spans="1:9" x14ac:dyDescent="0.3">
      <c r="A3235" t="s">
        <v>133</v>
      </c>
      <c r="B3235" s="1">
        <v>45886</v>
      </c>
      <c r="C3235" s="1">
        <v>45886</v>
      </c>
      <c r="D3235">
        <v>919724</v>
      </c>
      <c r="E3235">
        <v>23</v>
      </c>
      <c r="F3235" s="3" t="s">
        <v>2849</v>
      </c>
      <c r="G3235" s="4">
        <v>55170.5</v>
      </c>
      <c r="H3235" s="4">
        <v>0</v>
      </c>
      <c r="I3235" s="4">
        <v>-25078375.239999998</v>
      </c>
    </row>
    <row r="3236" spans="1:9" x14ac:dyDescent="0.3">
      <c r="A3236" t="s">
        <v>133</v>
      </c>
      <c r="B3236" s="1">
        <v>45886</v>
      </c>
      <c r="C3236" s="1">
        <v>45886</v>
      </c>
      <c r="D3236">
        <v>919727</v>
      </c>
      <c r="E3236">
        <v>23</v>
      </c>
      <c r="F3236" s="3" t="s">
        <v>2850</v>
      </c>
      <c r="G3236" s="4">
        <v>18717</v>
      </c>
      <c r="H3236" s="4">
        <v>0</v>
      </c>
      <c r="I3236" s="4">
        <v>-25059658.239999998</v>
      </c>
    </row>
    <row r="3237" spans="1:9" x14ac:dyDescent="0.3">
      <c r="A3237" t="s">
        <v>133</v>
      </c>
      <c r="B3237" s="1">
        <v>45886</v>
      </c>
      <c r="C3237" s="1">
        <v>45886</v>
      </c>
      <c r="D3237">
        <v>919818</v>
      </c>
      <c r="E3237">
        <v>72</v>
      </c>
      <c r="F3237" s="3" t="s">
        <v>2851</v>
      </c>
      <c r="G3237" s="4">
        <v>1800</v>
      </c>
      <c r="H3237" s="4">
        <v>0</v>
      </c>
      <c r="I3237" s="4">
        <v>-25057858.239999998</v>
      </c>
    </row>
    <row r="3238" spans="1:9" x14ac:dyDescent="0.3">
      <c r="A3238" t="s">
        <v>133</v>
      </c>
      <c r="B3238" s="1">
        <v>45886</v>
      </c>
      <c r="C3238" s="1">
        <v>45886</v>
      </c>
      <c r="D3238">
        <v>919957</v>
      </c>
      <c r="E3238">
        <v>91</v>
      </c>
      <c r="F3238" s="3" t="s">
        <v>2852</v>
      </c>
      <c r="G3238" s="4">
        <v>14430</v>
      </c>
      <c r="H3238" s="4">
        <v>0</v>
      </c>
      <c r="I3238" s="4">
        <v>-25043428.239999998</v>
      </c>
    </row>
    <row r="3239" spans="1:9" x14ac:dyDescent="0.3">
      <c r="A3239" t="s">
        <v>133</v>
      </c>
      <c r="B3239" s="1">
        <v>45886</v>
      </c>
      <c r="C3239" s="1">
        <v>45886</v>
      </c>
      <c r="D3239">
        <v>919980</v>
      </c>
      <c r="E3239">
        <v>27</v>
      </c>
      <c r="F3239" s="3" t="s">
        <v>2853</v>
      </c>
      <c r="G3239" s="4">
        <v>18500</v>
      </c>
      <c r="H3239" s="4">
        <v>0</v>
      </c>
      <c r="I3239" s="4">
        <v>-25024928.239999998</v>
      </c>
    </row>
    <row r="3240" spans="1:9" x14ac:dyDescent="0.3">
      <c r="A3240" t="s">
        <v>133</v>
      </c>
      <c r="B3240" s="1">
        <v>45886</v>
      </c>
      <c r="C3240" s="1">
        <v>45886</v>
      </c>
      <c r="D3240">
        <v>920021</v>
      </c>
      <c r="E3240">
        <v>89</v>
      </c>
      <c r="F3240" s="3" t="s">
        <v>2854</v>
      </c>
      <c r="G3240" s="4">
        <v>36800.5</v>
      </c>
      <c r="H3240" s="4">
        <v>0</v>
      </c>
      <c r="I3240" s="4">
        <v>-24988127.739999998</v>
      </c>
    </row>
    <row r="3241" spans="1:9" x14ac:dyDescent="0.3">
      <c r="A3241" t="s">
        <v>133</v>
      </c>
      <c r="B3241" s="1">
        <v>45886</v>
      </c>
      <c r="C3241" s="1">
        <v>45886</v>
      </c>
      <c r="D3241">
        <v>920088</v>
      </c>
      <c r="E3241">
        <v>98</v>
      </c>
      <c r="F3241" s="3" t="s">
        <v>2855</v>
      </c>
      <c r="G3241" s="4">
        <v>7660</v>
      </c>
      <c r="H3241" s="4">
        <v>0</v>
      </c>
      <c r="I3241" s="4">
        <v>-24980467.739999998</v>
      </c>
    </row>
    <row r="3242" spans="1:9" x14ac:dyDescent="0.3">
      <c r="A3242" t="s">
        <v>133</v>
      </c>
      <c r="B3242" s="1">
        <v>45886</v>
      </c>
      <c r="C3242" s="1">
        <v>45886</v>
      </c>
      <c r="D3242">
        <v>920090</v>
      </c>
      <c r="E3242">
        <v>210</v>
      </c>
      <c r="F3242" s="3" t="s">
        <v>2856</v>
      </c>
      <c r="G3242" s="4">
        <v>50000</v>
      </c>
      <c r="H3242" s="4">
        <v>0</v>
      </c>
      <c r="I3242" s="4">
        <v>-24930467.739999998</v>
      </c>
    </row>
    <row r="3243" spans="1:9" x14ac:dyDescent="0.3">
      <c r="A3243" t="s">
        <v>1</v>
      </c>
      <c r="B3243" s="1">
        <v>45878</v>
      </c>
      <c r="C3243" s="1">
        <v>45887</v>
      </c>
      <c r="D3243">
        <v>102415</v>
      </c>
      <c r="E3243">
        <v>100</v>
      </c>
      <c r="F3243" s="3" t="s">
        <v>2857</v>
      </c>
      <c r="G3243" s="4">
        <v>2500</v>
      </c>
      <c r="I3243" s="4">
        <v>-24927967.739999998</v>
      </c>
    </row>
    <row r="3244" spans="1:9" x14ac:dyDescent="0.3">
      <c r="A3244" t="s">
        <v>1</v>
      </c>
      <c r="B3244" s="1">
        <v>45884</v>
      </c>
      <c r="C3244" s="1">
        <v>45887</v>
      </c>
      <c r="D3244">
        <v>102822</v>
      </c>
      <c r="E3244">
        <v>100</v>
      </c>
      <c r="F3244" s="3" t="s">
        <v>2858</v>
      </c>
      <c r="G3244" s="4">
        <v>24085.75</v>
      </c>
      <c r="I3244" s="4">
        <v>-24903881.989999998</v>
      </c>
    </row>
    <row r="3245" spans="1:9" x14ac:dyDescent="0.3">
      <c r="A3245" t="s">
        <v>1</v>
      </c>
      <c r="B3245" s="1">
        <v>45885</v>
      </c>
      <c r="C3245" s="1">
        <v>45887</v>
      </c>
      <c r="D3245">
        <v>102823</v>
      </c>
      <c r="E3245">
        <v>100</v>
      </c>
      <c r="F3245" s="3" t="s">
        <v>2859</v>
      </c>
      <c r="G3245" s="4">
        <v>6251.88</v>
      </c>
      <c r="I3245" s="4">
        <v>-24897630.109999999</v>
      </c>
    </row>
    <row r="3246" spans="1:9" x14ac:dyDescent="0.3">
      <c r="A3246" t="s">
        <v>1</v>
      </c>
      <c r="B3246" s="1">
        <v>45885</v>
      </c>
      <c r="C3246" s="1">
        <v>45887</v>
      </c>
      <c r="D3246">
        <v>102829</v>
      </c>
      <c r="E3246">
        <v>100</v>
      </c>
      <c r="F3246" s="3" t="s">
        <v>2860</v>
      </c>
      <c r="G3246" s="4">
        <v>30302</v>
      </c>
      <c r="I3246" s="4">
        <v>-24867328.109999999</v>
      </c>
    </row>
    <row r="3247" spans="1:9" x14ac:dyDescent="0.3">
      <c r="A3247" t="s">
        <v>1</v>
      </c>
      <c r="B3247" s="1">
        <v>45885</v>
      </c>
      <c r="C3247" s="1">
        <v>45887</v>
      </c>
      <c r="D3247">
        <v>102832</v>
      </c>
      <c r="E3247">
        <v>100</v>
      </c>
      <c r="F3247" s="3" t="s">
        <v>2861</v>
      </c>
      <c r="G3247" s="4">
        <v>5026.25</v>
      </c>
      <c r="I3247" s="4">
        <v>-24862301.859999999</v>
      </c>
    </row>
    <row r="3248" spans="1:9" x14ac:dyDescent="0.3">
      <c r="A3248" t="s">
        <v>1</v>
      </c>
      <c r="B3248" s="1">
        <v>45887</v>
      </c>
      <c r="C3248" s="1">
        <v>45887</v>
      </c>
      <c r="D3248">
        <v>102841</v>
      </c>
      <c r="E3248">
        <v>100</v>
      </c>
      <c r="F3248" s="3" t="s">
        <v>2862</v>
      </c>
      <c r="G3248" s="4">
        <v>77374</v>
      </c>
      <c r="I3248" s="4">
        <v>-24784927.859999999</v>
      </c>
    </row>
    <row r="3249" spans="1:9" x14ac:dyDescent="0.3">
      <c r="A3249" t="s">
        <v>1</v>
      </c>
      <c r="B3249" s="1">
        <v>45885</v>
      </c>
      <c r="C3249" s="1">
        <v>45887</v>
      </c>
      <c r="D3249">
        <v>102844</v>
      </c>
      <c r="E3249">
        <v>100</v>
      </c>
      <c r="F3249" s="3" t="s">
        <v>2863</v>
      </c>
      <c r="G3249" s="4">
        <v>18440.5</v>
      </c>
      <c r="I3249" s="4">
        <v>-24766487.359999999</v>
      </c>
    </row>
    <row r="3250" spans="1:9" x14ac:dyDescent="0.3">
      <c r="A3250" t="s">
        <v>1</v>
      </c>
      <c r="B3250" s="1">
        <v>45874</v>
      </c>
      <c r="C3250" s="1">
        <v>45887</v>
      </c>
      <c r="D3250">
        <v>102845</v>
      </c>
      <c r="E3250">
        <v>100</v>
      </c>
      <c r="F3250" s="3" t="s">
        <v>2864</v>
      </c>
      <c r="G3250" s="4">
        <v>166465</v>
      </c>
      <c r="I3250" s="4">
        <v>-24600022.359999999</v>
      </c>
    </row>
    <row r="3251" spans="1:9" x14ac:dyDescent="0.3">
      <c r="A3251" t="s">
        <v>1</v>
      </c>
      <c r="B3251" s="1">
        <v>45887</v>
      </c>
      <c r="C3251" s="1">
        <v>45887</v>
      </c>
      <c r="D3251">
        <v>102846</v>
      </c>
      <c r="E3251">
        <v>100</v>
      </c>
      <c r="F3251" s="3" t="s">
        <v>994</v>
      </c>
      <c r="G3251" s="4">
        <v>6100.37</v>
      </c>
      <c r="I3251" s="4">
        <v>-24593921.989999998</v>
      </c>
    </row>
    <row r="3252" spans="1:9" x14ac:dyDescent="0.3">
      <c r="A3252" t="s">
        <v>1</v>
      </c>
      <c r="B3252" s="1">
        <v>45887</v>
      </c>
      <c r="C3252" s="1">
        <v>45887</v>
      </c>
      <c r="D3252">
        <v>102848</v>
      </c>
      <c r="E3252">
        <v>100</v>
      </c>
      <c r="F3252" s="3" t="s">
        <v>971</v>
      </c>
      <c r="G3252" s="4">
        <v>827.1</v>
      </c>
      <c r="I3252" s="4">
        <v>-24593094.890000001</v>
      </c>
    </row>
    <row r="3253" spans="1:9" x14ac:dyDescent="0.3">
      <c r="A3253" t="s">
        <v>1</v>
      </c>
      <c r="B3253" s="1">
        <v>45887</v>
      </c>
      <c r="C3253" s="1">
        <v>45887</v>
      </c>
      <c r="D3253">
        <v>102849</v>
      </c>
      <c r="E3253">
        <v>100</v>
      </c>
      <c r="F3253" s="3" t="s">
        <v>1799</v>
      </c>
      <c r="G3253" s="4">
        <v>1062.0999999999999</v>
      </c>
      <c r="I3253" s="4">
        <v>-24592032.789999999</v>
      </c>
    </row>
    <row r="3254" spans="1:9" x14ac:dyDescent="0.3">
      <c r="A3254" t="s">
        <v>1</v>
      </c>
      <c r="B3254" s="1">
        <v>45885</v>
      </c>
      <c r="C3254" s="1">
        <v>45887</v>
      </c>
      <c r="D3254">
        <v>102851</v>
      </c>
      <c r="E3254">
        <v>100</v>
      </c>
      <c r="F3254" s="3" t="s">
        <v>2865</v>
      </c>
      <c r="G3254" s="4">
        <v>59183.55</v>
      </c>
      <c r="I3254" s="4">
        <v>-24532849.239999998</v>
      </c>
    </row>
    <row r="3255" spans="1:9" x14ac:dyDescent="0.3">
      <c r="A3255" t="s">
        <v>1</v>
      </c>
      <c r="B3255" s="1">
        <v>45887</v>
      </c>
      <c r="C3255" s="1">
        <v>45887</v>
      </c>
      <c r="D3255">
        <v>102853</v>
      </c>
      <c r="E3255">
        <v>100</v>
      </c>
      <c r="F3255" s="3" t="s">
        <v>2866</v>
      </c>
      <c r="G3255" s="4">
        <v>62100</v>
      </c>
      <c r="I3255" s="4">
        <v>-24470749.239999998</v>
      </c>
    </row>
    <row r="3256" spans="1:9" x14ac:dyDescent="0.3">
      <c r="A3256" t="s">
        <v>1</v>
      </c>
      <c r="B3256" s="1">
        <v>45887</v>
      </c>
      <c r="C3256" s="1">
        <v>45887</v>
      </c>
      <c r="D3256">
        <v>102857</v>
      </c>
      <c r="E3256">
        <v>100</v>
      </c>
      <c r="F3256" s="3" t="s">
        <v>2867</v>
      </c>
      <c r="G3256" s="4">
        <v>27440.75</v>
      </c>
      <c r="I3256" s="4">
        <v>-24443308.489999998</v>
      </c>
    </row>
    <row r="3257" spans="1:9" x14ac:dyDescent="0.3">
      <c r="A3257" t="s">
        <v>1</v>
      </c>
      <c r="B3257" s="1">
        <v>45887</v>
      </c>
      <c r="C3257" s="1">
        <v>45887</v>
      </c>
      <c r="D3257">
        <v>102858</v>
      </c>
      <c r="E3257">
        <v>100</v>
      </c>
      <c r="F3257" s="3" t="s">
        <v>2868</v>
      </c>
      <c r="G3257" s="4">
        <v>5104.16</v>
      </c>
      <c r="I3257" s="4">
        <v>-24438204.329999998</v>
      </c>
    </row>
    <row r="3258" spans="1:9" x14ac:dyDescent="0.3">
      <c r="A3258" t="s">
        <v>1</v>
      </c>
      <c r="B3258" s="1">
        <v>45887</v>
      </c>
      <c r="C3258" s="1">
        <v>45887</v>
      </c>
      <c r="D3258">
        <v>102859</v>
      </c>
      <c r="E3258">
        <v>100</v>
      </c>
      <c r="F3258" s="3" t="s">
        <v>2869</v>
      </c>
      <c r="G3258" s="4">
        <v>50472.25</v>
      </c>
      <c r="I3258" s="4">
        <v>-24387732.079999998</v>
      </c>
    </row>
    <row r="3259" spans="1:9" x14ac:dyDescent="0.3">
      <c r="A3259" t="s">
        <v>1</v>
      </c>
      <c r="B3259" s="1">
        <v>45885</v>
      </c>
      <c r="C3259" s="1">
        <v>45887</v>
      </c>
      <c r="D3259">
        <v>102860</v>
      </c>
      <c r="E3259">
        <v>100</v>
      </c>
      <c r="F3259" s="3" t="s">
        <v>2870</v>
      </c>
      <c r="G3259" s="4">
        <v>45916.25</v>
      </c>
      <c r="I3259" s="4">
        <v>-24341815.829999998</v>
      </c>
    </row>
    <row r="3260" spans="1:9" x14ac:dyDescent="0.3">
      <c r="A3260" t="s">
        <v>1</v>
      </c>
      <c r="B3260" s="1">
        <v>45887</v>
      </c>
      <c r="C3260" s="1">
        <v>45887</v>
      </c>
      <c r="D3260">
        <v>102862</v>
      </c>
      <c r="E3260">
        <v>100</v>
      </c>
      <c r="F3260" s="3" t="s">
        <v>2871</v>
      </c>
      <c r="G3260" s="4">
        <v>4000</v>
      </c>
      <c r="I3260" s="4">
        <v>-24337815.829999998</v>
      </c>
    </row>
    <row r="3261" spans="1:9" x14ac:dyDescent="0.3">
      <c r="A3261" t="s">
        <v>1</v>
      </c>
      <c r="B3261" s="1">
        <v>45887</v>
      </c>
      <c r="C3261" s="1">
        <v>45887</v>
      </c>
      <c r="D3261">
        <v>102863</v>
      </c>
      <c r="E3261">
        <v>100</v>
      </c>
      <c r="F3261" s="3" t="s">
        <v>2872</v>
      </c>
      <c r="G3261" s="4">
        <v>11383.23</v>
      </c>
      <c r="I3261" s="4">
        <v>-24326432.600000001</v>
      </c>
    </row>
    <row r="3262" spans="1:9" x14ac:dyDescent="0.3">
      <c r="A3262" t="s">
        <v>1</v>
      </c>
      <c r="B3262" s="1">
        <v>45881</v>
      </c>
      <c r="C3262" s="1">
        <v>45887</v>
      </c>
      <c r="D3262">
        <v>102866</v>
      </c>
      <c r="E3262">
        <v>100</v>
      </c>
      <c r="F3262" s="3" t="s">
        <v>2873</v>
      </c>
      <c r="G3262" s="4">
        <v>30026.28</v>
      </c>
      <c r="I3262" s="4">
        <v>-24296406.32</v>
      </c>
    </row>
    <row r="3263" spans="1:9" x14ac:dyDescent="0.3">
      <c r="A3263" t="s">
        <v>1</v>
      </c>
      <c r="B3263" s="1">
        <v>45884</v>
      </c>
      <c r="C3263" s="1">
        <v>45887</v>
      </c>
      <c r="D3263">
        <v>102867</v>
      </c>
      <c r="E3263">
        <v>100</v>
      </c>
      <c r="F3263" s="3" t="s">
        <v>11</v>
      </c>
      <c r="G3263" s="4">
        <v>52.5</v>
      </c>
      <c r="I3263" s="4">
        <v>-24296353.82</v>
      </c>
    </row>
    <row r="3264" spans="1:9" x14ac:dyDescent="0.3">
      <c r="A3264" t="s">
        <v>1</v>
      </c>
      <c r="B3264" s="1">
        <v>45883</v>
      </c>
      <c r="C3264" s="1">
        <v>45887</v>
      </c>
      <c r="D3264">
        <v>102868</v>
      </c>
      <c r="E3264">
        <v>100</v>
      </c>
      <c r="F3264" s="3" t="s">
        <v>2874</v>
      </c>
      <c r="G3264" s="4">
        <v>75956.5</v>
      </c>
      <c r="I3264" s="4">
        <v>-24220397.32</v>
      </c>
    </row>
    <row r="3265" spans="1:9" x14ac:dyDescent="0.3">
      <c r="A3265" t="s">
        <v>1</v>
      </c>
      <c r="B3265" s="1">
        <v>45887</v>
      </c>
      <c r="C3265" s="1">
        <v>45887</v>
      </c>
      <c r="D3265">
        <v>102869</v>
      </c>
      <c r="E3265">
        <v>100</v>
      </c>
      <c r="F3265" s="3" t="s">
        <v>2875</v>
      </c>
      <c r="G3265" s="4">
        <v>18004</v>
      </c>
      <c r="I3265" s="4">
        <v>-24202393.32</v>
      </c>
    </row>
    <row r="3266" spans="1:9" x14ac:dyDescent="0.3">
      <c r="A3266" t="s">
        <v>1</v>
      </c>
      <c r="B3266" s="1">
        <v>45887</v>
      </c>
      <c r="C3266" s="1">
        <v>45887</v>
      </c>
      <c r="D3266">
        <v>102878</v>
      </c>
      <c r="E3266">
        <v>100</v>
      </c>
      <c r="F3266" s="3" t="s">
        <v>2876</v>
      </c>
      <c r="G3266" s="4">
        <v>2453.4699999999998</v>
      </c>
      <c r="I3266" s="4">
        <v>-24199939.850000001</v>
      </c>
    </row>
    <row r="3267" spans="1:9" x14ac:dyDescent="0.3">
      <c r="A3267" t="s">
        <v>1</v>
      </c>
      <c r="B3267" s="1">
        <v>45887</v>
      </c>
      <c r="C3267" s="1">
        <v>45887</v>
      </c>
      <c r="D3267">
        <v>102879</v>
      </c>
      <c r="E3267">
        <v>100</v>
      </c>
      <c r="F3267" s="3" t="s">
        <v>2877</v>
      </c>
      <c r="G3267" s="4">
        <v>294171.8</v>
      </c>
      <c r="I3267" s="4">
        <v>-23905768.050000001</v>
      </c>
    </row>
    <row r="3268" spans="1:9" x14ac:dyDescent="0.3">
      <c r="A3268" t="s">
        <v>1</v>
      </c>
      <c r="B3268" s="1">
        <v>45878</v>
      </c>
      <c r="C3268" s="1">
        <v>45887</v>
      </c>
      <c r="D3268">
        <v>102880</v>
      </c>
      <c r="E3268">
        <v>100</v>
      </c>
      <c r="F3268" s="3" t="s">
        <v>2878</v>
      </c>
      <c r="G3268" s="4">
        <v>92512</v>
      </c>
      <c r="I3268" s="4">
        <v>-23813256.050000001</v>
      </c>
    </row>
    <row r="3269" spans="1:9" x14ac:dyDescent="0.3">
      <c r="A3269" t="s">
        <v>1</v>
      </c>
      <c r="B3269" s="1">
        <v>45878</v>
      </c>
      <c r="C3269" s="1">
        <v>45887</v>
      </c>
      <c r="D3269">
        <v>102881</v>
      </c>
      <c r="E3269">
        <v>100</v>
      </c>
      <c r="F3269" s="3" t="s">
        <v>2879</v>
      </c>
      <c r="G3269" s="4">
        <v>100000</v>
      </c>
      <c r="I3269" s="4">
        <v>-23713256.050000001</v>
      </c>
    </row>
    <row r="3270" spans="1:9" x14ac:dyDescent="0.3">
      <c r="A3270" t="s">
        <v>1</v>
      </c>
      <c r="B3270" s="1">
        <v>45875</v>
      </c>
      <c r="C3270" s="1">
        <v>45887</v>
      </c>
      <c r="D3270">
        <v>102886</v>
      </c>
      <c r="E3270">
        <v>100</v>
      </c>
      <c r="F3270" s="3" t="s">
        <v>2880</v>
      </c>
      <c r="G3270" s="4">
        <v>2303.25</v>
      </c>
      <c r="I3270" s="4">
        <v>-23710952.800000001</v>
      </c>
    </row>
    <row r="3271" spans="1:9" x14ac:dyDescent="0.3">
      <c r="A3271" t="s">
        <v>75</v>
      </c>
      <c r="B3271" s="1">
        <v>45887</v>
      </c>
      <c r="C3271" s="1">
        <v>45887</v>
      </c>
      <c r="D3271">
        <v>143589</v>
      </c>
      <c r="E3271">
        <v>67</v>
      </c>
      <c r="F3271" s="3" t="s">
        <v>2881</v>
      </c>
      <c r="G3271" s="4">
        <v>3500</v>
      </c>
      <c r="H3271" s="4">
        <v>0</v>
      </c>
      <c r="I3271" s="4">
        <v>-23707452.800000001</v>
      </c>
    </row>
    <row r="3272" spans="1:9" x14ac:dyDescent="0.3">
      <c r="A3272" t="s">
        <v>75</v>
      </c>
      <c r="B3272" s="1">
        <v>45886</v>
      </c>
      <c r="C3272" s="1">
        <v>45887</v>
      </c>
      <c r="D3272">
        <v>143591</v>
      </c>
      <c r="E3272">
        <v>33</v>
      </c>
      <c r="F3272" s="3" t="s">
        <v>2882</v>
      </c>
      <c r="G3272" s="4">
        <v>40000</v>
      </c>
      <c r="H3272" s="4">
        <v>0</v>
      </c>
      <c r="I3272" s="4">
        <v>-23667452.800000001</v>
      </c>
    </row>
    <row r="3273" spans="1:9" x14ac:dyDescent="0.3">
      <c r="A3273" t="s">
        <v>75</v>
      </c>
      <c r="B3273" s="1">
        <v>45884</v>
      </c>
      <c r="C3273" s="1">
        <v>45887</v>
      </c>
      <c r="D3273">
        <v>143592</v>
      </c>
      <c r="E3273">
        <v>11</v>
      </c>
      <c r="F3273" s="3" t="s">
        <v>2883</v>
      </c>
      <c r="G3273" s="4">
        <v>10000</v>
      </c>
      <c r="H3273" s="4">
        <v>0</v>
      </c>
      <c r="I3273" s="4">
        <v>-23657452.800000001</v>
      </c>
    </row>
    <row r="3274" spans="1:9" x14ac:dyDescent="0.3">
      <c r="A3274" t="s">
        <v>75</v>
      </c>
      <c r="B3274" s="1">
        <v>45887</v>
      </c>
      <c r="C3274" s="1">
        <v>45887</v>
      </c>
      <c r="D3274">
        <v>143593</v>
      </c>
      <c r="E3274">
        <v>14</v>
      </c>
      <c r="F3274" s="3" t="s">
        <v>2884</v>
      </c>
      <c r="G3274" s="4">
        <v>75000</v>
      </c>
      <c r="H3274" s="4">
        <v>0</v>
      </c>
      <c r="I3274" s="4">
        <v>-23582452.800000001</v>
      </c>
    </row>
    <row r="3275" spans="1:9" x14ac:dyDescent="0.3">
      <c r="A3275" t="s">
        <v>75</v>
      </c>
      <c r="B3275" s="1">
        <v>45887</v>
      </c>
      <c r="C3275" s="1">
        <v>45887</v>
      </c>
      <c r="D3275">
        <v>143594</v>
      </c>
      <c r="E3275">
        <v>61</v>
      </c>
      <c r="F3275" s="3" t="s">
        <v>2885</v>
      </c>
      <c r="G3275" s="4">
        <v>21494.25</v>
      </c>
      <c r="H3275" s="4">
        <v>0</v>
      </c>
      <c r="I3275" s="4">
        <v>-23560958.550000001</v>
      </c>
    </row>
    <row r="3276" spans="1:9" x14ac:dyDescent="0.3">
      <c r="A3276" t="s">
        <v>75</v>
      </c>
      <c r="B3276" s="1">
        <v>45865</v>
      </c>
      <c r="C3276" s="1">
        <v>45887</v>
      </c>
      <c r="D3276">
        <v>143597</v>
      </c>
      <c r="E3276">
        <v>17</v>
      </c>
      <c r="F3276" s="3" t="s">
        <v>2886</v>
      </c>
      <c r="G3276" s="4">
        <v>1500</v>
      </c>
      <c r="H3276" s="4">
        <v>0</v>
      </c>
      <c r="I3276" s="4">
        <v>-23559458.550000001</v>
      </c>
    </row>
    <row r="3277" spans="1:9" x14ac:dyDescent="0.3">
      <c r="A3277" t="s">
        <v>75</v>
      </c>
      <c r="B3277" s="1">
        <v>45887</v>
      </c>
      <c r="C3277" s="1">
        <v>45887</v>
      </c>
      <c r="D3277">
        <v>143598</v>
      </c>
      <c r="E3277">
        <v>16</v>
      </c>
      <c r="F3277" s="3" t="s">
        <v>2887</v>
      </c>
      <c r="G3277" s="4">
        <v>55170.5</v>
      </c>
      <c r="H3277" s="4">
        <v>0</v>
      </c>
      <c r="I3277" s="4">
        <v>-23504288.050000001</v>
      </c>
    </row>
    <row r="3278" spans="1:9" x14ac:dyDescent="0.3">
      <c r="A3278" t="s">
        <v>75</v>
      </c>
      <c r="B3278" s="1">
        <v>45887</v>
      </c>
      <c r="C3278" s="1">
        <v>45887</v>
      </c>
      <c r="D3278">
        <v>143602</v>
      </c>
      <c r="E3278">
        <v>67</v>
      </c>
      <c r="F3278" s="3" t="s">
        <v>2888</v>
      </c>
      <c r="G3278" s="4">
        <v>50000</v>
      </c>
      <c r="H3278" s="4">
        <v>0</v>
      </c>
      <c r="I3278" s="4">
        <v>-23454288.050000001</v>
      </c>
    </row>
    <row r="3279" spans="1:9" x14ac:dyDescent="0.3">
      <c r="A3279" t="s">
        <v>75</v>
      </c>
      <c r="B3279" s="1">
        <v>45882</v>
      </c>
      <c r="C3279" s="1">
        <v>45887</v>
      </c>
      <c r="D3279">
        <v>143605</v>
      </c>
      <c r="E3279">
        <v>86</v>
      </c>
      <c r="F3279" s="3" t="s">
        <v>2889</v>
      </c>
      <c r="G3279" s="4">
        <v>3355.5</v>
      </c>
      <c r="H3279" s="4">
        <v>0</v>
      </c>
      <c r="I3279" s="4">
        <v>-23450932.550000001</v>
      </c>
    </row>
    <row r="3280" spans="1:9" x14ac:dyDescent="0.3">
      <c r="A3280" t="s">
        <v>75</v>
      </c>
      <c r="B3280" s="1">
        <v>45870</v>
      </c>
      <c r="C3280" s="1">
        <v>45887</v>
      </c>
      <c r="D3280">
        <v>143607</v>
      </c>
      <c r="E3280">
        <v>11</v>
      </c>
      <c r="F3280" s="3" t="s">
        <v>2890</v>
      </c>
      <c r="G3280" s="4">
        <v>49764.5</v>
      </c>
      <c r="H3280" s="4">
        <v>0</v>
      </c>
      <c r="I3280" s="4">
        <v>-23401168.050000001</v>
      </c>
    </row>
    <row r="3281" spans="1:9" x14ac:dyDescent="0.3">
      <c r="A3281" t="s">
        <v>75</v>
      </c>
      <c r="B3281" s="1">
        <v>45868</v>
      </c>
      <c r="C3281" s="1">
        <v>45887</v>
      </c>
      <c r="D3281">
        <v>143608</v>
      </c>
      <c r="E3281">
        <v>11</v>
      </c>
      <c r="F3281" s="3" t="s">
        <v>2891</v>
      </c>
      <c r="G3281" s="4">
        <v>30000</v>
      </c>
      <c r="H3281" s="4">
        <v>0</v>
      </c>
      <c r="I3281" s="4">
        <v>-23371168.050000001</v>
      </c>
    </row>
    <row r="3282" spans="1:9" x14ac:dyDescent="0.3">
      <c r="A3282" t="s">
        <v>75</v>
      </c>
      <c r="B3282" s="1">
        <v>45873</v>
      </c>
      <c r="C3282" s="1">
        <v>45887</v>
      </c>
      <c r="D3282">
        <v>143611</v>
      </c>
      <c r="E3282">
        <v>11</v>
      </c>
      <c r="F3282" s="3" t="s">
        <v>2892</v>
      </c>
      <c r="G3282" s="4">
        <v>336020</v>
      </c>
      <c r="H3282" s="4">
        <v>0</v>
      </c>
      <c r="I3282" s="4">
        <v>-23035148.050000001</v>
      </c>
    </row>
    <row r="3283" spans="1:9" x14ac:dyDescent="0.3">
      <c r="A3283" t="s">
        <v>75</v>
      </c>
      <c r="B3283" s="1">
        <v>45887</v>
      </c>
      <c r="C3283" s="1">
        <v>45887</v>
      </c>
      <c r="D3283">
        <v>143612</v>
      </c>
      <c r="E3283">
        <v>72</v>
      </c>
      <c r="F3283" s="3" t="s">
        <v>2893</v>
      </c>
      <c r="G3283" s="4">
        <v>31072.75</v>
      </c>
      <c r="H3283" s="4">
        <v>0</v>
      </c>
      <c r="I3283" s="4">
        <v>-23004075.300000001</v>
      </c>
    </row>
    <row r="3284" spans="1:9" x14ac:dyDescent="0.3">
      <c r="A3284" t="s">
        <v>75</v>
      </c>
      <c r="B3284" s="1">
        <v>45887</v>
      </c>
      <c r="C3284" s="1">
        <v>45887</v>
      </c>
      <c r="D3284">
        <v>143613</v>
      </c>
      <c r="E3284">
        <v>11</v>
      </c>
      <c r="F3284" s="3" t="s">
        <v>2894</v>
      </c>
      <c r="G3284" s="4">
        <v>15991</v>
      </c>
      <c r="H3284" s="4">
        <v>0</v>
      </c>
      <c r="I3284" s="4">
        <v>-22988084.300000001</v>
      </c>
    </row>
    <row r="3285" spans="1:9" x14ac:dyDescent="0.3">
      <c r="A3285" t="s">
        <v>75</v>
      </c>
      <c r="B3285" s="1">
        <v>45878</v>
      </c>
      <c r="C3285" s="1">
        <v>45887</v>
      </c>
      <c r="D3285">
        <v>143615</v>
      </c>
      <c r="E3285">
        <v>91</v>
      </c>
      <c r="F3285" s="3" t="s">
        <v>2895</v>
      </c>
      <c r="G3285" s="4">
        <v>26513.5</v>
      </c>
      <c r="H3285" s="4">
        <v>0</v>
      </c>
      <c r="I3285" s="4">
        <v>-22961570.800000001</v>
      </c>
    </row>
    <row r="3286" spans="1:9" x14ac:dyDescent="0.3">
      <c r="A3286" t="s">
        <v>75</v>
      </c>
      <c r="B3286" s="1">
        <v>45884</v>
      </c>
      <c r="C3286" s="1">
        <v>45887</v>
      </c>
      <c r="D3286">
        <v>143616</v>
      </c>
      <c r="E3286">
        <v>34</v>
      </c>
      <c r="F3286" s="3" t="s">
        <v>2896</v>
      </c>
      <c r="G3286" s="4">
        <v>30263.5</v>
      </c>
      <c r="H3286" s="4">
        <v>0</v>
      </c>
      <c r="I3286" s="4">
        <v>-22931307.300000001</v>
      </c>
    </row>
    <row r="3287" spans="1:9" x14ac:dyDescent="0.3">
      <c r="A3287" t="s">
        <v>75</v>
      </c>
      <c r="B3287" s="1">
        <v>45880</v>
      </c>
      <c r="C3287" s="1">
        <v>45887</v>
      </c>
      <c r="D3287">
        <v>143617</v>
      </c>
      <c r="E3287">
        <v>63</v>
      </c>
      <c r="F3287" s="3" t="s">
        <v>2897</v>
      </c>
      <c r="G3287" s="4">
        <v>919</v>
      </c>
      <c r="H3287" s="4">
        <v>0</v>
      </c>
      <c r="I3287" s="4">
        <v>-22930388.300000001</v>
      </c>
    </row>
    <row r="3288" spans="1:9" x14ac:dyDescent="0.3">
      <c r="A3288" t="s">
        <v>75</v>
      </c>
      <c r="B3288" s="1">
        <v>45886</v>
      </c>
      <c r="C3288" s="1">
        <v>45887</v>
      </c>
      <c r="D3288">
        <v>143618</v>
      </c>
      <c r="E3288">
        <v>11</v>
      </c>
      <c r="F3288" s="3" t="s">
        <v>2898</v>
      </c>
      <c r="G3288" s="4">
        <v>100000</v>
      </c>
      <c r="H3288" s="4">
        <v>0</v>
      </c>
      <c r="I3288" s="4">
        <v>-22830388.300000001</v>
      </c>
    </row>
    <row r="3289" spans="1:9" x14ac:dyDescent="0.3">
      <c r="A3289" t="s">
        <v>75</v>
      </c>
      <c r="B3289" s="1">
        <v>45873</v>
      </c>
      <c r="C3289" s="1">
        <v>45887</v>
      </c>
      <c r="D3289">
        <v>143619</v>
      </c>
      <c r="E3289">
        <v>34</v>
      </c>
      <c r="F3289" s="3" t="s">
        <v>2899</v>
      </c>
      <c r="G3289" s="4">
        <v>160158.5</v>
      </c>
      <c r="H3289" s="4">
        <v>0</v>
      </c>
      <c r="I3289" s="4">
        <v>-22670229.800000001</v>
      </c>
    </row>
    <row r="3290" spans="1:9" x14ac:dyDescent="0.3">
      <c r="A3290" t="s">
        <v>75</v>
      </c>
      <c r="B3290" s="1">
        <v>45879</v>
      </c>
      <c r="C3290" s="1">
        <v>45887</v>
      </c>
      <c r="D3290">
        <v>143620</v>
      </c>
      <c r="E3290">
        <v>63</v>
      </c>
      <c r="F3290" s="3" t="s">
        <v>2900</v>
      </c>
      <c r="G3290" s="4">
        <v>1000</v>
      </c>
      <c r="H3290" s="4">
        <v>0</v>
      </c>
      <c r="I3290" s="4">
        <v>-22669229.800000001</v>
      </c>
    </row>
    <row r="3291" spans="1:9" x14ac:dyDescent="0.3">
      <c r="A3291" t="s">
        <v>75</v>
      </c>
      <c r="B3291" s="1">
        <v>45876</v>
      </c>
      <c r="C3291" s="1">
        <v>45887</v>
      </c>
      <c r="D3291">
        <v>143622</v>
      </c>
      <c r="E3291">
        <v>63</v>
      </c>
      <c r="F3291" s="3" t="s">
        <v>2901</v>
      </c>
      <c r="G3291" s="4">
        <v>561</v>
      </c>
      <c r="H3291" s="4">
        <v>0</v>
      </c>
      <c r="I3291" s="4">
        <v>-22668668.800000001</v>
      </c>
    </row>
    <row r="3292" spans="1:9" x14ac:dyDescent="0.3">
      <c r="A3292" t="s">
        <v>75</v>
      </c>
      <c r="B3292" s="1">
        <v>45882</v>
      </c>
      <c r="C3292" s="1">
        <v>45887</v>
      </c>
      <c r="D3292">
        <v>143624</v>
      </c>
      <c r="E3292">
        <v>34</v>
      </c>
      <c r="F3292" s="3" t="s">
        <v>2902</v>
      </c>
      <c r="G3292" s="4">
        <v>147020.5</v>
      </c>
      <c r="H3292" s="4">
        <v>0</v>
      </c>
      <c r="I3292" s="4">
        <v>-22521648.300000001</v>
      </c>
    </row>
    <row r="3293" spans="1:9" x14ac:dyDescent="0.3">
      <c r="A3293" t="s">
        <v>75</v>
      </c>
      <c r="B3293" s="1">
        <v>45887</v>
      </c>
      <c r="C3293" s="1">
        <v>45887</v>
      </c>
      <c r="D3293">
        <v>143625</v>
      </c>
      <c r="E3293">
        <v>16</v>
      </c>
      <c r="F3293" s="3" t="s">
        <v>2903</v>
      </c>
      <c r="G3293" s="4">
        <v>7050.5</v>
      </c>
      <c r="H3293" s="4">
        <v>0</v>
      </c>
      <c r="I3293" s="4">
        <v>-22514597.800000001</v>
      </c>
    </row>
    <row r="3294" spans="1:9" x14ac:dyDescent="0.3">
      <c r="A3294" t="s">
        <v>75</v>
      </c>
      <c r="B3294" s="1">
        <v>45874</v>
      </c>
      <c r="C3294" s="1">
        <v>45887</v>
      </c>
      <c r="D3294">
        <v>143626</v>
      </c>
      <c r="E3294">
        <v>34</v>
      </c>
      <c r="F3294" s="3" t="s">
        <v>2904</v>
      </c>
      <c r="G3294" s="4">
        <v>73400</v>
      </c>
      <c r="H3294" s="4">
        <v>0</v>
      </c>
      <c r="I3294" s="4">
        <v>-22441197.800000001</v>
      </c>
    </row>
    <row r="3295" spans="1:9" x14ac:dyDescent="0.3">
      <c r="A3295" t="s">
        <v>75</v>
      </c>
      <c r="B3295" s="1">
        <v>45887</v>
      </c>
      <c r="C3295" s="1">
        <v>45887</v>
      </c>
      <c r="D3295">
        <v>143627</v>
      </c>
      <c r="E3295">
        <v>34</v>
      </c>
      <c r="F3295" s="3" t="s">
        <v>2905</v>
      </c>
      <c r="G3295" s="4">
        <v>18428</v>
      </c>
      <c r="H3295" s="4">
        <v>0</v>
      </c>
      <c r="I3295" s="4">
        <v>-22422769.800000001</v>
      </c>
    </row>
    <row r="3296" spans="1:9" x14ac:dyDescent="0.3">
      <c r="A3296" t="s">
        <v>75</v>
      </c>
      <c r="B3296" s="1">
        <v>45887</v>
      </c>
      <c r="C3296" s="1">
        <v>45887</v>
      </c>
      <c r="D3296">
        <v>143628</v>
      </c>
      <c r="E3296">
        <v>11</v>
      </c>
      <c r="F3296" s="3" t="s">
        <v>2906</v>
      </c>
      <c r="G3296" s="4">
        <v>25172.5</v>
      </c>
      <c r="H3296" s="4">
        <v>0</v>
      </c>
      <c r="I3296" s="4">
        <v>-22397597.300000001</v>
      </c>
    </row>
    <row r="3297" spans="1:9" x14ac:dyDescent="0.3">
      <c r="A3297" t="s">
        <v>75</v>
      </c>
      <c r="B3297" s="1">
        <v>45870</v>
      </c>
      <c r="C3297" s="1">
        <v>45887</v>
      </c>
      <c r="D3297">
        <v>143629</v>
      </c>
      <c r="E3297">
        <v>69</v>
      </c>
      <c r="F3297" s="3" t="s">
        <v>2907</v>
      </c>
      <c r="G3297" s="4">
        <v>48750</v>
      </c>
      <c r="H3297" s="4">
        <v>0</v>
      </c>
      <c r="I3297" s="4">
        <v>-22348847.300000001</v>
      </c>
    </row>
    <row r="3298" spans="1:9" x14ac:dyDescent="0.3">
      <c r="A3298" t="s">
        <v>75</v>
      </c>
      <c r="B3298" s="1">
        <v>45887</v>
      </c>
      <c r="C3298" s="1">
        <v>45887</v>
      </c>
      <c r="D3298">
        <v>143630</v>
      </c>
      <c r="E3298">
        <v>58</v>
      </c>
      <c r="F3298" s="3" t="s">
        <v>2908</v>
      </c>
      <c r="G3298" s="4">
        <v>225.75</v>
      </c>
      <c r="H3298" s="4">
        <v>0</v>
      </c>
      <c r="I3298" s="4">
        <v>-22348621.550000001</v>
      </c>
    </row>
    <row r="3299" spans="1:9" x14ac:dyDescent="0.3">
      <c r="A3299" t="s">
        <v>75</v>
      </c>
      <c r="B3299" s="1">
        <v>45887</v>
      </c>
      <c r="C3299" s="1">
        <v>45887</v>
      </c>
      <c r="D3299">
        <v>143631</v>
      </c>
      <c r="E3299">
        <v>11</v>
      </c>
      <c r="F3299" s="3" t="s">
        <v>2909</v>
      </c>
      <c r="G3299" s="4">
        <v>36840</v>
      </c>
      <c r="H3299" s="4">
        <v>0</v>
      </c>
      <c r="I3299" s="4">
        <v>-22311781.550000001</v>
      </c>
    </row>
    <row r="3300" spans="1:9" x14ac:dyDescent="0.3">
      <c r="A3300" t="s">
        <v>75</v>
      </c>
      <c r="B3300" s="1">
        <v>45887</v>
      </c>
      <c r="C3300" s="1">
        <v>45887</v>
      </c>
      <c r="D3300">
        <v>143632</v>
      </c>
      <c r="E3300">
        <v>23</v>
      </c>
      <c r="F3300" s="3" t="s">
        <v>2910</v>
      </c>
      <c r="G3300" s="4">
        <v>43575.5</v>
      </c>
      <c r="H3300" s="4">
        <v>0</v>
      </c>
      <c r="I3300" s="4">
        <v>-22268206.050000001</v>
      </c>
    </row>
    <row r="3301" spans="1:9" x14ac:dyDescent="0.3">
      <c r="A3301" t="s">
        <v>75</v>
      </c>
      <c r="B3301" s="1">
        <v>45884</v>
      </c>
      <c r="C3301" s="1">
        <v>45887</v>
      </c>
      <c r="D3301">
        <v>143633</v>
      </c>
      <c r="E3301">
        <v>23</v>
      </c>
      <c r="F3301" s="3" t="s">
        <v>2911</v>
      </c>
      <c r="G3301" s="4">
        <v>76373.5</v>
      </c>
      <c r="H3301" s="4">
        <v>0</v>
      </c>
      <c r="I3301" s="4">
        <v>-22191832.550000001</v>
      </c>
    </row>
    <row r="3302" spans="1:9" x14ac:dyDescent="0.3">
      <c r="A3302" t="s">
        <v>75</v>
      </c>
      <c r="B3302" s="1">
        <v>45881</v>
      </c>
      <c r="C3302" s="1">
        <v>45887</v>
      </c>
      <c r="D3302">
        <v>143634</v>
      </c>
      <c r="E3302">
        <v>76</v>
      </c>
      <c r="F3302" s="3" t="s">
        <v>2912</v>
      </c>
      <c r="G3302" s="4">
        <v>90739.75</v>
      </c>
      <c r="H3302" s="4">
        <v>0</v>
      </c>
      <c r="I3302" s="4">
        <v>-22101092.800000001</v>
      </c>
    </row>
    <row r="3303" spans="1:9" x14ac:dyDescent="0.3">
      <c r="A3303" t="s">
        <v>75</v>
      </c>
      <c r="B3303" s="1">
        <v>45881</v>
      </c>
      <c r="C3303" s="1">
        <v>45887</v>
      </c>
      <c r="D3303">
        <v>143636</v>
      </c>
      <c r="E3303">
        <v>34</v>
      </c>
      <c r="F3303" s="3" t="s">
        <v>2913</v>
      </c>
      <c r="G3303" s="4">
        <v>184936.25</v>
      </c>
      <c r="H3303" s="4">
        <v>0</v>
      </c>
      <c r="I3303" s="4">
        <v>-21916156.550000001</v>
      </c>
    </row>
    <row r="3304" spans="1:9" x14ac:dyDescent="0.3">
      <c r="A3304" t="s">
        <v>75</v>
      </c>
      <c r="B3304" s="1">
        <v>45887</v>
      </c>
      <c r="C3304" s="1">
        <v>45887</v>
      </c>
      <c r="D3304">
        <v>143637</v>
      </c>
      <c r="E3304">
        <v>16</v>
      </c>
      <c r="F3304" s="3" t="s">
        <v>2914</v>
      </c>
      <c r="G3304" s="4">
        <v>7592</v>
      </c>
      <c r="H3304" s="4">
        <v>0</v>
      </c>
      <c r="I3304" s="4">
        <v>-21908564.550000001</v>
      </c>
    </row>
    <row r="3305" spans="1:9" x14ac:dyDescent="0.3">
      <c r="A3305" t="s">
        <v>75</v>
      </c>
      <c r="B3305" s="1">
        <v>45882</v>
      </c>
      <c r="C3305" s="1">
        <v>45887</v>
      </c>
      <c r="D3305">
        <v>143639</v>
      </c>
      <c r="E3305">
        <v>97</v>
      </c>
      <c r="F3305" s="3" t="s">
        <v>2915</v>
      </c>
      <c r="G3305" s="4">
        <v>6030.75</v>
      </c>
      <c r="H3305" s="4">
        <v>0</v>
      </c>
      <c r="I3305" s="4">
        <v>-21902533.800000001</v>
      </c>
    </row>
    <row r="3306" spans="1:9" x14ac:dyDescent="0.3">
      <c r="A3306" t="s">
        <v>75</v>
      </c>
      <c r="B3306" s="1">
        <v>45867</v>
      </c>
      <c r="C3306" s="1">
        <v>45887</v>
      </c>
      <c r="D3306">
        <v>143641</v>
      </c>
      <c r="E3306">
        <v>69</v>
      </c>
      <c r="F3306" s="3" t="s">
        <v>2916</v>
      </c>
      <c r="G3306" s="4">
        <v>21231</v>
      </c>
      <c r="H3306" s="4">
        <v>0</v>
      </c>
      <c r="I3306" s="4">
        <v>-21881302.800000001</v>
      </c>
    </row>
    <row r="3307" spans="1:9" x14ac:dyDescent="0.3">
      <c r="A3307" t="s">
        <v>75</v>
      </c>
      <c r="B3307" s="1">
        <v>45868</v>
      </c>
      <c r="C3307" s="1">
        <v>45887</v>
      </c>
      <c r="D3307">
        <v>143642</v>
      </c>
      <c r="E3307">
        <v>69</v>
      </c>
      <c r="F3307" s="3" t="s">
        <v>2917</v>
      </c>
      <c r="G3307" s="4">
        <v>110000</v>
      </c>
      <c r="H3307" s="4">
        <v>0</v>
      </c>
      <c r="I3307" s="4">
        <v>-21771302.800000001</v>
      </c>
    </row>
    <row r="3308" spans="1:9" x14ac:dyDescent="0.3">
      <c r="A3308" t="s">
        <v>75</v>
      </c>
      <c r="B3308" s="1">
        <v>45867</v>
      </c>
      <c r="C3308" s="1">
        <v>45887</v>
      </c>
      <c r="D3308">
        <v>143643</v>
      </c>
      <c r="E3308">
        <v>69</v>
      </c>
      <c r="F3308" s="3" t="s">
        <v>2918</v>
      </c>
      <c r="G3308" s="4">
        <v>12754.75</v>
      </c>
      <c r="H3308" s="4">
        <v>0</v>
      </c>
      <c r="I3308" s="4">
        <v>-21758548.050000001</v>
      </c>
    </row>
    <row r="3309" spans="1:9" x14ac:dyDescent="0.3">
      <c r="A3309" t="s">
        <v>75</v>
      </c>
      <c r="B3309" s="1">
        <v>45887</v>
      </c>
      <c r="C3309" s="1">
        <v>45887</v>
      </c>
      <c r="D3309">
        <v>143644</v>
      </c>
      <c r="E3309">
        <v>63</v>
      </c>
      <c r="F3309" s="3" t="s">
        <v>2919</v>
      </c>
      <c r="G3309" s="4">
        <v>300000</v>
      </c>
      <c r="H3309" s="4">
        <v>0</v>
      </c>
      <c r="I3309" s="4">
        <v>-21458548.050000001</v>
      </c>
    </row>
    <row r="3310" spans="1:9" x14ac:dyDescent="0.3">
      <c r="A3310" t="s">
        <v>75</v>
      </c>
      <c r="B3310" s="1">
        <v>45887</v>
      </c>
      <c r="C3310" s="1">
        <v>45887</v>
      </c>
      <c r="D3310">
        <v>143645</v>
      </c>
      <c r="E3310">
        <v>14</v>
      </c>
      <c r="F3310" s="3" t="s">
        <v>2920</v>
      </c>
      <c r="G3310" s="4">
        <v>3500</v>
      </c>
      <c r="H3310" s="4">
        <v>0</v>
      </c>
      <c r="I3310" s="4">
        <v>-21455048.050000001</v>
      </c>
    </row>
    <row r="3311" spans="1:9" x14ac:dyDescent="0.3">
      <c r="A3311" t="s">
        <v>75</v>
      </c>
      <c r="B3311" s="1">
        <v>45887</v>
      </c>
      <c r="C3311" s="1">
        <v>45887</v>
      </c>
      <c r="D3311">
        <v>143646</v>
      </c>
      <c r="E3311">
        <v>23</v>
      </c>
      <c r="F3311" s="3" t="s">
        <v>2921</v>
      </c>
      <c r="G3311" s="4">
        <v>43131.5</v>
      </c>
      <c r="H3311" s="4">
        <v>0</v>
      </c>
      <c r="I3311" s="4">
        <v>-21411916.550000001</v>
      </c>
    </row>
    <row r="3312" spans="1:9" x14ac:dyDescent="0.3">
      <c r="A3312" t="s">
        <v>75</v>
      </c>
      <c r="B3312" s="1">
        <v>45887</v>
      </c>
      <c r="C3312" s="1">
        <v>45887</v>
      </c>
      <c r="D3312">
        <v>143647</v>
      </c>
      <c r="E3312">
        <v>23</v>
      </c>
      <c r="F3312" s="3" t="s">
        <v>2922</v>
      </c>
      <c r="G3312" s="4">
        <v>18527.75</v>
      </c>
      <c r="H3312" s="4">
        <v>0</v>
      </c>
      <c r="I3312" s="4">
        <v>-21393388.800000001</v>
      </c>
    </row>
    <row r="3313" spans="1:9" x14ac:dyDescent="0.3">
      <c r="A3313" t="s">
        <v>75</v>
      </c>
      <c r="B3313" s="1">
        <v>45887</v>
      </c>
      <c r="C3313" s="1">
        <v>45887</v>
      </c>
      <c r="D3313">
        <v>143648</v>
      </c>
      <c r="E3313">
        <v>16</v>
      </c>
      <c r="F3313" s="3" t="s">
        <v>2923</v>
      </c>
      <c r="G3313" s="4">
        <v>14800</v>
      </c>
      <c r="H3313" s="4">
        <v>0</v>
      </c>
      <c r="I3313" s="4">
        <v>-21378588.800000001</v>
      </c>
    </row>
    <row r="3314" spans="1:9" x14ac:dyDescent="0.3">
      <c r="A3314" t="s">
        <v>75</v>
      </c>
      <c r="B3314" s="1">
        <v>45887</v>
      </c>
      <c r="C3314" s="1">
        <v>45887</v>
      </c>
      <c r="D3314">
        <v>143649</v>
      </c>
      <c r="E3314">
        <v>62</v>
      </c>
      <c r="F3314" s="3" t="s">
        <v>2924</v>
      </c>
      <c r="G3314" s="4">
        <v>49213</v>
      </c>
      <c r="H3314" s="4">
        <v>0</v>
      </c>
      <c r="I3314" s="4">
        <v>-21329375.800000001</v>
      </c>
    </row>
    <row r="3315" spans="1:9" x14ac:dyDescent="0.3">
      <c r="A3315" t="s">
        <v>75</v>
      </c>
      <c r="B3315" s="1">
        <v>45883</v>
      </c>
      <c r="C3315" s="1">
        <v>45887</v>
      </c>
      <c r="D3315">
        <v>143650</v>
      </c>
      <c r="E3315">
        <v>58</v>
      </c>
      <c r="F3315" s="3" t="s">
        <v>2925</v>
      </c>
      <c r="G3315" s="4">
        <v>50000</v>
      </c>
      <c r="H3315" s="4">
        <v>0</v>
      </c>
      <c r="I3315" s="4">
        <v>-21279375.800000001</v>
      </c>
    </row>
    <row r="3316" spans="1:9" x14ac:dyDescent="0.3">
      <c r="A3316" t="s">
        <v>75</v>
      </c>
      <c r="B3316" s="1">
        <v>45887</v>
      </c>
      <c r="C3316" s="1">
        <v>45887</v>
      </c>
      <c r="D3316">
        <v>143651</v>
      </c>
      <c r="E3316">
        <v>58</v>
      </c>
      <c r="F3316" s="3" t="s">
        <v>2926</v>
      </c>
      <c r="G3316" s="4">
        <v>4144</v>
      </c>
      <c r="H3316" s="4">
        <v>0</v>
      </c>
      <c r="I3316" s="4">
        <v>-21275231.800000001</v>
      </c>
    </row>
    <row r="3317" spans="1:9" x14ac:dyDescent="0.3">
      <c r="A3317" t="s">
        <v>75</v>
      </c>
      <c r="B3317" s="1">
        <v>45883</v>
      </c>
      <c r="C3317" s="1">
        <v>45887</v>
      </c>
      <c r="D3317">
        <v>143652</v>
      </c>
      <c r="E3317">
        <v>58</v>
      </c>
      <c r="F3317" s="3" t="s">
        <v>2927</v>
      </c>
      <c r="G3317" s="4">
        <v>22200</v>
      </c>
      <c r="H3317" s="4">
        <v>0</v>
      </c>
      <c r="I3317" s="4">
        <v>-21253031.800000001</v>
      </c>
    </row>
    <row r="3318" spans="1:9" x14ac:dyDescent="0.3">
      <c r="A3318" t="s">
        <v>75</v>
      </c>
      <c r="B3318" s="1">
        <v>45875</v>
      </c>
      <c r="C3318" s="1">
        <v>45887</v>
      </c>
      <c r="D3318">
        <v>143653</v>
      </c>
      <c r="E3318">
        <v>44</v>
      </c>
      <c r="F3318" s="3" t="s">
        <v>2928</v>
      </c>
      <c r="G3318" s="4">
        <v>42000</v>
      </c>
      <c r="H3318" s="4">
        <v>0</v>
      </c>
      <c r="I3318" s="4">
        <v>-21211031.800000001</v>
      </c>
    </row>
    <row r="3319" spans="1:9" x14ac:dyDescent="0.3">
      <c r="A3319" t="s">
        <v>75</v>
      </c>
      <c r="B3319" s="1">
        <v>45887</v>
      </c>
      <c r="C3319" s="1">
        <v>45887</v>
      </c>
      <c r="D3319">
        <v>143654</v>
      </c>
      <c r="E3319">
        <v>252</v>
      </c>
      <c r="F3319" s="3" t="s">
        <v>2929</v>
      </c>
      <c r="G3319" s="4">
        <v>42300</v>
      </c>
      <c r="H3319" s="4">
        <v>0</v>
      </c>
      <c r="I3319" s="4">
        <v>-21168731.800000001</v>
      </c>
    </row>
    <row r="3320" spans="1:9" x14ac:dyDescent="0.3">
      <c r="A3320" t="s">
        <v>75</v>
      </c>
      <c r="B3320" s="1">
        <v>45887</v>
      </c>
      <c r="C3320" s="1">
        <v>45887</v>
      </c>
      <c r="D3320">
        <v>143655</v>
      </c>
      <c r="E3320">
        <v>79</v>
      </c>
      <c r="F3320" s="3" t="s">
        <v>2930</v>
      </c>
      <c r="G3320" s="4">
        <v>134226</v>
      </c>
      <c r="H3320" s="4">
        <v>0</v>
      </c>
      <c r="I3320" s="4">
        <v>-21034505.800000001</v>
      </c>
    </row>
    <row r="3321" spans="1:9" x14ac:dyDescent="0.3">
      <c r="A3321" t="s">
        <v>75</v>
      </c>
      <c r="B3321" s="1">
        <v>45887</v>
      </c>
      <c r="C3321" s="1">
        <v>45887</v>
      </c>
      <c r="D3321">
        <v>143657</v>
      </c>
      <c r="E3321">
        <v>412</v>
      </c>
      <c r="F3321" s="3" t="s">
        <v>2931</v>
      </c>
      <c r="G3321" s="4">
        <v>10000</v>
      </c>
      <c r="H3321" s="4">
        <v>0</v>
      </c>
      <c r="I3321" s="4">
        <v>-21024505.800000001</v>
      </c>
    </row>
    <row r="3322" spans="1:9" x14ac:dyDescent="0.3">
      <c r="A3322" t="s">
        <v>75</v>
      </c>
      <c r="B3322" s="1">
        <v>45876</v>
      </c>
      <c r="C3322" s="1">
        <v>45887</v>
      </c>
      <c r="D3322">
        <v>143658</v>
      </c>
      <c r="E3322">
        <v>28</v>
      </c>
      <c r="F3322" s="3" t="s">
        <v>2932</v>
      </c>
      <c r="G3322" s="4">
        <v>59737.5</v>
      </c>
      <c r="H3322" s="4">
        <v>0</v>
      </c>
      <c r="I3322" s="4">
        <v>-20964768.300000001</v>
      </c>
    </row>
    <row r="3323" spans="1:9" x14ac:dyDescent="0.3">
      <c r="A3323" t="s">
        <v>75</v>
      </c>
      <c r="B3323" s="1">
        <v>45887</v>
      </c>
      <c r="C3323" s="1">
        <v>45887</v>
      </c>
      <c r="D3323">
        <v>143659</v>
      </c>
      <c r="E3323">
        <v>92</v>
      </c>
      <c r="F3323" s="3" t="s">
        <v>2933</v>
      </c>
      <c r="G3323" s="4">
        <v>86500</v>
      </c>
      <c r="H3323" s="4">
        <v>0</v>
      </c>
      <c r="I3323" s="4">
        <v>-20878268.300000001</v>
      </c>
    </row>
    <row r="3324" spans="1:9" x14ac:dyDescent="0.3">
      <c r="A3324" t="s">
        <v>75</v>
      </c>
      <c r="B3324" s="1">
        <v>45887</v>
      </c>
      <c r="C3324" s="1">
        <v>45887</v>
      </c>
      <c r="D3324">
        <v>143660</v>
      </c>
      <c r="E3324">
        <v>361</v>
      </c>
      <c r="F3324" s="3" t="s">
        <v>2934</v>
      </c>
      <c r="G3324" s="4">
        <v>94999.75</v>
      </c>
      <c r="H3324" s="4">
        <v>0</v>
      </c>
      <c r="I3324" s="4">
        <v>-20783268.550000001</v>
      </c>
    </row>
    <row r="3325" spans="1:9" x14ac:dyDescent="0.3">
      <c r="A3325" t="s">
        <v>71</v>
      </c>
      <c r="B3325" s="1">
        <v>45885</v>
      </c>
      <c r="C3325" s="1">
        <v>45887</v>
      </c>
      <c r="D3325">
        <v>14525</v>
      </c>
      <c r="E3325">
        <v>100</v>
      </c>
      <c r="F3325" s="3" t="s">
        <v>2935</v>
      </c>
      <c r="G3325" s="4">
        <v>11032500</v>
      </c>
      <c r="H3325" s="4">
        <v>0</v>
      </c>
      <c r="I3325" s="4">
        <v>-9750768.5500000007</v>
      </c>
    </row>
    <row r="3326" spans="1:9" x14ac:dyDescent="0.3">
      <c r="A3326" t="s">
        <v>71</v>
      </c>
      <c r="B3326" s="1">
        <v>45884</v>
      </c>
      <c r="C3326" s="1">
        <v>45887</v>
      </c>
      <c r="D3326">
        <v>14525</v>
      </c>
      <c r="E3326">
        <v>100</v>
      </c>
      <c r="F3326" s="3" t="s">
        <v>2936</v>
      </c>
      <c r="G3326" s="4">
        <v>735200</v>
      </c>
      <c r="H3326" s="4">
        <v>0</v>
      </c>
      <c r="I3326" s="4">
        <v>-9015568.5500000007</v>
      </c>
    </row>
    <row r="3327" spans="1:9" x14ac:dyDescent="0.3">
      <c r="A3327" t="s">
        <v>71</v>
      </c>
      <c r="B3327" s="1">
        <v>45884</v>
      </c>
      <c r="C3327" s="1">
        <v>45887</v>
      </c>
      <c r="D3327">
        <v>14525</v>
      </c>
      <c r="E3327">
        <v>100</v>
      </c>
      <c r="F3327" s="3" t="s">
        <v>2937</v>
      </c>
      <c r="G3327" s="4">
        <v>7364000</v>
      </c>
      <c r="H3327" s="4">
        <v>0</v>
      </c>
      <c r="I3327" s="4">
        <v>-1651568.55</v>
      </c>
    </row>
    <row r="3328" spans="1:9" x14ac:dyDescent="0.3">
      <c r="A3328" t="s">
        <v>71</v>
      </c>
      <c r="B3328" s="1">
        <v>45887</v>
      </c>
      <c r="C3328" s="1">
        <v>45887</v>
      </c>
      <c r="D3328">
        <v>14542</v>
      </c>
      <c r="E3328">
        <v>100</v>
      </c>
      <c r="F3328" s="3" t="s">
        <v>1226</v>
      </c>
      <c r="G3328" s="4">
        <v>0</v>
      </c>
      <c r="H3328" s="4">
        <v>53262850</v>
      </c>
      <c r="I3328" s="4">
        <v>-54914418.549999997</v>
      </c>
    </row>
    <row r="3329" spans="1:9" x14ac:dyDescent="0.3">
      <c r="A3329" t="s">
        <v>71</v>
      </c>
      <c r="B3329" s="1">
        <v>45880</v>
      </c>
      <c r="C3329" s="1">
        <v>45887</v>
      </c>
      <c r="D3329">
        <v>14550</v>
      </c>
      <c r="E3329">
        <v>100</v>
      </c>
      <c r="F3329" s="3">
        <v>2022508110001250</v>
      </c>
      <c r="G3329" s="4">
        <v>10045000</v>
      </c>
      <c r="H3329" s="4">
        <v>0</v>
      </c>
      <c r="I3329" s="4">
        <v>-44869418.549999997</v>
      </c>
    </row>
    <row r="3330" spans="1:9" x14ac:dyDescent="0.3">
      <c r="A3330" t="s">
        <v>124</v>
      </c>
      <c r="B3330" s="1">
        <v>45887</v>
      </c>
      <c r="C3330" s="1">
        <v>45887</v>
      </c>
      <c r="D3330">
        <v>22235</v>
      </c>
      <c r="E3330">
        <v>11</v>
      </c>
      <c r="F3330" s="3" t="s">
        <v>125</v>
      </c>
      <c r="G3330" s="4">
        <v>0</v>
      </c>
      <c r="H3330" s="4">
        <v>20608112.77</v>
      </c>
      <c r="I3330" s="4">
        <v>-65477531.32</v>
      </c>
    </row>
    <row r="3331" spans="1:9" x14ac:dyDescent="0.3">
      <c r="A3331" t="s">
        <v>124</v>
      </c>
      <c r="B3331" s="1">
        <v>45887</v>
      </c>
      <c r="C3331" s="1">
        <v>45887</v>
      </c>
      <c r="D3331">
        <v>22236</v>
      </c>
      <c r="E3331">
        <v>11</v>
      </c>
      <c r="F3331" s="3" t="s">
        <v>125</v>
      </c>
      <c r="G3331" s="4">
        <v>0</v>
      </c>
      <c r="H3331" s="4">
        <v>12898631.25</v>
      </c>
      <c r="I3331" s="4">
        <v>-78376162.569999993</v>
      </c>
    </row>
    <row r="3332" spans="1:9" x14ac:dyDescent="0.3">
      <c r="A3332" t="s">
        <v>124</v>
      </c>
      <c r="B3332" s="1">
        <v>45887</v>
      </c>
      <c r="C3332" s="1">
        <v>45887</v>
      </c>
      <c r="D3332">
        <v>22237</v>
      </c>
      <c r="E3332">
        <v>11</v>
      </c>
      <c r="F3332" s="3" t="s">
        <v>127</v>
      </c>
      <c r="G3332" s="4">
        <v>32100000</v>
      </c>
      <c r="H3332" s="4">
        <v>0</v>
      </c>
      <c r="I3332" s="4">
        <v>-46276162.57</v>
      </c>
    </row>
    <row r="3333" spans="1:9" x14ac:dyDescent="0.3">
      <c r="A3333" t="s">
        <v>124</v>
      </c>
      <c r="B3333" s="1">
        <v>45887</v>
      </c>
      <c r="C3333" s="1">
        <v>45887</v>
      </c>
      <c r="D3333">
        <v>22238</v>
      </c>
      <c r="E3333">
        <v>11</v>
      </c>
      <c r="F3333" s="3" t="s">
        <v>129</v>
      </c>
      <c r="G3333" s="4">
        <v>0</v>
      </c>
      <c r="H3333" s="4">
        <v>7200000</v>
      </c>
      <c r="I3333" s="4">
        <v>-53476162.57</v>
      </c>
    </row>
    <row r="3334" spans="1:9" x14ac:dyDescent="0.3">
      <c r="A3334" t="s">
        <v>130</v>
      </c>
      <c r="B3334" s="1">
        <v>45887</v>
      </c>
      <c r="C3334" s="1">
        <v>45887</v>
      </c>
      <c r="D3334">
        <v>3840394</v>
      </c>
      <c r="E3334">
        <v>17</v>
      </c>
      <c r="F3334" s="3" t="s">
        <v>2938</v>
      </c>
      <c r="G3334" s="4">
        <v>0</v>
      </c>
      <c r="H3334" s="4">
        <v>300000</v>
      </c>
      <c r="I3334" s="4">
        <v>-53776162.57</v>
      </c>
    </row>
    <row r="3335" spans="1:9" x14ac:dyDescent="0.3">
      <c r="A3335" t="s">
        <v>130</v>
      </c>
      <c r="B3335" s="1">
        <v>45887</v>
      </c>
      <c r="C3335" s="1">
        <v>45887</v>
      </c>
      <c r="D3335">
        <v>3840900</v>
      </c>
      <c r="E3335">
        <v>301</v>
      </c>
      <c r="F3335" s="3" t="s">
        <v>2939</v>
      </c>
      <c r="G3335" s="4">
        <v>0</v>
      </c>
      <c r="H3335" s="4">
        <v>75292.75</v>
      </c>
      <c r="I3335" s="4">
        <v>-53851455.32</v>
      </c>
    </row>
    <row r="3336" spans="1:9" x14ac:dyDescent="0.3">
      <c r="A3336" t="s">
        <v>133</v>
      </c>
      <c r="B3336" s="1">
        <v>45887</v>
      </c>
      <c r="C3336" s="1">
        <v>45887</v>
      </c>
      <c r="D3336">
        <v>920187</v>
      </c>
      <c r="E3336">
        <v>49</v>
      </c>
      <c r="F3336" s="3" t="s">
        <v>2940</v>
      </c>
      <c r="G3336" s="4">
        <v>30265</v>
      </c>
      <c r="H3336" s="4">
        <v>0</v>
      </c>
      <c r="I3336" s="4">
        <v>-53821190.32</v>
      </c>
    </row>
    <row r="3337" spans="1:9" x14ac:dyDescent="0.3">
      <c r="A3337" t="s">
        <v>133</v>
      </c>
      <c r="B3337" s="1">
        <v>45887</v>
      </c>
      <c r="C3337" s="1">
        <v>45887</v>
      </c>
      <c r="D3337">
        <v>920212</v>
      </c>
      <c r="E3337">
        <v>59</v>
      </c>
      <c r="F3337" s="3" t="s">
        <v>2941</v>
      </c>
      <c r="G3337" s="4">
        <v>14176</v>
      </c>
      <c r="H3337" s="4">
        <v>0</v>
      </c>
      <c r="I3337" s="4">
        <v>-53807014.32</v>
      </c>
    </row>
    <row r="3338" spans="1:9" x14ac:dyDescent="0.3">
      <c r="A3338" t="s">
        <v>133</v>
      </c>
      <c r="B3338" s="1">
        <v>45887</v>
      </c>
      <c r="C3338" s="1">
        <v>45887</v>
      </c>
      <c r="D3338">
        <v>920232</v>
      </c>
      <c r="E3338">
        <v>72</v>
      </c>
      <c r="F3338" s="3" t="s">
        <v>2942</v>
      </c>
      <c r="G3338" s="4">
        <v>2550</v>
      </c>
      <c r="H3338" s="4">
        <v>0</v>
      </c>
      <c r="I3338" s="4">
        <v>-53804464.32</v>
      </c>
    </row>
    <row r="3339" spans="1:9" x14ac:dyDescent="0.3">
      <c r="A3339" t="s">
        <v>133</v>
      </c>
      <c r="B3339" s="1">
        <v>45887</v>
      </c>
      <c r="C3339" s="1">
        <v>45887</v>
      </c>
      <c r="D3339">
        <v>920246</v>
      </c>
      <c r="E3339">
        <v>78</v>
      </c>
      <c r="F3339" s="3" t="s">
        <v>2943</v>
      </c>
      <c r="G3339" s="4">
        <v>274939.25</v>
      </c>
      <c r="H3339" s="4">
        <v>0</v>
      </c>
      <c r="I3339" s="4">
        <v>-53529525.07</v>
      </c>
    </row>
    <row r="3340" spans="1:9" x14ac:dyDescent="0.3">
      <c r="A3340" t="s">
        <v>133</v>
      </c>
      <c r="B3340" s="1">
        <v>45887</v>
      </c>
      <c r="C3340" s="1">
        <v>45887</v>
      </c>
      <c r="D3340">
        <v>920253</v>
      </c>
      <c r="E3340">
        <v>78</v>
      </c>
      <c r="F3340" s="3" t="s">
        <v>2944</v>
      </c>
      <c r="G3340" s="4">
        <v>95205</v>
      </c>
      <c r="H3340" s="4">
        <v>0</v>
      </c>
      <c r="I3340" s="4">
        <v>-53434320.07</v>
      </c>
    </row>
    <row r="3341" spans="1:9" x14ac:dyDescent="0.3">
      <c r="A3341" t="s">
        <v>133</v>
      </c>
      <c r="B3341" s="1">
        <v>45887</v>
      </c>
      <c r="C3341" s="1">
        <v>45887</v>
      </c>
      <c r="D3341">
        <v>920273</v>
      </c>
      <c r="E3341">
        <v>56</v>
      </c>
      <c r="F3341" s="3" t="s">
        <v>2945</v>
      </c>
      <c r="G3341" s="4">
        <v>225887</v>
      </c>
      <c r="H3341" s="4">
        <v>0</v>
      </c>
      <c r="I3341" s="4">
        <v>-53208433.07</v>
      </c>
    </row>
    <row r="3342" spans="1:9" x14ac:dyDescent="0.3">
      <c r="A3342" t="s">
        <v>133</v>
      </c>
      <c r="B3342" s="1">
        <v>45887</v>
      </c>
      <c r="C3342" s="1">
        <v>45887</v>
      </c>
      <c r="D3342">
        <v>920335</v>
      </c>
      <c r="E3342">
        <v>11</v>
      </c>
      <c r="F3342" s="3" t="s">
        <v>2946</v>
      </c>
      <c r="G3342" s="4">
        <v>10945.5</v>
      </c>
      <c r="H3342" s="4">
        <v>0</v>
      </c>
      <c r="I3342" s="4">
        <v>-53197487.57</v>
      </c>
    </row>
    <row r="3343" spans="1:9" x14ac:dyDescent="0.3">
      <c r="A3343" t="s">
        <v>133</v>
      </c>
      <c r="B3343" s="1">
        <v>45887</v>
      </c>
      <c r="C3343" s="1">
        <v>45887</v>
      </c>
      <c r="D3343">
        <v>920386</v>
      </c>
      <c r="E3343">
        <v>28</v>
      </c>
      <c r="F3343" s="3">
        <v>51059534380</v>
      </c>
      <c r="G3343" s="4">
        <v>726</v>
      </c>
      <c r="H3343" s="4">
        <v>0</v>
      </c>
      <c r="I3343" s="4">
        <v>-53196761.57</v>
      </c>
    </row>
    <row r="3344" spans="1:9" x14ac:dyDescent="0.3">
      <c r="A3344" t="s">
        <v>133</v>
      </c>
      <c r="B3344" s="1">
        <v>45887</v>
      </c>
      <c r="C3344" s="1">
        <v>45887</v>
      </c>
      <c r="D3344">
        <v>920400</v>
      </c>
      <c r="E3344">
        <v>16</v>
      </c>
      <c r="F3344" s="3" t="s">
        <v>2947</v>
      </c>
      <c r="G3344" s="4">
        <v>66441.25</v>
      </c>
      <c r="H3344" s="4">
        <v>0</v>
      </c>
      <c r="I3344" s="4">
        <v>-53130320.32</v>
      </c>
    </row>
    <row r="3345" spans="1:9" x14ac:dyDescent="0.3">
      <c r="A3345" t="s">
        <v>133</v>
      </c>
      <c r="B3345" s="1">
        <v>45887</v>
      </c>
      <c r="C3345" s="1">
        <v>45887</v>
      </c>
      <c r="D3345">
        <v>920402</v>
      </c>
      <c r="E3345">
        <v>16</v>
      </c>
      <c r="F3345" s="3" t="s">
        <v>2948</v>
      </c>
      <c r="G3345" s="4">
        <v>100000</v>
      </c>
      <c r="H3345" s="4">
        <v>0</v>
      </c>
      <c r="I3345" s="4">
        <v>-53030320.32</v>
      </c>
    </row>
    <row r="3346" spans="1:9" x14ac:dyDescent="0.3">
      <c r="A3346" t="s">
        <v>133</v>
      </c>
      <c r="B3346" s="1">
        <v>45887</v>
      </c>
      <c r="C3346" s="1">
        <v>45887</v>
      </c>
      <c r="D3346">
        <v>920405</v>
      </c>
      <c r="E3346">
        <v>282</v>
      </c>
      <c r="F3346" s="3" t="s">
        <v>2949</v>
      </c>
      <c r="G3346" s="4">
        <v>350000</v>
      </c>
      <c r="H3346" s="4">
        <v>0</v>
      </c>
      <c r="I3346" s="4">
        <v>-52680320.32</v>
      </c>
    </row>
    <row r="3347" spans="1:9" x14ac:dyDescent="0.3">
      <c r="A3347" t="s">
        <v>133</v>
      </c>
      <c r="B3347" s="1">
        <v>45887</v>
      </c>
      <c r="C3347" s="1">
        <v>45887</v>
      </c>
      <c r="D3347">
        <v>920409</v>
      </c>
      <c r="E3347">
        <v>51</v>
      </c>
      <c r="F3347" s="3" t="s">
        <v>2950</v>
      </c>
      <c r="G3347" s="4">
        <v>200000</v>
      </c>
      <c r="H3347" s="4">
        <v>0</v>
      </c>
      <c r="I3347" s="4">
        <v>-52480320.32</v>
      </c>
    </row>
    <row r="3348" spans="1:9" x14ac:dyDescent="0.3">
      <c r="A3348" t="s">
        <v>133</v>
      </c>
      <c r="B3348" s="1">
        <v>45887</v>
      </c>
      <c r="C3348" s="1">
        <v>45887</v>
      </c>
      <c r="D3348">
        <v>920415</v>
      </c>
      <c r="E3348">
        <v>17</v>
      </c>
      <c r="F3348" s="3" t="s">
        <v>2760</v>
      </c>
      <c r="G3348" s="4">
        <v>299900</v>
      </c>
      <c r="H3348" s="4">
        <v>0</v>
      </c>
      <c r="I3348" s="4">
        <v>-52180420.32</v>
      </c>
    </row>
    <row r="3349" spans="1:9" x14ac:dyDescent="0.3">
      <c r="A3349" t="s">
        <v>133</v>
      </c>
      <c r="B3349" s="1">
        <v>45887</v>
      </c>
      <c r="C3349" s="1">
        <v>45887</v>
      </c>
      <c r="D3349">
        <v>920457</v>
      </c>
      <c r="E3349">
        <v>72</v>
      </c>
      <c r="F3349" s="3" t="s">
        <v>2951</v>
      </c>
      <c r="G3349" s="4">
        <v>5000</v>
      </c>
      <c r="H3349" s="4">
        <v>0</v>
      </c>
      <c r="I3349" s="4">
        <v>-52175420.32</v>
      </c>
    </row>
    <row r="3350" spans="1:9" x14ac:dyDescent="0.3">
      <c r="A3350" t="s">
        <v>133</v>
      </c>
      <c r="B3350" s="1">
        <v>45887</v>
      </c>
      <c r="C3350" s="1">
        <v>45887</v>
      </c>
      <c r="D3350">
        <v>920505</v>
      </c>
      <c r="E3350">
        <v>63</v>
      </c>
      <c r="F3350" s="3" t="s">
        <v>2952</v>
      </c>
      <c r="G3350" s="4">
        <v>113382.25</v>
      </c>
      <c r="H3350" s="4">
        <v>0</v>
      </c>
      <c r="I3350" s="4">
        <v>-52062038.07</v>
      </c>
    </row>
    <row r="3351" spans="1:9" x14ac:dyDescent="0.3">
      <c r="A3351" t="s">
        <v>133</v>
      </c>
      <c r="B3351" s="1">
        <v>45887</v>
      </c>
      <c r="C3351" s="1">
        <v>45887</v>
      </c>
      <c r="D3351">
        <v>920507</v>
      </c>
      <c r="E3351">
        <v>28</v>
      </c>
      <c r="F3351" s="3">
        <v>51067748344</v>
      </c>
      <c r="G3351" s="4">
        <v>92616</v>
      </c>
      <c r="H3351" s="4">
        <v>0</v>
      </c>
      <c r="I3351" s="4">
        <v>-51969422.07</v>
      </c>
    </row>
    <row r="3352" spans="1:9" x14ac:dyDescent="0.3">
      <c r="A3352" t="s">
        <v>133</v>
      </c>
      <c r="B3352" s="1">
        <v>45887</v>
      </c>
      <c r="C3352" s="1">
        <v>45887</v>
      </c>
      <c r="D3352">
        <v>920512</v>
      </c>
      <c r="E3352">
        <v>78</v>
      </c>
      <c r="F3352" s="3" t="s">
        <v>2953</v>
      </c>
      <c r="G3352" s="4">
        <v>2485.25</v>
      </c>
      <c r="H3352" s="4">
        <v>0</v>
      </c>
      <c r="I3352" s="4">
        <v>-51966936.82</v>
      </c>
    </row>
    <row r="3353" spans="1:9" x14ac:dyDescent="0.3">
      <c r="A3353" t="s">
        <v>133</v>
      </c>
      <c r="B3353" s="1">
        <v>45887</v>
      </c>
      <c r="C3353" s="1">
        <v>45887</v>
      </c>
      <c r="D3353">
        <v>920523</v>
      </c>
      <c r="E3353">
        <v>73</v>
      </c>
      <c r="F3353" s="3" t="s">
        <v>2954</v>
      </c>
      <c r="G3353" s="4">
        <v>450000</v>
      </c>
      <c r="H3353" s="4">
        <v>0</v>
      </c>
      <c r="I3353" s="4">
        <v>-51516936.82</v>
      </c>
    </row>
    <row r="3354" spans="1:9" x14ac:dyDescent="0.3">
      <c r="A3354" t="s">
        <v>133</v>
      </c>
      <c r="B3354" s="1">
        <v>45887</v>
      </c>
      <c r="C3354" s="1">
        <v>45887</v>
      </c>
      <c r="D3354">
        <v>920557</v>
      </c>
      <c r="E3354">
        <v>41</v>
      </c>
      <c r="F3354" s="3" t="s">
        <v>2955</v>
      </c>
      <c r="G3354" s="4">
        <v>128685.5</v>
      </c>
      <c r="H3354" s="4">
        <v>0</v>
      </c>
      <c r="I3354" s="4">
        <v>-51388251.32</v>
      </c>
    </row>
    <row r="3355" spans="1:9" x14ac:dyDescent="0.3">
      <c r="A3355" t="s">
        <v>133</v>
      </c>
      <c r="B3355" s="1">
        <v>45887</v>
      </c>
      <c r="C3355" s="1">
        <v>45887</v>
      </c>
      <c r="D3355">
        <v>920558</v>
      </c>
      <c r="E3355">
        <v>45</v>
      </c>
      <c r="F3355" s="3" t="s">
        <v>2956</v>
      </c>
      <c r="G3355" s="4">
        <v>400000</v>
      </c>
      <c r="H3355" s="4">
        <v>0</v>
      </c>
      <c r="I3355" s="4">
        <v>-50988251.32</v>
      </c>
    </row>
    <row r="3356" spans="1:9" x14ac:dyDescent="0.3">
      <c r="A3356" t="s">
        <v>133</v>
      </c>
      <c r="B3356" s="1">
        <v>45887</v>
      </c>
      <c r="C3356" s="1">
        <v>45887</v>
      </c>
      <c r="D3356">
        <v>920570</v>
      </c>
      <c r="E3356">
        <v>72</v>
      </c>
      <c r="F3356" s="3" t="s">
        <v>2957</v>
      </c>
      <c r="G3356" s="4">
        <v>22730.5</v>
      </c>
      <c r="H3356" s="4">
        <v>0</v>
      </c>
      <c r="I3356" s="4">
        <v>-50965520.82</v>
      </c>
    </row>
    <row r="3357" spans="1:9" x14ac:dyDescent="0.3">
      <c r="A3357" t="s">
        <v>133</v>
      </c>
      <c r="B3357" s="1">
        <v>45887</v>
      </c>
      <c r="C3357" s="1">
        <v>45887</v>
      </c>
      <c r="D3357">
        <v>920582</v>
      </c>
      <c r="E3357">
        <v>75</v>
      </c>
      <c r="F3357" s="3" t="s">
        <v>2958</v>
      </c>
      <c r="G3357" s="4">
        <v>300000</v>
      </c>
      <c r="H3357" s="4">
        <v>0</v>
      </c>
      <c r="I3357" s="4">
        <v>-50665520.82</v>
      </c>
    </row>
    <row r="3358" spans="1:9" x14ac:dyDescent="0.3">
      <c r="A3358" t="s">
        <v>133</v>
      </c>
      <c r="B3358" s="1">
        <v>45887</v>
      </c>
      <c r="C3358" s="1">
        <v>45887</v>
      </c>
      <c r="D3358">
        <v>920585</v>
      </c>
      <c r="E3358">
        <v>382</v>
      </c>
      <c r="F3358" s="3" t="s">
        <v>2959</v>
      </c>
      <c r="G3358" s="4">
        <v>18435</v>
      </c>
      <c r="H3358" s="4">
        <v>0</v>
      </c>
      <c r="I3358" s="4">
        <v>-50647085.82</v>
      </c>
    </row>
    <row r="3359" spans="1:9" x14ac:dyDescent="0.3">
      <c r="A3359" t="s">
        <v>133</v>
      </c>
      <c r="B3359" s="1">
        <v>45887</v>
      </c>
      <c r="C3359" s="1">
        <v>45887</v>
      </c>
      <c r="D3359">
        <v>920597</v>
      </c>
      <c r="E3359">
        <v>35</v>
      </c>
      <c r="F3359" s="3" t="s">
        <v>2960</v>
      </c>
      <c r="G3359" s="4">
        <v>720070</v>
      </c>
      <c r="H3359" s="4">
        <v>0</v>
      </c>
      <c r="I3359" s="4">
        <v>-49927015.82</v>
      </c>
    </row>
    <row r="3360" spans="1:9" x14ac:dyDescent="0.3">
      <c r="A3360" t="s">
        <v>133</v>
      </c>
      <c r="B3360" s="1">
        <v>45887</v>
      </c>
      <c r="C3360" s="1">
        <v>45887</v>
      </c>
      <c r="D3360">
        <v>920601</v>
      </c>
      <c r="E3360">
        <v>35</v>
      </c>
      <c r="F3360" s="3" t="s">
        <v>2961</v>
      </c>
      <c r="G3360" s="4">
        <v>76609</v>
      </c>
      <c r="H3360" s="4">
        <v>0</v>
      </c>
      <c r="I3360" s="4">
        <v>-49850406.82</v>
      </c>
    </row>
    <row r="3361" spans="1:9" x14ac:dyDescent="0.3">
      <c r="A3361" t="s">
        <v>133</v>
      </c>
      <c r="B3361" s="1">
        <v>45887</v>
      </c>
      <c r="C3361" s="1">
        <v>45887</v>
      </c>
      <c r="D3361">
        <v>920603</v>
      </c>
      <c r="E3361">
        <v>351</v>
      </c>
      <c r="F3361" s="3" t="s">
        <v>2962</v>
      </c>
      <c r="G3361" s="4">
        <v>43300</v>
      </c>
      <c r="H3361" s="4">
        <v>0</v>
      </c>
      <c r="I3361" s="4">
        <v>-49807106.82</v>
      </c>
    </row>
    <row r="3362" spans="1:9" x14ac:dyDescent="0.3">
      <c r="A3362" t="s">
        <v>133</v>
      </c>
      <c r="B3362" s="1">
        <v>45887</v>
      </c>
      <c r="C3362" s="1">
        <v>45887</v>
      </c>
      <c r="D3362">
        <v>920615</v>
      </c>
      <c r="E3362">
        <v>75</v>
      </c>
      <c r="F3362" s="3" t="s">
        <v>2963</v>
      </c>
      <c r="G3362" s="4">
        <v>8518</v>
      </c>
      <c r="H3362" s="4">
        <v>0</v>
      </c>
      <c r="I3362" s="4">
        <v>-49798588.82</v>
      </c>
    </row>
    <row r="3363" spans="1:9" x14ac:dyDescent="0.3">
      <c r="A3363" t="s">
        <v>133</v>
      </c>
      <c r="B3363" s="1">
        <v>45887</v>
      </c>
      <c r="C3363" s="1">
        <v>45887</v>
      </c>
      <c r="D3363">
        <v>920616</v>
      </c>
      <c r="E3363">
        <v>75</v>
      </c>
      <c r="F3363" s="3" t="s">
        <v>2964</v>
      </c>
      <c r="G3363" s="4">
        <v>19878.25</v>
      </c>
      <c r="H3363" s="4">
        <v>0</v>
      </c>
      <c r="I3363" s="4">
        <v>-49778710.57</v>
      </c>
    </row>
    <row r="3364" spans="1:9" x14ac:dyDescent="0.3">
      <c r="A3364" t="s">
        <v>133</v>
      </c>
      <c r="B3364" s="1">
        <v>45887</v>
      </c>
      <c r="C3364" s="1">
        <v>45887</v>
      </c>
      <c r="D3364">
        <v>920620</v>
      </c>
      <c r="E3364">
        <v>412</v>
      </c>
      <c r="F3364" s="3" t="s">
        <v>2965</v>
      </c>
      <c r="G3364" s="4">
        <v>365000</v>
      </c>
      <c r="H3364" s="4">
        <v>0</v>
      </c>
      <c r="I3364" s="4">
        <v>-49413710.57</v>
      </c>
    </row>
    <row r="3365" spans="1:9" x14ac:dyDescent="0.3">
      <c r="A3365" t="s">
        <v>133</v>
      </c>
      <c r="B3365" s="1">
        <v>45887</v>
      </c>
      <c r="C3365" s="1">
        <v>45887</v>
      </c>
      <c r="D3365">
        <v>920621</v>
      </c>
      <c r="E3365">
        <v>75</v>
      </c>
      <c r="F3365" s="3" t="s">
        <v>2966</v>
      </c>
      <c r="G3365" s="4">
        <v>2187.75</v>
      </c>
      <c r="H3365" s="4">
        <v>0</v>
      </c>
      <c r="I3365" s="4">
        <v>-49411522.82</v>
      </c>
    </row>
    <row r="3366" spans="1:9" x14ac:dyDescent="0.3">
      <c r="A3366" t="s">
        <v>133</v>
      </c>
      <c r="B3366" s="1">
        <v>45887</v>
      </c>
      <c r="C3366" s="1">
        <v>45887</v>
      </c>
      <c r="D3366">
        <v>920628</v>
      </c>
      <c r="E3366">
        <v>13</v>
      </c>
      <c r="F3366" s="3" t="s">
        <v>2967</v>
      </c>
      <c r="G3366" s="4">
        <v>500000</v>
      </c>
      <c r="H3366" s="4">
        <v>0</v>
      </c>
      <c r="I3366" s="4">
        <v>-48911522.82</v>
      </c>
    </row>
    <row r="3367" spans="1:9" x14ac:dyDescent="0.3">
      <c r="A3367" t="s">
        <v>133</v>
      </c>
      <c r="B3367" s="1">
        <v>45887</v>
      </c>
      <c r="C3367" s="1">
        <v>45887</v>
      </c>
      <c r="D3367">
        <v>920630</v>
      </c>
      <c r="E3367">
        <v>26</v>
      </c>
      <c r="F3367" s="3" t="s">
        <v>211</v>
      </c>
      <c r="G3367" s="4">
        <v>400000</v>
      </c>
      <c r="H3367" s="4">
        <v>0</v>
      </c>
      <c r="I3367" s="4">
        <v>-48511522.82</v>
      </c>
    </row>
    <row r="3368" spans="1:9" x14ac:dyDescent="0.3">
      <c r="A3368" t="s">
        <v>133</v>
      </c>
      <c r="B3368" s="1">
        <v>45887</v>
      </c>
      <c r="C3368" s="1">
        <v>45887</v>
      </c>
      <c r="D3368">
        <v>920631</v>
      </c>
      <c r="E3368">
        <v>72</v>
      </c>
      <c r="F3368" s="3">
        <v>51065868012</v>
      </c>
      <c r="G3368" s="4">
        <v>1800</v>
      </c>
      <c r="H3368" s="4">
        <v>0</v>
      </c>
      <c r="I3368" s="4">
        <v>-48509722.82</v>
      </c>
    </row>
    <row r="3369" spans="1:9" x14ac:dyDescent="0.3">
      <c r="A3369" t="s">
        <v>133</v>
      </c>
      <c r="B3369" s="1">
        <v>45887</v>
      </c>
      <c r="C3369" s="1">
        <v>45887</v>
      </c>
      <c r="D3369">
        <v>920640</v>
      </c>
      <c r="E3369">
        <v>72</v>
      </c>
      <c r="F3369" s="3" t="s">
        <v>2968</v>
      </c>
      <c r="G3369" s="4">
        <v>52500</v>
      </c>
      <c r="H3369" s="4">
        <v>0</v>
      </c>
      <c r="I3369" s="4">
        <v>-48457222.82</v>
      </c>
    </row>
    <row r="3370" spans="1:9" x14ac:dyDescent="0.3">
      <c r="A3370" t="s">
        <v>133</v>
      </c>
      <c r="B3370" s="1">
        <v>45887</v>
      </c>
      <c r="C3370" s="1">
        <v>45887</v>
      </c>
      <c r="D3370">
        <v>920651</v>
      </c>
      <c r="E3370">
        <v>532</v>
      </c>
      <c r="F3370" s="3" t="s">
        <v>2969</v>
      </c>
      <c r="G3370" s="4">
        <v>500000</v>
      </c>
      <c r="H3370" s="4">
        <v>0</v>
      </c>
      <c r="I3370" s="4">
        <v>-47957222.82</v>
      </c>
    </row>
    <row r="3371" spans="1:9" x14ac:dyDescent="0.3">
      <c r="A3371" t="s">
        <v>133</v>
      </c>
      <c r="B3371" s="1">
        <v>45887</v>
      </c>
      <c r="C3371" s="1">
        <v>45887</v>
      </c>
      <c r="D3371">
        <v>920653</v>
      </c>
      <c r="E3371">
        <v>28</v>
      </c>
      <c r="F3371" s="3" t="s">
        <v>2970</v>
      </c>
      <c r="G3371" s="4">
        <v>510000</v>
      </c>
      <c r="H3371" s="4">
        <v>0</v>
      </c>
      <c r="I3371" s="4">
        <v>-47447222.82</v>
      </c>
    </row>
    <row r="3372" spans="1:9" x14ac:dyDescent="0.3">
      <c r="A3372" t="s">
        <v>133</v>
      </c>
      <c r="B3372" s="1">
        <v>45887</v>
      </c>
      <c r="C3372" s="1">
        <v>45887</v>
      </c>
      <c r="D3372">
        <v>920654</v>
      </c>
      <c r="E3372">
        <v>382</v>
      </c>
      <c r="F3372" s="3" t="s">
        <v>2971</v>
      </c>
      <c r="G3372" s="4">
        <v>210015</v>
      </c>
      <c r="H3372" s="4">
        <v>0</v>
      </c>
      <c r="I3372" s="4">
        <v>-47237207.82</v>
      </c>
    </row>
    <row r="3373" spans="1:9" x14ac:dyDescent="0.3">
      <c r="A3373" t="s">
        <v>133</v>
      </c>
      <c r="B3373" s="1">
        <v>45887</v>
      </c>
      <c r="C3373" s="1">
        <v>45887</v>
      </c>
      <c r="D3373">
        <v>920657</v>
      </c>
      <c r="E3373">
        <v>382</v>
      </c>
      <c r="F3373" s="3" t="s">
        <v>2972</v>
      </c>
      <c r="G3373" s="4">
        <v>210276</v>
      </c>
      <c r="H3373" s="4">
        <v>0</v>
      </c>
      <c r="I3373" s="4">
        <v>-47026931.82</v>
      </c>
    </row>
    <row r="3374" spans="1:9" x14ac:dyDescent="0.3">
      <c r="A3374" t="s">
        <v>133</v>
      </c>
      <c r="B3374" s="1">
        <v>45887</v>
      </c>
      <c r="C3374" s="1">
        <v>45887</v>
      </c>
      <c r="D3374">
        <v>920662</v>
      </c>
      <c r="E3374">
        <v>38</v>
      </c>
      <c r="F3374" s="3" t="s">
        <v>2973</v>
      </c>
      <c r="G3374" s="4">
        <v>2416622.75</v>
      </c>
      <c r="H3374" s="4">
        <v>0</v>
      </c>
      <c r="I3374" s="4">
        <v>-44610309.07</v>
      </c>
    </row>
    <row r="3375" spans="1:9" x14ac:dyDescent="0.3">
      <c r="A3375" t="s">
        <v>133</v>
      </c>
      <c r="B3375" s="1">
        <v>45887</v>
      </c>
      <c r="C3375" s="1">
        <v>45887</v>
      </c>
      <c r="D3375">
        <v>920666</v>
      </c>
      <c r="E3375">
        <v>54</v>
      </c>
      <c r="F3375" s="3" t="s">
        <v>2974</v>
      </c>
      <c r="G3375" s="4">
        <v>330750</v>
      </c>
      <c r="H3375" s="4">
        <v>0</v>
      </c>
      <c r="I3375" s="4">
        <v>-44279559.07</v>
      </c>
    </row>
    <row r="3376" spans="1:9" x14ac:dyDescent="0.3">
      <c r="A3376" t="s">
        <v>133</v>
      </c>
      <c r="B3376" s="1">
        <v>45887</v>
      </c>
      <c r="C3376" s="1">
        <v>45887</v>
      </c>
      <c r="D3376">
        <v>920667</v>
      </c>
      <c r="E3376">
        <v>12</v>
      </c>
      <c r="F3376" s="3" t="s">
        <v>2975</v>
      </c>
      <c r="G3376" s="4">
        <v>920000</v>
      </c>
      <c r="H3376" s="4">
        <v>0</v>
      </c>
      <c r="I3376" s="4">
        <v>-43359559.07</v>
      </c>
    </row>
    <row r="3377" spans="1:9" x14ac:dyDescent="0.3">
      <c r="A3377" t="s">
        <v>133</v>
      </c>
      <c r="B3377" s="1">
        <v>45887</v>
      </c>
      <c r="C3377" s="1">
        <v>45887</v>
      </c>
      <c r="D3377">
        <v>920669</v>
      </c>
      <c r="E3377">
        <v>13</v>
      </c>
      <c r="F3377" s="3" t="s">
        <v>2976</v>
      </c>
      <c r="G3377" s="4">
        <v>12919.5</v>
      </c>
      <c r="H3377" s="4">
        <v>0</v>
      </c>
      <c r="I3377" s="4">
        <v>-43346639.57</v>
      </c>
    </row>
    <row r="3378" spans="1:9" x14ac:dyDescent="0.3">
      <c r="A3378" t="s">
        <v>133</v>
      </c>
      <c r="B3378" s="1">
        <v>45887</v>
      </c>
      <c r="C3378" s="1">
        <v>45887</v>
      </c>
      <c r="D3378">
        <v>920672</v>
      </c>
      <c r="E3378">
        <v>11</v>
      </c>
      <c r="F3378" s="3" t="s">
        <v>2977</v>
      </c>
      <c r="G3378" s="4">
        <v>244826</v>
      </c>
      <c r="H3378" s="4">
        <v>0</v>
      </c>
      <c r="I3378" s="4">
        <v>-43101813.57</v>
      </c>
    </row>
    <row r="3379" spans="1:9" x14ac:dyDescent="0.3">
      <c r="A3379" t="s">
        <v>133</v>
      </c>
      <c r="B3379" s="1">
        <v>45887</v>
      </c>
      <c r="C3379" s="1">
        <v>45887</v>
      </c>
      <c r="D3379">
        <v>920675</v>
      </c>
      <c r="E3379">
        <v>11</v>
      </c>
      <c r="F3379" s="3" t="s">
        <v>2978</v>
      </c>
      <c r="G3379" s="4">
        <v>2100</v>
      </c>
      <c r="H3379" s="4">
        <v>0</v>
      </c>
      <c r="I3379" s="4">
        <v>-43099713.57</v>
      </c>
    </row>
    <row r="3380" spans="1:9" x14ac:dyDescent="0.3">
      <c r="A3380" t="s">
        <v>133</v>
      </c>
      <c r="B3380" s="1">
        <v>45887</v>
      </c>
      <c r="C3380" s="1">
        <v>45887</v>
      </c>
      <c r="D3380">
        <v>920680</v>
      </c>
      <c r="E3380">
        <v>11</v>
      </c>
      <c r="F3380" s="3" t="s">
        <v>2979</v>
      </c>
      <c r="G3380" s="4">
        <v>6866</v>
      </c>
      <c r="H3380" s="4">
        <v>0</v>
      </c>
      <c r="I3380" s="4">
        <v>-43092847.57</v>
      </c>
    </row>
    <row r="3381" spans="1:9" x14ac:dyDescent="0.3">
      <c r="A3381" t="s">
        <v>133</v>
      </c>
      <c r="B3381" s="1">
        <v>45887</v>
      </c>
      <c r="C3381" s="1">
        <v>45887</v>
      </c>
      <c r="D3381">
        <v>920682</v>
      </c>
      <c r="E3381">
        <v>27</v>
      </c>
      <c r="F3381" s="3" t="s">
        <v>2980</v>
      </c>
      <c r="G3381" s="4">
        <v>918560.5</v>
      </c>
      <c r="H3381" s="4">
        <v>0</v>
      </c>
      <c r="I3381" s="4">
        <v>-42174287.07</v>
      </c>
    </row>
    <row r="3382" spans="1:9" x14ac:dyDescent="0.3">
      <c r="A3382" t="s">
        <v>133</v>
      </c>
      <c r="B3382" s="1">
        <v>45887</v>
      </c>
      <c r="C3382" s="1">
        <v>45887</v>
      </c>
      <c r="D3382">
        <v>920683</v>
      </c>
      <c r="E3382">
        <v>74</v>
      </c>
      <c r="F3382" s="3" t="s">
        <v>2981</v>
      </c>
      <c r="G3382" s="4">
        <v>260000</v>
      </c>
      <c r="H3382" s="4">
        <v>0</v>
      </c>
      <c r="I3382" s="4">
        <v>-41914287.07</v>
      </c>
    </row>
    <row r="3383" spans="1:9" x14ac:dyDescent="0.3">
      <c r="A3383" t="s">
        <v>133</v>
      </c>
      <c r="B3383" s="1">
        <v>45887</v>
      </c>
      <c r="C3383" s="1">
        <v>45887</v>
      </c>
      <c r="D3383">
        <v>920685</v>
      </c>
      <c r="E3383">
        <v>27</v>
      </c>
      <c r="F3383" s="3" t="s">
        <v>2982</v>
      </c>
      <c r="G3383" s="4">
        <v>121328.75</v>
      </c>
      <c r="H3383" s="4">
        <v>0</v>
      </c>
      <c r="I3383" s="4">
        <v>-41792958.32</v>
      </c>
    </row>
    <row r="3384" spans="1:9" x14ac:dyDescent="0.3">
      <c r="A3384" t="s">
        <v>133</v>
      </c>
      <c r="B3384" s="1">
        <v>45887</v>
      </c>
      <c r="C3384" s="1">
        <v>45887</v>
      </c>
      <c r="D3384">
        <v>920688</v>
      </c>
      <c r="E3384">
        <v>18</v>
      </c>
      <c r="F3384" s="3" t="s">
        <v>2983</v>
      </c>
      <c r="G3384" s="4">
        <v>300000</v>
      </c>
      <c r="H3384" s="4">
        <v>0</v>
      </c>
      <c r="I3384" s="4">
        <v>-41492958.32</v>
      </c>
    </row>
    <row r="3385" spans="1:9" x14ac:dyDescent="0.3">
      <c r="A3385" t="s">
        <v>133</v>
      </c>
      <c r="B3385" s="1">
        <v>45887</v>
      </c>
      <c r="C3385" s="1">
        <v>45887</v>
      </c>
      <c r="D3385">
        <v>920689</v>
      </c>
      <c r="E3385">
        <v>282</v>
      </c>
      <c r="F3385" s="3" t="s">
        <v>2984</v>
      </c>
      <c r="G3385" s="4">
        <v>5021</v>
      </c>
      <c r="H3385" s="4">
        <v>0</v>
      </c>
      <c r="I3385" s="4">
        <v>-41487937.32</v>
      </c>
    </row>
    <row r="3386" spans="1:9" x14ac:dyDescent="0.3">
      <c r="A3386" t="s">
        <v>133</v>
      </c>
      <c r="B3386" s="1">
        <v>45887</v>
      </c>
      <c r="C3386" s="1">
        <v>45887</v>
      </c>
      <c r="D3386">
        <v>920690</v>
      </c>
      <c r="E3386">
        <v>55</v>
      </c>
      <c r="F3386" s="3" t="s">
        <v>2985</v>
      </c>
      <c r="G3386" s="4">
        <v>510000</v>
      </c>
      <c r="H3386" s="4">
        <v>0</v>
      </c>
      <c r="I3386" s="4">
        <v>-40977937.32</v>
      </c>
    </row>
    <row r="3387" spans="1:9" x14ac:dyDescent="0.3">
      <c r="A3387" t="s">
        <v>133</v>
      </c>
      <c r="B3387" s="1">
        <v>45887</v>
      </c>
      <c r="C3387" s="1">
        <v>45887</v>
      </c>
      <c r="D3387">
        <v>920691</v>
      </c>
      <c r="E3387">
        <v>27</v>
      </c>
      <c r="F3387" s="3" t="s">
        <v>2986</v>
      </c>
      <c r="G3387" s="4">
        <v>32459.25</v>
      </c>
      <c r="H3387" s="4">
        <v>0</v>
      </c>
      <c r="I3387" s="4">
        <v>-40945478.07</v>
      </c>
    </row>
    <row r="3388" spans="1:9" x14ac:dyDescent="0.3">
      <c r="A3388" t="s">
        <v>133</v>
      </c>
      <c r="B3388" s="1">
        <v>45887</v>
      </c>
      <c r="C3388" s="1">
        <v>45887</v>
      </c>
      <c r="D3388">
        <v>920696</v>
      </c>
      <c r="E3388">
        <v>24</v>
      </c>
      <c r="F3388" s="3" t="s">
        <v>2987</v>
      </c>
      <c r="G3388" s="4">
        <v>730000</v>
      </c>
      <c r="H3388" s="4">
        <v>0</v>
      </c>
      <c r="I3388" s="4">
        <v>-40215478.07</v>
      </c>
    </row>
    <row r="3389" spans="1:9" x14ac:dyDescent="0.3">
      <c r="A3389" t="s">
        <v>133</v>
      </c>
      <c r="B3389" s="1">
        <v>45887</v>
      </c>
      <c r="C3389" s="1">
        <v>45887</v>
      </c>
      <c r="D3389">
        <v>920709</v>
      </c>
      <c r="E3389">
        <v>64</v>
      </c>
      <c r="F3389" s="3" t="s">
        <v>670</v>
      </c>
      <c r="G3389" s="4">
        <v>57500</v>
      </c>
      <c r="H3389" s="4">
        <v>0</v>
      </c>
      <c r="I3389" s="4">
        <v>-40157978.07</v>
      </c>
    </row>
    <row r="3390" spans="1:9" x14ac:dyDescent="0.3">
      <c r="A3390" t="s">
        <v>133</v>
      </c>
      <c r="B3390" s="1">
        <v>45887</v>
      </c>
      <c r="C3390" s="1">
        <v>45887</v>
      </c>
      <c r="D3390">
        <v>920713</v>
      </c>
      <c r="E3390">
        <v>58</v>
      </c>
      <c r="F3390" s="3" t="s">
        <v>2988</v>
      </c>
      <c r="G3390" s="4">
        <v>100000</v>
      </c>
      <c r="H3390" s="4">
        <v>0</v>
      </c>
      <c r="I3390" s="4">
        <v>-40057978.07</v>
      </c>
    </row>
    <row r="3391" spans="1:9" x14ac:dyDescent="0.3">
      <c r="A3391" t="s">
        <v>133</v>
      </c>
      <c r="B3391" s="1">
        <v>45887</v>
      </c>
      <c r="C3391" s="1">
        <v>45887</v>
      </c>
      <c r="D3391">
        <v>920716</v>
      </c>
      <c r="E3391">
        <v>542</v>
      </c>
      <c r="F3391" s="3" t="s">
        <v>208</v>
      </c>
      <c r="G3391" s="4">
        <v>320000</v>
      </c>
      <c r="H3391" s="4">
        <v>0</v>
      </c>
      <c r="I3391" s="4">
        <v>-39737978.07</v>
      </c>
    </row>
    <row r="3392" spans="1:9" x14ac:dyDescent="0.3">
      <c r="A3392" t="s">
        <v>133</v>
      </c>
      <c r="B3392" s="1">
        <v>45887</v>
      </c>
      <c r="C3392" s="1">
        <v>45887</v>
      </c>
      <c r="D3392">
        <v>920720</v>
      </c>
      <c r="E3392">
        <v>27</v>
      </c>
      <c r="F3392" s="3" t="s">
        <v>2989</v>
      </c>
      <c r="G3392" s="4">
        <v>65805.5</v>
      </c>
      <c r="H3392" s="4">
        <v>0</v>
      </c>
      <c r="I3392" s="4">
        <v>-39672172.57</v>
      </c>
    </row>
    <row r="3393" spans="1:9" x14ac:dyDescent="0.3">
      <c r="A3393" t="s">
        <v>133</v>
      </c>
      <c r="B3393" s="1">
        <v>45887</v>
      </c>
      <c r="C3393" s="1">
        <v>45887</v>
      </c>
      <c r="D3393">
        <v>920746</v>
      </c>
      <c r="E3393">
        <v>88</v>
      </c>
      <c r="F3393" s="3" t="s">
        <v>2990</v>
      </c>
      <c r="G3393" s="4">
        <v>7199</v>
      </c>
      <c r="H3393" s="4">
        <v>0</v>
      </c>
      <c r="I3393" s="4">
        <v>-39664973.57</v>
      </c>
    </row>
    <row r="3394" spans="1:9" x14ac:dyDescent="0.3">
      <c r="A3394" t="s">
        <v>133</v>
      </c>
      <c r="B3394" s="1">
        <v>45887</v>
      </c>
      <c r="C3394" s="1">
        <v>45887</v>
      </c>
      <c r="D3394">
        <v>920753</v>
      </c>
      <c r="E3394">
        <v>65</v>
      </c>
      <c r="F3394" s="3" t="s">
        <v>2991</v>
      </c>
      <c r="G3394" s="4">
        <v>200000</v>
      </c>
      <c r="H3394" s="4">
        <v>0</v>
      </c>
      <c r="I3394" s="4">
        <v>-39464973.57</v>
      </c>
    </row>
    <row r="3395" spans="1:9" x14ac:dyDescent="0.3">
      <c r="A3395" t="s">
        <v>133</v>
      </c>
      <c r="B3395" s="1">
        <v>45887</v>
      </c>
      <c r="C3395" s="1">
        <v>45887</v>
      </c>
      <c r="D3395">
        <v>920759</v>
      </c>
      <c r="E3395">
        <v>94</v>
      </c>
      <c r="F3395" s="3" t="s">
        <v>2992</v>
      </c>
      <c r="G3395" s="4">
        <v>36800.5</v>
      </c>
      <c r="H3395" s="4">
        <v>0</v>
      </c>
      <c r="I3395" s="4">
        <v>-39428173.07</v>
      </c>
    </row>
    <row r="3396" spans="1:9" x14ac:dyDescent="0.3">
      <c r="A3396" t="s">
        <v>133</v>
      </c>
      <c r="B3396" s="1">
        <v>45887</v>
      </c>
      <c r="C3396" s="1">
        <v>45887</v>
      </c>
      <c r="D3396">
        <v>920760</v>
      </c>
      <c r="E3396">
        <v>91</v>
      </c>
      <c r="F3396" s="3" t="s">
        <v>2993</v>
      </c>
      <c r="G3396" s="4">
        <v>300000</v>
      </c>
      <c r="H3396" s="4">
        <v>0</v>
      </c>
      <c r="I3396" s="4">
        <v>-39128173.07</v>
      </c>
    </row>
    <row r="3397" spans="1:9" x14ac:dyDescent="0.3">
      <c r="A3397" t="s">
        <v>133</v>
      </c>
      <c r="B3397" s="1">
        <v>45887</v>
      </c>
      <c r="C3397" s="1">
        <v>45887</v>
      </c>
      <c r="D3397">
        <v>920762</v>
      </c>
      <c r="E3397">
        <v>94</v>
      </c>
      <c r="F3397" s="3" t="s">
        <v>2994</v>
      </c>
      <c r="G3397" s="4">
        <v>200815.75</v>
      </c>
      <c r="H3397" s="4">
        <v>0</v>
      </c>
      <c r="I3397" s="4">
        <v>-38927357.32</v>
      </c>
    </row>
    <row r="3398" spans="1:9" x14ac:dyDescent="0.3">
      <c r="A3398" t="s">
        <v>133</v>
      </c>
      <c r="B3398" s="1">
        <v>45887</v>
      </c>
      <c r="C3398" s="1">
        <v>45887</v>
      </c>
      <c r="D3398">
        <v>920768</v>
      </c>
      <c r="E3398">
        <v>12</v>
      </c>
      <c r="F3398" s="3" t="s">
        <v>2995</v>
      </c>
      <c r="G3398" s="4">
        <v>10935</v>
      </c>
      <c r="H3398" s="4">
        <v>0</v>
      </c>
      <c r="I3398" s="4">
        <v>-38916422.32</v>
      </c>
    </row>
    <row r="3399" spans="1:9" x14ac:dyDescent="0.3">
      <c r="A3399" t="s">
        <v>133</v>
      </c>
      <c r="B3399" s="1">
        <v>45887</v>
      </c>
      <c r="C3399" s="1">
        <v>45887</v>
      </c>
      <c r="D3399">
        <v>920769</v>
      </c>
      <c r="E3399">
        <v>84</v>
      </c>
      <c r="F3399" s="3" t="s">
        <v>2996</v>
      </c>
      <c r="G3399" s="4">
        <v>40474.5</v>
      </c>
      <c r="H3399" s="4">
        <v>0</v>
      </c>
      <c r="I3399" s="4">
        <v>-38875947.82</v>
      </c>
    </row>
    <row r="3400" spans="1:9" x14ac:dyDescent="0.3">
      <c r="A3400" t="s">
        <v>133</v>
      </c>
      <c r="B3400" s="1">
        <v>45887</v>
      </c>
      <c r="C3400" s="1">
        <v>45887</v>
      </c>
      <c r="D3400">
        <v>920777</v>
      </c>
      <c r="E3400">
        <v>310</v>
      </c>
      <c r="F3400" s="3" t="s">
        <v>2997</v>
      </c>
      <c r="G3400" s="4">
        <v>650000</v>
      </c>
      <c r="H3400" s="4">
        <v>0</v>
      </c>
      <c r="I3400" s="4">
        <v>-38225947.82</v>
      </c>
    </row>
    <row r="3401" spans="1:9" x14ac:dyDescent="0.3">
      <c r="A3401" t="s">
        <v>133</v>
      </c>
      <c r="B3401" s="1">
        <v>45887</v>
      </c>
      <c r="C3401" s="1">
        <v>45887</v>
      </c>
      <c r="D3401">
        <v>920779</v>
      </c>
      <c r="E3401">
        <v>382</v>
      </c>
      <c r="F3401" s="3" t="s">
        <v>2998</v>
      </c>
      <c r="G3401" s="4">
        <v>734805</v>
      </c>
      <c r="H3401" s="4">
        <v>0</v>
      </c>
      <c r="I3401" s="4">
        <v>-37491142.82</v>
      </c>
    </row>
    <row r="3402" spans="1:9" x14ac:dyDescent="0.3">
      <c r="A3402" t="s">
        <v>133</v>
      </c>
      <c r="B3402" s="1">
        <v>45887</v>
      </c>
      <c r="C3402" s="1">
        <v>45887</v>
      </c>
      <c r="D3402">
        <v>920816</v>
      </c>
      <c r="E3402">
        <v>361</v>
      </c>
      <c r="F3402" s="3" t="s">
        <v>2999</v>
      </c>
      <c r="G3402" s="4">
        <v>210000</v>
      </c>
      <c r="H3402" s="4">
        <v>0</v>
      </c>
      <c r="I3402" s="4">
        <v>-37281142.82</v>
      </c>
    </row>
    <row r="3403" spans="1:9" x14ac:dyDescent="0.3">
      <c r="A3403" t="s">
        <v>133</v>
      </c>
      <c r="B3403" s="1">
        <v>45887</v>
      </c>
      <c r="C3403" s="1">
        <v>45887</v>
      </c>
      <c r="D3403">
        <v>920830</v>
      </c>
      <c r="E3403">
        <v>67</v>
      </c>
      <c r="F3403" s="3" t="s">
        <v>181</v>
      </c>
      <c r="G3403" s="4">
        <v>360000</v>
      </c>
      <c r="H3403" s="4">
        <v>0</v>
      </c>
      <c r="I3403" s="4">
        <v>-36921142.82</v>
      </c>
    </row>
    <row r="3404" spans="1:9" x14ac:dyDescent="0.3">
      <c r="A3404" t="s">
        <v>133</v>
      </c>
      <c r="B3404" s="1">
        <v>45887</v>
      </c>
      <c r="C3404" s="1">
        <v>45887</v>
      </c>
      <c r="D3404">
        <v>920836</v>
      </c>
      <c r="E3404">
        <v>223</v>
      </c>
      <c r="F3404" s="3">
        <v>1009</v>
      </c>
      <c r="G3404" s="4">
        <v>79786.25</v>
      </c>
      <c r="H3404" s="4">
        <v>0</v>
      </c>
      <c r="I3404" s="4">
        <v>-36841356.57</v>
      </c>
    </row>
    <row r="3405" spans="1:9" x14ac:dyDescent="0.3">
      <c r="A3405" t="s">
        <v>133</v>
      </c>
      <c r="B3405" s="1">
        <v>45887</v>
      </c>
      <c r="C3405" s="1">
        <v>45887</v>
      </c>
      <c r="D3405">
        <v>920847</v>
      </c>
      <c r="E3405">
        <v>82</v>
      </c>
      <c r="F3405" s="3" t="s">
        <v>685</v>
      </c>
      <c r="G3405" s="4">
        <v>150000</v>
      </c>
      <c r="H3405" s="4">
        <v>0</v>
      </c>
      <c r="I3405" s="4">
        <v>-36691356.57</v>
      </c>
    </row>
    <row r="3406" spans="1:9" x14ac:dyDescent="0.3">
      <c r="A3406" t="s">
        <v>133</v>
      </c>
      <c r="B3406" s="1">
        <v>45887</v>
      </c>
      <c r="C3406" s="1">
        <v>45887</v>
      </c>
      <c r="D3406">
        <v>920854</v>
      </c>
      <c r="E3406">
        <v>72</v>
      </c>
      <c r="F3406" s="3">
        <v>51078999437</v>
      </c>
      <c r="G3406" s="4">
        <v>25005</v>
      </c>
      <c r="H3406" s="4">
        <v>0</v>
      </c>
      <c r="I3406" s="4">
        <v>-36666351.57</v>
      </c>
    </row>
    <row r="3407" spans="1:9" x14ac:dyDescent="0.3">
      <c r="A3407" t="s">
        <v>133</v>
      </c>
      <c r="B3407" s="1">
        <v>45887</v>
      </c>
      <c r="C3407" s="1">
        <v>45887</v>
      </c>
      <c r="D3407">
        <v>920855</v>
      </c>
      <c r="E3407">
        <v>56</v>
      </c>
      <c r="F3407" s="3" t="s">
        <v>3000</v>
      </c>
      <c r="G3407" s="4">
        <v>130000</v>
      </c>
      <c r="H3407" s="4">
        <v>0</v>
      </c>
      <c r="I3407" s="4">
        <v>-36536351.57</v>
      </c>
    </row>
    <row r="3408" spans="1:9" x14ac:dyDescent="0.3">
      <c r="A3408" t="s">
        <v>133</v>
      </c>
      <c r="B3408" s="1">
        <v>45887</v>
      </c>
      <c r="C3408" s="1">
        <v>45887</v>
      </c>
      <c r="D3408">
        <v>920856</v>
      </c>
      <c r="E3408">
        <v>43</v>
      </c>
      <c r="F3408" s="3" t="s">
        <v>678</v>
      </c>
      <c r="G3408" s="4">
        <v>621400</v>
      </c>
      <c r="H3408" s="4">
        <v>0</v>
      </c>
      <c r="I3408" s="4">
        <v>-35914951.57</v>
      </c>
    </row>
    <row r="3409" spans="1:9" x14ac:dyDescent="0.3">
      <c r="A3409" t="s">
        <v>133</v>
      </c>
      <c r="B3409" s="1">
        <v>45887</v>
      </c>
      <c r="C3409" s="1">
        <v>45887</v>
      </c>
      <c r="D3409">
        <v>920859</v>
      </c>
      <c r="E3409">
        <v>77</v>
      </c>
      <c r="F3409" s="3" t="s">
        <v>3001</v>
      </c>
      <c r="G3409" s="4">
        <v>410000</v>
      </c>
      <c r="H3409" s="4">
        <v>0</v>
      </c>
      <c r="I3409" s="4">
        <v>-35504951.57</v>
      </c>
    </row>
    <row r="3410" spans="1:9" x14ac:dyDescent="0.3">
      <c r="A3410" t="s">
        <v>133</v>
      </c>
      <c r="B3410" s="1">
        <v>45887</v>
      </c>
      <c r="C3410" s="1">
        <v>45887</v>
      </c>
      <c r="D3410">
        <v>920865</v>
      </c>
      <c r="E3410">
        <v>98</v>
      </c>
      <c r="F3410" s="3" t="s">
        <v>3002</v>
      </c>
      <c r="G3410" s="4">
        <v>79463.5</v>
      </c>
      <c r="H3410" s="4">
        <v>0</v>
      </c>
      <c r="I3410" s="4">
        <v>-35425488.07</v>
      </c>
    </row>
    <row r="3411" spans="1:9" x14ac:dyDescent="0.3">
      <c r="A3411" t="s">
        <v>133</v>
      </c>
      <c r="B3411" s="1">
        <v>45887</v>
      </c>
      <c r="C3411" s="1">
        <v>45887</v>
      </c>
      <c r="D3411">
        <v>920873</v>
      </c>
      <c r="E3411">
        <v>307</v>
      </c>
      <c r="F3411" s="3" t="s">
        <v>1933</v>
      </c>
      <c r="G3411" s="4">
        <v>301600</v>
      </c>
      <c r="H3411" s="4">
        <v>0</v>
      </c>
      <c r="I3411" s="4">
        <v>-35123888.07</v>
      </c>
    </row>
    <row r="3412" spans="1:9" x14ac:dyDescent="0.3">
      <c r="A3412" t="s">
        <v>133</v>
      </c>
      <c r="B3412" s="1">
        <v>45887</v>
      </c>
      <c r="C3412" s="1">
        <v>45887</v>
      </c>
      <c r="D3412">
        <v>920876</v>
      </c>
      <c r="E3412">
        <v>80</v>
      </c>
      <c r="F3412" s="3" t="s">
        <v>3003</v>
      </c>
      <c r="G3412" s="4">
        <v>190000</v>
      </c>
      <c r="H3412" s="4">
        <v>0</v>
      </c>
      <c r="I3412" s="4">
        <v>-34933888.07</v>
      </c>
    </row>
    <row r="3413" spans="1:9" x14ac:dyDescent="0.3">
      <c r="A3413" t="s">
        <v>133</v>
      </c>
      <c r="B3413" s="1">
        <v>45887</v>
      </c>
      <c r="C3413" s="1">
        <v>45887</v>
      </c>
      <c r="D3413">
        <v>920877</v>
      </c>
      <c r="E3413">
        <v>78</v>
      </c>
      <c r="F3413" s="3" t="s">
        <v>3004</v>
      </c>
      <c r="G3413" s="4">
        <v>60618.25</v>
      </c>
      <c r="H3413" s="4">
        <v>0</v>
      </c>
      <c r="I3413" s="4">
        <v>-34873269.82</v>
      </c>
    </row>
    <row r="3414" spans="1:9" x14ac:dyDescent="0.3">
      <c r="A3414" t="s">
        <v>133</v>
      </c>
      <c r="B3414" s="1">
        <v>45887</v>
      </c>
      <c r="C3414" s="1">
        <v>45887</v>
      </c>
      <c r="D3414">
        <v>920880</v>
      </c>
      <c r="E3414">
        <v>63</v>
      </c>
      <c r="F3414" s="3" t="s">
        <v>3005</v>
      </c>
      <c r="G3414" s="4">
        <v>120000</v>
      </c>
      <c r="H3414" s="4">
        <v>0</v>
      </c>
      <c r="I3414" s="4">
        <v>-34753269.82</v>
      </c>
    </row>
    <row r="3415" spans="1:9" x14ac:dyDescent="0.3">
      <c r="A3415" t="s">
        <v>133</v>
      </c>
      <c r="B3415" s="1">
        <v>45887</v>
      </c>
      <c r="C3415" s="1">
        <v>45887</v>
      </c>
      <c r="D3415">
        <v>920889</v>
      </c>
      <c r="E3415">
        <v>78</v>
      </c>
      <c r="F3415" s="3" t="s">
        <v>679</v>
      </c>
      <c r="G3415" s="4">
        <v>385000</v>
      </c>
      <c r="H3415" s="4">
        <v>0</v>
      </c>
      <c r="I3415" s="4">
        <v>-34368269.82</v>
      </c>
    </row>
    <row r="3416" spans="1:9" x14ac:dyDescent="0.3">
      <c r="A3416" t="s">
        <v>133</v>
      </c>
      <c r="B3416" s="1">
        <v>45887</v>
      </c>
      <c r="C3416" s="1">
        <v>45887</v>
      </c>
      <c r="D3416">
        <v>920891</v>
      </c>
      <c r="E3416">
        <v>11</v>
      </c>
      <c r="F3416" s="3" t="s">
        <v>3006</v>
      </c>
      <c r="G3416" s="4">
        <v>1700000</v>
      </c>
      <c r="H3416" s="4">
        <v>0</v>
      </c>
      <c r="I3416" s="4">
        <v>-32668269.82</v>
      </c>
    </row>
    <row r="3417" spans="1:9" x14ac:dyDescent="0.3">
      <c r="A3417" t="s">
        <v>133</v>
      </c>
      <c r="B3417" s="1">
        <v>45887</v>
      </c>
      <c r="C3417" s="1">
        <v>45887</v>
      </c>
      <c r="D3417">
        <v>920893</v>
      </c>
      <c r="E3417">
        <v>77</v>
      </c>
      <c r="F3417" s="3" t="s">
        <v>3007</v>
      </c>
      <c r="G3417" s="4">
        <v>390000</v>
      </c>
      <c r="H3417" s="4">
        <v>0</v>
      </c>
      <c r="I3417" s="4">
        <v>-32278269.82</v>
      </c>
    </row>
    <row r="3418" spans="1:9" x14ac:dyDescent="0.3">
      <c r="A3418" t="s">
        <v>133</v>
      </c>
      <c r="B3418" s="1">
        <v>45887</v>
      </c>
      <c r="C3418" s="1">
        <v>45887</v>
      </c>
      <c r="D3418">
        <v>920896</v>
      </c>
      <c r="E3418">
        <v>98</v>
      </c>
      <c r="F3418" s="3" t="s">
        <v>3008</v>
      </c>
      <c r="G3418" s="4">
        <v>73585</v>
      </c>
      <c r="H3418" s="4">
        <v>0</v>
      </c>
      <c r="I3418" s="4">
        <v>-32204684.82</v>
      </c>
    </row>
    <row r="3419" spans="1:9" x14ac:dyDescent="0.3">
      <c r="A3419" t="s">
        <v>133</v>
      </c>
      <c r="B3419" s="1">
        <v>45887</v>
      </c>
      <c r="C3419" s="1">
        <v>45887</v>
      </c>
      <c r="D3419">
        <v>920900</v>
      </c>
      <c r="E3419">
        <v>12</v>
      </c>
      <c r="F3419" s="3">
        <v>2</v>
      </c>
      <c r="G3419" s="4">
        <v>182834</v>
      </c>
      <c r="H3419" s="4">
        <v>0</v>
      </c>
      <c r="I3419" s="4">
        <v>-32021850.82</v>
      </c>
    </row>
    <row r="3420" spans="1:9" x14ac:dyDescent="0.3">
      <c r="A3420" t="s">
        <v>133</v>
      </c>
      <c r="B3420" s="1">
        <v>45887</v>
      </c>
      <c r="C3420" s="1">
        <v>45887</v>
      </c>
      <c r="D3420">
        <v>920903</v>
      </c>
      <c r="E3420">
        <v>224</v>
      </c>
      <c r="F3420" s="3" t="s">
        <v>3009</v>
      </c>
      <c r="G3420" s="4">
        <v>220085</v>
      </c>
      <c r="H3420" s="4">
        <v>0</v>
      </c>
      <c r="I3420" s="4">
        <v>-31801765.82</v>
      </c>
    </row>
    <row r="3421" spans="1:9" x14ac:dyDescent="0.3">
      <c r="A3421" t="s">
        <v>133</v>
      </c>
      <c r="B3421" s="1">
        <v>45887</v>
      </c>
      <c r="C3421" s="1">
        <v>45887</v>
      </c>
      <c r="D3421">
        <v>920904</v>
      </c>
      <c r="E3421">
        <v>33</v>
      </c>
      <c r="F3421" s="3" t="s">
        <v>1145</v>
      </c>
      <c r="G3421" s="4">
        <v>530000</v>
      </c>
      <c r="H3421" s="4">
        <v>0</v>
      </c>
      <c r="I3421" s="4">
        <v>-31271765.82</v>
      </c>
    </row>
    <row r="3422" spans="1:9" x14ac:dyDescent="0.3">
      <c r="A3422" t="s">
        <v>133</v>
      </c>
      <c r="B3422" s="1">
        <v>45887</v>
      </c>
      <c r="C3422" s="1">
        <v>45887</v>
      </c>
      <c r="D3422">
        <v>920905</v>
      </c>
      <c r="E3422">
        <v>351</v>
      </c>
      <c r="F3422" s="3" t="s">
        <v>3010</v>
      </c>
      <c r="G3422" s="4">
        <v>170000</v>
      </c>
      <c r="H3422" s="4">
        <v>0</v>
      </c>
      <c r="I3422" s="4">
        <v>-31101765.82</v>
      </c>
    </row>
    <row r="3423" spans="1:9" x14ac:dyDescent="0.3">
      <c r="A3423" t="s">
        <v>133</v>
      </c>
      <c r="B3423" s="1">
        <v>45887</v>
      </c>
      <c r="C3423" s="1">
        <v>45887</v>
      </c>
      <c r="D3423">
        <v>920909</v>
      </c>
      <c r="E3423">
        <v>71</v>
      </c>
      <c r="F3423" s="3" t="s">
        <v>3011</v>
      </c>
      <c r="G3423" s="4">
        <v>230000</v>
      </c>
      <c r="H3423" s="4">
        <v>0</v>
      </c>
      <c r="I3423" s="4">
        <v>-30871765.82</v>
      </c>
    </row>
    <row r="3424" spans="1:9" x14ac:dyDescent="0.3">
      <c r="A3424" t="s">
        <v>133</v>
      </c>
      <c r="B3424" s="1">
        <v>45887</v>
      </c>
      <c r="C3424" s="1">
        <v>45887</v>
      </c>
      <c r="D3424">
        <v>920910</v>
      </c>
      <c r="E3424">
        <v>97</v>
      </c>
      <c r="F3424" s="3" t="s">
        <v>966</v>
      </c>
      <c r="G3424" s="4">
        <v>410000</v>
      </c>
      <c r="H3424" s="4">
        <v>0</v>
      </c>
      <c r="I3424" s="4">
        <v>-30461765.82</v>
      </c>
    </row>
    <row r="3425" spans="1:9" x14ac:dyDescent="0.3">
      <c r="A3425" t="s">
        <v>133</v>
      </c>
      <c r="B3425" s="1">
        <v>45887</v>
      </c>
      <c r="C3425" s="1">
        <v>45887</v>
      </c>
      <c r="D3425">
        <v>920913</v>
      </c>
      <c r="E3425">
        <v>76</v>
      </c>
      <c r="F3425" s="3" t="s">
        <v>3012</v>
      </c>
      <c r="G3425" s="4">
        <v>450000</v>
      </c>
      <c r="H3425" s="4">
        <v>0</v>
      </c>
      <c r="I3425" s="4">
        <v>-30011765.82</v>
      </c>
    </row>
    <row r="3426" spans="1:9" x14ac:dyDescent="0.3">
      <c r="A3426" t="s">
        <v>133</v>
      </c>
      <c r="B3426" s="1">
        <v>45887</v>
      </c>
      <c r="C3426" s="1">
        <v>45887</v>
      </c>
      <c r="D3426">
        <v>920915</v>
      </c>
      <c r="E3426">
        <v>79</v>
      </c>
      <c r="F3426" s="3" t="s">
        <v>3013</v>
      </c>
      <c r="G3426" s="4">
        <v>400000</v>
      </c>
      <c r="H3426" s="4">
        <v>0</v>
      </c>
      <c r="I3426" s="4">
        <v>-29611765.82</v>
      </c>
    </row>
    <row r="3427" spans="1:9" x14ac:dyDescent="0.3">
      <c r="A3427" t="s">
        <v>133</v>
      </c>
      <c r="B3427" s="1">
        <v>45887</v>
      </c>
      <c r="C3427" s="1">
        <v>45887</v>
      </c>
      <c r="D3427">
        <v>920926</v>
      </c>
      <c r="E3427">
        <v>16</v>
      </c>
      <c r="F3427" s="3" t="s">
        <v>3014</v>
      </c>
      <c r="G3427" s="4">
        <v>460000</v>
      </c>
      <c r="H3427" s="4">
        <v>0</v>
      </c>
      <c r="I3427" s="4">
        <v>-29151765.82</v>
      </c>
    </row>
    <row r="3428" spans="1:9" x14ac:dyDescent="0.3">
      <c r="A3428" t="s">
        <v>133</v>
      </c>
      <c r="B3428" s="1">
        <v>45887</v>
      </c>
      <c r="C3428" s="1">
        <v>45887</v>
      </c>
      <c r="D3428">
        <v>920927</v>
      </c>
      <c r="E3428">
        <v>53</v>
      </c>
      <c r="F3428" s="3" t="s">
        <v>950</v>
      </c>
      <c r="G3428" s="4">
        <v>425000</v>
      </c>
      <c r="H3428" s="4">
        <v>0</v>
      </c>
      <c r="I3428" s="4">
        <v>-28726765.82</v>
      </c>
    </row>
    <row r="3429" spans="1:9" x14ac:dyDescent="0.3">
      <c r="A3429" t="s">
        <v>133</v>
      </c>
      <c r="B3429" s="1">
        <v>45887</v>
      </c>
      <c r="C3429" s="1">
        <v>45887</v>
      </c>
      <c r="D3429">
        <v>920928</v>
      </c>
      <c r="E3429">
        <v>98</v>
      </c>
      <c r="F3429" s="3" t="s">
        <v>3015</v>
      </c>
      <c r="G3429" s="4">
        <v>45691.5</v>
      </c>
      <c r="H3429" s="4">
        <v>0</v>
      </c>
      <c r="I3429" s="4">
        <v>-28681074.32</v>
      </c>
    </row>
    <row r="3430" spans="1:9" x14ac:dyDescent="0.3">
      <c r="A3430" t="s">
        <v>133</v>
      </c>
      <c r="B3430" s="1">
        <v>45887</v>
      </c>
      <c r="C3430" s="1">
        <v>45887</v>
      </c>
      <c r="D3430">
        <v>920929</v>
      </c>
      <c r="E3430">
        <v>98</v>
      </c>
      <c r="F3430" s="3" t="s">
        <v>3016</v>
      </c>
      <c r="G3430" s="4">
        <v>25639.5</v>
      </c>
      <c r="H3430" s="4">
        <v>0</v>
      </c>
      <c r="I3430" s="4">
        <v>-28655434.82</v>
      </c>
    </row>
    <row r="3431" spans="1:9" x14ac:dyDescent="0.3">
      <c r="A3431" t="s">
        <v>133</v>
      </c>
      <c r="B3431" s="1">
        <v>45887</v>
      </c>
      <c r="C3431" s="1">
        <v>45887</v>
      </c>
      <c r="D3431">
        <v>920932</v>
      </c>
      <c r="E3431">
        <v>252</v>
      </c>
      <c r="F3431" s="3" t="s">
        <v>3017</v>
      </c>
      <c r="G3431" s="4">
        <v>11992</v>
      </c>
      <c r="H3431" s="4">
        <v>0</v>
      </c>
      <c r="I3431" s="4">
        <v>-28643442.82</v>
      </c>
    </row>
    <row r="3432" spans="1:9" x14ac:dyDescent="0.3">
      <c r="A3432" t="s">
        <v>133</v>
      </c>
      <c r="B3432" s="1">
        <v>45887</v>
      </c>
      <c r="C3432" s="1">
        <v>45887</v>
      </c>
      <c r="D3432">
        <v>920937</v>
      </c>
      <c r="E3432">
        <v>23</v>
      </c>
      <c r="F3432" s="3" t="s">
        <v>695</v>
      </c>
      <c r="G3432" s="4">
        <v>210000</v>
      </c>
      <c r="H3432" s="4">
        <v>0</v>
      </c>
      <c r="I3432" s="4">
        <v>-28433442.82</v>
      </c>
    </row>
    <row r="3433" spans="1:9" x14ac:dyDescent="0.3">
      <c r="A3433" t="s">
        <v>133</v>
      </c>
      <c r="B3433" s="1">
        <v>45887</v>
      </c>
      <c r="C3433" s="1">
        <v>45887</v>
      </c>
      <c r="D3433">
        <v>920950</v>
      </c>
      <c r="E3433">
        <v>12</v>
      </c>
      <c r="F3433" s="3">
        <v>30</v>
      </c>
      <c r="G3433" s="4">
        <v>6240</v>
      </c>
      <c r="H3433" s="4">
        <v>0</v>
      </c>
      <c r="I3433" s="4">
        <v>-28427202.82</v>
      </c>
    </row>
    <row r="3434" spans="1:9" x14ac:dyDescent="0.3">
      <c r="A3434" t="s">
        <v>133</v>
      </c>
      <c r="B3434" s="1">
        <v>45887</v>
      </c>
      <c r="C3434" s="1">
        <v>45887</v>
      </c>
      <c r="D3434">
        <v>920959</v>
      </c>
      <c r="E3434">
        <v>210</v>
      </c>
      <c r="F3434" s="3" t="s">
        <v>255</v>
      </c>
      <c r="G3434" s="4">
        <v>300000</v>
      </c>
      <c r="H3434" s="4">
        <v>0</v>
      </c>
      <c r="I3434" s="4">
        <v>-28127202.82</v>
      </c>
    </row>
    <row r="3435" spans="1:9" x14ac:dyDescent="0.3">
      <c r="A3435" t="s">
        <v>133</v>
      </c>
      <c r="B3435" s="1">
        <v>45887</v>
      </c>
      <c r="C3435" s="1">
        <v>45887</v>
      </c>
      <c r="D3435">
        <v>920963</v>
      </c>
      <c r="E3435">
        <v>70</v>
      </c>
      <c r="F3435" s="3" t="s">
        <v>3018</v>
      </c>
      <c r="G3435" s="4">
        <v>380000</v>
      </c>
      <c r="H3435" s="4">
        <v>0</v>
      </c>
      <c r="I3435" s="4">
        <v>-27747202.82</v>
      </c>
    </row>
    <row r="3436" spans="1:9" x14ac:dyDescent="0.3">
      <c r="A3436" t="s">
        <v>133</v>
      </c>
      <c r="B3436" s="1">
        <v>45887</v>
      </c>
      <c r="C3436" s="1">
        <v>45887</v>
      </c>
      <c r="D3436">
        <v>920966</v>
      </c>
      <c r="E3436">
        <v>13</v>
      </c>
      <c r="F3436" s="3" t="s">
        <v>3019</v>
      </c>
      <c r="G3436" s="4">
        <v>40000</v>
      </c>
      <c r="H3436" s="4">
        <v>0</v>
      </c>
      <c r="I3436" s="4">
        <v>-27707202.82</v>
      </c>
    </row>
    <row r="3437" spans="1:9" x14ac:dyDescent="0.3">
      <c r="A3437" t="s">
        <v>133</v>
      </c>
      <c r="B3437" s="1">
        <v>45887</v>
      </c>
      <c r="C3437" s="1">
        <v>45887</v>
      </c>
      <c r="D3437">
        <v>920967</v>
      </c>
      <c r="E3437">
        <v>223</v>
      </c>
      <c r="F3437" s="3">
        <v>136831</v>
      </c>
      <c r="G3437" s="4">
        <v>22621</v>
      </c>
      <c r="H3437" s="4">
        <v>0</v>
      </c>
      <c r="I3437" s="4">
        <v>-27684581.82</v>
      </c>
    </row>
    <row r="3438" spans="1:9" x14ac:dyDescent="0.3">
      <c r="A3438" t="s">
        <v>133</v>
      </c>
      <c r="B3438" s="1">
        <v>45887</v>
      </c>
      <c r="C3438" s="1">
        <v>45887</v>
      </c>
      <c r="D3438">
        <v>920977</v>
      </c>
      <c r="E3438">
        <v>82</v>
      </c>
      <c r="F3438" s="3">
        <v>5620820003646</v>
      </c>
      <c r="G3438" s="4">
        <v>16638</v>
      </c>
      <c r="H3438" s="4">
        <v>0</v>
      </c>
      <c r="I3438" s="4">
        <v>-27667943.82</v>
      </c>
    </row>
    <row r="3439" spans="1:9" x14ac:dyDescent="0.3">
      <c r="A3439" t="s">
        <v>133</v>
      </c>
      <c r="B3439" s="1">
        <v>45887</v>
      </c>
      <c r="C3439" s="1">
        <v>45887</v>
      </c>
      <c r="D3439">
        <v>920986</v>
      </c>
      <c r="E3439">
        <v>62</v>
      </c>
      <c r="F3439" s="3" t="s">
        <v>3020</v>
      </c>
      <c r="G3439" s="4">
        <v>370000</v>
      </c>
      <c r="H3439" s="4">
        <v>0</v>
      </c>
      <c r="I3439" s="4">
        <v>-27297943.82</v>
      </c>
    </row>
    <row r="3440" spans="1:9" x14ac:dyDescent="0.3">
      <c r="A3440" t="s">
        <v>133</v>
      </c>
      <c r="B3440" s="1">
        <v>45887</v>
      </c>
      <c r="C3440" s="1">
        <v>45887</v>
      </c>
      <c r="D3440">
        <v>920990</v>
      </c>
      <c r="E3440">
        <v>72</v>
      </c>
      <c r="F3440" s="3" t="s">
        <v>3021</v>
      </c>
      <c r="G3440" s="4">
        <v>125843</v>
      </c>
      <c r="H3440" s="4">
        <v>0</v>
      </c>
      <c r="I3440" s="4">
        <v>-27172100.82</v>
      </c>
    </row>
    <row r="3441" spans="1:9" x14ac:dyDescent="0.3">
      <c r="A3441" t="s">
        <v>133</v>
      </c>
      <c r="B3441" s="1">
        <v>45887</v>
      </c>
      <c r="C3441" s="1">
        <v>45887</v>
      </c>
      <c r="D3441">
        <v>920993</v>
      </c>
      <c r="E3441">
        <v>98</v>
      </c>
      <c r="F3441" s="3" t="s">
        <v>3022</v>
      </c>
      <c r="G3441" s="4">
        <v>205000</v>
      </c>
      <c r="H3441" s="4">
        <v>0</v>
      </c>
      <c r="I3441" s="4">
        <v>-26967100.82</v>
      </c>
    </row>
    <row r="3442" spans="1:9" x14ac:dyDescent="0.3">
      <c r="A3442" t="s">
        <v>133</v>
      </c>
      <c r="B3442" s="1">
        <v>45887</v>
      </c>
      <c r="C3442" s="1">
        <v>45887</v>
      </c>
      <c r="D3442">
        <v>920994</v>
      </c>
      <c r="E3442">
        <v>84</v>
      </c>
      <c r="F3442" s="3" t="s">
        <v>3023</v>
      </c>
      <c r="G3442" s="4">
        <v>340000</v>
      </c>
      <c r="H3442" s="4">
        <v>0</v>
      </c>
      <c r="I3442" s="4">
        <v>-26627100.82</v>
      </c>
    </row>
    <row r="3443" spans="1:9" x14ac:dyDescent="0.3">
      <c r="A3443" t="s">
        <v>133</v>
      </c>
      <c r="B3443" s="1">
        <v>45887</v>
      </c>
      <c r="C3443" s="1">
        <v>45887</v>
      </c>
      <c r="D3443">
        <v>920996</v>
      </c>
      <c r="E3443">
        <v>84</v>
      </c>
      <c r="F3443" s="3" t="s">
        <v>3024</v>
      </c>
      <c r="G3443" s="4">
        <v>53936.75</v>
      </c>
      <c r="H3443" s="4">
        <v>0</v>
      </c>
      <c r="I3443" s="4">
        <v>-26573164.07</v>
      </c>
    </row>
    <row r="3444" spans="1:9" x14ac:dyDescent="0.3">
      <c r="A3444" t="s">
        <v>133</v>
      </c>
      <c r="B3444" s="1">
        <v>45887</v>
      </c>
      <c r="C3444" s="1">
        <v>45887</v>
      </c>
      <c r="D3444">
        <v>921001</v>
      </c>
      <c r="E3444">
        <v>61</v>
      </c>
      <c r="F3444" s="3" t="s">
        <v>3025</v>
      </c>
      <c r="G3444" s="4">
        <v>350000</v>
      </c>
      <c r="H3444" s="4">
        <v>0</v>
      </c>
      <c r="I3444" s="4">
        <v>-26223164.07</v>
      </c>
    </row>
    <row r="3445" spans="1:9" x14ac:dyDescent="0.3">
      <c r="A3445" t="s">
        <v>133</v>
      </c>
      <c r="B3445" s="1">
        <v>45887</v>
      </c>
      <c r="C3445" s="1">
        <v>45887</v>
      </c>
      <c r="D3445">
        <v>921002</v>
      </c>
      <c r="E3445">
        <v>84</v>
      </c>
      <c r="F3445" s="3" t="s">
        <v>3026</v>
      </c>
      <c r="G3445" s="4">
        <v>5917</v>
      </c>
      <c r="H3445" s="4">
        <v>0</v>
      </c>
      <c r="I3445" s="4">
        <v>-26217247.07</v>
      </c>
    </row>
    <row r="3446" spans="1:9" x14ac:dyDescent="0.3">
      <c r="A3446" t="s">
        <v>133</v>
      </c>
      <c r="B3446" s="1">
        <v>45887</v>
      </c>
      <c r="C3446" s="1">
        <v>45887</v>
      </c>
      <c r="D3446">
        <v>921004</v>
      </c>
      <c r="E3446">
        <v>85</v>
      </c>
      <c r="F3446" s="3" t="s">
        <v>3027</v>
      </c>
      <c r="G3446" s="4">
        <v>930000</v>
      </c>
      <c r="H3446" s="4">
        <v>0</v>
      </c>
      <c r="I3446" s="4">
        <v>-25287247.07</v>
      </c>
    </row>
    <row r="3447" spans="1:9" x14ac:dyDescent="0.3">
      <c r="A3447" t="s">
        <v>133</v>
      </c>
      <c r="B3447" s="1">
        <v>45887</v>
      </c>
      <c r="C3447" s="1">
        <v>45887</v>
      </c>
      <c r="D3447">
        <v>921018</v>
      </c>
      <c r="E3447">
        <v>28</v>
      </c>
      <c r="F3447" s="3">
        <v>1115</v>
      </c>
      <c r="G3447" s="4">
        <v>100000</v>
      </c>
      <c r="H3447" s="4">
        <v>0</v>
      </c>
      <c r="I3447" s="4">
        <v>-25187247.07</v>
      </c>
    </row>
    <row r="3448" spans="1:9" x14ac:dyDescent="0.3">
      <c r="A3448" t="s">
        <v>133</v>
      </c>
      <c r="B3448" s="1">
        <v>45887</v>
      </c>
      <c r="C3448" s="1">
        <v>45887</v>
      </c>
      <c r="D3448">
        <v>921019</v>
      </c>
      <c r="E3448">
        <v>11</v>
      </c>
      <c r="F3448" s="3" t="s">
        <v>3028</v>
      </c>
      <c r="G3448" s="4">
        <v>18472.5</v>
      </c>
      <c r="H3448" s="4">
        <v>0</v>
      </c>
      <c r="I3448" s="4">
        <v>-25168774.57</v>
      </c>
    </row>
    <row r="3449" spans="1:9" x14ac:dyDescent="0.3">
      <c r="A3449" t="s">
        <v>133</v>
      </c>
      <c r="B3449" s="1">
        <v>45887</v>
      </c>
      <c r="C3449" s="1">
        <v>45887</v>
      </c>
      <c r="D3449">
        <v>921038</v>
      </c>
      <c r="E3449">
        <v>310</v>
      </c>
      <c r="F3449" s="3" t="s">
        <v>2258</v>
      </c>
      <c r="G3449" s="4">
        <v>3012.75</v>
      </c>
      <c r="H3449" s="4">
        <v>0</v>
      </c>
      <c r="I3449" s="4">
        <v>-25165761.82</v>
      </c>
    </row>
    <row r="3450" spans="1:9" x14ac:dyDescent="0.3">
      <c r="A3450" t="s">
        <v>133</v>
      </c>
      <c r="B3450" s="1">
        <v>45887</v>
      </c>
      <c r="C3450" s="1">
        <v>45887</v>
      </c>
      <c r="D3450">
        <v>921049</v>
      </c>
      <c r="E3450">
        <v>28</v>
      </c>
      <c r="F3450" s="3">
        <v>1114</v>
      </c>
      <c r="G3450" s="4">
        <v>100000</v>
      </c>
      <c r="H3450" s="4">
        <v>0</v>
      </c>
      <c r="I3450" s="4">
        <v>-25065761.82</v>
      </c>
    </row>
    <row r="3451" spans="1:9" x14ac:dyDescent="0.3">
      <c r="A3451" t="s">
        <v>1</v>
      </c>
      <c r="B3451" s="1">
        <v>45887</v>
      </c>
      <c r="C3451" s="1">
        <v>45888</v>
      </c>
      <c r="D3451">
        <v>102874</v>
      </c>
      <c r="E3451">
        <v>100</v>
      </c>
      <c r="F3451" s="3" t="s">
        <v>3029</v>
      </c>
      <c r="G3451" s="4">
        <v>23151.45</v>
      </c>
      <c r="I3451" s="4">
        <v>-25042610.370000001</v>
      </c>
    </row>
    <row r="3452" spans="1:9" x14ac:dyDescent="0.3">
      <c r="A3452" t="s">
        <v>1</v>
      </c>
      <c r="B3452" s="1">
        <v>45887</v>
      </c>
      <c r="C3452" s="1">
        <v>45888</v>
      </c>
      <c r="D3452">
        <v>102887</v>
      </c>
      <c r="E3452">
        <v>100</v>
      </c>
      <c r="F3452" s="3" t="s">
        <v>3030</v>
      </c>
      <c r="G3452" s="4">
        <v>3397.25</v>
      </c>
      <c r="I3452" s="4">
        <v>-25039213.120000001</v>
      </c>
    </row>
    <row r="3453" spans="1:9" x14ac:dyDescent="0.3">
      <c r="A3453" t="s">
        <v>1</v>
      </c>
      <c r="B3453" s="1">
        <v>45887</v>
      </c>
      <c r="C3453" s="1">
        <v>45888</v>
      </c>
      <c r="D3453">
        <v>102888</v>
      </c>
      <c r="E3453">
        <v>100</v>
      </c>
      <c r="F3453" s="3" t="s">
        <v>312</v>
      </c>
      <c r="G3453" s="4">
        <v>5003.1499999999996</v>
      </c>
      <c r="I3453" s="4">
        <v>-25034209.969999999</v>
      </c>
    </row>
    <row r="3454" spans="1:9" x14ac:dyDescent="0.3">
      <c r="A3454" t="s">
        <v>1</v>
      </c>
      <c r="B3454" s="1">
        <v>45887</v>
      </c>
      <c r="C3454" s="1">
        <v>45888</v>
      </c>
      <c r="D3454">
        <v>102890</v>
      </c>
      <c r="E3454">
        <v>100</v>
      </c>
      <c r="F3454" s="3" t="s">
        <v>1995</v>
      </c>
      <c r="G3454" s="4">
        <v>3390.53</v>
      </c>
      <c r="I3454" s="4">
        <v>-25030819.440000001</v>
      </c>
    </row>
    <row r="3455" spans="1:9" x14ac:dyDescent="0.3">
      <c r="A3455" t="s">
        <v>1</v>
      </c>
      <c r="B3455" s="1">
        <v>45887</v>
      </c>
      <c r="C3455" s="1">
        <v>45888</v>
      </c>
      <c r="D3455">
        <v>102894</v>
      </c>
      <c r="E3455">
        <v>100</v>
      </c>
      <c r="F3455" s="3" t="s">
        <v>3031</v>
      </c>
      <c r="G3455" s="4">
        <v>5003.1499999999996</v>
      </c>
      <c r="I3455" s="4">
        <v>-25025816.289999999</v>
      </c>
    </row>
    <row r="3456" spans="1:9" x14ac:dyDescent="0.3">
      <c r="A3456" t="s">
        <v>1</v>
      </c>
      <c r="B3456" s="1">
        <v>45881</v>
      </c>
      <c r="C3456" s="1">
        <v>45888</v>
      </c>
      <c r="D3456">
        <v>102898</v>
      </c>
      <c r="E3456">
        <v>100</v>
      </c>
      <c r="F3456" s="3" t="s">
        <v>3032</v>
      </c>
      <c r="G3456" s="4">
        <v>2000</v>
      </c>
      <c r="I3456" s="4">
        <v>-25023816.289999999</v>
      </c>
    </row>
    <row r="3457" spans="1:9" x14ac:dyDescent="0.3">
      <c r="A3457" t="s">
        <v>1</v>
      </c>
      <c r="B3457" s="1">
        <v>45887</v>
      </c>
      <c r="C3457" s="1">
        <v>45888</v>
      </c>
      <c r="D3457">
        <v>102902</v>
      </c>
      <c r="E3457">
        <v>100</v>
      </c>
      <c r="F3457" s="3" t="s">
        <v>3033</v>
      </c>
      <c r="G3457" s="4">
        <v>4612.6000000000004</v>
      </c>
      <c r="I3457" s="4">
        <v>-25019203.690000001</v>
      </c>
    </row>
    <row r="3458" spans="1:9" x14ac:dyDescent="0.3">
      <c r="A3458" t="s">
        <v>1</v>
      </c>
      <c r="B3458" s="1">
        <v>45887</v>
      </c>
      <c r="C3458" s="1">
        <v>45888</v>
      </c>
      <c r="D3458">
        <v>102904</v>
      </c>
      <c r="E3458">
        <v>100</v>
      </c>
      <c r="F3458" s="3" t="s">
        <v>3034</v>
      </c>
      <c r="G3458" s="4">
        <v>4314.7</v>
      </c>
      <c r="I3458" s="4">
        <v>-25014888.989999998</v>
      </c>
    </row>
    <row r="3459" spans="1:9" x14ac:dyDescent="0.3">
      <c r="A3459" t="s">
        <v>1</v>
      </c>
      <c r="B3459" s="1">
        <v>45888</v>
      </c>
      <c r="C3459" s="1">
        <v>45888</v>
      </c>
      <c r="D3459">
        <v>102908</v>
      </c>
      <c r="E3459">
        <v>100</v>
      </c>
      <c r="F3459" s="3" t="s">
        <v>1562</v>
      </c>
      <c r="G3459" s="4">
        <v>17961</v>
      </c>
      <c r="I3459" s="4">
        <v>-24996927.989999998</v>
      </c>
    </row>
    <row r="3460" spans="1:9" x14ac:dyDescent="0.3">
      <c r="A3460" t="s">
        <v>1</v>
      </c>
      <c r="B3460" s="1">
        <v>45884</v>
      </c>
      <c r="C3460" s="1">
        <v>45888</v>
      </c>
      <c r="D3460">
        <v>102909</v>
      </c>
      <c r="E3460">
        <v>100</v>
      </c>
      <c r="F3460" s="3" t="s">
        <v>3035</v>
      </c>
      <c r="G3460" s="4">
        <v>5278.31</v>
      </c>
      <c r="I3460" s="4">
        <v>-24991649.68</v>
      </c>
    </row>
    <row r="3461" spans="1:9" x14ac:dyDescent="0.3">
      <c r="A3461" t="s">
        <v>1</v>
      </c>
      <c r="B3461" s="1">
        <v>45888</v>
      </c>
      <c r="C3461" s="1">
        <v>45888</v>
      </c>
      <c r="D3461">
        <v>102912</v>
      </c>
      <c r="E3461">
        <v>100</v>
      </c>
      <c r="F3461" s="3" t="s">
        <v>3036</v>
      </c>
      <c r="G3461" s="4">
        <v>5000</v>
      </c>
      <c r="I3461" s="4">
        <v>-24986649.68</v>
      </c>
    </row>
    <row r="3462" spans="1:9" x14ac:dyDescent="0.3">
      <c r="A3462" t="s">
        <v>1</v>
      </c>
      <c r="B3462" s="1">
        <v>45888</v>
      </c>
      <c r="C3462" s="1">
        <v>45888</v>
      </c>
      <c r="D3462">
        <v>102914</v>
      </c>
      <c r="E3462">
        <v>100</v>
      </c>
      <c r="F3462" s="3" t="s">
        <v>3037</v>
      </c>
      <c r="G3462" s="4">
        <v>20000</v>
      </c>
      <c r="I3462" s="4">
        <v>-24966649.68</v>
      </c>
    </row>
    <row r="3463" spans="1:9" x14ac:dyDescent="0.3">
      <c r="A3463" t="s">
        <v>75</v>
      </c>
      <c r="B3463" s="1">
        <v>45887</v>
      </c>
      <c r="C3463" s="1">
        <v>45888</v>
      </c>
      <c r="D3463">
        <v>143661</v>
      </c>
      <c r="E3463">
        <v>32</v>
      </c>
      <c r="F3463" s="3" t="s">
        <v>3038</v>
      </c>
      <c r="G3463" s="4">
        <v>2796</v>
      </c>
      <c r="H3463" s="4">
        <v>0</v>
      </c>
      <c r="I3463" s="4">
        <v>-24963853.68</v>
      </c>
    </row>
    <row r="3464" spans="1:9" x14ac:dyDescent="0.3">
      <c r="A3464" t="s">
        <v>75</v>
      </c>
      <c r="B3464" s="1">
        <v>45883</v>
      </c>
      <c r="C3464" s="1">
        <v>45888</v>
      </c>
      <c r="D3464">
        <v>143662</v>
      </c>
      <c r="E3464">
        <v>11</v>
      </c>
      <c r="F3464" s="3" t="s">
        <v>3039</v>
      </c>
      <c r="G3464" s="4">
        <v>10000</v>
      </c>
      <c r="H3464" s="4">
        <v>0</v>
      </c>
      <c r="I3464" s="4">
        <v>-24953853.68</v>
      </c>
    </row>
    <row r="3465" spans="1:9" x14ac:dyDescent="0.3">
      <c r="A3465" t="s">
        <v>75</v>
      </c>
      <c r="B3465" s="1">
        <v>45887</v>
      </c>
      <c r="C3465" s="1">
        <v>45888</v>
      </c>
      <c r="D3465">
        <v>143663</v>
      </c>
      <c r="E3465">
        <v>11</v>
      </c>
      <c r="F3465" s="3" t="s">
        <v>3040</v>
      </c>
      <c r="G3465" s="4">
        <v>55000</v>
      </c>
      <c r="H3465" s="4">
        <v>0</v>
      </c>
      <c r="I3465" s="4">
        <v>-24898853.68</v>
      </c>
    </row>
    <row r="3466" spans="1:9" x14ac:dyDescent="0.3">
      <c r="A3466" t="s">
        <v>75</v>
      </c>
      <c r="B3466" s="1">
        <v>45887</v>
      </c>
      <c r="C3466" s="1">
        <v>45888</v>
      </c>
      <c r="D3466">
        <v>143665</v>
      </c>
      <c r="E3466">
        <v>67</v>
      </c>
      <c r="F3466" s="3" t="s">
        <v>3041</v>
      </c>
      <c r="G3466" s="4">
        <v>22101.5</v>
      </c>
      <c r="H3466" s="4">
        <v>0</v>
      </c>
      <c r="I3466" s="4">
        <v>-24876752.18</v>
      </c>
    </row>
    <row r="3467" spans="1:9" x14ac:dyDescent="0.3">
      <c r="A3467" t="s">
        <v>75</v>
      </c>
      <c r="B3467" s="1">
        <v>45867</v>
      </c>
      <c r="C3467" s="1">
        <v>45888</v>
      </c>
      <c r="D3467">
        <v>143666</v>
      </c>
      <c r="E3467">
        <v>34</v>
      </c>
      <c r="F3467" s="3" t="s">
        <v>3042</v>
      </c>
      <c r="G3467" s="4">
        <v>150488.25</v>
      </c>
      <c r="H3467" s="4">
        <v>0</v>
      </c>
      <c r="I3467" s="4">
        <v>-24726263.93</v>
      </c>
    </row>
    <row r="3468" spans="1:9" x14ac:dyDescent="0.3">
      <c r="A3468" t="s">
        <v>75</v>
      </c>
      <c r="B3468" s="1">
        <v>45888</v>
      </c>
      <c r="C3468" s="1">
        <v>45888</v>
      </c>
      <c r="D3468">
        <v>143667</v>
      </c>
      <c r="E3468">
        <v>16</v>
      </c>
      <c r="F3468" s="3" t="s">
        <v>3043</v>
      </c>
      <c r="G3468" s="4">
        <v>500</v>
      </c>
      <c r="H3468" s="4">
        <v>0</v>
      </c>
      <c r="I3468" s="4">
        <v>-24725763.93</v>
      </c>
    </row>
    <row r="3469" spans="1:9" x14ac:dyDescent="0.3">
      <c r="A3469" t="s">
        <v>75</v>
      </c>
      <c r="B3469" s="1">
        <v>45875</v>
      </c>
      <c r="C3469" s="1">
        <v>45888</v>
      </c>
      <c r="D3469">
        <v>143668</v>
      </c>
      <c r="E3469">
        <v>33</v>
      </c>
      <c r="F3469" s="3" t="s">
        <v>3044</v>
      </c>
      <c r="G3469" s="4">
        <v>7444.75</v>
      </c>
      <c r="H3469" s="4">
        <v>0</v>
      </c>
      <c r="I3469" s="4">
        <v>-24718319.18</v>
      </c>
    </row>
    <row r="3470" spans="1:9" x14ac:dyDescent="0.3">
      <c r="A3470" t="s">
        <v>75</v>
      </c>
      <c r="B3470" s="1">
        <v>45884</v>
      </c>
      <c r="C3470" s="1">
        <v>45888</v>
      </c>
      <c r="D3470">
        <v>143669</v>
      </c>
      <c r="E3470">
        <v>61</v>
      </c>
      <c r="F3470" s="3" t="s">
        <v>3045</v>
      </c>
      <c r="G3470" s="4">
        <v>4266.75</v>
      </c>
      <c r="H3470" s="4">
        <v>0</v>
      </c>
      <c r="I3470" s="4">
        <v>-24714052.43</v>
      </c>
    </row>
    <row r="3471" spans="1:9" x14ac:dyDescent="0.3">
      <c r="A3471" t="s">
        <v>75</v>
      </c>
      <c r="B3471" s="1">
        <v>45884</v>
      </c>
      <c r="C3471" s="1">
        <v>45888</v>
      </c>
      <c r="D3471">
        <v>143670</v>
      </c>
      <c r="E3471">
        <v>61</v>
      </c>
      <c r="F3471" s="3" t="s">
        <v>3046</v>
      </c>
      <c r="G3471" s="4">
        <v>3000</v>
      </c>
      <c r="H3471" s="4">
        <v>0</v>
      </c>
      <c r="I3471" s="4">
        <v>-24711052.43</v>
      </c>
    </row>
    <row r="3472" spans="1:9" x14ac:dyDescent="0.3">
      <c r="A3472" t="s">
        <v>75</v>
      </c>
      <c r="B3472" s="1">
        <v>45885</v>
      </c>
      <c r="C3472" s="1">
        <v>45888</v>
      </c>
      <c r="D3472">
        <v>143671</v>
      </c>
      <c r="E3472">
        <v>61</v>
      </c>
      <c r="F3472" s="3" t="s">
        <v>3047</v>
      </c>
      <c r="G3472" s="4">
        <v>30531</v>
      </c>
      <c r="H3472" s="4">
        <v>0</v>
      </c>
      <c r="I3472" s="4">
        <v>-24680521.43</v>
      </c>
    </row>
    <row r="3473" spans="1:9" x14ac:dyDescent="0.3">
      <c r="A3473" t="s">
        <v>75</v>
      </c>
      <c r="B3473" s="1">
        <v>45888</v>
      </c>
      <c r="C3473" s="1">
        <v>45888</v>
      </c>
      <c r="D3473">
        <v>143672</v>
      </c>
      <c r="E3473">
        <v>16</v>
      </c>
      <c r="F3473" s="3" t="s">
        <v>3048</v>
      </c>
      <c r="G3473" s="4">
        <v>46840</v>
      </c>
      <c r="H3473" s="4">
        <v>0</v>
      </c>
      <c r="I3473" s="4">
        <v>-24633681.43</v>
      </c>
    </row>
    <row r="3474" spans="1:9" x14ac:dyDescent="0.3">
      <c r="A3474" t="s">
        <v>75</v>
      </c>
      <c r="B3474" s="1">
        <v>45887</v>
      </c>
      <c r="C3474" s="1">
        <v>45888</v>
      </c>
      <c r="D3474">
        <v>143673</v>
      </c>
      <c r="E3474">
        <v>72</v>
      </c>
      <c r="F3474" s="3" t="s">
        <v>3049</v>
      </c>
      <c r="G3474" s="4">
        <v>22500</v>
      </c>
      <c r="H3474" s="4">
        <v>0</v>
      </c>
      <c r="I3474" s="4">
        <v>-24611181.43</v>
      </c>
    </row>
    <row r="3475" spans="1:9" x14ac:dyDescent="0.3">
      <c r="A3475" t="s">
        <v>75</v>
      </c>
      <c r="B3475" s="1">
        <v>45887</v>
      </c>
      <c r="C3475" s="1">
        <v>45888</v>
      </c>
      <c r="D3475">
        <v>143674</v>
      </c>
      <c r="E3475">
        <v>58</v>
      </c>
      <c r="F3475" s="3" t="s">
        <v>3050</v>
      </c>
      <c r="G3475" s="4">
        <v>20000</v>
      </c>
      <c r="H3475" s="4">
        <v>0</v>
      </c>
      <c r="I3475" s="4">
        <v>-24591181.43</v>
      </c>
    </row>
    <row r="3476" spans="1:9" x14ac:dyDescent="0.3">
      <c r="A3476" t="s">
        <v>75</v>
      </c>
      <c r="B3476" s="1">
        <v>45887</v>
      </c>
      <c r="C3476" s="1">
        <v>45888</v>
      </c>
      <c r="D3476">
        <v>143675</v>
      </c>
      <c r="E3476">
        <v>58</v>
      </c>
      <c r="F3476" s="3" t="s">
        <v>3051</v>
      </c>
      <c r="G3476" s="4">
        <v>45791</v>
      </c>
      <c r="H3476" s="4">
        <v>0</v>
      </c>
      <c r="I3476" s="4">
        <v>-24545390.43</v>
      </c>
    </row>
    <row r="3477" spans="1:9" x14ac:dyDescent="0.3">
      <c r="A3477" t="s">
        <v>75</v>
      </c>
      <c r="B3477" s="1">
        <v>45888</v>
      </c>
      <c r="C3477" s="1">
        <v>45888</v>
      </c>
      <c r="D3477">
        <v>143676</v>
      </c>
      <c r="E3477">
        <v>63</v>
      </c>
      <c r="F3477" s="3" t="s">
        <v>3052</v>
      </c>
      <c r="G3477" s="4">
        <v>32561</v>
      </c>
      <c r="H3477" s="4">
        <v>0</v>
      </c>
      <c r="I3477" s="4">
        <v>-24512829.43</v>
      </c>
    </row>
    <row r="3478" spans="1:9" x14ac:dyDescent="0.3">
      <c r="A3478" t="s">
        <v>75</v>
      </c>
      <c r="B3478" s="1">
        <v>45886</v>
      </c>
      <c r="C3478" s="1">
        <v>45888</v>
      </c>
      <c r="D3478">
        <v>143677</v>
      </c>
      <c r="E3478">
        <v>11</v>
      </c>
      <c r="F3478" s="3" t="s">
        <v>3053</v>
      </c>
      <c r="G3478" s="4">
        <v>28133</v>
      </c>
      <c r="H3478" s="4">
        <v>0</v>
      </c>
      <c r="I3478" s="4">
        <v>-24484696.43</v>
      </c>
    </row>
    <row r="3479" spans="1:9" x14ac:dyDescent="0.3">
      <c r="A3479" t="s">
        <v>75</v>
      </c>
      <c r="B3479" s="1">
        <v>45888</v>
      </c>
      <c r="C3479" s="1">
        <v>45888</v>
      </c>
      <c r="D3479">
        <v>143678</v>
      </c>
      <c r="E3479">
        <v>11</v>
      </c>
      <c r="F3479" s="3" t="s">
        <v>3054</v>
      </c>
      <c r="G3479" s="4">
        <v>10639.25</v>
      </c>
      <c r="H3479" s="4">
        <v>0</v>
      </c>
      <c r="I3479" s="4">
        <v>-24474057.18</v>
      </c>
    </row>
    <row r="3480" spans="1:9" x14ac:dyDescent="0.3">
      <c r="A3480" t="s">
        <v>75</v>
      </c>
      <c r="B3480" s="1">
        <v>45887</v>
      </c>
      <c r="C3480" s="1">
        <v>45888</v>
      </c>
      <c r="D3480">
        <v>143679</v>
      </c>
      <c r="E3480">
        <v>34</v>
      </c>
      <c r="F3480" s="3" t="s">
        <v>3055</v>
      </c>
      <c r="G3480" s="4">
        <v>62610.5</v>
      </c>
      <c r="H3480" s="4">
        <v>0</v>
      </c>
      <c r="I3480" s="4">
        <v>-24411446.68</v>
      </c>
    </row>
    <row r="3481" spans="1:9" x14ac:dyDescent="0.3">
      <c r="A3481" t="s">
        <v>75</v>
      </c>
      <c r="B3481" s="1">
        <v>45888</v>
      </c>
      <c r="C3481" s="1">
        <v>45888</v>
      </c>
      <c r="D3481">
        <v>143680</v>
      </c>
      <c r="E3481">
        <v>11</v>
      </c>
      <c r="F3481" s="3" t="s">
        <v>3056</v>
      </c>
      <c r="G3481" s="4">
        <v>40000</v>
      </c>
      <c r="H3481" s="4">
        <v>0</v>
      </c>
      <c r="I3481" s="4">
        <v>-24371446.68</v>
      </c>
    </row>
    <row r="3482" spans="1:9" x14ac:dyDescent="0.3">
      <c r="A3482" t="s">
        <v>75</v>
      </c>
      <c r="B3482" s="1">
        <v>45886</v>
      </c>
      <c r="C3482" s="1">
        <v>45888</v>
      </c>
      <c r="D3482">
        <v>143681</v>
      </c>
      <c r="E3482">
        <v>11</v>
      </c>
      <c r="F3482" s="3" t="s">
        <v>3057</v>
      </c>
      <c r="G3482" s="4">
        <v>7822</v>
      </c>
      <c r="H3482" s="4">
        <v>0</v>
      </c>
      <c r="I3482" s="4">
        <v>-24363624.68</v>
      </c>
    </row>
    <row r="3483" spans="1:9" x14ac:dyDescent="0.3">
      <c r="A3483" t="s">
        <v>75</v>
      </c>
      <c r="B3483" s="1">
        <v>45888</v>
      </c>
      <c r="C3483" s="1">
        <v>45888</v>
      </c>
      <c r="D3483">
        <v>143682</v>
      </c>
      <c r="E3483">
        <v>67</v>
      </c>
      <c r="F3483" s="3" t="s">
        <v>3058</v>
      </c>
      <c r="G3483" s="4">
        <v>290577.25</v>
      </c>
      <c r="H3483" s="4">
        <v>0</v>
      </c>
      <c r="I3483" s="4">
        <v>-24073047.43</v>
      </c>
    </row>
    <row r="3484" spans="1:9" x14ac:dyDescent="0.3">
      <c r="A3484" t="s">
        <v>75</v>
      </c>
      <c r="B3484" s="1">
        <v>45887</v>
      </c>
      <c r="C3484" s="1">
        <v>45888</v>
      </c>
      <c r="D3484">
        <v>143686</v>
      </c>
      <c r="E3484">
        <v>223</v>
      </c>
      <c r="F3484" s="3" t="s">
        <v>3059</v>
      </c>
      <c r="G3484" s="4">
        <v>39735.75</v>
      </c>
      <c r="H3484" s="4">
        <v>0</v>
      </c>
      <c r="I3484" s="4">
        <v>-24033311.68</v>
      </c>
    </row>
    <row r="3485" spans="1:9" x14ac:dyDescent="0.3">
      <c r="A3485" t="s">
        <v>75</v>
      </c>
      <c r="B3485" s="1">
        <v>45887</v>
      </c>
      <c r="C3485" s="1">
        <v>45888</v>
      </c>
      <c r="D3485">
        <v>143687</v>
      </c>
      <c r="E3485">
        <v>14</v>
      </c>
      <c r="F3485" s="3" t="s">
        <v>3060</v>
      </c>
      <c r="G3485" s="4">
        <v>120000</v>
      </c>
      <c r="H3485" s="4">
        <v>0</v>
      </c>
      <c r="I3485" s="4">
        <v>-23913311.68</v>
      </c>
    </row>
    <row r="3486" spans="1:9" x14ac:dyDescent="0.3">
      <c r="A3486" t="s">
        <v>75</v>
      </c>
      <c r="B3486" s="1">
        <v>45888</v>
      </c>
      <c r="C3486" s="1">
        <v>45888</v>
      </c>
      <c r="D3486">
        <v>143688</v>
      </c>
      <c r="E3486">
        <v>14</v>
      </c>
      <c r="F3486" s="3" t="s">
        <v>3061</v>
      </c>
      <c r="G3486" s="4">
        <v>121500</v>
      </c>
      <c r="H3486" s="4">
        <v>0</v>
      </c>
      <c r="I3486" s="4">
        <v>-23791811.68</v>
      </c>
    </row>
    <row r="3487" spans="1:9" x14ac:dyDescent="0.3">
      <c r="A3487" t="s">
        <v>75</v>
      </c>
      <c r="B3487" s="1">
        <v>45888</v>
      </c>
      <c r="C3487" s="1">
        <v>45888</v>
      </c>
      <c r="D3487">
        <v>143690</v>
      </c>
      <c r="E3487">
        <v>62</v>
      </c>
      <c r="F3487" s="3" t="s">
        <v>3062</v>
      </c>
      <c r="G3487" s="4">
        <v>4957</v>
      </c>
      <c r="H3487" s="4">
        <v>0</v>
      </c>
      <c r="I3487" s="4">
        <v>-23786854.68</v>
      </c>
    </row>
    <row r="3488" spans="1:9" x14ac:dyDescent="0.3">
      <c r="A3488" t="s">
        <v>75</v>
      </c>
      <c r="B3488" s="1">
        <v>45886</v>
      </c>
      <c r="C3488" s="1">
        <v>45888</v>
      </c>
      <c r="D3488">
        <v>143691</v>
      </c>
      <c r="E3488">
        <v>34</v>
      </c>
      <c r="F3488" s="3" t="s">
        <v>3063</v>
      </c>
      <c r="G3488" s="4">
        <v>65000</v>
      </c>
      <c r="H3488" s="4">
        <v>0</v>
      </c>
      <c r="I3488" s="4">
        <v>-23721854.68</v>
      </c>
    </row>
    <row r="3489" spans="1:9" x14ac:dyDescent="0.3">
      <c r="A3489" t="s">
        <v>75</v>
      </c>
      <c r="B3489" s="1">
        <v>45886</v>
      </c>
      <c r="C3489" s="1">
        <v>45888</v>
      </c>
      <c r="D3489">
        <v>143692</v>
      </c>
      <c r="E3489">
        <v>34</v>
      </c>
      <c r="F3489" s="3" t="s">
        <v>3064</v>
      </c>
      <c r="G3489" s="4">
        <v>18430.5</v>
      </c>
      <c r="H3489" s="4">
        <v>0</v>
      </c>
      <c r="I3489" s="4">
        <v>-23703424.18</v>
      </c>
    </row>
    <row r="3490" spans="1:9" x14ac:dyDescent="0.3">
      <c r="A3490" t="s">
        <v>75</v>
      </c>
      <c r="B3490" s="1">
        <v>45887</v>
      </c>
      <c r="C3490" s="1">
        <v>45888</v>
      </c>
      <c r="D3490">
        <v>143693</v>
      </c>
      <c r="E3490">
        <v>62</v>
      </c>
      <c r="F3490" s="3" t="s">
        <v>3065</v>
      </c>
      <c r="G3490" s="4">
        <v>2500</v>
      </c>
      <c r="H3490" s="4">
        <v>0</v>
      </c>
      <c r="I3490" s="4">
        <v>-23700924.18</v>
      </c>
    </row>
    <row r="3491" spans="1:9" x14ac:dyDescent="0.3">
      <c r="A3491" t="s">
        <v>75</v>
      </c>
      <c r="B3491" s="1">
        <v>45881</v>
      </c>
      <c r="C3491" s="1">
        <v>45888</v>
      </c>
      <c r="D3491">
        <v>143694</v>
      </c>
      <c r="E3491">
        <v>34</v>
      </c>
      <c r="F3491" s="3" t="s">
        <v>3066</v>
      </c>
      <c r="G3491" s="4">
        <v>130745.25</v>
      </c>
      <c r="H3491" s="4">
        <v>0</v>
      </c>
      <c r="I3491" s="4">
        <v>-23570178.93</v>
      </c>
    </row>
    <row r="3492" spans="1:9" x14ac:dyDescent="0.3">
      <c r="A3492" t="s">
        <v>75</v>
      </c>
      <c r="B3492" s="1">
        <v>45883</v>
      </c>
      <c r="C3492" s="1">
        <v>45888</v>
      </c>
      <c r="D3492">
        <v>143695</v>
      </c>
      <c r="E3492">
        <v>34</v>
      </c>
      <c r="F3492" s="3" t="s">
        <v>3067</v>
      </c>
      <c r="G3492" s="4">
        <v>66700.5</v>
      </c>
      <c r="H3492" s="4">
        <v>0</v>
      </c>
      <c r="I3492" s="4">
        <v>-23503478.43</v>
      </c>
    </row>
    <row r="3493" spans="1:9" x14ac:dyDescent="0.3">
      <c r="A3493" t="s">
        <v>75</v>
      </c>
      <c r="B3493" s="1">
        <v>45881</v>
      </c>
      <c r="C3493" s="1">
        <v>45888</v>
      </c>
      <c r="D3493">
        <v>143696</v>
      </c>
      <c r="E3493">
        <v>34</v>
      </c>
      <c r="F3493" s="3" t="s">
        <v>3068</v>
      </c>
      <c r="G3493" s="4">
        <v>127841</v>
      </c>
      <c r="H3493" s="4">
        <v>0</v>
      </c>
      <c r="I3493" s="4">
        <v>-23375637.43</v>
      </c>
    </row>
    <row r="3494" spans="1:9" x14ac:dyDescent="0.3">
      <c r="A3494" t="s">
        <v>75</v>
      </c>
      <c r="B3494" s="1">
        <v>45888</v>
      </c>
      <c r="C3494" s="1">
        <v>45888</v>
      </c>
      <c r="D3494">
        <v>143697</v>
      </c>
      <c r="E3494">
        <v>11</v>
      </c>
      <c r="F3494" s="3" t="s">
        <v>3069</v>
      </c>
      <c r="G3494" s="4">
        <v>7400</v>
      </c>
      <c r="H3494" s="4">
        <v>0</v>
      </c>
      <c r="I3494" s="4">
        <v>-23368237.43</v>
      </c>
    </row>
    <row r="3495" spans="1:9" x14ac:dyDescent="0.3">
      <c r="A3495" t="s">
        <v>75</v>
      </c>
      <c r="B3495" s="1">
        <v>45888</v>
      </c>
      <c r="C3495" s="1">
        <v>45888</v>
      </c>
      <c r="D3495">
        <v>143698</v>
      </c>
      <c r="E3495">
        <v>67</v>
      </c>
      <c r="F3495" s="3" t="s">
        <v>3070</v>
      </c>
      <c r="G3495" s="4">
        <v>40000</v>
      </c>
      <c r="H3495" s="4">
        <v>0</v>
      </c>
      <c r="I3495" s="4">
        <v>-23328237.43</v>
      </c>
    </row>
    <row r="3496" spans="1:9" x14ac:dyDescent="0.3">
      <c r="A3496" t="s">
        <v>75</v>
      </c>
      <c r="B3496" s="1">
        <v>45887</v>
      </c>
      <c r="C3496" s="1">
        <v>45888</v>
      </c>
      <c r="D3496">
        <v>143699</v>
      </c>
      <c r="E3496">
        <v>11</v>
      </c>
      <c r="F3496" s="3" t="s">
        <v>3071</v>
      </c>
      <c r="G3496" s="4">
        <v>13562.5</v>
      </c>
      <c r="H3496" s="4">
        <v>0</v>
      </c>
      <c r="I3496" s="4">
        <v>-23314674.93</v>
      </c>
    </row>
    <row r="3497" spans="1:9" x14ac:dyDescent="0.3">
      <c r="A3497" t="s">
        <v>75</v>
      </c>
      <c r="B3497" s="1">
        <v>45888</v>
      </c>
      <c r="C3497" s="1">
        <v>45888</v>
      </c>
      <c r="D3497">
        <v>143703</v>
      </c>
      <c r="E3497">
        <v>63</v>
      </c>
      <c r="F3497" s="3" t="s">
        <v>3072</v>
      </c>
      <c r="G3497" s="4">
        <v>4122.25</v>
      </c>
      <c r="H3497" s="4">
        <v>0</v>
      </c>
      <c r="I3497" s="4">
        <v>-23310552.68</v>
      </c>
    </row>
    <row r="3498" spans="1:9" x14ac:dyDescent="0.3">
      <c r="A3498" t="s">
        <v>75</v>
      </c>
      <c r="B3498" s="1">
        <v>45887</v>
      </c>
      <c r="C3498" s="1">
        <v>45888</v>
      </c>
      <c r="D3498">
        <v>143705</v>
      </c>
      <c r="E3498">
        <v>252</v>
      </c>
      <c r="F3498" s="3" t="s">
        <v>3073</v>
      </c>
      <c r="G3498" s="4">
        <v>13050</v>
      </c>
      <c r="H3498" s="4">
        <v>0</v>
      </c>
      <c r="I3498" s="4">
        <v>-23297502.68</v>
      </c>
    </row>
    <row r="3499" spans="1:9" x14ac:dyDescent="0.3">
      <c r="A3499" t="s">
        <v>75</v>
      </c>
      <c r="B3499" s="1">
        <v>45874</v>
      </c>
      <c r="C3499" s="1">
        <v>45888</v>
      </c>
      <c r="D3499">
        <v>143706</v>
      </c>
      <c r="E3499">
        <v>351</v>
      </c>
      <c r="F3499" s="3" t="s">
        <v>3074</v>
      </c>
      <c r="G3499" s="4">
        <v>62279</v>
      </c>
      <c r="H3499" s="4">
        <v>0</v>
      </c>
      <c r="I3499" s="4">
        <v>-23235223.68</v>
      </c>
    </row>
    <row r="3500" spans="1:9" x14ac:dyDescent="0.3">
      <c r="A3500" t="s">
        <v>75</v>
      </c>
      <c r="B3500" s="1">
        <v>45887</v>
      </c>
      <c r="C3500" s="1">
        <v>45888</v>
      </c>
      <c r="D3500">
        <v>143707</v>
      </c>
      <c r="E3500">
        <v>252</v>
      </c>
      <c r="F3500" s="3" t="s">
        <v>3075</v>
      </c>
      <c r="G3500" s="4">
        <v>37805.75</v>
      </c>
      <c r="H3500" s="4">
        <v>0</v>
      </c>
      <c r="I3500" s="4">
        <v>-23197417.93</v>
      </c>
    </row>
    <row r="3501" spans="1:9" x14ac:dyDescent="0.3">
      <c r="A3501" t="s">
        <v>75</v>
      </c>
      <c r="B3501" s="1">
        <v>45887</v>
      </c>
      <c r="C3501" s="1">
        <v>45888</v>
      </c>
      <c r="D3501">
        <v>143708</v>
      </c>
      <c r="E3501">
        <v>44</v>
      </c>
      <c r="F3501" s="3" t="s">
        <v>3076</v>
      </c>
      <c r="G3501" s="4">
        <v>46481.5</v>
      </c>
      <c r="H3501" s="4">
        <v>0</v>
      </c>
      <c r="I3501" s="4">
        <v>-23150936.43</v>
      </c>
    </row>
    <row r="3502" spans="1:9" x14ac:dyDescent="0.3">
      <c r="A3502" t="s">
        <v>75</v>
      </c>
      <c r="B3502" s="1">
        <v>45888</v>
      </c>
      <c r="C3502" s="1">
        <v>45888</v>
      </c>
      <c r="D3502">
        <v>143709</v>
      </c>
      <c r="E3502">
        <v>58</v>
      </c>
      <c r="F3502" s="3" t="s">
        <v>3077</v>
      </c>
      <c r="G3502" s="4">
        <v>150</v>
      </c>
      <c r="H3502" s="4">
        <v>0</v>
      </c>
      <c r="I3502" s="4">
        <v>-23150786.43</v>
      </c>
    </row>
    <row r="3503" spans="1:9" x14ac:dyDescent="0.3">
      <c r="A3503" t="s">
        <v>75</v>
      </c>
      <c r="B3503" s="1">
        <v>45888</v>
      </c>
      <c r="C3503" s="1">
        <v>45888</v>
      </c>
      <c r="D3503">
        <v>143710</v>
      </c>
      <c r="E3503">
        <v>92</v>
      </c>
      <c r="F3503" s="3" t="s">
        <v>3078</v>
      </c>
      <c r="G3503" s="4">
        <v>67322.5</v>
      </c>
      <c r="H3503" s="4">
        <v>0</v>
      </c>
      <c r="I3503" s="4">
        <v>-23083463.93</v>
      </c>
    </row>
    <row r="3504" spans="1:9" x14ac:dyDescent="0.3">
      <c r="A3504" t="s">
        <v>75</v>
      </c>
      <c r="B3504" s="1">
        <v>45884</v>
      </c>
      <c r="C3504" s="1">
        <v>45888</v>
      </c>
      <c r="D3504">
        <v>143711</v>
      </c>
      <c r="E3504">
        <v>79</v>
      </c>
      <c r="F3504" s="3" t="s">
        <v>3079</v>
      </c>
      <c r="G3504" s="4">
        <v>900000</v>
      </c>
      <c r="H3504" s="4">
        <v>0</v>
      </c>
      <c r="I3504" s="4">
        <v>-22183463.93</v>
      </c>
    </row>
    <row r="3505" spans="1:9" x14ac:dyDescent="0.3">
      <c r="A3505" t="s">
        <v>75</v>
      </c>
      <c r="B3505" s="1">
        <v>45888</v>
      </c>
      <c r="C3505" s="1">
        <v>45888</v>
      </c>
      <c r="D3505">
        <v>143712</v>
      </c>
      <c r="E3505">
        <v>14</v>
      </c>
      <c r="F3505" s="3" t="s">
        <v>3080</v>
      </c>
      <c r="G3505" s="4">
        <v>40580</v>
      </c>
      <c r="H3505" s="4">
        <v>0</v>
      </c>
      <c r="I3505" s="4">
        <v>-22142883.93</v>
      </c>
    </row>
    <row r="3506" spans="1:9" x14ac:dyDescent="0.3">
      <c r="A3506" t="s">
        <v>75</v>
      </c>
      <c r="B3506" s="1">
        <v>45888</v>
      </c>
      <c r="C3506" s="1">
        <v>45888</v>
      </c>
      <c r="D3506">
        <v>143713</v>
      </c>
      <c r="E3506">
        <v>63</v>
      </c>
      <c r="F3506" s="3" t="s">
        <v>3081</v>
      </c>
      <c r="G3506" s="4">
        <v>5752</v>
      </c>
      <c r="H3506" s="4">
        <v>0</v>
      </c>
      <c r="I3506" s="4">
        <v>-22137131.93</v>
      </c>
    </row>
    <row r="3507" spans="1:9" x14ac:dyDescent="0.3">
      <c r="A3507" t="s">
        <v>75</v>
      </c>
      <c r="B3507" s="1">
        <v>45888</v>
      </c>
      <c r="C3507" s="1">
        <v>45888</v>
      </c>
      <c r="D3507">
        <v>143714</v>
      </c>
      <c r="E3507">
        <v>66</v>
      </c>
      <c r="F3507" s="3" t="s">
        <v>3082</v>
      </c>
      <c r="G3507" s="4">
        <v>300</v>
      </c>
      <c r="H3507" s="4">
        <v>0</v>
      </c>
      <c r="I3507" s="4">
        <v>-22136831.93</v>
      </c>
    </row>
    <row r="3508" spans="1:9" x14ac:dyDescent="0.3">
      <c r="A3508" t="s">
        <v>75</v>
      </c>
      <c r="B3508" s="1">
        <v>45888</v>
      </c>
      <c r="C3508" s="1">
        <v>45888</v>
      </c>
      <c r="D3508">
        <v>143715</v>
      </c>
      <c r="E3508">
        <v>72</v>
      </c>
      <c r="F3508" s="3" t="s">
        <v>3083</v>
      </c>
      <c r="G3508" s="4">
        <v>31072.75</v>
      </c>
      <c r="H3508" s="4">
        <v>0</v>
      </c>
      <c r="I3508" s="4">
        <v>-22105759.18</v>
      </c>
    </row>
    <row r="3509" spans="1:9" x14ac:dyDescent="0.3">
      <c r="A3509" t="s">
        <v>75</v>
      </c>
      <c r="B3509" s="1">
        <v>45884</v>
      </c>
      <c r="C3509" s="1">
        <v>45888</v>
      </c>
      <c r="D3509">
        <v>143716</v>
      </c>
      <c r="E3509">
        <v>23</v>
      </c>
      <c r="F3509" s="3" t="s">
        <v>3084</v>
      </c>
      <c r="G3509" s="4">
        <v>66286</v>
      </c>
      <c r="H3509" s="4">
        <v>0</v>
      </c>
      <c r="I3509" s="4">
        <v>-22039473.18</v>
      </c>
    </row>
    <row r="3510" spans="1:9" x14ac:dyDescent="0.3">
      <c r="A3510" t="s">
        <v>75</v>
      </c>
      <c r="B3510" s="1">
        <v>45883</v>
      </c>
      <c r="C3510" s="1">
        <v>45888</v>
      </c>
      <c r="D3510">
        <v>143717</v>
      </c>
      <c r="E3510">
        <v>23</v>
      </c>
      <c r="F3510" s="3" t="s">
        <v>3085</v>
      </c>
      <c r="G3510" s="4">
        <v>19957.5</v>
      </c>
      <c r="H3510" s="4">
        <v>0</v>
      </c>
      <c r="I3510" s="4">
        <v>-22019515.68</v>
      </c>
    </row>
    <row r="3511" spans="1:9" x14ac:dyDescent="0.3">
      <c r="A3511" t="s">
        <v>75</v>
      </c>
      <c r="B3511" s="1">
        <v>45887</v>
      </c>
      <c r="C3511" s="1">
        <v>45888</v>
      </c>
      <c r="D3511">
        <v>143718</v>
      </c>
      <c r="E3511">
        <v>23</v>
      </c>
      <c r="F3511" s="3" t="s">
        <v>3086</v>
      </c>
      <c r="G3511" s="4">
        <v>26300</v>
      </c>
      <c r="H3511" s="4">
        <v>0</v>
      </c>
      <c r="I3511" s="4">
        <v>-21993215.68</v>
      </c>
    </row>
    <row r="3512" spans="1:9" x14ac:dyDescent="0.3">
      <c r="A3512" t="s">
        <v>75</v>
      </c>
      <c r="B3512" s="1">
        <v>45887</v>
      </c>
      <c r="C3512" s="1">
        <v>45888</v>
      </c>
      <c r="D3512">
        <v>143719</v>
      </c>
      <c r="E3512">
        <v>23</v>
      </c>
      <c r="F3512" s="3" t="s">
        <v>3087</v>
      </c>
      <c r="G3512" s="4">
        <v>108105</v>
      </c>
      <c r="H3512" s="4">
        <v>0</v>
      </c>
      <c r="I3512" s="4">
        <v>-21885110.68</v>
      </c>
    </row>
    <row r="3513" spans="1:9" x14ac:dyDescent="0.3">
      <c r="A3513" t="s">
        <v>71</v>
      </c>
      <c r="B3513" s="1">
        <v>45888</v>
      </c>
      <c r="C3513" s="1">
        <v>45888</v>
      </c>
      <c r="D3513">
        <v>14607</v>
      </c>
      <c r="E3513">
        <v>100</v>
      </c>
      <c r="F3513" s="3" t="s">
        <v>74</v>
      </c>
      <c r="G3513" s="4">
        <v>0</v>
      </c>
      <c r="H3513" s="4">
        <v>34896350</v>
      </c>
      <c r="I3513" s="4">
        <v>-56781460.68</v>
      </c>
    </row>
    <row r="3514" spans="1:9" x14ac:dyDescent="0.3">
      <c r="A3514" t="s">
        <v>71</v>
      </c>
      <c r="B3514" s="1">
        <v>45883</v>
      </c>
      <c r="C3514" s="1">
        <v>45888</v>
      </c>
      <c r="D3514">
        <v>14632</v>
      </c>
      <c r="E3514">
        <v>128</v>
      </c>
      <c r="F3514" s="3" t="s">
        <v>3088</v>
      </c>
      <c r="G3514" s="4">
        <v>0</v>
      </c>
      <c r="H3514" s="4">
        <v>31331.02</v>
      </c>
      <c r="I3514" s="4">
        <v>-56812791.700000003</v>
      </c>
    </row>
    <row r="3515" spans="1:9" x14ac:dyDescent="0.3">
      <c r="A3515" t="s">
        <v>124</v>
      </c>
      <c r="B3515" s="1">
        <v>45888</v>
      </c>
      <c r="C3515" s="1">
        <v>45888</v>
      </c>
      <c r="D3515">
        <v>22242</v>
      </c>
      <c r="E3515">
        <v>11</v>
      </c>
      <c r="F3515" s="3" t="s">
        <v>125</v>
      </c>
      <c r="G3515" s="4">
        <v>0</v>
      </c>
      <c r="H3515" s="4">
        <v>43428543.950000003</v>
      </c>
      <c r="I3515" s="4">
        <v>-100241335.65000001</v>
      </c>
    </row>
    <row r="3516" spans="1:9" x14ac:dyDescent="0.3">
      <c r="A3516" t="s">
        <v>124</v>
      </c>
      <c r="B3516" s="1">
        <v>45888</v>
      </c>
      <c r="C3516" s="1">
        <v>45888</v>
      </c>
      <c r="D3516">
        <v>22243</v>
      </c>
      <c r="E3516">
        <v>11</v>
      </c>
      <c r="F3516" s="3" t="s">
        <v>127</v>
      </c>
      <c r="G3516" s="4">
        <v>42700000</v>
      </c>
      <c r="H3516" s="4">
        <v>0</v>
      </c>
      <c r="I3516" s="4">
        <v>-57541335.649999999</v>
      </c>
    </row>
    <row r="3517" spans="1:9" x14ac:dyDescent="0.3">
      <c r="A3517" t="s">
        <v>130</v>
      </c>
      <c r="B3517" s="1">
        <v>45888</v>
      </c>
      <c r="C3517" s="1">
        <v>45888</v>
      </c>
      <c r="D3517">
        <v>3841497</v>
      </c>
      <c r="E3517">
        <v>85</v>
      </c>
      <c r="F3517" s="3">
        <v>5620850000668</v>
      </c>
      <c r="G3517" s="4">
        <v>0</v>
      </c>
      <c r="H3517" s="4">
        <v>23968.5</v>
      </c>
      <c r="I3517" s="4">
        <v>-57565304.149999999</v>
      </c>
    </row>
    <row r="3518" spans="1:9" x14ac:dyDescent="0.3">
      <c r="A3518" t="s">
        <v>133</v>
      </c>
      <c r="B3518" s="1">
        <v>45888</v>
      </c>
      <c r="C3518" s="1">
        <v>45888</v>
      </c>
      <c r="D3518">
        <v>921065</v>
      </c>
      <c r="E3518">
        <v>12</v>
      </c>
      <c r="F3518" s="3" t="s">
        <v>3089</v>
      </c>
      <c r="G3518" s="4">
        <v>88224.5</v>
      </c>
      <c r="H3518" s="4">
        <v>0</v>
      </c>
      <c r="I3518" s="4">
        <v>-57477079.649999999</v>
      </c>
    </row>
    <row r="3519" spans="1:9" x14ac:dyDescent="0.3">
      <c r="A3519" t="s">
        <v>133</v>
      </c>
      <c r="B3519" s="1">
        <v>45888</v>
      </c>
      <c r="C3519" s="1">
        <v>45888</v>
      </c>
      <c r="D3519">
        <v>921109</v>
      </c>
      <c r="E3519">
        <v>382</v>
      </c>
      <c r="F3519" s="3" t="s">
        <v>3090</v>
      </c>
      <c r="G3519" s="4">
        <v>210540</v>
      </c>
      <c r="H3519" s="4">
        <v>0</v>
      </c>
      <c r="I3519" s="4">
        <v>-57266539.649999999</v>
      </c>
    </row>
    <row r="3520" spans="1:9" x14ac:dyDescent="0.3">
      <c r="A3520" t="s">
        <v>133</v>
      </c>
      <c r="B3520" s="1">
        <v>45888</v>
      </c>
      <c r="C3520" s="1">
        <v>45888</v>
      </c>
      <c r="D3520">
        <v>921131</v>
      </c>
      <c r="E3520">
        <v>220</v>
      </c>
      <c r="F3520" s="3" t="s">
        <v>3091</v>
      </c>
      <c r="G3520" s="4">
        <v>95332.5</v>
      </c>
      <c r="H3520" s="4">
        <v>0</v>
      </c>
      <c r="I3520" s="4">
        <v>-57171207.149999999</v>
      </c>
    </row>
    <row r="3521" spans="1:9" x14ac:dyDescent="0.3">
      <c r="A3521" t="s">
        <v>133</v>
      </c>
      <c r="B3521" s="1">
        <v>45888</v>
      </c>
      <c r="C3521" s="1">
        <v>45888</v>
      </c>
      <c r="D3521">
        <v>921146</v>
      </c>
      <c r="E3521">
        <v>382</v>
      </c>
      <c r="F3521" s="3" t="s">
        <v>3092</v>
      </c>
      <c r="G3521" s="4">
        <v>1582.5</v>
      </c>
      <c r="H3521" s="4">
        <v>0</v>
      </c>
      <c r="I3521" s="4">
        <v>-57169624.649999999</v>
      </c>
    </row>
    <row r="3522" spans="1:9" x14ac:dyDescent="0.3">
      <c r="A3522" t="s">
        <v>133</v>
      </c>
      <c r="B3522" s="1">
        <v>45888</v>
      </c>
      <c r="C3522" s="1">
        <v>45888</v>
      </c>
      <c r="D3522">
        <v>921147</v>
      </c>
      <c r="E3522">
        <v>220</v>
      </c>
      <c r="F3522" s="3" t="s">
        <v>3093</v>
      </c>
      <c r="G3522" s="4">
        <v>148680.25</v>
      </c>
      <c r="H3522" s="4">
        <v>0</v>
      </c>
      <c r="I3522" s="4">
        <v>-57020944.399999999</v>
      </c>
    </row>
    <row r="3523" spans="1:9" x14ac:dyDescent="0.3">
      <c r="A3523" t="s">
        <v>133</v>
      </c>
      <c r="B3523" s="1">
        <v>45888</v>
      </c>
      <c r="C3523" s="1">
        <v>45888</v>
      </c>
      <c r="D3523">
        <v>921160</v>
      </c>
      <c r="E3523">
        <v>91</v>
      </c>
      <c r="F3523" s="3" t="s">
        <v>3094</v>
      </c>
      <c r="G3523" s="4">
        <v>4345</v>
      </c>
      <c r="H3523" s="4">
        <v>0</v>
      </c>
      <c r="I3523" s="4">
        <v>-57016599.399999999</v>
      </c>
    </row>
    <row r="3524" spans="1:9" x14ac:dyDescent="0.3">
      <c r="A3524" t="s">
        <v>133</v>
      </c>
      <c r="B3524" s="1">
        <v>45888</v>
      </c>
      <c r="C3524" s="1">
        <v>45888</v>
      </c>
      <c r="D3524">
        <v>921161</v>
      </c>
      <c r="E3524">
        <v>91</v>
      </c>
      <c r="F3524" s="3" t="s">
        <v>3095</v>
      </c>
      <c r="G3524" s="4">
        <v>22263.25</v>
      </c>
      <c r="H3524" s="4">
        <v>0</v>
      </c>
      <c r="I3524" s="4">
        <v>-56994336.149999999</v>
      </c>
    </row>
    <row r="3525" spans="1:9" x14ac:dyDescent="0.3">
      <c r="A3525" t="s">
        <v>133</v>
      </c>
      <c r="B3525" s="1">
        <v>45888</v>
      </c>
      <c r="C3525" s="1">
        <v>45888</v>
      </c>
      <c r="D3525">
        <v>921163</v>
      </c>
      <c r="E3525">
        <v>67</v>
      </c>
      <c r="F3525" s="3">
        <v>251</v>
      </c>
      <c r="G3525" s="4">
        <v>30616.75</v>
      </c>
      <c r="H3525" s="4">
        <v>0</v>
      </c>
      <c r="I3525" s="4">
        <v>-56963719.399999999</v>
      </c>
    </row>
    <row r="3526" spans="1:9" x14ac:dyDescent="0.3">
      <c r="A3526" t="s">
        <v>133</v>
      </c>
      <c r="B3526" s="1">
        <v>45888</v>
      </c>
      <c r="C3526" s="1">
        <v>45888</v>
      </c>
      <c r="D3526">
        <v>921171</v>
      </c>
      <c r="E3526">
        <v>51</v>
      </c>
      <c r="F3526" s="3" t="s">
        <v>3096</v>
      </c>
      <c r="G3526" s="4">
        <v>210000</v>
      </c>
      <c r="H3526" s="4">
        <v>0</v>
      </c>
      <c r="I3526" s="4">
        <v>-56753719.399999999</v>
      </c>
    </row>
    <row r="3527" spans="1:9" x14ac:dyDescent="0.3">
      <c r="A3527" t="s">
        <v>133</v>
      </c>
      <c r="B3527" s="1">
        <v>45888</v>
      </c>
      <c r="C3527" s="1">
        <v>45888</v>
      </c>
      <c r="D3527">
        <v>921172</v>
      </c>
      <c r="E3527">
        <v>63</v>
      </c>
      <c r="F3527" s="3" t="s">
        <v>3097</v>
      </c>
      <c r="G3527" s="4">
        <v>478858</v>
      </c>
      <c r="H3527" s="4">
        <v>0</v>
      </c>
      <c r="I3527" s="4">
        <v>-56274861.399999999</v>
      </c>
    </row>
    <row r="3528" spans="1:9" x14ac:dyDescent="0.3">
      <c r="A3528" t="s">
        <v>133</v>
      </c>
      <c r="B3528" s="1">
        <v>45888</v>
      </c>
      <c r="C3528" s="1">
        <v>45888</v>
      </c>
      <c r="D3528">
        <v>921173</v>
      </c>
      <c r="E3528">
        <v>45</v>
      </c>
      <c r="F3528" s="3" t="s">
        <v>3098</v>
      </c>
      <c r="G3528" s="4">
        <v>20950.75</v>
      </c>
      <c r="H3528" s="4">
        <v>0</v>
      </c>
      <c r="I3528" s="4">
        <v>-56253910.649999999</v>
      </c>
    </row>
    <row r="3529" spans="1:9" x14ac:dyDescent="0.3">
      <c r="A3529" t="s">
        <v>133</v>
      </c>
      <c r="B3529" s="1">
        <v>45888</v>
      </c>
      <c r="C3529" s="1">
        <v>45888</v>
      </c>
      <c r="D3529">
        <v>921178</v>
      </c>
      <c r="E3529">
        <v>77</v>
      </c>
      <c r="F3529" s="3" t="s">
        <v>3099</v>
      </c>
      <c r="G3529" s="4">
        <v>76644</v>
      </c>
      <c r="H3529" s="4">
        <v>0</v>
      </c>
      <c r="I3529" s="4">
        <v>-56177266.649999999</v>
      </c>
    </row>
    <row r="3530" spans="1:9" x14ac:dyDescent="0.3">
      <c r="A3530" t="s">
        <v>133</v>
      </c>
      <c r="B3530" s="1">
        <v>45888</v>
      </c>
      <c r="C3530" s="1">
        <v>45888</v>
      </c>
      <c r="D3530">
        <v>921179</v>
      </c>
      <c r="E3530">
        <v>77</v>
      </c>
      <c r="F3530" s="3" t="s">
        <v>3100</v>
      </c>
      <c r="G3530" s="4">
        <v>188980</v>
      </c>
      <c r="H3530" s="4">
        <v>0</v>
      </c>
      <c r="I3530" s="4">
        <v>-55988286.649999999</v>
      </c>
    </row>
    <row r="3531" spans="1:9" x14ac:dyDescent="0.3">
      <c r="A3531" t="s">
        <v>133</v>
      </c>
      <c r="B3531" s="1">
        <v>45888</v>
      </c>
      <c r="C3531" s="1">
        <v>45888</v>
      </c>
      <c r="D3531">
        <v>921181</v>
      </c>
      <c r="E3531">
        <v>85</v>
      </c>
      <c r="F3531" s="3" t="s">
        <v>3101</v>
      </c>
      <c r="G3531" s="4">
        <v>2664</v>
      </c>
      <c r="H3531" s="4">
        <v>0</v>
      </c>
      <c r="I3531" s="4">
        <v>-55985622.649999999</v>
      </c>
    </row>
    <row r="3532" spans="1:9" x14ac:dyDescent="0.3">
      <c r="A3532" t="s">
        <v>133</v>
      </c>
      <c r="B3532" s="1">
        <v>45888</v>
      </c>
      <c r="C3532" s="1">
        <v>45888</v>
      </c>
      <c r="D3532">
        <v>921183</v>
      </c>
      <c r="E3532">
        <v>72</v>
      </c>
      <c r="F3532" s="3">
        <v>51089978252</v>
      </c>
      <c r="G3532" s="4">
        <v>3856</v>
      </c>
      <c r="H3532" s="4">
        <v>0</v>
      </c>
      <c r="I3532" s="4">
        <v>-55981766.649999999</v>
      </c>
    </row>
    <row r="3533" spans="1:9" x14ac:dyDescent="0.3">
      <c r="A3533" t="s">
        <v>133</v>
      </c>
      <c r="B3533" s="1">
        <v>45888</v>
      </c>
      <c r="C3533" s="1">
        <v>45888</v>
      </c>
      <c r="D3533">
        <v>921184</v>
      </c>
      <c r="E3533">
        <v>301</v>
      </c>
      <c r="F3533" s="3" t="s">
        <v>3102</v>
      </c>
      <c r="G3533" s="4">
        <v>230000</v>
      </c>
      <c r="H3533" s="4">
        <v>0</v>
      </c>
      <c r="I3533" s="4">
        <v>-55751766.649999999</v>
      </c>
    </row>
    <row r="3534" spans="1:9" x14ac:dyDescent="0.3">
      <c r="A3534" t="s">
        <v>133</v>
      </c>
      <c r="B3534" s="1">
        <v>45888</v>
      </c>
      <c r="C3534" s="1">
        <v>45888</v>
      </c>
      <c r="D3534">
        <v>921206</v>
      </c>
      <c r="E3534">
        <v>85</v>
      </c>
      <c r="F3534" s="3" t="s">
        <v>3103</v>
      </c>
      <c r="G3534" s="4">
        <v>23968.5</v>
      </c>
      <c r="H3534" s="4">
        <v>0</v>
      </c>
      <c r="I3534" s="4">
        <v>-55727798.149999999</v>
      </c>
    </row>
    <row r="3535" spans="1:9" x14ac:dyDescent="0.3">
      <c r="A3535" t="s">
        <v>133</v>
      </c>
      <c r="B3535" s="1">
        <v>45888</v>
      </c>
      <c r="C3535" s="1">
        <v>45888</v>
      </c>
      <c r="D3535">
        <v>921208</v>
      </c>
      <c r="E3535">
        <v>85</v>
      </c>
      <c r="F3535" s="3" t="s">
        <v>3104</v>
      </c>
      <c r="G3535" s="4">
        <v>23968.25</v>
      </c>
      <c r="H3535" s="4">
        <v>0</v>
      </c>
      <c r="I3535" s="4">
        <v>-55703829.899999999</v>
      </c>
    </row>
    <row r="3536" spans="1:9" x14ac:dyDescent="0.3">
      <c r="A3536" t="s">
        <v>133</v>
      </c>
      <c r="B3536" s="1">
        <v>45888</v>
      </c>
      <c r="C3536" s="1">
        <v>45888</v>
      </c>
      <c r="D3536">
        <v>921214</v>
      </c>
      <c r="E3536">
        <v>73</v>
      </c>
      <c r="F3536" s="3" t="s">
        <v>3105</v>
      </c>
      <c r="G3536" s="4">
        <v>220000</v>
      </c>
      <c r="H3536" s="4">
        <v>0</v>
      </c>
      <c r="I3536" s="4">
        <v>-55483829.899999999</v>
      </c>
    </row>
    <row r="3537" spans="1:9" x14ac:dyDescent="0.3">
      <c r="A3537" t="s">
        <v>133</v>
      </c>
      <c r="B3537" s="1">
        <v>45888</v>
      </c>
      <c r="C3537" s="1">
        <v>45888</v>
      </c>
      <c r="D3537">
        <v>921218</v>
      </c>
      <c r="E3537">
        <v>33</v>
      </c>
      <c r="F3537" s="3" t="s">
        <v>3106</v>
      </c>
      <c r="G3537" s="4">
        <v>151940</v>
      </c>
      <c r="H3537" s="4">
        <v>0</v>
      </c>
      <c r="I3537" s="4">
        <v>-55331889.899999999</v>
      </c>
    </row>
    <row r="3538" spans="1:9" x14ac:dyDescent="0.3">
      <c r="A3538" t="s">
        <v>133</v>
      </c>
      <c r="B3538" s="1">
        <v>45888</v>
      </c>
      <c r="C3538" s="1">
        <v>45888</v>
      </c>
      <c r="D3538">
        <v>921219</v>
      </c>
      <c r="E3538">
        <v>72</v>
      </c>
      <c r="F3538" s="3" t="s">
        <v>3107</v>
      </c>
      <c r="G3538" s="4">
        <v>34000</v>
      </c>
      <c r="H3538" s="4">
        <v>0</v>
      </c>
      <c r="I3538" s="4">
        <v>-55297889.899999999</v>
      </c>
    </row>
    <row r="3539" spans="1:9" x14ac:dyDescent="0.3">
      <c r="A3539" t="s">
        <v>133</v>
      </c>
      <c r="B3539" s="1">
        <v>45888</v>
      </c>
      <c r="C3539" s="1">
        <v>45888</v>
      </c>
      <c r="D3539">
        <v>921225</v>
      </c>
      <c r="E3539">
        <v>72</v>
      </c>
      <c r="F3539" s="3" t="s">
        <v>3108</v>
      </c>
      <c r="G3539" s="4">
        <v>10000</v>
      </c>
      <c r="H3539" s="4">
        <v>0</v>
      </c>
      <c r="I3539" s="4">
        <v>-55287889.899999999</v>
      </c>
    </row>
    <row r="3540" spans="1:9" x14ac:dyDescent="0.3">
      <c r="A3540" t="s">
        <v>133</v>
      </c>
      <c r="B3540" s="1">
        <v>45888</v>
      </c>
      <c r="C3540" s="1">
        <v>45888</v>
      </c>
      <c r="D3540">
        <v>921228</v>
      </c>
      <c r="E3540">
        <v>210</v>
      </c>
      <c r="F3540" s="3" t="s">
        <v>3109</v>
      </c>
      <c r="G3540" s="4">
        <v>62845</v>
      </c>
      <c r="H3540" s="4">
        <v>0</v>
      </c>
      <c r="I3540" s="4">
        <v>-55225044.899999999</v>
      </c>
    </row>
    <row r="3541" spans="1:9" x14ac:dyDescent="0.3">
      <c r="A3541" t="s">
        <v>133</v>
      </c>
      <c r="B3541" s="1">
        <v>45888</v>
      </c>
      <c r="C3541" s="1">
        <v>45888</v>
      </c>
      <c r="D3541">
        <v>921232</v>
      </c>
      <c r="E3541">
        <v>58</v>
      </c>
      <c r="F3541" s="3" t="s">
        <v>3110</v>
      </c>
      <c r="G3541" s="4">
        <v>200000</v>
      </c>
      <c r="H3541" s="4">
        <v>0</v>
      </c>
      <c r="I3541" s="4">
        <v>-55025044.899999999</v>
      </c>
    </row>
    <row r="3542" spans="1:9" x14ac:dyDescent="0.3">
      <c r="A3542" t="s">
        <v>133</v>
      </c>
      <c r="B3542" s="1">
        <v>45888</v>
      </c>
      <c r="C3542" s="1">
        <v>45888</v>
      </c>
      <c r="D3542">
        <v>921233</v>
      </c>
      <c r="E3542">
        <v>58</v>
      </c>
      <c r="F3542" s="3" t="s">
        <v>3111</v>
      </c>
      <c r="G3542" s="4">
        <v>200000</v>
      </c>
      <c r="H3542" s="4">
        <v>0</v>
      </c>
      <c r="I3542" s="4">
        <v>-54825044.899999999</v>
      </c>
    </row>
    <row r="3543" spans="1:9" x14ac:dyDescent="0.3">
      <c r="A3543" t="s">
        <v>133</v>
      </c>
      <c r="B3543" s="1">
        <v>45888</v>
      </c>
      <c r="C3543" s="1">
        <v>45888</v>
      </c>
      <c r="D3543">
        <v>921239</v>
      </c>
      <c r="E3543">
        <v>43</v>
      </c>
      <c r="F3543" s="3" t="s">
        <v>3112</v>
      </c>
      <c r="G3543" s="4">
        <v>20056</v>
      </c>
      <c r="H3543" s="4">
        <v>0</v>
      </c>
      <c r="I3543" s="4">
        <v>-54804988.899999999</v>
      </c>
    </row>
    <row r="3544" spans="1:9" x14ac:dyDescent="0.3">
      <c r="A3544" t="s">
        <v>133</v>
      </c>
      <c r="B3544" s="1">
        <v>45888</v>
      </c>
      <c r="C3544" s="1">
        <v>45888</v>
      </c>
      <c r="D3544">
        <v>921243</v>
      </c>
      <c r="E3544">
        <v>13</v>
      </c>
      <c r="F3544" s="3" t="s">
        <v>3113</v>
      </c>
      <c r="G3544" s="4">
        <v>100000</v>
      </c>
      <c r="H3544" s="4">
        <v>0</v>
      </c>
      <c r="I3544" s="4">
        <v>-54704988.899999999</v>
      </c>
    </row>
    <row r="3545" spans="1:9" x14ac:dyDescent="0.3">
      <c r="A3545" t="s">
        <v>133</v>
      </c>
      <c r="B3545" s="1">
        <v>45888</v>
      </c>
      <c r="C3545" s="1">
        <v>45888</v>
      </c>
      <c r="D3545">
        <v>921254</v>
      </c>
      <c r="E3545">
        <v>27</v>
      </c>
      <c r="F3545" s="3" t="s">
        <v>3114</v>
      </c>
      <c r="G3545" s="4">
        <v>25000</v>
      </c>
      <c r="H3545" s="4">
        <v>0</v>
      </c>
      <c r="I3545" s="4">
        <v>-54679988.899999999</v>
      </c>
    </row>
    <row r="3546" spans="1:9" x14ac:dyDescent="0.3">
      <c r="A3546" t="s">
        <v>133</v>
      </c>
      <c r="B3546" s="1">
        <v>45888</v>
      </c>
      <c r="C3546" s="1">
        <v>45888</v>
      </c>
      <c r="D3546">
        <v>921256</v>
      </c>
      <c r="E3546">
        <v>45</v>
      </c>
      <c r="F3546" s="3" t="s">
        <v>3115</v>
      </c>
      <c r="G3546" s="4">
        <v>16155.25</v>
      </c>
      <c r="H3546" s="4">
        <v>0</v>
      </c>
      <c r="I3546" s="4">
        <v>-54663833.649999999</v>
      </c>
    </row>
    <row r="3547" spans="1:9" x14ac:dyDescent="0.3">
      <c r="A3547" t="s">
        <v>133</v>
      </c>
      <c r="B3547" s="1">
        <v>45888</v>
      </c>
      <c r="C3547" s="1">
        <v>45888</v>
      </c>
      <c r="D3547">
        <v>921257</v>
      </c>
      <c r="E3547">
        <v>45</v>
      </c>
      <c r="F3547" s="3" t="s">
        <v>3116</v>
      </c>
      <c r="G3547" s="4">
        <v>350050</v>
      </c>
      <c r="H3547" s="4">
        <v>0</v>
      </c>
      <c r="I3547" s="4">
        <v>-54313783.649999999</v>
      </c>
    </row>
    <row r="3548" spans="1:9" x14ac:dyDescent="0.3">
      <c r="A3548" t="s">
        <v>133</v>
      </c>
      <c r="B3548" s="1">
        <v>45888</v>
      </c>
      <c r="C3548" s="1">
        <v>45888</v>
      </c>
      <c r="D3548">
        <v>921260</v>
      </c>
      <c r="E3548">
        <v>66</v>
      </c>
      <c r="F3548" s="3" t="s">
        <v>3117</v>
      </c>
      <c r="G3548" s="4">
        <v>800000</v>
      </c>
      <c r="H3548" s="4">
        <v>0</v>
      </c>
      <c r="I3548" s="4">
        <v>-53513783.649999999</v>
      </c>
    </row>
    <row r="3549" spans="1:9" x14ac:dyDescent="0.3">
      <c r="A3549" t="s">
        <v>133</v>
      </c>
      <c r="B3549" s="1">
        <v>45888</v>
      </c>
      <c r="C3549" s="1">
        <v>45888</v>
      </c>
      <c r="D3549">
        <v>921264</v>
      </c>
      <c r="E3549">
        <v>72</v>
      </c>
      <c r="F3549" s="3">
        <v>51093180541</v>
      </c>
      <c r="G3549" s="4">
        <v>115400</v>
      </c>
      <c r="H3549" s="4">
        <v>0</v>
      </c>
      <c r="I3549" s="4">
        <v>-53398383.649999999</v>
      </c>
    </row>
    <row r="3550" spans="1:9" x14ac:dyDescent="0.3">
      <c r="A3550" t="s">
        <v>133</v>
      </c>
      <c r="B3550" s="1">
        <v>45888</v>
      </c>
      <c r="C3550" s="1">
        <v>45888</v>
      </c>
      <c r="D3550">
        <v>921273</v>
      </c>
      <c r="E3550">
        <v>14</v>
      </c>
      <c r="F3550" s="3" t="s">
        <v>3118</v>
      </c>
      <c r="G3550" s="4">
        <v>62564.5</v>
      </c>
      <c r="H3550" s="4">
        <v>0</v>
      </c>
      <c r="I3550" s="4">
        <v>-53335819.149999999</v>
      </c>
    </row>
    <row r="3551" spans="1:9" x14ac:dyDescent="0.3">
      <c r="A3551" t="s">
        <v>133</v>
      </c>
      <c r="B3551" s="1">
        <v>45888</v>
      </c>
      <c r="C3551" s="1">
        <v>45888</v>
      </c>
      <c r="D3551">
        <v>921274</v>
      </c>
      <c r="E3551">
        <v>91</v>
      </c>
      <c r="F3551" s="3" t="s">
        <v>3119</v>
      </c>
      <c r="G3551" s="4">
        <v>2263.5</v>
      </c>
      <c r="H3551" s="4">
        <v>0</v>
      </c>
      <c r="I3551" s="4">
        <v>-53333555.649999999</v>
      </c>
    </row>
    <row r="3552" spans="1:9" x14ac:dyDescent="0.3">
      <c r="A3552" t="s">
        <v>133</v>
      </c>
      <c r="B3552" s="1">
        <v>45888</v>
      </c>
      <c r="C3552" s="1">
        <v>45888</v>
      </c>
      <c r="D3552">
        <v>921275</v>
      </c>
      <c r="E3552">
        <v>92</v>
      </c>
      <c r="F3552" s="3" t="s">
        <v>3120</v>
      </c>
      <c r="G3552" s="4">
        <v>800000</v>
      </c>
      <c r="H3552" s="4">
        <v>0</v>
      </c>
      <c r="I3552" s="4">
        <v>-52533555.649999999</v>
      </c>
    </row>
    <row r="3553" spans="1:9" x14ac:dyDescent="0.3">
      <c r="A3553" t="s">
        <v>133</v>
      </c>
      <c r="B3553" s="1">
        <v>45888</v>
      </c>
      <c r="C3553" s="1">
        <v>45888</v>
      </c>
      <c r="D3553">
        <v>921277</v>
      </c>
      <c r="E3553">
        <v>75</v>
      </c>
      <c r="F3553" s="3" t="s">
        <v>3121</v>
      </c>
      <c r="G3553" s="4">
        <v>150000</v>
      </c>
      <c r="H3553" s="4">
        <v>0</v>
      </c>
      <c r="I3553" s="4">
        <v>-52383555.649999999</v>
      </c>
    </row>
    <row r="3554" spans="1:9" x14ac:dyDescent="0.3">
      <c r="A3554" t="s">
        <v>133</v>
      </c>
      <c r="B3554" s="1">
        <v>45888</v>
      </c>
      <c r="C3554" s="1">
        <v>45888</v>
      </c>
      <c r="D3554">
        <v>921295</v>
      </c>
      <c r="E3554">
        <v>85</v>
      </c>
      <c r="F3554" s="3">
        <v>51092473236</v>
      </c>
      <c r="G3554" s="4">
        <v>560.25</v>
      </c>
      <c r="H3554" s="4">
        <v>0</v>
      </c>
      <c r="I3554" s="4">
        <v>-52382995.399999999</v>
      </c>
    </row>
    <row r="3555" spans="1:9" x14ac:dyDescent="0.3">
      <c r="A3555" t="s">
        <v>133</v>
      </c>
      <c r="B3555" s="1">
        <v>45888</v>
      </c>
      <c r="C3555" s="1">
        <v>45888</v>
      </c>
      <c r="D3555">
        <v>921298</v>
      </c>
      <c r="E3555">
        <v>84</v>
      </c>
      <c r="F3555" s="3" t="s">
        <v>3122</v>
      </c>
      <c r="G3555" s="4">
        <v>22024.25</v>
      </c>
      <c r="H3555" s="4">
        <v>0</v>
      </c>
      <c r="I3555" s="4">
        <v>-52360971.149999999</v>
      </c>
    </row>
    <row r="3556" spans="1:9" x14ac:dyDescent="0.3">
      <c r="A3556" t="s">
        <v>133</v>
      </c>
      <c r="B3556" s="1">
        <v>45888</v>
      </c>
      <c r="C3556" s="1">
        <v>45888</v>
      </c>
      <c r="D3556">
        <v>921303</v>
      </c>
      <c r="E3556">
        <v>86</v>
      </c>
      <c r="F3556" s="3" t="s">
        <v>3123</v>
      </c>
      <c r="G3556" s="4">
        <v>73541</v>
      </c>
      <c r="H3556" s="4">
        <v>0</v>
      </c>
      <c r="I3556" s="4">
        <v>-52287430.149999999</v>
      </c>
    </row>
    <row r="3557" spans="1:9" x14ac:dyDescent="0.3">
      <c r="A3557" t="s">
        <v>133</v>
      </c>
      <c r="B3557" s="1">
        <v>45888</v>
      </c>
      <c r="C3557" s="1">
        <v>45888</v>
      </c>
      <c r="D3557">
        <v>921308</v>
      </c>
      <c r="E3557">
        <v>55</v>
      </c>
      <c r="F3557" s="3" t="s">
        <v>2651</v>
      </c>
      <c r="G3557" s="4">
        <v>200000</v>
      </c>
      <c r="H3557" s="4">
        <v>0</v>
      </c>
      <c r="I3557" s="4">
        <v>-52087430.149999999</v>
      </c>
    </row>
    <row r="3558" spans="1:9" x14ac:dyDescent="0.3">
      <c r="A3558" t="s">
        <v>133</v>
      </c>
      <c r="B3558" s="1">
        <v>45888</v>
      </c>
      <c r="C3558" s="1">
        <v>45888</v>
      </c>
      <c r="D3558">
        <v>921309</v>
      </c>
      <c r="E3558">
        <v>351</v>
      </c>
      <c r="F3558" s="3" t="s">
        <v>3124</v>
      </c>
      <c r="G3558" s="4">
        <v>16753</v>
      </c>
      <c r="H3558" s="4">
        <v>0</v>
      </c>
      <c r="I3558" s="4">
        <v>-52070677.149999999</v>
      </c>
    </row>
    <row r="3559" spans="1:9" x14ac:dyDescent="0.3">
      <c r="A3559" t="s">
        <v>133</v>
      </c>
      <c r="B3559" s="1">
        <v>45888</v>
      </c>
      <c r="C3559" s="1">
        <v>45888</v>
      </c>
      <c r="D3559">
        <v>921311</v>
      </c>
      <c r="E3559">
        <v>11</v>
      </c>
      <c r="F3559" s="3" t="s">
        <v>3125</v>
      </c>
      <c r="G3559" s="4">
        <v>22538</v>
      </c>
      <c r="H3559" s="4">
        <v>0</v>
      </c>
      <c r="I3559" s="4">
        <v>-52048139.149999999</v>
      </c>
    </row>
    <row r="3560" spans="1:9" x14ac:dyDescent="0.3">
      <c r="A3560" t="s">
        <v>133</v>
      </c>
      <c r="B3560" s="1">
        <v>45888</v>
      </c>
      <c r="C3560" s="1">
        <v>45888</v>
      </c>
      <c r="D3560">
        <v>921312</v>
      </c>
      <c r="E3560">
        <v>351</v>
      </c>
      <c r="F3560" s="3" t="s">
        <v>3126</v>
      </c>
      <c r="G3560" s="4">
        <v>2448.5</v>
      </c>
      <c r="H3560" s="4">
        <v>0</v>
      </c>
      <c r="I3560" s="4">
        <v>-52045690.649999999</v>
      </c>
    </row>
    <row r="3561" spans="1:9" x14ac:dyDescent="0.3">
      <c r="A3561" t="s">
        <v>133</v>
      </c>
      <c r="B3561" s="1">
        <v>45888</v>
      </c>
      <c r="C3561" s="1">
        <v>45888</v>
      </c>
      <c r="D3561">
        <v>921314</v>
      </c>
      <c r="E3561">
        <v>351</v>
      </c>
      <c r="F3561" s="3" t="s">
        <v>3127</v>
      </c>
      <c r="G3561" s="4">
        <v>2296</v>
      </c>
      <c r="H3561" s="4">
        <v>0</v>
      </c>
      <c r="I3561" s="4">
        <v>-52043394.649999999</v>
      </c>
    </row>
    <row r="3562" spans="1:9" x14ac:dyDescent="0.3">
      <c r="A3562" t="s">
        <v>133</v>
      </c>
      <c r="B3562" s="1">
        <v>45888</v>
      </c>
      <c r="C3562" s="1">
        <v>45888</v>
      </c>
      <c r="D3562">
        <v>921319</v>
      </c>
      <c r="E3562">
        <v>351</v>
      </c>
      <c r="F3562" s="3" t="s">
        <v>3128</v>
      </c>
      <c r="G3562" s="4">
        <v>147020.5</v>
      </c>
      <c r="H3562" s="4">
        <v>0</v>
      </c>
      <c r="I3562" s="4">
        <v>-51896374.149999999</v>
      </c>
    </row>
    <row r="3563" spans="1:9" x14ac:dyDescent="0.3">
      <c r="A3563" t="s">
        <v>133</v>
      </c>
      <c r="B3563" s="1">
        <v>45888</v>
      </c>
      <c r="C3563" s="1">
        <v>45888</v>
      </c>
      <c r="D3563">
        <v>921330</v>
      </c>
      <c r="E3563">
        <v>28</v>
      </c>
      <c r="F3563" s="3" t="s">
        <v>3129</v>
      </c>
      <c r="G3563" s="4">
        <v>310000</v>
      </c>
      <c r="H3563" s="4">
        <v>0</v>
      </c>
      <c r="I3563" s="4">
        <v>-51586374.149999999</v>
      </c>
    </row>
    <row r="3564" spans="1:9" x14ac:dyDescent="0.3">
      <c r="A3564" t="s">
        <v>133</v>
      </c>
      <c r="B3564" s="1">
        <v>45888</v>
      </c>
      <c r="C3564" s="1">
        <v>45888</v>
      </c>
      <c r="D3564">
        <v>921331</v>
      </c>
      <c r="E3564">
        <v>351</v>
      </c>
      <c r="F3564" s="3" t="s">
        <v>3130</v>
      </c>
      <c r="G3564" s="4">
        <v>19569</v>
      </c>
      <c r="H3564" s="4">
        <v>0</v>
      </c>
      <c r="I3564" s="4">
        <v>-51566805.149999999</v>
      </c>
    </row>
    <row r="3565" spans="1:9" x14ac:dyDescent="0.3">
      <c r="A3565" t="s">
        <v>133</v>
      </c>
      <c r="B3565" s="1">
        <v>45888</v>
      </c>
      <c r="C3565" s="1">
        <v>45888</v>
      </c>
      <c r="D3565">
        <v>921334</v>
      </c>
      <c r="E3565">
        <v>351</v>
      </c>
      <c r="F3565" s="3" t="s">
        <v>3131</v>
      </c>
      <c r="G3565" s="4">
        <v>13050</v>
      </c>
      <c r="H3565" s="4">
        <v>0</v>
      </c>
      <c r="I3565" s="4">
        <v>-51553755.149999999</v>
      </c>
    </row>
    <row r="3566" spans="1:9" x14ac:dyDescent="0.3">
      <c r="A3566" t="s">
        <v>133</v>
      </c>
      <c r="B3566" s="1">
        <v>45888</v>
      </c>
      <c r="C3566" s="1">
        <v>45888</v>
      </c>
      <c r="D3566">
        <v>921341</v>
      </c>
      <c r="E3566">
        <v>84</v>
      </c>
      <c r="F3566" s="3" t="s">
        <v>3132</v>
      </c>
      <c r="G3566" s="4">
        <v>25778.5</v>
      </c>
      <c r="H3566" s="4">
        <v>0</v>
      </c>
      <c r="I3566" s="4">
        <v>-51527976.649999999</v>
      </c>
    </row>
    <row r="3567" spans="1:9" x14ac:dyDescent="0.3">
      <c r="A3567" t="s">
        <v>133</v>
      </c>
      <c r="B3567" s="1">
        <v>45888</v>
      </c>
      <c r="C3567" s="1">
        <v>45888</v>
      </c>
      <c r="D3567">
        <v>921342</v>
      </c>
      <c r="E3567">
        <v>14</v>
      </c>
      <c r="F3567" s="3" t="s">
        <v>3133</v>
      </c>
      <c r="G3567" s="4">
        <v>1100000</v>
      </c>
      <c r="H3567" s="4">
        <v>0</v>
      </c>
      <c r="I3567" s="4">
        <v>-50427976.649999999</v>
      </c>
    </row>
    <row r="3568" spans="1:9" x14ac:dyDescent="0.3">
      <c r="A3568" t="s">
        <v>133</v>
      </c>
      <c r="B3568" s="1">
        <v>45888</v>
      </c>
      <c r="C3568" s="1">
        <v>45888</v>
      </c>
      <c r="D3568">
        <v>921350</v>
      </c>
      <c r="E3568">
        <v>56</v>
      </c>
      <c r="F3568" s="3" t="s">
        <v>3134</v>
      </c>
      <c r="G3568" s="4">
        <v>121754</v>
      </c>
      <c r="H3568" s="4">
        <v>0</v>
      </c>
      <c r="I3568" s="4">
        <v>-50306222.649999999</v>
      </c>
    </row>
    <row r="3569" spans="1:9" x14ac:dyDescent="0.3">
      <c r="A3569" t="s">
        <v>133</v>
      </c>
      <c r="B3569" s="1">
        <v>45888</v>
      </c>
      <c r="C3569" s="1">
        <v>45888</v>
      </c>
      <c r="D3569">
        <v>921354</v>
      </c>
      <c r="E3569">
        <v>56</v>
      </c>
      <c r="F3569" s="3" t="s">
        <v>3135</v>
      </c>
      <c r="G3569" s="4">
        <v>225887</v>
      </c>
      <c r="H3569" s="4">
        <v>0</v>
      </c>
      <c r="I3569" s="4">
        <v>-50080335.649999999</v>
      </c>
    </row>
    <row r="3570" spans="1:9" x14ac:dyDescent="0.3">
      <c r="A3570" t="s">
        <v>133</v>
      </c>
      <c r="B3570" s="1">
        <v>45888</v>
      </c>
      <c r="C3570" s="1">
        <v>45888</v>
      </c>
      <c r="D3570">
        <v>921367</v>
      </c>
      <c r="E3570">
        <v>24</v>
      </c>
      <c r="F3570" s="3" t="s">
        <v>3136</v>
      </c>
      <c r="G3570" s="4">
        <v>220000</v>
      </c>
      <c r="H3570" s="4">
        <v>0</v>
      </c>
      <c r="I3570" s="4">
        <v>-49860335.649999999</v>
      </c>
    </row>
    <row r="3571" spans="1:9" x14ac:dyDescent="0.3">
      <c r="A3571" t="s">
        <v>133</v>
      </c>
      <c r="B3571" s="1">
        <v>45888</v>
      </c>
      <c r="C3571" s="1">
        <v>45888</v>
      </c>
      <c r="D3571">
        <v>921375</v>
      </c>
      <c r="E3571">
        <v>86</v>
      </c>
      <c r="F3571" s="3" t="s">
        <v>3137</v>
      </c>
      <c r="G3571" s="4">
        <v>50</v>
      </c>
      <c r="H3571" s="4">
        <v>0</v>
      </c>
      <c r="I3571" s="4">
        <v>-49860285.649999999</v>
      </c>
    </row>
    <row r="3572" spans="1:9" x14ac:dyDescent="0.3">
      <c r="A3572" t="s">
        <v>133</v>
      </c>
      <c r="B3572" s="1">
        <v>45888</v>
      </c>
      <c r="C3572" s="1">
        <v>45888</v>
      </c>
      <c r="D3572">
        <v>921378</v>
      </c>
      <c r="E3572">
        <v>86</v>
      </c>
      <c r="F3572" s="3" t="s">
        <v>3138</v>
      </c>
      <c r="G3572" s="4">
        <v>6006</v>
      </c>
      <c r="H3572" s="4">
        <v>0</v>
      </c>
      <c r="I3572" s="4">
        <v>-49854279.649999999</v>
      </c>
    </row>
    <row r="3573" spans="1:9" x14ac:dyDescent="0.3">
      <c r="A3573" t="s">
        <v>133</v>
      </c>
      <c r="B3573" s="1">
        <v>45888</v>
      </c>
      <c r="C3573" s="1">
        <v>45888</v>
      </c>
      <c r="D3573">
        <v>921379</v>
      </c>
      <c r="E3573">
        <v>18</v>
      </c>
      <c r="F3573" s="3" t="s">
        <v>3139</v>
      </c>
      <c r="G3573" s="4">
        <v>170265</v>
      </c>
      <c r="H3573" s="4">
        <v>0</v>
      </c>
      <c r="I3573" s="4">
        <v>-49684014.649999999</v>
      </c>
    </row>
    <row r="3574" spans="1:9" x14ac:dyDescent="0.3">
      <c r="A3574" t="s">
        <v>133</v>
      </c>
      <c r="B3574" s="1">
        <v>45888</v>
      </c>
      <c r="C3574" s="1">
        <v>45888</v>
      </c>
      <c r="D3574">
        <v>921380</v>
      </c>
      <c r="E3574">
        <v>59</v>
      </c>
      <c r="F3574" s="3" t="s">
        <v>3140</v>
      </c>
      <c r="G3574" s="4">
        <v>36750</v>
      </c>
      <c r="H3574" s="4">
        <v>0</v>
      </c>
      <c r="I3574" s="4">
        <v>-49647264.649999999</v>
      </c>
    </row>
    <row r="3575" spans="1:9" x14ac:dyDescent="0.3">
      <c r="A3575" t="s">
        <v>133</v>
      </c>
      <c r="B3575" s="1">
        <v>45888</v>
      </c>
      <c r="C3575" s="1">
        <v>45888</v>
      </c>
      <c r="D3575">
        <v>921387</v>
      </c>
      <c r="E3575">
        <v>11</v>
      </c>
      <c r="F3575" s="3" t="s">
        <v>3141</v>
      </c>
      <c r="G3575" s="4">
        <v>81660</v>
      </c>
      <c r="H3575" s="4">
        <v>0</v>
      </c>
      <c r="I3575" s="4">
        <v>-49565604.649999999</v>
      </c>
    </row>
    <row r="3576" spans="1:9" x14ac:dyDescent="0.3">
      <c r="A3576" t="s">
        <v>133</v>
      </c>
      <c r="B3576" s="1">
        <v>45888</v>
      </c>
      <c r="C3576" s="1">
        <v>45888</v>
      </c>
      <c r="D3576">
        <v>921388</v>
      </c>
      <c r="E3576">
        <v>54</v>
      </c>
      <c r="F3576" s="3" t="s">
        <v>3142</v>
      </c>
      <c r="G3576" s="4">
        <v>410000</v>
      </c>
      <c r="H3576" s="4">
        <v>0</v>
      </c>
      <c r="I3576" s="4">
        <v>-49155604.649999999</v>
      </c>
    </row>
    <row r="3577" spans="1:9" x14ac:dyDescent="0.3">
      <c r="A3577" t="s">
        <v>133</v>
      </c>
      <c r="B3577" s="1">
        <v>45888</v>
      </c>
      <c r="C3577" s="1">
        <v>45888</v>
      </c>
      <c r="D3577">
        <v>921396</v>
      </c>
      <c r="E3577">
        <v>31</v>
      </c>
      <c r="F3577" s="3" t="s">
        <v>3143</v>
      </c>
      <c r="G3577" s="4">
        <v>172078.25</v>
      </c>
      <c r="H3577" s="4">
        <v>0</v>
      </c>
      <c r="I3577" s="4">
        <v>-48983526.399999999</v>
      </c>
    </row>
    <row r="3578" spans="1:9" x14ac:dyDescent="0.3">
      <c r="A3578" t="s">
        <v>133</v>
      </c>
      <c r="B3578" s="1">
        <v>45888</v>
      </c>
      <c r="C3578" s="1">
        <v>45888</v>
      </c>
      <c r="D3578">
        <v>921398</v>
      </c>
      <c r="E3578">
        <v>31</v>
      </c>
      <c r="F3578" s="3" t="s">
        <v>3144</v>
      </c>
      <c r="G3578" s="4">
        <v>24623</v>
      </c>
      <c r="H3578" s="4">
        <v>0</v>
      </c>
      <c r="I3578" s="4">
        <v>-48958903.399999999</v>
      </c>
    </row>
    <row r="3579" spans="1:9" x14ac:dyDescent="0.3">
      <c r="A3579" t="s">
        <v>133</v>
      </c>
      <c r="B3579" s="1">
        <v>45888</v>
      </c>
      <c r="C3579" s="1">
        <v>45888</v>
      </c>
      <c r="D3579">
        <v>921414</v>
      </c>
      <c r="E3579">
        <v>45</v>
      </c>
      <c r="F3579" s="3" t="s">
        <v>3145</v>
      </c>
      <c r="G3579" s="4">
        <v>134162</v>
      </c>
      <c r="H3579" s="4">
        <v>0</v>
      </c>
      <c r="I3579" s="4">
        <v>-48824741.399999999</v>
      </c>
    </row>
    <row r="3580" spans="1:9" x14ac:dyDescent="0.3">
      <c r="A3580" t="s">
        <v>133</v>
      </c>
      <c r="B3580" s="1">
        <v>45888</v>
      </c>
      <c r="C3580" s="1">
        <v>45888</v>
      </c>
      <c r="D3580">
        <v>921427</v>
      </c>
      <c r="E3580">
        <v>11</v>
      </c>
      <c r="F3580" s="3" t="s">
        <v>3146</v>
      </c>
      <c r="G3580" s="4">
        <v>151549</v>
      </c>
      <c r="H3580" s="4">
        <v>0</v>
      </c>
      <c r="I3580" s="4">
        <v>-48673192.399999999</v>
      </c>
    </row>
    <row r="3581" spans="1:9" x14ac:dyDescent="0.3">
      <c r="A3581" t="s">
        <v>133</v>
      </c>
      <c r="B3581" s="1">
        <v>45888</v>
      </c>
      <c r="C3581" s="1">
        <v>45888</v>
      </c>
      <c r="D3581">
        <v>921435</v>
      </c>
      <c r="E3581">
        <v>12</v>
      </c>
      <c r="F3581" s="3" t="s">
        <v>3147</v>
      </c>
      <c r="G3581" s="4">
        <v>220000</v>
      </c>
      <c r="H3581" s="4">
        <v>0</v>
      </c>
      <c r="I3581" s="4">
        <v>-48453192.399999999</v>
      </c>
    </row>
    <row r="3582" spans="1:9" x14ac:dyDescent="0.3">
      <c r="A3582" t="s">
        <v>133</v>
      </c>
      <c r="B3582" s="1">
        <v>45888</v>
      </c>
      <c r="C3582" s="1">
        <v>45888</v>
      </c>
      <c r="D3582">
        <v>921457</v>
      </c>
      <c r="E3582">
        <v>88</v>
      </c>
      <c r="F3582" s="3" t="s">
        <v>3148</v>
      </c>
      <c r="G3582" s="4">
        <v>1500</v>
      </c>
      <c r="H3582" s="4">
        <v>0</v>
      </c>
      <c r="I3582" s="4">
        <v>-48451692.399999999</v>
      </c>
    </row>
    <row r="3583" spans="1:9" x14ac:dyDescent="0.3">
      <c r="A3583" t="s">
        <v>133</v>
      </c>
      <c r="B3583" s="1">
        <v>45888</v>
      </c>
      <c r="C3583" s="1">
        <v>45888</v>
      </c>
      <c r="D3583">
        <v>921460</v>
      </c>
      <c r="E3583">
        <v>351</v>
      </c>
      <c r="F3583" s="3" t="s">
        <v>3149</v>
      </c>
      <c r="G3583" s="4">
        <v>93310.25</v>
      </c>
      <c r="H3583" s="4">
        <v>0</v>
      </c>
      <c r="I3583" s="4">
        <v>-48358382.149999999</v>
      </c>
    </row>
    <row r="3584" spans="1:9" x14ac:dyDescent="0.3">
      <c r="A3584" t="s">
        <v>133</v>
      </c>
      <c r="B3584" s="1">
        <v>45888</v>
      </c>
      <c r="C3584" s="1">
        <v>45888</v>
      </c>
      <c r="D3584">
        <v>921468</v>
      </c>
      <c r="E3584">
        <v>59</v>
      </c>
      <c r="F3584" s="3" t="s">
        <v>3150</v>
      </c>
      <c r="G3584" s="4">
        <v>18055.25</v>
      </c>
      <c r="H3584" s="4">
        <v>0</v>
      </c>
      <c r="I3584" s="4">
        <v>-48340326.899999999</v>
      </c>
    </row>
    <row r="3585" spans="1:9" x14ac:dyDescent="0.3">
      <c r="A3585" t="s">
        <v>133</v>
      </c>
      <c r="B3585" s="1">
        <v>45888</v>
      </c>
      <c r="C3585" s="1">
        <v>45888</v>
      </c>
      <c r="D3585">
        <v>921470</v>
      </c>
      <c r="E3585">
        <v>361</v>
      </c>
      <c r="F3585" s="3">
        <v>101021684437</v>
      </c>
      <c r="G3585" s="4">
        <v>139000</v>
      </c>
      <c r="H3585" s="4">
        <v>0</v>
      </c>
      <c r="I3585" s="4">
        <v>-48201326.899999999</v>
      </c>
    </row>
    <row r="3586" spans="1:9" x14ac:dyDescent="0.3">
      <c r="A3586" t="s">
        <v>133</v>
      </c>
      <c r="B3586" s="1">
        <v>45888</v>
      </c>
      <c r="C3586" s="1">
        <v>45888</v>
      </c>
      <c r="D3586">
        <v>921477</v>
      </c>
      <c r="E3586">
        <v>23</v>
      </c>
      <c r="F3586" s="3" t="s">
        <v>3151</v>
      </c>
      <c r="G3586" s="4">
        <v>20000</v>
      </c>
      <c r="H3586" s="4">
        <v>0</v>
      </c>
      <c r="I3586" s="4">
        <v>-48181326.899999999</v>
      </c>
    </row>
    <row r="3587" spans="1:9" x14ac:dyDescent="0.3">
      <c r="A3587" t="s">
        <v>133</v>
      </c>
      <c r="B3587" s="1">
        <v>45888</v>
      </c>
      <c r="C3587" s="1">
        <v>45888</v>
      </c>
      <c r="D3587">
        <v>921478</v>
      </c>
      <c r="E3587">
        <v>32</v>
      </c>
      <c r="F3587" s="3" t="s">
        <v>2135</v>
      </c>
      <c r="G3587" s="4">
        <v>300000</v>
      </c>
      <c r="H3587" s="4">
        <v>0</v>
      </c>
      <c r="I3587" s="4">
        <v>-47881326.899999999</v>
      </c>
    </row>
    <row r="3588" spans="1:9" x14ac:dyDescent="0.3">
      <c r="A3588" t="s">
        <v>133</v>
      </c>
      <c r="B3588" s="1">
        <v>45888</v>
      </c>
      <c r="C3588" s="1">
        <v>45888</v>
      </c>
      <c r="D3588">
        <v>921489</v>
      </c>
      <c r="E3588">
        <v>89</v>
      </c>
      <c r="F3588" s="3" t="s">
        <v>3152</v>
      </c>
      <c r="G3588" s="4">
        <v>370895.5</v>
      </c>
      <c r="H3588" s="4">
        <v>0</v>
      </c>
      <c r="I3588" s="4">
        <v>-47510431.399999999</v>
      </c>
    </row>
    <row r="3589" spans="1:9" x14ac:dyDescent="0.3">
      <c r="A3589" t="s">
        <v>133</v>
      </c>
      <c r="B3589" s="1">
        <v>45888</v>
      </c>
      <c r="C3589" s="1">
        <v>45888</v>
      </c>
      <c r="D3589">
        <v>921504</v>
      </c>
      <c r="E3589">
        <v>11</v>
      </c>
      <c r="F3589" s="3" t="s">
        <v>3153</v>
      </c>
      <c r="G3589" s="4">
        <v>17286</v>
      </c>
      <c r="H3589" s="4">
        <v>0</v>
      </c>
      <c r="I3589" s="4">
        <v>-47493145.399999999</v>
      </c>
    </row>
    <row r="3590" spans="1:9" x14ac:dyDescent="0.3">
      <c r="A3590" t="s">
        <v>133</v>
      </c>
      <c r="B3590" s="1">
        <v>45888</v>
      </c>
      <c r="C3590" s="1">
        <v>45888</v>
      </c>
      <c r="D3590">
        <v>921519</v>
      </c>
      <c r="E3590">
        <v>67</v>
      </c>
      <c r="F3590" s="3" t="s">
        <v>677</v>
      </c>
      <c r="G3590" s="4">
        <v>470000</v>
      </c>
      <c r="H3590" s="4">
        <v>0</v>
      </c>
      <c r="I3590" s="4">
        <v>-47023145.399999999</v>
      </c>
    </row>
    <row r="3591" spans="1:9" x14ac:dyDescent="0.3">
      <c r="A3591" t="s">
        <v>133</v>
      </c>
      <c r="B3591" s="1">
        <v>45888</v>
      </c>
      <c r="C3591" s="1">
        <v>45888</v>
      </c>
      <c r="D3591">
        <v>921520</v>
      </c>
      <c r="E3591">
        <v>86</v>
      </c>
      <c r="F3591" s="3" t="s">
        <v>3154</v>
      </c>
      <c r="G3591" s="4">
        <v>4799.75</v>
      </c>
      <c r="H3591" s="4">
        <v>0</v>
      </c>
      <c r="I3591" s="4">
        <v>-47018345.649999999</v>
      </c>
    </row>
    <row r="3592" spans="1:9" x14ac:dyDescent="0.3">
      <c r="A3592" t="s">
        <v>133</v>
      </c>
      <c r="B3592" s="1">
        <v>45888</v>
      </c>
      <c r="C3592" s="1">
        <v>45888</v>
      </c>
      <c r="D3592">
        <v>921521</v>
      </c>
      <c r="E3592">
        <v>15</v>
      </c>
      <c r="F3592" s="3" t="s">
        <v>3155</v>
      </c>
      <c r="G3592" s="4">
        <v>280000</v>
      </c>
      <c r="H3592" s="4">
        <v>0</v>
      </c>
      <c r="I3592" s="4">
        <v>-46738345.649999999</v>
      </c>
    </row>
    <row r="3593" spans="1:9" x14ac:dyDescent="0.3">
      <c r="A3593" t="s">
        <v>133</v>
      </c>
      <c r="B3593" s="1">
        <v>45888</v>
      </c>
      <c r="C3593" s="1">
        <v>45888</v>
      </c>
      <c r="D3593">
        <v>921528</v>
      </c>
      <c r="E3593">
        <v>42</v>
      </c>
      <c r="F3593" s="3" t="s">
        <v>3156</v>
      </c>
      <c r="G3593" s="4">
        <v>345798.5</v>
      </c>
      <c r="H3593" s="4">
        <v>0</v>
      </c>
      <c r="I3593" s="4">
        <v>-46392547.149999999</v>
      </c>
    </row>
    <row r="3594" spans="1:9" x14ac:dyDescent="0.3">
      <c r="A3594" t="s">
        <v>133</v>
      </c>
      <c r="B3594" s="1">
        <v>45888</v>
      </c>
      <c r="C3594" s="1">
        <v>45888</v>
      </c>
      <c r="D3594">
        <v>921542</v>
      </c>
      <c r="E3594">
        <v>91</v>
      </c>
      <c r="F3594" s="3" t="s">
        <v>3157</v>
      </c>
      <c r="G3594" s="4">
        <v>4320</v>
      </c>
      <c r="H3594" s="4">
        <v>0</v>
      </c>
      <c r="I3594" s="4">
        <v>-46388227.149999999</v>
      </c>
    </row>
    <row r="3595" spans="1:9" x14ac:dyDescent="0.3">
      <c r="A3595" t="s">
        <v>133</v>
      </c>
      <c r="B3595" s="1">
        <v>45888</v>
      </c>
      <c r="C3595" s="1">
        <v>45888</v>
      </c>
      <c r="D3595">
        <v>921548</v>
      </c>
      <c r="E3595">
        <v>91</v>
      </c>
      <c r="F3595" s="3" t="s">
        <v>3158</v>
      </c>
      <c r="G3595" s="4">
        <v>80864.5</v>
      </c>
      <c r="H3595" s="4">
        <v>0</v>
      </c>
      <c r="I3595" s="4">
        <v>-46307362.649999999</v>
      </c>
    </row>
    <row r="3596" spans="1:9" x14ac:dyDescent="0.3">
      <c r="A3596" t="s">
        <v>133</v>
      </c>
      <c r="B3596" s="1">
        <v>45888</v>
      </c>
      <c r="C3596" s="1">
        <v>45888</v>
      </c>
      <c r="D3596">
        <v>921550</v>
      </c>
      <c r="E3596">
        <v>82</v>
      </c>
      <c r="F3596" s="3" t="s">
        <v>685</v>
      </c>
      <c r="G3596" s="4">
        <v>280000</v>
      </c>
      <c r="H3596" s="4">
        <v>0</v>
      </c>
      <c r="I3596" s="4">
        <v>-46027362.649999999</v>
      </c>
    </row>
    <row r="3597" spans="1:9" x14ac:dyDescent="0.3">
      <c r="A3597" t="s">
        <v>133</v>
      </c>
      <c r="B3597" s="1">
        <v>45888</v>
      </c>
      <c r="C3597" s="1">
        <v>45888</v>
      </c>
      <c r="D3597">
        <v>921554</v>
      </c>
      <c r="E3597">
        <v>11</v>
      </c>
      <c r="F3597" s="3" t="s">
        <v>3159</v>
      </c>
      <c r="G3597" s="4">
        <v>9983.25</v>
      </c>
      <c r="H3597" s="4">
        <v>0</v>
      </c>
      <c r="I3597" s="4">
        <v>-46017379.399999999</v>
      </c>
    </row>
    <row r="3598" spans="1:9" x14ac:dyDescent="0.3">
      <c r="A3598" t="s">
        <v>133</v>
      </c>
      <c r="B3598" s="1">
        <v>45888</v>
      </c>
      <c r="C3598" s="1">
        <v>45888</v>
      </c>
      <c r="D3598">
        <v>921558</v>
      </c>
      <c r="E3598">
        <v>64</v>
      </c>
      <c r="F3598" s="3" t="s">
        <v>3160</v>
      </c>
      <c r="G3598" s="4">
        <v>75000</v>
      </c>
      <c r="H3598" s="4">
        <v>0</v>
      </c>
      <c r="I3598" s="4">
        <v>-45942379.399999999</v>
      </c>
    </row>
    <row r="3599" spans="1:9" x14ac:dyDescent="0.3">
      <c r="A3599" t="s">
        <v>133</v>
      </c>
      <c r="B3599" s="1">
        <v>45888</v>
      </c>
      <c r="C3599" s="1">
        <v>45888</v>
      </c>
      <c r="D3599">
        <v>921560</v>
      </c>
      <c r="E3599">
        <v>72</v>
      </c>
      <c r="F3599" s="3" t="s">
        <v>3161</v>
      </c>
      <c r="G3599" s="4">
        <v>360000</v>
      </c>
      <c r="H3599" s="4">
        <v>0</v>
      </c>
      <c r="I3599" s="4">
        <v>-45582379.399999999</v>
      </c>
    </row>
    <row r="3600" spans="1:9" x14ac:dyDescent="0.3">
      <c r="A3600" t="s">
        <v>133</v>
      </c>
      <c r="B3600" s="1">
        <v>45888</v>
      </c>
      <c r="C3600" s="1">
        <v>45888</v>
      </c>
      <c r="D3600">
        <v>921562</v>
      </c>
      <c r="E3600">
        <v>210</v>
      </c>
      <c r="F3600" s="3" t="s">
        <v>941</v>
      </c>
      <c r="G3600" s="4">
        <v>150150</v>
      </c>
      <c r="H3600" s="4">
        <v>0</v>
      </c>
      <c r="I3600" s="4">
        <v>-45432229.399999999</v>
      </c>
    </row>
    <row r="3601" spans="1:9" x14ac:dyDescent="0.3">
      <c r="A3601" t="s">
        <v>133</v>
      </c>
      <c r="B3601" s="1">
        <v>45888</v>
      </c>
      <c r="C3601" s="1">
        <v>45888</v>
      </c>
      <c r="D3601">
        <v>921568</v>
      </c>
      <c r="E3601">
        <v>11</v>
      </c>
      <c r="F3601" s="3" t="s">
        <v>3162</v>
      </c>
      <c r="G3601" s="4">
        <v>520000</v>
      </c>
      <c r="H3601" s="4">
        <v>0</v>
      </c>
      <c r="I3601" s="4">
        <v>-44912229.399999999</v>
      </c>
    </row>
    <row r="3602" spans="1:9" x14ac:dyDescent="0.3">
      <c r="A3602" t="s">
        <v>133</v>
      </c>
      <c r="B3602" s="1">
        <v>45888</v>
      </c>
      <c r="C3602" s="1">
        <v>45888</v>
      </c>
      <c r="D3602">
        <v>921575</v>
      </c>
      <c r="E3602">
        <v>310</v>
      </c>
      <c r="F3602" s="3" t="s">
        <v>3163</v>
      </c>
      <c r="G3602" s="4">
        <v>64857.75</v>
      </c>
      <c r="H3602" s="4">
        <v>0</v>
      </c>
      <c r="I3602" s="4">
        <v>-44847371.649999999</v>
      </c>
    </row>
    <row r="3603" spans="1:9" x14ac:dyDescent="0.3">
      <c r="A3603" t="s">
        <v>133</v>
      </c>
      <c r="B3603" s="1">
        <v>45888</v>
      </c>
      <c r="C3603" s="1">
        <v>45888</v>
      </c>
      <c r="D3603">
        <v>921577</v>
      </c>
      <c r="E3603">
        <v>351</v>
      </c>
      <c r="F3603" s="3" t="s">
        <v>3164</v>
      </c>
      <c r="G3603" s="4">
        <v>150000</v>
      </c>
      <c r="H3603" s="4">
        <v>0</v>
      </c>
      <c r="I3603" s="4">
        <v>-44697371.649999999</v>
      </c>
    </row>
    <row r="3604" spans="1:9" x14ac:dyDescent="0.3">
      <c r="A3604" t="s">
        <v>133</v>
      </c>
      <c r="B3604" s="1">
        <v>45888</v>
      </c>
      <c r="C3604" s="1">
        <v>45888</v>
      </c>
      <c r="D3604">
        <v>921580</v>
      </c>
      <c r="E3604">
        <v>16</v>
      </c>
      <c r="F3604" s="3" t="s">
        <v>3165</v>
      </c>
      <c r="G3604" s="4">
        <v>250000</v>
      </c>
      <c r="H3604" s="4">
        <v>0</v>
      </c>
      <c r="I3604" s="4">
        <v>-44447371.649999999</v>
      </c>
    </row>
    <row r="3605" spans="1:9" x14ac:dyDescent="0.3">
      <c r="A3605" t="s">
        <v>133</v>
      </c>
      <c r="B3605" s="1">
        <v>45888</v>
      </c>
      <c r="C3605" s="1">
        <v>45888</v>
      </c>
      <c r="D3605">
        <v>921584</v>
      </c>
      <c r="E3605">
        <v>80</v>
      </c>
      <c r="F3605" s="3" t="s">
        <v>3166</v>
      </c>
      <c r="G3605" s="4">
        <v>150000</v>
      </c>
      <c r="H3605" s="4">
        <v>0</v>
      </c>
      <c r="I3605" s="4">
        <v>-44297371.649999999</v>
      </c>
    </row>
    <row r="3606" spans="1:9" x14ac:dyDescent="0.3">
      <c r="A3606" t="s">
        <v>133</v>
      </c>
      <c r="B3606" s="1">
        <v>45888</v>
      </c>
      <c r="C3606" s="1">
        <v>45888</v>
      </c>
      <c r="D3606">
        <v>921585</v>
      </c>
      <c r="E3606">
        <v>27</v>
      </c>
      <c r="F3606" s="3" t="s">
        <v>3167</v>
      </c>
      <c r="G3606" s="4">
        <v>90164.25</v>
      </c>
      <c r="H3606" s="4">
        <v>0</v>
      </c>
      <c r="I3606" s="4">
        <v>-44207207.399999999</v>
      </c>
    </row>
    <row r="3607" spans="1:9" x14ac:dyDescent="0.3">
      <c r="A3607" t="s">
        <v>133</v>
      </c>
      <c r="B3607" s="1">
        <v>45888</v>
      </c>
      <c r="C3607" s="1">
        <v>45888</v>
      </c>
      <c r="D3607">
        <v>921611</v>
      </c>
      <c r="E3607">
        <v>97</v>
      </c>
      <c r="F3607" s="3" t="s">
        <v>3168</v>
      </c>
      <c r="G3607" s="4">
        <v>170000</v>
      </c>
      <c r="H3607" s="4">
        <v>0</v>
      </c>
      <c r="I3607" s="4">
        <v>-44037207.399999999</v>
      </c>
    </row>
    <row r="3608" spans="1:9" x14ac:dyDescent="0.3">
      <c r="A3608" t="s">
        <v>133</v>
      </c>
      <c r="B3608" s="1">
        <v>45888</v>
      </c>
      <c r="C3608" s="1">
        <v>45888</v>
      </c>
      <c r="D3608">
        <v>921619</v>
      </c>
      <c r="E3608">
        <v>56</v>
      </c>
      <c r="F3608" s="3" t="s">
        <v>433</v>
      </c>
      <c r="G3608" s="4">
        <v>250000</v>
      </c>
      <c r="H3608" s="4">
        <v>0</v>
      </c>
      <c r="I3608" s="4">
        <v>-43787207.399999999</v>
      </c>
    </row>
    <row r="3609" spans="1:9" x14ac:dyDescent="0.3">
      <c r="A3609" t="s">
        <v>133</v>
      </c>
      <c r="B3609" s="1">
        <v>45888</v>
      </c>
      <c r="C3609" s="1">
        <v>45888</v>
      </c>
      <c r="D3609">
        <v>921634</v>
      </c>
      <c r="E3609">
        <v>89</v>
      </c>
      <c r="F3609" s="3" t="s">
        <v>3169</v>
      </c>
      <c r="G3609" s="4">
        <v>160000</v>
      </c>
      <c r="H3609" s="4">
        <v>0</v>
      </c>
      <c r="I3609" s="4">
        <v>-43627207.399999999</v>
      </c>
    </row>
    <row r="3610" spans="1:9" x14ac:dyDescent="0.3">
      <c r="A3610" t="s">
        <v>133</v>
      </c>
      <c r="B3610" s="1">
        <v>45888</v>
      </c>
      <c r="C3610" s="1">
        <v>45888</v>
      </c>
      <c r="D3610">
        <v>921650</v>
      </c>
      <c r="E3610">
        <v>55</v>
      </c>
      <c r="F3610" s="3">
        <v>56205500000105</v>
      </c>
      <c r="G3610" s="4">
        <v>106000</v>
      </c>
      <c r="H3610" s="4">
        <v>0</v>
      </c>
      <c r="I3610" s="4">
        <v>-43521207.399999999</v>
      </c>
    </row>
    <row r="3611" spans="1:9" x14ac:dyDescent="0.3">
      <c r="A3611" t="s">
        <v>133</v>
      </c>
      <c r="B3611" s="1">
        <v>45888</v>
      </c>
      <c r="C3611" s="1">
        <v>45888</v>
      </c>
      <c r="D3611">
        <v>921656</v>
      </c>
      <c r="E3611">
        <v>98</v>
      </c>
      <c r="F3611" s="3" t="s">
        <v>3170</v>
      </c>
      <c r="G3611" s="4">
        <v>37930.5</v>
      </c>
      <c r="H3611" s="4">
        <v>0</v>
      </c>
      <c r="I3611" s="4">
        <v>-43483276.899999999</v>
      </c>
    </row>
    <row r="3612" spans="1:9" x14ac:dyDescent="0.3">
      <c r="A3612" t="s">
        <v>133</v>
      </c>
      <c r="B3612" s="1">
        <v>45888</v>
      </c>
      <c r="C3612" s="1">
        <v>45888</v>
      </c>
      <c r="D3612">
        <v>921657</v>
      </c>
      <c r="E3612">
        <v>98</v>
      </c>
      <c r="F3612" s="3" t="s">
        <v>3171</v>
      </c>
      <c r="G3612" s="4">
        <v>110035</v>
      </c>
      <c r="H3612" s="4">
        <v>0</v>
      </c>
      <c r="I3612" s="4">
        <v>-43373241.899999999</v>
      </c>
    </row>
    <row r="3613" spans="1:9" x14ac:dyDescent="0.3">
      <c r="A3613" t="s">
        <v>133</v>
      </c>
      <c r="B3613" s="1">
        <v>45888</v>
      </c>
      <c r="C3613" s="1">
        <v>45888</v>
      </c>
      <c r="D3613">
        <v>921658</v>
      </c>
      <c r="E3613">
        <v>23</v>
      </c>
      <c r="F3613" s="3" t="s">
        <v>3172</v>
      </c>
      <c r="G3613" s="4">
        <v>410000</v>
      </c>
      <c r="H3613" s="4">
        <v>0</v>
      </c>
      <c r="I3613" s="4">
        <v>-42963241.899999999</v>
      </c>
    </row>
    <row r="3614" spans="1:9" x14ac:dyDescent="0.3">
      <c r="A3614" t="s">
        <v>133</v>
      </c>
      <c r="B3614" s="1">
        <v>45888</v>
      </c>
      <c r="C3614" s="1">
        <v>45888</v>
      </c>
      <c r="D3614">
        <v>921659</v>
      </c>
      <c r="E3614">
        <v>53</v>
      </c>
      <c r="F3614" s="3" t="s">
        <v>3173</v>
      </c>
      <c r="G3614" s="4">
        <v>160000</v>
      </c>
      <c r="H3614" s="4">
        <v>0</v>
      </c>
      <c r="I3614" s="4">
        <v>-42803241.899999999</v>
      </c>
    </row>
    <row r="3615" spans="1:9" x14ac:dyDescent="0.3">
      <c r="A3615" t="s">
        <v>133</v>
      </c>
      <c r="B3615" s="1">
        <v>45888</v>
      </c>
      <c r="C3615" s="1">
        <v>45888</v>
      </c>
      <c r="D3615">
        <v>921669</v>
      </c>
      <c r="E3615">
        <v>77</v>
      </c>
      <c r="F3615" s="3" t="s">
        <v>420</v>
      </c>
      <c r="G3615" s="4">
        <v>250000</v>
      </c>
      <c r="H3615" s="4">
        <v>0</v>
      </c>
      <c r="I3615" s="4">
        <v>-42553241.899999999</v>
      </c>
    </row>
    <row r="3616" spans="1:9" x14ac:dyDescent="0.3">
      <c r="A3616" t="s">
        <v>133</v>
      </c>
      <c r="B3616" s="1">
        <v>45888</v>
      </c>
      <c r="C3616" s="1">
        <v>45888</v>
      </c>
      <c r="D3616">
        <v>921671</v>
      </c>
      <c r="E3616">
        <v>351</v>
      </c>
      <c r="F3616" s="3" t="s">
        <v>3174</v>
      </c>
      <c r="G3616" s="4">
        <v>57587</v>
      </c>
      <c r="H3616" s="4">
        <v>0</v>
      </c>
      <c r="I3616" s="4">
        <v>-42495654.899999999</v>
      </c>
    </row>
    <row r="3617" spans="1:9" x14ac:dyDescent="0.3">
      <c r="A3617" t="s">
        <v>133</v>
      </c>
      <c r="B3617" s="1">
        <v>45888</v>
      </c>
      <c r="C3617" s="1">
        <v>45888</v>
      </c>
      <c r="D3617">
        <v>921672</v>
      </c>
      <c r="E3617">
        <v>88</v>
      </c>
      <c r="F3617" s="3" t="s">
        <v>3175</v>
      </c>
      <c r="G3617" s="4">
        <v>10482.25</v>
      </c>
      <c r="H3617" s="4">
        <v>0</v>
      </c>
      <c r="I3617" s="4">
        <v>-42485172.649999999</v>
      </c>
    </row>
    <row r="3618" spans="1:9" x14ac:dyDescent="0.3">
      <c r="A3618" t="s">
        <v>133</v>
      </c>
      <c r="B3618" s="1">
        <v>45888</v>
      </c>
      <c r="C3618" s="1">
        <v>45888</v>
      </c>
      <c r="D3618">
        <v>921673</v>
      </c>
      <c r="E3618">
        <v>98</v>
      </c>
      <c r="F3618" s="3" t="s">
        <v>3176</v>
      </c>
      <c r="G3618" s="4">
        <v>19897.5</v>
      </c>
      <c r="H3618" s="4">
        <v>0</v>
      </c>
      <c r="I3618" s="4">
        <v>-42465275.149999999</v>
      </c>
    </row>
    <row r="3619" spans="1:9" x14ac:dyDescent="0.3">
      <c r="A3619" t="s">
        <v>133</v>
      </c>
      <c r="B3619" s="1">
        <v>45888</v>
      </c>
      <c r="C3619" s="1">
        <v>45888</v>
      </c>
      <c r="D3619">
        <v>921675</v>
      </c>
      <c r="E3619">
        <v>53</v>
      </c>
      <c r="F3619" s="3" t="s">
        <v>3177</v>
      </c>
      <c r="G3619" s="4">
        <v>262.5</v>
      </c>
      <c r="H3619" s="4">
        <v>0</v>
      </c>
      <c r="I3619" s="4">
        <v>-42465012.649999999</v>
      </c>
    </row>
    <row r="3620" spans="1:9" x14ac:dyDescent="0.3">
      <c r="A3620" t="s">
        <v>133</v>
      </c>
      <c r="B3620" s="1">
        <v>45888</v>
      </c>
      <c r="C3620" s="1">
        <v>45888</v>
      </c>
      <c r="D3620">
        <v>921677</v>
      </c>
      <c r="E3620">
        <v>84</v>
      </c>
      <c r="F3620" s="3" t="s">
        <v>3178</v>
      </c>
      <c r="G3620" s="4">
        <v>225000</v>
      </c>
      <c r="H3620" s="4">
        <v>0</v>
      </c>
      <c r="I3620" s="4">
        <v>-42240012.649999999</v>
      </c>
    </row>
    <row r="3621" spans="1:9" x14ac:dyDescent="0.3">
      <c r="A3621" t="s">
        <v>133</v>
      </c>
      <c r="B3621" s="1">
        <v>45888</v>
      </c>
      <c r="C3621" s="1">
        <v>45888</v>
      </c>
      <c r="D3621">
        <v>921682</v>
      </c>
      <c r="E3621">
        <v>351</v>
      </c>
      <c r="F3621" s="3" t="s">
        <v>3179</v>
      </c>
      <c r="G3621" s="4">
        <v>537952.5</v>
      </c>
      <c r="H3621" s="4">
        <v>0</v>
      </c>
      <c r="I3621" s="4">
        <v>-41702060.149999999</v>
      </c>
    </row>
    <row r="3622" spans="1:9" x14ac:dyDescent="0.3">
      <c r="A3622" t="s">
        <v>133</v>
      </c>
      <c r="B3622" s="1">
        <v>45888</v>
      </c>
      <c r="C3622" s="1">
        <v>45888</v>
      </c>
      <c r="D3622">
        <v>921684</v>
      </c>
      <c r="E3622">
        <v>223</v>
      </c>
      <c r="F3622" s="3" t="s">
        <v>3180</v>
      </c>
      <c r="G3622" s="4">
        <v>17759.25</v>
      </c>
      <c r="H3622" s="4">
        <v>0</v>
      </c>
      <c r="I3622" s="4">
        <v>-41684300.899999999</v>
      </c>
    </row>
    <row r="3623" spans="1:9" x14ac:dyDescent="0.3">
      <c r="A3623" t="s">
        <v>133</v>
      </c>
      <c r="B3623" s="1">
        <v>45888</v>
      </c>
      <c r="C3623" s="1">
        <v>45888</v>
      </c>
      <c r="D3623">
        <v>921686</v>
      </c>
      <c r="E3623">
        <v>88</v>
      </c>
      <c r="F3623" s="3" t="s">
        <v>3181</v>
      </c>
      <c r="G3623" s="4">
        <v>86.5</v>
      </c>
      <c r="H3623" s="4">
        <v>0</v>
      </c>
      <c r="I3623" s="4">
        <v>-41684214.399999999</v>
      </c>
    </row>
    <row r="3624" spans="1:9" x14ac:dyDescent="0.3">
      <c r="A3624" t="s">
        <v>133</v>
      </c>
      <c r="B3624" s="1">
        <v>45888</v>
      </c>
      <c r="C3624" s="1">
        <v>45888</v>
      </c>
      <c r="D3624">
        <v>921687</v>
      </c>
      <c r="E3624">
        <v>88</v>
      </c>
      <c r="F3624" s="3" t="s">
        <v>3182</v>
      </c>
      <c r="G3624" s="4">
        <v>2706</v>
      </c>
      <c r="H3624" s="4">
        <v>0</v>
      </c>
      <c r="I3624" s="4">
        <v>-41681508.399999999</v>
      </c>
    </row>
    <row r="3625" spans="1:9" x14ac:dyDescent="0.3">
      <c r="A3625" t="s">
        <v>133</v>
      </c>
      <c r="B3625" s="1">
        <v>45888</v>
      </c>
      <c r="C3625" s="1">
        <v>45888</v>
      </c>
      <c r="D3625">
        <v>921690</v>
      </c>
      <c r="E3625">
        <v>59</v>
      </c>
      <c r="F3625" s="3" t="s">
        <v>3183</v>
      </c>
      <c r="G3625" s="4">
        <v>64943</v>
      </c>
      <c r="H3625" s="4">
        <v>0</v>
      </c>
      <c r="I3625" s="4">
        <v>-41616565.399999999</v>
      </c>
    </row>
    <row r="3626" spans="1:9" x14ac:dyDescent="0.3">
      <c r="A3626" t="s">
        <v>133</v>
      </c>
      <c r="B3626" s="1">
        <v>45888</v>
      </c>
      <c r="C3626" s="1">
        <v>45888</v>
      </c>
      <c r="D3626">
        <v>921699</v>
      </c>
      <c r="E3626">
        <v>28</v>
      </c>
      <c r="F3626" s="3">
        <v>51099816099</v>
      </c>
      <c r="G3626" s="4">
        <v>35952</v>
      </c>
      <c r="H3626" s="4">
        <v>0</v>
      </c>
      <c r="I3626" s="4">
        <v>-41580613.399999999</v>
      </c>
    </row>
    <row r="3627" spans="1:9" x14ac:dyDescent="0.3">
      <c r="A3627" t="s">
        <v>133</v>
      </c>
      <c r="B3627" s="1">
        <v>45888</v>
      </c>
      <c r="C3627" s="1">
        <v>45888</v>
      </c>
      <c r="D3627">
        <v>921700</v>
      </c>
      <c r="E3627">
        <v>28</v>
      </c>
      <c r="F3627" s="3">
        <v>51100457110</v>
      </c>
      <c r="G3627" s="4">
        <v>24147.5</v>
      </c>
      <c r="H3627" s="4">
        <v>0</v>
      </c>
      <c r="I3627" s="4">
        <v>-41556465.899999999</v>
      </c>
    </row>
    <row r="3628" spans="1:9" x14ac:dyDescent="0.3">
      <c r="A3628" t="s">
        <v>133</v>
      </c>
      <c r="B3628" s="1">
        <v>45888</v>
      </c>
      <c r="C3628" s="1">
        <v>45888</v>
      </c>
      <c r="D3628">
        <v>921713</v>
      </c>
      <c r="E3628">
        <v>44</v>
      </c>
      <c r="F3628" s="3" t="s">
        <v>3184</v>
      </c>
      <c r="G3628" s="4">
        <v>75594</v>
      </c>
      <c r="H3628" s="4">
        <v>0</v>
      </c>
      <c r="I3628" s="4">
        <v>-41480871.899999999</v>
      </c>
    </row>
    <row r="3629" spans="1:9" x14ac:dyDescent="0.3">
      <c r="A3629" t="s">
        <v>133</v>
      </c>
      <c r="B3629" s="1">
        <v>45888</v>
      </c>
      <c r="C3629" s="1">
        <v>45888</v>
      </c>
      <c r="D3629">
        <v>921714</v>
      </c>
      <c r="E3629">
        <v>28</v>
      </c>
      <c r="F3629" s="3">
        <v>51101049973</v>
      </c>
      <c r="G3629" s="4">
        <v>13526.75</v>
      </c>
      <c r="H3629" s="4">
        <v>0</v>
      </c>
      <c r="I3629" s="4">
        <v>-41467345.149999999</v>
      </c>
    </row>
    <row r="3630" spans="1:9" x14ac:dyDescent="0.3">
      <c r="A3630" t="s">
        <v>133</v>
      </c>
      <c r="B3630" s="1">
        <v>45888</v>
      </c>
      <c r="C3630" s="1">
        <v>45888</v>
      </c>
      <c r="D3630">
        <v>921717</v>
      </c>
      <c r="E3630">
        <v>23</v>
      </c>
      <c r="F3630" s="3" t="s">
        <v>3185</v>
      </c>
      <c r="G3630" s="4">
        <v>15858</v>
      </c>
      <c r="H3630" s="4">
        <v>0</v>
      </c>
      <c r="I3630" s="4">
        <v>-41451487.149999999</v>
      </c>
    </row>
    <row r="3631" spans="1:9" x14ac:dyDescent="0.3">
      <c r="A3631" t="s">
        <v>133</v>
      </c>
      <c r="B3631" s="1">
        <v>45888</v>
      </c>
      <c r="C3631" s="1">
        <v>45888</v>
      </c>
      <c r="D3631">
        <v>921720</v>
      </c>
      <c r="E3631">
        <v>28</v>
      </c>
      <c r="F3631" s="3">
        <v>51079140152</v>
      </c>
      <c r="G3631" s="4">
        <v>100000</v>
      </c>
      <c r="H3631" s="4">
        <v>0</v>
      </c>
      <c r="I3631" s="4">
        <v>-41351487.149999999</v>
      </c>
    </row>
    <row r="3632" spans="1:9" x14ac:dyDescent="0.3">
      <c r="A3632" t="s">
        <v>1</v>
      </c>
      <c r="B3632" s="1">
        <v>45880</v>
      </c>
      <c r="C3632" s="1">
        <v>45889</v>
      </c>
      <c r="D3632">
        <v>102854</v>
      </c>
      <c r="E3632">
        <v>100</v>
      </c>
      <c r="F3632" s="3" t="s">
        <v>3186</v>
      </c>
      <c r="G3632" s="4">
        <v>1840</v>
      </c>
      <c r="I3632" s="4">
        <v>-41349647.149999999</v>
      </c>
    </row>
    <row r="3633" spans="1:9" x14ac:dyDescent="0.3">
      <c r="A3633" t="s">
        <v>1</v>
      </c>
      <c r="B3633" s="1">
        <v>45888</v>
      </c>
      <c r="C3633" s="1">
        <v>45889</v>
      </c>
      <c r="D3633">
        <v>102895</v>
      </c>
      <c r="E3633">
        <v>100</v>
      </c>
      <c r="F3633" s="3" t="s">
        <v>3187</v>
      </c>
      <c r="G3633" s="4">
        <v>286.14999999999998</v>
      </c>
      <c r="I3633" s="4">
        <v>-41349361</v>
      </c>
    </row>
    <row r="3634" spans="1:9" x14ac:dyDescent="0.3">
      <c r="A3634" t="s">
        <v>1</v>
      </c>
      <c r="B3634" s="1">
        <v>45888</v>
      </c>
      <c r="C3634" s="1">
        <v>45889</v>
      </c>
      <c r="D3634">
        <v>102907</v>
      </c>
      <c r="E3634">
        <v>100</v>
      </c>
      <c r="F3634" s="3" t="s">
        <v>3188</v>
      </c>
      <c r="G3634" s="4">
        <v>12028.35</v>
      </c>
      <c r="I3634" s="4">
        <v>-41337332.649999999</v>
      </c>
    </row>
    <row r="3635" spans="1:9" x14ac:dyDescent="0.3">
      <c r="A3635" t="s">
        <v>1</v>
      </c>
      <c r="B3635" s="1">
        <v>45888</v>
      </c>
      <c r="C3635" s="1">
        <v>45889</v>
      </c>
      <c r="D3635">
        <v>102922</v>
      </c>
      <c r="E3635">
        <v>100</v>
      </c>
      <c r="F3635" s="3" t="s">
        <v>3189</v>
      </c>
      <c r="G3635" s="4">
        <v>10500</v>
      </c>
      <c r="I3635" s="4">
        <v>-41326832.649999999</v>
      </c>
    </row>
    <row r="3636" spans="1:9" x14ac:dyDescent="0.3">
      <c r="A3636" t="s">
        <v>1</v>
      </c>
      <c r="B3636" s="1">
        <v>45888</v>
      </c>
      <c r="C3636" s="1">
        <v>45889</v>
      </c>
      <c r="D3636">
        <v>102928</v>
      </c>
      <c r="E3636">
        <v>100</v>
      </c>
      <c r="F3636" s="3" t="s">
        <v>2532</v>
      </c>
      <c r="G3636" s="4">
        <v>3702.75</v>
      </c>
      <c r="I3636" s="4">
        <v>-41323129.899999999</v>
      </c>
    </row>
    <row r="3637" spans="1:9" x14ac:dyDescent="0.3">
      <c r="A3637" t="s">
        <v>1</v>
      </c>
      <c r="B3637" s="1">
        <v>45888</v>
      </c>
      <c r="C3637" s="1">
        <v>45889</v>
      </c>
      <c r="D3637">
        <v>102930</v>
      </c>
      <c r="E3637">
        <v>100</v>
      </c>
      <c r="F3637" s="3" t="s">
        <v>3190</v>
      </c>
      <c r="G3637" s="4">
        <v>23035</v>
      </c>
      <c r="I3637" s="4">
        <v>-41300094.899999999</v>
      </c>
    </row>
    <row r="3638" spans="1:9" x14ac:dyDescent="0.3">
      <c r="A3638" t="s">
        <v>1</v>
      </c>
      <c r="B3638" s="1">
        <v>45888</v>
      </c>
      <c r="C3638" s="1">
        <v>45889</v>
      </c>
      <c r="D3638">
        <v>102943</v>
      </c>
      <c r="E3638">
        <v>100</v>
      </c>
      <c r="F3638" s="3" t="s">
        <v>3191</v>
      </c>
      <c r="G3638" s="4">
        <v>163</v>
      </c>
      <c r="I3638" s="4">
        <v>-41299931.899999999</v>
      </c>
    </row>
    <row r="3639" spans="1:9" x14ac:dyDescent="0.3">
      <c r="A3639" t="s">
        <v>1</v>
      </c>
      <c r="B3639" s="1">
        <v>45888</v>
      </c>
      <c r="C3639" s="1">
        <v>45889</v>
      </c>
      <c r="D3639">
        <v>102944</v>
      </c>
      <c r="E3639">
        <v>100</v>
      </c>
      <c r="F3639" s="3" t="s">
        <v>3192</v>
      </c>
      <c r="G3639" s="4">
        <v>100</v>
      </c>
      <c r="I3639" s="4">
        <v>-41299831.899999999</v>
      </c>
    </row>
    <row r="3640" spans="1:9" x14ac:dyDescent="0.3">
      <c r="A3640" t="s">
        <v>1</v>
      </c>
      <c r="B3640" s="1">
        <v>45888</v>
      </c>
      <c r="C3640" s="1">
        <v>45889</v>
      </c>
      <c r="D3640">
        <v>102947</v>
      </c>
      <c r="E3640">
        <v>100</v>
      </c>
      <c r="F3640" s="3" t="s">
        <v>3193</v>
      </c>
      <c r="G3640" s="4">
        <v>3000</v>
      </c>
      <c r="I3640" s="4">
        <v>-41296831.899999999</v>
      </c>
    </row>
    <row r="3641" spans="1:9" x14ac:dyDescent="0.3">
      <c r="A3641" t="s">
        <v>1</v>
      </c>
      <c r="B3641" s="1">
        <v>45889</v>
      </c>
      <c r="C3641" s="1">
        <v>45889</v>
      </c>
      <c r="D3641">
        <v>102952</v>
      </c>
      <c r="E3641">
        <v>100</v>
      </c>
      <c r="F3641" s="3" t="s">
        <v>3194</v>
      </c>
      <c r="G3641" s="4">
        <v>14008.95</v>
      </c>
      <c r="I3641" s="4">
        <v>-41282822.950000003</v>
      </c>
    </row>
    <row r="3642" spans="1:9" x14ac:dyDescent="0.3">
      <c r="A3642" t="s">
        <v>1</v>
      </c>
      <c r="B3642" s="1">
        <v>45889</v>
      </c>
      <c r="C3642" s="1">
        <v>45889</v>
      </c>
      <c r="D3642">
        <v>102961</v>
      </c>
      <c r="E3642">
        <v>100</v>
      </c>
      <c r="F3642" s="3" t="s">
        <v>3195</v>
      </c>
      <c r="G3642" s="4">
        <v>8000</v>
      </c>
      <c r="I3642" s="4">
        <v>-41274822.950000003</v>
      </c>
    </row>
    <row r="3643" spans="1:9" x14ac:dyDescent="0.3">
      <c r="A3643" t="s">
        <v>1</v>
      </c>
      <c r="B3643" s="1">
        <v>45889</v>
      </c>
      <c r="C3643" s="1">
        <v>45889</v>
      </c>
      <c r="D3643">
        <v>102967</v>
      </c>
      <c r="E3643">
        <v>100</v>
      </c>
      <c r="F3643" s="3" t="s">
        <v>3196</v>
      </c>
      <c r="G3643" s="4">
        <v>13600</v>
      </c>
      <c r="I3643" s="4">
        <v>-41261222.950000003</v>
      </c>
    </row>
    <row r="3644" spans="1:9" x14ac:dyDescent="0.3">
      <c r="A3644" t="s">
        <v>1</v>
      </c>
      <c r="B3644" s="1">
        <v>45889</v>
      </c>
      <c r="C3644" s="1">
        <v>45889</v>
      </c>
      <c r="D3644">
        <v>102969</v>
      </c>
      <c r="E3644">
        <v>100</v>
      </c>
      <c r="F3644" s="3" t="s">
        <v>1204</v>
      </c>
      <c r="G3644" s="4">
        <v>1408.4</v>
      </c>
      <c r="I3644" s="4">
        <v>-41259814.549999997</v>
      </c>
    </row>
    <row r="3645" spans="1:9" x14ac:dyDescent="0.3">
      <c r="A3645" t="s">
        <v>1</v>
      </c>
      <c r="B3645" s="1">
        <v>45889</v>
      </c>
      <c r="C3645" s="1">
        <v>45889</v>
      </c>
      <c r="D3645">
        <v>102972</v>
      </c>
      <c r="E3645">
        <v>100</v>
      </c>
      <c r="F3645" s="3" t="s">
        <v>3197</v>
      </c>
      <c r="G3645" s="4">
        <v>143734.65</v>
      </c>
      <c r="I3645" s="4">
        <v>-41116079.899999999</v>
      </c>
    </row>
    <row r="3646" spans="1:9" x14ac:dyDescent="0.3">
      <c r="A3646" t="s">
        <v>1</v>
      </c>
      <c r="B3646" s="1">
        <v>45889</v>
      </c>
      <c r="C3646" s="1">
        <v>45889</v>
      </c>
      <c r="D3646">
        <v>102973</v>
      </c>
      <c r="E3646">
        <v>100</v>
      </c>
      <c r="F3646" s="3" t="s">
        <v>2368</v>
      </c>
      <c r="G3646" s="4">
        <v>40966.65</v>
      </c>
      <c r="I3646" s="4">
        <v>-41075113.25</v>
      </c>
    </row>
    <row r="3647" spans="1:9" x14ac:dyDescent="0.3">
      <c r="A3647" t="s">
        <v>1</v>
      </c>
      <c r="B3647" s="1">
        <v>45889</v>
      </c>
      <c r="C3647" s="1">
        <v>45889</v>
      </c>
      <c r="D3647">
        <v>102974</v>
      </c>
      <c r="E3647">
        <v>100</v>
      </c>
      <c r="F3647" s="3" t="s">
        <v>3031</v>
      </c>
      <c r="G3647" s="4">
        <v>69465.95</v>
      </c>
      <c r="I3647" s="4">
        <v>-41005647.299999997</v>
      </c>
    </row>
    <row r="3648" spans="1:9" x14ac:dyDescent="0.3">
      <c r="A3648" t="s">
        <v>1</v>
      </c>
      <c r="B3648" s="1">
        <v>45889</v>
      </c>
      <c r="C3648" s="1">
        <v>45889</v>
      </c>
      <c r="D3648">
        <v>102975</v>
      </c>
      <c r="E3648">
        <v>100</v>
      </c>
      <c r="F3648" s="3" t="s">
        <v>3198</v>
      </c>
      <c r="G3648" s="4">
        <v>211406.9</v>
      </c>
      <c r="I3648" s="4">
        <v>-40794240.399999999</v>
      </c>
    </row>
    <row r="3649" spans="1:9" x14ac:dyDescent="0.3">
      <c r="A3649" t="s">
        <v>1</v>
      </c>
      <c r="B3649" s="1">
        <v>45889</v>
      </c>
      <c r="C3649" s="1">
        <v>45889</v>
      </c>
      <c r="D3649">
        <v>102976</v>
      </c>
      <c r="E3649">
        <v>100</v>
      </c>
      <c r="F3649" s="3" t="s">
        <v>3199</v>
      </c>
      <c r="G3649" s="4">
        <v>13813.05</v>
      </c>
      <c r="I3649" s="4">
        <v>-40780427.350000001</v>
      </c>
    </row>
    <row r="3650" spans="1:9" x14ac:dyDescent="0.3">
      <c r="A3650" t="s">
        <v>1</v>
      </c>
      <c r="B3650" s="1">
        <v>45889</v>
      </c>
      <c r="C3650" s="1">
        <v>45889</v>
      </c>
      <c r="D3650">
        <v>102977</v>
      </c>
      <c r="E3650">
        <v>100</v>
      </c>
      <c r="F3650" s="3" t="s">
        <v>3200</v>
      </c>
      <c r="G3650" s="4">
        <v>46200.25</v>
      </c>
      <c r="I3650" s="4">
        <v>-40734227.100000001</v>
      </c>
    </row>
    <row r="3651" spans="1:9" x14ac:dyDescent="0.3">
      <c r="A3651" t="s">
        <v>1</v>
      </c>
      <c r="B3651" s="1">
        <v>45889</v>
      </c>
      <c r="C3651" s="1">
        <v>45889</v>
      </c>
      <c r="D3651">
        <v>102979</v>
      </c>
      <c r="E3651">
        <v>100</v>
      </c>
      <c r="F3651" s="3" t="s">
        <v>3201</v>
      </c>
      <c r="G3651" s="4">
        <v>12083</v>
      </c>
      <c r="I3651" s="4">
        <v>-40722144.100000001</v>
      </c>
    </row>
    <row r="3652" spans="1:9" x14ac:dyDescent="0.3">
      <c r="A3652" t="s">
        <v>1</v>
      </c>
      <c r="B3652" s="1">
        <v>45889</v>
      </c>
      <c r="C3652" s="1">
        <v>45889</v>
      </c>
      <c r="D3652">
        <v>102980</v>
      </c>
      <c r="E3652">
        <v>100</v>
      </c>
      <c r="F3652" s="3" t="s">
        <v>3202</v>
      </c>
      <c r="G3652" s="4">
        <v>20052.5</v>
      </c>
      <c r="I3652" s="4">
        <v>-40702091.600000001</v>
      </c>
    </row>
    <row r="3653" spans="1:9" x14ac:dyDescent="0.3">
      <c r="A3653" t="s">
        <v>1</v>
      </c>
      <c r="B3653" s="1">
        <v>45889</v>
      </c>
      <c r="C3653" s="1">
        <v>45889</v>
      </c>
      <c r="D3653">
        <v>102981</v>
      </c>
      <c r="E3653">
        <v>100</v>
      </c>
      <c r="F3653" s="3" t="s">
        <v>3203</v>
      </c>
      <c r="G3653" s="4">
        <v>2010.5</v>
      </c>
      <c r="I3653" s="4">
        <v>-40700081.100000001</v>
      </c>
    </row>
    <row r="3654" spans="1:9" x14ac:dyDescent="0.3">
      <c r="A3654" t="s">
        <v>75</v>
      </c>
      <c r="B3654" s="1">
        <v>45884</v>
      </c>
      <c r="C3654" s="1">
        <v>45889</v>
      </c>
      <c r="D3654">
        <v>143720</v>
      </c>
      <c r="E3654">
        <v>79</v>
      </c>
      <c r="F3654" s="3" t="s">
        <v>3204</v>
      </c>
      <c r="G3654" s="4">
        <v>26922.5</v>
      </c>
      <c r="H3654" s="4">
        <v>0</v>
      </c>
      <c r="I3654" s="4">
        <v>-40673158.600000001</v>
      </c>
    </row>
    <row r="3655" spans="1:9" x14ac:dyDescent="0.3">
      <c r="A3655" t="s">
        <v>75</v>
      </c>
      <c r="B3655" s="1">
        <v>45889</v>
      </c>
      <c r="C3655" s="1">
        <v>45889</v>
      </c>
      <c r="D3655">
        <v>143722</v>
      </c>
      <c r="E3655">
        <v>61</v>
      </c>
      <c r="F3655" s="3" t="s">
        <v>3205</v>
      </c>
      <c r="G3655" s="4">
        <v>26994</v>
      </c>
      <c r="H3655" s="4">
        <v>0</v>
      </c>
      <c r="I3655" s="4">
        <v>-40646164.600000001</v>
      </c>
    </row>
    <row r="3656" spans="1:9" x14ac:dyDescent="0.3">
      <c r="A3656" t="s">
        <v>75</v>
      </c>
      <c r="B3656" s="1">
        <v>45888</v>
      </c>
      <c r="C3656" s="1">
        <v>45889</v>
      </c>
      <c r="D3656">
        <v>143724</v>
      </c>
      <c r="E3656">
        <v>70</v>
      </c>
      <c r="F3656" s="3" t="s">
        <v>3206</v>
      </c>
      <c r="G3656" s="4">
        <v>16775</v>
      </c>
      <c r="H3656" s="4">
        <v>0</v>
      </c>
      <c r="I3656" s="4">
        <v>-40629389.600000001</v>
      </c>
    </row>
    <row r="3657" spans="1:9" x14ac:dyDescent="0.3">
      <c r="A3657" t="s">
        <v>75</v>
      </c>
      <c r="B3657" s="1">
        <v>45888</v>
      </c>
      <c r="C3657" s="1">
        <v>45889</v>
      </c>
      <c r="D3657">
        <v>143725</v>
      </c>
      <c r="E3657">
        <v>44</v>
      </c>
      <c r="F3657" s="3" t="s">
        <v>3207</v>
      </c>
      <c r="G3657" s="4">
        <v>40079.75</v>
      </c>
      <c r="H3657" s="4">
        <v>0</v>
      </c>
      <c r="I3657" s="4">
        <v>-40589309.850000001</v>
      </c>
    </row>
    <row r="3658" spans="1:9" x14ac:dyDescent="0.3">
      <c r="A3658" t="s">
        <v>75</v>
      </c>
      <c r="B3658" s="1">
        <v>45888</v>
      </c>
      <c r="C3658" s="1">
        <v>45889</v>
      </c>
      <c r="D3658">
        <v>143726</v>
      </c>
      <c r="E3658">
        <v>70</v>
      </c>
      <c r="F3658" s="3" t="s">
        <v>3208</v>
      </c>
      <c r="G3658" s="4">
        <v>10000</v>
      </c>
      <c r="H3658" s="4">
        <v>0</v>
      </c>
      <c r="I3658" s="4">
        <v>-40579309.850000001</v>
      </c>
    </row>
    <row r="3659" spans="1:9" x14ac:dyDescent="0.3">
      <c r="A3659" t="s">
        <v>75</v>
      </c>
      <c r="B3659" s="1">
        <v>45888</v>
      </c>
      <c r="C3659" s="1">
        <v>45889</v>
      </c>
      <c r="D3659">
        <v>143727</v>
      </c>
      <c r="E3659">
        <v>70</v>
      </c>
      <c r="F3659" s="3" t="s">
        <v>3209</v>
      </c>
      <c r="G3659" s="4">
        <v>387060.75</v>
      </c>
      <c r="H3659" s="4">
        <v>0</v>
      </c>
      <c r="I3659" s="4">
        <v>-40192249.100000001</v>
      </c>
    </row>
    <row r="3660" spans="1:9" x14ac:dyDescent="0.3">
      <c r="A3660" t="s">
        <v>75</v>
      </c>
      <c r="B3660" s="1">
        <v>45889</v>
      </c>
      <c r="C3660" s="1">
        <v>45889</v>
      </c>
      <c r="D3660">
        <v>143728</v>
      </c>
      <c r="E3660">
        <v>14</v>
      </c>
      <c r="F3660" s="3" t="s">
        <v>3210</v>
      </c>
      <c r="G3660" s="4">
        <v>72000</v>
      </c>
      <c r="H3660" s="4">
        <v>0</v>
      </c>
      <c r="I3660" s="4">
        <v>-40120249.100000001</v>
      </c>
    </row>
    <row r="3661" spans="1:9" x14ac:dyDescent="0.3">
      <c r="A3661" t="s">
        <v>75</v>
      </c>
      <c r="B3661" s="1">
        <v>45889</v>
      </c>
      <c r="C3661" s="1">
        <v>45889</v>
      </c>
      <c r="D3661">
        <v>143729</v>
      </c>
      <c r="E3661">
        <v>17</v>
      </c>
      <c r="F3661" s="3" t="s">
        <v>3211</v>
      </c>
      <c r="G3661" s="4">
        <v>13732.5</v>
      </c>
      <c r="H3661" s="4">
        <v>0</v>
      </c>
      <c r="I3661" s="4">
        <v>-40106516.600000001</v>
      </c>
    </row>
    <row r="3662" spans="1:9" x14ac:dyDescent="0.3">
      <c r="A3662" t="s">
        <v>75</v>
      </c>
      <c r="B3662" s="1">
        <v>45889</v>
      </c>
      <c r="C3662" s="1">
        <v>45889</v>
      </c>
      <c r="D3662">
        <v>143730</v>
      </c>
      <c r="E3662">
        <v>14</v>
      </c>
      <c r="F3662" s="3" t="s">
        <v>3212</v>
      </c>
      <c r="G3662" s="4">
        <v>40580</v>
      </c>
      <c r="H3662" s="4">
        <v>0</v>
      </c>
      <c r="I3662" s="4">
        <v>-40065936.600000001</v>
      </c>
    </row>
    <row r="3663" spans="1:9" x14ac:dyDescent="0.3">
      <c r="A3663" t="s">
        <v>75</v>
      </c>
      <c r="B3663" s="1">
        <v>45889</v>
      </c>
      <c r="C3663" s="1">
        <v>45889</v>
      </c>
      <c r="D3663">
        <v>143733</v>
      </c>
      <c r="E3663">
        <v>14</v>
      </c>
      <c r="F3663" s="3" t="s">
        <v>3213</v>
      </c>
      <c r="G3663" s="4">
        <v>46090</v>
      </c>
      <c r="H3663" s="4">
        <v>0</v>
      </c>
      <c r="I3663" s="4">
        <v>-40019846.600000001</v>
      </c>
    </row>
    <row r="3664" spans="1:9" x14ac:dyDescent="0.3">
      <c r="A3664" t="s">
        <v>75</v>
      </c>
      <c r="B3664" s="1">
        <v>45887</v>
      </c>
      <c r="C3664" s="1">
        <v>45889</v>
      </c>
      <c r="D3664">
        <v>143736</v>
      </c>
      <c r="E3664">
        <v>76</v>
      </c>
      <c r="F3664" s="3" t="s">
        <v>3214</v>
      </c>
      <c r="G3664" s="4">
        <v>90794.75</v>
      </c>
      <c r="H3664" s="4">
        <v>0</v>
      </c>
      <c r="I3664" s="4">
        <v>-39929051.850000001</v>
      </c>
    </row>
    <row r="3665" spans="1:9" x14ac:dyDescent="0.3">
      <c r="A3665" t="s">
        <v>75</v>
      </c>
      <c r="B3665" s="1">
        <v>45888</v>
      </c>
      <c r="C3665" s="1">
        <v>45889</v>
      </c>
      <c r="D3665">
        <v>143737</v>
      </c>
      <c r="E3665">
        <v>14</v>
      </c>
      <c r="F3665" s="3" t="s">
        <v>3215</v>
      </c>
      <c r="G3665" s="4">
        <v>38000</v>
      </c>
      <c r="H3665" s="4">
        <v>0</v>
      </c>
      <c r="I3665" s="4">
        <v>-39891051.850000001</v>
      </c>
    </row>
    <row r="3666" spans="1:9" x14ac:dyDescent="0.3">
      <c r="A3666" t="s">
        <v>75</v>
      </c>
      <c r="B3666" s="1">
        <v>45889</v>
      </c>
      <c r="C3666" s="1">
        <v>45889</v>
      </c>
      <c r="D3666">
        <v>143739</v>
      </c>
      <c r="E3666">
        <v>11</v>
      </c>
      <c r="F3666" s="3" t="s">
        <v>3216</v>
      </c>
      <c r="G3666" s="4">
        <v>587616.75</v>
      </c>
      <c r="H3666" s="4">
        <v>0</v>
      </c>
      <c r="I3666" s="4">
        <v>-39303435.100000001</v>
      </c>
    </row>
    <row r="3667" spans="1:9" x14ac:dyDescent="0.3">
      <c r="A3667" t="s">
        <v>75</v>
      </c>
      <c r="B3667" s="1">
        <v>45888</v>
      </c>
      <c r="C3667" s="1">
        <v>45889</v>
      </c>
      <c r="D3667">
        <v>143740</v>
      </c>
      <c r="E3667">
        <v>11</v>
      </c>
      <c r="F3667" s="3" t="s">
        <v>3217</v>
      </c>
      <c r="G3667" s="4">
        <v>59328.75</v>
      </c>
      <c r="H3667" s="4">
        <v>0</v>
      </c>
      <c r="I3667" s="4">
        <v>-39244106.350000001</v>
      </c>
    </row>
    <row r="3668" spans="1:9" x14ac:dyDescent="0.3">
      <c r="A3668" t="s">
        <v>75</v>
      </c>
      <c r="B3668" s="1">
        <v>45889</v>
      </c>
      <c r="C3668" s="1">
        <v>45889</v>
      </c>
      <c r="D3668">
        <v>143741</v>
      </c>
      <c r="E3668">
        <v>24</v>
      </c>
      <c r="F3668" s="3" t="s">
        <v>3218</v>
      </c>
      <c r="G3668" s="4">
        <v>22802</v>
      </c>
      <c r="H3668" s="4">
        <v>0</v>
      </c>
      <c r="I3668" s="4">
        <v>-39221304.350000001</v>
      </c>
    </row>
    <row r="3669" spans="1:9" x14ac:dyDescent="0.3">
      <c r="A3669" t="s">
        <v>75</v>
      </c>
      <c r="B3669" s="1">
        <v>45888</v>
      </c>
      <c r="C3669" s="1">
        <v>45889</v>
      </c>
      <c r="D3669">
        <v>143743</v>
      </c>
      <c r="E3669">
        <v>23</v>
      </c>
      <c r="F3669" s="3" t="s">
        <v>3219</v>
      </c>
      <c r="G3669" s="4">
        <v>19838.25</v>
      </c>
      <c r="H3669" s="4">
        <v>0</v>
      </c>
      <c r="I3669" s="4">
        <v>-39201466.100000001</v>
      </c>
    </row>
    <row r="3670" spans="1:9" x14ac:dyDescent="0.3">
      <c r="A3670" t="s">
        <v>75</v>
      </c>
      <c r="B3670" s="1">
        <v>45889</v>
      </c>
      <c r="C3670" s="1">
        <v>45889</v>
      </c>
      <c r="D3670">
        <v>143744</v>
      </c>
      <c r="E3670">
        <v>63</v>
      </c>
      <c r="F3670" s="3" t="s">
        <v>3220</v>
      </c>
      <c r="G3670" s="4">
        <v>20000</v>
      </c>
      <c r="H3670" s="4">
        <v>0</v>
      </c>
      <c r="I3670" s="4">
        <v>-39181466.100000001</v>
      </c>
    </row>
    <row r="3671" spans="1:9" x14ac:dyDescent="0.3">
      <c r="A3671" t="s">
        <v>75</v>
      </c>
      <c r="B3671" s="1">
        <v>45887</v>
      </c>
      <c r="C3671" s="1">
        <v>45889</v>
      </c>
      <c r="D3671">
        <v>143745</v>
      </c>
      <c r="E3671">
        <v>61</v>
      </c>
      <c r="F3671" s="3" t="s">
        <v>3221</v>
      </c>
      <c r="G3671" s="4">
        <v>181210</v>
      </c>
      <c r="H3671" s="4">
        <v>0</v>
      </c>
      <c r="I3671" s="4">
        <v>-39000256.100000001</v>
      </c>
    </row>
    <row r="3672" spans="1:9" x14ac:dyDescent="0.3">
      <c r="A3672" t="s">
        <v>75</v>
      </c>
      <c r="B3672" s="1">
        <v>45852</v>
      </c>
      <c r="C3672" s="1">
        <v>45889</v>
      </c>
      <c r="D3672">
        <v>143746</v>
      </c>
      <c r="E3672">
        <v>61</v>
      </c>
      <c r="F3672" s="3" t="s">
        <v>3222</v>
      </c>
      <c r="G3672" s="4">
        <v>140000</v>
      </c>
      <c r="H3672" s="4">
        <v>0</v>
      </c>
      <c r="I3672" s="4">
        <v>-38860256.100000001</v>
      </c>
    </row>
    <row r="3673" spans="1:9" x14ac:dyDescent="0.3">
      <c r="A3673" t="s">
        <v>75</v>
      </c>
      <c r="B3673" s="1">
        <v>45885</v>
      </c>
      <c r="C3673" s="1">
        <v>45889</v>
      </c>
      <c r="D3673">
        <v>143749</v>
      </c>
      <c r="E3673">
        <v>77</v>
      </c>
      <c r="F3673" s="3" t="s">
        <v>3223</v>
      </c>
      <c r="G3673" s="4">
        <v>8179.75</v>
      </c>
      <c r="H3673" s="4">
        <v>0</v>
      </c>
      <c r="I3673" s="4">
        <v>-38852076.350000001</v>
      </c>
    </row>
    <row r="3674" spans="1:9" x14ac:dyDescent="0.3">
      <c r="A3674" t="s">
        <v>75</v>
      </c>
      <c r="B3674" s="1">
        <v>45888</v>
      </c>
      <c r="C3674" s="1">
        <v>45889</v>
      </c>
      <c r="D3674">
        <v>143751</v>
      </c>
      <c r="E3674">
        <v>77</v>
      </c>
      <c r="F3674" s="3" t="s">
        <v>3224</v>
      </c>
      <c r="G3674" s="4">
        <v>6452.5</v>
      </c>
      <c r="H3674" s="4">
        <v>0</v>
      </c>
      <c r="I3674" s="4">
        <v>-38845623.850000001</v>
      </c>
    </row>
    <row r="3675" spans="1:9" x14ac:dyDescent="0.3">
      <c r="A3675" t="s">
        <v>75</v>
      </c>
      <c r="B3675" s="1">
        <v>45889</v>
      </c>
      <c r="C3675" s="1">
        <v>45889</v>
      </c>
      <c r="D3675">
        <v>143753</v>
      </c>
      <c r="E3675">
        <v>77</v>
      </c>
      <c r="F3675" s="3" t="s">
        <v>3225</v>
      </c>
      <c r="G3675" s="4">
        <v>35721.71</v>
      </c>
      <c r="H3675" s="4">
        <v>0</v>
      </c>
      <c r="I3675" s="4">
        <v>-38809902.140000001</v>
      </c>
    </row>
    <row r="3676" spans="1:9" x14ac:dyDescent="0.3">
      <c r="A3676" t="s">
        <v>75</v>
      </c>
      <c r="B3676" s="1">
        <v>45889</v>
      </c>
      <c r="C3676" s="1">
        <v>45889</v>
      </c>
      <c r="D3676">
        <v>143754</v>
      </c>
      <c r="E3676">
        <v>77</v>
      </c>
      <c r="F3676" s="3" t="s">
        <v>3226</v>
      </c>
      <c r="G3676" s="4">
        <v>12734</v>
      </c>
      <c r="H3676" s="4">
        <v>0</v>
      </c>
      <c r="I3676" s="4">
        <v>-38797168.140000001</v>
      </c>
    </row>
    <row r="3677" spans="1:9" x14ac:dyDescent="0.3">
      <c r="A3677" t="s">
        <v>75</v>
      </c>
      <c r="B3677" s="1">
        <v>45889</v>
      </c>
      <c r="C3677" s="1">
        <v>45889</v>
      </c>
      <c r="D3677">
        <v>143755</v>
      </c>
      <c r="E3677">
        <v>77</v>
      </c>
      <c r="F3677" s="3" t="s">
        <v>3227</v>
      </c>
      <c r="G3677" s="4">
        <v>597610</v>
      </c>
      <c r="H3677" s="4">
        <v>0</v>
      </c>
      <c r="I3677" s="4">
        <v>-38199558.140000001</v>
      </c>
    </row>
    <row r="3678" spans="1:9" x14ac:dyDescent="0.3">
      <c r="A3678" t="s">
        <v>75</v>
      </c>
      <c r="B3678" s="1">
        <v>45889</v>
      </c>
      <c r="C3678" s="1">
        <v>45889</v>
      </c>
      <c r="D3678">
        <v>143760</v>
      </c>
      <c r="E3678">
        <v>79</v>
      </c>
      <c r="F3678" s="3" t="s">
        <v>3228</v>
      </c>
      <c r="G3678" s="4">
        <v>18795</v>
      </c>
      <c r="H3678" s="4">
        <v>0</v>
      </c>
      <c r="I3678" s="4">
        <v>-38180763.140000001</v>
      </c>
    </row>
    <row r="3679" spans="1:9" x14ac:dyDescent="0.3">
      <c r="A3679" t="s">
        <v>75</v>
      </c>
      <c r="B3679" s="1">
        <v>45889</v>
      </c>
      <c r="C3679" s="1">
        <v>45889</v>
      </c>
      <c r="D3679">
        <v>143762</v>
      </c>
      <c r="E3679">
        <v>63</v>
      </c>
      <c r="F3679" s="3" t="s">
        <v>3229</v>
      </c>
      <c r="G3679" s="4">
        <v>133896.25</v>
      </c>
      <c r="H3679" s="4">
        <v>0</v>
      </c>
      <c r="I3679" s="4">
        <v>-38046866.890000001</v>
      </c>
    </row>
    <row r="3680" spans="1:9" x14ac:dyDescent="0.3">
      <c r="A3680" t="s">
        <v>75</v>
      </c>
      <c r="B3680" s="1">
        <v>45889</v>
      </c>
      <c r="C3680" s="1">
        <v>45889</v>
      </c>
      <c r="D3680">
        <v>143763</v>
      </c>
      <c r="E3680">
        <v>11</v>
      </c>
      <c r="F3680" s="3" t="s">
        <v>3230</v>
      </c>
      <c r="G3680" s="4">
        <v>80597.25</v>
      </c>
      <c r="H3680" s="4">
        <v>0</v>
      </c>
      <c r="I3680" s="4">
        <v>-37966269.640000001</v>
      </c>
    </row>
    <row r="3681" spans="1:9" x14ac:dyDescent="0.3">
      <c r="A3681" t="s">
        <v>75</v>
      </c>
      <c r="B3681" s="1">
        <v>45889</v>
      </c>
      <c r="C3681" s="1">
        <v>45889</v>
      </c>
      <c r="D3681">
        <v>143766</v>
      </c>
      <c r="E3681">
        <v>301</v>
      </c>
      <c r="F3681" s="3" t="s">
        <v>3231</v>
      </c>
      <c r="G3681" s="4">
        <v>344313.75</v>
      </c>
      <c r="H3681" s="4">
        <v>0</v>
      </c>
      <c r="I3681" s="4">
        <v>-37621955.890000001</v>
      </c>
    </row>
    <row r="3682" spans="1:9" x14ac:dyDescent="0.3">
      <c r="A3682" t="s">
        <v>75</v>
      </c>
      <c r="B3682" s="1">
        <v>45889</v>
      </c>
      <c r="C3682" s="1">
        <v>45889</v>
      </c>
      <c r="D3682">
        <v>143767</v>
      </c>
      <c r="E3682">
        <v>301</v>
      </c>
      <c r="F3682" s="3" t="s">
        <v>3232</v>
      </c>
      <c r="G3682" s="4">
        <v>73532.5</v>
      </c>
      <c r="H3682" s="4">
        <v>0</v>
      </c>
      <c r="I3682" s="4">
        <v>-37548423.390000001</v>
      </c>
    </row>
    <row r="3683" spans="1:9" x14ac:dyDescent="0.3">
      <c r="A3683" t="s">
        <v>75</v>
      </c>
      <c r="B3683" s="1">
        <v>45889</v>
      </c>
      <c r="C3683" s="1">
        <v>45889</v>
      </c>
      <c r="D3683">
        <v>143768</v>
      </c>
      <c r="E3683">
        <v>301</v>
      </c>
      <c r="F3683" s="3" t="s">
        <v>3233</v>
      </c>
      <c r="G3683" s="4">
        <v>110268.5</v>
      </c>
      <c r="H3683" s="4">
        <v>0</v>
      </c>
      <c r="I3683" s="4">
        <v>-37438154.890000001</v>
      </c>
    </row>
    <row r="3684" spans="1:9" x14ac:dyDescent="0.3">
      <c r="A3684" t="s">
        <v>75</v>
      </c>
      <c r="B3684" s="1">
        <v>45887</v>
      </c>
      <c r="C3684" s="1">
        <v>45889</v>
      </c>
      <c r="D3684">
        <v>143770</v>
      </c>
      <c r="E3684">
        <v>79</v>
      </c>
      <c r="F3684" s="3" t="s">
        <v>3234</v>
      </c>
      <c r="G3684" s="4">
        <v>100000</v>
      </c>
      <c r="H3684" s="4">
        <v>0</v>
      </c>
      <c r="I3684" s="4">
        <v>-37338154.890000001</v>
      </c>
    </row>
    <row r="3685" spans="1:9" x14ac:dyDescent="0.3">
      <c r="A3685" t="s">
        <v>75</v>
      </c>
      <c r="B3685" s="1">
        <v>45889</v>
      </c>
      <c r="C3685" s="1">
        <v>45889</v>
      </c>
      <c r="D3685">
        <v>143772</v>
      </c>
      <c r="E3685">
        <v>61</v>
      </c>
      <c r="F3685" s="3" t="s">
        <v>3235</v>
      </c>
      <c r="G3685" s="4">
        <v>1000</v>
      </c>
      <c r="H3685" s="4">
        <v>0</v>
      </c>
      <c r="I3685" s="4">
        <v>-37337154.890000001</v>
      </c>
    </row>
    <row r="3686" spans="1:9" x14ac:dyDescent="0.3">
      <c r="A3686" t="s">
        <v>75</v>
      </c>
      <c r="B3686" s="1">
        <v>45889</v>
      </c>
      <c r="C3686" s="1">
        <v>45889</v>
      </c>
      <c r="D3686">
        <v>143776</v>
      </c>
      <c r="E3686">
        <v>361</v>
      </c>
      <c r="F3686" s="3" t="s">
        <v>3236</v>
      </c>
      <c r="G3686" s="4">
        <v>42346</v>
      </c>
      <c r="H3686" s="4">
        <v>0</v>
      </c>
      <c r="I3686" s="4">
        <v>-37294808.890000001</v>
      </c>
    </row>
    <row r="3687" spans="1:9" x14ac:dyDescent="0.3">
      <c r="A3687" t="s">
        <v>71</v>
      </c>
      <c r="B3687" s="1">
        <v>45888</v>
      </c>
      <c r="C3687" s="1">
        <v>45889</v>
      </c>
      <c r="D3687">
        <v>14644</v>
      </c>
      <c r="E3687">
        <v>100</v>
      </c>
      <c r="F3687" s="3">
        <v>2508191247112840</v>
      </c>
      <c r="G3687" s="4">
        <v>44775</v>
      </c>
      <c r="H3687" s="4">
        <v>0</v>
      </c>
      <c r="I3687" s="4">
        <v>-37250033.890000001</v>
      </c>
    </row>
    <row r="3688" spans="1:9" x14ac:dyDescent="0.3">
      <c r="A3688" t="s">
        <v>71</v>
      </c>
      <c r="B3688" s="1">
        <v>45885</v>
      </c>
      <c r="C3688" s="1">
        <v>45889</v>
      </c>
      <c r="D3688">
        <v>14644</v>
      </c>
      <c r="E3688">
        <v>100</v>
      </c>
      <c r="F3688" s="3" t="s">
        <v>3237</v>
      </c>
      <c r="G3688" s="4">
        <v>11046000</v>
      </c>
      <c r="H3688" s="4">
        <v>0</v>
      </c>
      <c r="I3688" s="4">
        <v>-26204033.890000001</v>
      </c>
    </row>
    <row r="3689" spans="1:9" x14ac:dyDescent="0.3">
      <c r="A3689" t="s">
        <v>71</v>
      </c>
      <c r="B3689" s="1">
        <v>45885</v>
      </c>
      <c r="C3689" s="1">
        <v>45889</v>
      </c>
      <c r="D3689">
        <v>14644</v>
      </c>
      <c r="E3689">
        <v>100</v>
      </c>
      <c r="F3689" s="3" t="s">
        <v>3238</v>
      </c>
      <c r="G3689" s="4">
        <v>7355000</v>
      </c>
      <c r="H3689" s="4">
        <v>0</v>
      </c>
      <c r="I3689" s="4">
        <v>-18849033.890000001</v>
      </c>
    </row>
    <row r="3690" spans="1:9" x14ac:dyDescent="0.3">
      <c r="A3690" t="s">
        <v>71</v>
      </c>
      <c r="B3690" s="1">
        <v>45888</v>
      </c>
      <c r="C3690" s="1">
        <v>45889</v>
      </c>
      <c r="D3690">
        <v>14651</v>
      </c>
      <c r="E3690">
        <v>100</v>
      </c>
      <c r="F3690" s="3" t="s">
        <v>3239</v>
      </c>
      <c r="G3690" s="4">
        <v>0</v>
      </c>
      <c r="H3690" s="4">
        <v>2365018.9</v>
      </c>
      <c r="I3690" s="4">
        <v>-21214052.789999999</v>
      </c>
    </row>
    <row r="3691" spans="1:9" x14ac:dyDescent="0.3">
      <c r="A3691" t="s">
        <v>71</v>
      </c>
      <c r="B3691" s="1">
        <v>45888</v>
      </c>
      <c r="C3691" s="1">
        <v>45889</v>
      </c>
      <c r="D3691">
        <v>14651</v>
      </c>
      <c r="E3691">
        <v>100</v>
      </c>
      <c r="F3691" s="3" t="s">
        <v>3240</v>
      </c>
      <c r="G3691" s="4">
        <v>0</v>
      </c>
      <c r="H3691" s="4">
        <v>10309271.5</v>
      </c>
      <c r="I3691" s="4">
        <v>-31523324.289999999</v>
      </c>
    </row>
    <row r="3692" spans="1:9" x14ac:dyDescent="0.3">
      <c r="A3692" t="s">
        <v>71</v>
      </c>
      <c r="B3692" s="1">
        <v>45888</v>
      </c>
      <c r="C3692" s="1">
        <v>45889</v>
      </c>
      <c r="D3692">
        <v>14651</v>
      </c>
      <c r="E3692">
        <v>100</v>
      </c>
      <c r="F3692" s="3" t="s">
        <v>3241</v>
      </c>
      <c r="G3692" s="4">
        <v>22056000</v>
      </c>
      <c r="H3692" s="4">
        <v>0</v>
      </c>
      <c r="I3692" s="4">
        <v>-9467324.2899999991</v>
      </c>
    </row>
    <row r="3693" spans="1:9" x14ac:dyDescent="0.3">
      <c r="A3693" t="s">
        <v>71</v>
      </c>
      <c r="B3693" s="1">
        <v>45889</v>
      </c>
      <c r="C3693" s="1">
        <v>45889</v>
      </c>
      <c r="D3693">
        <v>14652</v>
      </c>
      <c r="E3693">
        <v>111</v>
      </c>
      <c r="F3693" s="3" t="s">
        <v>3242</v>
      </c>
      <c r="G3693" s="4">
        <v>0</v>
      </c>
      <c r="H3693" s="4">
        <v>11340</v>
      </c>
      <c r="I3693" s="4">
        <v>-9478664.2899999991</v>
      </c>
    </row>
    <row r="3694" spans="1:9" x14ac:dyDescent="0.3">
      <c r="A3694" t="s">
        <v>71</v>
      </c>
      <c r="B3694" s="1">
        <v>45889</v>
      </c>
      <c r="C3694" s="1">
        <v>45889</v>
      </c>
      <c r="D3694">
        <v>14653</v>
      </c>
      <c r="E3694">
        <v>100</v>
      </c>
      <c r="F3694" s="3" t="s">
        <v>3243</v>
      </c>
      <c r="G3694" s="4">
        <v>0</v>
      </c>
      <c r="H3694" s="4">
        <v>54363.75</v>
      </c>
      <c r="I3694" s="4">
        <v>-9533028.0399999991</v>
      </c>
    </row>
    <row r="3695" spans="1:9" x14ac:dyDescent="0.3">
      <c r="A3695" t="s">
        <v>71</v>
      </c>
      <c r="B3695" s="1">
        <v>45889</v>
      </c>
      <c r="C3695" s="1">
        <v>45889</v>
      </c>
      <c r="D3695">
        <v>14656</v>
      </c>
      <c r="E3695">
        <v>412</v>
      </c>
      <c r="F3695" s="3" t="s">
        <v>3244</v>
      </c>
      <c r="G3695" s="4">
        <v>0</v>
      </c>
      <c r="H3695" s="4">
        <v>246.75</v>
      </c>
      <c r="I3695" s="4">
        <v>-9533274.7899999991</v>
      </c>
    </row>
    <row r="3696" spans="1:9" x14ac:dyDescent="0.3">
      <c r="A3696" t="s">
        <v>71</v>
      </c>
      <c r="B3696" s="1">
        <v>45889</v>
      </c>
      <c r="C3696" s="1">
        <v>45889</v>
      </c>
      <c r="D3696">
        <v>14656</v>
      </c>
      <c r="E3696">
        <v>33</v>
      </c>
      <c r="F3696" s="3" t="s">
        <v>3245</v>
      </c>
      <c r="G3696" s="4">
        <v>0</v>
      </c>
      <c r="H3696" s="4">
        <v>1417.5</v>
      </c>
      <c r="I3696" s="4">
        <v>-9534692.2899999991</v>
      </c>
    </row>
    <row r="3697" spans="1:9" x14ac:dyDescent="0.3">
      <c r="A3697" t="s">
        <v>71</v>
      </c>
      <c r="B3697" s="1">
        <v>45889</v>
      </c>
      <c r="C3697" s="1">
        <v>45889</v>
      </c>
      <c r="D3697">
        <v>14656</v>
      </c>
      <c r="E3697">
        <v>28</v>
      </c>
      <c r="F3697" s="3" t="s">
        <v>3246</v>
      </c>
      <c r="G3697" s="4">
        <v>0</v>
      </c>
      <c r="H3697" s="4">
        <v>210</v>
      </c>
      <c r="I3697" s="4">
        <v>-9534902.2899999991</v>
      </c>
    </row>
    <row r="3698" spans="1:9" x14ac:dyDescent="0.3">
      <c r="A3698" t="s">
        <v>71</v>
      </c>
      <c r="B3698" s="1">
        <v>45889</v>
      </c>
      <c r="C3698" s="1">
        <v>45889</v>
      </c>
      <c r="D3698">
        <v>14657</v>
      </c>
      <c r="E3698">
        <v>91</v>
      </c>
      <c r="F3698" s="3" t="s">
        <v>3247</v>
      </c>
      <c r="G3698" s="4">
        <v>0</v>
      </c>
      <c r="H3698" s="4">
        <v>546</v>
      </c>
      <c r="I3698" s="4">
        <v>-9535448.2899999991</v>
      </c>
    </row>
    <row r="3699" spans="1:9" x14ac:dyDescent="0.3">
      <c r="A3699" t="s">
        <v>71</v>
      </c>
      <c r="B3699" s="1">
        <v>45889</v>
      </c>
      <c r="C3699" s="1">
        <v>45889</v>
      </c>
      <c r="D3699">
        <v>14664</v>
      </c>
      <c r="E3699">
        <v>100</v>
      </c>
      <c r="F3699" s="3" t="s">
        <v>74</v>
      </c>
      <c r="G3699" s="4">
        <v>0</v>
      </c>
      <c r="H3699" s="4">
        <v>20203150</v>
      </c>
      <c r="I3699" s="4">
        <v>-29738598.289999999</v>
      </c>
    </row>
    <row r="3700" spans="1:9" x14ac:dyDescent="0.3">
      <c r="A3700" t="s">
        <v>71</v>
      </c>
      <c r="B3700" s="1">
        <v>45889</v>
      </c>
      <c r="C3700" s="1">
        <v>45889</v>
      </c>
      <c r="D3700">
        <v>14668</v>
      </c>
      <c r="E3700">
        <v>100</v>
      </c>
      <c r="F3700" s="3" t="s">
        <v>74</v>
      </c>
      <c r="G3700" s="4">
        <v>0</v>
      </c>
      <c r="H3700" s="4">
        <v>550995</v>
      </c>
      <c r="I3700" s="4">
        <v>-30289593.289999999</v>
      </c>
    </row>
    <row r="3701" spans="1:9" x14ac:dyDescent="0.3">
      <c r="A3701" t="s">
        <v>124</v>
      </c>
      <c r="B3701" s="1">
        <v>45889</v>
      </c>
      <c r="C3701" s="1">
        <v>45889</v>
      </c>
      <c r="D3701">
        <v>22248</v>
      </c>
      <c r="E3701">
        <v>11</v>
      </c>
      <c r="F3701" s="3" t="s">
        <v>125</v>
      </c>
      <c r="G3701" s="4">
        <v>0</v>
      </c>
      <c r="H3701" s="4">
        <v>19525791.32</v>
      </c>
      <c r="I3701" s="4">
        <v>-49815384.609999999</v>
      </c>
    </row>
    <row r="3702" spans="1:9" x14ac:dyDescent="0.3">
      <c r="A3702" t="s">
        <v>124</v>
      </c>
      <c r="B3702" s="1">
        <v>45889</v>
      </c>
      <c r="C3702" s="1">
        <v>45889</v>
      </c>
      <c r="D3702">
        <v>22249</v>
      </c>
      <c r="E3702">
        <v>11</v>
      </c>
      <c r="F3702" s="3" t="s">
        <v>125</v>
      </c>
      <c r="G3702" s="4">
        <v>0</v>
      </c>
      <c r="H3702" s="4">
        <v>18800000</v>
      </c>
      <c r="I3702" s="4">
        <v>-68615384.609999999</v>
      </c>
    </row>
    <row r="3703" spans="1:9" x14ac:dyDescent="0.3">
      <c r="A3703" t="s">
        <v>124</v>
      </c>
      <c r="B3703" s="1">
        <v>45889</v>
      </c>
      <c r="C3703" s="1">
        <v>45889</v>
      </c>
      <c r="D3703">
        <v>22250</v>
      </c>
      <c r="E3703">
        <v>11</v>
      </c>
      <c r="F3703" s="3" t="s">
        <v>127</v>
      </c>
      <c r="G3703" s="4">
        <v>17000000</v>
      </c>
      <c r="H3703" s="4">
        <v>0</v>
      </c>
      <c r="I3703" s="4">
        <v>-51615384.609999999</v>
      </c>
    </row>
    <row r="3704" spans="1:9" x14ac:dyDescent="0.3">
      <c r="A3704" t="s">
        <v>124</v>
      </c>
      <c r="B3704" s="1">
        <v>45889</v>
      </c>
      <c r="C3704" s="1">
        <v>45889</v>
      </c>
      <c r="D3704">
        <v>22251</v>
      </c>
      <c r="E3704">
        <v>11</v>
      </c>
      <c r="F3704" s="3" t="s">
        <v>127</v>
      </c>
      <c r="G3704" s="4">
        <v>19500000</v>
      </c>
      <c r="H3704" s="4">
        <v>0</v>
      </c>
      <c r="I3704" s="4">
        <v>-32115384.609999999</v>
      </c>
    </row>
    <row r="3705" spans="1:9" x14ac:dyDescent="0.3">
      <c r="A3705" t="s">
        <v>124</v>
      </c>
      <c r="B3705" s="1">
        <v>45889</v>
      </c>
      <c r="C3705" s="1">
        <v>45889</v>
      </c>
      <c r="D3705">
        <v>22252</v>
      </c>
      <c r="E3705">
        <v>11</v>
      </c>
      <c r="F3705" s="3" t="s">
        <v>129</v>
      </c>
      <c r="G3705" s="4">
        <v>0</v>
      </c>
      <c r="H3705" s="4">
        <v>4350000</v>
      </c>
      <c r="I3705" s="4">
        <v>-36465384.609999999</v>
      </c>
    </row>
    <row r="3706" spans="1:9" x14ac:dyDescent="0.3">
      <c r="A3706" t="s">
        <v>124</v>
      </c>
      <c r="B3706" s="1">
        <v>45889</v>
      </c>
      <c r="C3706" s="1">
        <v>45889</v>
      </c>
      <c r="D3706">
        <v>22255</v>
      </c>
      <c r="E3706">
        <v>11</v>
      </c>
      <c r="F3706" s="3" t="s">
        <v>3248</v>
      </c>
      <c r="G3706" s="4">
        <v>2400000</v>
      </c>
      <c r="H3706" s="4">
        <v>0</v>
      </c>
      <c r="I3706" s="4">
        <v>-34065384.609999999</v>
      </c>
    </row>
    <row r="3707" spans="1:9" x14ac:dyDescent="0.3">
      <c r="A3707" t="s">
        <v>124</v>
      </c>
      <c r="B3707" s="1">
        <v>45889</v>
      </c>
      <c r="C3707" s="1">
        <v>45889</v>
      </c>
      <c r="D3707">
        <v>22258</v>
      </c>
      <c r="E3707">
        <v>11</v>
      </c>
      <c r="F3707" s="3" t="s">
        <v>128</v>
      </c>
      <c r="G3707" s="4">
        <v>2500000</v>
      </c>
      <c r="H3707" s="4">
        <v>0</v>
      </c>
      <c r="I3707" s="4">
        <v>-31565384.609999999</v>
      </c>
    </row>
    <row r="3708" spans="1:9" x14ac:dyDescent="0.3">
      <c r="A3708" t="s">
        <v>130</v>
      </c>
      <c r="B3708" s="1">
        <v>45889</v>
      </c>
      <c r="C3708" s="1">
        <v>45889</v>
      </c>
      <c r="D3708">
        <v>3842496</v>
      </c>
      <c r="E3708">
        <v>39</v>
      </c>
      <c r="F3708" s="3" t="s">
        <v>2252</v>
      </c>
      <c r="G3708" s="4">
        <v>0</v>
      </c>
      <c r="H3708" s="4">
        <v>5000000</v>
      </c>
      <c r="I3708" s="4">
        <v>-36565384.609999999</v>
      </c>
    </row>
    <row r="3709" spans="1:9" x14ac:dyDescent="0.3">
      <c r="A3709" t="s">
        <v>130</v>
      </c>
      <c r="B3709" s="1">
        <v>45889</v>
      </c>
      <c r="C3709" s="1">
        <v>45889</v>
      </c>
      <c r="D3709">
        <v>3842676</v>
      </c>
      <c r="E3709">
        <v>18</v>
      </c>
      <c r="F3709" s="3" t="s">
        <v>3249</v>
      </c>
      <c r="G3709" s="4">
        <v>0</v>
      </c>
      <c r="H3709" s="4">
        <v>170265</v>
      </c>
      <c r="I3709" s="4">
        <v>-36735649.609999999</v>
      </c>
    </row>
    <row r="3710" spans="1:9" x14ac:dyDescent="0.3">
      <c r="A3710" t="s">
        <v>130</v>
      </c>
      <c r="B3710" s="1">
        <v>45889</v>
      </c>
      <c r="C3710" s="1">
        <v>45889</v>
      </c>
      <c r="D3710">
        <v>3842870</v>
      </c>
      <c r="E3710">
        <v>75</v>
      </c>
      <c r="F3710" s="3" t="s">
        <v>3250</v>
      </c>
      <c r="G3710" s="4">
        <v>0</v>
      </c>
      <c r="H3710" s="4">
        <v>170000</v>
      </c>
      <c r="I3710" s="4">
        <v>-36905649.609999999</v>
      </c>
    </row>
    <row r="3711" spans="1:9" x14ac:dyDescent="0.3">
      <c r="A3711" t="s">
        <v>130</v>
      </c>
      <c r="B3711" s="1">
        <v>45889</v>
      </c>
      <c r="C3711" s="1">
        <v>45889</v>
      </c>
      <c r="D3711">
        <v>3843395</v>
      </c>
      <c r="E3711">
        <v>85</v>
      </c>
      <c r="F3711" s="3" t="s">
        <v>3251</v>
      </c>
      <c r="G3711" s="4">
        <v>0</v>
      </c>
      <c r="H3711" s="4">
        <v>1404.25</v>
      </c>
      <c r="I3711" s="4">
        <v>-36907053.859999999</v>
      </c>
    </row>
    <row r="3712" spans="1:9" x14ac:dyDescent="0.3">
      <c r="A3712" t="s">
        <v>133</v>
      </c>
      <c r="B3712" s="1">
        <v>45889</v>
      </c>
      <c r="C3712" s="1">
        <v>45889</v>
      </c>
      <c r="D3712">
        <v>921722</v>
      </c>
      <c r="E3712">
        <v>86</v>
      </c>
      <c r="F3712" s="3" t="s">
        <v>3252</v>
      </c>
      <c r="G3712" s="4">
        <v>215241.25</v>
      </c>
      <c r="H3712" s="4">
        <v>0</v>
      </c>
      <c r="I3712" s="4">
        <v>-36691812.609999999</v>
      </c>
    </row>
    <row r="3713" spans="1:9" x14ac:dyDescent="0.3">
      <c r="A3713" t="s">
        <v>133</v>
      </c>
      <c r="B3713" s="1">
        <v>45889</v>
      </c>
      <c r="C3713" s="1">
        <v>45889</v>
      </c>
      <c r="D3713">
        <v>921723</v>
      </c>
      <c r="E3713">
        <v>86</v>
      </c>
      <c r="F3713" s="3" t="s">
        <v>3253</v>
      </c>
      <c r="G3713" s="4">
        <v>221400</v>
      </c>
      <c r="H3713" s="4">
        <v>0</v>
      </c>
      <c r="I3713" s="4">
        <v>-36470412.609999999</v>
      </c>
    </row>
    <row r="3714" spans="1:9" x14ac:dyDescent="0.3">
      <c r="A3714" t="s">
        <v>133</v>
      </c>
      <c r="B3714" s="1">
        <v>45889</v>
      </c>
      <c r="C3714" s="1">
        <v>45889</v>
      </c>
      <c r="D3714">
        <v>921727</v>
      </c>
      <c r="E3714">
        <v>13</v>
      </c>
      <c r="F3714" s="3" t="s">
        <v>3254</v>
      </c>
      <c r="G3714" s="4">
        <v>40000</v>
      </c>
      <c r="H3714" s="4">
        <v>0</v>
      </c>
      <c r="I3714" s="4">
        <v>-36430412.609999999</v>
      </c>
    </row>
    <row r="3715" spans="1:9" x14ac:dyDescent="0.3">
      <c r="A3715" t="s">
        <v>133</v>
      </c>
      <c r="B3715" s="1">
        <v>45889</v>
      </c>
      <c r="C3715" s="1">
        <v>45889</v>
      </c>
      <c r="D3715">
        <v>921735</v>
      </c>
      <c r="E3715">
        <v>382</v>
      </c>
      <c r="F3715" s="3" t="s">
        <v>3255</v>
      </c>
      <c r="G3715" s="4">
        <v>13231.75</v>
      </c>
      <c r="H3715" s="4">
        <v>0</v>
      </c>
      <c r="I3715" s="4">
        <v>-36417180.859999999</v>
      </c>
    </row>
    <row r="3716" spans="1:9" x14ac:dyDescent="0.3">
      <c r="A3716" t="s">
        <v>133</v>
      </c>
      <c r="B3716" s="1">
        <v>45889</v>
      </c>
      <c r="C3716" s="1">
        <v>45889</v>
      </c>
      <c r="D3716">
        <v>921764</v>
      </c>
      <c r="E3716">
        <v>78</v>
      </c>
      <c r="F3716" s="3" t="s">
        <v>3256</v>
      </c>
      <c r="G3716" s="4">
        <v>129334.25</v>
      </c>
      <c r="H3716" s="4">
        <v>0</v>
      </c>
      <c r="I3716" s="4">
        <v>-36287846.609999999</v>
      </c>
    </row>
    <row r="3717" spans="1:9" x14ac:dyDescent="0.3">
      <c r="A3717" t="s">
        <v>133</v>
      </c>
      <c r="B3717" s="1">
        <v>45889</v>
      </c>
      <c r="C3717" s="1">
        <v>45889</v>
      </c>
      <c r="D3717">
        <v>921776</v>
      </c>
      <c r="E3717">
        <v>41</v>
      </c>
      <c r="F3717" s="3" t="s">
        <v>3257</v>
      </c>
      <c r="G3717" s="4">
        <v>40000</v>
      </c>
      <c r="H3717" s="4">
        <v>0</v>
      </c>
      <c r="I3717" s="4">
        <v>-36247846.609999999</v>
      </c>
    </row>
    <row r="3718" spans="1:9" x14ac:dyDescent="0.3">
      <c r="A3718" t="s">
        <v>133</v>
      </c>
      <c r="B3718" s="1">
        <v>45889</v>
      </c>
      <c r="C3718" s="1">
        <v>45889</v>
      </c>
      <c r="D3718">
        <v>921777</v>
      </c>
      <c r="E3718">
        <v>27</v>
      </c>
      <c r="F3718" s="3" t="s">
        <v>3258</v>
      </c>
      <c r="G3718" s="4">
        <v>49613</v>
      </c>
      <c r="H3718" s="4">
        <v>0</v>
      </c>
      <c r="I3718" s="4">
        <v>-36198233.609999999</v>
      </c>
    </row>
    <row r="3719" spans="1:9" x14ac:dyDescent="0.3">
      <c r="A3719" t="s">
        <v>133</v>
      </c>
      <c r="B3719" s="1">
        <v>45889</v>
      </c>
      <c r="C3719" s="1">
        <v>45889</v>
      </c>
      <c r="D3719">
        <v>921779</v>
      </c>
      <c r="E3719">
        <v>11</v>
      </c>
      <c r="F3719" s="3" t="s">
        <v>3259</v>
      </c>
      <c r="G3719" s="4">
        <v>43055</v>
      </c>
      <c r="H3719" s="4">
        <v>0</v>
      </c>
      <c r="I3719" s="4">
        <v>-36155178.609999999</v>
      </c>
    </row>
    <row r="3720" spans="1:9" x14ac:dyDescent="0.3">
      <c r="A3720" t="s">
        <v>133</v>
      </c>
      <c r="B3720" s="1">
        <v>45889</v>
      </c>
      <c r="C3720" s="1">
        <v>45889</v>
      </c>
      <c r="D3720">
        <v>921780</v>
      </c>
      <c r="E3720">
        <v>27</v>
      </c>
      <c r="F3720" s="3" t="s">
        <v>3260</v>
      </c>
      <c r="G3720" s="4">
        <v>177054.5</v>
      </c>
      <c r="H3720" s="4">
        <v>0</v>
      </c>
      <c r="I3720" s="4">
        <v>-35978124.109999999</v>
      </c>
    </row>
    <row r="3721" spans="1:9" x14ac:dyDescent="0.3">
      <c r="A3721" t="s">
        <v>133</v>
      </c>
      <c r="B3721" s="1">
        <v>45889</v>
      </c>
      <c r="C3721" s="1">
        <v>45889</v>
      </c>
      <c r="D3721">
        <v>921805</v>
      </c>
      <c r="E3721">
        <v>94</v>
      </c>
      <c r="F3721" s="3" t="s">
        <v>3261</v>
      </c>
      <c r="G3721" s="4">
        <v>100000</v>
      </c>
      <c r="H3721" s="4">
        <v>0</v>
      </c>
      <c r="I3721" s="4">
        <v>-35878124.109999999</v>
      </c>
    </row>
    <row r="3722" spans="1:9" x14ac:dyDescent="0.3">
      <c r="A3722" t="s">
        <v>133</v>
      </c>
      <c r="B3722" s="1">
        <v>45889</v>
      </c>
      <c r="C3722" s="1">
        <v>45889</v>
      </c>
      <c r="D3722">
        <v>921806</v>
      </c>
      <c r="E3722">
        <v>94</v>
      </c>
      <c r="F3722" s="3" t="s">
        <v>3262</v>
      </c>
      <c r="G3722" s="4">
        <v>18723.25</v>
      </c>
      <c r="H3722" s="4">
        <v>0</v>
      </c>
      <c r="I3722" s="4">
        <v>-35859400.859999999</v>
      </c>
    </row>
    <row r="3723" spans="1:9" x14ac:dyDescent="0.3">
      <c r="A3723" t="s">
        <v>133</v>
      </c>
      <c r="B3723" s="1">
        <v>45889</v>
      </c>
      <c r="C3723" s="1">
        <v>45889</v>
      </c>
      <c r="D3723">
        <v>921809</v>
      </c>
      <c r="E3723">
        <v>82</v>
      </c>
      <c r="F3723" s="3">
        <v>5610820608699</v>
      </c>
      <c r="G3723" s="4">
        <v>26128</v>
      </c>
      <c r="H3723" s="4">
        <v>0</v>
      </c>
      <c r="I3723" s="4">
        <v>-35833272.859999999</v>
      </c>
    </row>
    <row r="3724" spans="1:9" x14ac:dyDescent="0.3">
      <c r="A3724" t="s">
        <v>133</v>
      </c>
      <c r="B3724" s="1">
        <v>45889</v>
      </c>
      <c r="C3724" s="1">
        <v>45889</v>
      </c>
      <c r="D3724">
        <v>921851</v>
      </c>
      <c r="E3724">
        <v>51</v>
      </c>
      <c r="F3724" s="3" t="s">
        <v>3263</v>
      </c>
      <c r="G3724" s="4">
        <v>100000</v>
      </c>
      <c r="H3724" s="4">
        <v>0</v>
      </c>
      <c r="I3724" s="4">
        <v>-35733272.859999999</v>
      </c>
    </row>
    <row r="3725" spans="1:9" x14ac:dyDescent="0.3">
      <c r="A3725" t="s">
        <v>133</v>
      </c>
      <c r="B3725" s="1">
        <v>45889</v>
      </c>
      <c r="C3725" s="1">
        <v>45889</v>
      </c>
      <c r="D3725">
        <v>921855</v>
      </c>
      <c r="E3725">
        <v>223</v>
      </c>
      <c r="F3725" s="3" t="s">
        <v>3264</v>
      </c>
      <c r="G3725" s="4">
        <v>46333.25</v>
      </c>
      <c r="H3725" s="4">
        <v>0</v>
      </c>
      <c r="I3725" s="4">
        <v>-35686939.609999999</v>
      </c>
    </row>
    <row r="3726" spans="1:9" x14ac:dyDescent="0.3">
      <c r="A3726" t="s">
        <v>133</v>
      </c>
      <c r="B3726" s="1">
        <v>45889</v>
      </c>
      <c r="C3726" s="1">
        <v>45889</v>
      </c>
      <c r="D3726">
        <v>921863</v>
      </c>
      <c r="E3726">
        <v>12</v>
      </c>
      <c r="F3726" s="3" t="s">
        <v>3265</v>
      </c>
      <c r="G3726" s="4">
        <v>4000</v>
      </c>
      <c r="H3726" s="4">
        <v>0</v>
      </c>
      <c r="I3726" s="4">
        <v>-35682939.609999999</v>
      </c>
    </row>
    <row r="3727" spans="1:9" x14ac:dyDescent="0.3">
      <c r="A3727" t="s">
        <v>133</v>
      </c>
      <c r="B3727" s="1">
        <v>45889</v>
      </c>
      <c r="C3727" s="1">
        <v>45889</v>
      </c>
      <c r="D3727">
        <v>921876</v>
      </c>
      <c r="E3727">
        <v>85</v>
      </c>
      <c r="F3727" s="3" t="s">
        <v>3266</v>
      </c>
      <c r="G3727" s="4">
        <v>6249</v>
      </c>
      <c r="H3727" s="4">
        <v>0</v>
      </c>
      <c r="I3727" s="4">
        <v>-35676690.609999999</v>
      </c>
    </row>
    <row r="3728" spans="1:9" x14ac:dyDescent="0.3">
      <c r="A3728" t="s">
        <v>133</v>
      </c>
      <c r="B3728" s="1">
        <v>45889</v>
      </c>
      <c r="C3728" s="1">
        <v>45889</v>
      </c>
      <c r="D3728">
        <v>921878</v>
      </c>
      <c r="E3728">
        <v>85</v>
      </c>
      <c r="F3728" s="3" t="s">
        <v>3267</v>
      </c>
      <c r="G3728" s="4">
        <v>1227.75</v>
      </c>
      <c r="H3728" s="4">
        <v>0</v>
      </c>
      <c r="I3728" s="4">
        <v>-35675462.859999999</v>
      </c>
    </row>
    <row r="3729" spans="1:9" x14ac:dyDescent="0.3">
      <c r="A3729" t="s">
        <v>133</v>
      </c>
      <c r="B3729" s="1">
        <v>45889</v>
      </c>
      <c r="C3729" s="1">
        <v>45889</v>
      </c>
      <c r="D3729">
        <v>921881</v>
      </c>
      <c r="E3729">
        <v>224</v>
      </c>
      <c r="F3729" s="3" t="s">
        <v>3268</v>
      </c>
      <c r="G3729" s="4">
        <v>220000</v>
      </c>
      <c r="H3729" s="4">
        <v>0</v>
      </c>
      <c r="I3729" s="4">
        <v>-35455462.859999999</v>
      </c>
    </row>
    <row r="3730" spans="1:9" x14ac:dyDescent="0.3">
      <c r="A3730" t="s">
        <v>133</v>
      </c>
      <c r="B3730" s="1">
        <v>45889</v>
      </c>
      <c r="C3730" s="1">
        <v>45889</v>
      </c>
      <c r="D3730">
        <v>921882</v>
      </c>
      <c r="E3730">
        <v>382</v>
      </c>
      <c r="F3730" s="3" t="s">
        <v>3269</v>
      </c>
      <c r="G3730" s="4">
        <v>20152.5</v>
      </c>
      <c r="H3730" s="4">
        <v>0</v>
      </c>
      <c r="I3730" s="4">
        <v>-35435310.359999999</v>
      </c>
    </row>
    <row r="3731" spans="1:9" x14ac:dyDescent="0.3">
      <c r="A3731" t="s">
        <v>133</v>
      </c>
      <c r="B3731" s="1">
        <v>45889</v>
      </c>
      <c r="C3731" s="1">
        <v>45889</v>
      </c>
      <c r="D3731">
        <v>921886</v>
      </c>
      <c r="E3731">
        <v>89</v>
      </c>
      <c r="F3731" s="3" t="s">
        <v>3270</v>
      </c>
      <c r="G3731" s="4">
        <v>100000</v>
      </c>
      <c r="H3731" s="4">
        <v>0</v>
      </c>
      <c r="I3731" s="4">
        <v>-35335310.359999999</v>
      </c>
    </row>
    <row r="3732" spans="1:9" x14ac:dyDescent="0.3">
      <c r="A3732" t="s">
        <v>133</v>
      </c>
      <c r="B3732" s="1">
        <v>45889</v>
      </c>
      <c r="C3732" s="1">
        <v>45889</v>
      </c>
      <c r="D3732">
        <v>921888</v>
      </c>
      <c r="E3732">
        <v>89</v>
      </c>
      <c r="F3732" s="3" t="s">
        <v>3271</v>
      </c>
      <c r="G3732" s="4">
        <v>100000</v>
      </c>
      <c r="H3732" s="4">
        <v>0</v>
      </c>
      <c r="I3732" s="4">
        <v>-35235310.359999999</v>
      </c>
    </row>
    <row r="3733" spans="1:9" x14ac:dyDescent="0.3">
      <c r="A3733" t="s">
        <v>133</v>
      </c>
      <c r="B3733" s="1">
        <v>45889</v>
      </c>
      <c r="C3733" s="1">
        <v>45889</v>
      </c>
      <c r="D3733">
        <v>921890</v>
      </c>
      <c r="E3733">
        <v>89</v>
      </c>
      <c r="F3733" s="3" t="s">
        <v>3272</v>
      </c>
      <c r="G3733" s="4">
        <v>46297</v>
      </c>
      <c r="H3733" s="4">
        <v>0</v>
      </c>
      <c r="I3733" s="4">
        <v>-35189013.359999999</v>
      </c>
    </row>
    <row r="3734" spans="1:9" x14ac:dyDescent="0.3">
      <c r="A3734" t="s">
        <v>133</v>
      </c>
      <c r="B3734" s="1">
        <v>45889</v>
      </c>
      <c r="C3734" s="1">
        <v>45889</v>
      </c>
      <c r="D3734">
        <v>921895</v>
      </c>
      <c r="E3734">
        <v>18</v>
      </c>
      <c r="F3734" s="3" t="s">
        <v>3249</v>
      </c>
      <c r="G3734" s="4">
        <v>170215</v>
      </c>
      <c r="H3734" s="4">
        <v>0</v>
      </c>
      <c r="I3734" s="4">
        <v>-35018798.359999999</v>
      </c>
    </row>
    <row r="3735" spans="1:9" x14ac:dyDescent="0.3">
      <c r="A3735" t="s">
        <v>133</v>
      </c>
      <c r="B3735" s="1">
        <v>45889</v>
      </c>
      <c r="C3735" s="1">
        <v>45889</v>
      </c>
      <c r="D3735">
        <v>921898</v>
      </c>
      <c r="E3735">
        <v>73</v>
      </c>
      <c r="F3735" s="3" t="s">
        <v>3273</v>
      </c>
      <c r="G3735" s="4">
        <v>150000</v>
      </c>
      <c r="H3735" s="4">
        <v>0</v>
      </c>
      <c r="I3735" s="4">
        <v>-34868798.359999999</v>
      </c>
    </row>
    <row r="3736" spans="1:9" x14ac:dyDescent="0.3">
      <c r="A3736" t="s">
        <v>133</v>
      </c>
      <c r="B3736" s="1">
        <v>45889</v>
      </c>
      <c r="C3736" s="1">
        <v>45889</v>
      </c>
      <c r="D3736">
        <v>921906</v>
      </c>
      <c r="E3736">
        <v>31</v>
      </c>
      <c r="F3736" s="3" t="s">
        <v>3274</v>
      </c>
      <c r="G3736" s="4">
        <v>18191.75</v>
      </c>
      <c r="H3736" s="4">
        <v>0</v>
      </c>
      <c r="I3736" s="4">
        <v>-34850606.609999999</v>
      </c>
    </row>
    <row r="3737" spans="1:9" x14ac:dyDescent="0.3">
      <c r="A3737" t="s">
        <v>133</v>
      </c>
      <c r="B3737" s="1">
        <v>45889</v>
      </c>
      <c r="C3737" s="1">
        <v>45889</v>
      </c>
      <c r="D3737">
        <v>921908</v>
      </c>
      <c r="E3737">
        <v>12</v>
      </c>
      <c r="F3737" s="3" t="s">
        <v>3275</v>
      </c>
      <c r="G3737" s="4">
        <v>1768472.25</v>
      </c>
      <c r="H3737" s="4">
        <v>0</v>
      </c>
      <c r="I3737" s="4">
        <v>-33082134.359999999</v>
      </c>
    </row>
    <row r="3738" spans="1:9" x14ac:dyDescent="0.3">
      <c r="A3738" t="s">
        <v>133</v>
      </c>
      <c r="B3738" s="1">
        <v>45889</v>
      </c>
      <c r="C3738" s="1">
        <v>45889</v>
      </c>
      <c r="D3738">
        <v>921911</v>
      </c>
      <c r="E3738">
        <v>31</v>
      </c>
      <c r="F3738" s="3" t="s">
        <v>3276</v>
      </c>
      <c r="G3738" s="4">
        <v>73601</v>
      </c>
      <c r="H3738" s="4">
        <v>0</v>
      </c>
      <c r="I3738" s="4">
        <v>-33008533.359999999</v>
      </c>
    </row>
    <row r="3739" spans="1:9" x14ac:dyDescent="0.3">
      <c r="A3739" t="s">
        <v>133</v>
      </c>
      <c r="B3739" s="1">
        <v>45889</v>
      </c>
      <c r="C3739" s="1">
        <v>45889</v>
      </c>
      <c r="D3739">
        <v>921915</v>
      </c>
      <c r="E3739">
        <v>76</v>
      </c>
      <c r="F3739" s="3" t="s">
        <v>3277</v>
      </c>
      <c r="G3739" s="4">
        <v>3061.5</v>
      </c>
      <c r="H3739" s="4">
        <v>0</v>
      </c>
      <c r="I3739" s="4">
        <v>-33005471.859999999</v>
      </c>
    </row>
    <row r="3740" spans="1:9" x14ac:dyDescent="0.3">
      <c r="A3740" t="s">
        <v>133</v>
      </c>
      <c r="B3740" s="1">
        <v>45889</v>
      </c>
      <c r="C3740" s="1">
        <v>45889</v>
      </c>
      <c r="D3740">
        <v>921935</v>
      </c>
      <c r="E3740">
        <v>75</v>
      </c>
      <c r="F3740" s="3" t="s">
        <v>3278</v>
      </c>
      <c r="G3740" s="4">
        <v>170000</v>
      </c>
      <c r="H3740" s="4">
        <v>0</v>
      </c>
      <c r="I3740" s="4">
        <v>-32835471.859999999</v>
      </c>
    </row>
    <row r="3741" spans="1:9" x14ac:dyDescent="0.3">
      <c r="A3741" t="s">
        <v>133</v>
      </c>
      <c r="B3741" s="1">
        <v>45889</v>
      </c>
      <c r="C3741" s="1">
        <v>45889</v>
      </c>
      <c r="D3741">
        <v>921936</v>
      </c>
      <c r="E3741">
        <v>282</v>
      </c>
      <c r="F3741" s="3" t="s">
        <v>3279</v>
      </c>
      <c r="G3741" s="4">
        <v>180000</v>
      </c>
      <c r="H3741" s="4">
        <v>0</v>
      </c>
      <c r="I3741" s="4">
        <v>-32655471.859999999</v>
      </c>
    </row>
    <row r="3742" spans="1:9" x14ac:dyDescent="0.3">
      <c r="A3742" t="s">
        <v>133</v>
      </c>
      <c r="B3742" s="1">
        <v>45889</v>
      </c>
      <c r="C3742" s="1">
        <v>45889</v>
      </c>
      <c r="D3742">
        <v>921937</v>
      </c>
      <c r="E3742">
        <v>59</v>
      </c>
      <c r="F3742" s="3" t="s">
        <v>3280</v>
      </c>
      <c r="G3742" s="4">
        <v>26380.75</v>
      </c>
      <c r="H3742" s="4">
        <v>0</v>
      </c>
      <c r="I3742" s="4">
        <v>-32629091.109999999</v>
      </c>
    </row>
    <row r="3743" spans="1:9" x14ac:dyDescent="0.3">
      <c r="A3743" t="s">
        <v>133</v>
      </c>
      <c r="B3743" s="1">
        <v>45889</v>
      </c>
      <c r="C3743" s="1">
        <v>45889</v>
      </c>
      <c r="D3743">
        <v>921939</v>
      </c>
      <c r="E3743">
        <v>77</v>
      </c>
      <c r="F3743" s="3" t="s">
        <v>3281</v>
      </c>
      <c r="G3743" s="4">
        <v>2600000</v>
      </c>
      <c r="H3743" s="4">
        <v>0</v>
      </c>
      <c r="I3743" s="4">
        <v>-30029091.109999999</v>
      </c>
    </row>
    <row r="3744" spans="1:9" x14ac:dyDescent="0.3">
      <c r="A3744" t="s">
        <v>133</v>
      </c>
      <c r="B3744" s="1">
        <v>45889</v>
      </c>
      <c r="C3744" s="1">
        <v>45889</v>
      </c>
      <c r="D3744">
        <v>921941</v>
      </c>
      <c r="E3744">
        <v>45</v>
      </c>
      <c r="F3744" s="3" t="s">
        <v>3282</v>
      </c>
      <c r="G3744" s="4">
        <v>145000</v>
      </c>
      <c r="H3744" s="4">
        <v>0</v>
      </c>
      <c r="I3744" s="4">
        <v>-29884091.109999999</v>
      </c>
    </row>
    <row r="3745" spans="1:9" x14ac:dyDescent="0.3">
      <c r="A3745" t="s">
        <v>133</v>
      </c>
      <c r="B3745" s="1">
        <v>45889</v>
      </c>
      <c r="C3745" s="1">
        <v>45889</v>
      </c>
      <c r="D3745">
        <v>921942</v>
      </c>
      <c r="E3745">
        <v>75</v>
      </c>
      <c r="F3745" s="3" t="s">
        <v>3283</v>
      </c>
      <c r="G3745" s="4">
        <v>45026.5</v>
      </c>
      <c r="H3745" s="4">
        <v>0</v>
      </c>
      <c r="I3745" s="4">
        <v>-29839064.609999999</v>
      </c>
    </row>
    <row r="3746" spans="1:9" x14ac:dyDescent="0.3">
      <c r="A3746" t="s">
        <v>133</v>
      </c>
      <c r="B3746" s="1">
        <v>45889</v>
      </c>
      <c r="C3746" s="1">
        <v>45889</v>
      </c>
      <c r="D3746">
        <v>921945</v>
      </c>
      <c r="E3746">
        <v>351</v>
      </c>
      <c r="F3746" s="3" t="s">
        <v>3284</v>
      </c>
      <c r="G3746" s="4">
        <v>4263.75</v>
      </c>
      <c r="H3746" s="4">
        <v>0</v>
      </c>
      <c r="I3746" s="4">
        <v>-29834800.859999999</v>
      </c>
    </row>
    <row r="3747" spans="1:9" x14ac:dyDescent="0.3">
      <c r="A3747" t="s">
        <v>133</v>
      </c>
      <c r="B3747" s="1">
        <v>45889</v>
      </c>
      <c r="C3747" s="1">
        <v>45889</v>
      </c>
      <c r="D3747">
        <v>921946</v>
      </c>
      <c r="E3747">
        <v>351</v>
      </c>
      <c r="F3747" s="3" t="s">
        <v>3285</v>
      </c>
      <c r="G3747" s="4">
        <v>2179</v>
      </c>
      <c r="H3747" s="4">
        <v>0</v>
      </c>
      <c r="I3747" s="4">
        <v>-29832621.859999999</v>
      </c>
    </row>
    <row r="3748" spans="1:9" x14ac:dyDescent="0.3">
      <c r="A3748" t="s">
        <v>133</v>
      </c>
      <c r="B3748" s="1">
        <v>45889</v>
      </c>
      <c r="C3748" s="1">
        <v>45889</v>
      </c>
      <c r="D3748">
        <v>921950</v>
      </c>
      <c r="E3748">
        <v>46</v>
      </c>
      <c r="F3748" s="3" t="s">
        <v>3286</v>
      </c>
      <c r="G3748" s="4">
        <v>3717</v>
      </c>
      <c r="H3748" s="4">
        <v>0</v>
      </c>
      <c r="I3748" s="4">
        <v>-29828904.859999999</v>
      </c>
    </row>
    <row r="3749" spans="1:9" x14ac:dyDescent="0.3">
      <c r="A3749" t="s">
        <v>133</v>
      </c>
      <c r="B3749" s="1">
        <v>45889</v>
      </c>
      <c r="C3749" s="1">
        <v>45889</v>
      </c>
      <c r="D3749">
        <v>921953</v>
      </c>
      <c r="E3749">
        <v>17</v>
      </c>
      <c r="F3749" s="3" t="s">
        <v>3287</v>
      </c>
      <c r="G3749" s="4">
        <v>240000</v>
      </c>
      <c r="H3749" s="4">
        <v>0</v>
      </c>
      <c r="I3749" s="4">
        <v>-29588904.859999999</v>
      </c>
    </row>
    <row r="3750" spans="1:9" x14ac:dyDescent="0.3">
      <c r="A3750" t="s">
        <v>133</v>
      </c>
      <c r="B3750" s="1">
        <v>45889</v>
      </c>
      <c r="C3750" s="1">
        <v>45889</v>
      </c>
      <c r="D3750">
        <v>921954</v>
      </c>
      <c r="E3750">
        <v>85</v>
      </c>
      <c r="F3750" s="3">
        <v>51101231034</v>
      </c>
      <c r="G3750" s="4">
        <v>9317.25</v>
      </c>
      <c r="H3750" s="4">
        <v>0</v>
      </c>
      <c r="I3750" s="4">
        <v>-29579587.609999999</v>
      </c>
    </row>
    <row r="3751" spans="1:9" x14ac:dyDescent="0.3">
      <c r="A3751" t="s">
        <v>133</v>
      </c>
      <c r="B3751" s="1">
        <v>45889</v>
      </c>
      <c r="C3751" s="1">
        <v>45889</v>
      </c>
      <c r="D3751">
        <v>921955</v>
      </c>
      <c r="E3751">
        <v>75</v>
      </c>
      <c r="F3751" s="3" t="s">
        <v>3288</v>
      </c>
      <c r="G3751" s="4">
        <v>160000</v>
      </c>
      <c r="H3751" s="4">
        <v>0</v>
      </c>
      <c r="I3751" s="4">
        <v>-29419587.609999999</v>
      </c>
    </row>
    <row r="3752" spans="1:9" x14ac:dyDescent="0.3">
      <c r="A3752" t="s">
        <v>133</v>
      </c>
      <c r="B3752" s="1">
        <v>45889</v>
      </c>
      <c r="C3752" s="1">
        <v>45889</v>
      </c>
      <c r="D3752">
        <v>921956</v>
      </c>
      <c r="E3752">
        <v>310</v>
      </c>
      <c r="F3752" s="3" t="s">
        <v>3289</v>
      </c>
      <c r="G3752" s="4">
        <v>2574.25</v>
      </c>
      <c r="H3752" s="4">
        <v>0</v>
      </c>
      <c r="I3752" s="4">
        <v>-29417013.359999999</v>
      </c>
    </row>
    <row r="3753" spans="1:9" x14ac:dyDescent="0.3">
      <c r="A3753" t="s">
        <v>133</v>
      </c>
      <c r="B3753" s="1">
        <v>45889</v>
      </c>
      <c r="C3753" s="1">
        <v>45889</v>
      </c>
      <c r="D3753">
        <v>921958</v>
      </c>
      <c r="E3753">
        <v>85</v>
      </c>
      <c r="F3753" s="3">
        <v>51098635246</v>
      </c>
      <c r="G3753" s="4">
        <v>3827.25</v>
      </c>
      <c r="H3753" s="4">
        <v>0</v>
      </c>
      <c r="I3753" s="4">
        <v>-29413186.109999999</v>
      </c>
    </row>
    <row r="3754" spans="1:9" x14ac:dyDescent="0.3">
      <c r="A3754" t="s">
        <v>133</v>
      </c>
      <c r="B3754" s="1">
        <v>45889</v>
      </c>
      <c r="C3754" s="1">
        <v>45889</v>
      </c>
      <c r="D3754">
        <v>921960</v>
      </c>
      <c r="E3754">
        <v>28</v>
      </c>
      <c r="F3754" s="3" t="s">
        <v>3290</v>
      </c>
      <c r="G3754" s="4">
        <v>20561.25</v>
      </c>
      <c r="H3754" s="4">
        <v>0</v>
      </c>
      <c r="I3754" s="4">
        <v>-29392624.859999999</v>
      </c>
    </row>
    <row r="3755" spans="1:9" x14ac:dyDescent="0.3">
      <c r="A3755" t="s">
        <v>133</v>
      </c>
      <c r="B3755" s="1">
        <v>45889</v>
      </c>
      <c r="C3755" s="1">
        <v>45889</v>
      </c>
      <c r="D3755">
        <v>921961</v>
      </c>
      <c r="E3755">
        <v>84</v>
      </c>
      <c r="F3755" s="3" t="s">
        <v>3291</v>
      </c>
      <c r="G3755" s="4">
        <v>75950</v>
      </c>
      <c r="H3755" s="4">
        <v>0</v>
      </c>
      <c r="I3755" s="4">
        <v>-29316674.859999999</v>
      </c>
    </row>
    <row r="3756" spans="1:9" x14ac:dyDescent="0.3">
      <c r="A3756" t="s">
        <v>133</v>
      </c>
      <c r="B3756" s="1">
        <v>45889</v>
      </c>
      <c r="C3756" s="1">
        <v>45889</v>
      </c>
      <c r="D3756">
        <v>921962</v>
      </c>
      <c r="E3756">
        <v>422</v>
      </c>
      <c r="F3756" s="3" t="s">
        <v>3292</v>
      </c>
      <c r="G3756" s="4">
        <v>116055</v>
      </c>
      <c r="H3756" s="4">
        <v>0</v>
      </c>
      <c r="I3756" s="4">
        <v>-29200619.859999999</v>
      </c>
    </row>
    <row r="3757" spans="1:9" x14ac:dyDescent="0.3">
      <c r="A3757" t="s">
        <v>133</v>
      </c>
      <c r="B3757" s="1">
        <v>45889</v>
      </c>
      <c r="C3757" s="1">
        <v>45889</v>
      </c>
      <c r="D3757">
        <v>921963</v>
      </c>
      <c r="E3757">
        <v>84</v>
      </c>
      <c r="F3757" s="3" t="s">
        <v>3293</v>
      </c>
      <c r="G3757" s="4">
        <v>27615.5</v>
      </c>
      <c r="H3757" s="4">
        <v>0</v>
      </c>
      <c r="I3757" s="4">
        <v>-29173004.359999999</v>
      </c>
    </row>
    <row r="3758" spans="1:9" x14ac:dyDescent="0.3">
      <c r="A3758" t="s">
        <v>133</v>
      </c>
      <c r="B3758" s="1">
        <v>45889</v>
      </c>
      <c r="C3758" s="1">
        <v>45889</v>
      </c>
      <c r="D3758">
        <v>921965</v>
      </c>
      <c r="E3758">
        <v>84</v>
      </c>
      <c r="F3758" s="3" t="s">
        <v>3294</v>
      </c>
      <c r="G3758" s="4">
        <v>8501</v>
      </c>
      <c r="H3758" s="4">
        <v>0</v>
      </c>
      <c r="I3758" s="4">
        <v>-29164503.359999999</v>
      </c>
    </row>
    <row r="3759" spans="1:9" x14ac:dyDescent="0.3">
      <c r="A3759" t="s">
        <v>133</v>
      </c>
      <c r="B3759" s="1">
        <v>45889</v>
      </c>
      <c r="C3759" s="1">
        <v>45889</v>
      </c>
      <c r="D3759">
        <v>921967</v>
      </c>
      <c r="E3759">
        <v>85</v>
      </c>
      <c r="F3759" s="3">
        <v>51101314800</v>
      </c>
      <c r="G3759" s="4">
        <v>29571</v>
      </c>
      <c r="H3759" s="4">
        <v>0</v>
      </c>
      <c r="I3759" s="4">
        <v>-29134932.359999999</v>
      </c>
    </row>
    <row r="3760" spans="1:9" x14ac:dyDescent="0.3">
      <c r="A3760" t="s">
        <v>133</v>
      </c>
      <c r="B3760" s="1">
        <v>45889</v>
      </c>
      <c r="C3760" s="1">
        <v>45889</v>
      </c>
      <c r="D3760">
        <v>921970</v>
      </c>
      <c r="E3760">
        <v>85</v>
      </c>
      <c r="F3760" s="3">
        <v>51100829931</v>
      </c>
      <c r="G3760" s="4">
        <v>14132.5</v>
      </c>
      <c r="H3760" s="4">
        <v>0</v>
      </c>
      <c r="I3760" s="4">
        <v>-29120799.859999999</v>
      </c>
    </row>
    <row r="3761" spans="1:9" x14ac:dyDescent="0.3">
      <c r="A3761" t="s">
        <v>133</v>
      </c>
      <c r="B3761" s="1">
        <v>45889</v>
      </c>
      <c r="C3761" s="1">
        <v>45889</v>
      </c>
      <c r="D3761">
        <v>921972</v>
      </c>
      <c r="E3761">
        <v>220</v>
      </c>
      <c r="F3761" s="3" t="s">
        <v>3295</v>
      </c>
      <c r="G3761" s="4">
        <v>13377.25</v>
      </c>
      <c r="H3761" s="4">
        <v>0</v>
      </c>
      <c r="I3761" s="4">
        <v>-29107422.609999999</v>
      </c>
    </row>
    <row r="3762" spans="1:9" x14ac:dyDescent="0.3">
      <c r="A3762" t="s">
        <v>133</v>
      </c>
      <c r="B3762" s="1">
        <v>45889</v>
      </c>
      <c r="C3762" s="1">
        <v>45889</v>
      </c>
      <c r="D3762">
        <v>921975</v>
      </c>
      <c r="E3762">
        <v>78</v>
      </c>
      <c r="F3762" s="3" t="s">
        <v>3296</v>
      </c>
      <c r="G3762" s="4">
        <v>850</v>
      </c>
      <c r="H3762" s="4">
        <v>0</v>
      </c>
      <c r="I3762" s="4">
        <v>-29106572.609999999</v>
      </c>
    </row>
    <row r="3763" spans="1:9" x14ac:dyDescent="0.3">
      <c r="A3763" t="s">
        <v>133</v>
      </c>
      <c r="B3763" s="1">
        <v>45889</v>
      </c>
      <c r="C3763" s="1">
        <v>45889</v>
      </c>
      <c r="D3763">
        <v>921980</v>
      </c>
      <c r="E3763">
        <v>17</v>
      </c>
      <c r="F3763" s="3" t="s">
        <v>3297</v>
      </c>
      <c r="G3763" s="4">
        <v>10000</v>
      </c>
      <c r="H3763" s="4">
        <v>0</v>
      </c>
      <c r="I3763" s="4">
        <v>-29096572.609999999</v>
      </c>
    </row>
    <row r="3764" spans="1:9" x14ac:dyDescent="0.3">
      <c r="A3764" t="s">
        <v>133</v>
      </c>
      <c r="B3764" s="1">
        <v>45889</v>
      </c>
      <c r="C3764" s="1">
        <v>45889</v>
      </c>
      <c r="D3764">
        <v>921981</v>
      </c>
      <c r="E3764">
        <v>13</v>
      </c>
      <c r="F3764" s="3" t="s">
        <v>3298</v>
      </c>
      <c r="G3764" s="4">
        <v>930000</v>
      </c>
      <c r="H3764" s="4">
        <v>0</v>
      </c>
      <c r="I3764" s="4">
        <v>-28166572.609999999</v>
      </c>
    </row>
    <row r="3765" spans="1:9" x14ac:dyDescent="0.3">
      <c r="A3765" t="s">
        <v>133</v>
      </c>
      <c r="B3765" s="1">
        <v>45889</v>
      </c>
      <c r="C3765" s="1">
        <v>45889</v>
      </c>
      <c r="D3765">
        <v>921984</v>
      </c>
      <c r="E3765">
        <v>14</v>
      </c>
      <c r="F3765" s="3" t="s">
        <v>3299</v>
      </c>
      <c r="G3765" s="4">
        <v>500000</v>
      </c>
      <c r="H3765" s="4">
        <v>0</v>
      </c>
      <c r="I3765" s="4">
        <v>-27666572.609999999</v>
      </c>
    </row>
    <row r="3766" spans="1:9" x14ac:dyDescent="0.3">
      <c r="A3766" t="s">
        <v>133</v>
      </c>
      <c r="B3766" s="1">
        <v>45889</v>
      </c>
      <c r="C3766" s="1">
        <v>45889</v>
      </c>
      <c r="D3766">
        <v>921985</v>
      </c>
      <c r="E3766">
        <v>55</v>
      </c>
      <c r="F3766" s="3" t="s">
        <v>3300</v>
      </c>
      <c r="G3766" s="4">
        <v>160000</v>
      </c>
      <c r="H3766" s="4">
        <v>0</v>
      </c>
      <c r="I3766" s="4">
        <v>-27506572.609999999</v>
      </c>
    </row>
    <row r="3767" spans="1:9" x14ac:dyDescent="0.3">
      <c r="A3767" t="s">
        <v>133</v>
      </c>
      <c r="B3767" s="1">
        <v>45889</v>
      </c>
      <c r="C3767" s="1">
        <v>45889</v>
      </c>
      <c r="D3767">
        <v>921987</v>
      </c>
      <c r="E3767">
        <v>41</v>
      </c>
      <c r="F3767" s="3" t="s">
        <v>3301</v>
      </c>
      <c r="G3767" s="4">
        <v>267.5</v>
      </c>
      <c r="H3767" s="4">
        <v>0</v>
      </c>
      <c r="I3767" s="4">
        <v>-27506305.109999999</v>
      </c>
    </row>
    <row r="3768" spans="1:9" x14ac:dyDescent="0.3">
      <c r="A3768" t="s">
        <v>133</v>
      </c>
      <c r="B3768" s="1">
        <v>45889</v>
      </c>
      <c r="C3768" s="1">
        <v>45889</v>
      </c>
      <c r="D3768">
        <v>921989</v>
      </c>
      <c r="E3768">
        <v>41</v>
      </c>
      <c r="F3768" s="3" t="s">
        <v>3302</v>
      </c>
      <c r="G3768" s="4">
        <v>20000</v>
      </c>
      <c r="H3768" s="4">
        <v>0</v>
      </c>
      <c r="I3768" s="4">
        <v>-27486305.109999999</v>
      </c>
    </row>
    <row r="3769" spans="1:9" x14ac:dyDescent="0.3">
      <c r="A3769" t="s">
        <v>133</v>
      </c>
      <c r="B3769" s="1">
        <v>45889</v>
      </c>
      <c r="C3769" s="1">
        <v>45889</v>
      </c>
      <c r="D3769">
        <v>921990</v>
      </c>
      <c r="E3769">
        <v>27</v>
      </c>
      <c r="F3769" s="3" t="s">
        <v>3303</v>
      </c>
      <c r="G3769" s="4">
        <v>1955</v>
      </c>
      <c r="H3769" s="4">
        <v>0</v>
      </c>
      <c r="I3769" s="4">
        <v>-27484350.109999999</v>
      </c>
    </row>
    <row r="3770" spans="1:9" x14ac:dyDescent="0.3">
      <c r="A3770" t="s">
        <v>133</v>
      </c>
      <c r="B3770" s="1">
        <v>45889</v>
      </c>
      <c r="C3770" s="1">
        <v>45889</v>
      </c>
      <c r="D3770">
        <v>921992</v>
      </c>
      <c r="E3770">
        <v>27</v>
      </c>
      <c r="F3770" s="3" t="s">
        <v>3304</v>
      </c>
      <c r="G3770" s="4">
        <v>50724.5</v>
      </c>
      <c r="H3770" s="4">
        <v>0</v>
      </c>
      <c r="I3770" s="4">
        <v>-27433625.609999999</v>
      </c>
    </row>
    <row r="3771" spans="1:9" x14ac:dyDescent="0.3">
      <c r="A3771" t="s">
        <v>133</v>
      </c>
      <c r="B3771" s="1">
        <v>45889</v>
      </c>
      <c r="C3771" s="1">
        <v>45889</v>
      </c>
      <c r="D3771">
        <v>921993</v>
      </c>
      <c r="E3771">
        <v>27</v>
      </c>
      <c r="F3771" s="3" t="s">
        <v>3305</v>
      </c>
      <c r="G3771" s="4">
        <v>747554.5</v>
      </c>
      <c r="H3771" s="4">
        <v>0</v>
      </c>
      <c r="I3771" s="4">
        <v>-26686071.109999999</v>
      </c>
    </row>
    <row r="3772" spans="1:9" x14ac:dyDescent="0.3">
      <c r="A3772" t="s">
        <v>133</v>
      </c>
      <c r="B3772" s="1">
        <v>45889</v>
      </c>
      <c r="C3772" s="1">
        <v>45889</v>
      </c>
      <c r="D3772">
        <v>921994</v>
      </c>
      <c r="E3772">
        <v>27</v>
      </c>
      <c r="F3772" s="3" t="s">
        <v>3306</v>
      </c>
      <c r="G3772" s="4">
        <v>130487.5</v>
      </c>
      <c r="H3772" s="4">
        <v>0</v>
      </c>
      <c r="I3772" s="4">
        <v>-26555583.609999999</v>
      </c>
    </row>
    <row r="3773" spans="1:9" x14ac:dyDescent="0.3">
      <c r="A3773" t="s">
        <v>133</v>
      </c>
      <c r="B3773" s="1">
        <v>45889</v>
      </c>
      <c r="C3773" s="1">
        <v>45889</v>
      </c>
      <c r="D3773">
        <v>921995</v>
      </c>
      <c r="E3773">
        <v>89</v>
      </c>
      <c r="F3773" s="3" t="s">
        <v>3307</v>
      </c>
      <c r="G3773" s="4">
        <v>2323</v>
      </c>
      <c r="H3773" s="4">
        <v>0</v>
      </c>
      <c r="I3773" s="4">
        <v>-26553260.609999999</v>
      </c>
    </row>
    <row r="3774" spans="1:9" x14ac:dyDescent="0.3">
      <c r="A3774" t="s">
        <v>133</v>
      </c>
      <c r="B3774" s="1">
        <v>45889</v>
      </c>
      <c r="C3774" s="1">
        <v>45889</v>
      </c>
      <c r="D3774">
        <v>921999</v>
      </c>
      <c r="E3774">
        <v>27</v>
      </c>
      <c r="F3774" s="3" t="s">
        <v>3308</v>
      </c>
      <c r="G3774" s="4">
        <v>34539.5</v>
      </c>
      <c r="H3774" s="4">
        <v>0</v>
      </c>
      <c r="I3774" s="4">
        <v>-26518721.109999999</v>
      </c>
    </row>
    <row r="3775" spans="1:9" x14ac:dyDescent="0.3">
      <c r="A3775" t="s">
        <v>133</v>
      </c>
      <c r="B3775" s="1">
        <v>45889</v>
      </c>
      <c r="C3775" s="1">
        <v>45889</v>
      </c>
      <c r="D3775">
        <v>922001</v>
      </c>
      <c r="E3775">
        <v>27</v>
      </c>
      <c r="F3775" s="3" t="s">
        <v>3309</v>
      </c>
      <c r="G3775" s="4">
        <v>57066.75</v>
      </c>
      <c r="H3775" s="4">
        <v>0</v>
      </c>
      <c r="I3775" s="4">
        <v>-26461654.359999999</v>
      </c>
    </row>
    <row r="3776" spans="1:9" x14ac:dyDescent="0.3">
      <c r="A3776" t="s">
        <v>133</v>
      </c>
      <c r="B3776" s="1">
        <v>45889</v>
      </c>
      <c r="C3776" s="1">
        <v>45889</v>
      </c>
      <c r="D3776">
        <v>922003</v>
      </c>
      <c r="E3776">
        <v>45</v>
      </c>
      <c r="F3776" s="3" t="s">
        <v>3310</v>
      </c>
      <c r="G3776" s="4">
        <v>55857.5</v>
      </c>
      <c r="H3776" s="4">
        <v>0</v>
      </c>
      <c r="I3776" s="4">
        <v>-26405796.859999999</v>
      </c>
    </row>
    <row r="3777" spans="1:9" x14ac:dyDescent="0.3">
      <c r="A3777" t="s">
        <v>133</v>
      </c>
      <c r="B3777" s="1">
        <v>45889</v>
      </c>
      <c r="C3777" s="1">
        <v>45889</v>
      </c>
      <c r="D3777">
        <v>922004</v>
      </c>
      <c r="E3777">
        <v>27</v>
      </c>
      <c r="F3777" s="3" t="s">
        <v>3311</v>
      </c>
      <c r="G3777" s="4">
        <v>94401</v>
      </c>
      <c r="H3777" s="4">
        <v>0</v>
      </c>
      <c r="I3777" s="4">
        <v>-26311395.859999999</v>
      </c>
    </row>
    <row r="3778" spans="1:9" x14ac:dyDescent="0.3">
      <c r="A3778" t="s">
        <v>133</v>
      </c>
      <c r="B3778" s="1">
        <v>45889</v>
      </c>
      <c r="C3778" s="1">
        <v>45889</v>
      </c>
      <c r="D3778">
        <v>922005</v>
      </c>
      <c r="E3778">
        <v>27</v>
      </c>
      <c r="F3778" s="3" t="s">
        <v>3312</v>
      </c>
      <c r="G3778" s="4">
        <v>11081</v>
      </c>
      <c r="H3778" s="4">
        <v>0</v>
      </c>
      <c r="I3778" s="4">
        <v>-26300314.859999999</v>
      </c>
    </row>
    <row r="3779" spans="1:9" x14ac:dyDescent="0.3">
      <c r="A3779" t="s">
        <v>133</v>
      </c>
      <c r="B3779" s="1">
        <v>45889</v>
      </c>
      <c r="C3779" s="1">
        <v>45889</v>
      </c>
      <c r="D3779">
        <v>922013</v>
      </c>
      <c r="E3779">
        <v>18</v>
      </c>
      <c r="F3779" s="3" t="s">
        <v>3313</v>
      </c>
      <c r="G3779" s="4">
        <v>290000</v>
      </c>
      <c r="H3779" s="4">
        <v>0</v>
      </c>
      <c r="I3779" s="4">
        <v>-26010314.859999999</v>
      </c>
    </row>
    <row r="3780" spans="1:9" x14ac:dyDescent="0.3">
      <c r="A3780" t="s">
        <v>133</v>
      </c>
      <c r="B3780" s="1">
        <v>45889</v>
      </c>
      <c r="C3780" s="1">
        <v>45889</v>
      </c>
      <c r="D3780">
        <v>922014</v>
      </c>
      <c r="E3780">
        <v>89</v>
      </c>
      <c r="F3780" s="3" t="s">
        <v>3314</v>
      </c>
      <c r="G3780" s="4">
        <v>600000</v>
      </c>
      <c r="H3780" s="4">
        <v>0</v>
      </c>
      <c r="I3780" s="4">
        <v>-25410314.859999999</v>
      </c>
    </row>
    <row r="3781" spans="1:9" x14ac:dyDescent="0.3">
      <c r="A3781" t="s">
        <v>133</v>
      </c>
      <c r="B3781" s="1">
        <v>45889</v>
      </c>
      <c r="C3781" s="1">
        <v>45889</v>
      </c>
      <c r="D3781">
        <v>922017</v>
      </c>
      <c r="E3781">
        <v>74</v>
      </c>
      <c r="F3781" s="3" t="s">
        <v>3315</v>
      </c>
      <c r="G3781" s="4">
        <v>230000</v>
      </c>
      <c r="H3781" s="4">
        <v>0</v>
      </c>
      <c r="I3781" s="4">
        <v>-25180314.859999999</v>
      </c>
    </row>
    <row r="3782" spans="1:9" x14ac:dyDescent="0.3">
      <c r="A3782" t="s">
        <v>133</v>
      </c>
      <c r="B3782" s="1">
        <v>45889</v>
      </c>
      <c r="C3782" s="1">
        <v>45889</v>
      </c>
      <c r="D3782">
        <v>922019</v>
      </c>
      <c r="E3782">
        <v>66</v>
      </c>
      <c r="F3782" s="3" t="s">
        <v>3316</v>
      </c>
      <c r="G3782" s="4">
        <v>200000</v>
      </c>
      <c r="H3782" s="4">
        <v>0</v>
      </c>
      <c r="I3782" s="4">
        <v>-24980314.859999999</v>
      </c>
    </row>
    <row r="3783" spans="1:9" x14ac:dyDescent="0.3">
      <c r="A3783" t="s">
        <v>133</v>
      </c>
      <c r="B3783" s="1">
        <v>45889</v>
      </c>
      <c r="C3783" s="1">
        <v>45889</v>
      </c>
      <c r="D3783">
        <v>922024</v>
      </c>
      <c r="E3783">
        <v>92</v>
      </c>
      <c r="F3783" s="3" t="s">
        <v>3317</v>
      </c>
      <c r="G3783" s="4">
        <v>300000</v>
      </c>
      <c r="H3783" s="4">
        <v>0</v>
      </c>
      <c r="I3783" s="4">
        <v>-24680314.859999999</v>
      </c>
    </row>
    <row r="3784" spans="1:9" x14ac:dyDescent="0.3">
      <c r="A3784" t="s">
        <v>133</v>
      </c>
      <c r="B3784" s="1">
        <v>45889</v>
      </c>
      <c r="C3784" s="1">
        <v>45889</v>
      </c>
      <c r="D3784">
        <v>922025</v>
      </c>
      <c r="E3784">
        <v>58</v>
      </c>
      <c r="F3784" s="3" t="s">
        <v>3318</v>
      </c>
      <c r="G3784" s="4">
        <v>120000</v>
      </c>
      <c r="H3784" s="4">
        <v>0</v>
      </c>
      <c r="I3784" s="4">
        <v>-24560314.859999999</v>
      </c>
    </row>
    <row r="3785" spans="1:9" x14ac:dyDescent="0.3">
      <c r="A3785" t="s">
        <v>133</v>
      </c>
      <c r="B3785" s="1">
        <v>45889</v>
      </c>
      <c r="C3785" s="1">
        <v>45889</v>
      </c>
      <c r="D3785">
        <v>922030</v>
      </c>
      <c r="E3785">
        <v>28</v>
      </c>
      <c r="F3785" s="3" t="s">
        <v>3319</v>
      </c>
      <c r="G3785" s="4">
        <v>150000</v>
      </c>
      <c r="H3785" s="4">
        <v>0</v>
      </c>
      <c r="I3785" s="4">
        <v>-24410314.859999999</v>
      </c>
    </row>
    <row r="3786" spans="1:9" x14ac:dyDescent="0.3">
      <c r="A3786" t="s">
        <v>133</v>
      </c>
      <c r="B3786" s="1">
        <v>45889</v>
      </c>
      <c r="C3786" s="1">
        <v>45889</v>
      </c>
      <c r="D3786">
        <v>922031</v>
      </c>
      <c r="E3786">
        <v>223</v>
      </c>
      <c r="F3786" s="3" t="s">
        <v>3320</v>
      </c>
      <c r="G3786" s="4">
        <v>15991.25</v>
      </c>
      <c r="H3786" s="4">
        <v>0</v>
      </c>
      <c r="I3786" s="4">
        <v>-24394323.609999999</v>
      </c>
    </row>
    <row r="3787" spans="1:9" x14ac:dyDescent="0.3">
      <c r="A3787" t="s">
        <v>133</v>
      </c>
      <c r="B3787" s="1">
        <v>45889</v>
      </c>
      <c r="C3787" s="1">
        <v>45889</v>
      </c>
      <c r="D3787">
        <v>922036</v>
      </c>
      <c r="E3787">
        <v>64</v>
      </c>
      <c r="F3787" s="3" t="s">
        <v>232</v>
      </c>
      <c r="G3787" s="4">
        <v>410000</v>
      </c>
      <c r="H3787" s="4">
        <v>0</v>
      </c>
      <c r="I3787" s="4">
        <v>-23984323.609999999</v>
      </c>
    </row>
    <row r="3788" spans="1:9" x14ac:dyDescent="0.3">
      <c r="A3788" t="s">
        <v>133</v>
      </c>
      <c r="B3788" s="1">
        <v>45889</v>
      </c>
      <c r="C3788" s="1">
        <v>45889</v>
      </c>
      <c r="D3788">
        <v>922042</v>
      </c>
      <c r="E3788">
        <v>361</v>
      </c>
      <c r="F3788" s="3" t="s">
        <v>3321</v>
      </c>
      <c r="G3788" s="4">
        <v>210000</v>
      </c>
      <c r="H3788" s="4">
        <v>0</v>
      </c>
      <c r="I3788" s="4">
        <v>-23774323.609999999</v>
      </c>
    </row>
    <row r="3789" spans="1:9" x14ac:dyDescent="0.3">
      <c r="A3789" t="s">
        <v>133</v>
      </c>
      <c r="B3789" s="1">
        <v>45889</v>
      </c>
      <c r="C3789" s="1">
        <v>45889</v>
      </c>
      <c r="D3789">
        <v>922085</v>
      </c>
      <c r="E3789">
        <v>71</v>
      </c>
      <c r="F3789" s="3" t="s">
        <v>3322</v>
      </c>
      <c r="G3789" s="4">
        <v>270000</v>
      </c>
      <c r="H3789" s="4">
        <v>0</v>
      </c>
      <c r="I3789" s="4">
        <v>-23504323.609999999</v>
      </c>
    </row>
    <row r="3790" spans="1:9" x14ac:dyDescent="0.3">
      <c r="A3790" t="s">
        <v>133</v>
      </c>
      <c r="B3790" s="1">
        <v>45889</v>
      </c>
      <c r="C3790" s="1">
        <v>45889</v>
      </c>
      <c r="D3790">
        <v>922087</v>
      </c>
      <c r="E3790">
        <v>76</v>
      </c>
      <c r="F3790" s="3" t="s">
        <v>3323</v>
      </c>
      <c r="G3790" s="4">
        <v>230000</v>
      </c>
      <c r="H3790" s="4">
        <v>0</v>
      </c>
      <c r="I3790" s="4">
        <v>-23274323.609999999</v>
      </c>
    </row>
    <row r="3791" spans="1:9" x14ac:dyDescent="0.3">
      <c r="A3791" t="s">
        <v>133</v>
      </c>
      <c r="B3791" s="1">
        <v>45889</v>
      </c>
      <c r="C3791" s="1">
        <v>45889</v>
      </c>
      <c r="D3791">
        <v>922089</v>
      </c>
      <c r="E3791">
        <v>72</v>
      </c>
      <c r="F3791" s="3">
        <v>51120565967</v>
      </c>
      <c r="G3791" s="4">
        <v>3856</v>
      </c>
      <c r="H3791" s="4">
        <v>0</v>
      </c>
      <c r="I3791" s="4">
        <v>-23270467.609999999</v>
      </c>
    </row>
    <row r="3792" spans="1:9" x14ac:dyDescent="0.3">
      <c r="A3792" t="s">
        <v>133</v>
      </c>
      <c r="B3792" s="1">
        <v>45889</v>
      </c>
      <c r="C3792" s="1">
        <v>45889</v>
      </c>
      <c r="D3792">
        <v>922096</v>
      </c>
      <c r="E3792">
        <v>12</v>
      </c>
      <c r="F3792" s="3" t="s">
        <v>3324</v>
      </c>
      <c r="G3792" s="4">
        <v>4433.5</v>
      </c>
      <c r="H3792" s="4">
        <v>0</v>
      </c>
      <c r="I3792" s="4">
        <v>-23266034.109999999</v>
      </c>
    </row>
    <row r="3793" spans="1:9" x14ac:dyDescent="0.3">
      <c r="A3793" t="s">
        <v>133</v>
      </c>
      <c r="B3793" s="1">
        <v>45889</v>
      </c>
      <c r="C3793" s="1">
        <v>45889</v>
      </c>
      <c r="D3793">
        <v>922098</v>
      </c>
      <c r="E3793">
        <v>78</v>
      </c>
      <c r="F3793" s="3" t="s">
        <v>3325</v>
      </c>
      <c r="G3793" s="4">
        <v>285000</v>
      </c>
      <c r="H3793" s="4">
        <v>0</v>
      </c>
      <c r="I3793" s="4">
        <v>-22981034.109999999</v>
      </c>
    </row>
    <row r="3794" spans="1:9" x14ac:dyDescent="0.3">
      <c r="A3794" t="s">
        <v>133</v>
      </c>
      <c r="B3794" s="1">
        <v>45889</v>
      </c>
      <c r="C3794" s="1">
        <v>45889</v>
      </c>
      <c r="D3794">
        <v>922104</v>
      </c>
      <c r="E3794">
        <v>85</v>
      </c>
      <c r="F3794" s="3" t="s">
        <v>966</v>
      </c>
      <c r="G3794" s="4">
        <v>550000</v>
      </c>
      <c r="H3794" s="4">
        <v>0</v>
      </c>
      <c r="I3794" s="4">
        <v>-22431034.109999999</v>
      </c>
    </row>
    <row r="3795" spans="1:9" x14ac:dyDescent="0.3">
      <c r="A3795" t="s">
        <v>133</v>
      </c>
      <c r="B3795" s="1">
        <v>45889</v>
      </c>
      <c r="C3795" s="1">
        <v>45889</v>
      </c>
      <c r="D3795">
        <v>922118</v>
      </c>
      <c r="E3795">
        <v>27</v>
      </c>
      <c r="F3795" s="3" t="s">
        <v>3326</v>
      </c>
      <c r="G3795" s="4">
        <v>183760.5</v>
      </c>
      <c r="H3795" s="4">
        <v>0</v>
      </c>
      <c r="I3795" s="4">
        <v>-22247273.609999999</v>
      </c>
    </row>
    <row r="3796" spans="1:9" x14ac:dyDescent="0.3">
      <c r="A3796" t="s">
        <v>133</v>
      </c>
      <c r="B3796" s="1">
        <v>45889</v>
      </c>
      <c r="C3796" s="1">
        <v>45889</v>
      </c>
      <c r="D3796">
        <v>922120</v>
      </c>
      <c r="E3796">
        <v>77</v>
      </c>
      <c r="F3796" s="3" t="s">
        <v>3327</v>
      </c>
      <c r="G3796" s="4">
        <v>270000</v>
      </c>
      <c r="H3796" s="4">
        <v>0</v>
      </c>
      <c r="I3796" s="4">
        <v>-21977273.609999999</v>
      </c>
    </row>
    <row r="3797" spans="1:9" x14ac:dyDescent="0.3">
      <c r="A3797" t="s">
        <v>133</v>
      </c>
      <c r="B3797" s="1">
        <v>45889</v>
      </c>
      <c r="C3797" s="1">
        <v>45889</v>
      </c>
      <c r="D3797">
        <v>922128</v>
      </c>
      <c r="E3797">
        <v>11</v>
      </c>
      <c r="F3797" s="3" t="s">
        <v>3328</v>
      </c>
      <c r="G3797" s="4">
        <v>1130000</v>
      </c>
      <c r="H3797" s="4">
        <v>0</v>
      </c>
      <c r="I3797" s="4">
        <v>-20847273.609999999</v>
      </c>
    </row>
    <row r="3798" spans="1:9" x14ac:dyDescent="0.3">
      <c r="A3798" t="s">
        <v>133</v>
      </c>
      <c r="B3798" s="1">
        <v>45889</v>
      </c>
      <c r="C3798" s="1">
        <v>45889</v>
      </c>
      <c r="D3798">
        <v>922132</v>
      </c>
      <c r="E3798">
        <v>72</v>
      </c>
      <c r="F3798" s="3" t="s">
        <v>3329</v>
      </c>
      <c r="G3798" s="4">
        <v>190000</v>
      </c>
      <c r="H3798" s="4">
        <v>0</v>
      </c>
      <c r="I3798" s="4">
        <v>-20657273.609999999</v>
      </c>
    </row>
    <row r="3799" spans="1:9" x14ac:dyDescent="0.3">
      <c r="A3799" t="s">
        <v>133</v>
      </c>
      <c r="B3799" s="1">
        <v>45889</v>
      </c>
      <c r="C3799" s="1">
        <v>45889</v>
      </c>
      <c r="D3799">
        <v>922133</v>
      </c>
      <c r="E3799">
        <v>63</v>
      </c>
      <c r="F3799" s="3" t="s">
        <v>3330</v>
      </c>
      <c r="G3799" s="4">
        <v>150000</v>
      </c>
      <c r="H3799" s="4">
        <v>0</v>
      </c>
      <c r="I3799" s="4">
        <v>-20507273.609999999</v>
      </c>
    </row>
    <row r="3800" spans="1:9" x14ac:dyDescent="0.3">
      <c r="A3800" t="s">
        <v>133</v>
      </c>
      <c r="B3800" s="1">
        <v>45889</v>
      </c>
      <c r="C3800" s="1">
        <v>45889</v>
      </c>
      <c r="D3800">
        <v>922142</v>
      </c>
      <c r="E3800">
        <v>27</v>
      </c>
      <c r="F3800" s="3" t="s">
        <v>3331</v>
      </c>
      <c r="G3800" s="4">
        <v>6613</v>
      </c>
      <c r="H3800" s="4">
        <v>0</v>
      </c>
      <c r="I3800" s="4">
        <v>-20500660.609999999</v>
      </c>
    </row>
    <row r="3801" spans="1:9" x14ac:dyDescent="0.3">
      <c r="A3801" t="s">
        <v>133</v>
      </c>
      <c r="B3801" s="1">
        <v>45889</v>
      </c>
      <c r="C3801" s="1">
        <v>45889</v>
      </c>
      <c r="D3801">
        <v>922145</v>
      </c>
      <c r="E3801">
        <v>32</v>
      </c>
      <c r="F3801" s="3" t="s">
        <v>217</v>
      </c>
      <c r="G3801" s="4">
        <v>250000</v>
      </c>
      <c r="H3801" s="4">
        <v>0</v>
      </c>
      <c r="I3801" s="4">
        <v>-20250660.609999999</v>
      </c>
    </row>
    <row r="3802" spans="1:9" x14ac:dyDescent="0.3">
      <c r="A3802" t="s">
        <v>133</v>
      </c>
      <c r="B3802" s="1">
        <v>45889</v>
      </c>
      <c r="C3802" s="1">
        <v>45889</v>
      </c>
      <c r="D3802">
        <v>922156</v>
      </c>
      <c r="E3802">
        <v>16</v>
      </c>
      <c r="F3802" s="3" t="s">
        <v>3332</v>
      </c>
      <c r="G3802" s="4">
        <v>300000</v>
      </c>
      <c r="H3802" s="4">
        <v>0</v>
      </c>
      <c r="I3802" s="4">
        <v>-19950660.609999999</v>
      </c>
    </row>
    <row r="3803" spans="1:9" x14ac:dyDescent="0.3">
      <c r="A3803" t="s">
        <v>133</v>
      </c>
      <c r="B3803" s="1">
        <v>45889</v>
      </c>
      <c r="C3803" s="1">
        <v>45889</v>
      </c>
      <c r="D3803">
        <v>922159</v>
      </c>
      <c r="E3803">
        <v>27</v>
      </c>
      <c r="F3803" s="3" t="s">
        <v>3333</v>
      </c>
      <c r="G3803" s="4">
        <v>73544.5</v>
      </c>
      <c r="H3803" s="4">
        <v>0</v>
      </c>
      <c r="I3803" s="4">
        <v>-19877116.109999999</v>
      </c>
    </row>
    <row r="3804" spans="1:9" x14ac:dyDescent="0.3">
      <c r="A3804" t="s">
        <v>133</v>
      </c>
      <c r="B3804" s="1">
        <v>45889</v>
      </c>
      <c r="C3804" s="1">
        <v>45889</v>
      </c>
      <c r="D3804">
        <v>922167</v>
      </c>
      <c r="E3804">
        <v>12</v>
      </c>
      <c r="F3804" s="3" t="s">
        <v>3334</v>
      </c>
      <c r="G3804" s="4">
        <v>270</v>
      </c>
      <c r="H3804" s="4">
        <v>0</v>
      </c>
      <c r="I3804" s="4">
        <v>-19876846.109999999</v>
      </c>
    </row>
    <row r="3805" spans="1:9" x14ac:dyDescent="0.3">
      <c r="A3805" t="s">
        <v>133</v>
      </c>
      <c r="B3805" s="1">
        <v>45889</v>
      </c>
      <c r="C3805" s="1">
        <v>45889</v>
      </c>
      <c r="D3805">
        <v>922168</v>
      </c>
      <c r="E3805">
        <v>310</v>
      </c>
      <c r="F3805" s="3" t="s">
        <v>3335</v>
      </c>
      <c r="G3805" s="4">
        <v>600000</v>
      </c>
      <c r="H3805" s="4">
        <v>0</v>
      </c>
      <c r="I3805" s="4">
        <v>-19276846.109999999</v>
      </c>
    </row>
    <row r="3806" spans="1:9" x14ac:dyDescent="0.3">
      <c r="A3806" t="s">
        <v>133</v>
      </c>
      <c r="B3806" s="1">
        <v>45889</v>
      </c>
      <c r="C3806" s="1">
        <v>45889</v>
      </c>
      <c r="D3806">
        <v>922169</v>
      </c>
      <c r="E3806">
        <v>82</v>
      </c>
      <c r="F3806" s="3" t="s">
        <v>3336</v>
      </c>
      <c r="G3806" s="4">
        <v>440880.5</v>
      </c>
      <c r="H3806" s="4">
        <v>0</v>
      </c>
      <c r="I3806" s="4">
        <v>-18835965.609999999</v>
      </c>
    </row>
    <row r="3807" spans="1:9" x14ac:dyDescent="0.3">
      <c r="A3807" t="s">
        <v>133</v>
      </c>
      <c r="B3807" s="1">
        <v>45889</v>
      </c>
      <c r="C3807" s="1">
        <v>45889</v>
      </c>
      <c r="D3807">
        <v>922173</v>
      </c>
      <c r="E3807">
        <v>78</v>
      </c>
      <c r="F3807" s="3" t="s">
        <v>3337</v>
      </c>
      <c r="G3807" s="4">
        <v>22703</v>
      </c>
      <c r="H3807" s="4">
        <v>0</v>
      </c>
      <c r="I3807" s="4">
        <v>-18813262.609999999</v>
      </c>
    </row>
    <row r="3808" spans="1:9" x14ac:dyDescent="0.3">
      <c r="A3808" t="s">
        <v>133</v>
      </c>
      <c r="B3808" s="1">
        <v>45889</v>
      </c>
      <c r="C3808" s="1">
        <v>45889</v>
      </c>
      <c r="D3808">
        <v>922177</v>
      </c>
      <c r="E3808">
        <v>33</v>
      </c>
      <c r="F3808" s="3" t="s">
        <v>3338</v>
      </c>
      <c r="G3808" s="4">
        <v>330000</v>
      </c>
      <c r="H3808" s="4">
        <v>0</v>
      </c>
      <c r="I3808" s="4">
        <v>-18483262.609999999</v>
      </c>
    </row>
    <row r="3809" spans="1:9" x14ac:dyDescent="0.3">
      <c r="A3809" t="s">
        <v>133</v>
      </c>
      <c r="B3809" s="1">
        <v>45889</v>
      </c>
      <c r="C3809" s="1">
        <v>45889</v>
      </c>
      <c r="D3809">
        <v>922182</v>
      </c>
      <c r="E3809">
        <v>89</v>
      </c>
      <c r="F3809" s="3" t="s">
        <v>3339</v>
      </c>
      <c r="G3809" s="4">
        <v>300000</v>
      </c>
      <c r="H3809" s="4">
        <v>0</v>
      </c>
      <c r="I3809" s="4">
        <v>-18183262.609999999</v>
      </c>
    </row>
    <row r="3810" spans="1:9" x14ac:dyDescent="0.3">
      <c r="A3810" t="s">
        <v>133</v>
      </c>
      <c r="B3810" s="1">
        <v>45889</v>
      </c>
      <c r="C3810" s="1">
        <v>45889</v>
      </c>
      <c r="D3810">
        <v>922184</v>
      </c>
      <c r="E3810">
        <v>84</v>
      </c>
      <c r="F3810" s="3" t="s">
        <v>3340</v>
      </c>
      <c r="G3810" s="4">
        <v>270000</v>
      </c>
      <c r="H3810" s="4">
        <v>0</v>
      </c>
      <c r="I3810" s="4">
        <v>-17913262.609999999</v>
      </c>
    </row>
    <row r="3811" spans="1:9" x14ac:dyDescent="0.3">
      <c r="A3811" t="s">
        <v>133</v>
      </c>
      <c r="B3811" s="1">
        <v>45889</v>
      </c>
      <c r="C3811" s="1">
        <v>45889</v>
      </c>
      <c r="D3811">
        <v>922186</v>
      </c>
      <c r="E3811">
        <v>382</v>
      </c>
      <c r="F3811" s="3" t="s">
        <v>3341</v>
      </c>
      <c r="G3811" s="4">
        <v>500000</v>
      </c>
      <c r="H3811" s="4">
        <v>0</v>
      </c>
      <c r="I3811" s="4">
        <v>-17413262.609999999</v>
      </c>
    </row>
    <row r="3812" spans="1:9" x14ac:dyDescent="0.3">
      <c r="A3812" t="s">
        <v>133</v>
      </c>
      <c r="B3812" s="1">
        <v>45889</v>
      </c>
      <c r="C3812" s="1">
        <v>45889</v>
      </c>
      <c r="D3812">
        <v>922188</v>
      </c>
      <c r="E3812">
        <v>12</v>
      </c>
      <c r="F3812" s="3">
        <v>464</v>
      </c>
      <c r="G3812" s="4">
        <v>164876</v>
      </c>
      <c r="H3812" s="4">
        <v>0</v>
      </c>
      <c r="I3812" s="4">
        <v>-17248386.609999999</v>
      </c>
    </row>
    <row r="3813" spans="1:9" x14ac:dyDescent="0.3">
      <c r="A3813" t="s">
        <v>133</v>
      </c>
      <c r="B3813" s="1">
        <v>45889</v>
      </c>
      <c r="C3813" s="1">
        <v>45889</v>
      </c>
      <c r="D3813">
        <v>922193</v>
      </c>
      <c r="E3813">
        <v>80</v>
      </c>
      <c r="F3813" s="3" t="s">
        <v>3342</v>
      </c>
      <c r="G3813" s="4">
        <v>310000</v>
      </c>
      <c r="H3813" s="4">
        <v>0</v>
      </c>
      <c r="I3813" s="4">
        <v>-16938386.609999999</v>
      </c>
    </row>
    <row r="3814" spans="1:9" x14ac:dyDescent="0.3">
      <c r="A3814" t="s">
        <v>133</v>
      </c>
      <c r="B3814" s="1">
        <v>45889</v>
      </c>
      <c r="C3814" s="1">
        <v>45889</v>
      </c>
      <c r="D3814">
        <v>922194</v>
      </c>
      <c r="E3814">
        <v>91</v>
      </c>
      <c r="F3814" s="3">
        <v>4638</v>
      </c>
      <c r="G3814" s="4">
        <v>110310</v>
      </c>
      <c r="H3814" s="4">
        <v>0</v>
      </c>
      <c r="I3814" s="4">
        <v>-16828076.609999999</v>
      </c>
    </row>
    <row r="3815" spans="1:9" x14ac:dyDescent="0.3">
      <c r="A3815" t="s">
        <v>133</v>
      </c>
      <c r="B3815" s="1">
        <v>45889</v>
      </c>
      <c r="C3815" s="1">
        <v>45889</v>
      </c>
      <c r="D3815">
        <v>922196</v>
      </c>
      <c r="E3815">
        <v>91</v>
      </c>
      <c r="F3815" s="3">
        <v>1536</v>
      </c>
      <c r="G3815" s="4">
        <v>122634</v>
      </c>
      <c r="H3815" s="4">
        <v>0</v>
      </c>
      <c r="I3815" s="4">
        <v>-16705442.609999999</v>
      </c>
    </row>
    <row r="3816" spans="1:9" x14ac:dyDescent="0.3">
      <c r="A3816" t="s">
        <v>133</v>
      </c>
      <c r="B3816" s="1">
        <v>45889</v>
      </c>
      <c r="C3816" s="1">
        <v>45889</v>
      </c>
      <c r="D3816">
        <v>922197</v>
      </c>
      <c r="E3816">
        <v>56</v>
      </c>
      <c r="F3816" s="3" t="s">
        <v>3343</v>
      </c>
      <c r="G3816" s="4">
        <v>120000</v>
      </c>
      <c r="H3816" s="4">
        <v>0</v>
      </c>
      <c r="I3816" s="4">
        <v>-16585442.609999999</v>
      </c>
    </row>
    <row r="3817" spans="1:9" x14ac:dyDescent="0.3">
      <c r="A3817" t="s">
        <v>133</v>
      </c>
      <c r="B3817" s="1">
        <v>45889</v>
      </c>
      <c r="C3817" s="1">
        <v>45889</v>
      </c>
      <c r="D3817">
        <v>922198</v>
      </c>
      <c r="E3817">
        <v>78</v>
      </c>
      <c r="F3817" s="3" t="s">
        <v>3344</v>
      </c>
      <c r="G3817" s="4">
        <v>179</v>
      </c>
      <c r="H3817" s="4">
        <v>0</v>
      </c>
      <c r="I3817" s="4">
        <v>-16585263.609999999</v>
      </c>
    </row>
    <row r="3818" spans="1:9" x14ac:dyDescent="0.3">
      <c r="A3818" t="s">
        <v>133</v>
      </c>
      <c r="B3818" s="1">
        <v>45889</v>
      </c>
      <c r="C3818" s="1">
        <v>45889</v>
      </c>
      <c r="D3818">
        <v>922200</v>
      </c>
      <c r="E3818">
        <v>61</v>
      </c>
      <c r="F3818" s="3" t="s">
        <v>3345</v>
      </c>
      <c r="G3818" s="4">
        <v>210000</v>
      </c>
      <c r="H3818" s="4">
        <v>0</v>
      </c>
      <c r="I3818" s="4">
        <v>-16375263.609999999</v>
      </c>
    </row>
    <row r="3819" spans="1:9" x14ac:dyDescent="0.3">
      <c r="A3819" t="s">
        <v>133</v>
      </c>
      <c r="B3819" s="1">
        <v>45889</v>
      </c>
      <c r="C3819" s="1">
        <v>45889</v>
      </c>
      <c r="D3819">
        <v>922201</v>
      </c>
      <c r="E3819">
        <v>91</v>
      </c>
      <c r="F3819" s="3">
        <v>1534</v>
      </c>
      <c r="G3819" s="4">
        <v>218652.25</v>
      </c>
      <c r="H3819" s="4">
        <v>0</v>
      </c>
      <c r="I3819" s="4">
        <v>-16156611.359999999</v>
      </c>
    </row>
    <row r="3820" spans="1:9" x14ac:dyDescent="0.3">
      <c r="A3820" t="s">
        <v>133</v>
      </c>
      <c r="B3820" s="1">
        <v>45889</v>
      </c>
      <c r="C3820" s="1">
        <v>45889</v>
      </c>
      <c r="D3820">
        <v>922204</v>
      </c>
      <c r="E3820">
        <v>53</v>
      </c>
      <c r="F3820" s="3" t="s">
        <v>3346</v>
      </c>
      <c r="G3820" s="4">
        <v>110000</v>
      </c>
      <c r="H3820" s="4">
        <v>0</v>
      </c>
      <c r="I3820" s="4">
        <v>-16046611.359999999</v>
      </c>
    </row>
    <row r="3821" spans="1:9" x14ac:dyDescent="0.3">
      <c r="A3821" t="s">
        <v>133</v>
      </c>
      <c r="B3821" s="1">
        <v>45889</v>
      </c>
      <c r="C3821" s="1">
        <v>45889</v>
      </c>
      <c r="D3821">
        <v>922205</v>
      </c>
      <c r="E3821">
        <v>62</v>
      </c>
      <c r="F3821" s="3" t="s">
        <v>3347</v>
      </c>
      <c r="G3821" s="4">
        <v>400000</v>
      </c>
      <c r="H3821" s="4">
        <v>0</v>
      </c>
      <c r="I3821" s="4">
        <v>-15646611.359999999</v>
      </c>
    </row>
    <row r="3822" spans="1:9" x14ac:dyDescent="0.3">
      <c r="A3822" t="s">
        <v>133</v>
      </c>
      <c r="B3822" s="1">
        <v>45889</v>
      </c>
      <c r="C3822" s="1">
        <v>45889</v>
      </c>
      <c r="D3822">
        <v>922209</v>
      </c>
      <c r="E3822">
        <v>282</v>
      </c>
      <c r="F3822" s="3" t="s">
        <v>3348</v>
      </c>
      <c r="G3822" s="4">
        <v>159301.75</v>
      </c>
      <c r="H3822" s="4">
        <v>0</v>
      </c>
      <c r="I3822" s="4">
        <v>-15487309.609999999</v>
      </c>
    </row>
    <row r="3823" spans="1:9" x14ac:dyDescent="0.3">
      <c r="A3823" t="s">
        <v>133</v>
      </c>
      <c r="B3823" s="1">
        <v>45889</v>
      </c>
      <c r="C3823" s="1">
        <v>45889</v>
      </c>
      <c r="D3823">
        <v>922210</v>
      </c>
      <c r="E3823">
        <v>84</v>
      </c>
      <c r="F3823" s="3" t="s">
        <v>3349</v>
      </c>
      <c r="G3823" s="4">
        <v>6743.5</v>
      </c>
      <c r="H3823" s="4">
        <v>0</v>
      </c>
      <c r="I3823" s="4">
        <v>-15480566.109999999</v>
      </c>
    </row>
    <row r="3824" spans="1:9" x14ac:dyDescent="0.3">
      <c r="A3824" t="s">
        <v>133</v>
      </c>
      <c r="B3824" s="1">
        <v>45889</v>
      </c>
      <c r="C3824" s="1">
        <v>45889</v>
      </c>
      <c r="D3824">
        <v>922212</v>
      </c>
      <c r="E3824">
        <v>16</v>
      </c>
      <c r="F3824" s="3" t="s">
        <v>3350</v>
      </c>
      <c r="G3824" s="4">
        <v>226641.25</v>
      </c>
      <c r="H3824" s="4">
        <v>0</v>
      </c>
      <c r="I3824" s="4">
        <v>-15253924.859999999</v>
      </c>
    </row>
    <row r="3825" spans="1:9" x14ac:dyDescent="0.3">
      <c r="A3825" t="s">
        <v>133</v>
      </c>
      <c r="B3825" s="1">
        <v>45889</v>
      </c>
      <c r="C3825" s="1">
        <v>45889</v>
      </c>
      <c r="D3825">
        <v>922213</v>
      </c>
      <c r="E3825">
        <v>16</v>
      </c>
      <c r="F3825" s="3" t="s">
        <v>3351</v>
      </c>
      <c r="G3825" s="4">
        <v>16455</v>
      </c>
      <c r="H3825" s="4">
        <v>0</v>
      </c>
      <c r="I3825" s="4">
        <v>-15237469.859999999</v>
      </c>
    </row>
    <row r="3826" spans="1:9" x14ac:dyDescent="0.3">
      <c r="A3826" t="s">
        <v>133</v>
      </c>
      <c r="B3826" s="1">
        <v>45889</v>
      </c>
      <c r="C3826" s="1">
        <v>45889</v>
      </c>
      <c r="D3826">
        <v>922215</v>
      </c>
      <c r="E3826">
        <v>26</v>
      </c>
      <c r="F3826" s="3" t="s">
        <v>3352</v>
      </c>
      <c r="G3826" s="4">
        <v>350280</v>
      </c>
      <c r="H3826" s="4">
        <v>0</v>
      </c>
      <c r="I3826" s="4">
        <v>-14887189.859999999</v>
      </c>
    </row>
    <row r="3827" spans="1:9" x14ac:dyDescent="0.3">
      <c r="A3827" t="s">
        <v>133</v>
      </c>
      <c r="B3827" s="1">
        <v>45889</v>
      </c>
      <c r="C3827" s="1">
        <v>45889</v>
      </c>
      <c r="D3827">
        <v>922222</v>
      </c>
      <c r="E3827">
        <v>92</v>
      </c>
      <c r="F3827" s="3" t="s">
        <v>3353</v>
      </c>
      <c r="G3827" s="4">
        <v>23977</v>
      </c>
      <c r="H3827" s="4">
        <v>0</v>
      </c>
      <c r="I3827" s="4">
        <v>-14863212.859999999</v>
      </c>
    </row>
    <row r="3828" spans="1:9" x14ac:dyDescent="0.3">
      <c r="A3828" t="s">
        <v>133</v>
      </c>
      <c r="B3828" s="1">
        <v>45889</v>
      </c>
      <c r="C3828" s="1">
        <v>45889</v>
      </c>
      <c r="D3828">
        <v>922227</v>
      </c>
      <c r="E3828">
        <v>98</v>
      </c>
      <c r="F3828" s="3" t="s">
        <v>3354</v>
      </c>
      <c r="G3828" s="4">
        <v>190000</v>
      </c>
      <c r="H3828" s="4">
        <v>0</v>
      </c>
      <c r="I3828" s="4">
        <v>-14673212.859999999</v>
      </c>
    </row>
    <row r="3829" spans="1:9" x14ac:dyDescent="0.3">
      <c r="A3829" t="s">
        <v>133</v>
      </c>
      <c r="B3829" s="1">
        <v>45889</v>
      </c>
      <c r="C3829" s="1">
        <v>45889</v>
      </c>
      <c r="D3829">
        <v>922229</v>
      </c>
      <c r="E3829">
        <v>70</v>
      </c>
      <c r="F3829" s="3" t="s">
        <v>3355</v>
      </c>
      <c r="G3829" s="4">
        <v>310000</v>
      </c>
      <c r="H3829" s="4">
        <v>0</v>
      </c>
      <c r="I3829" s="4">
        <v>-14363212.859999999</v>
      </c>
    </row>
    <row r="3830" spans="1:9" x14ac:dyDescent="0.3">
      <c r="A3830" t="s">
        <v>133</v>
      </c>
      <c r="B3830" s="1">
        <v>45889</v>
      </c>
      <c r="C3830" s="1">
        <v>45889</v>
      </c>
      <c r="D3830">
        <v>922231</v>
      </c>
      <c r="E3830">
        <v>79</v>
      </c>
      <c r="F3830" s="3" t="s">
        <v>3356</v>
      </c>
      <c r="G3830" s="4">
        <v>500000</v>
      </c>
      <c r="H3830" s="4">
        <v>0</v>
      </c>
      <c r="I3830" s="4">
        <v>-13863212.859999999</v>
      </c>
    </row>
    <row r="3831" spans="1:9" x14ac:dyDescent="0.3">
      <c r="A3831" t="s">
        <v>133</v>
      </c>
      <c r="B3831" s="1">
        <v>45889</v>
      </c>
      <c r="C3831" s="1">
        <v>45889</v>
      </c>
      <c r="D3831">
        <v>922233</v>
      </c>
      <c r="E3831">
        <v>11</v>
      </c>
      <c r="F3831" s="3" t="s">
        <v>3357</v>
      </c>
      <c r="G3831" s="4">
        <v>220714.5</v>
      </c>
      <c r="H3831" s="4">
        <v>0</v>
      </c>
      <c r="I3831" s="4">
        <v>-13642498.359999999</v>
      </c>
    </row>
    <row r="3832" spans="1:9" x14ac:dyDescent="0.3">
      <c r="A3832" t="s">
        <v>133</v>
      </c>
      <c r="B3832" s="1">
        <v>45889</v>
      </c>
      <c r="C3832" s="1">
        <v>45889</v>
      </c>
      <c r="D3832">
        <v>922234</v>
      </c>
      <c r="E3832">
        <v>13</v>
      </c>
      <c r="F3832" s="3">
        <v>2200</v>
      </c>
      <c r="G3832" s="4">
        <v>6843</v>
      </c>
      <c r="H3832" s="4">
        <v>0</v>
      </c>
      <c r="I3832" s="4">
        <v>-13635655.359999999</v>
      </c>
    </row>
    <row r="3833" spans="1:9" x14ac:dyDescent="0.3">
      <c r="A3833" t="s">
        <v>133</v>
      </c>
      <c r="B3833" s="1">
        <v>45889</v>
      </c>
      <c r="C3833" s="1">
        <v>45889</v>
      </c>
      <c r="D3833">
        <v>922240</v>
      </c>
      <c r="E3833">
        <v>72</v>
      </c>
      <c r="F3833" s="3" t="s">
        <v>3358</v>
      </c>
      <c r="G3833" s="4">
        <v>3000</v>
      </c>
      <c r="H3833" s="4">
        <v>0</v>
      </c>
      <c r="I3833" s="4">
        <v>-13632655.359999999</v>
      </c>
    </row>
    <row r="3834" spans="1:9" x14ac:dyDescent="0.3">
      <c r="A3834" t="s">
        <v>133</v>
      </c>
      <c r="B3834" s="1">
        <v>45889</v>
      </c>
      <c r="C3834" s="1">
        <v>45889</v>
      </c>
      <c r="D3834">
        <v>922242</v>
      </c>
      <c r="E3834">
        <v>85</v>
      </c>
      <c r="F3834" s="3" t="s">
        <v>3359</v>
      </c>
      <c r="G3834" s="4">
        <v>1404.25</v>
      </c>
      <c r="H3834" s="4">
        <v>0</v>
      </c>
      <c r="I3834" s="4">
        <v>-13631251.109999999</v>
      </c>
    </row>
    <row r="3835" spans="1:9" x14ac:dyDescent="0.3">
      <c r="A3835" t="s">
        <v>133</v>
      </c>
      <c r="B3835" s="1">
        <v>45889</v>
      </c>
      <c r="C3835" s="1">
        <v>45889</v>
      </c>
      <c r="D3835">
        <v>922245</v>
      </c>
      <c r="E3835">
        <v>85</v>
      </c>
      <c r="F3835" s="3" t="s">
        <v>3360</v>
      </c>
      <c r="G3835" s="4">
        <v>6878.25</v>
      </c>
      <c r="H3835" s="4">
        <v>0</v>
      </c>
      <c r="I3835" s="4">
        <v>-13624372.859999999</v>
      </c>
    </row>
    <row r="3836" spans="1:9" x14ac:dyDescent="0.3">
      <c r="A3836" t="s">
        <v>133</v>
      </c>
      <c r="B3836" s="1">
        <v>45889</v>
      </c>
      <c r="C3836" s="1">
        <v>45889</v>
      </c>
      <c r="D3836">
        <v>922249</v>
      </c>
      <c r="E3836">
        <v>23</v>
      </c>
      <c r="F3836" s="3" t="s">
        <v>181</v>
      </c>
      <c r="G3836" s="4">
        <v>350000</v>
      </c>
      <c r="H3836" s="4">
        <v>0</v>
      </c>
      <c r="I3836" s="4">
        <v>-13274372.859999999</v>
      </c>
    </row>
    <row r="3837" spans="1:9" x14ac:dyDescent="0.3">
      <c r="A3837" t="s">
        <v>133</v>
      </c>
      <c r="B3837" s="1">
        <v>45889</v>
      </c>
      <c r="C3837" s="1">
        <v>45889</v>
      </c>
      <c r="D3837">
        <v>922250</v>
      </c>
      <c r="E3837">
        <v>27</v>
      </c>
      <c r="F3837" s="3" t="s">
        <v>3361</v>
      </c>
      <c r="G3837" s="4">
        <v>200000</v>
      </c>
      <c r="H3837" s="4">
        <v>0</v>
      </c>
      <c r="I3837" s="4">
        <v>-13074372.859999999</v>
      </c>
    </row>
    <row r="3838" spans="1:9" x14ac:dyDescent="0.3">
      <c r="A3838" t="s">
        <v>133</v>
      </c>
      <c r="B3838" s="1">
        <v>45889</v>
      </c>
      <c r="C3838" s="1">
        <v>45889</v>
      </c>
      <c r="D3838">
        <v>922251</v>
      </c>
      <c r="E3838">
        <v>85</v>
      </c>
      <c r="F3838" s="3" t="s">
        <v>3362</v>
      </c>
      <c r="G3838" s="4">
        <v>1404.25</v>
      </c>
      <c r="H3838" s="4">
        <v>0</v>
      </c>
      <c r="I3838" s="4">
        <v>-13072968.609999999</v>
      </c>
    </row>
    <row r="3839" spans="1:9" x14ac:dyDescent="0.3">
      <c r="A3839" t="s">
        <v>133</v>
      </c>
      <c r="B3839" s="1">
        <v>45889</v>
      </c>
      <c r="C3839" s="1">
        <v>45889</v>
      </c>
      <c r="D3839">
        <v>922259</v>
      </c>
      <c r="E3839">
        <v>542</v>
      </c>
      <c r="F3839" s="3" t="s">
        <v>3363</v>
      </c>
      <c r="G3839" s="4">
        <v>6519</v>
      </c>
      <c r="H3839" s="4">
        <v>0</v>
      </c>
      <c r="I3839" s="4">
        <v>-13066449.609999999</v>
      </c>
    </row>
    <row r="3840" spans="1:9" x14ac:dyDescent="0.3">
      <c r="A3840" t="s">
        <v>133</v>
      </c>
      <c r="B3840" s="1">
        <v>45889</v>
      </c>
      <c r="C3840" s="1">
        <v>45889</v>
      </c>
      <c r="D3840">
        <v>922260</v>
      </c>
      <c r="E3840">
        <v>85</v>
      </c>
      <c r="F3840" s="3" t="s">
        <v>3364</v>
      </c>
      <c r="G3840" s="4">
        <v>4654.25</v>
      </c>
      <c r="H3840" s="4">
        <v>0</v>
      </c>
      <c r="I3840" s="4">
        <v>-13061795.359999999</v>
      </c>
    </row>
    <row r="3841" spans="1:9" x14ac:dyDescent="0.3">
      <c r="A3841" t="s">
        <v>133</v>
      </c>
      <c r="B3841" s="1">
        <v>45889</v>
      </c>
      <c r="C3841" s="1">
        <v>45889</v>
      </c>
      <c r="D3841">
        <v>922261</v>
      </c>
      <c r="E3841">
        <v>43</v>
      </c>
      <c r="F3841" s="3" t="s">
        <v>3365</v>
      </c>
      <c r="G3841" s="4">
        <v>3527.75</v>
      </c>
      <c r="H3841" s="4">
        <v>0</v>
      </c>
      <c r="I3841" s="4">
        <v>-13058267.609999999</v>
      </c>
    </row>
    <row r="3842" spans="1:9" x14ac:dyDescent="0.3">
      <c r="A3842" t="s">
        <v>133</v>
      </c>
      <c r="B3842" s="1">
        <v>45889</v>
      </c>
      <c r="C3842" s="1">
        <v>45889</v>
      </c>
      <c r="D3842">
        <v>922262</v>
      </c>
      <c r="E3842">
        <v>422</v>
      </c>
      <c r="F3842" s="3" t="s">
        <v>3366</v>
      </c>
      <c r="G3842" s="4">
        <v>57204.5</v>
      </c>
      <c r="H3842" s="4">
        <v>0</v>
      </c>
      <c r="I3842" s="4">
        <v>-13001063.109999999</v>
      </c>
    </row>
    <row r="3843" spans="1:9" x14ac:dyDescent="0.3">
      <c r="A3843" t="s">
        <v>133</v>
      </c>
      <c r="B3843" s="1">
        <v>45889</v>
      </c>
      <c r="C3843" s="1">
        <v>45889</v>
      </c>
      <c r="D3843">
        <v>922263</v>
      </c>
      <c r="E3843">
        <v>82</v>
      </c>
      <c r="F3843" s="3">
        <v>5620820003657</v>
      </c>
      <c r="G3843" s="4">
        <v>2712.75</v>
      </c>
      <c r="H3843" s="4">
        <v>0</v>
      </c>
      <c r="I3843" s="4">
        <v>-12998350.359999999</v>
      </c>
    </row>
    <row r="3844" spans="1:9" x14ac:dyDescent="0.3">
      <c r="A3844" t="s">
        <v>133</v>
      </c>
      <c r="B3844" s="1">
        <v>45889</v>
      </c>
      <c r="C3844" s="1">
        <v>45889</v>
      </c>
      <c r="D3844">
        <v>922264</v>
      </c>
      <c r="E3844">
        <v>85</v>
      </c>
      <c r="F3844" s="3" t="s">
        <v>3367</v>
      </c>
      <c r="G3844" s="4">
        <v>3652</v>
      </c>
      <c r="H3844" s="4">
        <v>0</v>
      </c>
      <c r="I3844" s="4">
        <v>-12994698.359999999</v>
      </c>
    </row>
    <row r="3845" spans="1:9" x14ac:dyDescent="0.3">
      <c r="A3845" t="s">
        <v>133</v>
      </c>
      <c r="B3845" s="1">
        <v>45889</v>
      </c>
      <c r="C3845" s="1">
        <v>45889</v>
      </c>
      <c r="D3845">
        <v>922266</v>
      </c>
      <c r="E3845">
        <v>77</v>
      </c>
      <c r="F3845" s="3" t="s">
        <v>3368</v>
      </c>
      <c r="G3845" s="4">
        <v>72856.5</v>
      </c>
      <c r="H3845" s="4">
        <v>0</v>
      </c>
      <c r="I3845" s="4">
        <v>-12921841.859999999</v>
      </c>
    </row>
    <row r="3846" spans="1:9" x14ac:dyDescent="0.3">
      <c r="A3846" t="s">
        <v>133</v>
      </c>
      <c r="B3846" s="1">
        <v>45889</v>
      </c>
      <c r="C3846" s="1">
        <v>45889</v>
      </c>
      <c r="D3846">
        <v>922273</v>
      </c>
      <c r="E3846">
        <v>28</v>
      </c>
      <c r="F3846" s="3">
        <v>51122380519</v>
      </c>
      <c r="G3846" s="4">
        <v>12705</v>
      </c>
      <c r="H3846" s="4">
        <v>0</v>
      </c>
      <c r="I3846" s="4">
        <v>-12909136.859999999</v>
      </c>
    </row>
    <row r="3847" spans="1:9" x14ac:dyDescent="0.3">
      <c r="A3847" t="s">
        <v>133</v>
      </c>
      <c r="B3847" s="1">
        <v>45889</v>
      </c>
      <c r="C3847" s="1">
        <v>45889</v>
      </c>
      <c r="D3847">
        <v>922274</v>
      </c>
      <c r="E3847">
        <v>94</v>
      </c>
      <c r="F3847" s="3" t="s">
        <v>3369</v>
      </c>
      <c r="G3847" s="4">
        <v>138</v>
      </c>
      <c r="H3847" s="4">
        <v>0</v>
      </c>
      <c r="I3847" s="4">
        <v>-12908998.859999999</v>
      </c>
    </row>
    <row r="3848" spans="1:9" x14ac:dyDescent="0.3">
      <c r="A3848" t="s">
        <v>1</v>
      </c>
      <c r="B3848" s="1">
        <v>45880</v>
      </c>
      <c r="C3848" s="1">
        <v>45890</v>
      </c>
      <c r="D3848">
        <v>102939</v>
      </c>
      <c r="E3848">
        <v>100</v>
      </c>
      <c r="F3848" s="3" t="s">
        <v>3370</v>
      </c>
      <c r="G3848" s="4">
        <v>262.5</v>
      </c>
      <c r="I3848" s="4">
        <v>-12908736.359999999</v>
      </c>
    </row>
    <row r="3849" spans="1:9" x14ac:dyDescent="0.3">
      <c r="A3849" t="s">
        <v>1</v>
      </c>
      <c r="B3849" s="1">
        <v>45880</v>
      </c>
      <c r="C3849" s="1">
        <v>45890</v>
      </c>
      <c r="D3849">
        <v>102940</v>
      </c>
      <c r="E3849">
        <v>100</v>
      </c>
      <c r="F3849" s="3" t="s">
        <v>3371</v>
      </c>
      <c r="G3849" s="4">
        <v>262.5</v>
      </c>
      <c r="I3849" s="4">
        <v>-12908473.859999999</v>
      </c>
    </row>
    <row r="3850" spans="1:9" x14ac:dyDescent="0.3">
      <c r="A3850" t="s">
        <v>1</v>
      </c>
      <c r="B3850" s="1">
        <v>45889</v>
      </c>
      <c r="C3850" s="1">
        <v>45890</v>
      </c>
      <c r="D3850">
        <v>102968</v>
      </c>
      <c r="E3850">
        <v>100</v>
      </c>
      <c r="F3850" s="3" t="s">
        <v>3372</v>
      </c>
      <c r="G3850" s="4">
        <v>38521.06</v>
      </c>
      <c r="I3850" s="4">
        <v>-12869952.800000001</v>
      </c>
    </row>
    <row r="3851" spans="1:9" x14ac:dyDescent="0.3">
      <c r="A3851" t="s">
        <v>1</v>
      </c>
      <c r="B3851" s="1">
        <v>45889</v>
      </c>
      <c r="C3851" s="1">
        <v>45890</v>
      </c>
      <c r="D3851">
        <v>102987</v>
      </c>
      <c r="E3851">
        <v>100</v>
      </c>
      <c r="F3851" s="3" t="s">
        <v>1780</v>
      </c>
      <c r="G3851" s="4">
        <v>19282.79</v>
      </c>
      <c r="I3851" s="4">
        <v>-12850670.01</v>
      </c>
    </row>
    <row r="3852" spans="1:9" x14ac:dyDescent="0.3">
      <c r="A3852" t="s">
        <v>1</v>
      </c>
      <c r="B3852" s="1">
        <v>45889</v>
      </c>
      <c r="C3852" s="1">
        <v>45890</v>
      </c>
      <c r="D3852">
        <v>102988</v>
      </c>
      <c r="E3852">
        <v>100</v>
      </c>
      <c r="F3852" s="3" t="s">
        <v>3373</v>
      </c>
      <c r="G3852" s="4">
        <v>457573.5</v>
      </c>
      <c r="I3852" s="4">
        <v>-12393096.51</v>
      </c>
    </row>
    <row r="3853" spans="1:9" x14ac:dyDescent="0.3">
      <c r="A3853" t="s">
        <v>1</v>
      </c>
      <c r="B3853" s="1">
        <v>45889</v>
      </c>
      <c r="C3853" s="1">
        <v>45890</v>
      </c>
      <c r="D3853">
        <v>102989</v>
      </c>
      <c r="E3853">
        <v>100</v>
      </c>
      <c r="F3853" s="3" t="s">
        <v>3373</v>
      </c>
      <c r="G3853" s="4">
        <v>112342.25</v>
      </c>
      <c r="I3853" s="4">
        <v>-12280754.26</v>
      </c>
    </row>
    <row r="3854" spans="1:9" x14ac:dyDescent="0.3">
      <c r="A3854" t="s">
        <v>1</v>
      </c>
      <c r="B3854" s="1">
        <v>45885</v>
      </c>
      <c r="C3854" s="1">
        <v>45890</v>
      </c>
      <c r="D3854">
        <v>102990</v>
      </c>
      <c r="E3854">
        <v>100</v>
      </c>
      <c r="F3854" s="3" t="s">
        <v>3374</v>
      </c>
      <c r="G3854" s="4">
        <v>19351</v>
      </c>
      <c r="I3854" s="4">
        <v>-12261403.26</v>
      </c>
    </row>
    <row r="3855" spans="1:9" x14ac:dyDescent="0.3">
      <c r="A3855" t="s">
        <v>1</v>
      </c>
      <c r="B3855" s="1">
        <v>45885</v>
      </c>
      <c r="C3855" s="1">
        <v>45890</v>
      </c>
      <c r="D3855">
        <v>102991</v>
      </c>
      <c r="E3855">
        <v>100</v>
      </c>
      <c r="F3855" s="3" t="s">
        <v>3375</v>
      </c>
      <c r="G3855" s="4">
        <v>31172</v>
      </c>
      <c r="I3855" s="4">
        <v>-12230231.26</v>
      </c>
    </row>
    <row r="3856" spans="1:9" x14ac:dyDescent="0.3">
      <c r="A3856" t="s">
        <v>1</v>
      </c>
      <c r="B3856" s="1">
        <v>45885</v>
      </c>
      <c r="C3856" s="1">
        <v>45890</v>
      </c>
      <c r="D3856">
        <v>102992</v>
      </c>
      <c r="E3856">
        <v>100</v>
      </c>
      <c r="F3856" s="3" t="s">
        <v>3376</v>
      </c>
      <c r="G3856" s="4">
        <v>121335</v>
      </c>
      <c r="I3856" s="4">
        <v>-12108896.26</v>
      </c>
    </row>
    <row r="3857" spans="1:9" x14ac:dyDescent="0.3">
      <c r="A3857" t="s">
        <v>1</v>
      </c>
      <c r="B3857" s="1">
        <v>45885</v>
      </c>
      <c r="C3857" s="1">
        <v>45890</v>
      </c>
      <c r="D3857">
        <v>102993</v>
      </c>
      <c r="E3857">
        <v>100</v>
      </c>
      <c r="F3857" s="3" t="s">
        <v>3377</v>
      </c>
      <c r="G3857" s="4">
        <v>25142</v>
      </c>
      <c r="I3857" s="4">
        <v>-12083754.26</v>
      </c>
    </row>
    <row r="3858" spans="1:9" x14ac:dyDescent="0.3">
      <c r="A3858" t="s">
        <v>1</v>
      </c>
      <c r="B3858" s="1">
        <v>45885</v>
      </c>
      <c r="C3858" s="1">
        <v>45890</v>
      </c>
      <c r="D3858">
        <v>102994</v>
      </c>
      <c r="E3858">
        <v>100</v>
      </c>
      <c r="F3858" s="3" t="s">
        <v>3378</v>
      </c>
      <c r="G3858" s="4">
        <v>48872</v>
      </c>
      <c r="I3858" s="4">
        <v>-12034882.26</v>
      </c>
    </row>
    <row r="3859" spans="1:9" x14ac:dyDescent="0.3">
      <c r="A3859" t="s">
        <v>1</v>
      </c>
      <c r="B3859" s="1">
        <v>45889</v>
      </c>
      <c r="C3859" s="1">
        <v>45890</v>
      </c>
      <c r="D3859">
        <v>102995</v>
      </c>
      <c r="E3859">
        <v>100</v>
      </c>
      <c r="F3859" s="3" t="s">
        <v>3379</v>
      </c>
      <c r="G3859" s="4">
        <v>1117522.75</v>
      </c>
      <c r="I3859" s="4">
        <v>-10917359.51</v>
      </c>
    </row>
    <row r="3860" spans="1:9" x14ac:dyDescent="0.3">
      <c r="A3860" t="s">
        <v>1</v>
      </c>
      <c r="B3860" s="1">
        <v>45889</v>
      </c>
      <c r="C3860" s="1">
        <v>45890</v>
      </c>
      <c r="D3860">
        <v>102996</v>
      </c>
      <c r="E3860">
        <v>100</v>
      </c>
      <c r="F3860" s="3" t="s">
        <v>760</v>
      </c>
      <c r="G3860" s="4">
        <v>1747044.75</v>
      </c>
      <c r="I3860" s="4">
        <v>-9170314.7599999998</v>
      </c>
    </row>
    <row r="3861" spans="1:9" x14ac:dyDescent="0.3">
      <c r="A3861" t="s">
        <v>1</v>
      </c>
      <c r="B3861" s="1">
        <v>45882</v>
      </c>
      <c r="C3861" s="1">
        <v>45890</v>
      </c>
      <c r="D3861">
        <v>102997</v>
      </c>
      <c r="E3861">
        <v>100</v>
      </c>
      <c r="F3861" s="3" t="s">
        <v>3380</v>
      </c>
      <c r="G3861" s="4">
        <v>85663</v>
      </c>
      <c r="I3861" s="4">
        <v>-9084651.7599999998</v>
      </c>
    </row>
    <row r="3862" spans="1:9" x14ac:dyDescent="0.3">
      <c r="A3862" t="s">
        <v>1</v>
      </c>
      <c r="B3862" s="1">
        <v>45889</v>
      </c>
      <c r="C3862" s="1">
        <v>45890</v>
      </c>
      <c r="D3862">
        <v>103001</v>
      </c>
      <c r="E3862">
        <v>100</v>
      </c>
      <c r="F3862" s="3" t="s">
        <v>3381</v>
      </c>
      <c r="G3862" s="4">
        <v>3162</v>
      </c>
      <c r="I3862" s="4">
        <v>-9081489.7599999998</v>
      </c>
    </row>
    <row r="3863" spans="1:9" x14ac:dyDescent="0.3">
      <c r="A3863" t="s">
        <v>1</v>
      </c>
      <c r="B3863" s="1">
        <v>45889</v>
      </c>
      <c r="C3863" s="1">
        <v>45890</v>
      </c>
      <c r="D3863">
        <v>103002</v>
      </c>
      <c r="E3863">
        <v>100</v>
      </c>
      <c r="F3863" s="3" t="s">
        <v>2531</v>
      </c>
      <c r="G3863" s="4">
        <v>7026.01</v>
      </c>
      <c r="I3863" s="4">
        <v>-9074463.75</v>
      </c>
    </row>
    <row r="3864" spans="1:9" x14ac:dyDescent="0.3">
      <c r="A3864" t="s">
        <v>1</v>
      </c>
      <c r="B3864" s="1">
        <v>45890</v>
      </c>
      <c r="C3864" s="1">
        <v>45890</v>
      </c>
      <c r="D3864">
        <v>103003</v>
      </c>
      <c r="E3864">
        <v>100</v>
      </c>
      <c r="F3864" s="3" t="s">
        <v>1562</v>
      </c>
      <c r="G3864" s="4">
        <v>16810.25</v>
      </c>
      <c r="I3864" s="4">
        <v>-9057653.5</v>
      </c>
    </row>
    <row r="3865" spans="1:9" x14ac:dyDescent="0.3">
      <c r="A3865" t="s">
        <v>1</v>
      </c>
      <c r="B3865" s="1">
        <v>45890</v>
      </c>
      <c r="C3865" s="1">
        <v>45890</v>
      </c>
      <c r="D3865">
        <v>103004</v>
      </c>
      <c r="E3865">
        <v>100</v>
      </c>
      <c r="F3865" s="3" t="s">
        <v>3382</v>
      </c>
      <c r="G3865" s="4">
        <v>39900.5</v>
      </c>
      <c r="I3865" s="4">
        <v>-9017753</v>
      </c>
    </row>
    <row r="3866" spans="1:9" x14ac:dyDescent="0.3">
      <c r="A3866" t="s">
        <v>1</v>
      </c>
      <c r="B3866" s="1">
        <v>45876</v>
      </c>
      <c r="C3866" s="1">
        <v>45890</v>
      </c>
      <c r="D3866">
        <v>103005</v>
      </c>
      <c r="E3866">
        <v>100</v>
      </c>
      <c r="F3866" s="3" t="s">
        <v>3383</v>
      </c>
      <c r="G3866" s="4">
        <v>6.3</v>
      </c>
      <c r="I3866" s="4">
        <v>-9017746.6999999993</v>
      </c>
    </row>
    <row r="3867" spans="1:9" x14ac:dyDescent="0.3">
      <c r="A3867" t="s">
        <v>1</v>
      </c>
      <c r="B3867" s="1">
        <v>45890</v>
      </c>
      <c r="C3867" s="1">
        <v>45890</v>
      </c>
      <c r="D3867">
        <v>103007</v>
      </c>
      <c r="E3867">
        <v>100</v>
      </c>
      <c r="F3867" s="3" t="s">
        <v>3384</v>
      </c>
      <c r="G3867" s="4">
        <v>5000</v>
      </c>
      <c r="I3867" s="4">
        <v>-9012746.6999999993</v>
      </c>
    </row>
    <row r="3868" spans="1:9" x14ac:dyDescent="0.3">
      <c r="A3868" t="s">
        <v>1</v>
      </c>
      <c r="B3868" s="1">
        <v>45876</v>
      </c>
      <c r="C3868" s="1">
        <v>45890</v>
      </c>
      <c r="D3868">
        <v>103008</v>
      </c>
      <c r="E3868">
        <v>100</v>
      </c>
      <c r="F3868" s="3" t="s">
        <v>3385</v>
      </c>
      <c r="G3868" s="4">
        <v>6.3</v>
      </c>
      <c r="I3868" s="4">
        <v>-9012740.4000000004</v>
      </c>
    </row>
    <row r="3869" spans="1:9" x14ac:dyDescent="0.3">
      <c r="A3869" t="s">
        <v>1</v>
      </c>
      <c r="B3869" s="1">
        <v>45889</v>
      </c>
      <c r="C3869" s="1">
        <v>45890</v>
      </c>
      <c r="D3869">
        <v>103009</v>
      </c>
      <c r="E3869">
        <v>100</v>
      </c>
      <c r="F3869" s="3" t="s">
        <v>263</v>
      </c>
      <c r="G3869" s="4">
        <v>15778</v>
      </c>
      <c r="I3869" s="4">
        <v>-8996962.4000000004</v>
      </c>
    </row>
    <row r="3870" spans="1:9" x14ac:dyDescent="0.3">
      <c r="A3870" t="s">
        <v>1</v>
      </c>
      <c r="B3870" s="1">
        <v>45890</v>
      </c>
      <c r="C3870" s="1">
        <v>45890</v>
      </c>
      <c r="D3870">
        <v>103016</v>
      </c>
      <c r="E3870">
        <v>100</v>
      </c>
      <c r="F3870" s="3" t="s">
        <v>3386</v>
      </c>
      <c r="G3870" s="4">
        <v>9445.1</v>
      </c>
      <c r="I3870" s="4">
        <v>-8987517.3000000007</v>
      </c>
    </row>
    <row r="3871" spans="1:9" x14ac:dyDescent="0.3">
      <c r="A3871" t="s">
        <v>1</v>
      </c>
      <c r="B3871" s="1">
        <v>45889</v>
      </c>
      <c r="C3871" s="1">
        <v>45890</v>
      </c>
      <c r="D3871">
        <v>103020</v>
      </c>
      <c r="E3871">
        <v>100</v>
      </c>
      <c r="F3871" s="3" t="s">
        <v>3387</v>
      </c>
      <c r="G3871" s="4">
        <v>6342</v>
      </c>
      <c r="I3871" s="4">
        <v>-8981175.3000000007</v>
      </c>
    </row>
    <row r="3872" spans="1:9" x14ac:dyDescent="0.3">
      <c r="A3872" t="s">
        <v>1</v>
      </c>
      <c r="B3872" s="1">
        <v>45890</v>
      </c>
      <c r="C3872" s="1">
        <v>45890</v>
      </c>
      <c r="D3872">
        <v>103025</v>
      </c>
      <c r="E3872">
        <v>100</v>
      </c>
      <c r="F3872" s="3" t="s">
        <v>3388</v>
      </c>
      <c r="G3872" s="4">
        <v>23186.5</v>
      </c>
      <c r="I3872" s="4">
        <v>-8957988.8000000007</v>
      </c>
    </row>
    <row r="3873" spans="1:9" x14ac:dyDescent="0.3">
      <c r="A3873" t="s">
        <v>1</v>
      </c>
      <c r="B3873" s="1">
        <v>45890</v>
      </c>
      <c r="C3873" s="1">
        <v>45890</v>
      </c>
      <c r="D3873">
        <v>103027</v>
      </c>
      <c r="E3873">
        <v>100</v>
      </c>
      <c r="F3873" s="3" t="s">
        <v>3389</v>
      </c>
      <c r="G3873" s="4">
        <v>1803.68</v>
      </c>
      <c r="I3873" s="4">
        <v>-8956185.1199999992</v>
      </c>
    </row>
    <row r="3874" spans="1:9" x14ac:dyDescent="0.3">
      <c r="A3874" t="s">
        <v>75</v>
      </c>
      <c r="B3874" s="1">
        <v>45889</v>
      </c>
      <c r="C3874" s="1">
        <v>45890</v>
      </c>
      <c r="D3874">
        <v>143777</v>
      </c>
      <c r="E3874">
        <v>77</v>
      </c>
      <c r="F3874" s="3" t="s">
        <v>3390</v>
      </c>
      <c r="G3874" s="4">
        <v>9376.1</v>
      </c>
      <c r="H3874" s="4">
        <v>0</v>
      </c>
      <c r="I3874" s="4">
        <v>-8946809.0199999996</v>
      </c>
    </row>
    <row r="3875" spans="1:9" x14ac:dyDescent="0.3">
      <c r="A3875" t="s">
        <v>75</v>
      </c>
      <c r="B3875" s="1">
        <v>45890</v>
      </c>
      <c r="C3875" s="1">
        <v>45890</v>
      </c>
      <c r="D3875">
        <v>143778</v>
      </c>
      <c r="E3875">
        <v>14</v>
      </c>
      <c r="F3875" s="3" t="s">
        <v>3391</v>
      </c>
      <c r="G3875" s="4">
        <v>1018.25</v>
      </c>
      <c r="H3875" s="4">
        <v>0</v>
      </c>
      <c r="I3875" s="4">
        <v>-8945790.7699999996</v>
      </c>
    </row>
    <row r="3876" spans="1:9" x14ac:dyDescent="0.3">
      <c r="A3876" t="s">
        <v>75</v>
      </c>
      <c r="B3876" s="1">
        <v>45890</v>
      </c>
      <c r="C3876" s="1">
        <v>45890</v>
      </c>
      <c r="D3876">
        <v>143780</v>
      </c>
      <c r="E3876">
        <v>16</v>
      </c>
      <c r="F3876" s="3" t="s">
        <v>3392</v>
      </c>
      <c r="G3876" s="4">
        <v>20465.75</v>
      </c>
      <c r="H3876" s="4">
        <v>0</v>
      </c>
      <c r="I3876" s="4">
        <v>-8925325.0199999996</v>
      </c>
    </row>
    <row r="3877" spans="1:9" x14ac:dyDescent="0.3">
      <c r="A3877" t="s">
        <v>75</v>
      </c>
      <c r="B3877" s="1">
        <v>45889</v>
      </c>
      <c r="C3877" s="1">
        <v>45890</v>
      </c>
      <c r="D3877">
        <v>143782</v>
      </c>
      <c r="E3877">
        <v>12</v>
      </c>
      <c r="F3877" s="3" t="s">
        <v>3393</v>
      </c>
      <c r="G3877" s="4">
        <v>150176.25</v>
      </c>
      <c r="H3877" s="4">
        <v>0</v>
      </c>
      <c r="I3877" s="4">
        <v>-8775148.7699999996</v>
      </c>
    </row>
    <row r="3878" spans="1:9" x14ac:dyDescent="0.3">
      <c r="A3878" t="s">
        <v>75</v>
      </c>
      <c r="B3878" s="1">
        <v>45890</v>
      </c>
      <c r="C3878" s="1">
        <v>45890</v>
      </c>
      <c r="D3878">
        <v>143783</v>
      </c>
      <c r="E3878">
        <v>34</v>
      </c>
      <c r="F3878" s="3" t="s">
        <v>3394</v>
      </c>
      <c r="G3878" s="4">
        <v>167756</v>
      </c>
      <c r="H3878" s="4">
        <v>0</v>
      </c>
      <c r="I3878" s="4">
        <v>-8607392.7699999996</v>
      </c>
    </row>
    <row r="3879" spans="1:9" x14ac:dyDescent="0.3">
      <c r="A3879" t="s">
        <v>75</v>
      </c>
      <c r="B3879" s="1">
        <v>45890</v>
      </c>
      <c r="C3879" s="1">
        <v>45890</v>
      </c>
      <c r="D3879">
        <v>143784</v>
      </c>
      <c r="E3879">
        <v>58</v>
      </c>
      <c r="F3879" s="3" t="s">
        <v>3395</v>
      </c>
      <c r="G3879" s="4">
        <v>54048.5</v>
      </c>
      <c r="H3879" s="4">
        <v>0</v>
      </c>
      <c r="I3879" s="4">
        <v>-8553344.2699999996</v>
      </c>
    </row>
    <row r="3880" spans="1:9" x14ac:dyDescent="0.3">
      <c r="A3880" t="s">
        <v>75</v>
      </c>
      <c r="B3880" s="1">
        <v>45890</v>
      </c>
      <c r="C3880" s="1">
        <v>45890</v>
      </c>
      <c r="D3880">
        <v>143785</v>
      </c>
      <c r="E3880">
        <v>61</v>
      </c>
      <c r="F3880" s="3" t="s">
        <v>3396</v>
      </c>
      <c r="G3880" s="4">
        <v>5000</v>
      </c>
      <c r="H3880" s="4">
        <v>0</v>
      </c>
      <c r="I3880" s="4">
        <v>-8548344.2699999996</v>
      </c>
    </row>
    <row r="3881" spans="1:9" x14ac:dyDescent="0.3">
      <c r="A3881" t="s">
        <v>75</v>
      </c>
      <c r="B3881" s="1">
        <v>45890</v>
      </c>
      <c r="C3881" s="1">
        <v>45890</v>
      </c>
      <c r="D3881">
        <v>143786</v>
      </c>
      <c r="E3881">
        <v>24</v>
      </c>
      <c r="F3881" s="3" t="s">
        <v>3397</v>
      </c>
      <c r="G3881" s="4">
        <v>630</v>
      </c>
      <c r="H3881" s="4">
        <v>0</v>
      </c>
      <c r="I3881" s="4">
        <v>-8547714.2699999996</v>
      </c>
    </row>
    <row r="3882" spans="1:9" x14ac:dyDescent="0.3">
      <c r="A3882" t="s">
        <v>75</v>
      </c>
      <c r="B3882" s="1">
        <v>45890</v>
      </c>
      <c r="C3882" s="1">
        <v>45890</v>
      </c>
      <c r="D3882">
        <v>143787</v>
      </c>
      <c r="E3882">
        <v>16</v>
      </c>
      <c r="F3882" s="3" t="s">
        <v>3398</v>
      </c>
      <c r="G3882" s="4">
        <v>21245.75</v>
      </c>
      <c r="H3882" s="4">
        <v>0</v>
      </c>
      <c r="I3882" s="4">
        <v>-8526468.5199999996</v>
      </c>
    </row>
    <row r="3883" spans="1:9" x14ac:dyDescent="0.3">
      <c r="A3883" t="s">
        <v>75</v>
      </c>
      <c r="B3883" s="1">
        <v>45890</v>
      </c>
      <c r="C3883" s="1">
        <v>45890</v>
      </c>
      <c r="D3883">
        <v>143788</v>
      </c>
      <c r="E3883">
        <v>15</v>
      </c>
      <c r="F3883" s="3" t="s">
        <v>3399</v>
      </c>
      <c r="G3883" s="4">
        <v>22293</v>
      </c>
      <c r="H3883" s="4">
        <v>0</v>
      </c>
      <c r="I3883" s="4">
        <v>-8504175.5199999996</v>
      </c>
    </row>
    <row r="3884" spans="1:9" x14ac:dyDescent="0.3">
      <c r="A3884" t="s">
        <v>75</v>
      </c>
      <c r="B3884" s="1">
        <v>45890</v>
      </c>
      <c r="C3884" s="1">
        <v>45890</v>
      </c>
      <c r="D3884">
        <v>143790</v>
      </c>
      <c r="E3884">
        <v>63</v>
      </c>
      <c r="F3884" s="3" t="s">
        <v>3400</v>
      </c>
      <c r="G3884" s="4">
        <v>140000</v>
      </c>
      <c r="H3884" s="4">
        <v>0</v>
      </c>
      <c r="I3884" s="4">
        <v>-8364175.5199999996</v>
      </c>
    </row>
    <row r="3885" spans="1:9" x14ac:dyDescent="0.3">
      <c r="A3885" t="s">
        <v>75</v>
      </c>
      <c r="B3885" s="1">
        <v>45890</v>
      </c>
      <c r="C3885" s="1">
        <v>45890</v>
      </c>
      <c r="D3885">
        <v>143794</v>
      </c>
      <c r="E3885">
        <v>41</v>
      </c>
      <c r="F3885" s="3" t="s">
        <v>3401</v>
      </c>
      <c r="G3885" s="4">
        <v>85872.5</v>
      </c>
      <c r="H3885" s="4">
        <v>0</v>
      </c>
      <c r="I3885" s="4">
        <v>-8278303.0199999996</v>
      </c>
    </row>
    <row r="3886" spans="1:9" x14ac:dyDescent="0.3">
      <c r="A3886" t="s">
        <v>75</v>
      </c>
      <c r="B3886" s="1">
        <v>45890</v>
      </c>
      <c r="C3886" s="1">
        <v>45890</v>
      </c>
      <c r="D3886">
        <v>143795</v>
      </c>
      <c r="E3886">
        <v>67</v>
      </c>
      <c r="F3886" s="3" t="s">
        <v>3402</v>
      </c>
      <c r="G3886" s="4">
        <v>4312.75</v>
      </c>
      <c r="H3886" s="4">
        <v>0</v>
      </c>
      <c r="I3886" s="4">
        <v>-8273990.2699999996</v>
      </c>
    </row>
    <row r="3887" spans="1:9" x14ac:dyDescent="0.3">
      <c r="A3887" t="s">
        <v>75</v>
      </c>
      <c r="B3887" s="1">
        <v>45890</v>
      </c>
      <c r="C3887" s="1">
        <v>45890</v>
      </c>
      <c r="D3887">
        <v>143796</v>
      </c>
      <c r="E3887">
        <v>67</v>
      </c>
      <c r="F3887" s="3" t="s">
        <v>3403</v>
      </c>
      <c r="G3887" s="4">
        <v>898.5</v>
      </c>
      <c r="H3887" s="4">
        <v>0</v>
      </c>
      <c r="I3887" s="4">
        <v>-8273091.7699999996</v>
      </c>
    </row>
    <row r="3888" spans="1:9" x14ac:dyDescent="0.3">
      <c r="A3888" t="s">
        <v>75</v>
      </c>
      <c r="B3888" s="1">
        <v>45890</v>
      </c>
      <c r="C3888" s="1">
        <v>45890</v>
      </c>
      <c r="D3888">
        <v>143797</v>
      </c>
      <c r="E3888">
        <v>33</v>
      </c>
      <c r="F3888" s="3" t="s">
        <v>3404</v>
      </c>
      <c r="G3888" s="4">
        <v>68867</v>
      </c>
      <c r="H3888" s="4">
        <v>0</v>
      </c>
      <c r="I3888" s="4">
        <v>-8204224.7699999996</v>
      </c>
    </row>
    <row r="3889" spans="1:9" x14ac:dyDescent="0.3">
      <c r="A3889" t="s">
        <v>75</v>
      </c>
      <c r="B3889" s="1">
        <v>45890</v>
      </c>
      <c r="C3889" s="1">
        <v>45890</v>
      </c>
      <c r="D3889">
        <v>143798</v>
      </c>
      <c r="E3889">
        <v>33</v>
      </c>
      <c r="F3889" s="3" t="s">
        <v>3405</v>
      </c>
      <c r="G3889" s="4">
        <v>156133</v>
      </c>
      <c r="H3889" s="4">
        <v>0</v>
      </c>
      <c r="I3889" s="4">
        <v>-8048091.7699999996</v>
      </c>
    </row>
    <row r="3890" spans="1:9" x14ac:dyDescent="0.3">
      <c r="A3890" t="s">
        <v>75</v>
      </c>
      <c r="B3890" s="1">
        <v>45888</v>
      </c>
      <c r="C3890" s="1">
        <v>45890</v>
      </c>
      <c r="D3890">
        <v>143801</v>
      </c>
      <c r="E3890">
        <v>58</v>
      </c>
      <c r="F3890" s="3" t="s">
        <v>3406</v>
      </c>
      <c r="G3890" s="4">
        <v>36224.5</v>
      </c>
      <c r="H3890" s="4">
        <v>0</v>
      </c>
      <c r="I3890" s="4">
        <v>-8011867.2699999996</v>
      </c>
    </row>
    <row r="3891" spans="1:9" x14ac:dyDescent="0.3">
      <c r="A3891" t="s">
        <v>75</v>
      </c>
      <c r="B3891" s="1">
        <v>45888</v>
      </c>
      <c r="C3891" s="1">
        <v>45890</v>
      </c>
      <c r="D3891">
        <v>143802</v>
      </c>
      <c r="E3891">
        <v>58</v>
      </c>
      <c r="F3891" s="3" t="s">
        <v>3407</v>
      </c>
      <c r="G3891" s="4">
        <v>7568.31</v>
      </c>
      <c r="H3891" s="4">
        <v>0</v>
      </c>
      <c r="I3891" s="4">
        <v>-8004298.96</v>
      </c>
    </row>
    <row r="3892" spans="1:9" x14ac:dyDescent="0.3">
      <c r="A3892" t="s">
        <v>75</v>
      </c>
      <c r="B3892" s="1">
        <v>45889</v>
      </c>
      <c r="C3892" s="1">
        <v>45890</v>
      </c>
      <c r="D3892">
        <v>143806</v>
      </c>
      <c r="E3892">
        <v>11</v>
      </c>
      <c r="F3892" s="3" t="s">
        <v>3408</v>
      </c>
      <c r="G3892" s="4">
        <v>36500</v>
      </c>
      <c r="H3892" s="4">
        <v>0</v>
      </c>
      <c r="I3892" s="4">
        <v>-7967798.96</v>
      </c>
    </row>
    <row r="3893" spans="1:9" x14ac:dyDescent="0.3">
      <c r="A3893" t="s">
        <v>75</v>
      </c>
      <c r="B3893" s="1">
        <v>45890</v>
      </c>
      <c r="C3893" s="1">
        <v>45890</v>
      </c>
      <c r="D3893">
        <v>143807</v>
      </c>
      <c r="E3893">
        <v>23</v>
      </c>
      <c r="F3893" s="3" t="s">
        <v>3409</v>
      </c>
      <c r="G3893" s="4">
        <v>18727.5</v>
      </c>
      <c r="H3893" s="4">
        <v>0</v>
      </c>
      <c r="I3893" s="4">
        <v>-7949071.46</v>
      </c>
    </row>
    <row r="3894" spans="1:9" x14ac:dyDescent="0.3">
      <c r="A3894" t="s">
        <v>75</v>
      </c>
      <c r="B3894" s="1">
        <v>45890</v>
      </c>
      <c r="C3894" s="1">
        <v>45890</v>
      </c>
      <c r="D3894">
        <v>143810</v>
      </c>
      <c r="E3894">
        <v>16</v>
      </c>
      <c r="F3894" s="3" t="s">
        <v>3410</v>
      </c>
      <c r="G3894" s="4">
        <v>14179.5</v>
      </c>
      <c r="H3894" s="4">
        <v>0</v>
      </c>
      <c r="I3894" s="4">
        <v>-7934891.96</v>
      </c>
    </row>
    <row r="3895" spans="1:9" x14ac:dyDescent="0.3">
      <c r="A3895" t="s">
        <v>75</v>
      </c>
      <c r="B3895" s="1">
        <v>45889</v>
      </c>
      <c r="C3895" s="1">
        <v>45890</v>
      </c>
      <c r="D3895">
        <v>143811</v>
      </c>
      <c r="E3895">
        <v>11</v>
      </c>
      <c r="F3895" s="3" t="s">
        <v>3411</v>
      </c>
      <c r="G3895" s="4">
        <v>10501.5</v>
      </c>
      <c r="H3895" s="4">
        <v>0</v>
      </c>
      <c r="I3895" s="4">
        <v>-7924390.46</v>
      </c>
    </row>
    <row r="3896" spans="1:9" x14ac:dyDescent="0.3">
      <c r="A3896" t="s">
        <v>75</v>
      </c>
      <c r="B3896" s="1">
        <v>45890</v>
      </c>
      <c r="C3896" s="1">
        <v>45890</v>
      </c>
      <c r="D3896">
        <v>143813</v>
      </c>
      <c r="E3896">
        <v>17</v>
      </c>
      <c r="F3896" s="3" t="s">
        <v>3412</v>
      </c>
      <c r="G3896" s="4">
        <v>6799.75</v>
      </c>
      <c r="H3896" s="4">
        <v>0</v>
      </c>
      <c r="I3896" s="4">
        <v>-7917590.71</v>
      </c>
    </row>
    <row r="3897" spans="1:9" x14ac:dyDescent="0.3">
      <c r="A3897" t="s">
        <v>75</v>
      </c>
      <c r="B3897" s="1">
        <v>45890</v>
      </c>
      <c r="C3897" s="1">
        <v>45890</v>
      </c>
      <c r="D3897">
        <v>143814</v>
      </c>
      <c r="E3897">
        <v>11</v>
      </c>
      <c r="F3897" s="3" t="s">
        <v>3413</v>
      </c>
      <c r="G3897" s="4">
        <v>3705.75</v>
      </c>
      <c r="H3897" s="4">
        <v>0</v>
      </c>
      <c r="I3897" s="4">
        <v>-7913884.96</v>
      </c>
    </row>
    <row r="3898" spans="1:9" x14ac:dyDescent="0.3">
      <c r="A3898" t="s">
        <v>75</v>
      </c>
      <c r="B3898" s="1">
        <v>45890</v>
      </c>
      <c r="C3898" s="1">
        <v>45890</v>
      </c>
      <c r="D3898">
        <v>143816</v>
      </c>
      <c r="E3898">
        <v>15</v>
      </c>
      <c r="F3898" s="3" t="s">
        <v>3414</v>
      </c>
      <c r="G3898" s="4">
        <v>26254</v>
      </c>
      <c r="H3898" s="4">
        <v>0</v>
      </c>
      <c r="I3898" s="4">
        <v>-7887630.96</v>
      </c>
    </row>
    <row r="3899" spans="1:9" x14ac:dyDescent="0.3">
      <c r="A3899" t="s">
        <v>75</v>
      </c>
      <c r="B3899" s="1">
        <v>45890</v>
      </c>
      <c r="C3899" s="1">
        <v>45890</v>
      </c>
      <c r="D3899">
        <v>143825</v>
      </c>
      <c r="E3899">
        <v>76</v>
      </c>
      <c r="F3899" s="3" t="s">
        <v>3415</v>
      </c>
      <c r="G3899" s="4">
        <v>50000</v>
      </c>
      <c r="H3899" s="4">
        <v>0</v>
      </c>
      <c r="I3899" s="4">
        <v>-7837630.96</v>
      </c>
    </row>
    <row r="3900" spans="1:9" x14ac:dyDescent="0.3">
      <c r="A3900" t="s">
        <v>75</v>
      </c>
      <c r="B3900" s="1">
        <v>45889</v>
      </c>
      <c r="C3900" s="1">
        <v>45890</v>
      </c>
      <c r="D3900">
        <v>143829</v>
      </c>
      <c r="E3900">
        <v>34</v>
      </c>
      <c r="F3900" s="3" t="s">
        <v>3416</v>
      </c>
      <c r="G3900" s="4">
        <v>55170.5</v>
      </c>
      <c r="H3900" s="4">
        <v>0</v>
      </c>
      <c r="I3900" s="4">
        <v>-7782460.46</v>
      </c>
    </row>
    <row r="3901" spans="1:9" x14ac:dyDescent="0.3">
      <c r="A3901" t="s">
        <v>75</v>
      </c>
      <c r="B3901" s="1">
        <v>45889</v>
      </c>
      <c r="C3901" s="1">
        <v>45890</v>
      </c>
      <c r="D3901">
        <v>143830</v>
      </c>
      <c r="E3901">
        <v>34</v>
      </c>
      <c r="F3901" s="3" t="s">
        <v>3417</v>
      </c>
      <c r="G3901" s="4">
        <v>53492.5</v>
      </c>
      <c r="H3901" s="4">
        <v>0</v>
      </c>
      <c r="I3901" s="4">
        <v>-7728967.96</v>
      </c>
    </row>
    <row r="3902" spans="1:9" x14ac:dyDescent="0.3">
      <c r="A3902" t="s">
        <v>75</v>
      </c>
      <c r="B3902" s="1">
        <v>45887</v>
      </c>
      <c r="C3902" s="1">
        <v>45890</v>
      </c>
      <c r="D3902">
        <v>143831</v>
      </c>
      <c r="E3902">
        <v>86</v>
      </c>
      <c r="F3902" s="3" t="s">
        <v>3418</v>
      </c>
      <c r="G3902" s="4">
        <v>42149.5</v>
      </c>
      <c r="H3902" s="4">
        <v>0</v>
      </c>
      <c r="I3902" s="4">
        <v>-7686818.46</v>
      </c>
    </row>
    <row r="3903" spans="1:9" x14ac:dyDescent="0.3">
      <c r="A3903" t="s">
        <v>75</v>
      </c>
      <c r="B3903" s="1">
        <v>45883</v>
      </c>
      <c r="C3903" s="1">
        <v>45890</v>
      </c>
      <c r="D3903">
        <v>143832</v>
      </c>
      <c r="E3903">
        <v>86</v>
      </c>
      <c r="F3903" s="3" t="s">
        <v>3419</v>
      </c>
      <c r="G3903" s="4">
        <v>20000</v>
      </c>
      <c r="H3903" s="4">
        <v>0</v>
      </c>
      <c r="I3903" s="4">
        <v>-7666818.46</v>
      </c>
    </row>
    <row r="3904" spans="1:9" x14ac:dyDescent="0.3">
      <c r="A3904" t="s">
        <v>75</v>
      </c>
      <c r="B3904" s="1">
        <v>45890</v>
      </c>
      <c r="C3904" s="1">
        <v>45890</v>
      </c>
      <c r="D3904">
        <v>143833</v>
      </c>
      <c r="E3904">
        <v>11</v>
      </c>
      <c r="F3904" s="3" t="s">
        <v>3420</v>
      </c>
      <c r="G3904" s="4">
        <v>36905.5</v>
      </c>
      <c r="H3904" s="4">
        <v>0</v>
      </c>
      <c r="I3904" s="4">
        <v>-7629912.96</v>
      </c>
    </row>
    <row r="3905" spans="1:9" x14ac:dyDescent="0.3">
      <c r="A3905" t="s">
        <v>75</v>
      </c>
      <c r="B3905" s="1">
        <v>45890</v>
      </c>
      <c r="C3905" s="1">
        <v>45890</v>
      </c>
      <c r="D3905">
        <v>143834</v>
      </c>
      <c r="E3905">
        <v>23</v>
      </c>
      <c r="F3905" s="3" t="s">
        <v>3421</v>
      </c>
      <c r="G3905" s="4">
        <v>100000</v>
      </c>
      <c r="H3905" s="4">
        <v>0</v>
      </c>
      <c r="I3905" s="4">
        <v>-7529912.96</v>
      </c>
    </row>
    <row r="3906" spans="1:9" x14ac:dyDescent="0.3">
      <c r="A3906" t="s">
        <v>75</v>
      </c>
      <c r="B3906" s="1">
        <v>45880</v>
      </c>
      <c r="C3906" s="1">
        <v>45890</v>
      </c>
      <c r="D3906">
        <v>143835</v>
      </c>
      <c r="E3906">
        <v>74</v>
      </c>
      <c r="F3906" s="3" t="s">
        <v>3422</v>
      </c>
      <c r="G3906" s="4">
        <v>38044</v>
      </c>
      <c r="H3906" s="4">
        <v>0</v>
      </c>
      <c r="I3906" s="4">
        <v>-7491868.96</v>
      </c>
    </row>
    <row r="3907" spans="1:9" x14ac:dyDescent="0.3">
      <c r="A3907" t="s">
        <v>75</v>
      </c>
      <c r="B3907" s="1">
        <v>45881</v>
      </c>
      <c r="C3907" s="1">
        <v>45890</v>
      </c>
      <c r="D3907">
        <v>143836</v>
      </c>
      <c r="E3907">
        <v>74</v>
      </c>
      <c r="F3907" s="3" t="s">
        <v>3423</v>
      </c>
      <c r="G3907" s="4">
        <v>18435.5</v>
      </c>
      <c r="H3907" s="4">
        <v>0</v>
      </c>
      <c r="I3907" s="4">
        <v>-7473433.46</v>
      </c>
    </row>
    <row r="3908" spans="1:9" x14ac:dyDescent="0.3">
      <c r="A3908" t="s">
        <v>75</v>
      </c>
      <c r="B3908" s="1">
        <v>45886</v>
      </c>
      <c r="C3908" s="1">
        <v>45890</v>
      </c>
      <c r="D3908">
        <v>143837</v>
      </c>
      <c r="E3908">
        <v>76</v>
      </c>
      <c r="F3908" s="3" t="s">
        <v>3424</v>
      </c>
      <c r="G3908" s="4">
        <v>95622</v>
      </c>
      <c r="H3908" s="4">
        <v>0</v>
      </c>
      <c r="I3908" s="4">
        <v>-7377811.46</v>
      </c>
    </row>
    <row r="3909" spans="1:9" x14ac:dyDescent="0.3">
      <c r="A3909" t="s">
        <v>75</v>
      </c>
      <c r="B3909" s="1">
        <v>45890</v>
      </c>
      <c r="C3909" s="1">
        <v>45890</v>
      </c>
      <c r="D3909">
        <v>143838</v>
      </c>
      <c r="E3909">
        <v>67</v>
      </c>
      <c r="F3909" s="3" t="s">
        <v>3425</v>
      </c>
      <c r="G3909" s="4">
        <v>204148.25</v>
      </c>
      <c r="H3909" s="4">
        <v>0</v>
      </c>
      <c r="I3909" s="4">
        <v>-7173663.21</v>
      </c>
    </row>
    <row r="3910" spans="1:9" x14ac:dyDescent="0.3">
      <c r="A3910" t="s">
        <v>75</v>
      </c>
      <c r="B3910" s="1">
        <v>45885</v>
      </c>
      <c r="C3910" s="1">
        <v>45890</v>
      </c>
      <c r="D3910">
        <v>143839</v>
      </c>
      <c r="E3910">
        <v>70</v>
      </c>
      <c r="F3910" s="3" t="s">
        <v>3426</v>
      </c>
      <c r="G3910" s="4">
        <v>7000</v>
      </c>
      <c r="H3910" s="4">
        <v>0</v>
      </c>
      <c r="I3910" s="4">
        <v>-7166663.21</v>
      </c>
    </row>
    <row r="3911" spans="1:9" x14ac:dyDescent="0.3">
      <c r="A3911" t="s">
        <v>75</v>
      </c>
      <c r="B3911" s="1">
        <v>45876</v>
      </c>
      <c r="C3911" s="1">
        <v>45890</v>
      </c>
      <c r="D3911">
        <v>143840</v>
      </c>
      <c r="E3911">
        <v>70</v>
      </c>
      <c r="F3911" s="3" t="s">
        <v>3427</v>
      </c>
      <c r="G3911" s="4">
        <v>365565.75</v>
      </c>
      <c r="H3911" s="4">
        <v>0</v>
      </c>
      <c r="I3911" s="4">
        <v>-6801097.46</v>
      </c>
    </row>
    <row r="3912" spans="1:9" x14ac:dyDescent="0.3">
      <c r="A3912" t="s">
        <v>75</v>
      </c>
      <c r="B3912" s="1">
        <v>45875</v>
      </c>
      <c r="C3912" s="1">
        <v>45890</v>
      </c>
      <c r="D3912">
        <v>143841</v>
      </c>
      <c r="E3912">
        <v>70</v>
      </c>
      <c r="F3912" s="3" t="s">
        <v>3428</v>
      </c>
      <c r="G3912" s="4">
        <v>3825</v>
      </c>
      <c r="H3912" s="4">
        <v>0</v>
      </c>
      <c r="I3912" s="4">
        <v>-6797272.46</v>
      </c>
    </row>
    <row r="3913" spans="1:9" x14ac:dyDescent="0.3">
      <c r="A3913" t="s">
        <v>75</v>
      </c>
      <c r="B3913" s="1">
        <v>45871</v>
      </c>
      <c r="C3913" s="1">
        <v>45890</v>
      </c>
      <c r="D3913">
        <v>143842</v>
      </c>
      <c r="E3913">
        <v>70</v>
      </c>
      <c r="F3913" s="3" t="s">
        <v>3429</v>
      </c>
      <c r="G3913" s="4">
        <v>1700</v>
      </c>
      <c r="H3913" s="4">
        <v>0</v>
      </c>
      <c r="I3913" s="4">
        <v>-6795572.46</v>
      </c>
    </row>
    <row r="3914" spans="1:9" x14ac:dyDescent="0.3">
      <c r="A3914" t="s">
        <v>75</v>
      </c>
      <c r="B3914" s="1">
        <v>45890</v>
      </c>
      <c r="C3914" s="1">
        <v>45890</v>
      </c>
      <c r="D3914">
        <v>143843</v>
      </c>
      <c r="E3914">
        <v>54</v>
      </c>
      <c r="F3914" s="3" t="s">
        <v>3430</v>
      </c>
      <c r="G3914" s="4">
        <v>51249</v>
      </c>
      <c r="H3914" s="4">
        <v>0</v>
      </c>
      <c r="I3914" s="4">
        <v>-6744323.46</v>
      </c>
    </row>
    <row r="3915" spans="1:9" x14ac:dyDescent="0.3">
      <c r="A3915" t="s">
        <v>75</v>
      </c>
      <c r="B3915" s="1">
        <v>45890</v>
      </c>
      <c r="C3915" s="1">
        <v>45890</v>
      </c>
      <c r="D3915">
        <v>143844</v>
      </c>
      <c r="E3915">
        <v>54</v>
      </c>
      <c r="F3915" s="3" t="s">
        <v>3431</v>
      </c>
      <c r="G3915" s="4">
        <v>69165</v>
      </c>
      <c r="H3915" s="4">
        <v>0</v>
      </c>
      <c r="I3915" s="4">
        <v>-6675158.46</v>
      </c>
    </row>
    <row r="3916" spans="1:9" x14ac:dyDescent="0.3">
      <c r="A3916" t="s">
        <v>75</v>
      </c>
      <c r="B3916" s="1">
        <v>45890</v>
      </c>
      <c r="C3916" s="1">
        <v>45890</v>
      </c>
      <c r="D3916">
        <v>143845</v>
      </c>
      <c r="E3916">
        <v>24</v>
      </c>
      <c r="F3916" s="3" t="s">
        <v>3432</v>
      </c>
      <c r="G3916" s="4">
        <v>630</v>
      </c>
      <c r="H3916" s="4">
        <v>0</v>
      </c>
      <c r="I3916" s="4">
        <v>-6674528.46</v>
      </c>
    </row>
    <row r="3917" spans="1:9" x14ac:dyDescent="0.3">
      <c r="A3917" t="s">
        <v>75</v>
      </c>
      <c r="B3917" s="1">
        <v>45890</v>
      </c>
      <c r="C3917" s="1">
        <v>45890</v>
      </c>
      <c r="D3917">
        <v>143846</v>
      </c>
      <c r="E3917">
        <v>14</v>
      </c>
      <c r="F3917" s="3" t="s">
        <v>3433</v>
      </c>
      <c r="G3917" s="4">
        <v>63344.5</v>
      </c>
      <c r="H3917" s="4">
        <v>0</v>
      </c>
      <c r="I3917" s="4">
        <v>-6611183.96</v>
      </c>
    </row>
    <row r="3918" spans="1:9" x14ac:dyDescent="0.3">
      <c r="A3918" t="s">
        <v>75</v>
      </c>
      <c r="B3918" s="1">
        <v>45890</v>
      </c>
      <c r="C3918" s="1">
        <v>45890</v>
      </c>
      <c r="D3918">
        <v>143847</v>
      </c>
      <c r="E3918">
        <v>14</v>
      </c>
      <c r="F3918" s="3" t="s">
        <v>3434</v>
      </c>
      <c r="G3918" s="4">
        <v>63344.5</v>
      </c>
      <c r="H3918" s="4">
        <v>0</v>
      </c>
      <c r="I3918" s="4">
        <v>-6547839.46</v>
      </c>
    </row>
    <row r="3919" spans="1:9" x14ac:dyDescent="0.3">
      <c r="A3919" t="s">
        <v>75</v>
      </c>
      <c r="B3919" s="1">
        <v>45889</v>
      </c>
      <c r="C3919" s="1">
        <v>45890</v>
      </c>
      <c r="D3919">
        <v>143848</v>
      </c>
      <c r="E3919">
        <v>82</v>
      </c>
      <c r="F3919" s="3" t="s">
        <v>3435</v>
      </c>
      <c r="G3919" s="4">
        <v>200389</v>
      </c>
      <c r="H3919" s="4">
        <v>0</v>
      </c>
      <c r="I3919" s="4">
        <v>-6347450.46</v>
      </c>
    </row>
    <row r="3920" spans="1:9" x14ac:dyDescent="0.3">
      <c r="A3920" t="s">
        <v>75</v>
      </c>
      <c r="B3920" s="1">
        <v>45890</v>
      </c>
      <c r="C3920" s="1">
        <v>45890</v>
      </c>
      <c r="D3920">
        <v>143849</v>
      </c>
      <c r="E3920">
        <v>72</v>
      </c>
      <c r="F3920" s="3" t="s">
        <v>3436</v>
      </c>
      <c r="G3920" s="4">
        <v>3960</v>
      </c>
      <c r="H3920" s="4">
        <v>0</v>
      </c>
      <c r="I3920" s="4">
        <v>-6343490.46</v>
      </c>
    </row>
    <row r="3921" spans="1:9" x14ac:dyDescent="0.3">
      <c r="A3921" t="s">
        <v>75</v>
      </c>
      <c r="B3921" s="1">
        <v>45887</v>
      </c>
      <c r="C3921" s="1">
        <v>45890</v>
      </c>
      <c r="D3921">
        <v>143850</v>
      </c>
      <c r="E3921">
        <v>44</v>
      </c>
      <c r="F3921" s="3" t="s">
        <v>3437</v>
      </c>
      <c r="G3921" s="4">
        <v>47000</v>
      </c>
      <c r="H3921" s="4">
        <v>0</v>
      </c>
      <c r="I3921" s="4">
        <v>-6296490.46</v>
      </c>
    </row>
    <row r="3922" spans="1:9" x14ac:dyDescent="0.3">
      <c r="A3922" t="s">
        <v>75</v>
      </c>
      <c r="B3922" s="1">
        <v>45890</v>
      </c>
      <c r="C3922" s="1">
        <v>45890</v>
      </c>
      <c r="D3922">
        <v>143851</v>
      </c>
      <c r="E3922">
        <v>55</v>
      </c>
      <c r="F3922" s="3" t="s">
        <v>3438</v>
      </c>
      <c r="G3922" s="4">
        <v>33839</v>
      </c>
      <c r="H3922" s="4">
        <v>0</v>
      </c>
      <c r="I3922" s="4">
        <v>-6262651.46</v>
      </c>
    </row>
    <row r="3923" spans="1:9" x14ac:dyDescent="0.3">
      <c r="A3923" t="s">
        <v>71</v>
      </c>
      <c r="B3923" s="1">
        <v>45890</v>
      </c>
      <c r="C3923" s="1">
        <v>45890</v>
      </c>
      <c r="D3923">
        <v>14699</v>
      </c>
      <c r="E3923">
        <v>100</v>
      </c>
      <c r="F3923" s="3" t="s">
        <v>3439</v>
      </c>
      <c r="G3923" s="4">
        <v>2800000</v>
      </c>
      <c r="H3923" s="4">
        <v>0</v>
      </c>
      <c r="I3923" s="4">
        <v>-3462651.46</v>
      </c>
    </row>
    <row r="3924" spans="1:9" x14ac:dyDescent="0.3">
      <c r="A3924" t="s">
        <v>71</v>
      </c>
      <c r="B3924" s="1">
        <v>45890</v>
      </c>
      <c r="C3924" s="1">
        <v>45890</v>
      </c>
      <c r="D3924">
        <v>14707</v>
      </c>
      <c r="E3924">
        <v>112</v>
      </c>
      <c r="F3924" s="3" t="s">
        <v>3440</v>
      </c>
      <c r="G3924" s="4">
        <v>0</v>
      </c>
      <c r="H3924" s="4">
        <v>1051</v>
      </c>
      <c r="I3924" s="4">
        <v>-3463702.46</v>
      </c>
    </row>
    <row r="3925" spans="1:9" x14ac:dyDescent="0.3">
      <c r="A3925" t="s">
        <v>71</v>
      </c>
      <c r="B3925" s="1">
        <v>45890</v>
      </c>
      <c r="C3925" s="1">
        <v>45890</v>
      </c>
      <c r="D3925">
        <v>14720</v>
      </c>
      <c r="E3925">
        <v>100</v>
      </c>
      <c r="F3925" s="3" t="s">
        <v>74</v>
      </c>
      <c r="G3925" s="4">
        <v>0</v>
      </c>
      <c r="H3925" s="4">
        <v>72364010</v>
      </c>
      <c r="I3925" s="4">
        <v>-75827712.459999993</v>
      </c>
    </row>
    <row r="3926" spans="1:9" x14ac:dyDescent="0.3">
      <c r="A3926" t="s">
        <v>71</v>
      </c>
      <c r="B3926" s="1">
        <v>45890</v>
      </c>
      <c r="C3926" s="1">
        <v>45890</v>
      </c>
      <c r="D3926">
        <v>14742</v>
      </c>
      <c r="E3926">
        <v>100</v>
      </c>
      <c r="F3926" s="3" t="s">
        <v>3441</v>
      </c>
      <c r="G3926" s="4">
        <v>450000</v>
      </c>
      <c r="H3926" s="4">
        <v>0</v>
      </c>
      <c r="I3926" s="4">
        <v>-75377712.459999993</v>
      </c>
    </row>
    <row r="3927" spans="1:9" x14ac:dyDescent="0.3">
      <c r="A3927" t="s">
        <v>124</v>
      </c>
      <c r="B3927" s="1">
        <v>45890</v>
      </c>
      <c r="C3927" s="1">
        <v>45890</v>
      </c>
      <c r="D3927">
        <v>22259</v>
      </c>
      <c r="E3927">
        <v>11</v>
      </c>
      <c r="F3927" s="3" t="s">
        <v>125</v>
      </c>
      <c r="G3927" s="4">
        <v>0</v>
      </c>
      <c r="H3927" s="4">
        <v>34966091.350000001</v>
      </c>
      <c r="I3927" s="4">
        <v>-110343803.81</v>
      </c>
    </row>
    <row r="3928" spans="1:9" x14ac:dyDescent="0.3">
      <c r="A3928" t="s">
        <v>124</v>
      </c>
      <c r="B3928" s="1">
        <v>45890</v>
      </c>
      <c r="C3928" s="1">
        <v>45890</v>
      </c>
      <c r="D3928">
        <v>22260</v>
      </c>
      <c r="E3928">
        <v>11</v>
      </c>
      <c r="F3928" s="3" t="s">
        <v>126</v>
      </c>
      <c r="G3928" s="4">
        <v>0</v>
      </c>
      <c r="H3928" s="4">
        <v>3000000</v>
      </c>
      <c r="I3928" s="4">
        <v>-113343803.81</v>
      </c>
    </row>
    <row r="3929" spans="1:9" x14ac:dyDescent="0.3">
      <c r="A3929" t="s">
        <v>124</v>
      </c>
      <c r="B3929" s="1">
        <v>45890</v>
      </c>
      <c r="C3929" s="1">
        <v>45890</v>
      </c>
      <c r="D3929">
        <v>22262</v>
      </c>
      <c r="E3929">
        <v>11</v>
      </c>
      <c r="F3929" s="3" t="s">
        <v>127</v>
      </c>
      <c r="G3929" s="4">
        <v>14800000</v>
      </c>
      <c r="H3929" s="4">
        <v>0</v>
      </c>
      <c r="I3929" s="4">
        <v>-98543803.810000002</v>
      </c>
    </row>
    <row r="3930" spans="1:9" x14ac:dyDescent="0.3">
      <c r="A3930" t="s">
        <v>124</v>
      </c>
      <c r="B3930" s="1">
        <v>45890</v>
      </c>
      <c r="C3930" s="1">
        <v>45890</v>
      </c>
      <c r="D3930">
        <v>22265</v>
      </c>
      <c r="E3930">
        <v>11</v>
      </c>
      <c r="F3930" s="3" t="s">
        <v>128</v>
      </c>
      <c r="G3930" s="4">
        <v>7500000</v>
      </c>
      <c r="H3930" s="4">
        <v>0</v>
      </c>
      <c r="I3930" s="4">
        <v>-91043803.810000002</v>
      </c>
    </row>
    <row r="3931" spans="1:9" x14ac:dyDescent="0.3">
      <c r="A3931" t="s">
        <v>130</v>
      </c>
      <c r="B3931" s="1">
        <v>45890</v>
      </c>
      <c r="C3931" s="1">
        <v>45890</v>
      </c>
      <c r="D3931">
        <v>3843703</v>
      </c>
      <c r="E3931">
        <v>39</v>
      </c>
      <c r="F3931" s="3" t="s">
        <v>855</v>
      </c>
      <c r="G3931" s="4">
        <v>0</v>
      </c>
      <c r="H3931" s="4">
        <v>4000000</v>
      </c>
      <c r="I3931" s="4">
        <v>-95043803.810000002</v>
      </c>
    </row>
    <row r="3932" spans="1:9" x14ac:dyDescent="0.3">
      <c r="A3932" t="s">
        <v>130</v>
      </c>
      <c r="B3932" s="1">
        <v>45890</v>
      </c>
      <c r="C3932" s="1">
        <v>45890</v>
      </c>
      <c r="D3932">
        <v>3844035</v>
      </c>
      <c r="E3932">
        <v>56</v>
      </c>
      <c r="F3932" s="3" t="s">
        <v>3442</v>
      </c>
      <c r="G3932" s="4">
        <v>0</v>
      </c>
      <c r="H3932" s="4">
        <v>225887</v>
      </c>
      <c r="I3932" s="4">
        <v>-95269690.810000002</v>
      </c>
    </row>
    <row r="3933" spans="1:9" x14ac:dyDescent="0.3">
      <c r="A3933" t="s">
        <v>130</v>
      </c>
      <c r="B3933" s="1">
        <v>45890</v>
      </c>
      <c r="C3933" s="1">
        <v>45890</v>
      </c>
      <c r="D3933">
        <v>3844328</v>
      </c>
      <c r="E3933">
        <v>310</v>
      </c>
      <c r="F3933" s="3" t="s">
        <v>966</v>
      </c>
      <c r="G3933" s="4">
        <v>0</v>
      </c>
      <c r="H3933" s="4">
        <v>300000</v>
      </c>
      <c r="I3933" s="4">
        <v>-95569690.810000002</v>
      </c>
    </row>
    <row r="3934" spans="1:9" x14ac:dyDescent="0.3">
      <c r="A3934" t="s">
        <v>133</v>
      </c>
      <c r="B3934" s="1">
        <v>45890</v>
      </c>
      <c r="C3934" s="1">
        <v>45890</v>
      </c>
      <c r="D3934">
        <v>922317</v>
      </c>
      <c r="E3934">
        <v>23</v>
      </c>
      <c r="F3934" s="3" t="s">
        <v>3443</v>
      </c>
      <c r="G3934" s="4">
        <v>1560.5</v>
      </c>
      <c r="H3934" s="4">
        <v>0</v>
      </c>
      <c r="I3934" s="4">
        <v>-95568130.310000002</v>
      </c>
    </row>
    <row r="3935" spans="1:9" x14ac:dyDescent="0.3">
      <c r="A3935" t="s">
        <v>133</v>
      </c>
      <c r="B3935" s="1">
        <v>45890</v>
      </c>
      <c r="C3935" s="1">
        <v>45890</v>
      </c>
      <c r="D3935">
        <v>922331</v>
      </c>
      <c r="E3935">
        <v>35</v>
      </c>
      <c r="F3935" s="3" t="s">
        <v>3444</v>
      </c>
      <c r="G3935" s="4">
        <v>18869.25</v>
      </c>
      <c r="H3935" s="4">
        <v>0</v>
      </c>
      <c r="I3935" s="4">
        <v>-95549261.060000002</v>
      </c>
    </row>
    <row r="3936" spans="1:9" x14ac:dyDescent="0.3">
      <c r="A3936" t="s">
        <v>133</v>
      </c>
      <c r="B3936" s="1">
        <v>45890</v>
      </c>
      <c r="C3936" s="1">
        <v>45890</v>
      </c>
      <c r="D3936">
        <v>922332</v>
      </c>
      <c r="E3936">
        <v>72</v>
      </c>
      <c r="F3936" s="3" t="s">
        <v>3445</v>
      </c>
      <c r="G3936" s="4">
        <v>15000</v>
      </c>
      <c r="H3936" s="4">
        <v>0</v>
      </c>
      <c r="I3936" s="4">
        <v>-95534261.060000002</v>
      </c>
    </row>
    <row r="3937" spans="1:9" x14ac:dyDescent="0.3">
      <c r="A3937" t="s">
        <v>133</v>
      </c>
      <c r="B3937" s="1">
        <v>45890</v>
      </c>
      <c r="C3937" s="1">
        <v>45890</v>
      </c>
      <c r="D3937">
        <v>922335</v>
      </c>
      <c r="E3937">
        <v>72</v>
      </c>
      <c r="F3937" s="3">
        <v>51129805887</v>
      </c>
      <c r="G3937" s="4">
        <v>3856</v>
      </c>
      <c r="H3937" s="4">
        <v>0</v>
      </c>
      <c r="I3937" s="4">
        <v>-95530405.060000002</v>
      </c>
    </row>
    <row r="3938" spans="1:9" x14ac:dyDescent="0.3">
      <c r="A3938" t="s">
        <v>133</v>
      </c>
      <c r="B3938" s="1">
        <v>45890</v>
      </c>
      <c r="C3938" s="1">
        <v>45890</v>
      </c>
      <c r="D3938">
        <v>922337</v>
      </c>
      <c r="E3938">
        <v>382</v>
      </c>
      <c r="F3938" s="3" t="s">
        <v>3446</v>
      </c>
      <c r="G3938" s="4">
        <v>55223</v>
      </c>
      <c r="H3938" s="4">
        <v>0</v>
      </c>
      <c r="I3938" s="4">
        <v>-95475182.060000002</v>
      </c>
    </row>
    <row r="3939" spans="1:9" x14ac:dyDescent="0.3">
      <c r="A3939" t="s">
        <v>133</v>
      </c>
      <c r="B3939" s="1">
        <v>45890</v>
      </c>
      <c r="C3939" s="1">
        <v>45890</v>
      </c>
      <c r="D3939">
        <v>922349</v>
      </c>
      <c r="E3939">
        <v>63</v>
      </c>
      <c r="F3939" s="3" t="s">
        <v>3447</v>
      </c>
      <c r="G3939" s="4">
        <v>22182.25</v>
      </c>
      <c r="H3939" s="4">
        <v>0</v>
      </c>
      <c r="I3939" s="4">
        <v>-95452999.810000002</v>
      </c>
    </row>
    <row r="3940" spans="1:9" x14ac:dyDescent="0.3">
      <c r="A3940" t="s">
        <v>133</v>
      </c>
      <c r="B3940" s="1">
        <v>45890</v>
      </c>
      <c r="C3940" s="1">
        <v>45890</v>
      </c>
      <c r="D3940">
        <v>922351</v>
      </c>
      <c r="E3940">
        <v>82</v>
      </c>
      <c r="F3940" s="3">
        <v>5620820003645</v>
      </c>
      <c r="G3940" s="4">
        <v>147020.5</v>
      </c>
      <c r="H3940" s="4">
        <v>0</v>
      </c>
      <c r="I3940" s="4">
        <v>-95305979.310000002</v>
      </c>
    </row>
    <row r="3941" spans="1:9" x14ac:dyDescent="0.3">
      <c r="A3941" t="s">
        <v>133</v>
      </c>
      <c r="B3941" s="1">
        <v>45890</v>
      </c>
      <c r="C3941" s="1">
        <v>45890</v>
      </c>
      <c r="D3941">
        <v>922352</v>
      </c>
      <c r="E3941">
        <v>11</v>
      </c>
      <c r="F3941" s="3" t="s">
        <v>3448</v>
      </c>
      <c r="G3941" s="4">
        <v>36785</v>
      </c>
      <c r="H3941" s="4">
        <v>0</v>
      </c>
      <c r="I3941" s="4">
        <v>-95269194.310000002</v>
      </c>
    </row>
    <row r="3942" spans="1:9" x14ac:dyDescent="0.3">
      <c r="A3942" t="s">
        <v>133</v>
      </c>
      <c r="B3942" s="1">
        <v>45890</v>
      </c>
      <c r="C3942" s="1">
        <v>45890</v>
      </c>
      <c r="D3942">
        <v>922353</v>
      </c>
      <c r="E3942">
        <v>72</v>
      </c>
      <c r="F3942" s="3" t="s">
        <v>3449</v>
      </c>
      <c r="G3942" s="4">
        <v>4200</v>
      </c>
      <c r="H3942" s="4">
        <v>0</v>
      </c>
      <c r="I3942" s="4">
        <v>-95264994.310000002</v>
      </c>
    </row>
    <row r="3943" spans="1:9" x14ac:dyDescent="0.3">
      <c r="A3943" t="s">
        <v>133</v>
      </c>
      <c r="B3943" s="1">
        <v>45890</v>
      </c>
      <c r="C3943" s="1">
        <v>45890</v>
      </c>
      <c r="D3943">
        <v>922356</v>
      </c>
      <c r="E3943">
        <v>63</v>
      </c>
      <c r="F3943" s="3" t="s">
        <v>3450</v>
      </c>
      <c r="G3943" s="4">
        <v>15023.5</v>
      </c>
      <c r="H3943" s="4">
        <v>0</v>
      </c>
      <c r="I3943" s="4">
        <v>-95249970.810000002</v>
      </c>
    </row>
    <row r="3944" spans="1:9" x14ac:dyDescent="0.3">
      <c r="A3944" t="s">
        <v>133</v>
      </c>
      <c r="B3944" s="1">
        <v>45890</v>
      </c>
      <c r="C3944" s="1">
        <v>45890</v>
      </c>
      <c r="D3944">
        <v>922357</v>
      </c>
      <c r="E3944">
        <v>63</v>
      </c>
      <c r="F3944" s="3" t="s">
        <v>3451</v>
      </c>
      <c r="G3944" s="4">
        <v>8951.25</v>
      </c>
      <c r="H3944" s="4">
        <v>0</v>
      </c>
      <c r="I3944" s="4">
        <v>-95241019.560000002</v>
      </c>
    </row>
    <row r="3945" spans="1:9" x14ac:dyDescent="0.3">
      <c r="A3945" t="s">
        <v>133</v>
      </c>
      <c r="B3945" s="1">
        <v>45890</v>
      </c>
      <c r="C3945" s="1">
        <v>45890</v>
      </c>
      <c r="D3945">
        <v>922367</v>
      </c>
      <c r="E3945">
        <v>282</v>
      </c>
      <c r="F3945" s="3" t="s">
        <v>3452</v>
      </c>
      <c r="G3945" s="4">
        <v>100000</v>
      </c>
      <c r="H3945" s="4">
        <v>0</v>
      </c>
      <c r="I3945" s="4">
        <v>-95141019.560000002</v>
      </c>
    </row>
    <row r="3946" spans="1:9" x14ac:dyDescent="0.3">
      <c r="A3946" t="s">
        <v>133</v>
      </c>
      <c r="B3946" s="1">
        <v>45890</v>
      </c>
      <c r="C3946" s="1">
        <v>45890</v>
      </c>
      <c r="D3946">
        <v>922368</v>
      </c>
      <c r="E3946">
        <v>15</v>
      </c>
      <c r="F3946" s="3" t="s">
        <v>3453</v>
      </c>
      <c r="G3946" s="4">
        <v>9274.25</v>
      </c>
      <c r="H3946" s="4">
        <v>0</v>
      </c>
      <c r="I3946" s="4">
        <v>-95131745.310000002</v>
      </c>
    </row>
    <row r="3947" spans="1:9" x14ac:dyDescent="0.3">
      <c r="A3947" t="s">
        <v>133</v>
      </c>
      <c r="B3947" s="1">
        <v>45890</v>
      </c>
      <c r="C3947" s="1">
        <v>45890</v>
      </c>
      <c r="D3947">
        <v>922371</v>
      </c>
      <c r="E3947">
        <v>82</v>
      </c>
      <c r="F3947" s="3">
        <v>5620820003659</v>
      </c>
      <c r="G3947" s="4">
        <v>68396.75</v>
      </c>
      <c r="H3947" s="4">
        <v>0</v>
      </c>
      <c r="I3947" s="4">
        <v>-95063348.560000002</v>
      </c>
    </row>
    <row r="3948" spans="1:9" x14ac:dyDescent="0.3">
      <c r="A3948" t="s">
        <v>133</v>
      </c>
      <c r="B3948" s="1">
        <v>45890</v>
      </c>
      <c r="C3948" s="1">
        <v>45890</v>
      </c>
      <c r="D3948">
        <v>922372</v>
      </c>
      <c r="E3948">
        <v>11</v>
      </c>
      <c r="F3948" s="3" t="s">
        <v>3454</v>
      </c>
      <c r="G3948" s="4">
        <v>269.5</v>
      </c>
      <c r="H3948" s="4">
        <v>0</v>
      </c>
      <c r="I3948" s="4">
        <v>-95063079.060000002</v>
      </c>
    </row>
    <row r="3949" spans="1:9" x14ac:dyDescent="0.3">
      <c r="A3949" t="s">
        <v>133</v>
      </c>
      <c r="B3949" s="1">
        <v>45890</v>
      </c>
      <c r="C3949" s="1">
        <v>45890</v>
      </c>
      <c r="D3949">
        <v>922412</v>
      </c>
      <c r="E3949">
        <v>45</v>
      </c>
      <c r="F3949" s="3" t="s">
        <v>3455</v>
      </c>
      <c r="G3949" s="4">
        <v>200000</v>
      </c>
      <c r="H3949" s="4">
        <v>0</v>
      </c>
      <c r="I3949" s="4">
        <v>-94863079.060000002</v>
      </c>
    </row>
    <row r="3950" spans="1:9" x14ac:dyDescent="0.3">
      <c r="A3950" t="s">
        <v>133</v>
      </c>
      <c r="B3950" s="1">
        <v>45890</v>
      </c>
      <c r="C3950" s="1">
        <v>45890</v>
      </c>
      <c r="D3950">
        <v>922418</v>
      </c>
      <c r="E3950">
        <v>59</v>
      </c>
      <c r="F3950" s="3" t="s">
        <v>3456</v>
      </c>
      <c r="G3950" s="4">
        <v>9408</v>
      </c>
      <c r="H3950" s="4">
        <v>0</v>
      </c>
      <c r="I3950" s="4">
        <v>-94853671.060000002</v>
      </c>
    </row>
    <row r="3951" spans="1:9" x14ac:dyDescent="0.3">
      <c r="A3951" t="s">
        <v>133</v>
      </c>
      <c r="B3951" s="1">
        <v>45890</v>
      </c>
      <c r="C3951" s="1">
        <v>45890</v>
      </c>
      <c r="D3951">
        <v>922421</v>
      </c>
      <c r="E3951">
        <v>78</v>
      </c>
      <c r="F3951" s="3" t="s">
        <v>3457</v>
      </c>
      <c r="G3951" s="4">
        <v>1000</v>
      </c>
      <c r="H3951" s="4">
        <v>0</v>
      </c>
      <c r="I3951" s="4">
        <v>-94852671.060000002</v>
      </c>
    </row>
    <row r="3952" spans="1:9" x14ac:dyDescent="0.3">
      <c r="A3952" t="s">
        <v>133</v>
      </c>
      <c r="B3952" s="1">
        <v>45890</v>
      </c>
      <c r="C3952" s="1">
        <v>45890</v>
      </c>
      <c r="D3952">
        <v>922422</v>
      </c>
      <c r="E3952">
        <v>27</v>
      </c>
      <c r="F3952" s="3" t="s">
        <v>3458</v>
      </c>
      <c r="G3952" s="4">
        <v>48444.25</v>
      </c>
      <c r="H3952" s="4">
        <v>0</v>
      </c>
      <c r="I3952" s="4">
        <v>-94804226.810000002</v>
      </c>
    </row>
    <row r="3953" spans="1:9" x14ac:dyDescent="0.3">
      <c r="A3953" t="s">
        <v>133</v>
      </c>
      <c r="B3953" s="1">
        <v>45890</v>
      </c>
      <c r="C3953" s="1">
        <v>45890</v>
      </c>
      <c r="D3953">
        <v>922423</v>
      </c>
      <c r="E3953">
        <v>78</v>
      </c>
      <c r="F3953" s="3" t="s">
        <v>3459</v>
      </c>
      <c r="G3953" s="4">
        <v>24639.5</v>
      </c>
      <c r="H3953" s="4">
        <v>0</v>
      </c>
      <c r="I3953" s="4">
        <v>-94779587.310000002</v>
      </c>
    </row>
    <row r="3954" spans="1:9" x14ac:dyDescent="0.3">
      <c r="A3954" t="s">
        <v>133</v>
      </c>
      <c r="B3954" s="1">
        <v>45890</v>
      </c>
      <c r="C3954" s="1">
        <v>45890</v>
      </c>
      <c r="D3954">
        <v>922429</v>
      </c>
      <c r="E3954">
        <v>27</v>
      </c>
      <c r="F3954" s="3" t="s">
        <v>3460</v>
      </c>
      <c r="G3954" s="4">
        <v>364926</v>
      </c>
      <c r="H3954" s="4">
        <v>0</v>
      </c>
      <c r="I3954" s="4">
        <v>-94414661.310000002</v>
      </c>
    </row>
    <row r="3955" spans="1:9" x14ac:dyDescent="0.3">
      <c r="A3955" t="s">
        <v>133</v>
      </c>
      <c r="B3955" s="1">
        <v>45890</v>
      </c>
      <c r="C3955" s="1">
        <v>45890</v>
      </c>
      <c r="D3955">
        <v>922431</v>
      </c>
      <c r="E3955">
        <v>84</v>
      </c>
      <c r="F3955" s="3" t="s">
        <v>3461</v>
      </c>
      <c r="G3955" s="4">
        <v>10012.5</v>
      </c>
      <c r="H3955" s="4">
        <v>0</v>
      </c>
      <c r="I3955" s="4">
        <v>-94404648.810000002</v>
      </c>
    </row>
    <row r="3956" spans="1:9" x14ac:dyDescent="0.3">
      <c r="A3956" t="s">
        <v>133</v>
      </c>
      <c r="B3956" s="1">
        <v>45890</v>
      </c>
      <c r="C3956" s="1">
        <v>45890</v>
      </c>
      <c r="D3956">
        <v>922433</v>
      </c>
      <c r="E3956">
        <v>75</v>
      </c>
      <c r="F3956" s="3" t="s">
        <v>3462</v>
      </c>
      <c r="G3956" s="4">
        <v>70000</v>
      </c>
      <c r="H3956" s="4">
        <v>0</v>
      </c>
      <c r="I3956" s="4">
        <v>-94334648.810000002</v>
      </c>
    </row>
    <row r="3957" spans="1:9" x14ac:dyDescent="0.3">
      <c r="A3957" t="s">
        <v>133</v>
      </c>
      <c r="B3957" s="1">
        <v>45890</v>
      </c>
      <c r="C3957" s="1">
        <v>45890</v>
      </c>
      <c r="D3957">
        <v>922442</v>
      </c>
      <c r="E3957">
        <v>55</v>
      </c>
      <c r="F3957" s="3" t="s">
        <v>176</v>
      </c>
      <c r="G3957" s="4">
        <v>200000</v>
      </c>
      <c r="H3957" s="4">
        <v>0</v>
      </c>
      <c r="I3957" s="4">
        <v>-94134648.810000002</v>
      </c>
    </row>
    <row r="3958" spans="1:9" x14ac:dyDescent="0.3">
      <c r="A3958" t="s">
        <v>133</v>
      </c>
      <c r="B3958" s="1">
        <v>45890</v>
      </c>
      <c r="C3958" s="1">
        <v>45890</v>
      </c>
      <c r="D3958">
        <v>922443</v>
      </c>
      <c r="E3958">
        <v>382</v>
      </c>
      <c r="F3958" s="3">
        <v>51135727185</v>
      </c>
      <c r="G3958" s="4">
        <v>250000</v>
      </c>
      <c r="H3958" s="4">
        <v>0</v>
      </c>
      <c r="I3958" s="4">
        <v>-93884648.810000002</v>
      </c>
    </row>
    <row r="3959" spans="1:9" x14ac:dyDescent="0.3">
      <c r="A3959" t="s">
        <v>133</v>
      </c>
      <c r="B3959" s="1">
        <v>45890</v>
      </c>
      <c r="C3959" s="1">
        <v>45890</v>
      </c>
      <c r="D3959">
        <v>922445</v>
      </c>
      <c r="E3959">
        <v>223</v>
      </c>
      <c r="F3959" s="3" t="s">
        <v>3463</v>
      </c>
      <c r="G3959" s="4">
        <v>210000</v>
      </c>
      <c r="H3959" s="4">
        <v>0</v>
      </c>
      <c r="I3959" s="4">
        <v>-93674648.810000002</v>
      </c>
    </row>
    <row r="3960" spans="1:9" x14ac:dyDescent="0.3">
      <c r="A3960" t="s">
        <v>133</v>
      </c>
      <c r="B3960" s="1">
        <v>45890</v>
      </c>
      <c r="C3960" s="1">
        <v>45890</v>
      </c>
      <c r="D3960">
        <v>922447</v>
      </c>
      <c r="E3960">
        <v>382</v>
      </c>
      <c r="F3960" s="3">
        <v>51135747280</v>
      </c>
      <c r="G3960" s="4">
        <v>110000</v>
      </c>
      <c r="H3960" s="4">
        <v>0</v>
      </c>
      <c r="I3960" s="4">
        <v>-93564648.810000002</v>
      </c>
    </row>
    <row r="3961" spans="1:9" x14ac:dyDescent="0.3">
      <c r="A3961" t="s">
        <v>133</v>
      </c>
      <c r="B3961" s="1">
        <v>45890</v>
      </c>
      <c r="C3961" s="1">
        <v>45890</v>
      </c>
      <c r="D3961">
        <v>922448</v>
      </c>
      <c r="E3961">
        <v>382</v>
      </c>
      <c r="F3961" s="3">
        <v>51066750027</v>
      </c>
      <c r="G3961" s="4">
        <v>105</v>
      </c>
      <c r="H3961" s="4">
        <v>0</v>
      </c>
      <c r="I3961" s="4">
        <v>-93564543.810000002</v>
      </c>
    </row>
    <row r="3962" spans="1:9" x14ac:dyDescent="0.3">
      <c r="A3962" t="s">
        <v>133</v>
      </c>
      <c r="B3962" s="1">
        <v>45890</v>
      </c>
      <c r="C3962" s="1">
        <v>45890</v>
      </c>
      <c r="D3962">
        <v>922449</v>
      </c>
      <c r="E3962">
        <v>85</v>
      </c>
      <c r="F3962" s="3" t="s">
        <v>3464</v>
      </c>
      <c r="G3962" s="4">
        <v>190000</v>
      </c>
      <c r="H3962" s="4">
        <v>0</v>
      </c>
      <c r="I3962" s="4">
        <v>-93374543.810000002</v>
      </c>
    </row>
    <row r="3963" spans="1:9" x14ac:dyDescent="0.3">
      <c r="A3963" t="s">
        <v>133</v>
      </c>
      <c r="B3963" s="1">
        <v>45890</v>
      </c>
      <c r="C3963" s="1">
        <v>45890</v>
      </c>
      <c r="D3963">
        <v>922453</v>
      </c>
      <c r="E3963">
        <v>56</v>
      </c>
      <c r="F3963" s="3" t="s">
        <v>3465</v>
      </c>
      <c r="G3963" s="4">
        <v>251762</v>
      </c>
      <c r="H3963" s="4">
        <v>0</v>
      </c>
      <c r="I3963" s="4">
        <v>-93122781.810000002</v>
      </c>
    </row>
    <row r="3964" spans="1:9" x14ac:dyDescent="0.3">
      <c r="A3964" t="s">
        <v>133</v>
      </c>
      <c r="B3964" s="1">
        <v>45890</v>
      </c>
      <c r="C3964" s="1">
        <v>45890</v>
      </c>
      <c r="D3964">
        <v>922454</v>
      </c>
      <c r="E3964">
        <v>220</v>
      </c>
      <c r="F3964" s="3" t="s">
        <v>3466</v>
      </c>
      <c r="G3964" s="4">
        <v>150887.25</v>
      </c>
      <c r="H3964" s="4">
        <v>0</v>
      </c>
      <c r="I3964" s="4">
        <v>-92971894.560000002</v>
      </c>
    </row>
    <row r="3965" spans="1:9" x14ac:dyDescent="0.3">
      <c r="A3965" t="s">
        <v>133</v>
      </c>
      <c r="B3965" s="1">
        <v>45890</v>
      </c>
      <c r="C3965" s="1">
        <v>45890</v>
      </c>
      <c r="D3965">
        <v>922455</v>
      </c>
      <c r="E3965">
        <v>78</v>
      </c>
      <c r="F3965" s="3" t="s">
        <v>3467</v>
      </c>
      <c r="G3965" s="4">
        <v>127093.25</v>
      </c>
      <c r="H3965" s="4">
        <v>0</v>
      </c>
      <c r="I3965" s="4">
        <v>-92844801.310000002</v>
      </c>
    </row>
    <row r="3966" spans="1:9" x14ac:dyDescent="0.3">
      <c r="A3966" t="s">
        <v>133</v>
      </c>
      <c r="B3966" s="1">
        <v>45890</v>
      </c>
      <c r="C3966" s="1">
        <v>45890</v>
      </c>
      <c r="D3966">
        <v>922458</v>
      </c>
      <c r="E3966">
        <v>27</v>
      </c>
      <c r="F3966" s="3" t="s">
        <v>3468</v>
      </c>
      <c r="G3966" s="4">
        <v>105290</v>
      </c>
      <c r="H3966" s="4">
        <v>0</v>
      </c>
      <c r="I3966" s="4">
        <v>-92739511.310000002</v>
      </c>
    </row>
    <row r="3967" spans="1:9" x14ac:dyDescent="0.3">
      <c r="A3967" t="s">
        <v>133</v>
      </c>
      <c r="B3967" s="1">
        <v>45890</v>
      </c>
      <c r="C3967" s="1">
        <v>45890</v>
      </c>
      <c r="D3967">
        <v>922460</v>
      </c>
      <c r="E3967">
        <v>27</v>
      </c>
      <c r="F3967" s="3" t="s">
        <v>3469</v>
      </c>
      <c r="G3967" s="4">
        <v>206912.75</v>
      </c>
      <c r="H3967" s="4">
        <v>0</v>
      </c>
      <c r="I3967" s="4">
        <v>-92532598.560000002</v>
      </c>
    </row>
    <row r="3968" spans="1:9" x14ac:dyDescent="0.3">
      <c r="A3968" t="s">
        <v>133</v>
      </c>
      <c r="B3968" s="1">
        <v>45890</v>
      </c>
      <c r="C3968" s="1">
        <v>45890</v>
      </c>
      <c r="D3968">
        <v>922462</v>
      </c>
      <c r="E3968">
        <v>252</v>
      </c>
      <c r="F3968" s="3" t="s">
        <v>3470</v>
      </c>
      <c r="G3968" s="4">
        <v>91549.5</v>
      </c>
      <c r="H3968" s="4">
        <v>0</v>
      </c>
      <c r="I3968" s="4">
        <v>-92441049.060000002</v>
      </c>
    </row>
    <row r="3969" spans="1:9" x14ac:dyDescent="0.3">
      <c r="A3969" t="s">
        <v>133</v>
      </c>
      <c r="B3969" s="1">
        <v>45890</v>
      </c>
      <c r="C3969" s="1">
        <v>45890</v>
      </c>
      <c r="D3969">
        <v>922469</v>
      </c>
      <c r="E3969">
        <v>27</v>
      </c>
      <c r="F3969" s="3" t="s">
        <v>3471</v>
      </c>
      <c r="G3969" s="4">
        <v>272686.5</v>
      </c>
      <c r="H3969" s="4">
        <v>0</v>
      </c>
      <c r="I3969" s="4">
        <v>-92168362.560000002</v>
      </c>
    </row>
    <row r="3970" spans="1:9" x14ac:dyDescent="0.3">
      <c r="A3970" t="s">
        <v>133</v>
      </c>
      <c r="B3970" s="1">
        <v>45890</v>
      </c>
      <c r="C3970" s="1">
        <v>45890</v>
      </c>
      <c r="D3970">
        <v>922471</v>
      </c>
      <c r="E3970">
        <v>13</v>
      </c>
      <c r="F3970" s="3" t="s">
        <v>3472</v>
      </c>
      <c r="G3970" s="4">
        <v>420000</v>
      </c>
      <c r="H3970" s="4">
        <v>0</v>
      </c>
      <c r="I3970" s="4">
        <v>-91748362.560000002</v>
      </c>
    </row>
    <row r="3971" spans="1:9" x14ac:dyDescent="0.3">
      <c r="A3971" t="s">
        <v>133</v>
      </c>
      <c r="B3971" s="1">
        <v>45890</v>
      </c>
      <c r="C3971" s="1">
        <v>45890</v>
      </c>
      <c r="D3971">
        <v>922474</v>
      </c>
      <c r="E3971">
        <v>27</v>
      </c>
      <c r="F3971" s="3" t="s">
        <v>3473</v>
      </c>
      <c r="G3971" s="4">
        <v>103027</v>
      </c>
      <c r="H3971" s="4">
        <v>0</v>
      </c>
      <c r="I3971" s="4">
        <v>-91645335.560000002</v>
      </c>
    </row>
    <row r="3972" spans="1:9" x14ac:dyDescent="0.3">
      <c r="A3972" t="s">
        <v>133</v>
      </c>
      <c r="B3972" s="1">
        <v>45890</v>
      </c>
      <c r="C3972" s="1">
        <v>45890</v>
      </c>
      <c r="D3972">
        <v>922475</v>
      </c>
      <c r="E3972">
        <v>27</v>
      </c>
      <c r="F3972" s="3" t="s">
        <v>3474</v>
      </c>
      <c r="G3972" s="4">
        <v>183760.5</v>
      </c>
      <c r="H3972" s="4">
        <v>0</v>
      </c>
      <c r="I3972" s="4">
        <v>-91461575.060000002</v>
      </c>
    </row>
    <row r="3973" spans="1:9" x14ac:dyDescent="0.3">
      <c r="A3973" t="s">
        <v>133</v>
      </c>
      <c r="B3973" s="1">
        <v>45890</v>
      </c>
      <c r="C3973" s="1">
        <v>45890</v>
      </c>
      <c r="D3973">
        <v>922481</v>
      </c>
      <c r="E3973">
        <v>31</v>
      </c>
      <c r="F3973" s="3" t="s">
        <v>3475</v>
      </c>
      <c r="G3973" s="4">
        <v>50000</v>
      </c>
      <c r="H3973" s="4">
        <v>0</v>
      </c>
      <c r="I3973" s="4">
        <v>-91411575.060000002</v>
      </c>
    </row>
    <row r="3974" spans="1:9" x14ac:dyDescent="0.3">
      <c r="A3974" t="s">
        <v>133</v>
      </c>
      <c r="B3974" s="1">
        <v>45890</v>
      </c>
      <c r="C3974" s="1">
        <v>45890</v>
      </c>
      <c r="D3974">
        <v>922488</v>
      </c>
      <c r="E3974">
        <v>412</v>
      </c>
      <c r="F3974" s="3" t="s">
        <v>3476</v>
      </c>
      <c r="G3974" s="4">
        <v>280000</v>
      </c>
      <c r="H3974" s="4">
        <v>0</v>
      </c>
      <c r="I3974" s="4">
        <v>-91131575.060000002</v>
      </c>
    </row>
    <row r="3975" spans="1:9" x14ac:dyDescent="0.3">
      <c r="A3975" t="s">
        <v>133</v>
      </c>
      <c r="B3975" s="1">
        <v>45890</v>
      </c>
      <c r="C3975" s="1">
        <v>45890</v>
      </c>
      <c r="D3975">
        <v>922495</v>
      </c>
      <c r="E3975">
        <v>18</v>
      </c>
      <c r="F3975" s="3" t="s">
        <v>3477</v>
      </c>
      <c r="G3975" s="4">
        <v>200000</v>
      </c>
      <c r="H3975" s="4">
        <v>0</v>
      </c>
      <c r="I3975" s="4">
        <v>-90931575.060000002</v>
      </c>
    </row>
    <row r="3976" spans="1:9" x14ac:dyDescent="0.3">
      <c r="A3976" t="s">
        <v>133</v>
      </c>
      <c r="B3976" s="1">
        <v>45890</v>
      </c>
      <c r="C3976" s="1">
        <v>45890</v>
      </c>
      <c r="D3976">
        <v>922497</v>
      </c>
      <c r="E3976">
        <v>78</v>
      </c>
      <c r="F3976" s="3" t="s">
        <v>3478</v>
      </c>
      <c r="G3976" s="4">
        <v>21408.5</v>
      </c>
      <c r="H3976" s="4">
        <v>0</v>
      </c>
      <c r="I3976" s="4">
        <v>-90910166.560000002</v>
      </c>
    </row>
    <row r="3977" spans="1:9" x14ac:dyDescent="0.3">
      <c r="A3977" t="s">
        <v>133</v>
      </c>
      <c r="B3977" s="1">
        <v>45890</v>
      </c>
      <c r="C3977" s="1">
        <v>45890</v>
      </c>
      <c r="D3977">
        <v>922498</v>
      </c>
      <c r="E3977">
        <v>351</v>
      </c>
      <c r="F3977" s="3" t="s">
        <v>3479</v>
      </c>
      <c r="G3977" s="4">
        <v>1197.5</v>
      </c>
      <c r="H3977" s="4">
        <v>0</v>
      </c>
      <c r="I3977" s="4">
        <v>-90908969.060000002</v>
      </c>
    </row>
    <row r="3978" spans="1:9" x14ac:dyDescent="0.3">
      <c r="A3978" t="s">
        <v>133</v>
      </c>
      <c r="B3978" s="1">
        <v>45890</v>
      </c>
      <c r="C3978" s="1">
        <v>45890</v>
      </c>
      <c r="D3978">
        <v>922500</v>
      </c>
      <c r="E3978">
        <v>351</v>
      </c>
      <c r="F3978" s="3" t="s">
        <v>3480</v>
      </c>
      <c r="G3978" s="4">
        <v>228308</v>
      </c>
      <c r="H3978" s="4">
        <v>0</v>
      </c>
      <c r="I3978" s="4">
        <v>-90680661.060000002</v>
      </c>
    </row>
    <row r="3979" spans="1:9" x14ac:dyDescent="0.3">
      <c r="A3979" t="s">
        <v>133</v>
      </c>
      <c r="B3979" s="1">
        <v>45890</v>
      </c>
      <c r="C3979" s="1">
        <v>45890</v>
      </c>
      <c r="D3979">
        <v>922502</v>
      </c>
      <c r="E3979">
        <v>351</v>
      </c>
      <c r="F3979" s="3" t="s">
        <v>3481</v>
      </c>
      <c r="G3979" s="4">
        <v>2608.5</v>
      </c>
      <c r="H3979" s="4">
        <v>0</v>
      </c>
      <c r="I3979" s="4">
        <v>-90678052.560000002</v>
      </c>
    </row>
    <row r="3980" spans="1:9" x14ac:dyDescent="0.3">
      <c r="A3980" t="s">
        <v>133</v>
      </c>
      <c r="B3980" s="1">
        <v>45890</v>
      </c>
      <c r="C3980" s="1">
        <v>45890</v>
      </c>
      <c r="D3980">
        <v>922503</v>
      </c>
      <c r="E3980">
        <v>351</v>
      </c>
      <c r="F3980" s="3" t="s">
        <v>3482</v>
      </c>
      <c r="G3980" s="4">
        <v>13625</v>
      </c>
      <c r="H3980" s="4">
        <v>0</v>
      </c>
      <c r="I3980" s="4">
        <v>-90664427.560000002</v>
      </c>
    </row>
    <row r="3981" spans="1:9" x14ac:dyDescent="0.3">
      <c r="A3981" t="s">
        <v>133</v>
      </c>
      <c r="B3981" s="1">
        <v>45890</v>
      </c>
      <c r="C3981" s="1">
        <v>45890</v>
      </c>
      <c r="D3981">
        <v>922505</v>
      </c>
      <c r="E3981">
        <v>351</v>
      </c>
      <c r="F3981" s="3" t="s">
        <v>3483</v>
      </c>
      <c r="G3981" s="4">
        <v>11121.5</v>
      </c>
      <c r="H3981" s="4">
        <v>0</v>
      </c>
      <c r="I3981" s="4">
        <v>-90653306.060000002</v>
      </c>
    </row>
    <row r="3982" spans="1:9" x14ac:dyDescent="0.3">
      <c r="A3982" t="s">
        <v>133</v>
      </c>
      <c r="B3982" s="1">
        <v>45890</v>
      </c>
      <c r="C3982" s="1">
        <v>45890</v>
      </c>
      <c r="D3982">
        <v>922506</v>
      </c>
      <c r="E3982">
        <v>361</v>
      </c>
      <c r="F3982" s="3" t="s">
        <v>3484</v>
      </c>
      <c r="G3982" s="4">
        <v>150000</v>
      </c>
      <c r="H3982" s="4">
        <v>0</v>
      </c>
      <c r="I3982" s="4">
        <v>-90503306.060000002</v>
      </c>
    </row>
    <row r="3983" spans="1:9" x14ac:dyDescent="0.3">
      <c r="A3983" t="s">
        <v>133</v>
      </c>
      <c r="B3983" s="1">
        <v>45890</v>
      </c>
      <c r="C3983" s="1">
        <v>45890</v>
      </c>
      <c r="D3983">
        <v>922509</v>
      </c>
      <c r="E3983">
        <v>17</v>
      </c>
      <c r="F3983" s="3" t="s">
        <v>3485</v>
      </c>
      <c r="G3983" s="4">
        <v>260000</v>
      </c>
      <c r="H3983" s="4">
        <v>0</v>
      </c>
      <c r="I3983" s="4">
        <v>-90243306.060000002</v>
      </c>
    </row>
    <row r="3984" spans="1:9" x14ac:dyDescent="0.3">
      <c r="A3984" t="s">
        <v>133</v>
      </c>
      <c r="B3984" s="1">
        <v>45890</v>
      </c>
      <c r="C3984" s="1">
        <v>45890</v>
      </c>
      <c r="D3984">
        <v>922512</v>
      </c>
      <c r="E3984">
        <v>12</v>
      </c>
      <c r="F3984" s="3" t="s">
        <v>3486</v>
      </c>
      <c r="G3984" s="4">
        <v>360000</v>
      </c>
      <c r="H3984" s="4">
        <v>0</v>
      </c>
      <c r="I3984" s="4">
        <v>-89883306.060000002</v>
      </c>
    </row>
    <row r="3985" spans="1:9" x14ac:dyDescent="0.3">
      <c r="A3985" t="s">
        <v>133</v>
      </c>
      <c r="B3985" s="1">
        <v>45890</v>
      </c>
      <c r="C3985" s="1">
        <v>45890</v>
      </c>
      <c r="D3985">
        <v>922514</v>
      </c>
      <c r="E3985">
        <v>19</v>
      </c>
      <c r="F3985" s="3" t="s">
        <v>3487</v>
      </c>
      <c r="G3985" s="4">
        <v>685649.75</v>
      </c>
      <c r="H3985" s="4">
        <v>0</v>
      </c>
      <c r="I3985" s="4">
        <v>-89197656.310000002</v>
      </c>
    </row>
    <row r="3986" spans="1:9" x14ac:dyDescent="0.3">
      <c r="A3986" t="s">
        <v>133</v>
      </c>
      <c r="B3986" s="1">
        <v>45890</v>
      </c>
      <c r="C3986" s="1">
        <v>45890</v>
      </c>
      <c r="D3986">
        <v>922520</v>
      </c>
      <c r="E3986">
        <v>54</v>
      </c>
      <c r="F3986" s="3" t="s">
        <v>3488</v>
      </c>
      <c r="G3986" s="4">
        <v>370000</v>
      </c>
      <c r="H3986" s="4">
        <v>0</v>
      </c>
      <c r="I3986" s="4">
        <v>-88827656.310000002</v>
      </c>
    </row>
    <row r="3987" spans="1:9" x14ac:dyDescent="0.3">
      <c r="A3987" t="s">
        <v>133</v>
      </c>
      <c r="B3987" s="1">
        <v>45890</v>
      </c>
      <c r="C3987" s="1">
        <v>45890</v>
      </c>
      <c r="D3987">
        <v>922537</v>
      </c>
      <c r="E3987">
        <v>88</v>
      </c>
      <c r="F3987" s="3">
        <v>526615698</v>
      </c>
      <c r="G3987" s="4">
        <v>77475.5</v>
      </c>
      <c r="H3987" s="4">
        <v>0</v>
      </c>
      <c r="I3987" s="4">
        <v>-88750180.810000002</v>
      </c>
    </row>
    <row r="3988" spans="1:9" x14ac:dyDescent="0.3">
      <c r="A3988" t="s">
        <v>133</v>
      </c>
      <c r="B3988" s="1">
        <v>45890</v>
      </c>
      <c r="C3988" s="1">
        <v>45890</v>
      </c>
      <c r="D3988">
        <v>922541</v>
      </c>
      <c r="E3988">
        <v>52</v>
      </c>
      <c r="F3988" s="3" t="s">
        <v>669</v>
      </c>
      <c r="G3988" s="4">
        <v>330000</v>
      </c>
      <c r="H3988" s="4">
        <v>0</v>
      </c>
      <c r="I3988" s="4">
        <v>-88420180.810000002</v>
      </c>
    </row>
    <row r="3989" spans="1:9" x14ac:dyDescent="0.3">
      <c r="A3989" t="s">
        <v>133</v>
      </c>
      <c r="B3989" s="1">
        <v>45890</v>
      </c>
      <c r="C3989" s="1">
        <v>45890</v>
      </c>
      <c r="D3989">
        <v>922552</v>
      </c>
      <c r="E3989">
        <v>49</v>
      </c>
      <c r="F3989" s="3">
        <v>51068494136</v>
      </c>
      <c r="G3989" s="4">
        <v>1365.75</v>
      </c>
      <c r="H3989" s="4">
        <v>0</v>
      </c>
      <c r="I3989" s="4">
        <v>-88418815.060000002</v>
      </c>
    </row>
    <row r="3990" spans="1:9" x14ac:dyDescent="0.3">
      <c r="A3990" t="s">
        <v>133</v>
      </c>
      <c r="B3990" s="1">
        <v>45890</v>
      </c>
      <c r="C3990" s="1">
        <v>45890</v>
      </c>
      <c r="D3990">
        <v>922555</v>
      </c>
      <c r="E3990">
        <v>49</v>
      </c>
      <c r="F3990" s="3">
        <v>51087838022</v>
      </c>
      <c r="G3990" s="4">
        <v>41915.5</v>
      </c>
      <c r="H3990" s="4">
        <v>0</v>
      </c>
      <c r="I3990" s="4">
        <v>-88376899.560000002</v>
      </c>
    </row>
    <row r="3991" spans="1:9" x14ac:dyDescent="0.3">
      <c r="A3991" t="s">
        <v>133</v>
      </c>
      <c r="B3991" s="1">
        <v>45890</v>
      </c>
      <c r="C3991" s="1">
        <v>45890</v>
      </c>
      <c r="D3991">
        <v>922558</v>
      </c>
      <c r="E3991">
        <v>49</v>
      </c>
      <c r="F3991" s="3">
        <v>51108391227</v>
      </c>
      <c r="G3991" s="4">
        <v>100000</v>
      </c>
      <c r="H3991" s="4">
        <v>0</v>
      </c>
      <c r="I3991" s="4">
        <v>-88276899.560000002</v>
      </c>
    </row>
    <row r="3992" spans="1:9" x14ac:dyDescent="0.3">
      <c r="A3992" t="s">
        <v>133</v>
      </c>
      <c r="B3992" s="1">
        <v>45890</v>
      </c>
      <c r="C3992" s="1">
        <v>45890</v>
      </c>
      <c r="D3992">
        <v>922559</v>
      </c>
      <c r="E3992">
        <v>49</v>
      </c>
      <c r="F3992" s="3">
        <v>51108409988</v>
      </c>
      <c r="G3992" s="4">
        <v>100000</v>
      </c>
      <c r="H3992" s="4">
        <v>0</v>
      </c>
      <c r="I3992" s="4">
        <v>-88176899.560000002</v>
      </c>
    </row>
    <row r="3993" spans="1:9" x14ac:dyDescent="0.3">
      <c r="A3993" t="s">
        <v>133</v>
      </c>
      <c r="B3993" s="1">
        <v>45890</v>
      </c>
      <c r="C3993" s="1">
        <v>45890</v>
      </c>
      <c r="D3993">
        <v>922563</v>
      </c>
      <c r="E3993">
        <v>49</v>
      </c>
      <c r="F3993" s="3">
        <v>51108445039</v>
      </c>
      <c r="G3993" s="4">
        <v>25599.75</v>
      </c>
      <c r="H3993" s="4">
        <v>0</v>
      </c>
      <c r="I3993" s="4">
        <v>-88151299.810000002</v>
      </c>
    </row>
    <row r="3994" spans="1:9" x14ac:dyDescent="0.3">
      <c r="A3994" t="s">
        <v>133</v>
      </c>
      <c r="B3994" s="1">
        <v>45890</v>
      </c>
      <c r="C3994" s="1">
        <v>45890</v>
      </c>
      <c r="D3994">
        <v>922572</v>
      </c>
      <c r="E3994">
        <v>65</v>
      </c>
      <c r="F3994" s="3" t="s">
        <v>3489</v>
      </c>
      <c r="G3994" s="4">
        <v>300000</v>
      </c>
      <c r="H3994" s="4">
        <v>0</v>
      </c>
      <c r="I3994" s="4">
        <v>-87851299.810000002</v>
      </c>
    </row>
    <row r="3995" spans="1:9" x14ac:dyDescent="0.3">
      <c r="A3995" t="s">
        <v>133</v>
      </c>
      <c r="B3995" s="1">
        <v>45890</v>
      </c>
      <c r="C3995" s="1">
        <v>45890</v>
      </c>
      <c r="D3995">
        <v>922578</v>
      </c>
      <c r="E3995">
        <v>15</v>
      </c>
      <c r="F3995" s="3" t="s">
        <v>966</v>
      </c>
      <c r="G3995" s="4">
        <v>200000</v>
      </c>
      <c r="H3995" s="4">
        <v>0</v>
      </c>
      <c r="I3995" s="4">
        <v>-87651299.810000002</v>
      </c>
    </row>
    <row r="3996" spans="1:9" x14ac:dyDescent="0.3">
      <c r="A3996" t="s">
        <v>133</v>
      </c>
      <c r="B3996" s="1">
        <v>45890</v>
      </c>
      <c r="C3996" s="1">
        <v>45890</v>
      </c>
      <c r="D3996">
        <v>922582</v>
      </c>
      <c r="E3996">
        <v>351</v>
      </c>
      <c r="F3996" s="3" t="s">
        <v>3490</v>
      </c>
      <c r="G3996" s="4">
        <v>19138</v>
      </c>
      <c r="H3996" s="4">
        <v>0</v>
      </c>
      <c r="I3996" s="4">
        <v>-87632161.810000002</v>
      </c>
    </row>
    <row r="3997" spans="1:9" x14ac:dyDescent="0.3">
      <c r="A3997" t="s">
        <v>133</v>
      </c>
      <c r="B3997" s="1">
        <v>45890</v>
      </c>
      <c r="C3997" s="1">
        <v>45890</v>
      </c>
      <c r="D3997">
        <v>922583</v>
      </c>
      <c r="E3997">
        <v>27</v>
      </c>
      <c r="F3997" s="3" t="s">
        <v>3491</v>
      </c>
      <c r="G3997" s="4">
        <v>47822.5</v>
      </c>
      <c r="H3997" s="4">
        <v>0</v>
      </c>
      <c r="I3997" s="4">
        <v>-87584339.310000002</v>
      </c>
    </row>
    <row r="3998" spans="1:9" x14ac:dyDescent="0.3">
      <c r="A3998" t="s">
        <v>133</v>
      </c>
      <c r="B3998" s="1">
        <v>45890</v>
      </c>
      <c r="C3998" s="1">
        <v>45890</v>
      </c>
      <c r="D3998">
        <v>922584</v>
      </c>
      <c r="E3998">
        <v>310</v>
      </c>
      <c r="F3998" s="3" t="s">
        <v>3492</v>
      </c>
      <c r="G3998" s="4">
        <v>300000</v>
      </c>
      <c r="H3998" s="4">
        <v>0</v>
      </c>
      <c r="I3998" s="4">
        <v>-87284339.310000002</v>
      </c>
    </row>
    <row r="3999" spans="1:9" x14ac:dyDescent="0.3">
      <c r="A3999" t="s">
        <v>133</v>
      </c>
      <c r="B3999" s="1">
        <v>45890</v>
      </c>
      <c r="C3999" s="1">
        <v>45890</v>
      </c>
      <c r="D3999">
        <v>922585</v>
      </c>
      <c r="E3999">
        <v>310</v>
      </c>
      <c r="F3999" s="3" t="s">
        <v>181</v>
      </c>
      <c r="G3999" s="4">
        <v>300000</v>
      </c>
      <c r="H3999" s="4">
        <v>0</v>
      </c>
      <c r="I3999" s="4">
        <v>-86984339.310000002</v>
      </c>
    </row>
    <row r="4000" spans="1:9" x14ac:dyDescent="0.3">
      <c r="A4000" t="s">
        <v>133</v>
      </c>
      <c r="B4000" s="1">
        <v>45890</v>
      </c>
      <c r="C4000" s="1">
        <v>45890</v>
      </c>
      <c r="D4000">
        <v>922586</v>
      </c>
      <c r="E4000">
        <v>27</v>
      </c>
      <c r="F4000" s="3" t="s">
        <v>3493</v>
      </c>
      <c r="G4000" s="4">
        <v>100872.5</v>
      </c>
      <c r="H4000" s="4">
        <v>0</v>
      </c>
      <c r="I4000" s="4">
        <v>-86883466.810000002</v>
      </c>
    </row>
    <row r="4001" spans="1:9" x14ac:dyDescent="0.3">
      <c r="A4001" t="s">
        <v>133</v>
      </c>
      <c r="B4001" s="1">
        <v>45890</v>
      </c>
      <c r="C4001" s="1">
        <v>45890</v>
      </c>
      <c r="D4001">
        <v>922588</v>
      </c>
      <c r="E4001">
        <v>67</v>
      </c>
      <c r="F4001" s="3" t="s">
        <v>181</v>
      </c>
      <c r="G4001" s="4">
        <v>155000</v>
      </c>
      <c r="H4001" s="4">
        <v>0</v>
      </c>
      <c r="I4001" s="4">
        <v>-86728466.810000002</v>
      </c>
    </row>
    <row r="4002" spans="1:9" x14ac:dyDescent="0.3">
      <c r="A4002" t="s">
        <v>133</v>
      </c>
      <c r="B4002" s="1">
        <v>45890</v>
      </c>
      <c r="C4002" s="1">
        <v>45890</v>
      </c>
      <c r="D4002">
        <v>922596</v>
      </c>
      <c r="E4002">
        <v>85</v>
      </c>
      <c r="F4002" s="3" t="s">
        <v>3494</v>
      </c>
      <c r="G4002" s="4">
        <v>2845.25</v>
      </c>
      <c r="H4002" s="4">
        <v>0</v>
      </c>
      <c r="I4002" s="4">
        <v>-86725621.560000002</v>
      </c>
    </row>
    <row r="4003" spans="1:9" x14ac:dyDescent="0.3">
      <c r="A4003" t="s">
        <v>133</v>
      </c>
      <c r="B4003" s="1">
        <v>45890</v>
      </c>
      <c r="C4003" s="1">
        <v>45890</v>
      </c>
      <c r="D4003">
        <v>922598</v>
      </c>
      <c r="E4003">
        <v>77</v>
      </c>
      <c r="F4003" s="3" t="s">
        <v>3495</v>
      </c>
      <c r="G4003" s="4">
        <v>310000</v>
      </c>
      <c r="H4003" s="4">
        <v>0</v>
      </c>
      <c r="I4003" s="4">
        <v>-86415621.560000002</v>
      </c>
    </row>
    <row r="4004" spans="1:9" x14ac:dyDescent="0.3">
      <c r="A4004" t="s">
        <v>133</v>
      </c>
      <c r="B4004" s="1">
        <v>45890</v>
      </c>
      <c r="C4004" s="1">
        <v>45890</v>
      </c>
      <c r="D4004">
        <v>922600</v>
      </c>
      <c r="E4004">
        <v>351</v>
      </c>
      <c r="F4004" s="3" t="s">
        <v>181</v>
      </c>
      <c r="G4004" s="4">
        <v>225000</v>
      </c>
      <c r="H4004" s="4">
        <v>0</v>
      </c>
      <c r="I4004" s="4">
        <v>-86190621.560000002</v>
      </c>
    </row>
    <row r="4005" spans="1:9" x14ac:dyDescent="0.3">
      <c r="A4005" t="s">
        <v>133</v>
      </c>
      <c r="B4005" s="1">
        <v>45890</v>
      </c>
      <c r="C4005" s="1">
        <v>45890</v>
      </c>
      <c r="D4005">
        <v>922601</v>
      </c>
      <c r="E4005">
        <v>252</v>
      </c>
      <c r="F4005" s="3" t="s">
        <v>3496</v>
      </c>
      <c r="G4005" s="4">
        <v>2041.25</v>
      </c>
      <c r="H4005" s="4">
        <v>0</v>
      </c>
      <c r="I4005" s="4">
        <v>-86188580.310000002</v>
      </c>
    </row>
    <row r="4006" spans="1:9" x14ac:dyDescent="0.3">
      <c r="A4006" t="s">
        <v>133</v>
      </c>
      <c r="B4006" s="1">
        <v>45890</v>
      </c>
      <c r="C4006" s="1">
        <v>45890</v>
      </c>
      <c r="D4006">
        <v>922602</v>
      </c>
      <c r="E4006">
        <v>82</v>
      </c>
      <c r="F4006" s="3" t="s">
        <v>3497</v>
      </c>
      <c r="G4006" s="4">
        <v>370000</v>
      </c>
      <c r="H4006" s="4">
        <v>0</v>
      </c>
      <c r="I4006" s="4">
        <v>-85818580.310000002</v>
      </c>
    </row>
    <row r="4007" spans="1:9" x14ac:dyDescent="0.3">
      <c r="A4007" t="s">
        <v>133</v>
      </c>
      <c r="B4007" s="1">
        <v>45890</v>
      </c>
      <c r="C4007" s="1">
        <v>45890</v>
      </c>
      <c r="D4007">
        <v>922603</v>
      </c>
      <c r="E4007">
        <v>32</v>
      </c>
      <c r="F4007" s="3" t="s">
        <v>1161</v>
      </c>
      <c r="G4007" s="4">
        <v>100000</v>
      </c>
      <c r="H4007" s="4">
        <v>0</v>
      </c>
      <c r="I4007" s="4">
        <v>-85718580.310000002</v>
      </c>
    </row>
    <row r="4008" spans="1:9" x14ac:dyDescent="0.3">
      <c r="A4008" t="s">
        <v>133</v>
      </c>
      <c r="B4008" s="1">
        <v>45890</v>
      </c>
      <c r="C4008" s="1">
        <v>45890</v>
      </c>
      <c r="D4008">
        <v>922608</v>
      </c>
      <c r="E4008">
        <v>27</v>
      </c>
      <c r="F4008" s="3" t="s">
        <v>3498</v>
      </c>
      <c r="G4008" s="4">
        <v>150000</v>
      </c>
      <c r="H4008" s="4">
        <v>0</v>
      </c>
      <c r="I4008" s="4">
        <v>-85568580.310000002</v>
      </c>
    </row>
    <row r="4009" spans="1:9" x14ac:dyDescent="0.3">
      <c r="A4009" t="s">
        <v>133</v>
      </c>
      <c r="B4009" s="1">
        <v>45890</v>
      </c>
      <c r="C4009" s="1">
        <v>45890</v>
      </c>
      <c r="D4009">
        <v>922634</v>
      </c>
      <c r="E4009">
        <v>220</v>
      </c>
      <c r="F4009" s="3" t="s">
        <v>3499</v>
      </c>
      <c r="G4009" s="4">
        <v>340020</v>
      </c>
      <c r="H4009" s="4">
        <v>0</v>
      </c>
      <c r="I4009" s="4">
        <v>-85228560.310000002</v>
      </c>
    </row>
    <row r="4010" spans="1:9" x14ac:dyDescent="0.3">
      <c r="A4010" t="s">
        <v>133</v>
      </c>
      <c r="B4010" s="1">
        <v>45890</v>
      </c>
      <c r="C4010" s="1">
        <v>45890</v>
      </c>
      <c r="D4010">
        <v>922650</v>
      </c>
      <c r="E4010">
        <v>46</v>
      </c>
      <c r="F4010" s="3" t="s">
        <v>3500</v>
      </c>
      <c r="G4010" s="4">
        <v>14342.75</v>
      </c>
      <c r="H4010" s="4">
        <v>0</v>
      </c>
      <c r="I4010" s="4">
        <v>-85214217.560000002</v>
      </c>
    </row>
    <row r="4011" spans="1:9" x14ac:dyDescent="0.3">
      <c r="A4011" t="s">
        <v>133</v>
      </c>
      <c r="B4011" s="1">
        <v>45890</v>
      </c>
      <c r="C4011" s="1">
        <v>45890</v>
      </c>
      <c r="D4011">
        <v>922651</v>
      </c>
      <c r="E4011">
        <v>16</v>
      </c>
      <c r="F4011" s="3" t="s">
        <v>688</v>
      </c>
      <c r="G4011" s="4">
        <v>270000</v>
      </c>
      <c r="H4011" s="4">
        <v>0</v>
      </c>
      <c r="I4011" s="4">
        <v>-84944217.560000002</v>
      </c>
    </row>
    <row r="4012" spans="1:9" x14ac:dyDescent="0.3">
      <c r="A4012" t="s">
        <v>133</v>
      </c>
      <c r="B4012" s="1">
        <v>45890</v>
      </c>
      <c r="C4012" s="1">
        <v>45890</v>
      </c>
      <c r="D4012">
        <v>922653</v>
      </c>
      <c r="E4012">
        <v>33</v>
      </c>
      <c r="F4012" s="3" t="s">
        <v>3501</v>
      </c>
      <c r="G4012" s="4">
        <v>810000</v>
      </c>
      <c r="H4012" s="4">
        <v>0</v>
      </c>
      <c r="I4012" s="4">
        <v>-84134217.560000002</v>
      </c>
    </row>
    <row r="4013" spans="1:9" x14ac:dyDescent="0.3">
      <c r="A4013" t="s">
        <v>133</v>
      </c>
      <c r="B4013" s="1">
        <v>45890</v>
      </c>
      <c r="C4013" s="1">
        <v>45890</v>
      </c>
      <c r="D4013">
        <v>922654</v>
      </c>
      <c r="E4013">
        <v>12</v>
      </c>
      <c r="F4013" s="3">
        <v>500282</v>
      </c>
      <c r="G4013" s="4">
        <v>13123</v>
      </c>
      <c r="H4013" s="4">
        <v>0</v>
      </c>
      <c r="I4013" s="4">
        <v>-84121094.560000002</v>
      </c>
    </row>
    <row r="4014" spans="1:9" x14ac:dyDescent="0.3">
      <c r="A4014" t="s">
        <v>133</v>
      </c>
      <c r="B4014" s="1">
        <v>45890</v>
      </c>
      <c r="C4014" s="1">
        <v>45890</v>
      </c>
      <c r="D4014">
        <v>922655</v>
      </c>
      <c r="E4014">
        <v>80</v>
      </c>
      <c r="F4014" s="3" t="s">
        <v>3166</v>
      </c>
      <c r="G4014" s="4">
        <v>150000</v>
      </c>
      <c r="H4014" s="4">
        <v>0</v>
      </c>
      <c r="I4014" s="4">
        <v>-83971094.560000002</v>
      </c>
    </row>
    <row r="4015" spans="1:9" x14ac:dyDescent="0.3">
      <c r="A4015" t="s">
        <v>133</v>
      </c>
      <c r="B4015" s="1">
        <v>45890</v>
      </c>
      <c r="C4015" s="1">
        <v>45890</v>
      </c>
      <c r="D4015">
        <v>922656</v>
      </c>
      <c r="E4015">
        <v>11</v>
      </c>
      <c r="F4015" s="3" t="s">
        <v>3502</v>
      </c>
      <c r="G4015" s="4">
        <v>2808072.5</v>
      </c>
      <c r="H4015" s="4">
        <v>0</v>
      </c>
      <c r="I4015" s="4">
        <v>-81163022.060000002</v>
      </c>
    </row>
    <row r="4016" spans="1:9" x14ac:dyDescent="0.3">
      <c r="A4016" t="s">
        <v>133</v>
      </c>
      <c r="B4016" s="1">
        <v>45890</v>
      </c>
      <c r="C4016" s="1">
        <v>45890</v>
      </c>
      <c r="D4016">
        <v>922657</v>
      </c>
      <c r="E4016">
        <v>11</v>
      </c>
      <c r="F4016" s="3" t="s">
        <v>3503</v>
      </c>
      <c r="G4016" s="4">
        <v>300035</v>
      </c>
      <c r="H4016" s="4">
        <v>0</v>
      </c>
      <c r="I4016" s="4">
        <v>-80862987.060000002</v>
      </c>
    </row>
    <row r="4017" spans="1:9" x14ac:dyDescent="0.3">
      <c r="A4017" t="s">
        <v>133</v>
      </c>
      <c r="B4017" s="1">
        <v>45890</v>
      </c>
      <c r="C4017" s="1">
        <v>45890</v>
      </c>
      <c r="D4017">
        <v>922659</v>
      </c>
      <c r="E4017">
        <v>27</v>
      </c>
      <c r="F4017" s="3" t="s">
        <v>3504</v>
      </c>
      <c r="G4017" s="4">
        <v>149952.5</v>
      </c>
      <c r="H4017" s="4">
        <v>0</v>
      </c>
      <c r="I4017" s="4">
        <v>-80713034.560000002</v>
      </c>
    </row>
    <row r="4018" spans="1:9" x14ac:dyDescent="0.3">
      <c r="A4018" t="s">
        <v>133</v>
      </c>
      <c r="B4018" s="1">
        <v>45890</v>
      </c>
      <c r="C4018" s="1">
        <v>45890</v>
      </c>
      <c r="D4018">
        <v>922660</v>
      </c>
      <c r="E4018">
        <v>53</v>
      </c>
      <c r="F4018" s="3" t="s">
        <v>3346</v>
      </c>
      <c r="G4018" s="4">
        <v>75000</v>
      </c>
      <c r="H4018" s="4">
        <v>0</v>
      </c>
      <c r="I4018" s="4">
        <v>-80638034.560000002</v>
      </c>
    </row>
    <row r="4019" spans="1:9" x14ac:dyDescent="0.3">
      <c r="A4019" t="s">
        <v>133</v>
      </c>
      <c r="B4019" s="1">
        <v>45890</v>
      </c>
      <c r="C4019" s="1">
        <v>45890</v>
      </c>
      <c r="D4019">
        <v>922661</v>
      </c>
      <c r="E4019">
        <v>44</v>
      </c>
      <c r="F4019" s="3" t="s">
        <v>3505</v>
      </c>
      <c r="G4019" s="4">
        <v>95584.5</v>
      </c>
      <c r="H4019" s="4">
        <v>0</v>
      </c>
      <c r="I4019" s="4">
        <v>-80542450.060000002</v>
      </c>
    </row>
    <row r="4020" spans="1:9" x14ac:dyDescent="0.3">
      <c r="A4020" t="s">
        <v>133</v>
      </c>
      <c r="B4020" s="1">
        <v>45890</v>
      </c>
      <c r="C4020" s="1">
        <v>45890</v>
      </c>
      <c r="D4020">
        <v>922662</v>
      </c>
      <c r="E4020">
        <v>210</v>
      </c>
      <c r="F4020" s="3" t="s">
        <v>255</v>
      </c>
      <c r="G4020" s="4">
        <v>100100</v>
      </c>
      <c r="H4020" s="4">
        <v>0</v>
      </c>
      <c r="I4020" s="4">
        <v>-80442350.060000002</v>
      </c>
    </row>
    <row r="4021" spans="1:9" x14ac:dyDescent="0.3">
      <c r="A4021" t="s">
        <v>133</v>
      </c>
      <c r="B4021" s="1">
        <v>45890</v>
      </c>
      <c r="C4021" s="1">
        <v>45890</v>
      </c>
      <c r="D4021">
        <v>922663</v>
      </c>
      <c r="E4021">
        <v>97</v>
      </c>
      <c r="F4021" s="3" t="s">
        <v>966</v>
      </c>
      <c r="G4021" s="4">
        <v>240000</v>
      </c>
      <c r="H4021" s="4">
        <v>0</v>
      </c>
      <c r="I4021" s="4">
        <v>-80202350.060000002</v>
      </c>
    </row>
    <row r="4022" spans="1:9" x14ac:dyDescent="0.3">
      <c r="A4022" t="s">
        <v>133</v>
      </c>
      <c r="B4022" s="1">
        <v>45890</v>
      </c>
      <c r="C4022" s="1">
        <v>45890</v>
      </c>
      <c r="D4022">
        <v>922666</v>
      </c>
      <c r="E4022">
        <v>44</v>
      </c>
      <c r="F4022" s="3" t="s">
        <v>3506</v>
      </c>
      <c r="G4022" s="4">
        <v>36800.5</v>
      </c>
      <c r="H4022" s="4">
        <v>0</v>
      </c>
      <c r="I4022" s="4">
        <v>-80165549.560000002</v>
      </c>
    </row>
    <row r="4023" spans="1:9" x14ac:dyDescent="0.3">
      <c r="A4023" t="s">
        <v>133</v>
      </c>
      <c r="B4023" s="1">
        <v>45890</v>
      </c>
      <c r="C4023" s="1">
        <v>45890</v>
      </c>
      <c r="D4023">
        <v>922671</v>
      </c>
      <c r="E4023">
        <v>44</v>
      </c>
      <c r="F4023" s="3" t="s">
        <v>3507</v>
      </c>
      <c r="G4023" s="4">
        <v>4036</v>
      </c>
      <c r="H4023" s="4">
        <v>0</v>
      </c>
      <c r="I4023" s="4">
        <v>-80161513.560000002</v>
      </c>
    </row>
    <row r="4024" spans="1:9" x14ac:dyDescent="0.3">
      <c r="A4024" t="s">
        <v>133</v>
      </c>
      <c r="B4024" s="1">
        <v>45890</v>
      </c>
      <c r="C4024" s="1">
        <v>45890</v>
      </c>
      <c r="D4024">
        <v>922672</v>
      </c>
      <c r="E4024">
        <v>61</v>
      </c>
      <c r="F4024" s="3" t="s">
        <v>3508</v>
      </c>
      <c r="G4024" s="4">
        <v>200000</v>
      </c>
      <c r="H4024" s="4">
        <v>0</v>
      </c>
      <c r="I4024" s="4">
        <v>-79961513.560000002</v>
      </c>
    </row>
    <row r="4025" spans="1:9" x14ac:dyDescent="0.3">
      <c r="A4025" t="s">
        <v>133</v>
      </c>
      <c r="B4025" s="1">
        <v>45890</v>
      </c>
      <c r="C4025" s="1">
        <v>45890</v>
      </c>
      <c r="D4025">
        <v>922673</v>
      </c>
      <c r="E4025">
        <v>27</v>
      </c>
      <c r="F4025" s="3" t="s">
        <v>3509</v>
      </c>
      <c r="G4025" s="4">
        <v>165054.25</v>
      </c>
      <c r="H4025" s="4">
        <v>0</v>
      </c>
      <c r="I4025" s="4">
        <v>-79796459.310000002</v>
      </c>
    </row>
    <row r="4026" spans="1:9" x14ac:dyDescent="0.3">
      <c r="A4026" t="s">
        <v>133</v>
      </c>
      <c r="B4026" s="1">
        <v>45890</v>
      </c>
      <c r="C4026" s="1">
        <v>45890</v>
      </c>
      <c r="D4026">
        <v>922678</v>
      </c>
      <c r="E4026">
        <v>70</v>
      </c>
      <c r="F4026" s="3" t="s">
        <v>3510</v>
      </c>
      <c r="G4026" s="4">
        <v>200000</v>
      </c>
      <c r="H4026" s="4">
        <v>0</v>
      </c>
      <c r="I4026" s="4">
        <v>-79596459.310000002</v>
      </c>
    </row>
    <row r="4027" spans="1:9" x14ac:dyDescent="0.3">
      <c r="A4027" t="s">
        <v>133</v>
      </c>
      <c r="B4027" s="1">
        <v>45890</v>
      </c>
      <c r="C4027" s="1">
        <v>45890</v>
      </c>
      <c r="D4027">
        <v>922680</v>
      </c>
      <c r="E4027">
        <v>11</v>
      </c>
      <c r="F4027" s="3" t="s">
        <v>3511</v>
      </c>
      <c r="G4027" s="4">
        <v>18645.5</v>
      </c>
      <c r="H4027" s="4">
        <v>0</v>
      </c>
      <c r="I4027" s="4">
        <v>-79577813.810000002</v>
      </c>
    </row>
    <row r="4028" spans="1:9" x14ac:dyDescent="0.3">
      <c r="A4028" t="s">
        <v>133</v>
      </c>
      <c r="B4028" s="1">
        <v>45890</v>
      </c>
      <c r="C4028" s="1">
        <v>45890</v>
      </c>
      <c r="D4028">
        <v>922681</v>
      </c>
      <c r="E4028">
        <v>27</v>
      </c>
      <c r="F4028" s="3" t="s">
        <v>3512</v>
      </c>
      <c r="G4028" s="4">
        <v>86805.5</v>
      </c>
      <c r="H4028" s="4">
        <v>0</v>
      </c>
      <c r="I4028" s="4">
        <v>-79491008.310000002</v>
      </c>
    </row>
    <row r="4029" spans="1:9" x14ac:dyDescent="0.3">
      <c r="A4029" t="s">
        <v>133</v>
      </c>
      <c r="B4029" s="1">
        <v>45890</v>
      </c>
      <c r="C4029" s="1">
        <v>45890</v>
      </c>
      <c r="D4029">
        <v>922683</v>
      </c>
      <c r="E4029">
        <v>98</v>
      </c>
      <c r="F4029" s="3" t="s">
        <v>3513</v>
      </c>
      <c r="G4029" s="4">
        <v>120000</v>
      </c>
      <c r="H4029" s="4">
        <v>0</v>
      </c>
      <c r="I4029" s="4">
        <v>-79371008.310000002</v>
      </c>
    </row>
    <row r="4030" spans="1:9" x14ac:dyDescent="0.3">
      <c r="A4030" t="s">
        <v>133</v>
      </c>
      <c r="B4030" s="1">
        <v>45890</v>
      </c>
      <c r="C4030" s="1">
        <v>45890</v>
      </c>
      <c r="D4030">
        <v>922698</v>
      </c>
      <c r="E4030">
        <v>84</v>
      </c>
      <c r="F4030" s="3" t="s">
        <v>3514</v>
      </c>
      <c r="G4030" s="4">
        <v>180529</v>
      </c>
      <c r="H4030" s="4">
        <v>0</v>
      </c>
      <c r="I4030" s="4">
        <v>-79190479.310000002</v>
      </c>
    </row>
    <row r="4031" spans="1:9" x14ac:dyDescent="0.3">
      <c r="A4031" t="s">
        <v>133</v>
      </c>
      <c r="B4031" s="1">
        <v>45890</v>
      </c>
      <c r="C4031" s="1">
        <v>45890</v>
      </c>
      <c r="D4031">
        <v>922699</v>
      </c>
      <c r="E4031">
        <v>84</v>
      </c>
      <c r="F4031" s="3" t="s">
        <v>3515</v>
      </c>
      <c r="G4031" s="4">
        <v>63559</v>
      </c>
      <c r="H4031" s="4">
        <v>0</v>
      </c>
      <c r="I4031" s="4">
        <v>-79126920.310000002</v>
      </c>
    </row>
    <row r="4032" spans="1:9" x14ac:dyDescent="0.3">
      <c r="A4032" t="s">
        <v>133</v>
      </c>
      <c r="B4032" s="1">
        <v>45890</v>
      </c>
      <c r="C4032" s="1">
        <v>45890</v>
      </c>
      <c r="D4032">
        <v>922702</v>
      </c>
      <c r="E4032">
        <v>84</v>
      </c>
      <c r="F4032" s="3" t="s">
        <v>3516</v>
      </c>
      <c r="G4032" s="4">
        <v>25495</v>
      </c>
      <c r="H4032" s="4">
        <v>0</v>
      </c>
      <c r="I4032" s="4">
        <v>-79101425.310000002</v>
      </c>
    </row>
    <row r="4033" spans="1:9" x14ac:dyDescent="0.3">
      <c r="A4033" t="s">
        <v>133</v>
      </c>
      <c r="B4033" s="1">
        <v>45890</v>
      </c>
      <c r="C4033" s="1">
        <v>45890</v>
      </c>
      <c r="D4033">
        <v>922703</v>
      </c>
      <c r="E4033">
        <v>223</v>
      </c>
      <c r="F4033" s="3" t="s">
        <v>3517</v>
      </c>
      <c r="G4033" s="4">
        <v>17367</v>
      </c>
      <c r="H4033" s="4">
        <v>0</v>
      </c>
      <c r="I4033" s="4">
        <v>-79084058.310000002</v>
      </c>
    </row>
    <row r="4034" spans="1:9" x14ac:dyDescent="0.3">
      <c r="A4034" t="s">
        <v>133</v>
      </c>
      <c r="B4034" s="1">
        <v>45890</v>
      </c>
      <c r="C4034" s="1">
        <v>45890</v>
      </c>
      <c r="D4034">
        <v>922705</v>
      </c>
      <c r="E4034">
        <v>78</v>
      </c>
      <c r="F4034" s="3" t="s">
        <v>3518</v>
      </c>
      <c r="G4034" s="4">
        <v>5853</v>
      </c>
      <c r="H4034" s="4">
        <v>0</v>
      </c>
      <c r="I4034" s="4">
        <v>-79078205.310000002</v>
      </c>
    </row>
    <row r="4035" spans="1:9" x14ac:dyDescent="0.3">
      <c r="A4035" t="s">
        <v>133</v>
      </c>
      <c r="B4035" s="1">
        <v>45890</v>
      </c>
      <c r="C4035" s="1">
        <v>45890</v>
      </c>
      <c r="D4035">
        <v>922711</v>
      </c>
      <c r="E4035">
        <v>41</v>
      </c>
      <c r="F4035" s="3" t="s">
        <v>3519</v>
      </c>
      <c r="G4035" s="4">
        <v>500</v>
      </c>
      <c r="H4035" s="4">
        <v>0</v>
      </c>
      <c r="I4035" s="4">
        <v>-79077705.310000002</v>
      </c>
    </row>
    <row r="4036" spans="1:9" x14ac:dyDescent="0.3">
      <c r="A4036" t="s">
        <v>133</v>
      </c>
      <c r="B4036" s="1">
        <v>45890</v>
      </c>
      <c r="C4036" s="1">
        <v>45890</v>
      </c>
      <c r="D4036">
        <v>922732</v>
      </c>
      <c r="E4036">
        <v>13</v>
      </c>
      <c r="F4036" s="3" t="s">
        <v>3520</v>
      </c>
      <c r="G4036" s="4">
        <v>93904.5</v>
      </c>
      <c r="H4036" s="4">
        <v>0</v>
      </c>
      <c r="I4036" s="4">
        <v>-78983800.810000002</v>
      </c>
    </row>
    <row r="4037" spans="1:9" x14ac:dyDescent="0.3">
      <c r="A4037" t="s">
        <v>133</v>
      </c>
      <c r="B4037" s="1">
        <v>45890</v>
      </c>
      <c r="C4037" s="1">
        <v>45890</v>
      </c>
      <c r="D4037">
        <v>922733</v>
      </c>
      <c r="E4037">
        <v>88</v>
      </c>
      <c r="F4037" s="3" t="s">
        <v>3521</v>
      </c>
      <c r="G4037" s="4">
        <v>951</v>
      </c>
      <c r="H4037" s="4">
        <v>0</v>
      </c>
      <c r="I4037" s="4">
        <v>-78982849.810000002</v>
      </c>
    </row>
    <row r="4038" spans="1:9" x14ac:dyDescent="0.3">
      <c r="A4038" t="s">
        <v>1</v>
      </c>
      <c r="B4038" s="1">
        <v>45862</v>
      </c>
      <c r="C4038" s="1">
        <v>45891</v>
      </c>
      <c r="D4038">
        <v>102978</v>
      </c>
      <c r="E4038">
        <v>100</v>
      </c>
      <c r="F4038" s="3" t="s">
        <v>3522</v>
      </c>
      <c r="G4038" s="4">
        <v>150</v>
      </c>
      <c r="I4038" s="4">
        <v>-78982699.810000002</v>
      </c>
    </row>
    <row r="4039" spans="1:9" x14ac:dyDescent="0.3">
      <c r="A4039" t="s">
        <v>1</v>
      </c>
      <c r="B4039" s="1">
        <v>45890</v>
      </c>
      <c r="C4039" s="1">
        <v>45891</v>
      </c>
      <c r="D4039">
        <v>103013</v>
      </c>
      <c r="E4039">
        <v>100</v>
      </c>
      <c r="F4039" s="3" t="s">
        <v>3523</v>
      </c>
      <c r="G4039" s="4">
        <v>72526.25</v>
      </c>
      <c r="I4039" s="4">
        <v>-78910173.560000002</v>
      </c>
    </row>
    <row r="4040" spans="1:9" x14ac:dyDescent="0.3">
      <c r="A4040" t="s">
        <v>1</v>
      </c>
      <c r="B4040" s="1">
        <v>45890</v>
      </c>
      <c r="C4040" s="1">
        <v>45891</v>
      </c>
      <c r="D4040">
        <v>103031</v>
      </c>
      <c r="E4040">
        <v>100</v>
      </c>
      <c r="F4040" s="3" t="s">
        <v>3524</v>
      </c>
      <c r="G4040" s="4">
        <v>42000</v>
      </c>
      <c r="I4040" s="4">
        <v>-78868173.560000002</v>
      </c>
    </row>
    <row r="4041" spans="1:9" x14ac:dyDescent="0.3">
      <c r="A4041" t="s">
        <v>1</v>
      </c>
      <c r="B4041" s="1">
        <v>45890</v>
      </c>
      <c r="C4041" s="1">
        <v>45891</v>
      </c>
      <c r="D4041">
        <v>103034</v>
      </c>
      <c r="E4041">
        <v>100</v>
      </c>
      <c r="F4041" s="3" t="s">
        <v>3525</v>
      </c>
      <c r="G4041" s="4">
        <v>27833</v>
      </c>
      <c r="I4041" s="4">
        <v>-78840340.560000002</v>
      </c>
    </row>
    <row r="4042" spans="1:9" x14ac:dyDescent="0.3">
      <c r="A4042" t="s">
        <v>1</v>
      </c>
      <c r="B4042" s="1">
        <v>45890</v>
      </c>
      <c r="C4042" s="1">
        <v>45891</v>
      </c>
      <c r="D4042">
        <v>103036</v>
      </c>
      <c r="E4042">
        <v>100</v>
      </c>
      <c r="F4042" s="3" t="s">
        <v>3526</v>
      </c>
      <c r="G4042" s="4">
        <v>18612.900000000001</v>
      </c>
      <c r="I4042" s="4">
        <v>-78821727.659999996</v>
      </c>
    </row>
    <row r="4043" spans="1:9" x14ac:dyDescent="0.3">
      <c r="A4043" t="s">
        <v>1</v>
      </c>
      <c r="B4043" s="1">
        <v>45890</v>
      </c>
      <c r="C4043" s="1">
        <v>45891</v>
      </c>
      <c r="D4043">
        <v>103039</v>
      </c>
      <c r="E4043">
        <v>100</v>
      </c>
      <c r="F4043" s="3" t="s">
        <v>3527</v>
      </c>
      <c r="G4043" s="4">
        <v>26478.75</v>
      </c>
      <c r="I4043" s="4">
        <v>-78795248.909999996</v>
      </c>
    </row>
    <row r="4044" spans="1:9" x14ac:dyDescent="0.3">
      <c r="A4044" t="s">
        <v>1</v>
      </c>
      <c r="B4044" s="1">
        <v>45876</v>
      </c>
      <c r="C4044" s="1">
        <v>45891</v>
      </c>
      <c r="D4044">
        <v>103040</v>
      </c>
      <c r="E4044">
        <v>100</v>
      </c>
      <c r="F4044" s="3" t="s">
        <v>3528</v>
      </c>
      <c r="G4044" s="4">
        <v>6.3</v>
      </c>
      <c r="I4044" s="4">
        <v>-78795242.609999999</v>
      </c>
    </row>
    <row r="4045" spans="1:9" x14ac:dyDescent="0.3">
      <c r="A4045" t="s">
        <v>1</v>
      </c>
      <c r="B4045" s="1">
        <v>45891</v>
      </c>
      <c r="C4045" s="1">
        <v>45891</v>
      </c>
      <c r="D4045">
        <v>103046</v>
      </c>
      <c r="E4045">
        <v>100</v>
      </c>
      <c r="F4045" s="3" t="s">
        <v>14</v>
      </c>
      <c r="G4045" s="4">
        <v>91832.5</v>
      </c>
      <c r="I4045" s="4">
        <v>-78703410.109999999</v>
      </c>
    </row>
    <row r="4046" spans="1:9" x14ac:dyDescent="0.3">
      <c r="A4046" t="s">
        <v>1</v>
      </c>
      <c r="B4046" s="1">
        <v>45890</v>
      </c>
      <c r="C4046" s="1">
        <v>45891</v>
      </c>
      <c r="D4046">
        <v>103047</v>
      </c>
      <c r="E4046">
        <v>100</v>
      </c>
      <c r="F4046" s="3" t="s">
        <v>3529</v>
      </c>
      <c r="G4046" s="4">
        <v>29447</v>
      </c>
      <c r="I4046" s="4">
        <v>-78673963.109999999</v>
      </c>
    </row>
    <row r="4047" spans="1:9" x14ac:dyDescent="0.3">
      <c r="A4047" t="s">
        <v>1</v>
      </c>
      <c r="B4047" s="1">
        <v>45891</v>
      </c>
      <c r="C4047" s="1">
        <v>45891</v>
      </c>
      <c r="D4047">
        <v>103048</v>
      </c>
      <c r="E4047">
        <v>100</v>
      </c>
      <c r="F4047" s="3" t="s">
        <v>3530</v>
      </c>
      <c r="G4047" s="4">
        <v>2003.15</v>
      </c>
      <c r="I4047" s="4">
        <v>-78671959.959999993</v>
      </c>
    </row>
    <row r="4048" spans="1:9" x14ac:dyDescent="0.3">
      <c r="A4048" t="s">
        <v>1</v>
      </c>
      <c r="B4048" s="1">
        <v>45890</v>
      </c>
      <c r="C4048" s="1">
        <v>45891</v>
      </c>
      <c r="D4048">
        <v>103053</v>
      </c>
      <c r="E4048">
        <v>100</v>
      </c>
      <c r="F4048" s="3" t="s">
        <v>3531</v>
      </c>
      <c r="G4048" s="4">
        <v>4026.25</v>
      </c>
      <c r="I4048" s="4">
        <v>-78667933.709999993</v>
      </c>
    </row>
    <row r="4049" spans="1:9" x14ac:dyDescent="0.3">
      <c r="A4049" t="s">
        <v>1</v>
      </c>
      <c r="B4049" s="1">
        <v>45890</v>
      </c>
      <c r="C4049" s="1">
        <v>45891</v>
      </c>
      <c r="D4049">
        <v>103054</v>
      </c>
      <c r="E4049">
        <v>100</v>
      </c>
      <c r="F4049" s="3" t="s">
        <v>3532</v>
      </c>
      <c r="G4049" s="4">
        <v>6526.25</v>
      </c>
      <c r="I4049" s="4">
        <v>-78661407.459999993</v>
      </c>
    </row>
    <row r="4050" spans="1:9" x14ac:dyDescent="0.3">
      <c r="A4050" t="s">
        <v>1</v>
      </c>
      <c r="B4050" s="1">
        <v>45881</v>
      </c>
      <c r="C4050" s="1">
        <v>45891</v>
      </c>
      <c r="D4050">
        <v>103057</v>
      </c>
      <c r="E4050">
        <v>100</v>
      </c>
      <c r="F4050" s="3" t="s">
        <v>3533</v>
      </c>
      <c r="G4050" s="4">
        <v>6000</v>
      </c>
      <c r="I4050" s="4">
        <v>-78655407.459999993</v>
      </c>
    </row>
    <row r="4051" spans="1:9" x14ac:dyDescent="0.3">
      <c r="A4051" t="s">
        <v>1</v>
      </c>
      <c r="B4051" s="1">
        <v>45891</v>
      </c>
      <c r="C4051" s="1">
        <v>45891</v>
      </c>
      <c r="D4051">
        <v>103058</v>
      </c>
      <c r="E4051">
        <v>100</v>
      </c>
      <c r="F4051" s="3" t="s">
        <v>3534</v>
      </c>
      <c r="G4051" s="4">
        <v>942.35</v>
      </c>
      <c r="I4051" s="4">
        <v>-78654465.109999999</v>
      </c>
    </row>
    <row r="4052" spans="1:9" x14ac:dyDescent="0.3">
      <c r="A4052" t="s">
        <v>1</v>
      </c>
      <c r="B4052" s="1">
        <v>45890</v>
      </c>
      <c r="C4052" s="1">
        <v>45891</v>
      </c>
      <c r="D4052">
        <v>103063</v>
      </c>
      <c r="E4052">
        <v>100</v>
      </c>
      <c r="F4052" s="3" t="s">
        <v>3535</v>
      </c>
      <c r="G4052" s="4">
        <v>22240.66</v>
      </c>
      <c r="I4052" s="4">
        <v>-78632224.450000003</v>
      </c>
    </row>
    <row r="4053" spans="1:9" x14ac:dyDescent="0.3">
      <c r="A4053" t="s">
        <v>1</v>
      </c>
      <c r="B4053" s="1">
        <v>45891</v>
      </c>
      <c r="C4053" s="1">
        <v>45891</v>
      </c>
      <c r="D4053">
        <v>103066</v>
      </c>
      <c r="E4053">
        <v>100</v>
      </c>
      <c r="F4053" s="3" t="s">
        <v>3536</v>
      </c>
      <c r="G4053" s="4">
        <v>413980.76</v>
      </c>
      <c r="I4053" s="4">
        <v>-78218243.689999998</v>
      </c>
    </row>
    <row r="4054" spans="1:9" x14ac:dyDescent="0.3">
      <c r="A4054" t="s">
        <v>1</v>
      </c>
      <c r="B4054" s="1">
        <v>45891</v>
      </c>
      <c r="C4054" s="1">
        <v>45891</v>
      </c>
      <c r="D4054">
        <v>103068</v>
      </c>
      <c r="E4054">
        <v>100</v>
      </c>
      <c r="F4054" s="3" t="s">
        <v>3537</v>
      </c>
      <c r="G4054" s="4">
        <v>162663</v>
      </c>
      <c r="I4054" s="4">
        <v>-78055580.689999998</v>
      </c>
    </row>
    <row r="4055" spans="1:9" x14ac:dyDescent="0.3">
      <c r="A4055" t="s">
        <v>1</v>
      </c>
      <c r="B4055" s="1">
        <v>45891</v>
      </c>
      <c r="C4055" s="1">
        <v>45891</v>
      </c>
      <c r="D4055">
        <v>103070</v>
      </c>
      <c r="E4055">
        <v>100</v>
      </c>
      <c r="F4055" s="3" t="s">
        <v>3538</v>
      </c>
      <c r="G4055" s="4">
        <v>45792</v>
      </c>
      <c r="I4055" s="4">
        <v>-78009788.689999998</v>
      </c>
    </row>
    <row r="4056" spans="1:9" x14ac:dyDescent="0.3">
      <c r="A4056" t="s">
        <v>1</v>
      </c>
      <c r="B4056" s="1">
        <v>45890</v>
      </c>
      <c r="C4056" s="1">
        <v>45891</v>
      </c>
      <c r="D4056">
        <v>103072</v>
      </c>
      <c r="E4056">
        <v>100</v>
      </c>
      <c r="F4056" s="3" t="s">
        <v>3539</v>
      </c>
      <c r="G4056" s="4">
        <v>105012</v>
      </c>
      <c r="I4056" s="4">
        <v>-77904776.689999998</v>
      </c>
    </row>
    <row r="4057" spans="1:9" x14ac:dyDescent="0.3">
      <c r="A4057" t="s">
        <v>1</v>
      </c>
      <c r="B4057" s="1">
        <v>45890</v>
      </c>
      <c r="C4057" s="1">
        <v>45891</v>
      </c>
      <c r="D4057">
        <v>103073</v>
      </c>
      <c r="E4057">
        <v>100</v>
      </c>
      <c r="F4057" s="3" t="s">
        <v>3540</v>
      </c>
      <c r="G4057" s="4">
        <v>23061.94</v>
      </c>
      <c r="I4057" s="4">
        <v>-77881714.75</v>
      </c>
    </row>
    <row r="4058" spans="1:9" x14ac:dyDescent="0.3">
      <c r="A4058" t="s">
        <v>1</v>
      </c>
      <c r="B4058" s="1">
        <v>45890</v>
      </c>
      <c r="C4058" s="1">
        <v>45891</v>
      </c>
      <c r="D4058">
        <v>103076</v>
      </c>
      <c r="E4058">
        <v>100</v>
      </c>
      <c r="F4058" s="3" t="s">
        <v>3541</v>
      </c>
      <c r="G4058" s="4">
        <v>43192.3</v>
      </c>
      <c r="I4058" s="4">
        <v>-77838522.450000003</v>
      </c>
    </row>
    <row r="4059" spans="1:9" x14ac:dyDescent="0.3">
      <c r="A4059" t="s">
        <v>1</v>
      </c>
      <c r="B4059" s="1">
        <v>45891</v>
      </c>
      <c r="C4059" s="1">
        <v>45891</v>
      </c>
      <c r="D4059">
        <v>103077</v>
      </c>
      <c r="E4059">
        <v>100</v>
      </c>
      <c r="F4059" s="3" t="s">
        <v>3542</v>
      </c>
      <c r="G4059" s="4">
        <v>138716.29999999999</v>
      </c>
      <c r="I4059" s="4">
        <v>-77699806.150000006</v>
      </c>
    </row>
    <row r="4060" spans="1:9" x14ac:dyDescent="0.3">
      <c r="A4060" t="s">
        <v>75</v>
      </c>
      <c r="B4060" s="1">
        <v>45890</v>
      </c>
      <c r="C4060" s="1">
        <v>45891</v>
      </c>
      <c r="D4060">
        <v>143853</v>
      </c>
      <c r="E4060">
        <v>11</v>
      </c>
      <c r="F4060" s="3" t="s">
        <v>3543</v>
      </c>
      <c r="G4060" s="4">
        <v>5408.5</v>
      </c>
      <c r="H4060" s="4">
        <v>0</v>
      </c>
      <c r="I4060" s="4">
        <v>-77694397.650000006</v>
      </c>
    </row>
    <row r="4061" spans="1:9" x14ac:dyDescent="0.3">
      <c r="A4061" t="s">
        <v>75</v>
      </c>
      <c r="B4061" s="1">
        <v>45890</v>
      </c>
      <c r="C4061" s="1">
        <v>45891</v>
      </c>
      <c r="D4061">
        <v>143854</v>
      </c>
      <c r="E4061">
        <v>33</v>
      </c>
      <c r="F4061" s="3" t="s">
        <v>3544</v>
      </c>
      <c r="G4061" s="4">
        <v>350000</v>
      </c>
      <c r="H4061" s="4">
        <v>0</v>
      </c>
      <c r="I4061" s="4">
        <v>-77344397.650000006</v>
      </c>
    </row>
    <row r="4062" spans="1:9" x14ac:dyDescent="0.3">
      <c r="A4062" t="s">
        <v>75</v>
      </c>
      <c r="B4062" s="1">
        <v>45890</v>
      </c>
      <c r="C4062" s="1">
        <v>45891</v>
      </c>
      <c r="D4062">
        <v>143855</v>
      </c>
      <c r="E4062">
        <v>33</v>
      </c>
      <c r="F4062" s="3" t="s">
        <v>3545</v>
      </c>
      <c r="G4062" s="4">
        <v>150000</v>
      </c>
      <c r="H4062" s="4">
        <v>0</v>
      </c>
      <c r="I4062" s="4">
        <v>-77194397.650000006</v>
      </c>
    </row>
    <row r="4063" spans="1:9" x14ac:dyDescent="0.3">
      <c r="A4063" t="s">
        <v>75</v>
      </c>
      <c r="B4063" s="1">
        <v>45890</v>
      </c>
      <c r="C4063" s="1">
        <v>45891</v>
      </c>
      <c r="D4063">
        <v>143856</v>
      </c>
      <c r="E4063">
        <v>33</v>
      </c>
      <c r="F4063" s="3" t="s">
        <v>3546</v>
      </c>
      <c r="G4063" s="4">
        <v>150000</v>
      </c>
      <c r="H4063" s="4">
        <v>0</v>
      </c>
      <c r="I4063" s="4">
        <v>-77044397.650000006</v>
      </c>
    </row>
    <row r="4064" spans="1:9" x14ac:dyDescent="0.3">
      <c r="A4064" t="s">
        <v>75</v>
      </c>
      <c r="B4064" s="1">
        <v>45889</v>
      </c>
      <c r="C4064" s="1">
        <v>45891</v>
      </c>
      <c r="D4064">
        <v>143857</v>
      </c>
      <c r="E4064">
        <v>301</v>
      </c>
      <c r="F4064" s="3" t="s">
        <v>3547</v>
      </c>
      <c r="G4064" s="4">
        <v>262178.25</v>
      </c>
      <c r="H4064" s="4">
        <v>0</v>
      </c>
      <c r="I4064" s="4">
        <v>-76782219.400000006</v>
      </c>
    </row>
    <row r="4065" spans="1:9" x14ac:dyDescent="0.3">
      <c r="A4065" t="s">
        <v>75</v>
      </c>
      <c r="B4065" s="1">
        <v>45889</v>
      </c>
      <c r="C4065" s="1">
        <v>45891</v>
      </c>
      <c r="D4065">
        <v>143858</v>
      </c>
      <c r="E4065">
        <v>351</v>
      </c>
      <c r="F4065" s="3" t="s">
        <v>3548</v>
      </c>
      <c r="G4065" s="4">
        <v>476.5</v>
      </c>
      <c r="H4065" s="4">
        <v>0</v>
      </c>
      <c r="I4065" s="4">
        <v>-76781742.900000006</v>
      </c>
    </row>
    <row r="4066" spans="1:9" x14ac:dyDescent="0.3">
      <c r="A4066" t="s">
        <v>75</v>
      </c>
      <c r="B4066" s="1">
        <v>45888</v>
      </c>
      <c r="C4066" s="1">
        <v>45891</v>
      </c>
      <c r="D4066">
        <v>143859</v>
      </c>
      <c r="E4066">
        <v>351</v>
      </c>
      <c r="F4066" s="3" t="s">
        <v>3549</v>
      </c>
      <c r="G4066" s="4">
        <v>21506.5</v>
      </c>
      <c r="H4066" s="4">
        <v>0</v>
      </c>
      <c r="I4066" s="4">
        <v>-76760236.400000006</v>
      </c>
    </row>
    <row r="4067" spans="1:9" x14ac:dyDescent="0.3">
      <c r="A4067" t="s">
        <v>75</v>
      </c>
      <c r="B4067" s="1">
        <v>45891</v>
      </c>
      <c r="C4067" s="1">
        <v>45891</v>
      </c>
      <c r="D4067">
        <v>143860</v>
      </c>
      <c r="E4067">
        <v>14</v>
      </c>
      <c r="F4067" s="3" t="s">
        <v>3550</v>
      </c>
      <c r="G4067" s="4">
        <v>14060.5</v>
      </c>
      <c r="H4067" s="4">
        <v>0</v>
      </c>
      <c r="I4067" s="4">
        <v>-76746175.900000006</v>
      </c>
    </row>
    <row r="4068" spans="1:9" x14ac:dyDescent="0.3">
      <c r="A4068" t="s">
        <v>75</v>
      </c>
      <c r="B4068" s="1">
        <v>45890</v>
      </c>
      <c r="C4068" s="1">
        <v>45891</v>
      </c>
      <c r="D4068">
        <v>143861</v>
      </c>
      <c r="E4068">
        <v>70</v>
      </c>
      <c r="F4068" s="3" t="s">
        <v>3551</v>
      </c>
      <c r="G4068" s="4">
        <v>21965.75</v>
      </c>
      <c r="H4068" s="4">
        <v>0</v>
      </c>
      <c r="I4068" s="4">
        <v>-76724210.150000006</v>
      </c>
    </row>
    <row r="4069" spans="1:9" x14ac:dyDescent="0.3">
      <c r="A4069" t="s">
        <v>75</v>
      </c>
      <c r="B4069" s="1">
        <v>45881</v>
      </c>
      <c r="C4069" s="1">
        <v>45891</v>
      </c>
      <c r="D4069">
        <v>143862</v>
      </c>
      <c r="E4069">
        <v>70</v>
      </c>
      <c r="F4069" s="3" t="s">
        <v>3552</v>
      </c>
      <c r="G4069" s="4">
        <v>24001.7</v>
      </c>
      <c r="H4069" s="4">
        <v>0</v>
      </c>
      <c r="I4069" s="4">
        <v>-76700208.450000003</v>
      </c>
    </row>
    <row r="4070" spans="1:9" x14ac:dyDescent="0.3">
      <c r="A4070" t="s">
        <v>75</v>
      </c>
      <c r="B4070" s="1">
        <v>45889</v>
      </c>
      <c r="C4070" s="1">
        <v>45891</v>
      </c>
      <c r="D4070">
        <v>143863</v>
      </c>
      <c r="E4070">
        <v>70</v>
      </c>
      <c r="F4070" s="3" t="s">
        <v>3553</v>
      </c>
      <c r="G4070" s="4">
        <v>304495.40000000002</v>
      </c>
      <c r="H4070" s="4">
        <v>0</v>
      </c>
      <c r="I4070" s="4">
        <v>-76395713.049999997</v>
      </c>
    </row>
    <row r="4071" spans="1:9" x14ac:dyDescent="0.3">
      <c r="A4071" t="s">
        <v>75</v>
      </c>
      <c r="B4071" s="1">
        <v>45891</v>
      </c>
      <c r="C4071" s="1">
        <v>45891</v>
      </c>
      <c r="D4071">
        <v>143867</v>
      </c>
      <c r="E4071">
        <v>67</v>
      </c>
      <c r="F4071" s="3" t="s">
        <v>3554</v>
      </c>
      <c r="G4071" s="4">
        <v>115355.75</v>
      </c>
      <c r="H4071" s="4">
        <v>0</v>
      </c>
      <c r="I4071" s="4">
        <v>-76280357.299999997</v>
      </c>
    </row>
    <row r="4072" spans="1:9" x14ac:dyDescent="0.3">
      <c r="A4072" t="s">
        <v>75</v>
      </c>
      <c r="B4072" s="1">
        <v>45891</v>
      </c>
      <c r="C4072" s="1">
        <v>45891</v>
      </c>
      <c r="D4072">
        <v>143868</v>
      </c>
      <c r="E4072">
        <v>67</v>
      </c>
      <c r="F4072" s="3" t="s">
        <v>3555</v>
      </c>
      <c r="G4072" s="4">
        <v>171890</v>
      </c>
      <c r="H4072" s="4">
        <v>0</v>
      </c>
      <c r="I4072" s="4">
        <v>-76108467.299999997</v>
      </c>
    </row>
    <row r="4073" spans="1:9" x14ac:dyDescent="0.3">
      <c r="A4073" t="s">
        <v>75</v>
      </c>
      <c r="B4073" s="1">
        <v>45887</v>
      </c>
      <c r="C4073" s="1">
        <v>45891</v>
      </c>
      <c r="D4073">
        <v>143870</v>
      </c>
      <c r="E4073">
        <v>301</v>
      </c>
      <c r="F4073" s="3" t="s">
        <v>3556</v>
      </c>
      <c r="G4073" s="4">
        <v>300024</v>
      </c>
      <c r="H4073" s="4">
        <v>0</v>
      </c>
      <c r="I4073" s="4">
        <v>-75808443.299999997</v>
      </c>
    </row>
    <row r="4074" spans="1:9" x14ac:dyDescent="0.3">
      <c r="A4074" t="s">
        <v>75</v>
      </c>
      <c r="B4074" s="1">
        <v>45891</v>
      </c>
      <c r="C4074" s="1">
        <v>45891</v>
      </c>
      <c r="D4074">
        <v>143871</v>
      </c>
      <c r="E4074">
        <v>14</v>
      </c>
      <c r="F4074" s="3" t="s">
        <v>3557</v>
      </c>
      <c r="G4074" s="4">
        <v>153022.5</v>
      </c>
      <c r="H4074" s="4">
        <v>0</v>
      </c>
      <c r="I4074" s="4">
        <v>-75655420.799999997</v>
      </c>
    </row>
    <row r="4075" spans="1:9" x14ac:dyDescent="0.3">
      <c r="A4075" t="s">
        <v>75</v>
      </c>
      <c r="B4075" s="1">
        <v>45890</v>
      </c>
      <c r="C4075" s="1">
        <v>45891</v>
      </c>
      <c r="D4075">
        <v>143875</v>
      </c>
      <c r="E4075">
        <v>14</v>
      </c>
      <c r="F4075" s="3" t="s">
        <v>3558</v>
      </c>
      <c r="G4075" s="4">
        <v>24200</v>
      </c>
      <c r="H4075" s="4">
        <v>0</v>
      </c>
      <c r="I4075" s="4">
        <v>-75631220.799999997</v>
      </c>
    </row>
    <row r="4076" spans="1:9" x14ac:dyDescent="0.3">
      <c r="A4076" t="s">
        <v>75</v>
      </c>
      <c r="B4076" s="1">
        <v>45890</v>
      </c>
      <c r="C4076" s="1">
        <v>45891</v>
      </c>
      <c r="D4076">
        <v>143876</v>
      </c>
      <c r="E4076">
        <v>14</v>
      </c>
      <c r="F4076" s="3" t="s">
        <v>3559</v>
      </c>
      <c r="G4076" s="4">
        <v>20000</v>
      </c>
      <c r="H4076" s="4">
        <v>0</v>
      </c>
      <c r="I4076" s="4">
        <v>-75611220.799999997</v>
      </c>
    </row>
    <row r="4077" spans="1:9" x14ac:dyDescent="0.3">
      <c r="A4077" t="s">
        <v>75</v>
      </c>
      <c r="B4077" s="1">
        <v>45890</v>
      </c>
      <c r="C4077" s="1">
        <v>45891</v>
      </c>
      <c r="D4077">
        <v>143877</v>
      </c>
      <c r="E4077">
        <v>14</v>
      </c>
      <c r="F4077" s="3" t="s">
        <v>3560</v>
      </c>
      <c r="G4077" s="4">
        <v>18000</v>
      </c>
      <c r="H4077" s="4">
        <v>0</v>
      </c>
      <c r="I4077" s="4">
        <v>-75593220.799999997</v>
      </c>
    </row>
    <row r="4078" spans="1:9" x14ac:dyDescent="0.3">
      <c r="A4078" t="s">
        <v>75</v>
      </c>
      <c r="B4078" s="1">
        <v>45888</v>
      </c>
      <c r="C4078" s="1">
        <v>45891</v>
      </c>
      <c r="D4078">
        <v>143878</v>
      </c>
      <c r="E4078">
        <v>11</v>
      </c>
      <c r="F4078" s="3" t="s">
        <v>3561</v>
      </c>
      <c r="G4078" s="4">
        <v>13024.5</v>
      </c>
      <c r="H4078" s="4">
        <v>0</v>
      </c>
      <c r="I4078" s="4">
        <v>-75580196.299999997</v>
      </c>
    </row>
    <row r="4079" spans="1:9" x14ac:dyDescent="0.3">
      <c r="A4079" t="s">
        <v>75</v>
      </c>
      <c r="B4079" s="1">
        <v>45891</v>
      </c>
      <c r="C4079" s="1">
        <v>45891</v>
      </c>
      <c r="D4079">
        <v>143881</v>
      </c>
      <c r="E4079">
        <v>72</v>
      </c>
      <c r="F4079" s="3" t="s">
        <v>3562</v>
      </c>
      <c r="G4079" s="4">
        <v>1300</v>
      </c>
      <c r="H4079" s="4">
        <v>0</v>
      </c>
      <c r="I4079" s="4">
        <v>-75578896.299999997</v>
      </c>
    </row>
    <row r="4080" spans="1:9" x14ac:dyDescent="0.3">
      <c r="A4080" t="s">
        <v>75</v>
      </c>
      <c r="B4080" s="1">
        <v>45891</v>
      </c>
      <c r="C4080" s="1">
        <v>45891</v>
      </c>
      <c r="D4080">
        <v>143882</v>
      </c>
      <c r="E4080">
        <v>72</v>
      </c>
      <c r="F4080" s="3" t="s">
        <v>3563</v>
      </c>
      <c r="G4080" s="4">
        <v>40000</v>
      </c>
      <c r="H4080" s="4">
        <v>0</v>
      </c>
      <c r="I4080" s="4">
        <v>-75538896.299999997</v>
      </c>
    </row>
    <row r="4081" spans="1:9" x14ac:dyDescent="0.3">
      <c r="A4081" t="s">
        <v>75</v>
      </c>
      <c r="B4081" s="1">
        <v>45891</v>
      </c>
      <c r="C4081" s="1">
        <v>45891</v>
      </c>
      <c r="D4081">
        <v>143884</v>
      </c>
      <c r="E4081">
        <v>72</v>
      </c>
      <c r="F4081" s="3" t="s">
        <v>3564</v>
      </c>
      <c r="G4081" s="4">
        <v>20682.25</v>
      </c>
      <c r="H4081" s="4">
        <v>0</v>
      </c>
      <c r="I4081" s="4">
        <v>-75518214.049999997</v>
      </c>
    </row>
    <row r="4082" spans="1:9" x14ac:dyDescent="0.3">
      <c r="A4082" t="s">
        <v>75</v>
      </c>
      <c r="B4082" s="1">
        <v>45891</v>
      </c>
      <c r="C4082" s="1">
        <v>45891</v>
      </c>
      <c r="D4082">
        <v>143885</v>
      </c>
      <c r="E4082">
        <v>19</v>
      </c>
      <c r="F4082" s="3" t="s">
        <v>3565</v>
      </c>
      <c r="G4082" s="4">
        <v>5015</v>
      </c>
      <c r="H4082" s="4">
        <v>0</v>
      </c>
      <c r="I4082" s="4">
        <v>-75513199.049999997</v>
      </c>
    </row>
    <row r="4083" spans="1:9" x14ac:dyDescent="0.3">
      <c r="A4083" t="s">
        <v>75</v>
      </c>
      <c r="B4083" s="1">
        <v>45891</v>
      </c>
      <c r="C4083" s="1">
        <v>45891</v>
      </c>
      <c r="D4083">
        <v>143886</v>
      </c>
      <c r="E4083">
        <v>79</v>
      </c>
      <c r="F4083" s="3" t="s">
        <v>3566</v>
      </c>
      <c r="G4083" s="4">
        <v>26776</v>
      </c>
      <c r="H4083" s="4">
        <v>0</v>
      </c>
      <c r="I4083" s="4">
        <v>-75486423.049999997</v>
      </c>
    </row>
    <row r="4084" spans="1:9" x14ac:dyDescent="0.3">
      <c r="A4084" t="s">
        <v>75</v>
      </c>
      <c r="B4084" s="1">
        <v>45891</v>
      </c>
      <c r="C4084" s="1">
        <v>45891</v>
      </c>
      <c r="D4084">
        <v>143887</v>
      </c>
      <c r="E4084">
        <v>11</v>
      </c>
      <c r="F4084" s="3" t="s">
        <v>3567</v>
      </c>
      <c r="G4084" s="4">
        <v>95545.75</v>
      </c>
      <c r="H4084" s="4">
        <v>0</v>
      </c>
      <c r="I4084" s="4">
        <v>-75390877.299999997</v>
      </c>
    </row>
    <row r="4085" spans="1:9" x14ac:dyDescent="0.3">
      <c r="A4085" t="s">
        <v>75</v>
      </c>
      <c r="B4085" s="1">
        <v>45889</v>
      </c>
      <c r="C4085" s="1">
        <v>45891</v>
      </c>
      <c r="D4085">
        <v>143888</v>
      </c>
      <c r="E4085">
        <v>17</v>
      </c>
      <c r="F4085" s="3" t="s">
        <v>3568</v>
      </c>
      <c r="G4085" s="4">
        <v>256696</v>
      </c>
      <c r="H4085" s="4">
        <v>0</v>
      </c>
      <c r="I4085" s="4">
        <v>-75134181.299999997</v>
      </c>
    </row>
    <row r="4086" spans="1:9" x14ac:dyDescent="0.3">
      <c r="A4086" t="s">
        <v>75</v>
      </c>
      <c r="B4086" s="1">
        <v>45889</v>
      </c>
      <c r="C4086" s="1">
        <v>45891</v>
      </c>
      <c r="D4086">
        <v>143889</v>
      </c>
      <c r="E4086">
        <v>17</v>
      </c>
      <c r="F4086" s="3" t="s">
        <v>3569</v>
      </c>
      <c r="G4086" s="4">
        <v>10021</v>
      </c>
      <c r="H4086" s="4">
        <v>0</v>
      </c>
      <c r="I4086" s="4">
        <v>-75124160.299999997</v>
      </c>
    </row>
    <row r="4087" spans="1:9" x14ac:dyDescent="0.3">
      <c r="A4087" t="s">
        <v>75</v>
      </c>
      <c r="B4087" s="1">
        <v>45885</v>
      </c>
      <c r="C4087" s="1">
        <v>45891</v>
      </c>
      <c r="D4087">
        <v>143890</v>
      </c>
      <c r="E4087">
        <v>34</v>
      </c>
      <c r="F4087" s="3" t="s">
        <v>3570</v>
      </c>
      <c r="G4087" s="4">
        <v>18430.5</v>
      </c>
      <c r="H4087" s="4">
        <v>0</v>
      </c>
      <c r="I4087" s="4">
        <v>-75105729.799999997</v>
      </c>
    </row>
    <row r="4088" spans="1:9" x14ac:dyDescent="0.3">
      <c r="A4088" t="s">
        <v>75</v>
      </c>
      <c r="B4088" s="1">
        <v>45891</v>
      </c>
      <c r="C4088" s="1">
        <v>45891</v>
      </c>
      <c r="D4088">
        <v>143891</v>
      </c>
      <c r="E4088">
        <v>224</v>
      </c>
      <c r="F4088" s="3" t="s">
        <v>3571</v>
      </c>
      <c r="G4088" s="4">
        <v>2577.5</v>
      </c>
      <c r="H4088" s="4">
        <v>0</v>
      </c>
      <c r="I4088" s="4">
        <v>-75103152.299999997</v>
      </c>
    </row>
    <row r="4089" spans="1:9" x14ac:dyDescent="0.3">
      <c r="A4089" t="s">
        <v>75</v>
      </c>
      <c r="B4089" s="1">
        <v>45891</v>
      </c>
      <c r="C4089" s="1">
        <v>45891</v>
      </c>
      <c r="D4089">
        <v>143892</v>
      </c>
      <c r="E4089">
        <v>11</v>
      </c>
      <c r="F4089" s="3" t="s">
        <v>3572</v>
      </c>
      <c r="G4089" s="4">
        <v>13347.5</v>
      </c>
      <c r="H4089" s="4">
        <v>0</v>
      </c>
      <c r="I4089" s="4">
        <v>-75089804.799999997</v>
      </c>
    </row>
    <row r="4090" spans="1:9" x14ac:dyDescent="0.3">
      <c r="A4090" t="s">
        <v>75</v>
      </c>
      <c r="B4090" s="1">
        <v>45891</v>
      </c>
      <c r="C4090" s="1">
        <v>45891</v>
      </c>
      <c r="D4090">
        <v>143893</v>
      </c>
      <c r="E4090">
        <v>14</v>
      </c>
      <c r="F4090" s="3" t="s">
        <v>3573</v>
      </c>
      <c r="G4090" s="4">
        <v>30000</v>
      </c>
      <c r="H4090" s="4">
        <v>0</v>
      </c>
      <c r="I4090" s="4">
        <v>-75059804.799999997</v>
      </c>
    </row>
    <row r="4091" spans="1:9" x14ac:dyDescent="0.3">
      <c r="A4091" t="s">
        <v>75</v>
      </c>
      <c r="B4091" s="1">
        <v>45889</v>
      </c>
      <c r="C4091" s="1">
        <v>45891</v>
      </c>
      <c r="D4091">
        <v>143894</v>
      </c>
      <c r="E4091">
        <v>351</v>
      </c>
      <c r="F4091" s="3" t="s">
        <v>3574</v>
      </c>
      <c r="G4091" s="4">
        <v>30075.68</v>
      </c>
      <c r="H4091" s="4">
        <v>0</v>
      </c>
      <c r="I4091" s="4">
        <v>-75029729.120000005</v>
      </c>
    </row>
    <row r="4092" spans="1:9" x14ac:dyDescent="0.3">
      <c r="A4092" t="s">
        <v>75</v>
      </c>
      <c r="B4092" s="1">
        <v>45891</v>
      </c>
      <c r="C4092" s="1">
        <v>45891</v>
      </c>
      <c r="D4092">
        <v>143895</v>
      </c>
      <c r="E4092">
        <v>72</v>
      </c>
      <c r="F4092" s="3" t="s">
        <v>3575</v>
      </c>
      <c r="G4092" s="4">
        <v>11000</v>
      </c>
      <c r="H4092" s="4">
        <v>0</v>
      </c>
      <c r="I4092" s="4">
        <v>-75018729.120000005</v>
      </c>
    </row>
    <row r="4093" spans="1:9" x14ac:dyDescent="0.3">
      <c r="A4093" t="s">
        <v>75</v>
      </c>
      <c r="B4093" s="1">
        <v>45890</v>
      </c>
      <c r="C4093" s="1">
        <v>45891</v>
      </c>
      <c r="D4093">
        <v>143896</v>
      </c>
      <c r="E4093">
        <v>67</v>
      </c>
      <c r="F4093" s="3" t="s">
        <v>3576</v>
      </c>
      <c r="G4093" s="4">
        <v>33158.75</v>
      </c>
      <c r="H4093" s="4">
        <v>0</v>
      </c>
      <c r="I4093" s="4">
        <v>-74985570.370000005</v>
      </c>
    </row>
    <row r="4094" spans="1:9" x14ac:dyDescent="0.3">
      <c r="A4094" t="s">
        <v>75</v>
      </c>
      <c r="B4094" s="1">
        <v>45891</v>
      </c>
      <c r="C4094" s="1">
        <v>45891</v>
      </c>
      <c r="D4094">
        <v>143897</v>
      </c>
      <c r="E4094">
        <v>77</v>
      </c>
      <c r="F4094" s="3" t="s">
        <v>3577</v>
      </c>
      <c r="G4094" s="4">
        <v>1300</v>
      </c>
      <c r="H4094" s="4">
        <v>0</v>
      </c>
      <c r="I4094" s="4">
        <v>-74984270.370000005</v>
      </c>
    </row>
    <row r="4095" spans="1:9" x14ac:dyDescent="0.3">
      <c r="A4095" t="s">
        <v>75</v>
      </c>
      <c r="B4095" s="1">
        <v>45890</v>
      </c>
      <c r="C4095" s="1">
        <v>45891</v>
      </c>
      <c r="D4095">
        <v>143898</v>
      </c>
      <c r="E4095">
        <v>77</v>
      </c>
      <c r="F4095" s="3" t="s">
        <v>3578</v>
      </c>
      <c r="G4095" s="4">
        <v>11403.25</v>
      </c>
      <c r="H4095" s="4">
        <v>0</v>
      </c>
      <c r="I4095" s="4">
        <v>-74972867.120000005</v>
      </c>
    </row>
    <row r="4096" spans="1:9" x14ac:dyDescent="0.3">
      <c r="A4096" t="s">
        <v>75</v>
      </c>
      <c r="B4096" s="1">
        <v>45891</v>
      </c>
      <c r="C4096" s="1">
        <v>45891</v>
      </c>
      <c r="D4096">
        <v>143899</v>
      </c>
      <c r="E4096">
        <v>77</v>
      </c>
      <c r="F4096" s="3" t="s">
        <v>3579</v>
      </c>
      <c r="G4096" s="4">
        <v>2819</v>
      </c>
      <c r="H4096" s="4">
        <v>0</v>
      </c>
      <c r="I4096" s="4">
        <v>-74970048.120000005</v>
      </c>
    </row>
    <row r="4097" spans="1:9" x14ac:dyDescent="0.3">
      <c r="A4097" t="s">
        <v>75</v>
      </c>
      <c r="B4097" s="1">
        <v>45890</v>
      </c>
      <c r="C4097" s="1">
        <v>45891</v>
      </c>
      <c r="D4097">
        <v>143901</v>
      </c>
      <c r="E4097">
        <v>61</v>
      </c>
      <c r="F4097" s="3" t="s">
        <v>3580</v>
      </c>
      <c r="G4097" s="4">
        <v>10000</v>
      </c>
      <c r="H4097" s="4">
        <v>0</v>
      </c>
      <c r="I4097" s="4">
        <v>-74960048.120000005</v>
      </c>
    </row>
    <row r="4098" spans="1:9" x14ac:dyDescent="0.3">
      <c r="A4098" t="s">
        <v>75</v>
      </c>
      <c r="B4098" s="1">
        <v>45891</v>
      </c>
      <c r="C4098" s="1">
        <v>45891</v>
      </c>
      <c r="D4098">
        <v>143902</v>
      </c>
      <c r="E4098">
        <v>61</v>
      </c>
      <c r="F4098" s="3" t="s">
        <v>3581</v>
      </c>
      <c r="G4098" s="4">
        <v>14776</v>
      </c>
      <c r="H4098" s="4">
        <v>0</v>
      </c>
      <c r="I4098" s="4">
        <v>-74945272.120000005</v>
      </c>
    </row>
    <row r="4099" spans="1:9" x14ac:dyDescent="0.3">
      <c r="A4099" t="s">
        <v>75</v>
      </c>
      <c r="B4099" s="1">
        <v>45891</v>
      </c>
      <c r="C4099" s="1">
        <v>45891</v>
      </c>
      <c r="D4099">
        <v>143903</v>
      </c>
      <c r="E4099">
        <v>62</v>
      </c>
      <c r="F4099" s="3" t="s">
        <v>3582</v>
      </c>
      <c r="G4099" s="4">
        <v>1797</v>
      </c>
      <c r="H4099" s="4">
        <v>0</v>
      </c>
      <c r="I4099" s="4">
        <v>-74943475.120000005</v>
      </c>
    </row>
    <row r="4100" spans="1:9" x14ac:dyDescent="0.3">
      <c r="A4100" t="s">
        <v>71</v>
      </c>
      <c r="B4100" s="1">
        <v>45890</v>
      </c>
      <c r="C4100" s="1">
        <v>45891</v>
      </c>
      <c r="D4100">
        <v>14757</v>
      </c>
      <c r="E4100">
        <v>100</v>
      </c>
      <c r="F4100" s="3" t="s">
        <v>3583</v>
      </c>
      <c r="G4100" s="4">
        <v>29416000</v>
      </c>
      <c r="H4100" s="4">
        <v>0</v>
      </c>
      <c r="I4100" s="4">
        <v>-45527475.119999997</v>
      </c>
    </row>
    <row r="4101" spans="1:9" x14ac:dyDescent="0.3">
      <c r="A4101" t="s">
        <v>71</v>
      </c>
      <c r="B4101" s="1">
        <v>45877</v>
      </c>
      <c r="C4101" s="1">
        <v>45891</v>
      </c>
      <c r="D4101">
        <v>14767</v>
      </c>
      <c r="E4101">
        <v>100</v>
      </c>
      <c r="F4101" s="3" t="s">
        <v>3584</v>
      </c>
      <c r="G4101" s="4">
        <v>0</v>
      </c>
      <c r="H4101" s="4">
        <v>52374</v>
      </c>
      <c r="I4101" s="4">
        <v>-45579849.119999997</v>
      </c>
    </row>
    <row r="4102" spans="1:9" x14ac:dyDescent="0.3">
      <c r="A4102" t="s">
        <v>71</v>
      </c>
      <c r="B4102" s="1">
        <v>45880</v>
      </c>
      <c r="C4102" s="1">
        <v>45891</v>
      </c>
      <c r="D4102">
        <v>14770</v>
      </c>
      <c r="E4102">
        <v>100</v>
      </c>
      <c r="F4102" s="3" t="s">
        <v>3585</v>
      </c>
      <c r="G4102" s="4">
        <v>0</v>
      </c>
      <c r="H4102" s="4">
        <v>12</v>
      </c>
      <c r="I4102" s="4">
        <v>-45579861.119999997</v>
      </c>
    </row>
    <row r="4103" spans="1:9" x14ac:dyDescent="0.3">
      <c r="A4103" t="s">
        <v>71</v>
      </c>
      <c r="B4103" s="1">
        <v>45882</v>
      </c>
      <c r="C4103" s="1">
        <v>45891</v>
      </c>
      <c r="D4103">
        <v>14770</v>
      </c>
      <c r="E4103">
        <v>100</v>
      </c>
      <c r="F4103" s="3" t="s">
        <v>3586</v>
      </c>
      <c r="G4103" s="4">
        <v>0</v>
      </c>
      <c r="H4103" s="4">
        <v>6</v>
      </c>
      <c r="I4103" s="4">
        <v>-45579867.119999997</v>
      </c>
    </row>
    <row r="4104" spans="1:9" x14ac:dyDescent="0.3">
      <c r="A4104" t="s">
        <v>2579</v>
      </c>
      <c r="B4104" s="1">
        <v>45868</v>
      </c>
      <c r="C4104" s="1">
        <v>45891</v>
      </c>
      <c r="D4104">
        <v>1846</v>
      </c>
      <c r="E4104">
        <v>100</v>
      </c>
      <c r="F4104" s="3" t="s">
        <v>3587</v>
      </c>
      <c r="G4104" s="4">
        <v>0</v>
      </c>
      <c r="H4104" s="4">
        <v>9846.6299999999992</v>
      </c>
      <c r="I4104" s="4">
        <v>-45589713.75</v>
      </c>
    </row>
    <row r="4105" spans="1:9" x14ac:dyDescent="0.3">
      <c r="A4105" t="s">
        <v>124</v>
      </c>
      <c r="B4105" s="1">
        <v>45891</v>
      </c>
      <c r="C4105" s="1">
        <v>45891</v>
      </c>
      <c r="D4105">
        <v>22267</v>
      </c>
      <c r="E4105">
        <v>11</v>
      </c>
      <c r="F4105" s="3" t="s">
        <v>125</v>
      </c>
      <c r="G4105" s="4">
        <v>0</v>
      </c>
      <c r="H4105" s="4">
        <v>26362509.32</v>
      </c>
      <c r="I4105" s="4">
        <v>-71952223.069999993</v>
      </c>
    </row>
    <row r="4106" spans="1:9" x14ac:dyDescent="0.3">
      <c r="A4106" t="s">
        <v>124</v>
      </c>
      <c r="B4106" s="1">
        <v>45891</v>
      </c>
      <c r="C4106" s="1">
        <v>45891</v>
      </c>
      <c r="D4106">
        <v>22268</v>
      </c>
      <c r="E4106">
        <v>11</v>
      </c>
      <c r="F4106" s="3" t="s">
        <v>125</v>
      </c>
      <c r="G4106" s="4">
        <v>0</v>
      </c>
      <c r="H4106" s="4">
        <v>12000000</v>
      </c>
      <c r="I4106" s="4">
        <v>-83952223.069999993</v>
      </c>
    </row>
    <row r="4107" spans="1:9" x14ac:dyDescent="0.3">
      <c r="A4107" t="s">
        <v>124</v>
      </c>
      <c r="B4107" s="1">
        <v>45891</v>
      </c>
      <c r="C4107" s="1">
        <v>45891</v>
      </c>
      <c r="D4107">
        <v>22269</v>
      </c>
      <c r="E4107">
        <v>11</v>
      </c>
      <c r="F4107" s="3" t="s">
        <v>126</v>
      </c>
      <c r="G4107" s="4">
        <v>0</v>
      </c>
      <c r="H4107" s="4">
        <v>1500000</v>
      </c>
      <c r="I4107" s="4">
        <v>-85452223.069999993</v>
      </c>
    </row>
    <row r="4108" spans="1:9" x14ac:dyDescent="0.3">
      <c r="A4108" t="s">
        <v>124</v>
      </c>
      <c r="B4108" s="1">
        <v>45891</v>
      </c>
      <c r="C4108" s="1">
        <v>45891</v>
      </c>
      <c r="D4108">
        <v>22270</v>
      </c>
      <c r="E4108">
        <v>11</v>
      </c>
      <c r="F4108" s="3" t="s">
        <v>127</v>
      </c>
      <c r="G4108" s="4">
        <v>25000000</v>
      </c>
      <c r="H4108" s="4">
        <v>0</v>
      </c>
      <c r="I4108" s="4">
        <v>-60452223.07</v>
      </c>
    </row>
    <row r="4109" spans="1:9" x14ac:dyDescent="0.3">
      <c r="A4109" t="s">
        <v>124</v>
      </c>
      <c r="B4109" s="1">
        <v>45891</v>
      </c>
      <c r="C4109" s="1">
        <v>45891</v>
      </c>
      <c r="D4109">
        <v>22272</v>
      </c>
      <c r="E4109">
        <v>11</v>
      </c>
      <c r="F4109" s="3" t="s">
        <v>127</v>
      </c>
      <c r="G4109" s="4">
        <v>400000</v>
      </c>
      <c r="H4109" s="4">
        <v>0</v>
      </c>
      <c r="I4109" s="4">
        <v>-60052223.07</v>
      </c>
    </row>
    <row r="4110" spans="1:9" x14ac:dyDescent="0.3">
      <c r="A4110" t="s">
        <v>124</v>
      </c>
      <c r="B4110" s="1">
        <v>45891</v>
      </c>
      <c r="C4110" s="1">
        <v>45891</v>
      </c>
      <c r="D4110">
        <v>22273</v>
      </c>
      <c r="E4110">
        <v>11</v>
      </c>
      <c r="F4110" s="3" t="s">
        <v>129</v>
      </c>
      <c r="G4110" s="4">
        <v>0</v>
      </c>
      <c r="H4110" s="4">
        <v>3700000</v>
      </c>
      <c r="I4110" s="4">
        <v>-63752223.07</v>
      </c>
    </row>
    <row r="4111" spans="1:9" x14ac:dyDescent="0.3">
      <c r="A4111" t="s">
        <v>124</v>
      </c>
      <c r="B4111" s="1">
        <v>45891</v>
      </c>
      <c r="C4111" s="1">
        <v>45891</v>
      </c>
      <c r="D4111">
        <v>22276</v>
      </c>
      <c r="E4111">
        <v>11</v>
      </c>
      <c r="F4111" s="3" t="s">
        <v>363</v>
      </c>
      <c r="G4111" s="4">
        <v>4000000</v>
      </c>
      <c r="H4111" s="4">
        <v>0</v>
      </c>
      <c r="I4111" s="4">
        <v>-59752223.07</v>
      </c>
    </row>
    <row r="4112" spans="1:9" x14ac:dyDescent="0.3">
      <c r="A4112" t="s">
        <v>124</v>
      </c>
      <c r="B4112" s="1">
        <v>45891</v>
      </c>
      <c r="C4112" s="1">
        <v>45891</v>
      </c>
      <c r="D4112">
        <v>22277</v>
      </c>
      <c r="E4112">
        <v>11</v>
      </c>
      <c r="F4112" s="3" t="s">
        <v>128</v>
      </c>
      <c r="G4112" s="4">
        <v>2500000</v>
      </c>
      <c r="H4112" s="4">
        <v>0</v>
      </c>
      <c r="I4112" s="4">
        <v>-57252223.07</v>
      </c>
    </row>
    <row r="4113" spans="1:9" x14ac:dyDescent="0.3">
      <c r="A4113" t="s">
        <v>130</v>
      </c>
      <c r="B4113" s="1">
        <v>45891</v>
      </c>
      <c r="C4113" s="1">
        <v>45891</v>
      </c>
      <c r="D4113">
        <v>3845174</v>
      </c>
      <c r="E4113">
        <v>252</v>
      </c>
      <c r="F4113" s="3" t="s">
        <v>3588</v>
      </c>
      <c r="G4113" s="4">
        <v>0</v>
      </c>
      <c r="H4113" s="4">
        <v>350000</v>
      </c>
      <c r="I4113" s="4">
        <v>-57602223.07</v>
      </c>
    </row>
    <row r="4114" spans="1:9" x14ac:dyDescent="0.3">
      <c r="A4114" t="s">
        <v>130</v>
      </c>
      <c r="B4114" s="1">
        <v>45891</v>
      </c>
      <c r="C4114" s="1">
        <v>45891</v>
      </c>
      <c r="D4114">
        <v>3845331</v>
      </c>
      <c r="E4114">
        <v>58</v>
      </c>
      <c r="F4114" s="3" t="s">
        <v>3589</v>
      </c>
      <c r="G4114" s="4">
        <v>0</v>
      </c>
      <c r="H4114" s="4">
        <v>45791</v>
      </c>
      <c r="I4114" s="4">
        <v>-57648014.07</v>
      </c>
    </row>
    <row r="4115" spans="1:9" x14ac:dyDescent="0.3">
      <c r="A4115" t="s">
        <v>133</v>
      </c>
      <c r="B4115" s="1">
        <v>45891</v>
      </c>
      <c r="C4115" s="1">
        <v>45891</v>
      </c>
      <c r="D4115">
        <v>922755</v>
      </c>
      <c r="E4115">
        <v>351</v>
      </c>
      <c r="F4115" s="3" t="s">
        <v>3590</v>
      </c>
      <c r="G4115" s="4">
        <v>31053</v>
      </c>
      <c r="H4115" s="4">
        <v>0</v>
      </c>
      <c r="I4115" s="4">
        <v>-57616961.07</v>
      </c>
    </row>
    <row r="4116" spans="1:9" x14ac:dyDescent="0.3">
      <c r="A4116" t="s">
        <v>133</v>
      </c>
      <c r="B4116" s="1">
        <v>45891</v>
      </c>
      <c r="C4116" s="1">
        <v>45891</v>
      </c>
      <c r="D4116">
        <v>922763</v>
      </c>
      <c r="E4116">
        <v>382</v>
      </c>
      <c r="F4116" s="3" t="s">
        <v>3591</v>
      </c>
      <c r="G4116" s="4">
        <v>315657</v>
      </c>
      <c r="H4116" s="4">
        <v>0</v>
      </c>
      <c r="I4116" s="4">
        <v>-57301304.07</v>
      </c>
    </row>
    <row r="4117" spans="1:9" x14ac:dyDescent="0.3">
      <c r="A4117" t="s">
        <v>133</v>
      </c>
      <c r="B4117" s="1">
        <v>45891</v>
      </c>
      <c r="C4117" s="1">
        <v>45891</v>
      </c>
      <c r="D4117">
        <v>922764</v>
      </c>
      <c r="E4117">
        <v>28</v>
      </c>
      <c r="F4117" s="3">
        <v>51146374582</v>
      </c>
      <c r="G4117" s="4">
        <v>1153.25</v>
      </c>
      <c r="H4117" s="4">
        <v>0</v>
      </c>
      <c r="I4117" s="4">
        <v>-57300150.82</v>
      </c>
    </row>
    <row r="4118" spans="1:9" x14ac:dyDescent="0.3">
      <c r="A4118" t="s">
        <v>133</v>
      </c>
      <c r="B4118" s="1">
        <v>45891</v>
      </c>
      <c r="C4118" s="1">
        <v>45891</v>
      </c>
      <c r="D4118">
        <v>922777</v>
      </c>
      <c r="E4118">
        <v>85</v>
      </c>
      <c r="F4118" s="3" t="s">
        <v>3592</v>
      </c>
      <c r="G4118" s="4">
        <v>20000</v>
      </c>
      <c r="H4118" s="4">
        <v>0</v>
      </c>
      <c r="I4118" s="4">
        <v>-57280150.82</v>
      </c>
    </row>
    <row r="4119" spans="1:9" x14ac:dyDescent="0.3">
      <c r="A4119" t="s">
        <v>133</v>
      </c>
      <c r="B4119" s="1">
        <v>45891</v>
      </c>
      <c r="C4119" s="1">
        <v>45891</v>
      </c>
      <c r="D4119">
        <v>922781</v>
      </c>
      <c r="E4119">
        <v>351</v>
      </c>
      <c r="F4119" s="3" t="s">
        <v>3593</v>
      </c>
      <c r="G4119" s="4">
        <v>1124</v>
      </c>
      <c r="H4119" s="4">
        <v>0</v>
      </c>
      <c r="I4119" s="4">
        <v>-57279026.82</v>
      </c>
    </row>
    <row r="4120" spans="1:9" x14ac:dyDescent="0.3">
      <c r="A4120" t="s">
        <v>133</v>
      </c>
      <c r="B4120" s="1">
        <v>45891</v>
      </c>
      <c r="C4120" s="1">
        <v>45891</v>
      </c>
      <c r="D4120">
        <v>922784</v>
      </c>
      <c r="E4120">
        <v>351</v>
      </c>
      <c r="F4120" s="3" t="s">
        <v>3594</v>
      </c>
      <c r="G4120" s="4">
        <v>17272</v>
      </c>
      <c r="H4120" s="4">
        <v>0</v>
      </c>
      <c r="I4120" s="4">
        <v>-57261754.82</v>
      </c>
    </row>
    <row r="4121" spans="1:9" x14ac:dyDescent="0.3">
      <c r="A4121" t="s">
        <v>133</v>
      </c>
      <c r="B4121" s="1">
        <v>45891</v>
      </c>
      <c r="C4121" s="1">
        <v>45891</v>
      </c>
      <c r="D4121">
        <v>922787</v>
      </c>
      <c r="E4121">
        <v>351</v>
      </c>
      <c r="F4121" s="3" t="s">
        <v>3595</v>
      </c>
      <c r="G4121" s="4">
        <v>183760.5</v>
      </c>
      <c r="H4121" s="4">
        <v>0</v>
      </c>
      <c r="I4121" s="4">
        <v>-57077994.32</v>
      </c>
    </row>
    <row r="4122" spans="1:9" x14ac:dyDescent="0.3">
      <c r="A4122" t="s">
        <v>133</v>
      </c>
      <c r="B4122" s="1">
        <v>45891</v>
      </c>
      <c r="C4122" s="1">
        <v>45891</v>
      </c>
      <c r="D4122">
        <v>922789</v>
      </c>
      <c r="E4122">
        <v>351</v>
      </c>
      <c r="F4122" s="3" t="s">
        <v>3596</v>
      </c>
      <c r="G4122" s="4">
        <v>3888.25</v>
      </c>
      <c r="H4122" s="4">
        <v>0</v>
      </c>
      <c r="I4122" s="4">
        <v>-57074106.07</v>
      </c>
    </row>
    <row r="4123" spans="1:9" x14ac:dyDescent="0.3">
      <c r="A4123" t="s">
        <v>133</v>
      </c>
      <c r="B4123" s="1">
        <v>45891</v>
      </c>
      <c r="C4123" s="1">
        <v>45891</v>
      </c>
      <c r="D4123">
        <v>922791</v>
      </c>
      <c r="E4123">
        <v>27</v>
      </c>
      <c r="F4123" s="3" t="s">
        <v>3597</v>
      </c>
      <c r="G4123" s="4">
        <v>262.5</v>
      </c>
      <c r="H4123" s="4">
        <v>0</v>
      </c>
      <c r="I4123" s="4">
        <v>-57073843.57</v>
      </c>
    </row>
    <row r="4124" spans="1:9" x14ac:dyDescent="0.3">
      <c r="A4124" t="s">
        <v>133</v>
      </c>
      <c r="B4124" s="1">
        <v>45891</v>
      </c>
      <c r="C4124" s="1">
        <v>45891</v>
      </c>
      <c r="D4124">
        <v>922793</v>
      </c>
      <c r="E4124">
        <v>28</v>
      </c>
      <c r="F4124" s="3">
        <v>51149916284</v>
      </c>
      <c r="G4124" s="4">
        <v>50000</v>
      </c>
      <c r="H4124" s="4">
        <v>0</v>
      </c>
      <c r="I4124" s="4">
        <v>-57023843.57</v>
      </c>
    </row>
    <row r="4125" spans="1:9" x14ac:dyDescent="0.3">
      <c r="A4125" t="s">
        <v>133</v>
      </c>
      <c r="B4125" s="1">
        <v>45891</v>
      </c>
      <c r="C4125" s="1">
        <v>45891</v>
      </c>
      <c r="D4125">
        <v>922795</v>
      </c>
      <c r="E4125">
        <v>542</v>
      </c>
      <c r="F4125" s="3" t="s">
        <v>3598</v>
      </c>
      <c r="G4125" s="4">
        <v>13046</v>
      </c>
      <c r="H4125" s="4">
        <v>0</v>
      </c>
      <c r="I4125" s="4">
        <v>-57010797.57</v>
      </c>
    </row>
    <row r="4126" spans="1:9" x14ac:dyDescent="0.3">
      <c r="A4126" t="s">
        <v>133</v>
      </c>
      <c r="B4126" s="1">
        <v>45891</v>
      </c>
      <c r="C4126" s="1">
        <v>45891</v>
      </c>
      <c r="D4126">
        <v>922801</v>
      </c>
      <c r="E4126">
        <v>382</v>
      </c>
      <c r="F4126" s="3">
        <v>51148483372</v>
      </c>
      <c r="G4126" s="4">
        <v>36810.5</v>
      </c>
      <c r="H4126" s="4">
        <v>0</v>
      </c>
      <c r="I4126" s="4">
        <v>-56973987.07</v>
      </c>
    </row>
    <row r="4127" spans="1:9" x14ac:dyDescent="0.3">
      <c r="A4127" t="s">
        <v>133</v>
      </c>
      <c r="B4127" s="1">
        <v>45891</v>
      </c>
      <c r="C4127" s="1">
        <v>45891</v>
      </c>
      <c r="D4127">
        <v>922802</v>
      </c>
      <c r="E4127">
        <v>382</v>
      </c>
      <c r="F4127" s="3">
        <v>51150992025</v>
      </c>
      <c r="G4127" s="4">
        <v>428</v>
      </c>
      <c r="H4127" s="4">
        <v>0</v>
      </c>
      <c r="I4127" s="4">
        <v>-56973559.07</v>
      </c>
    </row>
    <row r="4128" spans="1:9" x14ac:dyDescent="0.3">
      <c r="A4128" t="s">
        <v>133</v>
      </c>
      <c r="B4128" s="1">
        <v>45891</v>
      </c>
      <c r="C4128" s="1">
        <v>45891</v>
      </c>
      <c r="D4128">
        <v>922803</v>
      </c>
      <c r="E4128">
        <v>220</v>
      </c>
      <c r="F4128" s="3" t="s">
        <v>3599</v>
      </c>
      <c r="G4128" s="4">
        <v>2200</v>
      </c>
      <c r="H4128" s="4">
        <v>0</v>
      </c>
      <c r="I4128" s="4">
        <v>-56971359.07</v>
      </c>
    </row>
    <row r="4129" spans="1:9" x14ac:dyDescent="0.3">
      <c r="A4129" t="s">
        <v>133</v>
      </c>
      <c r="B4129" s="1">
        <v>45891</v>
      </c>
      <c r="C4129" s="1">
        <v>45891</v>
      </c>
      <c r="D4129">
        <v>922808</v>
      </c>
      <c r="E4129">
        <v>84</v>
      </c>
      <c r="F4129" s="3" t="s">
        <v>3600</v>
      </c>
      <c r="G4129" s="4">
        <v>20634.75</v>
      </c>
      <c r="H4129" s="4">
        <v>0</v>
      </c>
      <c r="I4129" s="4">
        <v>-56950724.32</v>
      </c>
    </row>
    <row r="4130" spans="1:9" x14ac:dyDescent="0.3">
      <c r="A4130" t="s">
        <v>133</v>
      </c>
      <c r="B4130" s="1">
        <v>45891</v>
      </c>
      <c r="C4130" s="1">
        <v>45891</v>
      </c>
      <c r="D4130">
        <v>922814</v>
      </c>
      <c r="E4130">
        <v>44</v>
      </c>
      <c r="F4130" s="3" t="s">
        <v>3601</v>
      </c>
      <c r="G4130" s="4">
        <v>50945</v>
      </c>
      <c r="H4130" s="4">
        <v>0</v>
      </c>
      <c r="I4130" s="4">
        <v>-56899779.32</v>
      </c>
    </row>
    <row r="4131" spans="1:9" x14ac:dyDescent="0.3">
      <c r="A4131" t="s">
        <v>133</v>
      </c>
      <c r="B4131" s="1">
        <v>45891</v>
      </c>
      <c r="C4131" s="1">
        <v>45891</v>
      </c>
      <c r="D4131">
        <v>922824</v>
      </c>
      <c r="E4131">
        <v>542</v>
      </c>
      <c r="F4131" s="3" t="s">
        <v>3602</v>
      </c>
      <c r="G4131" s="4">
        <v>36800.5</v>
      </c>
      <c r="H4131" s="4">
        <v>0</v>
      </c>
      <c r="I4131" s="4">
        <v>-56862978.82</v>
      </c>
    </row>
    <row r="4132" spans="1:9" x14ac:dyDescent="0.3">
      <c r="A4132" t="s">
        <v>133</v>
      </c>
      <c r="B4132" s="1">
        <v>45891</v>
      </c>
      <c r="C4132" s="1">
        <v>45891</v>
      </c>
      <c r="D4132">
        <v>922826</v>
      </c>
      <c r="E4132">
        <v>41</v>
      </c>
      <c r="F4132" s="3" t="s">
        <v>3603</v>
      </c>
      <c r="G4132" s="4">
        <v>56500</v>
      </c>
      <c r="H4132" s="4">
        <v>0</v>
      </c>
      <c r="I4132" s="4">
        <v>-56806478.82</v>
      </c>
    </row>
    <row r="4133" spans="1:9" x14ac:dyDescent="0.3">
      <c r="A4133" t="s">
        <v>133</v>
      </c>
      <c r="B4133" s="1">
        <v>45891</v>
      </c>
      <c r="C4133" s="1">
        <v>45891</v>
      </c>
      <c r="D4133">
        <v>922828</v>
      </c>
      <c r="E4133">
        <v>73</v>
      </c>
      <c r="F4133" s="3" t="s">
        <v>3604</v>
      </c>
      <c r="G4133" s="4">
        <v>180000</v>
      </c>
      <c r="H4133" s="4">
        <v>0</v>
      </c>
      <c r="I4133" s="4">
        <v>-56626478.82</v>
      </c>
    </row>
    <row r="4134" spans="1:9" x14ac:dyDescent="0.3">
      <c r="A4134" t="s">
        <v>133</v>
      </c>
      <c r="B4134" s="1">
        <v>45891</v>
      </c>
      <c r="C4134" s="1">
        <v>45891</v>
      </c>
      <c r="D4134">
        <v>922839</v>
      </c>
      <c r="E4134">
        <v>11</v>
      </c>
      <c r="F4134" s="3" t="s">
        <v>3605</v>
      </c>
      <c r="G4134" s="4">
        <v>2953</v>
      </c>
      <c r="H4134" s="4">
        <v>0</v>
      </c>
      <c r="I4134" s="4">
        <v>-56623525.82</v>
      </c>
    </row>
    <row r="4135" spans="1:9" x14ac:dyDescent="0.3">
      <c r="A4135" t="s">
        <v>133</v>
      </c>
      <c r="B4135" s="1">
        <v>45891</v>
      </c>
      <c r="C4135" s="1">
        <v>45891</v>
      </c>
      <c r="D4135">
        <v>922840</v>
      </c>
      <c r="E4135">
        <v>11</v>
      </c>
      <c r="F4135" s="3" t="s">
        <v>3606</v>
      </c>
      <c r="G4135" s="4">
        <v>929</v>
      </c>
      <c r="H4135" s="4">
        <v>0</v>
      </c>
      <c r="I4135" s="4">
        <v>-56622596.82</v>
      </c>
    </row>
    <row r="4136" spans="1:9" x14ac:dyDescent="0.3">
      <c r="A4136" t="s">
        <v>133</v>
      </c>
      <c r="B4136" s="1">
        <v>45891</v>
      </c>
      <c r="C4136" s="1">
        <v>45891</v>
      </c>
      <c r="D4136">
        <v>922848</v>
      </c>
      <c r="E4136">
        <v>78</v>
      </c>
      <c r="F4136" s="3" t="s">
        <v>3607</v>
      </c>
      <c r="G4136" s="4">
        <v>449583.75</v>
      </c>
      <c r="H4136" s="4">
        <v>0</v>
      </c>
      <c r="I4136" s="4">
        <v>-56173013.07</v>
      </c>
    </row>
    <row r="4137" spans="1:9" x14ac:dyDescent="0.3">
      <c r="A4137" t="s">
        <v>133</v>
      </c>
      <c r="B4137" s="1">
        <v>45891</v>
      </c>
      <c r="C4137" s="1">
        <v>45891</v>
      </c>
      <c r="D4137">
        <v>922855</v>
      </c>
      <c r="E4137">
        <v>72</v>
      </c>
      <c r="F4137" s="3" t="s">
        <v>3608</v>
      </c>
      <c r="G4137" s="4">
        <v>3856</v>
      </c>
      <c r="H4137" s="4">
        <v>0</v>
      </c>
      <c r="I4137" s="4">
        <v>-56169157.07</v>
      </c>
    </row>
    <row r="4138" spans="1:9" x14ac:dyDescent="0.3">
      <c r="A4138" t="s">
        <v>133</v>
      </c>
      <c r="B4138" s="1">
        <v>45891</v>
      </c>
      <c r="C4138" s="1">
        <v>45891</v>
      </c>
      <c r="D4138">
        <v>922859</v>
      </c>
      <c r="E4138">
        <v>91</v>
      </c>
      <c r="F4138" s="3" t="s">
        <v>3609</v>
      </c>
      <c r="G4138" s="4">
        <v>59542</v>
      </c>
      <c r="H4138" s="4">
        <v>0</v>
      </c>
      <c r="I4138" s="4">
        <v>-56109615.07</v>
      </c>
    </row>
    <row r="4139" spans="1:9" x14ac:dyDescent="0.3">
      <c r="A4139" t="s">
        <v>133</v>
      </c>
      <c r="B4139" s="1">
        <v>45891</v>
      </c>
      <c r="C4139" s="1">
        <v>45891</v>
      </c>
      <c r="D4139">
        <v>922864</v>
      </c>
      <c r="E4139">
        <v>78</v>
      </c>
      <c r="F4139" s="3" t="s">
        <v>3610</v>
      </c>
      <c r="G4139" s="4">
        <v>1067072</v>
      </c>
      <c r="H4139" s="4">
        <v>0</v>
      </c>
      <c r="I4139" s="4">
        <v>-55042543.07</v>
      </c>
    </row>
    <row r="4140" spans="1:9" x14ac:dyDescent="0.3">
      <c r="A4140" t="s">
        <v>133</v>
      </c>
      <c r="B4140" s="1">
        <v>45891</v>
      </c>
      <c r="C4140" s="1">
        <v>45891</v>
      </c>
      <c r="D4140">
        <v>922867</v>
      </c>
      <c r="E4140">
        <v>11</v>
      </c>
      <c r="F4140" s="3" t="s">
        <v>3611</v>
      </c>
      <c r="G4140" s="4">
        <v>86826.25</v>
      </c>
      <c r="H4140" s="4">
        <v>0</v>
      </c>
      <c r="I4140" s="4">
        <v>-54955716.82</v>
      </c>
    </row>
    <row r="4141" spans="1:9" x14ac:dyDescent="0.3">
      <c r="A4141" t="s">
        <v>133</v>
      </c>
      <c r="B4141" s="1">
        <v>45891</v>
      </c>
      <c r="C4141" s="1">
        <v>45891</v>
      </c>
      <c r="D4141">
        <v>922875</v>
      </c>
      <c r="E4141">
        <v>65</v>
      </c>
      <c r="F4141" s="3" t="s">
        <v>3612</v>
      </c>
      <c r="G4141" s="4">
        <v>30172.5</v>
      </c>
      <c r="H4141" s="4">
        <v>0</v>
      </c>
      <c r="I4141" s="4">
        <v>-54925544.32</v>
      </c>
    </row>
    <row r="4142" spans="1:9" x14ac:dyDescent="0.3">
      <c r="A4142" t="s">
        <v>133</v>
      </c>
      <c r="B4142" s="1">
        <v>45891</v>
      </c>
      <c r="C4142" s="1">
        <v>45891</v>
      </c>
      <c r="D4142">
        <v>922876</v>
      </c>
      <c r="E4142">
        <v>67</v>
      </c>
      <c r="F4142" s="3">
        <v>51149836146</v>
      </c>
      <c r="G4142" s="4">
        <v>171890</v>
      </c>
      <c r="H4142" s="4">
        <v>0</v>
      </c>
      <c r="I4142" s="4">
        <v>-54753654.32</v>
      </c>
    </row>
    <row r="4143" spans="1:9" x14ac:dyDescent="0.3">
      <c r="A4143" t="s">
        <v>133</v>
      </c>
      <c r="B4143" s="1">
        <v>45891</v>
      </c>
      <c r="C4143" s="1">
        <v>45891</v>
      </c>
      <c r="D4143">
        <v>922884</v>
      </c>
      <c r="E4143">
        <v>51</v>
      </c>
      <c r="F4143" s="3" t="s">
        <v>3613</v>
      </c>
      <c r="G4143" s="4">
        <v>160000</v>
      </c>
      <c r="H4143" s="4">
        <v>0</v>
      </c>
      <c r="I4143" s="4">
        <v>-54593654.32</v>
      </c>
    </row>
    <row r="4144" spans="1:9" x14ac:dyDescent="0.3">
      <c r="A4144" t="s">
        <v>133</v>
      </c>
      <c r="B4144" s="1">
        <v>45891</v>
      </c>
      <c r="C4144" s="1">
        <v>45891</v>
      </c>
      <c r="D4144">
        <v>922887</v>
      </c>
      <c r="E4144">
        <v>92</v>
      </c>
      <c r="F4144" s="3" t="s">
        <v>3614</v>
      </c>
      <c r="G4144" s="4">
        <v>7500</v>
      </c>
      <c r="H4144" s="4">
        <v>0</v>
      </c>
      <c r="I4144" s="4">
        <v>-54586154.32</v>
      </c>
    </row>
    <row r="4145" spans="1:9" x14ac:dyDescent="0.3">
      <c r="A4145" t="s">
        <v>133</v>
      </c>
      <c r="B4145" s="1">
        <v>45891</v>
      </c>
      <c r="C4145" s="1">
        <v>45891</v>
      </c>
      <c r="D4145">
        <v>922890</v>
      </c>
      <c r="E4145">
        <v>28</v>
      </c>
      <c r="F4145" s="3" t="s">
        <v>3615</v>
      </c>
      <c r="G4145" s="4">
        <v>280000</v>
      </c>
      <c r="H4145" s="4">
        <v>0</v>
      </c>
      <c r="I4145" s="4">
        <v>-54306154.32</v>
      </c>
    </row>
    <row r="4146" spans="1:9" x14ac:dyDescent="0.3">
      <c r="A4146" t="s">
        <v>133</v>
      </c>
      <c r="B4146" s="1">
        <v>45891</v>
      </c>
      <c r="C4146" s="1">
        <v>45891</v>
      </c>
      <c r="D4146">
        <v>922891</v>
      </c>
      <c r="E4146">
        <v>45</v>
      </c>
      <c r="F4146" s="3" t="s">
        <v>3616</v>
      </c>
      <c r="G4146" s="4">
        <v>300000</v>
      </c>
      <c r="H4146" s="4">
        <v>0</v>
      </c>
      <c r="I4146" s="4">
        <v>-54006154.32</v>
      </c>
    </row>
    <row r="4147" spans="1:9" x14ac:dyDescent="0.3">
      <c r="A4147" t="s">
        <v>133</v>
      </c>
      <c r="B4147" s="1">
        <v>45891</v>
      </c>
      <c r="C4147" s="1">
        <v>45891</v>
      </c>
      <c r="D4147">
        <v>922921</v>
      </c>
      <c r="E4147">
        <v>84</v>
      </c>
      <c r="F4147" s="3" t="s">
        <v>3617</v>
      </c>
      <c r="G4147" s="4">
        <v>4000</v>
      </c>
      <c r="H4147" s="4">
        <v>0</v>
      </c>
      <c r="I4147" s="4">
        <v>-54002154.32</v>
      </c>
    </row>
    <row r="4148" spans="1:9" x14ac:dyDescent="0.3">
      <c r="A4148" t="s">
        <v>133</v>
      </c>
      <c r="B4148" s="1">
        <v>45891</v>
      </c>
      <c r="C4148" s="1">
        <v>45891</v>
      </c>
      <c r="D4148">
        <v>922927</v>
      </c>
      <c r="E4148">
        <v>75</v>
      </c>
      <c r="F4148" s="3" t="s">
        <v>3618</v>
      </c>
      <c r="G4148" s="4">
        <v>150000</v>
      </c>
      <c r="H4148" s="4">
        <v>0</v>
      </c>
      <c r="I4148" s="4">
        <v>-53852154.32</v>
      </c>
    </row>
    <row r="4149" spans="1:9" x14ac:dyDescent="0.3">
      <c r="A4149" t="s">
        <v>133</v>
      </c>
      <c r="B4149" s="1">
        <v>45891</v>
      </c>
      <c r="C4149" s="1">
        <v>45891</v>
      </c>
      <c r="D4149">
        <v>922935</v>
      </c>
      <c r="E4149">
        <v>11</v>
      </c>
      <c r="F4149" s="3" t="s">
        <v>3619</v>
      </c>
      <c r="G4149" s="4">
        <v>42717.75</v>
      </c>
      <c r="H4149" s="4">
        <v>0</v>
      </c>
      <c r="I4149" s="4">
        <v>-53809436.57</v>
      </c>
    </row>
    <row r="4150" spans="1:9" x14ac:dyDescent="0.3">
      <c r="A4150" t="s">
        <v>133</v>
      </c>
      <c r="B4150" s="1">
        <v>45891</v>
      </c>
      <c r="C4150" s="1">
        <v>45891</v>
      </c>
      <c r="D4150">
        <v>922942</v>
      </c>
      <c r="E4150">
        <v>13</v>
      </c>
      <c r="F4150" s="3" t="s">
        <v>3620</v>
      </c>
      <c r="G4150" s="4">
        <v>1585</v>
      </c>
      <c r="H4150" s="4">
        <v>0</v>
      </c>
      <c r="I4150" s="4">
        <v>-53807851.57</v>
      </c>
    </row>
    <row r="4151" spans="1:9" x14ac:dyDescent="0.3">
      <c r="A4151" t="s">
        <v>133</v>
      </c>
      <c r="B4151" s="1">
        <v>45891</v>
      </c>
      <c r="C4151" s="1">
        <v>45891</v>
      </c>
      <c r="D4151">
        <v>922944</v>
      </c>
      <c r="E4151">
        <v>65</v>
      </c>
      <c r="F4151" s="3">
        <v>51159691220</v>
      </c>
      <c r="G4151" s="4">
        <v>20232.5</v>
      </c>
      <c r="H4151" s="4">
        <v>0</v>
      </c>
      <c r="I4151" s="4">
        <v>-53787619.07</v>
      </c>
    </row>
    <row r="4152" spans="1:9" x14ac:dyDescent="0.3">
      <c r="A4152" t="s">
        <v>133</v>
      </c>
      <c r="B4152" s="1">
        <v>45891</v>
      </c>
      <c r="C4152" s="1">
        <v>45891</v>
      </c>
      <c r="D4152">
        <v>922948</v>
      </c>
      <c r="E4152">
        <v>31</v>
      </c>
      <c r="F4152" s="3" t="s">
        <v>3621</v>
      </c>
      <c r="G4152" s="4">
        <v>314618</v>
      </c>
      <c r="H4152" s="4">
        <v>0</v>
      </c>
      <c r="I4152" s="4">
        <v>-53473001.07</v>
      </c>
    </row>
    <row r="4153" spans="1:9" x14ac:dyDescent="0.3">
      <c r="A4153" t="s">
        <v>133</v>
      </c>
      <c r="B4153" s="1">
        <v>45891</v>
      </c>
      <c r="C4153" s="1">
        <v>45891</v>
      </c>
      <c r="D4153">
        <v>922954</v>
      </c>
      <c r="E4153">
        <v>27</v>
      </c>
      <c r="F4153" s="3" t="s">
        <v>3622</v>
      </c>
      <c r="G4153" s="4">
        <v>112797.5</v>
      </c>
      <c r="H4153" s="4">
        <v>0</v>
      </c>
      <c r="I4153" s="4">
        <v>-53360203.57</v>
      </c>
    </row>
    <row r="4154" spans="1:9" x14ac:dyDescent="0.3">
      <c r="A4154" t="s">
        <v>133</v>
      </c>
      <c r="B4154" s="1">
        <v>45891</v>
      </c>
      <c r="C4154" s="1">
        <v>45891</v>
      </c>
      <c r="D4154">
        <v>922957</v>
      </c>
      <c r="E4154">
        <v>27</v>
      </c>
      <c r="F4154" s="3" t="s">
        <v>3623</v>
      </c>
      <c r="G4154" s="4">
        <v>80699.25</v>
      </c>
      <c r="H4154" s="4">
        <v>0</v>
      </c>
      <c r="I4154" s="4">
        <v>-53279504.32</v>
      </c>
    </row>
    <row r="4155" spans="1:9" x14ac:dyDescent="0.3">
      <c r="A4155" t="s">
        <v>133</v>
      </c>
      <c r="B4155" s="1">
        <v>45891</v>
      </c>
      <c r="C4155" s="1">
        <v>45891</v>
      </c>
      <c r="D4155">
        <v>922962</v>
      </c>
      <c r="E4155">
        <v>27</v>
      </c>
      <c r="F4155" s="3" t="s">
        <v>3624</v>
      </c>
      <c r="G4155" s="4">
        <v>58844.5</v>
      </c>
      <c r="H4155" s="4">
        <v>0</v>
      </c>
      <c r="I4155" s="4">
        <v>-53220659.82</v>
      </c>
    </row>
    <row r="4156" spans="1:9" x14ac:dyDescent="0.3">
      <c r="A4156" t="s">
        <v>133</v>
      </c>
      <c r="B4156" s="1">
        <v>45891</v>
      </c>
      <c r="C4156" s="1">
        <v>45891</v>
      </c>
      <c r="D4156">
        <v>922963</v>
      </c>
      <c r="E4156">
        <v>422</v>
      </c>
      <c r="F4156" s="3" t="s">
        <v>3625</v>
      </c>
      <c r="G4156" s="4">
        <v>142000</v>
      </c>
      <c r="H4156" s="4">
        <v>0</v>
      </c>
      <c r="I4156" s="4">
        <v>-53078659.82</v>
      </c>
    </row>
    <row r="4157" spans="1:9" x14ac:dyDescent="0.3">
      <c r="A4157" t="s">
        <v>133</v>
      </c>
      <c r="B4157" s="1">
        <v>45891</v>
      </c>
      <c r="C4157" s="1">
        <v>45891</v>
      </c>
      <c r="D4157">
        <v>922964</v>
      </c>
      <c r="E4157">
        <v>27</v>
      </c>
      <c r="F4157" s="3" t="s">
        <v>3626</v>
      </c>
      <c r="G4157" s="4">
        <v>429992.5</v>
      </c>
      <c r="H4157" s="4">
        <v>0</v>
      </c>
      <c r="I4157" s="4">
        <v>-52648667.32</v>
      </c>
    </row>
    <row r="4158" spans="1:9" x14ac:dyDescent="0.3">
      <c r="A4158" t="s">
        <v>133</v>
      </c>
      <c r="B4158" s="1">
        <v>45891</v>
      </c>
      <c r="C4158" s="1">
        <v>45891</v>
      </c>
      <c r="D4158">
        <v>922968</v>
      </c>
      <c r="E4158">
        <v>84</v>
      </c>
      <c r="F4158" s="3" t="s">
        <v>3627</v>
      </c>
      <c r="G4158" s="4">
        <v>72322.5</v>
      </c>
      <c r="H4158" s="4">
        <v>0</v>
      </c>
      <c r="I4158" s="4">
        <v>-52576344.82</v>
      </c>
    </row>
    <row r="4159" spans="1:9" x14ac:dyDescent="0.3">
      <c r="A4159" t="s">
        <v>133</v>
      </c>
      <c r="B4159" s="1">
        <v>45891</v>
      </c>
      <c r="C4159" s="1">
        <v>45891</v>
      </c>
      <c r="D4159">
        <v>922975</v>
      </c>
      <c r="E4159">
        <v>23</v>
      </c>
      <c r="F4159" s="3">
        <v>1330230021380</v>
      </c>
      <c r="G4159" s="4">
        <v>21445.25</v>
      </c>
      <c r="H4159" s="4">
        <v>0</v>
      </c>
      <c r="I4159" s="4">
        <v>-52554899.57</v>
      </c>
    </row>
    <row r="4160" spans="1:9" x14ac:dyDescent="0.3">
      <c r="A4160" t="s">
        <v>133</v>
      </c>
      <c r="B4160" s="1">
        <v>45891</v>
      </c>
      <c r="C4160" s="1">
        <v>45891</v>
      </c>
      <c r="D4160">
        <v>922977</v>
      </c>
      <c r="E4160">
        <v>14</v>
      </c>
      <c r="F4160" s="3" t="s">
        <v>3628</v>
      </c>
      <c r="G4160" s="4">
        <v>250000</v>
      </c>
      <c r="H4160" s="4">
        <v>0</v>
      </c>
      <c r="I4160" s="4">
        <v>-52304899.57</v>
      </c>
    </row>
    <row r="4161" spans="1:9" x14ac:dyDescent="0.3">
      <c r="A4161" t="s">
        <v>133</v>
      </c>
      <c r="B4161" s="1">
        <v>45891</v>
      </c>
      <c r="C4161" s="1">
        <v>45891</v>
      </c>
      <c r="D4161">
        <v>922979</v>
      </c>
      <c r="E4161">
        <v>31</v>
      </c>
      <c r="F4161" s="3" t="s">
        <v>3629</v>
      </c>
      <c r="G4161" s="4">
        <v>25394.5</v>
      </c>
      <c r="H4161" s="4">
        <v>0</v>
      </c>
      <c r="I4161" s="4">
        <v>-52279505.07</v>
      </c>
    </row>
    <row r="4162" spans="1:9" x14ac:dyDescent="0.3">
      <c r="A4162" t="s">
        <v>133</v>
      </c>
      <c r="B4162" s="1">
        <v>45891</v>
      </c>
      <c r="C4162" s="1">
        <v>45891</v>
      </c>
      <c r="D4162">
        <v>922996</v>
      </c>
      <c r="E4162">
        <v>31</v>
      </c>
      <c r="F4162" s="3" t="s">
        <v>3630</v>
      </c>
      <c r="G4162" s="4">
        <v>3205</v>
      </c>
      <c r="H4162" s="4">
        <v>0</v>
      </c>
      <c r="I4162" s="4">
        <v>-52276300.07</v>
      </c>
    </row>
    <row r="4163" spans="1:9" x14ac:dyDescent="0.3">
      <c r="A4163" t="s">
        <v>133</v>
      </c>
      <c r="B4163" s="1">
        <v>45891</v>
      </c>
      <c r="C4163" s="1">
        <v>45891</v>
      </c>
      <c r="D4163">
        <v>922999</v>
      </c>
      <c r="E4163">
        <v>78</v>
      </c>
      <c r="F4163" s="3" t="s">
        <v>3631</v>
      </c>
      <c r="G4163" s="4">
        <v>320165</v>
      </c>
      <c r="H4163" s="4">
        <v>0</v>
      </c>
      <c r="I4163" s="4">
        <v>-51956135.07</v>
      </c>
    </row>
    <row r="4164" spans="1:9" x14ac:dyDescent="0.3">
      <c r="A4164" t="s">
        <v>133</v>
      </c>
      <c r="B4164" s="1">
        <v>45891</v>
      </c>
      <c r="C4164" s="1">
        <v>45891</v>
      </c>
      <c r="D4164">
        <v>923023</v>
      </c>
      <c r="E4164">
        <v>79</v>
      </c>
      <c r="F4164" s="3" t="s">
        <v>3632</v>
      </c>
      <c r="G4164" s="4">
        <v>260000</v>
      </c>
      <c r="H4164" s="4">
        <v>0</v>
      </c>
      <c r="I4164" s="4">
        <v>-51696135.07</v>
      </c>
    </row>
    <row r="4165" spans="1:9" x14ac:dyDescent="0.3">
      <c r="A4165" t="s">
        <v>133</v>
      </c>
      <c r="B4165" s="1">
        <v>45891</v>
      </c>
      <c r="C4165" s="1">
        <v>45891</v>
      </c>
      <c r="D4165">
        <v>923024</v>
      </c>
      <c r="E4165">
        <v>58</v>
      </c>
      <c r="F4165" s="3" t="s">
        <v>3633</v>
      </c>
      <c r="G4165" s="4">
        <v>232118.25</v>
      </c>
      <c r="H4165" s="4">
        <v>0</v>
      </c>
      <c r="I4165" s="4">
        <v>-51464016.82</v>
      </c>
    </row>
    <row r="4166" spans="1:9" x14ac:dyDescent="0.3">
      <c r="A4166" t="s">
        <v>133</v>
      </c>
      <c r="B4166" s="1">
        <v>45891</v>
      </c>
      <c r="C4166" s="1">
        <v>45891</v>
      </c>
      <c r="D4166">
        <v>923025</v>
      </c>
      <c r="E4166">
        <v>85</v>
      </c>
      <c r="F4166" s="3" t="s">
        <v>3634</v>
      </c>
      <c r="G4166" s="4">
        <v>14600</v>
      </c>
      <c r="H4166" s="4">
        <v>0</v>
      </c>
      <c r="I4166" s="4">
        <v>-51449416.82</v>
      </c>
    </row>
    <row r="4167" spans="1:9" x14ac:dyDescent="0.3">
      <c r="A4167" t="s">
        <v>133</v>
      </c>
      <c r="B4167" s="1">
        <v>45891</v>
      </c>
      <c r="C4167" s="1">
        <v>45891</v>
      </c>
      <c r="D4167">
        <v>923026</v>
      </c>
      <c r="E4167">
        <v>361</v>
      </c>
      <c r="F4167" s="3">
        <v>101021684440</v>
      </c>
      <c r="G4167" s="4">
        <v>210000</v>
      </c>
      <c r="H4167" s="4">
        <v>0</v>
      </c>
      <c r="I4167" s="4">
        <v>-51239416.82</v>
      </c>
    </row>
    <row r="4168" spans="1:9" x14ac:dyDescent="0.3">
      <c r="A4168" t="s">
        <v>133</v>
      </c>
      <c r="B4168" s="1">
        <v>45891</v>
      </c>
      <c r="C4168" s="1">
        <v>45891</v>
      </c>
      <c r="D4168">
        <v>923033</v>
      </c>
      <c r="E4168">
        <v>78</v>
      </c>
      <c r="F4168" s="3" t="s">
        <v>3635</v>
      </c>
      <c r="G4168" s="4">
        <v>40621.25</v>
      </c>
      <c r="H4168" s="4">
        <v>0</v>
      </c>
      <c r="I4168" s="4">
        <v>-51198795.57</v>
      </c>
    </row>
    <row r="4169" spans="1:9" x14ac:dyDescent="0.3">
      <c r="A4169" t="s">
        <v>133</v>
      </c>
      <c r="B4169" s="1">
        <v>45891</v>
      </c>
      <c r="C4169" s="1">
        <v>45891</v>
      </c>
      <c r="D4169">
        <v>923034</v>
      </c>
      <c r="E4169">
        <v>64</v>
      </c>
      <c r="F4169" s="3" t="s">
        <v>670</v>
      </c>
      <c r="G4169" s="4">
        <v>410000</v>
      </c>
      <c r="H4169" s="4">
        <v>0</v>
      </c>
      <c r="I4169" s="4">
        <v>-50788795.57</v>
      </c>
    </row>
    <row r="4170" spans="1:9" x14ac:dyDescent="0.3">
      <c r="A4170" t="s">
        <v>133</v>
      </c>
      <c r="B4170" s="1">
        <v>45891</v>
      </c>
      <c r="C4170" s="1">
        <v>45891</v>
      </c>
      <c r="D4170">
        <v>923036</v>
      </c>
      <c r="E4170">
        <v>12</v>
      </c>
      <c r="F4170" s="3" t="s">
        <v>3636</v>
      </c>
      <c r="G4170" s="4">
        <v>2000</v>
      </c>
      <c r="H4170" s="4">
        <v>0</v>
      </c>
      <c r="I4170" s="4">
        <v>-50786795.57</v>
      </c>
    </row>
    <row r="4171" spans="1:9" x14ac:dyDescent="0.3">
      <c r="A4171" t="s">
        <v>133</v>
      </c>
      <c r="B4171" s="1">
        <v>45891</v>
      </c>
      <c r="C4171" s="1">
        <v>45891</v>
      </c>
      <c r="D4171">
        <v>923039</v>
      </c>
      <c r="E4171">
        <v>85</v>
      </c>
      <c r="F4171" s="3" t="s">
        <v>3637</v>
      </c>
      <c r="G4171" s="4">
        <v>160000</v>
      </c>
      <c r="H4171" s="4">
        <v>0</v>
      </c>
      <c r="I4171" s="4">
        <v>-50626795.57</v>
      </c>
    </row>
    <row r="4172" spans="1:9" x14ac:dyDescent="0.3">
      <c r="A4172" t="s">
        <v>133</v>
      </c>
      <c r="B4172" s="1">
        <v>45891</v>
      </c>
      <c r="C4172" s="1">
        <v>45891</v>
      </c>
      <c r="D4172">
        <v>923047</v>
      </c>
      <c r="E4172">
        <v>63</v>
      </c>
      <c r="F4172" s="3" t="s">
        <v>3638</v>
      </c>
      <c r="G4172" s="4">
        <v>65740.25</v>
      </c>
      <c r="H4172" s="4">
        <v>0</v>
      </c>
      <c r="I4172" s="4">
        <v>-50561055.32</v>
      </c>
    </row>
    <row r="4173" spans="1:9" x14ac:dyDescent="0.3">
      <c r="A4173" t="s">
        <v>133</v>
      </c>
      <c r="B4173" s="1">
        <v>45891</v>
      </c>
      <c r="C4173" s="1">
        <v>45891</v>
      </c>
      <c r="D4173">
        <v>923049</v>
      </c>
      <c r="E4173">
        <v>15</v>
      </c>
      <c r="F4173" s="3" t="s">
        <v>3639</v>
      </c>
      <c r="G4173" s="4">
        <v>280000</v>
      </c>
      <c r="H4173" s="4">
        <v>0</v>
      </c>
      <c r="I4173" s="4">
        <v>-50281055.32</v>
      </c>
    </row>
    <row r="4174" spans="1:9" x14ac:dyDescent="0.3">
      <c r="A4174" t="s">
        <v>133</v>
      </c>
      <c r="B4174" s="1">
        <v>45891</v>
      </c>
      <c r="C4174" s="1">
        <v>45891</v>
      </c>
      <c r="D4174">
        <v>923056</v>
      </c>
      <c r="E4174">
        <v>11</v>
      </c>
      <c r="F4174" s="3" t="s">
        <v>3640</v>
      </c>
      <c r="G4174" s="4">
        <v>100000</v>
      </c>
      <c r="H4174" s="4">
        <v>0</v>
      </c>
      <c r="I4174" s="4">
        <v>-50181055.32</v>
      </c>
    </row>
    <row r="4175" spans="1:9" x14ac:dyDescent="0.3">
      <c r="A4175" t="s">
        <v>133</v>
      </c>
      <c r="B4175" s="1">
        <v>45891</v>
      </c>
      <c r="C4175" s="1">
        <v>45891</v>
      </c>
      <c r="D4175">
        <v>923057</v>
      </c>
      <c r="E4175">
        <v>11</v>
      </c>
      <c r="F4175" s="3" t="s">
        <v>3641</v>
      </c>
      <c r="G4175" s="4">
        <v>11229.25</v>
      </c>
      <c r="H4175" s="4">
        <v>0</v>
      </c>
      <c r="I4175" s="4">
        <v>-50169826.07</v>
      </c>
    </row>
    <row r="4176" spans="1:9" x14ac:dyDescent="0.3">
      <c r="A4176" t="s">
        <v>133</v>
      </c>
      <c r="B4176" s="1">
        <v>45891</v>
      </c>
      <c r="C4176" s="1">
        <v>45891</v>
      </c>
      <c r="D4176">
        <v>923060</v>
      </c>
      <c r="E4176">
        <v>71</v>
      </c>
      <c r="F4176" s="3" t="s">
        <v>3642</v>
      </c>
      <c r="G4176" s="4">
        <v>180000</v>
      </c>
      <c r="H4176" s="4">
        <v>0</v>
      </c>
      <c r="I4176" s="4">
        <v>-49989826.07</v>
      </c>
    </row>
    <row r="4177" spans="1:9" x14ac:dyDescent="0.3">
      <c r="A4177" t="s">
        <v>133</v>
      </c>
      <c r="B4177" s="1">
        <v>45891</v>
      </c>
      <c r="C4177" s="1">
        <v>45891</v>
      </c>
      <c r="D4177">
        <v>923067</v>
      </c>
      <c r="E4177">
        <v>28</v>
      </c>
      <c r="F4177" s="3" t="s">
        <v>3643</v>
      </c>
      <c r="G4177" s="4">
        <v>25000</v>
      </c>
      <c r="H4177" s="4">
        <v>0</v>
      </c>
      <c r="I4177" s="4">
        <v>-49964826.07</v>
      </c>
    </row>
    <row r="4178" spans="1:9" x14ac:dyDescent="0.3">
      <c r="A4178" t="s">
        <v>133</v>
      </c>
      <c r="B4178" s="1">
        <v>45891</v>
      </c>
      <c r="C4178" s="1">
        <v>45891</v>
      </c>
      <c r="D4178">
        <v>923069</v>
      </c>
      <c r="E4178">
        <v>67</v>
      </c>
      <c r="F4178" s="3" t="s">
        <v>181</v>
      </c>
      <c r="G4178" s="4">
        <v>100000</v>
      </c>
      <c r="H4178" s="4">
        <v>0</v>
      </c>
      <c r="I4178" s="4">
        <v>-49864826.07</v>
      </c>
    </row>
    <row r="4179" spans="1:9" x14ac:dyDescent="0.3">
      <c r="A4179" t="s">
        <v>133</v>
      </c>
      <c r="B4179" s="1">
        <v>45891</v>
      </c>
      <c r="C4179" s="1">
        <v>45891</v>
      </c>
      <c r="D4179">
        <v>923075</v>
      </c>
      <c r="E4179">
        <v>72</v>
      </c>
      <c r="F4179" s="3" t="s">
        <v>3644</v>
      </c>
      <c r="G4179" s="4">
        <v>700000</v>
      </c>
      <c r="H4179" s="4">
        <v>0</v>
      </c>
      <c r="I4179" s="4">
        <v>-49164826.07</v>
      </c>
    </row>
    <row r="4180" spans="1:9" x14ac:dyDescent="0.3">
      <c r="A4180" t="s">
        <v>133</v>
      </c>
      <c r="B4180" s="1">
        <v>45891</v>
      </c>
      <c r="C4180" s="1">
        <v>45891</v>
      </c>
      <c r="D4180">
        <v>923076</v>
      </c>
      <c r="E4180">
        <v>77</v>
      </c>
      <c r="F4180" s="3" t="s">
        <v>2345</v>
      </c>
      <c r="G4180" s="4">
        <v>200000</v>
      </c>
      <c r="H4180" s="4">
        <v>0</v>
      </c>
      <c r="I4180" s="4">
        <v>-48964826.07</v>
      </c>
    </row>
    <row r="4181" spans="1:9" x14ac:dyDescent="0.3">
      <c r="A4181" t="s">
        <v>133</v>
      </c>
      <c r="B4181" s="1">
        <v>45891</v>
      </c>
      <c r="C4181" s="1">
        <v>45891</v>
      </c>
      <c r="D4181">
        <v>923077</v>
      </c>
      <c r="E4181">
        <v>11</v>
      </c>
      <c r="F4181" s="3" t="s">
        <v>3645</v>
      </c>
      <c r="G4181" s="4">
        <v>550000</v>
      </c>
      <c r="H4181" s="4">
        <v>0</v>
      </c>
      <c r="I4181" s="4">
        <v>-48414826.07</v>
      </c>
    </row>
    <row r="4182" spans="1:9" x14ac:dyDescent="0.3">
      <c r="A4182" t="s">
        <v>133</v>
      </c>
      <c r="B4182" s="1">
        <v>45891</v>
      </c>
      <c r="C4182" s="1">
        <v>45891</v>
      </c>
      <c r="D4182">
        <v>923078</v>
      </c>
      <c r="E4182">
        <v>82</v>
      </c>
      <c r="F4182" s="3" t="s">
        <v>176</v>
      </c>
      <c r="G4182" s="4">
        <v>230000</v>
      </c>
      <c r="H4182" s="4">
        <v>0</v>
      </c>
      <c r="I4182" s="4">
        <v>-48184826.07</v>
      </c>
    </row>
    <row r="4183" spans="1:9" x14ac:dyDescent="0.3">
      <c r="A4183" t="s">
        <v>133</v>
      </c>
      <c r="B4183" s="1">
        <v>45891</v>
      </c>
      <c r="C4183" s="1">
        <v>45891</v>
      </c>
      <c r="D4183">
        <v>923082</v>
      </c>
      <c r="E4183">
        <v>86</v>
      </c>
      <c r="F4183" s="3" t="s">
        <v>3646</v>
      </c>
      <c r="G4183" s="4">
        <v>100889.25</v>
      </c>
      <c r="H4183" s="4">
        <v>0</v>
      </c>
      <c r="I4183" s="4">
        <v>-48083936.82</v>
      </c>
    </row>
    <row r="4184" spans="1:9" x14ac:dyDescent="0.3">
      <c r="A4184" t="s">
        <v>133</v>
      </c>
      <c r="B4184" s="1">
        <v>45891</v>
      </c>
      <c r="C4184" s="1">
        <v>45891</v>
      </c>
      <c r="D4184">
        <v>923084</v>
      </c>
      <c r="E4184">
        <v>382</v>
      </c>
      <c r="F4184" s="3" t="s">
        <v>3647</v>
      </c>
      <c r="G4184" s="4">
        <v>300000</v>
      </c>
      <c r="H4184" s="4">
        <v>0</v>
      </c>
      <c r="I4184" s="4">
        <v>-47783936.82</v>
      </c>
    </row>
    <row r="4185" spans="1:9" x14ac:dyDescent="0.3">
      <c r="A4185" t="s">
        <v>133</v>
      </c>
      <c r="B4185" s="1">
        <v>45891</v>
      </c>
      <c r="C4185" s="1">
        <v>45891</v>
      </c>
      <c r="D4185">
        <v>923086</v>
      </c>
      <c r="E4185">
        <v>86</v>
      </c>
      <c r="F4185" s="3" t="s">
        <v>3648</v>
      </c>
      <c r="G4185" s="4">
        <v>310200</v>
      </c>
      <c r="H4185" s="4">
        <v>0</v>
      </c>
      <c r="I4185" s="4">
        <v>-47473736.82</v>
      </c>
    </row>
    <row r="4186" spans="1:9" x14ac:dyDescent="0.3">
      <c r="A4186" t="s">
        <v>133</v>
      </c>
      <c r="B4186" s="1">
        <v>45891</v>
      </c>
      <c r="C4186" s="1">
        <v>45891</v>
      </c>
      <c r="D4186">
        <v>923088</v>
      </c>
      <c r="E4186">
        <v>86</v>
      </c>
      <c r="F4186" s="3" t="s">
        <v>3649</v>
      </c>
      <c r="G4186" s="4">
        <v>312285.25</v>
      </c>
      <c r="H4186" s="4">
        <v>0</v>
      </c>
      <c r="I4186" s="4">
        <v>-47161451.57</v>
      </c>
    </row>
    <row r="4187" spans="1:9" x14ac:dyDescent="0.3">
      <c r="A4187" t="s">
        <v>133</v>
      </c>
      <c r="B4187" s="1">
        <v>45891</v>
      </c>
      <c r="C4187" s="1">
        <v>45891</v>
      </c>
      <c r="D4187">
        <v>923090</v>
      </c>
      <c r="E4187">
        <v>84</v>
      </c>
      <c r="F4187" s="3" t="s">
        <v>3650</v>
      </c>
      <c r="G4187" s="4">
        <v>320000</v>
      </c>
      <c r="H4187" s="4">
        <v>0</v>
      </c>
      <c r="I4187" s="4">
        <v>-46841451.57</v>
      </c>
    </row>
    <row r="4188" spans="1:9" x14ac:dyDescent="0.3">
      <c r="A4188" t="s">
        <v>133</v>
      </c>
      <c r="B4188" s="1">
        <v>45891</v>
      </c>
      <c r="C4188" s="1">
        <v>45891</v>
      </c>
      <c r="D4188">
        <v>923091</v>
      </c>
      <c r="E4188">
        <v>351</v>
      </c>
      <c r="F4188" s="3" t="s">
        <v>690</v>
      </c>
      <c r="G4188" s="4">
        <v>300000</v>
      </c>
      <c r="H4188" s="4">
        <v>0</v>
      </c>
      <c r="I4188" s="4">
        <v>-46541451.57</v>
      </c>
    </row>
    <row r="4189" spans="1:9" x14ac:dyDescent="0.3">
      <c r="A4189" t="s">
        <v>133</v>
      </c>
      <c r="B4189" s="1">
        <v>45891</v>
      </c>
      <c r="C4189" s="1">
        <v>45891</v>
      </c>
      <c r="D4189">
        <v>923093</v>
      </c>
      <c r="E4189">
        <v>84</v>
      </c>
      <c r="F4189" s="3" t="s">
        <v>3651</v>
      </c>
      <c r="G4189" s="4">
        <v>38628</v>
      </c>
      <c r="H4189" s="4">
        <v>0</v>
      </c>
      <c r="I4189" s="4">
        <v>-46502823.57</v>
      </c>
    </row>
    <row r="4190" spans="1:9" x14ac:dyDescent="0.3">
      <c r="A4190" t="s">
        <v>133</v>
      </c>
      <c r="B4190" s="1">
        <v>45891</v>
      </c>
      <c r="C4190" s="1">
        <v>45891</v>
      </c>
      <c r="D4190">
        <v>923094</v>
      </c>
      <c r="E4190">
        <v>84</v>
      </c>
      <c r="F4190" s="3" t="s">
        <v>3652</v>
      </c>
      <c r="G4190" s="4">
        <v>5528.5</v>
      </c>
      <c r="H4190" s="4">
        <v>0</v>
      </c>
      <c r="I4190" s="4">
        <v>-46497295.07</v>
      </c>
    </row>
    <row r="4191" spans="1:9" x14ac:dyDescent="0.3">
      <c r="A4191" t="s">
        <v>133</v>
      </c>
      <c r="B4191" s="1">
        <v>45891</v>
      </c>
      <c r="C4191" s="1">
        <v>45891</v>
      </c>
      <c r="D4191">
        <v>923095</v>
      </c>
      <c r="E4191">
        <v>78</v>
      </c>
      <c r="F4191" s="3" t="s">
        <v>208</v>
      </c>
      <c r="G4191" s="4">
        <v>250000</v>
      </c>
      <c r="H4191" s="4">
        <v>0</v>
      </c>
      <c r="I4191" s="4">
        <v>-46247295.07</v>
      </c>
    </row>
    <row r="4192" spans="1:9" x14ac:dyDescent="0.3">
      <c r="A4192" t="s">
        <v>133</v>
      </c>
      <c r="B4192" s="1">
        <v>45891</v>
      </c>
      <c r="C4192" s="1">
        <v>45891</v>
      </c>
      <c r="D4192">
        <v>923096</v>
      </c>
      <c r="E4192">
        <v>56</v>
      </c>
      <c r="F4192" s="3" t="s">
        <v>433</v>
      </c>
      <c r="G4192" s="4">
        <v>200000</v>
      </c>
      <c r="H4192" s="4">
        <v>0</v>
      </c>
      <c r="I4192" s="4">
        <v>-46047295.07</v>
      </c>
    </row>
    <row r="4193" spans="1:9" x14ac:dyDescent="0.3">
      <c r="A4193" t="s">
        <v>133</v>
      </c>
      <c r="B4193" s="1">
        <v>45891</v>
      </c>
      <c r="C4193" s="1">
        <v>45891</v>
      </c>
      <c r="D4193">
        <v>923098</v>
      </c>
      <c r="E4193">
        <v>210</v>
      </c>
      <c r="F4193" s="3" t="s">
        <v>941</v>
      </c>
      <c r="G4193" s="4">
        <v>300025</v>
      </c>
      <c r="H4193" s="4">
        <v>0</v>
      </c>
      <c r="I4193" s="4">
        <v>-45747270.07</v>
      </c>
    </row>
    <row r="4194" spans="1:9" x14ac:dyDescent="0.3">
      <c r="A4194" t="s">
        <v>133</v>
      </c>
      <c r="B4194" s="1">
        <v>45891</v>
      </c>
      <c r="C4194" s="1">
        <v>45891</v>
      </c>
      <c r="D4194">
        <v>923099</v>
      </c>
      <c r="E4194">
        <v>210</v>
      </c>
      <c r="F4194" s="3" t="s">
        <v>3653</v>
      </c>
      <c r="G4194" s="4">
        <v>50510.25</v>
      </c>
      <c r="H4194" s="4">
        <v>0</v>
      </c>
      <c r="I4194" s="4">
        <v>-45696759.82</v>
      </c>
    </row>
    <row r="4195" spans="1:9" x14ac:dyDescent="0.3">
      <c r="A4195" t="s">
        <v>133</v>
      </c>
      <c r="B4195" s="1">
        <v>45891</v>
      </c>
      <c r="C4195" s="1">
        <v>45891</v>
      </c>
      <c r="D4195">
        <v>923111</v>
      </c>
      <c r="E4195">
        <v>88</v>
      </c>
      <c r="F4195" s="3" t="s">
        <v>3654</v>
      </c>
      <c r="G4195" s="4">
        <v>3348</v>
      </c>
      <c r="H4195" s="4">
        <v>0</v>
      </c>
      <c r="I4195" s="4">
        <v>-45693411.82</v>
      </c>
    </row>
    <row r="4196" spans="1:9" x14ac:dyDescent="0.3">
      <c r="A4196" t="s">
        <v>133</v>
      </c>
      <c r="B4196" s="1">
        <v>45891</v>
      </c>
      <c r="C4196" s="1">
        <v>45891</v>
      </c>
      <c r="D4196">
        <v>923113</v>
      </c>
      <c r="E4196">
        <v>80</v>
      </c>
      <c r="F4196" s="3" t="s">
        <v>3655</v>
      </c>
      <c r="G4196" s="4">
        <v>100000</v>
      </c>
      <c r="H4196" s="4">
        <v>0</v>
      </c>
      <c r="I4196" s="4">
        <v>-45593411.82</v>
      </c>
    </row>
    <row r="4197" spans="1:9" x14ac:dyDescent="0.3">
      <c r="A4197" t="s">
        <v>133</v>
      </c>
      <c r="B4197" s="1">
        <v>45891</v>
      </c>
      <c r="C4197" s="1">
        <v>45891</v>
      </c>
      <c r="D4197">
        <v>923116</v>
      </c>
      <c r="E4197">
        <v>13</v>
      </c>
      <c r="F4197" s="3" t="s">
        <v>3656</v>
      </c>
      <c r="G4197" s="4">
        <v>461284</v>
      </c>
      <c r="H4197" s="4">
        <v>0</v>
      </c>
      <c r="I4197" s="4">
        <v>-45132127.82</v>
      </c>
    </row>
    <row r="4198" spans="1:9" x14ac:dyDescent="0.3">
      <c r="A4198" t="s">
        <v>133</v>
      </c>
      <c r="B4198" s="1">
        <v>45891</v>
      </c>
      <c r="C4198" s="1">
        <v>45891</v>
      </c>
      <c r="D4198">
        <v>923117</v>
      </c>
      <c r="E4198">
        <v>49</v>
      </c>
      <c r="F4198" s="3">
        <v>51156441517</v>
      </c>
      <c r="G4198" s="4">
        <v>3150.5</v>
      </c>
      <c r="H4198" s="4">
        <v>0</v>
      </c>
      <c r="I4198" s="4">
        <v>-45128977.32</v>
      </c>
    </row>
    <row r="4199" spans="1:9" x14ac:dyDescent="0.3">
      <c r="A4199" t="s">
        <v>133</v>
      </c>
      <c r="B4199" s="1">
        <v>45891</v>
      </c>
      <c r="C4199" s="1">
        <v>45891</v>
      </c>
      <c r="D4199">
        <v>923121</v>
      </c>
      <c r="E4199">
        <v>84</v>
      </c>
      <c r="F4199" s="3" t="s">
        <v>3657</v>
      </c>
      <c r="G4199" s="4">
        <v>29861.75</v>
      </c>
      <c r="H4199" s="4">
        <v>0</v>
      </c>
      <c r="I4199" s="4">
        <v>-45099115.57</v>
      </c>
    </row>
    <row r="4200" spans="1:9" x14ac:dyDescent="0.3">
      <c r="A4200" t="s">
        <v>133</v>
      </c>
      <c r="B4200" s="1">
        <v>45891</v>
      </c>
      <c r="C4200" s="1">
        <v>45891</v>
      </c>
      <c r="D4200">
        <v>923124</v>
      </c>
      <c r="E4200">
        <v>98</v>
      </c>
      <c r="F4200" s="3" t="s">
        <v>3658</v>
      </c>
      <c r="G4200" s="4">
        <v>100000</v>
      </c>
      <c r="H4200" s="4">
        <v>0</v>
      </c>
      <c r="I4200" s="4">
        <v>-44999115.57</v>
      </c>
    </row>
    <row r="4201" spans="1:9" x14ac:dyDescent="0.3">
      <c r="A4201" t="s">
        <v>133</v>
      </c>
      <c r="B4201" s="1">
        <v>45891</v>
      </c>
      <c r="C4201" s="1">
        <v>45891</v>
      </c>
      <c r="D4201">
        <v>923130</v>
      </c>
      <c r="E4201">
        <v>62</v>
      </c>
      <c r="F4201" s="3" t="s">
        <v>3659</v>
      </c>
      <c r="G4201" s="4">
        <v>450000</v>
      </c>
      <c r="H4201" s="4">
        <v>0</v>
      </c>
      <c r="I4201" s="4">
        <v>-44549115.57</v>
      </c>
    </row>
    <row r="4202" spans="1:9" x14ac:dyDescent="0.3">
      <c r="A4202" t="s">
        <v>133</v>
      </c>
      <c r="B4202" s="1">
        <v>45891</v>
      </c>
      <c r="C4202" s="1">
        <v>45891</v>
      </c>
      <c r="D4202">
        <v>923131</v>
      </c>
      <c r="E4202">
        <v>56</v>
      </c>
      <c r="F4202" s="3" t="s">
        <v>3660</v>
      </c>
      <c r="G4202" s="4">
        <v>207742</v>
      </c>
      <c r="H4202" s="4">
        <v>0</v>
      </c>
      <c r="I4202" s="4">
        <v>-44341373.57</v>
      </c>
    </row>
    <row r="4203" spans="1:9" x14ac:dyDescent="0.3">
      <c r="A4203" t="s">
        <v>133</v>
      </c>
      <c r="B4203" s="1">
        <v>45891</v>
      </c>
      <c r="C4203" s="1">
        <v>45891</v>
      </c>
      <c r="D4203">
        <v>923136</v>
      </c>
      <c r="E4203">
        <v>11</v>
      </c>
      <c r="F4203" s="3" t="s">
        <v>3661</v>
      </c>
      <c r="G4203" s="4">
        <v>73098.5</v>
      </c>
      <c r="H4203" s="4">
        <v>0</v>
      </c>
      <c r="I4203" s="4">
        <v>-44268275.07</v>
      </c>
    </row>
    <row r="4204" spans="1:9" x14ac:dyDescent="0.3">
      <c r="A4204" t="s">
        <v>133</v>
      </c>
      <c r="B4204" s="1">
        <v>45891</v>
      </c>
      <c r="C4204" s="1">
        <v>45891</v>
      </c>
      <c r="D4204">
        <v>923140</v>
      </c>
      <c r="E4204">
        <v>49</v>
      </c>
      <c r="F4204" s="3" t="s">
        <v>3662</v>
      </c>
      <c r="G4204" s="4">
        <v>15327</v>
      </c>
      <c r="H4204" s="4">
        <v>0</v>
      </c>
      <c r="I4204" s="4">
        <v>-44252948.07</v>
      </c>
    </row>
    <row r="4205" spans="1:9" x14ac:dyDescent="0.3">
      <c r="A4205" t="s">
        <v>133</v>
      </c>
      <c r="B4205" s="1">
        <v>45891</v>
      </c>
      <c r="C4205" s="1">
        <v>45891</v>
      </c>
      <c r="D4205">
        <v>923141</v>
      </c>
      <c r="E4205">
        <v>49</v>
      </c>
      <c r="F4205" s="3" t="s">
        <v>3663</v>
      </c>
      <c r="G4205" s="4">
        <v>37096.75</v>
      </c>
      <c r="H4205" s="4">
        <v>0</v>
      </c>
      <c r="I4205" s="4">
        <v>-44215851.32</v>
      </c>
    </row>
    <row r="4206" spans="1:9" x14ac:dyDescent="0.3">
      <c r="A4206" t="s">
        <v>133</v>
      </c>
      <c r="B4206" s="1">
        <v>45891</v>
      </c>
      <c r="C4206" s="1">
        <v>45891</v>
      </c>
      <c r="D4206">
        <v>923147</v>
      </c>
      <c r="E4206">
        <v>252</v>
      </c>
      <c r="F4206" s="3" t="s">
        <v>3664</v>
      </c>
      <c r="G4206" s="4">
        <v>25460</v>
      </c>
      <c r="H4206" s="4">
        <v>0</v>
      </c>
      <c r="I4206" s="4">
        <v>-44190391.32</v>
      </c>
    </row>
    <row r="4207" spans="1:9" x14ac:dyDescent="0.3">
      <c r="A4207" t="s">
        <v>133</v>
      </c>
      <c r="B4207" s="1">
        <v>45891</v>
      </c>
      <c r="C4207" s="1">
        <v>45891</v>
      </c>
      <c r="D4207">
        <v>923149</v>
      </c>
      <c r="E4207">
        <v>53</v>
      </c>
      <c r="F4207" s="3" t="s">
        <v>1546</v>
      </c>
      <c r="G4207" s="4">
        <v>135000</v>
      </c>
      <c r="H4207" s="4">
        <v>0</v>
      </c>
      <c r="I4207" s="4">
        <v>-44055391.32</v>
      </c>
    </row>
    <row r="4208" spans="1:9" x14ac:dyDescent="0.3">
      <c r="A4208" t="s">
        <v>133</v>
      </c>
      <c r="B4208" s="1">
        <v>45891</v>
      </c>
      <c r="C4208" s="1">
        <v>45891</v>
      </c>
      <c r="D4208">
        <v>923150</v>
      </c>
      <c r="E4208">
        <v>11</v>
      </c>
      <c r="F4208" s="3" t="s">
        <v>3665</v>
      </c>
      <c r="G4208" s="4">
        <v>40607</v>
      </c>
      <c r="H4208" s="4">
        <v>0</v>
      </c>
      <c r="I4208" s="4">
        <v>-44014784.32</v>
      </c>
    </row>
    <row r="4209" spans="1:9" x14ac:dyDescent="0.3">
      <c r="A4209" t="s">
        <v>133</v>
      </c>
      <c r="B4209" s="1">
        <v>45891</v>
      </c>
      <c r="C4209" s="1">
        <v>45891</v>
      </c>
      <c r="D4209">
        <v>923151</v>
      </c>
      <c r="E4209">
        <v>33</v>
      </c>
      <c r="F4209" s="3" t="s">
        <v>3666</v>
      </c>
      <c r="G4209" s="4">
        <v>150000</v>
      </c>
      <c r="H4209" s="4">
        <v>0</v>
      </c>
      <c r="I4209" s="4">
        <v>-43864784.32</v>
      </c>
    </row>
    <row r="4210" spans="1:9" x14ac:dyDescent="0.3">
      <c r="A4210" t="s">
        <v>133</v>
      </c>
      <c r="B4210" s="1">
        <v>45891</v>
      </c>
      <c r="C4210" s="1">
        <v>45891</v>
      </c>
      <c r="D4210">
        <v>923158</v>
      </c>
      <c r="E4210">
        <v>210</v>
      </c>
      <c r="F4210" s="3" t="s">
        <v>3667</v>
      </c>
      <c r="G4210" s="4">
        <v>500</v>
      </c>
      <c r="H4210" s="4">
        <v>0</v>
      </c>
      <c r="I4210" s="4">
        <v>-43864284.32</v>
      </c>
    </row>
    <row r="4211" spans="1:9" x14ac:dyDescent="0.3">
      <c r="A4211" t="s">
        <v>133</v>
      </c>
      <c r="B4211" s="1">
        <v>45891</v>
      </c>
      <c r="C4211" s="1">
        <v>45891</v>
      </c>
      <c r="D4211">
        <v>923169</v>
      </c>
      <c r="E4211">
        <v>82</v>
      </c>
      <c r="F4211" s="3" t="s">
        <v>3668</v>
      </c>
      <c r="G4211" s="4">
        <v>49127.5</v>
      </c>
      <c r="H4211" s="4">
        <v>0</v>
      </c>
      <c r="I4211" s="4">
        <v>-43815156.82</v>
      </c>
    </row>
    <row r="4212" spans="1:9" x14ac:dyDescent="0.3">
      <c r="A4212" t="s">
        <v>1</v>
      </c>
      <c r="B4212" s="1">
        <v>45876</v>
      </c>
      <c r="C4212" s="1">
        <v>45892</v>
      </c>
      <c r="D4212">
        <v>103041</v>
      </c>
      <c r="E4212">
        <v>100</v>
      </c>
      <c r="F4212" s="3" t="s">
        <v>3669</v>
      </c>
      <c r="G4212" s="4">
        <v>6.3</v>
      </c>
      <c r="I4212" s="4">
        <v>-43815150.520000003</v>
      </c>
    </row>
    <row r="4213" spans="1:9" x14ac:dyDescent="0.3">
      <c r="A4213" t="s">
        <v>1</v>
      </c>
      <c r="B4213" s="1">
        <v>45876</v>
      </c>
      <c r="C4213" s="1">
        <v>45892</v>
      </c>
      <c r="D4213">
        <v>103042</v>
      </c>
      <c r="E4213">
        <v>100</v>
      </c>
      <c r="F4213" s="3" t="s">
        <v>3670</v>
      </c>
      <c r="G4213" s="4">
        <v>6.3</v>
      </c>
      <c r="I4213" s="4">
        <v>-43815144.219999999</v>
      </c>
    </row>
    <row r="4214" spans="1:9" x14ac:dyDescent="0.3">
      <c r="A4214" t="s">
        <v>1</v>
      </c>
      <c r="B4214" s="1">
        <v>45891</v>
      </c>
      <c r="C4214" s="1">
        <v>45892</v>
      </c>
      <c r="D4214">
        <v>103050</v>
      </c>
      <c r="E4214">
        <v>100</v>
      </c>
      <c r="F4214" s="3" t="s">
        <v>3671</v>
      </c>
      <c r="G4214" s="4">
        <v>176306.73</v>
      </c>
      <c r="I4214" s="4">
        <v>-43638837.490000002</v>
      </c>
    </row>
    <row r="4215" spans="1:9" x14ac:dyDescent="0.3">
      <c r="A4215" t="s">
        <v>1</v>
      </c>
      <c r="B4215" s="1">
        <v>45891</v>
      </c>
      <c r="C4215" s="1">
        <v>45892</v>
      </c>
      <c r="D4215">
        <v>103065</v>
      </c>
      <c r="E4215">
        <v>100</v>
      </c>
      <c r="F4215" s="3" t="s">
        <v>3672</v>
      </c>
      <c r="G4215" s="4">
        <v>11250</v>
      </c>
      <c r="I4215" s="4">
        <v>-43627587.490000002</v>
      </c>
    </row>
    <row r="4216" spans="1:9" x14ac:dyDescent="0.3">
      <c r="A4216" t="s">
        <v>1</v>
      </c>
      <c r="B4216" s="1">
        <v>45891</v>
      </c>
      <c r="C4216" s="1">
        <v>45892</v>
      </c>
      <c r="D4216">
        <v>103071</v>
      </c>
      <c r="E4216">
        <v>100</v>
      </c>
      <c r="F4216" s="3" t="s">
        <v>3673</v>
      </c>
      <c r="G4216" s="4">
        <v>1685</v>
      </c>
      <c r="I4216" s="4">
        <v>-43625902.490000002</v>
      </c>
    </row>
    <row r="4217" spans="1:9" x14ac:dyDescent="0.3">
      <c r="A4217" t="s">
        <v>1</v>
      </c>
      <c r="B4217" s="1">
        <v>45890</v>
      </c>
      <c r="C4217" s="1">
        <v>45892</v>
      </c>
      <c r="D4217">
        <v>103082</v>
      </c>
      <c r="E4217">
        <v>100</v>
      </c>
      <c r="F4217" s="3" t="s">
        <v>3674</v>
      </c>
      <c r="G4217" s="4">
        <v>17659</v>
      </c>
      <c r="I4217" s="4">
        <v>-43608243.490000002</v>
      </c>
    </row>
    <row r="4218" spans="1:9" x14ac:dyDescent="0.3">
      <c r="A4218" t="s">
        <v>1</v>
      </c>
      <c r="B4218" s="1">
        <v>45891</v>
      </c>
      <c r="C4218" s="1">
        <v>45892</v>
      </c>
      <c r="D4218">
        <v>103086</v>
      </c>
      <c r="E4218">
        <v>100</v>
      </c>
      <c r="F4218" s="3" t="s">
        <v>3675</v>
      </c>
      <c r="G4218" s="4">
        <v>1079.2</v>
      </c>
      <c r="I4218" s="4">
        <v>-43607164.289999999</v>
      </c>
    </row>
    <row r="4219" spans="1:9" x14ac:dyDescent="0.3">
      <c r="A4219" t="s">
        <v>1</v>
      </c>
      <c r="B4219" s="1">
        <v>45876</v>
      </c>
      <c r="C4219" s="1">
        <v>45892</v>
      </c>
      <c r="D4219">
        <v>103088</v>
      </c>
      <c r="E4219">
        <v>100</v>
      </c>
      <c r="F4219" s="3" t="s">
        <v>3676</v>
      </c>
      <c r="G4219" s="4">
        <v>9.4499999999999993</v>
      </c>
      <c r="I4219" s="4">
        <v>-43607154.840000004</v>
      </c>
    </row>
    <row r="4220" spans="1:9" x14ac:dyDescent="0.3">
      <c r="A4220" t="s">
        <v>1</v>
      </c>
      <c r="B4220" s="1">
        <v>45892</v>
      </c>
      <c r="C4220" s="1">
        <v>45892</v>
      </c>
      <c r="D4220">
        <v>103091</v>
      </c>
      <c r="E4220">
        <v>100</v>
      </c>
      <c r="F4220" s="3" t="s">
        <v>3677</v>
      </c>
      <c r="G4220" s="4">
        <v>50280</v>
      </c>
      <c r="I4220" s="4">
        <v>-43556874.840000004</v>
      </c>
    </row>
    <row r="4221" spans="1:9" x14ac:dyDescent="0.3">
      <c r="A4221" t="s">
        <v>75</v>
      </c>
      <c r="B4221" s="1">
        <v>45891</v>
      </c>
      <c r="C4221" s="1">
        <v>45892</v>
      </c>
      <c r="D4221">
        <v>143905</v>
      </c>
      <c r="E4221">
        <v>11</v>
      </c>
      <c r="F4221" s="3" t="s">
        <v>3678</v>
      </c>
      <c r="G4221" s="4">
        <v>50000</v>
      </c>
      <c r="H4221" s="4">
        <v>0</v>
      </c>
      <c r="I4221" s="4">
        <v>-43506874.840000004</v>
      </c>
    </row>
    <row r="4222" spans="1:9" x14ac:dyDescent="0.3">
      <c r="A4222" t="s">
        <v>75</v>
      </c>
      <c r="B4222" s="1">
        <v>45891</v>
      </c>
      <c r="C4222" s="1">
        <v>45892</v>
      </c>
      <c r="D4222">
        <v>143906</v>
      </c>
      <c r="E4222">
        <v>12</v>
      </c>
      <c r="F4222" s="3" t="s">
        <v>3679</v>
      </c>
      <c r="G4222" s="4">
        <v>194047.75</v>
      </c>
      <c r="H4222" s="4">
        <v>0</v>
      </c>
      <c r="I4222" s="4">
        <v>-43312827.090000004</v>
      </c>
    </row>
    <row r="4223" spans="1:9" x14ac:dyDescent="0.3">
      <c r="A4223" t="s">
        <v>75</v>
      </c>
      <c r="B4223" s="1">
        <v>45890</v>
      </c>
      <c r="C4223" s="1">
        <v>45892</v>
      </c>
      <c r="D4223">
        <v>143907</v>
      </c>
      <c r="E4223">
        <v>27</v>
      </c>
      <c r="F4223" s="3" t="s">
        <v>3680</v>
      </c>
      <c r="G4223" s="4">
        <v>255000</v>
      </c>
      <c r="H4223" s="4">
        <v>0</v>
      </c>
      <c r="I4223" s="4">
        <v>-43057827.090000004</v>
      </c>
    </row>
    <row r="4224" spans="1:9" x14ac:dyDescent="0.3">
      <c r="A4224" t="s">
        <v>75</v>
      </c>
      <c r="B4224" s="1">
        <v>45892</v>
      </c>
      <c r="C4224" s="1">
        <v>45892</v>
      </c>
      <c r="D4224">
        <v>143908</v>
      </c>
      <c r="E4224">
        <v>16</v>
      </c>
      <c r="F4224" s="3" t="s">
        <v>3681</v>
      </c>
      <c r="G4224" s="4">
        <v>17568.25</v>
      </c>
      <c r="H4224" s="4">
        <v>0</v>
      </c>
      <c r="I4224" s="4">
        <v>-43040258.840000004</v>
      </c>
    </row>
    <row r="4225" spans="1:9" x14ac:dyDescent="0.3">
      <c r="A4225" t="s">
        <v>75</v>
      </c>
      <c r="B4225" s="1">
        <v>45890</v>
      </c>
      <c r="C4225" s="1">
        <v>45892</v>
      </c>
      <c r="D4225">
        <v>143909</v>
      </c>
      <c r="E4225">
        <v>23</v>
      </c>
      <c r="F4225" s="3" t="s">
        <v>3682</v>
      </c>
      <c r="G4225" s="4">
        <v>62169.5</v>
      </c>
      <c r="H4225" s="4">
        <v>0</v>
      </c>
      <c r="I4225" s="4">
        <v>-42978089.340000004</v>
      </c>
    </row>
    <row r="4226" spans="1:9" x14ac:dyDescent="0.3">
      <c r="A4226" t="s">
        <v>75</v>
      </c>
      <c r="B4226" s="1">
        <v>45890</v>
      </c>
      <c r="C4226" s="1">
        <v>45892</v>
      </c>
      <c r="D4226">
        <v>143910</v>
      </c>
      <c r="E4226">
        <v>23</v>
      </c>
      <c r="F4226" s="3" t="s">
        <v>3683</v>
      </c>
      <c r="G4226" s="4">
        <v>183805</v>
      </c>
      <c r="H4226" s="4">
        <v>0</v>
      </c>
      <c r="I4226" s="4">
        <v>-42794284.340000004</v>
      </c>
    </row>
    <row r="4227" spans="1:9" x14ac:dyDescent="0.3">
      <c r="A4227" t="s">
        <v>75</v>
      </c>
      <c r="B4227" s="1">
        <v>45891</v>
      </c>
      <c r="C4227" s="1">
        <v>45892</v>
      </c>
      <c r="D4227">
        <v>143911</v>
      </c>
      <c r="E4227">
        <v>23</v>
      </c>
      <c r="F4227" s="3" t="s">
        <v>3684</v>
      </c>
      <c r="G4227" s="4">
        <v>150000</v>
      </c>
      <c r="H4227" s="4">
        <v>0</v>
      </c>
      <c r="I4227" s="4">
        <v>-42644284.340000004</v>
      </c>
    </row>
    <row r="4228" spans="1:9" x14ac:dyDescent="0.3">
      <c r="A4228" t="s">
        <v>75</v>
      </c>
      <c r="B4228" s="1">
        <v>45888</v>
      </c>
      <c r="C4228" s="1">
        <v>45892</v>
      </c>
      <c r="D4228">
        <v>143913</v>
      </c>
      <c r="E4228">
        <v>23</v>
      </c>
      <c r="F4228" s="3" t="s">
        <v>3685</v>
      </c>
      <c r="G4228" s="4">
        <v>73140.75</v>
      </c>
      <c r="H4228" s="4">
        <v>0</v>
      </c>
      <c r="I4228" s="4">
        <v>-42571143.590000004</v>
      </c>
    </row>
    <row r="4229" spans="1:9" x14ac:dyDescent="0.3">
      <c r="A4229" t="s">
        <v>75</v>
      </c>
      <c r="B4229" s="1">
        <v>45892</v>
      </c>
      <c r="C4229" s="1">
        <v>45892</v>
      </c>
      <c r="D4229">
        <v>143917</v>
      </c>
      <c r="E4229">
        <v>89</v>
      </c>
      <c r="F4229" s="3" t="s">
        <v>3686</v>
      </c>
      <c r="G4229" s="4">
        <v>500</v>
      </c>
      <c r="H4229" s="4">
        <v>0</v>
      </c>
      <c r="I4229" s="4">
        <v>-42570643.590000004</v>
      </c>
    </row>
    <row r="4230" spans="1:9" x14ac:dyDescent="0.3">
      <c r="A4230" t="s">
        <v>75</v>
      </c>
      <c r="B4230" s="1">
        <v>45892</v>
      </c>
      <c r="C4230" s="1">
        <v>45892</v>
      </c>
      <c r="D4230">
        <v>143920</v>
      </c>
      <c r="E4230">
        <v>63</v>
      </c>
      <c r="F4230" s="3" t="s">
        <v>3687</v>
      </c>
      <c r="G4230" s="4">
        <v>24004.5</v>
      </c>
      <c r="H4230" s="4">
        <v>0</v>
      </c>
      <c r="I4230" s="4">
        <v>-42546639.090000004</v>
      </c>
    </row>
    <row r="4231" spans="1:9" x14ac:dyDescent="0.3">
      <c r="A4231" t="s">
        <v>75</v>
      </c>
      <c r="B4231" s="1">
        <v>45891</v>
      </c>
      <c r="C4231" s="1">
        <v>45892</v>
      </c>
      <c r="D4231">
        <v>143921</v>
      </c>
      <c r="E4231">
        <v>351</v>
      </c>
      <c r="F4231" s="3" t="s">
        <v>3688</v>
      </c>
      <c r="G4231" s="4">
        <v>17943</v>
      </c>
      <c r="H4231" s="4">
        <v>0</v>
      </c>
      <c r="I4231" s="4">
        <v>-42528696.090000004</v>
      </c>
    </row>
    <row r="4232" spans="1:9" x14ac:dyDescent="0.3">
      <c r="A4232" t="s">
        <v>75</v>
      </c>
      <c r="B4232" s="1">
        <v>45891</v>
      </c>
      <c r="C4232" s="1">
        <v>45892</v>
      </c>
      <c r="D4232">
        <v>143922</v>
      </c>
      <c r="E4232">
        <v>351</v>
      </c>
      <c r="F4232" s="3" t="s">
        <v>3689</v>
      </c>
      <c r="G4232" s="4">
        <v>21900</v>
      </c>
      <c r="H4232" s="4">
        <v>0</v>
      </c>
      <c r="I4232" s="4">
        <v>-42506796.090000004</v>
      </c>
    </row>
    <row r="4233" spans="1:9" x14ac:dyDescent="0.3">
      <c r="A4233" t="s">
        <v>75</v>
      </c>
      <c r="B4233" s="1">
        <v>45891</v>
      </c>
      <c r="C4233" s="1">
        <v>45892</v>
      </c>
      <c r="D4233">
        <v>143925</v>
      </c>
      <c r="E4233">
        <v>67</v>
      </c>
      <c r="F4233" s="3" t="s">
        <v>3690</v>
      </c>
      <c r="G4233" s="4">
        <v>25311</v>
      </c>
      <c r="H4233" s="4">
        <v>0</v>
      </c>
      <c r="I4233" s="4">
        <v>-42481485.090000004</v>
      </c>
    </row>
    <row r="4234" spans="1:9" x14ac:dyDescent="0.3">
      <c r="A4234" t="s">
        <v>75</v>
      </c>
      <c r="B4234" s="1">
        <v>45892</v>
      </c>
      <c r="C4234" s="1">
        <v>45892</v>
      </c>
      <c r="D4234">
        <v>143926</v>
      </c>
      <c r="E4234">
        <v>67</v>
      </c>
      <c r="F4234" s="3" t="s">
        <v>3691</v>
      </c>
      <c r="G4234" s="4">
        <v>44149</v>
      </c>
      <c r="H4234" s="4">
        <v>0</v>
      </c>
      <c r="I4234" s="4">
        <v>-42437336.090000004</v>
      </c>
    </row>
    <row r="4235" spans="1:9" x14ac:dyDescent="0.3">
      <c r="A4235" t="s">
        <v>75</v>
      </c>
      <c r="B4235" s="1">
        <v>45892</v>
      </c>
      <c r="C4235" s="1">
        <v>45892</v>
      </c>
      <c r="D4235">
        <v>143927</v>
      </c>
      <c r="E4235">
        <v>58</v>
      </c>
      <c r="F4235" s="3" t="s">
        <v>3692</v>
      </c>
      <c r="G4235" s="4">
        <v>4218.25</v>
      </c>
      <c r="H4235" s="4">
        <v>0</v>
      </c>
      <c r="I4235" s="4">
        <v>-42433117.840000004</v>
      </c>
    </row>
    <row r="4236" spans="1:9" x14ac:dyDescent="0.3">
      <c r="A4236" t="s">
        <v>75</v>
      </c>
      <c r="B4236" s="1">
        <v>45891</v>
      </c>
      <c r="C4236" s="1">
        <v>45892</v>
      </c>
      <c r="D4236">
        <v>143928</v>
      </c>
      <c r="E4236">
        <v>23</v>
      </c>
      <c r="F4236" s="3" t="s">
        <v>3693</v>
      </c>
      <c r="G4236" s="4">
        <v>39977</v>
      </c>
      <c r="H4236" s="4">
        <v>0</v>
      </c>
      <c r="I4236" s="4">
        <v>-42393140.840000004</v>
      </c>
    </row>
    <row r="4237" spans="1:9" x14ac:dyDescent="0.3">
      <c r="A4237" t="s">
        <v>75</v>
      </c>
      <c r="B4237" s="1">
        <v>45890</v>
      </c>
      <c r="C4237" s="1">
        <v>45892</v>
      </c>
      <c r="D4237">
        <v>143929</v>
      </c>
      <c r="E4237">
        <v>11</v>
      </c>
      <c r="F4237" s="3" t="s">
        <v>3694</v>
      </c>
      <c r="G4237" s="4">
        <v>33157.25</v>
      </c>
      <c r="H4237" s="4">
        <v>0</v>
      </c>
      <c r="I4237" s="4">
        <v>-42359983.590000004</v>
      </c>
    </row>
    <row r="4238" spans="1:9" x14ac:dyDescent="0.3">
      <c r="A4238" t="s">
        <v>75</v>
      </c>
      <c r="B4238" s="1">
        <v>45892</v>
      </c>
      <c r="C4238" s="1">
        <v>45892</v>
      </c>
      <c r="D4238">
        <v>143930</v>
      </c>
      <c r="E4238">
        <v>11</v>
      </c>
      <c r="F4238" s="3" t="s">
        <v>3695</v>
      </c>
      <c r="G4238" s="4">
        <v>10000</v>
      </c>
      <c r="H4238" s="4">
        <v>0</v>
      </c>
      <c r="I4238" s="4">
        <v>-42349983.590000004</v>
      </c>
    </row>
    <row r="4239" spans="1:9" x14ac:dyDescent="0.3">
      <c r="A4239" t="s">
        <v>75</v>
      </c>
      <c r="B4239" s="1">
        <v>45892</v>
      </c>
      <c r="C4239" s="1">
        <v>45892</v>
      </c>
      <c r="D4239">
        <v>143931</v>
      </c>
      <c r="E4239">
        <v>11</v>
      </c>
      <c r="F4239" s="3" t="s">
        <v>3696</v>
      </c>
      <c r="G4239" s="4">
        <v>500</v>
      </c>
      <c r="H4239" s="4">
        <v>0</v>
      </c>
      <c r="I4239" s="4">
        <v>-42349483.590000004</v>
      </c>
    </row>
    <row r="4240" spans="1:9" x14ac:dyDescent="0.3">
      <c r="A4240" t="s">
        <v>75</v>
      </c>
      <c r="B4240" s="1">
        <v>45888</v>
      </c>
      <c r="C4240" s="1">
        <v>45892</v>
      </c>
      <c r="D4240">
        <v>143932</v>
      </c>
      <c r="E4240">
        <v>18</v>
      </c>
      <c r="F4240" s="3" t="s">
        <v>3697</v>
      </c>
      <c r="G4240" s="4">
        <v>96770</v>
      </c>
      <c r="H4240" s="4">
        <v>0</v>
      </c>
      <c r="I4240" s="4">
        <v>-42252713.590000004</v>
      </c>
    </row>
    <row r="4241" spans="1:9" x14ac:dyDescent="0.3">
      <c r="A4241" t="s">
        <v>75</v>
      </c>
      <c r="B4241" s="1">
        <v>45892</v>
      </c>
      <c r="C4241" s="1">
        <v>45892</v>
      </c>
      <c r="D4241">
        <v>143933</v>
      </c>
      <c r="E4241">
        <v>62</v>
      </c>
      <c r="F4241" s="3" t="s">
        <v>3698</v>
      </c>
      <c r="G4241" s="4">
        <v>6612</v>
      </c>
      <c r="H4241" s="4">
        <v>0</v>
      </c>
      <c r="I4241" s="4">
        <v>-42246101.590000004</v>
      </c>
    </row>
    <row r="4242" spans="1:9" x14ac:dyDescent="0.3">
      <c r="A4242" t="s">
        <v>75</v>
      </c>
      <c r="B4242" s="1">
        <v>45892</v>
      </c>
      <c r="C4242" s="1">
        <v>45892</v>
      </c>
      <c r="D4242">
        <v>143934</v>
      </c>
      <c r="E4242">
        <v>89</v>
      </c>
      <c r="F4242" s="3" t="s">
        <v>3699</v>
      </c>
      <c r="G4242" s="4">
        <v>59818.25</v>
      </c>
      <c r="H4242" s="4">
        <v>0</v>
      </c>
      <c r="I4242" s="4">
        <v>-42186283.340000004</v>
      </c>
    </row>
    <row r="4243" spans="1:9" x14ac:dyDescent="0.3">
      <c r="A4243" t="s">
        <v>71</v>
      </c>
      <c r="B4243" s="1">
        <v>45890</v>
      </c>
      <c r="C4243" s="1">
        <v>45892</v>
      </c>
      <c r="D4243">
        <v>14837</v>
      </c>
      <c r="E4243">
        <v>100</v>
      </c>
      <c r="F4243" s="3" t="s">
        <v>3700</v>
      </c>
      <c r="G4243" s="4">
        <v>0</v>
      </c>
      <c r="H4243" s="4">
        <v>14657940.18</v>
      </c>
      <c r="I4243" s="4">
        <v>-56844223.520000003</v>
      </c>
    </row>
    <row r="4244" spans="1:9" x14ac:dyDescent="0.3">
      <c r="A4244" t="s">
        <v>71</v>
      </c>
      <c r="B4244" s="1">
        <v>45889</v>
      </c>
      <c r="C4244" s="1">
        <v>45892</v>
      </c>
      <c r="D4244">
        <v>14837</v>
      </c>
      <c r="E4244">
        <v>100</v>
      </c>
      <c r="F4244" s="3" t="s">
        <v>3701</v>
      </c>
      <c r="G4244" s="4">
        <v>0</v>
      </c>
      <c r="H4244" s="4">
        <v>1833996.19</v>
      </c>
      <c r="I4244" s="4">
        <v>-58678219.710000001</v>
      </c>
    </row>
    <row r="4245" spans="1:9" x14ac:dyDescent="0.3">
      <c r="A4245" t="s">
        <v>124</v>
      </c>
      <c r="B4245" s="1">
        <v>45892</v>
      </c>
      <c r="C4245" s="1">
        <v>45892</v>
      </c>
      <c r="D4245">
        <v>22278</v>
      </c>
      <c r="E4245">
        <v>11</v>
      </c>
      <c r="F4245" s="3" t="s">
        <v>125</v>
      </c>
      <c r="G4245" s="4">
        <v>0</v>
      </c>
      <c r="H4245" s="4">
        <v>31952426.449999999</v>
      </c>
      <c r="I4245" s="4">
        <v>-90630646.159999996</v>
      </c>
    </row>
    <row r="4246" spans="1:9" x14ac:dyDescent="0.3">
      <c r="A4246" t="s">
        <v>124</v>
      </c>
      <c r="B4246" s="1">
        <v>45892</v>
      </c>
      <c r="C4246" s="1">
        <v>45892</v>
      </c>
      <c r="D4246">
        <v>22280</v>
      </c>
      <c r="E4246">
        <v>11</v>
      </c>
      <c r="F4246" s="3" t="s">
        <v>127</v>
      </c>
      <c r="G4246" s="4">
        <v>11000000</v>
      </c>
      <c r="H4246" s="4">
        <v>0</v>
      </c>
      <c r="I4246" s="4">
        <v>-79630646.159999996</v>
      </c>
    </row>
    <row r="4247" spans="1:9" x14ac:dyDescent="0.3">
      <c r="A4247" t="s">
        <v>130</v>
      </c>
      <c r="B4247" s="1">
        <v>45892</v>
      </c>
      <c r="C4247" s="1">
        <v>45892</v>
      </c>
      <c r="D4247">
        <v>3845879</v>
      </c>
      <c r="E4247">
        <v>74</v>
      </c>
      <c r="F4247" s="3" t="s">
        <v>3702</v>
      </c>
      <c r="G4247" s="4">
        <v>0</v>
      </c>
      <c r="H4247" s="4">
        <v>18435.5</v>
      </c>
      <c r="I4247" s="4">
        <v>-79649081.659999996</v>
      </c>
    </row>
    <row r="4248" spans="1:9" x14ac:dyDescent="0.3">
      <c r="A4248" t="s">
        <v>130</v>
      </c>
      <c r="B4248" s="1">
        <v>45892</v>
      </c>
      <c r="C4248" s="1">
        <v>45892</v>
      </c>
      <c r="D4248">
        <v>3845922</v>
      </c>
      <c r="E4248">
        <v>39</v>
      </c>
      <c r="F4248" s="3" t="s">
        <v>855</v>
      </c>
      <c r="G4248" s="4">
        <v>0</v>
      </c>
      <c r="H4248" s="4">
        <v>11000000</v>
      </c>
      <c r="I4248" s="4">
        <v>-90649081.659999996</v>
      </c>
    </row>
    <row r="4249" spans="1:9" x14ac:dyDescent="0.3">
      <c r="A4249" t="s">
        <v>130</v>
      </c>
      <c r="B4249" s="1">
        <v>45892</v>
      </c>
      <c r="C4249" s="1">
        <v>45892</v>
      </c>
      <c r="D4249">
        <v>3845923</v>
      </c>
      <c r="E4249">
        <v>39</v>
      </c>
      <c r="F4249" s="3" t="s">
        <v>855</v>
      </c>
      <c r="G4249" s="4">
        <v>0</v>
      </c>
      <c r="H4249" s="4">
        <v>20000000</v>
      </c>
      <c r="I4249" s="4">
        <v>-110649081.66</v>
      </c>
    </row>
    <row r="4250" spans="1:9" x14ac:dyDescent="0.3">
      <c r="A4250" t="s">
        <v>133</v>
      </c>
      <c r="B4250" s="1">
        <v>45892</v>
      </c>
      <c r="C4250" s="1">
        <v>45892</v>
      </c>
      <c r="D4250">
        <v>923173</v>
      </c>
      <c r="E4250">
        <v>78</v>
      </c>
      <c r="F4250" s="3" t="s">
        <v>3703</v>
      </c>
      <c r="G4250" s="4">
        <v>4694.75</v>
      </c>
      <c r="H4250" s="4">
        <v>0</v>
      </c>
      <c r="I4250" s="4">
        <v>-110644386.91</v>
      </c>
    </row>
    <row r="4251" spans="1:9" x14ac:dyDescent="0.3">
      <c r="A4251" t="s">
        <v>133</v>
      </c>
      <c r="B4251" s="1">
        <v>45892</v>
      </c>
      <c r="C4251" s="1">
        <v>45892</v>
      </c>
      <c r="D4251">
        <v>923181</v>
      </c>
      <c r="E4251">
        <v>64</v>
      </c>
      <c r="F4251" s="3" t="s">
        <v>3704</v>
      </c>
      <c r="G4251" s="4">
        <v>499597</v>
      </c>
      <c r="H4251" s="4">
        <v>0</v>
      </c>
      <c r="I4251" s="4">
        <v>-110144789.91</v>
      </c>
    </row>
    <row r="4252" spans="1:9" x14ac:dyDescent="0.3">
      <c r="A4252" t="s">
        <v>133</v>
      </c>
      <c r="B4252" s="1">
        <v>45892</v>
      </c>
      <c r="C4252" s="1">
        <v>45892</v>
      </c>
      <c r="D4252">
        <v>923185</v>
      </c>
      <c r="E4252">
        <v>64</v>
      </c>
      <c r="F4252" s="3" t="s">
        <v>3705</v>
      </c>
      <c r="G4252" s="4">
        <v>146916</v>
      </c>
      <c r="H4252" s="4">
        <v>0</v>
      </c>
      <c r="I4252" s="4">
        <v>-109997873.91</v>
      </c>
    </row>
    <row r="4253" spans="1:9" x14ac:dyDescent="0.3">
      <c r="A4253" t="s">
        <v>133</v>
      </c>
      <c r="B4253" s="1">
        <v>45892</v>
      </c>
      <c r="C4253" s="1">
        <v>45892</v>
      </c>
      <c r="D4253">
        <v>923186</v>
      </c>
      <c r="E4253">
        <v>64</v>
      </c>
      <c r="F4253" s="3" t="s">
        <v>3706</v>
      </c>
      <c r="G4253" s="4">
        <v>440993</v>
      </c>
      <c r="H4253" s="4">
        <v>0</v>
      </c>
      <c r="I4253" s="4">
        <v>-109556880.91</v>
      </c>
    </row>
    <row r="4254" spans="1:9" x14ac:dyDescent="0.3">
      <c r="A4254" t="s">
        <v>133</v>
      </c>
      <c r="B4254" s="1">
        <v>45892</v>
      </c>
      <c r="C4254" s="1">
        <v>45892</v>
      </c>
      <c r="D4254">
        <v>923206</v>
      </c>
      <c r="E4254">
        <v>15</v>
      </c>
      <c r="F4254" s="3" t="s">
        <v>3707</v>
      </c>
      <c r="G4254" s="4">
        <v>100481.75</v>
      </c>
      <c r="H4254" s="4">
        <v>0</v>
      </c>
      <c r="I4254" s="4">
        <v>-109456399.16</v>
      </c>
    </row>
    <row r="4255" spans="1:9" x14ac:dyDescent="0.3">
      <c r="A4255" t="s">
        <v>133</v>
      </c>
      <c r="B4255" s="1">
        <v>45892</v>
      </c>
      <c r="C4255" s="1">
        <v>45892</v>
      </c>
      <c r="D4255">
        <v>923214</v>
      </c>
      <c r="E4255">
        <v>11</v>
      </c>
      <c r="F4255" s="3" t="s">
        <v>3708</v>
      </c>
      <c r="G4255" s="4">
        <v>234114.25</v>
      </c>
      <c r="H4255" s="4">
        <v>0</v>
      </c>
      <c r="I4255" s="4">
        <v>-109222284.91</v>
      </c>
    </row>
    <row r="4256" spans="1:9" x14ac:dyDescent="0.3">
      <c r="A4256" t="s">
        <v>133</v>
      </c>
      <c r="B4256" s="1">
        <v>45892</v>
      </c>
      <c r="C4256" s="1">
        <v>45892</v>
      </c>
      <c r="D4256">
        <v>923219</v>
      </c>
      <c r="E4256">
        <v>41</v>
      </c>
      <c r="F4256" s="3" t="s">
        <v>3709</v>
      </c>
      <c r="G4256" s="4">
        <v>165000</v>
      </c>
      <c r="H4256" s="4">
        <v>0</v>
      </c>
      <c r="I4256" s="4">
        <v>-109057284.91</v>
      </c>
    </row>
    <row r="4257" spans="1:9" x14ac:dyDescent="0.3">
      <c r="A4257" t="s">
        <v>133</v>
      </c>
      <c r="B4257" s="1">
        <v>45892</v>
      </c>
      <c r="C4257" s="1">
        <v>45892</v>
      </c>
      <c r="D4257">
        <v>923274</v>
      </c>
      <c r="E4257">
        <v>85</v>
      </c>
      <c r="F4257" s="3">
        <v>51159752231</v>
      </c>
      <c r="G4257" s="4">
        <v>16241.5</v>
      </c>
      <c r="H4257" s="4">
        <v>0</v>
      </c>
      <c r="I4257" s="4">
        <v>-109041043.41</v>
      </c>
    </row>
    <row r="4258" spans="1:9" x14ac:dyDescent="0.3">
      <c r="A4258" t="s">
        <v>133</v>
      </c>
      <c r="B4258" s="1">
        <v>45892</v>
      </c>
      <c r="C4258" s="1">
        <v>45892</v>
      </c>
      <c r="D4258">
        <v>923276</v>
      </c>
      <c r="E4258">
        <v>85</v>
      </c>
      <c r="F4258" s="3">
        <v>51159820446</v>
      </c>
      <c r="G4258" s="4">
        <v>9615.5</v>
      </c>
      <c r="H4258" s="4">
        <v>0</v>
      </c>
      <c r="I4258" s="4">
        <v>-109031427.91</v>
      </c>
    </row>
    <row r="4259" spans="1:9" x14ac:dyDescent="0.3">
      <c r="A4259" t="s">
        <v>133</v>
      </c>
      <c r="B4259" s="1">
        <v>45892</v>
      </c>
      <c r="C4259" s="1">
        <v>45892</v>
      </c>
      <c r="D4259">
        <v>923277</v>
      </c>
      <c r="E4259">
        <v>85</v>
      </c>
      <c r="F4259" s="3" t="s">
        <v>3710</v>
      </c>
      <c r="G4259" s="4">
        <v>2963.75</v>
      </c>
      <c r="H4259" s="4">
        <v>0</v>
      </c>
      <c r="I4259" s="4">
        <v>-109028464.16</v>
      </c>
    </row>
    <row r="4260" spans="1:9" x14ac:dyDescent="0.3">
      <c r="A4260" t="s">
        <v>133</v>
      </c>
      <c r="B4260" s="1">
        <v>45892</v>
      </c>
      <c r="C4260" s="1">
        <v>45892</v>
      </c>
      <c r="D4260">
        <v>923278</v>
      </c>
      <c r="E4260">
        <v>36</v>
      </c>
      <c r="F4260" s="3" t="s">
        <v>3711</v>
      </c>
      <c r="G4260" s="4">
        <v>20000</v>
      </c>
      <c r="H4260" s="4">
        <v>0</v>
      </c>
      <c r="I4260" s="4">
        <v>-109008464.16</v>
      </c>
    </row>
    <row r="4261" spans="1:9" x14ac:dyDescent="0.3">
      <c r="A4261" t="s">
        <v>133</v>
      </c>
      <c r="B4261" s="1">
        <v>45892</v>
      </c>
      <c r="C4261" s="1">
        <v>45892</v>
      </c>
      <c r="D4261">
        <v>923279</v>
      </c>
      <c r="E4261">
        <v>85</v>
      </c>
      <c r="F4261" s="3" t="s">
        <v>3712</v>
      </c>
      <c r="G4261" s="4">
        <v>10773</v>
      </c>
      <c r="H4261" s="4">
        <v>0</v>
      </c>
      <c r="I4261" s="4">
        <v>-108997691.16</v>
      </c>
    </row>
    <row r="4262" spans="1:9" x14ac:dyDescent="0.3">
      <c r="A4262" t="s">
        <v>133</v>
      </c>
      <c r="B4262" s="1">
        <v>45892</v>
      </c>
      <c r="C4262" s="1">
        <v>45892</v>
      </c>
      <c r="D4262">
        <v>923286</v>
      </c>
      <c r="E4262">
        <v>14</v>
      </c>
      <c r="F4262" s="3">
        <v>4562</v>
      </c>
      <c r="G4262" s="4">
        <v>32811.5</v>
      </c>
      <c r="H4262" s="4">
        <v>0</v>
      </c>
      <c r="I4262" s="4">
        <v>-108964879.66</v>
      </c>
    </row>
    <row r="4263" spans="1:9" x14ac:dyDescent="0.3">
      <c r="A4263" t="s">
        <v>133</v>
      </c>
      <c r="B4263" s="1">
        <v>45892</v>
      </c>
      <c r="C4263" s="1">
        <v>45892</v>
      </c>
      <c r="D4263">
        <v>923289</v>
      </c>
      <c r="E4263">
        <v>17</v>
      </c>
      <c r="F4263" s="3">
        <v>9894</v>
      </c>
      <c r="G4263" s="4">
        <v>3534.25</v>
      </c>
      <c r="H4263" s="4">
        <v>0</v>
      </c>
      <c r="I4263" s="4">
        <v>-108961345.41</v>
      </c>
    </row>
    <row r="4264" spans="1:9" x14ac:dyDescent="0.3">
      <c r="A4264" t="s">
        <v>133</v>
      </c>
      <c r="B4264" s="1">
        <v>45892</v>
      </c>
      <c r="C4264" s="1">
        <v>45892</v>
      </c>
      <c r="D4264">
        <v>923294</v>
      </c>
      <c r="E4264">
        <v>78</v>
      </c>
      <c r="F4264" s="3" t="s">
        <v>3713</v>
      </c>
      <c r="G4264" s="4">
        <v>40357.75</v>
      </c>
      <c r="H4264" s="4">
        <v>0</v>
      </c>
      <c r="I4264" s="4">
        <v>-108920987.66</v>
      </c>
    </row>
    <row r="4265" spans="1:9" x14ac:dyDescent="0.3">
      <c r="A4265" t="s">
        <v>133</v>
      </c>
      <c r="B4265" s="1">
        <v>45892</v>
      </c>
      <c r="C4265" s="1">
        <v>45892</v>
      </c>
      <c r="D4265">
        <v>923296</v>
      </c>
      <c r="E4265">
        <v>12</v>
      </c>
      <c r="F4265" s="3" t="s">
        <v>3714</v>
      </c>
      <c r="G4265" s="4">
        <v>1596690</v>
      </c>
      <c r="H4265" s="4">
        <v>0</v>
      </c>
      <c r="I4265" s="4">
        <v>-107324297.66</v>
      </c>
    </row>
    <row r="4266" spans="1:9" x14ac:dyDescent="0.3">
      <c r="A4266" t="s">
        <v>133</v>
      </c>
      <c r="B4266" s="1">
        <v>45892</v>
      </c>
      <c r="C4266" s="1">
        <v>45892</v>
      </c>
      <c r="D4266">
        <v>923306</v>
      </c>
      <c r="E4266">
        <v>282</v>
      </c>
      <c r="F4266" s="3" t="s">
        <v>3715</v>
      </c>
      <c r="G4266" s="4">
        <v>130000</v>
      </c>
      <c r="H4266" s="4">
        <v>0</v>
      </c>
      <c r="I4266" s="4">
        <v>-107194297.66</v>
      </c>
    </row>
    <row r="4267" spans="1:9" x14ac:dyDescent="0.3">
      <c r="A4267" t="s">
        <v>133</v>
      </c>
      <c r="B4267" s="1">
        <v>45892</v>
      </c>
      <c r="C4267" s="1">
        <v>45892</v>
      </c>
      <c r="D4267">
        <v>923307</v>
      </c>
      <c r="E4267">
        <v>27</v>
      </c>
      <c r="F4267" s="3" t="s">
        <v>3716</v>
      </c>
      <c r="G4267" s="4">
        <v>147307.5</v>
      </c>
      <c r="H4267" s="4">
        <v>0</v>
      </c>
      <c r="I4267" s="4">
        <v>-107046990.16</v>
      </c>
    </row>
    <row r="4268" spans="1:9" x14ac:dyDescent="0.3">
      <c r="A4268" t="s">
        <v>133</v>
      </c>
      <c r="B4268" s="1">
        <v>45892</v>
      </c>
      <c r="C4268" s="1">
        <v>45892</v>
      </c>
      <c r="D4268">
        <v>923309</v>
      </c>
      <c r="E4268">
        <v>51</v>
      </c>
      <c r="F4268" s="3" t="s">
        <v>3717</v>
      </c>
      <c r="G4268" s="4">
        <v>210000</v>
      </c>
      <c r="H4268" s="4">
        <v>0</v>
      </c>
      <c r="I4268" s="4">
        <v>-106836990.16</v>
      </c>
    </row>
    <row r="4269" spans="1:9" x14ac:dyDescent="0.3">
      <c r="A4269" t="s">
        <v>133</v>
      </c>
      <c r="B4269" s="1">
        <v>45892</v>
      </c>
      <c r="C4269" s="1">
        <v>45892</v>
      </c>
      <c r="D4269">
        <v>923316</v>
      </c>
      <c r="E4269">
        <v>27</v>
      </c>
      <c r="F4269" s="3" t="s">
        <v>3718</v>
      </c>
      <c r="G4269" s="4">
        <v>367460</v>
      </c>
      <c r="H4269" s="4">
        <v>0</v>
      </c>
      <c r="I4269" s="4">
        <v>-106469530.16</v>
      </c>
    </row>
    <row r="4270" spans="1:9" x14ac:dyDescent="0.3">
      <c r="A4270" t="s">
        <v>133</v>
      </c>
      <c r="B4270" s="1">
        <v>45892</v>
      </c>
      <c r="C4270" s="1">
        <v>45892</v>
      </c>
      <c r="D4270">
        <v>923318</v>
      </c>
      <c r="E4270">
        <v>34</v>
      </c>
      <c r="F4270" s="3" t="s">
        <v>3719</v>
      </c>
      <c r="G4270" s="4">
        <v>356168</v>
      </c>
      <c r="H4270" s="4">
        <v>0</v>
      </c>
      <c r="I4270" s="4">
        <v>-106113362.16</v>
      </c>
    </row>
    <row r="4271" spans="1:9" x14ac:dyDescent="0.3">
      <c r="A4271" t="s">
        <v>133</v>
      </c>
      <c r="B4271" s="1">
        <v>45892</v>
      </c>
      <c r="C4271" s="1">
        <v>45892</v>
      </c>
      <c r="D4271">
        <v>923319</v>
      </c>
      <c r="E4271">
        <v>34</v>
      </c>
      <c r="F4271" s="3" t="s">
        <v>3720</v>
      </c>
      <c r="G4271" s="4">
        <v>778963.5</v>
      </c>
      <c r="H4271" s="4">
        <v>0</v>
      </c>
      <c r="I4271" s="4">
        <v>-105334398.66</v>
      </c>
    </row>
    <row r="4272" spans="1:9" x14ac:dyDescent="0.3">
      <c r="A4272" t="s">
        <v>133</v>
      </c>
      <c r="B4272" s="1">
        <v>45892</v>
      </c>
      <c r="C4272" s="1">
        <v>45892</v>
      </c>
      <c r="D4272">
        <v>923322</v>
      </c>
      <c r="E4272">
        <v>27</v>
      </c>
      <c r="F4272" s="3" t="s">
        <v>3721</v>
      </c>
      <c r="G4272" s="4">
        <v>73540.5</v>
      </c>
      <c r="H4272" s="4">
        <v>0</v>
      </c>
      <c r="I4272" s="4">
        <v>-105260858.16</v>
      </c>
    </row>
    <row r="4273" spans="1:9" x14ac:dyDescent="0.3">
      <c r="A4273" t="s">
        <v>133</v>
      </c>
      <c r="B4273" s="1">
        <v>45892</v>
      </c>
      <c r="C4273" s="1">
        <v>45892</v>
      </c>
      <c r="D4273">
        <v>923327</v>
      </c>
      <c r="E4273">
        <v>27</v>
      </c>
      <c r="F4273" s="3" t="s">
        <v>3722</v>
      </c>
      <c r="G4273" s="4">
        <v>85647.75</v>
      </c>
      <c r="H4273" s="4">
        <v>0</v>
      </c>
      <c r="I4273" s="4">
        <v>-105175210.41</v>
      </c>
    </row>
    <row r="4274" spans="1:9" x14ac:dyDescent="0.3">
      <c r="A4274" t="s">
        <v>133</v>
      </c>
      <c r="B4274" s="1">
        <v>45892</v>
      </c>
      <c r="C4274" s="1">
        <v>45892</v>
      </c>
      <c r="D4274">
        <v>923331</v>
      </c>
      <c r="E4274">
        <v>43</v>
      </c>
      <c r="F4274" s="3" t="s">
        <v>3723</v>
      </c>
      <c r="G4274" s="4">
        <v>5147.75</v>
      </c>
      <c r="H4274" s="4">
        <v>0</v>
      </c>
      <c r="I4274" s="4">
        <v>-105170062.66</v>
      </c>
    </row>
    <row r="4275" spans="1:9" x14ac:dyDescent="0.3">
      <c r="A4275" t="s">
        <v>133</v>
      </c>
      <c r="B4275" s="1">
        <v>45892</v>
      </c>
      <c r="C4275" s="1">
        <v>45892</v>
      </c>
      <c r="D4275">
        <v>923336</v>
      </c>
      <c r="E4275">
        <v>43</v>
      </c>
      <c r="F4275" s="3" t="s">
        <v>3724</v>
      </c>
      <c r="G4275" s="4">
        <v>7852.75</v>
      </c>
      <c r="H4275" s="4">
        <v>0</v>
      </c>
      <c r="I4275" s="4">
        <v>-105162209.91</v>
      </c>
    </row>
    <row r="4276" spans="1:9" x14ac:dyDescent="0.3">
      <c r="A4276" t="s">
        <v>133</v>
      </c>
      <c r="B4276" s="1">
        <v>45892</v>
      </c>
      <c r="C4276" s="1">
        <v>45892</v>
      </c>
      <c r="D4276">
        <v>923346</v>
      </c>
      <c r="E4276">
        <v>75</v>
      </c>
      <c r="F4276" s="3" t="s">
        <v>3725</v>
      </c>
      <c r="G4276" s="4">
        <v>80000</v>
      </c>
      <c r="H4276" s="4">
        <v>0</v>
      </c>
      <c r="I4276" s="4">
        <v>-105082209.91</v>
      </c>
    </row>
    <row r="4277" spans="1:9" x14ac:dyDescent="0.3">
      <c r="A4277" t="s">
        <v>133</v>
      </c>
      <c r="B4277" s="1">
        <v>45892</v>
      </c>
      <c r="C4277" s="1">
        <v>45892</v>
      </c>
      <c r="D4277">
        <v>923348</v>
      </c>
      <c r="E4277">
        <v>73</v>
      </c>
      <c r="F4277" s="3" t="s">
        <v>3726</v>
      </c>
      <c r="G4277" s="4">
        <v>160000</v>
      </c>
      <c r="H4277" s="4">
        <v>0</v>
      </c>
      <c r="I4277" s="4">
        <v>-104922209.91</v>
      </c>
    </row>
    <row r="4278" spans="1:9" x14ac:dyDescent="0.3">
      <c r="A4278" t="s">
        <v>133</v>
      </c>
      <c r="B4278" s="1">
        <v>45892</v>
      </c>
      <c r="C4278" s="1">
        <v>45892</v>
      </c>
      <c r="D4278">
        <v>923349</v>
      </c>
      <c r="E4278">
        <v>31</v>
      </c>
      <c r="F4278" s="3" t="s">
        <v>3727</v>
      </c>
      <c r="G4278" s="4">
        <v>4000</v>
      </c>
      <c r="H4278" s="4">
        <v>0</v>
      </c>
      <c r="I4278" s="4">
        <v>-104918209.91</v>
      </c>
    </row>
    <row r="4279" spans="1:9" x14ac:dyDescent="0.3">
      <c r="A4279" t="s">
        <v>133</v>
      </c>
      <c r="B4279" s="1">
        <v>45892</v>
      </c>
      <c r="C4279" s="1">
        <v>45892</v>
      </c>
      <c r="D4279">
        <v>923355</v>
      </c>
      <c r="E4279">
        <v>27</v>
      </c>
      <c r="F4279" s="3" t="s">
        <v>3728</v>
      </c>
      <c r="G4279" s="4">
        <v>249272.5</v>
      </c>
      <c r="H4279" s="4">
        <v>0</v>
      </c>
      <c r="I4279" s="4">
        <v>-104668937.41</v>
      </c>
    </row>
    <row r="4280" spans="1:9" x14ac:dyDescent="0.3">
      <c r="A4280" t="s">
        <v>133</v>
      </c>
      <c r="B4280" s="1">
        <v>45892</v>
      </c>
      <c r="C4280" s="1">
        <v>45892</v>
      </c>
      <c r="D4280">
        <v>923359</v>
      </c>
      <c r="E4280">
        <v>27</v>
      </c>
      <c r="F4280" s="3" t="s">
        <v>3729</v>
      </c>
      <c r="G4280" s="4">
        <v>76847</v>
      </c>
      <c r="H4280" s="4">
        <v>0</v>
      </c>
      <c r="I4280" s="4">
        <v>-104592090.41</v>
      </c>
    </row>
    <row r="4281" spans="1:9" x14ac:dyDescent="0.3">
      <c r="A4281" t="s">
        <v>133</v>
      </c>
      <c r="B4281" s="1">
        <v>45892</v>
      </c>
      <c r="C4281" s="1">
        <v>45892</v>
      </c>
      <c r="D4281">
        <v>923361</v>
      </c>
      <c r="E4281">
        <v>27</v>
      </c>
      <c r="F4281" s="3" t="s">
        <v>3730</v>
      </c>
      <c r="G4281" s="4">
        <v>70000</v>
      </c>
      <c r="H4281" s="4">
        <v>0</v>
      </c>
      <c r="I4281" s="4">
        <v>-104522090.41</v>
      </c>
    </row>
    <row r="4282" spans="1:9" x14ac:dyDescent="0.3">
      <c r="A4282" t="s">
        <v>133</v>
      </c>
      <c r="B4282" s="1">
        <v>45892</v>
      </c>
      <c r="C4282" s="1">
        <v>45892</v>
      </c>
      <c r="D4282">
        <v>923362</v>
      </c>
      <c r="E4282">
        <v>27</v>
      </c>
      <c r="F4282" s="3" t="s">
        <v>3731</v>
      </c>
      <c r="G4282" s="4">
        <v>110280.5</v>
      </c>
      <c r="H4282" s="4">
        <v>0</v>
      </c>
      <c r="I4282" s="4">
        <v>-104411809.91</v>
      </c>
    </row>
    <row r="4283" spans="1:9" x14ac:dyDescent="0.3">
      <c r="A4283" t="s">
        <v>133</v>
      </c>
      <c r="B4283" s="1">
        <v>45892</v>
      </c>
      <c r="C4283" s="1">
        <v>45892</v>
      </c>
      <c r="D4283">
        <v>923371</v>
      </c>
      <c r="E4283">
        <v>26</v>
      </c>
      <c r="F4283" s="3" t="s">
        <v>3732</v>
      </c>
      <c r="G4283" s="4">
        <v>210000</v>
      </c>
      <c r="H4283" s="4">
        <v>0</v>
      </c>
      <c r="I4283" s="4">
        <v>-104201809.91</v>
      </c>
    </row>
    <row r="4284" spans="1:9" x14ac:dyDescent="0.3">
      <c r="A4284" t="s">
        <v>133</v>
      </c>
      <c r="B4284" s="1">
        <v>45892</v>
      </c>
      <c r="C4284" s="1">
        <v>45892</v>
      </c>
      <c r="D4284">
        <v>923378</v>
      </c>
      <c r="E4284">
        <v>98</v>
      </c>
      <c r="F4284" s="3" t="s">
        <v>3733</v>
      </c>
      <c r="G4284" s="4">
        <v>33625</v>
      </c>
      <c r="H4284" s="4">
        <v>0</v>
      </c>
      <c r="I4284" s="4">
        <v>-104168184.91</v>
      </c>
    </row>
    <row r="4285" spans="1:9" x14ac:dyDescent="0.3">
      <c r="A4285" t="s">
        <v>133</v>
      </c>
      <c r="B4285" s="1">
        <v>45892</v>
      </c>
      <c r="C4285" s="1">
        <v>45892</v>
      </c>
      <c r="D4285">
        <v>923396</v>
      </c>
      <c r="E4285">
        <v>42</v>
      </c>
      <c r="F4285" s="3" t="s">
        <v>3734</v>
      </c>
      <c r="G4285" s="4">
        <v>20484.25</v>
      </c>
      <c r="H4285" s="4">
        <v>0</v>
      </c>
      <c r="I4285" s="4">
        <v>-104147700.66</v>
      </c>
    </row>
    <row r="4286" spans="1:9" x14ac:dyDescent="0.3">
      <c r="A4286" t="s">
        <v>133</v>
      </c>
      <c r="B4286" s="1">
        <v>45892</v>
      </c>
      <c r="C4286" s="1">
        <v>45892</v>
      </c>
      <c r="D4286">
        <v>923398</v>
      </c>
      <c r="E4286">
        <v>55</v>
      </c>
      <c r="F4286" s="3" t="s">
        <v>3735</v>
      </c>
      <c r="G4286" s="4">
        <v>280000</v>
      </c>
      <c r="H4286" s="4">
        <v>0</v>
      </c>
      <c r="I4286" s="4">
        <v>-103867700.66</v>
      </c>
    </row>
    <row r="4287" spans="1:9" x14ac:dyDescent="0.3">
      <c r="A4287" t="s">
        <v>133</v>
      </c>
      <c r="B4287" s="1">
        <v>45892</v>
      </c>
      <c r="C4287" s="1">
        <v>45892</v>
      </c>
      <c r="D4287">
        <v>923410</v>
      </c>
      <c r="E4287">
        <v>74</v>
      </c>
      <c r="F4287" s="3" t="s">
        <v>3736</v>
      </c>
      <c r="G4287" s="4">
        <v>150000</v>
      </c>
      <c r="H4287" s="4">
        <v>0</v>
      </c>
      <c r="I4287" s="4">
        <v>-103717700.66</v>
      </c>
    </row>
    <row r="4288" spans="1:9" x14ac:dyDescent="0.3">
      <c r="A4288" t="s">
        <v>133</v>
      </c>
      <c r="B4288" s="1">
        <v>45892</v>
      </c>
      <c r="C4288" s="1">
        <v>45892</v>
      </c>
      <c r="D4288">
        <v>923437</v>
      </c>
      <c r="E4288">
        <v>351</v>
      </c>
      <c r="F4288" s="3" t="s">
        <v>3737</v>
      </c>
      <c r="G4288" s="4">
        <v>146000</v>
      </c>
      <c r="H4288" s="4">
        <v>0</v>
      </c>
      <c r="I4288" s="4">
        <v>-103571700.66</v>
      </c>
    </row>
    <row r="4289" spans="1:9" x14ac:dyDescent="0.3">
      <c r="A4289" t="s">
        <v>133</v>
      </c>
      <c r="B4289" s="1">
        <v>45892</v>
      </c>
      <c r="C4289" s="1">
        <v>45892</v>
      </c>
      <c r="D4289">
        <v>923438</v>
      </c>
      <c r="E4289">
        <v>351</v>
      </c>
      <c r="F4289" s="3" t="s">
        <v>3738</v>
      </c>
      <c r="G4289" s="4">
        <v>495.5</v>
      </c>
      <c r="H4289" s="4">
        <v>0</v>
      </c>
      <c r="I4289" s="4">
        <v>-103571205.16</v>
      </c>
    </row>
    <row r="4290" spans="1:9" x14ac:dyDescent="0.3">
      <c r="A4290" t="s">
        <v>133</v>
      </c>
      <c r="B4290" s="1">
        <v>45892</v>
      </c>
      <c r="C4290" s="1">
        <v>45892</v>
      </c>
      <c r="D4290">
        <v>923439</v>
      </c>
      <c r="E4290">
        <v>18</v>
      </c>
      <c r="F4290" s="3" t="s">
        <v>3739</v>
      </c>
      <c r="G4290" s="4">
        <v>330000</v>
      </c>
      <c r="H4290" s="4">
        <v>0</v>
      </c>
      <c r="I4290" s="4">
        <v>-103241205.16</v>
      </c>
    </row>
    <row r="4291" spans="1:9" x14ac:dyDescent="0.3">
      <c r="A4291" t="s">
        <v>133</v>
      </c>
      <c r="B4291" s="1">
        <v>45892</v>
      </c>
      <c r="C4291" s="1">
        <v>45892</v>
      </c>
      <c r="D4291">
        <v>923441</v>
      </c>
      <c r="E4291">
        <v>14</v>
      </c>
      <c r="F4291" s="3" t="s">
        <v>3740</v>
      </c>
      <c r="G4291" s="4">
        <v>250000</v>
      </c>
      <c r="H4291" s="4">
        <v>0</v>
      </c>
      <c r="I4291" s="4">
        <v>-102991205.16</v>
      </c>
    </row>
    <row r="4292" spans="1:9" x14ac:dyDescent="0.3">
      <c r="A4292" t="s">
        <v>133</v>
      </c>
      <c r="B4292" s="1">
        <v>45892</v>
      </c>
      <c r="C4292" s="1">
        <v>45892</v>
      </c>
      <c r="D4292">
        <v>923451</v>
      </c>
      <c r="E4292">
        <v>28</v>
      </c>
      <c r="F4292" s="3" t="s">
        <v>3741</v>
      </c>
      <c r="G4292" s="4">
        <v>260000</v>
      </c>
      <c r="H4292" s="4">
        <v>0</v>
      </c>
      <c r="I4292" s="4">
        <v>-102731205.16</v>
      </c>
    </row>
    <row r="4293" spans="1:9" x14ac:dyDescent="0.3">
      <c r="A4293" t="s">
        <v>133</v>
      </c>
      <c r="B4293" s="1">
        <v>45892</v>
      </c>
      <c r="C4293" s="1">
        <v>45892</v>
      </c>
      <c r="D4293">
        <v>923453</v>
      </c>
      <c r="E4293">
        <v>45</v>
      </c>
      <c r="F4293" s="3" t="s">
        <v>3742</v>
      </c>
      <c r="G4293" s="4">
        <v>106607</v>
      </c>
      <c r="H4293" s="4">
        <v>0</v>
      </c>
      <c r="I4293" s="4">
        <v>-102624598.16</v>
      </c>
    </row>
    <row r="4294" spans="1:9" x14ac:dyDescent="0.3">
      <c r="A4294" t="s">
        <v>133</v>
      </c>
      <c r="B4294" s="1">
        <v>45892</v>
      </c>
      <c r="C4294" s="1">
        <v>45892</v>
      </c>
      <c r="D4294">
        <v>923458</v>
      </c>
      <c r="E4294">
        <v>12</v>
      </c>
      <c r="F4294" s="3" t="s">
        <v>3743</v>
      </c>
      <c r="G4294" s="4">
        <v>350000</v>
      </c>
      <c r="H4294" s="4">
        <v>0</v>
      </c>
      <c r="I4294" s="4">
        <v>-102274598.16</v>
      </c>
    </row>
    <row r="4295" spans="1:9" x14ac:dyDescent="0.3">
      <c r="A4295" t="s">
        <v>133</v>
      </c>
      <c r="B4295" s="1">
        <v>45892</v>
      </c>
      <c r="C4295" s="1">
        <v>45892</v>
      </c>
      <c r="D4295">
        <v>923459</v>
      </c>
      <c r="E4295">
        <v>382</v>
      </c>
      <c r="F4295" s="3" t="s">
        <v>3744</v>
      </c>
      <c r="G4295" s="4">
        <v>33006.5</v>
      </c>
      <c r="H4295" s="4">
        <v>0</v>
      </c>
      <c r="I4295" s="4">
        <v>-102241591.66</v>
      </c>
    </row>
    <row r="4296" spans="1:9" x14ac:dyDescent="0.3">
      <c r="A4296" t="s">
        <v>133</v>
      </c>
      <c r="B4296" s="1">
        <v>45892</v>
      </c>
      <c r="C4296" s="1">
        <v>45892</v>
      </c>
      <c r="D4296">
        <v>923465</v>
      </c>
      <c r="E4296">
        <v>11</v>
      </c>
      <c r="F4296" s="3" t="s">
        <v>3745</v>
      </c>
      <c r="G4296" s="4">
        <v>474771.25</v>
      </c>
      <c r="H4296" s="4">
        <v>0</v>
      </c>
      <c r="I4296" s="4">
        <v>-101766820.41</v>
      </c>
    </row>
    <row r="4297" spans="1:9" x14ac:dyDescent="0.3">
      <c r="A4297" t="s">
        <v>133</v>
      </c>
      <c r="B4297" s="1">
        <v>45892</v>
      </c>
      <c r="C4297" s="1">
        <v>45892</v>
      </c>
      <c r="D4297">
        <v>923466</v>
      </c>
      <c r="E4297">
        <v>11</v>
      </c>
      <c r="F4297" s="3" t="s">
        <v>3746</v>
      </c>
      <c r="G4297" s="4">
        <v>1369463.5</v>
      </c>
      <c r="H4297" s="4">
        <v>0</v>
      </c>
      <c r="I4297" s="4">
        <v>-100397356.91</v>
      </c>
    </row>
    <row r="4298" spans="1:9" x14ac:dyDescent="0.3">
      <c r="A4298" t="s">
        <v>133</v>
      </c>
      <c r="B4298" s="1">
        <v>45892</v>
      </c>
      <c r="C4298" s="1">
        <v>45892</v>
      </c>
      <c r="D4298">
        <v>923469</v>
      </c>
      <c r="E4298">
        <v>412</v>
      </c>
      <c r="F4298" s="3" t="s">
        <v>181</v>
      </c>
      <c r="G4298" s="4">
        <v>230000</v>
      </c>
      <c r="H4298" s="4">
        <v>0</v>
      </c>
      <c r="I4298" s="4">
        <v>-100167356.91</v>
      </c>
    </row>
    <row r="4299" spans="1:9" x14ac:dyDescent="0.3">
      <c r="A4299" t="s">
        <v>133</v>
      </c>
      <c r="B4299" s="1">
        <v>45892</v>
      </c>
      <c r="C4299" s="1">
        <v>45892</v>
      </c>
      <c r="D4299">
        <v>923470</v>
      </c>
      <c r="E4299">
        <v>11</v>
      </c>
      <c r="F4299" s="3">
        <v>5610110939154</v>
      </c>
      <c r="G4299" s="4">
        <v>209</v>
      </c>
      <c r="H4299" s="4">
        <v>0</v>
      </c>
      <c r="I4299" s="4">
        <v>-100167147.91</v>
      </c>
    </row>
    <row r="4300" spans="1:9" x14ac:dyDescent="0.3">
      <c r="A4300" t="s">
        <v>133</v>
      </c>
      <c r="B4300" s="1">
        <v>45892</v>
      </c>
      <c r="C4300" s="1">
        <v>45892</v>
      </c>
      <c r="D4300">
        <v>923472</v>
      </c>
      <c r="E4300">
        <v>63</v>
      </c>
      <c r="F4300" s="3" t="s">
        <v>3747</v>
      </c>
      <c r="G4300" s="4">
        <v>19468.5</v>
      </c>
      <c r="H4300" s="4">
        <v>0</v>
      </c>
      <c r="I4300" s="4">
        <v>-100147679.41</v>
      </c>
    </row>
    <row r="4301" spans="1:9" x14ac:dyDescent="0.3">
      <c r="A4301" t="s">
        <v>133</v>
      </c>
      <c r="B4301" s="1">
        <v>45892</v>
      </c>
      <c r="C4301" s="1">
        <v>45892</v>
      </c>
      <c r="D4301">
        <v>923473</v>
      </c>
      <c r="E4301">
        <v>361</v>
      </c>
      <c r="F4301" s="3" t="s">
        <v>3748</v>
      </c>
      <c r="G4301" s="4">
        <v>150000</v>
      </c>
      <c r="H4301" s="4">
        <v>0</v>
      </c>
      <c r="I4301" s="4">
        <v>-99997679.409999996</v>
      </c>
    </row>
    <row r="4302" spans="1:9" x14ac:dyDescent="0.3">
      <c r="A4302" t="s">
        <v>133</v>
      </c>
      <c r="B4302" s="1">
        <v>45892</v>
      </c>
      <c r="C4302" s="1">
        <v>45892</v>
      </c>
      <c r="D4302">
        <v>923476</v>
      </c>
      <c r="E4302">
        <v>79</v>
      </c>
      <c r="F4302" s="3" t="s">
        <v>3749</v>
      </c>
      <c r="G4302" s="4">
        <v>300000</v>
      </c>
      <c r="H4302" s="4">
        <v>0</v>
      </c>
      <c r="I4302" s="4">
        <v>-99697679.409999996</v>
      </c>
    </row>
    <row r="4303" spans="1:9" x14ac:dyDescent="0.3">
      <c r="A4303" t="s">
        <v>133</v>
      </c>
      <c r="B4303" s="1">
        <v>45892</v>
      </c>
      <c r="C4303" s="1">
        <v>45892</v>
      </c>
      <c r="D4303">
        <v>923477</v>
      </c>
      <c r="E4303">
        <v>282</v>
      </c>
      <c r="F4303" s="3">
        <v>51177447795</v>
      </c>
      <c r="G4303" s="4">
        <v>75628</v>
      </c>
      <c r="H4303" s="4">
        <v>0</v>
      </c>
      <c r="I4303" s="4">
        <v>-99622051.409999996</v>
      </c>
    </row>
    <row r="4304" spans="1:9" x14ac:dyDescent="0.3">
      <c r="A4304" t="s">
        <v>133</v>
      </c>
      <c r="B4304" s="1">
        <v>45892</v>
      </c>
      <c r="C4304" s="1">
        <v>45892</v>
      </c>
      <c r="D4304">
        <v>923481</v>
      </c>
      <c r="E4304">
        <v>54</v>
      </c>
      <c r="F4304" s="3" t="s">
        <v>3750</v>
      </c>
      <c r="G4304" s="4">
        <v>210000</v>
      </c>
      <c r="H4304" s="4">
        <v>0</v>
      </c>
      <c r="I4304" s="4">
        <v>-99412051.409999996</v>
      </c>
    </row>
    <row r="4305" spans="1:9" x14ac:dyDescent="0.3">
      <c r="A4305" t="s">
        <v>133</v>
      </c>
      <c r="B4305" s="1">
        <v>45892</v>
      </c>
      <c r="C4305" s="1">
        <v>45892</v>
      </c>
      <c r="D4305">
        <v>923482</v>
      </c>
      <c r="E4305">
        <v>11</v>
      </c>
      <c r="F4305" s="3" t="s">
        <v>3751</v>
      </c>
      <c r="G4305" s="4">
        <v>1000000</v>
      </c>
      <c r="H4305" s="4">
        <v>0</v>
      </c>
      <c r="I4305" s="4">
        <v>-98412051.409999996</v>
      </c>
    </row>
    <row r="4306" spans="1:9" x14ac:dyDescent="0.3">
      <c r="A4306" t="s">
        <v>133</v>
      </c>
      <c r="B4306" s="1">
        <v>45892</v>
      </c>
      <c r="C4306" s="1">
        <v>45892</v>
      </c>
      <c r="D4306">
        <v>923483</v>
      </c>
      <c r="E4306">
        <v>11</v>
      </c>
      <c r="F4306" s="3" t="s">
        <v>3752</v>
      </c>
      <c r="G4306" s="4">
        <v>1000000</v>
      </c>
      <c r="H4306" s="4">
        <v>0</v>
      </c>
      <c r="I4306" s="4">
        <v>-97412051.409999996</v>
      </c>
    </row>
    <row r="4307" spans="1:9" x14ac:dyDescent="0.3">
      <c r="A4307" t="s">
        <v>133</v>
      </c>
      <c r="B4307" s="1">
        <v>45892</v>
      </c>
      <c r="C4307" s="1">
        <v>45892</v>
      </c>
      <c r="D4307">
        <v>923484</v>
      </c>
      <c r="E4307">
        <v>24</v>
      </c>
      <c r="F4307" s="3" t="s">
        <v>3753</v>
      </c>
      <c r="G4307" s="4">
        <v>420000</v>
      </c>
      <c r="H4307" s="4">
        <v>0</v>
      </c>
      <c r="I4307" s="4">
        <v>-96992051.409999996</v>
      </c>
    </row>
    <row r="4308" spans="1:9" x14ac:dyDescent="0.3">
      <c r="A4308" t="s">
        <v>133</v>
      </c>
      <c r="B4308" s="1">
        <v>45892</v>
      </c>
      <c r="C4308" s="1">
        <v>45892</v>
      </c>
      <c r="D4308">
        <v>923485</v>
      </c>
      <c r="E4308">
        <v>11</v>
      </c>
      <c r="F4308" s="3" t="s">
        <v>3754</v>
      </c>
      <c r="G4308" s="4">
        <v>2257776</v>
      </c>
      <c r="H4308" s="4">
        <v>0</v>
      </c>
      <c r="I4308" s="4">
        <v>-94734275.409999996</v>
      </c>
    </row>
    <row r="4309" spans="1:9" x14ac:dyDescent="0.3">
      <c r="A4309" t="s">
        <v>133</v>
      </c>
      <c r="B4309" s="1">
        <v>45892</v>
      </c>
      <c r="C4309" s="1">
        <v>45892</v>
      </c>
      <c r="D4309">
        <v>923494</v>
      </c>
      <c r="E4309">
        <v>36</v>
      </c>
      <c r="F4309" s="3" t="s">
        <v>3755</v>
      </c>
      <c r="G4309" s="4">
        <v>501500</v>
      </c>
      <c r="H4309" s="4">
        <v>0</v>
      </c>
      <c r="I4309" s="4">
        <v>-94232775.409999996</v>
      </c>
    </row>
    <row r="4310" spans="1:9" x14ac:dyDescent="0.3">
      <c r="A4310" t="s">
        <v>133</v>
      </c>
      <c r="B4310" s="1">
        <v>45892</v>
      </c>
      <c r="C4310" s="1">
        <v>45892</v>
      </c>
      <c r="D4310">
        <v>923502</v>
      </c>
      <c r="E4310">
        <v>58</v>
      </c>
      <c r="F4310" s="3" t="s">
        <v>3756</v>
      </c>
      <c r="G4310" s="4">
        <v>10000</v>
      </c>
      <c r="H4310" s="4">
        <v>0</v>
      </c>
      <c r="I4310" s="4">
        <v>-94222775.409999996</v>
      </c>
    </row>
    <row r="4311" spans="1:9" x14ac:dyDescent="0.3">
      <c r="A4311" t="s">
        <v>133</v>
      </c>
      <c r="B4311" s="1">
        <v>45892</v>
      </c>
      <c r="C4311" s="1">
        <v>45892</v>
      </c>
      <c r="D4311">
        <v>923503</v>
      </c>
      <c r="E4311">
        <v>58</v>
      </c>
      <c r="F4311" s="3" t="s">
        <v>3757</v>
      </c>
      <c r="G4311" s="4">
        <v>10000</v>
      </c>
      <c r="H4311" s="4">
        <v>0</v>
      </c>
      <c r="I4311" s="4">
        <v>-94212775.409999996</v>
      </c>
    </row>
    <row r="4312" spans="1:9" x14ac:dyDescent="0.3">
      <c r="A4312" t="s">
        <v>133</v>
      </c>
      <c r="B4312" s="1">
        <v>45892</v>
      </c>
      <c r="C4312" s="1">
        <v>45892</v>
      </c>
      <c r="D4312">
        <v>923504</v>
      </c>
      <c r="E4312">
        <v>58</v>
      </c>
      <c r="F4312" s="3" t="s">
        <v>3758</v>
      </c>
      <c r="G4312" s="4">
        <v>10000</v>
      </c>
      <c r="H4312" s="4">
        <v>0</v>
      </c>
      <c r="I4312" s="4">
        <v>-94202775.409999996</v>
      </c>
    </row>
    <row r="4313" spans="1:9" x14ac:dyDescent="0.3">
      <c r="A4313" t="s">
        <v>133</v>
      </c>
      <c r="B4313" s="1">
        <v>45892</v>
      </c>
      <c r="C4313" s="1">
        <v>45892</v>
      </c>
      <c r="D4313">
        <v>923505</v>
      </c>
      <c r="E4313">
        <v>58</v>
      </c>
      <c r="F4313" s="3" t="s">
        <v>3759</v>
      </c>
      <c r="G4313" s="4">
        <v>10000</v>
      </c>
      <c r="H4313" s="4">
        <v>0</v>
      </c>
      <c r="I4313" s="4">
        <v>-94192775.409999996</v>
      </c>
    </row>
    <row r="4314" spans="1:9" x14ac:dyDescent="0.3">
      <c r="A4314" t="s">
        <v>133</v>
      </c>
      <c r="B4314" s="1">
        <v>45892</v>
      </c>
      <c r="C4314" s="1">
        <v>45892</v>
      </c>
      <c r="D4314">
        <v>923506</v>
      </c>
      <c r="E4314">
        <v>58</v>
      </c>
      <c r="F4314" s="3" t="s">
        <v>3760</v>
      </c>
      <c r="G4314" s="4">
        <v>10000</v>
      </c>
      <c r="H4314" s="4">
        <v>0</v>
      </c>
      <c r="I4314" s="4">
        <v>-94182775.409999996</v>
      </c>
    </row>
    <row r="4315" spans="1:9" x14ac:dyDescent="0.3">
      <c r="A4315" t="s">
        <v>133</v>
      </c>
      <c r="B4315" s="1">
        <v>45892</v>
      </c>
      <c r="C4315" s="1">
        <v>45892</v>
      </c>
      <c r="D4315">
        <v>923507</v>
      </c>
      <c r="E4315">
        <v>58</v>
      </c>
      <c r="F4315" s="3" t="s">
        <v>3761</v>
      </c>
      <c r="G4315" s="4">
        <v>10000</v>
      </c>
      <c r="H4315" s="4">
        <v>0</v>
      </c>
      <c r="I4315" s="4">
        <v>-94172775.409999996</v>
      </c>
    </row>
    <row r="4316" spans="1:9" x14ac:dyDescent="0.3">
      <c r="A4316" t="s">
        <v>133</v>
      </c>
      <c r="B4316" s="1">
        <v>45892</v>
      </c>
      <c r="C4316" s="1">
        <v>45892</v>
      </c>
      <c r="D4316">
        <v>923508</v>
      </c>
      <c r="E4316">
        <v>58</v>
      </c>
      <c r="F4316" s="3" t="s">
        <v>3762</v>
      </c>
      <c r="G4316" s="4">
        <v>10000</v>
      </c>
      <c r="H4316" s="4">
        <v>0</v>
      </c>
      <c r="I4316" s="4">
        <v>-94162775.409999996</v>
      </c>
    </row>
    <row r="4317" spans="1:9" x14ac:dyDescent="0.3">
      <c r="A4317" t="s">
        <v>133</v>
      </c>
      <c r="B4317" s="1">
        <v>45892</v>
      </c>
      <c r="C4317" s="1">
        <v>45892</v>
      </c>
      <c r="D4317">
        <v>923509</v>
      </c>
      <c r="E4317">
        <v>58</v>
      </c>
      <c r="F4317" s="3" t="s">
        <v>3763</v>
      </c>
      <c r="G4317" s="4">
        <v>4935</v>
      </c>
      <c r="H4317" s="4">
        <v>0</v>
      </c>
      <c r="I4317" s="4">
        <v>-94157840.409999996</v>
      </c>
    </row>
    <row r="4318" spans="1:9" x14ac:dyDescent="0.3">
      <c r="A4318" t="s">
        <v>133</v>
      </c>
      <c r="B4318" s="1">
        <v>45892</v>
      </c>
      <c r="C4318" s="1">
        <v>45892</v>
      </c>
      <c r="D4318">
        <v>923510</v>
      </c>
      <c r="E4318">
        <v>58</v>
      </c>
      <c r="F4318" s="3" t="s">
        <v>3764</v>
      </c>
      <c r="G4318" s="4">
        <v>65</v>
      </c>
      <c r="H4318" s="4">
        <v>0</v>
      </c>
      <c r="I4318" s="4">
        <v>-94157775.409999996</v>
      </c>
    </row>
    <row r="4319" spans="1:9" x14ac:dyDescent="0.3">
      <c r="A4319" t="s">
        <v>133</v>
      </c>
      <c r="B4319" s="1">
        <v>45892</v>
      </c>
      <c r="C4319" s="1">
        <v>45892</v>
      </c>
      <c r="D4319">
        <v>923511</v>
      </c>
      <c r="E4319">
        <v>32</v>
      </c>
      <c r="F4319" s="3" t="s">
        <v>1161</v>
      </c>
      <c r="G4319" s="4">
        <v>160000</v>
      </c>
      <c r="H4319" s="4">
        <v>0</v>
      </c>
      <c r="I4319" s="4">
        <v>-93997775.409999996</v>
      </c>
    </row>
    <row r="4320" spans="1:9" x14ac:dyDescent="0.3">
      <c r="A4320" t="s">
        <v>133</v>
      </c>
      <c r="B4320" s="1">
        <v>45892</v>
      </c>
      <c r="C4320" s="1">
        <v>45892</v>
      </c>
      <c r="D4320">
        <v>923517</v>
      </c>
      <c r="E4320">
        <v>15</v>
      </c>
      <c r="F4320" s="3" t="s">
        <v>3765</v>
      </c>
      <c r="G4320" s="4">
        <v>245000</v>
      </c>
      <c r="H4320" s="4">
        <v>0</v>
      </c>
      <c r="I4320" s="4">
        <v>-93752775.409999996</v>
      </c>
    </row>
    <row r="4321" spans="1:9" x14ac:dyDescent="0.3">
      <c r="A4321" t="s">
        <v>133</v>
      </c>
      <c r="B4321" s="1">
        <v>45892</v>
      </c>
      <c r="C4321" s="1">
        <v>45892</v>
      </c>
      <c r="D4321">
        <v>923518</v>
      </c>
      <c r="E4321">
        <v>85</v>
      </c>
      <c r="F4321" s="3" t="s">
        <v>3766</v>
      </c>
      <c r="G4321" s="4">
        <v>240000</v>
      </c>
      <c r="H4321" s="4">
        <v>0</v>
      </c>
      <c r="I4321" s="4">
        <v>-93512775.409999996</v>
      </c>
    </row>
    <row r="4322" spans="1:9" x14ac:dyDescent="0.3">
      <c r="A4322" t="s">
        <v>133</v>
      </c>
      <c r="B4322" s="1">
        <v>45892</v>
      </c>
      <c r="C4322" s="1">
        <v>45892</v>
      </c>
      <c r="D4322">
        <v>923523</v>
      </c>
      <c r="E4322">
        <v>223</v>
      </c>
      <c r="F4322" s="3">
        <v>51179092952</v>
      </c>
      <c r="G4322" s="4">
        <v>11948</v>
      </c>
      <c r="H4322" s="4">
        <v>0</v>
      </c>
      <c r="I4322" s="4">
        <v>-93500827.409999996</v>
      </c>
    </row>
    <row r="4323" spans="1:9" x14ac:dyDescent="0.3">
      <c r="A4323" t="s">
        <v>133</v>
      </c>
      <c r="B4323" s="1">
        <v>45892</v>
      </c>
      <c r="C4323" s="1">
        <v>45892</v>
      </c>
      <c r="D4323">
        <v>923524</v>
      </c>
      <c r="E4323">
        <v>67</v>
      </c>
      <c r="F4323" s="3" t="s">
        <v>181</v>
      </c>
      <c r="G4323" s="4">
        <v>110000</v>
      </c>
      <c r="H4323" s="4">
        <v>0</v>
      </c>
      <c r="I4323" s="4">
        <v>-93390827.409999996</v>
      </c>
    </row>
    <row r="4324" spans="1:9" x14ac:dyDescent="0.3">
      <c r="A4324" t="s">
        <v>133</v>
      </c>
      <c r="B4324" s="1">
        <v>45892</v>
      </c>
      <c r="C4324" s="1">
        <v>45892</v>
      </c>
      <c r="D4324">
        <v>923525</v>
      </c>
      <c r="E4324">
        <v>28</v>
      </c>
      <c r="F4324" s="3">
        <v>51178435228</v>
      </c>
      <c r="G4324" s="4">
        <v>86234.5</v>
      </c>
      <c r="H4324" s="4">
        <v>0</v>
      </c>
      <c r="I4324" s="4">
        <v>-93304592.909999996</v>
      </c>
    </row>
    <row r="4325" spans="1:9" x14ac:dyDescent="0.3">
      <c r="A4325" t="s">
        <v>133</v>
      </c>
      <c r="B4325" s="1">
        <v>45892</v>
      </c>
      <c r="C4325" s="1">
        <v>45892</v>
      </c>
      <c r="D4325">
        <v>923526</v>
      </c>
      <c r="E4325">
        <v>78</v>
      </c>
      <c r="F4325" s="3" t="s">
        <v>679</v>
      </c>
      <c r="G4325" s="4">
        <v>245000</v>
      </c>
      <c r="H4325" s="4">
        <v>0</v>
      </c>
      <c r="I4325" s="4">
        <v>-93059592.909999996</v>
      </c>
    </row>
    <row r="4326" spans="1:9" x14ac:dyDescent="0.3">
      <c r="A4326" t="s">
        <v>133</v>
      </c>
      <c r="B4326" s="1">
        <v>45892</v>
      </c>
      <c r="C4326" s="1">
        <v>45892</v>
      </c>
      <c r="D4326">
        <v>923527</v>
      </c>
      <c r="E4326">
        <v>98</v>
      </c>
      <c r="F4326" s="3" t="s">
        <v>3767</v>
      </c>
      <c r="G4326" s="4">
        <v>58844.5</v>
      </c>
      <c r="H4326" s="4">
        <v>0</v>
      </c>
      <c r="I4326" s="4">
        <v>-93000748.409999996</v>
      </c>
    </row>
    <row r="4327" spans="1:9" x14ac:dyDescent="0.3">
      <c r="A4327" t="s">
        <v>133</v>
      </c>
      <c r="B4327" s="1">
        <v>45892</v>
      </c>
      <c r="C4327" s="1">
        <v>45892</v>
      </c>
      <c r="D4327">
        <v>923532</v>
      </c>
      <c r="E4327">
        <v>11</v>
      </c>
      <c r="F4327" s="3" t="s">
        <v>3768</v>
      </c>
      <c r="G4327" s="4">
        <v>42108.25</v>
      </c>
      <c r="H4327" s="4">
        <v>0</v>
      </c>
      <c r="I4327" s="4">
        <v>-92958640.159999996</v>
      </c>
    </row>
    <row r="4328" spans="1:9" x14ac:dyDescent="0.3">
      <c r="A4328" t="s">
        <v>133</v>
      </c>
      <c r="B4328" s="1">
        <v>45892</v>
      </c>
      <c r="C4328" s="1">
        <v>45892</v>
      </c>
      <c r="D4328">
        <v>923533</v>
      </c>
      <c r="E4328">
        <v>11</v>
      </c>
      <c r="F4328" s="3" t="s">
        <v>3769</v>
      </c>
      <c r="G4328" s="4">
        <v>400000</v>
      </c>
      <c r="H4328" s="4">
        <v>0</v>
      </c>
      <c r="I4328" s="4">
        <v>-92558640.159999996</v>
      </c>
    </row>
    <row r="4329" spans="1:9" x14ac:dyDescent="0.3">
      <c r="A4329" t="s">
        <v>133</v>
      </c>
      <c r="B4329" s="1">
        <v>45892</v>
      </c>
      <c r="C4329" s="1">
        <v>45892</v>
      </c>
      <c r="D4329">
        <v>923534</v>
      </c>
      <c r="E4329">
        <v>16</v>
      </c>
      <c r="F4329" s="3" t="s">
        <v>3770</v>
      </c>
      <c r="G4329" s="4">
        <v>300000</v>
      </c>
      <c r="H4329" s="4">
        <v>0</v>
      </c>
      <c r="I4329" s="4">
        <v>-92258640.159999996</v>
      </c>
    </row>
    <row r="4330" spans="1:9" x14ac:dyDescent="0.3">
      <c r="A4330" t="s">
        <v>133</v>
      </c>
      <c r="B4330" s="1">
        <v>45892</v>
      </c>
      <c r="C4330" s="1">
        <v>45892</v>
      </c>
      <c r="D4330">
        <v>923535</v>
      </c>
      <c r="E4330">
        <v>63</v>
      </c>
      <c r="F4330" s="3" t="s">
        <v>3771</v>
      </c>
      <c r="G4330" s="4">
        <v>150010</v>
      </c>
      <c r="H4330" s="4">
        <v>0</v>
      </c>
      <c r="I4330" s="4">
        <v>-92108630.159999996</v>
      </c>
    </row>
    <row r="4331" spans="1:9" x14ac:dyDescent="0.3">
      <c r="A4331" t="s">
        <v>133</v>
      </c>
      <c r="B4331" s="1">
        <v>45892</v>
      </c>
      <c r="C4331" s="1">
        <v>45892</v>
      </c>
      <c r="D4331">
        <v>923539</v>
      </c>
      <c r="E4331">
        <v>82</v>
      </c>
      <c r="F4331" s="3" t="s">
        <v>176</v>
      </c>
      <c r="G4331" s="4">
        <v>210000</v>
      </c>
      <c r="H4331" s="4">
        <v>0</v>
      </c>
      <c r="I4331" s="4">
        <v>-91898630.159999996</v>
      </c>
    </row>
    <row r="4332" spans="1:9" x14ac:dyDescent="0.3">
      <c r="A4332" t="s">
        <v>133</v>
      </c>
      <c r="B4332" s="1">
        <v>45892</v>
      </c>
      <c r="C4332" s="1">
        <v>45892</v>
      </c>
      <c r="D4332">
        <v>923542</v>
      </c>
      <c r="E4332">
        <v>98</v>
      </c>
      <c r="F4332" s="3" t="s">
        <v>3772</v>
      </c>
      <c r="G4332" s="4">
        <v>12909.75</v>
      </c>
      <c r="H4332" s="4">
        <v>0</v>
      </c>
      <c r="I4332" s="4">
        <v>-91885720.409999996</v>
      </c>
    </row>
    <row r="4333" spans="1:9" x14ac:dyDescent="0.3">
      <c r="A4333" t="s">
        <v>133</v>
      </c>
      <c r="B4333" s="1">
        <v>45892</v>
      </c>
      <c r="C4333" s="1">
        <v>45892</v>
      </c>
      <c r="D4333">
        <v>923546</v>
      </c>
      <c r="E4333">
        <v>56</v>
      </c>
      <c r="F4333" s="3" t="s">
        <v>3773</v>
      </c>
      <c r="G4333" s="4">
        <v>200000</v>
      </c>
      <c r="H4333" s="4">
        <v>0</v>
      </c>
      <c r="I4333" s="4">
        <v>-91685720.409999996</v>
      </c>
    </row>
    <row r="4334" spans="1:9" x14ac:dyDescent="0.3">
      <c r="A4334" t="s">
        <v>133</v>
      </c>
      <c r="B4334" s="1">
        <v>45892</v>
      </c>
      <c r="C4334" s="1">
        <v>45892</v>
      </c>
      <c r="D4334">
        <v>923547</v>
      </c>
      <c r="E4334">
        <v>82</v>
      </c>
      <c r="F4334" s="3">
        <v>5620820003668</v>
      </c>
      <c r="G4334" s="4">
        <v>49843</v>
      </c>
      <c r="H4334" s="4">
        <v>0</v>
      </c>
      <c r="I4334" s="4">
        <v>-91635877.409999996</v>
      </c>
    </row>
    <row r="4335" spans="1:9" x14ac:dyDescent="0.3">
      <c r="A4335" t="s">
        <v>133</v>
      </c>
      <c r="B4335" s="1">
        <v>45892</v>
      </c>
      <c r="C4335" s="1">
        <v>45892</v>
      </c>
      <c r="D4335">
        <v>923549</v>
      </c>
      <c r="E4335">
        <v>88</v>
      </c>
      <c r="F4335" s="3" t="s">
        <v>3774</v>
      </c>
      <c r="G4335" s="4">
        <v>20178.75</v>
      </c>
      <c r="H4335" s="4">
        <v>0</v>
      </c>
      <c r="I4335" s="4">
        <v>-91615698.659999996</v>
      </c>
    </row>
    <row r="4336" spans="1:9" x14ac:dyDescent="0.3">
      <c r="A4336" t="s">
        <v>133</v>
      </c>
      <c r="B4336" s="1">
        <v>45892</v>
      </c>
      <c r="C4336" s="1">
        <v>45892</v>
      </c>
      <c r="D4336">
        <v>923550</v>
      </c>
      <c r="E4336">
        <v>62</v>
      </c>
      <c r="F4336" s="3" t="s">
        <v>3775</v>
      </c>
      <c r="G4336" s="4">
        <v>36845</v>
      </c>
      <c r="H4336" s="4">
        <v>0</v>
      </c>
      <c r="I4336" s="4">
        <v>-91578853.659999996</v>
      </c>
    </row>
    <row r="4337" spans="1:9" x14ac:dyDescent="0.3">
      <c r="A4337" t="s">
        <v>133</v>
      </c>
      <c r="B4337" s="1">
        <v>45892</v>
      </c>
      <c r="C4337" s="1">
        <v>45892</v>
      </c>
      <c r="D4337">
        <v>923552</v>
      </c>
      <c r="E4337">
        <v>351</v>
      </c>
      <c r="F4337" s="3" t="s">
        <v>3776</v>
      </c>
      <c r="G4337" s="4">
        <v>220000</v>
      </c>
      <c r="H4337" s="4">
        <v>0</v>
      </c>
      <c r="I4337" s="4">
        <v>-91358853.659999996</v>
      </c>
    </row>
    <row r="4338" spans="1:9" x14ac:dyDescent="0.3">
      <c r="A4338" t="s">
        <v>133</v>
      </c>
      <c r="B4338" s="1">
        <v>45892</v>
      </c>
      <c r="C4338" s="1">
        <v>45892</v>
      </c>
      <c r="D4338">
        <v>923560</v>
      </c>
      <c r="E4338">
        <v>84</v>
      </c>
      <c r="F4338" s="3" t="s">
        <v>3777</v>
      </c>
      <c r="G4338" s="4">
        <v>360000</v>
      </c>
      <c r="H4338" s="4">
        <v>0</v>
      </c>
      <c r="I4338" s="4">
        <v>-90998853.659999996</v>
      </c>
    </row>
    <row r="4339" spans="1:9" x14ac:dyDescent="0.3">
      <c r="A4339" t="s">
        <v>133</v>
      </c>
      <c r="B4339" s="1">
        <v>45892</v>
      </c>
      <c r="C4339" s="1">
        <v>45892</v>
      </c>
      <c r="D4339">
        <v>923561</v>
      </c>
      <c r="E4339">
        <v>52</v>
      </c>
      <c r="F4339" s="3" t="s">
        <v>3778</v>
      </c>
      <c r="G4339" s="4">
        <v>36228</v>
      </c>
      <c r="H4339" s="4">
        <v>0</v>
      </c>
      <c r="I4339" s="4">
        <v>-90962625.659999996</v>
      </c>
    </row>
    <row r="4340" spans="1:9" x14ac:dyDescent="0.3">
      <c r="A4340" t="s">
        <v>133</v>
      </c>
      <c r="B4340" s="1">
        <v>45892</v>
      </c>
      <c r="C4340" s="1">
        <v>45892</v>
      </c>
      <c r="D4340">
        <v>923562</v>
      </c>
      <c r="E4340">
        <v>97</v>
      </c>
      <c r="F4340" s="3">
        <v>100009474270</v>
      </c>
      <c r="G4340" s="4">
        <v>220000</v>
      </c>
      <c r="H4340" s="4">
        <v>0</v>
      </c>
      <c r="I4340" s="4">
        <v>-90742625.659999996</v>
      </c>
    </row>
    <row r="4341" spans="1:9" x14ac:dyDescent="0.3">
      <c r="A4341" t="s">
        <v>133</v>
      </c>
      <c r="B4341" s="1">
        <v>45892</v>
      </c>
      <c r="C4341" s="1">
        <v>45892</v>
      </c>
      <c r="D4341">
        <v>923564</v>
      </c>
      <c r="E4341">
        <v>27</v>
      </c>
      <c r="F4341" s="3" t="s">
        <v>3779</v>
      </c>
      <c r="G4341" s="4">
        <v>200000</v>
      </c>
      <c r="H4341" s="4">
        <v>0</v>
      </c>
      <c r="I4341" s="4">
        <v>-90542625.659999996</v>
      </c>
    </row>
    <row r="4342" spans="1:9" x14ac:dyDescent="0.3">
      <c r="A4342" t="s">
        <v>133</v>
      </c>
      <c r="B4342" s="1">
        <v>45892</v>
      </c>
      <c r="C4342" s="1">
        <v>45892</v>
      </c>
      <c r="D4342">
        <v>923565</v>
      </c>
      <c r="E4342">
        <v>98</v>
      </c>
      <c r="F4342" s="3" t="s">
        <v>3780</v>
      </c>
      <c r="G4342" s="4">
        <v>75894</v>
      </c>
      <c r="H4342" s="4">
        <v>0</v>
      </c>
      <c r="I4342" s="4">
        <v>-90466731.659999996</v>
      </c>
    </row>
    <row r="4343" spans="1:9" x14ac:dyDescent="0.3">
      <c r="A4343" t="s">
        <v>133</v>
      </c>
      <c r="B4343" s="1">
        <v>45892</v>
      </c>
      <c r="C4343" s="1">
        <v>45892</v>
      </c>
      <c r="D4343">
        <v>923566</v>
      </c>
      <c r="E4343">
        <v>52</v>
      </c>
      <c r="F4343" s="3" t="s">
        <v>3781</v>
      </c>
      <c r="G4343" s="4">
        <v>99937.5</v>
      </c>
      <c r="H4343" s="4">
        <v>0</v>
      </c>
      <c r="I4343" s="4">
        <v>-90366794.159999996</v>
      </c>
    </row>
    <row r="4344" spans="1:9" x14ac:dyDescent="0.3">
      <c r="A4344" t="s">
        <v>133</v>
      </c>
      <c r="B4344" s="1">
        <v>45892</v>
      </c>
      <c r="C4344" s="1">
        <v>45892</v>
      </c>
      <c r="D4344">
        <v>923567</v>
      </c>
      <c r="E4344">
        <v>372</v>
      </c>
      <c r="F4344" s="3" t="s">
        <v>433</v>
      </c>
      <c r="G4344" s="4">
        <v>480055</v>
      </c>
      <c r="H4344" s="4">
        <v>0</v>
      </c>
      <c r="I4344" s="4">
        <v>-89886739.159999996</v>
      </c>
    </row>
    <row r="4345" spans="1:9" x14ac:dyDescent="0.3">
      <c r="A4345" t="s">
        <v>133</v>
      </c>
      <c r="B4345" s="1">
        <v>45892</v>
      </c>
      <c r="C4345" s="1">
        <v>45892</v>
      </c>
      <c r="D4345">
        <v>923568</v>
      </c>
      <c r="E4345">
        <v>28</v>
      </c>
      <c r="F4345" s="3">
        <v>358463</v>
      </c>
      <c r="G4345" s="4">
        <v>46076</v>
      </c>
      <c r="H4345" s="4">
        <v>0</v>
      </c>
      <c r="I4345" s="4">
        <v>-89840663.159999996</v>
      </c>
    </row>
    <row r="4346" spans="1:9" x14ac:dyDescent="0.3">
      <c r="A4346" t="s">
        <v>133</v>
      </c>
      <c r="B4346" s="1">
        <v>45892</v>
      </c>
      <c r="C4346" s="1">
        <v>45892</v>
      </c>
      <c r="D4346">
        <v>923569</v>
      </c>
      <c r="E4346">
        <v>53</v>
      </c>
      <c r="F4346" s="3" t="s">
        <v>1546</v>
      </c>
      <c r="G4346" s="4">
        <v>105000</v>
      </c>
      <c r="H4346" s="4">
        <v>0</v>
      </c>
      <c r="I4346" s="4">
        <v>-89735663.159999996</v>
      </c>
    </row>
    <row r="4347" spans="1:9" x14ac:dyDescent="0.3">
      <c r="A4347" t="s">
        <v>133</v>
      </c>
      <c r="B4347" s="1">
        <v>45892</v>
      </c>
      <c r="C4347" s="1">
        <v>45892</v>
      </c>
      <c r="D4347">
        <v>923570</v>
      </c>
      <c r="E4347">
        <v>98</v>
      </c>
      <c r="F4347" s="3" t="s">
        <v>3782</v>
      </c>
      <c r="G4347" s="4">
        <v>10338.25</v>
      </c>
      <c r="H4347" s="4">
        <v>0</v>
      </c>
      <c r="I4347" s="4">
        <v>-89725324.909999996</v>
      </c>
    </row>
    <row r="4348" spans="1:9" x14ac:dyDescent="0.3">
      <c r="A4348" t="s">
        <v>133</v>
      </c>
      <c r="B4348" s="1">
        <v>45892</v>
      </c>
      <c r="C4348" s="1">
        <v>45892</v>
      </c>
      <c r="D4348">
        <v>923572</v>
      </c>
      <c r="E4348">
        <v>89</v>
      </c>
      <c r="F4348" s="3" t="s">
        <v>3783</v>
      </c>
      <c r="G4348" s="4">
        <v>120000</v>
      </c>
      <c r="H4348" s="4">
        <v>0</v>
      </c>
      <c r="I4348" s="4">
        <v>-89605324.909999996</v>
      </c>
    </row>
    <row r="4349" spans="1:9" x14ac:dyDescent="0.3">
      <c r="A4349" t="s">
        <v>133</v>
      </c>
      <c r="B4349" s="1">
        <v>45892</v>
      </c>
      <c r="C4349" s="1">
        <v>45892</v>
      </c>
      <c r="D4349">
        <v>923574</v>
      </c>
      <c r="E4349">
        <v>84</v>
      </c>
      <c r="F4349" s="3" t="s">
        <v>3784</v>
      </c>
      <c r="G4349" s="4">
        <v>27496.25</v>
      </c>
      <c r="H4349" s="4">
        <v>0</v>
      </c>
      <c r="I4349" s="4">
        <v>-89577828.659999996</v>
      </c>
    </row>
    <row r="4350" spans="1:9" x14ac:dyDescent="0.3">
      <c r="A4350" t="s">
        <v>133</v>
      </c>
      <c r="B4350" s="1">
        <v>45892</v>
      </c>
      <c r="C4350" s="1">
        <v>45892</v>
      </c>
      <c r="D4350">
        <v>923578</v>
      </c>
      <c r="E4350">
        <v>84</v>
      </c>
      <c r="F4350" s="3" t="s">
        <v>3785</v>
      </c>
      <c r="G4350" s="4">
        <v>15548.5</v>
      </c>
      <c r="H4350" s="4">
        <v>0</v>
      </c>
      <c r="I4350" s="4">
        <v>-89562280.159999996</v>
      </c>
    </row>
    <row r="4351" spans="1:9" x14ac:dyDescent="0.3">
      <c r="A4351" t="s">
        <v>133</v>
      </c>
      <c r="B4351" s="1">
        <v>45892</v>
      </c>
      <c r="C4351" s="1">
        <v>45892</v>
      </c>
      <c r="D4351">
        <v>923581</v>
      </c>
      <c r="E4351">
        <v>84</v>
      </c>
      <c r="F4351" s="3" t="s">
        <v>3786</v>
      </c>
      <c r="G4351" s="4">
        <v>47137.5</v>
      </c>
      <c r="H4351" s="4">
        <v>0</v>
      </c>
      <c r="I4351" s="4">
        <v>-89515142.659999996</v>
      </c>
    </row>
    <row r="4352" spans="1:9" x14ac:dyDescent="0.3">
      <c r="A4352" t="s">
        <v>133</v>
      </c>
      <c r="B4352" s="1">
        <v>45892</v>
      </c>
      <c r="C4352" s="1">
        <v>45892</v>
      </c>
      <c r="D4352">
        <v>923590</v>
      </c>
      <c r="E4352">
        <v>94</v>
      </c>
      <c r="F4352" s="3" t="s">
        <v>3787</v>
      </c>
      <c r="G4352" s="4">
        <v>1206.25</v>
      </c>
      <c r="H4352" s="4">
        <v>0</v>
      </c>
      <c r="I4352" s="4">
        <v>-89513936.409999996</v>
      </c>
    </row>
    <row r="4353" spans="1:9" x14ac:dyDescent="0.3">
      <c r="A4353" t="s">
        <v>133</v>
      </c>
      <c r="B4353" s="1">
        <v>45892</v>
      </c>
      <c r="C4353" s="1">
        <v>45892</v>
      </c>
      <c r="D4353">
        <v>923593</v>
      </c>
      <c r="E4353">
        <v>94</v>
      </c>
      <c r="F4353" s="3" t="s">
        <v>3788</v>
      </c>
      <c r="G4353" s="4">
        <v>412636.25</v>
      </c>
      <c r="H4353" s="4">
        <v>0</v>
      </c>
      <c r="I4353" s="4">
        <v>-89101300.159999996</v>
      </c>
    </row>
    <row r="4354" spans="1:9" x14ac:dyDescent="0.3">
      <c r="A4354" t="s">
        <v>133</v>
      </c>
      <c r="B4354" s="1">
        <v>45892</v>
      </c>
      <c r="C4354" s="1">
        <v>45892</v>
      </c>
      <c r="D4354">
        <v>923594</v>
      </c>
      <c r="E4354">
        <v>49</v>
      </c>
      <c r="F4354" s="3" t="s">
        <v>3789</v>
      </c>
      <c r="G4354" s="4">
        <v>3023</v>
      </c>
      <c r="H4354" s="4">
        <v>0</v>
      </c>
      <c r="I4354" s="4">
        <v>-89098277.159999996</v>
      </c>
    </row>
    <row r="4355" spans="1:9" x14ac:dyDescent="0.3">
      <c r="A4355" t="s">
        <v>133</v>
      </c>
      <c r="B4355" s="1">
        <v>45892</v>
      </c>
      <c r="C4355" s="1">
        <v>45892</v>
      </c>
      <c r="D4355">
        <v>923595</v>
      </c>
      <c r="E4355">
        <v>70</v>
      </c>
      <c r="F4355" s="3" t="s">
        <v>3790</v>
      </c>
      <c r="G4355" s="4">
        <v>220000</v>
      </c>
      <c r="H4355" s="4">
        <v>0</v>
      </c>
      <c r="I4355" s="4">
        <v>-88878277.159999996</v>
      </c>
    </row>
    <row r="4356" spans="1:9" x14ac:dyDescent="0.3">
      <c r="A4356" t="s">
        <v>133</v>
      </c>
      <c r="B4356" s="1">
        <v>45892</v>
      </c>
      <c r="C4356" s="1">
        <v>45892</v>
      </c>
      <c r="D4356">
        <v>923596</v>
      </c>
      <c r="E4356">
        <v>98</v>
      </c>
      <c r="F4356" s="3" t="s">
        <v>3791</v>
      </c>
      <c r="G4356" s="4">
        <v>100000</v>
      </c>
      <c r="H4356" s="4">
        <v>0</v>
      </c>
      <c r="I4356" s="4">
        <v>-88778277.159999996</v>
      </c>
    </row>
    <row r="4357" spans="1:9" x14ac:dyDescent="0.3">
      <c r="A4357" t="s">
        <v>133</v>
      </c>
      <c r="B4357" s="1">
        <v>45892</v>
      </c>
      <c r="C4357" s="1">
        <v>45892</v>
      </c>
      <c r="D4357">
        <v>923597</v>
      </c>
      <c r="E4357">
        <v>282</v>
      </c>
      <c r="F4357" s="3" t="s">
        <v>3792</v>
      </c>
      <c r="G4357" s="4">
        <v>3000</v>
      </c>
      <c r="H4357" s="4">
        <v>0</v>
      </c>
      <c r="I4357" s="4">
        <v>-88775277.159999996</v>
      </c>
    </row>
    <row r="4358" spans="1:9" x14ac:dyDescent="0.3">
      <c r="A4358" t="s">
        <v>133</v>
      </c>
      <c r="B4358" s="1">
        <v>45892</v>
      </c>
      <c r="C4358" s="1">
        <v>45892</v>
      </c>
      <c r="D4358">
        <v>923600</v>
      </c>
      <c r="E4358">
        <v>28</v>
      </c>
      <c r="F4358" s="3">
        <v>358462</v>
      </c>
      <c r="G4358" s="4">
        <v>23139</v>
      </c>
      <c r="H4358" s="4">
        <v>0</v>
      </c>
      <c r="I4358" s="4">
        <v>-88752138.159999996</v>
      </c>
    </row>
    <row r="4359" spans="1:9" x14ac:dyDescent="0.3">
      <c r="A4359" t="s">
        <v>133</v>
      </c>
      <c r="B4359" s="1">
        <v>45892</v>
      </c>
      <c r="C4359" s="1">
        <v>45892</v>
      </c>
      <c r="D4359">
        <v>923601</v>
      </c>
      <c r="E4359">
        <v>38</v>
      </c>
      <c r="F4359" s="3" t="s">
        <v>3793</v>
      </c>
      <c r="G4359" s="4">
        <v>504067</v>
      </c>
      <c r="H4359" s="4">
        <v>0</v>
      </c>
      <c r="I4359" s="4">
        <v>-88248071.159999996</v>
      </c>
    </row>
    <row r="4360" spans="1:9" x14ac:dyDescent="0.3">
      <c r="A4360" t="s">
        <v>133</v>
      </c>
      <c r="B4360" s="1">
        <v>45892</v>
      </c>
      <c r="C4360" s="1">
        <v>45892</v>
      </c>
      <c r="D4360">
        <v>923602</v>
      </c>
      <c r="E4360">
        <v>17</v>
      </c>
      <c r="F4360" s="3" t="s">
        <v>3794</v>
      </c>
      <c r="G4360" s="4">
        <v>992072.5</v>
      </c>
      <c r="H4360" s="4">
        <v>0</v>
      </c>
      <c r="I4360" s="4">
        <v>-87255998.659999996</v>
      </c>
    </row>
    <row r="4361" spans="1:9" x14ac:dyDescent="0.3">
      <c r="A4361" t="s">
        <v>133</v>
      </c>
      <c r="B4361" s="1">
        <v>45892</v>
      </c>
      <c r="C4361" s="1">
        <v>45892</v>
      </c>
      <c r="D4361">
        <v>923604</v>
      </c>
      <c r="E4361">
        <v>80</v>
      </c>
      <c r="F4361" s="3" t="s">
        <v>3795</v>
      </c>
      <c r="G4361" s="4">
        <v>100000</v>
      </c>
      <c r="H4361" s="4">
        <v>0</v>
      </c>
      <c r="I4361" s="4">
        <v>-87155998.659999996</v>
      </c>
    </row>
    <row r="4362" spans="1:9" x14ac:dyDescent="0.3">
      <c r="A4362" t="s">
        <v>133</v>
      </c>
      <c r="B4362" s="1">
        <v>45892</v>
      </c>
      <c r="C4362" s="1">
        <v>45892</v>
      </c>
      <c r="D4362">
        <v>923607</v>
      </c>
      <c r="E4362">
        <v>351</v>
      </c>
      <c r="F4362" s="3" t="s">
        <v>3796</v>
      </c>
      <c r="G4362" s="4">
        <v>38693</v>
      </c>
      <c r="H4362" s="4">
        <v>0</v>
      </c>
      <c r="I4362" s="4">
        <v>-87117305.659999996</v>
      </c>
    </row>
    <row r="4363" spans="1:9" x14ac:dyDescent="0.3">
      <c r="A4363" t="s">
        <v>133</v>
      </c>
      <c r="B4363" s="1">
        <v>45892</v>
      </c>
      <c r="C4363" s="1">
        <v>45892</v>
      </c>
      <c r="D4363">
        <v>923610</v>
      </c>
      <c r="E4363">
        <v>61</v>
      </c>
      <c r="F4363" s="3" t="s">
        <v>3797</v>
      </c>
      <c r="G4363" s="4">
        <v>100000</v>
      </c>
      <c r="H4363" s="4">
        <v>0</v>
      </c>
      <c r="I4363" s="4">
        <v>-87017305.659999996</v>
      </c>
    </row>
    <row r="4364" spans="1:9" x14ac:dyDescent="0.3">
      <c r="A4364" t="s">
        <v>133</v>
      </c>
      <c r="B4364" s="1">
        <v>45892</v>
      </c>
      <c r="C4364" s="1">
        <v>45892</v>
      </c>
      <c r="D4364">
        <v>923611</v>
      </c>
      <c r="E4364">
        <v>62</v>
      </c>
      <c r="F4364" s="3" t="s">
        <v>3798</v>
      </c>
      <c r="G4364" s="4">
        <v>310000</v>
      </c>
      <c r="H4364" s="4">
        <v>0</v>
      </c>
      <c r="I4364" s="4">
        <v>-86707305.659999996</v>
      </c>
    </row>
    <row r="4365" spans="1:9" x14ac:dyDescent="0.3">
      <c r="A4365" t="s">
        <v>133</v>
      </c>
      <c r="B4365" s="1">
        <v>45892</v>
      </c>
      <c r="C4365" s="1">
        <v>45892</v>
      </c>
      <c r="D4365">
        <v>923615</v>
      </c>
      <c r="E4365">
        <v>23</v>
      </c>
      <c r="F4365" s="3" t="s">
        <v>3799</v>
      </c>
      <c r="G4365" s="4">
        <v>700000</v>
      </c>
      <c r="H4365" s="4">
        <v>0</v>
      </c>
      <c r="I4365" s="4">
        <v>-86007305.659999996</v>
      </c>
    </row>
    <row r="4366" spans="1:9" x14ac:dyDescent="0.3">
      <c r="A4366" t="s">
        <v>133</v>
      </c>
      <c r="B4366" s="1">
        <v>45892</v>
      </c>
      <c r="C4366" s="1">
        <v>45892</v>
      </c>
      <c r="D4366">
        <v>923631</v>
      </c>
      <c r="E4366">
        <v>38</v>
      </c>
      <c r="F4366" s="3">
        <v>584</v>
      </c>
      <c r="G4366" s="4">
        <v>243944.5</v>
      </c>
      <c r="H4366" s="4">
        <v>0</v>
      </c>
      <c r="I4366" s="4">
        <v>-85763361.159999996</v>
      </c>
    </row>
    <row r="4367" spans="1:9" x14ac:dyDescent="0.3">
      <c r="A4367" t="s">
        <v>133</v>
      </c>
      <c r="B4367" s="1">
        <v>45892</v>
      </c>
      <c r="C4367" s="1">
        <v>45892</v>
      </c>
      <c r="D4367">
        <v>923635</v>
      </c>
      <c r="E4367">
        <v>81</v>
      </c>
      <c r="F4367" s="3" t="s">
        <v>3800</v>
      </c>
      <c r="G4367" s="4">
        <v>200000</v>
      </c>
      <c r="H4367" s="4">
        <v>0</v>
      </c>
      <c r="I4367" s="4">
        <v>-85563361.159999996</v>
      </c>
    </row>
    <row r="4368" spans="1:9" x14ac:dyDescent="0.3">
      <c r="A4368" t="s">
        <v>75</v>
      </c>
      <c r="B4368" s="1">
        <v>45890</v>
      </c>
      <c r="C4368" s="1">
        <v>45893</v>
      </c>
      <c r="D4368">
        <v>143936</v>
      </c>
      <c r="E4368">
        <v>11</v>
      </c>
      <c r="F4368" s="3" t="s">
        <v>3801</v>
      </c>
      <c r="G4368" s="4">
        <v>53366</v>
      </c>
      <c r="H4368" s="4">
        <v>0</v>
      </c>
      <c r="I4368" s="4">
        <v>-85509995.159999996</v>
      </c>
    </row>
    <row r="4369" spans="1:9" x14ac:dyDescent="0.3">
      <c r="A4369" t="s">
        <v>75</v>
      </c>
      <c r="B4369" s="1">
        <v>45892</v>
      </c>
      <c r="C4369" s="1">
        <v>45893</v>
      </c>
      <c r="D4369">
        <v>143937</v>
      </c>
      <c r="E4369">
        <v>71</v>
      </c>
      <c r="F4369" s="3" t="s">
        <v>3802</v>
      </c>
      <c r="G4369" s="4">
        <v>100001</v>
      </c>
      <c r="H4369" s="4">
        <v>0</v>
      </c>
      <c r="I4369" s="4">
        <v>-85409994.159999996</v>
      </c>
    </row>
    <row r="4370" spans="1:9" x14ac:dyDescent="0.3">
      <c r="A4370" t="s">
        <v>75</v>
      </c>
      <c r="B4370" s="1">
        <v>45890</v>
      </c>
      <c r="C4370" s="1">
        <v>45893</v>
      </c>
      <c r="D4370">
        <v>143938</v>
      </c>
      <c r="E4370">
        <v>58</v>
      </c>
      <c r="F4370" s="3" t="s">
        <v>3803</v>
      </c>
      <c r="G4370" s="4">
        <v>21700</v>
      </c>
      <c r="H4370" s="4">
        <v>0</v>
      </c>
      <c r="I4370" s="4">
        <v>-85388294.159999996</v>
      </c>
    </row>
    <row r="4371" spans="1:9" x14ac:dyDescent="0.3">
      <c r="A4371" t="s">
        <v>75</v>
      </c>
      <c r="B4371" s="1">
        <v>45886</v>
      </c>
      <c r="C4371" s="1">
        <v>45893</v>
      </c>
      <c r="D4371">
        <v>143939</v>
      </c>
      <c r="E4371">
        <v>58</v>
      </c>
      <c r="F4371" s="3" t="s">
        <v>3804</v>
      </c>
      <c r="G4371" s="4">
        <v>105157</v>
      </c>
      <c r="H4371" s="4">
        <v>0</v>
      </c>
      <c r="I4371" s="4">
        <v>-85283137.159999996</v>
      </c>
    </row>
    <row r="4372" spans="1:9" x14ac:dyDescent="0.3">
      <c r="A4372" t="s">
        <v>75</v>
      </c>
      <c r="B4372" s="1">
        <v>45891</v>
      </c>
      <c r="C4372" s="1">
        <v>45893</v>
      </c>
      <c r="D4372">
        <v>143940</v>
      </c>
      <c r="E4372">
        <v>301</v>
      </c>
      <c r="F4372" s="3" t="s">
        <v>3805</v>
      </c>
      <c r="G4372" s="4">
        <v>21103</v>
      </c>
      <c r="H4372" s="4">
        <v>0</v>
      </c>
      <c r="I4372" s="4">
        <v>-85262034.159999996</v>
      </c>
    </row>
    <row r="4373" spans="1:9" x14ac:dyDescent="0.3">
      <c r="A4373" t="s">
        <v>75</v>
      </c>
      <c r="B4373" s="1">
        <v>45890</v>
      </c>
      <c r="C4373" s="1">
        <v>45893</v>
      </c>
      <c r="D4373">
        <v>143941</v>
      </c>
      <c r="E4373">
        <v>72</v>
      </c>
      <c r="F4373" s="3" t="s">
        <v>3806</v>
      </c>
      <c r="G4373" s="4">
        <v>22430.5</v>
      </c>
      <c r="H4373" s="4">
        <v>0</v>
      </c>
      <c r="I4373" s="4">
        <v>-85239603.659999996</v>
      </c>
    </row>
    <row r="4374" spans="1:9" x14ac:dyDescent="0.3">
      <c r="A4374" t="s">
        <v>75</v>
      </c>
      <c r="B4374" s="1">
        <v>45892</v>
      </c>
      <c r="C4374" s="1">
        <v>45893</v>
      </c>
      <c r="D4374">
        <v>143942</v>
      </c>
      <c r="E4374">
        <v>14</v>
      </c>
      <c r="F4374" s="3" t="s">
        <v>3807</v>
      </c>
      <c r="G4374" s="4">
        <v>105200</v>
      </c>
      <c r="H4374" s="4">
        <v>0</v>
      </c>
      <c r="I4374" s="4">
        <v>-85134403.659999996</v>
      </c>
    </row>
    <row r="4375" spans="1:9" x14ac:dyDescent="0.3">
      <c r="A4375" t="s">
        <v>75</v>
      </c>
      <c r="B4375" s="1">
        <v>45889</v>
      </c>
      <c r="C4375" s="1">
        <v>45893</v>
      </c>
      <c r="D4375">
        <v>143943</v>
      </c>
      <c r="E4375">
        <v>23</v>
      </c>
      <c r="F4375" s="3" t="s">
        <v>3808</v>
      </c>
      <c r="G4375" s="4">
        <v>43755</v>
      </c>
      <c r="H4375" s="4">
        <v>0</v>
      </c>
      <c r="I4375" s="4">
        <v>-85090648.659999996</v>
      </c>
    </row>
    <row r="4376" spans="1:9" x14ac:dyDescent="0.3">
      <c r="A4376" t="s">
        <v>75</v>
      </c>
      <c r="B4376" s="1">
        <v>45893</v>
      </c>
      <c r="C4376" s="1">
        <v>45893</v>
      </c>
      <c r="D4376">
        <v>143944</v>
      </c>
      <c r="E4376">
        <v>63</v>
      </c>
      <c r="F4376" s="3" t="s">
        <v>3809</v>
      </c>
      <c r="G4376" s="4">
        <v>545</v>
      </c>
      <c r="H4376" s="4">
        <v>0</v>
      </c>
      <c r="I4376" s="4">
        <v>-85090103.659999996</v>
      </c>
    </row>
    <row r="4377" spans="1:9" x14ac:dyDescent="0.3">
      <c r="A4377" t="s">
        <v>75</v>
      </c>
      <c r="B4377" s="1">
        <v>45893</v>
      </c>
      <c r="C4377" s="1">
        <v>45893</v>
      </c>
      <c r="D4377">
        <v>143945</v>
      </c>
      <c r="E4377">
        <v>63</v>
      </c>
      <c r="F4377" s="3" t="s">
        <v>3810</v>
      </c>
      <c r="G4377" s="4">
        <v>130</v>
      </c>
      <c r="H4377" s="4">
        <v>0</v>
      </c>
      <c r="I4377" s="4">
        <v>-85089973.659999996</v>
      </c>
    </row>
    <row r="4378" spans="1:9" x14ac:dyDescent="0.3">
      <c r="A4378" t="s">
        <v>75</v>
      </c>
      <c r="B4378" s="1">
        <v>45893</v>
      </c>
      <c r="C4378" s="1">
        <v>45893</v>
      </c>
      <c r="D4378">
        <v>143946</v>
      </c>
      <c r="E4378">
        <v>63</v>
      </c>
      <c r="F4378" s="3" t="s">
        <v>3811</v>
      </c>
      <c r="G4378" s="4">
        <v>1000</v>
      </c>
      <c r="H4378" s="4">
        <v>0</v>
      </c>
      <c r="I4378" s="4">
        <v>-85088973.659999996</v>
      </c>
    </row>
    <row r="4379" spans="1:9" x14ac:dyDescent="0.3">
      <c r="A4379" t="s">
        <v>75</v>
      </c>
      <c r="B4379" s="1">
        <v>45890</v>
      </c>
      <c r="C4379" s="1">
        <v>45893</v>
      </c>
      <c r="D4379">
        <v>143947</v>
      </c>
      <c r="E4379">
        <v>86</v>
      </c>
      <c r="F4379" s="3" t="s">
        <v>3812</v>
      </c>
      <c r="G4379" s="4">
        <v>99789</v>
      </c>
      <c r="H4379" s="4">
        <v>0</v>
      </c>
      <c r="I4379" s="4">
        <v>-84989184.659999996</v>
      </c>
    </row>
    <row r="4380" spans="1:9" x14ac:dyDescent="0.3">
      <c r="A4380" t="s">
        <v>75</v>
      </c>
      <c r="B4380" s="1">
        <v>45893</v>
      </c>
      <c r="C4380" s="1">
        <v>45893</v>
      </c>
      <c r="D4380">
        <v>143949</v>
      </c>
      <c r="E4380">
        <v>11</v>
      </c>
      <c r="F4380" s="3" t="s">
        <v>3813</v>
      </c>
      <c r="G4380" s="4">
        <v>10693</v>
      </c>
      <c r="H4380" s="4">
        <v>0</v>
      </c>
      <c r="I4380" s="4">
        <v>-84978491.659999996</v>
      </c>
    </row>
    <row r="4381" spans="1:9" x14ac:dyDescent="0.3">
      <c r="A4381" t="s">
        <v>75</v>
      </c>
      <c r="B4381" s="1">
        <v>45893</v>
      </c>
      <c r="C4381" s="1">
        <v>45893</v>
      </c>
      <c r="D4381">
        <v>143950</v>
      </c>
      <c r="E4381">
        <v>16</v>
      </c>
      <c r="F4381" s="3" t="s">
        <v>3814</v>
      </c>
      <c r="G4381" s="4">
        <v>1079</v>
      </c>
      <c r="H4381" s="4">
        <v>0</v>
      </c>
      <c r="I4381" s="4">
        <v>-84977412.659999996</v>
      </c>
    </row>
    <row r="4382" spans="1:9" x14ac:dyDescent="0.3">
      <c r="A4382" t="s">
        <v>75</v>
      </c>
      <c r="B4382" s="1">
        <v>45893</v>
      </c>
      <c r="C4382" s="1">
        <v>45893</v>
      </c>
      <c r="D4382">
        <v>143952</v>
      </c>
      <c r="E4382">
        <v>72</v>
      </c>
      <c r="F4382" s="3" t="s">
        <v>3815</v>
      </c>
      <c r="G4382" s="4">
        <v>6129</v>
      </c>
      <c r="H4382" s="4">
        <v>0</v>
      </c>
      <c r="I4382" s="4">
        <v>-84971283.659999996</v>
      </c>
    </row>
    <row r="4383" spans="1:9" x14ac:dyDescent="0.3">
      <c r="A4383" t="s">
        <v>75</v>
      </c>
      <c r="B4383" s="1">
        <v>45893</v>
      </c>
      <c r="C4383" s="1">
        <v>45893</v>
      </c>
      <c r="D4383">
        <v>143953</v>
      </c>
      <c r="E4383">
        <v>14</v>
      </c>
      <c r="F4383" s="3" t="s">
        <v>3816</v>
      </c>
      <c r="G4383" s="4">
        <v>28000</v>
      </c>
      <c r="H4383" s="4">
        <v>0</v>
      </c>
      <c r="I4383" s="4">
        <v>-84943283.659999996</v>
      </c>
    </row>
    <row r="4384" spans="1:9" x14ac:dyDescent="0.3">
      <c r="A4384" t="s">
        <v>133</v>
      </c>
      <c r="B4384" s="1">
        <v>45893</v>
      </c>
      <c r="C4384" s="1">
        <v>45893</v>
      </c>
      <c r="D4384">
        <v>923658</v>
      </c>
      <c r="E4384">
        <v>88</v>
      </c>
      <c r="F4384" s="3" t="s">
        <v>3817</v>
      </c>
      <c r="G4384" s="4">
        <v>14056</v>
      </c>
      <c r="H4384" s="4">
        <v>0</v>
      </c>
      <c r="I4384" s="4">
        <v>-84929227.659999996</v>
      </c>
    </row>
    <row r="4385" spans="1:9" x14ac:dyDescent="0.3">
      <c r="A4385" t="s">
        <v>133</v>
      </c>
      <c r="B4385" s="1">
        <v>45893</v>
      </c>
      <c r="C4385" s="1">
        <v>45893</v>
      </c>
      <c r="D4385">
        <v>923661</v>
      </c>
      <c r="E4385">
        <v>88</v>
      </c>
      <c r="F4385" s="3" t="s">
        <v>3818</v>
      </c>
      <c r="G4385" s="4">
        <v>141698.25</v>
      </c>
      <c r="H4385" s="4">
        <v>0</v>
      </c>
      <c r="I4385" s="4">
        <v>-84787529.409999996</v>
      </c>
    </row>
    <row r="4386" spans="1:9" x14ac:dyDescent="0.3">
      <c r="A4386" t="s">
        <v>133</v>
      </c>
      <c r="B4386" s="1">
        <v>45893</v>
      </c>
      <c r="C4386" s="1">
        <v>45893</v>
      </c>
      <c r="D4386">
        <v>923677</v>
      </c>
      <c r="E4386">
        <v>46</v>
      </c>
      <c r="F4386" s="3" t="s">
        <v>3819</v>
      </c>
      <c r="G4386" s="4">
        <v>4744.75</v>
      </c>
      <c r="H4386" s="4">
        <v>0</v>
      </c>
      <c r="I4386" s="4">
        <v>-84782784.659999996</v>
      </c>
    </row>
    <row r="4387" spans="1:9" x14ac:dyDescent="0.3">
      <c r="A4387" t="s">
        <v>133</v>
      </c>
      <c r="B4387" s="1">
        <v>45893</v>
      </c>
      <c r="C4387" s="1">
        <v>45893</v>
      </c>
      <c r="D4387">
        <v>923679</v>
      </c>
      <c r="E4387">
        <v>46</v>
      </c>
      <c r="F4387" s="3" t="s">
        <v>3820</v>
      </c>
      <c r="G4387" s="4">
        <v>4653</v>
      </c>
      <c r="H4387" s="4">
        <v>0</v>
      </c>
      <c r="I4387" s="4">
        <v>-84778131.659999996</v>
      </c>
    </row>
    <row r="4388" spans="1:9" x14ac:dyDescent="0.3">
      <c r="A4388" t="s">
        <v>133</v>
      </c>
      <c r="B4388" s="1">
        <v>45893</v>
      </c>
      <c r="C4388" s="1">
        <v>45893</v>
      </c>
      <c r="D4388">
        <v>923688</v>
      </c>
      <c r="E4388">
        <v>46</v>
      </c>
      <c r="F4388" s="3" t="s">
        <v>3821</v>
      </c>
      <c r="G4388" s="4">
        <v>5357.5</v>
      </c>
      <c r="H4388" s="4">
        <v>0</v>
      </c>
      <c r="I4388" s="4">
        <v>-84772774.159999996</v>
      </c>
    </row>
    <row r="4389" spans="1:9" x14ac:dyDescent="0.3">
      <c r="A4389" t="s">
        <v>133</v>
      </c>
      <c r="B4389" s="1">
        <v>45893</v>
      </c>
      <c r="C4389" s="1">
        <v>45893</v>
      </c>
      <c r="D4389">
        <v>923696</v>
      </c>
      <c r="E4389">
        <v>46</v>
      </c>
      <c r="F4389" s="3" t="s">
        <v>3822</v>
      </c>
      <c r="G4389" s="4">
        <v>18656</v>
      </c>
      <c r="H4389" s="4">
        <v>0</v>
      </c>
      <c r="I4389" s="4">
        <v>-84754118.159999996</v>
      </c>
    </row>
    <row r="4390" spans="1:9" x14ac:dyDescent="0.3">
      <c r="A4390" t="s">
        <v>133</v>
      </c>
      <c r="B4390" s="1">
        <v>45893</v>
      </c>
      <c r="C4390" s="1">
        <v>45893</v>
      </c>
      <c r="D4390">
        <v>923699</v>
      </c>
      <c r="E4390">
        <v>34</v>
      </c>
      <c r="F4390" s="3" t="s">
        <v>3823</v>
      </c>
      <c r="G4390" s="4">
        <v>883924.75</v>
      </c>
      <c r="H4390" s="4">
        <v>0</v>
      </c>
      <c r="I4390" s="4">
        <v>-83870193.409999996</v>
      </c>
    </row>
    <row r="4391" spans="1:9" x14ac:dyDescent="0.3">
      <c r="A4391" t="s">
        <v>133</v>
      </c>
      <c r="B4391" s="1">
        <v>45893</v>
      </c>
      <c r="C4391" s="1">
        <v>45893</v>
      </c>
      <c r="D4391">
        <v>923706</v>
      </c>
      <c r="E4391">
        <v>46</v>
      </c>
      <c r="F4391" s="3" t="s">
        <v>3824</v>
      </c>
      <c r="G4391" s="4">
        <v>23868</v>
      </c>
      <c r="H4391" s="4">
        <v>0</v>
      </c>
      <c r="I4391" s="4">
        <v>-83846325.409999996</v>
      </c>
    </row>
    <row r="4392" spans="1:9" x14ac:dyDescent="0.3">
      <c r="A4392" t="s">
        <v>133</v>
      </c>
      <c r="B4392" s="1">
        <v>45893</v>
      </c>
      <c r="C4392" s="1">
        <v>45893</v>
      </c>
      <c r="D4392">
        <v>923709</v>
      </c>
      <c r="E4392">
        <v>46</v>
      </c>
      <c r="F4392" s="3" t="s">
        <v>3825</v>
      </c>
      <c r="G4392" s="4">
        <v>1102163</v>
      </c>
      <c r="H4392" s="4">
        <v>0</v>
      </c>
      <c r="I4392" s="4">
        <v>-82744162.409999996</v>
      </c>
    </row>
    <row r="4393" spans="1:9" x14ac:dyDescent="0.3">
      <c r="A4393" t="s">
        <v>133</v>
      </c>
      <c r="B4393" s="1">
        <v>45893</v>
      </c>
      <c r="C4393" s="1">
        <v>45893</v>
      </c>
      <c r="D4393">
        <v>923711</v>
      </c>
      <c r="E4393">
        <v>46</v>
      </c>
      <c r="F4393" s="3" t="s">
        <v>3826</v>
      </c>
      <c r="G4393" s="4">
        <v>7447.5</v>
      </c>
      <c r="H4393" s="4">
        <v>0</v>
      </c>
      <c r="I4393" s="4">
        <v>-82736714.909999996</v>
      </c>
    </row>
    <row r="4394" spans="1:9" x14ac:dyDescent="0.3">
      <c r="A4394" t="s">
        <v>133</v>
      </c>
      <c r="B4394" s="1">
        <v>45893</v>
      </c>
      <c r="C4394" s="1">
        <v>45893</v>
      </c>
      <c r="D4394">
        <v>923712</v>
      </c>
      <c r="E4394">
        <v>46</v>
      </c>
      <c r="F4394" s="3" t="s">
        <v>3827</v>
      </c>
      <c r="G4394" s="4">
        <v>85872.5</v>
      </c>
      <c r="H4394" s="4">
        <v>0</v>
      </c>
      <c r="I4394" s="4">
        <v>-82650842.409999996</v>
      </c>
    </row>
    <row r="4395" spans="1:9" x14ac:dyDescent="0.3">
      <c r="A4395" t="s">
        <v>133</v>
      </c>
      <c r="B4395" s="1">
        <v>45893</v>
      </c>
      <c r="C4395" s="1">
        <v>45893</v>
      </c>
      <c r="D4395">
        <v>923728</v>
      </c>
      <c r="E4395">
        <v>46</v>
      </c>
      <c r="F4395" s="3" t="s">
        <v>3828</v>
      </c>
      <c r="G4395" s="4">
        <v>4254.75</v>
      </c>
      <c r="H4395" s="4">
        <v>0</v>
      </c>
      <c r="I4395" s="4">
        <v>-82646587.659999996</v>
      </c>
    </row>
    <row r="4396" spans="1:9" x14ac:dyDescent="0.3">
      <c r="A4396" t="s">
        <v>133</v>
      </c>
      <c r="B4396" s="1">
        <v>45893</v>
      </c>
      <c r="C4396" s="1">
        <v>45893</v>
      </c>
      <c r="D4396">
        <v>923729</v>
      </c>
      <c r="E4396">
        <v>46</v>
      </c>
      <c r="F4396" s="3" t="s">
        <v>3829</v>
      </c>
      <c r="G4396" s="4">
        <v>91508</v>
      </c>
      <c r="H4396" s="4">
        <v>0</v>
      </c>
      <c r="I4396" s="4">
        <v>-82555079.659999996</v>
      </c>
    </row>
    <row r="4397" spans="1:9" x14ac:dyDescent="0.3">
      <c r="A4397" t="s">
        <v>133</v>
      </c>
      <c r="B4397" s="1">
        <v>45893</v>
      </c>
      <c r="C4397" s="1">
        <v>45893</v>
      </c>
      <c r="D4397">
        <v>923738</v>
      </c>
      <c r="E4397">
        <v>46</v>
      </c>
      <c r="F4397" s="3" t="s">
        <v>3830</v>
      </c>
      <c r="G4397" s="4">
        <v>14756.5</v>
      </c>
      <c r="H4397" s="4">
        <v>0</v>
      </c>
      <c r="I4397" s="4">
        <v>-82540323.159999996</v>
      </c>
    </row>
    <row r="4398" spans="1:9" x14ac:dyDescent="0.3">
      <c r="A4398" t="s">
        <v>133</v>
      </c>
      <c r="B4398" s="1">
        <v>45893</v>
      </c>
      <c r="C4398" s="1">
        <v>45893</v>
      </c>
      <c r="D4398">
        <v>923750</v>
      </c>
      <c r="E4398">
        <v>32</v>
      </c>
      <c r="F4398" s="3" t="s">
        <v>3831</v>
      </c>
      <c r="G4398" s="4">
        <v>17932.5</v>
      </c>
      <c r="H4398" s="4">
        <v>0</v>
      </c>
      <c r="I4398" s="4">
        <v>-82522390.659999996</v>
      </c>
    </row>
    <row r="4399" spans="1:9" x14ac:dyDescent="0.3">
      <c r="A4399" t="s">
        <v>133</v>
      </c>
      <c r="B4399" s="1">
        <v>45893</v>
      </c>
      <c r="C4399" s="1">
        <v>45893</v>
      </c>
      <c r="D4399">
        <v>923755</v>
      </c>
      <c r="E4399">
        <v>32</v>
      </c>
      <c r="F4399" s="3" t="s">
        <v>3832</v>
      </c>
      <c r="G4399" s="4">
        <v>13424</v>
      </c>
      <c r="H4399" s="4">
        <v>0</v>
      </c>
      <c r="I4399" s="4">
        <v>-82508966.659999996</v>
      </c>
    </row>
    <row r="4400" spans="1:9" x14ac:dyDescent="0.3">
      <c r="A4400" t="s">
        <v>133</v>
      </c>
      <c r="B4400" s="1">
        <v>45893</v>
      </c>
      <c r="C4400" s="1">
        <v>45893</v>
      </c>
      <c r="D4400">
        <v>923757</v>
      </c>
      <c r="E4400">
        <v>32</v>
      </c>
      <c r="F4400" s="3" t="s">
        <v>3833</v>
      </c>
      <c r="G4400" s="4">
        <v>11721.75</v>
      </c>
      <c r="H4400" s="4">
        <v>0</v>
      </c>
      <c r="I4400" s="4">
        <v>-82497244.909999996</v>
      </c>
    </row>
    <row r="4401" spans="1:9" x14ac:dyDescent="0.3">
      <c r="A4401" t="s">
        <v>133</v>
      </c>
      <c r="B4401" s="1">
        <v>45893</v>
      </c>
      <c r="C4401" s="1">
        <v>45893</v>
      </c>
      <c r="D4401">
        <v>923766</v>
      </c>
      <c r="E4401">
        <v>46</v>
      </c>
      <c r="F4401" s="3" t="s">
        <v>3834</v>
      </c>
      <c r="G4401" s="4">
        <v>32216</v>
      </c>
      <c r="H4401" s="4">
        <v>0</v>
      </c>
      <c r="I4401" s="4">
        <v>-82465028.909999996</v>
      </c>
    </row>
    <row r="4402" spans="1:9" x14ac:dyDescent="0.3">
      <c r="A4402" t="s">
        <v>133</v>
      </c>
      <c r="B4402" s="1">
        <v>45893</v>
      </c>
      <c r="C4402" s="1">
        <v>45893</v>
      </c>
      <c r="D4402">
        <v>923845</v>
      </c>
      <c r="E4402">
        <v>86</v>
      </c>
      <c r="F4402" s="3" t="s">
        <v>3835</v>
      </c>
      <c r="G4402" s="4">
        <v>160000</v>
      </c>
      <c r="H4402" s="4">
        <v>0</v>
      </c>
      <c r="I4402" s="4">
        <v>-82305028.909999996</v>
      </c>
    </row>
    <row r="4403" spans="1:9" x14ac:dyDescent="0.3">
      <c r="A4403" t="s">
        <v>133</v>
      </c>
      <c r="B4403" s="1">
        <v>45893</v>
      </c>
      <c r="C4403" s="1">
        <v>45893</v>
      </c>
      <c r="D4403">
        <v>923860</v>
      </c>
      <c r="E4403">
        <v>32</v>
      </c>
      <c r="F4403" s="3" t="s">
        <v>3836</v>
      </c>
      <c r="G4403" s="4">
        <v>112890.5</v>
      </c>
      <c r="H4403" s="4">
        <v>0</v>
      </c>
      <c r="I4403" s="4">
        <v>-82192138.409999996</v>
      </c>
    </row>
    <row r="4404" spans="1:9" x14ac:dyDescent="0.3">
      <c r="A4404" t="s">
        <v>133</v>
      </c>
      <c r="B4404" s="1">
        <v>45893</v>
      </c>
      <c r="C4404" s="1">
        <v>45893</v>
      </c>
      <c r="D4404">
        <v>923866</v>
      </c>
      <c r="E4404">
        <v>351</v>
      </c>
      <c r="F4404" s="3" t="s">
        <v>3837</v>
      </c>
      <c r="G4404" s="4">
        <v>56910</v>
      </c>
      <c r="H4404" s="4">
        <v>0</v>
      </c>
      <c r="I4404" s="4">
        <v>-82135228.409999996</v>
      </c>
    </row>
    <row r="4405" spans="1:9" x14ac:dyDescent="0.3">
      <c r="A4405" t="s">
        <v>133</v>
      </c>
      <c r="B4405" s="1">
        <v>45893</v>
      </c>
      <c r="C4405" s="1">
        <v>45893</v>
      </c>
      <c r="D4405">
        <v>923877</v>
      </c>
      <c r="E4405">
        <v>32</v>
      </c>
      <c r="F4405" s="3" t="s">
        <v>3838</v>
      </c>
      <c r="G4405" s="4">
        <v>129390</v>
      </c>
      <c r="H4405" s="4">
        <v>0</v>
      </c>
      <c r="I4405" s="4">
        <v>-82005838.409999996</v>
      </c>
    </row>
    <row r="4406" spans="1:9" x14ac:dyDescent="0.3">
      <c r="A4406" t="s">
        <v>133</v>
      </c>
      <c r="B4406" s="1">
        <v>45893</v>
      </c>
      <c r="C4406" s="1">
        <v>45893</v>
      </c>
      <c r="D4406">
        <v>923893</v>
      </c>
      <c r="E4406">
        <v>32</v>
      </c>
      <c r="F4406" s="3" t="s">
        <v>3839</v>
      </c>
      <c r="G4406" s="4">
        <v>86449</v>
      </c>
      <c r="H4406" s="4">
        <v>0</v>
      </c>
      <c r="I4406" s="4">
        <v>-81919389.409999996</v>
      </c>
    </row>
    <row r="4407" spans="1:9" x14ac:dyDescent="0.3">
      <c r="A4407" t="s">
        <v>133</v>
      </c>
      <c r="B4407" s="1">
        <v>45893</v>
      </c>
      <c r="C4407" s="1">
        <v>45893</v>
      </c>
      <c r="D4407">
        <v>923916</v>
      </c>
      <c r="E4407">
        <v>32</v>
      </c>
      <c r="F4407" s="3" t="s">
        <v>3840</v>
      </c>
      <c r="G4407" s="4">
        <v>15949.75</v>
      </c>
      <c r="H4407" s="4">
        <v>0</v>
      </c>
      <c r="I4407" s="4">
        <v>-81903439.659999996</v>
      </c>
    </row>
    <row r="4408" spans="1:9" x14ac:dyDescent="0.3">
      <c r="A4408" t="s">
        <v>133</v>
      </c>
      <c r="B4408" s="1">
        <v>45893</v>
      </c>
      <c r="C4408" s="1">
        <v>45893</v>
      </c>
      <c r="D4408">
        <v>923930</v>
      </c>
      <c r="E4408">
        <v>11</v>
      </c>
      <c r="F4408" s="3" t="s">
        <v>1883</v>
      </c>
      <c r="G4408" s="4">
        <v>47834.75</v>
      </c>
      <c r="H4408" s="4">
        <v>0</v>
      </c>
      <c r="I4408" s="4">
        <v>-81855604.909999996</v>
      </c>
    </row>
    <row r="4409" spans="1:9" x14ac:dyDescent="0.3">
      <c r="A4409" t="s">
        <v>133</v>
      </c>
      <c r="B4409" s="1">
        <v>45893</v>
      </c>
      <c r="C4409" s="1">
        <v>45893</v>
      </c>
      <c r="D4409">
        <v>923935</v>
      </c>
      <c r="E4409">
        <v>32</v>
      </c>
      <c r="F4409" s="3" t="s">
        <v>3841</v>
      </c>
      <c r="G4409" s="4">
        <v>110052.5</v>
      </c>
      <c r="H4409" s="4">
        <v>0</v>
      </c>
      <c r="I4409" s="4">
        <v>-81745552.409999996</v>
      </c>
    </row>
    <row r="4410" spans="1:9" x14ac:dyDescent="0.3">
      <c r="A4410" t="s">
        <v>133</v>
      </c>
      <c r="B4410" s="1">
        <v>45893</v>
      </c>
      <c r="C4410" s="1">
        <v>45893</v>
      </c>
      <c r="D4410">
        <v>923936</v>
      </c>
      <c r="E4410">
        <v>11</v>
      </c>
      <c r="F4410" s="3" t="s">
        <v>3842</v>
      </c>
      <c r="G4410" s="4">
        <v>11112</v>
      </c>
      <c r="H4410" s="4">
        <v>0</v>
      </c>
      <c r="I4410" s="4">
        <v>-81734440.409999996</v>
      </c>
    </row>
    <row r="4411" spans="1:9" x14ac:dyDescent="0.3">
      <c r="A4411" t="s">
        <v>133</v>
      </c>
      <c r="B4411" s="1">
        <v>45893</v>
      </c>
      <c r="C4411" s="1">
        <v>45893</v>
      </c>
      <c r="D4411">
        <v>923939</v>
      </c>
      <c r="E4411">
        <v>32</v>
      </c>
      <c r="F4411" s="3" t="s">
        <v>3843</v>
      </c>
      <c r="G4411" s="4">
        <v>113423.5</v>
      </c>
      <c r="H4411" s="4">
        <v>0</v>
      </c>
      <c r="I4411" s="4">
        <v>-81621016.909999996</v>
      </c>
    </row>
    <row r="4412" spans="1:9" x14ac:dyDescent="0.3">
      <c r="A4412" t="s">
        <v>133</v>
      </c>
      <c r="B4412" s="1">
        <v>45893</v>
      </c>
      <c r="C4412" s="1">
        <v>45893</v>
      </c>
      <c r="D4412">
        <v>923940</v>
      </c>
      <c r="E4412">
        <v>32</v>
      </c>
      <c r="F4412" s="3" t="s">
        <v>3844</v>
      </c>
      <c r="G4412" s="4">
        <v>56599</v>
      </c>
      <c r="H4412" s="4">
        <v>0</v>
      </c>
      <c r="I4412" s="4">
        <v>-81564417.909999996</v>
      </c>
    </row>
    <row r="4413" spans="1:9" x14ac:dyDescent="0.3">
      <c r="A4413" t="s">
        <v>133</v>
      </c>
      <c r="B4413" s="1">
        <v>45893</v>
      </c>
      <c r="C4413" s="1">
        <v>45893</v>
      </c>
      <c r="D4413">
        <v>923941</v>
      </c>
      <c r="E4413">
        <v>32</v>
      </c>
      <c r="F4413" s="3" t="s">
        <v>3845</v>
      </c>
      <c r="G4413" s="4">
        <v>21256</v>
      </c>
      <c r="H4413" s="4">
        <v>0</v>
      </c>
      <c r="I4413" s="4">
        <v>-81543161.909999996</v>
      </c>
    </row>
    <row r="4414" spans="1:9" x14ac:dyDescent="0.3">
      <c r="A4414" t="s">
        <v>133</v>
      </c>
      <c r="B4414" s="1">
        <v>45893</v>
      </c>
      <c r="C4414" s="1">
        <v>45893</v>
      </c>
      <c r="D4414">
        <v>923942</v>
      </c>
      <c r="E4414">
        <v>11</v>
      </c>
      <c r="F4414" s="3" t="s">
        <v>3846</v>
      </c>
      <c r="G4414" s="4">
        <v>116189.5</v>
      </c>
      <c r="H4414" s="4">
        <v>0</v>
      </c>
      <c r="I4414" s="4">
        <v>-81426972.409999996</v>
      </c>
    </row>
    <row r="4415" spans="1:9" x14ac:dyDescent="0.3">
      <c r="A4415" t="s">
        <v>133</v>
      </c>
      <c r="B4415" s="1">
        <v>45893</v>
      </c>
      <c r="C4415" s="1">
        <v>45893</v>
      </c>
      <c r="D4415">
        <v>924012</v>
      </c>
      <c r="E4415">
        <v>23</v>
      </c>
      <c r="F4415" s="3" t="s">
        <v>3847</v>
      </c>
      <c r="G4415" s="4">
        <v>842852.5</v>
      </c>
      <c r="H4415" s="4">
        <v>0</v>
      </c>
      <c r="I4415" s="4">
        <v>-80584119.909999996</v>
      </c>
    </row>
    <row r="4416" spans="1:9" x14ac:dyDescent="0.3">
      <c r="A4416" t="s">
        <v>133</v>
      </c>
      <c r="B4416" s="1">
        <v>45893</v>
      </c>
      <c r="C4416" s="1">
        <v>45893</v>
      </c>
      <c r="D4416">
        <v>924013</v>
      </c>
      <c r="E4416">
        <v>34</v>
      </c>
      <c r="F4416" s="3" t="s">
        <v>3848</v>
      </c>
      <c r="G4416" s="4">
        <v>700</v>
      </c>
      <c r="H4416" s="4">
        <v>0</v>
      </c>
      <c r="I4416" s="4">
        <v>-80583419.909999996</v>
      </c>
    </row>
    <row r="4417" spans="1:9" x14ac:dyDescent="0.3">
      <c r="A4417" t="s">
        <v>133</v>
      </c>
      <c r="B4417" s="1">
        <v>45893</v>
      </c>
      <c r="C4417" s="1">
        <v>45893</v>
      </c>
      <c r="D4417">
        <v>924017</v>
      </c>
      <c r="E4417">
        <v>34</v>
      </c>
      <c r="F4417" s="3" t="s">
        <v>3849</v>
      </c>
      <c r="G4417" s="4">
        <v>26516.25</v>
      </c>
      <c r="H4417" s="4">
        <v>0</v>
      </c>
      <c r="I4417" s="4">
        <v>-80556903.659999996</v>
      </c>
    </row>
    <row r="4418" spans="1:9" x14ac:dyDescent="0.3">
      <c r="A4418" t="s">
        <v>133</v>
      </c>
      <c r="B4418" s="1">
        <v>45893</v>
      </c>
      <c r="C4418" s="1">
        <v>45893</v>
      </c>
      <c r="D4418">
        <v>924092</v>
      </c>
      <c r="E4418">
        <v>16</v>
      </c>
      <c r="F4418" s="3" t="s">
        <v>3850</v>
      </c>
      <c r="G4418" s="4">
        <v>36855</v>
      </c>
      <c r="H4418" s="4">
        <v>0</v>
      </c>
      <c r="I4418" s="4">
        <v>-80520048.659999996</v>
      </c>
    </row>
    <row r="4419" spans="1:9" x14ac:dyDescent="0.3">
      <c r="A4419" t="s">
        <v>133</v>
      </c>
      <c r="B4419" s="1">
        <v>45893</v>
      </c>
      <c r="C4419" s="1">
        <v>45893</v>
      </c>
      <c r="D4419">
        <v>924142</v>
      </c>
      <c r="E4419">
        <v>422</v>
      </c>
      <c r="F4419" s="3" t="s">
        <v>3851</v>
      </c>
      <c r="G4419" s="4">
        <v>42952.5</v>
      </c>
      <c r="H4419" s="4">
        <v>0</v>
      </c>
      <c r="I4419" s="4">
        <v>-80477096.159999996</v>
      </c>
    </row>
    <row r="4420" spans="1:9" x14ac:dyDescent="0.3">
      <c r="A4420" t="s">
        <v>133</v>
      </c>
      <c r="B4420" s="1">
        <v>45893</v>
      </c>
      <c r="C4420" s="1">
        <v>45893</v>
      </c>
      <c r="D4420">
        <v>924168</v>
      </c>
      <c r="E4420">
        <v>15</v>
      </c>
      <c r="F4420" s="3" t="s">
        <v>3852</v>
      </c>
      <c r="G4420" s="4">
        <v>100316.5</v>
      </c>
      <c r="H4420" s="4">
        <v>0</v>
      </c>
      <c r="I4420" s="4">
        <v>-80376779.659999996</v>
      </c>
    </row>
    <row r="4421" spans="1:9" x14ac:dyDescent="0.3">
      <c r="A4421" t="s">
        <v>133</v>
      </c>
      <c r="B4421" s="1">
        <v>45893</v>
      </c>
      <c r="C4421" s="1">
        <v>45893</v>
      </c>
      <c r="D4421">
        <v>924170</v>
      </c>
      <c r="E4421">
        <v>59</v>
      </c>
      <c r="F4421" s="3" t="s">
        <v>3853</v>
      </c>
      <c r="G4421" s="4">
        <v>60000</v>
      </c>
      <c r="H4421" s="4">
        <v>0</v>
      </c>
      <c r="I4421" s="4">
        <v>-80316779.659999996</v>
      </c>
    </row>
    <row r="4422" spans="1:9" x14ac:dyDescent="0.3">
      <c r="A4422" t="s">
        <v>133</v>
      </c>
      <c r="B4422" s="1">
        <v>45893</v>
      </c>
      <c r="C4422" s="1">
        <v>45893</v>
      </c>
      <c r="D4422">
        <v>924172</v>
      </c>
      <c r="E4422">
        <v>72</v>
      </c>
      <c r="F4422" s="3" t="s">
        <v>3854</v>
      </c>
      <c r="G4422" s="4">
        <v>25052</v>
      </c>
      <c r="H4422" s="4">
        <v>0</v>
      </c>
      <c r="I4422" s="4">
        <v>-80291727.659999996</v>
      </c>
    </row>
    <row r="4423" spans="1:9" x14ac:dyDescent="0.3">
      <c r="A4423" t="s">
        <v>133</v>
      </c>
      <c r="B4423" s="1">
        <v>45893</v>
      </c>
      <c r="C4423" s="1">
        <v>45893</v>
      </c>
      <c r="D4423">
        <v>924174</v>
      </c>
      <c r="E4423">
        <v>15</v>
      </c>
      <c r="F4423" s="3" t="s">
        <v>3855</v>
      </c>
      <c r="G4423" s="4">
        <v>29507.75</v>
      </c>
      <c r="H4423" s="4">
        <v>0</v>
      </c>
      <c r="I4423" s="4">
        <v>-80262219.909999996</v>
      </c>
    </row>
    <row r="4424" spans="1:9" x14ac:dyDescent="0.3">
      <c r="A4424" t="s">
        <v>133</v>
      </c>
      <c r="B4424" s="1">
        <v>45893</v>
      </c>
      <c r="C4424" s="1">
        <v>45893</v>
      </c>
      <c r="D4424">
        <v>924177</v>
      </c>
      <c r="E4424">
        <v>15</v>
      </c>
      <c r="F4424" s="3" t="s">
        <v>3856</v>
      </c>
      <c r="G4424" s="4">
        <v>17234.5</v>
      </c>
      <c r="H4424" s="4">
        <v>0</v>
      </c>
      <c r="I4424" s="4">
        <v>-80244985.409999996</v>
      </c>
    </row>
    <row r="4425" spans="1:9" x14ac:dyDescent="0.3">
      <c r="A4425" t="s">
        <v>133</v>
      </c>
      <c r="B4425" s="1">
        <v>45893</v>
      </c>
      <c r="C4425" s="1">
        <v>45893</v>
      </c>
      <c r="D4425">
        <v>924182</v>
      </c>
      <c r="E4425">
        <v>15</v>
      </c>
      <c r="F4425" s="3" t="s">
        <v>3857</v>
      </c>
      <c r="G4425" s="4">
        <v>51038.5</v>
      </c>
      <c r="H4425" s="4">
        <v>0</v>
      </c>
      <c r="I4425" s="4">
        <v>-80193946.909999996</v>
      </c>
    </row>
    <row r="4426" spans="1:9" x14ac:dyDescent="0.3">
      <c r="A4426" t="s">
        <v>133</v>
      </c>
      <c r="B4426" s="1">
        <v>45893</v>
      </c>
      <c r="C4426" s="1">
        <v>45893</v>
      </c>
      <c r="D4426">
        <v>924188</v>
      </c>
      <c r="E4426">
        <v>15</v>
      </c>
      <c r="F4426" s="3" t="s">
        <v>3858</v>
      </c>
      <c r="G4426" s="4">
        <v>4280</v>
      </c>
      <c r="H4426" s="4">
        <v>0</v>
      </c>
      <c r="I4426" s="4">
        <v>-80189666.909999996</v>
      </c>
    </row>
    <row r="4427" spans="1:9" x14ac:dyDescent="0.3">
      <c r="A4427" t="s">
        <v>133</v>
      </c>
      <c r="B4427" s="1">
        <v>45893</v>
      </c>
      <c r="C4427" s="1">
        <v>45893</v>
      </c>
      <c r="D4427">
        <v>924191</v>
      </c>
      <c r="E4427">
        <v>72</v>
      </c>
      <c r="F4427" s="3" t="s">
        <v>3859</v>
      </c>
      <c r="G4427" s="4">
        <v>25000</v>
      </c>
      <c r="H4427" s="4">
        <v>0</v>
      </c>
      <c r="I4427" s="4">
        <v>-80164666.909999996</v>
      </c>
    </row>
    <row r="4428" spans="1:9" x14ac:dyDescent="0.3">
      <c r="A4428" t="s">
        <v>133</v>
      </c>
      <c r="B4428" s="1">
        <v>45893</v>
      </c>
      <c r="C4428" s="1">
        <v>45893</v>
      </c>
      <c r="D4428">
        <v>924192</v>
      </c>
      <c r="E4428">
        <v>28</v>
      </c>
      <c r="F4428" s="3">
        <v>2534006667</v>
      </c>
      <c r="G4428" s="4">
        <v>47202</v>
      </c>
      <c r="H4428" s="4">
        <v>0</v>
      </c>
      <c r="I4428" s="4">
        <v>-80117464.909999996</v>
      </c>
    </row>
    <row r="4429" spans="1:9" x14ac:dyDescent="0.3">
      <c r="A4429" t="s">
        <v>133</v>
      </c>
      <c r="B4429" s="1">
        <v>45893</v>
      </c>
      <c r="C4429" s="1">
        <v>45893</v>
      </c>
      <c r="D4429">
        <v>924193</v>
      </c>
      <c r="E4429">
        <v>84</v>
      </c>
      <c r="F4429" s="3" t="s">
        <v>3860</v>
      </c>
      <c r="G4429" s="4">
        <v>25327</v>
      </c>
      <c r="H4429" s="4">
        <v>0</v>
      </c>
      <c r="I4429" s="4">
        <v>-80092137.909999996</v>
      </c>
    </row>
    <row r="4430" spans="1:9" x14ac:dyDescent="0.3">
      <c r="A4430" t="s">
        <v>133</v>
      </c>
      <c r="B4430" s="1">
        <v>45893</v>
      </c>
      <c r="C4430" s="1">
        <v>45893</v>
      </c>
      <c r="D4430">
        <v>924194</v>
      </c>
      <c r="E4430">
        <v>28</v>
      </c>
      <c r="F4430" s="3">
        <v>50781731890</v>
      </c>
      <c r="G4430" s="4">
        <v>100000</v>
      </c>
      <c r="H4430" s="4">
        <v>0</v>
      </c>
      <c r="I4430" s="4">
        <v>-79992137.909999996</v>
      </c>
    </row>
    <row r="4431" spans="1:9" x14ac:dyDescent="0.3">
      <c r="A4431" t="s">
        <v>133</v>
      </c>
      <c r="B4431" s="1">
        <v>45893</v>
      </c>
      <c r="C4431" s="1">
        <v>45893</v>
      </c>
      <c r="D4431">
        <v>924195</v>
      </c>
      <c r="E4431">
        <v>84</v>
      </c>
      <c r="F4431" s="3" t="s">
        <v>3861</v>
      </c>
      <c r="G4431" s="4">
        <v>26.5</v>
      </c>
      <c r="H4431" s="4">
        <v>0</v>
      </c>
      <c r="I4431" s="4">
        <v>-79992111.409999996</v>
      </c>
    </row>
    <row r="4432" spans="1:9" x14ac:dyDescent="0.3">
      <c r="A4432" t="s">
        <v>133</v>
      </c>
      <c r="B4432" s="1">
        <v>45893</v>
      </c>
      <c r="C4432" s="1">
        <v>45893</v>
      </c>
      <c r="D4432">
        <v>924216</v>
      </c>
      <c r="E4432">
        <v>58</v>
      </c>
      <c r="F4432" s="3" t="s">
        <v>3862</v>
      </c>
      <c r="G4432" s="4">
        <v>5544</v>
      </c>
      <c r="H4432" s="4">
        <v>0</v>
      </c>
      <c r="I4432" s="4">
        <v>-79986567.409999996</v>
      </c>
    </row>
    <row r="4433" spans="1:9" x14ac:dyDescent="0.3">
      <c r="A4433" t="s">
        <v>133</v>
      </c>
      <c r="B4433" s="1">
        <v>45893</v>
      </c>
      <c r="C4433" s="1">
        <v>45893</v>
      </c>
      <c r="D4433">
        <v>924221</v>
      </c>
      <c r="E4433">
        <v>89</v>
      </c>
      <c r="F4433" s="3" t="s">
        <v>3863</v>
      </c>
      <c r="G4433" s="4">
        <v>22500</v>
      </c>
      <c r="H4433" s="4">
        <v>0</v>
      </c>
      <c r="I4433" s="4">
        <v>-79964067.409999996</v>
      </c>
    </row>
    <row r="4434" spans="1:9" x14ac:dyDescent="0.3">
      <c r="A4434" t="s">
        <v>133</v>
      </c>
      <c r="B4434" s="1">
        <v>45893</v>
      </c>
      <c r="C4434" s="1">
        <v>45893</v>
      </c>
      <c r="D4434">
        <v>924223</v>
      </c>
      <c r="E4434">
        <v>28</v>
      </c>
      <c r="F4434" s="3">
        <v>50806391674</v>
      </c>
      <c r="G4434" s="4">
        <v>30483</v>
      </c>
      <c r="H4434" s="4">
        <v>0</v>
      </c>
      <c r="I4434" s="4">
        <v>-79933584.409999996</v>
      </c>
    </row>
    <row r="4435" spans="1:9" x14ac:dyDescent="0.3">
      <c r="A4435" t="s">
        <v>133</v>
      </c>
      <c r="B4435" s="1">
        <v>45893</v>
      </c>
      <c r="C4435" s="1">
        <v>45893</v>
      </c>
      <c r="D4435">
        <v>924224</v>
      </c>
      <c r="E4435">
        <v>28</v>
      </c>
      <c r="F4435" s="3">
        <v>50834331631</v>
      </c>
      <c r="G4435" s="4">
        <v>30584</v>
      </c>
      <c r="H4435" s="4">
        <v>0</v>
      </c>
      <c r="I4435" s="4">
        <v>-79903000.409999996</v>
      </c>
    </row>
    <row r="4436" spans="1:9" x14ac:dyDescent="0.3">
      <c r="A4436" t="s">
        <v>133</v>
      </c>
      <c r="B4436" s="1">
        <v>45893</v>
      </c>
      <c r="C4436" s="1">
        <v>45893</v>
      </c>
      <c r="D4436">
        <v>924236</v>
      </c>
      <c r="E4436">
        <v>23</v>
      </c>
      <c r="F4436" s="3" t="s">
        <v>3864</v>
      </c>
      <c r="G4436" s="4">
        <v>31421.5</v>
      </c>
      <c r="H4436" s="4">
        <v>0</v>
      </c>
      <c r="I4436" s="4">
        <v>-79871578.909999996</v>
      </c>
    </row>
    <row r="4437" spans="1:9" x14ac:dyDescent="0.3">
      <c r="A4437" t="s">
        <v>133</v>
      </c>
      <c r="B4437" s="1">
        <v>45893</v>
      </c>
      <c r="C4437" s="1">
        <v>45893</v>
      </c>
      <c r="D4437">
        <v>924239</v>
      </c>
      <c r="E4437">
        <v>23</v>
      </c>
      <c r="F4437" s="3" t="s">
        <v>3865</v>
      </c>
      <c r="G4437" s="4">
        <v>257191</v>
      </c>
      <c r="H4437" s="4">
        <v>0</v>
      </c>
      <c r="I4437" s="4">
        <v>-79614387.909999996</v>
      </c>
    </row>
    <row r="4438" spans="1:9" x14ac:dyDescent="0.3">
      <c r="A4438" t="s">
        <v>1</v>
      </c>
      <c r="B4438" s="1">
        <v>45892</v>
      </c>
      <c r="C4438" s="1">
        <v>45894</v>
      </c>
      <c r="D4438">
        <v>103084</v>
      </c>
      <c r="E4438">
        <v>100</v>
      </c>
      <c r="F4438" s="3" t="s">
        <v>3866</v>
      </c>
      <c r="G4438" s="4">
        <v>1313.45</v>
      </c>
      <c r="I4438" s="4">
        <v>-79613074.459999993</v>
      </c>
    </row>
    <row r="4439" spans="1:9" x14ac:dyDescent="0.3">
      <c r="A4439" t="s">
        <v>1</v>
      </c>
      <c r="B4439" s="1">
        <v>45894</v>
      </c>
      <c r="C4439" s="1">
        <v>45894</v>
      </c>
      <c r="D4439">
        <v>103092</v>
      </c>
      <c r="E4439">
        <v>100</v>
      </c>
      <c r="F4439" s="3" t="s">
        <v>3867</v>
      </c>
      <c r="G4439" s="4">
        <v>2426.25</v>
      </c>
      <c r="I4439" s="4">
        <v>-79610648.209999993</v>
      </c>
    </row>
    <row r="4440" spans="1:9" x14ac:dyDescent="0.3">
      <c r="A4440" t="s">
        <v>1</v>
      </c>
      <c r="B4440" s="1">
        <v>45894</v>
      </c>
      <c r="C4440" s="1">
        <v>45894</v>
      </c>
      <c r="D4440">
        <v>103100</v>
      </c>
      <c r="E4440">
        <v>100</v>
      </c>
      <c r="F4440" s="3" t="s">
        <v>760</v>
      </c>
      <c r="G4440" s="4">
        <v>68228.25</v>
      </c>
      <c r="I4440" s="4">
        <v>-79542419.959999993</v>
      </c>
    </row>
    <row r="4441" spans="1:9" x14ac:dyDescent="0.3">
      <c r="A4441" t="s">
        <v>1</v>
      </c>
      <c r="B4441" s="1">
        <v>45894</v>
      </c>
      <c r="C4441" s="1">
        <v>45894</v>
      </c>
      <c r="D4441">
        <v>103103</v>
      </c>
      <c r="E4441">
        <v>100</v>
      </c>
      <c r="F4441" s="3" t="s">
        <v>3868</v>
      </c>
      <c r="G4441" s="4">
        <v>45776.3</v>
      </c>
      <c r="I4441" s="4">
        <v>-79496643.659999996</v>
      </c>
    </row>
    <row r="4442" spans="1:9" x14ac:dyDescent="0.3">
      <c r="A4442" t="s">
        <v>1</v>
      </c>
      <c r="B4442" s="1">
        <v>45894</v>
      </c>
      <c r="C4442" s="1">
        <v>45894</v>
      </c>
      <c r="D4442">
        <v>103107</v>
      </c>
      <c r="E4442">
        <v>100</v>
      </c>
      <c r="F4442" s="3" t="s">
        <v>3869</v>
      </c>
      <c r="G4442" s="4">
        <v>10114</v>
      </c>
      <c r="I4442" s="4">
        <v>-79486529.659999996</v>
      </c>
    </row>
    <row r="4443" spans="1:9" x14ac:dyDescent="0.3">
      <c r="A4443" t="s">
        <v>1</v>
      </c>
      <c r="B4443" s="1">
        <v>45893</v>
      </c>
      <c r="C4443" s="1">
        <v>45894</v>
      </c>
      <c r="D4443">
        <v>103110</v>
      </c>
      <c r="E4443">
        <v>100</v>
      </c>
      <c r="F4443" s="3" t="s">
        <v>3870</v>
      </c>
      <c r="G4443" s="4">
        <v>7000</v>
      </c>
      <c r="I4443" s="4">
        <v>-79479529.659999996</v>
      </c>
    </row>
    <row r="4444" spans="1:9" x14ac:dyDescent="0.3">
      <c r="A4444" t="s">
        <v>1</v>
      </c>
      <c r="B4444" s="1">
        <v>45894</v>
      </c>
      <c r="C4444" s="1">
        <v>45894</v>
      </c>
      <c r="D4444">
        <v>103114</v>
      </c>
      <c r="E4444">
        <v>100</v>
      </c>
      <c r="F4444" s="3" t="s">
        <v>3871</v>
      </c>
      <c r="G4444" s="4">
        <v>90583</v>
      </c>
      <c r="I4444" s="4">
        <v>-79388946.659999996</v>
      </c>
    </row>
    <row r="4445" spans="1:9" x14ac:dyDescent="0.3">
      <c r="A4445" t="s">
        <v>1</v>
      </c>
      <c r="B4445" s="1">
        <v>45894</v>
      </c>
      <c r="C4445" s="1">
        <v>45894</v>
      </c>
      <c r="D4445">
        <v>103122</v>
      </c>
      <c r="E4445">
        <v>100</v>
      </c>
      <c r="F4445" s="3" t="s">
        <v>3872</v>
      </c>
      <c r="G4445" s="4">
        <v>280139.25</v>
      </c>
      <c r="I4445" s="4">
        <v>-79108807.409999996</v>
      </c>
    </row>
    <row r="4446" spans="1:9" x14ac:dyDescent="0.3">
      <c r="A4446" t="s">
        <v>1</v>
      </c>
      <c r="B4446" s="1">
        <v>45894</v>
      </c>
      <c r="C4446" s="1">
        <v>45894</v>
      </c>
      <c r="D4446">
        <v>103128</v>
      </c>
      <c r="E4446">
        <v>100</v>
      </c>
      <c r="F4446" s="3" t="s">
        <v>2872</v>
      </c>
      <c r="G4446" s="4">
        <v>4816</v>
      </c>
      <c r="I4446" s="4">
        <v>-79103991.409999996</v>
      </c>
    </row>
    <row r="4447" spans="1:9" x14ac:dyDescent="0.3">
      <c r="A4447" t="s">
        <v>1</v>
      </c>
      <c r="B4447" s="1">
        <v>45891</v>
      </c>
      <c r="C4447" s="1">
        <v>45894</v>
      </c>
      <c r="D4447">
        <v>103129</v>
      </c>
      <c r="E4447">
        <v>100</v>
      </c>
      <c r="F4447" s="3" t="s">
        <v>3873</v>
      </c>
      <c r="G4447" s="4">
        <v>158707.75</v>
      </c>
      <c r="I4447" s="4">
        <v>-78945283.659999996</v>
      </c>
    </row>
    <row r="4448" spans="1:9" x14ac:dyDescent="0.3">
      <c r="A4448" t="s">
        <v>1</v>
      </c>
      <c r="B4448" s="1">
        <v>45894</v>
      </c>
      <c r="C4448" s="1">
        <v>45894</v>
      </c>
      <c r="D4448">
        <v>103130</v>
      </c>
      <c r="E4448">
        <v>100</v>
      </c>
      <c r="F4448" s="3" t="s">
        <v>2532</v>
      </c>
      <c r="G4448" s="4">
        <v>80000</v>
      </c>
      <c r="I4448" s="4">
        <v>-78865283.659999996</v>
      </c>
    </row>
    <row r="4449" spans="1:9" x14ac:dyDescent="0.3">
      <c r="A4449" t="s">
        <v>1</v>
      </c>
      <c r="B4449" s="1">
        <v>45894</v>
      </c>
      <c r="C4449" s="1">
        <v>45894</v>
      </c>
      <c r="D4449">
        <v>103132</v>
      </c>
      <c r="E4449">
        <v>100</v>
      </c>
      <c r="F4449" s="3" t="s">
        <v>3874</v>
      </c>
      <c r="G4449" s="4">
        <v>82150</v>
      </c>
      <c r="I4449" s="4">
        <v>-78783133.659999996</v>
      </c>
    </row>
    <row r="4450" spans="1:9" x14ac:dyDescent="0.3">
      <c r="A4450" t="s">
        <v>1</v>
      </c>
      <c r="B4450" s="1">
        <v>45894</v>
      </c>
      <c r="C4450" s="1">
        <v>45894</v>
      </c>
      <c r="D4450">
        <v>103138</v>
      </c>
      <c r="E4450">
        <v>100</v>
      </c>
      <c r="F4450" s="3" t="s">
        <v>3875</v>
      </c>
      <c r="G4450" s="4">
        <v>12000</v>
      </c>
      <c r="I4450" s="4">
        <v>-78771133.659999996</v>
      </c>
    </row>
    <row r="4451" spans="1:9" x14ac:dyDescent="0.3">
      <c r="A4451" t="s">
        <v>1</v>
      </c>
      <c r="B4451" s="1">
        <v>45893</v>
      </c>
      <c r="C4451" s="1">
        <v>45894</v>
      </c>
      <c r="D4451">
        <v>103146</v>
      </c>
      <c r="E4451">
        <v>100</v>
      </c>
      <c r="F4451" s="3" t="s">
        <v>3876</v>
      </c>
      <c r="G4451" s="4">
        <v>237470.21</v>
      </c>
      <c r="I4451" s="4">
        <v>-78533663.450000003</v>
      </c>
    </row>
    <row r="4452" spans="1:9" x14ac:dyDescent="0.3">
      <c r="A4452" t="s">
        <v>1</v>
      </c>
      <c r="B4452" s="1">
        <v>45894</v>
      </c>
      <c r="C4452" s="1">
        <v>45894</v>
      </c>
      <c r="D4452">
        <v>103149</v>
      </c>
      <c r="E4452">
        <v>100</v>
      </c>
      <c r="F4452" s="3" t="s">
        <v>3877</v>
      </c>
      <c r="G4452" s="4">
        <v>2112.1999999999998</v>
      </c>
      <c r="I4452" s="4">
        <v>-78531551.25</v>
      </c>
    </row>
    <row r="4453" spans="1:9" x14ac:dyDescent="0.3">
      <c r="A4453" t="s">
        <v>1</v>
      </c>
      <c r="B4453" s="1">
        <v>45894</v>
      </c>
      <c r="C4453" s="1">
        <v>45894</v>
      </c>
      <c r="D4453">
        <v>103150</v>
      </c>
      <c r="E4453">
        <v>100</v>
      </c>
      <c r="F4453" s="3" t="s">
        <v>3877</v>
      </c>
      <c r="G4453" s="4">
        <v>2504.1999999999998</v>
      </c>
      <c r="I4453" s="4">
        <v>-78529047.049999997</v>
      </c>
    </row>
    <row r="4454" spans="1:9" x14ac:dyDescent="0.3">
      <c r="A4454" t="s">
        <v>1</v>
      </c>
      <c r="B4454" s="1">
        <v>45894</v>
      </c>
      <c r="C4454" s="1">
        <v>45894</v>
      </c>
      <c r="D4454">
        <v>103153</v>
      </c>
      <c r="E4454">
        <v>100</v>
      </c>
      <c r="F4454" s="3" t="s">
        <v>3878</v>
      </c>
      <c r="G4454" s="4">
        <v>61134.05</v>
      </c>
      <c r="I4454" s="4">
        <v>-78467913</v>
      </c>
    </row>
    <row r="4455" spans="1:9" x14ac:dyDescent="0.3">
      <c r="A4455" t="s">
        <v>1</v>
      </c>
      <c r="B4455" s="1">
        <v>45894</v>
      </c>
      <c r="C4455" s="1">
        <v>45894</v>
      </c>
      <c r="D4455">
        <v>103156</v>
      </c>
      <c r="E4455">
        <v>100</v>
      </c>
      <c r="F4455" s="3" t="s">
        <v>61</v>
      </c>
      <c r="G4455" s="4">
        <v>39582.199999999997</v>
      </c>
      <c r="I4455" s="4">
        <v>-78428330.799999997</v>
      </c>
    </row>
    <row r="4456" spans="1:9" x14ac:dyDescent="0.3">
      <c r="A4456" t="s">
        <v>1</v>
      </c>
      <c r="B4456" s="1">
        <v>45894</v>
      </c>
      <c r="C4456" s="1">
        <v>45894</v>
      </c>
      <c r="D4456">
        <v>103162</v>
      </c>
      <c r="E4456">
        <v>100</v>
      </c>
      <c r="F4456" s="3" t="s">
        <v>3879</v>
      </c>
      <c r="G4456" s="4">
        <v>29800</v>
      </c>
      <c r="I4456" s="4">
        <v>-78398530.799999997</v>
      </c>
    </row>
    <row r="4457" spans="1:9" x14ac:dyDescent="0.3">
      <c r="A4457" t="s">
        <v>1</v>
      </c>
      <c r="B4457" s="1">
        <v>45894</v>
      </c>
      <c r="C4457" s="1">
        <v>45894</v>
      </c>
      <c r="D4457">
        <v>103167</v>
      </c>
      <c r="E4457">
        <v>100</v>
      </c>
      <c r="F4457" s="3" t="s">
        <v>3880</v>
      </c>
      <c r="G4457" s="4">
        <v>41726.5</v>
      </c>
      <c r="I4457" s="4">
        <v>-78356804.299999997</v>
      </c>
    </row>
    <row r="4458" spans="1:9" x14ac:dyDescent="0.3">
      <c r="A4458" t="s">
        <v>1</v>
      </c>
      <c r="B4458" s="1">
        <v>45894</v>
      </c>
      <c r="C4458" s="1">
        <v>45894</v>
      </c>
      <c r="D4458">
        <v>103168</v>
      </c>
      <c r="E4458">
        <v>100</v>
      </c>
      <c r="F4458" s="3" t="s">
        <v>1189</v>
      </c>
      <c r="G4458" s="4">
        <v>303009.5</v>
      </c>
      <c r="I4458" s="4">
        <v>-78053794.799999997</v>
      </c>
    </row>
    <row r="4459" spans="1:9" x14ac:dyDescent="0.3">
      <c r="A4459" t="s">
        <v>1</v>
      </c>
      <c r="B4459" s="1">
        <v>45894</v>
      </c>
      <c r="C4459" s="1">
        <v>45894</v>
      </c>
      <c r="D4459">
        <v>103169</v>
      </c>
      <c r="E4459">
        <v>100</v>
      </c>
      <c r="F4459" s="3" t="s">
        <v>1190</v>
      </c>
      <c r="G4459" s="4">
        <v>45003.15</v>
      </c>
      <c r="I4459" s="4">
        <v>-78008791.650000006</v>
      </c>
    </row>
    <row r="4460" spans="1:9" x14ac:dyDescent="0.3">
      <c r="A4460" t="s">
        <v>1</v>
      </c>
      <c r="B4460" s="1">
        <v>45894</v>
      </c>
      <c r="C4460" s="1">
        <v>45894</v>
      </c>
      <c r="D4460">
        <v>103170</v>
      </c>
      <c r="E4460">
        <v>100</v>
      </c>
      <c r="F4460" s="3" t="s">
        <v>1189</v>
      </c>
      <c r="G4460" s="4">
        <v>10003.15</v>
      </c>
      <c r="I4460" s="4">
        <v>-77998788.5</v>
      </c>
    </row>
    <row r="4461" spans="1:9" x14ac:dyDescent="0.3">
      <c r="A4461" t="s">
        <v>1</v>
      </c>
      <c r="B4461" s="1">
        <v>45894</v>
      </c>
      <c r="C4461" s="1">
        <v>45894</v>
      </c>
      <c r="D4461">
        <v>103171</v>
      </c>
      <c r="E4461">
        <v>100</v>
      </c>
      <c r="F4461" s="3" t="s">
        <v>529</v>
      </c>
      <c r="G4461" s="4">
        <v>3693.25</v>
      </c>
      <c r="I4461" s="4">
        <v>-77995095.25</v>
      </c>
    </row>
    <row r="4462" spans="1:9" x14ac:dyDescent="0.3">
      <c r="A4462" t="s">
        <v>1</v>
      </c>
      <c r="B4462" s="1">
        <v>45894</v>
      </c>
      <c r="C4462" s="1">
        <v>45894</v>
      </c>
      <c r="D4462">
        <v>103172</v>
      </c>
      <c r="E4462">
        <v>100</v>
      </c>
      <c r="F4462" s="3" t="s">
        <v>3881</v>
      </c>
      <c r="G4462" s="4">
        <v>96009.5</v>
      </c>
      <c r="I4462" s="4">
        <v>-77899085.75</v>
      </c>
    </row>
    <row r="4463" spans="1:9" x14ac:dyDescent="0.3">
      <c r="A4463" t="s">
        <v>1</v>
      </c>
      <c r="B4463" s="1">
        <v>45894</v>
      </c>
      <c r="C4463" s="1">
        <v>45894</v>
      </c>
      <c r="D4463">
        <v>103173</v>
      </c>
      <c r="E4463">
        <v>100</v>
      </c>
      <c r="F4463" s="3" t="s">
        <v>3882</v>
      </c>
      <c r="G4463" s="4">
        <v>26078.75</v>
      </c>
      <c r="I4463" s="4">
        <v>-77873007</v>
      </c>
    </row>
    <row r="4464" spans="1:9" x14ac:dyDescent="0.3">
      <c r="A4464" t="s">
        <v>1</v>
      </c>
      <c r="B4464" s="1">
        <v>45894</v>
      </c>
      <c r="C4464" s="1">
        <v>45894</v>
      </c>
      <c r="D4464">
        <v>103175</v>
      </c>
      <c r="E4464">
        <v>100</v>
      </c>
      <c r="F4464" s="3" t="s">
        <v>1190</v>
      </c>
      <c r="G4464" s="4">
        <v>1243097.3</v>
      </c>
      <c r="I4464" s="4">
        <v>-76629909.700000003</v>
      </c>
    </row>
    <row r="4465" spans="1:9" x14ac:dyDescent="0.3">
      <c r="A4465" t="s">
        <v>1</v>
      </c>
      <c r="B4465" s="1">
        <v>45894</v>
      </c>
      <c r="C4465" s="1">
        <v>45894</v>
      </c>
      <c r="D4465">
        <v>103176</v>
      </c>
      <c r="E4465">
        <v>100</v>
      </c>
      <c r="F4465" s="3" t="s">
        <v>1189</v>
      </c>
      <c r="G4465" s="4">
        <v>274787.7</v>
      </c>
      <c r="I4465" s="4">
        <v>-76355122</v>
      </c>
    </row>
    <row r="4466" spans="1:9" x14ac:dyDescent="0.3">
      <c r="A4466" t="s">
        <v>1</v>
      </c>
      <c r="B4466" s="1">
        <v>45894</v>
      </c>
      <c r="C4466" s="1">
        <v>45894</v>
      </c>
      <c r="D4466">
        <v>103177</v>
      </c>
      <c r="E4466">
        <v>100</v>
      </c>
      <c r="F4466" s="3" t="s">
        <v>1189</v>
      </c>
      <c r="G4466" s="4">
        <v>785441.5</v>
      </c>
      <c r="I4466" s="4">
        <v>-75569680.5</v>
      </c>
    </row>
    <row r="4467" spans="1:9" x14ac:dyDescent="0.3">
      <c r="A4467" t="s">
        <v>1</v>
      </c>
      <c r="B4467" s="1">
        <v>45894</v>
      </c>
      <c r="C4467" s="1">
        <v>45894</v>
      </c>
      <c r="D4467">
        <v>103180</v>
      </c>
      <c r="E4467">
        <v>100</v>
      </c>
      <c r="F4467" s="3" t="s">
        <v>3883</v>
      </c>
      <c r="G4467" s="4">
        <v>106008</v>
      </c>
      <c r="I4467" s="4">
        <v>-75463672.5</v>
      </c>
    </row>
    <row r="4468" spans="1:9" x14ac:dyDescent="0.3">
      <c r="A4468" t="s">
        <v>1</v>
      </c>
      <c r="B4468" s="1">
        <v>45894</v>
      </c>
      <c r="C4468" s="1">
        <v>45894</v>
      </c>
      <c r="D4468">
        <v>103181</v>
      </c>
      <c r="E4468">
        <v>100</v>
      </c>
      <c r="F4468" s="3" t="s">
        <v>3884</v>
      </c>
      <c r="G4468" s="4">
        <v>42791.13</v>
      </c>
      <c r="I4468" s="4">
        <v>-75420881.370000005</v>
      </c>
    </row>
    <row r="4469" spans="1:9" x14ac:dyDescent="0.3">
      <c r="A4469" t="s">
        <v>1</v>
      </c>
      <c r="B4469" s="1">
        <v>45894</v>
      </c>
      <c r="C4469" s="1">
        <v>45894</v>
      </c>
      <c r="D4469">
        <v>103186</v>
      </c>
      <c r="E4469">
        <v>100</v>
      </c>
      <c r="F4469" s="3" t="s">
        <v>2677</v>
      </c>
      <c r="G4469" s="4">
        <v>16516.8</v>
      </c>
      <c r="I4469" s="4">
        <v>-75404364.569999993</v>
      </c>
    </row>
    <row r="4470" spans="1:9" x14ac:dyDescent="0.3">
      <c r="A4470" t="s">
        <v>1</v>
      </c>
      <c r="B4470" s="1">
        <v>45887</v>
      </c>
      <c r="C4470" s="1">
        <v>45894</v>
      </c>
      <c r="D4470">
        <v>103187</v>
      </c>
      <c r="E4470">
        <v>100</v>
      </c>
      <c r="F4470" s="3" t="s">
        <v>3885</v>
      </c>
      <c r="G4470" s="4">
        <v>2000</v>
      </c>
      <c r="I4470" s="4">
        <v>-75402364.569999993</v>
      </c>
    </row>
    <row r="4471" spans="1:9" x14ac:dyDescent="0.3">
      <c r="A4471" t="s">
        <v>1</v>
      </c>
      <c r="B4471" s="1">
        <v>45887</v>
      </c>
      <c r="C4471" s="1">
        <v>45894</v>
      </c>
      <c r="D4471">
        <v>103189</v>
      </c>
      <c r="E4471">
        <v>100</v>
      </c>
      <c r="F4471" s="3" t="s">
        <v>3886</v>
      </c>
      <c r="G4471" s="4">
        <v>48600</v>
      </c>
      <c r="I4471" s="4">
        <v>-75353764.569999993</v>
      </c>
    </row>
    <row r="4472" spans="1:9" x14ac:dyDescent="0.3">
      <c r="A4472" t="s">
        <v>75</v>
      </c>
      <c r="B4472" s="1">
        <v>45893</v>
      </c>
      <c r="C4472" s="1">
        <v>45894</v>
      </c>
      <c r="D4472">
        <v>143954</v>
      </c>
      <c r="E4472">
        <v>72</v>
      </c>
      <c r="F4472" s="3" t="s">
        <v>3887</v>
      </c>
      <c r="G4472" s="4">
        <v>91214.75</v>
      </c>
      <c r="H4472" s="4">
        <v>0</v>
      </c>
      <c r="I4472" s="4">
        <v>-75262549.819999993</v>
      </c>
    </row>
    <row r="4473" spans="1:9" x14ac:dyDescent="0.3">
      <c r="A4473" t="s">
        <v>75</v>
      </c>
      <c r="B4473" s="1">
        <v>45892</v>
      </c>
      <c r="C4473" s="1">
        <v>45894</v>
      </c>
      <c r="D4473">
        <v>143955</v>
      </c>
      <c r="E4473">
        <v>67</v>
      </c>
      <c r="F4473" s="3" t="s">
        <v>3888</v>
      </c>
      <c r="G4473" s="4">
        <v>27611.75</v>
      </c>
      <c r="H4473" s="4">
        <v>0</v>
      </c>
      <c r="I4473" s="4">
        <v>-75234938.069999993</v>
      </c>
    </row>
    <row r="4474" spans="1:9" x14ac:dyDescent="0.3">
      <c r="A4474" t="s">
        <v>75</v>
      </c>
      <c r="B4474" s="1">
        <v>45893</v>
      </c>
      <c r="C4474" s="1">
        <v>45894</v>
      </c>
      <c r="D4474">
        <v>143958</v>
      </c>
      <c r="E4474">
        <v>12</v>
      </c>
      <c r="F4474" s="3" t="s">
        <v>3889</v>
      </c>
      <c r="G4474" s="4">
        <v>43622.25</v>
      </c>
      <c r="H4474" s="4">
        <v>0</v>
      </c>
      <c r="I4474" s="4">
        <v>-75191315.819999993</v>
      </c>
    </row>
    <row r="4475" spans="1:9" x14ac:dyDescent="0.3">
      <c r="A4475" t="s">
        <v>75</v>
      </c>
      <c r="B4475" s="1">
        <v>45894</v>
      </c>
      <c r="C4475" s="1">
        <v>45894</v>
      </c>
      <c r="D4475">
        <v>143960</v>
      </c>
      <c r="E4475">
        <v>13</v>
      </c>
      <c r="F4475" s="3" t="s">
        <v>3890</v>
      </c>
      <c r="G4475" s="4">
        <v>602127.5</v>
      </c>
      <c r="H4475" s="4">
        <v>0</v>
      </c>
      <c r="I4475" s="4">
        <v>-74589188.319999993</v>
      </c>
    </row>
    <row r="4476" spans="1:9" x14ac:dyDescent="0.3">
      <c r="A4476" t="s">
        <v>75</v>
      </c>
      <c r="B4476" s="1">
        <v>45892</v>
      </c>
      <c r="C4476" s="1">
        <v>45894</v>
      </c>
      <c r="D4476">
        <v>143962</v>
      </c>
      <c r="E4476">
        <v>16</v>
      </c>
      <c r="F4476" s="3" t="s">
        <v>3891</v>
      </c>
      <c r="G4476" s="4">
        <v>5954</v>
      </c>
      <c r="H4476" s="4">
        <v>0</v>
      </c>
      <c r="I4476" s="4">
        <v>-74583234.319999993</v>
      </c>
    </row>
    <row r="4477" spans="1:9" x14ac:dyDescent="0.3">
      <c r="A4477" t="s">
        <v>75</v>
      </c>
      <c r="B4477" s="1">
        <v>45893</v>
      </c>
      <c r="C4477" s="1">
        <v>45894</v>
      </c>
      <c r="D4477">
        <v>143963</v>
      </c>
      <c r="E4477">
        <v>19</v>
      </c>
      <c r="F4477" s="3" t="s">
        <v>3892</v>
      </c>
      <c r="G4477" s="4">
        <v>4020</v>
      </c>
      <c r="H4477" s="4">
        <v>0</v>
      </c>
      <c r="I4477" s="4">
        <v>-74579214.319999993</v>
      </c>
    </row>
    <row r="4478" spans="1:9" x14ac:dyDescent="0.3">
      <c r="A4478" t="s">
        <v>75</v>
      </c>
      <c r="B4478" s="1">
        <v>45894</v>
      </c>
      <c r="C4478" s="1">
        <v>45894</v>
      </c>
      <c r="D4478">
        <v>143965</v>
      </c>
      <c r="E4478">
        <v>79</v>
      </c>
      <c r="F4478" s="3" t="s">
        <v>3893</v>
      </c>
      <c r="G4478" s="4">
        <v>20072.5</v>
      </c>
      <c r="H4478" s="4">
        <v>0</v>
      </c>
      <c r="I4478" s="4">
        <v>-74559141.819999993</v>
      </c>
    </row>
    <row r="4479" spans="1:9" x14ac:dyDescent="0.3">
      <c r="A4479" t="s">
        <v>75</v>
      </c>
      <c r="B4479" s="1">
        <v>45894</v>
      </c>
      <c r="C4479" s="1">
        <v>45894</v>
      </c>
      <c r="D4479">
        <v>143966</v>
      </c>
      <c r="E4479">
        <v>19</v>
      </c>
      <c r="F4479" s="3" t="s">
        <v>3894</v>
      </c>
      <c r="G4479" s="4">
        <v>3450</v>
      </c>
      <c r="H4479" s="4">
        <v>0</v>
      </c>
      <c r="I4479" s="4">
        <v>-74555691.819999993</v>
      </c>
    </row>
    <row r="4480" spans="1:9" x14ac:dyDescent="0.3">
      <c r="A4480" t="s">
        <v>75</v>
      </c>
      <c r="B4480" s="1">
        <v>45894</v>
      </c>
      <c r="C4480" s="1">
        <v>45894</v>
      </c>
      <c r="D4480">
        <v>143967</v>
      </c>
      <c r="E4480">
        <v>61</v>
      </c>
      <c r="F4480" s="3" t="s">
        <v>3895</v>
      </c>
      <c r="G4480" s="4">
        <v>72100.5</v>
      </c>
      <c r="H4480" s="4">
        <v>0</v>
      </c>
      <c r="I4480" s="4">
        <v>-74483591.319999993</v>
      </c>
    </row>
    <row r="4481" spans="1:9" x14ac:dyDescent="0.3">
      <c r="A4481" t="s">
        <v>75</v>
      </c>
      <c r="B4481" s="1">
        <v>45892</v>
      </c>
      <c r="C4481" s="1">
        <v>45894</v>
      </c>
      <c r="D4481">
        <v>143968</v>
      </c>
      <c r="E4481">
        <v>15</v>
      </c>
      <c r="F4481" s="3" t="s">
        <v>3896</v>
      </c>
      <c r="G4481" s="4">
        <v>425000</v>
      </c>
      <c r="H4481" s="4">
        <v>0</v>
      </c>
      <c r="I4481" s="4">
        <v>-74058591.319999993</v>
      </c>
    </row>
    <row r="4482" spans="1:9" x14ac:dyDescent="0.3">
      <c r="A4482" t="s">
        <v>75</v>
      </c>
      <c r="B4482" s="1">
        <v>45887</v>
      </c>
      <c r="C4482" s="1">
        <v>45894</v>
      </c>
      <c r="D4482">
        <v>143969</v>
      </c>
      <c r="E4482">
        <v>15</v>
      </c>
      <c r="F4482" s="3" t="s">
        <v>3897</v>
      </c>
      <c r="G4482" s="4">
        <v>36800.5</v>
      </c>
      <c r="H4482" s="4">
        <v>0</v>
      </c>
      <c r="I4482" s="4">
        <v>-74021790.819999993</v>
      </c>
    </row>
    <row r="4483" spans="1:9" x14ac:dyDescent="0.3">
      <c r="A4483" t="s">
        <v>75</v>
      </c>
      <c r="B4483" s="1">
        <v>45887</v>
      </c>
      <c r="C4483" s="1">
        <v>45894</v>
      </c>
      <c r="D4483">
        <v>143970</v>
      </c>
      <c r="E4483">
        <v>15</v>
      </c>
      <c r="F4483" s="3" t="s">
        <v>3898</v>
      </c>
      <c r="G4483" s="4">
        <v>40979.25</v>
      </c>
      <c r="H4483" s="4">
        <v>0</v>
      </c>
      <c r="I4483" s="4">
        <v>-73980811.569999993</v>
      </c>
    </row>
    <row r="4484" spans="1:9" x14ac:dyDescent="0.3">
      <c r="A4484" t="s">
        <v>75</v>
      </c>
      <c r="B4484" s="1">
        <v>45891</v>
      </c>
      <c r="C4484" s="1">
        <v>45894</v>
      </c>
      <c r="D4484">
        <v>143971</v>
      </c>
      <c r="E4484">
        <v>16</v>
      </c>
      <c r="F4484" s="3" t="s">
        <v>3899</v>
      </c>
      <c r="G4484" s="4">
        <v>25050.5</v>
      </c>
      <c r="H4484" s="4">
        <v>0</v>
      </c>
      <c r="I4484" s="4">
        <v>-73955761.069999993</v>
      </c>
    </row>
    <row r="4485" spans="1:9" x14ac:dyDescent="0.3">
      <c r="A4485" t="s">
        <v>75</v>
      </c>
      <c r="B4485" s="1">
        <v>45894</v>
      </c>
      <c r="C4485" s="1">
        <v>45894</v>
      </c>
      <c r="D4485">
        <v>143972</v>
      </c>
      <c r="E4485">
        <v>16</v>
      </c>
      <c r="F4485" s="3" t="s">
        <v>3900</v>
      </c>
      <c r="G4485" s="4">
        <v>9766</v>
      </c>
      <c r="H4485" s="4">
        <v>0</v>
      </c>
      <c r="I4485" s="4">
        <v>-73945995.069999993</v>
      </c>
    </row>
    <row r="4486" spans="1:9" x14ac:dyDescent="0.3">
      <c r="A4486" t="s">
        <v>75</v>
      </c>
      <c r="B4486" s="1">
        <v>45890</v>
      </c>
      <c r="C4486" s="1">
        <v>45894</v>
      </c>
      <c r="D4486">
        <v>143974</v>
      </c>
      <c r="E4486">
        <v>16</v>
      </c>
      <c r="F4486" s="3" t="s">
        <v>3901</v>
      </c>
      <c r="G4486" s="4">
        <v>8168</v>
      </c>
      <c r="H4486" s="4">
        <v>0</v>
      </c>
      <c r="I4486" s="4">
        <v>-73937827.069999993</v>
      </c>
    </row>
    <row r="4487" spans="1:9" x14ac:dyDescent="0.3">
      <c r="A4487" t="s">
        <v>75</v>
      </c>
      <c r="B4487" s="1">
        <v>45890</v>
      </c>
      <c r="C4487" s="1">
        <v>45894</v>
      </c>
      <c r="D4487">
        <v>143975</v>
      </c>
      <c r="E4487">
        <v>16</v>
      </c>
      <c r="F4487" s="3" t="s">
        <v>3902</v>
      </c>
      <c r="G4487" s="4">
        <v>16046.75</v>
      </c>
      <c r="H4487" s="4">
        <v>0</v>
      </c>
      <c r="I4487" s="4">
        <v>-73921780.319999993</v>
      </c>
    </row>
    <row r="4488" spans="1:9" x14ac:dyDescent="0.3">
      <c r="A4488" t="s">
        <v>75</v>
      </c>
      <c r="B4488" s="1">
        <v>45894</v>
      </c>
      <c r="C4488" s="1">
        <v>45894</v>
      </c>
      <c r="D4488">
        <v>143978</v>
      </c>
      <c r="E4488">
        <v>33</v>
      </c>
      <c r="F4488" s="3" t="s">
        <v>3903</v>
      </c>
      <c r="G4488" s="4">
        <v>1450000</v>
      </c>
      <c r="H4488" s="4">
        <v>0</v>
      </c>
      <c r="I4488" s="4">
        <v>-72471780.319999993</v>
      </c>
    </row>
    <row r="4489" spans="1:9" x14ac:dyDescent="0.3">
      <c r="A4489" t="s">
        <v>75</v>
      </c>
      <c r="B4489" s="1">
        <v>45894</v>
      </c>
      <c r="C4489" s="1">
        <v>45894</v>
      </c>
      <c r="D4489">
        <v>143979</v>
      </c>
      <c r="E4489">
        <v>72</v>
      </c>
      <c r="F4489" s="3" t="s">
        <v>3904</v>
      </c>
      <c r="G4489" s="4">
        <v>31042.75</v>
      </c>
      <c r="H4489" s="4">
        <v>0</v>
      </c>
      <c r="I4489" s="4">
        <v>-72440737.569999993</v>
      </c>
    </row>
    <row r="4490" spans="1:9" x14ac:dyDescent="0.3">
      <c r="A4490" t="s">
        <v>75</v>
      </c>
      <c r="B4490" s="1">
        <v>45894</v>
      </c>
      <c r="C4490" s="1">
        <v>45894</v>
      </c>
      <c r="D4490">
        <v>143980</v>
      </c>
      <c r="E4490">
        <v>84</v>
      </c>
      <c r="F4490" s="3" t="s">
        <v>3905</v>
      </c>
      <c r="G4490" s="4">
        <v>12800</v>
      </c>
      <c r="H4490" s="4">
        <v>0</v>
      </c>
      <c r="I4490" s="4">
        <v>-72427937.569999993</v>
      </c>
    </row>
    <row r="4491" spans="1:9" x14ac:dyDescent="0.3">
      <c r="A4491" t="s">
        <v>75</v>
      </c>
      <c r="B4491" s="1">
        <v>45894</v>
      </c>
      <c r="C4491" s="1">
        <v>45894</v>
      </c>
      <c r="D4491">
        <v>143981</v>
      </c>
      <c r="E4491">
        <v>24</v>
      </c>
      <c r="F4491" s="3" t="s">
        <v>3906</v>
      </c>
      <c r="G4491" s="4">
        <v>40000</v>
      </c>
      <c r="H4491" s="4">
        <v>0</v>
      </c>
      <c r="I4491" s="4">
        <v>-72387937.569999993</v>
      </c>
    </row>
    <row r="4492" spans="1:9" x14ac:dyDescent="0.3">
      <c r="A4492" t="s">
        <v>75</v>
      </c>
      <c r="B4492" s="1">
        <v>45894</v>
      </c>
      <c r="C4492" s="1">
        <v>45894</v>
      </c>
      <c r="D4492">
        <v>143985</v>
      </c>
      <c r="E4492">
        <v>61</v>
      </c>
      <c r="F4492" s="3" t="s">
        <v>3907</v>
      </c>
      <c r="G4492" s="4">
        <v>21550.5</v>
      </c>
      <c r="H4492" s="4">
        <v>0</v>
      </c>
      <c r="I4492" s="4">
        <v>-72366387.069999993</v>
      </c>
    </row>
    <row r="4493" spans="1:9" x14ac:dyDescent="0.3">
      <c r="A4493" t="s">
        <v>75</v>
      </c>
      <c r="B4493" s="1">
        <v>45893</v>
      </c>
      <c r="C4493" s="1">
        <v>45894</v>
      </c>
      <c r="D4493">
        <v>143986</v>
      </c>
      <c r="E4493">
        <v>14</v>
      </c>
      <c r="F4493" s="3" t="s">
        <v>3908</v>
      </c>
      <c r="G4493" s="4">
        <v>23184.5</v>
      </c>
      <c r="H4493" s="4">
        <v>0</v>
      </c>
      <c r="I4493" s="4">
        <v>-72343202.569999993</v>
      </c>
    </row>
    <row r="4494" spans="1:9" x14ac:dyDescent="0.3">
      <c r="A4494" t="s">
        <v>75</v>
      </c>
      <c r="B4494" s="1">
        <v>45890</v>
      </c>
      <c r="C4494" s="1">
        <v>45894</v>
      </c>
      <c r="D4494">
        <v>143987</v>
      </c>
      <c r="E4494">
        <v>58</v>
      </c>
      <c r="F4494" s="3" t="s">
        <v>3909</v>
      </c>
      <c r="G4494" s="4">
        <v>26452</v>
      </c>
      <c r="H4494" s="4">
        <v>0</v>
      </c>
      <c r="I4494" s="4">
        <v>-72316750.569999993</v>
      </c>
    </row>
    <row r="4495" spans="1:9" x14ac:dyDescent="0.3">
      <c r="A4495" t="s">
        <v>75</v>
      </c>
      <c r="B4495" s="1">
        <v>45893</v>
      </c>
      <c r="C4495" s="1">
        <v>45894</v>
      </c>
      <c r="D4495">
        <v>143988</v>
      </c>
      <c r="E4495">
        <v>14</v>
      </c>
      <c r="F4495" s="3" t="s">
        <v>3910</v>
      </c>
      <c r="G4495" s="4">
        <v>100000</v>
      </c>
      <c r="H4495" s="4">
        <v>0</v>
      </c>
      <c r="I4495" s="4">
        <v>-72216750.569999993</v>
      </c>
    </row>
    <row r="4496" spans="1:9" x14ac:dyDescent="0.3">
      <c r="A4496" t="s">
        <v>75</v>
      </c>
      <c r="B4496" s="1">
        <v>45894</v>
      </c>
      <c r="C4496" s="1">
        <v>45894</v>
      </c>
      <c r="D4496">
        <v>143989</v>
      </c>
      <c r="E4496">
        <v>62</v>
      </c>
      <c r="F4496" s="3" t="s">
        <v>3911</v>
      </c>
      <c r="G4496" s="4">
        <v>24129.5</v>
      </c>
      <c r="H4496" s="4">
        <v>0</v>
      </c>
      <c r="I4496" s="4">
        <v>-72192621.069999993</v>
      </c>
    </row>
    <row r="4497" spans="1:9" x14ac:dyDescent="0.3">
      <c r="A4497" t="s">
        <v>75</v>
      </c>
      <c r="B4497" s="1">
        <v>45894</v>
      </c>
      <c r="C4497" s="1">
        <v>45894</v>
      </c>
      <c r="D4497">
        <v>143993</v>
      </c>
      <c r="E4497">
        <v>67</v>
      </c>
      <c r="F4497" s="3" t="s">
        <v>3912</v>
      </c>
      <c r="G4497" s="4">
        <v>33800</v>
      </c>
      <c r="H4497" s="4">
        <v>0</v>
      </c>
      <c r="I4497" s="4">
        <v>-72158821.069999993</v>
      </c>
    </row>
    <row r="4498" spans="1:9" x14ac:dyDescent="0.3">
      <c r="A4498" t="s">
        <v>75</v>
      </c>
      <c r="B4498" s="1">
        <v>45888</v>
      </c>
      <c r="C4498" s="1">
        <v>45894</v>
      </c>
      <c r="D4498">
        <v>143996</v>
      </c>
      <c r="E4498">
        <v>91</v>
      </c>
      <c r="F4498" s="3" t="s">
        <v>3913</v>
      </c>
      <c r="G4498" s="4">
        <v>67864.25</v>
      </c>
      <c r="H4498" s="4">
        <v>0</v>
      </c>
      <c r="I4498" s="4">
        <v>-72090956.819999993</v>
      </c>
    </row>
    <row r="4499" spans="1:9" x14ac:dyDescent="0.3">
      <c r="A4499" t="s">
        <v>75</v>
      </c>
      <c r="B4499" s="1">
        <v>45889</v>
      </c>
      <c r="C4499" s="1">
        <v>45894</v>
      </c>
      <c r="D4499">
        <v>143998</v>
      </c>
      <c r="E4499">
        <v>34</v>
      </c>
      <c r="F4499" s="3" t="s">
        <v>3914</v>
      </c>
      <c r="G4499" s="4">
        <v>99717.75</v>
      </c>
      <c r="H4499" s="4">
        <v>0</v>
      </c>
      <c r="I4499" s="4">
        <v>-71991239.069999993</v>
      </c>
    </row>
    <row r="4500" spans="1:9" x14ac:dyDescent="0.3">
      <c r="A4500" t="s">
        <v>75</v>
      </c>
      <c r="B4500" s="1">
        <v>45894</v>
      </c>
      <c r="C4500" s="1">
        <v>45894</v>
      </c>
      <c r="D4500">
        <v>144002</v>
      </c>
      <c r="E4500">
        <v>14</v>
      </c>
      <c r="F4500" s="3" t="s">
        <v>3915</v>
      </c>
      <c r="G4500" s="4">
        <v>7385</v>
      </c>
      <c r="H4500" s="4">
        <v>0</v>
      </c>
      <c r="I4500" s="4">
        <v>-71983854.069999993</v>
      </c>
    </row>
    <row r="4501" spans="1:9" x14ac:dyDescent="0.3">
      <c r="A4501" t="s">
        <v>75</v>
      </c>
      <c r="B4501" s="1">
        <v>45894</v>
      </c>
      <c r="C4501" s="1">
        <v>45894</v>
      </c>
      <c r="D4501">
        <v>144003</v>
      </c>
      <c r="E4501">
        <v>310</v>
      </c>
      <c r="F4501" s="3" t="s">
        <v>3916</v>
      </c>
      <c r="G4501" s="4">
        <v>88966.34</v>
      </c>
      <c r="H4501" s="4">
        <v>0</v>
      </c>
      <c r="I4501" s="4">
        <v>-71894887.730000004</v>
      </c>
    </row>
    <row r="4502" spans="1:9" x14ac:dyDescent="0.3">
      <c r="A4502" t="s">
        <v>75</v>
      </c>
      <c r="B4502" s="1">
        <v>45888</v>
      </c>
      <c r="C4502" s="1">
        <v>45894</v>
      </c>
      <c r="D4502">
        <v>144008</v>
      </c>
      <c r="E4502">
        <v>11</v>
      </c>
      <c r="F4502" s="3" t="s">
        <v>3917</v>
      </c>
      <c r="G4502" s="4">
        <v>131908</v>
      </c>
      <c r="H4502" s="4">
        <v>0</v>
      </c>
      <c r="I4502" s="4">
        <v>-71762979.730000004</v>
      </c>
    </row>
    <row r="4503" spans="1:9" x14ac:dyDescent="0.3">
      <c r="A4503" t="s">
        <v>75</v>
      </c>
      <c r="B4503" s="1">
        <v>45890</v>
      </c>
      <c r="C4503" s="1">
        <v>45894</v>
      </c>
      <c r="D4503">
        <v>144008</v>
      </c>
      <c r="E4503">
        <v>11</v>
      </c>
      <c r="F4503" s="3" t="s">
        <v>3918</v>
      </c>
      <c r="G4503" s="4">
        <v>107343.25</v>
      </c>
      <c r="H4503" s="4">
        <v>0</v>
      </c>
      <c r="I4503" s="4">
        <v>-71655636.480000004</v>
      </c>
    </row>
    <row r="4504" spans="1:9" x14ac:dyDescent="0.3">
      <c r="A4504" t="s">
        <v>75</v>
      </c>
      <c r="B4504" s="1">
        <v>45889</v>
      </c>
      <c r="C4504" s="1">
        <v>45894</v>
      </c>
      <c r="D4504">
        <v>144008</v>
      </c>
      <c r="E4504">
        <v>11</v>
      </c>
      <c r="F4504" s="3" t="s">
        <v>3919</v>
      </c>
      <c r="G4504" s="4">
        <v>10000</v>
      </c>
      <c r="H4504" s="4">
        <v>0</v>
      </c>
      <c r="I4504" s="4">
        <v>-71645636.480000004</v>
      </c>
    </row>
    <row r="4505" spans="1:9" x14ac:dyDescent="0.3">
      <c r="A4505" t="s">
        <v>75</v>
      </c>
      <c r="B4505" s="1">
        <v>45894</v>
      </c>
      <c r="C4505" s="1">
        <v>45894</v>
      </c>
      <c r="D4505">
        <v>144008</v>
      </c>
      <c r="E4505">
        <v>11</v>
      </c>
      <c r="F4505" s="3" t="s">
        <v>3920</v>
      </c>
      <c r="G4505" s="4">
        <v>2500</v>
      </c>
      <c r="H4505" s="4">
        <v>0</v>
      </c>
      <c r="I4505" s="4">
        <v>-71643136.480000004</v>
      </c>
    </row>
    <row r="4506" spans="1:9" x14ac:dyDescent="0.3">
      <c r="A4506" t="s">
        <v>75</v>
      </c>
      <c r="B4506" s="1">
        <v>45894</v>
      </c>
      <c r="C4506" s="1">
        <v>45894</v>
      </c>
      <c r="D4506">
        <v>144010</v>
      </c>
      <c r="E4506">
        <v>16</v>
      </c>
      <c r="F4506" s="3" t="s">
        <v>3921</v>
      </c>
      <c r="G4506" s="4">
        <v>45300</v>
      </c>
      <c r="H4506" s="4">
        <v>0</v>
      </c>
      <c r="I4506" s="4">
        <v>-71597836.480000004</v>
      </c>
    </row>
    <row r="4507" spans="1:9" x14ac:dyDescent="0.3">
      <c r="A4507" t="s">
        <v>75</v>
      </c>
      <c r="B4507" s="1">
        <v>45894</v>
      </c>
      <c r="C4507" s="1">
        <v>45894</v>
      </c>
      <c r="D4507">
        <v>144011</v>
      </c>
      <c r="E4507">
        <v>224</v>
      </c>
      <c r="F4507" s="3" t="s">
        <v>3922</v>
      </c>
      <c r="G4507" s="4">
        <v>2577.5</v>
      </c>
      <c r="H4507" s="4">
        <v>0</v>
      </c>
      <c r="I4507" s="4">
        <v>-71595258.980000004</v>
      </c>
    </row>
    <row r="4508" spans="1:9" x14ac:dyDescent="0.3">
      <c r="A4508" t="s">
        <v>75</v>
      </c>
      <c r="B4508" s="1">
        <v>45894</v>
      </c>
      <c r="C4508" s="1">
        <v>45894</v>
      </c>
      <c r="D4508">
        <v>144012</v>
      </c>
      <c r="E4508">
        <v>15</v>
      </c>
      <c r="F4508" s="3" t="s">
        <v>3923</v>
      </c>
      <c r="G4508" s="4">
        <v>78141.5</v>
      </c>
      <c r="H4508" s="4">
        <v>0</v>
      </c>
      <c r="I4508" s="4">
        <v>-71517117.480000004</v>
      </c>
    </row>
    <row r="4509" spans="1:9" x14ac:dyDescent="0.3">
      <c r="A4509" t="s">
        <v>75</v>
      </c>
      <c r="B4509" s="1">
        <v>45894</v>
      </c>
      <c r="C4509" s="1">
        <v>45894</v>
      </c>
      <c r="D4509">
        <v>144013</v>
      </c>
      <c r="E4509">
        <v>361</v>
      </c>
      <c r="F4509" s="3" t="s">
        <v>3924</v>
      </c>
      <c r="G4509" s="4">
        <v>15541.75</v>
      </c>
      <c r="H4509" s="4">
        <v>0</v>
      </c>
      <c r="I4509" s="4">
        <v>-71501575.730000004</v>
      </c>
    </row>
    <row r="4510" spans="1:9" x14ac:dyDescent="0.3">
      <c r="A4510" t="s">
        <v>75</v>
      </c>
      <c r="B4510" s="1">
        <v>45891</v>
      </c>
      <c r="C4510" s="1">
        <v>45894</v>
      </c>
      <c r="D4510">
        <v>144014</v>
      </c>
      <c r="E4510">
        <v>33</v>
      </c>
      <c r="F4510" s="3" t="s">
        <v>3925</v>
      </c>
      <c r="G4510" s="4">
        <v>225601.5</v>
      </c>
      <c r="H4510" s="4">
        <v>0</v>
      </c>
      <c r="I4510" s="4">
        <v>-71275974.230000004</v>
      </c>
    </row>
    <row r="4511" spans="1:9" x14ac:dyDescent="0.3">
      <c r="A4511" t="s">
        <v>75</v>
      </c>
      <c r="B4511" s="1">
        <v>45894</v>
      </c>
      <c r="C4511" s="1">
        <v>45894</v>
      </c>
      <c r="D4511">
        <v>144015</v>
      </c>
      <c r="E4511">
        <v>79</v>
      </c>
      <c r="F4511" s="3" t="s">
        <v>3926</v>
      </c>
      <c r="G4511" s="4">
        <v>21876</v>
      </c>
      <c r="H4511" s="4">
        <v>0</v>
      </c>
      <c r="I4511" s="4">
        <v>-71254098.230000004</v>
      </c>
    </row>
    <row r="4512" spans="1:9" x14ac:dyDescent="0.3">
      <c r="A4512" t="s">
        <v>75</v>
      </c>
      <c r="B4512" s="1">
        <v>45894</v>
      </c>
      <c r="C4512" s="1">
        <v>45894</v>
      </c>
      <c r="D4512">
        <v>144018</v>
      </c>
      <c r="E4512">
        <v>62</v>
      </c>
      <c r="F4512" s="3" t="s">
        <v>3927</v>
      </c>
      <c r="G4512" s="4">
        <v>6203</v>
      </c>
      <c r="H4512" s="4">
        <v>0</v>
      </c>
      <c r="I4512" s="4">
        <v>-71247895.230000004</v>
      </c>
    </row>
    <row r="4513" spans="1:9" x14ac:dyDescent="0.3">
      <c r="A4513" t="s">
        <v>75</v>
      </c>
      <c r="B4513" s="1">
        <v>45894</v>
      </c>
      <c r="C4513" s="1">
        <v>45894</v>
      </c>
      <c r="D4513">
        <v>144019</v>
      </c>
      <c r="E4513">
        <v>62</v>
      </c>
      <c r="F4513" s="3" t="s">
        <v>3928</v>
      </c>
      <c r="G4513" s="4">
        <v>56000</v>
      </c>
      <c r="H4513" s="4">
        <v>0</v>
      </c>
      <c r="I4513" s="4">
        <v>-71191895.230000004</v>
      </c>
    </row>
    <row r="4514" spans="1:9" x14ac:dyDescent="0.3">
      <c r="A4514" t="s">
        <v>75</v>
      </c>
      <c r="B4514" s="1">
        <v>45894</v>
      </c>
      <c r="C4514" s="1">
        <v>45894</v>
      </c>
      <c r="D4514">
        <v>144020</v>
      </c>
      <c r="E4514">
        <v>62</v>
      </c>
      <c r="F4514" s="3" t="s">
        <v>3929</v>
      </c>
      <c r="G4514" s="4">
        <v>44306</v>
      </c>
      <c r="H4514" s="4">
        <v>0</v>
      </c>
      <c r="I4514" s="4">
        <v>-71147589.230000004</v>
      </c>
    </row>
    <row r="4515" spans="1:9" x14ac:dyDescent="0.3">
      <c r="A4515" t="s">
        <v>75</v>
      </c>
      <c r="B4515" s="1">
        <v>45894</v>
      </c>
      <c r="C4515" s="1">
        <v>45894</v>
      </c>
      <c r="D4515">
        <v>144023</v>
      </c>
      <c r="E4515">
        <v>23</v>
      </c>
      <c r="F4515" s="3" t="s">
        <v>3930</v>
      </c>
      <c r="G4515" s="4">
        <v>26026.5</v>
      </c>
      <c r="H4515" s="4">
        <v>0</v>
      </c>
      <c r="I4515" s="4">
        <v>-71121562.730000004</v>
      </c>
    </row>
    <row r="4516" spans="1:9" x14ac:dyDescent="0.3">
      <c r="A4516" t="s">
        <v>75</v>
      </c>
      <c r="B4516" s="1">
        <v>45894</v>
      </c>
      <c r="C4516" s="1">
        <v>45894</v>
      </c>
      <c r="D4516">
        <v>144024</v>
      </c>
      <c r="E4516">
        <v>89</v>
      </c>
      <c r="F4516" s="3" t="s">
        <v>3931</v>
      </c>
      <c r="G4516" s="4">
        <v>50000</v>
      </c>
      <c r="H4516" s="4">
        <v>0</v>
      </c>
      <c r="I4516" s="4">
        <v>-71071562.730000004</v>
      </c>
    </row>
    <row r="4517" spans="1:9" x14ac:dyDescent="0.3">
      <c r="A4517" t="s">
        <v>71</v>
      </c>
      <c r="B4517" s="1">
        <v>45891</v>
      </c>
      <c r="C4517" s="1">
        <v>45894</v>
      </c>
      <c r="D4517">
        <v>14835</v>
      </c>
      <c r="E4517">
        <v>100</v>
      </c>
      <c r="F4517" s="3" t="s">
        <v>3932</v>
      </c>
      <c r="G4517" s="4">
        <v>20223500</v>
      </c>
      <c r="H4517" s="4">
        <v>0</v>
      </c>
      <c r="I4517" s="4">
        <v>-50848062.729999997</v>
      </c>
    </row>
    <row r="4518" spans="1:9" x14ac:dyDescent="0.3">
      <c r="A4518" t="s">
        <v>71</v>
      </c>
      <c r="B4518" s="1">
        <v>45891</v>
      </c>
      <c r="C4518" s="1">
        <v>45894</v>
      </c>
      <c r="D4518">
        <v>14835</v>
      </c>
      <c r="E4518">
        <v>100</v>
      </c>
      <c r="F4518" s="3" t="s">
        <v>3933</v>
      </c>
      <c r="G4518" s="4">
        <v>105103.99</v>
      </c>
      <c r="H4518" s="4">
        <v>0</v>
      </c>
      <c r="I4518" s="4">
        <v>-50742958.740000002</v>
      </c>
    </row>
    <row r="4519" spans="1:9" x14ac:dyDescent="0.3">
      <c r="A4519" t="s">
        <v>71</v>
      </c>
      <c r="B4519" s="1">
        <v>45892</v>
      </c>
      <c r="C4519" s="1">
        <v>45894</v>
      </c>
      <c r="D4519">
        <v>14835</v>
      </c>
      <c r="E4519">
        <v>100</v>
      </c>
      <c r="F4519" s="3" t="s">
        <v>3934</v>
      </c>
      <c r="G4519" s="4">
        <v>15830450</v>
      </c>
      <c r="H4519" s="4">
        <v>0</v>
      </c>
      <c r="I4519" s="4">
        <v>-34912508.740000002</v>
      </c>
    </row>
    <row r="4520" spans="1:9" x14ac:dyDescent="0.3">
      <c r="A4520" t="s">
        <v>71</v>
      </c>
      <c r="B4520" s="1">
        <v>45891</v>
      </c>
      <c r="C4520" s="1">
        <v>45894</v>
      </c>
      <c r="D4520">
        <v>14835</v>
      </c>
      <c r="E4520">
        <v>100</v>
      </c>
      <c r="F4520" s="3" t="s">
        <v>3935</v>
      </c>
      <c r="G4520" s="4">
        <v>5147800</v>
      </c>
      <c r="H4520" s="4">
        <v>0</v>
      </c>
      <c r="I4520" s="4">
        <v>-29764708.739999998</v>
      </c>
    </row>
    <row r="4521" spans="1:9" x14ac:dyDescent="0.3">
      <c r="A4521" t="s">
        <v>71</v>
      </c>
      <c r="B4521" s="1">
        <v>45885</v>
      </c>
      <c r="C4521" s="1">
        <v>45894</v>
      </c>
      <c r="D4521">
        <v>14835</v>
      </c>
      <c r="E4521">
        <v>100</v>
      </c>
      <c r="F4521" s="3" t="s">
        <v>3936</v>
      </c>
      <c r="G4521" s="4">
        <v>213850</v>
      </c>
      <c r="H4521" s="4">
        <v>0</v>
      </c>
      <c r="I4521" s="4">
        <v>-29550858.739999998</v>
      </c>
    </row>
    <row r="4522" spans="1:9" x14ac:dyDescent="0.3">
      <c r="A4522" t="s">
        <v>71</v>
      </c>
      <c r="B4522" s="1">
        <v>45891</v>
      </c>
      <c r="C4522" s="1">
        <v>45894</v>
      </c>
      <c r="D4522">
        <v>14835</v>
      </c>
      <c r="E4522">
        <v>100</v>
      </c>
      <c r="F4522" s="3">
        <v>2508220931204030</v>
      </c>
      <c r="G4522" s="4">
        <v>110280</v>
      </c>
      <c r="H4522" s="4">
        <v>0</v>
      </c>
      <c r="I4522" s="4">
        <v>-29440578.739999998</v>
      </c>
    </row>
    <row r="4523" spans="1:9" x14ac:dyDescent="0.3">
      <c r="A4523" t="s">
        <v>71</v>
      </c>
      <c r="B4523" s="1">
        <v>45891</v>
      </c>
      <c r="C4523" s="1">
        <v>45894</v>
      </c>
      <c r="D4523">
        <v>14835</v>
      </c>
      <c r="E4523">
        <v>100</v>
      </c>
      <c r="F4523" s="3" t="s">
        <v>3937</v>
      </c>
      <c r="G4523" s="4">
        <v>5883200</v>
      </c>
      <c r="H4523" s="4">
        <v>0</v>
      </c>
      <c r="I4523" s="4">
        <v>-23557378.739999998</v>
      </c>
    </row>
    <row r="4524" spans="1:9" x14ac:dyDescent="0.3">
      <c r="A4524" t="s">
        <v>71</v>
      </c>
      <c r="B4524" s="1">
        <v>45891</v>
      </c>
      <c r="C4524" s="1">
        <v>45894</v>
      </c>
      <c r="D4524">
        <v>14835</v>
      </c>
      <c r="E4524">
        <v>100</v>
      </c>
      <c r="F4524" s="3" t="s">
        <v>3938</v>
      </c>
      <c r="G4524" s="4">
        <v>92263.48</v>
      </c>
      <c r="H4524" s="4">
        <v>0</v>
      </c>
      <c r="I4524" s="4">
        <v>-23465115.260000002</v>
      </c>
    </row>
    <row r="4525" spans="1:9" x14ac:dyDescent="0.3">
      <c r="A4525" t="s">
        <v>71</v>
      </c>
      <c r="B4525" s="1">
        <v>45890</v>
      </c>
      <c r="C4525" s="1">
        <v>45894</v>
      </c>
      <c r="D4525">
        <v>14861</v>
      </c>
      <c r="E4525">
        <v>100</v>
      </c>
      <c r="F4525" s="3" t="s">
        <v>3939</v>
      </c>
      <c r="G4525" s="4">
        <v>10018</v>
      </c>
      <c r="H4525" s="4">
        <v>0</v>
      </c>
      <c r="I4525" s="4">
        <v>-23455097.260000002</v>
      </c>
    </row>
    <row r="4526" spans="1:9" x14ac:dyDescent="0.3">
      <c r="A4526" t="s">
        <v>71</v>
      </c>
      <c r="B4526" s="1">
        <v>45894</v>
      </c>
      <c r="C4526" s="1">
        <v>45894</v>
      </c>
      <c r="D4526">
        <v>15959</v>
      </c>
      <c r="E4526">
        <v>100</v>
      </c>
      <c r="F4526" s="3" t="s">
        <v>3940</v>
      </c>
      <c r="G4526" s="4">
        <v>140016.72</v>
      </c>
      <c r="H4526" s="4">
        <v>0</v>
      </c>
      <c r="I4526" s="4">
        <v>-23315080.539999999</v>
      </c>
    </row>
    <row r="4527" spans="1:9" x14ac:dyDescent="0.3">
      <c r="A4527" t="s">
        <v>124</v>
      </c>
      <c r="B4527" s="1">
        <v>45894</v>
      </c>
      <c r="C4527" s="1">
        <v>45894</v>
      </c>
      <c r="D4527">
        <v>22282</v>
      </c>
      <c r="E4527">
        <v>11</v>
      </c>
      <c r="F4527" s="3" t="s">
        <v>125</v>
      </c>
      <c r="G4527" s="4">
        <v>0</v>
      </c>
      <c r="H4527" s="4">
        <v>11805952.67</v>
      </c>
      <c r="I4527" s="4">
        <v>-35121033.210000001</v>
      </c>
    </row>
    <row r="4528" spans="1:9" x14ac:dyDescent="0.3">
      <c r="A4528" t="s">
        <v>124</v>
      </c>
      <c r="B4528" s="1">
        <v>45894</v>
      </c>
      <c r="C4528" s="1">
        <v>45894</v>
      </c>
      <c r="D4528">
        <v>22283</v>
      </c>
      <c r="E4528">
        <v>11</v>
      </c>
      <c r="F4528" s="3" t="s">
        <v>125</v>
      </c>
      <c r="G4528" s="4">
        <v>0</v>
      </c>
      <c r="H4528" s="4">
        <v>11584759.970000001</v>
      </c>
      <c r="I4528" s="4">
        <v>-46705793.18</v>
      </c>
    </row>
    <row r="4529" spans="1:9" x14ac:dyDescent="0.3">
      <c r="A4529" t="s">
        <v>124</v>
      </c>
      <c r="B4529" s="1">
        <v>45894</v>
      </c>
      <c r="C4529" s="1">
        <v>45894</v>
      </c>
      <c r="D4529">
        <v>22284</v>
      </c>
      <c r="E4529">
        <v>11</v>
      </c>
      <c r="F4529" s="3" t="s">
        <v>127</v>
      </c>
      <c r="G4529" s="4">
        <v>21800000</v>
      </c>
      <c r="H4529" s="4">
        <v>0</v>
      </c>
      <c r="I4529" s="4">
        <v>-24905793.18</v>
      </c>
    </row>
    <row r="4530" spans="1:9" x14ac:dyDescent="0.3">
      <c r="A4530" t="s">
        <v>130</v>
      </c>
      <c r="B4530" s="1">
        <v>45894</v>
      </c>
      <c r="C4530" s="1">
        <v>45894</v>
      </c>
      <c r="D4530">
        <v>3848708</v>
      </c>
      <c r="E4530">
        <v>23</v>
      </c>
      <c r="F4530" s="3" t="s">
        <v>3941</v>
      </c>
      <c r="G4530" s="4">
        <v>0</v>
      </c>
      <c r="H4530" s="4">
        <v>62284.25</v>
      </c>
      <c r="I4530" s="4">
        <v>-24968077.43</v>
      </c>
    </row>
    <row r="4531" spans="1:9" x14ac:dyDescent="0.3">
      <c r="A4531" t="s">
        <v>133</v>
      </c>
      <c r="B4531" s="1">
        <v>45894</v>
      </c>
      <c r="C4531" s="1">
        <v>45894</v>
      </c>
      <c r="D4531">
        <v>924259</v>
      </c>
      <c r="E4531">
        <v>12</v>
      </c>
      <c r="F4531" s="3" t="s">
        <v>3942</v>
      </c>
      <c r="G4531" s="4">
        <v>94910</v>
      </c>
      <c r="H4531" s="4">
        <v>0</v>
      </c>
      <c r="I4531" s="4">
        <v>-24873167.43</v>
      </c>
    </row>
    <row r="4532" spans="1:9" x14ac:dyDescent="0.3">
      <c r="A4532" t="s">
        <v>133</v>
      </c>
      <c r="B4532" s="1">
        <v>45894</v>
      </c>
      <c r="C4532" s="1">
        <v>45894</v>
      </c>
      <c r="D4532">
        <v>924261</v>
      </c>
      <c r="E4532">
        <v>12</v>
      </c>
      <c r="F4532" s="3" t="s">
        <v>3943</v>
      </c>
      <c r="G4532" s="4">
        <v>75517</v>
      </c>
      <c r="H4532" s="4">
        <v>0</v>
      </c>
      <c r="I4532" s="4">
        <v>-24797650.43</v>
      </c>
    </row>
    <row r="4533" spans="1:9" x14ac:dyDescent="0.3">
      <c r="A4533" t="s">
        <v>133</v>
      </c>
      <c r="B4533" s="1">
        <v>45894</v>
      </c>
      <c r="C4533" s="1">
        <v>45894</v>
      </c>
      <c r="D4533">
        <v>924274</v>
      </c>
      <c r="E4533">
        <v>12</v>
      </c>
      <c r="F4533" s="3" t="s">
        <v>3944</v>
      </c>
      <c r="G4533" s="4">
        <v>121096</v>
      </c>
      <c r="H4533" s="4">
        <v>0</v>
      </c>
      <c r="I4533" s="4">
        <v>-24676554.43</v>
      </c>
    </row>
    <row r="4534" spans="1:9" x14ac:dyDescent="0.3">
      <c r="A4534" t="s">
        <v>133</v>
      </c>
      <c r="B4534" s="1">
        <v>45894</v>
      </c>
      <c r="C4534" s="1">
        <v>45894</v>
      </c>
      <c r="D4534">
        <v>924283</v>
      </c>
      <c r="E4534">
        <v>38</v>
      </c>
      <c r="F4534" s="3" t="s">
        <v>3945</v>
      </c>
      <c r="G4534" s="4">
        <v>2239315.25</v>
      </c>
      <c r="H4534" s="4">
        <v>0</v>
      </c>
      <c r="I4534" s="4">
        <v>-22437239.18</v>
      </c>
    </row>
    <row r="4535" spans="1:9" x14ac:dyDescent="0.3">
      <c r="A4535" t="s">
        <v>133</v>
      </c>
      <c r="B4535" s="1">
        <v>45894</v>
      </c>
      <c r="C4535" s="1">
        <v>45894</v>
      </c>
      <c r="D4535">
        <v>924301</v>
      </c>
      <c r="E4535">
        <v>61</v>
      </c>
      <c r="F4535" s="3" t="s">
        <v>3946</v>
      </c>
      <c r="G4535" s="4">
        <v>65405.25</v>
      </c>
      <c r="H4535" s="4">
        <v>0</v>
      </c>
      <c r="I4535" s="4">
        <v>-22371833.93</v>
      </c>
    </row>
    <row r="4536" spans="1:9" x14ac:dyDescent="0.3">
      <c r="A4536" t="s">
        <v>133</v>
      </c>
      <c r="B4536" s="1">
        <v>45894</v>
      </c>
      <c r="C4536" s="1">
        <v>45894</v>
      </c>
      <c r="D4536">
        <v>924302</v>
      </c>
      <c r="E4536">
        <v>45</v>
      </c>
      <c r="F4536" s="3" t="s">
        <v>3947</v>
      </c>
      <c r="G4536" s="4">
        <v>36800</v>
      </c>
      <c r="H4536" s="4">
        <v>0</v>
      </c>
      <c r="I4536" s="4">
        <v>-22335033.93</v>
      </c>
    </row>
    <row r="4537" spans="1:9" x14ac:dyDescent="0.3">
      <c r="A4537" t="s">
        <v>133</v>
      </c>
      <c r="B4537" s="1">
        <v>45894</v>
      </c>
      <c r="C4537" s="1">
        <v>45894</v>
      </c>
      <c r="D4537">
        <v>924305</v>
      </c>
      <c r="E4537">
        <v>34</v>
      </c>
      <c r="F4537" s="3" t="s">
        <v>3948</v>
      </c>
      <c r="G4537" s="4">
        <v>53812.5</v>
      </c>
      <c r="H4537" s="4">
        <v>0</v>
      </c>
      <c r="I4537" s="4">
        <v>-22281221.43</v>
      </c>
    </row>
    <row r="4538" spans="1:9" x14ac:dyDescent="0.3">
      <c r="A4538" t="s">
        <v>133</v>
      </c>
      <c r="B4538" s="1">
        <v>45894</v>
      </c>
      <c r="C4538" s="1">
        <v>45894</v>
      </c>
      <c r="D4538">
        <v>924314</v>
      </c>
      <c r="E4538">
        <v>61</v>
      </c>
      <c r="F4538" s="3" t="s">
        <v>3949</v>
      </c>
      <c r="G4538" s="4">
        <v>1756</v>
      </c>
      <c r="H4538" s="4">
        <v>0</v>
      </c>
      <c r="I4538" s="4">
        <v>-22279465.43</v>
      </c>
    </row>
    <row r="4539" spans="1:9" x14ac:dyDescent="0.3">
      <c r="A4539" t="s">
        <v>133</v>
      </c>
      <c r="B4539" s="1">
        <v>45894</v>
      </c>
      <c r="C4539" s="1">
        <v>45894</v>
      </c>
      <c r="D4539">
        <v>924315</v>
      </c>
      <c r="E4539">
        <v>51</v>
      </c>
      <c r="F4539" s="3" t="s">
        <v>3950</v>
      </c>
      <c r="G4539" s="4">
        <v>300000</v>
      </c>
      <c r="H4539" s="4">
        <v>0</v>
      </c>
      <c r="I4539" s="4">
        <v>-21979465.43</v>
      </c>
    </row>
    <row r="4540" spans="1:9" x14ac:dyDescent="0.3">
      <c r="A4540" t="s">
        <v>133</v>
      </c>
      <c r="B4540" s="1">
        <v>45894</v>
      </c>
      <c r="C4540" s="1">
        <v>45894</v>
      </c>
      <c r="D4540">
        <v>924316</v>
      </c>
      <c r="E4540">
        <v>46</v>
      </c>
      <c r="F4540" s="3" t="s">
        <v>3951</v>
      </c>
      <c r="G4540" s="4">
        <v>100000</v>
      </c>
      <c r="H4540" s="4">
        <v>0</v>
      </c>
      <c r="I4540" s="4">
        <v>-21879465.43</v>
      </c>
    </row>
    <row r="4541" spans="1:9" x14ac:dyDescent="0.3">
      <c r="A4541" t="s">
        <v>133</v>
      </c>
      <c r="B4541" s="1">
        <v>45894</v>
      </c>
      <c r="C4541" s="1">
        <v>45894</v>
      </c>
      <c r="D4541">
        <v>924318</v>
      </c>
      <c r="E4541">
        <v>11</v>
      </c>
      <c r="F4541" s="3" t="s">
        <v>3952</v>
      </c>
      <c r="G4541" s="4">
        <v>31923</v>
      </c>
      <c r="H4541" s="4">
        <v>0</v>
      </c>
      <c r="I4541" s="4">
        <v>-21847542.43</v>
      </c>
    </row>
    <row r="4542" spans="1:9" x14ac:dyDescent="0.3">
      <c r="A4542" t="s">
        <v>133</v>
      </c>
      <c r="B4542" s="1">
        <v>45894</v>
      </c>
      <c r="C4542" s="1">
        <v>45894</v>
      </c>
      <c r="D4542">
        <v>924323</v>
      </c>
      <c r="E4542">
        <v>17</v>
      </c>
      <c r="F4542" s="3">
        <v>124082560130</v>
      </c>
      <c r="G4542" s="4">
        <v>117146</v>
      </c>
      <c r="H4542" s="4">
        <v>0</v>
      </c>
      <c r="I4542" s="4">
        <v>-21730396.43</v>
      </c>
    </row>
    <row r="4543" spans="1:9" x14ac:dyDescent="0.3">
      <c r="A4543" t="s">
        <v>133</v>
      </c>
      <c r="B4543" s="1">
        <v>45894</v>
      </c>
      <c r="C4543" s="1">
        <v>45894</v>
      </c>
      <c r="D4543">
        <v>924325</v>
      </c>
      <c r="E4543">
        <v>17</v>
      </c>
      <c r="F4543" s="3">
        <v>3544</v>
      </c>
      <c r="G4543" s="4">
        <v>1000000</v>
      </c>
      <c r="H4543" s="4">
        <v>0</v>
      </c>
      <c r="I4543" s="4">
        <v>-20730396.43</v>
      </c>
    </row>
    <row r="4544" spans="1:9" x14ac:dyDescent="0.3">
      <c r="A4544" t="s">
        <v>133</v>
      </c>
      <c r="B4544" s="1">
        <v>45894</v>
      </c>
      <c r="C4544" s="1">
        <v>45894</v>
      </c>
      <c r="D4544">
        <v>924329</v>
      </c>
      <c r="E4544">
        <v>282</v>
      </c>
      <c r="F4544" s="3" t="s">
        <v>3953</v>
      </c>
      <c r="G4544" s="4">
        <v>2500</v>
      </c>
      <c r="H4544" s="4">
        <v>0</v>
      </c>
      <c r="I4544" s="4">
        <v>-20727896.43</v>
      </c>
    </row>
    <row r="4545" spans="1:9" x14ac:dyDescent="0.3">
      <c r="A4545" t="s">
        <v>133</v>
      </c>
      <c r="B4545" s="1">
        <v>45894</v>
      </c>
      <c r="C4545" s="1">
        <v>45894</v>
      </c>
      <c r="D4545">
        <v>924336</v>
      </c>
      <c r="E4545">
        <v>282</v>
      </c>
      <c r="F4545" s="3" t="s">
        <v>3954</v>
      </c>
      <c r="G4545" s="4">
        <v>160000</v>
      </c>
      <c r="H4545" s="4">
        <v>0</v>
      </c>
      <c r="I4545" s="4">
        <v>-20567896.43</v>
      </c>
    </row>
    <row r="4546" spans="1:9" x14ac:dyDescent="0.3">
      <c r="A4546" t="s">
        <v>133</v>
      </c>
      <c r="B4546" s="1">
        <v>45894</v>
      </c>
      <c r="C4546" s="1">
        <v>45894</v>
      </c>
      <c r="D4546">
        <v>924337</v>
      </c>
      <c r="E4546">
        <v>223</v>
      </c>
      <c r="F4546" s="3">
        <v>51205954618</v>
      </c>
      <c r="G4546" s="4">
        <v>50084</v>
      </c>
      <c r="H4546" s="4">
        <v>0</v>
      </c>
      <c r="I4546" s="4">
        <v>-20517812.43</v>
      </c>
    </row>
    <row r="4547" spans="1:9" x14ac:dyDescent="0.3">
      <c r="A4547" t="s">
        <v>133</v>
      </c>
      <c r="B4547" s="1">
        <v>45894</v>
      </c>
      <c r="C4547" s="1">
        <v>45894</v>
      </c>
      <c r="D4547">
        <v>924338</v>
      </c>
      <c r="E4547">
        <v>382</v>
      </c>
      <c r="F4547" s="3" t="s">
        <v>3955</v>
      </c>
      <c r="G4547" s="4">
        <v>80300</v>
      </c>
      <c r="H4547" s="4">
        <v>0</v>
      </c>
      <c r="I4547" s="4">
        <v>-20437512.43</v>
      </c>
    </row>
    <row r="4548" spans="1:9" x14ac:dyDescent="0.3">
      <c r="A4548" t="s">
        <v>133</v>
      </c>
      <c r="B4548" s="1">
        <v>45894</v>
      </c>
      <c r="C4548" s="1">
        <v>45894</v>
      </c>
      <c r="D4548">
        <v>924349</v>
      </c>
      <c r="E4548">
        <v>382</v>
      </c>
      <c r="F4548" s="3">
        <v>51210752565</v>
      </c>
      <c r="G4548" s="4">
        <v>6000</v>
      </c>
      <c r="H4548" s="4">
        <v>0</v>
      </c>
      <c r="I4548" s="4">
        <v>-20431512.43</v>
      </c>
    </row>
    <row r="4549" spans="1:9" x14ac:dyDescent="0.3">
      <c r="A4549" t="s">
        <v>133</v>
      </c>
      <c r="B4549" s="1">
        <v>45894</v>
      </c>
      <c r="C4549" s="1">
        <v>45894</v>
      </c>
      <c r="D4549">
        <v>924352</v>
      </c>
      <c r="E4549">
        <v>84</v>
      </c>
      <c r="F4549" s="3" t="s">
        <v>3956</v>
      </c>
      <c r="G4549" s="4">
        <v>71047.25</v>
      </c>
      <c r="H4549" s="4">
        <v>0</v>
      </c>
      <c r="I4549" s="4">
        <v>-20360465.18</v>
      </c>
    </row>
    <row r="4550" spans="1:9" x14ac:dyDescent="0.3">
      <c r="A4550" t="s">
        <v>133</v>
      </c>
      <c r="B4550" s="1">
        <v>45894</v>
      </c>
      <c r="C4550" s="1">
        <v>45894</v>
      </c>
      <c r="D4550">
        <v>924355</v>
      </c>
      <c r="E4550">
        <v>63</v>
      </c>
      <c r="F4550" s="3" t="s">
        <v>3957</v>
      </c>
      <c r="G4550" s="4">
        <v>267160.75</v>
      </c>
      <c r="H4550" s="4">
        <v>0</v>
      </c>
      <c r="I4550" s="4">
        <v>-20093304.43</v>
      </c>
    </row>
    <row r="4551" spans="1:9" x14ac:dyDescent="0.3">
      <c r="A4551" t="s">
        <v>133</v>
      </c>
      <c r="B4551" s="1">
        <v>45894</v>
      </c>
      <c r="C4551" s="1">
        <v>45894</v>
      </c>
      <c r="D4551">
        <v>924365</v>
      </c>
      <c r="E4551">
        <v>43</v>
      </c>
      <c r="F4551" s="3" t="s">
        <v>3958</v>
      </c>
      <c r="G4551" s="4">
        <v>8274</v>
      </c>
      <c r="H4551" s="4">
        <v>0</v>
      </c>
      <c r="I4551" s="4">
        <v>-20085030.43</v>
      </c>
    </row>
    <row r="4552" spans="1:9" x14ac:dyDescent="0.3">
      <c r="A4552" t="s">
        <v>133</v>
      </c>
      <c r="B4552" s="1">
        <v>45894</v>
      </c>
      <c r="C4552" s="1">
        <v>45894</v>
      </c>
      <c r="D4552">
        <v>924368</v>
      </c>
      <c r="E4552">
        <v>13</v>
      </c>
      <c r="F4552" s="3" t="s">
        <v>3959</v>
      </c>
      <c r="G4552" s="4">
        <v>38357.5</v>
      </c>
      <c r="H4552" s="4">
        <v>0</v>
      </c>
      <c r="I4552" s="4">
        <v>-20046672.93</v>
      </c>
    </row>
    <row r="4553" spans="1:9" x14ac:dyDescent="0.3">
      <c r="A4553" t="s">
        <v>133</v>
      </c>
      <c r="B4553" s="1">
        <v>45894</v>
      </c>
      <c r="C4553" s="1">
        <v>45894</v>
      </c>
      <c r="D4553">
        <v>924371</v>
      </c>
      <c r="E4553">
        <v>84</v>
      </c>
      <c r="F4553" s="3" t="s">
        <v>3960</v>
      </c>
      <c r="G4553" s="4">
        <v>147020.5</v>
      </c>
      <c r="H4553" s="4">
        <v>0</v>
      </c>
      <c r="I4553" s="4">
        <v>-19899652.43</v>
      </c>
    </row>
    <row r="4554" spans="1:9" x14ac:dyDescent="0.3">
      <c r="A4554" t="s">
        <v>133</v>
      </c>
      <c r="B4554" s="1">
        <v>45894</v>
      </c>
      <c r="C4554" s="1">
        <v>45894</v>
      </c>
      <c r="D4554">
        <v>924375</v>
      </c>
      <c r="E4554">
        <v>84</v>
      </c>
      <c r="F4554" s="3" t="s">
        <v>3961</v>
      </c>
      <c r="G4554" s="4">
        <v>1729.5</v>
      </c>
      <c r="H4554" s="4">
        <v>0</v>
      </c>
      <c r="I4554" s="4">
        <v>-19897922.93</v>
      </c>
    </row>
    <row r="4555" spans="1:9" x14ac:dyDescent="0.3">
      <c r="A4555" t="s">
        <v>133</v>
      </c>
      <c r="B4555" s="1">
        <v>45894</v>
      </c>
      <c r="C4555" s="1">
        <v>45894</v>
      </c>
      <c r="D4555">
        <v>924384</v>
      </c>
      <c r="E4555">
        <v>73</v>
      </c>
      <c r="F4555" s="3" t="s">
        <v>3962</v>
      </c>
      <c r="G4555" s="4">
        <v>330000</v>
      </c>
      <c r="H4555" s="4">
        <v>0</v>
      </c>
      <c r="I4555" s="4">
        <v>-19567922.93</v>
      </c>
    </row>
    <row r="4556" spans="1:9" x14ac:dyDescent="0.3">
      <c r="A4556" t="s">
        <v>133</v>
      </c>
      <c r="B4556" s="1">
        <v>45894</v>
      </c>
      <c r="C4556" s="1">
        <v>45894</v>
      </c>
      <c r="D4556">
        <v>924385</v>
      </c>
      <c r="E4556">
        <v>78</v>
      </c>
      <c r="F4556" s="3" t="s">
        <v>3963</v>
      </c>
      <c r="G4556" s="4">
        <v>21432.5</v>
      </c>
      <c r="H4556" s="4">
        <v>0</v>
      </c>
      <c r="I4556" s="4">
        <v>-19546490.43</v>
      </c>
    </row>
    <row r="4557" spans="1:9" x14ac:dyDescent="0.3">
      <c r="A4557" t="s">
        <v>133</v>
      </c>
      <c r="B4557" s="1">
        <v>45894</v>
      </c>
      <c r="C4557" s="1">
        <v>45894</v>
      </c>
      <c r="D4557">
        <v>924386</v>
      </c>
      <c r="E4557">
        <v>75</v>
      </c>
      <c r="F4557" s="3" t="s">
        <v>3964</v>
      </c>
      <c r="G4557" s="4">
        <v>250000</v>
      </c>
      <c r="H4557" s="4">
        <v>0</v>
      </c>
      <c r="I4557" s="4">
        <v>-19296490.43</v>
      </c>
    </row>
    <row r="4558" spans="1:9" x14ac:dyDescent="0.3">
      <c r="A4558" t="s">
        <v>133</v>
      </c>
      <c r="B4558" s="1">
        <v>45894</v>
      </c>
      <c r="C4558" s="1">
        <v>45894</v>
      </c>
      <c r="D4558">
        <v>924387</v>
      </c>
      <c r="E4558">
        <v>45</v>
      </c>
      <c r="F4558" s="3" t="s">
        <v>3965</v>
      </c>
      <c r="G4558" s="4">
        <v>510000</v>
      </c>
      <c r="H4558" s="4">
        <v>0</v>
      </c>
      <c r="I4558" s="4">
        <v>-18786490.43</v>
      </c>
    </row>
    <row r="4559" spans="1:9" x14ac:dyDescent="0.3">
      <c r="A4559" t="s">
        <v>133</v>
      </c>
      <c r="B4559" s="1">
        <v>45894</v>
      </c>
      <c r="C4559" s="1">
        <v>45894</v>
      </c>
      <c r="D4559">
        <v>924389</v>
      </c>
      <c r="E4559">
        <v>63</v>
      </c>
      <c r="F4559" s="3" t="s">
        <v>3966</v>
      </c>
      <c r="G4559" s="4">
        <v>10960.75</v>
      </c>
      <c r="H4559" s="4">
        <v>0</v>
      </c>
      <c r="I4559" s="4">
        <v>-18775529.68</v>
      </c>
    </row>
    <row r="4560" spans="1:9" x14ac:dyDescent="0.3">
      <c r="A4560" t="s">
        <v>133</v>
      </c>
      <c r="B4560" s="1">
        <v>45894</v>
      </c>
      <c r="C4560" s="1">
        <v>45894</v>
      </c>
      <c r="D4560">
        <v>924390</v>
      </c>
      <c r="E4560">
        <v>63</v>
      </c>
      <c r="F4560" s="3" t="s">
        <v>3966</v>
      </c>
      <c r="G4560" s="4">
        <v>11085.5</v>
      </c>
      <c r="H4560" s="4">
        <v>0</v>
      </c>
      <c r="I4560" s="4">
        <v>-18764444.18</v>
      </c>
    </row>
    <row r="4561" spans="1:9" x14ac:dyDescent="0.3">
      <c r="A4561" t="s">
        <v>133</v>
      </c>
      <c r="B4561" s="1">
        <v>45894</v>
      </c>
      <c r="C4561" s="1">
        <v>45894</v>
      </c>
      <c r="D4561">
        <v>924394</v>
      </c>
      <c r="E4561">
        <v>85</v>
      </c>
      <c r="F4561" s="3" t="s">
        <v>966</v>
      </c>
      <c r="G4561" s="4">
        <v>270000</v>
      </c>
      <c r="H4561" s="4">
        <v>0</v>
      </c>
      <c r="I4561" s="4">
        <v>-18494444.18</v>
      </c>
    </row>
    <row r="4562" spans="1:9" x14ac:dyDescent="0.3">
      <c r="A4562" t="s">
        <v>133</v>
      </c>
      <c r="B4562" s="1">
        <v>45894</v>
      </c>
      <c r="C4562" s="1">
        <v>45894</v>
      </c>
      <c r="D4562">
        <v>924395</v>
      </c>
      <c r="E4562">
        <v>310</v>
      </c>
      <c r="F4562" s="3" t="s">
        <v>3967</v>
      </c>
      <c r="G4562" s="4">
        <v>98257</v>
      </c>
      <c r="H4562" s="4">
        <v>0</v>
      </c>
      <c r="I4562" s="4">
        <v>-18396187.18</v>
      </c>
    </row>
    <row r="4563" spans="1:9" x14ac:dyDescent="0.3">
      <c r="A4563" t="s">
        <v>133</v>
      </c>
      <c r="B4563" s="1">
        <v>45894</v>
      </c>
      <c r="C4563" s="1">
        <v>45894</v>
      </c>
      <c r="D4563">
        <v>924397</v>
      </c>
      <c r="E4563">
        <v>28</v>
      </c>
      <c r="F4563" s="3" t="s">
        <v>3968</v>
      </c>
      <c r="G4563" s="4">
        <v>29431.75</v>
      </c>
      <c r="H4563" s="4">
        <v>0</v>
      </c>
      <c r="I4563" s="4">
        <v>-18366755.43</v>
      </c>
    </row>
    <row r="4564" spans="1:9" x14ac:dyDescent="0.3">
      <c r="A4564" t="s">
        <v>133</v>
      </c>
      <c r="B4564" s="1">
        <v>45894</v>
      </c>
      <c r="C4564" s="1">
        <v>45894</v>
      </c>
      <c r="D4564">
        <v>924398</v>
      </c>
      <c r="E4564">
        <v>45</v>
      </c>
      <c r="F4564" s="3" t="s">
        <v>3969</v>
      </c>
      <c r="G4564" s="4">
        <v>367000</v>
      </c>
      <c r="H4564" s="4">
        <v>0</v>
      </c>
      <c r="I4564" s="4">
        <v>-17999755.43</v>
      </c>
    </row>
    <row r="4565" spans="1:9" x14ac:dyDescent="0.3">
      <c r="A4565" t="s">
        <v>133</v>
      </c>
      <c r="B4565" s="1">
        <v>45894</v>
      </c>
      <c r="C4565" s="1">
        <v>45894</v>
      </c>
      <c r="D4565">
        <v>924401</v>
      </c>
      <c r="E4565">
        <v>28</v>
      </c>
      <c r="F4565" s="3">
        <v>51210519463</v>
      </c>
      <c r="G4565" s="4">
        <v>55170.5</v>
      </c>
      <c r="H4565" s="4">
        <v>0</v>
      </c>
      <c r="I4565" s="4">
        <v>-17944584.93</v>
      </c>
    </row>
    <row r="4566" spans="1:9" x14ac:dyDescent="0.3">
      <c r="A4566" t="s">
        <v>133</v>
      </c>
      <c r="B4566" s="1">
        <v>45894</v>
      </c>
      <c r="C4566" s="1">
        <v>45894</v>
      </c>
      <c r="D4566">
        <v>924402</v>
      </c>
      <c r="E4566">
        <v>28</v>
      </c>
      <c r="F4566" s="3">
        <v>51210769130</v>
      </c>
      <c r="G4566" s="4">
        <v>12668.5</v>
      </c>
      <c r="H4566" s="4">
        <v>0</v>
      </c>
      <c r="I4566" s="4">
        <v>-17931916.43</v>
      </c>
    </row>
    <row r="4567" spans="1:9" x14ac:dyDescent="0.3">
      <c r="A4567" t="s">
        <v>133</v>
      </c>
      <c r="B4567" s="1">
        <v>45894</v>
      </c>
      <c r="C4567" s="1">
        <v>45894</v>
      </c>
      <c r="D4567">
        <v>924406</v>
      </c>
      <c r="E4567">
        <v>412</v>
      </c>
      <c r="F4567" s="3" t="s">
        <v>211</v>
      </c>
      <c r="G4567" s="4">
        <v>240000</v>
      </c>
      <c r="H4567" s="4">
        <v>0</v>
      </c>
      <c r="I4567" s="4">
        <v>-17691916.43</v>
      </c>
    </row>
    <row r="4568" spans="1:9" x14ac:dyDescent="0.3">
      <c r="A4568" t="s">
        <v>133</v>
      </c>
      <c r="B4568" s="1">
        <v>45894</v>
      </c>
      <c r="C4568" s="1">
        <v>45894</v>
      </c>
      <c r="D4568">
        <v>924407</v>
      </c>
      <c r="E4568">
        <v>13</v>
      </c>
      <c r="F4568" s="3">
        <v>51212515665</v>
      </c>
      <c r="G4568" s="4">
        <v>33861.25</v>
      </c>
      <c r="H4568" s="4">
        <v>0</v>
      </c>
      <c r="I4568" s="4">
        <v>-17658055.18</v>
      </c>
    </row>
    <row r="4569" spans="1:9" x14ac:dyDescent="0.3">
      <c r="A4569" t="s">
        <v>133</v>
      </c>
      <c r="B4569" s="1">
        <v>45894</v>
      </c>
      <c r="C4569" s="1">
        <v>45894</v>
      </c>
      <c r="D4569">
        <v>924414</v>
      </c>
      <c r="E4569">
        <v>91</v>
      </c>
      <c r="F4569" s="3" t="s">
        <v>3970</v>
      </c>
      <c r="G4569" s="4">
        <v>19347.25</v>
      </c>
      <c r="H4569" s="4">
        <v>0</v>
      </c>
      <c r="I4569" s="4">
        <v>-17638707.93</v>
      </c>
    </row>
    <row r="4570" spans="1:9" x14ac:dyDescent="0.3">
      <c r="A4570" t="s">
        <v>133</v>
      </c>
      <c r="B4570" s="1">
        <v>45894</v>
      </c>
      <c r="C4570" s="1">
        <v>45894</v>
      </c>
      <c r="D4570">
        <v>924415</v>
      </c>
      <c r="E4570">
        <v>91</v>
      </c>
      <c r="F4570" s="3" t="s">
        <v>3971</v>
      </c>
      <c r="G4570" s="4">
        <v>50288</v>
      </c>
      <c r="H4570" s="4">
        <v>0</v>
      </c>
      <c r="I4570" s="4">
        <v>-17588419.93</v>
      </c>
    </row>
    <row r="4571" spans="1:9" x14ac:dyDescent="0.3">
      <c r="A4571" t="s">
        <v>133</v>
      </c>
      <c r="B4571" s="1">
        <v>45894</v>
      </c>
      <c r="C4571" s="1">
        <v>45894</v>
      </c>
      <c r="D4571">
        <v>924416</v>
      </c>
      <c r="E4571">
        <v>92</v>
      </c>
      <c r="F4571" s="3" t="s">
        <v>3972</v>
      </c>
      <c r="G4571" s="4">
        <v>250000</v>
      </c>
      <c r="H4571" s="4">
        <v>0</v>
      </c>
      <c r="I4571" s="4">
        <v>-17338419.93</v>
      </c>
    </row>
    <row r="4572" spans="1:9" x14ac:dyDescent="0.3">
      <c r="A4572" t="s">
        <v>133</v>
      </c>
      <c r="B4572" s="1">
        <v>45894</v>
      </c>
      <c r="C4572" s="1">
        <v>45894</v>
      </c>
      <c r="D4572">
        <v>924417</v>
      </c>
      <c r="E4572">
        <v>66</v>
      </c>
      <c r="F4572" s="3" t="s">
        <v>3973</v>
      </c>
      <c r="G4572" s="4">
        <v>700000</v>
      </c>
      <c r="H4572" s="4">
        <v>0</v>
      </c>
      <c r="I4572" s="4">
        <v>-16638419.93</v>
      </c>
    </row>
    <row r="4573" spans="1:9" x14ac:dyDescent="0.3">
      <c r="A4573" t="s">
        <v>133</v>
      </c>
      <c r="B4573" s="1">
        <v>45894</v>
      </c>
      <c r="C4573" s="1">
        <v>45894</v>
      </c>
      <c r="D4573">
        <v>924423</v>
      </c>
      <c r="E4573">
        <v>14</v>
      </c>
      <c r="F4573" s="3" t="s">
        <v>3628</v>
      </c>
      <c r="G4573" s="4">
        <v>300000</v>
      </c>
      <c r="H4573" s="4">
        <v>0</v>
      </c>
      <c r="I4573" s="4">
        <v>-16338419.93</v>
      </c>
    </row>
    <row r="4574" spans="1:9" x14ac:dyDescent="0.3">
      <c r="A4574" t="s">
        <v>133</v>
      </c>
      <c r="B4574" s="1">
        <v>45894</v>
      </c>
      <c r="C4574" s="1">
        <v>45894</v>
      </c>
      <c r="D4574">
        <v>924426</v>
      </c>
      <c r="E4574">
        <v>282</v>
      </c>
      <c r="F4574" s="3" t="s">
        <v>3974</v>
      </c>
      <c r="G4574" s="4">
        <v>93259</v>
      </c>
      <c r="H4574" s="4">
        <v>0</v>
      </c>
      <c r="I4574" s="4">
        <v>-16245160.93</v>
      </c>
    </row>
    <row r="4575" spans="1:9" x14ac:dyDescent="0.3">
      <c r="A4575" t="s">
        <v>133</v>
      </c>
      <c r="B4575" s="1">
        <v>45894</v>
      </c>
      <c r="C4575" s="1">
        <v>45894</v>
      </c>
      <c r="D4575">
        <v>924432</v>
      </c>
      <c r="E4575">
        <v>31</v>
      </c>
      <c r="F4575" s="3" t="s">
        <v>3975</v>
      </c>
      <c r="G4575" s="4">
        <v>1950</v>
      </c>
      <c r="H4575" s="4">
        <v>0</v>
      </c>
      <c r="I4575" s="4">
        <v>-16243210.93</v>
      </c>
    </row>
    <row r="4576" spans="1:9" x14ac:dyDescent="0.3">
      <c r="A4576" t="s">
        <v>133</v>
      </c>
      <c r="B4576" s="1">
        <v>45894</v>
      </c>
      <c r="C4576" s="1">
        <v>45894</v>
      </c>
      <c r="D4576">
        <v>924433</v>
      </c>
      <c r="E4576">
        <v>31</v>
      </c>
      <c r="F4576" s="3" t="s">
        <v>3976</v>
      </c>
      <c r="G4576" s="4">
        <v>14809</v>
      </c>
      <c r="H4576" s="4">
        <v>0</v>
      </c>
      <c r="I4576" s="4">
        <v>-16228401.93</v>
      </c>
    </row>
    <row r="4577" spans="1:9" x14ac:dyDescent="0.3">
      <c r="A4577" t="s">
        <v>133</v>
      </c>
      <c r="B4577" s="1">
        <v>45894</v>
      </c>
      <c r="C4577" s="1">
        <v>45894</v>
      </c>
      <c r="D4577">
        <v>924434</v>
      </c>
      <c r="E4577">
        <v>31</v>
      </c>
      <c r="F4577" s="3" t="s">
        <v>3977</v>
      </c>
      <c r="G4577" s="4">
        <v>35130.25</v>
      </c>
      <c r="H4577" s="4">
        <v>0</v>
      </c>
      <c r="I4577" s="4">
        <v>-16193271.68</v>
      </c>
    </row>
    <row r="4578" spans="1:9" x14ac:dyDescent="0.3">
      <c r="A4578" t="s">
        <v>133</v>
      </c>
      <c r="B4578" s="1">
        <v>45894</v>
      </c>
      <c r="C4578" s="1">
        <v>45894</v>
      </c>
      <c r="D4578">
        <v>924436</v>
      </c>
      <c r="E4578">
        <v>56</v>
      </c>
      <c r="F4578" s="3" t="s">
        <v>3978</v>
      </c>
      <c r="G4578" s="4">
        <v>56744</v>
      </c>
      <c r="H4578" s="4">
        <v>0</v>
      </c>
      <c r="I4578" s="4">
        <v>-16136527.68</v>
      </c>
    </row>
    <row r="4579" spans="1:9" x14ac:dyDescent="0.3">
      <c r="A4579" t="s">
        <v>133</v>
      </c>
      <c r="B4579" s="1">
        <v>45894</v>
      </c>
      <c r="C4579" s="1">
        <v>45894</v>
      </c>
      <c r="D4579">
        <v>924438</v>
      </c>
      <c r="E4579">
        <v>13</v>
      </c>
      <c r="F4579" s="3" t="s">
        <v>3472</v>
      </c>
      <c r="G4579" s="4">
        <v>740000</v>
      </c>
      <c r="H4579" s="4">
        <v>0</v>
      </c>
      <c r="I4579" s="4">
        <v>-15396527.68</v>
      </c>
    </row>
    <row r="4580" spans="1:9" x14ac:dyDescent="0.3">
      <c r="A4580" t="s">
        <v>133</v>
      </c>
      <c r="B4580" s="1">
        <v>45894</v>
      </c>
      <c r="C4580" s="1">
        <v>45894</v>
      </c>
      <c r="D4580">
        <v>924439</v>
      </c>
      <c r="E4580">
        <v>43</v>
      </c>
      <c r="F4580" s="3" t="s">
        <v>3979</v>
      </c>
      <c r="G4580" s="4">
        <v>515</v>
      </c>
      <c r="H4580" s="4">
        <v>0</v>
      </c>
      <c r="I4580" s="4">
        <v>-15396012.68</v>
      </c>
    </row>
    <row r="4581" spans="1:9" x14ac:dyDescent="0.3">
      <c r="A4581" t="s">
        <v>133</v>
      </c>
      <c r="B4581" s="1">
        <v>45894</v>
      </c>
      <c r="C4581" s="1">
        <v>45894</v>
      </c>
      <c r="D4581">
        <v>924440</v>
      </c>
      <c r="E4581">
        <v>55</v>
      </c>
      <c r="F4581" s="3" t="s">
        <v>2651</v>
      </c>
      <c r="G4581" s="4">
        <v>390000</v>
      </c>
      <c r="H4581" s="4">
        <v>0</v>
      </c>
      <c r="I4581" s="4">
        <v>-15006012.68</v>
      </c>
    </row>
    <row r="4582" spans="1:9" x14ac:dyDescent="0.3">
      <c r="A4582" t="s">
        <v>133</v>
      </c>
      <c r="B4582" s="1">
        <v>45894</v>
      </c>
      <c r="C4582" s="1">
        <v>45894</v>
      </c>
      <c r="D4582">
        <v>924446</v>
      </c>
      <c r="E4582">
        <v>11</v>
      </c>
      <c r="F4582" s="3" t="s">
        <v>3980</v>
      </c>
      <c r="G4582" s="4">
        <v>119459.5</v>
      </c>
      <c r="H4582" s="4">
        <v>0</v>
      </c>
      <c r="I4582" s="4">
        <v>-14886553.18</v>
      </c>
    </row>
    <row r="4583" spans="1:9" x14ac:dyDescent="0.3">
      <c r="A4583" t="s">
        <v>133</v>
      </c>
      <c r="B4583" s="1">
        <v>45894</v>
      </c>
      <c r="C4583" s="1">
        <v>45894</v>
      </c>
      <c r="D4583">
        <v>924448</v>
      </c>
      <c r="E4583">
        <v>12</v>
      </c>
      <c r="F4583" s="3">
        <v>51216179780</v>
      </c>
      <c r="G4583" s="4">
        <v>35213.5</v>
      </c>
      <c r="H4583" s="4">
        <v>0</v>
      </c>
      <c r="I4583" s="4">
        <v>-14851339.68</v>
      </c>
    </row>
    <row r="4584" spans="1:9" x14ac:dyDescent="0.3">
      <c r="A4584" t="s">
        <v>133</v>
      </c>
      <c r="B4584" s="1">
        <v>45894</v>
      </c>
      <c r="C4584" s="1">
        <v>45894</v>
      </c>
      <c r="D4584">
        <v>924449</v>
      </c>
      <c r="E4584">
        <v>36</v>
      </c>
      <c r="F4584" s="3" t="s">
        <v>3981</v>
      </c>
      <c r="G4584" s="4">
        <v>50000</v>
      </c>
      <c r="H4584" s="4">
        <v>0</v>
      </c>
      <c r="I4584" s="4">
        <v>-14801339.68</v>
      </c>
    </row>
    <row r="4585" spans="1:9" x14ac:dyDescent="0.3">
      <c r="A4585" t="s">
        <v>133</v>
      </c>
      <c r="B4585" s="1">
        <v>45894</v>
      </c>
      <c r="C4585" s="1">
        <v>45894</v>
      </c>
      <c r="D4585">
        <v>924450</v>
      </c>
      <c r="E4585">
        <v>72</v>
      </c>
      <c r="F4585" s="3">
        <v>5610720692829</v>
      </c>
      <c r="G4585" s="4">
        <v>3500</v>
      </c>
      <c r="H4585" s="4">
        <v>0</v>
      </c>
      <c r="I4585" s="4">
        <v>-14797839.68</v>
      </c>
    </row>
    <row r="4586" spans="1:9" x14ac:dyDescent="0.3">
      <c r="A4586" t="s">
        <v>133</v>
      </c>
      <c r="B4586" s="1">
        <v>45894</v>
      </c>
      <c r="C4586" s="1">
        <v>45894</v>
      </c>
      <c r="D4586">
        <v>924451</v>
      </c>
      <c r="E4586">
        <v>12</v>
      </c>
      <c r="F4586" s="3" t="s">
        <v>3982</v>
      </c>
      <c r="G4586" s="4">
        <v>152973.5</v>
      </c>
      <c r="H4586" s="4">
        <v>0</v>
      </c>
      <c r="I4586" s="4">
        <v>-14644866.18</v>
      </c>
    </row>
    <row r="4587" spans="1:9" x14ac:dyDescent="0.3">
      <c r="A4587" t="s">
        <v>133</v>
      </c>
      <c r="B4587" s="1">
        <v>45894</v>
      </c>
      <c r="C4587" s="1">
        <v>45894</v>
      </c>
      <c r="D4587">
        <v>924452</v>
      </c>
      <c r="E4587">
        <v>84</v>
      </c>
      <c r="F4587" s="3" t="s">
        <v>3983</v>
      </c>
      <c r="G4587" s="4">
        <v>19295.25</v>
      </c>
      <c r="H4587" s="4">
        <v>0</v>
      </c>
      <c r="I4587" s="4">
        <v>-14625570.93</v>
      </c>
    </row>
    <row r="4588" spans="1:9" x14ac:dyDescent="0.3">
      <c r="A4588" t="s">
        <v>133</v>
      </c>
      <c r="B4588" s="1">
        <v>45894</v>
      </c>
      <c r="C4588" s="1">
        <v>45894</v>
      </c>
      <c r="D4588">
        <v>924453</v>
      </c>
      <c r="E4588">
        <v>12</v>
      </c>
      <c r="F4588" s="3" t="s">
        <v>3984</v>
      </c>
      <c r="G4588" s="4">
        <v>30016</v>
      </c>
      <c r="H4588" s="4">
        <v>0</v>
      </c>
      <c r="I4588" s="4">
        <v>-14595554.93</v>
      </c>
    </row>
    <row r="4589" spans="1:9" x14ac:dyDescent="0.3">
      <c r="A4589" t="s">
        <v>133</v>
      </c>
      <c r="B4589" s="1">
        <v>45894</v>
      </c>
      <c r="C4589" s="1">
        <v>45894</v>
      </c>
      <c r="D4589">
        <v>924457</v>
      </c>
      <c r="E4589">
        <v>28</v>
      </c>
      <c r="F4589" s="3" t="s">
        <v>3985</v>
      </c>
      <c r="G4589" s="4">
        <v>330000</v>
      </c>
      <c r="H4589" s="4">
        <v>0</v>
      </c>
      <c r="I4589" s="4">
        <v>-14265554.93</v>
      </c>
    </row>
    <row r="4590" spans="1:9" x14ac:dyDescent="0.3">
      <c r="A4590" t="s">
        <v>133</v>
      </c>
      <c r="B4590" s="1">
        <v>45894</v>
      </c>
      <c r="C4590" s="1">
        <v>45894</v>
      </c>
      <c r="D4590">
        <v>924461</v>
      </c>
      <c r="E4590">
        <v>12</v>
      </c>
      <c r="F4590" s="3" t="s">
        <v>3986</v>
      </c>
      <c r="G4590" s="4">
        <v>350020</v>
      </c>
      <c r="H4590" s="4">
        <v>0</v>
      </c>
      <c r="I4590" s="4">
        <v>-13915534.93</v>
      </c>
    </row>
    <row r="4591" spans="1:9" x14ac:dyDescent="0.3">
      <c r="A4591" t="s">
        <v>133</v>
      </c>
      <c r="B4591" s="1">
        <v>45894</v>
      </c>
      <c r="C4591" s="1">
        <v>45894</v>
      </c>
      <c r="D4591">
        <v>924469</v>
      </c>
      <c r="E4591">
        <v>382</v>
      </c>
      <c r="F4591" s="3" t="s">
        <v>3987</v>
      </c>
      <c r="G4591" s="4">
        <v>39996.75</v>
      </c>
      <c r="H4591" s="4">
        <v>0</v>
      </c>
      <c r="I4591" s="4">
        <v>-13875538.18</v>
      </c>
    </row>
    <row r="4592" spans="1:9" x14ac:dyDescent="0.3">
      <c r="A4592" t="s">
        <v>133</v>
      </c>
      <c r="B4592" s="1">
        <v>45894</v>
      </c>
      <c r="C4592" s="1">
        <v>45894</v>
      </c>
      <c r="D4592">
        <v>924471</v>
      </c>
      <c r="E4592">
        <v>17</v>
      </c>
      <c r="F4592" s="3" t="s">
        <v>3988</v>
      </c>
      <c r="G4592" s="4">
        <v>280000</v>
      </c>
      <c r="H4592" s="4">
        <v>0</v>
      </c>
      <c r="I4592" s="4">
        <v>-13595538.18</v>
      </c>
    </row>
    <row r="4593" spans="1:9" x14ac:dyDescent="0.3">
      <c r="A4593" t="s">
        <v>133</v>
      </c>
      <c r="B4593" s="1">
        <v>45894</v>
      </c>
      <c r="C4593" s="1">
        <v>45894</v>
      </c>
      <c r="D4593">
        <v>924473</v>
      </c>
      <c r="E4593">
        <v>64</v>
      </c>
      <c r="F4593" s="3" t="s">
        <v>3989</v>
      </c>
      <c r="G4593" s="4">
        <v>163000</v>
      </c>
      <c r="H4593" s="4">
        <v>0</v>
      </c>
      <c r="I4593" s="4">
        <v>-13432538.18</v>
      </c>
    </row>
    <row r="4594" spans="1:9" x14ac:dyDescent="0.3">
      <c r="A4594" t="s">
        <v>133</v>
      </c>
      <c r="B4594" s="1">
        <v>45894</v>
      </c>
      <c r="C4594" s="1">
        <v>45894</v>
      </c>
      <c r="D4594">
        <v>924476</v>
      </c>
      <c r="E4594">
        <v>31</v>
      </c>
      <c r="F4594" s="3" t="s">
        <v>433</v>
      </c>
      <c r="G4594" s="4">
        <v>1100000</v>
      </c>
      <c r="H4594" s="4">
        <v>0</v>
      </c>
      <c r="I4594" s="4">
        <v>-12332538.18</v>
      </c>
    </row>
    <row r="4595" spans="1:9" x14ac:dyDescent="0.3">
      <c r="A4595" t="s">
        <v>133</v>
      </c>
      <c r="B4595" s="1">
        <v>45894</v>
      </c>
      <c r="C4595" s="1">
        <v>45894</v>
      </c>
      <c r="D4595">
        <v>924477</v>
      </c>
      <c r="E4595">
        <v>361</v>
      </c>
      <c r="F4595" s="3" t="s">
        <v>3990</v>
      </c>
      <c r="G4595" s="4">
        <v>260000</v>
      </c>
      <c r="H4595" s="4">
        <v>0</v>
      </c>
      <c r="I4595" s="4">
        <v>-12072538.18</v>
      </c>
    </row>
    <row r="4596" spans="1:9" x14ac:dyDescent="0.3">
      <c r="A4596" t="s">
        <v>133</v>
      </c>
      <c r="B4596" s="1">
        <v>45894</v>
      </c>
      <c r="C4596" s="1">
        <v>45894</v>
      </c>
      <c r="D4596">
        <v>924483</v>
      </c>
      <c r="E4596">
        <v>422</v>
      </c>
      <c r="F4596" s="3" t="s">
        <v>3991</v>
      </c>
      <c r="G4596" s="4">
        <v>230000</v>
      </c>
      <c r="H4596" s="4">
        <v>0</v>
      </c>
      <c r="I4596" s="4">
        <v>-11842538.18</v>
      </c>
    </row>
    <row r="4597" spans="1:9" x14ac:dyDescent="0.3">
      <c r="A4597" t="s">
        <v>133</v>
      </c>
      <c r="B4597" s="1">
        <v>45894</v>
      </c>
      <c r="C4597" s="1">
        <v>45894</v>
      </c>
      <c r="D4597">
        <v>924488</v>
      </c>
      <c r="E4597">
        <v>18</v>
      </c>
      <c r="F4597" s="3" t="s">
        <v>3992</v>
      </c>
      <c r="G4597" s="4">
        <v>140060</v>
      </c>
      <c r="H4597" s="4">
        <v>0</v>
      </c>
      <c r="I4597" s="4">
        <v>-11702478.18</v>
      </c>
    </row>
    <row r="4598" spans="1:9" x14ac:dyDescent="0.3">
      <c r="A4598" t="s">
        <v>133</v>
      </c>
      <c r="B4598" s="1">
        <v>45894</v>
      </c>
      <c r="C4598" s="1">
        <v>45894</v>
      </c>
      <c r="D4598">
        <v>924492</v>
      </c>
      <c r="E4598">
        <v>307</v>
      </c>
      <c r="F4598" s="3" t="s">
        <v>3993</v>
      </c>
      <c r="G4598" s="4">
        <v>250000</v>
      </c>
      <c r="H4598" s="4">
        <v>0</v>
      </c>
      <c r="I4598" s="4">
        <v>-11452478.18</v>
      </c>
    </row>
    <row r="4599" spans="1:9" x14ac:dyDescent="0.3">
      <c r="A4599" t="s">
        <v>133</v>
      </c>
      <c r="B4599" s="1">
        <v>45894</v>
      </c>
      <c r="C4599" s="1">
        <v>45894</v>
      </c>
      <c r="D4599">
        <v>924493</v>
      </c>
      <c r="E4599">
        <v>307</v>
      </c>
      <c r="F4599" s="3" t="s">
        <v>3994</v>
      </c>
      <c r="G4599" s="4">
        <v>31540</v>
      </c>
      <c r="H4599" s="4">
        <v>0</v>
      </c>
      <c r="I4599" s="4">
        <v>-11420938.18</v>
      </c>
    </row>
    <row r="4600" spans="1:9" x14ac:dyDescent="0.3">
      <c r="A4600" t="s">
        <v>133</v>
      </c>
      <c r="B4600" s="1">
        <v>45894</v>
      </c>
      <c r="C4600" s="1">
        <v>45894</v>
      </c>
      <c r="D4600">
        <v>924498</v>
      </c>
      <c r="E4600">
        <v>12</v>
      </c>
      <c r="F4600" s="3" t="s">
        <v>3995</v>
      </c>
      <c r="G4600" s="4">
        <v>2500</v>
      </c>
      <c r="H4600" s="4">
        <v>0</v>
      </c>
      <c r="I4600" s="4">
        <v>-11418438.18</v>
      </c>
    </row>
    <row r="4601" spans="1:9" x14ac:dyDescent="0.3">
      <c r="A4601" t="s">
        <v>133</v>
      </c>
      <c r="B4601" s="1">
        <v>45894</v>
      </c>
      <c r="C4601" s="1">
        <v>45894</v>
      </c>
      <c r="D4601">
        <v>924499</v>
      </c>
      <c r="E4601">
        <v>28</v>
      </c>
      <c r="F4601" s="3" t="s">
        <v>3996</v>
      </c>
      <c r="G4601" s="4">
        <v>75000</v>
      </c>
      <c r="H4601" s="4">
        <v>0</v>
      </c>
      <c r="I4601" s="4">
        <v>-11343438.18</v>
      </c>
    </row>
    <row r="4602" spans="1:9" x14ac:dyDescent="0.3">
      <c r="A4602" t="s">
        <v>133</v>
      </c>
      <c r="B4602" s="1">
        <v>45894</v>
      </c>
      <c r="C4602" s="1">
        <v>45894</v>
      </c>
      <c r="D4602">
        <v>924500</v>
      </c>
      <c r="E4602">
        <v>310</v>
      </c>
      <c r="F4602" s="3" t="s">
        <v>3997</v>
      </c>
      <c r="G4602" s="4">
        <v>5855.25</v>
      </c>
      <c r="H4602" s="4">
        <v>0</v>
      </c>
      <c r="I4602" s="4">
        <v>-11337582.93</v>
      </c>
    </row>
    <row r="4603" spans="1:9" x14ac:dyDescent="0.3">
      <c r="A4603" t="s">
        <v>133</v>
      </c>
      <c r="B4603" s="1">
        <v>45894</v>
      </c>
      <c r="C4603" s="1">
        <v>45894</v>
      </c>
      <c r="D4603">
        <v>924501</v>
      </c>
      <c r="E4603">
        <v>71</v>
      </c>
      <c r="F4603" s="3" t="s">
        <v>3998</v>
      </c>
      <c r="G4603" s="4">
        <v>360000</v>
      </c>
      <c r="H4603" s="4">
        <v>0</v>
      </c>
      <c r="I4603" s="4">
        <v>-10977582.93</v>
      </c>
    </row>
    <row r="4604" spans="1:9" x14ac:dyDescent="0.3">
      <c r="A4604" t="s">
        <v>133</v>
      </c>
      <c r="B4604" s="1">
        <v>45894</v>
      </c>
      <c r="C4604" s="1">
        <v>45894</v>
      </c>
      <c r="D4604">
        <v>924504</v>
      </c>
      <c r="E4604">
        <v>282</v>
      </c>
      <c r="F4604" s="3" t="s">
        <v>3974</v>
      </c>
      <c r="G4604" s="4">
        <v>93259</v>
      </c>
      <c r="H4604" s="4">
        <v>0</v>
      </c>
      <c r="I4604" s="4">
        <v>-10884323.93</v>
      </c>
    </row>
    <row r="4605" spans="1:9" x14ac:dyDescent="0.3">
      <c r="A4605" t="s">
        <v>133</v>
      </c>
      <c r="B4605" s="1">
        <v>45894</v>
      </c>
      <c r="C4605" s="1">
        <v>45894</v>
      </c>
      <c r="D4605">
        <v>924509</v>
      </c>
      <c r="E4605">
        <v>78</v>
      </c>
      <c r="F4605" s="3" t="s">
        <v>1926</v>
      </c>
      <c r="G4605" s="4">
        <v>390000</v>
      </c>
      <c r="H4605" s="4">
        <v>0</v>
      </c>
      <c r="I4605" s="4">
        <v>-10494323.93</v>
      </c>
    </row>
    <row r="4606" spans="1:9" x14ac:dyDescent="0.3">
      <c r="A4606" t="s">
        <v>133</v>
      </c>
      <c r="B4606" s="1">
        <v>45894</v>
      </c>
      <c r="C4606" s="1">
        <v>45894</v>
      </c>
      <c r="D4606">
        <v>924511</v>
      </c>
      <c r="E4606">
        <v>91</v>
      </c>
      <c r="F4606" s="3" t="s">
        <v>3999</v>
      </c>
      <c r="G4606" s="4">
        <v>450000</v>
      </c>
      <c r="H4606" s="4">
        <v>0</v>
      </c>
      <c r="I4606" s="4">
        <v>-10044323.93</v>
      </c>
    </row>
    <row r="4607" spans="1:9" x14ac:dyDescent="0.3">
      <c r="A4607" t="s">
        <v>133</v>
      </c>
      <c r="B4607" s="1">
        <v>45894</v>
      </c>
      <c r="C4607" s="1">
        <v>45894</v>
      </c>
      <c r="D4607">
        <v>924512</v>
      </c>
      <c r="E4607">
        <v>67</v>
      </c>
      <c r="F4607" s="3" t="s">
        <v>181</v>
      </c>
      <c r="G4607" s="4">
        <v>210000</v>
      </c>
      <c r="H4607" s="4">
        <v>0</v>
      </c>
      <c r="I4607" s="4">
        <v>-9834323.9299999997</v>
      </c>
    </row>
    <row r="4608" spans="1:9" x14ac:dyDescent="0.3">
      <c r="A4608" t="s">
        <v>133</v>
      </c>
      <c r="B4608" s="1">
        <v>45894</v>
      </c>
      <c r="C4608" s="1">
        <v>45894</v>
      </c>
      <c r="D4608">
        <v>924513</v>
      </c>
      <c r="E4608">
        <v>65</v>
      </c>
      <c r="F4608" s="3" t="s">
        <v>176</v>
      </c>
      <c r="G4608" s="4">
        <v>370000</v>
      </c>
      <c r="H4608" s="4">
        <v>0</v>
      </c>
      <c r="I4608" s="4">
        <v>-9464323.9299999997</v>
      </c>
    </row>
    <row r="4609" spans="1:9" x14ac:dyDescent="0.3">
      <c r="A4609" t="s">
        <v>133</v>
      </c>
      <c r="B4609" s="1">
        <v>45894</v>
      </c>
      <c r="C4609" s="1">
        <v>45894</v>
      </c>
      <c r="D4609">
        <v>924515</v>
      </c>
      <c r="E4609">
        <v>58</v>
      </c>
      <c r="F4609" s="3" t="s">
        <v>4000</v>
      </c>
      <c r="G4609" s="4">
        <v>170000</v>
      </c>
      <c r="H4609" s="4">
        <v>0</v>
      </c>
      <c r="I4609" s="4">
        <v>-9294323.9299999997</v>
      </c>
    </row>
    <row r="4610" spans="1:9" x14ac:dyDescent="0.3">
      <c r="A4610" t="s">
        <v>133</v>
      </c>
      <c r="B4610" s="1">
        <v>45894</v>
      </c>
      <c r="C4610" s="1">
        <v>45894</v>
      </c>
      <c r="D4610">
        <v>924516</v>
      </c>
      <c r="E4610">
        <v>45</v>
      </c>
      <c r="F4610" s="3" t="s">
        <v>4001</v>
      </c>
      <c r="G4610" s="4">
        <v>52.5</v>
      </c>
      <c r="H4610" s="4">
        <v>0</v>
      </c>
      <c r="I4610" s="4">
        <v>-9294271.4299999997</v>
      </c>
    </row>
    <row r="4611" spans="1:9" x14ac:dyDescent="0.3">
      <c r="A4611" t="s">
        <v>133</v>
      </c>
      <c r="B4611" s="1">
        <v>45894</v>
      </c>
      <c r="C4611" s="1">
        <v>45894</v>
      </c>
      <c r="D4611">
        <v>924519</v>
      </c>
      <c r="E4611">
        <v>11</v>
      </c>
      <c r="F4611" s="3" t="s">
        <v>4002</v>
      </c>
      <c r="G4611" s="4">
        <v>369505</v>
      </c>
      <c r="H4611" s="4">
        <v>0</v>
      </c>
      <c r="I4611" s="4">
        <v>-8924766.4299999997</v>
      </c>
    </row>
    <row r="4612" spans="1:9" x14ac:dyDescent="0.3">
      <c r="A4612" t="s">
        <v>133</v>
      </c>
      <c r="B4612" s="1">
        <v>45894</v>
      </c>
      <c r="C4612" s="1">
        <v>45894</v>
      </c>
      <c r="D4612">
        <v>924522</v>
      </c>
      <c r="E4612">
        <v>11</v>
      </c>
      <c r="F4612" s="3" t="s">
        <v>4003</v>
      </c>
      <c r="G4612" s="4">
        <v>2100</v>
      </c>
      <c r="H4612" s="4">
        <v>0</v>
      </c>
      <c r="I4612" s="4">
        <v>-8922666.4299999997</v>
      </c>
    </row>
    <row r="4613" spans="1:9" x14ac:dyDescent="0.3">
      <c r="A4613" t="s">
        <v>133</v>
      </c>
      <c r="B4613" s="1">
        <v>45894</v>
      </c>
      <c r="C4613" s="1">
        <v>45894</v>
      </c>
      <c r="D4613">
        <v>924525</v>
      </c>
      <c r="E4613">
        <v>50</v>
      </c>
      <c r="F4613" s="3" t="s">
        <v>4004</v>
      </c>
      <c r="G4613" s="4">
        <v>250415</v>
      </c>
      <c r="H4613" s="4">
        <v>0</v>
      </c>
      <c r="I4613" s="4">
        <v>-8672251.4299999997</v>
      </c>
    </row>
    <row r="4614" spans="1:9" x14ac:dyDescent="0.3">
      <c r="A4614" t="s">
        <v>133</v>
      </c>
      <c r="B4614" s="1">
        <v>45894</v>
      </c>
      <c r="C4614" s="1">
        <v>45894</v>
      </c>
      <c r="D4614">
        <v>924526</v>
      </c>
      <c r="E4614">
        <v>11</v>
      </c>
      <c r="F4614" s="3" t="s">
        <v>4005</v>
      </c>
      <c r="G4614" s="4">
        <v>950000</v>
      </c>
      <c r="H4614" s="4">
        <v>0</v>
      </c>
      <c r="I4614" s="4">
        <v>-7722251.4299999997</v>
      </c>
    </row>
    <row r="4615" spans="1:9" x14ac:dyDescent="0.3">
      <c r="A4615" t="s">
        <v>133</v>
      </c>
      <c r="B4615" s="1">
        <v>45894</v>
      </c>
      <c r="C4615" s="1">
        <v>45894</v>
      </c>
      <c r="D4615">
        <v>924527</v>
      </c>
      <c r="E4615">
        <v>310</v>
      </c>
      <c r="F4615" s="3" t="s">
        <v>208</v>
      </c>
      <c r="G4615" s="4">
        <v>300000</v>
      </c>
      <c r="H4615" s="4">
        <v>0</v>
      </c>
      <c r="I4615" s="4">
        <v>-7422251.4299999997</v>
      </c>
    </row>
    <row r="4616" spans="1:9" x14ac:dyDescent="0.3">
      <c r="A4616" t="s">
        <v>133</v>
      </c>
      <c r="B4616" s="1">
        <v>45894</v>
      </c>
      <c r="C4616" s="1">
        <v>45894</v>
      </c>
      <c r="D4616">
        <v>924530</v>
      </c>
      <c r="E4616">
        <v>82</v>
      </c>
      <c r="F4616" s="3" t="s">
        <v>4006</v>
      </c>
      <c r="G4616" s="4">
        <v>350000</v>
      </c>
      <c r="H4616" s="4">
        <v>0</v>
      </c>
      <c r="I4616" s="4">
        <v>-7072251.4299999997</v>
      </c>
    </row>
    <row r="4617" spans="1:9" x14ac:dyDescent="0.3">
      <c r="A4617" t="s">
        <v>133</v>
      </c>
      <c r="B4617" s="1">
        <v>45894</v>
      </c>
      <c r="C4617" s="1">
        <v>45894</v>
      </c>
      <c r="D4617">
        <v>924531</v>
      </c>
      <c r="E4617">
        <v>32</v>
      </c>
      <c r="F4617" s="3" t="s">
        <v>1161</v>
      </c>
      <c r="G4617" s="4">
        <v>700000</v>
      </c>
      <c r="H4617" s="4">
        <v>0</v>
      </c>
      <c r="I4617" s="4">
        <v>-6372251.4299999997</v>
      </c>
    </row>
    <row r="4618" spans="1:9" x14ac:dyDescent="0.3">
      <c r="A4618" t="s">
        <v>133</v>
      </c>
      <c r="B4618" s="1">
        <v>45894</v>
      </c>
      <c r="C4618" s="1">
        <v>45894</v>
      </c>
      <c r="D4618">
        <v>924532</v>
      </c>
      <c r="E4618">
        <v>84</v>
      </c>
      <c r="F4618" s="3" t="s">
        <v>4007</v>
      </c>
      <c r="G4618" s="4">
        <v>300000</v>
      </c>
      <c r="H4618" s="4">
        <v>0</v>
      </c>
      <c r="I4618" s="4">
        <v>-6072251.4299999997</v>
      </c>
    </row>
    <row r="4619" spans="1:9" x14ac:dyDescent="0.3">
      <c r="A4619" t="s">
        <v>133</v>
      </c>
      <c r="B4619" s="1">
        <v>45894</v>
      </c>
      <c r="C4619" s="1">
        <v>45894</v>
      </c>
      <c r="D4619">
        <v>924534</v>
      </c>
      <c r="E4619">
        <v>361</v>
      </c>
      <c r="F4619" s="3" t="s">
        <v>4008</v>
      </c>
      <c r="G4619" s="4">
        <v>200000</v>
      </c>
      <c r="H4619" s="4">
        <v>0</v>
      </c>
      <c r="I4619" s="4">
        <v>-5872251.4299999997</v>
      </c>
    </row>
    <row r="4620" spans="1:9" x14ac:dyDescent="0.3">
      <c r="A4620" t="s">
        <v>133</v>
      </c>
      <c r="B4620" s="1">
        <v>45894</v>
      </c>
      <c r="C4620" s="1">
        <v>45894</v>
      </c>
      <c r="D4620">
        <v>924535</v>
      </c>
      <c r="E4620">
        <v>361</v>
      </c>
      <c r="F4620" s="3" t="s">
        <v>4009</v>
      </c>
      <c r="G4620" s="4">
        <v>225026.5</v>
      </c>
      <c r="H4620" s="4">
        <v>0</v>
      </c>
      <c r="I4620" s="4">
        <v>-5647224.9299999997</v>
      </c>
    </row>
    <row r="4621" spans="1:9" x14ac:dyDescent="0.3">
      <c r="A4621" t="s">
        <v>133</v>
      </c>
      <c r="B4621" s="1">
        <v>45894</v>
      </c>
      <c r="C4621" s="1">
        <v>45894</v>
      </c>
      <c r="D4621">
        <v>924537</v>
      </c>
      <c r="E4621">
        <v>63</v>
      </c>
      <c r="F4621" s="3">
        <v>209740</v>
      </c>
      <c r="G4621" s="4">
        <v>7499.25</v>
      </c>
      <c r="H4621" s="4">
        <v>0</v>
      </c>
      <c r="I4621" s="4">
        <v>-5639725.6799999997</v>
      </c>
    </row>
    <row r="4622" spans="1:9" x14ac:dyDescent="0.3">
      <c r="A4622" t="s">
        <v>133</v>
      </c>
      <c r="B4622" s="1">
        <v>45894</v>
      </c>
      <c r="C4622" s="1">
        <v>45894</v>
      </c>
      <c r="D4622">
        <v>924538</v>
      </c>
      <c r="E4622">
        <v>86</v>
      </c>
      <c r="F4622" s="3">
        <v>3139</v>
      </c>
      <c r="G4622" s="4">
        <v>11668.75</v>
      </c>
      <c r="H4622" s="4">
        <v>0</v>
      </c>
      <c r="I4622" s="4">
        <v>-5628056.9299999997</v>
      </c>
    </row>
    <row r="4623" spans="1:9" x14ac:dyDescent="0.3">
      <c r="A4623" t="s">
        <v>133</v>
      </c>
      <c r="B4623" s="1">
        <v>45894</v>
      </c>
      <c r="C4623" s="1">
        <v>45894</v>
      </c>
      <c r="D4623">
        <v>924540</v>
      </c>
      <c r="E4623">
        <v>28</v>
      </c>
      <c r="F4623" s="3">
        <v>500002</v>
      </c>
      <c r="G4623" s="4">
        <v>50510.5</v>
      </c>
      <c r="H4623" s="4">
        <v>0</v>
      </c>
      <c r="I4623" s="4">
        <v>-5577546.4299999997</v>
      </c>
    </row>
    <row r="4624" spans="1:9" x14ac:dyDescent="0.3">
      <c r="A4624" t="s">
        <v>133</v>
      </c>
      <c r="B4624" s="1">
        <v>45894</v>
      </c>
      <c r="C4624" s="1">
        <v>45894</v>
      </c>
      <c r="D4624">
        <v>924546</v>
      </c>
      <c r="E4624">
        <v>15</v>
      </c>
      <c r="F4624" s="3" t="s">
        <v>966</v>
      </c>
      <c r="G4624" s="4">
        <v>500000</v>
      </c>
      <c r="H4624" s="4">
        <v>0</v>
      </c>
      <c r="I4624" s="4">
        <v>-5077546.43</v>
      </c>
    </row>
    <row r="4625" spans="1:9" x14ac:dyDescent="0.3">
      <c r="A4625" t="s">
        <v>133</v>
      </c>
      <c r="B4625" s="1">
        <v>45894</v>
      </c>
      <c r="C4625" s="1">
        <v>45894</v>
      </c>
      <c r="D4625">
        <v>924549</v>
      </c>
      <c r="E4625">
        <v>33</v>
      </c>
      <c r="F4625" s="3" t="s">
        <v>1948</v>
      </c>
      <c r="G4625" s="4">
        <v>1170000</v>
      </c>
      <c r="H4625" s="4">
        <v>0</v>
      </c>
      <c r="I4625" s="4">
        <v>-3907546.43</v>
      </c>
    </row>
    <row r="4626" spans="1:9" x14ac:dyDescent="0.3">
      <c r="A4626" t="s">
        <v>133</v>
      </c>
      <c r="B4626" s="1">
        <v>45894</v>
      </c>
      <c r="C4626" s="1">
        <v>45894</v>
      </c>
      <c r="D4626">
        <v>924551</v>
      </c>
      <c r="E4626">
        <v>23</v>
      </c>
      <c r="F4626" s="3" t="s">
        <v>4010</v>
      </c>
      <c r="G4626" s="4">
        <v>203000</v>
      </c>
      <c r="H4626" s="4">
        <v>0</v>
      </c>
      <c r="I4626" s="4">
        <v>-3704546.43</v>
      </c>
    </row>
    <row r="4627" spans="1:9" x14ac:dyDescent="0.3">
      <c r="A4627" t="s">
        <v>133</v>
      </c>
      <c r="B4627" s="1">
        <v>45894</v>
      </c>
      <c r="C4627" s="1">
        <v>45894</v>
      </c>
      <c r="D4627">
        <v>924552</v>
      </c>
      <c r="E4627">
        <v>86</v>
      </c>
      <c r="F4627" s="3">
        <v>206</v>
      </c>
      <c r="G4627" s="4">
        <v>127181</v>
      </c>
      <c r="H4627" s="4">
        <v>0</v>
      </c>
      <c r="I4627" s="4">
        <v>-3577365.43</v>
      </c>
    </row>
    <row r="4628" spans="1:9" x14ac:dyDescent="0.3">
      <c r="A4628" t="s">
        <v>133</v>
      </c>
      <c r="B4628" s="1">
        <v>45894</v>
      </c>
      <c r="C4628" s="1">
        <v>45894</v>
      </c>
      <c r="D4628">
        <v>924554</v>
      </c>
      <c r="E4628">
        <v>91</v>
      </c>
      <c r="F4628" s="3" t="s">
        <v>4011</v>
      </c>
      <c r="G4628" s="4">
        <v>275768</v>
      </c>
      <c r="H4628" s="4">
        <v>0</v>
      </c>
      <c r="I4628" s="4">
        <v>-3301597.43</v>
      </c>
    </row>
    <row r="4629" spans="1:9" x14ac:dyDescent="0.3">
      <c r="A4629" t="s">
        <v>133</v>
      </c>
      <c r="B4629" s="1">
        <v>45894</v>
      </c>
      <c r="C4629" s="1">
        <v>45894</v>
      </c>
      <c r="D4629">
        <v>924555</v>
      </c>
      <c r="E4629">
        <v>37</v>
      </c>
      <c r="F4629" s="3" t="s">
        <v>232</v>
      </c>
      <c r="G4629" s="4">
        <v>1200000</v>
      </c>
      <c r="H4629" s="4">
        <v>0</v>
      </c>
      <c r="I4629" s="4">
        <v>-2101597.4300000002</v>
      </c>
    </row>
    <row r="4630" spans="1:9" x14ac:dyDescent="0.3">
      <c r="A4630" t="s">
        <v>133</v>
      </c>
      <c r="B4630" s="1">
        <v>45894</v>
      </c>
      <c r="C4630" s="1">
        <v>45894</v>
      </c>
      <c r="D4630">
        <v>924556</v>
      </c>
      <c r="E4630">
        <v>382</v>
      </c>
      <c r="F4630" s="3" t="s">
        <v>4012</v>
      </c>
      <c r="G4630" s="4">
        <v>400000</v>
      </c>
      <c r="H4630" s="4">
        <v>0</v>
      </c>
      <c r="I4630" s="4">
        <v>-1701597.43</v>
      </c>
    </row>
    <row r="4631" spans="1:9" x14ac:dyDescent="0.3">
      <c r="A4631" t="s">
        <v>133</v>
      </c>
      <c r="B4631" s="1">
        <v>45894</v>
      </c>
      <c r="C4631" s="1">
        <v>45894</v>
      </c>
      <c r="D4631">
        <v>924557</v>
      </c>
      <c r="E4631">
        <v>89</v>
      </c>
      <c r="F4631" s="3" t="s">
        <v>4013</v>
      </c>
      <c r="G4631" s="4">
        <v>1000000</v>
      </c>
      <c r="H4631" s="4">
        <v>0</v>
      </c>
      <c r="I4631" s="4">
        <v>-701597.43</v>
      </c>
    </row>
    <row r="4632" spans="1:9" x14ac:dyDescent="0.3">
      <c r="A4632" t="s">
        <v>133</v>
      </c>
      <c r="B4632" s="1">
        <v>45894</v>
      </c>
      <c r="C4632" s="1">
        <v>45894</v>
      </c>
      <c r="D4632">
        <v>924558</v>
      </c>
      <c r="E4632">
        <v>16</v>
      </c>
      <c r="F4632" s="3" t="s">
        <v>4014</v>
      </c>
      <c r="G4632" s="4">
        <v>450000</v>
      </c>
      <c r="H4632" s="4">
        <v>0</v>
      </c>
      <c r="I4632" s="4">
        <v>-251597.43</v>
      </c>
    </row>
    <row r="4633" spans="1:9" x14ac:dyDescent="0.3">
      <c r="A4633" t="s">
        <v>133</v>
      </c>
      <c r="B4633" s="1">
        <v>45894</v>
      </c>
      <c r="C4633" s="1">
        <v>45894</v>
      </c>
      <c r="D4633">
        <v>924559</v>
      </c>
      <c r="E4633">
        <v>84</v>
      </c>
      <c r="F4633" s="3" t="s">
        <v>4015</v>
      </c>
      <c r="G4633" s="4">
        <v>98880</v>
      </c>
      <c r="H4633" s="4">
        <v>0</v>
      </c>
      <c r="I4633" s="4">
        <v>-152717.43</v>
      </c>
    </row>
    <row r="4634" spans="1:9" x14ac:dyDescent="0.3">
      <c r="A4634" t="s">
        <v>133</v>
      </c>
      <c r="B4634" s="1">
        <v>45894</v>
      </c>
      <c r="C4634" s="1">
        <v>45894</v>
      </c>
      <c r="D4634">
        <v>924562</v>
      </c>
      <c r="E4634">
        <v>15</v>
      </c>
      <c r="F4634" s="3" t="s">
        <v>4016</v>
      </c>
      <c r="G4634" s="4">
        <v>2017</v>
      </c>
      <c r="H4634" s="4">
        <v>0</v>
      </c>
      <c r="I4634" s="4">
        <v>-150700.43</v>
      </c>
    </row>
    <row r="4635" spans="1:9" x14ac:dyDescent="0.3">
      <c r="A4635" t="s">
        <v>133</v>
      </c>
      <c r="B4635" s="1">
        <v>45894</v>
      </c>
      <c r="C4635" s="1">
        <v>45894</v>
      </c>
      <c r="D4635">
        <v>924565</v>
      </c>
      <c r="E4635">
        <v>72</v>
      </c>
      <c r="F4635" s="3" t="s">
        <v>4017</v>
      </c>
      <c r="G4635" s="4">
        <v>360000</v>
      </c>
      <c r="H4635" s="4">
        <v>0</v>
      </c>
      <c r="I4635" s="4">
        <v>209299.57</v>
      </c>
    </row>
    <row r="4636" spans="1:9" x14ac:dyDescent="0.3">
      <c r="A4636" t="s">
        <v>133</v>
      </c>
      <c r="B4636" s="1">
        <v>45894</v>
      </c>
      <c r="C4636" s="1">
        <v>45894</v>
      </c>
      <c r="D4636">
        <v>924567</v>
      </c>
      <c r="E4636">
        <v>53</v>
      </c>
      <c r="F4636" s="3" t="s">
        <v>1546</v>
      </c>
      <c r="G4636" s="4">
        <v>250000</v>
      </c>
      <c r="H4636" s="4">
        <v>0</v>
      </c>
      <c r="I4636" s="4">
        <v>459299.57</v>
      </c>
    </row>
    <row r="4637" spans="1:9" x14ac:dyDescent="0.3">
      <c r="A4637" t="s">
        <v>133</v>
      </c>
      <c r="B4637" s="1">
        <v>45894</v>
      </c>
      <c r="C4637" s="1">
        <v>45894</v>
      </c>
      <c r="D4637">
        <v>924576</v>
      </c>
      <c r="E4637">
        <v>70</v>
      </c>
      <c r="F4637" s="3" t="s">
        <v>4018</v>
      </c>
      <c r="G4637" s="4">
        <v>270000</v>
      </c>
      <c r="H4637" s="4">
        <v>0</v>
      </c>
      <c r="I4637" s="4">
        <v>729299.57</v>
      </c>
    </row>
    <row r="4638" spans="1:9" x14ac:dyDescent="0.3">
      <c r="A4638" t="s">
        <v>133</v>
      </c>
      <c r="B4638" s="1">
        <v>45894</v>
      </c>
      <c r="C4638" s="1">
        <v>45894</v>
      </c>
      <c r="D4638">
        <v>924577</v>
      </c>
      <c r="E4638">
        <v>28</v>
      </c>
      <c r="F4638" s="3" t="s">
        <v>4019</v>
      </c>
      <c r="G4638" s="4">
        <v>51511</v>
      </c>
      <c r="H4638" s="4">
        <v>0</v>
      </c>
      <c r="I4638" s="4">
        <v>780810.57</v>
      </c>
    </row>
    <row r="4639" spans="1:9" x14ac:dyDescent="0.3">
      <c r="A4639" t="s">
        <v>133</v>
      </c>
      <c r="B4639" s="1">
        <v>45894</v>
      </c>
      <c r="C4639" s="1">
        <v>45894</v>
      </c>
      <c r="D4639">
        <v>924579</v>
      </c>
      <c r="E4639">
        <v>56</v>
      </c>
      <c r="F4639" s="3" t="s">
        <v>4020</v>
      </c>
      <c r="G4639" s="4">
        <v>370000</v>
      </c>
      <c r="H4639" s="4">
        <v>0</v>
      </c>
      <c r="I4639" s="4">
        <v>1150810.57</v>
      </c>
    </row>
    <row r="4640" spans="1:9" x14ac:dyDescent="0.3">
      <c r="A4640" t="s">
        <v>133</v>
      </c>
      <c r="B4640" s="1">
        <v>45894</v>
      </c>
      <c r="C4640" s="1">
        <v>45894</v>
      </c>
      <c r="D4640">
        <v>924581</v>
      </c>
      <c r="E4640">
        <v>98</v>
      </c>
      <c r="F4640" s="3" t="s">
        <v>4021</v>
      </c>
      <c r="G4640" s="4">
        <v>210000</v>
      </c>
      <c r="H4640" s="4">
        <v>0</v>
      </c>
      <c r="I4640" s="4">
        <v>1360810.57</v>
      </c>
    </row>
    <row r="4641" spans="1:9" x14ac:dyDescent="0.3">
      <c r="A4641" t="s">
        <v>133</v>
      </c>
      <c r="B4641" s="1">
        <v>45894</v>
      </c>
      <c r="C4641" s="1">
        <v>45894</v>
      </c>
      <c r="D4641">
        <v>924582</v>
      </c>
      <c r="E4641">
        <v>80</v>
      </c>
      <c r="F4641" s="3" t="s">
        <v>4022</v>
      </c>
      <c r="G4641" s="4">
        <v>290000</v>
      </c>
      <c r="H4641" s="4">
        <v>0</v>
      </c>
      <c r="I4641" s="4">
        <v>1650810.57</v>
      </c>
    </row>
    <row r="4642" spans="1:9" x14ac:dyDescent="0.3">
      <c r="A4642" t="s">
        <v>133</v>
      </c>
      <c r="B4642" s="1">
        <v>45894</v>
      </c>
      <c r="C4642" s="1">
        <v>45894</v>
      </c>
      <c r="D4642">
        <v>924588</v>
      </c>
      <c r="E4642">
        <v>351</v>
      </c>
      <c r="F4642" s="3" t="s">
        <v>181</v>
      </c>
      <c r="G4642" s="4">
        <v>300000</v>
      </c>
      <c r="H4642" s="4">
        <v>0</v>
      </c>
      <c r="I4642" s="4">
        <v>1950810.57</v>
      </c>
    </row>
    <row r="4643" spans="1:9" x14ac:dyDescent="0.3">
      <c r="A4643" t="s">
        <v>133</v>
      </c>
      <c r="B4643" s="1">
        <v>45894</v>
      </c>
      <c r="C4643" s="1">
        <v>45894</v>
      </c>
      <c r="D4643">
        <v>924591</v>
      </c>
      <c r="E4643">
        <v>97</v>
      </c>
      <c r="F4643" s="3" t="s">
        <v>4023</v>
      </c>
      <c r="G4643" s="4">
        <v>400000</v>
      </c>
      <c r="H4643" s="4">
        <v>0</v>
      </c>
      <c r="I4643" s="4">
        <v>2350810.5699999998</v>
      </c>
    </row>
    <row r="4644" spans="1:9" x14ac:dyDescent="0.3">
      <c r="A4644" t="s">
        <v>133</v>
      </c>
      <c r="B4644" s="1">
        <v>45894</v>
      </c>
      <c r="C4644" s="1">
        <v>45894</v>
      </c>
      <c r="D4644">
        <v>924594</v>
      </c>
      <c r="E4644">
        <v>77</v>
      </c>
      <c r="F4644" s="3" t="s">
        <v>4024</v>
      </c>
      <c r="G4644" s="4">
        <v>860000</v>
      </c>
      <c r="H4644" s="4">
        <v>0</v>
      </c>
      <c r="I4644" s="4">
        <v>3210810.57</v>
      </c>
    </row>
    <row r="4645" spans="1:9" x14ac:dyDescent="0.3">
      <c r="A4645" t="s">
        <v>133</v>
      </c>
      <c r="B4645" s="1">
        <v>45894</v>
      </c>
      <c r="C4645" s="1">
        <v>45894</v>
      </c>
      <c r="D4645">
        <v>924595</v>
      </c>
      <c r="E4645">
        <v>64</v>
      </c>
      <c r="F4645" s="3" t="s">
        <v>4025</v>
      </c>
      <c r="G4645" s="4">
        <v>7502</v>
      </c>
      <c r="H4645" s="4">
        <v>0</v>
      </c>
      <c r="I4645" s="4">
        <v>3218312.57</v>
      </c>
    </row>
    <row r="4646" spans="1:9" x14ac:dyDescent="0.3">
      <c r="A4646" t="s">
        <v>133</v>
      </c>
      <c r="B4646" s="1">
        <v>45894</v>
      </c>
      <c r="C4646" s="1">
        <v>45894</v>
      </c>
      <c r="D4646">
        <v>924596</v>
      </c>
      <c r="E4646">
        <v>15</v>
      </c>
      <c r="F4646" s="3" t="s">
        <v>4026</v>
      </c>
      <c r="G4646" s="4">
        <v>15000</v>
      </c>
      <c r="H4646" s="4">
        <v>0</v>
      </c>
      <c r="I4646" s="4">
        <v>3233312.57</v>
      </c>
    </row>
    <row r="4647" spans="1:9" x14ac:dyDescent="0.3">
      <c r="A4647" t="s">
        <v>133</v>
      </c>
      <c r="B4647" s="1">
        <v>45894</v>
      </c>
      <c r="C4647" s="1">
        <v>45894</v>
      </c>
      <c r="D4647">
        <v>924597</v>
      </c>
      <c r="E4647">
        <v>61</v>
      </c>
      <c r="F4647" s="3" t="s">
        <v>4027</v>
      </c>
      <c r="G4647" s="4">
        <v>150000</v>
      </c>
      <c r="H4647" s="4">
        <v>0</v>
      </c>
      <c r="I4647" s="4">
        <v>3383312.57</v>
      </c>
    </row>
    <row r="4648" spans="1:9" x14ac:dyDescent="0.3">
      <c r="A4648" t="s">
        <v>133</v>
      </c>
      <c r="B4648" s="1">
        <v>45894</v>
      </c>
      <c r="C4648" s="1">
        <v>45894</v>
      </c>
      <c r="D4648">
        <v>924598</v>
      </c>
      <c r="E4648">
        <v>59</v>
      </c>
      <c r="F4648" s="3" t="s">
        <v>4028</v>
      </c>
      <c r="G4648" s="4">
        <v>30087.5</v>
      </c>
      <c r="H4648" s="4">
        <v>0</v>
      </c>
      <c r="I4648" s="4">
        <v>3413400.07</v>
      </c>
    </row>
    <row r="4649" spans="1:9" x14ac:dyDescent="0.3">
      <c r="A4649" t="s">
        <v>133</v>
      </c>
      <c r="B4649" s="1">
        <v>45894</v>
      </c>
      <c r="C4649" s="1">
        <v>45894</v>
      </c>
      <c r="D4649">
        <v>924599</v>
      </c>
      <c r="E4649">
        <v>15</v>
      </c>
      <c r="F4649" s="3" t="s">
        <v>4029</v>
      </c>
      <c r="G4649" s="4">
        <v>20000</v>
      </c>
      <c r="H4649" s="4">
        <v>0</v>
      </c>
      <c r="I4649" s="4">
        <v>3433400.07</v>
      </c>
    </row>
    <row r="4650" spans="1:9" x14ac:dyDescent="0.3">
      <c r="A4650" t="s">
        <v>133</v>
      </c>
      <c r="B4650" s="1">
        <v>45894</v>
      </c>
      <c r="C4650" s="1">
        <v>45894</v>
      </c>
      <c r="D4650">
        <v>924601</v>
      </c>
      <c r="E4650">
        <v>64</v>
      </c>
      <c r="F4650" s="3" t="s">
        <v>4030</v>
      </c>
      <c r="G4650" s="4">
        <v>198428.25</v>
      </c>
      <c r="H4650" s="4">
        <v>0</v>
      </c>
      <c r="I4650" s="4">
        <v>3631828.32</v>
      </c>
    </row>
    <row r="4651" spans="1:9" x14ac:dyDescent="0.3">
      <c r="A4651" t="s">
        <v>133</v>
      </c>
      <c r="B4651" s="1">
        <v>45894</v>
      </c>
      <c r="C4651" s="1">
        <v>45894</v>
      </c>
      <c r="D4651">
        <v>924604</v>
      </c>
      <c r="E4651">
        <v>220</v>
      </c>
      <c r="F4651" s="3" t="s">
        <v>4031</v>
      </c>
      <c r="G4651" s="4">
        <v>350000</v>
      </c>
      <c r="H4651" s="4">
        <v>0</v>
      </c>
      <c r="I4651" s="4">
        <v>3981828.32</v>
      </c>
    </row>
    <row r="4652" spans="1:9" x14ac:dyDescent="0.3">
      <c r="A4652" t="s">
        <v>133</v>
      </c>
      <c r="B4652" s="1">
        <v>45894</v>
      </c>
      <c r="C4652" s="1">
        <v>45894</v>
      </c>
      <c r="D4652">
        <v>924605</v>
      </c>
      <c r="E4652">
        <v>62</v>
      </c>
      <c r="F4652" s="3" t="s">
        <v>4032</v>
      </c>
      <c r="G4652" s="4">
        <v>780000</v>
      </c>
      <c r="H4652" s="4">
        <v>0</v>
      </c>
      <c r="I4652" s="4">
        <v>4761828.32</v>
      </c>
    </row>
    <row r="4653" spans="1:9" x14ac:dyDescent="0.3">
      <c r="A4653" t="s">
        <v>133</v>
      </c>
      <c r="B4653" s="1">
        <v>45894</v>
      </c>
      <c r="C4653" s="1">
        <v>45894</v>
      </c>
      <c r="D4653">
        <v>924607</v>
      </c>
      <c r="E4653">
        <v>79</v>
      </c>
      <c r="F4653" s="3" t="s">
        <v>4033</v>
      </c>
      <c r="G4653" s="4">
        <v>1600000</v>
      </c>
      <c r="H4653" s="4">
        <v>0</v>
      </c>
      <c r="I4653" s="4">
        <v>6361828.3200000003</v>
      </c>
    </row>
    <row r="4654" spans="1:9" x14ac:dyDescent="0.3">
      <c r="A4654" t="s">
        <v>133</v>
      </c>
      <c r="B4654" s="1">
        <v>45894</v>
      </c>
      <c r="C4654" s="1">
        <v>45894</v>
      </c>
      <c r="D4654">
        <v>924608</v>
      </c>
      <c r="E4654">
        <v>13</v>
      </c>
      <c r="F4654" s="3" t="s">
        <v>4034</v>
      </c>
      <c r="G4654" s="4">
        <v>70788.5</v>
      </c>
      <c r="H4654" s="4">
        <v>0</v>
      </c>
      <c r="I4654" s="4">
        <v>6432616.8200000003</v>
      </c>
    </row>
    <row r="4655" spans="1:9" x14ac:dyDescent="0.3">
      <c r="A4655" t="s">
        <v>133</v>
      </c>
      <c r="B4655" s="1">
        <v>45894</v>
      </c>
      <c r="C4655" s="1">
        <v>45894</v>
      </c>
      <c r="D4655">
        <v>924609</v>
      </c>
      <c r="E4655">
        <v>27</v>
      </c>
      <c r="F4655" s="3" t="s">
        <v>4035</v>
      </c>
      <c r="G4655" s="4">
        <v>200000</v>
      </c>
      <c r="H4655" s="4">
        <v>0</v>
      </c>
      <c r="I4655" s="4">
        <v>6632616.8200000003</v>
      </c>
    </row>
    <row r="4656" spans="1:9" x14ac:dyDescent="0.3">
      <c r="A4656" t="s">
        <v>133</v>
      </c>
      <c r="B4656" s="1">
        <v>45894</v>
      </c>
      <c r="C4656" s="1">
        <v>45894</v>
      </c>
      <c r="D4656">
        <v>924615</v>
      </c>
      <c r="E4656">
        <v>78</v>
      </c>
      <c r="F4656" s="3" t="s">
        <v>4036</v>
      </c>
      <c r="G4656" s="4">
        <v>5000</v>
      </c>
      <c r="H4656" s="4">
        <v>0</v>
      </c>
      <c r="I4656" s="4">
        <v>6637616.8200000003</v>
      </c>
    </row>
    <row r="4657" spans="1:9" x14ac:dyDescent="0.3">
      <c r="A4657" t="s">
        <v>133</v>
      </c>
      <c r="B4657" s="1">
        <v>45894</v>
      </c>
      <c r="C4657" s="1">
        <v>45894</v>
      </c>
      <c r="D4657">
        <v>924627</v>
      </c>
      <c r="E4657">
        <v>210</v>
      </c>
      <c r="F4657" s="3" t="s">
        <v>255</v>
      </c>
      <c r="G4657" s="4">
        <v>770000</v>
      </c>
      <c r="H4657" s="4">
        <v>0</v>
      </c>
      <c r="I4657" s="4">
        <v>7407616.8200000003</v>
      </c>
    </row>
    <row r="4658" spans="1:9" x14ac:dyDescent="0.3">
      <c r="A4658" t="s">
        <v>1</v>
      </c>
      <c r="B4658" s="1">
        <v>45894</v>
      </c>
      <c r="C4658" s="1">
        <v>45895</v>
      </c>
      <c r="D4658">
        <v>103166</v>
      </c>
      <c r="E4658">
        <v>100</v>
      </c>
      <c r="F4658" s="3" t="s">
        <v>4037</v>
      </c>
      <c r="G4658" s="4">
        <v>20552.5</v>
      </c>
      <c r="I4658" s="4">
        <v>7428169.3200000003</v>
      </c>
    </row>
    <row r="4659" spans="1:9" x14ac:dyDescent="0.3">
      <c r="A4659" t="s">
        <v>1</v>
      </c>
      <c r="B4659" s="1">
        <v>45894</v>
      </c>
      <c r="C4659" s="1">
        <v>45895</v>
      </c>
      <c r="D4659">
        <v>103192</v>
      </c>
      <c r="E4659">
        <v>100</v>
      </c>
      <c r="F4659" s="3" t="s">
        <v>4038</v>
      </c>
      <c r="G4659" s="4">
        <v>262.5</v>
      </c>
      <c r="I4659" s="4">
        <v>7428431.8200000003</v>
      </c>
    </row>
    <row r="4660" spans="1:9" x14ac:dyDescent="0.3">
      <c r="A4660" t="s">
        <v>1</v>
      </c>
      <c r="B4660" s="1">
        <v>45891</v>
      </c>
      <c r="C4660" s="1">
        <v>45895</v>
      </c>
      <c r="D4660">
        <v>103195</v>
      </c>
      <c r="E4660">
        <v>100</v>
      </c>
      <c r="F4660" s="3" t="s">
        <v>4039</v>
      </c>
      <c r="G4660" s="4">
        <v>2303.15</v>
      </c>
      <c r="I4660" s="4">
        <v>7430734.9699999997</v>
      </c>
    </row>
    <row r="4661" spans="1:9" x14ac:dyDescent="0.3">
      <c r="A4661" t="s">
        <v>1</v>
      </c>
      <c r="B4661" s="1">
        <v>45895</v>
      </c>
      <c r="C4661" s="1">
        <v>45895</v>
      </c>
      <c r="D4661">
        <v>103196</v>
      </c>
      <c r="E4661">
        <v>100</v>
      </c>
      <c r="F4661" s="3" t="s">
        <v>2680</v>
      </c>
      <c r="G4661" s="4">
        <v>14526.25</v>
      </c>
      <c r="I4661" s="4">
        <v>7445261.2199999997</v>
      </c>
    </row>
    <row r="4662" spans="1:9" x14ac:dyDescent="0.3">
      <c r="A4662" t="s">
        <v>1</v>
      </c>
      <c r="B4662" s="1">
        <v>45894</v>
      </c>
      <c r="C4662" s="1">
        <v>45895</v>
      </c>
      <c r="D4662">
        <v>103203</v>
      </c>
      <c r="E4662">
        <v>100</v>
      </c>
      <c r="F4662" s="3" t="s">
        <v>4040</v>
      </c>
      <c r="G4662" s="4">
        <v>12265</v>
      </c>
      <c r="I4662" s="4">
        <v>7457526.2199999997</v>
      </c>
    </row>
    <row r="4663" spans="1:9" x14ac:dyDescent="0.3">
      <c r="A4663" t="s">
        <v>1</v>
      </c>
      <c r="B4663" s="1">
        <v>45895</v>
      </c>
      <c r="C4663" s="1">
        <v>45895</v>
      </c>
      <c r="D4663">
        <v>103204</v>
      </c>
      <c r="E4663">
        <v>100</v>
      </c>
      <c r="F4663" s="3" t="s">
        <v>4041</v>
      </c>
      <c r="G4663" s="4">
        <v>131713.1</v>
      </c>
      <c r="I4663" s="4">
        <v>7589239.3200000003</v>
      </c>
    </row>
    <row r="4664" spans="1:9" x14ac:dyDescent="0.3">
      <c r="A4664" t="s">
        <v>1</v>
      </c>
      <c r="B4664" s="1">
        <v>45895</v>
      </c>
      <c r="C4664" s="1">
        <v>45895</v>
      </c>
      <c r="D4664">
        <v>103206</v>
      </c>
      <c r="E4664">
        <v>100</v>
      </c>
      <c r="F4664" s="3" t="s">
        <v>4042</v>
      </c>
      <c r="G4664" s="4">
        <v>126662.5</v>
      </c>
      <c r="I4664" s="4">
        <v>7715901.8200000003</v>
      </c>
    </row>
    <row r="4665" spans="1:9" x14ac:dyDescent="0.3">
      <c r="A4665" t="s">
        <v>1</v>
      </c>
      <c r="B4665" s="1">
        <v>45894</v>
      </c>
      <c r="C4665" s="1">
        <v>45895</v>
      </c>
      <c r="D4665">
        <v>103208</v>
      </c>
      <c r="E4665">
        <v>100</v>
      </c>
      <c r="F4665" s="3" t="s">
        <v>4043</v>
      </c>
      <c r="G4665" s="4">
        <v>137057.95000000001</v>
      </c>
      <c r="I4665" s="4">
        <v>7852959.7699999996</v>
      </c>
    </row>
    <row r="4666" spans="1:9" x14ac:dyDescent="0.3">
      <c r="A4666" t="s">
        <v>1</v>
      </c>
      <c r="B4666" s="1">
        <v>45895</v>
      </c>
      <c r="C4666" s="1">
        <v>45895</v>
      </c>
      <c r="D4666">
        <v>103209</v>
      </c>
      <c r="E4666">
        <v>100</v>
      </c>
      <c r="F4666" s="3" t="s">
        <v>1788</v>
      </c>
      <c r="G4666" s="4">
        <v>4420.3599999999997</v>
      </c>
      <c r="I4666" s="4">
        <v>7857380.1299999999</v>
      </c>
    </row>
    <row r="4667" spans="1:9" x14ac:dyDescent="0.3">
      <c r="A4667" t="s">
        <v>1</v>
      </c>
      <c r="B4667" s="1">
        <v>45895</v>
      </c>
      <c r="C4667" s="1">
        <v>45895</v>
      </c>
      <c r="D4667">
        <v>103210</v>
      </c>
      <c r="E4667">
        <v>100</v>
      </c>
      <c r="F4667" s="3" t="s">
        <v>4044</v>
      </c>
      <c r="G4667" s="4">
        <v>4547.25</v>
      </c>
      <c r="I4667" s="4">
        <v>7861927.3799999999</v>
      </c>
    </row>
    <row r="4668" spans="1:9" x14ac:dyDescent="0.3">
      <c r="A4668" t="s">
        <v>1</v>
      </c>
      <c r="B4668" s="1">
        <v>45891</v>
      </c>
      <c r="C4668" s="1">
        <v>45895</v>
      </c>
      <c r="D4668">
        <v>103212</v>
      </c>
      <c r="E4668">
        <v>100</v>
      </c>
      <c r="F4668" s="3" t="s">
        <v>4045</v>
      </c>
      <c r="G4668" s="4">
        <v>32374.25</v>
      </c>
      <c r="I4668" s="4">
        <v>7894301.6299999999</v>
      </c>
    </row>
    <row r="4669" spans="1:9" x14ac:dyDescent="0.3">
      <c r="A4669" t="s">
        <v>1</v>
      </c>
      <c r="B4669" s="1">
        <v>45894</v>
      </c>
      <c r="C4669" s="1">
        <v>45895</v>
      </c>
      <c r="D4669">
        <v>103213</v>
      </c>
      <c r="E4669">
        <v>100</v>
      </c>
      <c r="F4669" s="3" t="s">
        <v>4046</v>
      </c>
      <c r="G4669" s="4">
        <v>108357.25</v>
      </c>
      <c r="I4669" s="4">
        <v>8002658.8799999999</v>
      </c>
    </row>
    <row r="4670" spans="1:9" x14ac:dyDescent="0.3">
      <c r="A4670" t="s">
        <v>1</v>
      </c>
      <c r="B4670" s="1">
        <v>45895</v>
      </c>
      <c r="C4670" s="1">
        <v>45895</v>
      </c>
      <c r="D4670">
        <v>103214</v>
      </c>
      <c r="E4670">
        <v>100</v>
      </c>
      <c r="F4670" s="3" t="s">
        <v>4047</v>
      </c>
      <c r="G4670" s="4">
        <v>16505.25</v>
      </c>
      <c r="I4670" s="4">
        <v>8019164.1299999999</v>
      </c>
    </row>
    <row r="4671" spans="1:9" x14ac:dyDescent="0.3">
      <c r="A4671" t="s">
        <v>1</v>
      </c>
      <c r="B4671" s="1">
        <v>45895</v>
      </c>
      <c r="C4671" s="1">
        <v>45895</v>
      </c>
      <c r="D4671">
        <v>103215</v>
      </c>
      <c r="E4671">
        <v>100</v>
      </c>
      <c r="F4671" s="3" t="s">
        <v>4048</v>
      </c>
      <c r="G4671" s="4">
        <v>14625</v>
      </c>
      <c r="I4671" s="4">
        <v>8033789.1299999999</v>
      </c>
    </row>
    <row r="4672" spans="1:9" x14ac:dyDescent="0.3">
      <c r="A4672" t="s">
        <v>1</v>
      </c>
      <c r="B4672" s="1">
        <v>45895</v>
      </c>
      <c r="C4672" s="1">
        <v>45895</v>
      </c>
      <c r="D4672">
        <v>103216</v>
      </c>
      <c r="E4672">
        <v>100</v>
      </c>
      <c r="F4672" s="3" t="s">
        <v>4049</v>
      </c>
      <c r="G4672" s="4">
        <v>3310</v>
      </c>
      <c r="I4672" s="4">
        <v>8037099.1299999999</v>
      </c>
    </row>
    <row r="4673" spans="1:9" x14ac:dyDescent="0.3">
      <c r="A4673" t="s">
        <v>1</v>
      </c>
      <c r="B4673" s="1">
        <v>45894</v>
      </c>
      <c r="C4673" s="1">
        <v>45895</v>
      </c>
      <c r="D4673">
        <v>103217</v>
      </c>
      <c r="E4673">
        <v>100</v>
      </c>
      <c r="F4673" s="3" t="s">
        <v>4050</v>
      </c>
      <c r="G4673" s="4">
        <v>36231</v>
      </c>
      <c r="I4673" s="4">
        <v>8073330.1299999999</v>
      </c>
    </row>
    <row r="4674" spans="1:9" x14ac:dyDescent="0.3">
      <c r="A4674" t="s">
        <v>1</v>
      </c>
      <c r="B4674" s="1">
        <v>45895</v>
      </c>
      <c r="C4674" s="1">
        <v>45895</v>
      </c>
      <c r="D4674">
        <v>103222</v>
      </c>
      <c r="E4674">
        <v>100</v>
      </c>
      <c r="F4674" s="3" t="s">
        <v>4051</v>
      </c>
      <c r="G4674" s="4">
        <v>40000</v>
      </c>
      <c r="I4674" s="4">
        <v>8113330.1299999999</v>
      </c>
    </row>
    <row r="4675" spans="1:9" x14ac:dyDescent="0.3">
      <c r="A4675" t="s">
        <v>1</v>
      </c>
      <c r="B4675" s="1">
        <v>45894</v>
      </c>
      <c r="C4675" s="1">
        <v>45895</v>
      </c>
      <c r="D4675">
        <v>103223</v>
      </c>
      <c r="E4675">
        <v>100</v>
      </c>
      <c r="F4675" s="3" t="s">
        <v>4052</v>
      </c>
      <c r="G4675" s="4">
        <v>132723</v>
      </c>
      <c r="I4675" s="4">
        <v>8246053.1299999999</v>
      </c>
    </row>
    <row r="4676" spans="1:9" x14ac:dyDescent="0.3">
      <c r="A4676" t="s">
        <v>1</v>
      </c>
      <c r="B4676" s="1">
        <v>45894</v>
      </c>
      <c r="C4676" s="1">
        <v>45895</v>
      </c>
      <c r="D4676">
        <v>103225</v>
      </c>
      <c r="E4676">
        <v>100</v>
      </c>
      <c r="F4676" s="3" t="s">
        <v>4053</v>
      </c>
      <c r="G4676" s="4">
        <v>6700</v>
      </c>
      <c r="I4676" s="4">
        <v>8252753.1299999999</v>
      </c>
    </row>
    <row r="4677" spans="1:9" x14ac:dyDescent="0.3">
      <c r="A4677" t="s">
        <v>1</v>
      </c>
      <c r="B4677" s="1">
        <v>45894</v>
      </c>
      <c r="C4677" s="1">
        <v>45895</v>
      </c>
      <c r="D4677">
        <v>103228</v>
      </c>
      <c r="E4677">
        <v>100</v>
      </c>
      <c r="F4677" s="3" t="s">
        <v>4054</v>
      </c>
      <c r="G4677" s="4">
        <v>20800</v>
      </c>
      <c r="I4677" s="4">
        <v>8273553.1299999999</v>
      </c>
    </row>
    <row r="4678" spans="1:9" x14ac:dyDescent="0.3">
      <c r="A4678" t="s">
        <v>1</v>
      </c>
      <c r="B4678" s="1">
        <v>45895</v>
      </c>
      <c r="C4678" s="1">
        <v>45895</v>
      </c>
      <c r="D4678">
        <v>103229</v>
      </c>
      <c r="E4678">
        <v>100</v>
      </c>
      <c r="F4678" s="3" t="s">
        <v>3531</v>
      </c>
      <c r="G4678" s="4">
        <v>20026.25</v>
      </c>
      <c r="I4678" s="4">
        <v>8293579.3799999999</v>
      </c>
    </row>
    <row r="4679" spans="1:9" x14ac:dyDescent="0.3">
      <c r="A4679" t="s">
        <v>1</v>
      </c>
      <c r="B4679" s="1">
        <v>45895</v>
      </c>
      <c r="C4679" s="1">
        <v>45895</v>
      </c>
      <c r="D4679">
        <v>103236</v>
      </c>
      <c r="E4679">
        <v>100</v>
      </c>
      <c r="F4679" s="3" t="s">
        <v>4055</v>
      </c>
      <c r="G4679" s="4">
        <v>159124.51999999999</v>
      </c>
      <c r="I4679" s="4">
        <v>8452703.9000000004</v>
      </c>
    </row>
    <row r="4680" spans="1:9" x14ac:dyDescent="0.3">
      <c r="A4680" t="s">
        <v>1</v>
      </c>
      <c r="B4680" s="1">
        <v>45895</v>
      </c>
      <c r="C4680" s="1">
        <v>45895</v>
      </c>
      <c r="D4680">
        <v>103237</v>
      </c>
      <c r="E4680">
        <v>100</v>
      </c>
      <c r="F4680" s="3" t="s">
        <v>4056</v>
      </c>
      <c r="G4680" s="4">
        <v>7867</v>
      </c>
      <c r="I4680" s="4">
        <v>8460570.9000000004</v>
      </c>
    </row>
    <row r="4681" spans="1:9" x14ac:dyDescent="0.3">
      <c r="A4681" t="s">
        <v>1</v>
      </c>
      <c r="B4681" s="1">
        <v>45894</v>
      </c>
      <c r="C4681" s="1">
        <v>45895</v>
      </c>
      <c r="D4681">
        <v>103240</v>
      </c>
      <c r="E4681">
        <v>100</v>
      </c>
      <c r="F4681" s="3" t="s">
        <v>4057</v>
      </c>
      <c r="G4681" s="4">
        <v>12368.05</v>
      </c>
      <c r="I4681" s="4">
        <v>8472938.9499999993</v>
      </c>
    </row>
    <row r="4682" spans="1:9" x14ac:dyDescent="0.3">
      <c r="A4682" t="s">
        <v>1</v>
      </c>
      <c r="B4682" s="1">
        <v>45894</v>
      </c>
      <c r="C4682" s="1">
        <v>45895</v>
      </c>
      <c r="D4682">
        <v>103241</v>
      </c>
      <c r="E4682">
        <v>100</v>
      </c>
      <c r="F4682" s="3" t="s">
        <v>4057</v>
      </c>
      <c r="G4682" s="4">
        <v>100000</v>
      </c>
      <c r="I4682" s="4">
        <v>8572938.9499999993</v>
      </c>
    </row>
    <row r="4683" spans="1:9" x14ac:dyDescent="0.3">
      <c r="A4683" t="s">
        <v>1</v>
      </c>
      <c r="B4683" s="1">
        <v>45894</v>
      </c>
      <c r="C4683" s="1">
        <v>45895</v>
      </c>
      <c r="D4683">
        <v>103243</v>
      </c>
      <c r="E4683">
        <v>100</v>
      </c>
      <c r="F4683" s="3" t="s">
        <v>4058</v>
      </c>
      <c r="G4683" s="4">
        <v>25080.18</v>
      </c>
      <c r="I4683" s="4">
        <v>8598019.1300000008</v>
      </c>
    </row>
    <row r="4684" spans="1:9" x14ac:dyDescent="0.3">
      <c r="A4684" t="s">
        <v>1</v>
      </c>
      <c r="B4684" s="1">
        <v>45895</v>
      </c>
      <c r="C4684" s="1">
        <v>45895</v>
      </c>
      <c r="D4684">
        <v>103249</v>
      </c>
      <c r="E4684">
        <v>100</v>
      </c>
      <c r="F4684" s="3" t="s">
        <v>4059</v>
      </c>
      <c r="G4684" s="4">
        <v>4359.2</v>
      </c>
      <c r="I4684" s="4">
        <v>8602378.3300000001</v>
      </c>
    </row>
    <row r="4685" spans="1:9" x14ac:dyDescent="0.3">
      <c r="A4685" t="s">
        <v>1</v>
      </c>
      <c r="B4685" s="1">
        <v>45895</v>
      </c>
      <c r="C4685" s="1">
        <v>45895</v>
      </c>
      <c r="D4685">
        <v>103251</v>
      </c>
      <c r="E4685">
        <v>100</v>
      </c>
      <c r="F4685" s="3" t="s">
        <v>993</v>
      </c>
      <c r="G4685" s="4">
        <v>5004.2</v>
      </c>
      <c r="I4685" s="4">
        <v>8607382.5299999993</v>
      </c>
    </row>
    <row r="4686" spans="1:9" x14ac:dyDescent="0.3">
      <c r="A4686" t="s">
        <v>1</v>
      </c>
      <c r="B4686" s="1">
        <v>45895</v>
      </c>
      <c r="C4686" s="1">
        <v>45895</v>
      </c>
      <c r="D4686">
        <v>103257</v>
      </c>
      <c r="E4686">
        <v>100</v>
      </c>
      <c r="F4686" s="3" t="s">
        <v>4060</v>
      </c>
      <c r="G4686" s="4">
        <v>15063</v>
      </c>
      <c r="I4686" s="4">
        <v>8622445.5299999993</v>
      </c>
    </row>
    <row r="4687" spans="1:9" x14ac:dyDescent="0.3">
      <c r="A4687" t="s">
        <v>1</v>
      </c>
      <c r="B4687" s="1">
        <v>45895</v>
      </c>
      <c r="C4687" s="1">
        <v>45895</v>
      </c>
      <c r="D4687">
        <v>103259</v>
      </c>
      <c r="E4687">
        <v>100</v>
      </c>
      <c r="F4687" s="3" t="s">
        <v>4061</v>
      </c>
      <c r="G4687" s="4">
        <v>38103.25</v>
      </c>
      <c r="I4687" s="4">
        <v>8660548.7799999993</v>
      </c>
    </row>
    <row r="4688" spans="1:9" x14ac:dyDescent="0.3">
      <c r="A4688" t="s">
        <v>1</v>
      </c>
      <c r="B4688" s="1">
        <v>45895</v>
      </c>
      <c r="C4688" s="1">
        <v>45895</v>
      </c>
      <c r="D4688">
        <v>103261</v>
      </c>
      <c r="E4688">
        <v>100</v>
      </c>
      <c r="F4688" s="3" t="s">
        <v>4062</v>
      </c>
      <c r="G4688" s="4">
        <v>15412.6</v>
      </c>
      <c r="I4688" s="4">
        <v>8675961.3800000008</v>
      </c>
    </row>
    <row r="4689" spans="1:9" x14ac:dyDescent="0.3">
      <c r="A4689" t="s">
        <v>1</v>
      </c>
      <c r="B4689" s="1">
        <v>45895</v>
      </c>
      <c r="C4689" s="1">
        <v>45895</v>
      </c>
      <c r="D4689">
        <v>103273</v>
      </c>
      <c r="E4689">
        <v>100</v>
      </c>
      <c r="F4689" s="3" t="s">
        <v>4063</v>
      </c>
      <c r="G4689" s="4">
        <v>44789.75</v>
      </c>
      <c r="I4689" s="4">
        <v>8720751.1300000008</v>
      </c>
    </row>
    <row r="4690" spans="1:9" x14ac:dyDescent="0.3">
      <c r="A4690" t="s">
        <v>1</v>
      </c>
      <c r="B4690" s="1">
        <v>45895</v>
      </c>
      <c r="C4690" s="1">
        <v>45895</v>
      </c>
      <c r="D4690">
        <v>103274</v>
      </c>
      <c r="E4690">
        <v>100</v>
      </c>
      <c r="F4690" s="3" t="s">
        <v>4064</v>
      </c>
      <c r="G4690" s="4">
        <v>11536.75</v>
      </c>
      <c r="I4690" s="4">
        <v>8732287.8800000008</v>
      </c>
    </row>
    <row r="4691" spans="1:9" x14ac:dyDescent="0.3">
      <c r="A4691" t="s">
        <v>1</v>
      </c>
      <c r="B4691" s="1">
        <v>45895</v>
      </c>
      <c r="C4691" s="1">
        <v>45895</v>
      </c>
      <c r="D4691">
        <v>103275</v>
      </c>
      <c r="E4691">
        <v>100</v>
      </c>
      <c r="F4691" s="3" t="s">
        <v>4065</v>
      </c>
      <c r="G4691" s="4">
        <v>7500</v>
      </c>
      <c r="I4691" s="4">
        <v>8739787.8800000008</v>
      </c>
    </row>
    <row r="4692" spans="1:9" x14ac:dyDescent="0.3">
      <c r="A4692" t="s">
        <v>1</v>
      </c>
      <c r="B4692" s="1">
        <v>45895</v>
      </c>
      <c r="C4692" s="1">
        <v>45895</v>
      </c>
      <c r="D4692">
        <v>103276</v>
      </c>
      <c r="E4692">
        <v>100</v>
      </c>
      <c r="F4692" s="3" t="s">
        <v>4066</v>
      </c>
      <c r="G4692" s="4">
        <v>15003.15</v>
      </c>
      <c r="I4692" s="4">
        <v>8754791.0299999993</v>
      </c>
    </row>
    <row r="4693" spans="1:9" x14ac:dyDescent="0.3">
      <c r="A4693" t="s">
        <v>1</v>
      </c>
      <c r="B4693" s="1">
        <v>45895</v>
      </c>
      <c r="C4693" s="1">
        <v>45895</v>
      </c>
      <c r="D4693">
        <v>103278</v>
      </c>
      <c r="E4693">
        <v>100</v>
      </c>
      <c r="F4693" s="3" t="s">
        <v>4040</v>
      </c>
      <c r="G4693" s="4">
        <v>32793</v>
      </c>
      <c r="I4693" s="4">
        <v>8787584.0299999993</v>
      </c>
    </row>
    <row r="4694" spans="1:9" x14ac:dyDescent="0.3">
      <c r="A4694" t="s">
        <v>1</v>
      </c>
      <c r="B4694" s="1">
        <v>45894</v>
      </c>
      <c r="C4694" s="1">
        <v>45895</v>
      </c>
      <c r="D4694">
        <v>103281</v>
      </c>
      <c r="E4694">
        <v>100</v>
      </c>
      <c r="F4694" s="3" t="s">
        <v>4067</v>
      </c>
      <c r="G4694" s="4">
        <v>88122.04</v>
      </c>
      <c r="I4694" s="4">
        <v>8875706.0700000003</v>
      </c>
    </row>
    <row r="4695" spans="1:9" x14ac:dyDescent="0.3">
      <c r="A4695" t="s">
        <v>1</v>
      </c>
      <c r="B4695" s="1">
        <v>45895</v>
      </c>
      <c r="C4695" s="1">
        <v>45895</v>
      </c>
      <c r="D4695">
        <v>103290</v>
      </c>
      <c r="E4695">
        <v>100</v>
      </c>
      <c r="F4695" s="3" t="s">
        <v>4068</v>
      </c>
      <c r="G4695" s="4">
        <v>70366.75</v>
      </c>
      <c r="I4695" s="4">
        <v>8946072.8200000003</v>
      </c>
    </row>
    <row r="4696" spans="1:9" x14ac:dyDescent="0.3">
      <c r="A4696" t="s">
        <v>75</v>
      </c>
      <c r="B4696" s="1">
        <v>45894</v>
      </c>
      <c r="C4696" s="1">
        <v>45895</v>
      </c>
      <c r="D4696">
        <v>144026</v>
      </c>
      <c r="E4696">
        <v>32</v>
      </c>
      <c r="F4696" s="3" t="s">
        <v>4069</v>
      </c>
      <c r="G4696" s="4">
        <v>73303</v>
      </c>
      <c r="H4696" s="4">
        <v>0</v>
      </c>
      <c r="I4696" s="4">
        <v>9019375.8200000003</v>
      </c>
    </row>
    <row r="4697" spans="1:9" x14ac:dyDescent="0.3">
      <c r="A4697" t="s">
        <v>75</v>
      </c>
      <c r="B4697" s="1">
        <v>45891</v>
      </c>
      <c r="C4697" s="1">
        <v>45895</v>
      </c>
      <c r="D4697">
        <v>144027</v>
      </c>
      <c r="E4697">
        <v>23</v>
      </c>
      <c r="F4697" s="3" t="s">
        <v>4070</v>
      </c>
      <c r="G4697" s="4">
        <v>18109</v>
      </c>
      <c r="H4697" s="4">
        <v>0</v>
      </c>
      <c r="I4697" s="4">
        <v>9037484.8200000003</v>
      </c>
    </row>
    <row r="4698" spans="1:9" x14ac:dyDescent="0.3">
      <c r="A4698" t="s">
        <v>75</v>
      </c>
      <c r="B4698" s="1">
        <v>45894</v>
      </c>
      <c r="C4698" s="1">
        <v>45895</v>
      </c>
      <c r="D4698">
        <v>144028</v>
      </c>
      <c r="E4698">
        <v>23</v>
      </c>
      <c r="F4698" s="3" t="s">
        <v>4071</v>
      </c>
      <c r="G4698" s="4">
        <v>13203.5</v>
      </c>
      <c r="H4698" s="4">
        <v>0</v>
      </c>
      <c r="I4698" s="4">
        <v>9050688.3200000003</v>
      </c>
    </row>
    <row r="4699" spans="1:9" x14ac:dyDescent="0.3">
      <c r="A4699" t="s">
        <v>75</v>
      </c>
      <c r="B4699" s="1">
        <v>45888</v>
      </c>
      <c r="C4699" s="1">
        <v>45895</v>
      </c>
      <c r="D4699">
        <v>144029</v>
      </c>
      <c r="E4699">
        <v>23</v>
      </c>
      <c r="F4699" s="3" t="s">
        <v>4072</v>
      </c>
      <c r="G4699" s="4">
        <v>7387.75</v>
      </c>
      <c r="H4699" s="4">
        <v>0</v>
      </c>
      <c r="I4699" s="4">
        <v>9058076.0700000003</v>
      </c>
    </row>
    <row r="4700" spans="1:9" x14ac:dyDescent="0.3">
      <c r="A4700" t="s">
        <v>75</v>
      </c>
      <c r="B4700" s="1">
        <v>45891</v>
      </c>
      <c r="C4700" s="1">
        <v>45895</v>
      </c>
      <c r="D4700">
        <v>144030</v>
      </c>
      <c r="E4700">
        <v>11</v>
      </c>
      <c r="F4700" s="3" t="s">
        <v>4073</v>
      </c>
      <c r="G4700" s="4">
        <v>10000</v>
      </c>
      <c r="H4700" s="4">
        <v>0</v>
      </c>
      <c r="I4700" s="4">
        <v>9068076.0700000003</v>
      </c>
    </row>
    <row r="4701" spans="1:9" x14ac:dyDescent="0.3">
      <c r="A4701" t="s">
        <v>75</v>
      </c>
      <c r="B4701" s="1">
        <v>45891</v>
      </c>
      <c r="C4701" s="1">
        <v>45895</v>
      </c>
      <c r="D4701">
        <v>144031</v>
      </c>
      <c r="E4701">
        <v>11</v>
      </c>
      <c r="F4701" s="3" t="s">
        <v>4074</v>
      </c>
      <c r="G4701" s="4">
        <v>11545.75</v>
      </c>
      <c r="H4701" s="4">
        <v>0</v>
      </c>
      <c r="I4701" s="4">
        <v>9079621.8200000003</v>
      </c>
    </row>
    <row r="4702" spans="1:9" x14ac:dyDescent="0.3">
      <c r="A4702" t="s">
        <v>75</v>
      </c>
      <c r="B4702" s="1">
        <v>45894</v>
      </c>
      <c r="C4702" s="1">
        <v>45895</v>
      </c>
      <c r="D4702">
        <v>144033</v>
      </c>
      <c r="E4702">
        <v>58</v>
      </c>
      <c r="F4702" s="3" t="s">
        <v>4075</v>
      </c>
      <c r="G4702" s="4">
        <v>6345</v>
      </c>
      <c r="H4702" s="4">
        <v>0</v>
      </c>
      <c r="I4702" s="4">
        <v>9085966.8200000003</v>
      </c>
    </row>
    <row r="4703" spans="1:9" x14ac:dyDescent="0.3">
      <c r="A4703" t="s">
        <v>75</v>
      </c>
      <c r="B4703" s="1">
        <v>45894</v>
      </c>
      <c r="C4703" s="1">
        <v>45895</v>
      </c>
      <c r="D4703">
        <v>144034</v>
      </c>
      <c r="E4703">
        <v>12</v>
      </c>
      <c r="F4703" s="3" t="s">
        <v>4076</v>
      </c>
      <c r="G4703" s="4">
        <v>29448.5</v>
      </c>
      <c r="H4703" s="4">
        <v>0</v>
      </c>
      <c r="I4703" s="4">
        <v>9115415.3200000003</v>
      </c>
    </row>
    <row r="4704" spans="1:9" x14ac:dyDescent="0.3">
      <c r="A4704" t="s">
        <v>75</v>
      </c>
      <c r="B4704" s="1">
        <v>45894</v>
      </c>
      <c r="C4704" s="1">
        <v>45895</v>
      </c>
      <c r="D4704">
        <v>144035</v>
      </c>
      <c r="E4704">
        <v>70</v>
      </c>
      <c r="F4704" s="3" t="s">
        <v>4077</v>
      </c>
      <c r="G4704" s="4">
        <v>108245.25</v>
      </c>
      <c r="H4704" s="4">
        <v>0</v>
      </c>
      <c r="I4704" s="4">
        <v>9223660.5700000003</v>
      </c>
    </row>
    <row r="4705" spans="1:9" x14ac:dyDescent="0.3">
      <c r="A4705" t="s">
        <v>75</v>
      </c>
      <c r="B4705" s="1">
        <v>45892</v>
      </c>
      <c r="C4705" s="1">
        <v>45895</v>
      </c>
      <c r="D4705">
        <v>144036</v>
      </c>
      <c r="E4705">
        <v>70</v>
      </c>
      <c r="F4705" s="3" t="s">
        <v>4078</v>
      </c>
      <c r="G4705" s="4">
        <v>26162.5</v>
      </c>
      <c r="H4705" s="4">
        <v>0</v>
      </c>
      <c r="I4705" s="4">
        <v>9249823.0700000003</v>
      </c>
    </row>
    <row r="4706" spans="1:9" x14ac:dyDescent="0.3">
      <c r="A4706" t="s">
        <v>75</v>
      </c>
      <c r="B4706" s="1">
        <v>45891</v>
      </c>
      <c r="C4706" s="1">
        <v>45895</v>
      </c>
      <c r="D4706">
        <v>144037</v>
      </c>
      <c r="E4706">
        <v>70</v>
      </c>
      <c r="F4706" s="3" t="s">
        <v>4079</v>
      </c>
      <c r="G4706" s="4">
        <v>60710.75</v>
      </c>
      <c r="H4706" s="4">
        <v>0</v>
      </c>
      <c r="I4706" s="4">
        <v>9310533.8200000003</v>
      </c>
    </row>
    <row r="4707" spans="1:9" x14ac:dyDescent="0.3">
      <c r="A4707" t="s">
        <v>75</v>
      </c>
      <c r="B4707" s="1">
        <v>45891</v>
      </c>
      <c r="C4707" s="1">
        <v>45895</v>
      </c>
      <c r="D4707">
        <v>144038</v>
      </c>
      <c r="E4707">
        <v>77</v>
      </c>
      <c r="F4707" s="3" t="s">
        <v>4080</v>
      </c>
      <c r="G4707" s="4">
        <v>50000</v>
      </c>
      <c r="H4707" s="4">
        <v>0</v>
      </c>
      <c r="I4707" s="4">
        <v>9360533.8200000003</v>
      </c>
    </row>
    <row r="4708" spans="1:9" x14ac:dyDescent="0.3">
      <c r="A4708" t="s">
        <v>75</v>
      </c>
      <c r="B4708" s="1">
        <v>45895</v>
      </c>
      <c r="C4708" s="1">
        <v>45895</v>
      </c>
      <c r="D4708">
        <v>144039</v>
      </c>
      <c r="E4708">
        <v>224</v>
      </c>
      <c r="F4708" s="3" t="s">
        <v>4081</v>
      </c>
      <c r="G4708" s="4">
        <v>2577.5</v>
      </c>
      <c r="H4708" s="4">
        <v>0</v>
      </c>
      <c r="I4708" s="4">
        <v>9363111.3200000003</v>
      </c>
    </row>
    <row r="4709" spans="1:9" x14ac:dyDescent="0.3">
      <c r="A4709" t="s">
        <v>75</v>
      </c>
      <c r="B4709" s="1">
        <v>45895</v>
      </c>
      <c r="C4709" s="1">
        <v>45895</v>
      </c>
      <c r="D4709">
        <v>144040</v>
      </c>
      <c r="E4709">
        <v>14</v>
      </c>
      <c r="F4709" s="3" t="s">
        <v>4082</v>
      </c>
      <c r="G4709" s="4">
        <v>15000</v>
      </c>
      <c r="H4709" s="4">
        <v>0</v>
      </c>
      <c r="I4709" s="4">
        <v>9378111.3200000003</v>
      </c>
    </row>
    <row r="4710" spans="1:9" x14ac:dyDescent="0.3">
      <c r="A4710" t="s">
        <v>75</v>
      </c>
      <c r="B4710" s="1">
        <v>45895</v>
      </c>
      <c r="C4710" s="1">
        <v>45895</v>
      </c>
      <c r="D4710">
        <v>144041</v>
      </c>
      <c r="E4710">
        <v>72</v>
      </c>
      <c r="F4710" s="3" t="s">
        <v>4083</v>
      </c>
      <c r="G4710" s="4">
        <v>10000</v>
      </c>
      <c r="H4710" s="4">
        <v>0</v>
      </c>
      <c r="I4710" s="4">
        <v>9388111.3200000003</v>
      </c>
    </row>
    <row r="4711" spans="1:9" x14ac:dyDescent="0.3">
      <c r="A4711" t="s">
        <v>75</v>
      </c>
      <c r="B4711" s="1">
        <v>45894</v>
      </c>
      <c r="C4711" s="1">
        <v>45895</v>
      </c>
      <c r="D4711">
        <v>144045</v>
      </c>
      <c r="E4711">
        <v>11</v>
      </c>
      <c r="F4711" s="3" t="s">
        <v>4084</v>
      </c>
      <c r="G4711" s="4">
        <v>336061</v>
      </c>
      <c r="H4711" s="4">
        <v>0</v>
      </c>
      <c r="I4711" s="4">
        <v>9724172.3200000003</v>
      </c>
    </row>
    <row r="4712" spans="1:9" x14ac:dyDescent="0.3">
      <c r="A4712" t="s">
        <v>75</v>
      </c>
      <c r="B4712" s="1">
        <v>45894</v>
      </c>
      <c r="C4712" s="1">
        <v>45895</v>
      </c>
      <c r="D4712">
        <v>144048</v>
      </c>
      <c r="E4712">
        <v>412</v>
      </c>
      <c r="F4712" s="3" t="s">
        <v>4085</v>
      </c>
      <c r="G4712" s="4">
        <v>25000</v>
      </c>
      <c r="H4712" s="4">
        <v>0</v>
      </c>
      <c r="I4712" s="4">
        <v>9749172.3200000003</v>
      </c>
    </row>
    <row r="4713" spans="1:9" x14ac:dyDescent="0.3">
      <c r="A4713" t="s">
        <v>75</v>
      </c>
      <c r="B4713" s="1">
        <v>45892</v>
      </c>
      <c r="C4713" s="1">
        <v>45895</v>
      </c>
      <c r="D4713">
        <v>144049</v>
      </c>
      <c r="E4713">
        <v>67</v>
      </c>
      <c r="F4713" s="3" t="s">
        <v>4086</v>
      </c>
      <c r="G4713" s="4">
        <v>100000</v>
      </c>
      <c r="H4713" s="4">
        <v>0</v>
      </c>
      <c r="I4713" s="4">
        <v>9849172.3200000003</v>
      </c>
    </row>
    <row r="4714" spans="1:9" x14ac:dyDescent="0.3">
      <c r="A4714" t="s">
        <v>75</v>
      </c>
      <c r="B4714" s="1">
        <v>45893</v>
      </c>
      <c r="C4714" s="1">
        <v>45895</v>
      </c>
      <c r="D4714">
        <v>144050</v>
      </c>
      <c r="E4714">
        <v>11</v>
      </c>
      <c r="F4714" s="3" t="s">
        <v>4087</v>
      </c>
      <c r="G4714" s="4">
        <v>67021</v>
      </c>
      <c r="H4714" s="4">
        <v>0</v>
      </c>
      <c r="I4714" s="4">
        <v>9916193.3200000003</v>
      </c>
    </row>
    <row r="4715" spans="1:9" x14ac:dyDescent="0.3">
      <c r="A4715" t="s">
        <v>75</v>
      </c>
      <c r="B4715" s="1">
        <v>45887</v>
      </c>
      <c r="C4715" s="1">
        <v>45895</v>
      </c>
      <c r="D4715">
        <v>144051</v>
      </c>
      <c r="E4715">
        <v>23</v>
      </c>
      <c r="F4715" s="3" t="s">
        <v>4088</v>
      </c>
      <c r="G4715" s="4">
        <v>105334</v>
      </c>
      <c r="H4715" s="4">
        <v>0</v>
      </c>
      <c r="I4715" s="4">
        <v>10021527.32</v>
      </c>
    </row>
    <row r="4716" spans="1:9" x14ac:dyDescent="0.3">
      <c r="A4716" t="s">
        <v>75</v>
      </c>
      <c r="B4716" s="1">
        <v>45894</v>
      </c>
      <c r="C4716" s="1">
        <v>45895</v>
      </c>
      <c r="D4716">
        <v>144052</v>
      </c>
      <c r="E4716">
        <v>23</v>
      </c>
      <c r="F4716" s="3" t="s">
        <v>4089</v>
      </c>
      <c r="G4716" s="4">
        <v>100000</v>
      </c>
      <c r="H4716" s="4">
        <v>0</v>
      </c>
      <c r="I4716" s="4">
        <v>10121527.32</v>
      </c>
    </row>
    <row r="4717" spans="1:9" x14ac:dyDescent="0.3">
      <c r="A4717" t="s">
        <v>75</v>
      </c>
      <c r="B4717" s="1">
        <v>45894</v>
      </c>
      <c r="C4717" s="1">
        <v>45895</v>
      </c>
      <c r="D4717">
        <v>144053</v>
      </c>
      <c r="E4717">
        <v>44</v>
      </c>
      <c r="F4717" s="3" t="s">
        <v>4090</v>
      </c>
      <c r="G4717" s="4">
        <v>40000</v>
      </c>
      <c r="H4717" s="4">
        <v>0</v>
      </c>
      <c r="I4717" s="4">
        <v>10161527.32</v>
      </c>
    </row>
    <row r="4718" spans="1:9" x14ac:dyDescent="0.3">
      <c r="A4718" t="s">
        <v>75</v>
      </c>
      <c r="B4718" s="1">
        <v>45895</v>
      </c>
      <c r="C4718" s="1">
        <v>45895</v>
      </c>
      <c r="D4718">
        <v>144055</v>
      </c>
      <c r="E4718">
        <v>11</v>
      </c>
      <c r="F4718" s="3" t="s">
        <v>4091</v>
      </c>
      <c r="G4718" s="4">
        <v>10000</v>
      </c>
      <c r="H4718" s="4">
        <v>0</v>
      </c>
      <c r="I4718" s="4">
        <v>10171527.32</v>
      </c>
    </row>
    <row r="4719" spans="1:9" x14ac:dyDescent="0.3">
      <c r="A4719" t="s">
        <v>75</v>
      </c>
      <c r="B4719" s="1">
        <v>45895</v>
      </c>
      <c r="C4719" s="1">
        <v>45895</v>
      </c>
      <c r="D4719">
        <v>144057</v>
      </c>
      <c r="E4719">
        <v>67</v>
      </c>
      <c r="F4719" s="3" t="s">
        <v>4092</v>
      </c>
      <c r="G4719" s="4">
        <v>230000</v>
      </c>
      <c r="H4719" s="4">
        <v>0</v>
      </c>
      <c r="I4719" s="4">
        <v>10401527.32</v>
      </c>
    </row>
    <row r="4720" spans="1:9" x14ac:dyDescent="0.3">
      <c r="A4720" t="s">
        <v>75</v>
      </c>
      <c r="B4720" s="1">
        <v>45892</v>
      </c>
      <c r="C4720" s="1">
        <v>45895</v>
      </c>
      <c r="D4720">
        <v>144059</v>
      </c>
      <c r="E4720">
        <v>11</v>
      </c>
      <c r="F4720" s="3" t="s">
        <v>4093</v>
      </c>
      <c r="G4720" s="4">
        <v>6</v>
      </c>
      <c r="H4720" s="4">
        <v>0</v>
      </c>
      <c r="I4720" s="4">
        <v>10401533.32</v>
      </c>
    </row>
    <row r="4721" spans="1:9" x14ac:dyDescent="0.3">
      <c r="A4721" t="s">
        <v>75</v>
      </c>
      <c r="B4721" s="1">
        <v>45892</v>
      </c>
      <c r="C4721" s="1">
        <v>45895</v>
      </c>
      <c r="D4721">
        <v>144059</v>
      </c>
      <c r="E4721">
        <v>11</v>
      </c>
      <c r="F4721" s="3" t="s">
        <v>4094</v>
      </c>
      <c r="G4721" s="4">
        <v>10000</v>
      </c>
      <c r="H4721" s="4">
        <v>0</v>
      </c>
      <c r="I4721" s="4">
        <v>10411533.32</v>
      </c>
    </row>
    <row r="4722" spans="1:9" x14ac:dyDescent="0.3">
      <c r="A4722" t="s">
        <v>75</v>
      </c>
      <c r="B4722" s="1">
        <v>45894</v>
      </c>
      <c r="C4722" s="1">
        <v>45895</v>
      </c>
      <c r="D4722">
        <v>144060</v>
      </c>
      <c r="E4722">
        <v>23</v>
      </c>
      <c r="F4722" s="3" t="s">
        <v>4095</v>
      </c>
      <c r="G4722" s="4">
        <v>2731.5</v>
      </c>
      <c r="H4722" s="4">
        <v>0</v>
      </c>
      <c r="I4722" s="4">
        <v>10414264.82</v>
      </c>
    </row>
    <row r="4723" spans="1:9" x14ac:dyDescent="0.3">
      <c r="A4723" t="s">
        <v>75</v>
      </c>
      <c r="B4723" s="1">
        <v>45895</v>
      </c>
      <c r="C4723" s="1">
        <v>45895</v>
      </c>
      <c r="D4723">
        <v>144062</v>
      </c>
      <c r="E4723">
        <v>58</v>
      </c>
      <c r="F4723" s="3" t="s">
        <v>4096</v>
      </c>
      <c r="G4723" s="4">
        <v>13263.25</v>
      </c>
      <c r="H4723" s="4">
        <v>0</v>
      </c>
      <c r="I4723" s="4">
        <v>10427528.07</v>
      </c>
    </row>
    <row r="4724" spans="1:9" x14ac:dyDescent="0.3">
      <c r="A4724" t="s">
        <v>75</v>
      </c>
      <c r="B4724" s="1">
        <v>45895</v>
      </c>
      <c r="C4724" s="1">
        <v>45895</v>
      </c>
      <c r="D4724">
        <v>144063</v>
      </c>
      <c r="E4724">
        <v>14</v>
      </c>
      <c r="F4724" s="3" t="s">
        <v>4097</v>
      </c>
      <c r="G4724" s="4">
        <v>1964</v>
      </c>
      <c r="H4724" s="4">
        <v>0</v>
      </c>
      <c r="I4724" s="4">
        <v>10429492.07</v>
      </c>
    </row>
    <row r="4725" spans="1:9" x14ac:dyDescent="0.3">
      <c r="A4725" t="s">
        <v>75</v>
      </c>
      <c r="B4725" s="1">
        <v>45895</v>
      </c>
      <c r="C4725" s="1">
        <v>45895</v>
      </c>
      <c r="D4725">
        <v>144063</v>
      </c>
      <c r="E4725">
        <v>14</v>
      </c>
      <c r="F4725" s="3" t="s">
        <v>4098</v>
      </c>
      <c r="G4725" s="4">
        <v>7310</v>
      </c>
      <c r="H4725" s="4">
        <v>0</v>
      </c>
      <c r="I4725" s="4">
        <v>10436802.07</v>
      </c>
    </row>
    <row r="4726" spans="1:9" x14ac:dyDescent="0.3">
      <c r="A4726" t="s">
        <v>75</v>
      </c>
      <c r="B4726" s="1">
        <v>45894</v>
      </c>
      <c r="C4726" s="1">
        <v>45895</v>
      </c>
      <c r="D4726">
        <v>144064</v>
      </c>
      <c r="E4726">
        <v>11</v>
      </c>
      <c r="F4726" s="3" t="s">
        <v>4099</v>
      </c>
      <c r="G4726" s="4">
        <v>165412</v>
      </c>
      <c r="H4726" s="4">
        <v>0</v>
      </c>
      <c r="I4726" s="4">
        <v>10602214.07</v>
      </c>
    </row>
    <row r="4727" spans="1:9" x14ac:dyDescent="0.3">
      <c r="A4727" t="s">
        <v>75</v>
      </c>
      <c r="B4727" s="1">
        <v>45895</v>
      </c>
      <c r="C4727" s="1">
        <v>45895</v>
      </c>
      <c r="D4727">
        <v>144065</v>
      </c>
      <c r="E4727">
        <v>89</v>
      </c>
      <c r="F4727" s="3" t="s">
        <v>4100</v>
      </c>
      <c r="G4727" s="4">
        <v>76789.25</v>
      </c>
      <c r="H4727" s="4">
        <v>0</v>
      </c>
      <c r="I4727" s="4">
        <v>10679003.32</v>
      </c>
    </row>
    <row r="4728" spans="1:9" x14ac:dyDescent="0.3">
      <c r="A4728" t="s">
        <v>75</v>
      </c>
      <c r="B4728" s="1">
        <v>45895</v>
      </c>
      <c r="C4728" s="1">
        <v>45895</v>
      </c>
      <c r="D4728">
        <v>144066</v>
      </c>
      <c r="E4728">
        <v>63</v>
      </c>
      <c r="F4728" s="3" t="s">
        <v>4101</v>
      </c>
      <c r="G4728" s="4">
        <v>10412.25</v>
      </c>
      <c r="H4728" s="4">
        <v>0</v>
      </c>
      <c r="I4728" s="4">
        <v>10689415.57</v>
      </c>
    </row>
    <row r="4729" spans="1:9" x14ac:dyDescent="0.3">
      <c r="A4729" t="s">
        <v>75</v>
      </c>
      <c r="B4729" s="1">
        <v>45895</v>
      </c>
      <c r="C4729" s="1">
        <v>45895</v>
      </c>
      <c r="D4729">
        <v>144068</v>
      </c>
      <c r="E4729">
        <v>23</v>
      </c>
      <c r="F4729" s="3" t="s">
        <v>4102</v>
      </c>
      <c r="G4729" s="4">
        <v>44633.25</v>
      </c>
      <c r="H4729" s="4">
        <v>0</v>
      </c>
      <c r="I4729" s="4">
        <v>10734048.82</v>
      </c>
    </row>
    <row r="4730" spans="1:9" x14ac:dyDescent="0.3">
      <c r="A4730" t="s">
        <v>75</v>
      </c>
      <c r="B4730" s="1">
        <v>45895</v>
      </c>
      <c r="C4730" s="1">
        <v>45895</v>
      </c>
      <c r="D4730">
        <v>144069</v>
      </c>
      <c r="E4730">
        <v>23</v>
      </c>
      <c r="F4730" s="3" t="s">
        <v>4103</v>
      </c>
      <c r="G4730" s="4">
        <v>6000</v>
      </c>
      <c r="H4730" s="4">
        <v>0</v>
      </c>
      <c r="I4730" s="4">
        <v>10740048.82</v>
      </c>
    </row>
    <row r="4731" spans="1:9" x14ac:dyDescent="0.3">
      <c r="A4731" t="s">
        <v>75</v>
      </c>
      <c r="B4731" s="1">
        <v>45895</v>
      </c>
      <c r="C4731" s="1">
        <v>45895</v>
      </c>
      <c r="D4731">
        <v>144070</v>
      </c>
      <c r="E4731">
        <v>23</v>
      </c>
      <c r="F4731" s="3" t="s">
        <v>4104</v>
      </c>
      <c r="G4731" s="4">
        <v>4000</v>
      </c>
      <c r="H4731" s="4">
        <v>0</v>
      </c>
      <c r="I4731" s="4">
        <v>10744048.82</v>
      </c>
    </row>
    <row r="4732" spans="1:9" x14ac:dyDescent="0.3">
      <c r="A4732" t="s">
        <v>75</v>
      </c>
      <c r="B4732" s="1">
        <v>45895</v>
      </c>
      <c r="C4732" s="1">
        <v>45895</v>
      </c>
      <c r="D4732">
        <v>144073</v>
      </c>
      <c r="E4732">
        <v>19</v>
      </c>
      <c r="F4732" s="3" t="s">
        <v>4105</v>
      </c>
      <c r="G4732" s="4">
        <v>3150</v>
      </c>
      <c r="H4732" s="4">
        <v>0</v>
      </c>
      <c r="I4732" s="4">
        <v>10747198.82</v>
      </c>
    </row>
    <row r="4733" spans="1:9" x14ac:dyDescent="0.3">
      <c r="A4733" t="s">
        <v>75</v>
      </c>
      <c r="B4733" s="1">
        <v>45895</v>
      </c>
      <c r="C4733" s="1">
        <v>45895</v>
      </c>
      <c r="D4733">
        <v>144077</v>
      </c>
      <c r="E4733">
        <v>23</v>
      </c>
      <c r="F4733" s="3" t="s">
        <v>4106</v>
      </c>
      <c r="G4733" s="4">
        <v>2000</v>
      </c>
      <c r="H4733" s="4">
        <v>0</v>
      </c>
      <c r="I4733" s="4">
        <v>10749198.82</v>
      </c>
    </row>
    <row r="4734" spans="1:9" x14ac:dyDescent="0.3">
      <c r="A4734" t="s">
        <v>75</v>
      </c>
      <c r="B4734" s="1">
        <v>45895</v>
      </c>
      <c r="C4734" s="1">
        <v>45895</v>
      </c>
      <c r="D4734">
        <v>144078</v>
      </c>
      <c r="E4734">
        <v>79</v>
      </c>
      <c r="F4734" s="3" t="s">
        <v>4107</v>
      </c>
      <c r="G4734" s="4">
        <v>35711</v>
      </c>
      <c r="H4734" s="4">
        <v>0</v>
      </c>
      <c r="I4734" s="4">
        <v>10784909.82</v>
      </c>
    </row>
    <row r="4735" spans="1:9" x14ac:dyDescent="0.3">
      <c r="A4735" t="s">
        <v>75</v>
      </c>
      <c r="B4735" s="1">
        <v>45895</v>
      </c>
      <c r="C4735" s="1">
        <v>45895</v>
      </c>
      <c r="D4735">
        <v>144079</v>
      </c>
      <c r="E4735">
        <v>11</v>
      </c>
      <c r="F4735" s="3" t="s">
        <v>4108</v>
      </c>
      <c r="G4735" s="4">
        <v>33447.5</v>
      </c>
      <c r="H4735" s="4">
        <v>0</v>
      </c>
      <c r="I4735" s="4">
        <v>10818357.32</v>
      </c>
    </row>
    <row r="4736" spans="1:9" x14ac:dyDescent="0.3">
      <c r="A4736" t="s">
        <v>75</v>
      </c>
      <c r="B4736" s="1">
        <v>45895</v>
      </c>
      <c r="C4736" s="1">
        <v>45895</v>
      </c>
      <c r="D4736">
        <v>144080</v>
      </c>
      <c r="E4736">
        <v>14</v>
      </c>
      <c r="F4736" s="3" t="s">
        <v>4109</v>
      </c>
      <c r="G4736" s="4">
        <v>1500</v>
      </c>
      <c r="H4736" s="4">
        <v>0</v>
      </c>
      <c r="I4736" s="4">
        <v>10819857.32</v>
      </c>
    </row>
    <row r="4737" spans="1:9" x14ac:dyDescent="0.3">
      <c r="A4737" t="s">
        <v>75</v>
      </c>
      <c r="B4737" s="1">
        <v>45895</v>
      </c>
      <c r="C4737" s="1">
        <v>45895</v>
      </c>
      <c r="D4737">
        <v>144081</v>
      </c>
      <c r="E4737">
        <v>17</v>
      </c>
      <c r="F4737" s="3" t="s">
        <v>4110</v>
      </c>
      <c r="G4737" s="4">
        <v>25000</v>
      </c>
      <c r="H4737" s="4">
        <v>0</v>
      </c>
      <c r="I4737" s="4">
        <v>10844857.32</v>
      </c>
    </row>
    <row r="4738" spans="1:9" x14ac:dyDescent="0.3">
      <c r="A4738" t="s">
        <v>75</v>
      </c>
      <c r="B4738" s="1">
        <v>45895</v>
      </c>
      <c r="C4738" s="1">
        <v>45895</v>
      </c>
      <c r="D4738">
        <v>144082</v>
      </c>
      <c r="E4738">
        <v>58</v>
      </c>
      <c r="F4738" s="3" t="s">
        <v>4111</v>
      </c>
      <c r="G4738" s="4">
        <v>9500</v>
      </c>
      <c r="H4738" s="4">
        <v>0</v>
      </c>
      <c r="I4738" s="4">
        <v>10854357.32</v>
      </c>
    </row>
    <row r="4739" spans="1:9" x14ac:dyDescent="0.3">
      <c r="A4739" t="s">
        <v>75</v>
      </c>
      <c r="B4739" s="1">
        <v>45834</v>
      </c>
      <c r="C4739" s="1">
        <v>45895</v>
      </c>
      <c r="D4739">
        <v>144083</v>
      </c>
      <c r="E4739">
        <v>11</v>
      </c>
      <c r="F4739" s="3" t="s">
        <v>4112</v>
      </c>
      <c r="G4739" s="4">
        <v>209847</v>
      </c>
      <c r="H4739" s="4">
        <v>0</v>
      </c>
      <c r="I4739" s="4">
        <v>11064204.32</v>
      </c>
    </row>
    <row r="4740" spans="1:9" x14ac:dyDescent="0.3">
      <c r="A4740" t="s">
        <v>75</v>
      </c>
      <c r="B4740" s="1">
        <v>45895</v>
      </c>
      <c r="C4740" s="1">
        <v>45895</v>
      </c>
      <c r="D4740">
        <v>144084</v>
      </c>
      <c r="E4740">
        <v>16</v>
      </c>
      <c r="F4740" s="3" t="s">
        <v>4113</v>
      </c>
      <c r="G4740" s="4">
        <v>74075</v>
      </c>
      <c r="H4740" s="4">
        <v>0</v>
      </c>
      <c r="I4740" s="4">
        <v>11138279.32</v>
      </c>
    </row>
    <row r="4741" spans="1:9" x14ac:dyDescent="0.3">
      <c r="A4741" t="s">
        <v>75</v>
      </c>
      <c r="B4741" s="1">
        <v>45895</v>
      </c>
      <c r="C4741" s="1">
        <v>45895</v>
      </c>
      <c r="D4741">
        <v>144085</v>
      </c>
      <c r="E4741">
        <v>412</v>
      </c>
      <c r="F4741" s="3" t="s">
        <v>4114</v>
      </c>
      <c r="G4741" s="4">
        <v>105670</v>
      </c>
      <c r="H4741" s="4">
        <v>0</v>
      </c>
      <c r="I4741" s="4">
        <v>11243949.32</v>
      </c>
    </row>
    <row r="4742" spans="1:9" x14ac:dyDescent="0.3">
      <c r="A4742" t="s">
        <v>75</v>
      </c>
      <c r="B4742" s="1">
        <v>45894</v>
      </c>
      <c r="C4742" s="1">
        <v>45895</v>
      </c>
      <c r="D4742">
        <v>144088</v>
      </c>
      <c r="E4742">
        <v>34</v>
      </c>
      <c r="F4742" s="3" t="s">
        <v>4115</v>
      </c>
      <c r="G4742" s="4">
        <v>26677.75</v>
      </c>
      <c r="H4742" s="4">
        <v>0</v>
      </c>
      <c r="I4742" s="4">
        <v>11270627.07</v>
      </c>
    </row>
    <row r="4743" spans="1:9" x14ac:dyDescent="0.3">
      <c r="A4743" t="s">
        <v>75</v>
      </c>
      <c r="B4743" s="1">
        <v>45894</v>
      </c>
      <c r="C4743" s="1">
        <v>45895</v>
      </c>
      <c r="D4743">
        <v>144089</v>
      </c>
      <c r="E4743">
        <v>34</v>
      </c>
      <c r="F4743" s="3" t="s">
        <v>4115</v>
      </c>
      <c r="G4743" s="4">
        <v>1817</v>
      </c>
      <c r="H4743" s="4">
        <v>0</v>
      </c>
      <c r="I4743" s="4">
        <v>11272444.07</v>
      </c>
    </row>
    <row r="4744" spans="1:9" x14ac:dyDescent="0.3">
      <c r="A4744" t="s">
        <v>75</v>
      </c>
      <c r="B4744" s="1">
        <v>45888</v>
      </c>
      <c r="C4744" s="1">
        <v>45895</v>
      </c>
      <c r="D4744">
        <v>144092</v>
      </c>
      <c r="E4744">
        <v>86</v>
      </c>
      <c r="F4744" s="3" t="s">
        <v>4116</v>
      </c>
      <c r="G4744" s="4">
        <v>10137</v>
      </c>
      <c r="H4744" s="4">
        <v>0</v>
      </c>
      <c r="I4744" s="4">
        <v>11282581.07</v>
      </c>
    </row>
    <row r="4745" spans="1:9" x14ac:dyDescent="0.3">
      <c r="A4745" t="s">
        <v>75</v>
      </c>
      <c r="B4745" s="1">
        <v>45893</v>
      </c>
      <c r="C4745" s="1">
        <v>45895</v>
      </c>
      <c r="D4745">
        <v>144093</v>
      </c>
      <c r="E4745">
        <v>86</v>
      </c>
      <c r="F4745" s="3" t="s">
        <v>4117</v>
      </c>
      <c r="G4745" s="4">
        <v>3717</v>
      </c>
      <c r="H4745" s="4">
        <v>0</v>
      </c>
      <c r="I4745" s="4">
        <v>11286298.07</v>
      </c>
    </row>
    <row r="4746" spans="1:9" x14ac:dyDescent="0.3">
      <c r="A4746" t="s">
        <v>75</v>
      </c>
      <c r="B4746" s="1">
        <v>45889</v>
      </c>
      <c r="C4746" s="1">
        <v>45895</v>
      </c>
      <c r="D4746">
        <v>144094</v>
      </c>
      <c r="E4746">
        <v>86</v>
      </c>
      <c r="F4746" s="3" t="s">
        <v>4118</v>
      </c>
      <c r="G4746" s="4">
        <v>6850</v>
      </c>
      <c r="H4746" s="4">
        <v>0</v>
      </c>
      <c r="I4746" s="4">
        <v>11293148.07</v>
      </c>
    </row>
    <row r="4747" spans="1:9" x14ac:dyDescent="0.3">
      <c r="A4747" t="s">
        <v>75</v>
      </c>
      <c r="B4747" s="1">
        <v>45895</v>
      </c>
      <c r="C4747" s="1">
        <v>45895</v>
      </c>
      <c r="D4747">
        <v>144095</v>
      </c>
      <c r="E4747">
        <v>14</v>
      </c>
      <c r="F4747" s="3" t="s">
        <v>4119</v>
      </c>
      <c r="G4747" s="4">
        <v>200000</v>
      </c>
      <c r="H4747" s="4">
        <v>0</v>
      </c>
      <c r="I4747" s="4">
        <v>11493148.07</v>
      </c>
    </row>
    <row r="4748" spans="1:9" x14ac:dyDescent="0.3">
      <c r="A4748" t="s">
        <v>75</v>
      </c>
      <c r="B4748" s="1">
        <v>45894</v>
      </c>
      <c r="C4748" s="1">
        <v>45895</v>
      </c>
      <c r="D4748">
        <v>144096</v>
      </c>
      <c r="E4748">
        <v>86</v>
      </c>
      <c r="F4748" s="3" t="s">
        <v>4120</v>
      </c>
      <c r="G4748" s="4">
        <v>75000</v>
      </c>
      <c r="H4748" s="4">
        <v>0</v>
      </c>
      <c r="I4748" s="4">
        <v>11568148.07</v>
      </c>
    </row>
    <row r="4749" spans="1:9" x14ac:dyDescent="0.3">
      <c r="A4749" t="s">
        <v>75</v>
      </c>
      <c r="B4749" s="1">
        <v>45895</v>
      </c>
      <c r="C4749" s="1">
        <v>45895</v>
      </c>
      <c r="D4749">
        <v>144097</v>
      </c>
      <c r="E4749">
        <v>62</v>
      </c>
      <c r="F4749" s="3" t="s">
        <v>4121</v>
      </c>
      <c r="G4749" s="4">
        <v>50000</v>
      </c>
      <c r="H4749" s="4">
        <v>0</v>
      </c>
      <c r="I4749" s="4">
        <v>11618148.07</v>
      </c>
    </row>
    <row r="4750" spans="1:9" x14ac:dyDescent="0.3">
      <c r="A4750" t="s">
        <v>75</v>
      </c>
      <c r="B4750" s="1">
        <v>45895</v>
      </c>
      <c r="C4750" s="1">
        <v>45895</v>
      </c>
      <c r="D4750">
        <v>144101</v>
      </c>
      <c r="E4750">
        <v>11</v>
      </c>
      <c r="F4750" s="3" t="s">
        <v>4122</v>
      </c>
      <c r="G4750" s="4">
        <v>5373.25</v>
      </c>
      <c r="H4750" s="4">
        <v>0</v>
      </c>
      <c r="I4750" s="4">
        <v>11623521.32</v>
      </c>
    </row>
    <row r="4751" spans="1:9" x14ac:dyDescent="0.3">
      <c r="A4751" t="s">
        <v>71</v>
      </c>
      <c r="B4751" s="1">
        <v>45895</v>
      </c>
      <c r="C4751" s="1">
        <v>45895</v>
      </c>
      <c r="D4751">
        <v>14854</v>
      </c>
      <c r="E4751">
        <v>78</v>
      </c>
      <c r="F4751" s="3" t="s">
        <v>4123</v>
      </c>
      <c r="G4751" s="4">
        <v>0</v>
      </c>
      <c r="H4751" s="4">
        <v>524.92999999999995</v>
      </c>
      <c r="I4751" s="4">
        <v>11622996.390000001</v>
      </c>
    </row>
    <row r="4752" spans="1:9" x14ac:dyDescent="0.3">
      <c r="A4752" t="s">
        <v>71</v>
      </c>
      <c r="B4752" s="1">
        <v>45895</v>
      </c>
      <c r="C4752" s="1">
        <v>45895</v>
      </c>
      <c r="D4752">
        <v>14854</v>
      </c>
      <c r="E4752">
        <v>42</v>
      </c>
      <c r="F4752" s="3" t="s">
        <v>4124</v>
      </c>
      <c r="G4752" s="4">
        <v>0</v>
      </c>
      <c r="H4752" s="4">
        <v>598</v>
      </c>
      <c r="I4752" s="4">
        <v>11622398.390000001</v>
      </c>
    </row>
    <row r="4753" spans="1:9" x14ac:dyDescent="0.3">
      <c r="A4753" t="s">
        <v>71</v>
      </c>
      <c r="B4753" s="1">
        <v>45889</v>
      </c>
      <c r="C4753" s="1">
        <v>45895</v>
      </c>
      <c r="D4753">
        <v>14880</v>
      </c>
      <c r="E4753">
        <v>100</v>
      </c>
      <c r="F4753" s="3">
        <v>5610840575548</v>
      </c>
      <c r="G4753" s="4">
        <v>0</v>
      </c>
      <c r="H4753" s="4">
        <v>617.24</v>
      </c>
      <c r="I4753" s="4">
        <v>11621781.15</v>
      </c>
    </row>
    <row r="4754" spans="1:9" x14ac:dyDescent="0.3">
      <c r="A4754" t="s">
        <v>71</v>
      </c>
      <c r="B4754" s="1">
        <v>45889</v>
      </c>
      <c r="C4754" s="1">
        <v>45895</v>
      </c>
      <c r="D4754">
        <v>14880</v>
      </c>
      <c r="E4754">
        <v>100</v>
      </c>
      <c r="F4754" s="3">
        <v>5610940548302</v>
      </c>
      <c r="G4754" s="4">
        <v>0</v>
      </c>
      <c r="H4754" s="4">
        <v>773.8</v>
      </c>
      <c r="I4754" s="4">
        <v>11621007.35</v>
      </c>
    </row>
    <row r="4755" spans="1:9" x14ac:dyDescent="0.3">
      <c r="A4755" t="s">
        <v>71</v>
      </c>
      <c r="B4755" s="1">
        <v>45873</v>
      </c>
      <c r="C4755" s="1">
        <v>45895</v>
      </c>
      <c r="D4755">
        <v>14881</v>
      </c>
      <c r="E4755">
        <v>100</v>
      </c>
      <c r="F4755" s="3" t="s">
        <v>4125</v>
      </c>
      <c r="G4755" s="4">
        <v>0</v>
      </c>
      <c r="H4755" s="4">
        <v>72700</v>
      </c>
      <c r="I4755" s="4">
        <v>11548307.35</v>
      </c>
    </row>
    <row r="4756" spans="1:9" x14ac:dyDescent="0.3">
      <c r="A4756" t="s">
        <v>71</v>
      </c>
      <c r="B4756" s="1">
        <v>45895</v>
      </c>
      <c r="C4756" s="1">
        <v>45895</v>
      </c>
      <c r="D4756">
        <v>14884</v>
      </c>
      <c r="E4756">
        <v>100</v>
      </c>
      <c r="F4756" s="3" t="s">
        <v>74</v>
      </c>
      <c r="G4756" s="4">
        <v>0</v>
      </c>
      <c r="H4756" s="4">
        <v>26631425</v>
      </c>
      <c r="I4756" s="4">
        <v>-15083117.65</v>
      </c>
    </row>
    <row r="4757" spans="1:9" x14ac:dyDescent="0.3">
      <c r="A4757" t="s">
        <v>71</v>
      </c>
      <c r="B4757" s="1">
        <v>45894</v>
      </c>
      <c r="C4757" s="1">
        <v>45895</v>
      </c>
      <c r="D4757">
        <v>14885</v>
      </c>
      <c r="E4757">
        <v>100</v>
      </c>
      <c r="F4757" s="3" t="s">
        <v>4126</v>
      </c>
      <c r="G4757" s="4">
        <v>0</v>
      </c>
      <c r="H4757" s="4">
        <v>2500000</v>
      </c>
      <c r="I4757" s="4">
        <v>-17583117.649999999</v>
      </c>
    </row>
    <row r="4758" spans="1:9" x14ac:dyDescent="0.3">
      <c r="A4758" t="s">
        <v>2579</v>
      </c>
      <c r="B4758" s="1">
        <v>45891</v>
      </c>
      <c r="C4758" s="1">
        <v>45895</v>
      </c>
      <c r="D4758">
        <v>1872</v>
      </c>
      <c r="E4758">
        <v>67</v>
      </c>
      <c r="F4758" s="3" t="s">
        <v>3555</v>
      </c>
      <c r="G4758" s="4">
        <v>0</v>
      </c>
      <c r="H4758" s="4">
        <v>171890</v>
      </c>
      <c r="I4758" s="4">
        <v>-17755007.649999999</v>
      </c>
    </row>
    <row r="4759" spans="1:9" x14ac:dyDescent="0.3">
      <c r="A4759" t="s">
        <v>2579</v>
      </c>
      <c r="B4759" s="1">
        <v>45885</v>
      </c>
      <c r="C4759" s="1">
        <v>45895</v>
      </c>
      <c r="D4759">
        <v>1874</v>
      </c>
      <c r="E4759">
        <v>23</v>
      </c>
      <c r="F4759" s="3" t="s">
        <v>2717</v>
      </c>
      <c r="G4759" s="4">
        <v>0</v>
      </c>
      <c r="H4759" s="4">
        <v>45985.5</v>
      </c>
      <c r="I4759" s="4">
        <v>-17800993.149999999</v>
      </c>
    </row>
    <row r="4760" spans="1:9" x14ac:dyDescent="0.3">
      <c r="A4760" t="s">
        <v>124</v>
      </c>
      <c r="B4760" s="1">
        <v>45895</v>
      </c>
      <c r="C4760" s="1">
        <v>45895</v>
      </c>
      <c r="D4760">
        <v>22289</v>
      </c>
      <c r="E4760">
        <v>11</v>
      </c>
      <c r="F4760" s="3" t="s">
        <v>125</v>
      </c>
      <c r="G4760" s="4">
        <v>0</v>
      </c>
      <c r="H4760" s="4">
        <v>50289056.310000002</v>
      </c>
      <c r="I4760" s="4">
        <v>-68090049.459999993</v>
      </c>
    </row>
    <row r="4761" spans="1:9" x14ac:dyDescent="0.3">
      <c r="A4761" t="s">
        <v>124</v>
      </c>
      <c r="B4761" s="1">
        <v>45895</v>
      </c>
      <c r="C4761" s="1">
        <v>45895</v>
      </c>
      <c r="D4761">
        <v>22290</v>
      </c>
      <c r="E4761">
        <v>11</v>
      </c>
      <c r="F4761" s="3" t="s">
        <v>126</v>
      </c>
      <c r="G4761" s="4">
        <v>0</v>
      </c>
      <c r="H4761" s="4">
        <v>2200000</v>
      </c>
      <c r="I4761" s="4">
        <v>-70290049.459999993</v>
      </c>
    </row>
    <row r="4762" spans="1:9" x14ac:dyDescent="0.3">
      <c r="A4762" t="s">
        <v>124</v>
      </c>
      <c r="B4762" s="1">
        <v>45895</v>
      </c>
      <c r="C4762" s="1">
        <v>45895</v>
      </c>
      <c r="D4762">
        <v>22292</v>
      </c>
      <c r="E4762">
        <v>11</v>
      </c>
      <c r="F4762" s="3" t="s">
        <v>127</v>
      </c>
      <c r="G4762" s="4">
        <v>34600000</v>
      </c>
      <c r="H4762" s="4">
        <v>0</v>
      </c>
      <c r="I4762" s="4">
        <v>-35690049.460000001</v>
      </c>
    </row>
    <row r="4763" spans="1:9" x14ac:dyDescent="0.3">
      <c r="A4763" t="s">
        <v>124</v>
      </c>
      <c r="B4763" s="1">
        <v>45895</v>
      </c>
      <c r="C4763" s="1">
        <v>45895</v>
      </c>
      <c r="D4763">
        <v>22293</v>
      </c>
      <c r="E4763">
        <v>11</v>
      </c>
      <c r="F4763" s="3" t="s">
        <v>129</v>
      </c>
      <c r="G4763" s="4">
        <v>0</v>
      </c>
      <c r="H4763" s="4">
        <v>7550000</v>
      </c>
      <c r="I4763" s="4">
        <v>-43240049.460000001</v>
      </c>
    </row>
    <row r="4764" spans="1:9" x14ac:dyDescent="0.3">
      <c r="A4764" t="s">
        <v>124</v>
      </c>
      <c r="B4764" s="1">
        <v>45895</v>
      </c>
      <c r="C4764" s="1">
        <v>45895</v>
      </c>
      <c r="D4764">
        <v>22298</v>
      </c>
      <c r="E4764">
        <v>11</v>
      </c>
      <c r="F4764" s="3" t="s">
        <v>128</v>
      </c>
      <c r="G4764" s="4">
        <v>3000000</v>
      </c>
      <c r="H4764" s="4">
        <v>0</v>
      </c>
      <c r="I4764" s="4">
        <v>-40240049.460000001</v>
      </c>
    </row>
    <row r="4765" spans="1:9" x14ac:dyDescent="0.3">
      <c r="A4765" t="s">
        <v>130</v>
      </c>
      <c r="B4765" s="1">
        <v>45895</v>
      </c>
      <c r="C4765" s="1">
        <v>45895</v>
      </c>
      <c r="D4765">
        <v>3848952</v>
      </c>
      <c r="E4765">
        <v>39</v>
      </c>
      <c r="F4765" s="3" t="s">
        <v>855</v>
      </c>
      <c r="G4765" s="4">
        <v>0</v>
      </c>
      <c r="H4765" s="4">
        <v>37000000</v>
      </c>
      <c r="I4765" s="4">
        <v>-77240049.459999993</v>
      </c>
    </row>
    <row r="4766" spans="1:9" x14ac:dyDescent="0.3">
      <c r="A4766" t="s">
        <v>130</v>
      </c>
      <c r="B4766" s="1">
        <v>45895</v>
      </c>
      <c r="C4766" s="1">
        <v>45895</v>
      </c>
      <c r="D4766">
        <v>3849076</v>
      </c>
      <c r="E4766">
        <v>41</v>
      </c>
      <c r="F4766" s="3" t="s">
        <v>4127</v>
      </c>
      <c r="G4766" s="4">
        <v>0</v>
      </c>
      <c r="H4766" s="4">
        <v>14756.5</v>
      </c>
      <c r="I4766" s="4">
        <v>-77254805.959999993</v>
      </c>
    </row>
    <row r="4767" spans="1:9" x14ac:dyDescent="0.3">
      <c r="A4767" t="s">
        <v>130</v>
      </c>
      <c r="B4767" s="1">
        <v>45895</v>
      </c>
      <c r="C4767" s="1">
        <v>45895</v>
      </c>
      <c r="D4767">
        <v>3849611</v>
      </c>
      <c r="E4767">
        <v>11</v>
      </c>
      <c r="F4767" s="3" t="s">
        <v>4128</v>
      </c>
      <c r="G4767" s="4">
        <v>0</v>
      </c>
      <c r="H4767" s="4">
        <v>336020</v>
      </c>
      <c r="I4767" s="4">
        <v>-77590825.959999993</v>
      </c>
    </row>
    <row r="4768" spans="1:9" x14ac:dyDescent="0.3">
      <c r="A4768" t="s">
        <v>130</v>
      </c>
      <c r="B4768" s="1">
        <v>45895</v>
      </c>
      <c r="C4768" s="1">
        <v>45895</v>
      </c>
      <c r="D4768">
        <v>3849723</v>
      </c>
      <c r="E4768">
        <v>382</v>
      </c>
      <c r="F4768" s="3" t="s">
        <v>4129</v>
      </c>
      <c r="G4768" s="4">
        <v>0</v>
      </c>
      <c r="H4768" s="4">
        <v>2586</v>
      </c>
      <c r="I4768" s="4">
        <v>-77593411.959999993</v>
      </c>
    </row>
    <row r="4769" spans="1:9" x14ac:dyDescent="0.3">
      <c r="A4769" t="s">
        <v>130</v>
      </c>
      <c r="B4769" s="1">
        <v>45895</v>
      </c>
      <c r="C4769" s="1">
        <v>45895</v>
      </c>
      <c r="D4769">
        <v>3849779</v>
      </c>
      <c r="E4769">
        <v>11</v>
      </c>
      <c r="F4769" s="3" t="s">
        <v>4130</v>
      </c>
      <c r="G4769" s="4">
        <v>0</v>
      </c>
      <c r="H4769" s="4">
        <v>47834.75</v>
      </c>
      <c r="I4769" s="4">
        <v>-77641246.709999993</v>
      </c>
    </row>
    <row r="4770" spans="1:9" x14ac:dyDescent="0.3">
      <c r="A4770" t="s">
        <v>133</v>
      </c>
      <c r="B4770" s="1">
        <v>45895</v>
      </c>
      <c r="C4770" s="1">
        <v>45895</v>
      </c>
      <c r="D4770">
        <v>924651</v>
      </c>
      <c r="E4770">
        <v>12</v>
      </c>
      <c r="F4770" s="3" t="s">
        <v>4131</v>
      </c>
      <c r="G4770" s="4">
        <v>100000</v>
      </c>
      <c r="H4770" s="4">
        <v>0</v>
      </c>
      <c r="I4770" s="4">
        <v>-77541246.709999993</v>
      </c>
    </row>
    <row r="4771" spans="1:9" x14ac:dyDescent="0.3">
      <c r="A4771" t="s">
        <v>133</v>
      </c>
      <c r="B4771" s="1">
        <v>45895</v>
      </c>
      <c r="C4771" s="1">
        <v>45895</v>
      </c>
      <c r="D4771">
        <v>924652</v>
      </c>
      <c r="E4771">
        <v>12</v>
      </c>
      <c r="F4771" s="3" t="s">
        <v>4132</v>
      </c>
      <c r="G4771" s="4">
        <v>53128.5</v>
      </c>
      <c r="H4771" s="4">
        <v>0</v>
      </c>
      <c r="I4771" s="4">
        <v>-77488118.209999993</v>
      </c>
    </row>
    <row r="4772" spans="1:9" x14ac:dyDescent="0.3">
      <c r="A4772" t="s">
        <v>133</v>
      </c>
      <c r="B4772" s="1">
        <v>45895</v>
      </c>
      <c r="C4772" s="1">
        <v>45895</v>
      </c>
      <c r="D4772">
        <v>924654</v>
      </c>
      <c r="E4772">
        <v>69</v>
      </c>
      <c r="F4772" s="3" t="s">
        <v>4133</v>
      </c>
      <c r="G4772" s="4">
        <v>2081.25</v>
      </c>
      <c r="H4772" s="4">
        <v>0</v>
      </c>
      <c r="I4772" s="4">
        <v>-77486036.959999993</v>
      </c>
    </row>
    <row r="4773" spans="1:9" x14ac:dyDescent="0.3">
      <c r="A4773" t="s">
        <v>133</v>
      </c>
      <c r="B4773" s="1">
        <v>45895</v>
      </c>
      <c r="C4773" s="1">
        <v>45895</v>
      </c>
      <c r="D4773">
        <v>924655</v>
      </c>
      <c r="E4773">
        <v>97</v>
      </c>
      <c r="F4773" s="3" t="s">
        <v>4134</v>
      </c>
      <c r="G4773" s="4">
        <v>300026.5</v>
      </c>
      <c r="H4773" s="4">
        <v>0</v>
      </c>
      <c r="I4773" s="4">
        <v>-77186010.459999993</v>
      </c>
    </row>
    <row r="4774" spans="1:9" x14ac:dyDescent="0.3">
      <c r="A4774" t="s">
        <v>133</v>
      </c>
      <c r="B4774" s="1">
        <v>45895</v>
      </c>
      <c r="C4774" s="1">
        <v>45895</v>
      </c>
      <c r="D4774">
        <v>924659</v>
      </c>
      <c r="E4774">
        <v>23</v>
      </c>
      <c r="F4774" s="3" t="s">
        <v>4135</v>
      </c>
      <c r="G4774" s="4">
        <v>3404.25</v>
      </c>
      <c r="H4774" s="4">
        <v>0</v>
      </c>
      <c r="I4774" s="4">
        <v>-77182606.209999993</v>
      </c>
    </row>
    <row r="4775" spans="1:9" x14ac:dyDescent="0.3">
      <c r="A4775" t="s">
        <v>133</v>
      </c>
      <c r="B4775" s="1">
        <v>45895</v>
      </c>
      <c r="C4775" s="1">
        <v>45895</v>
      </c>
      <c r="D4775">
        <v>924696</v>
      </c>
      <c r="E4775">
        <v>12</v>
      </c>
      <c r="F4775" s="3" t="s">
        <v>4136</v>
      </c>
      <c r="G4775" s="4">
        <v>295000</v>
      </c>
      <c r="H4775" s="4">
        <v>0</v>
      </c>
      <c r="I4775" s="4">
        <v>-76887606.209999993</v>
      </c>
    </row>
    <row r="4776" spans="1:9" x14ac:dyDescent="0.3">
      <c r="A4776" t="s">
        <v>133</v>
      </c>
      <c r="B4776" s="1">
        <v>45895</v>
      </c>
      <c r="C4776" s="1">
        <v>45895</v>
      </c>
      <c r="D4776">
        <v>924701</v>
      </c>
      <c r="E4776">
        <v>84</v>
      </c>
      <c r="F4776" s="3" t="s">
        <v>4137</v>
      </c>
      <c r="G4776" s="4">
        <v>921598</v>
      </c>
      <c r="H4776" s="4">
        <v>0</v>
      </c>
      <c r="I4776" s="4">
        <v>-75966008.209999993</v>
      </c>
    </row>
    <row r="4777" spans="1:9" x14ac:dyDescent="0.3">
      <c r="A4777" t="s">
        <v>133</v>
      </c>
      <c r="B4777" s="1">
        <v>45895</v>
      </c>
      <c r="C4777" s="1">
        <v>45895</v>
      </c>
      <c r="D4777">
        <v>924703</v>
      </c>
      <c r="E4777">
        <v>27</v>
      </c>
      <c r="F4777" s="3" t="s">
        <v>4138</v>
      </c>
      <c r="G4777" s="4">
        <v>2026937.75</v>
      </c>
      <c r="H4777" s="4">
        <v>0</v>
      </c>
      <c r="I4777" s="4">
        <v>-73939070.459999993</v>
      </c>
    </row>
    <row r="4778" spans="1:9" x14ac:dyDescent="0.3">
      <c r="A4778" t="s">
        <v>133</v>
      </c>
      <c r="B4778" s="1">
        <v>45895</v>
      </c>
      <c r="C4778" s="1">
        <v>45895</v>
      </c>
      <c r="D4778">
        <v>924706</v>
      </c>
      <c r="E4778">
        <v>64</v>
      </c>
      <c r="F4778" s="3" t="s">
        <v>4139</v>
      </c>
      <c r="G4778" s="4">
        <v>50</v>
      </c>
      <c r="H4778" s="4">
        <v>0</v>
      </c>
      <c r="I4778" s="4">
        <v>-73939020.459999993</v>
      </c>
    </row>
    <row r="4779" spans="1:9" x14ac:dyDescent="0.3">
      <c r="A4779" t="s">
        <v>133</v>
      </c>
      <c r="B4779" s="1">
        <v>45895</v>
      </c>
      <c r="C4779" s="1">
        <v>45895</v>
      </c>
      <c r="D4779">
        <v>924707</v>
      </c>
      <c r="E4779">
        <v>85</v>
      </c>
      <c r="F4779" s="3" t="s">
        <v>4140</v>
      </c>
      <c r="G4779" s="4">
        <v>47762</v>
      </c>
      <c r="H4779" s="4">
        <v>0</v>
      </c>
      <c r="I4779" s="4">
        <v>-73891258.459999993</v>
      </c>
    </row>
    <row r="4780" spans="1:9" x14ac:dyDescent="0.3">
      <c r="A4780" t="s">
        <v>133</v>
      </c>
      <c r="B4780" s="1">
        <v>45895</v>
      </c>
      <c r="C4780" s="1">
        <v>45895</v>
      </c>
      <c r="D4780">
        <v>924708</v>
      </c>
      <c r="E4780">
        <v>53</v>
      </c>
      <c r="F4780" s="3" t="s">
        <v>4141</v>
      </c>
      <c r="G4780" s="4">
        <v>8228.25</v>
      </c>
      <c r="H4780" s="4">
        <v>0</v>
      </c>
      <c r="I4780" s="4">
        <v>-73883030.209999993</v>
      </c>
    </row>
    <row r="4781" spans="1:9" x14ac:dyDescent="0.3">
      <c r="A4781" t="s">
        <v>133</v>
      </c>
      <c r="B4781" s="1">
        <v>45895</v>
      </c>
      <c r="C4781" s="1">
        <v>45895</v>
      </c>
      <c r="D4781">
        <v>924711</v>
      </c>
      <c r="E4781">
        <v>37</v>
      </c>
      <c r="F4781" s="3" t="s">
        <v>4142</v>
      </c>
      <c r="G4781" s="4">
        <v>588213.5</v>
      </c>
      <c r="H4781" s="4">
        <v>0</v>
      </c>
      <c r="I4781" s="4">
        <v>-73294816.709999993</v>
      </c>
    </row>
    <row r="4782" spans="1:9" x14ac:dyDescent="0.3">
      <c r="A4782" t="s">
        <v>133</v>
      </c>
      <c r="B4782" s="1">
        <v>45895</v>
      </c>
      <c r="C4782" s="1">
        <v>45895</v>
      </c>
      <c r="D4782">
        <v>924714</v>
      </c>
      <c r="E4782">
        <v>224</v>
      </c>
      <c r="F4782" s="3" t="s">
        <v>4143</v>
      </c>
      <c r="G4782" s="4">
        <v>265000</v>
      </c>
      <c r="H4782" s="4">
        <v>0</v>
      </c>
      <c r="I4782" s="4">
        <v>-73029816.709999993</v>
      </c>
    </row>
    <row r="4783" spans="1:9" x14ac:dyDescent="0.3">
      <c r="A4783" t="s">
        <v>133</v>
      </c>
      <c r="B4783" s="1">
        <v>45895</v>
      </c>
      <c r="C4783" s="1">
        <v>45895</v>
      </c>
      <c r="D4783">
        <v>924716</v>
      </c>
      <c r="E4783">
        <v>12</v>
      </c>
      <c r="F4783" s="3" t="s">
        <v>4144</v>
      </c>
      <c r="G4783" s="4">
        <v>4362.25</v>
      </c>
      <c r="H4783" s="4">
        <v>0</v>
      </c>
      <c r="I4783" s="4">
        <v>-73025454.459999993</v>
      </c>
    </row>
    <row r="4784" spans="1:9" x14ac:dyDescent="0.3">
      <c r="A4784" t="s">
        <v>133</v>
      </c>
      <c r="B4784" s="1">
        <v>45895</v>
      </c>
      <c r="C4784" s="1">
        <v>45895</v>
      </c>
      <c r="D4784">
        <v>924717</v>
      </c>
      <c r="E4784">
        <v>27</v>
      </c>
      <c r="F4784" s="3" t="s">
        <v>4145</v>
      </c>
      <c r="G4784" s="4">
        <v>80154</v>
      </c>
      <c r="H4784" s="4">
        <v>0</v>
      </c>
      <c r="I4784" s="4">
        <v>-72945300.459999993</v>
      </c>
    </row>
    <row r="4785" spans="1:9" x14ac:dyDescent="0.3">
      <c r="A4785" t="s">
        <v>133</v>
      </c>
      <c r="B4785" s="1">
        <v>45895</v>
      </c>
      <c r="C4785" s="1">
        <v>45895</v>
      </c>
      <c r="D4785">
        <v>924718</v>
      </c>
      <c r="E4785">
        <v>72</v>
      </c>
      <c r="F4785" s="3" t="s">
        <v>4146</v>
      </c>
      <c r="G4785" s="4">
        <v>37000</v>
      </c>
      <c r="H4785" s="4">
        <v>0</v>
      </c>
      <c r="I4785" s="4">
        <v>-72908300.459999993</v>
      </c>
    </row>
    <row r="4786" spans="1:9" x14ac:dyDescent="0.3">
      <c r="A4786" t="s">
        <v>133</v>
      </c>
      <c r="B4786" s="1">
        <v>45895</v>
      </c>
      <c r="C4786" s="1">
        <v>45895</v>
      </c>
      <c r="D4786">
        <v>924719</v>
      </c>
      <c r="E4786">
        <v>27</v>
      </c>
      <c r="F4786" s="3" t="s">
        <v>4147</v>
      </c>
      <c r="G4786" s="4">
        <v>138717.25</v>
      </c>
      <c r="H4786" s="4">
        <v>0</v>
      </c>
      <c r="I4786" s="4">
        <v>-72769583.209999993</v>
      </c>
    </row>
    <row r="4787" spans="1:9" x14ac:dyDescent="0.3">
      <c r="A4787" t="s">
        <v>133</v>
      </c>
      <c r="B4787" s="1">
        <v>45895</v>
      </c>
      <c r="C4787" s="1">
        <v>45895</v>
      </c>
      <c r="D4787">
        <v>924722</v>
      </c>
      <c r="E4787">
        <v>27</v>
      </c>
      <c r="F4787" s="3" t="s">
        <v>4148</v>
      </c>
      <c r="G4787" s="4">
        <v>9003</v>
      </c>
      <c r="H4787" s="4">
        <v>0</v>
      </c>
      <c r="I4787" s="4">
        <v>-72760580.209999993</v>
      </c>
    </row>
    <row r="4788" spans="1:9" x14ac:dyDescent="0.3">
      <c r="A4788" t="s">
        <v>133</v>
      </c>
      <c r="B4788" s="1">
        <v>45895</v>
      </c>
      <c r="C4788" s="1">
        <v>45895</v>
      </c>
      <c r="D4788">
        <v>924732</v>
      </c>
      <c r="E4788">
        <v>51</v>
      </c>
      <c r="F4788" s="3" t="s">
        <v>4149</v>
      </c>
      <c r="G4788" s="4">
        <v>150000</v>
      </c>
      <c r="H4788" s="4">
        <v>0</v>
      </c>
      <c r="I4788" s="4">
        <v>-72610580.209999993</v>
      </c>
    </row>
    <row r="4789" spans="1:9" x14ac:dyDescent="0.3">
      <c r="A4789" t="s">
        <v>133</v>
      </c>
      <c r="B4789" s="1">
        <v>45895</v>
      </c>
      <c r="C4789" s="1">
        <v>45895</v>
      </c>
      <c r="D4789">
        <v>924738</v>
      </c>
      <c r="E4789">
        <v>91</v>
      </c>
      <c r="F4789" s="3" t="s">
        <v>4150</v>
      </c>
      <c r="G4789" s="4">
        <v>163540</v>
      </c>
      <c r="H4789" s="4">
        <v>0</v>
      </c>
      <c r="I4789" s="4">
        <v>-72447040.209999993</v>
      </c>
    </row>
    <row r="4790" spans="1:9" x14ac:dyDescent="0.3">
      <c r="A4790" t="s">
        <v>133</v>
      </c>
      <c r="B4790" s="1">
        <v>45895</v>
      </c>
      <c r="C4790" s="1">
        <v>45895</v>
      </c>
      <c r="D4790">
        <v>924739</v>
      </c>
      <c r="E4790">
        <v>91</v>
      </c>
      <c r="F4790" s="3" t="s">
        <v>4151</v>
      </c>
      <c r="G4790" s="4">
        <v>19000</v>
      </c>
      <c r="H4790" s="4">
        <v>0</v>
      </c>
      <c r="I4790" s="4">
        <v>-72428040.209999993</v>
      </c>
    </row>
    <row r="4791" spans="1:9" x14ac:dyDescent="0.3">
      <c r="A4791" t="s">
        <v>133</v>
      </c>
      <c r="B4791" s="1">
        <v>45895</v>
      </c>
      <c r="C4791" s="1">
        <v>45895</v>
      </c>
      <c r="D4791">
        <v>924746</v>
      </c>
      <c r="E4791">
        <v>35</v>
      </c>
      <c r="F4791" s="3" t="s">
        <v>4152</v>
      </c>
      <c r="G4791" s="4">
        <v>81030</v>
      </c>
      <c r="H4791" s="4">
        <v>0</v>
      </c>
      <c r="I4791" s="4">
        <v>-72347010.209999993</v>
      </c>
    </row>
    <row r="4792" spans="1:9" x14ac:dyDescent="0.3">
      <c r="A4792" t="s">
        <v>133</v>
      </c>
      <c r="B4792" s="1">
        <v>45895</v>
      </c>
      <c r="C4792" s="1">
        <v>45895</v>
      </c>
      <c r="D4792">
        <v>924747</v>
      </c>
      <c r="E4792">
        <v>28</v>
      </c>
      <c r="F4792" s="3" t="s">
        <v>4153</v>
      </c>
      <c r="G4792" s="4">
        <v>170000</v>
      </c>
      <c r="H4792" s="4">
        <v>0</v>
      </c>
      <c r="I4792" s="4">
        <v>-72177010.209999993</v>
      </c>
    </row>
    <row r="4793" spans="1:9" x14ac:dyDescent="0.3">
      <c r="A4793" t="s">
        <v>133</v>
      </c>
      <c r="B4793" s="1">
        <v>45895</v>
      </c>
      <c r="C4793" s="1">
        <v>45895</v>
      </c>
      <c r="D4793">
        <v>924757</v>
      </c>
      <c r="E4793">
        <v>72</v>
      </c>
      <c r="F4793" s="3" t="s">
        <v>4154</v>
      </c>
      <c r="G4793" s="4">
        <v>20000</v>
      </c>
      <c r="H4793" s="4">
        <v>0</v>
      </c>
      <c r="I4793" s="4">
        <v>-72157010.209999993</v>
      </c>
    </row>
    <row r="4794" spans="1:9" x14ac:dyDescent="0.3">
      <c r="A4794" t="s">
        <v>133</v>
      </c>
      <c r="B4794" s="1">
        <v>45895</v>
      </c>
      <c r="C4794" s="1">
        <v>45895</v>
      </c>
      <c r="D4794">
        <v>924766</v>
      </c>
      <c r="E4794">
        <v>252</v>
      </c>
      <c r="F4794" s="3" t="s">
        <v>4155</v>
      </c>
      <c r="G4794" s="4">
        <v>262.5</v>
      </c>
      <c r="H4794" s="4">
        <v>0</v>
      </c>
      <c r="I4794" s="4">
        <v>-72156747.709999993</v>
      </c>
    </row>
    <row r="4795" spans="1:9" x14ac:dyDescent="0.3">
      <c r="A4795" t="s">
        <v>133</v>
      </c>
      <c r="B4795" s="1">
        <v>45895</v>
      </c>
      <c r="C4795" s="1">
        <v>45895</v>
      </c>
      <c r="D4795">
        <v>924767</v>
      </c>
      <c r="E4795">
        <v>14</v>
      </c>
      <c r="F4795" s="3" t="s">
        <v>4156</v>
      </c>
      <c r="G4795" s="4">
        <v>8218</v>
      </c>
      <c r="H4795" s="4">
        <v>0</v>
      </c>
      <c r="I4795" s="4">
        <v>-72148529.709999993</v>
      </c>
    </row>
    <row r="4796" spans="1:9" x14ac:dyDescent="0.3">
      <c r="A4796" t="s">
        <v>133</v>
      </c>
      <c r="B4796" s="1">
        <v>45895</v>
      </c>
      <c r="C4796" s="1">
        <v>45895</v>
      </c>
      <c r="D4796">
        <v>924768</v>
      </c>
      <c r="E4796">
        <v>73</v>
      </c>
      <c r="F4796" s="3" t="s">
        <v>4157</v>
      </c>
      <c r="G4796" s="4">
        <v>170000</v>
      </c>
      <c r="H4796" s="4">
        <v>0</v>
      </c>
      <c r="I4796" s="4">
        <v>-71978529.709999993</v>
      </c>
    </row>
    <row r="4797" spans="1:9" x14ac:dyDescent="0.3">
      <c r="A4797" t="s">
        <v>133</v>
      </c>
      <c r="B4797" s="1">
        <v>45895</v>
      </c>
      <c r="C4797" s="1">
        <v>45895</v>
      </c>
      <c r="D4797">
        <v>924771</v>
      </c>
      <c r="E4797">
        <v>43</v>
      </c>
      <c r="F4797" s="3" t="s">
        <v>4158</v>
      </c>
      <c r="G4797" s="4">
        <v>9284.5</v>
      </c>
      <c r="H4797" s="4">
        <v>0</v>
      </c>
      <c r="I4797" s="4">
        <v>-71969245.209999993</v>
      </c>
    </row>
    <row r="4798" spans="1:9" x14ac:dyDescent="0.3">
      <c r="A4798" t="s">
        <v>133</v>
      </c>
      <c r="B4798" s="1">
        <v>45895</v>
      </c>
      <c r="C4798" s="1">
        <v>45895</v>
      </c>
      <c r="D4798">
        <v>924774</v>
      </c>
      <c r="E4798">
        <v>11</v>
      </c>
      <c r="F4798" s="3" t="s">
        <v>4159</v>
      </c>
      <c r="G4798" s="4">
        <v>23853.75</v>
      </c>
      <c r="H4798" s="4">
        <v>0</v>
      </c>
      <c r="I4798" s="4">
        <v>-71945391.459999993</v>
      </c>
    </row>
    <row r="4799" spans="1:9" x14ac:dyDescent="0.3">
      <c r="A4799" t="s">
        <v>133</v>
      </c>
      <c r="B4799" s="1">
        <v>45895</v>
      </c>
      <c r="C4799" s="1">
        <v>45895</v>
      </c>
      <c r="D4799">
        <v>924779</v>
      </c>
      <c r="E4799">
        <v>15</v>
      </c>
      <c r="F4799" s="3" t="s">
        <v>4160</v>
      </c>
      <c r="G4799" s="4">
        <v>734700</v>
      </c>
      <c r="H4799" s="4">
        <v>0</v>
      </c>
      <c r="I4799" s="4">
        <v>-71210691.459999993</v>
      </c>
    </row>
    <row r="4800" spans="1:9" x14ac:dyDescent="0.3">
      <c r="A4800" t="s">
        <v>133</v>
      </c>
      <c r="B4800" s="1">
        <v>45895</v>
      </c>
      <c r="C4800" s="1">
        <v>45895</v>
      </c>
      <c r="D4800">
        <v>924780</v>
      </c>
      <c r="E4800">
        <v>15</v>
      </c>
      <c r="F4800" s="3" t="s">
        <v>4161</v>
      </c>
      <c r="G4800" s="4">
        <v>105</v>
      </c>
      <c r="H4800" s="4">
        <v>0</v>
      </c>
      <c r="I4800" s="4">
        <v>-71210586.459999993</v>
      </c>
    </row>
    <row r="4801" spans="1:9" x14ac:dyDescent="0.3">
      <c r="A4801" t="s">
        <v>133</v>
      </c>
      <c r="B4801" s="1">
        <v>45895</v>
      </c>
      <c r="C4801" s="1">
        <v>45895</v>
      </c>
      <c r="D4801">
        <v>924787</v>
      </c>
      <c r="E4801">
        <v>58</v>
      </c>
      <c r="F4801" s="3" t="s">
        <v>4162</v>
      </c>
      <c r="G4801" s="4">
        <v>11528.5</v>
      </c>
      <c r="H4801" s="4">
        <v>0</v>
      </c>
      <c r="I4801" s="4">
        <v>-71199057.959999993</v>
      </c>
    </row>
    <row r="4802" spans="1:9" x14ac:dyDescent="0.3">
      <c r="A4802" t="s">
        <v>133</v>
      </c>
      <c r="B4802" s="1">
        <v>45895</v>
      </c>
      <c r="C4802" s="1">
        <v>45895</v>
      </c>
      <c r="D4802">
        <v>924788</v>
      </c>
      <c r="E4802">
        <v>58</v>
      </c>
      <c r="F4802" s="3" t="s">
        <v>4163</v>
      </c>
      <c r="G4802" s="4">
        <v>36741.75</v>
      </c>
      <c r="H4802" s="4">
        <v>0</v>
      </c>
      <c r="I4802" s="4">
        <v>-71162316.209999993</v>
      </c>
    </row>
    <row r="4803" spans="1:9" x14ac:dyDescent="0.3">
      <c r="A4803" t="s">
        <v>133</v>
      </c>
      <c r="B4803" s="1">
        <v>45895</v>
      </c>
      <c r="C4803" s="1">
        <v>45895</v>
      </c>
      <c r="D4803">
        <v>924789</v>
      </c>
      <c r="E4803">
        <v>89</v>
      </c>
      <c r="F4803" s="3" t="s">
        <v>4164</v>
      </c>
      <c r="G4803" s="4">
        <v>57240</v>
      </c>
      <c r="H4803" s="4">
        <v>0</v>
      </c>
      <c r="I4803" s="4">
        <v>-71105076.209999993</v>
      </c>
    </row>
    <row r="4804" spans="1:9" x14ac:dyDescent="0.3">
      <c r="A4804" t="s">
        <v>133</v>
      </c>
      <c r="B4804" s="1">
        <v>45895</v>
      </c>
      <c r="C4804" s="1">
        <v>45895</v>
      </c>
      <c r="D4804">
        <v>924790</v>
      </c>
      <c r="E4804">
        <v>89</v>
      </c>
      <c r="F4804" s="3" t="s">
        <v>4165</v>
      </c>
      <c r="G4804" s="4">
        <v>100000</v>
      </c>
      <c r="H4804" s="4">
        <v>0</v>
      </c>
      <c r="I4804" s="4">
        <v>-71005076.209999993</v>
      </c>
    </row>
    <row r="4805" spans="1:9" x14ac:dyDescent="0.3">
      <c r="A4805" t="s">
        <v>133</v>
      </c>
      <c r="B4805" s="1">
        <v>45895</v>
      </c>
      <c r="C4805" s="1">
        <v>45895</v>
      </c>
      <c r="D4805">
        <v>924791</v>
      </c>
      <c r="E4805">
        <v>89</v>
      </c>
      <c r="F4805" s="3" t="s">
        <v>4166</v>
      </c>
      <c r="G4805" s="4">
        <v>100000</v>
      </c>
      <c r="H4805" s="4">
        <v>0</v>
      </c>
      <c r="I4805" s="4">
        <v>-70905076.209999993</v>
      </c>
    </row>
    <row r="4806" spans="1:9" x14ac:dyDescent="0.3">
      <c r="A4806" t="s">
        <v>133</v>
      </c>
      <c r="B4806" s="1">
        <v>45895</v>
      </c>
      <c r="C4806" s="1">
        <v>45895</v>
      </c>
      <c r="D4806">
        <v>924795</v>
      </c>
      <c r="E4806">
        <v>11</v>
      </c>
      <c r="F4806" s="3" t="s">
        <v>4167</v>
      </c>
      <c r="G4806" s="4">
        <v>14715.25</v>
      </c>
      <c r="H4806" s="4">
        <v>0</v>
      </c>
      <c r="I4806" s="4">
        <v>-70890360.959999993</v>
      </c>
    </row>
    <row r="4807" spans="1:9" x14ac:dyDescent="0.3">
      <c r="A4807" t="s">
        <v>133</v>
      </c>
      <c r="B4807" s="1">
        <v>45895</v>
      </c>
      <c r="C4807" s="1">
        <v>45895</v>
      </c>
      <c r="D4807">
        <v>924801</v>
      </c>
      <c r="E4807">
        <v>45</v>
      </c>
      <c r="F4807" s="3" t="s">
        <v>4168</v>
      </c>
      <c r="G4807" s="4">
        <v>410000</v>
      </c>
      <c r="H4807" s="4">
        <v>0</v>
      </c>
      <c r="I4807" s="4">
        <v>-70480360.959999993</v>
      </c>
    </row>
    <row r="4808" spans="1:9" x14ac:dyDescent="0.3">
      <c r="A4808" t="s">
        <v>133</v>
      </c>
      <c r="B4808" s="1">
        <v>45895</v>
      </c>
      <c r="C4808" s="1">
        <v>45895</v>
      </c>
      <c r="D4808">
        <v>924802</v>
      </c>
      <c r="E4808">
        <v>27</v>
      </c>
      <c r="F4808" s="3" t="s">
        <v>4169</v>
      </c>
      <c r="G4808" s="4">
        <v>368303.5</v>
      </c>
      <c r="H4808" s="4">
        <v>0</v>
      </c>
      <c r="I4808" s="4">
        <v>-70112057.459999993</v>
      </c>
    </row>
    <row r="4809" spans="1:9" x14ac:dyDescent="0.3">
      <c r="A4809" t="s">
        <v>133</v>
      </c>
      <c r="B4809" s="1">
        <v>45895</v>
      </c>
      <c r="C4809" s="1">
        <v>45895</v>
      </c>
      <c r="D4809">
        <v>924808</v>
      </c>
      <c r="E4809">
        <v>27</v>
      </c>
      <c r="F4809" s="3" t="s">
        <v>4170</v>
      </c>
      <c r="G4809" s="4">
        <v>64752.5</v>
      </c>
      <c r="H4809" s="4">
        <v>0</v>
      </c>
      <c r="I4809" s="4">
        <v>-70047304.959999993</v>
      </c>
    </row>
    <row r="4810" spans="1:9" x14ac:dyDescent="0.3">
      <c r="A4810" t="s">
        <v>133</v>
      </c>
      <c r="B4810" s="1">
        <v>45895</v>
      </c>
      <c r="C4810" s="1">
        <v>45895</v>
      </c>
      <c r="D4810">
        <v>924811</v>
      </c>
      <c r="E4810">
        <v>61</v>
      </c>
      <c r="F4810" s="3" t="s">
        <v>4171</v>
      </c>
      <c r="G4810" s="4">
        <v>9210.75</v>
      </c>
      <c r="H4810" s="4">
        <v>0</v>
      </c>
      <c r="I4810" s="4">
        <v>-70038094.209999993</v>
      </c>
    </row>
    <row r="4811" spans="1:9" x14ac:dyDescent="0.3">
      <c r="A4811" t="s">
        <v>133</v>
      </c>
      <c r="B4811" s="1">
        <v>45895</v>
      </c>
      <c r="C4811" s="1">
        <v>45895</v>
      </c>
      <c r="D4811">
        <v>924812</v>
      </c>
      <c r="E4811">
        <v>27</v>
      </c>
      <c r="F4811" s="3" t="s">
        <v>4172</v>
      </c>
      <c r="G4811" s="4">
        <v>965220.25</v>
      </c>
      <c r="H4811" s="4">
        <v>0</v>
      </c>
      <c r="I4811" s="4">
        <v>-69072873.959999993</v>
      </c>
    </row>
    <row r="4812" spans="1:9" x14ac:dyDescent="0.3">
      <c r="A4812" t="s">
        <v>133</v>
      </c>
      <c r="B4812" s="1">
        <v>45895</v>
      </c>
      <c r="C4812" s="1">
        <v>45895</v>
      </c>
      <c r="D4812">
        <v>924813</v>
      </c>
      <c r="E4812">
        <v>223</v>
      </c>
      <c r="F4812" s="3" t="s">
        <v>4173</v>
      </c>
      <c r="G4812" s="4">
        <v>250000</v>
      </c>
      <c r="H4812" s="4">
        <v>0</v>
      </c>
      <c r="I4812" s="4">
        <v>-68822873.959999993</v>
      </c>
    </row>
    <row r="4813" spans="1:9" x14ac:dyDescent="0.3">
      <c r="A4813" t="s">
        <v>133</v>
      </c>
      <c r="B4813" s="1">
        <v>45895</v>
      </c>
      <c r="C4813" s="1">
        <v>45895</v>
      </c>
      <c r="D4813">
        <v>924815</v>
      </c>
      <c r="E4813">
        <v>532</v>
      </c>
      <c r="F4813" s="3" t="s">
        <v>4174</v>
      </c>
      <c r="G4813" s="4">
        <v>350000</v>
      </c>
      <c r="H4813" s="4">
        <v>0</v>
      </c>
      <c r="I4813" s="4">
        <v>-68472873.959999993</v>
      </c>
    </row>
    <row r="4814" spans="1:9" x14ac:dyDescent="0.3">
      <c r="A4814" t="s">
        <v>133</v>
      </c>
      <c r="B4814" s="1">
        <v>45895</v>
      </c>
      <c r="C4814" s="1">
        <v>45895</v>
      </c>
      <c r="D4814">
        <v>924816</v>
      </c>
      <c r="E4814">
        <v>55</v>
      </c>
      <c r="F4814" s="3" t="s">
        <v>176</v>
      </c>
      <c r="G4814" s="4">
        <v>210000</v>
      </c>
      <c r="H4814" s="4">
        <v>0</v>
      </c>
      <c r="I4814" s="4">
        <v>-68262873.959999993</v>
      </c>
    </row>
    <row r="4815" spans="1:9" x14ac:dyDescent="0.3">
      <c r="A4815" t="s">
        <v>133</v>
      </c>
      <c r="B4815" s="1">
        <v>45895</v>
      </c>
      <c r="C4815" s="1">
        <v>45895</v>
      </c>
      <c r="D4815">
        <v>924819</v>
      </c>
      <c r="E4815">
        <v>75</v>
      </c>
      <c r="F4815" s="3" t="s">
        <v>4175</v>
      </c>
      <c r="G4815" s="4">
        <v>420000</v>
      </c>
      <c r="H4815" s="4">
        <v>0</v>
      </c>
      <c r="I4815" s="4">
        <v>-67842873.959999993</v>
      </c>
    </row>
    <row r="4816" spans="1:9" x14ac:dyDescent="0.3">
      <c r="A4816" t="s">
        <v>133</v>
      </c>
      <c r="B4816" s="1">
        <v>45895</v>
      </c>
      <c r="C4816" s="1">
        <v>45895</v>
      </c>
      <c r="D4816">
        <v>924820</v>
      </c>
      <c r="E4816">
        <v>11</v>
      </c>
      <c r="F4816" s="3" t="s">
        <v>4176</v>
      </c>
      <c r="G4816" s="4">
        <v>38113</v>
      </c>
      <c r="H4816" s="4">
        <v>0</v>
      </c>
      <c r="I4816" s="4">
        <v>-67804760.959999993</v>
      </c>
    </row>
    <row r="4817" spans="1:9" x14ac:dyDescent="0.3">
      <c r="A4817" t="s">
        <v>133</v>
      </c>
      <c r="B4817" s="1">
        <v>45895</v>
      </c>
      <c r="C4817" s="1">
        <v>45895</v>
      </c>
      <c r="D4817">
        <v>924821</v>
      </c>
      <c r="E4817">
        <v>11</v>
      </c>
      <c r="F4817" s="3" t="s">
        <v>4177</v>
      </c>
      <c r="G4817" s="4">
        <v>100000</v>
      </c>
      <c r="H4817" s="4">
        <v>0</v>
      </c>
      <c r="I4817" s="4">
        <v>-67704760.959999993</v>
      </c>
    </row>
    <row r="4818" spans="1:9" x14ac:dyDescent="0.3">
      <c r="A4818" t="s">
        <v>133</v>
      </c>
      <c r="B4818" s="1">
        <v>45895</v>
      </c>
      <c r="C4818" s="1">
        <v>45895</v>
      </c>
      <c r="D4818">
        <v>924822</v>
      </c>
      <c r="E4818">
        <v>11</v>
      </c>
      <c r="F4818" s="3" t="s">
        <v>4178</v>
      </c>
      <c r="G4818" s="4">
        <v>100000</v>
      </c>
      <c r="H4818" s="4">
        <v>0</v>
      </c>
      <c r="I4818" s="4">
        <v>-67604760.959999993</v>
      </c>
    </row>
    <row r="4819" spans="1:9" x14ac:dyDescent="0.3">
      <c r="A4819" t="s">
        <v>133</v>
      </c>
      <c r="B4819" s="1">
        <v>45895</v>
      </c>
      <c r="C4819" s="1">
        <v>45895</v>
      </c>
      <c r="D4819">
        <v>924823</v>
      </c>
      <c r="E4819">
        <v>11</v>
      </c>
      <c r="F4819" s="3" t="s">
        <v>4179</v>
      </c>
      <c r="G4819" s="4">
        <v>100000</v>
      </c>
      <c r="H4819" s="4">
        <v>0</v>
      </c>
      <c r="I4819" s="4">
        <v>-67504760.959999993</v>
      </c>
    </row>
    <row r="4820" spans="1:9" x14ac:dyDescent="0.3">
      <c r="A4820" t="s">
        <v>133</v>
      </c>
      <c r="B4820" s="1">
        <v>45895</v>
      </c>
      <c r="C4820" s="1">
        <v>45895</v>
      </c>
      <c r="D4820">
        <v>924826</v>
      </c>
      <c r="E4820">
        <v>310</v>
      </c>
      <c r="F4820" s="3" t="s">
        <v>4180</v>
      </c>
      <c r="G4820" s="4">
        <v>59379.5</v>
      </c>
      <c r="H4820" s="4">
        <v>0</v>
      </c>
      <c r="I4820" s="4">
        <v>-67445381.459999993</v>
      </c>
    </row>
    <row r="4821" spans="1:9" x14ac:dyDescent="0.3">
      <c r="A4821" t="s">
        <v>133</v>
      </c>
      <c r="B4821" s="1">
        <v>45895</v>
      </c>
      <c r="C4821" s="1">
        <v>45895</v>
      </c>
      <c r="D4821">
        <v>924827</v>
      </c>
      <c r="E4821">
        <v>50</v>
      </c>
      <c r="F4821" s="3" t="s">
        <v>4181</v>
      </c>
      <c r="G4821" s="4">
        <v>25465</v>
      </c>
      <c r="H4821" s="4">
        <v>0</v>
      </c>
      <c r="I4821" s="4">
        <v>-67419916.459999993</v>
      </c>
    </row>
    <row r="4822" spans="1:9" x14ac:dyDescent="0.3">
      <c r="A4822" t="s">
        <v>133</v>
      </c>
      <c r="B4822" s="1">
        <v>45895</v>
      </c>
      <c r="C4822" s="1">
        <v>45895</v>
      </c>
      <c r="D4822">
        <v>924828</v>
      </c>
      <c r="E4822">
        <v>45</v>
      </c>
      <c r="F4822" s="3" t="s">
        <v>4182</v>
      </c>
      <c r="G4822" s="4">
        <v>3137.75</v>
      </c>
      <c r="H4822" s="4">
        <v>0</v>
      </c>
      <c r="I4822" s="4">
        <v>-67416778.709999993</v>
      </c>
    </row>
    <row r="4823" spans="1:9" x14ac:dyDescent="0.3">
      <c r="A4823" t="s">
        <v>133</v>
      </c>
      <c r="B4823" s="1">
        <v>45895</v>
      </c>
      <c r="C4823" s="1">
        <v>45895</v>
      </c>
      <c r="D4823">
        <v>924829</v>
      </c>
      <c r="E4823">
        <v>27</v>
      </c>
      <c r="F4823" s="3" t="s">
        <v>4183</v>
      </c>
      <c r="G4823" s="4">
        <v>405482</v>
      </c>
      <c r="H4823" s="4">
        <v>0</v>
      </c>
      <c r="I4823" s="4">
        <v>-67011296.710000001</v>
      </c>
    </row>
    <row r="4824" spans="1:9" x14ac:dyDescent="0.3">
      <c r="A4824" t="s">
        <v>133</v>
      </c>
      <c r="B4824" s="1">
        <v>45895</v>
      </c>
      <c r="C4824" s="1">
        <v>45895</v>
      </c>
      <c r="D4824">
        <v>924830</v>
      </c>
      <c r="E4824">
        <v>97</v>
      </c>
      <c r="F4824" s="3" t="s">
        <v>4184</v>
      </c>
      <c r="G4824" s="4">
        <v>23184.5</v>
      </c>
      <c r="H4824" s="4">
        <v>0</v>
      </c>
      <c r="I4824" s="4">
        <v>-66988112.210000001</v>
      </c>
    </row>
    <row r="4825" spans="1:9" x14ac:dyDescent="0.3">
      <c r="A4825" t="s">
        <v>133</v>
      </c>
      <c r="B4825" s="1">
        <v>45895</v>
      </c>
      <c r="C4825" s="1">
        <v>45895</v>
      </c>
      <c r="D4825">
        <v>924833</v>
      </c>
      <c r="E4825">
        <v>72</v>
      </c>
      <c r="F4825" s="3" t="s">
        <v>4185</v>
      </c>
      <c r="G4825" s="4">
        <v>10050</v>
      </c>
      <c r="H4825" s="4">
        <v>0</v>
      </c>
      <c r="I4825" s="4">
        <v>-66978062.210000001</v>
      </c>
    </row>
    <row r="4826" spans="1:9" x14ac:dyDescent="0.3">
      <c r="A4826" t="s">
        <v>133</v>
      </c>
      <c r="B4826" s="1">
        <v>45895</v>
      </c>
      <c r="C4826" s="1">
        <v>45895</v>
      </c>
      <c r="D4826">
        <v>924836</v>
      </c>
      <c r="E4826">
        <v>14</v>
      </c>
      <c r="F4826" s="3" t="s">
        <v>4186</v>
      </c>
      <c r="G4826" s="4">
        <v>500000</v>
      </c>
      <c r="H4826" s="4">
        <v>0</v>
      </c>
      <c r="I4826" s="4">
        <v>-66478062.210000001</v>
      </c>
    </row>
    <row r="4827" spans="1:9" x14ac:dyDescent="0.3">
      <c r="A4827" t="s">
        <v>133</v>
      </c>
      <c r="B4827" s="1">
        <v>45895</v>
      </c>
      <c r="C4827" s="1">
        <v>45895</v>
      </c>
      <c r="D4827">
        <v>924837</v>
      </c>
      <c r="E4827">
        <v>53</v>
      </c>
      <c r="F4827" s="3" t="s">
        <v>4187</v>
      </c>
      <c r="G4827" s="4">
        <v>51795.75</v>
      </c>
      <c r="H4827" s="4">
        <v>0</v>
      </c>
      <c r="I4827" s="4">
        <v>-66426266.460000001</v>
      </c>
    </row>
    <row r="4828" spans="1:9" x14ac:dyDescent="0.3">
      <c r="A4828" t="s">
        <v>133</v>
      </c>
      <c r="B4828" s="1">
        <v>45895</v>
      </c>
      <c r="C4828" s="1">
        <v>45895</v>
      </c>
      <c r="D4828">
        <v>924838</v>
      </c>
      <c r="E4828">
        <v>92</v>
      </c>
      <c r="F4828" s="3" t="s">
        <v>4188</v>
      </c>
      <c r="G4828" s="4">
        <v>150000</v>
      </c>
      <c r="H4828" s="4">
        <v>0</v>
      </c>
      <c r="I4828" s="4">
        <v>-66276266.460000001</v>
      </c>
    </row>
    <row r="4829" spans="1:9" x14ac:dyDescent="0.3">
      <c r="A4829" t="s">
        <v>133</v>
      </c>
      <c r="B4829" s="1">
        <v>45895</v>
      </c>
      <c r="C4829" s="1">
        <v>45895</v>
      </c>
      <c r="D4829">
        <v>924839</v>
      </c>
      <c r="E4829">
        <v>43</v>
      </c>
      <c r="F4829" s="3" t="s">
        <v>4189</v>
      </c>
      <c r="G4829" s="4">
        <v>44087.25</v>
      </c>
      <c r="H4829" s="4">
        <v>0</v>
      </c>
      <c r="I4829" s="4">
        <v>-66232179.210000001</v>
      </c>
    </row>
    <row r="4830" spans="1:9" x14ac:dyDescent="0.3">
      <c r="A4830" t="s">
        <v>133</v>
      </c>
      <c r="B4830" s="1">
        <v>45895</v>
      </c>
      <c r="C4830" s="1">
        <v>45895</v>
      </c>
      <c r="D4830">
        <v>924840</v>
      </c>
      <c r="E4830">
        <v>18</v>
      </c>
      <c r="F4830" s="3" t="s">
        <v>4190</v>
      </c>
      <c r="G4830" s="4">
        <v>120000</v>
      </c>
      <c r="H4830" s="4">
        <v>0</v>
      </c>
      <c r="I4830" s="4">
        <v>-66112179.210000001</v>
      </c>
    </row>
    <row r="4831" spans="1:9" x14ac:dyDescent="0.3">
      <c r="A4831" t="s">
        <v>133</v>
      </c>
      <c r="B4831" s="1">
        <v>45895</v>
      </c>
      <c r="C4831" s="1">
        <v>45895</v>
      </c>
      <c r="D4831">
        <v>924841</v>
      </c>
      <c r="E4831">
        <v>45</v>
      </c>
      <c r="F4831" s="3" t="s">
        <v>4191</v>
      </c>
      <c r="G4831" s="4">
        <v>52113.5</v>
      </c>
      <c r="H4831" s="4">
        <v>0</v>
      </c>
      <c r="I4831" s="4">
        <v>-66060065.710000001</v>
      </c>
    </row>
    <row r="4832" spans="1:9" x14ac:dyDescent="0.3">
      <c r="A4832" t="s">
        <v>133</v>
      </c>
      <c r="B4832" s="1">
        <v>45895</v>
      </c>
      <c r="C4832" s="1">
        <v>45895</v>
      </c>
      <c r="D4832">
        <v>924844</v>
      </c>
      <c r="E4832">
        <v>12</v>
      </c>
      <c r="F4832" s="3" t="s">
        <v>4192</v>
      </c>
      <c r="G4832" s="4">
        <v>30000</v>
      </c>
      <c r="H4832" s="4">
        <v>0</v>
      </c>
      <c r="I4832" s="4">
        <v>-66030065.710000001</v>
      </c>
    </row>
    <row r="4833" spans="1:9" x14ac:dyDescent="0.3">
      <c r="A4833" t="s">
        <v>133</v>
      </c>
      <c r="B4833" s="1">
        <v>45895</v>
      </c>
      <c r="C4833" s="1">
        <v>45895</v>
      </c>
      <c r="D4833">
        <v>924847</v>
      </c>
      <c r="E4833">
        <v>12</v>
      </c>
      <c r="F4833" s="3" t="s">
        <v>4193</v>
      </c>
      <c r="G4833" s="4">
        <v>63636.75</v>
      </c>
      <c r="H4833" s="4">
        <v>0</v>
      </c>
      <c r="I4833" s="4">
        <v>-65966428.960000001</v>
      </c>
    </row>
    <row r="4834" spans="1:9" x14ac:dyDescent="0.3">
      <c r="A4834" t="s">
        <v>133</v>
      </c>
      <c r="B4834" s="1">
        <v>45895</v>
      </c>
      <c r="C4834" s="1">
        <v>45895</v>
      </c>
      <c r="D4834">
        <v>924850</v>
      </c>
      <c r="E4834">
        <v>33</v>
      </c>
      <c r="F4834" s="3">
        <v>5620330002001</v>
      </c>
      <c r="G4834" s="4">
        <v>5048.25</v>
      </c>
      <c r="H4834" s="4">
        <v>0</v>
      </c>
      <c r="I4834" s="4">
        <v>-65961380.710000001</v>
      </c>
    </row>
    <row r="4835" spans="1:9" x14ac:dyDescent="0.3">
      <c r="A4835" t="s">
        <v>133</v>
      </c>
      <c r="B4835" s="1">
        <v>45895</v>
      </c>
      <c r="C4835" s="1">
        <v>45895</v>
      </c>
      <c r="D4835">
        <v>924851</v>
      </c>
      <c r="E4835">
        <v>33</v>
      </c>
      <c r="F4835" s="3">
        <v>5620330001986</v>
      </c>
      <c r="G4835" s="4">
        <v>150397.5</v>
      </c>
      <c r="H4835" s="4">
        <v>0</v>
      </c>
      <c r="I4835" s="4">
        <v>-65810983.210000001</v>
      </c>
    </row>
    <row r="4836" spans="1:9" x14ac:dyDescent="0.3">
      <c r="A4836" t="s">
        <v>133</v>
      </c>
      <c r="B4836" s="1">
        <v>45895</v>
      </c>
      <c r="C4836" s="1">
        <v>45895</v>
      </c>
      <c r="D4836">
        <v>924852</v>
      </c>
      <c r="E4836">
        <v>33</v>
      </c>
      <c r="F4836" s="3">
        <v>5620330001992</v>
      </c>
      <c r="G4836" s="4">
        <v>4545</v>
      </c>
      <c r="H4836" s="4">
        <v>0</v>
      </c>
      <c r="I4836" s="4">
        <v>-65806438.210000001</v>
      </c>
    </row>
    <row r="4837" spans="1:9" x14ac:dyDescent="0.3">
      <c r="A4837" t="s">
        <v>133</v>
      </c>
      <c r="B4837" s="1">
        <v>45895</v>
      </c>
      <c r="C4837" s="1">
        <v>45895</v>
      </c>
      <c r="D4837">
        <v>924855</v>
      </c>
      <c r="E4837">
        <v>12</v>
      </c>
      <c r="F4837" s="3" t="s">
        <v>4194</v>
      </c>
      <c r="G4837" s="4">
        <v>1392</v>
      </c>
      <c r="H4837" s="4">
        <v>0</v>
      </c>
      <c r="I4837" s="4">
        <v>-65805046.210000001</v>
      </c>
    </row>
    <row r="4838" spans="1:9" x14ac:dyDescent="0.3">
      <c r="A4838" t="s">
        <v>133</v>
      </c>
      <c r="B4838" s="1">
        <v>45895</v>
      </c>
      <c r="C4838" s="1">
        <v>45895</v>
      </c>
      <c r="D4838">
        <v>924857</v>
      </c>
      <c r="E4838">
        <v>12</v>
      </c>
      <c r="F4838" s="3" t="s">
        <v>4195</v>
      </c>
      <c r="G4838" s="4">
        <v>210000</v>
      </c>
      <c r="H4838" s="4">
        <v>0</v>
      </c>
      <c r="I4838" s="4">
        <v>-65595046.210000001</v>
      </c>
    </row>
    <row r="4839" spans="1:9" x14ac:dyDescent="0.3">
      <c r="A4839" t="s">
        <v>133</v>
      </c>
      <c r="B4839" s="1">
        <v>45895</v>
      </c>
      <c r="C4839" s="1">
        <v>45895</v>
      </c>
      <c r="D4839">
        <v>924859</v>
      </c>
      <c r="E4839">
        <v>35</v>
      </c>
      <c r="F4839" s="3" t="s">
        <v>4196</v>
      </c>
      <c r="G4839" s="4">
        <v>32820.75</v>
      </c>
      <c r="H4839" s="4">
        <v>0</v>
      </c>
      <c r="I4839" s="4">
        <v>-65562225.460000001</v>
      </c>
    </row>
    <row r="4840" spans="1:9" x14ac:dyDescent="0.3">
      <c r="A4840" t="s">
        <v>133</v>
      </c>
      <c r="B4840" s="1">
        <v>45895</v>
      </c>
      <c r="C4840" s="1">
        <v>45895</v>
      </c>
      <c r="D4840">
        <v>924860</v>
      </c>
      <c r="E4840">
        <v>13</v>
      </c>
      <c r="F4840" s="3" t="s">
        <v>4197</v>
      </c>
      <c r="G4840" s="4">
        <v>350000</v>
      </c>
      <c r="H4840" s="4">
        <v>0</v>
      </c>
      <c r="I4840" s="4">
        <v>-65212225.460000001</v>
      </c>
    </row>
    <row r="4841" spans="1:9" x14ac:dyDescent="0.3">
      <c r="A4841" t="s">
        <v>133</v>
      </c>
      <c r="B4841" s="1">
        <v>45895</v>
      </c>
      <c r="C4841" s="1">
        <v>45895</v>
      </c>
      <c r="D4841">
        <v>924862</v>
      </c>
      <c r="E4841">
        <v>12</v>
      </c>
      <c r="F4841" s="3" t="s">
        <v>4198</v>
      </c>
      <c r="G4841" s="4">
        <v>12398.75</v>
      </c>
      <c r="H4841" s="4">
        <v>0</v>
      </c>
      <c r="I4841" s="4">
        <v>-65199826.710000001</v>
      </c>
    </row>
    <row r="4842" spans="1:9" x14ac:dyDescent="0.3">
      <c r="A4842" t="s">
        <v>133</v>
      </c>
      <c r="B4842" s="1">
        <v>45895</v>
      </c>
      <c r="C4842" s="1">
        <v>45895</v>
      </c>
      <c r="D4842">
        <v>924864</v>
      </c>
      <c r="E4842">
        <v>66</v>
      </c>
      <c r="F4842" s="3" t="s">
        <v>4199</v>
      </c>
      <c r="G4842" s="4">
        <v>200000</v>
      </c>
      <c r="H4842" s="4">
        <v>0</v>
      </c>
      <c r="I4842" s="4">
        <v>-64999826.710000001</v>
      </c>
    </row>
    <row r="4843" spans="1:9" x14ac:dyDescent="0.3">
      <c r="A4843" t="s">
        <v>133</v>
      </c>
      <c r="B4843" s="1">
        <v>45895</v>
      </c>
      <c r="C4843" s="1">
        <v>45895</v>
      </c>
      <c r="D4843">
        <v>924867</v>
      </c>
      <c r="E4843">
        <v>382</v>
      </c>
      <c r="F4843" s="3">
        <v>5623820025946</v>
      </c>
      <c r="G4843" s="4">
        <v>2586</v>
      </c>
      <c r="H4843" s="4">
        <v>0</v>
      </c>
      <c r="I4843" s="4">
        <v>-64997240.710000001</v>
      </c>
    </row>
    <row r="4844" spans="1:9" x14ac:dyDescent="0.3">
      <c r="A4844" t="s">
        <v>133</v>
      </c>
      <c r="B4844" s="1">
        <v>45895</v>
      </c>
      <c r="C4844" s="1">
        <v>45895</v>
      </c>
      <c r="D4844">
        <v>924869</v>
      </c>
      <c r="E4844">
        <v>382</v>
      </c>
      <c r="F4844" s="3">
        <v>51243570773</v>
      </c>
      <c r="G4844" s="4">
        <v>991.5</v>
      </c>
      <c r="H4844" s="4">
        <v>0</v>
      </c>
      <c r="I4844" s="4">
        <v>-64996249.210000001</v>
      </c>
    </row>
    <row r="4845" spans="1:9" x14ac:dyDescent="0.3">
      <c r="A4845" t="s">
        <v>133</v>
      </c>
      <c r="B4845" s="1">
        <v>45895</v>
      </c>
      <c r="C4845" s="1">
        <v>45895</v>
      </c>
      <c r="D4845">
        <v>924878</v>
      </c>
      <c r="E4845">
        <v>65</v>
      </c>
      <c r="F4845" s="3" t="s">
        <v>4200</v>
      </c>
      <c r="G4845" s="4">
        <v>200270</v>
      </c>
      <c r="H4845" s="4">
        <v>0</v>
      </c>
      <c r="I4845" s="4">
        <v>-64795979.210000001</v>
      </c>
    </row>
    <row r="4846" spans="1:9" x14ac:dyDescent="0.3">
      <c r="A4846" t="s">
        <v>133</v>
      </c>
      <c r="B4846" s="1">
        <v>45895</v>
      </c>
      <c r="C4846" s="1">
        <v>45895</v>
      </c>
      <c r="D4846">
        <v>924879</v>
      </c>
      <c r="E4846">
        <v>52</v>
      </c>
      <c r="F4846" s="3" t="s">
        <v>4201</v>
      </c>
      <c r="G4846" s="4">
        <v>50107.5</v>
      </c>
      <c r="H4846" s="4">
        <v>0</v>
      </c>
      <c r="I4846" s="4">
        <v>-64745871.710000001</v>
      </c>
    </row>
    <row r="4847" spans="1:9" x14ac:dyDescent="0.3">
      <c r="A4847" t="s">
        <v>133</v>
      </c>
      <c r="B4847" s="1">
        <v>45895</v>
      </c>
      <c r="C4847" s="1">
        <v>45895</v>
      </c>
      <c r="D4847">
        <v>924880</v>
      </c>
      <c r="E4847">
        <v>54</v>
      </c>
      <c r="F4847" s="3" t="s">
        <v>4202</v>
      </c>
      <c r="G4847" s="4">
        <v>250000</v>
      </c>
      <c r="H4847" s="4">
        <v>0</v>
      </c>
      <c r="I4847" s="4">
        <v>-64495871.710000001</v>
      </c>
    </row>
    <row r="4848" spans="1:9" x14ac:dyDescent="0.3">
      <c r="A4848" t="s">
        <v>133</v>
      </c>
      <c r="B4848" s="1">
        <v>45895</v>
      </c>
      <c r="C4848" s="1">
        <v>45895</v>
      </c>
      <c r="D4848">
        <v>924883</v>
      </c>
      <c r="E4848">
        <v>19</v>
      </c>
      <c r="F4848" s="3">
        <v>5610190677905</v>
      </c>
      <c r="G4848" s="4">
        <v>3559</v>
      </c>
      <c r="H4848" s="4">
        <v>0</v>
      </c>
      <c r="I4848" s="4">
        <v>-64492312.710000001</v>
      </c>
    </row>
    <row r="4849" spans="1:9" x14ac:dyDescent="0.3">
      <c r="A4849" t="s">
        <v>133</v>
      </c>
      <c r="B4849" s="1">
        <v>45895</v>
      </c>
      <c r="C4849" s="1">
        <v>45895</v>
      </c>
      <c r="D4849">
        <v>924884</v>
      </c>
      <c r="E4849">
        <v>43</v>
      </c>
      <c r="F4849" s="3" t="s">
        <v>4203</v>
      </c>
      <c r="G4849" s="4">
        <v>5147.75</v>
      </c>
      <c r="H4849" s="4">
        <v>0</v>
      </c>
      <c r="I4849" s="4">
        <v>-64487164.960000001</v>
      </c>
    </row>
    <row r="4850" spans="1:9" x14ac:dyDescent="0.3">
      <c r="A4850" t="s">
        <v>133</v>
      </c>
      <c r="B4850" s="1">
        <v>45895</v>
      </c>
      <c r="C4850" s="1">
        <v>45895</v>
      </c>
      <c r="D4850">
        <v>924886</v>
      </c>
      <c r="E4850">
        <v>43</v>
      </c>
      <c r="F4850" s="3" t="s">
        <v>4204</v>
      </c>
      <c r="G4850" s="4">
        <v>7852.75</v>
      </c>
      <c r="H4850" s="4">
        <v>0</v>
      </c>
      <c r="I4850" s="4">
        <v>-64479312.210000001</v>
      </c>
    </row>
    <row r="4851" spans="1:9" x14ac:dyDescent="0.3">
      <c r="A4851" t="s">
        <v>133</v>
      </c>
      <c r="B4851" s="1">
        <v>45895</v>
      </c>
      <c r="C4851" s="1">
        <v>45895</v>
      </c>
      <c r="D4851">
        <v>924887</v>
      </c>
      <c r="E4851">
        <v>43</v>
      </c>
      <c r="F4851" s="3" t="s">
        <v>4204</v>
      </c>
      <c r="G4851" s="4">
        <v>13763</v>
      </c>
      <c r="H4851" s="4">
        <v>0</v>
      </c>
      <c r="I4851" s="4">
        <v>-64465549.210000001</v>
      </c>
    </row>
    <row r="4852" spans="1:9" x14ac:dyDescent="0.3">
      <c r="A4852" t="s">
        <v>133</v>
      </c>
      <c r="B4852" s="1">
        <v>45895</v>
      </c>
      <c r="C4852" s="1">
        <v>45895</v>
      </c>
      <c r="D4852">
        <v>924888</v>
      </c>
      <c r="E4852">
        <v>76</v>
      </c>
      <c r="F4852" s="3" t="s">
        <v>4205</v>
      </c>
      <c r="G4852" s="4">
        <v>220000</v>
      </c>
      <c r="H4852" s="4">
        <v>0</v>
      </c>
      <c r="I4852" s="4">
        <v>-64245549.210000001</v>
      </c>
    </row>
    <row r="4853" spans="1:9" x14ac:dyDescent="0.3">
      <c r="A4853" t="s">
        <v>133</v>
      </c>
      <c r="B4853" s="1">
        <v>45895</v>
      </c>
      <c r="C4853" s="1">
        <v>45895</v>
      </c>
      <c r="D4853">
        <v>924893</v>
      </c>
      <c r="E4853">
        <v>43</v>
      </c>
      <c r="F4853" s="3" t="s">
        <v>4206</v>
      </c>
      <c r="G4853" s="4">
        <v>244984.25</v>
      </c>
      <c r="H4853" s="4">
        <v>0</v>
      </c>
      <c r="I4853" s="4">
        <v>-64000564.960000001</v>
      </c>
    </row>
    <row r="4854" spans="1:9" x14ac:dyDescent="0.3">
      <c r="A4854" t="s">
        <v>133</v>
      </c>
      <c r="B4854" s="1">
        <v>45895</v>
      </c>
      <c r="C4854" s="1">
        <v>45895</v>
      </c>
      <c r="D4854">
        <v>924894</v>
      </c>
      <c r="E4854">
        <v>24</v>
      </c>
      <c r="F4854" s="3" t="s">
        <v>4207</v>
      </c>
      <c r="G4854" s="4">
        <v>320000</v>
      </c>
      <c r="H4854" s="4">
        <v>0</v>
      </c>
      <c r="I4854" s="4">
        <v>-63680564.960000001</v>
      </c>
    </row>
    <row r="4855" spans="1:9" x14ac:dyDescent="0.3">
      <c r="A4855" t="s">
        <v>133</v>
      </c>
      <c r="B4855" s="1">
        <v>45895</v>
      </c>
      <c r="C4855" s="1">
        <v>45895</v>
      </c>
      <c r="D4855">
        <v>924895</v>
      </c>
      <c r="E4855">
        <v>58</v>
      </c>
      <c r="F4855" s="3" t="s">
        <v>4208</v>
      </c>
      <c r="G4855" s="4">
        <v>250000</v>
      </c>
      <c r="H4855" s="4">
        <v>0</v>
      </c>
      <c r="I4855" s="4">
        <v>-63430564.960000001</v>
      </c>
    </row>
    <row r="4856" spans="1:9" x14ac:dyDescent="0.3">
      <c r="A4856" t="s">
        <v>133</v>
      </c>
      <c r="B4856" s="1">
        <v>45895</v>
      </c>
      <c r="C4856" s="1">
        <v>45895</v>
      </c>
      <c r="D4856">
        <v>924896</v>
      </c>
      <c r="E4856">
        <v>63</v>
      </c>
      <c r="F4856" s="3" t="s">
        <v>4209</v>
      </c>
      <c r="G4856" s="4">
        <v>1226.25</v>
      </c>
      <c r="H4856" s="4">
        <v>0</v>
      </c>
      <c r="I4856" s="4">
        <v>-63429338.710000001</v>
      </c>
    </row>
    <row r="4857" spans="1:9" x14ac:dyDescent="0.3">
      <c r="A4857" t="s">
        <v>133</v>
      </c>
      <c r="B4857" s="1">
        <v>45895</v>
      </c>
      <c r="C4857" s="1">
        <v>45895</v>
      </c>
      <c r="D4857">
        <v>924901</v>
      </c>
      <c r="E4857">
        <v>46</v>
      </c>
      <c r="F4857" s="3" t="s">
        <v>4210</v>
      </c>
      <c r="G4857" s="4">
        <v>108000</v>
      </c>
      <c r="H4857" s="4">
        <v>0</v>
      </c>
      <c r="I4857" s="4">
        <v>-63321338.710000001</v>
      </c>
    </row>
    <row r="4858" spans="1:9" x14ac:dyDescent="0.3">
      <c r="A4858" t="s">
        <v>133</v>
      </c>
      <c r="B4858" s="1">
        <v>45895</v>
      </c>
      <c r="C4858" s="1">
        <v>45895</v>
      </c>
      <c r="D4858">
        <v>924903</v>
      </c>
      <c r="E4858">
        <v>46</v>
      </c>
      <c r="F4858" s="3" t="s">
        <v>4211</v>
      </c>
      <c r="G4858" s="4">
        <v>50000</v>
      </c>
      <c r="H4858" s="4">
        <v>0</v>
      </c>
      <c r="I4858" s="4">
        <v>-63271338.710000001</v>
      </c>
    </row>
    <row r="4859" spans="1:9" x14ac:dyDescent="0.3">
      <c r="A4859" t="s">
        <v>133</v>
      </c>
      <c r="B4859" s="1">
        <v>45895</v>
      </c>
      <c r="C4859" s="1">
        <v>45895</v>
      </c>
      <c r="D4859">
        <v>924904</v>
      </c>
      <c r="E4859">
        <v>46</v>
      </c>
      <c r="F4859" s="3" t="s">
        <v>4212</v>
      </c>
      <c r="G4859" s="4">
        <v>100000</v>
      </c>
      <c r="H4859" s="4">
        <v>0</v>
      </c>
      <c r="I4859" s="4">
        <v>-63171338.710000001</v>
      </c>
    </row>
    <row r="4860" spans="1:9" x14ac:dyDescent="0.3">
      <c r="A4860" t="s">
        <v>133</v>
      </c>
      <c r="B4860" s="1">
        <v>45895</v>
      </c>
      <c r="C4860" s="1">
        <v>45895</v>
      </c>
      <c r="D4860">
        <v>924917</v>
      </c>
      <c r="E4860">
        <v>13</v>
      </c>
      <c r="F4860" s="3" t="s">
        <v>4213</v>
      </c>
      <c r="G4860" s="4">
        <v>10798</v>
      </c>
      <c r="H4860" s="4">
        <v>0</v>
      </c>
      <c r="I4860" s="4">
        <v>-63160540.710000001</v>
      </c>
    </row>
    <row r="4861" spans="1:9" x14ac:dyDescent="0.3">
      <c r="A4861" t="s">
        <v>133</v>
      </c>
      <c r="B4861" s="1">
        <v>45895</v>
      </c>
      <c r="C4861" s="1">
        <v>45895</v>
      </c>
      <c r="D4861">
        <v>924918</v>
      </c>
      <c r="E4861">
        <v>12</v>
      </c>
      <c r="F4861" s="3" t="s">
        <v>4214</v>
      </c>
      <c r="G4861" s="4">
        <v>21548</v>
      </c>
      <c r="H4861" s="4">
        <v>0</v>
      </c>
      <c r="I4861" s="4">
        <v>-63138992.710000001</v>
      </c>
    </row>
    <row r="4862" spans="1:9" x14ac:dyDescent="0.3">
      <c r="A4862" t="s">
        <v>133</v>
      </c>
      <c r="B4862" s="1">
        <v>45895</v>
      </c>
      <c r="C4862" s="1">
        <v>45895</v>
      </c>
      <c r="D4862">
        <v>924919</v>
      </c>
      <c r="E4862">
        <v>46</v>
      </c>
      <c r="F4862" s="3" t="s">
        <v>4215</v>
      </c>
      <c r="G4862" s="4">
        <v>40087.25</v>
      </c>
      <c r="H4862" s="4">
        <v>0</v>
      </c>
      <c r="I4862" s="4">
        <v>-63098905.460000001</v>
      </c>
    </row>
    <row r="4863" spans="1:9" x14ac:dyDescent="0.3">
      <c r="A4863" t="s">
        <v>133</v>
      </c>
      <c r="B4863" s="1">
        <v>45895</v>
      </c>
      <c r="C4863" s="1">
        <v>45895</v>
      </c>
      <c r="D4863">
        <v>924920</v>
      </c>
      <c r="E4863">
        <v>46</v>
      </c>
      <c r="F4863" s="3" t="s">
        <v>4216</v>
      </c>
      <c r="G4863" s="4">
        <v>30974</v>
      </c>
      <c r="H4863" s="4">
        <v>0</v>
      </c>
      <c r="I4863" s="4">
        <v>-63067931.460000001</v>
      </c>
    </row>
    <row r="4864" spans="1:9" x14ac:dyDescent="0.3">
      <c r="A4864" t="s">
        <v>133</v>
      </c>
      <c r="B4864" s="1">
        <v>45895</v>
      </c>
      <c r="C4864" s="1">
        <v>45895</v>
      </c>
      <c r="D4864">
        <v>924926</v>
      </c>
      <c r="E4864">
        <v>74</v>
      </c>
      <c r="F4864" s="3" t="s">
        <v>4217</v>
      </c>
      <c r="G4864" s="4">
        <v>1300000</v>
      </c>
      <c r="H4864" s="4">
        <v>0</v>
      </c>
      <c r="I4864" s="4">
        <v>-61767931.460000001</v>
      </c>
    </row>
    <row r="4865" spans="1:9" x14ac:dyDescent="0.3">
      <c r="A4865" t="s">
        <v>133</v>
      </c>
      <c r="B4865" s="1">
        <v>45895</v>
      </c>
      <c r="C4865" s="1">
        <v>45895</v>
      </c>
      <c r="D4865">
        <v>924928</v>
      </c>
      <c r="E4865">
        <v>46</v>
      </c>
      <c r="F4865" s="3" t="s">
        <v>4218</v>
      </c>
      <c r="G4865" s="4">
        <v>45673</v>
      </c>
      <c r="H4865" s="4">
        <v>0</v>
      </c>
      <c r="I4865" s="4">
        <v>-61722258.460000001</v>
      </c>
    </row>
    <row r="4866" spans="1:9" x14ac:dyDescent="0.3">
      <c r="A4866" t="s">
        <v>133</v>
      </c>
      <c r="B4866" s="1">
        <v>45895</v>
      </c>
      <c r="C4866" s="1">
        <v>45895</v>
      </c>
      <c r="D4866">
        <v>924930</v>
      </c>
      <c r="E4866">
        <v>91</v>
      </c>
      <c r="F4866" s="3" t="s">
        <v>4219</v>
      </c>
      <c r="G4866" s="4">
        <v>350000</v>
      </c>
      <c r="H4866" s="4">
        <v>0</v>
      </c>
      <c r="I4866" s="4">
        <v>-61372258.460000001</v>
      </c>
    </row>
    <row r="4867" spans="1:9" x14ac:dyDescent="0.3">
      <c r="A4867" t="s">
        <v>133</v>
      </c>
      <c r="B4867" s="1">
        <v>45895</v>
      </c>
      <c r="C4867" s="1">
        <v>45895</v>
      </c>
      <c r="D4867">
        <v>924932</v>
      </c>
      <c r="E4867">
        <v>63</v>
      </c>
      <c r="F4867" s="3" t="s">
        <v>4220</v>
      </c>
      <c r="G4867" s="4">
        <v>190000</v>
      </c>
      <c r="H4867" s="4">
        <v>0</v>
      </c>
      <c r="I4867" s="4">
        <v>-61182258.460000001</v>
      </c>
    </row>
    <row r="4868" spans="1:9" x14ac:dyDescent="0.3">
      <c r="A4868" t="s">
        <v>133</v>
      </c>
      <c r="B4868" s="1">
        <v>45895</v>
      </c>
      <c r="C4868" s="1">
        <v>45895</v>
      </c>
      <c r="D4868">
        <v>924935</v>
      </c>
      <c r="E4868">
        <v>85</v>
      </c>
      <c r="F4868" s="3" t="s">
        <v>966</v>
      </c>
      <c r="G4868" s="4">
        <v>410035</v>
      </c>
      <c r="H4868" s="4">
        <v>0</v>
      </c>
      <c r="I4868" s="4">
        <v>-60772223.460000001</v>
      </c>
    </row>
    <row r="4869" spans="1:9" x14ac:dyDescent="0.3">
      <c r="A4869" t="s">
        <v>133</v>
      </c>
      <c r="B4869" s="1">
        <v>45895</v>
      </c>
      <c r="C4869" s="1">
        <v>45895</v>
      </c>
      <c r="D4869">
        <v>924942</v>
      </c>
      <c r="E4869">
        <v>28</v>
      </c>
      <c r="F4869" s="3" t="s">
        <v>4221</v>
      </c>
      <c r="G4869" s="4">
        <v>93547.5</v>
      </c>
      <c r="H4869" s="4">
        <v>0</v>
      </c>
      <c r="I4869" s="4">
        <v>-60678675.960000001</v>
      </c>
    </row>
    <row r="4870" spans="1:9" x14ac:dyDescent="0.3">
      <c r="A4870" t="s">
        <v>133</v>
      </c>
      <c r="B4870" s="1">
        <v>45895</v>
      </c>
      <c r="C4870" s="1">
        <v>45895</v>
      </c>
      <c r="D4870">
        <v>924944</v>
      </c>
      <c r="E4870">
        <v>78</v>
      </c>
      <c r="F4870" s="3" t="s">
        <v>208</v>
      </c>
      <c r="G4870" s="4">
        <v>250000</v>
      </c>
      <c r="H4870" s="4">
        <v>0</v>
      </c>
      <c r="I4870" s="4">
        <v>-60428675.960000001</v>
      </c>
    </row>
    <row r="4871" spans="1:9" x14ac:dyDescent="0.3">
      <c r="A4871" t="s">
        <v>133</v>
      </c>
      <c r="B4871" s="1">
        <v>45895</v>
      </c>
      <c r="C4871" s="1">
        <v>45895</v>
      </c>
      <c r="D4871">
        <v>924945</v>
      </c>
      <c r="E4871">
        <v>32</v>
      </c>
      <c r="F4871" s="3" t="s">
        <v>4222</v>
      </c>
      <c r="G4871" s="4">
        <v>250000</v>
      </c>
      <c r="H4871" s="4">
        <v>0</v>
      </c>
      <c r="I4871" s="4">
        <v>-60178675.960000001</v>
      </c>
    </row>
    <row r="4872" spans="1:9" x14ac:dyDescent="0.3">
      <c r="A4872" t="s">
        <v>133</v>
      </c>
      <c r="B4872" s="1">
        <v>45895</v>
      </c>
      <c r="C4872" s="1">
        <v>45895</v>
      </c>
      <c r="D4872">
        <v>924948</v>
      </c>
      <c r="E4872">
        <v>12</v>
      </c>
      <c r="F4872" s="3" t="s">
        <v>4223</v>
      </c>
      <c r="G4872" s="4">
        <v>187052.5</v>
      </c>
      <c r="H4872" s="4">
        <v>0</v>
      </c>
      <c r="I4872" s="4">
        <v>-59991623.460000001</v>
      </c>
    </row>
    <row r="4873" spans="1:9" x14ac:dyDescent="0.3">
      <c r="A4873" t="s">
        <v>133</v>
      </c>
      <c r="B4873" s="1">
        <v>45895</v>
      </c>
      <c r="C4873" s="1">
        <v>45895</v>
      </c>
      <c r="D4873">
        <v>924950</v>
      </c>
      <c r="E4873">
        <v>67</v>
      </c>
      <c r="F4873" s="3" t="s">
        <v>181</v>
      </c>
      <c r="G4873" s="4">
        <v>210000</v>
      </c>
      <c r="H4873" s="4">
        <v>0</v>
      </c>
      <c r="I4873" s="4">
        <v>-59781623.460000001</v>
      </c>
    </row>
    <row r="4874" spans="1:9" x14ac:dyDescent="0.3">
      <c r="A4874" t="s">
        <v>133</v>
      </c>
      <c r="B4874" s="1">
        <v>45895</v>
      </c>
      <c r="C4874" s="1">
        <v>45895</v>
      </c>
      <c r="D4874">
        <v>924952</v>
      </c>
      <c r="E4874">
        <v>382</v>
      </c>
      <c r="F4874" s="3" t="s">
        <v>4224</v>
      </c>
      <c r="G4874" s="4">
        <v>209670</v>
      </c>
      <c r="H4874" s="4">
        <v>0</v>
      </c>
      <c r="I4874" s="4">
        <v>-59571953.460000001</v>
      </c>
    </row>
    <row r="4875" spans="1:9" x14ac:dyDescent="0.3">
      <c r="A4875" t="s">
        <v>133</v>
      </c>
      <c r="B4875" s="1">
        <v>45895</v>
      </c>
      <c r="C4875" s="1">
        <v>45895</v>
      </c>
      <c r="D4875">
        <v>924955</v>
      </c>
      <c r="E4875">
        <v>282</v>
      </c>
      <c r="F4875" s="3" t="s">
        <v>4225</v>
      </c>
      <c r="G4875" s="4">
        <v>300</v>
      </c>
      <c r="H4875" s="4">
        <v>0</v>
      </c>
      <c r="I4875" s="4">
        <v>-59571653.460000001</v>
      </c>
    </row>
    <row r="4876" spans="1:9" x14ac:dyDescent="0.3">
      <c r="A4876" t="s">
        <v>133</v>
      </c>
      <c r="B4876" s="1">
        <v>45895</v>
      </c>
      <c r="C4876" s="1">
        <v>45895</v>
      </c>
      <c r="D4876">
        <v>924956</v>
      </c>
      <c r="E4876">
        <v>12</v>
      </c>
      <c r="F4876" s="3" t="s">
        <v>4226</v>
      </c>
      <c r="G4876" s="4">
        <v>208486</v>
      </c>
      <c r="H4876" s="4">
        <v>0</v>
      </c>
      <c r="I4876" s="4">
        <v>-59363167.460000001</v>
      </c>
    </row>
    <row r="4877" spans="1:9" x14ac:dyDescent="0.3">
      <c r="A4877" t="s">
        <v>133</v>
      </c>
      <c r="B4877" s="1">
        <v>45895</v>
      </c>
      <c r="C4877" s="1">
        <v>45895</v>
      </c>
      <c r="D4877">
        <v>924958</v>
      </c>
      <c r="E4877">
        <v>382</v>
      </c>
      <c r="F4877" s="3">
        <v>51243510190</v>
      </c>
      <c r="G4877" s="4">
        <v>2586</v>
      </c>
      <c r="H4877" s="4">
        <v>0</v>
      </c>
      <c r="I4877" s="4">
        <v>-59360581.460000001</v>
      </c>
    </row>
    <row r="4878" spans="1:9" x14ac:dyDescent="0.3">
      <c r="A4878" t="s">
        <v>133</v>
      </c>
      <c r="B4878" s="1">
        <v>45895</v>
      </c>
      <c r="C4878" s="1">
        <v>45895</v>
      </c>
      <c r="D4878">
        <v>924959</v>
      </c>
      <c r="E4878">
        <v>52</v>
      </c>
      <c r="F4878" s="3" t="s">
        <v>4227</v>
      </c>
      <c r="G4878" s="4">
        <v>470000</v>
      </c>
      <c r="H4878" s="4">
        <v>0</v>
      </c>
      <c r="I4878" s="4">
        <v>-58890581.460000001</v>
      </c>
    </row>
    <row r="4879" spans="1:9" x14ac:dyDescent="0.3">
      <c r="A4879" t="s">
        <v>133</v>
      </c>
      <c r="B4879" s="1">
        <v>45895</v>
      </c>
      <c r="C4879" s="1">
        <v>45895</v>
      </c>
      <c r="D4879">
        <v>924962</v>
      </c>
      <c r="E4879">
        <v>210</v>
      </c>
      <c r="F4879" s="3" t="s">
        <v>941</v>
      </c>
      <c r="G4879" s="4">
        <v>779045</v>
      </c>
      <c r="H4879" s="4">
        <v>0</v>
      </c>
      <c r="I4879" s="4">
        <v>-58111536.460000001</v>
      </c>
    </row>
    <row r="4880" spans="1:9" x14ac:dyDescent="0.3">
      <c r="A4880" t="s">
        <v>133</v>
      </c>
      <c r="B4880" s="1">
        <v>45895</v>
      </c>
      <c r="C4880" s="1">
        <v>45895</v>
      </c>
      <c r="D4880">
        <v>924964</v>
      </c>
      <c r="E4880">
        <v>38</v>
      </c>
      <c r="F4880" s="3" t="s">
        <v>4228</v>
      </c>
      <c r="G4880" s="4">
        <v>138682</v>
      </c>
      <c r="H4880" s="4">
        <v>0</v>
      </c>
      <c r="I4880" s="4">
        <v>-57972854.460000001</v>
      </c>
    </row>
    <row r="4881" spans="1:9" x14ac:dyDescent="0.3">
      <c r="A4881" t="s">
        <v>133</v>
      </c>
      <c r="B4881" s="1">
        <v>45895</v>
      </c>
      <c r="C4881" s="1">
        <v>45895</v>
      </c>
      <c r="D4881">
        <v>924966</v>
      </c>
      <c r="E4881">
        <v>72</v>
      </c>
      <c r="F4881" s="3" t="s">
        <v>4229</v>
      </c>
      <c r="G4881" s="4">
        <v>460000</v>
      </c>
      <c r="H4881" s="4">
        <v>0</v>
      </c>
      <c r="I4881" s="4">
        <v>-57512854.460000001</v>
      </c>
    </row>
    <row r="4882" spans="1:9" x14ac:dyDescent="0.3">
      <c r="A4882" t="s">
        <v>133</v>
      </c>
      <c r="B4882" s="1">
        <v>45895</v>
      </c>
      <c r="C4882" s="1">
        <v>45895</v>
      </c>
      <c r="D4882">
        <v>924971</v>
      </c>
      <c r="E4882">
        <v>11</v>
      </c>
      <c r="F4882" s="3" t="s">
        <v>4230</v>
      </c>
      <c r="G4882" s="4">
        <v>950000</v>
      </c>
      <c r="H4882" s="4">
        <v>0</v>
      </c>
      <c r="I4882" s="4">
        <v>-56562854.460000001</v>
      </c>
    </row>
    <row r="4883" spans="1:9" x14ac:dyDescent="0.3">
      <c r="A4883" t="s">
        <v>133</v>
      </c>
      <c r="B4883" s="1">
        <v>45895</v>
      </c>
      <c r="C4883" s="1">
        <v>45895</v>
      </c>
      <c r="D4883">
        <v>924973</v>
      </c>
      <c r="E4883">
        <v>70</v>
      </c>
      <c r="F4883" s="3" t="s">
        <v>4231</v>
      </c>
      <c r="G4883" s="4">
        <v>403000</v>
      </c>
      <c r="H4883" s="4">
        <v>0</v>
      </c>
      <c r="I4883" s="4">
        <v>-56159854.460000001</v>
      </c>
    </row>
    <row r="4884" spans="1:9" x14ac:dyDescent="0.3">
      <c r="A4884" t="s">
        <v>133</v>
      </c>
      <c r="B4884" s="1">
        <v>45895</v>
      </c>
      <c r="C4884" s="1">
        <v>45895</v>
      </c>
      <c r="D4884">
        <v>924974</v>
      </c>
      <c r="E4884">
        <v>82</v>
      </c>
      <c r="F4884" s="3" t="s">
        <v>685</v>
      </c>
      <c r="G4884" s="4">
        <v>330000</v>
      </c>
      <c r="H4884" s="4">
        <v>0</v>
      </c>
      <c r="I4884" s="4">
        <v>-55829854.460000001</v>
      </c>
    </row>
    <row r="4885" spans="1:9" x14ac:dyDescent="0.3">
      <c r="A4885" t="s">
        <v>133</v>
      </c>
      <c r="B4885" s="1">
        <v>45895</v>
      </c>
      <c r="C4885" s="1">
        <v>45895</v>
      </c>
      <c r="D4885">
        <v>924975</v>
      </c>
      <c r="E4885">
        <v>38</v>
      </c>
      <c r="F4885" s="3" t="s">
        <v>4232</v>
      </c>
      <c r="G4885" s="4">
        <v>392.25</v>
      </c>
      <c r="H4885" s="4">
        <v>0</v>
      </c>
      <c r="I4885" s="4">
        <v>-55829462.210000001</v>
      </c>
    </row>
    <row r="4886" spans="1:9" x14ac:dyDescent="0.3">
      <c r="A4886" t="s">
        <v>133</v>
      </c>
      <c r="B4886" s="1">
        <v>45895</v>
      </c>
      <c r="C4886" s="1">
        <v>45895</v>
      </c>
      <c r="D4886">
        <v>924976</v>
      </c>
      <c r="E4886">
        <v>38</v>
      </c>
      <c r="F4886" s="3" t="s">
        <v>962</v>
      </c>
      <c r="G4886" s="4">
        <v>64406.25</v>
      </c>
      <c r="H4886" s="4">
        <v>0</v>
      </c>
      <c r="I4886" s="4">
        <v>-55765055.960000001</v>
      </c>
    </row>
    <row r="4887" spans="1:9" x14ac:dyDescent="0.3">
      <c r="A4887" t="s">
        <v>133</v>
      </c>
      <c r="B4887" s="1">
        <v>45895</v>
      </c>
      <c r="C4887" s="1">
        <v>45895</v>
      </c>
      <c r="D4887">
        <v>924977</v>
      </c>
      <c r="E4887">
        <v>361</v>
      </c>
      <c r="F4887" s="3">
        <v>101021684443</v>
      </c>
      <c r="G4887" s="4">
        <v>220000</v>
      </c>
      <c r="H4887" s="4">
        <v>0</v>
      </c>
      <c r="I4887" s="4">
        <v>-55545055.960000001</v>
      </c>
    </row>
    <row r="4888" spans="1:9" x14ac:dyDescent="0.3">
      <c r="A4888" t="s">
        <v>133</v>
      </c>
      <c r="B4888" s="1">
        <v>45895</v>
      </c>
      <c r="C4888" s="1">
        <v>45895</v>
      </c>
      <c r="D4888">
        <v>924979</v>
      </c>
      <c r="E4888">
        <v>91</v>
      </c>
      <c r="F4888" s="3" t="s">
        <v>4233</v>
      </c>
      <c r="G4888" s="4">
        <v>50000</v>
      </c>
      <c r="H4888" s="4">
        <v>0</v>
      </c>
      <c r="I4888" s="4">
        <v>-55495055.960000001</v>
      </c>
    </row>
    <row r="4889" spans="1:9" x14ac:dyDescent="0.3">
      <c r="A4889" t="s">
        <v>133</v>
      </c>
      <c r="B4889" s="1">
        <v>45895</v>
      </c>
      <c r="C4889" s="1">
        <v>45895</v>
      </c>
      <c r="D4889">
        <v>924982</v>
      </c>
      <c r="E4889">
        <v>12</v>
      </c>
      <c r="F4889" s="3" t="s">
        <v>4234</v>
      </c>
      <c r="G4889" s="4">
        <v>36800.5</v>
      </c>
      <c r="H4889" s="4">
        <v>0</v>
      </c>
      <c r="I4889" s="4">
        <v>-55458255.460000001</v>
      </c>
    </row>
    <row r="4890" spans="1:9" x14ac:dyDescent="0.3">
      <c r="A4890" t="s">
        <v>133</v>
      </c>
      <c r="B4890" s="1">
        <v>45895</v>
      </c>
      <c r="C4890" s="1">
        <v>45895</v>
      </c>
      <c r="D4890">
        <v>924983</v>
      </c>
      <c r="E4890">
        <v>86</v>
      </c>
      <c r="F4890" s="3">
        <v>8260</v>
      </c>
      <c r="G4890" s="4">
        <v>1056</v>
      </c>
      <c r="H4890" s="4">
        <v>0</v>
      </c>
      <c r="I4890" s="4">
        <v>-55457199.460000001</v>
      </c>
    </row>
    <row r="4891" spans="1:9" x14ac:dyDescent="0.3">
      <c r="A4891" t="s">
        <v>133</v>
      </c>
      <c r="B4891" s="1">
        <v>45895</v>
      </c>
      <c r="C4891" s="1">
        <v>45895</v>
      </c>
      <c r="D4891">
        <v>924984</v>
      </c>
      <c r="E4891">
        <v>56</v>
      </c>
      <c r="F4891" s="3" t="s">
        <v>2134</v>
      </c>
      <c r="G4891" s="4">
        <v>300000</v>
      </c>
      <c r="H4891" s="4">
        <v>0</v>
      </c>
      <c r="I4891" s="4">
        <v>-55157199.460000001</v>
      </c>
    </row>
    <row r="4892" spans="1:9" x14ac:dyDescent="0.3">
      <c r="A4892" t="s">
        <v>133</v>
      </c>
      <c r="B4892" s="1">
        <v>45895</v>
      </c>
      <c r="C4892" s="1">
        <v>45895</v>
      </c>
      <c r="D4892">
        <v>924988</v>
      </c>
      <c r="E4892">
        <v>307</v>
      </c>
      <c r="F4892" s="3" t="s">
        <v>1933</v>
      </c>
      <c r="G4892" s="4">
        <v>303900</v>
      </c>
      <c r="H4892" s="4">
        <v>0</v>
      </c>
      <c r="I4892" s="4">
        <v>-54853299.460000001</v>
      </c>
    </row>
    <row r="4893" spans="1:9" x14ac:dyDescent="0.3">
      <c r="A4893" t="s">
        <v>133</v>
      </c>
      <c r="B4893" s="1">
        <v>45895</v>
      </c>
      <c r="C4893" s="1">
        <v>45895</v>
      </c>
      <c r="D4893">
        <v>924989</v>
      </c>
      <c r="E4893">
        <v>15</v>
      </c>
      <c r="F4893" s="3" t="s">
        <v>4235</v>
      </c>
      <c r="G4893" s="4">
        <v>150000</v>
      </c>
      <c r="H4893" s="4">
        <v>0</v>
      </c>
      <c r="I4893" s="4">
        <v>-54703299.460000001</v>
      </c>
    </row>
    <row r="4894" spans="1:9" x14ac:dyDescent="0.3">
      <c r="A4894" t="s">
        <v>133</v>
      </c>
      <c r="B4894" s="1">
        <v>45895</v>
      </c>
      <c r="C4894" s="1">
        <v>45895</v>
      </c>
      <c r="D4894">
        <v>924992</v>
      </c>
      <c r="E4894">
        <v>88</v>
      </c>
      <c r="F4894" s="3" t="s">
        <v>4236</v>
      </c>
      <c r="G4894" s="4">
        <v>5613</v>
      </c>
      <c r="H4894" s="4">
        <v>0</v>
      </c>
      <c r="I4894" s="4">
        <v>-54697686.460000001</v>
      </c>
    </row>
    <row r="4895" spans="1:9" x14ac:dyDescent="0.3">
      <c r="A4895" t="s">
        <v>133</v>
      </c>
      <c r="B4895" s="1">
        <v>45895</v>
      </c>
      <c r="C4895" s="1">
        <v>45895</v>
      </c>
      <c r="D4895">
        <v>924993</v>
      </c>
      <c r="E4895">
        <v>28</v>
      </c>
      <c r="F4895" s="3" t="s">
        <v>4237</v>
      </c>
      <c r="G4895" s="4">
        <v>16345.75</v>
      </c>
      <c r="H4895" s="4">
        <v>0</v>
      </c>
      <c r="I4895" s="4">
        <v>-54681340.710000001</v>
      </c>
    </row>
    <row r="4896" spans="1:9" x14ac:dyDescent="0.3">
      <c r="A4896" t="s">
        <v>133</v>
      </c>
      <c r="B4896" s="1">
        <v>45895</v>
      </c>
      <c r="C4896" s="1">
        <v>45895</v>
      </c>
      <c r="D4896">
        <v>924994</v>
      </c>
      <c r="E4896">
        <v>27</v>
      </c>
      <c r="F4896" s="3" t="s">
        <v>4238</v>
      </c>
      <c r="G4896" s="4">
        <v>403398.25</v>
      </c>
      <c r="H4896" s="4">
        <v>0</v>
      </c>
      <c r="I4896" s="4">
        <v>-54277942.460000001</v>
      </c>
    </row>
    <row r="4897" spans="1:9" x14ac:dyDescent="0.3">
      <c r="A4897" t="s">
        <v>133</v>
      </c>
      <c r="B4897" s="1">
        <v>45895</v>
      </c>
      <c r="C4897" s="1">
        <v>45895</v>
      </c>
      <c r="D4897">
        <v>924995</v>
      </c>
      <c r="E4897">
        <v>77</v>
      </c>
      <c r="F4897" s="3" t="s">
        <v>4239</v>
      </c>
      <c r="G4897" s="4">
        <v>300000</v>
      </c>
      <c r="H4897" s="4">
        <v>0</v>
      </c>
      <c r="I4897" s="4">
        <v>-53977942.460000001</v>
      </c>
    </row>
    <row r="4898" spans="1:9" x14ac:dyDescent="0.3">
      <c r="A4898" t="s">
        <v>133</v>
      </c>
      <c r="B4898" s="1">
        <v>45895</v>
      </c>
      <c r="C4898" s="1">
        <v>45895</v>
      </c>
      <c r="D4898">
        <v>924997</v>
      </c>
      <c r="E4898">
        <v>351</v>
      </c>
      <c r="F4898" s="3" t="s">
        <v>4240</v>
      </c>
      <c r="G4898" s="4">
        <v>570000</v>
      </c>
      <c r="H4898" s="4">
        <v>0</v>
      </c>
      <c r="I4898" s="4">
        <v>-53407942.460000001</v>
      </c>
    </row>
    <row r="4899" spans="1:9" x14ac:dyDescent="0.3">
      <c r="A4899" t="s">
        <v>133</v>
      </c>
      <c r="B4899" s="1">
        <v>45895</v>
      </c>
      <c r="C4899" s="1">
        <v>45895</v>
      </c>
      <c r="D4899">
        <v>924998</v>
      </c>
      <c r="E4899">
        <v>310</v>
      </c>
      <c r="F4899" s="3" t="s">
        <v>181</v>
      </c>
      <c r="G4899" s="4">
        <v>300000</v>
      </c>
      <c r="H4899" s="4">
        <v>0</v>
      </c>
      <c r="I4899" s="4">
        <v>-53107942.460000001</v>
      </c>
    </row>
    <row r="4900" spans="1:9" x14ac:dyDescent="0.3">
      <c r="A4900" t="s">
        <v>133</v>
      </c>
      <c r="B4900" s="1">
        <v>45895</v>
      </c>
      <c r="C4900" s="1">
        <v>45895</v>
      </c>
      <c r="D4900">
        <v>925000</v>
      </c>
      <c r="E4900">
        <v>27</v>
      </c>
      <c r="F4900" s="3" t="s">
        <v>4241</v>
      </c>
      <c r="G4900" s="4">
        <v>77368</v>
      </c>
      <c r="H4900" s="4">
        <v>0</v>
      </c>
      <c r="I4900" s="4">
        <v>-53030574.460000001</v>
      </c>
    </row>
    <row r="4901" spans="1:9" x14ac:dyDescent="0.3">
      <c r="A4901" t="s">
        <v>133</v>
      </c>
      <c r="B4901" s="1">
        <v>45895</v>
      </c>
      <c r="C4901" s="1">
        <v>45895</v>
      </c>
      <c r="D4901">
        <v>925001</v>
      </c>
      <c r="E4901">
        <v>61</v>
      </c>
      <c r="F4901" s="3" t="s">
        <v>4242</v>
      </c>
      <c r="G4901" s="4">
        <v>250000</v>
      </c>
      <c r="H4901" s="4">
        <v>0</v>
      </c>
      <c r="I4901" s="4">
        <v>-52780574.460000001</v>
      </c>
    </row>
    <row r="4902" spans="1:9" x14ac:dyDescent="0.3">
      <c r="A4902" t="s">
        <v>133</v>
      </c>
      <c r="B4902" s="1">
        <v>45895</v>
      </c>
      <c r="C4902" s="1">
        <v>45895</v>
      </c>
      <c r="D4902">
        <v>925003</v>
      </c>
      <c r="E4902">
        <v>53</v>
      </c>
      <c r="F4902" s="3" t="s">
        <v>4243</v>
      </c>
      <c r="G4902" s="4">
        <v>168000</v>
      </c>
      <c r="H4902" s="4">
        <v>0</v>
      </c>
      <c r="I4902" s="4">
        <v>-52612574.460000001</v>
      </c>
    </row>
    <row r="4903" spans="1:9" x14ac:dyDescent="0.3">
      <c r="A4903" t="s">
        <v>133</v>
      </c>
      <c r="B4903" s="1">
        <v>45895</v>
      </c>
      <c r="C4903" s="1">
        <v>45895</v>
      </c>
      <c r="D4903">
        <v>925004</v>
      </c>
      <c r="E4903">
        <v>89</v>
      </c>
      <c r="F4903" s="3" t="s">
        <v>4244</v>
      </c>
      <c r="G4903" s="4">
        <v>850000</v>
      </c>
      <c r="H4903" s="4">
        <v>0</v>
      </c>
      <c r="I4903" s="4">
        <v>-51762574.460000001</v>
      </c>
    </row>
    <row r="4904" spans="1:9" x14ac:dyDescent="0.3">
      <c r="A4904" t="s">
        <v>133</v>
      </c>
      <c r="B4904" s="1">
        <v>45895</v>
      </c>
      <c r="C4904" s="1">
        <v>45895</v>
      </c>
      <c r="D4904">
        <v>925020</v>
      </c>
      <c r="E4904">
        <v>27</v>
      </c>
      <c r="F4904" s="3" t="s">
        <v>4245</v>
      </c>
      <c r="G4904" s="4">
        <v>100032.5</v>
      </c>
      <c r="H4904" s="4">
        <v>0</v>
      </c>
      <c r="I4904" s="4">
        <v>-51662541.960000001</v>
      </c>
    </row>
    <row r="4905" spans="1:9" x14ac:dyDescent="0.3">
      <c r="A4905" t="s">
        <v>133</v>
      </c>
      <c r="B4905" s="1">
        <v>45895</v>
      </c>
      <c r="C4905" s="1">
        <v>45895</v>
      </c>
      <c r="D4905">
        <v>925021</v>
      </c>
      <c r="E4905">
        <v>23</v>
      </c>
      <c r="F4905" s="3" t="s">
        <v>4246</v>
      </c>
      <c r="G4905" s="4">
        <v>900000</v>
      </c>
      <c r="H4905" s="4">
        <v>0</v>
      </c>
      <c r="I4905" s="4">
        <v>-50762541.960000001</v>
      </c>
    </row>
    <row r="4906" spans="1:9" x14ac:dyDescent="0.3">
      <c r="A4906" t="s">
        <v>133</v>
      </c>
      <c r="B4906" s="1">
        <v>45895</v>
      </c>
      <c r="C4906" s="1">
        <v>45895</v>
      </c>
      <c r="D4906">
        <v>925023</v>
      </c>
      <c r="E4906">
        <v>63</v>
      </c>
      <c r="F4906" s="3" t="s">
        <v>4247</v>
      </c>
      <c r="G4906" s="4">
        <v>56678.75</v>
      </c>
      <c r="H4906" s="4">
        <v>0</v>
      </c>
      <c r="I4906" s="4">
        <v>-50705863.210000001</v>
      </c>
    </row>
    <row r="4907" spans="1:9" x14ac:dyDescent="0.3">
      <c r="A4907" t="s">
        <v>133</v>
      </c>
      <c r="B4907" s="1">
        <v>45895</v>
      </c>
      <c r="C4907" s="1">
        <v>45895</v>
      </c>
      <c r="D4907">
        <v>925024</v>
      </c>
      <c r="E4907">
        <v>27</v>
      </c>
      <c r="F4907" s="3" t="s">
        <v>4248</v>
      </c>
      <c r="G4907" s="4">
        <v>74882.25</v>
      </c>
      <c r="H4907" s="4">
        <v>0</v>
      </c>
      <c r="I4907" s="4">
        <v>-50630980.960000001</v>
      </c>
    </row>
    <row r="4908" spans="1:9" x14ac:dyDescent="0.3">
      <c r="A4908" t="s">
        <v>133</v>
      </c>
      <c r="B4908" s="1">
        <v>45895</v>
      </c>
      <c r="C4908" s="1">
        <v>45895</v>
      </c>
      <c r="D4908">
        <v>925025</v>
      </c>
      <c r="E4908">
        <v>62</v>
      </c>
      <c r="F4908" s="3" t="s">
        <v>4249</v>
      </c>
      <c r="G4908" s="4">
        <v>350000</v>
      </c>
      <c r="H4908" s="4">
        <v>0</v>
      </c>
      <c r="I4908" s="4">
        <v>-50280980.960000001</v>
      </c>
    </row>
    <row r="4909" spans="1:9" x14ac:dyDescent="0.3">
      <c r="A4909" t="s">
        <v>133</v>
      </c>
      <c r="B4909" s="1">
        <v>45895</v>
      </c>
      <c r="C4909" s="1">
        <v>45895</v>
      </c>
      <c r="D4909">
        <v>925026</v>
      </c>
      <c r="E4909">
        <v>84</v>
      </c>
      <c r="F4909" s="3" t="s">
        <v>4250</v>
      </c>
      <c r="G4909" s="4">
        <v>348142</v>
      </c>
      <c r="H4909" s="4">
        <v>0</v>
      </c>
      <c r="I4909" s="4">
        <v>-49932838.960000001</v>
      </c>
    </row>
    <row r="4910" spans="1:9" x14ac:dyDescent="0.3">
      <c r="A4910" t="s">
        <v>133</v>
      </c>
      <c r="B4910" s="1">
        <v>45895</v>
      </c>
      <c r="C4910" s="1">
        <v>45895</v>
      </c>
      <c r="D4910">
        <v>925030</v>
      </c>
      <c r="E4910">
        <v>80</v>
      </c>
      <c r="F4910" s="3" t="s">
        <v>4022</v>
      </c>
      <c r="G4910" s="4">
        <v>190000</v>
      </c>
      <c r="H4910" s="4">
        <v>0</v>
      </c>
      <c r="I4910" s="4">
        <v>-49742838.960000001</v>
      </c>
    </row>
    <row r="4911" spans="1:9" x14ac:dyDescent="0.3">
      <c r="A4911" t="s">
        <v>133</v>
      </c>
      <c r="B4911" s="1">
        <v>45895</v>
      </c>
      <c r="C4911" s="1">
        <v>45895</v>
      </c>
      <c r="D4911">
        <v>925032</v>
      </c>
      <c r="E4911">
        <v>38</v>
      </c>
      <c r="F4911" s="3">
        <v>88</v>
      </c>
      <c r="G4911" s="4">
        <v>34867.75</v>
      </c>
      <c r="H4911" s="4">
        <v>0</v>
      </c>
      <c r="I4911" s="4">
        <v>-49707971.210000001</v>
      </c>
    </row>
    <row r="4912" spans="1:9" x14ac:dyDescent="0.3">
      <c r="A4912" t="s">
        <v>133</v>
      </c>
      <c r="B4912" s="1">
        <v>45895</v>
      </c>
      <c r="C4912" s="1">
        <v>45895</v>
      </c>
      <c r="D4912">
        <v>925034</v>
      </c>
      <c r="E4912">
        <v>27</v>
      </c>
      <c r="F4912" s="3" t="s">
        <v>4251</v>
      </c>
      <c r="G4912" s="4">
        <v>200000</v>
      </c>
      <c r="H4912" s="4">
        <v>0</v>
      </c>
      <c r="I4912" s="4">
        <v>-49507971.210000001</v>
      </c>
    </row>
    <row r="4913" spans="1:9" x14ac:dyDescent="0.3">
      <c r="A4913" t="s">
        <v>133</v>
      </c>
      <c r="B4913" s="1">
        <v>45895</v>
      </c>
      <c r="C4913" s="1">
        <v>45895</v>
      </c>
      <c r="D4913">
        <v>925035</v>
      </c>
      <c r="E4913">
        <v>63</v>
      </c>
      <c r="F4913" s="3" t="s">
        <v>4252</v>
      </c>
      <c r="G4913" s="4">
        <v>110706.25</v>
      </c>
      <c r="H4913" s="4">
        <v>0</v>
      </c>
      <c r="I4913" s="4">
        <v>-49397264.960000001</v>
      </c>
    </row>
    <row r="4914" spans="1:9" x14ac:dyDescent="0.3">
      <c r="A4914" t="s">
        <v>133</v>
      </c>
      <c r="B4914" s="1">
        <v>45895</v>
      </c>
      <c r="C4914" s="1">
        <v>45895</v>
      </c>
      <c r="D4914">
        <v>925036</v>
      </c>
      <c r="E4914">
        <v>97</v>
      </c>
      <c r="F4914" s="3" t="s">
        <v>4253</v>
      </c>
      <c r="G4914" s="4">
        <v>260000</v>
      </c>
      <c r="H4914" s="4">
        <v>0</v>
      </c>
      <c r="I4914" s="4">
        <v>-49137264.960000001</v>
      </c>
    </row>
    <row r="4915" spans="1:9" x14ac:dyDescent="0.3">
      <c r="A4915" t="s">
        <v>133</v>
      </c>
      <c r="B4915" s="1">
        <v>45895</v>
      </c>
      <c r="C4915" s="1">
        <v>45895</v>
      </c>
      <c r="D4915">
        <v>925039</v>
      </c>
      <c r="E4915">
        <v>91</v>
      </c>
      <c r="F4915" s="3">
        <v>749430</v>
      </c>
      <c r="G4915" s="4">
        <v>23234.5</v>
      </c>
      <c r="H4915" s="4">
        <v>0</v>
      </c>
      <c r="I4915" s="4">
        <v>-49114030.460000001</v>
      </c>
    </row>
    <row r="4916" spans="1:9" x14ac:dyDescent="0.3">
      <c r="A4916" t="s">
        <v>133</v>
      </c>
      <c r="B4916" s="1">
        <v>45895</v>
      </c>
      <c r="C4916" s="1">
        <v>45895</v>
      </c>
      <c r="D4916">
        <v>925040</v>
      </c>
      <c r="E4916">
        <v>98</v>
      </c>
      <c r="F4916" s="3" t="s">
        <v>4254</v>
      </c>
      <c r="G4916" s="4">
        <v>100000</v>
      </c>
      <c r="H4916" s="4">
        <v>0</v>
      </c>
      <c r="I4916" s="4">
        <v>-49014030.460000001</v>
      </c>
    </row>
    <row r="4917" spans="1:9" x14ac:dyDescent="0.3">
      <c r="A4917" t="s">
        <v>133</v>
      </c>
      <c r="B4917" s="1">
        <v>45895</v>
      </c>
      <c r="C4917" s="1">
        <v>45895</v>
      </c>
      <c r="D4917">
        <v>925041</v>
      </c>
      <c r="E4917">
        <v>282</v>
      </c>
      <c r="F4917" s="3">
        <v>51247757585</v>
      </c>
      <c r="G4917" s="4">
        <v>79464.75</v>
      </c>
      <c r="H4917" s="4">
        <v>0</v>
      </c>
      <c r="I4917" s="4">
        <v>-48934565.710000001</v>
      </c>
    </row>
    <row r="4918" spans="1:9" x14ac:dyDescent="0.3">
      <c r="A4918" t="s">
        <v>133</v>
      </c>
      <c r="B4918" s="1">
        <v>45895</v>
      </c>
      <c r="C4918" s="1">
        <v>45895</v>
      </c>
      <c r="D4918">
        <v>925049</v>
      </c>
      <c r="E4918">
        <v>98</v>
      </c>
      <c r="F4918" s="3" t="s">
        <v>4255</v>
      </c>
      <c r="G4918" s="4">
        <v>138551</v>
      </c>
      <c r="H4918" s="4">
        <v>0</v>
      </c>
      <c r="I4918" s="4">
        <v>-48796014.710000001</v>
      </c>
    </row>
    <row r="4919" spans="1:9" x14ac:dyDescent="0.3">
      <c r="A4919" t="s">
        <v>133</v>
      </c>
      <c r="B4919" s="1">
        <v>45895</v>
      </c>
      <c r="C4919" s="1">
        <v>45895</v>
      </c>
      <c r="D4919">
        <v>925057</v>
      </c>
      <c r="E4919">
        <v>98</v>
      </c>
      <c r="F4919" s="3" t="s">
        <v>4256</v>
      </c>
      <c r="G4919" s="4">
        <v>470092</v>
      </c>
      <c r="H4919" s="4">
        <v>0</v>
      </c>
      <c r="I4919" s="4">
        <v>-48325922.710000001</v>
      </c>
    </row>
    <row r="4920" spans="1:9" x14ac:dyDescent="0.3">
      <c r="A4920" t="s">
        <v>133</v>
      </c>
      <c r="B4920" s="1">
        <v>45895</v>
      </c>
      <c r="C4920" s="1">
        <v>45895</v>
      </c>
      <c r="D4920">
        <v>925065</v>
      </c>
      <c r="E4920">
        <v>44</v>
      </c>
      <c r="F4920" s="3" t="s">
        <v>4257</v>
      </c>
      <c r="G4920" s="4">
        <v>134423.75</v>
      </c>
      <c r="H4920" s="4">
        <v>0</v>
      </c>
      <c r="I4920" s="4">
        <v>-48191498.960000001</v>
      </c>
    </row>
    <row r="4921" spans="1:9" x14ac:dyDescent="0.3">
      <c r="A4921" t="s">
        <v>133</v>
      </c>
      <c r="B4921" s="1">
        <v>45895</v>
      </c>
      <c r="C4921" s="1">
        <v>45895</v>
      </c>
      <c r="D4921">
        <v>925069</v>
      </c>
      <c r="E4921">
        <v>382</v>
      </c>
      <c r="F4921" s="3" t="s">
        <v>4258</v>
      </c>
      <c r="G4921" s="4">
        <v>314755</v>
      </c>
      <c r="H4921" s="4">
        <v>0</v>
      </c>
      <c r="I4921" s="4">
        <v>-47876743.960000001</v>
      </c>
    </row>
    <row r="4922" spans="1:9" x14ac:dyDescent="0.3">
      <c r="A4922" t="s">
        <v>133</v>
      </c>
      <c r="B4922" s="1">
        <v>45895</v>
      </c>
      <c r="C4922" s="1">
        <v>45895</v>
      </c>
      <c r="D4922">
        <v>925079</v>
      </c>
      <c r="E4922">
        <v>53</v>
      </c>
      <c r="F4922" s="3" t="s">
        <v>4259</v>
      </c>
      <c r="G4922" s="4">
        <v>21008.25</v>
      </c>
      <c r="H4922" s="4">
        <v>0</v>
      </c>
      <c r="I4922" s="4">
        <v>-47855735.710000001</v>
      </c>
    </row>
    <row r="4923" spans="1:9" x14ac:dyDescent="0.3">
      <c r="A4923" t="s">
        <v>133</v>
      </c>
      <c r="B4923" s="1">
        <v>45895</v>
      </c>
      <c r="C4923" s="1">
        <v>45895</v>
      </c>
      <c r="D4923">
        <v>925089</v>
      </c>
      <c r="E4923">
        <v>81</v>
      </c>
      <c r="F4923" s="3" t="s">
        <v>4260</v>
      </c>
      <c r="G4923" s="4">
        <v>50700</v>
      </c>
      <c r="H4923" s="4">
        <v>0</v>
      </c>
      <c r="I4923" s="4">
        <v>-47805035.710000001</v>
      </c>
    </row>
    <row r="4924" spans="1:9" x14ac:dyDescent="0.3">
      <c r="A4924" t="s">
        <v>1</v>
      </c>
      <c r="B4924" s="1">
        <v>45895</v>
      </c>
      <c r="C4924" s="1">
        <v>45896</v>
      </c>
      <c r="D4924">
        <v>103141</v>
      </c>
      <c r="E4924">
        <v>100</v>
      </c>
      <c r="F4924" s="3" t="s">
        <v>4261</v>
      </c>
      <c r="G4924" s="4">
        <v>5400</v>
      </c>
      <c r="I4924" s="4">
        <v>-47799635.710000001</v>
      </c>
    </row>
    <row r="4925" spans="1:9" x14ac:dyDescent="0.3">
      <c r="A4925" t="s">
        <v>1</v>
      </c>
      <c r="B4925" s="1">
        <v>45895</v>
      </c>
      <c r="C4925" s="1">
        <v>45896</v>
      </c>
      <c r="D4925">
        <v>103155</v>
      </c>
      <c r="E4925">
        <v>100</v>
      </c>
      <c r="F4925" s="3" t="s">
        <v>4262</v>
      </c>
      <c r="G4925" s="4">
        <v>26170</v>
      </c>
      <c r="I4925" s="4">
        <v>-47773465.710000001</v>
      </c>
    </row>
    <row r="4926" spans="1:9" x14ac:dyDescent="0.3">
      <c r="A4926" t="s">
        <v>1</v>
      </c>
      <c r="B4926" s="1">
        <v>45894</v>
      </c>
      <c r="C4926" s="1">
        <v>45896</v>
      </c>
      <c r="D4926">
        <v>103159</v>
      </c>
      <c r="E4926">
        <v>100</v>
      </c>
      <c r="F4926" s="3" t="s">
        <v>4263</v>
      </c>
      <c r="G4926" s="4">
        <v>56050</v>
      </c>
      <c r="I4926" s="4">
        <v>-47717415.710000001</v>
      </c>
    </row>
    <row r="4927" spans="1:9" x14ac:dyDescent="0.3">
      <c r="A4927" t="s">
        <v>1</v>
      </c>
      <c r="B4927" s="1">
        <v>45895</v>
      </c>
      <c r="C4927" s="1">
        <v>45896</v>
      </c>
      <c r="D4927">
        <v>103164</v>
      </c>
      <c r="E4927">
        <v>100</v>
      </c>
      <c r="F4927" s="3" t="s">
        <v>4264</v>
      </c>
      <c r="G4927" s="4">
        <v>96600</v>
      </c>
      <c r="I4927" s="4">
        <v>-47620815.710000001</v>
      </c>
    </row>
    <row r="4928" spans="1:9" x14ac:dyDescent="0.3">
      <c r="A4928" t="s">
        <v>1</v>
      </c>
      <c r="B4928" s="1">
        <v>45895</v>
      </c>
      <c r="C4928" s="1">
        <v>45896</v>
      </c>
      <c r="D4928">
        <v>103191</v>
      </c>
      <c r="E4928">
        <v>100</v>
      </c>
      <c r="F4928" s="3" t="s">
        <v>4265</v>
      </c>
      <c r="G4928" s="4">
        <v>45200</v>
      </c>
      <c r="I4928" s="4">
        <v>-47575615.710000001</v>
      </c>
    </row>
    <row r="4929" spans="1:9" x14ac:dyDescent="0.3">
      <c r="A4929" t="s">
        <v>1</v>
      </c>
      <c r="B4929" s="1">
        <v>45896</v>
      </c>
      <c r="C4929" s="1">
        <v>45896</v>
      </c>
      <c r="D4929">
        <v>103230</v>
      </c>
      <c r="E4929">
        <v>100</v>
      </c>
      <c r="F4929" s="3" t="s">
        <v>4266</v>
      </c>
      <c r="G4929" s="4">
        <v>45799.1</v>
      </c>
      <c r="I4929" s="4">
        <v>-47529816.609999999</v>
      </c>
    </row>
    <row r="4930" spans="1:9" x14ac:dyDescent="0.3">
      <c r="A4930" t="s">
        <v>1</v>
      </c>
      <c r="B4930" s="1">
        <v>45895</v>
      </c>
      <c r="C4930" s="1">
        <v>45896</v>
      </c>
      <c r="D4930">
        <v>103253</v>
      </c>
      <c r="E4930">
        <v>100</v>
      </c>
      <c r="F4930" s="3" t="s">
        <v>4267</v>
      </c>
      <c r="G4930" s="4">
        <v>5654</v>
      </c>
      <c r="I4930" s="4">
        <v>-47524162.609999999</v>
      </c>
    </row>
    <row r="4931" spans="1:9" x14ac:dyDescent="0.3">
      <c r="A4931" t="s">
        <v>1</v>
      </c>
      <c r="B4931" s="1">
        <v>45896</v>
      </c>
      <c r="C4931" s="1">
        <v>45896</v>
      </c>
      <c r="D4931">
        <v>103262</v>
      </c>
      <c r="E4931">
        <v>100</v>
      </c>
      <c r="F4931" s="3" t="s">
        <v>4268</v>
      </c>
      <c r="G4931" s="4">
        <v>34700</v>
      </c>
      <c r="I4931" s="4">
        <v>-47489462.609999999</v>
      </c>
    </row>
    <row r="4932" spans="1:9" x14ac:dyDescent="0.3">
      <c r="A4932" t="s">
        <v>1</v>
      </c>
      <c r="B4932" s="1">
        <v>45895</v>
      </c>
      <c r="C4932" s="1">
        <v>45896</v>
      </c>
      <c r="D4932">
        <v>103264</v>
      </c>
      <c r="E4932">
        <v>100</v>
      </c>
      <c r="F4932" s="3" t="s">
        <v>786</v>
      </c>
      <c r="G4932" s="4">
        <v>6254.25</v>
      </c>
      <c r="I4932" s="4">
        <v>-47483208.359999999</v>
      </c>
    </row>
    <row r="4933" spans="1:9" x14ac:dyDescent="0.3">
      <c r="A4933" t="s">
        <v>1</v>
      </c>
      <c r="B4933" s="1">
        <v>45895</v>
      </c>
      <c r="C4933" s="1">
        <v>45896</v>
      </c>
      <c r="D4933">
        <v>103288</v>
      </c>
      <c r="E4933">
        <v>100</v>
      </c>
      <c r="F4933" s="3" t="s">
        <v>4269</v>
      </c>
      <c r="G4933" s="4">
        <v>35026.25</v>
      </c>
      <c r="I4933" s="4">
        <v>-47448182.109999999</v>
      </c>
    </row>
    <row r="4934" spans="1:9" x14ac:dyDescent="0.3">
      <c r="A4934" t="s">
        <v>1</v>
      </c>
      <c r="B4934" s="1">
        <v>45896</v>
      </c>
      <c r="C4934" s="1">
        <v>45896</v>
      </c>
      <c r="D4934">
        <v>103300</v>
      </c>
      <c r="E4934">
        <v>100</v>
      </c>
      <c r="F4934" s="3" t="s">
        <v>4270</v>
      </c>
      <c r="G4934" s="4">
        <v>4781524.83</v>
      </c>
      <c r="I4934" s="4">
        <v>-42666657.280000001</v>
      </c>
    </row>
    <row r="4935" spans="1:9" x14ac:dyDescent="0.3">
      <c r="A4935" t="s">
        <v>1</v>
      </c>
      <c r="B4935" s="1">
        <v>45896</v>
      </c>
      <c r="C4935" s="1">
        <v>45896</v>
      </c>
      <c r="D4935">
        <v>103301</v>
      </c>
      <c r="E4935">
        <v>100</v>
      </c>
      <c r="F4935" s="3" t="s">
        <v>4271</v>
      </c>
      <c r="G4935" s="4">
        <v>2262494.67</v>
      </c>
      <c r="I4935" s="4">
        <v>-40404162.609999999</v>
      </c>
    </row>
    <row r="4936" spans="1:9" x14ac:dyDescent="0.3">
      <c r="A4936" t="s">
        <v>1</v>
      </c>
      <c r="B4936" s="1">
        <v>45895</v>
      </c>
      <c r="C4936" s="1">
        <v>45896</v>
      </c>
      <c r="D4936">
        <v>103302</v>
      </c>
      <c r="E4936">
        <v>100</v>
      </c>
      <c r="F4936" s="3" t="s">
        <v>4272</v>
      </c>
      <c r="G4936" s="4">
        <v>3308.4</v>
      </c>
      <c r="I4936" s="4">
        <v>-40400854.210000001</v>
      </c>
    </row>
    <row r="4937" spans="1:9" x14ac:dyDescent="0.3">
      <c r="A4937" t="s">
        <v>1</v>
      </c>
      <c r="B4937" s="1">
        <v>45895</v>
      </c>
      <c r="C4937" s="1">
        <v>45896</v>
      </c>
      <c r="D4937">
        <v>103307</v>
      </c>
      <c r="E4937">
        <v>100</v>
      </c>
      <c r="F4937" s="3" t="s">
        <v>4273</v>
      </c>
      <c r="G4937" s="4">
        <v>1500</v>
      </c>
      <c r="I4937" s="4">
        <v>-40399354.210000001</v>
      </c>
    </row>
    <row r="4938" spans="1:9" x14ac:dyDescent="0.3">
      <c r="A4938" t="s">
        <v>1</v>
      </c>
      <c r="B4938" s="1">
        <v>45896</v>
      </c>
      <c r="C4938" s="1">
        <v>45896</v>
      </c>
      <c r="D4938">
        <v>103309</v>
      </c>
      <c r="E4938">
        <v>100</v>
      </c>
      <c r="F4938" s="3" t="s">
        <v>4274</v>
      </c>
      <c r="G4938" s="4">
        <v>487001.22</v>
      </c>
      <c r="I4938" s="4">
        <v>-39912352.990000002</v>
      </c>
    </row>
    <row r="4939" spans="1:9" x14ac:dyDescent="0.3">
      <c r="A4939" t="s">
        <v>1</v>
      </c>
      <c r="B4939" s="1">
        <v>45896</v>
      </c>
      <c r="C4939" s="1">
        <v>45896</v>
      </c>
      <c r="D4939">
        <v>103312</v>
      </c>
      <c r="E4939">
        <v>100</v>
      </c>
      <c r="F4939" s="3" t="s">
        <v>4275</v>
      </c>
      <c r="G4939" s="4">
        <v>50050</v>
      </c>
      <c r="I4939" s="4">
        <v>-39862302.990000002</v>
      </c>
    </row>
    <row r="4940" spans="1:9" x14ac:dyDescent="0.3">
      <c r="A4940" t="s">
        <v>1</v>
      </c>
      <c r="B4940" s="1">
        <v>45895</v>
      </c>
      <c r="C4940" s="1">
        <v>45896</v>
      </c>
      <c r="D4940">
        <v>103322</v>
      </c>
      <c r="E4940">
        <v>100</v>
      </c>
      <c r="F4940" s="3" t="s">
        <v>4276</v>
      </c>
      <c r="G4940" s="4">
        <v>19150</v>
      </c>
      <c r="I4940" s="4">
        <v>-39843152.990000002</v>
      </c>
    </row>
    <row r="4941" spans="1:9" x14ac:dyDescent="0.3">
      <c r="A4941" t="s">
        <v>1</v>
      </c>
      <c r="B4941" s="1">
        <v>45896</v>
      </c>
      <c r="C4941" s="1">
        <v>45896</v>
      </c>
      <c r="D4941">
        <v>103324</v>
      </c>
      <c r="E4941">
        <v>100</v>
      </c>
      <c r="F4941" s="3" t="s">
        <v>783</v>
      </c>
      <c r="G4941" s="4">
        <v>6700</v>
      </c>
      <c r="I4941" s="4">
        <v>-39836452.990000002</v>
      </c>
    </row>
    <row r="4942" spans="1:9" x14ac:dyDescent="0.3">
      <c r="A4942" t="s">
        <v>1</v>
      </c>
      <c r="B4942" s="1">
        <v>45896</v>
      </c>
      <c r="C4942" s="1">
        <v>45896</v>
      </c>
      <c r="D4942">
        <v>103325</v>
      </c>
      <c r="E4942">
        <v>100</v>
      </c>
      <c r="F4942" s="3" t="s">
        <v>4277</v>
      </c>
      <c r="G4942" s="4">
        <v>2600</v>
      </c>
      <c r="I4942" s="4">
        <v>-39833852.990000002</v>
      </c>
    </row>
    <row r="4943" spans="1:9" x14ac:dyDescent="0.3">
      <c r="A4943" t="s">
        <v>1</v>
      </c>
      <c r="B4943" s="1">
        <v>45895</v>
      </c>
      <c r="C4943" s="1">
        <v>45896</v>
      </c>
      <c r="D4943">
        <v>103326</v>
      </c>
      <c r="E4943">
        <v>100</v>
      </c>
      <c r="F4943" s="3" t="s">
        <v>4278</v>
      </c>
      <c r="G4943" s="4">
        <v>78.75</v>
      </c>
      <c r="I4943" s="4">
        <v>-39833774.240000002</v>
      </c>
    </row>
    <row r="4944" spans="1:9" x14ac:dyDescent="0.3">
      <c r="A4944" t="s">
        <v>1</v>
      </c>
      <c r="B4944" s="1">
        <v>45896</v>
      </c>
      <c r="C4944" s="1">
        <v>45896</v>
      </c>
      <c r="D4944">
        <v>103328</v>
      </c>
      <c r="E4944">
        <v>100</v>
      </c>
      <c r="F4944" s="3" t="s">
        <v>4279</v>
      </c>
      <c r="G4944" s="4">
        <v>40000</v>
      </c>
      <c r="I4944" s="4">
        <v>-39793774.240000002</v>
      </c>
    </row>
    <row r="4945" spans="1:9" x14ac:dyDescent="0.3">
      <c r="A4945" t="s">
        <v>1</v>
      </c>
      <c r="B4945" s="1">
        <v>45896</v>
      </c>
      <c r="C4945" s="1">
        <v>45896</v>
      </c>
      <c r="D4945">
        <v>103335</v>
      </c>
      <c r="E4945">
        <v>100</v>
      </c>
      <c r="F4945" s="3" t="s">
        <v>3878</v>
      </c>
      <c r="G4945" s="4">
        <v>3400.3</v>
      </c>
      <c r="I4945" s="4">
        <v>-39790373.939999998</v>
      </c>
    </row>
    <row r="4946" spans="1:9" x14ac:dyDescent="0.3">
      <c r="A4946" t="s">
        <v>1</v>
      </c>
      <c r="B4946" s="1">
        <v>45895</v>
      </c>
      <c r="C4946" s="1">
        <v>45896</v>
      </c>
      <c r="D4946">
        <v>103336</v>
      </c>
      <c r="E4946">
        <v>100</v>
      </c>
      <c r="F4946" s="3" t="s">
        <v>4280</v>
      </c>
      <c r="G4946" s="4">
        <v>4303.1499999999996</v>
      </c>
      <c r="I4946" s="4">
        <v>-39786070.789999999</v>
      </c>
    </row>
    <row r="4947" spans="1:9" x14ac:dyDescent="0.3">
      <c r="A4947" t="s">
        <v>1</v>
      </c>
      <c r="B4947" s="1">
        <v>45896</v>
      </c>
      <c r="C4947" s="1">
        <v>45896</v>
      </c>
      <c r="D4947">
        <v>103347</v>
      </c>
      <c r="E4947">
        <v>100</v>
      </c>
      <c r="F4947" s="3" t="s">
        <v>4281</v>
      </c>
      <c r="G4947" s="4">
        <v>31198</v>
      </c>
      <c r="I4947" s="4">
        <v>-39754872.789999999</v>
      </c>
    </row>
    <row r="4948" spans="1:9" x14ac:dyDescent="0.3">
      <c r="A4948" t="s">
        <v>1</v>
      </c>
      <c r="B4948" s="1">
        <v>45896</v>
      </c>
      <c r="C4948" s="1">
        <v>45896</v>
      </c>
      <c r="D4948">
        <v>103354</v>
      </c>
      <c r="E4948">
        <v>100</v>
      </c>
      <c r="F4948" s="3" t="s">
        <v>4282</v>
      </c>
      <c r="G4948" s="4">
        <v>13026.25</v>
      </c>
      <c r="I4948" s="4">
        <v>-39741846.539999999</v>
      </c>
    </row>
    <row r="4949" spans="1:9" x14ac:dyDescent="0.3">
      <c r="A4949" t="s">
        <v>1</v>
      </c>
      <c r="B4949" s="1">
        <v>45896</v>
      </c>
      <c r="C4949" s="1">
        <v>45896</v>
      </c>
      <c r="D4949">
        <v>103356</v>
      </c>
      <c r="E4949">
        <v>100</v>
      </c>
      <c r="F4949" s="3" t="s">
        <v>4283</v>
      </c>
      <c r="G4949" s="4">
        <v>18037.7</v>
      </c>
      <c r="I4949" s="4">
        <v>-39723808.840000004</v>
      </c>
    </row>
    <row r="4950" spans="1:9" x14ac:dyDescent="0.3">
      <c r="A4950" t="s">
        <v>1</v>
      </c>
      <c r="B4950" s="1">
        <v>45896</v>
      </c>
      <c r="C4950" s="1">
        <v>45896</v>
      </c>
      <c r="D4950">
        <v>103359</v>
      </c>
      <c r="E4950">
        <v>100</v>
      </c>
      <c r="F4950" s="3" t="s">
        <v>4284</v>
      </c>
      <c r="G4950" s="4">
        <v>9000</v>
      </c>
      <c r="I4950" s="4">
        <v>-39714808.840000004</v>
      </c>
    </row>
    <row r="4951" spans="1:9" x14ac:dyDescent="0.3">
      <c r="A4951" t="s">
        <v>1</v>
      </c>
      <c r="B4951" s="1">
        <v>45896</v>
      </c>
      <c r="C4951" s="1">
        <v>45896</v>
      </c>
      <c r="D4951">
        <v>103364</v>
      </c>
      <c r="E4951">
        <v>100</v>
      </c>
      <c r="F4951" s="3" t="s">
        <v>11</v>
      </c>
      <c r="G4951" s="4">
        <v>76000</v>
      </c>
      <c r="I4951" s="4">
        <v>-39638808.840000004</v>
      </c>
    </row>
    <row r="4952" spans="1:9" x14ac:dyDescent="0.3">
      <c r="A4952" t="s">
        <v>1</v>
      </c>
      <c r="B4952" s="1">
        <v>45895</v>
      </c>
      <c r="C4952" s="1">
        <v>45896</v>
      </c>
      <c r="D4952">
        <v>103379</v>
      </c>
      <c r="E4952">
        <v>100</v>
      </c>
      <c r="F4952" s="3" t="s">
        <v>4285</v>
      </c>
      <c r="G4952" s="4">
        <v>27750</v>
      </c>
      <c r="I4952" s="4">
        <v>-39611058.840000004</v>
      </c>
    </row>
    <row r="4953" spans="1:9" x14ac:dyDescent="0.3">
      <c r="A4953" t="s">
        <v>1</v>
      </c>
      <c r="B4953" s="1">
        <v>45896</v>
      </c>
      <c r="C4953" s="1">
        <v>45896</v>
      </c>
      <c r="D4953">
        <v>103388</v>
      </c>
      <c r="E4953">
        <v>100</v>
      </c>
      <c r="F4953" s="3" t="s">
        <v>4286</v>
      </c>
      <c r="G4953" s="4">
        <v>76671.44</v>
      </c>
      <c r="I4953" s="4">
        <v>-39534387.399999999</v>
      </c>
    </row>
    <row r="4954" spans="1:9" x14ac:dyDescent="0.3">
      <c r="A4954" t="s">
        <v>1</v>
      </c>
      <c r="B4954" s="1">
        <v>45896</v>
      </c>
      <c r="C4954" s="1">
        <v>45896</v>
      </c>
      <c r="D4954">
        <v>103391</v>
      </c>
      <c r="E4954">
        <v>100</v>
      </c>
      <c r="F4954" s="3" t="s">
        <v>536</v>
      </c>
      <c r="G4954" s="4">
        <v>14928.84</v>
      </c>
      <c r="I4954" s="4">
        <v>-39519458.560000002</v>
      </c>
    </row>
    <row r="4955" spans="1:9" x14ac:dyDescent="0.3">
      <c r="A4955" t="s">
        <v>1</v>
      </c>
      <c r="B4955" s="1">
        <v>45896</v>
      </c>
      <c r="C4955" s="1">
        <v>45896</v>
      </c>
      <c r="D4955">
        <v>103392</v>
      </c>
      <c r="E4955">
        <v>100</v>
      </c>
      <c r="F4955" s="3" t="s">
        <v>536</v>
      </c>
      <c r="G4955" s="4">
        <v>17115.150000000001</v>
      </c>
      <c r="I4955" s="4">
        <v>-39502343.409999996</v>
      </c>
    </row>
    <row r="4956" spans="1:9" x14ac:dyDescent="0.3">
      <c r="A4956" t="s">
        <v>1</v>
      </c>
      <c r="B4956" s="1">
        <v>45896</v>
      </c>
      <c r="C4956" s="1">
        <v>45896</v>
      </c>
      <c r="D4956">
        <v>103393</v>
      </c>
      <c r="E4956">
        <v>100</v>
      </c>
      <c r="F4956" s="3" t="s">
        <v>536</v>
      </c>
      <c r="G4956" s="4">
        <v>26210.5</v>
      </c>
      <c r="I4956" s="4">
        <v>-39476132.909999996</v>
      </c>
    </row>
    <row r="4957" spans="1:9" x14ac:dyDescent="0.3">
      <c r="A4957" t="s">
        <v>1</v>
      </c>
      <c r="B4957" s="1">
        <v>45896</v>
      </c>
      <c r="C4957" s="1">
        <v>45896</v>
      </c>
      <c r="D4957">
        <v>103394</v>
      </c>
      <c r="E4957">
        <v>100</v>
      </c>
      <c r="F4957" s="3" t="s">
        <v>4287</v>
      </c>
      <c r="G4957" s="4">
        <v>4526.25</v>
      </c>
      <c r="I4957" s="4">
        <v>-39471606.659999996</v>
      </c>
    </row>
    <row r="4958" spans="1:9" x14ac:dyDescent="0.3">
      <c r="A4958" t="s">
        <v>1</v>
      </c>
      <c r="B4958" s="1">
        <v>45896</v>
      </c>
      <c r="C4958" s="1">
        <v>45896</v>
      </c>
      <c r="D4958">
        <v>103398</v>
      </c>
      <c r="E4958">
        <v>100</v>
      </c>
      <c r="F4958" s="3" t="s">
        <v>4288</v>
      </c>
      <c r="G4958" s="4">
        <v>10126.25</v>
      </c>
      <c r="I4958" s="4">
        <v>-39461480.409999996</v>
      </c>
    </row>
    <row r="4959" spans="1:9" x14ac:dyDescent="0.3">
      <c r="A4959" t="s">
        <v>75</v>
      </c>
      <c r="B4959" s="1">
        <v>45896</v>
      </c>
      <c r="C4959" s="1">
        <v>45896</v>
      </c>
      <c r="D4959">
        <v>144102</v>
      </c>
      <c r="E4959">
        <v>11</v>
      </c>
      <c r="F4959" s="3" t="s">
        <v>4289</v>
      </c>
      <c r="G4959" s="4">
        <v>15000</v>
      </c>
      <c r="H4959" s="4">
        <v>0</v>
      </c>
      <c r="I4959" s="4">
        <v>-39446480.409999996</v>
      </c>
    </row>
    <row r="4960" spans="1:9" x14ac:dyDescent="0.3">
      <c r="A4960" t="s">
        <v>75</v>
      </c>
      <c r="B4960" s="1">
        <v>45896</v>
      </c>
      <c r="C4960" s="1">
        <v>45896</v>
      </c>
      <c r="D4960">
        <v>144103</v>
      </c>
      <c r="E4960">
        <v>14</v>
      </c>
      <c r="F4960" s="3" t="s">
        <v>4290</v>
      </c>
      <c r="G4960" s="4">
        <v>36000</v>
      </c>
      <c r="H4960" s="4">
        <v>0</v>
      </c>
      <c r="I4960" s="4">
        <v>-39410480.409999996</v>
      </c>
    </row>
    <row r="4961" spans="1:9" x14ac:dyDescent="0.3">
      <c r="A4961" t="s">
        <v>75</v>
      </c>
      <c r="B4961" s="1">
        <v>45895</v>
      </c>
      <c r="C4961" s="1">
        <v>45896</v>
      </c>
      <c r="D4961">
        <v>144106</v>
      </c>
      <c r="E4961">
        <v>67</v>
      </c>
      <c r="F4961" s="3" t="s">
        <v>4291</v>
      </c>
      <c r="G4961" s="4">
        <v>29448.5</v>
      </c>
      <c r="H4961" s="4">
        <v>0</v>
      </c>
      <c r="I4961" s="4">
        <v>-39381031.909999996</v>
      </c>
    </row>
    <row r="4962" spans="1:9" x14ac:dyDescent="0.3">
      <c r="A4962" t="s">
        <v>75</v>
      </c>
      <c r="B4962" s="1">
        <v>45896</v>
      </c>
      <c r="C4962" s="1">
        <v>45896</v>
      </c>
      <c r="D4962">
        <v>144107</v>
      </c>
      <c r="E4962">
        <v>67</v>
      </c>
      <c r="F4962" s="3" t="s">
        <v>4292</v>
      </c>
      <c r="G4962" s="4">
        <v>35000</v>
      </c>
      <c r="H4962" s="4">
        <v>0</v>
      </c>
      <c r="I4962" s="4">
        <v>-39346031.909999996</v>
      </c>
    </row>
    <row r="4963" spans="1:9" x14ac:dyDescent="0.3">
      <c r="A4963" t="s">
        <v>75</v>
      </c>
      <c r="B4963" s="1">
        <v>45893</v>
      </c>
      <c r="C4963" s="1">
        <v>45896</v>
      </c>
      <c r="D4963">
        <v>144108</v>
      </c>
      <c r="E4963">
        <v>252</v>
      </c>
      <c r="F4963" s="3" t="s">
        <v>4293</v>
      </c>
      <c r="G4963" s="4">
        <v>5156</v>
      </c>
      <c r="H4963" s="4">
        <v>0</v>
      </c>
      <c r="I4963" s="4">
        <v>-39340875.909999996</v>
      </c>
    </row>
    <row r="4964" spans="1:9" x14ac:dyDescent="0.3">
      <c r="A4964" t="s">
        <v>75</v>
      </c>
      <c r="B4964" s="1">
        <v>45894</v>
      </c>
      <c r="C4964" s="1">
        <v>45896</v>
      </c>
      <c r="D4964">
        <v>144109</v>
      </c>
      <c r="E4964">
        <v>252</v>
      </c>
      <c r="F4964" s="3" t="s">
        <v>4294</v>
      </c>
      <c r="G4964" s="4">
        <v>49193.75</v>
      </c>
      <c r="H4964" s="4">
        <v>0</v>
      </c>
      <c r="I4964" s="4">
        <v>-39291682.159999996</v>
      </c>
    </row>
    <row r="4965" spans="1:9" x14ac:dyDescent="0.3">
      <c r="A4965" t="s">
        <v>75</v>
      </c>
      <c r="B4965" s="1">
        <v>45895</v>
      </c>
      <c r="C4965" s="1">
        <v>45896</v>
      </c>
      <c r="D4965">
        <v>144110</v>
      </c>
      <c r="E4965">
        <v>44</v>
      </c>
      <c r="F4965" s="3" t="s">
        <v>4295</v>
      </c>
      <c r="G4965" s="4">
        <v>38000</v>
      </c>
      <c r="H4965" s="4">
        <v>0</v>
      </c>
      <c r="I4965" s="4">
        <v>-39253682.159999996</v>
      </c>
    </row>
    <row r="4966" spans="1:9" x14ac:dyDescent="0.3">
      <c r="A4966" t="s">
        <v>75</v>
      </c>
      <c r="B4966" s="1">
        <v>45895</v>
      </c>
      <c r="C4966" s="1">
        <v>45896</v>
      </c>
      <c r="D4966">
        <v>144111</v>
      </c>
      <c r="E4966">
        <v>72</v>
      </c>
      <c r="F4966" s="3" t="s">
        <v>4296</v>
      </c>
      <c r="G4966" s="4">
        <v>200000</v>
      </c>
      <c r="H4966" s="4">
        <v>0</v>
      </c>
      <c r="I4966" s="4">
        <v>-39053682.159999996</v>
      </c>
    </row>
    <row r="4967" spans="1:9" x14ac:dyDescent="0.3">
      <c r="A4967" t="s">
        <v>75</v>
      </c>
      <c r="B4967" s="1">
        <v>45894</v>
      </c>
      <c r="C4967" s="1">
        <v>45896</v>
      </c>
      <c r="D4967">
        <v>144112</v>
      </c>
      <c r="E4967">
        <v>72</v>
      </c>
      <c r="F4967" s="3" t="s">
        <v>4297</v>
      </c>
      <c r="G4967" s="4">
        <v>198000</v>
      </c>
      <c r="H4967" s="4">
        <v>0</v>
      </c>
      <c r="I4967" s="4">
        <v>-38855682.159999996</v>
      </c>
    </row>
    <row r="4968" spans="1:9" x14ac:dyDescent="0.3">
      <c r="A4968" t="s">
        <v>75</v>
      </c>
      <c r="B4968" s="1">
        <v>45896</v>
      </c>
      <c r="C4968" s="1">
        <v>45896</v>
      </c>
      <c r="D4968">
        <v>144113</v>
      </c>
      <c r="E4968">
        <v>14</v>
      </c>
      <c r="F4968" s="3" t="s">
        <v>4298</v>
      </c>
      <c r="G4968" s="4">
        <v>13000</v>
      </c>
      <c r="H4968" s="4">
        <v>0</v>
      </c>
      <c r="I4968" s="4">
        <v>-38842682.159999996</v>
      </c>
    </row>
    <row r="4969" spans="1:9" x14ac:dyDescent="0.3">
      <c r="A4969" t="s">
        <v>75</v>
      </c>
      <c r="B4969" s="1">
        <v>45895</v>
      </c>
      <c r="C4969" s="1">
        <v>45896</v>
      </c>
      <c r="D4969">
        <v>144115</v>
      </c>
      <c r="E4969">
        <v>63</v>
      </c>
      <c r="F4969" s="3" t="s">
        <v>4299</v>
      </c>
      <c r="G4969" s="4">
        <v>17050.25</v>
      </c>
      <c r="H4969" s="4">
        <v>0</v>
      </c>
      <c r="I4969" s="4">
        <v>-38825631.909999996</v>
      </c>
    </row>
    <row r="4970" spans="1:9" x14ac:dyDescent="0.3">
      <c r="A4970" t="s">
        <v>75</v>
      </c>
      <c r="B4970" s="1">
        <v>45890</v>
      </c>
      <c r="C4970" s="1">
        <v>45896</v>
      </c>
      <c r="D4970">
        <v>144116</v>
      </c>
      <c r="E4970">
        <v>63</v>
      </c>
      <c r="F4970" s="3" t="s">
        <v>4300</v>
      </c>
      <c r="G4970" s="4">
        <v>24000</v>
      </c>
      <c r="H4970" s="4">
        <v>0</v>
      </c>
      <c r="I4970" s="4">
        <v>-38801631.909999996</v>
      </c>
    </row>
    <row r="4971" spans="1:9" x14ac:dyDescent="0.3">
      <c r="A4971" t="s">
        <v>75</v>
      </c>
      <c r="B4971" s="1">
        <v>45891</v>
      </c>
      <c r="C4971" s="1">
        <v>45896</v>
      </c>
      <c r="D4971">
        <v>144118</v>
      </c>
      <c r="E4971">
        <v>63</v>
      </c>
      <c r="F4971" s="3" t="s">
        <v>4301</v>
      </c>
      <c r="G4971" s="4">
        <v>3000</v>
      </c>
      <c r="H4971" s="4">
        <v>0</v>
      </c>
      <c r="I4971" s="4">
        <v>-38798631.909999996</v>
      </c>
    </row>
    <row r="4972" spans="1:9" x14ac:dyDescent="0.3">
      <c r="A4972" t="s">
        <v>75</v>
      </c>
      <c r="B4972" s="1">
        <v>45896</v>
      </c>
      <c r="C4972" s="1">
        <v>45896</v>
      </c>
      <c r="D4972">
        <v>144122</v>
      </c>
      <c r="E4972">
        <v>72</v>
      </c>
      <c r="F4972" s="3" t="s">
        <v>4302</v>
      </c>
      <c r="G4972" s="4">
        <v>10000</v>
      </c>
      <c r="H4972" s="4">
        <v>0</v>
      </c>
      <c r="I4972" s="4">
        <v>-38788631.909999996</v>
      </c>
    </row>
    <row r="4973" spans="1:9" x14ac:dyDescent="0.3">
      <c r="A4973" t="s">
        <v>75</v>
      </c>
      <c r="B4973" s="1">
        <v>45896</v>
      </c>
      <c r="C4973" s="1">
        <v>45896</v>
      </c>
      <c r="D4973">
        <v>144123</v>
      </c>
      <c r="E4973">
        <v>17</v>
      </c>
      <c r="F4973" s="3" t="s">
        <v>4303</v>
      </c>
      <c r="G4973" s="4">
        <v>35000</v>
      </c>
      <c r="H4973" s="4">
        <v>0</v>
      </c>
      <c r="I4973" s="4">
        <v>-38753631.909999996</v>
      </c>
    </row>
    <row r="4974" spans="1:9" x14ac:dyDescent="0.3">
      <c r="A4974" t="s">
        <v>75</v>
      </c>
      <c r="B4974" s="1">
        <v>45888</v>
      </c>
      <c r="C4974" s="1">
        <v>45896</v>
      </c>
      <c r="D4974">
        <v>144124</v>
      </c>
      <c r="E4974">
        <v>34</v>
      </c>
      <c r="F4974" s="3" t="s">
        <v>4304</v>
      </c>
      <c r="G4974" s="4">
        <v>64388.5</v>
      </c>
      <c r="H4974" s="4">
        <v>0</v>
      </c>
      <c r="I4974" s="4">
        <v>-38689243.409999996</v>
      </c>
    </row>
    <row r="4975" spans="1:9" x14ac:dyDescent="0.3">
      <c r="A4975" t="s">
        <v>75</v>
      </c>
      <c r="B4975" s="1">
        <v>45888</v>
      </c>
      <c r="C4975" s="1">
        <v>45896</v>
      </c>
      <c r="D4975">
        <v>144125</v>
      </c>
      <c r="E4975">
        <v>34</v>
      </c>
      <c r="F4975" s="3" t="s">
        <v>4305</v>
      </c>
      <c r="G4975" s="4">
        <v>64200.5</v>
      </c>
      <c r="H4975" s="4">
        <v>0</v>
      </c>
      <c r="I4975" s="4">
        <v>-38625042.909999996</v>
      </c>
    </row>
    <row r="4976" spans="1:9" x14ac:dyDescent="0.3">
      <c r="A4976" t="s">
        <v>75</v>
      </c>
      <c r="B4976" s="1">
        <v>45888</v>
      </c>
      <c r="C4976" s="1">
        <v>45896</v>
      </c>
      <c r="D4976">
        <v>144126</v>
      </c>
      <c r="E4976">
        <v>34</v>
      </c>
      <c r="F4976" s="3" t="s">
        <v>4306</v>
      </c>
      <c r="G4976" s="4">
        <v>126035.25</v>
      </c>
      <c r="H4976" s="4">
        <v>0</v>
      </c>
      <c r="I4976" s="4">
        <v>-38499007.659999996</v>
      </c>
    </row>
    <row r="4977" spans="1:9" x14ac:dyDescent="0.3">
      <c r="A4977" t="s">
        <v>75</v>
      </c>
      <c r="B4977" s="1">
        <v>45893</v>
      </c>
      <c r="C4977" s="1">
        <v>45896</v>
      </c>
      <c r="D4977">
        <v>144127</v>
      </c>
      <c r="E4977">
        <v>34</v>
      </c>
      <c r="F4977" s="3" t="s">
        <v>4307</v>
      </c>
      <c r="G4977" s="4">
        <v>20122</v>
      </c>
      <c r="H4977" s="4">
        <v>0</v>
      </c>
      <c r="I4977" s="4">
        <v>-38478885.659999996</v>
      </c>
    </row>
    <row r="4978" spans="1:9" x14ac:dyDescent="0.3">
      <c r="A4978" t="s">
        <v>75</v>
      </c>
      <c r="B4978" s="1">
        <v>45894</v>
      </c>
      <c r="C4978" s="1">
        <v>45896</v>
      </c>
      <c r="D4978">
        <v>144128</v>
      </c>
      <c r="E4978">
        <v>34</v>
      </c>
      <c r="F4978" s="3" t="s">
        <v>4308</v>
      </c>
      <c r="G4978" s="4">
        <v>89310.25</v>
      </c>
      <c r="H4978" s="4">
        <v>0</v>
      </c>
      <c r="I4978" s="4">
        <v>-38389575.409999996</v>
      </c>
    </row>
    <row r="4979" spans="1:9" x14ac:dyDescent="0.3">
      <c r="A4979" t="s">
        <v>75</v>
      </c>
      <c r="B4979" s="1">
        <v>45888</v>
      </c>
      <c r="C4979" s="1">
        <v>45896</v>
      </c>
      <c r="D4979">
        <v>144129</v>
      </c>
      <c r="E4979">
        <v>34</v>
      </c>
      <c r="F4979" s="3" t="s">
        <v>4309</v>
      </c>
      <c r="G4979" s="4">
        <v>67795.75</v>
      </c>
      <c r="H4979" s="4">
        <v>0</v>
      </c>
      <c r="I4979" s="4">
        <v>-38321779.659999996</v>
      </c>
    </row>
    <row r="4980" spans="1:9" x14ac:dyDescent="0.3">
      <c r="A4980" t="s">
        <v>75</v>
      </c>
      <c r="B4980" s="1">
        <v>45896</v>
      </c>
      <c r="C4980" s="1">
        <v>45896</v>
      </c>
      <c r="D4980">
        <v>144130</v>
      </c>
      <c r="E4980">
        <v>361</v>
      </c>
      <c r="F4980" s="3" t="s">
        <v>4310</v>
      </c>
      <c r="G4980" s="4">
        <v>8071</v>
      </c>
      <c r="H4980" s="4">
        <v>0</v>
      </c>
      <c r="I4980" s="4">
        <v>-38313708.659999996</v>
      </c>
    </row>
    <row r="4981" spans="1:9" x14ac:dyDescent="0.3">
      <c r="A4981" t="s">
        <v>75</v>
      </c>
      <c r="B4981" s="1">
        <v>45895</v>
      </c>
      <c r="C4981" s="1">
        <v>45896</v>
      </c>
      <c r="D4981">
        <v>144132</v>
      </c>
      <c r="E4981">
        <v>79</v>
      </c>
      <c r="F4981" s="3" t="s">
        <v>4311</v>
      </c>
      <c r="G4981" s="4">
        <v>38914</v>
      </c>
      <c r="H4981" s="4">
        <v>0</v>
      </c>
      <c r="I4981" s="4">
        <v>-38274794.659999996</v>
      </c>
    </row>
    <row r="4982" spans="1:9" x14ac:dyDescent="0.3">
      <c r="A4982" t="s">
        <v>75</v>
      </c>
      <c r="B4982" s="1">
        <v>45896</v>
      </c>
      <c r="C4982" s="1">
        <v>45896</v>
      </c>
      <c r="D4982">
        <v>144133</v>
      </c>
      <c r="E4982">
        <v>58</v>
      </c>
      <c r="F4982" s="3" t="s">
        <v>4312</v>
      </c>
      <c r="G4982" s="4">
        <v>5500</v>
      </c>
      <c r="H4982" s="4">
        <v>0</v>
      </c>
      <c r="I4982" s="4">
        <v>-38269294.659999996</v>
      </c>
    </row>
    <row r="4983" spans="1:9" x14ac:dyDescent="0.3">
      <c r="A4983" t="s">
        <v>75</v>
      </c>
      <c r="B4983" s="1">
        <v>45896</v>
      </c>
      <c r="C4983" s="1">
        <v>45896</v>
      </c>
      <c r="D4983">
        <v>144134</v>
      </c>
      <c r="E4983">
        <v>11</v>
      </c>
      <c r="F4983" s="3" t="s">
        <v>4313</v>
      </c>
      <c r="G4983" s="4">
        <v>7197</v>
      </c>
      <c r="H4983" s="4">
        <v>0</v>
      </c>
      <c r="I4983" s="4">
        <v>-38262097.659999996</v>
      </c>
    </row>
    <row r="4984" spans="1:9" x14ac:dyDescent="0.3">
      <c r="A4984" t="s">
        <v>75</v>
      </c>
      <c r="B4984" s="1">
        <v>45896</v>
      </c>
      <c r="C4984" s="1">
        <v>45896</v>
      </c>
      <c r="D4984">
        <v>144135</v>
      </c>
      <c r="E4984">
        <v>11</v>
      </c>
      <c r="F4984" s="3" t="s">
        <v>4314</v>
      </c>
      <c r="G4984" s="4">
        <v>35000</v>
      </c>
      <c r="H4984" s="4">
        <v>0</v>
      </c>
      <c r="I4984" s="4">
        <v>-38227097.659999996</v>
      </c>
    </row>
    <row r="4985" spans="1:9" x14ac:dyDescent="0.3">
      <c r="A4985" t="s">
        <v>75</v>
      </c>
      <c r="B4985" s="1">
        <v>45896</v>
      </c>
      <c r="C4985" s="1">
        <v>45896</v>
      </c>
      <c r="D4985">
        <v>144136</v>
      </c>
      <c r="E4985">
        <v>11</v>
      </c>
      <c r="F4985" s="3" t="s">
        <v>4315</v>
      </c>
      <c r="G4985" s="4">
        <v>5000</v>
      </c>
      <c r="H4985" s="4">
        <v>0</v>
      </c>
      <c r="I4985" s="4">
        <v>-38222097.659999996</v>
      </c>
    </row>
    <row r="4986" spans="1:9" x14ac:dyDescent="0.3">
      <c r="A4986" t="s">
        <v>75</v>
      </c>
      <c r="B4986" s="1">
        <v>45895</v>
      </c>
      <c r="C4986" s="1">
        <v>45896</v>
      </c>
      <c r="D4986">
        <v>144137</v>
      </c>
      <c r="E4986">
        <v>27</v>
      </c>
      <c r="F4986" s="3" t="s">
        <v>4316</v>
      </c>
      <c r="G4986" s="4">
        <v>273148.25</v>
      </c>
      <c r="H4986" s="4">
        <v>0</v>
      </c>
      <c r="I4986" s="4">
        <v>-37948949.409999996</v>
      </c>
    </row>
    <row r="4987" spans="1:9" x14ac:dyDescent="0.3">
      <c r="A4987" t="s">
        <v>75</v>
      </c>
      <c r="B4987" s="1">
        <v>45895</v>
      </c>
      <c r="C4987" s="1">
        <v>45896</v>
      </c>
      <c r="D4987">
        <v>144138</v>
      </c>
      <c r="E4987">
        <v>27</v>
      </c>
      <c r="F4987" s="3" t="s">
        <v>4317</v>
      </c>
      <c r="G4987" s="4">
        <v>19472</v>
      </c>
      <c r="H4987" s="4">
        <v>0</v>
      </c>
      <c r="I4987" s="4">
        <v>-37929477.409999996</v>
      </c>
    </row>
    <row r="4988" spans="1:9" x14ac:dyDescent="0.3">
      <c r="A4988" t="s">
        <v>75</v>
      </c>
      <c r="B4988" s="1">
        <v>45895</v>
      </c>
      <c r="C4988" s="1">
        <v>45896</v>
      </c>
      <c r="D4988">
        <v>144139</v>
      </c>
      <c r="E4988">
        <v>71</v>
      </c>
      <c r="F4988" s="3" t="s">
        <v>4318</v>
      </c>
      <c r="G4988" s="4">
        <v>47060</v>
      </c>
      <c r="H4988" s="4">
        <v>0</v>
      </c>
      <c r="I4988" s="4">
        <v>-37882417.409999996</v>
      </c>
    </row>
    <row r="4989" spans="1:9" x14ac:dyDescent="0.3">
      <c r="A4989" t="s">
        <v>75</v>
      </c>
      <c r="B4989" s="1">
        <v>45895</v>
      </c>
      <c r="C4989" s="1">
        <v>45896</v>
      </c>
      <c r="D4989">
        <v>144140</v>
      </c>
      <c r="E4989">
        <v>14</v>
      </c>
      <c r="F4989" s="3" t="s">
        <v>4319</v>
      </c>
      <c r="G4989" s="4">
        <v>66482.25</v>
      </c>
      <c r="H4989" s="4">
        <v>0</v>
      </c>
      <c r="I4989" s="4">
        <v>-37815935.159999996</v>
      </c>
    </row>
    <row r="4990" spans="1:9" x14ac:dyDescent="0.3">
      <c r="A4990" t="s">
        <v>75</v>
      </c>
      <c r="B4990" s="1">
        <v>45896</v>
      </c>
      <c r="C4990" s="1">
        <v>45896</v>
      </c>
      <c r="D4990">
        <v>144142</v>
      </c>
      <c r="E4990">
        <v>89</v>
      </c>
      <c r="F4990" s="3" t="s">
        <v>4320</v>
      </c>
      <c r="G4990" s="4">
        <v>19000</v>
      </c>
      <c r="H4990" s="4">
        <v>0</v>
      </c>
      <c r="I4990" s="4">
        <v>-37796935.159999996</v>
      </c>
    </row>
    <row r="4991" spans="1:9" x14ac:dyDescent="0.3">
      <c r="A4991" t="s">
        <v>75</v>
      </c>
      <c r="B4991" s="1">
        <v>45896</v>
      </c>
      <c r="C4991" s="1">
        <v>45896</v>
      </c>
      <c r="D4991">
        <v>144143</v>
      </c>
      <c r="E4991">
        <v>72</v>
      </c>
      <c r="F4991" s="3" t="s">
        <v>4321</v>
      </c>
      <c r="G4991" s="4">
        <v>15783</v>
      </c>
      <c r="H4991" s="4">
        <v>0</v>
      </c>
      <c r="I4991" s="4">
        <v>-37781152.159999996</v>
      </c>
    </row>
    <row r="4992" spans="1:9" x14ac:dyDescent="0.3">
      <c r="A4992" t="s">
        <v>75</v>
      </c>
      <c r="B4992" s="1">
        <v>45896</v>
      </c>
      <c r="C4992" s="1">
        <v>45896</v>
      </c>
      <c r="D4992">
        <v>144145</v>
      </c>
      <c r="E4992">
        <v>92</v>
      </c>
      <c r="F4992" s="3" t="s">
        <v>4322</v>
      </c>
      <c r="G4992" s="4">
        <v>500</v>
      </c>
      <c r="H4992" s="4">
        <v>0</v>
      </c>
      <c r="I4992" s="4">
        <v>-37780652.159999996</v>
      </c>
    </row>
    <row r="4993" spans="1:9" x14ac:dyDescent="0.3">
      <c r="A4993" t="s">
        <v>75</v>
      </c>
      <c r="B4993" s="1">
        <v>45896</v>
      </c>
      <c r="C4993" s="1">
        <v>45896</v>
      </c>
      <c r="D4993">
        <v>144146</v>
      </c>
      <c r="E4993">
        <v>11</v>
      </c>
      <c r="F4993" s="3" t="s">
        <v>4323</v>
      </c>
      <c r="G4993" s="4">
        <v>29196.25</v>
      </c>
      <c r="H4993" s="4">
        <v>0</v>
      </c>
      <c r="I4993" s="4">
        <v>-37751455.909999996</v>
      </c>
    </row>
    <row r="4994" spans="1:9" x14ac:dyDescent="0.3">
      <c r="A4994" t="s">
        <v>75</v>
      </c>
      <c r="B4994" s="1">
        <v>45896</v>
      </c>
      <c r="C4994" s="1">
        <v>45896</v>
      </c>
      <c r="D4994">
        <v>144147</v>
      </c>
      <c r="E4994">
        <v>58</v>
      </c>
      <c r="F4994" s="3" t="s">
        <v>4324</v>
      </c>
      <c r="G4994" s="4">
        <v>26000</v>
      </c>
      <c r="H4994" s="4">
        <v>0</v>
      </c>
      <c r="I4994" s="4">
        <v>-37725455.909999996</v>
      </c>
    </row>
    <row r="4995" spans="1:9" x14ac:dyDescent="0.3">
      <c r="A4995" t="s">
        <v>75</v>
      </c>
      <c r="B4995" s="1">
        <v>45896</v>
      </c>
      <c r="C4995" s="1">
        <v>45896</v>
      </c>
      <c r="D4995">
        <v>144148</v>
      </c>
      <c r="E4995">
        <v>63</v>
      </c>
      <c r="F4995" s="3" t="s">
        <v>4325</v>
      </c>
      <c r="G4995" s="4">
        <v>49552.5</v>
      </c>
      <c r="H4995" s="4">
        <v>0</v>
      </c>
      <c r="I4995" s="4">
        <v>-37675903.409999996</v>
      </c>
    </row>
    <row r="4996" spans="1:9" x14ac:dyDescent="0.3">
      <c r="A4996" t="s">
        <v>75</v>
      </c>
      <c r="B4996" s="1">
        <v>45896</v>
      </c>
      <c r="C4996" s="1">
        <v>45896</v>
      </c>
      <c r="D4996">
        <v>144149</v>
      </c>
      <c r="E4996">
        <v>58</v>
      </c>
      <c r="F4996" s="3" t="s">
        <v>4326</v>
      </c>
      <c r="G4996" s="4">
        <v>3000</v>
      </c>
      <c r="H4996" s="4">
        <v>0</v>
      </c>
      <c r="I4996" s="4">
        <v>-37672903.409999996</v>
      </c>
    </row>
    <row r="4997" spans="1:9" x14ac:dyDescent="0.3">
      <c r="A4997" t="s">
        <v>75</v>
      </c>
      <c r="B4997" s="1">
        <v>45896</v>
      </c>
      <c r="C4997" s="1">
        <v>45896</v>
      </c>
      <c r="D4997">
        <v>144152</v>
      </c>
      <c r="E4997">
        <v>19</v>
      </c>
      <c r="F4997" s="3" t="s">
        <v>4327</v>
      </c>
      <c r="G4997" s="4">
        <v>4380</v>
      </c>
      <c r="H4997" s="4">
        <v>0</v>
      </c>
      <c r="I4997" s="4">
        <v>-37668523.409999996</v>
      </c>
    </row>
    <row r="4998" spans="1:9" x14ac:dyDescent="0.3">
      <c r="A4998" t="s">
        <v>75</v>
      </c>
      <c r="B4998" s="1">
        <v>45896</v>
      </c>
      <c r="C4998" s="1">
        <v>45896</v>
      </c>
      <c r="D4998">
        <v>144153</v>
      </c>
      <c r="E4998">
        <v>11</v>
      </c>
      <c r="F4998" s="3" t="s">
        <v>4328</v>
      </c>
      <c r="G4998" s="4">
        <v>4485.68</v>
      </c>
      <c r="H4998" s="4">
        <v>0</v>
      </c>
      <c r="I4998" s="4">
        <v>-37664037.729999997</v>
      </c>
    </row>
    <row r="4999" spans="1:9" x14ac:dyDescent="0.3">
      <c r="A4999" t="s">
        <v>75</v>
      </c>
      <c r="B4999" s="1">
        <v>45895</v>
      </c>
      <c r="C4999" s="1">
        <v>45896</v>
      </c>
      <c r="D4999">
        <v>144154</v>
      </c>
      <c r="E4999">
        <v>61</v>
      </c>
      <c r="F4999" s="3" t="s">
        <v>4329</v>
      </c>
      <c r="G4999" s="4">
        <v>55000</v>
      </c>
      <c r="H4999" s="4">
        <v>0</v>
      </c>
      <c r="I4999" s="4">
        <v>-37609037.729999997</v>
      </c>
    </row>
    <row r="5000" spans="1:9" x14ac:dyDescent="0.3">
      <c r="A5000" t="s">
        <v>75</v>
      </c>
      <c r="B5000" s="1">
        <v>45895</v>
      </c>
      <c r="C5000" s="1">
        <v>45896</v>
      </c>
      <c r="D5000">
        <v>144158</v>
      </c>
      <c r="E5000">
        <v>11</v>
      </c>
      <c r="F5000" s="3" t="s">
        <v>4330</v>
      </c>
      <c r="G5000" s="4">
        <v>16595.79</v>
      </c>
      <c r="H5000" s="4">
        <v>0</v>
      </c>
      <c r="I5000" s="4">
        <v>-37592441.939999998</v>
      </c>
    </row>
    <row r="5001" spans="1:9" x14ac:dyDescent="0.3">
      <c r="A5001" t="s">
        <v>75</v>
      </c>
      <c r="B5001" s="1">
        <v>45896</v>
      </c>
      <c r="C5001" s="1">
        <v>45896</v>
      </c>
      <c r="D5001">
        <v>144159</v>
      </c>
      <c r="E5001">
        <v>58</v>
      </c>
      <c r="F5001" s="3" t="s">
        <v>4331</v>
      </c>
      <c r="G5001" s="4">
        <v>11913</v>
      </c>
      <c r="H5001" s="4">
        <v>0</v>
      </c>
      <c r="I5001" s="4">
        <v>-37580528.939999998</v>
      </c>
    </row>
    <row r="5002" spans="1:9" x14ac:dyDescent="0.3">
      <c r="A5002" t="s">
        <v>75</v>
      </c>
      <c r="B5002" s="1">
        <v>45895</v>
      </c>
      <c r="C5002" s="1">
        <v>45896</v>
      </c>
      <c r="D5002">
        <v>144160</v>
      </c>
      <c r="E5002">
        <v>11</v>
      </c>
      <c r="F5002" s="3" t="s">
        <v>4332</v>
      </c>
      <c r="G5002" s="4">
        <v>38337</v>
      </c>
      <c r="H5002" s="4">
        <v>0</v>
      </c>
      <c r="I5002" s="4">
        <v>-37542191.939999998</v>
      </c>
    </row>
    <row r="5003" spans="1:9" x14ac:dyDescent="0.3">
      <c r="A5003" t="s">
        <v>75</v>
      </c>
      <c r="B5003" s="1">
        <v>45895</v>
      </c>
      <c r="C5003" s="1">
        <v>45896</v>
      </c>
      <c r="D5003">
        <v>144161</v>
      </c>
      <c r="E5003">
        <v>11</v>
      </c>
      <c r="F5003" s="3" t="s">
        <v>4333</v>
      </c>
      <c r="G5003" s="4">
        <v>4836.25</v>
      </c>
      <c r="H5003" s="4">
        <v>0</v>
      </c>
      <c r="I5003" s="4">
        <v>-37537355.689999998</v>
      </c>
    </row>
    <row r="5004" spans="1:9" x14ac:dyDescent="0.3">
      <c r="A5004" t="s">
        <v>75</v>
      </c>
      <c r="B5004" s="1">
        <v>45896</v>
      </c>
      <c r="C5004" s="1">
        <v>45896</v>
      </c>
      <c r="D5004">
        <v>144162</v>
      </c>
      <c r="E5004">
        <v>63</v>
      </c>
      <c r="F5004" s="3" t="s">
        <v>4334</v>
      </c>
      <c r="G5004" s="4">
        <v>1900</v>
      </c>
      <c r="H5004" s="4">
        <v>0</v>
      </c>
      <c r="I5004" s="4">
        <v>-37535455.689999998</v>
      </c>
    </row>
    <row r="5005" spans="1:9" x14ac:dyDescent="0.3">
      <c r="A5005" t="s">
        <v>75</v>
      </c>
      <c r="B5005" s="1">
        <v>45896</v>
      </c>
      <c r="C5005" s="1">
        <v>45896</v>
      </c>
      <c r="D5005">
        <v>144163</v>
      </c>
      <c r="E5005">
        <v>16</v>
      </c>
      <c r="F5005" s="3" t="s">
        <v>4335</v>
      </c>
      <c r="G5005" s="4">
        <v>2140</v>
      </c>
      <c r="H5005" s="4">
        <v>0</v>
      </c>
      <c r="I5005" s="4">
        <v>-37533315.689999998</v>
      </c>
    </row>
    <row r="5006" spans="1:9" x14ac:dyDescent="0.3">
      <c r="A5006" t="s">
        <v>75</v>
      </c>
      <c r="B5006" s="1">
        <v>45896</v>
      </c>
      <c r="C5006" s="1">
        <v>45896</v>
      </c>
      <c r="D5006">
        <v>144165</v>
      </c>
      <c r="E5006">
        <v>14</v>
      </c>
      <c r="F5006" s="3" t="s">
        <v>4336</v>
      </c>
      <c r="G5006" s="4">
        <v>24246</v>
      </c>
      <c r="H5006" s="4">
        <v>0</v>
      </c>
      <c r="I5006" s="4">
        <v>-37509069.689999998</v>
      </c>
    </row>
    <row r="5007" spans="1:9" x14ac:dyDescent="0.3">
      <c r="A5007" t="s">
        <v>75</v>
      </c>
      <c r="B5007" s="1">
        <v>45896</v>
      </c>
      <c r="C5007" s="1">
        <v>45896</v>
      </c>
      <c r="D5007">
        <v>144166</v>
      </c>
      <c r="E5007">
        <v>14</v>
      </c>
      <c r="F5007" s="3" t="s">
        <v>4337</v>
      </c>
      <c r="G5007" s="4">
        <v>26000</v>
      </c>
      <c r="H5007" s="4">
        <v>0</v>
      </c>
      <c r="I5007" s="4">
        <v>-37483069.689999998</v>
      </c>
    </row>
    <row r="5008" spans="1:9" x14ac:dyDescent="0.3">
      <c r="A5008" t="s">
        <v>75</v>
      </c>
      <c r="B5008" s="1">
        <v>45896</v>
      </c>
      <c r="C5008" s="1">
        <v>45896</v>
      </c>
      <c r="D5008">
        <v>144167</v>
      </c>
      <c r="E5008">
        <v>14</v>
      </c>
      <c r="F5008" s="3" t="s">
        <v>4338</v>
      </c>
      <c r="G5008" s="4">
        <v>1200</v>
      </c>
      <c r="H5008" s="4">
        <v>0</v>
      </c>
      <c r="I5008" s="4">
        <v>-37481869.689999998</v>
      </c>
    </row>
    <row r="5009" spans="1:9" x14ac:dyDescent="0.3">
      <c r="A5009" t="s">
        <v>75</v>
      </c>
      <c r="B5009" s="1">
        <v>45894</v>
      </c>
      <c r="C5009" s="1">
        <v>45896</v>
      </c>
      <c r="D5009">
        <v>144168</v>
      </c>
      <c r="E5009">
        <v>58</v>
      </c>
      <c r="F5009" s="3" t="s">
        <v>4339</v>
      </c>
      <c r="G5009" s="4">
        <v>41151</v>
      </c>
      <c r="H5009" s="4">
        <v>0</v>
      </c>
      <c r="I5009" s="4">
        <v>-37440718.689999998</v>
      </c>
    </row>
    <row r="5010" spans="1:9" x14ac:dyDescent="0.3">
      <c r="A5010" t="s">
        <v>75</v>
      </c>
      <c r="B5010" s="1">
        <v>45892</v>
      </c>
      <c r="C5010" s="1">
        <v>45896</v>
      </c>
      <c r="D5010">
        <v>144169</v>
      </c>
      <c r="E5010">
        <v>58</v>
      </c>
      <c r="F5010" s="3" t="s">
        <v>4340</v>
      </c>
      <c r="G5010" s="4">
        <v>17528.5</v>
      </c>
      <c r="H5010" s="4">
        <v>0</v>
      </c>
      <c r="I5010" s="4">
        <v>-37423190.189999998</v>
      </c>
    </row>
    <row r="5011" spans="1:9" x14ac:dyDescent="0.3">
      <c r="A5011" t="s">
        <v>75</v>
      </c>
      <c r="B5011" s="1">
        <v>45892</v>
      </c>
      <c r="C5011" s="1">
        <v>45896</v>
      </c>
      <c r="D5011">
        <v>144171</v>
      </c>
      <c r="E5011">
        <v>58</v>
      </c>
      <c r="F5011" s="3" t="s">
        <v>4341</v>
      </c>
      <c r="G5011" s="4">
        <v>4873</v>
      </c>
      <c r="H5011" s="4">
        <v>0</v>
      </c>
      <c r="I5011" s="4">
        <v>-37418317.189999998</v>
      </c>
    </row>
    <row r="5012" spans="1:9" x14ac:dyDescent="0.3">
      <c r="A5012" t="s">
        <v>75</v>
      </c>
      <c r="B5012" s="1">
        <v>45894</v>
      </c>
      <c r="C5012" s="1">
        <v>45896</v>
      </c>
      <c r="D5012">
        <v>144172</v>
      </c>
      <c r="E5012">
        <v>58</v>
      </c>
      <c r="F5012" s="3" t="s">
        <v>4342</v>
      </c>
      <c r="G5012" s="4">
        <v>3523.1</v>
      </c>
      <c r="H5012" s="4">
        <v>0</v>
      </c>
      <c r="I5012" s="4">
        <v>-37414794.090000004</v>
      </c>
    </row>
    <row r="5013" spans="1:9" x14ac:dyDescent="0.3">
      <c r="A5013" t="s">
        <v>75</v>
      </c>
      <c r="B5013" s="1">
        <v>45896</v>
      </c>
      <c r="C5013" s="1">
        <v>45896</v>
      </c>
      <c r="D5013">
        <v>144173</v>
      </c>
      <c r="E5013">
        <v>58</v>
      </c>
      <c r="F5013" s="3" t="s">
        <v>4343</v>
      </c>
      <c r="G5013" s="4">
        <v>80000</v>
      </c>
      <c r="H5013" s="4">
        <v>0</v>
      </c>
      <c r="I5013" s="4">
        <v>-37334794.090000004</v>
      </c>
    </row>
    <row r="5014" spans="1:9" x14ac:dyDescent="0.3">
      <c r="A5014" t="s">
        <v>75</v>
      </c>
      <c r="B5014" s="1">
        <v>45896</v>
      </c>
      <c r="C5014" s="1">
        <v>45896</v>
      </c>
      <c r="D5014">
        <v>144174</v>
      </c>
      <c r="E5014">
        <v>16</v>
      </c>
      <c r="F5014" s="3" t="s">
        <v>4344</v>
      </c>
      <c r="G5014" s="4">
        <v>41875</v>
      </c>
      <c r="H5014" s="4">
        <v>0</v>
      </c>
      <c r="I5014" s="4">
        <v>-37292919.090000004</v>
      </c>
    </row>
    <row r="5015" spans="1:9" x14ac:dyDescent="0.3">
      <c r="A5015" t="s">
        <v>75</v>
      </c>
      <c r="B5015" s="1">
        <v>45896</v>
      </c>
      <c r="C5015" s="1">
        <v>45896</v>
      </c>
      <c r="D5015">
        <v>144175</v>
      </c>
      <c r="E5015">
        <v>61</v>
      </c>
      <c r="F5015" s="3" t="s">
        <v>4345</v>
      </c>
      <c r="G5015" s="4">
        <v>91910.5</v>
      </c>
      <c r="H5015" s="4">
        <v>0</v>
      </c>
      <c r="I5015" s="4">
        <v>-37201008.590000004</v>
      </c>
    </row>
    <row r="5016" spans="1:9" x14ac:dyDescent="0.3">
      <c r="A5016" t="s">
        <v>75</v>
      </c>
      <c r="B5016" s="1">
        <v>45896</v>
      </c>
      <c r="C5016" s="1">
        <v>45896</v>
      </c>
      <c r="D5016">
        <v>144176</v>
      </c>
      <c r="E5016">
        <v>72</v>
      </c>
      <c r="F5016" s="3" t="s">
        <v>4346</v>
      </c>
      <c r="G5016" s="4">
        <v>6329.25</v>
      </c>
      <c r="H5016" s="4">
        <v>0</v>
      </c>
      <c r="I5016" s="4">
        <v>-37194679.340000004</v>
      </c>
    </row>
    <row r="5017" spans="1:9" x14ac:dyDescent="0.3">
      <c r="A5017" t="s">
        <v>75</v>
      </c>
      <c r="B5017" s="1">
        <v>45895</v>
      </c>
      <c r="C5017" s="1">
        <v>45896</v>
      </c>
      <c r="D5017">
        <v>144178</v>
      </c>
      <c r="E5017">
        <v>23</v>
      </c>
      <c r="F5017" s="3" t="s">
        <v>4347</v>
      </c>
      <c r="G5017" s="4">
        <v>100981.75</v>
      </c>
      <c r="H5017" s="4">
        <v>0</v>
      </c>
      <c r="I5017" s="4">
        <v>-37093697.590000004</v>
      </c>
    </row>
    <row r="5018" spans="1:9" x14ac:dyDescent="0.3">
      <c r="A5018" t="s">
        <v>75</v>
      </c>
      <c r="B5018" s="1">
        <v>45896</v>
      </c>
      <c r="C5018" s="1">
        <v>45896</v>
      </c>
      <c r="D5018">
        <v>144179</v>
      </c>
      <c r="E5018">
        <v>15</v>
      </c>
      <c r="F5018" s="3" t="s">
        <v>4348</v>
      </c>
      <c r="G5018" s="4">
        <v>68007.5</v>
      </c>
      <c r="H5018" s="4">
        <v>0</v>
      </c>
      <c r="I5018" s="4">
        <v>-37025690.090000004</v>
      </c>
    </row>
    <row r="5019" spans="1:9" x14ac:dyDescent="0.3">
      <c r="A5019" t="s">
        <v>71</v>
      </c>
      <c r="B5019" s="1">
        <v>45896</v>
      </c>
      <c r="C5019" s="1">
        <v>45896</v>
      </c>
      <c r="D5019">
        <v>14930</v>
      </c>
      <c r="E5019">
        <v>100</v>
      </c>
      <c r="F5019" s="3" t="s">
        <v>74</v>
      </c>
      <c r="G5019" s="4">
        <v>0</v>
      </c>
      <c r="H5019" s="4">
        <v>30855720</v>
      </c>
      <c r="I5019" s="4">
        <v>-67881410.090000004</v>
      </c>
    </row>
    <row r="5020" spans="1:9" x14ac:dyDescent="0.3">
      <c r="A5020" t="s">
        <v>124</v>
      </c>
      <c r="B5020" s="1">
        <v>45896</v>
      </c>
      <c r="C5020" s="1">
        <v>45896</v>
      </c>
      <c r="D5020">
        <v>22299</v>
      </c>
      <c r="E5020">
        <v>11</v>
      </c>
      <c r="F5020" s="3" t="s">
        <v>125</v>
      </c>
      <c r="G5020" s="4">
        <v>0</v>
      </c>
      <c r="H5020" s="4">
        <v>42768279.460000001</v>
      </c>
      <c r="I5020" s="4">
        <v>-110649689.55</v>
      </c>
    </row>
    <row r="5021" spans="1:9" x14ac:dyDescent="0.3">
      <c r="A5021" t="s">
        <v>124</v>
      </c>
      <c r="B5021" s="1">
        <v>45896</v>
      </c>
      <c r="C5021" s="1">
        <v>45896</v>
      </c>
      <c r="D5021">
        <v>22300</v>
      </c>
      <c r="E5021">
        <v>11</v>
      </c>
      <c r="F5021" s="3" t="s">
        <v>129</v>
      </c>
      <c r="G5021" s="4">
        <v>0</v>
      </c>
      <c r="H5021" s="4">
        <v>6110000</v>
      </c>
      <c r="I5021" s="4">
        <v>-116759689.55</v>
      </c>
    </row>
    <row r="5022" spans="1:9" x14ac:dyDescent="0.3">
      <c r="A5022" t="s">
        <v>124</v>
      </c>
      <c r="B5022" s="1">
        <v>45896</v>
      </c>
      <c r="C5022" s="1">
        <v>45896</v>
      </c>
      <c r="D5022">
        <v>22302</v>
      </c>
      <c r="E5022">
        <v>11</v>
      </c>
      <c r="F5022" s="3" t="s">
        <v>127</v>
      </c>
      <c r="G5022" s="4">
        <v>30600000</v>
      </c>
      <c r="H5022" s="4">
        <v>0</v>
      </c>
      <c r="I5022" s="4">
        <v>-86159689.549999997</v>
      </c>
    </row>
    <row r="5023" spans="1:9" x14ac:dyDescent="0.3">
      <c r="A5023" t="s">
        <v>124</v>
      </c>
      <c r="B5023" s="1">
        <v>45896</v>
      </c>
      <c r="C5023" s="1">
        <v>45896</v>
      </c>
      <c r="D5023">
        <v>22309</v>
      </c>
      <c r="E5023">
        <v>11</v>
      </c>
      <c r="F5023" s="3" t="s">
        <v>363</v>
      </c>
      <c r="G5023" s="4">
        <v>5000000</v>
      </c>
      <c r="H5023" s="4">
        <v>0</v>
      </c>
      <c r="I5023" s="4">
        <v>-81159689.549999997</v>
      </c>
    </row>
    <row r="5024" spans="1:9" x14ac:dyDescent="0.3">
      <c r="A5024" t="s">
        <v>130</v>
      </c>
      <c r="B5024" s="1">
        <v>45896</v>
      </c>
      <c r="C5024" s="1">
        <v>45896</v>
      </c>
      <c r="D5024">
        <v>3850136</v>
      </c>
      <c r="E5024">
        <v>32</v>
      </c>
      <c r="F5024" s="3" t="s">
        <v>4349</v>
      </c>
      <c r="G5024" s="4">
        <v>0</v>
      </c>
      <c r="H5024" s="4">
        <v>17932.5</v>
      </c>
      <c r="I5024" s="4">
        <v>-81177622.049999997</v>
      </c>
    </row>
    <row r="5025" spans="1:9" x14ac:dyDescent="0.3">
      <c r="A5025" t="s">
        <v>130</v>
      </c>
      <c r="B5025" s="1">
        <v>45896</v>
      </c>
      <c r="C5025" s="1">
        <v>45896</v>
      </c>
      <c r="D5025">
        <v>3850696</v>
      </c>
      <c r="E5025">
        <v>86</v>
      </c>
      <c r="F5025" s="3" t="s">
        <v>4350</v>
      </c>
      <c r="G5025" s="4">
        <v>0</v>
      </c>
      <c r="H5025" s="4">
        <v>2.75</v>
      </c>
      <c r="I5025" s="4">
        <v>-81177624.799999997</v>
      </c>
    </row>
    <row r="5026" spans="1:9" x14ac:dyDescent="0.3">
      <c r="A5026" t="s">
        <v>130</v>
      </c>
      <c r="B5026" s="1">
        <v>45896</v>
      </c>
      <c r="C5026" s="1">
        <v>45896</v>
      </c>
      <c r="D5026">
        <v>3850729</v>
      </c>
      <c r="E5026">
        <v>45</v>
      </c>
      <c r="F5026" s="3" t="s">
        <v>4351</v>
      </c>
      <c r="G5026" s="4">
        <v>0</v>
      </c>
      <c r="H5026" s="4">
        <v>410000</v>
      </c>
      <c r="I5026" s="4">
        <v>-81587624.799999997</v>
      </c>
    </row>
    <row r="5027" spans="1:9" x14ac:dyDescent="0.3">
      <c r="A5027" t="s">
        <v>130</v>
      </c>
      <c r="B5027" s="1">
        <v>45896</v>
      </c>
      <c r="C5027" s="1">
        <v>45896</v>
      </c>
      <c r="D5027">
        <v>3850963</v>
      </c>
      <c r="E5027">
        <v>86</v>
      </c>
      <c r="F5027" s="3" t="s">
        <v>4352</v>
      </c>
      <c r="G5027" s="4">
        <v>0</v>
      </c>
      <c r="H5027" s="4">
        <v>50000</v>
      </c>
      <c r="I5027" s="4">
        <v>-81637624.799999997</v>
      </c>
    </row>
    <row r="5028" spans="1:9" x14ac:dyDescent="0.3">
      <c r="A5028" t="s">
        <v>133</v>
      </c>
      <c r="B5028" s="1">
        <v>45896</v>
      </c>
      <c r="C5028" s="1">
        <v>45896</v>
      </c>
      <c r="D5028">
        <v>925101</v>
      </c>
      <c r="E5028">
        <v>12</v>
      </c>
      <c r="F5028" s="3" t="s">
        <v>4353</v>
      </c>
      <c r="G5028" s="4">
        <v>1051506</v>
      </c>
      <c r="H5028" s="4">
        <v>0</v>
      </c>
      <c r="I5028" s="4">
        <v>-80586118.799999997</v>
      </c>
    </row>
    <row r="5029" spans="1:9" x14ac:dyDescent="0.3">
      <c r="A5029" t="s">
        <v>133</v>
      </c>
      <c r="B5029" s="1">
        <v>45896</v>
      </c>
      <c r="C5029" s="1">
        <v>45896</v>
      </c>
      <c r="D5029">
        <v>925109</v>
      </c>
      <c r="E5029">
        <v>12</v>
      </c>
      <c r="F5029" s="3" t="s">
        <v>4354</v>
      </c>
      <c r="G5029" s="4">
        <v>55170.5</v>
      </c>
      <c r="H5029" s="4">
        <v>0</v>
      </c>
      <c r="I5029" s="4">
        <v>-80530948.299999997</v>
      </c>
    </row>
    <row r="5030" spans="1:9" x14ac:dyDescent="0.3">
      <c r="A5030" t="s">
        <v>133</v>
      </c>
      <c r="B5030" s="1">
        <v>45896</v>
      </c>
      <c r="C5030" s="1">
        <v>45896</v>
      </c>
      <c r="D5030">
        <v>925122</v>
      </c>
      <c r="E5030">
        <v>58</v>
      </c>
      <c r="F5030" s="3" t="s">
        <v>4355</v>
      </c>
      <c r="G5030" s="4">
        <v>700</v>
      </c>
      <c r="H5030" s="4">
        <v>0</v>
      </c>
      <c r="I5030" s="4">
        <v>-80530248.299999997</v>
      </c>
    </row>
    <row r="5031" spans="1:9" x14ac:dyDescent="0.3">
      <c r="A5031" t="s">
        <v>133</v>
      </c>
      <c r="B5031" s="1">
        <v>45896</v>
      </c>
      <c r="C5031" s="1">
        <v>45896</v>
      </c>
      <c r="D5031">
        <v>925161</v>
      </c>
      <c r="E5031">
        <v>382</v>
      </c>
      <c r="F5031" s="3">
        <v>79696.5</v>
      </c>
      <c r="G5031" s="4">
        <v>79696.5</v>
      </c>
      <c r="H5031" s="4">
        <v>0</v>
      </c>
      <c r="I5031" s="4">
        <v>-80450551.799999997</v>
      </c>
    </row>
    <row r="5032" spans="1:9" x14ac:dyDescent="0.3">
      <c r="A5032" t="s">
        <v>133</v>
      </c>
      <c r="B5032" s="1">
        <v>45896</v>
      </c>
      <c r="C5032" s="1">
        <v>45896</v>
      </c>
      <c r="D5032">
        <v>925162</v>
      </c>
      <c r="E5032">
        <v>85</v>
      </c>
      <c r="F5032" s="3" t="s">
        <v>4356</v>
      </c>
      <c r="G5032" s="4">
        <v>1585.5</v>
      </c>
      <c r="H5032" s="4">
        <v>0</v>
      </c>
      <c r="I5032" s="4">
        <v>-80448966.299999997</v>
      </c>
    </row>
    <row r="5033" spans="1:9" x14ac:dyDescent="0.3">
      <c r="A5033" t="s">
        <v>133</v>
      </c>
      <c r="B5033" s="1">
        <v>45896</v>
      </c>
      <c r="C5033" s="1">
        <v>45896</v>
      </c>
      <c r="D5033">
        <v>925163</v>
      </c>
      <c r="E5033">
        <v>36</v>
      </c>
      <c r="F5033" s="3" t="s">
        <v>4357</v>
      </c>
      <c r="G5033" s="4">
        <v>8199.25</v>
      </c>
      <c r="H5033" s="4">
        <v>0</v>
      </c>
      <c r="I5033" s="4">
        <v>-80440767.049999997</v>
      </c>
    </row>
    <row r="5034" spans="1:9" x14ac:dyDescent="0.3">
      <c r="A5034" t="s">
        <v>133</v>
      </c>
      <c r="B5034" s="1">
        <v>45896</v>
      </c>
      <c r="C5034" s="1">
        <v>45896</v>
      </c>
      <c r="D5034">
        <v>925166</v>
      </c>
      <c r="E5034">
        <v>78</v>
      </c>
      <c r="F5034" s="3" t="s">
        <v>4358</v>
      </c>
      <c r="G5034" s="4">
        <v>176244.75</v>
      </c>
      <c r="H5034" s="4">
        <v>0</v>
      </c>
      <c r="I5034" s="4">
        <v>-80264522.299999997</v>
      </c>
    </row>
    <row r="5035" spans="1:9" x14ac:dyDescent="0.3">
      <c r="A5035" t="s">
        <v>133</v>
      </c>
      <c r="B5035" s="1">
        <v>45896</v>
      </c>
      <c r="C5035" s="1">
        <v>45896</v>
      </c>
      <c r="D5035">
        <v>925167</v>
      </c>
      <c r="E5035">
        <v>310</v>
      </c>
      <c r="F5035" s="3" t="s">
        <v>4359</v>
      </c>
      <c r="G5035" s="4">
        <v>382635.75</v>
      </c>
      <c r="H5035" s="4">
        <v>0</v>
      </c>
      <c r="I5035" s="4">
        <v>-79881886.549999997</v>
      </c>
    </row>
    <row r="5036" spans="1:9" x14ac:dyDescent="0.3">
      <c r="A5036" t="s">
        <v>133</v>
      </c>
      <c r="B5036" s="1">
        <v>45896</v>
      </c>
      <c r="C5036" s="1">
        <v>45896</v>
      </c>
      <c r="D5036">
        <v>925173</v>
      </c>
      <c r="E5036">
        <v>94</v>
      </c>
      <c r="F5036" s="3" t="s">
        <v>4360</v>
      </c>
      <c r="G5036" s="4">
        <v>2000</v>
      </c>
      <c r="H5036" s="4">
        <v>0</v>
      </c>
      <c r="I5036" s="4">
        <v>-79879886.549999997</v>
      </c>
    </row>
    <row r="5037" spans="1:9" x14ac:dyDescent="0.3">
      <c r="A5037" t="s">
        <v>133</v>
      </c>
      <c r="B5037" s="1">
        <v>45896</v>
      </c>
      <c r="C5037" s="1">
        <v>45896</v>
      </c>
      <c r="D5037">
        <v>925175</v>
      </c>
      <c r="E5037">
        <v>310</v>
      </c>
      <c r="F5037" s="3" t="s">
        <v>4361</v>
      </c>
      <c r="G5037" s="4">
        <v>772333.75</v>
      </c>
      <c r="H5037" s="4">
        <v>0</v>
      </c>
      <c r="I5037" s="4">
        <v>-79107552.799999997</v>
      </c>
    </row>
    <row r="5038" spans="1:9" x14ac:dyDescent="0.3">
      <c r="A5038" t="s">
        <v>133</v>
      </c>
      <c r="B5038" s="1">
        <v>45896</v>
      </c>
      <c r="C5038" s="1">
        <v>45896</v>
      </c>
      <c r="D5038">
        <v>925179</v>
      </c>
      <c r="E5038">
        <v>42</v>
      </c>
      <c r="F5038" s="3" t="s">
        <v>4362</v>
      </c>
      <c r="G5038" s="4">
        <v>4026.5</v>
      </c>
      <c r="H5038" s="4">
        <v>0</v>
      </c>
      <c r="I5038" s="4">
        <v>-79103526.299999997</v>
      </c>
    </row>
    <row r="5039" spans="1:9" x14ac:dyDescent="0.3">
      <c r="A5039" t="s">
        <v>133</v>
      </c>
      <c r="B5039" s="1">
        <v>45896</v>
      </c>
      <c r="C5039" s="1">
        <v>45896</v>
      </c>
      <c r="D5039">
        <v>925181</v>
      </c>
      <c r="E5039">
        <v>78</v>
      </c>
      <c r="F5039" s="3" t="s">
        <v>4363</v>
      </c>
      <c r="G5039" s="4">
        <v>62489</v>
      </c>
      <c r="H5039" s="4">
        <v>0</v>
      </c>
      <c r="I5039" s="4">
        <v>-79041037.299999997</v>
      </c>
    </row>
    <row r="5040" spans="1:9" x14ac:dyDescent="0.3">
      <c r="A5040" t="s">
        <v>133</v>
      </c>
      <c r="B5040" s="1">
        <v>45896</v>
      </c>
      <c r="C5040" s="1">
        <v>45896</v>
      </c>
      <c r="D5040">
        <v>925183</v>
      </c>
      <c r="E5040">
        <v>12</v>
      </c>
      <c r="F5040" s="3" t="s">
        <v>4364</v>
      </c>
      <c r="G5040" s="4">
        <v>14754.5</v>
      </c>
      <c r="H5040" s="4">
        <v>0</v>
      </c>
      <c r="I5040" s="4">
        <v>-79026282.799999997</v>
      </c>
    </row>
    <row r="5041" spans="1:9" x14ac:dyDescent="0.3">
      <c r="A5041" t="s">
        <v>133</v>
      </c>
      <c r="B5041" s="1">
        <v>45896</v>
      </c>
      <c r="C5041" s="1">
        <v>45896</v>
      </c>
      <c r="D5041">
        <v>925184</v>
      </c>
      <c r="E5041">
        <v>45</v>
      </c>
      <c r="F5041" s="3" t="s">
        <v>4365</v>
      </c>
      <c r="G5041" s="4">
        <v>154369</v>
      </c>
      <c r="H5041" s="4">
        <v>0</v>
      </c>
      <c r="I5041" s="4">
        <v>-78871913.799999997</v>
      </c>
    </row>
    <row r="5042" spans="1:9" x14ac:dyDescent="0.3">
      <c r="A5042" t="s">
        <v>133</v>
      </c>
      <c r="B5042" s="1">
        <v>45896</v>
      </c>
      <c r="C5042" s="1">
        <v>45896</v>
      </c>
      <c r="D5042">
        <v>925186</v>
      </c>
      <c r="E5042">
        <v>11</v>
      </c>
      <c r="F5042" s="3" t="s">
        <v>4366</v>
      </c>
      <c r="G5042" s="4">
        <v>5605.25</v>
      </c>
      <c r="H5042" s="4">
        <v>0</v>
      </c>
      <c r="I5042" s="4">
        <v>-78866308.549999997</v>
      </c>
    </row>
    <row r="5043" spans="1:9" x14ac:dyDescent="0.3">
      <c r="A5043" t="s">
        <v>133</v>
      </c>
      <c r="B5043" s="1">
        <v>45896</v>
      </c>
      <c r="C5043" s="1">
        <v>45896</v>
      </c>
      <c r="D5043">
        <v>925188</v>
      </c>
      <c r="E5043">
        <v>63</v>
      </c>
      <c r="F5043" s="3" t="s">
        <v>4367</v>
      </c>
      <c r="G5043" s="4">
        <v>165914.25</v>
      </c>
      <c r="H5043" s="4">
        <v>0</v>
      </c>
      <c r="I5043" s="4">
        <v>-78700394.299999997</v>
      </c>
    </row>
    <row r="5044" spans="1:9" x14ac:dyDescent="0.3">
      <c r="A5044" t="s">
        <v>133</v>
      </c>
      <c r="B5044" s="1">
        <v>45896</v>
      </c>
      <c r="C5044" s="1">
        <v>45896</v>
      </c>
      <c r="D5044">
        <v>925191</v>
      </c>
      <c r="E5044">
        <v>46</v>
      </c>
      <c r="F5044" s="3" t="s">
        <v>4368</v>
      </c>
      <c r="G5044" s="4">
        <v>34524.75</v>
      </c>
      <c r="H5044" s="4">
        <v>0</v>
      </c>
      <c r="I5044" s="4">
        <v>-78665869.549999997</v>
      </c>
    </row>
    <row r="5045" spans="1:9" x14ac:dyDescent="0.3">
      <c r="A5045" t="s">
        <v>133</v>
      </c>
      <c r="B5045" s="1">
        <v>45896</v>
      </c>
      <c r="C5045" s="1">
        <v>45896</v>
      </c>
      <c r="D5045">
        <v>925194</v>
      </c>
      <c r="E5045">
        <v>51</v>
      </c>
      <c r="F5045" s="3" t="s">
        <v>4369</v>
      </c>
      <c r="G5045" s="4">
        <v>220000</v>
      </c>
      <c r="H5045" s="4">
        <v>0</v>
      </c>
      <c r="I5045" s="4">
        <v>-78445869.549999997</v>
      </c>
    </row>
    <row r="5046" spans="1:9" x14ac:dyDescent="0.3">
      <c r="A5046" t="s">
        <v>133</v>
      </c>
      <c r="B5046" s="1">
        <v>45896</v>
      </c>
      <c r="C5046" s="1">
        <v>45896</v>
      </c>
      <c r="D5046">
        <v>925196</v>
      </c>
      <c r="E5046">
        <v>11</v>
      </c>
      <c r="F5046" s="3" t="s">
        <v>4370</v>
      </c>
      <c r="G5046" s="4">
        <v>36000</v>
      </c>
      <c r="H5046" s="4">
        <v>0</v>
      </c>
      <c r="I5046" s="4">
        <v>-78409869.549999997</v>
      </c>
    </row>
    <row r="5047" spans="1:9" x14ac:dyDescent="0.3">
      <c r="A5047" t="s">
        <v>133</v>
      </c>
      <c r="B5047" s="1">
        <v>45896</v>
      </c>
      <c r="C5047" s="1">
        <v>45896</v>
      </c>
      <c r="D5047">
        <v>925197</v>
      </c>
      <c r="E5047">
        <v>11</v>
      </c>
      <c r="F5047" s="3" t="s">
        <v>4371</v>
      </c>
      <c r="G5047" s="4">
        <v>48640</v>
      </c>
      <c r="H5047" s="4">
        <v>0</v>
      </c>
      <c r="I5047" s="4">
        <v>-78361229.549999997</v>
      </c>
    </row>
    <row r="5048" spans="1:9" x14ac:dyDescent="0.3">
      <c r="A5048" t="s">
        <v>133</v>
      </c>
      <c r="B5048" s="1">
        <v>45896</v>
      </c>
      <c r="C5048" s="1">
        <v>45896</v>
      </c>
      <c r="D5048">
        <v>925199</v>
      </c>
      <c r="E5048">
        <v>11</v>
      </c>
      <c r="F5048" s="3" t="s">
        <v>4372</v>
      </c>
      <c r="G5048" s="4">
        <v>110601.75</v>
      </c>
      <c r="H5048" s="4">
        <v>0</v>
      </c>
      <c r="I5048" s="4">
        <v>-78250627.799999997</v>
      </c>
    </row>
    <row r="5049" spans="1:9" x14ac:dyDescent="0.3">
      <c r="A5049" t="s">
        <v>133</v>
      </c>
      <c r="B5049" s="1">
        <v>45896</v>
      </c>
      <c r="C5049" s="1">
        <v>45896</v>
      </c>
      <c r="D5049">
        <v>925200</v>
      </c>
      <c r="E5049">
        <v>42</v>
      </c>
      <c r="F5049" s="3" t="s">
        <v>4373</v>
      </c>
      <c r="G5049" s="4">
        <v>9729.25</v>
      </c>
      <c r="H5049" s="4">
        <v>0</v>
      </c>
      <c r="I5049" s="4">
        <v>-78240898.549999997</v>
      </c>
    </row>
    <row r="5050" spans="1:9" x14ac:dyDescent="0.3">
      <c r="A5050" t="s">
        <v>133</v>
      </c>
      <c r="B5050" s="1">
        <v>45896</v>
      </c>
      <c r="C5050" s="1">
        <v>45896</v>
      </c>
      <c r="D5050">
        <v>925202</v>
      </c>
      <c r="E5050">
        <v>73</v>
      </c>
      <c r="F5050" s="3" t="s">
        <v>4374</v>
      </c>
      <c r="G5050" s="4">
        <v>360000</v>
      </c>
      <c r="H5050" s="4">
        <v>0</v>
      </c>
      <c r="I5050" s="4">
        <v>-77880898.549999997</v>
      </c>
    </row>
    <row r="5051" spans="1:9" x14ac:dyDescent="0.3">
      <c r="A5051" t="s">
        <v>133</v>
      </c>
      <c r="B5051" s="1">
        <v>45896</v>
      </c>
      <c r="C5051" s="1">
        <v>45896</v>
      </c>
      <c r="D5051">
        <v>925205</v>
      </c>
      <c r="E5051">
        <v>14</v>
      </c>
      <c r="F5051" s="3">
        <v>4570</v>
      </c>
      <c r="G5051" s="4">
        <v>238481.75</v>
      </c>
      <c r="H5051" s="4">
        <v>0</v>
      </c>
      <c r="I5051" s="4">
        <v>-77642416.799999997</v>
      </c>
    </row>
    <row r="5052" spans="1:9" x14ac:dyDescent="0.3">
      <c r="A5052" t="s">
        <v>133</v>
      </c>
      <c r="B5052" s="1">
        <v>45896</v>
      </c>
      <c r="C5052" s="1">
        <v>45896</v>
      </c>
      <c r="D5052">
        <v>925207</v>
      </c>
      <c r="E5052">
        <v>78</v>
      </c>
      <c r="F5052" s="3" t="s">
        <v>4375</v>
      </c>
      <c r="G5052" s="4">
        <v>21432.5</v>
      </c>
      <c r="H5052" s="4">
        <v>0</v>
      </c>
      <c r="I5052" s="4">
        <v>-77620984.299999997</v>
      </c>
    </row>
    <row r="5053" spans="1:9" x14ac:dyDescent="0.3">
      <c r="A5053" t="s">
        <v>133</v>
      </c>
      <c r="B5053" s="1">
        <v>45896</v>
      </c>
      <c r="C5053" s="1">
        <v>45896</v>
      </c>
      <c r="D5053">
        <v>925212</v>
      </c>
      <c r="E5053">
        <v>382</v>
      </c>
      <c r="F5053" s="3">
        <v>51263621697</v>
      </c>
      <c r="G5053" s="4">
        <v>4222</v>
      </c>
      <c r="H5053" s="4">
        <v>0</v>
      </c>
      <c r="I5053" s="4">
        <v>-77616762.299999997</v>
      </c>
    </row>
    <row r="5054" spans="1:9" x14ac:dyDescent="0.3">
      <c r="A5054" t="s">
        <v>133</v>
      </c>
      <c r="B5054" s="1">
        <v>45896</v>
      </c>
      <c r="C5054" s="1">
        <v>45896</v>
      </c>
      <c r="D5054">
        <v>925215</v>
      </c>
      <c r="E5054">
        <v>89</v>
      </c>
      <c r="F5054" s="3" t="s">
        <v>4376</v>
      </c>
      <c r="G5054" s="4">
        <v>800</v>
      </c>
      <c r="H5054" s="4">
        <v>0</v>
      </c>
      <c r="I5054" s="4">
        <v>-77615962.299999997</v>
      </c>
    </row>
    <row r="5055" spans="1:9" x14ac:dyDescent="0.3">
      <c r="A5055" t="s">
        <v>133</v>
      </c>
      <c r="B5055" s="1">
        <v>45896</v>
      </c>
      <c r="C5055" s="1">
        <v>45896</v>
      </c>
      <c r="D5055">
        <v>925216</v>
      </c>
      <c r="E5055">
        <v>84</v>
      </c>
      <c r="F5055" s="3" t="s">
        <v>4377</v>
      </c>
      <c r="G5055" s="4">
        <v>91890</v>
      </c>
      <c r="H5055" s="4">
        <v>0</v>
      </c>
      <c r="I5055" s="4">
        <v>-77524072.299999997</v>
      </c>
    </row>
    <row r="5056" spans="1:9" x14ac:dyDescent="0.3">
      <c r="A5056" t="s">
        <v>133</v>
      </c>
      <c r="B5056" s="1">
        <v>45896</v>
      </c>
      <c r="C5056" s="1">
        <v>45896</v>
      </c>
      <c r="D5056">
        <v>925221</v>
      </c>
      <c r="E5056">
        <v>84</v>
      </c>
      <c r="F5056" s="3" t="s">
        <v>4378</v>
      </c>
      <c r="G5056" s="4">
        <v>8944</v>
      </c>
      <c r="H5056" s="4">
        <v>0</v>
      </c>
      <c r="I5056" s="4">
        <v>-77515128.299999997</v>
      </c>
    </row>
    <row r="5057" spans="1:9" x14ac:dyDescent="0.3">
      <c r="A5057" t="s">
        <v>133</v>
      </c>
      <c r="B5057" s="1">
        <v>45896</v>
      </c>
      <c r="C5057" s="1">
        <v>45896</v>
      </c>
      <c r="D5057">
        <v>925222</v>
      </c>
      <c r="E5057">
        <v>53</v>
      </c>
      <c r="F5057" s="3" t="s">
        <v>4379</v>
      </c>
      <c r="G5057" s="4">
        <v>100000</v>
      </c>
      <c r="H5057" s="4">
        <v>0</v>
      </c>
      <c r="I5057" s="4">
        <v>-77415128.299999997</v>
      </c>
    </row>
    <row r="5058" spans="1:9" x14ac:dyDescent="0.3">
      <c r="A5058" t="s">
        <v>133</v>
      </c>
      <c r="B5058" s="1">
        <v>45896</v>
      </c>
      <c r="C5058" s="1">
        <v>45896</v>
      </c>
      <c r="D5058">
        <v>925223</v>
      </c>
      <c r="E5058">
        <v>53</v>
      </c>
      <c r="F5058" s="3" t="s">
        <v>4380</v>
      </c>
      <c r="G5058" s="4">
        <v>100000</v>
      </c>
      <c r="H5058" s="4">
        <v>0</v>
      </c>
      <c r="I5058" s="4">
        <v>-77315128.299999997</v>
      </c>
    </row>
    <row r="5059" spans="1:9" x14ac:dyDescent="0.3">
      <c r="A5059" t="s">
        <v>133</v>
      </c>
      <c r="B5059" s="1">
        <v>45896</v>
      </c>
      <c r="C5059" s="1">
        <v>45896</v>
      </c>
      <c r="D5059">
        <v>925224</v>
      </c>
      <c r="E5059">
        <v>84</v>
      </c>
      <c r="F5059" s="3" t="s">
        <v>4381</v>
      </c>
      <c r="G5059" s="4">
        <v>43312.5</v>
      </c>
      <c r="H5059" s="4">
        <v>0</v>
      </c>
      <c r="I5059" s="4">
        <v>-77271815.799999997</v>
      </c>
    </row>
    <row r="5060" spans="1:9" x14ac:dyDescent="0.3">
      <c r="A5060" t="s">
        <v>133</v>
      </c>
      <c r="B5060" s="1">
        <v>45896</v>
      </c>
      <c r="C5060" s="1">
        <v>45896</v>
      </c>
      <c r="D5060">
        <v>925225</v>
      </c>
      <c r="E5060">
        <v>53</v>
      </c>
      <c r="F5060" s="3" t="s">
        <v>4382</v>
      </c>
      <c r="G5060" s="4">
        <v>36082.75</v>
      </c>
      <c r="H5060" s="4">
        <v>0</v>
      </c>
      <c r="I5060" s="4">
        <v>-77235733.049999997</v>
      </c>
    </row>
    <row r="5061" spans="1:9" x14ac:dyDescent="0.3">
      <c r="A5061" t="s">
        <v>133</v>
      </c>
      <c r="B5061" s="1">
        <v>45896</v>
      </c>
      <c r="C5061" s="1">
        <v>45896</v>
      </c>
      <c r="D5061">
        <v>925227</v>
      </c>
      <c r="E5061">
        <v>11</v>
      </c>
      <c r="F5061" s="3" t="s">
        <v>4383</v>
      </c>
      <c r="G5061" s="4">
        <v>96197</v>
      </c>
      <c r="H5061" s="4">
        <v>0</v>
      </c>
      <c r="I5061" s="4">
        <v>-77139536.049999997</v>
      </c>
    </row>
    <row r="5062" spans="1:9" x14ac:dyDescent="0.3">
      <c r="A5062" t="s">
        <v>133</v>
      </c>
      <c r="B5062" s="1">
        <v>45896</v>
      </c>
      <c r="C5062" s="1">
        <v>45896</v>
      </c>
      <c r="D5062">
        <v>925228</v>
      </c>
      <c r="E5062">
        <v>84</v>
      </c>
      <c r="F5062" s="3" t="s">
        <v>4384</v>
      </c>
      <c r="G5062" s="4">
        <v>3359.75</v>
      </c>
      <c r="H5062" s="4">
        <v>0</v>
      </c>
      <c r="I5062" s="4">
        <v>-77136176.299999997</v>
      </c>
    </row>
    <row r="5063" spans="1:9" x14ac:dyDescent="0.3">
      <c r="A5063" t="s">
        <v>133</v>
      </c>
      <c r="B5063" s="1">
        <v>45896</v>
      </c>
      <c r="C5063" s="1">
        <v>45896</v>
      </c>
      <c r="D5063">
        <v>925233</v>
      </c>
      <c r="E5063">
        <v>31</v>
      </c>
      <c r="F5063" s="3" t="s">
        <v>4385</v>
      </c>
      <c r="G5063" s="4">
        <v>282114.5</v>
      </c>
      <c r="H5063" s="4">
        <v>0</v>
      </c>
      <c r="I5063" s="4">
        <v>-76854061.799999997</v>
      </c>
    </row>
    <row r="5064" spans="1:9" x14ac:dyDescent="0.3">
      <c r="A5064" t="s">
        <v>133</v>
      </c>
      <c r="B5064" s="1">
        <v>45896</v>
      </c>
      <c r="C5064" s="1">
        <v>45896</v>
      </c>
      <c r="D5064">
        <v>925235</v>
      </c>
      <c r="E5064">
        <v>31</v>
      </c>
      <c r="F5064" s="3" t="s">
        <v>4386</v>
      </c>
      <c r="G5064" s="4">
        <v>250000</v>
      </c>
      <c r="H5064" s="4">
        <v>0</v>
      </c>
      <c r="I5064" s="4">
        <v>-76604061.799999997</v>
      </c>
    </row>
    <row r="5065" spans="1:9" x14ac:dyDescent="0.3">
      <c r="A5065" t="s">
        <v>133</v>
      </c>
      <c r="B5065" s="1">
        <v>45896</v>
      </c>
      <c r="C5065" s="1">
        <v>45896</v>
      </c>
      <c r="D5065">
        <v>925237</v>
      </c>
      <c r="E5065">
        <v>78</v>
      </c>
      <c r="F5065" s="3" t="s">
        <v>4387</v>
      </c>
      <c r="G5065" s="4">
        <v>271411</v>
      </c>
      <c r="H5065" s="4">
        <v>0</v>
      </c>
      <c r="I5065" s="4">
        <v>-76332650.799999997</v>
      </c>
    </row>
    <row r="5066" spans="1:9" x14ac:dyDescent="0.3">
      <c r="A5066" t="s">
        <v>133</v>
      </c>
      <c r="B5066" s="1">
        <v>45896</v>
      </c>
      <c r="C5066" s="1">
        <v>45896</v>
      </c>
      <c r="D5066">
        <v>925242</v>
      </c>
      <c r="E5066">
        <v>382</v>
      </c>
      <c r="F5066" s="3" t="s">
        <v>4388</v>
      </c>
      <c r="G5066" s="4">
        <v>10097.25</v>
      </c>
      <c r="H5066" s="4">
        <v>0</v>
      </c>
      <c r="I5066" s="4">
        <v>-76322553.549999997</v>
      </c>
    </row>
    <row r="5067" spans="1:9" x14ac:dyDescent="0.3">
      <c r="A5067" t="s">
        <v>133</v>
      </c>
      <c r="B5067" s="1">
        <v>45896</v>
      </c>
      <c r="C5067" s="1">
        <v>45896</v>
      </c>
      <c r="D5067">
        <v>925255</v>
      </c>
      <c r="E5067">
        <v>27</v>
      </c>
      <c r="F5067" s="3" t="s">
        <v>4389</v>
      </c>
      <c r="G5067" s="4">
        <v>186160.75</v>
      </c>
      <c r="H5067" s="4">
        <v>0</v>
      </c>
      <c r="I5067" s="4">
        <v>-76136392.799999997</v>
      </c>
    </row>
    <row r="5068" spans="1:9" x14ac:dyDescent="0.3">
      <c r="A5068" t="s">
        <v>133</v>
      </c>
      <c r="B5068" s="1">
        <v>45896</v>
      </c>
      <c r="C5068" s="1">
        <v>45896</v>
      </c>
      <c r="D5068">
        <v>925256</v>
      </c>
      <c r="E5068">
        <v>27</v>
      </c>
      <c r="F5068" s="3" t="s">
        <v>4390</v>
      </c>
      <c r="G5068" s="4">
        <v>22101.5</v>
      </c>
      <c r="H5068" s="4">
        <v>0</v>
      </c>
      <c r="I5068" s="4">
        <v>-76114291.299999997</v>
      </c>
    </row>
    <row r="5069" spans="1:9" x14ac:dyDescent="0.3">
      <c r="A5069" t="s">
        <v>133</v>
      </c>
      <c r="B5069" s="1">
        <v>45896</v>
      </c>
      <c r="C5069" s="1">
        <v>45896</v>
      </c>
      <c r="D5069">
        <v>925258</v>
      </c>
      <c r="E5069">
        <v>27</v>
      </c>
      <c r="F5069" s="3" t="s">
        <v>4391</v>
      </c>
      <c r="G5069" s="4">
        <v>120000</v>
      </c>
      <c r="H5069" s="4">
        <v>0</v>
      </c>
      <c r="I5069" s="4">
        <v>-75994291.299999997</v>
      </c>
    </row>
    <row r="5070" spans="1:9" x14ac:dyDescent="0.3">
      <c r="A5070" t="s">
        <v>133</v>
      </c>
      <c r="B5070" s="1">
        <v>45896</v>
      </c>
      <c r="C5070" s="1">
        <v>45896</v>
      </c>
      <c r="D5070">
        <v>925259</v>
      </c>
      <c r="E5070">
        <v>27</v>
      </c>
      <c r="F5070" s="3" t="s">
        <v>4392</v>
      </c>
      <c r="G5070" s="4">
        <v>250272.5</v>
      </c>
      <c r="H5070" s="4">
        <v>0</v>
      </c>
      <c r="I5070" s="4">
        <v>-75744018.799999997</v>
      </c>
    </row>
    <row r="5071" spans="1:9" x14ac:dyDescent="0.3">
      <c r="A5071" t="s">
        <v>133</v>
      </c>
      <c r="B5071" s="1">
        <v>45896</v>
      </c>
      <c r="C5071" s="1">
        <v>45896</v>
      </c>
      <c r="D5071">
        <v>925260</v>
      </c>
      <c r="E5071">
        <v>75</v>
      </c>
      <c r="F5071" s="3" t="s">
        <v>4393</v>
      </c>
      <c r="G5071" s="4">
        <v>210000</v>
      </c>
      <c r="H5071" s="4">
        <v>0</v>
      </c>
      <c r="I5071" s="4">
        <v>-75534018.799999997</v>
      </c>
    </row>
    <row r="5072" spans="1:9" x14ac:dyDescent="0.3">
      <c r="A5072" t="s">
        <v>133</v>
      </c>
      <c r="B5072" s="1">
        <v>45896</v>
      </c>
      <c r="C5072" s="1">
        <v>45896</v>
      </c>
      <c r="D5072">
        <v>925261</v>
      </c>
      <c r="E5072">
        <v>27</v>
      </c>
      <c r="F5072" s="3" t="s">
        <v>4394</v>
      </c>
      <c r="G5072" s="4">
        <v>99592.5</v>
      </c>
      <c r="H5072" s="4">
        <v>0</v>
      </c>
      <c r="I5072" s="4">
        <v>-75434426.299999997</v>
      </c>
    </row>
    <row r="5073" spans="1:9" x14ac:dyDescent="0.3">
      <c r="A5073" t="s">
        <v>133</v>
      </c>
      <c r="B5073" s="1">
        <v>45896</v>
      </c>
      <c r="C5073" s="1">
        <v>45896</v>
      </c>
      <c r="D5073">
        <v>925262</v>
      </c>
      <c r="E5073">
        <v>45</v>
      </c>
      <c r="F5073" s="3" t="s">
        <v>4395</v>
      </c>
      <c r="G5073" s="4">
        <v>330000</v>
      </c>
      <c r="H5073" s="4">
        <v>0</v>
      </c>
      <c r="I5073" s="4">
        <v>-75104426.299999997</v>
      </c>
    </row>
    <row r="5074" spans="1:9" x14ac:dyDescent="0.3">
      <c r="A5074" t="s">
        <v>133</v>
      </c>
      <c r="B5074" s="1">
        <v>45896</v>
      </c>
      <c r="C5074" s="1">
        <v>45896</v>
      </c>
      <c r="D5074">
        <v>925263</v>
      </c>
      <c r="E5074">
        <v>27</v>
      </c>
      <c r="F5074" s="3" t="s">
        <v>4396</v>
      </c>
      <c r="G5074" s="4">
        <v>74712.5</v>
      </c>
      <c r="H5074" s="4">
        <v>0</v>
      </c>
      <c r="I5074" s="4">
        <v>-75029713.799999997</v>
      </c>
    </row>
    <row r="5075" spans="1:9" x14ac:dyDescent="0.3">
      <c r="A5075" t="s">
        <v>133</v>
      </c>
      <c r="B5075" s="1">
        <v>45896</v>
      </c>
      <c r="C5075" s="1">
        <v>45896</v>
      </c>
      <c r="D5075">
        <v>925271</v>
      </c>
      <c r="E5075">
        <v>38</v>
      </c>
      <c r="F5075" s="3" t="s">
        <v>4397</v>
      </c>
      <c r="G5075" s="4">
        <v>2391564.75</v>
      </c>
      <c r="H5075" s="4">
        <v>0</v>
      </c>
      <c r="I5075" s="4">
        <v>-72638149.049999997</v>
      </c>
    </row>
    <row r="5076" spans="1:9" x14ac:dyDescent="0.3">
      <c r="A5076" t="s">
        <v>133</v>
      </c>
      <c r="B5076" s="1">
        <v>45896</v>
      </c>
      <c r="C5076" s="1">
        <v>45896</v>
      </c>
      <c r="D5076">
        <v>925276</v>
      </c>
      <c r="E5076">
        <v>282</v>
      </c>
      <c r="F5076" s="3" t="s">
        <v>4398</v>
      </c>
      <c r="G5076" s="4">
        <v>170000</v>
      </c>
      <c r="H5076" s="4">
        <v>0</v>
      </c>
      <c r="I5076" s="4">
        <v>-72468149.049999997</v>
      </c>
    </row>
    <row r="5077" spans="1:9" x14ac:dyDescent="0.3">
      <c r="A5077" t="s">
        <v>133</v>
      </c>
      <c r="B5077" s="1">
        <v>45896</v>
      </c>
      <c r="C5077" s="1">
        <v>45896</v>
      </c>
      <c r="D5077">
        <v>925287</v>
      </c>
      <c r="E5077">
        <v>31</v>
      </c>
      <c r="F5077" s="3" t="s">
        <v>4399</v>
      </c>
      <c r="G5077" s="4">
        <v>149112.5</v>
      </c>
      <c r="H5077" s="4">
        <v>0</v>
      </c>
      <c r="I5077" s="4">
        <v>-72319036.549999997</v>
      </c>
    </row>
    <row r="5078" spans="1:9" x14ac:dyDescent="0.3">
      <c r="A5078" t="s">
        <v>133</v>
      </c>
      <c r="B5078" s="1">
        <v>45896</v>
      </c>
      <c r="C5078" s="1">
        <v>45896</v>
      </c>
      <c r="D5078">
        <v>925289</v>
      </c>
      <c r="E5078">
        <v>78</v>
      </c>
      <c r="F5078" s="3" t="s">
        <v>4400</v>
      </c>
      <c r="G5078" s="4">
        <v>1312.5</v>
      </c>
      <c r="H5078" s="4">
        <v>0</v>
      </c>
      <c r="I5078" s="4">
        <v>-72317724.049999997</v>
      </c>
    </row>
    <row r="5079" spans="1:9" x14ac:dyDescent="0.3">
      <c r="A5079" t="s">
        <v>133</v>
      </c>
      <c r="B5079" s="1">
        <v>45896</v>
      </c>
      <c r="C5079" s="1">
        <v>45896</v>
      </c>
      <c r="D5079">
        <v>925290</v>
      </c>
      <c r="E5079">
        <v>82</v>
      </c>
      <c r="F5079" s="3">
        <v>5620820003647</v>
      </c>
      <c r="G5079" s="4">
        <v>55163</v>
      </c>
      <c r="H5079" s="4">
        <v>0</v>
      </c>
      <c r="I5079" s="4">
        <v>-72262561.049999997</v>
      </c>
    </row>
    <row r="5080" spans="1:9" x14ac:dyDescent="0.3">
      <c r="A5080" t="s">
        <v>133</v>
      </c>
      <c r="B5080" s="1">
        <v>45896</v>
      </c>
      <c r="C5080" s="1">
        <v>45896</v>
      </c>
      <c r="D5080">
        <v>925295</v>
      </c>
      <c r="E5080">
        <v>84</v>
      </c>
      <c r="F5080" s="3" t="s">
        <v>4401</v>
      </c>
      <c r="G5080" s="4">
        <v>21017</v>
      </c>
      <c r="H5080" s="4">
        <v>0</v>
      </c>
      <c r="I5080" s="4">
        <v>-72241544.049999997</v>
      </c>
    </row>
    <row r="5081" spans="1:9" x14ac:dyDescent="0.3">
      <c r="A5081" t="s">
        <v>133</v>
      </c>
      <c r="B5081" s="1">
        <v>45896</v>
      </c>
      <c r="C5081" s="1">
        <v>45896</v>
      </c>
      <c r="D5081">
        <v>925296</v>
      </c>
      <c r="E5081">
        <v>77</v>
      </c>
      <c r="F5081" s="3" t="s">
        <v>4402</v>
      </c>
      <c r="G5081" s="4">
        <v>68338.5</v>
      </c>
      <c r="H5081" s="4">
        <v>0</v>
      </c>
      <c r="I5081" s="4">
        <v>-72173205.549999997</v>
      </c>
    </row>
    <row r="5082" spans="1:9" x14ac:dyDescent="0.3">
      <c r="A5082" t="s">
        <v>133</v>
      </c>
      <c r="B5082" s="1">
        <v>45896</v>
      </c>
      <c r="C5082" s="1">
        <v>45896</v>
      </c>
      <c r="D5082">
        <v>925298</v>
      </c>
      <c r="E5082">
        <v>84</v>
      </c>
      <c r="F5082" s="3" t="s">
        <v>4403</v>
      </c>
      <c r="G5082" s="4">
        <v>39974.75</v>
      </c>
      <c r="H5082" s="4">
        <v>0</v>
      </c>
      <c r="I5082" s="4">
        <v>-72133230.799999997</v>
      </c>
    </row>
    <row r="5083" spans="1:9" x14ac:dyDescent="0.3">
      <c r="A5083" t="s">
        <v>133</v>
      </c>
      <c r="B5083" s="1">
        <v>45896</v>
      </c>
      <c r="C5083" s="1">
        <v>45896</v>
      </c>
      <c r="D5083">
        <v>925299</v>
      </c>
      <c r="E5083">
        <v>72</v>
      </c>
      <c r="F5083" s="3" t="s">
        <v>4404</v>
      </c>
      <c r="G5083" s="4">
        <v>5000</v>
      </c>
      <c r="H5083" s="4">
        <v>0</v>
      </c>
      <c r="I5083" s="4">
        <v>-72128230.799999997</v>
      </c>
    </row>
    <row r="5084" spans="1:9" x14ac:dyDescent="0.3">
      <c r="A5084" t="s">
        <v>133</v>
      </c>
      <c r="B5084" s="1">
        <v>45896</v>
      </c>
      <c r="C5084" s="1">
        <v>45896</v>
      </c>
      <c r="D5084">
        <v>925302</v>
      </c>
      <c r="E5084">
        <v>84</v>
      </c>
      <c r="F5084" s="3" t="s">
        <v>4405</v>
      </c>
      <c r="G5084" s="4">
        <v>4228</v>
      </c>
      <c r="H5084" s="4">
        <v>0</v>
      </c>
      <c r="I5084" s="4">
        <v>-72124002.799999997</v>
      </c>
    </row>
    <row r="5085" spans="1:9" x14ac:dyDescent="0.3">
      <c r="A5085" t="s">
        <v>133</v>
      </c>
      <c r="B5085" s="1">
        <v>45896</v>
      </c>
      <c r="C5085" s="1">
        <v>45896</v>
      </c>
      <c r="D5085">
        <v>925304</v>
      </c>
      <c r="E5085">
        <v>351</v>
      </c>
      <c r="F5085" s="3" t="s">
        <v>4406</v>
      </c>
      <c r="G5085" s="4">
        <v>7161.25</v>
      </c>
      <c r="H5085" s="4">
        <v>0</v>
      </c>
      <c r="I5085" s="4">
        <v>-72116841.549999997</v>
      </c>
    </row>
    <row r="5086" spans="1:9" x14ac:dyDescent="0.3">
      <c r="A5086" t="s">
        <v>133</v>
      </c>
      <c r="B5086" s="1">
        <v>45896</v>
      </c>
      <c r="C5086" s="1">
        <v>45896</v>
      </c>
      <c r="D5086">
        <v>925307</v>
      </c>
      <c r="E5086">
        <v>14</v>
      </c>
      <c r="F5086" s="3" t="s">
        <v>3628</v>
      </c>
      <c r="G5086" s="4">
        <v>280000</v>
      </c>
      <c r="H5086" s="4">
        <v>0</v>
      </c>
      <c r="I5086" s="4">
        <v>-71836841.549999997</v>
      </c>
    </row>
    <row r="5087" spans="1:9" x14ac:dyDescent="0.3">
      <c r="A5087" t="s">
        <v>133</v>
      </c>
      <c r="B5087" s="1">
        <v>45896</v>
      </c>
      <c r="C5087" s="1">
        <v>45896</v>
      </c>
      <c r="D5087">
        <v>925310</v>
      </c>
      <c r="E5087">
        <v>28</v>
      </c>
      <c r="F5087" s="3" t="s">
        <v>4407</v>
      </c>
      <c r="G5087" s="4">
        <v>150000</v>
      </c>
      <c r="H5087" s="4">
        <v>0</v>
      </c>
      <c r="I5087" s="4">
        <v>-71686841.549999997</v>
      </c>
    </row>
    <row r="5088" spans="1:9" x14ac:dyDescent="0.3">
      <c r="A5088" t="s">
        <v>133</v>
      </c>
      <c r="B5088" s="1">
        <v>45896</v>
      </c>
      <c r="C5088" s="1">
        <v>45896</v>
      </c>
      <c r="D5088">
        <v>925311</v>
      </c>
      <c r="E5088">
        <v>72</v>
      </c>
      <c r="F5088" s="3" t="s">
        <v>4408</v>
      </c>
      <c r="G5088" s="4">
        <v>25027</v>
      </c>
      <c r="H5088" s="4">
        <v>0</v>
      </c>
      <c r="I5088" s="4">
        <v>-71661814.549999997</v>
      </c>
    </row>
    <row r="5089" spans="1:9" x14ac:dyDescent="0.3">
      <c r="A5089" t="s">
        <v>133</v>
      </c>
      <c r="B5089" s="1">
        <v>45896</v>
      </c>
      <c r="C5089" s="1">
        <v>45896</v>
      </c>
      <c r="D5089">
        <v>925312</v>
      </c>
      <c r="E5089">
        <v>74</v>
      </c>
      <c r="F5089" s="3" t="s">
        <v>4409</v>
      </c>
      <c r="G5089" s="4">
        <v>500000</v>
      </c>
      <c r="H5089" s="4">
        <v>0</v>
      </c>
      <c r="I5089" s="4">
        <v>-71161814.549999997</v>
      </c>
    </row>
    <row r="5090" spans="1:9" x14ac:dyDescent="0.3">
      <c r="A5090" t="s">
        <v>133</v>
      </c>
      <c r="B5090" s="1">
        <v>45896</v>
      </c>
      <c r="C5090" s="1">
        <v>45896</v>
      </c>
      <c r="D5090">
        <v>925313</v>
      </c>
      <c r="E5090">
        <v>42</v>
      </c>
      <c r="F5090" s="3" t="s">
        <v>4410</v>
      </c>
      <c r="G5090" s="4">
        <v>14883.25</v>
      </c>
      <c r="H5090" s="4">
        <v>0</v>
      </c>
      <c r="I5090" s="4">
        <v>-71146931.299999997</v>
      </c>
    </row>
    <row r="5091" spans="1:9" x14ac:dyDescent="0.3">
      <c r="A5091" t="s">
        <v>133</v>
      </c>
      <c r="B5091" s="1">
        <v>45896</v>
      </c>
      <c r="C5091" s="1">
        <v>45896</v>
      </c>
      <c r="D5091">
        <v>925317</v>
      </c>
      <c r="E5091">
        <v>351</v>
      </c>
      <c r="F5091" s="3" t="s">
        <v>4411</v>
      </c>
      <c r="G5091" s="4">
        <v>389164.25</v>
      </c>
      <c r="H5091" s="4">
        <v>0</v>
      </c>
      <c r="I5091" s="4">
        <v>-70757767.049999997</v>
      </c>
    </row>
    <row r="5092" spans="1:9" x14ac:dyDescent="0.3">
      <c r="A5092" t="s">
        <v>133</v>
      </c>
      <c r="B5092" s="1">
        <v>45896</v>
      </c>
      <c r="C5092" s="1">
        <v>45896</v>
      </c>
      <c r="D5092">
        <v>925320</v>
      </c>
      <c r="E5092">
        <v>92</v>
      </c>
      <c r="F5092" s="3" t="s">
        <v>4412</v>
      </c>
      <c r="G5092" s="4">
        <v>150000</v>
      </c>
      <c r="H5092" s="4">
        <v>0</v>
      </c>
      <c r="I5092" s="4">
        <v>-70607767.049999997</v>
      </c>
    </row>
    <row r="5093" spans="1:9" x14ac:dyDescent="0.3">
      <c r="A5093" t="s">
        <v>133</v>
      </c>
      <c r="B5093" s="1">
        <v>45896</v>
      </c>
      <c r="C5093" s="1">
        <v>45896</v>
      </c>
      <c r="D5093">
        <v>925322</v>
      </c>
      <c r="E5093">
        <v>13</v>
      </c>
      <c r="F5093" s="3" t="s">
        <v>3472</v>
      </c>
      <c r="G5093" s="4">
        <v>320000</v>
      </c>
      <c r="H5093" s="4">
        <v>0</v>
      </c>
      <c r="I5093" s="4">
        <v>-70287767.049999997</v>
      </c>
    </row>
    <row r="5094" spans="1:9" x14ac:dyDescent="0.3">
      <c r="A5094" t="s">
        <v>133</v>
      </c>
      <c r="B5094" s="1">
        <v>45896</v>
      </c>
      <c r="C5094" s="1">
        <v>45896</v>
      </c>
      <c r="D5094">
        <v>925324</v>
      </c>
      <c r="E5094">
        <v>351</v>
      </c>
      <c r="F5094" s="3" t="s">
        <v>4413</v>
      </c>
      <c r="G5094" s="4">
        <v>135126</v>
      </c>
      <c r="H5094" s="4">
        <v>0</v>
      </c>
      <c r="I5094" s="4">
        <v>-70152641.049999997</v>
      </c>
    </row>
    <row r="5095" spans="1:9" x14ac:dyDescent="0.3">
      <c r="A5095" t="s">
        <v>133</v>
      </c>
      <c r="B5095" s="1">
        <v>45896</v>
      </c>
      <c r="C5095" s="1">
        <v>45896</v>
      </c>
      <c r="D5095">
        <v>925327</v>
      </c>
      <c r="E5095">
        <v>56</v>
      </c>
      <c r="F5095" s="3" t="s">
        <v>4414</v>
      </c>
      <c r="G5095" s="4">
        <v>5063.5</v>
      </c>
      <c r="H5095" s="4">
        <v>0</v>
      </c>
      <c r="I5095" s="4">
        <v>-70147577.549999997</v>
      </c>
    </row>
    <row r="5096" spans="1:9" x14ac:dyDescent="0.3">
      <c r="A5096" t="s">
        <v>133</v>
      </c>
      <c r="B5096" s="1">
        <v>45896</v>
      </c>
      <c r="C5096" s="1">
        <v>45896</v>
      </c>
      <c r="D5096">
        <v>925328</v>
      </c>
      <c r="E5096">
        <v>66</v>
      </c>
      <c r="F5096" s="3" t="s">
        <v>4415</v>
      </c>
      <c r="G5096" s="4">
        <v>200000</v>
      </c>
      <c r="H5096" s="4">
        <v>0</v>
      </c>
      <c r="I5096" s="4">
        <v>-69947577.549999997</v>
      </c>
    </row>
    <row r="5097" spans="1:9" x14ac:dyDescent="0.3">
      <c r="A5097" t="s">
        <v>133</v>
      </c>
      <c r="B5097" s="1">
        <v>45896</v>
      </c>
      <c r="C5097" s="1">
        <v>45896</v>
      </c>
      <c r="D5097">
        <v>925329</v>
      </c>
      <c r="E5097">
        <v>81</v>
      </c>
      <c r="F5097" s="3" t="s">
        <v>4416</v>
      </c>
      <c r="G5097" s="4">
        <v>50000</v>
      </c>
      <c r="H5097" s="4">
        <v>0</v>
      </c>
      <c r="I5097" s="4">
        <v>-69897577.549999997</v>
      </c>
    </row>
    <row r="5098" spans="1:9" x14ac:dyDescent="0.3">
      <c r="A5098" t="s">
        <v>133</v>
      </c>
      <c r="B5098" s="1">
        <v>45896</v>
      </c>
      <c r="C5098" s="1">
        <v>45896</v>
      </c>
      <c r="D5098">
        <v>925330</v>
      </c>
      <c r="E5098">
        <v>18</v>
      </c>
      <c r="F5098" s="3" t="s">
        <v>4417</v>
      </c>
      <c r="G5098" s="4">
        <v>350000</v>
      </c>
      <c r="H5098" s="4">
        <v>0</v>
      </c>
      <c r="I5098" s="4">
        <v>-69547577.549999997</v>
      </c>
    </row>
    <row r="5099" spans="1:9" x14ac:dyDescent="0.3">
      <c r="A5099" t="s">
        <v>133</v>
      </c>
      <c r="B5099" s="1">
        <v>45896</v>
      </c>
      <c r="C5099" s="1">
        <v>45896</v>
      </c>
      <c r="D5099">
        <v>925331</v>
      </c>
      <c r="E5099">
        <v>12</v>
      </c>
      <c r="F5099" s="3" t="s">
        <v>4418</v>
      </c>
      <c r="G5099" s="4">
        <v>750000</v>
      </c>
      <c r="H5099" s="4">
        <v>0</v>
      </c>
      <c r="I5099" s="4">
        <v>-68797577.549999997</v>
      </c>
    </row>
    <row r="5100" spans="1:9" x14ac:dyDescent="0.3">
      <c r="A5100" t="s">
        <v>133</v>
      </c>
      <c r="B5100" s="1">
        <v>45896</v>
      </c>
      <c r="C5100" s="1">
        <v>45896</v>
      </c>
      <c r="D5100">
        <v>925332</v>
      </c>
      <c r="E5100">
        <v>72</v>
      </c>
      <c r="F5100" s="3" t="s">
        <v>4419</v>
      </c>
      <c r="G5100" s="4">
        <v>10000</v>
      </c>
      <c r="H5100" s="4">
        <v>0</v>
      </c>
      <c r="I5100" s="4">
        <v>-68787577.549999997</v>
      </c>
    </row>
    <row r="5101" spans="1:9" x14ac:dyDescent="0.3">
      <c r="A5101" t="s">
        <v>133</v>
      </c>
      <c r="B5101" s="1">
        <v>45896</v>
      </c>
      <c r="C5101" s="1">
        <v>45896</v>
      </c>
      <c r="D5101">
        <v>925334</v>
      </c>
      <c r="E5101">
        <v>86</v>
      </c>
      <c r="F5101" s="3" t="s">
        <v>4420</v>
      </c>
      <c r="G5101" s="4">
        <v>10923.75</v>
      </c>
      <c r="H5101" s="4">
        <v>0</v>
      </c>
      <c r="I5101" s="4">
        <v>-68776653.799999997</v>
      </c>
    </row>
    <row r="5102" spans="1:9" x14ac:dyDescent="0.3">
      <c r="A5102" t="s">
        <v>133</v>
      </c>
      <c r="B5102" s="1">
        <v>45896</v>
      </c>
      <c r="C5102" s="1">
        <v>45896</v>
      </c>
      <c r="D5102">
        <v>925335</v>
      </c>
      <c r="E5102">
        <v>27</v>
      </c>
      <c r="F5102" s="3" t="s">
        <v>4421</v>
      </c>
      <c r="G5102" s="4">
        <v>154106</v>
      </c>
      <c r="H5102" s="4">
        <v>0</v>
      </c>
      <c r="I5102" s="4">
        <v>-68622547.799999997</v>
      </c>
    </row>
    <row r="5103" spans="1:9" x14ac:dyDescent="0.3">
      <c r="A5103" t="s">
        <v>133</v>
      </c>
      <c r="B5103" s="1">
        <v>45896</v>
      </c>
      <c r="C5103" s="1">
        <v>45896</v>
      </c>
      <c r="D5103">
        <v>925340</v>
      </c>
      <c r="E5103">
        <v>17</v>
      </c>
      <c r="F5103" s="3" t="s">
        <v>4422</v>
      </c>
      <c r="G5103" s="4">
        <v>560000</v>
      </c>
      <c r="H5103" s="4">
        <v>0</v>
      </c>
      <c r="I5103" s="4">
        <v>-68062547.799999997</v>
      </c>
    </row>
    <row r="5104" spans="1:9" x14ac:dyDescent="0.3">
      <c r="A5104" t="s">
        <v>133</v>
      </c>
      <c r="B5104" s="1">
        <v>45896</v>
      </c>
      <c r="C5104" s="1">
        <v>45896</v>
      </c>
      <c r="D5104">
        <v>925341</v>
      </c>
      <c r="E5104">
        <v>412</v>
      </c>
      <c r="F5104" s="3" t="s">
        <v>4423</v>
      </c>
      <c r="G5104" s="4">
        <v>360000</v>
      </c>
      <c r="H5104" s="4">
        <v>0</v>
      </c>
      <c r="I5104" s="4">
        <v>-67702547.799999997</v>
      </c>
    </row>
    <row r="5105" spans="1:9" x14ac:dyDescent="0.3">
      <c r="A5105" t="s">
        <v>133</v>
      </c>
      <c r="B5105" s="1">
        <v>45896</v>
      </c>
      <c r="C5105" s="1">
        <v>45896</v>
      </c>
      <c r="D5105">
        <v>925344</v>
      </c>
      <c r="E5105">
        <v>59</v>
      </c>
      <c r="F5105" s="3" t="s">
        <v>4424</v>
      </c>
      <c r="G5105" s="4">
        <v>3211.5</v>
      </c>
      <c r="H5105" s="4">
        <v>0</v>
      </c>
      <c r="I5105" s="4">
        <v>-67699336.299999997</v>
      </c>
    </row>
    <row r="5106" spans="1:9" x14ac:dyDescent="0.3">
      <c r="A5106" t="s">
        <v>133</v>
      </c>
      <c r="B5106" s="1">
        <v>45896</v>
      </c>
      <c r="C5106" s="1">
        <v>45896</v>
      </c>
      <c r="D5106">
        <v>925350</v>
      </c>
      <c r="E5106">
        <v>310</v>
      </c>
      <c r="F5106" s="3" t="s">
        <v>4425</v>
      </c>
      <c r="G5106" s="4">
        <v>3962.25</v>
      </c>
      <c r="H5106" s="4">
        <v>0</v>
      </c>
      <c r="I5106" s="4">
        <v>-67695374.049999997</v>
      </c>
    </row>
    <row r="5107" spans="1:9" x14ac:dyDescent="0.3">
      <c r="A5107" t="s">
        <v>133</v>
      </c>
      <c r="B5107" s="1">
        <v>45896</v>
      </c>
      <c r="C5107" s="1">
        <v>45896</v>
      </c>
      <c r="D5107">
        <v>925352</v>
      </c>
      <c r="E5107">
        <v>31</v>
      </c>
      <c r="F5107" s="3" t="s">
        <v>2753</v>
      </c>
      <c r="G5107" s="4">
        <v>1600000</v>
      </c>
      <c r="H5107" s="4">
        <v>0</v>
      </c>
      <c r="I5107" s="4">
        <v>-66095374.049999997</v>
      </c>
    </row>
    <row r="5108" spans="1:9" x14ac:dyDescent="0.3">
      <c r="A5108" t="s">
        <v>133</v>
      </c>
      <c r="B5108" s="1">
        <v>45896</v>
      </c>
      <c r="C5108" s="1">
        <v>45896</v>
      </c>
      <c r="D5108">
        <v>925353</v>
      </c>
      <c r="E5108">
        <v>72</v>
      </c>
      <c r="F5108" s="3">
        <v>51270820889</v>
      </c>
      <c r="G5108" s="4">
        <v>50000</v>
      </c>
      <c r="H5108" s="4">
        <v>0</v>
      </c>
      <c r="I5108" s="4">
        <v>-66045374.049999997</v>
      </c>
    </row>
    <row r="5109" spans="1:9" x14ac:dyDescent="0.3">
      <c r="A5109" t="s">
        <v>133</v>
      </c>
      <c r="B5109" s="1">
        <v>45896</v>
      </c>
      <c r="C5109" s="1">
        <v>45896</v>
      </c>
      <c r="D5109">
        <v>925354</v>
      </c>
      <c r="E5109">
        <v>351</v>
      </c>
      <c r="F5109" s="3" t="s">
        <v>4426</v>
      </c>
      <c r="G5109" s="4">
        <v>83497.25</v>
      </c>
      <c r="H5109" s="4">
        <v>0</v>
      </c>
      <c r="I5109" s="4">
        <v>-65961876.799999997</v>
      </c>
    </row>
    <row r="5110" spans="1:9" x14ac:dyDescent="0.3">
      <c r="A5110" t="s">
        <v>133</v>
      </c>
      <c r="B5110" s="1">
        <v>45896</v>
      </c>
      <c r="C5110" s="1">
        <v>45896</v>
      </c>
      <c r="D5110">
        <v>925355</v>
      </c>
      <c r="E5110">
        <v>382</v>
      </c>
      <c r="F5110" s="3">
        <v>51271849969</v>
      </c>
      <c r="G5110" s="4">
        <v>3803</v>
      </c>
      <c r="H5110" s="4">
        <v>0</v>
      </c>
      <c r="I5110" s="4">
        <v>-65958073.799999997</v>
      </c>
    </row>
    <row r="5111" spans="1:9" x14ac:dyDescent="0.3">
      <c r="A5111" t="s">
        <v>133</v>
      </c>
      <c r="B5111" s="1">
        <v>45896</v>
      </c>
      <c r="C5111" s="1">
        <v>45896</v>
      </c>
      <c r="D5111">
        <v>925357</v>
      </c>
      <c r="E5111">
        <v>31</v>
      </c>
      <c r="F5111" s="3" t="s">
        <v>4427</v>
      </c>
      <c r="G5111" s="4">
        <v>53446.75</v>
      </c>
      <c r="H5111" s="4">
        <v>0</v>
      </c>
      <c r="I5111" s="4">
        <v>-65904627.049999997</v>
      </c>
    </row>
    <row r="5112" spans="1:9" x14ac:dyDescent="0.3">
      <c r="A5112" t="s">
        <v>133</v>
      </c>
      <c r="B5112" s="1">
        <v>45896</v>
      </c>
      <c r="C5112" s="1">
        <v>45896</v>
      </c>
      <c r="D5112">
        <v>925360</v>
      </c>
      <c r="E5112">
        <v>45</v>
      </c>
      <c r="F5112" s="3" t="s">
        <v>4428</v>
      </c>
      <c r="G5112" s="4">
        <v>407000</v>
      </c>
      <c r="H5112" s="4">
        <v>0</v>
      </c>
      <c r="I5112" s="4">
        <v>-65497627.049999997</v>
      </c>
    </row>
    <row r="5113" spans="1:9" x14ac:dyDescent="0.3">
      <c r="A5113" t="s">
        <v>133</v>
      </c>
      <c r="B5113" s="1">
        <v>45896</v>
      </c>
      <c r="C5113" s="1">
        <v>45896</v>
      </c>
      <c r="D5113">
        <v>925362</v>
      </c>
      <c r="E5113">
        <v>28</v>
      </c>
      <c r="F5113" s="3">
        <v>51268678108</v>
      </c>
      <c r="G5113" s="4">
        <v>6329</v>
      </c>
      <c r="H5113" s="4">
        <v>0</v>
      </c>
      <c r="I5113" s="4">
        <v>-65491298.049999997</v>
      </c>
    </row>
    <row r="5114" spans="1:9" x14ac:dyDescent="0.3">
      <c r="A5114" t="s">
        <v>133</v>
      </c>
      <c r="B5114" s="1">
        <v>45896</v>
      </c>
      <c r="C5114" s="1">
        <v>45896</v>
      </c>
      <c r="D5114">
        <v>925370</v>
      </c>
      <c r="E5114">
        <v>36</v>
      </c>
      <c r="F5114" s="3" t="s">
        <v>4429</v>
      </c>
      <c r="G5114" s="4">
        <v>23346.5</v>
      </c>
      <c r="H5114" s="4">
        <v>0</v>
      </c>
      <c r="I5114" s="4">
        <v>-65467951.549999997</v>
      </c>
    </row>
    <row r="5115" spans="1:9" x14ac:dyDescent="0.3">
      <c r="A5115" t="s">
        <v>133</v>
      </c>
      <c r="B5115" s="1">
        <v>45896</v>
      </c>
      <c r="C5115" s="1">
        <v>45896</v>
      </c>
      <c r="D5115">
        <v>925372</v>
      </c>
      <c r="E5115">
        <v>28</v>
      </c>
      <c r="F5115" s="3">
        <v>51267476345</v>
      </c>
      <c r="G5115" s="4">
        <v>49820.25</v>
      </c>
      <c r="H5115" s="4">
        <v>0</v>
      </c>
      <c r="I5115" s="4">
        <v>-65418131.299999997</v>
      </c>
    </row>
    <row r="5116" spans="1:9" x14ac:dyDescent="0.3">
      <c r="A5116" t="s">
        <v>133</v>
      </c>
      <c r="B5116" s="1">
        <v>45896</v>
      </c>
      <c r="C5116" s="1">
        <v>45896</v>
      </c>
      <c r="D5116">
        <v>925376</v>
      </c>
      <c r="E5116">
        <v>422</v>
      </c>
      <c r="F5116" s="3" t="s">
        <v>4430</v>
      </c>
      <c r="G5116" s="4">
        <v>165000</v>
      </c>
      <c r="H5116" s="4">
        <v>0</v>
      </c>
      <c r="I5116" s="4">
        <v>-65253131.299999997</v>
      </c>
    </row>
    <row r="5117" spans="1:9" x14ac:dyDescent="0.3">
      <c r="A5117" t="s">
        <v>133</v>
      </c>
      <c r="B5117" s="1">
        <v>45896</v>
      </c>
      <c r="C5117" s="1">
        <v>45896</v>
      </c>
      <c r="D5117">
        <v>925377</v>
      </c>
      <c r="E5117">
        <v>24</v>
      </c>
      <c r="F5117" s="3" t="s">
        <v>4431</v>
      </c>
      <c r="G5117" s="4">
        <v>500000</v>
      </c>
      <c r="H5117" s="4">
        <v>0</v>
      </c>
      <c r="I5117" s="4">
        <v>-64753131.299999997</v>
      </c>
    </row>
    <row r="5118" spans="1:9" x14ac:dyDescent="0.3">
      <c r="A5118" t="s">
        <v>133</v>
      </c>
      <c r="B5118" s="1">
        <v>45896</v>
      </c>
      <c r="C5118" s="1">
        <v>45896</v>
      </c>
      <c r="D5118">
        <v>925378</v>
      </c>
      <c r="E5118">
        <v>94</v>
      </c>
      <c r="F5118" s="3" t="s">
        <v>4432</v>
      </c>
      <c r="G5118" s="4">
        <v>5070</v>
      </c>
      <c r="H5118" s="4">
        <v>0</v>
      </c>
      <c r="I5118" s="4">
        <v>-64748061.299999997</v>
      </c>
    </row>
    <row r="5119" spans="1:9" x14ac:dyDescent="0.3">
      <c r="A5119" t="s">
        <v>133</v>
      </c>
      <c r="B5119" s="1">
        <v>45896</v>
      </c>
      <c r="C5119" s="1">
        <v>45896</v>
      </c>
      <c r="D5119">
        <v>925383</v>
      </c>
      <c r="E5119">
        <v>58</v>
      </c>
      <c r="F5119" s="3" t="s">
        <v>4433</v>
      </c>
      <c r="G5119" s="4">
        <v>110000</v>
      </c>
      <c r="H5119" s="4">
        <v>0</v>
      </c>
      <c r="I5119" s="4">
        <v>-64638061.299999997</v>
      </c>
    </row>
    <row r="5120" spans="1:9" x14ac:dyDescent="0.3">
      <c r="A5120" t="s">
        <v>133</v>
      </c>
      <c r="B5120" s="1">
        <v>45896</v>
      </c>
      <c r="C5120" s="1">
        <v>45896</v>
      </c>
      <c r="D5120">
        <v>925419</v>
      </c>
      <c r="E5120">
        <v>55</v>
      </c>
      <c r="F5120" s="3" t="s">
        <v>4434</v>
      </c>
      <c r="G5120" s="4">
        <v>315000</v>
      </c>
      <c r="H5120" s="4">
        <v>0</v>
      </c>
      <c r="I5120" s="4">
        <v>-64323061.299999997</v>
      </c>
    </row>
    <row r="5121" spans="1:9" x14ac:dyDescent="0.3">
      <c r="A5121" t="s">
        <v>133</v>
      </c>
      <c r="B5121" s="1">
        <v>45896</v>
      </c>
      <c r="C5121" s="1">
        <v>45896</v>
      </c>
      <c r="D5121">
        <v>925420</v>
      </c>
      <c r="E5121">
        <v>54</v>
      </c>
      <c r="F5121" s="3" t="s">
        <v>4435</v>
      </c>
      <c r="G5121" s="4">
        <v>440000</v>
      </c>
      <c r="H5121" s="4">
        <v>0</v>
      </c>
      <c r="I5121" s="4">
        <v>-63883061.299999997</v>
      </c>
    </row>
    <row r="5122" spans="1:9" x14ac:dyDescent="0.3">
      <c r="A5122" t="s">
        <v>133</v>
      </c>
      <c r="B5122" s="1">
        <v>45896</v>
      </c>
      <c r="C5122" s="1">
        <v>45896</v>
      </c>
      <c r="D5122">
        <v>925421</v>
      </c>
      <c r="E5122">
        <v>78</v>
      </c>
      <c r="F5122" s="3" t="s">
        <v>4436</v>
      </c>
      <c r="G5122" s="4">
        <v>163247.25</v>
      </c>
      <c r="H5122" s="4">
        <v>0</v>
      </c>
      <c r="I5122" s="4">
        <v>-63719814.049999997</v>
      </c>
    </row>
    <row r="5123" spans="1:9" x14ac:dyDescent="0.3">
      <c r="A5123" t="s">
        <v>133</v>
      </c>
      <c r="B5123" s="1">
        <v>45896</v>
      </c>
      <c r="C5123" s="1">
        <v>45896</v>
      </c>
      <c r="D5123">
        <v>925423</v>
      </c>
      <c r="E5123">
        <v>72</v>
      </c>
      <c r="F5123" s="3" t="s">
        <v>4437</v>
      </c>
      <c r="G5123" s="4">
        <v>5000</v>
      </c>
      <c r="H5123" s="4">
        <v>0</v>
      </c>
      <c r="I5123" s="4">
        <v>-63714814.049999997</v>
      </c>
    </row>
    <row r="5124" spans="1:9" x14ac:dyDescent="0.3">
      <c r="A5124" t="s">
        <v>133</v>
      </c>
      <c r="B5124" s="1">
        <v>45896</v>
      </c>
      <c r="C5124" s="1">
        <v>45896</v>
      </c>
      <c r="D5124">
        <v>925424</v>
      </c>
      <c r="E5124">
        <v>59</v>
      </c>
      <c r="F5124" s="3" t="s">
        <v>4438</v>
      </c>
      <c r="G5124" s="4">
        <v>14756.5</v>
      </c>
      <c r="H5124" s="4">
        <v>0</v>
      </c>
      <c r="I5124" s="4">
        <v>-63700057.549999997</v>
      </c>
    </row>
    <row r="5125" spans="1:9" x14ac:dyDescent="0.3">
      <c r="A5125" t="s">
        <v>133</v>
      </c>
      <c r="B5125" s="1">
        <v>45896</v>
      </c>
      <c r="C5125" s="1">
        <v>45896</v>
      </c>
      <c r="D5125">
        <v>925437</v>
      </c>
      <c r="E5125">
        <v>67</v>
      </c>
      <c r="F5125" s="3" t="s">
        <v>4439</v>
      </c>
      <c r="G5125" s="4">
        <v>80000</v>
      </c>
      <c r="H5125" s="4">
        <v>0</v>
      </c>
      <c r="I5125" s="4">
        <v>-63620057.549999997</v>
      </c>
    </row>
    <row r="5126" spans="1:9" x14ac:dyDescent="0.3">
      <c r="A5126" t="s">
        <v>133</v>
      </c>
      <c r="B5126" s="1">
        <v>45896</v>
      </c>
      <c r="C5126" s="1">
        <v>45896</v>
      </c>
      <c r="D5126">
        <v>925440</v>
      </c>
      <c r="E5126">
        <v>15</v>
      </c>
      <c r="F5126" s="3" t="s">
        <v>4440</v>
      </c>
      <c r="G5126" s="4">
        <v>400000</v>
      </c>
      <c r="H5126" s="4">
        <v>0</v>
      </c>
      <c r="I5126" s="4">
        <v>-63220057.549999997</v>
      </c>
    </row>
    <row r="5127" spans="1:9" x14ac:dyDescent="0.3">
      <c r="A5127" t="s">
        <v>133</v>
      </c>
      <c r="B5127" s="1">
        <v>45896</v>
      </c>
      <c r="C5127" s="1">
        <v>45896</v>
      </c>
      <c r="D5127">
        <v>925446</v>
      </c>
      <c r="E5127">
        <v>78</v>
      </c>
      <c r="F5127" s="3" t="s">
        <v>4441</v>
      </c>
      <c r="G5127" s="4">
        <v>300000</v>
      </c>
      <c r="H5127" s="4">
        <v>0</v>
      </c>
      <c r="I5127" s="4">
        <v>-62920057.549999997</v>
      </c>
    </row>
    <row r="5128" spans="1:9" x14ac:dyDescent="0.3">
      <c r="A5128" t="s">
        <v>133</v>
      </c>
      <c r="B5128" s="1">
        <v>45896</v>
      </c>
      <c r="C5128" s="1">
        <v>45896</v>
      </c>
      <c r="D5128">
        <v>925447</v>
      </c>
      <c r="E5128">
        <v>16</v>
      </c>
      <c r="F5128" s="3" t="s">
        <v>4442</v>
      </c>
      <c r="G5128" s="4">
        <v>62025.75</v>
      </c>
      <c r="H5128" s="4">
        <v>0</v>
      </c>
      <c r="I5128" s="4">
        <v>-62858031.799999997</v>
      </c>
    </row>
    <row r="5129" spans="1:9" x14ac:dyDescent="0.3">
      <c r="A5129" t="s">
        <v>133</v>
      </c>
      <c r="B5129" s="1">
        <v>45896</v>
      </c>
      <c r="C5129" s="1">
        <v>45896</v>
      </c>
      <c r="D5129">
        <v>925450</v>
      </c>
      <c r="E5129">
        <v>89</v>
      </c>
      <c r="F5129" s="3" t="s">
        <v>4443</v>
      </c>
      <c r="G5129" s="4">
        <v>50000</v>
      </c>
      <c r="H5129" s="4">
        <v>0</v>
      </c>
      <c r="I5129" s="4">
        <v>-62808031.799999997</v>
      </c>
    </row>
    <row r="5130" spans="1:9" x14ac:dyDescent="0.3">
      <c r="A5130" t="s">
        <v>133</v>
      </c>
      <c r="B5130" s="1">
        <v>45896</v>
      </c>
      <c r="C5130" s="1">
        <v>45896</v>
      </c>
      <c r="D5130">
        <v>925453</v>
      </c>
      <c r="E5130">
        <v>85</v>
      </c>
      <c r="F5130" s="3" t="s">
        <v>4444</v>
      </c>
      <c r="G5130" s="4">
        <v>16160.5</v>
      </c>
      <c r="H5130" s="4">
        <v>0</v>
      </c>
      <c r="I5130" s="4">
        <v>-62791871.299999997</v>
      </c>
    </row>
    <row r="5131" spans="1:9" x14ac:dyDescent="0.3">
      <c r="A5131" t="s">
        <v>133</v>
      </c>
      <c r="B5131" s="1">
        <v>45896</v>
      </c>
      <c r="C5131" s="1">
        <v>45896</v>
      </c>
      <c r="D5131">
        <v>925454</v>
      </c>
      <c r="E5131">
        <v>77</v>
      </c>
      <c r="F5131" s="3" t="s">
        <v>4445</v>
      </c>
      <c r="G5131" s="4">
        <v>650020</v>
      </c>
      <c r="H5131" s="4">
        <v>0</v>
      </c>
      <c r="I5131" s="4">
        <v>-62141851.299999997</v>
      </c>
    </row>
    <row r="5132" spans="1:9" x14ac:dyDescent="0.3">
      <c r="A5132" t="s">
        <v>133</v>
      </c>
      <c r="B5132" s="1">
        <v>45896</v>
      </c>
      <c r="C5132" s="1">
        <v>45896</v>
      </c>
      <c r="D5132">
        <v>925458</v>
      </c>
      <c r="E5132">
        <v>32</v>
      </c>
      <c r="F5132" s="3" t="s">
        <v>4446</v>
      </c>
      <c r="G5132" s="4">
        <v>350000</v>
      </c>
      <c r="H5132" s="4">
        <v>0</v>
      </c>
      <c r="I5132" s="4">
        <v>-61791851.299999997</v>
      </c>
    </row>
    <row r="5133" spans="1:9" x14ac:dyDescent="0.3">
      <c r="A5133" t="s">
        <v>133</v>
      </c>
      <c r="B5133" s="1">
        <v>45896</v>
      </c>
      <c r="C5133" s="1">
        <v>45896</v>
      </c>
      <c r="D5133">
        <v>925460</v>
      </c>
      <c r="E5133">
        <v>220</v>
      </c>
      <c r="F5133" s="3" t="s">
        <v>4447</v>
      </c>
      <c r="G5133" s="4">
        <v>106592</v>
      </c>
      <c r="H5133" s="4">
        <v>0</v>
      </c>
      <c r="I5133" s="4">
        <v>-61685259.299999997</v>
      </c>
    </row>
    <row r="5134" spans="1:9" x14ac:dyDescent="0.3">
      <c r="A5134" t="s">
        <v>133</v>
      </c>
      <c r="B5134" s="1">
        <v>45896</v>
      </c>
      <c r="C5134" s="1">
        <v>45896</v>
      </c>
      <c r="D5134">
        <v>925469</v>
      </c>
      <c r="E5134">
        <v>351</v>
      </c>
      <c r="F5134" s="3" t="s">
        <v>4448</v>
      </c>
      <c r="G5134" s="4">
        <v>230000</v>
      </c>
      <c r="H5134" s="4">
        <v>0</v>
      </c>
      <c r="I5134" s="4">
        <v>-61455259.299999997</v>
      </c>
    </row>
    <row r="5135" spans="1:9" x14ac:dyDescent="0.3">
      <c r="A5135" t="s">
        <v>133</v>
      </c>
      <c r="B5135" s="1">
        <v>45896</v>
      </c>
      <c r="C5135" s="1">
        <v>45896</v>
      </c>
      <c r="D5135">
        <v>925470</v>
      </c>
      <c r="E5135">
        <v>65</v>
      </c>
      <c r="F5135" s="3" t="s">
        <v>176</v>
      </c>
      <c r="G5135" s="4">
        <v>550000</v>
      </c>
      <c r="H5135" s="4">
        <v>0</v>
      </c>
      <c r="I5135" s="4">
        <v>-60905259.299999997</v>
      </c>
    </row>
    <row r="5136" spans="1:9" x14ac:dyDescent="0.3">
      <c r="A5136" t="s">
        <v>133</v>
      </c>
      <c r="B5136" s="1">
        <v>45896</v>
      </c>
      <c r="C5136" s="1">
        <v>45896</v>
      </c>
      <c r="D5136">
        <v>925473</v>
      </c>
      <c r="E5136">
        <v>86</v>
      </c>
      <c r="F5136" s="3" t="s">
        <v>4449</v>
      </c>
      <c r="G5136" s="4">
        <v>17968.5</v>
      </c>
      <c r="H5136" s="4">
        <v>0</v>
      </c>
      <c r="I5136" s="4">
        <v>-60887290.799999997</v>
      </c>
    </row>
    <row r="5137" spans="1:9" x14ac:dyDescent="0.3">
      <c r="A5137" t="s">
        <v>133</v>
      </c>
      <c r="B5137" s="1">
        <v>45896</v>
      </c>
      <c r="C5137" s="1">
        <v>45896</v>
      </c>
      <c r="D5137">
        <v>925474</v>
      </c>
      <c r="E5137">
        <v>86</v>
      </c>
      <c r="F5137" s="3" t="s">
        <v>4450</v>
      </c>
      <c r="G5137" s="4">
        <v>100000</v>
      </c>
      <c r="H5137" s="4">
        <v>0</v>
      </c>
      <c r="I5137" s="4">
        <v>-60787290.799999997</v>
      </c>
    </row>
    <row r="5138" spans="1:9" x14ac:dyDescent="0.3">
      <c r="A5138" t="s">
        <v>133</v>
      </c>
      <c r="B5138" s="1">
        <v>45896</v>
      </c>
      <c r="C5138" s="1">
        <v>45896</v>
      </c>
      <c r="D5138">
        <v>925475</v>
      </c>
      <c r="E5138">
        <v>84</v>
      </c>
      <c r="F5138" s="3" t="s">
        <v>4451</v>
      </c>
      <c r="G5138" s="4">
        <v>450000</v>
      </c>
      <c r="H5138" s="4">
        <v>0</v>
      </c>
      <c r="I5138" s="4">
        <v>-60337290.799999997</v>
      </c>
    </row>
    <row r="5139" spans="1:9" x14ac:dyDescent="0.3">
      <c r="A5139" t="s">
        <v>133</v>
      </c>
      <c r="B5139" s="1">
        <v>45896</v>
      </c>
      <c r="C5139" s="1">
        <v>45896</v>
      </c>
      <c r="D5139">
        <v>925476</v>
      </c>
      <c r="E5139">
        <v>86</v>
      </c>
      <c r="F5139" s="3" t="s">
        <v>4452</v>
      </c>
      <c r="G5139" s="4">
        <v>100000</v>
      </c>
      <c r="H5139" s="4">
        <v>0</v>
      </c>
      <c r="I5139" s="4">
        <v>-60237290.799999997</v>
      </c>
    </row>
    <row r="5140" spans="1:9" x14ac:dyDescent="0.3">
      <c r="A5140" t="s">
        <v>133</v>
      </c>
      <c r="B5140" s="1">
        <v>45896</v>
      </c>
      <c r="C5140" s="1">
        <v>45896</v>
      </c>
      <c r="D5140">
        <v>925478</v>
      </c>
      <c r="E5140">
        <v>86</v>
      </c>
      <c r="F5140" s="3" t="s">
        <v>4452</v>
      </c>
      <c r="G5140" s="4">
        <v>50000</v>
      </c>
      <c r="H5140" s="4">
        <v>0</v>
      </c>
      <c r="I5140" s="4">
        <v>-60187290.799999997</v>
      </c>
    </row>
    <row r="5141" spans="1:9" x14ac:dyDescent="0.3">
      <c r="A5141" t="s">
        <v>133</v>
      </c>
      <c r="B5141" s="1">
        <v>45896</v>
      </c>
      <c r="C5141" s="1">
        <v>45896</v>
      </c>
      <c r="D5141">
        <v>925479</v>
      </c>
      <c r="E5141">
        <v>86</v>
      </c>
      <c r="F5141" s="3" t="s">
        <v>4453</v>
      </c>
      <c r="G5141" s="4">
        <v>100000</v>
      </c>
      <c r="H5141" s="4">
        <v>0</v>
      </c>
      <c r="I5141" s="4">
        <v>-60087290.799999997</v>
      </c>
    </row>
    <row r="5142" spans="1:9" x14ac:dyDescent="0.3">
      <c r="A5142" t="s">
        <v>133</v>
      </c>
      <c r="B5142" s="1">
        <v>45896</v>
      </c>
      <c r="C5142" s="1">
        <v>45896</v>
      </c>
      <c r="D5142">
        <v>925480</v>
      </c>
      <c r="E5142">
        <v>86</v>
      </c>
      <c r="F5142" s="3" t="s">
        <v>4454</v>
      </c>
      <c r="G5142" s="4">
        <v>50000</v>
      </c>
      <c r="H5142" s="4">
        <v>0</v>
      </c>
      <c r="I5142" s="4">
        <v>-60037290.799999997</v>
      </c>
    </row>
    <row r="5143" spans="1:9" x14ac:dyDescent="0.3">
      <c r="A5143" t="s">
        <v>133</v>
      </c>
      <c r="B5143" s="1">
        <v>45896</v>
      </c>
      <c r="C5143" s="1">
        <v>45896</v>
      </c>
      <c r="D5143">
        <v>925482</v>
      </c>
      <c r="E5143">
        <v>86</v>
      </c>
      <c r="F5143" s="3" t="s">
        <v>4455</v>
      </c>
      <c r="G5143" s="4">
        <v>100000</v>
      </c>
      <c r="H5143" s="4">
        <v>0</v>
      </c>
      <c r="I5143" s="4">
        <v>-59937290.799999997</v>
      </c>
    </row>
    <row r="5144" spans="1:9" x14ac:dyDescent="0.3">
      <c r="A5144" t="s">
        <v>133</v>
      </c>
      <c r="B5144" s="1">
        <v>45896</v>
      </c>
      <c r="C5144" s="1">
        <v>45896</v>
      </c>
      <c r="D5144">
        <v>925483</v>
      </c>
      <c r="E5144">
        <v>86</v>
      </c>
      <c r="F5144" s="3" t="s">
        <v>4456</v>
      </c>
      <c r="G5144" s="4">
        <v>100000</v>
      </c>
      <c r="H5144" s="4">
        <v>0</v>
      </c>
      <c r="I5144" s="4">
        <v>-59837290.799999997</v>
      </c>
    </row>
    <row r="5145" spans="1:9" x14ac:dyDescent="0.3">
      <c r="A5145" t="s">
        <v>133</v>
      </c>
      <c r="B5145" s="1">
        <v>45896</v>
      </c>
      <c r="C5145" s="1">
        <v>45896</v>
      </c>
      <c r="D5145">
        <v>925484</v>
      </c>
      <c r="E5145">
        <v>86</v>
      </c>
      <c r="F5145" s="3" t="s">
        <v>4457</v>
      </c>
      <c r="G5145" s="4">
        <v>50000</v>
      </c>
      <c r="H5145" s="4">
        <v>0</v>
      </c>
      <c r="I5145" s="4">
        <v>-59787290.799999997</v>
      </c>
    </row>
    <row r="5146" spans="1:9" x14ac:dyDescent="0.3">
      <c r="A5146" t="s">
        <v>133</v>
      </c>
      <c r="B5146" s="1">
        <v>45896</v>
      </c>
      <c r="C5146" s="1">
        <v>45896</v>
      </c>
      <c r="D5146">
        <v>925485</v>
      </c>
      <c r="E5146">
        <v>82</v>
      </c>
      <c r="F5146" s="3" t="s">
        <v>685</v>
      </c>
      <c r="G5146" s="4">
        <v>320000</v>
      </c>
      <c r="H5146" s="4">
        <v>0</v>
      </c>
      <c r="I5146" s="4">
        <v>-59467290.799999997</v>
      </c>
    </row>
    <row r="5147" spans="1:9" x14ac:dyDescent="0.3">
      <c r="A5147" t="s">
        <v>133</v>
      </c>
      <c r="B5147" s="1">
        <v>45896</v>
      </c>
      <c r="C5147" s="1">
        <v>45896</v>
      </c>
      <c r="D5147">
        <v>925486</v>
      </c>
      <c r="E5147">
        <v>63</v>
      </c>
      <c r="F5147" s="3" t="s">
        <v>4458</v>
      </c>
      <c r="G5147" s="4">
        <v>230000</v>
      </c>
      <c r="H5147" s="4">
        <v>0</v>
      </c>
      <c r="I5147" s="4">
        <v>-59237290.799999997</v>
      </c>
    </row>
    <row r="5148" spans="1:9" x14ac:dyDescent="0.3">
      <c r="A5148" t="s">
        <v>133</v>
      </c>
      <c r="B5148" s="1">
        <v>45896</v>
      </c>
      <c r="C5148" s="1">
        <v>45896</v>
      </c>
      <c r="D5148">
        <v>925488</v>
      </c>
      <c r="E5148">
        <v>71</v>
      </c>
      <c r="F5148" s="3" t="s">
        <v>4459</v>
      </c>
      <c r="G5148" s="4">
        <v>390000</v>
      </c>
      <c r="H5148" s="4">
        <v>0</v>
      </c>
      <c r="I5148" s="4">
        <v>-58847290.799999997</v>
      </c>
    </row>
    <row r="5149" spans="1:9" x14ac:dyDescent="0.3">
      <c r="A5149" t="s">
        <v>133</v>
      </c>
      <c r="B5149" s="1">
        <v>45896</v>
      </c>
      <c r="C5149" s="1">
        <v>45896</v>
      </c>
      <c r="D5149">
        <v>925489</v>
      </c>
      <c r="E5149">
        <v>36</v>
      </c>
      <c r="F5149" s="3" t="s">
        <v>4460</v>
      </c>
      <c r="G5149" s="4">
        <v>450000</v>
      </c>
      <c r="H5149" s="4">
        <v>0</v>
      </c>
      <c r="I5149" s="4">
        <v>-58397290.799999997</v>
      </c>
    </row>
    <row r="5150" spans="1:9" x14ac:dyDescent="0.3">
      <c r="A5150" t="s">
        <v>133</v>
      </c>
      <c r="B5150" s="1">
        <v>45896</v>
      </c>
      <c r="C5150" s="1">
        <v>45896</v>
      </c>
      <c r="D5150">
        <v>925491</v>
      </c>
      <c r="E5150">
        <v>85</v>
      </c>
      <c r="F5150" s="3" t="s">
        <v>4461</v>
      </c>
      <c r="G5150" s="4">
        <v>540000</v>
      </c>
      <c r="H5150" s="4">
        <v>0</v>
      </c>
      <c r="I5150" s="4">
        <v>-57857290.799999997</v>
      </c>
    </row>
    <row r="5151" spans="1:9" x14ac:dyDescent="0.3">
      <c r="A5151" t="s">
        <v>133</v>
      </c>
      <c r="B5151" s="1">
        <v>45896</v>
      </c>
      <c r="C5151" s="1">
        <v>45896</v>
      </c>
      <c r="D5151">
        <v>925494</v>
      </c>
      <c r="E5151">
        <v>16</v>
      </c>
      <c r="F5151" s="3" t="s">
        <v>2328</v>
      </c>
      <c r="G5151" s="4">
        <v>550000</v>
      </c>
      <c r="H5151" s="4">
        <v>0</v>
      </c>
      <c r="I5151" s="4">
        <v>-57307290.799999997</v>
      </c>
    </row>
    <row r="5152" spans="1:9" x14ac:dyDescent="0.3">
      <c r="A5152" t="s">
        <v>133</v>
      </c>
      <c r="B5152" s="1">
        <v>45896</v>
      </c>
      <c r="C5152" s="1">
        <v>45896</v>
      </c>
      <c r="D5152">
        <v>925504</v>
      </c>
      <c r="E5152">
        <v>64</v>
      </c>
      <c r="F5152" s="3" t="s">
        <v>4462</v>
      </c>
      <c r="G5152" s="4">
        <v>300000</v>
      </c>
      <c r="H5152" s="4">
        <v>0</v>
      </c>
      <c r="I5152" s="4">
        <v>-57007290.799999997</v>
      </c>
    </row>
    <row r="5153" spans="1:9" x14ac:dyDescent="0.3">
      <c r="A5153" t="s">
        <v>133</v>
      </c>
      <c r="B5153" s="1">
        <v>45896</v>
      </c>
      <c r="C5153" s="1">
        <v>45896</v>
      </c>
      <c r="D5153">
        <v>925505</v>
      </c>
      <c r="E5153">
        <v>89</v>
      </c>
      <c r="F5153" s="3" t="s">
        <v>4463</v>
      </c>
      <c r="G5153" s="4">
        <v>230000</v>
      </c>
      <c r="H5153" s="4">
        <v>0</v>
      </c>
      <c r="I5153" s="4">
        <v>-56777290.799999997</v>
      </c>
    </row>
    <row r="5154" spans="1:9" x14ac:dyDescent="0.3">
      <c r="A5154" t="s">
        <v>133</v>
      </c>
      <c r="B5154" s="1">
        <v>45896</v>
      </c>
      <c r="C5154" s="1">
        <v>45896</v>
      </c>
      <c r="D5154">
        <v>925507</v>
      </c>
      <c r="E5154">
        <v>70</v>
      </c>
      <c r="F5154" s="3" t="s">
        <v>4464</v>
      </c>
      <c r="G5154" s="4">
        <v>350000</v>
      </c>
      <c r="H5154" s="4">
        <v>0</v>
      </c>
      <c r="I5154" s="4">
        <v>-56427290.799999997</v>
      </c>
    </row>
    <row r="5155" spans="1:9" x14ac:dyDescent="0.3">
      <c r="A5155" t="s">
        <v>133</v>
      </c>
      <c r="B5155" s="1">
        <v>45896</v>
      </c>
      <c r="C5155" s="1">
        <v>45896</v>
      </c>
      <c r="D5155">
        <v>925508</v>
      </c>
      <c r="E5155">
        <v>86</v>
      </c>
      <c r="F5155" s="3" t="s">
        <v>4465</v>
      </c>
      <c r="G5155" s="4">
        <v>100000</v>
      </c>
      <c r="H5155" s="4">
        <v>0</v>
      </c>
      <c r="I5155" s="4">
        <v>-56327290.799999997</v>
      </c>
    </row>
    <row r="5156" spans="1:9" x14ac:dyDescent="0.3">
      <c r="A5156" t="s">
        <v>133</v>
      </c>
      <c r="B5156" s="1">
        <v>45896</v>
      </c>
      <c r="C5156" s="1">
        <v>45896</v>
      </c>
      <c r="D5156">
        <v>925511</v>
      </c>
      <c r="E5156">
        <v>62</v>
      </c>
      <c r="F5156" s="3" t="s">
        <v>4466</v>
      </c>
      <c r="G5156" s="4">
        <v>300000</v>
      </c>
      <c r="H5156" s="4">
        <v>0</v>
      </c>
      <c r="I5156" s="4">
        <v>-56027290.799999997</v>
      </c>
    </row>
    <row r="5157" spans="1:9" x14ac:dyDescent="0.3">
      <c r="A5157" t="s">
        <v>133</v>
      </c>
      <c r="B5157" s="1">
        <v>45896</v>
      </c>
      <c r="C5157" s="1">
        <v>45896</v>
      </c>
      <c r="D5157">
        <v>925512</v>
      </c>
      <c r="E5157">
        <v>382</v>
      </c>
      <c r="F5157" s="3" t="s">
        <v>4467</v>
      </c>
      <c r="G5157" s="4">
        <v>200000</v>
      </c>
      <c r="H5157" s="4">
        <v>0</v>
      </c>
      <c r="I5157" s="4">
        <v>-55827290.799999997</v>
      </c>
    </row>
    <row r="5158" spans="1:9" x14ac:dyDescent="0.3">
      <c r="A5158" t="s">
        <v>133</v>
      </c>
      <c r="B5158" s="1">
        <v>45896</v>
      </c>
      <c r="C5158" s="1">
        <v>45896</v>
      </c>
      <c r="D5158">
        <v>925514</v>
      </c>
      <c r="E5158">
        <v>86</v>
      </c>
      <c r="F5158" s="3" t="s">
        <v>4468</v>
      </c>
      <c r="G5158" s="4">
        <v>50000</v>
      </c>
      <c r="H5158" s="4">
        <v>0</v>
      </c>
      <c r="I5158" s="4">
        <v>-55777290.799999997</v>
      </c>
    </row>
    <row r="5159" spans="1:9" x14ac:dyDescent="0.3">
      <c r="A5159" t="s">
        <v>133</v>
      </c>
      <c r="B5159" s="1">
        <v>45896</v>
      </c>
      <c r="C5159" s="1">
        <v>45896</v>
      </c>
      <c r="D5159">
        <v>925517</v>
      </c>
      <c r="E5159">
        <v>78</v>
      </c>
      <c r="F5159" s="3" t="s">
        <v>4469</v>
      </c>
      <c r="G5159" s="4">
        <v>183720</v>
      </c>
      <c r="H5159" s="4">
        <v>0</v>
      </c>
      <c r="I5159" s="4">
        <v>-55593570.799999997</v>
      </c>
    </row>
    <row r="5160" spans="1:9" x14ac:dyDescent="0.3">
      <c r="A5160" t="s">
        <v>133</v>
      </c>
      <c r="B5160" s="1">
        <v>45896</v>
      </c>
      <c r="C5160" s="1">
        <v>45896</v>
      </c>
      <c r="D5160">
        <v>925518</v>
      </c>
      <c r="E5160">
        <v>85</v>
      </c>
      <c r="F5160" s="3" t="s">
        <v>4470</v>
      </c>
      <c r="G5160" s="4">
        <v>377747</v>
      </c>
      <c r="H5160" s="4">
        <v>0</v>
      </c>
      <c r="I5160" s="4">
        <v>-55215823.799999997</v>
      </c>
    </row>
    <row r="5161" spans="1:9" x14ac:dyDescent="0.3">
      <c r="A5161" t="s">
        <v>133</v>
      </c>
      <c r="B5161" s="1">
        <v>45896</v>
      </c>
      <c r="C5161" s="1">
        <v>45896</v>
      </c>
      <c r="D5161">
        <v>925519</v>
      </c>
      <c r="E5161">
        <v>53</v>
      </c>
      <c r="F5161" s="3" t="s">
        <v>950</v>
      </c>
      <c r="G5161" s="4">
        <v>385000</v>
      </c>
      <c r="H5161" s="4">
        <v>0</v>
      </c>
      <c r="I5161" s="4">
        <v>-54830823.799999997</v>
      </c>
    </row>
    <row r="5162" spans="1:9" x14ac:dyDescent="0.3">
      <c r="A5162" t="s">
        <v>133</v>
      </c>
      <c r="B5162" s="1">
        <v>45896</v>
      </c>
      <c r="C5162" s="1">
        <v>45896</v>
      </c>
      <c r="D5162">
        <v>925522</v>
      </c>
      <c r="E5162">
        <v>361</v>
      </c>
      <c r="F5162" s="3" t="s">
        <v>4471</v>
      </c>
      <c r="G5162" s="4">
        <v>220000</v>
      </c>
      <c r="H5162" s="4">
        <v>0</v>
      </c>
      <c r="I5162" s="4">
        <v>-54610823.799999997</v>
      </c>
    </row>
    <row r="5163" spans="1:9" x14ac:dyDescent="0.3">
      <c r="A5163" t="s">
        <v>133</v>
      </c>
      <c r="B5163" s="1">
        <v>45896</v>
      </c>
      <c r="C5163" s="1">
        <v>45896</v>
      </c>
      <c r="D5163">
        <v>925523</v>
      </c>
      <c r="E5163">
        <v>11</v>
      </c>
      <c r="F5163" s="3" t="s">
        <v>4472</v>
      </c>
      <c r="G5163" s="4">
        <v>1160000</v>
      </c>
      <c r="H5163" s="4">
        <v>0</v>
      </c>
      <c r="I5163" s="4">
        <v>-53450823.799999997</v>
      </c>
    </row>
    <row r="5164" spans="1:9" x14ac:dyDescent="0.3">
      <c r="A5164" t="s">
        <v>133</v>
      </c>
      <c r="B5164" s="1">
        <v>45896</v>
      </c>
      <c r="C5164" s="1">
        <v>45896</v>
      </c>
      <c r="D5164">
        <v>925524</v>
      </c>
      <c r="E5164">
        <v>48</v>
      </c>
      <c r="F5164" s="3" t="s">
        <v>2129</v>
      </c>
      <c r="G5164" s="4">
        <v>1500125</v>
      </c>
      <c r="H5164" s="4">
        <v>0</v>
      </c>
      <c r="I5164" s="4">
        <v>-51950698.799999997</v>
      </c>
    </row>
    <row r="5165" spans="1:9" x14ac:dyDescent="0.3">
      <c r="A5165" t="s">
        <v>133</v>
      </c>
      <c r="B5165" s="1">
        <v>45896</v>
      </c>
      <c r="C5165" s="1">
        <v>45896</v>
      </c>
      <c r="D5165">
        <v>925525</v>
      </c>
      <c r="E5165">
        <v>78</v>
      </c>
      <c r="F5165" s="3" t="s">
        <v>4473</v>
      </c>
      <c r="G5165" s="4">
        <v>212276.75</v>
      </c>
      <c r="H5165" s="4">
        <v>0</v>
      </c>
      <c r="I5165" s="4">
        <v>-51738422.049999997</v>
      </c>
    </row>
    <row r="5166" spans="1:9" x14ac:dyDescent="0.3">
      <c r="A5166" t="s">
        <v>133</v>
      </c>
      <c r="B5166" s="1">
        <v>45896</v>
      </c>
      <c r="C5166" s="1">
        <v>45896</v>
      </c>
      <c r="D5166">
        <v>925527</v>
      </c>
      <c r="E5166">
        <v>27</v>
      </c>
      <c r="F5166" s="3" t="s">
        <v>4474</v>
      </c>
      <c r="G5166" s="4">
        <v>300000</v>
      </c>
      <c r="H5166" s="4">
        <v>0</v>
      </c>
      <c r="I5166" s="4">
        <v>-51438422.049999997</v>
      </c>
    </row>
    <row r="5167" spans="1:9" x14ac:dyDescent="0.3">
      <c r="A5167" t="s">
        <v>133</v>
      </c>
      <c r="B5167" s="1">
        <v>45896</v>
      </c>
      <c r="C5167" s="1">
        <v>45896</v>
      </c>
      <c r="D5167">
        <v>925528</v>
      </c>
      <c r="E5167">
        <v>91</v>
      </c>
      <c r="F5167" s="3" t="s">
        <v>4475</v>
      </c>
      <c r="G5167" s="4">
        <v>29460.5</v>
      </c>
      <c r="H5167" s="4">
        <v>0</v>
      </c>
      <c r="I5167" s="4">
        <v>-51408961.549999997</v>
      </c>
    </row>
    <row r="5168" spans="1:9" x14ac:dyDescent="0.3">
      <c r="A5168" t="s">
        <v>133</v>
      </c>
      <c r="B5168" s="1">
        <v>45896</v>
      </c>
      <c r="C5168" s="1">
        <v>45896</v>
      </c>
      <c r="D5168">
        <v>925530</v>
      </c>
      <c r="E5168">
        <v>79</v>
      </c>
      <c r="F5168" s="3" t="s">
        <v>4476</v>
      </c>
      <c r="G5168" s="4">
        <v>400000</v>
      </c>
      <c r="H5168" s="4">
        <v>0</v>
      </c>
      <c r="I5168" s="4">
        <v>-51008961.549999997</v>
      </c>
    </row>
    <row r="5169" spans="1:9" x14ac:dyDescent="0.3">
      <c r="A5169" t="s">
        <v>133</v>
      </c>
      <c r="B5169" s="1">
        <v>45896</v>
      </c>
      <c r="C5169" s="1">
        <v>45896</v>
      </c>
      <c r="D5169">
        <v>925531</v>
      </c>
      <c r="E5169">
        <v>61</v>
      </c>
      <c r="F5169" s="3" t="s">
        <v>4477</v>
      </c>
      <c r="G5169" s="4">
        <v>450000</v>
      </c>
      <c r="H5169" s="4">
        <v>0</v>
      </c>
      <c r="I5169" s="4">
        <v>-50558961.549999997</v>
      </c>
    </row>
    <row r="5170" spans="1:9" x14ac:dyDescent="0.3">
      <c r="A5170" t="s">
        <v>133</v>
      </c>
      <c r="B5170" s="1">
        <v>45896</v>
      </c>
      <c r="C5170" s="1">
        <v>45896</v>
      </c>
      <c r="D5170">
        <v>925532</v>
      </c>
      <c r="E5170">
        <v>11</v>
      </c>
      <c r="F5170" s="3" t="s">
        <v>4478</v>
      </c>
      <c r="G5170" s="4">
        <v>177451</v>
      </c>
      <c r="H5170" s="4">
        <v>0</v>
      </c>
      <c r="I5170" s="4">
        <v>-50381510.549999997</v>
      </c>
    </row>
    <row r="5171" spans="1:9" x14ac:dyDescent="0.3">
      <c r="A5171" t="s">
        <v>133</v>
      </c>
      <c r="B5171" s="1">
        <v>45896</v>
      </c>
      <c r="C5171" s="1">
        <v>45896</v>
      </c>
      <c r="D5171">
        <v>925534</v>
      </c>
      <c r="E5171">
        <v>97</v>
      </c>
      <c r="F5171" s="3">
        <v>101021773644</v>
      </c>
      <c r="G5171" s="4">
        <v>350000</v>
      </c>
      <c r="H5171" s="4">
        <v>0</v>
      </c>
      <c r="I5171" s="4">
        <v>-50031510.549999997</v>
      </c>
    </row>
    <row r="5172" spans="1:9" x14ac:dyDescent="0.3">
      <c r="A5172" t="s">
        <v>133</v>
      </c>
      <c r="B5172" s="1">
        <v>45896</v>
      </c>
      <c r="C5172" s="1">
        <v>45896</v>
      </c>
      <c r="D5172">
        <v>925535</v>
      </c>
      <c r="E5172">
        <v>58</v>
      </c>
      <c r="F5172" s="3" t="s">
        <v>4479</v>
      </c>
      <c r="G5172" s="4">
        <v>98950.75</v>
      </c>
      <c r="H5172" s="4">
        <v>0</v>
      </c>
      <c r="I5172" s="4">
        <v>-49932559.799999997</v>
      </c>
    </row>
    <row r="5173" spans="1:9" x14ac:dyDescent="0.3">
      <c r="A5173" t="s">
        <v>133</v>
      </c>
      <c r="B5173" s="1">
        <v>45896</v>
      </c>
      <c r="C5173" s="1">
        <v>45896</v>
      </c>
      <c r="D5173">
        <v>925536</v>
      </c>
      <c r="E5173">
        <v>86</v>
      </c>
      <c r="F5173" s="3" t="s">
        <v>4480</v>
      </c>
      <c r="G5173" s="4">
        <v>28821.5</v>
      </c>
      <c r="H5173" s="4">
        <v>0</v>
      </c>
      <c r="I5173" s="4">
        <v>-49903738.299999997</v>
      </c>
    </row>
    <row r="5174" spans="1:9" x14ac:dyDescent="0.3">
      <c r="A5174" t="s">
        <v>133</v>
      </c>
      <c r="B5174" s="1">
        <v>45896</v>
      </c>
      <c r="C5174" s="1">
        <v>45896</v>
      </c>
      <c r="D5174">
        <v>925537</v>
      </c>
      <c r="E5174">
        <v>86</v>
      </c>
      <c r="F5174" s="3" t="s">
        <v>4481</v>
      </c>
      <c r="G5174" s="4">
        <v>32848.75</v>
      </c>
      <c r="H5174" s="4">
        <v>0</v>
      </c>
      <c r="I5174" s="4">
        <v>-49870889.549999997</v>
      </c>
    </row>
    <row r="5175" spans="1:9" x14ac:dyDescent="0.3">
      <c r="A5175" t="s">
        <v>133</v>
      </c>
      <c r="B5175" s="1">
        <v>45896</v>
      </c>
      <c r="C5175" s="1">
        <v>45896</v>
      </c>
      <c r="D5175">
        <v>925540</v>
      </c>
      <c r="E5175">
        <v>86</v>
      </c>
      <c r="F5175" s="3">
        <v>12698</v>
      </c>
      <c r="G5175" s="4">
        <v>26502.5</v>
      </c>
      <c r="H5175" s="4">
        <v>0</v>
      </c>
      <c r="I5175" s="4">
        <v>-49844387.049999997</v>
      </c>
    </row>
    <row r="5176" spans="1:9" x14ac:dyDescent="0.3">
      <c r="A5176" t="s">
        <v>133</v>
      </c>
      <c r="B5176" s="1">
        <v>45896</v>
      </c>
      <c r="C5176" s="1">
        <v>45896</v>
      </c>
      <c r="D5176">
        <v>925542</v>
      </c>
      <c r="E5176">
        <v>28</v>
      </c>
      <c r="F5176" s="3" t="s">
        <v>4482</v>
      </c>
      <c r="G5176" s="4">
        <v>209846</v>
      </c>
      <c r="H5176" s="4">
        <v>0</v>
      </c>
      <c r="I5176" s="4">
        <v>-49634541.049999997</v>
      </c>
    </row>
    <row r="5177" spans="1:9" x14ac:dyDescent="0.3">
      <c r="A5177" t="s">
        <v>133</v>
      </c>
      <c r="B5177" s="1">
        <v>45896</v>
      </c>
      <c r="C5177" s="1">
        <v>45896</v>
      </c>
      <c r="D5177">
        <v>925543</v>
      </c>
      <c r="E5177">
        <v>98</v>
      </c>
      <c r="F5177" s="3" t="s">
        <v>4483</v>
      </c>
      <c r="G5177" s="4">
        <v>270000</v>
      </c>
      <c r="H5177" s="4">
        <v>0</v>
      </c>
      <c r="I5177" s="4">
        <v>-49364541.049999997</v>
      </c>
    </row>
    <row r="5178" spans="1:9" x14ac:dyDescent="0.3">
      <c r="A5178" t="s">
        <v>133</v>
      </c>
      <c r="B5178" s="1">
        <v>45896</v>
      </c>
      <c r="C5178" s="1">
        <v>45896</v>
      </c>
      <c r="D5178">
        <v>925544</v>
      </c>
      <c r="E5178">
        <v>78</v>
      </c>
      <c r="F5178" s="3" t="s">
        <v>4484</v>
      </c>
      <c r="G5178" s="4">
        <v>64272.5</v>
      </c>
      <c r="H5178" s="4">
        <v>0</v>
      </c>
      <c r="I5178" s="4">
        <v>-49300268.549999997</v>
      </c>
    </row>
    <row r="5179" spans="1:9" x14ac:dyDescent="0.3">
      <c r="A5179" t="s">
        <v>133</v>
      </c>
      <c r="B5179" s="1">
        <v>45896</v>
      </c>
      <c r="C5179" s="1">
        <v>45896</v>
      </c>
      <c r="D5179">
        <v>925551</v>
      </c>
      <c r="E5179">
        <v>48</v>
      </c>
      <c r="F5179" s="3" t="s">
        <v>4485</v>
      </c>
      <c r="G5179" s="4">
        <v>105068.5</v>
      </c>
      <c r="H5179" s="4">
        <v>0</v>
      </c>
      <c r="I5179" s="4">
        <v>-49195200.049999997</v>
      </c>
    </row>
    <row r="5180" spans="1:9" x14ac:dyDescent="0.3">
      <c r="A5180" t="s">
        <v>133</v>
      </c>
      <c r="B5180" s="1">
        <v>45896</v>
      </c>
      <c r="C5180" s="1">
        <v>45896</v>
      </c>
      <c r="D5180">
        <v>925552</v>
      </c>
      <c r="E5180">
        <v>98</v>
      </c>
      <c r="F5180" s="3" t="s">
        <v>4486</v>
      </c>
      <c r="G5180" s="4">
        <v>83990</v>
      </c>
      <c r="H5180" s="4">
        <v>0</v>
      </c>
      <c r="I5180" s="4">
        <v>-49111210.049999997</v>
      </c>
    </row>
    <row r="5181" spans="1:9" x14ac:dyDescent="0.3">
      <c r="A5181" t="s">
        <v>133</v>
      </c>
      <c r="B5181" s="1">
        <v>45896</v>
      </c>
      <c r="C5181" s="1">
        <v>45896</v>
      </c>
      <c r="D5181">
        <v>925554</v>
      </c>
      <c r="E5181">
        <v>542</v>
      </c>
      <c r="F5181" s="3" t="s">
        <v>4487</v>
      </c>
      <c r="G5181" s="4">
        <v>2581</v>
      </c>
      <c r="H5181" s="4">
        <v>0</v>
      </c>
      <c r="I5181" s="4">
        <v>-49108629.049999997</v>
      </c>
    </row>
    <row r="5182" spans="1:9" x14ac:dyDescent="0.3">
      <c r="A5182" t="s">
        <v>133</v>
      </c>
      <c r="B5182" s="1">
        <v>45896</v>
      </c>
      <c r="C5182" s="1">
        <v>45896</v>
      </c>
      <c r="D5182">
        <v>925557</v>
      </c>
      <c r="E5182">
        <v>12</v>
      </c>
      <c r="F5182" s="3" t="s">
        <v>4488</v>
      </c>
      <c r="G5182" s="4">
        <v>40000</v>
      </c>
      <c r="H5182" s="4">
        <v>0</v>
      </c>
      <c r="I5182" s="4">
        <v>-49068629.049999997</v>
      </c>
    </row>
    <row r="5183" spans="1:9" x14ac:dyDescent="0.3">
      <c r="A5183" t="s">
        <v>133</v>
      </c>
      <c r="B5183" s="1">
        <v>45896</v>
      </c>
      <c r="C5183" s="1">
        <v>45896</v>
      </c>
      <c r="D5183">
        <v>925558</v>
      </c>
      <c r="E5183">
        <v>88</v>
      </c>
      <c r="F5183" s="3" t="s">
        <v>4489</v>
      </c>
      <c r="G5183" s="4">
        <v>5528.5</v>
      </c>
      <c r="H5183" s="4">
        <v>0</v>
      </c>
      <c r="I5183" s="4">
        <v>-49063100.549999997</v>
      </c>
    </row>
    <row r="5184" spans="1:9" x14ac:dyDescent="0.3">
      <c r="A5184" t="s">
        <v>133</v>
      </c>
      <c r="B5184" s="1">
        <v>45896</v>
      </c>
      <c r="C5184" s="1">
        <v>45896</v>
      </c>
      <c r="D5184">
        <v>925559</v>
      </c>
      <c r="E5184">
        <v>12</v>
      </c>
      <c r="F5184" s="3" t="s">
        <v>4490</v>
      </c>
      <c r="G5184" s="4">
        <v>22100</v>
      </c>
      <c r="H5184" s="4">
        <v>0</v>
      </c>
      <c r="I5184" s="4">
        <v>-49041000.549999997</v>
      </c>
    </row>
    <row r="5185" spans="1:9" x14ac:dyDescent="0.3">
      <c r="A5185" t="s">
        <v>133</v>
      </c>
      <c r="B5185" s="1">
        <v>45896</v>
      </c>
      <c r="C5185" s="1">
        <v>45896</v>
      </c>
      <c r="D5185">
        <v>925560</v>
      </c>
      <c r="E5185">
        <v>78</v>
      </c>
      <c r="F5185" s="3" t="s">
        <v>4491</v>
      </c>
      <c r="G5185" s="4">
        <v>50148</v>
      </c>
      <c r="H5185" s="4">
        <v>0</v>
      </c>
      <c r="I5185" s="4">
        <v>-48990852.549999997</v>
      </c>
    </row>
    <row r="5186" spans="1:9" x14ac:dyDescent="0.3">
      <c r="A5186" t="s">
        <v>133</v>
      </c>
      <c r="B5186" s="1">
        <v>45896</v>
      </c>
      <c r="C5186" s="1">
        <v>45896</v>
      </c>
      <c r="D5186">
        <v>925561</v>
      </c>
      <c r="E5186">
        <v>72</v>
      </c>
      <c r="F5186" s="3" t="s">
        <v>4492</v>
      </c>
      <c r="G5186" s="4">
        <v>2355.25</v>
      </c>
      <c r="H5186" s="4">
        <v>0</v>
      </c>
      <c r="I5186" s="4">
        <v>-48988497.299999997</v>
      </c>
    </row>
    <row r="5187" spans="1:9" x14ac:dyDescent="0.3">
      <c r="A5187" t="s">
        <v>133</v>
      </c>
      <c r="B5187" s="1">
        <v>45896</v>
      </c>
      <c r="C5187" s="1">
        <v>45896</v>
      </c>
      <c r="D5187">
        <v>925563</v>
      </c>
      <c r="E5187">
        <v>23</v>
      </c>
      <c r="F5187" s="3" t="s">
        <v>181</v>
      </c>
      <c r="G5187" s="4">
        <v>510000</v>
      </c>
      <c r="H5187" s="4">
        <v>0</v>
      </c>
      <c r="I5187" s="4">
        <v>-48478497.299999997</v>
      </c>
    </row>
    <row r="5188" spans="1:9" x14ac:dyDescent="0.3">
      <c r="A5188" t="s">
        <v>133</v>
      </c>
      <c r="B5188" s="1">
        <v>45896</v>
      </c>
      <c r="C5188" s="1">
        <v>45896</v>
      </c>
      <c r="D5188">
        <v>925564</v>
      </c>
      <c r="E5188">
        <v>80</v>
      </c>
      <c r="F5188" s="3" t="s">
        <v>4493</v>
      </c>
      <c r="G5188" s="4">
        <v>230000</v>
      </c>
      <c r="H5188" s="4">
        <v>0</v>
      </c>
      <c r="I5188" s="4">
        <v>-48248497.299999997</v>
      </c>
    </row>
    <row r="5189" spans="1:9" x14ac:dyDescent="0.3">
      <c r="A5189" t="s">
        <v>133</v>
      </c>
      <c r="B5189" s="1">
        <v>45896</v>
      </c>
      <c r="C5189" s="1">
        <v>45896</v>
      </c>
      <c r="D5189">
        <v>925566</v>
      </c>
      <c r="E5189">
        <v>56</v>
      </c>
      <c r="F5189" s="3" t="s">
        <v>4494</v>
      </c>
      <c r="G5189" s="4">
        <v>1250000</v>
      </c>
      <c r="H5189" s="4">
        <v>0</v>
      </c>
      <c r="I5189" s="4">
        <v>-46998497.299999997</v>
      </c>
    </row>
    <row r="5190" spans="1:9" x14ac:dyDescent="0.3">
      <c r="A5190" t="s">
        <v>133</v>
      </c>
      <c r="B5190" s="1">
        <v>45896</v>
      </c>
      <c r="C5190" s="1">
        <v>45896</v>
      </c>
      <c r="D5190">
        <v>925570</v>
      </c>
      <c r="E5190">
        <v>58</v>
      </c>
      <c r="F5190" s="3" t="s">
        <v>4495</v>
      </c>
      <c r="G5190" s="4">
        <v>500</v>
      </c>
      <c r="H5190" s="4">
        <v>0</v>
      </c>
      <c r="I5190" s="4">
        <v>-46997997.299999997</v>
      </c>
    </row>
    <row r="5191" spans="1:9" x14ac:dyDescent="0.3">
      <c r="A5191" t="s">
        <v>133</v>
      </c>
      <c r="B5191" s="1">
        <v>45896</v>
      </c>
      <c r="C5191" s="1">
        <v>45896</v>
      </c>
      <c r="D5191">
        <v>925574</v>
      </c>
      <c r="E5191">
        <v>78</v>
      </c>
      <c r="F5191" s="3" t="s">
        <v>4496</v>
      </c>
      <c r="G5191" s="4">
        <v>20000</v>
      </c>
      <c r="H5191" s="4">
        <v>0</v>
      </c>
      <c r="I5191" s="4">
        <v>-46977997.299999997</v>
      </c>
    </row>
    <row r="5192" spans="1:9" x14ac:dyDescent="0.3">
      <c r="A5192" t="s">
        <v>133</v>
      </c>
      <c r="B5192" s="1">
        <v>45896</v>
      </c>
      <c r="C5192" s="1">
        <v>45896</v>
      </c>
      <c r="D5192">
        <v>925575</v>
      </c>
      <c r="E5192">
        <v>11</v>
      </c>
      <c r="F5192" s="3" t="s">
        <v>4497</v>
      </c>
      <c r="G5192" s="4">
        <v>38000</v>
      </c>
      <c r="H5192" s="4">
        <v>0</v>
      </c>
      <c r="I5192" s="4">
        <v>-46939997.299999997</v>
      </c>
    </row>
    <row r="5193" spans="1:9" x14ac:dyDescent="0.3">
      <c r="A5193" t="s">
        <v>133</v>
      </c>
      <c r="B5193" s="1">
        <v>45896</v>
      </c>
      <c r="C5193" s="1">
        <v>45896</v>
      </c>
      <c r="D5193">
        <v>925576</v>
      </c>
      <c r="E5193">
        <v>11</v>
      </c>
      <c r="F5193" s="3" t="s">
        <v>4498</v>
      </c>
      <c r="G5193" s="4">
        <v>40459.75</v>
      </c>
      <c r="H5193" s="4">
        <v>0</v>
      </c>
      <c r="I5193" s="4">
        <v>-46899537.549999997</v>
      </c>
    </row>
    <row r="5194" spans="1:9" x14ac:dyDescent="0.3">
      <c r="A5194" t="s">
        <v>133</v>
      </c>
      <c r="B5194" s="1">
        <v>45896</v>
      </c>
      <c r="C5194" s="1">
        <v>45896</v>
      </c>
      <c r="D5194">
        <v>925577</v>
      </c>
      <c r="E5194">
        <v>210</v>
      </c>
      <c r="F5194" s="3" t="s">
        <v>4499</v>
      </c>
      <c r="G5194" s="4">
        <v>350000</v>
      </c>
      <c r="H5194" s="4">
        <v>0</v>
      </c>
      <c r="I5194" s="4">
        <v>-46549537.549999997</v>
      </c>
    </row>
    <row r="5195" spans="1:9" x14ac:dyDescent="0.3">
      <c r="A5195" t="s">
        <v>133</v>
      </c>
      <c r="B5195" s="1">
        <v>45896</v>
      </c>
      <c r="C5195" s="1">
        <v>45896</v>
      </c>
      <c r="D5195">
        <v>925581</v>
      </c>
      <c r="E5195">
        <v>23</v>
      </c>
      <c r="F5195" s="3" t="s">
        <v>4500</v>
      </c>
      <c r="G5195" s="4">
        <v>51853</v>
      </c>
      <c r="H5195" s="4">
        <v>0</v>
      </c>
      <c r="I5195" s="4">
        <v>-46497684.549999997</v>
      </c>
    </row>
    <row r="5196" spans="1:9" x14ac:dyDescent="0.3">
      <c r="A5196" t="s">
        <v>133</v>
      </c>
      <c r="B5196" s="1">
        <v>45896</v>
      </c>
      <c r="C5196" s="1">
        <v>45896</v>
      </c>
      <c r="D5196">
        <v>925583</v>
      </c>
      <c r="E5196">
        <v>23</v>
      </c>
      <c r="F5196" s="3" t="s">
        <v>4501</v>
      </c>
      <c r="G5196" s="4">
        <v>7471.25</v>
      </c>
      <c r="H5196" s="4">
        <v>0</v>
      </c>
      <c r="I5196" s="4">
        <v>-46490213.299999997</v>
      </c>
    </row>
    <row r="5197" spans="1:9" x14ac:dyDescent="0.3">
      <c r="A5197" t="s">
        <v>1</v>
      </c>
      <c r="B5197" s="1">
        <v>45894</v>
      </c>
      <c r="C5197" s="1">
        <v>45897</v>
      </c>
      <c r="D5197">
        <v>103133</v>
      </c>
      <c r="E5197">
        <v>100</v>
      </c>
      <c r="F5197" s="3" t="s">
        <v>4502</v>
      </c>
      <c r="G5197" s="4">
        <v>11200</v>
      </c>
      <c r="I5197" s="4">
        <v>-46479013.299999997</v>
      </c>
    </row>
    <row r="5198" spans="1:9" x14ac:dyDescent="0.3">
      <c r="A5198" t="s">
        <v>1</v>
      </c>
      <c r="B5198" s="1">
        <v>45896</v>
      </c>
      <c r="C5198" s="1">
        <v>45897</v>
      </c>
      <c r="D5198">
        <v>103254</v>
      </c>
      <c r="E5198">
        <v>100</v>
      </c>
      <c r="F5198" s="3" t="s">
        <v>4503</v>
      </c>
      <c r="G5198" s="4">
        <v>10048.299999999999</v>
      </c>
      <c r="I5198" s="4">
        <v>-46468965</v>
      </c>
    </row>
    <row r="5199" spans="1:9" x14ac:dyDescent="0.3">
      <c r="A5199" t="s">
        <v>1</v>
      </c>
      <c r="B5199" s="1">
        <v>45896</v>
      </c>
      <c r="C5199" s="1">
        <v>45897</v>
      </c>
      <c r="D5199">
        <v>103268</v>
      </c>
      <c r="E5199">
        <v>100</v>
      </c>
      <c r="F5199" s="3" t="s">
        <v>4504</v>
      </c>
      <c r="G5199" s="4">
        <v>425242</v>
      </c>
      <c r="I5199" s="4">
        <v>-46043723</v>
      </c>
    </row>
    <row r="5200" spans="1:9" x14ac:dyDescent="0.3">
      <c r="A5200" t="s">
        <v>1</v>
      </c>
      <c r="B5200" s="1">
        <v>45896</v>
      </c>
      <c r="C5200" s="1">
        <v>45897</v>
      </c>
      <c r="D5200">
        <v>103270</v>
      </c>
      <c r="E5200">
        <v>100</v>
      </c>
      <c r="F5200" s="3" t="s">
        <v>4505</v>
      </c>
      <c r="G5200" s="4">
        <v>217069</v>
      </c>
      <c r="I5200" s="4">
        <v>-45826654</v>
      </c>
    </row>
    <row r="5201" spans="1:9" x14ac:dyDescent="0.3">
      <c r="A5201" t="s">
        <v>1</v>
      </c>
      <c r="B5201" s="1">
        <v>45896</v>
      </c>
      <c r="C5201" s="1">
        <v>45897</v>
      </c>
      <c r="D5201">
        <v>103291</v>
      </c>
      <c r="E5201">
        <v>100</v>
      </c>
      <c r="F5201" s="3" t="s">
        <v>4506</v>
      </c>
      <c r="G5201" s="4">
        <v>73095.5</v>
      </c>
      <c r="I5201" s="4">
        <v>-45753558.5</v>
      </c>
    </row>
    <row r="5202" spans="1:9" x14ac:dyDescent="0.3">
      <c r="A5202" t="s">
        <v>1</v>
      </c>
      <c r="B5202" s="1">
        <v>45896</v>
      </c>
      <c r="C5202" s="1">
        <v>45897</v>
      </c>
      <c r="D5202">
        <v>103293</v>
      </c>
      <c r="E5202">
        <v>100</v>
      </c>
      <c r="F5202" s="3" t="s">
        <v>4507</v>
      </c>
      <c r="G5202" s="4">
        <v>42494.5</v>
      </c>
      <c r="I5202" s="4">
        <v>-45711064</v>
      </c>
    </row>
    <row r="5203" spans="1:9" x14ac:dyDescent="0.3">
      <c r="A5203" t="s">
        <v>1</v>
      </c>
      <c r="B5203" s="1">
        <v>45896</v>
      </c>
      <c r="C5203" s="1">
        <v>45897</v>
      </c>
      <c r="D5203">
        <v>103315</v>
      </c>
      <c r="E5203">
        <v>100</v>
      </c>
      <c r="F5203" s="3" t="s">
        <v>4508</v>
      </c>
      <c r="G5203" s="4">
        <v>95344</v>
      </c>
      <c r="I5203" s="4">
        <v>-45615720</v>
      </c>
    </row>
    <row r="5204" spans="1:9" x14ac:dyDescent="0.3">
      <c r="A5204" t="s">
        <v>1</v>
      </c>
      <c r="B5204" s="1">
        <v>45897</v>
      </c>
      <c r="C5204" s="1">
        <v>45897</v>
      </c>
      <c r="D5204">
        <v>103318</v>
      </c>
      <c r="E5204">
        <v>100</v>
      </c>
      <c r="F5204" s="3" t="s">
        <v>4509</v>
      </c>
      <c r="G5204" s="4">
        <v>52486.25</v>
      </c>
      <c r="I5204" s="4">
        <v>-45563233.75</v>
      </c>
    </row>
    <row r="5205" spans="1:9" x14ac:dyDescent="0.3">
      <c r="A5205" t="s">
        <v>1</v>
      </c>
      <c r="B5205" s="1">
        <v>45896</v>
      </c>
      <c r="C5205" s="1">
        <v>45897</v>
      </c>
      <c r="D5205">
        <v>103342</v>
      </c>
      <c r="E5205">
        <v>100</v>
      </c>
      <c r="F5205" s="3" t="s">
        <v>4510</v>
      </c>
      <c r="G5205" s="4">
        <v>35027</v>
      </c>
      <c r="I5205" s="4">
        <v>-45528206.75</v>
      </c>
    </row>
    <row r="5206" spans="1:9" x14ac:dyDescent="0.3">
      <c r="A5206" t="s">
        <v>1</v>
      </c>
      <c r="B5206" s="1">
        <v>45896</v>
      </c>
      <c r="C5206" s="1">
        <v>45897</v>
      </c>
      <c r="D5206">
        <v>103352</v>
      </c>
      <c r="E5206">
        <v>100</v>
      </c>
      <c r="F5206" s="3" t="s">
        <v>4511</v>
      </c>
      <c r="G5206" s="4">
        <v>769304</v>
      </c>
      <c r="I5206" s="4">
        <v>-44758902.75</v>
      </c>
    </row>
    <row r="5207" spans="1:9" x14ac:dyDescent="0.3">
      <c r="A5207" t="s">
        <v>1</v>
      </c>
      <c r="B5207" s="1">
        <v>45896</v>
      </c>
      <c r="C5207" s="1">
        <v>45897</v>
      </c>
      <c r="D5207">
        <v>103353</v>
      </c>
      <c r="E5207">
        <v>100</v>
      </c>
      <c r="F5207" s="3" t="s">
        <v>4512</v>
      </c>
      <c r="G5207" s="4">
        <v>6146</v>
      </c>
      <c r="I5207" s="4">
        <v>-44752756.75</v>
      </c>
    </row>
    <row r="5208" spans="1:9" x14ac:dyDescent="0.3">
      <c r="A5208" t="s">
        <v>1</v>
      </c>
      <c r="B5208" s="1">
        <v>45896</v>
      </c>
      <c r="C5208" s="1">
        <v>45897</v>
      </c>
      <c r="D5208">
        <v>103358</v>
      </c>
      <c r="E5208">
        <v>100</v>
      </c>
      <c r="F5208" s="3" t="s">
        <v>4513</v>
      </c>
      <c r="G5208" s="4">
        <v>101233</v>
      </c>
      <c r="I5208" s="4">
        <v>-44651523.75</v>
      </c>
    </row>
    <row r="5209" spans="1:9" x14ac:dyDescent="0.3">
      <c r="A5209" t="s">
        <v>1</v>
      </c>
      <c r="B5209" s="1">
        <v>45896</v>
      </c>
      <c r="C5209" s="1">
        <v>45897</v>
      </c>
      <c r="D5209">
        <v>103405</v>
      </c>
      <c r="E5209">
        <v>100</v>
      </c>
      <c r="F5209" s="3" t="s">
        <v>4514</v>
      </c>
      <c r="G5209" s="4">
        <v>19245.8</v>
      </c>
      <c r="I5209" s="4">
        <v>-44632277.950000003</v>
      </c>
    </row>
    <row r="5210" spans="1:9" x14ac:dyDescent="0.3">
      <c r="A5210" t="s">
        <v>1</v>
      </c>
      <c r="B5210" s="1">
        <v>45896</v>
      </c>
      <c r="C5210" s="1">
        <v>45897</v>
      </c>
      <c r="D5210">
        <v>103406</v>
      </c>
      <c r="E5210">
        <v>100</v>
      </c>
      <c r="F5210" s="3" t="s">
        <v>4515</v>
      </c>
      <c r="G5210" s="4">
        <v>192193.25</v>
      </c>
      <c r="I5210" s="4">
        <v>-44440084.700000003</v>
      </c>
    </row>
    <row r="5211" spans="1:9" x14ac:dyDescent="0.3">
      <c r="A5211" t="s">
        <v>1</v>
      </c>
      <c r="B5211" s="1">
        <v>45896</v>
      </c>
      <c r="C5211" s="1">
        <v>45897</v>
      </c>
      <c r="D5211">
        <v>103412</v>
      </c>
      <c r="E5211">
        <v>100</v>
      </c>
      <c r="F5211" s="3" t="s">
        <v>4516</v>
      </c>
      <c r="G5211" s="4">
        <v>36000</v>
      </c>
      <c r="I5211" s="4">
        <v>-44404084.700000003</v>
      </c>
    </row>
    <row r="5212" spans="1:9" x14ac:dyDescent="0.3">
      <c r="A5212" t="s">
        <v>1</v>
      </c>
      <c r="B5212" s="1">
        <v>45896</v>
      </c>
      <c r="C5212" s="1">
        <v>45897</v>
      </c>
      <c r="D5212">
        <v>103416</v>
      </c>
      <c r="E5212">
        <v>100</v>
      </c>
      <c r="F5212" s="3" t="s">
        <v>4517</v>
      </c>
      <c r="G5212" s="4">
        <v>10300</v>
      </c>
      <c r="I5212" s="4">
        <v>-44393784.700000003</v>
      </c>
    </row>
    <row r="5213" spans="1:9" x14ac:dyDescent="0.3">
      <c r="A5213" t="s">
        <v>1</v>
      </c>
      <c r="B5213" s="1">
        <v>45896</v>
      </c>
      <c r="C5213" s="1">
        <v>45897</v>
      </c>
      <c r="D5213">
        <v>103417</v>
      </c>
      <c r="E5213">
        <v>100</v>
      </c>
      <c r="F5213" s="3" t="s">
        <v>4518</v>
      </c>
      <c r="G5213" s="4">
        <v>79000</v>
      </c>
      <c r="I5213" s="4">
        <v>-44314784.700000003</v>
      </c>
    </row>
    <row r="5214" spans="1:9" x14ac:dyDescent="0.3">
      <c r="A5214" t="s">
        <v>1</v>
      </c>
      <c r="B5214" s="1">
        <v>45895</v>
      </c>
      <c r="C5214" s="1">
        <v>45897</v>
      </c>
      <c r="D5214">
        <v>103419</v>
      </c>
      <c r="E5214">
        <v>100</v>
      </c>
      <c r="F5214" s="3" t="s">
        <v>4519</v>
      </c>
      <c r="G5214" s="4">
        <v>6000</v>
      </c>
      <c r="I5214" s="4">
        <v>-44308784.700000003</v>
      </c>
    </row>
    <row r="5215" spans="1:9" x14ac:dyDescent="0.3">
      <c r="A5215" t="s">
        <v>1</v>
      </c>
      <c r="B5215" s="1">
        <v>45896</v>
      </c>
      <c r="C5215" s="1">
        <v>45897</v>
      </c>
      <c r="D5215">
        <v>103421</v>
      </c>
      <c r="E5215">
        <v>100</v>
      </c>
      <c r="F5215" s="3" t="s">
        <v>2868</v>
      </c>
      <c r="G5215" s="4">
        <v>11962.5</v>
      </c>
      <c r="I5215" s="4">
        <v>-44296822.200000003</v>
      </c>
    </row>
    <row r="5216" spans="1:9" x14ac:dyDescent="0.3">
      <c r="A5216" t="s">
        <v>1</v>
      </c>
      <c r="B5216" s="1">
        <v>45896</v>
      </c>
      <c r="C5216" s="1">
        <v>45897</v>
      </c>
      <c r="D5216">
        <v>103423</v>
      </c>
      <c r="E5216">
        <v>100</v>
      </c>
      <c r="F5216" s="3" t="s">
        <v>3030</v>
      </c>
      <c r="G5216" s="4">
        <v>158317.5</v>
      </c>
      <c r="I5216" s="4">
        <v>-44138504.700000003</v>
      </c>
    </row>
    <row r="5217" spans="1:9" x14ac:dyDescent="0.3">
      <c r="A5217" t="s">
        <v>1</v>
      </c>
      <c r="B5217" s="1">
        <v>45896</v>
      </c>
      <c r="C5217" s="1">
        <v>45897</v>
      </c>
      <c r="D5217">
        <v>103431</v>
      </c>
      <c r="E5217">
        <v>100</v>
      </c>
      <c r="F5217" s="3" t="s">
        <v>4520</v>
      </c>
      <c r="G5217" s="4">
        <v>46207</v>
      </c>
      <c r="I5217" s="4">
        <v>-44092297.700000003</v>
      </c>
    </row>
    <row r="5218" spans="1:9" x14ac:dyDescent="0.3">
      <c r="A5218" t="s">
        <v>1</v>
      </c>
      <c r="B5218" s="1">
        <v>45896</v>
      </c>
      <c r="C5218" s="1">
        <v>45897</v>
      </c>
      <c r="D5218">
        <v>103444</v>
      </c>
      <c r="E5218">
        <v>100</v>
      </c>
      <c r="F5218" s="3" t="s">
        <v>4521</v>
      </c>
      <c r="G5218" s="4">
        <v>15817</v>
      </c>
      <c r="I5218" s="4">
        <v>-44076480.700000003</v>
      </c>
    </row>
    <row r="5219" spans="1:9" x14ac:dyDescent="0.3">
      <c r="A5219" t="s">
        <v>1</v>
      </c>
      <c r="B5219" s="1">
        <v>45896</v>
      </c>
      <c r="C5219" s="1">
        <v>45897</v>
      </c>
      <c r="D5219">
        <v>103450</v>
      </c>
      <c r="E5219">
        <v>100</v>
      </c>
      <c r="F5219" s="3" t="s">
        <v>4522</v>
      </c>
      <c r="G5219" s="4">
        <v>309125.58</v>
      </c>
      <c r="I5219" s="4">
        <v>-43767355.119999997</v>
      </c>
    </row>
    <row r="5220" spans="1:9" x14ac:dyDescent="0.3">
      <c r="A5220" t="s">
        <v>1</v>
      </c>
      <c r="B5220" s="1">
        <v>45897</v>
      </c>
      <c r="C5220" s="1">
        <v>45897</v>
      </c>
      <c r="D5220">
        <v>103451</v>
      </c>
      <c r="E5220">
        <v>100</v>
      </c>
      <c r="F5220" s="3" t="s">
        <v>4523</v>
      </c>
      <c r="G5220" s="4">
        <v>196482.25</v>
      </c>
      <c r="I5220" s="4">
        <v>-43570872.869999997</v>
      </c>
    </row>
    <row r="5221" spans="1:9" x14ac:dyDescent="0.3">
      <c r="A5221" t="s">
        <v>1</v>
      </c>
      <c r="B5221" s="1">
        <v>45897</v>
      </c>
      <c r="C5221" s="1">
        <v>45897</v>
      </c>
      <c r="D5221">
        <v>103463</v>
      </c>
      <c r="E5221">
        <v>100</v>
      </c>
      <c r="F5221" s="3" t="s">
        <v>4524</v>
      </c>
      <c r="G5221" s="4">
        <v>100000</v>
      </c>
      <c r="I5221" s="4">
        <v>-43470872.869999997</v>
      </c>
    </row>
    <row r="5222" spans="1:9" x14ac:dyDescent="0.3">
      <c r="A5222" t="s">
        <v>1</v>
      </c>
      <c r="B5222" s="1">
        <v>45897</v>
      </c>
      <c r="C5222" s="1">
        <v>45897</v>
      </c>
      <c r="D5222">
        <v>103464</v>
      </c>
      <c r="E5222">
        <v>100</v>
      </c>
      <c r="F5222" s="3" t="s">
        <v>4525</v>
      </c>
      <c r="G5222" s="4">
        <v>13536.75</v>
      </c>
      <c r="I5222" s="4">
        <v>-43457336.119999997</v>
      </c>
    </row>
    <row r="5223" spans="1:9" x14ac:dyDescent="0.3">
      <c r="A5223" t="s">
        <v>1</v>
      </c>
      <c r="B5223" s="1">
        <v>45897</v>
      </c>
      <c r="C5223" s="1">
        <v>45897</v>
      </c>
      <c r="D5223">
        <v>103467</v>
      </c>
      <c r="E5223">
        <v>100</v>
      </c>
      <c r="F5223" s="3" t="s">
        <v>4524</v>
      </c>
      <c r="G5223" s="4">
        <v>20021</v>
      </c>
      <c r="I5223" s="4">
        <v>-43437315.119999997</v>
      </c>
    </row>
    <row r="5224" spans="1:9" x14ac:dyDescent="0.3">
      <c r="A5224" t="s">
        <v>1</v>
      </c>
      <c r="B5224" s="1">
        <v>45896</v>
      </c>
      <c r="C5224" s="1">
        <v>45897</v>
      </c>
      <c r="D5224">
        <v>103469</v>
      </c>
      <c r="E5224">
        <v>100</v>
      </c>
      <c r="F5224" s="3" t="s">
        <v>4526</v>
      </c>
      <c r="G5224" s="4">
        <v>269016.8</v>
      </c>
      <c r="I5224" s="4">
        <v>-43168298.32</v>
      </c>
    </row>
    <row r="5225" spans="1:9" x14ac:dyDescent="0.3">
      <c r="A5225" t="s">
        <v>1</v>
      </c>
      <c r="B5225" s="1">
        <v>45896</v>
      </c>
      <c r="C5225" s="1">
        <v>45897</v>
      </c>
      <c r="D5225">
        <v>103476</v>
      </c>
      <c r="E5225">
        <v>100</v>
      </c>
      <c r="F5225" s="3" t="s">
        <v>4527</v>
      </c>
      <c r="G5225" s="4">
        <v>247745.5</v>
      </c>
      <c r="I5225" s="4">
        <v>-42920552.82</v>
      </c>
    </row>
    <row r="5226" spans="1:9" x14ac:dyDescent="0.3">
      <c r="A5226" t="s">
        <v>1</v>
      </c>
      <c r="B5226" s="1">
        <v>45897</v>
      </c>
      <c r="C5226" s="1">
        <v>45897</v>
      </c>
      <c r="D5226">
        <v>103483</v>
      </c>
      <c r="E5226">
        <v>100</v>
      </c>
      <c r="F5226" s="3" t="s">
        <v>2687</v>
      </c>
      <c r="G5226" s="4">
        <v>8503.15</v>
      </c>
      <c r="I5226" s="4">
        <v>-42912049.670000002</v>
      </c>
    </row>
    <row r="5227" spans="1:9" x14ac:dyDescent="0.3">
      <c r="A5227" t="s">
        <v>1</v>
      </c>
      <c r="B5227" s="1">
        <v>45897</v>
      </c>
      <c r="C5227" s="1">
        <v>45897</v>
      </c>
      <c r="D5227">
        <v>103487</v>
      </c>
      <c r="E5227">
        <v>100</v>
      </c>
      <c r="F5227" s="3" t="s">
        <v>4528</v>
      </c>
      <c r="G5227" s="4">
        <v>41000</v>
      </c>
      <c r="I5227" s="4">
        <v>-42871049.670000002</v>
      </c>
    </row>
    <row r="5228" spans="1:9" x14ac:dyDescent="0.3">
      <c r="A5228" t="s">
        <v>1</v>
      </c>
      <c r="B5228" s="1">
        <v>45896</v>
      </c>
      <c r="C5228" s="1">
        <v>45897</v>
      </c>
      <c r="D5228">
        <v>103489</v>
      </c>
      <c r="E5228">
        <v>100</v>
      </c>
      <c r="F5228" s="3" t="s">
        <v>4529</v>
      </c>
      <c r="G5228" s="4">
        <v>11815.75</v>
      </c>
      <c r="I5228" s="4">
        <v>-42859233.920000002</v>
      </c>
    </row>
    <row r="5229" spans="1:9" x14ac:dyDescent="0.3">
      <c r="A5229" t="s">
        <v>1</v>
      </c>
      <c r="B5229" s="1">
        <v>45896</v>
      </c>
      <c r="C5229" s="1">
        <v>45897</v>
      </c>
      <c r="D5229">
        <v>103490</v>
      </c>
      <c r="E5229">
        <v>100</v>
      </c>
      <c r="F5229" s="3" t="s">
        <v>545</v>
      </c>
      <c r="G5229" s="4">
        <v>87908.800000000003</v>
      </c>
      <c r="I5229" s="4">
        <v>-42771325.119999997</v>
      </c>
    </row>
    <row r="5230" spans="1:9" x14ac:dyDescent="0.3">
      <c r="A5230" t="s">
        <v>1</v>
      </c>
      <c r="B5230" s="1">
        <v>45896</v>
      </c>
      <c r="C5230" s="1">
        <v>45897</v>
      </c>
      <c r="D5230">
        <v>103495</v>
      </c>
      <c r="E5230">
        <v>100</v>
      </c>
      <c r="F5230" s="3" t="s">
        <v>4530</v>
      </c>
      <c r="G5230" s="4">
        <v>50000</v>
      </c>
      <c r="I5230" s="4">
        <v>-42721325.119999997</v>
      </c>
    </row>
    <row r="5231" spans="1:9" x14ac:dyDescent="0.3">
      <c r="A5231" t="s">
        <v>1</v>
      </c>
      <c r="B5231" s="1">
        <v>45896</v>
      </c>
      <c r="C5231" s="1">
        <v>45897</v>
      </c>
      <c r="D5231">
        <v>103501</v>
      </c>
      <c r="E5231">
        <v>100</v>
      </c>
      <c r="F5231" s="3" t="s">
        <v>4531</v>
      </c>
      <c r="G5231" s="4">
        <v>35000</v>
      </c>
      <c r="I5231" s="4">
        <v>-42686325.119999997</v>
      </c>
    </row>
    <row r="5232" spans="1:9" x14ac:dyDescent="0.3">
      <c r="A5232" t="s">
        <v>1</v>
      </c>
      <c r="B5232" s="1">
        <v>45897</v>
      </c>
      <c r="C5232" s="1">
        <v>45897</v>
      </c>
      <c r="D5232">
        <v>103511</v>
      </c>
      <c r="E5232">
        <v>100</v>
      </c>
      <c r="F5232" s="3" t="s">
        <v>4532</v>
      </c>
      <c r="G5232" s="4">
        <v>177760.25</v>
      </c>
      <c r="I5232" s="4">
        <v>-42508564.869999997</v>
      </c>
    </row>
    <row r="5233" spans="1:9" x14ac:dyDescent="0.3">
      <c r="A5233" t="s">
        <v>1</v>
      </c>
      <c r="B5233" s="1">
        <v>45897</v>
      </c>
      <c r="C5233" s="1">
        <v>45897</v>
      </c>
      <c r="D5233">
        <v>103512</v>
      </c>
      <c r="E5233">
        <v>100</v>
      </c>
      <c r="F5233" s="3" t="s">
        <v>4533</v>
      </c>
      <c r="G5233" s="4">
        <v>68826.25</v>
      </c>
      <c r="I5233" s="4">
        <v>-42439738.619999997</v>
      </c>
    </row>
    <row r="5234" spans="1:9" x14ac:dyDescent="0.3">
      <c r="A5234" t="s">
        <v>1</v>
      </c>
      <c r="B5234" s="1">
        <v>45897</v>
      </c>
      <c r="C5234" s="1">
        <v>45897</v>
      </c>
      <c r="D5234">
        <v>103513</v>
      </c>
      <c r="E5234">
        <v>100</v>
      </c>
      <c r="F5234" s="3" t="s">
        <v>1219</v>
      </c>
      <c r="G5234" s="4">
        <v>9921.98</v>
      </c>
      <c r="I5234" s="4">
        <v>-42429816.640000001</v>
      </c>
    </row>
    <row r="5235" spans="1:9" x14ac:dyDescent="0.3">
      <c r="A5235" t="s">
        <v>1</v>
      </c>
      <c r="B5235" s="1">
        <v>45897</v>
      </c>
      <c r="C5235" s="1">
        <v>45897</v>
      </c>
      <c r="D5235">
        <v>103515</v>
      </c>
      <c r="E5235">
        <v>100</v>
      </c>
      <c r="F5235" s="3" t="s">
        <v>4534</v>
      </c>
      <c r="G5235" s="4">
        <v>41868.75</v>
      </c>
      <c r="I5235" s="4">
        <v>-42387947.890000001</v>
      </c>
    </row>
    <row r="5236" spans="1:9" x14ac:dyDescent="0.3">
      <c r="A5236" t="s">
        <v>1</v>
      </c>
      <c r="B5236" s="1">
        <v>45897</v>
      </c>
      <c r="C5236" s="1">
        <v>45897</v>
      </c>
      <c r="D5236">
        <v>103519</v>
      </c>
      <c r="E5236">
        <v>100</v>
      </c>
      <c r="F5236" s="3" t="s">
        <v>4535</v>
      </c>
      <c r="G5236" s="4">
        <v>35650</v>
      </c>
      <c r="I5236" s="4">
        <v>-42352297.890000001</v>
      </c>
    </row>
    <row r="5237" spans="1:9" x14ac:dyDescent="0.3">
      <c r="A5237" t="s">
        <v>1</v>
      </c>
      <c r="B5237" s="1">
        <v>45897</v>
      </c>
      <c r="C5237" s="1">
        <v>45897</v>
      </c>
      <c r="D5237">
        <v>103523</v>
      </c>
      <c r="E5237">
        <v>100</v>
      </c>
      <c r="F5237" s="3" t="s">
        <v>4536</v>
      </c>
      <c r="G5237" s="4">
        <v>72000</v>
      </c>
      <c r="I5237" s="4">
        <v>-42280297.890000001</v>
      </c>
    </row>
    <row r="5238" spans="1:9" x14ac:dyDescent="0.3">
      <c r="A5238" t="s">
        <v>1</v>
      </c>
      <c r="B5238" s="1">
        <v>45897</v>
      </c>
      <c r="C5238" s="1">
        <v>45897</v>
      </c>
      <c r="D5238">
        <v>103524</v>
      </c>
      <c r="E5238">
        <v>100</v>
      </c>
      <c r="F5238" s="3" t="s">
        <v>4537</v>
      </c>
      <c r="G5238" s="4">
        <v>28825</v>
      </c>
      <c r="I5238" s="4">
        <v>-42251472.890000001</v>
      </c>
    </row>
    <row r="5239" spans="1:9" x14ac:dyDescent="0.3">
      <c r="A5239" t="s">
        <v>1</v>
      </c>
      <c r="B5239" s="1">
        <v>45897</v>
      </c>
      <c r="C5239" s="1">
        <v>45897</v>
      </c>
      <c r="D5239">
        <v>103526</v>
      </c>
      <c r="E5239">
        <v>100</v>
      </c>
      <c r="F5239" s="3" t="s">
        <v>4538</v>
      </c>
      <c r="G5239" s="4">
        <v>73100.600000000006</v>
      </c>
      <c r="I5239" s="4">
        <v>-42178372.289999999</v>
      </c>
    </row>
    <row r="5240" spans="1:9" x14ac:dyDescent="0.3">
      <c r="A5240" t="s">
        <v>1</v>
      </c>
      <c r="B5240" s="1">
        <v>45897</v>
      </c>
      <c r="C5240" s="1">
        <v>45897</v>
      </c>
      <c r="D5240">
        <v>103530</v>
      </c>
      <c r="E5240">
        <v>100</v>
      </c>
      <c r="F5240" s="3" t="s">
        <v>4539</v>
      </c>
      <c r="G5240" s="4">
        <v>24277.040000000001</v>
      </c>
      <c r="I5240" s="4">
        <v>-42154095.25</v>
      </c>
    </row>
    <row r="5241" spans="1:9" x14ac:dyDescent="0.3">
      <c r="A5241" t="s">
        <v>1</v>
      </c>
      <c r="B5241" s="1">
        <v>45897</v>
      </c>
      <c r="C5241" s="1">
        <v>45897</v>
      </c>
      <c r="D5241">
        <v>103534</v>
      </c>
      <c r="E5241">
        <v>100</v>
      </c>
      <c r="F5241" s="3" t="s">
        <v>4540</v>
      </c>
      <c r="G5241" s="4">
        <v>10122.049999999999</v>
      </c>
      <c r="I5241" s="4">
        <v>-42143973.200000003</v>
      </c>
    </row>
    <row r="5242" spans="1:9" x14ac:dyDescent="0.3">
      <c r="A5242" t="s">
        <v>1</v>
      </c>
      <c r="B5242" s="1">
        <v>45896</v>
      </c>
      <c r="C5242" s="1">
        <v>45897</v>
      </c>
      <c r="D5242">
        <v>103535</v>
      </c>
      <c r="E5242">
        <v>100</v>
      </c>
      <c r="F5242" s="3" t="s">
        <v>4541</v>
      </c>
      <c r="G5242" s="4">
        <v>3004.2</v>
      </c>
      <c r="I5242" s="4">
        <v>-42140969</v>
      </c>
    </row>
    <row r="5243" spans="1:9" x14ac:dyDescent="0.3">
      <c r="A5243" t="s">
        <v>1</v>
      </c>
      <c r="B5243" s="1">
        <v>45897</v>
      </c>
      <c r="C5243" s="1">
        <v>45897</v>
      </c>
      <c r="D5243">
        <v>103538</v>
      </c>
      <c r="E5243">
        <v>100</v>
      </c>
      <c r="F5243" s="3" t="s">
        <v>2677</v>
      </c>
      <c r="G5243" s="4">
        <v>22042.2</v>
      </c>
      <c r="I5243" s="4">
        <v>-42118926.799999997</v>
      </c>
    </row>
    <row r="5244" spans="1:9" x14ac:dyDescent="0.3">
      <c r="A5244" t="s">
        <v>1</v>
      </c>
      <c r="B5244" s="1">
        <v>45895</v>
      </c>
      <c r="C5244" s="1">
        <v>45897</v>
      </c>
      <c r="D5244">
        <v>103541</v>
      </c>
      <c r="E5244">
        <v>100</v>
      </c>
      <c r="F5244" s="3" t="s">
        <v>4542</v>
      </c>
      <c r="G5244" s="4">
        <v>20292.05</v>
      </c>
      <c r="I5244" s="4">
        <v>-42098634.75</v>
      </c>
    </row>
    <row r="5245" spans="1:9" x14ac:dyDescent="0.3">
      <c r="A5245" t="s">
        <v>1</v>
      </c>
      <c r="B5245" s="1">
        <v>45896</v>
      </c>
      <c r="C5245" s="1">
        <v>45897</v>
      </c>
      <c r="D5245">
        <v>103542</v>
      </c>
      <c r="E5245">
        <v>100</v>
      </c>
      <c r="F5245" s="3" t="s">
        <v>4543</v>
      </c>
      <c r="G5245" s="4">
        <v>1487</v>
      </c>
      <c r="I5245" s="4">
        <v>-42097147.75</v>
      </c>
    </row>
    <row r="5246" spans="1:9" x14ac:dyDescent="0.3">
      <c r="A5246" t="s">
        <v>1</v>
      </c>
      <c r="B5246" s="1">
        <v>45897</v>
      </c>
      <c r="C5246" s="1">
        <v>45897</v>
      </c>
      <c r="D5246">
        <v>103546</v>
      </c>
      <c r="E5246">
        <v>100</v>
      </c>
      <c r="F5246" s="3" t="s">
        <v>4544</v>
      </c>
      <c r="G5246" s="4">
        <v>260007.5</v>
      </c>
      <c r="I5246" s="4">
        <v>-41837140.25</v>
      </c>
    </row>
    <row r="5247" spans="1:9" x14ac:dyDescent="0.3">
      <c r="A5247" t="s">
        <v>1</v>
      </c>
      <c r="B5247" s="1">
        <v>45896</v>
      </c>
      <c r="C5247" s="1">
        <v>45897</v>
      </c>
      <c r="D5247">
        <v>103550</v>
      </c>
      <c r="E5247">
        <v>100</v>
      </c>
      <c r="F5247" s="3" t="s">
        <v>4545</v>
      </c>
      <c r="G5247" s="4">
        <v>9500</v>
      </c>
      <c r="I5247" s="4">
        <v>-41827640.25</v>
      </c>
    </row>
    <row r="5248" spans="1:9" x14ac:dyDescent="0.3">
      <c r="A5248" t="s">
        <v>1</v>
      </c>
      <c r="B5248" s="1">
        <v>45896</v>
      </c>
      <c r="C5248" s="1">
        <v>45897</v>
      </c>
      <c r="D5248">
        <v>103556</v>
      </c>
      <c r="E5248">
        <v>100</v>
      </c>
      <c r="F5248" s="3" t="s">
        <v>4546</v>
      </c>
      <c r="G5248" s="4">
        <v>62736.47</v>
      </c>
      <c r="I5248" s="4">
        <v>-41764903.780000001</v>
      </c>
    </row>
    <row r="5249" spans="1:9" x14ac:dyDescent="0.3">
      <c r="A5249" t="s">
        <v>1</v>
      </c>
      <c r="B5249" s="1">
        <v>45896</v>
      </c>
      <c r="C5249" s="1">
        <v>45897</v>
      </c>
      <c r="D5249">
        <v>103557</v>
      </c>
      <c r="E5249">
        <v>100</v>
      </c>
      <c r="F5249" s="3" t="s">
        <v>4547</v>
      </c>
      <c r="G5249" s="4">
        <v>136670.09</v>
      </c>
      <c r="I5249" s="4">
        <v>-41628233.689999998</v>
      </c>
    </row>
    <row r="5250" spans="1:9" x14ac:dyDescent="0.3">
      <c r="A5250" t="s">
        <v>1</v>
      </c>
      <c r="B5250" s="1">
        <v>45895</v>
      </c>
      <c r="C5250" s="1">
        <v>45897</v>
      </c>
      <c r="D5250">
        <v>103561</v>
      </c>
      <c r="E5250">
        <v>100</v>
      </c>
      <c r="F5250" s="3" t="s">
        <v>4548</v>
      </c>
      <c r="G5250" s="4">
        <v>1224.6400000000001</v>
      </c>
      <c r="I5250" s="4">
        <v>-41627009.049999997</v>
      </c>
    </row>
    <row r="5251" spans="1:9" x14ac:dyDescent="0.3">
      <c r="A5251" t="s">
        <v>1</v>
      </c>
      <c r="B5251" s="1">
        <v>45897</v>
      </c>
      <c r="C5251" s="1">
        <v>45897</v>
      </c>
      <c r="D5251">
        <v>103562</v>
      </c>
      <c r="E5251">
        <v>100</v>
      </c>
      <c r="F5251" s="3" t="s">
        <v>4549</v>
      </c>
      <c r="G5251" s="4">
        <v>17200</v>
      </c>
      <c r="I5251" s="4">
        <v>-41609809.049999997</v>
      </c>
    </row>
    <row r="5252" spans="1:9" x14ac:dyDescent="0.3">
      <c r="A5252" t="s">
        <v>1</v>
      </c>
      <c r="B5252" s="1">
        <v>45897</v>
      </c>
      <c r="C5252" s="1">
        <v>45897</v>
      </c>
      <c r="D5252">
        <v>103566</v>
      </c>
      <c r="E5252">
        <v>100</v>
      </c>
      <c r="F5252" s="3" t="s">
        <v>4550</v>
      </c>
      <c r="G5252" s="4">
        <v>4563.28</v>
      </c>
      <c r="I5252" s="4">
        <v>-41605245.770000003</v>
      </c>
    </row>
    <row r="5253" spans="1:9" x14ac:dyDescent="0.3">
      <c r="A5253" t="s">
        <v>75</v>
      </c>
      <c r="B5253" s="1">
        <v>45896</v>
      </c>
      <c r="C5253" s="1">
        <v>45897</v>
      </c>
      <c r="D5253">
        <v>144181</v>
      </c>
      <c r="E5253">
        <v>62</v>
      </c>
      <c r="F5253" s="3" t="s">
        <v>4551</v>
      </c>
      <c r="G5253" s="4">
        <v>200555</v>
      </c>
      <c r="H5253" s="4">
        <v>0</v>
      </c>
      <c r="I5253" s="4">
        <v>-41404690.770000003</v>
      </c>
    </row>
    <row r="5254" spans="1:9" x14ac:dyDescent="0.3">
      <c r="A5254" t="s">
        <v>75</v>
      </c>
      <c r="B5254" s="1">
        <v>45896</v>
      </c>
      <c r="C5254" s="1">
        <v>45897</v>
      </c>
      <c r="D5254">
        <v>144182</v>
      </c>
      <c r="E5254">
        <v>62</v>
      </c>
      <c r="F5254" s="3" t="s">
        <v>4552</v>
      </c>
      <c r="G5254" s="4">
        <v>32000</v>
      </c>
      <c r="H5254" s="4">
        <v>0</v>
      </c>
      <c r="I5254" s="4">
        <v>-41372690.770000003</v>
      </c>
    </row>
    <row r="5255" spans="1:9" x14ac:dyDescent="0.3">
      <c r="A5255" t="s">
        <v>75</v>
      </c>
      <c r="B5255" s="1">
        <v>45896</v>
      </c>
      <c r="C5255" s="1">
        <v>45897</v>
      </c>
      <c r="D5255">
        <v>144183</v>
      </c>
      <c r="E5255">
        <v>67</v>
      </c>
      <c r="F5255" s="3" t="s">
        <v>4553</v>
      </c>
      <c r="G5255" s="4">
        <v>9108.2800000000007</v>
      </c>
      <c r="H5255" s="4">
        <v>0</v>
      </c>
      <c r="I5255" s="4">
        <v>-41363582.490000002</v>
      </c>
    </row>
    <row r="5256" spans="1:9" x14ac:dyDescent="0.3">
      <c r="A5256" t="s">
        <v>75</v>
      </c>
      <c r="B5256" s="1">
        <v>45896</v>
      </c>
      <c r="C5256" s="1">
        <v>45897</v>
      </c>
      <c r="D5256">
        <v>144185</v>
      </c>
      <c r="E5256">
        <v>58</v>
      </c>
      <c r="F5256" s="3" t="s">
        <v>4554</v>
      </c>
      <c r="G5256" s="4">
        <v>367455</v>
      </c>
      <c r="H5256" s="4">
        <v>0</v>
      </c>
      <c r="I5256" s="4">
        <v>-40996127.490000002</v>
      </c>
    </row>
    <row r="5257" spans="1:9" x14ac:dyDescent="0.3">
      <c r="A5257" t="s">
        <v>75</v>
      </c>
      <c r="B5257" s="1">
        <v>45896</v>
      </c>
      <c r="C5257" s="1">
        <v>45897</v>
      </c>
      <c r="D5257">
        <v>144189</v>
      </c>
      <c r="E5257">
        <v>70</v>
      </c>
      <c r="F5257" s="3" t="s">
        <v>4555</v>
      </c>
      <c r="G5257" s="4">
        <v>20338.25</v>
      </c>
      <c r="H5257" s="4">
        <v>0</v>
      </c>
      <c r="I5257" s="4">
        <v>-40975789.240000002</v>
      </c>
    </row>
    <row r="5258" spans="1:9" x14ac:dyDescent="0.3">
      <c r="A5258" t="s">
        <v>75</v>
      </c>
      <c r="B5258" s="1">
        <v>45897</v>
      </c>
      <c r="C5258" s="1">
        <v>45897</v>
      </c>
      <c r="D5258">
        <v>144190</v>
      </c>
      <c r="E5258">
        <v>84</v>
      </c>
      <c r="F5258" s="3" t="s">
        <v>4556</v>
      </c>
      <c r="G5258" s="4">
        <v>21088</v>
      </c>
      <c r="H5258" s="4">
        <v>0</v>
      </c>
      <c r="I5258" s="4">
        <v>-40954701.240000002</v>
      </c>
    </row>
    <row r="5259" spans="1:9" x14ac:dyDescent="0.3">
      <c r="A5259" t="s">
        <v>75</v>
      </c>
      <c r="B5259" s="1">
        <v>45897</v>
      </c>
      <c r="C5259" s="1">
        <v>45897</v>
      </c>
      <c r="D5259">
        <v>144191</v>
      </c>
      <c r="E5259">
        <v>72</v>
      </c>
      <c r="F5259" s="3" t="s">
        <v>4557</v>
      </c>
      <c r="G5259" s="4">
        <v>20000</v>
      </c>
      <c r="H5259" s="4">
        <v>0</v>
      </c>
      <c r="I5259" s="4">
        <v>-40934701.240000002</v>
      </c>
    </row>
    <row r="5260" spans="1:9" x14ac:dyDescent="0.3">
      <c r="A5260" t="s">
        <v>75</v>
      </c>
      <c r="B5260" s="1">
        <v>45897</v>
      </c>
      <c r="C5260" s="1">
        <v>45897</v>
      </c>
      <c r="D5260">
        <v>144194</v>
      </c>
      <c r="E5260">
        <v>14</v>
      </c>
      <c r="F5260" s="3" t="s">
        <v>4558</v>
      </c>
      <c r="G5260" s="4">
        <v>27000</v>
      </c>
      <c r="H5260" s="4">
        <v>0</v>
      </c>
      <c r="I5260" s="4">
        <v>-40907701.240000002</v>
      </c>
    </row>
    <row r="5261" spans="1:9" x14ac:dyDescent="0.3">
      <c r="A5261" t="s">
        <v>75</v>
      </c>
      <c r="B5261" s="1">
        <v>45896</v>
      </c>
      <c r="C5261" s="1">
        <v>45897</v>
      </c>
      <c r="D5261">
        <v>144195</v>
      </c>
      <c r="E5261">
        <v>89</v>
      </c>
      <c r="F5261" s="3" t="s">
        <v>4559</v>
      </c>
      <c r="G5261" s="4">
        <v>2821</v>
      </c>
      <c r="H5261" s="4">
        <v>0</v>
      </c>
      <c r="I5261" s="4">
        <v>-40904880.240000002</v>
      </c>
    </row>
    <row r="5262" spans="1:9" x14ac:dyDescent="0.3">
      <c r="A5262" t="s">
        <v>75</v>
      </c>
      <c r="B5262" s="1">
        <v>45897</v>
      </c>
      <c r="C5262" s="1">
        <v>45897</v>
      </c>
      <c r="D5262">
        <v>144197</v>
      </c>
      <c r="E5262">
        <v>11</v>
      </c>
      <c r="F5262" s="3" t="s">
        <v>4560</v>
      </c>
      <c r="G5262" s="4">
        <v>40891</v>
      </c>
      <c r="H5262" s="4">
        <v>0</v>
      </c>
      <c r="I5262" s="4">
        <v>-40863989.240000002</v>
      </c>
    </row>
    <row r="5263" spans="1:9" x14ac:dyDescent="0.3">
      <c r="A5263" t="s">
        <v>75</v>
      </c>
      <c r="B5263" s="1">
        <v>45896</v>
      </c>
      <c r="C5263" s="1">
        <v>45897</v>
      </c>
      <c r="D5263">
        <v>144198</v>
      </c>
      <c r="E5263">
        <v>11</v>
      </c>
      <c r="F5263" s="3" t="s">
        <v>4561</v>
      </c>
      <c r="G5263" s="4">
        <v>9290</v>
      </c>
      <c r="H5263" s="4">
        <v>0</v>
      </c>
      <c r="I5263" s="4">
        <v>-40854699.240000002</v>
      </c>
    </row>
    <row r="5264" spans="1:9" x14ac:dyDescent="0.3">
      <c r="A5264" t="s">
        <v>75</v>
      </c>
      <c r="B5264" s="1">
        <v>45896</v>
      </c>
      <c r="C5264" s="1">
        <v>45897</v>
      </c>
      <c r="D5264">
        <v>144200</v>
      </c>
      <c r="E5264">
        <v>11</v>
      </c>
      <c r="F5264" s="3" t="s">
        <v>4562</v>
      </c>
      <c r="G5264" s="4">
        <v>65158.75</v>
      </c>
      <c r="H5264" s="4">
        <v>0</v>
      </c>
      <c r="I5264" s="4">
        <v>-40789540.490000002</v>
      </c>
    </row>
    <row r="5265" spans="1:9" x14ac:dyDescent="0.3">
      <c r="A5265" t="s">
        <v>75</v>
      </c>
      <c r="B5265" s="1">
        <v>45897</v>
      </c>
      <c r="C5265" s="1">
        <v>45897</v>
      </c>
      <c r="D5265">
        <v>144201</v>
      </c>
      <c r="E5265">
        <v>11</v>
      </c>
      <c r="F5265" s="3" t="s">
        <v>4563</v>
      </c>
      <c r="G5265" s="4">
        <v>22200</v>
      </c>
      <c r="H5265" s="4">
        <v>0</v>
      </c>
      <c r="I5265" s="4">
        <v>-40767340.490000002</v>
      </c>
    </row>
    <row r="5266" spans="1:9" x14ac:dyDescent="0.3">
      <c r="A5266" t="s">
        <v>75</v>
      </c>
      <c r="B5266" s="1">
        <v>45897</v>
      </c>
      <c r="C5266" s="1">
        <v>45897</v>
      </c>
      <c r="D5266">
        <v>144203</v>
      </c>
      <c r="E5266">
        <v>11</v>
      </c>
      <c r="F5266" s="3" t="s">
        <v>4564</v>
      </c>
      <c r="G5266" s="4">
        <v>52773.5</v>
      </c>
      <c r="H5266" s="4">
        <v>0</v>
      </c>
      <c r="I5266" s="4">
        <v>-40714566.990000002</v>
      </c>
    </row>
    <row r="5267" spans="1:9" x14ac:dyDescent="0.3">
      <c r="A5267" t="s">
        <v>75</v>
      </c>
      <c r="B5267" s="1">
        <v>45896</v>
      </c>
      <c r="C5267" s="1">
        <v>45897</v>
      </c>
      <c r="D5267">
        <v>144204</v>
      </c>
      <c r="E5267">
        <v>11</v>
      </c>
      <c r="F5267" s="3" t="s">
        <v>4565</v>
      </c>
      <c r="G5267" s="4">
        <v>138854.82999999999</v>
      </c>
      <c r="H5267" s="4">
        <v>0</v>
      </c>
      <c r="I5267" s="4">
        <v>-40575712.159999996</v>
      </c>
    </row>
    <row r="5268" spans="1:9" x14ac:dyDescent="0.3">
      <c r="A5268" t="s">
        <v>75</v>
      </c>
      <c r="B5268" s="1">
        <v>45896</v>
      </c>
      <c r="C5268" s="1">
        <v>45897</v>
      </c>
      <c r="D5268">
        <v>144204</v>
      </c>
      <c r="E5268">
        <v>11</v>
      </c>
      <c r="F5268" s="3" t="s">
        <v>4566</v>
      </c>
      <c r="G5268" s="4">
        <v>126</v>
      </c>
      <c r="H5268" s="4">
        <v>0</v>
      </c>
      <c r="I5268" s="4">
        <v>-40575586.159999996</v>
      </c>
    </row>
    <row r="5269" spans="1:9" x14ac:dyDescent="0.3">
      <c r="A5269" t="s">
        <v>75</v>
      </c>
      <c r="B5269" s="1">
        <v>45897</v>
      </c>
      <c r="C5269" s="1">
        <v>45897</v>
      </c>
      <c r="D5269">
        <v>144207</v>
      </c>
      <c r="E5269">
        <v>351</v>
      </c>
      <c r="F5269" s="3" t="s">
        <v>4567</v>
      </c>
      <c r="G5269" s="4">
        <v>155440</v>
      </c>
      <c r="H5269" s="4">
        <v>0</v>
      </c>
      <c r="I5269" s="4">
        <v>-40420146.159999996</v>
      </c>
    </row>
    <row r="5270" spans="1:9" x14ac:dyDescent="0.3">
      <c r="A5270" t="s">
        <v>75</v>
      </c>
      <c r="B5270" s="1">
        <v>45896</v>
      </c>
      <c r="C5270" s="1">
        <v>45897</v>
      </c>
      <c r="D5270">
        <v>144209</v>
      </c>
      <c r="E5270">
        <v>11</v>
      </c>
      <c r="F5270" s="3" t="s">
        <v>4568</v>
      </c>
      <c r="G5270" s="4">
        <v>41714.5</v>
      </c>
      <c r="H5270" s="4">
        <v>0</v>
      </c>
      <c r="I5270" s="4">
        <v>-40378431.659999996</v>
      </c>
    </row>
    <row r="5271" spans="1:9" x14ac:dyDescent="0.3">
      <c r="A5271" t="s">
        <v>75</v>
      </c>
      <c r="B5271" s="1">
        <v>45895</v>
      </c>
      <c r="C5271" s="1">
        <v>45897</v>
      </c>
      <c r="D5271">
        <v>144210</v>
      </c>
      <c r="E5271">
        <v>11</v>
      </c>
      <c r="F5271" s="3" t="s">
        <v>4569</v>
      </c>
      <c r="G5271" s="4">
        <v>11147</v>
      </c>
      <c r="H5271" s="4">
        <v>0</v>
      </c>
      <c r="I5271" s="4">
        <v>-40367284.659999996</v>
      </c>
    </row>
    <row r="5272" spans="1:9" x14ac:dyDescent="0.3">
      <c r="A5272" t="s">
        <v>75</v>
      </c>
      <c r="B5272" s="1">
        <v>45894</v>
      </c>
      <c r="C5272" s="1">
        <v>45897</v>
      </c>
      <c r="D5272">
        <v>144211</v>
      </c>
      <c r="E5272">
        <v>11</v>
      </c>
      <c r="F5272" s="3" t="s">
        <v>4570</v>
      </c>
      <c r="G5272" s="4">
        <v>265800</v>
      </c>
      <c r="H5272" s="4">
        <v>0</v>
      </c>
      <c r="I5272" s="4">
        <v>-40101484.659999996</v>
      </c>
    </row>
    <row r="5273" spans="1:9" x14ac:dyDescent="0.3">
      <c r="A5273" t="s">
        <v>75</v>
      </c>
      <c r="B5273" s="1">
        <v>45896</v>
      </c>
      <c r="C5273" s="1">
        <v>45897</v>
      </c>
      <c r="D5273">
        <v>144213</v>
      </c>
      <c r="E5273">
        <v>15</v>
      </c>
      <c r="F5273" s="3" t="s">
        <v>4571</v>
      </c>
      <c r="G5273" s="4">
        <v>10933.75</v>
      </c>
      <c r="H5273" s="4">
        <v>0</v>
      </c>
      <c r="I5273" s="4">
        <v>-40090550.909999996</v>
      </c>
    </row>
    <row r="5274" spans="1:9" x14ac:dyDescent="0.3">
      <c r="A5274" t="s">
        <v>75</v>
      </c>
      <c r="B5274" s="1">
        <v>45897</v>
      </c>
      <c r="C5274" s="1">
        <v>45897</v>
      </c>
      <c r="D5274">
        <v>144214</v>
      </c>
      <c r="E5274">
        <v>23</v>
      </c>
      <c r="F5274" s="3" t="s">
        <v>4572</v>
      </c>
      <c r="G5274" s="4">
        <v>400</v>
      </c>
      <c r="H5274" s="4">
        <v>0</v>
      </c>
      <c r="I5274" s="4">
        <v>-40090150.909999996</v>
      </c>
    </row>
    <row r="5275" spans="1:9" x14ac:dyDescent="0.3">
      <c r="A5275" t="s">
        <v>75</v>
      </c>
      <c r="B5275" s="1">
        <v>45896</v>
      </c>
      <c r="C5275" s="1">
        <v>45897</v>
      </c>
      <c r="D5275">
        <v>144215</v>
      </c>
      <c r="E5275">
        <v>72</v>
      </c>
      <c r="F5275" s="3" t="s">
        <v>4573</v>
      </c>
      <c r="G5275" s="4">
        <v>7000</v>
      </c>
      <c r="H5275" s="4">
        <v>0</v>
      </c>
      <c r="I5275" s="4">
        <v>-40083150.909999996</v>
      </c>
    </row>
    <row r="5276" spans="1:9" x14ac:dyDescent="0.3">
      <c r="A5276" t="s">
        <v>75</v>
      </c>
      <c r="B5276" s="1">
        <v>45896</v>
      </c>
      <c r="C5276" s="1">
        <v>45897</v>
      </c>
      <c r="D5276">
        <v>144216</v>
      </c>
      <c r="E5276">
        <v>72</v>
      </c>
      <c r="F5276" s="3" t="s">
        <v>4574</v>
      </c>
      <c r="G5276" s="4">
        <v>36537.5</v>
      </c>
      <c r="H5276" s="4">
        <v>0</v>
      </c>
      <c r="I5276" s="4">
        <v>-40046613.409999996</v>
      </c>
    </row>
    <row r="5277" spans="1:9" x14ac:dyDescent="0.3">
      <c r="A5277" t="s">
        <v>75</v>
      </c>
      <c r="B5277" s="1">
        <v>45896</v>
      </c>
      <c r="C5277" s="1">
        <v>45897</v>
      </c>
      <c r="D5277">
        <v>144217</v>
      </c>
      <c r="E5277">
        <v>72</v>
      </c>
      <c r="F5277" s="3" t="s">
        <v>4575</v>
      </c>
      <c r="G5277" s="4">
        <v>38253.5</v>
      </c>
      <c r="H5277" s="4">
        <v>0</v>
      </c>
      <c r="I5277" s="4">
        <v>-40008359.909999996</v>
      </c>
    </row>
    <row r="5278" spans="1:9" x14ac:dyDescent="0.3">
      <c r="A5278" t="s">
        <v>75</v>
      </c>
      <c r="B5278" s="1">
        <v>45894</v>
      </c>
      <c r="C5278" s="1">
        <v>45897</v>
      </c>
      <c r="D5278">
        <v>144223</v>
      </c>
      <c r="E5278">
        <v>63</v>
      </c>
      <c r="F5278" s="3" t="s">
        <v>4576</v>
      </c>
      <c r="G5278" s="4">
        <v>69131.75</v>
      </c>
      <c r="H5278" s="4">
        <v>0</v>
      </c>
      <c r="I5278" s="4">
        <v>-39939228.159999996</v>
      </c>
    </row>
    <row r="5279" spans="1:9" x14ac:dyDescent="0.3">
      <c r="A5279" t="s">
        <v>75</v>
      </c>
      <c r="B5279" s="1">
        <v>45897</v>
      </c>
      <c r="C5279" s="1">
        <v>45897</v>
      </c>
      <c r="D5279">
        <v>144224</v>
      </c>
      <c r="E5279">
        <v>14</v>
      </c>
      <c r="F5279" s="3" t="s">
        <v>4577</v>
      </c>
      <c r="G5279" s="4">
        <v>40579.5</v>
      </c>
      <c r="H5279" s="4">
        <v>0</v>
      </c>
      <c r="I5279" s="4">
        <v>-39898648.659999996</v>
      </c>
    </row>
    <row r="5280" spans="1:9" x14ac:dyDescent="0.3">
      <c r="A5280" t="s">
        <v>75</v>
      </c>
      <c r="B5280" s="1">
        <v>45897</v>
      </c>
      <c r="C5280" s="1">
        <v>45897</v>
      </c>
      <c r="D5280">
        <v>144225</v>
      </c>
      <c r="E5280">
        <v>61</v>
      </c>
      <c r="F5280" s="3" t="s">
        <v>4578</v>
      </c>
      <c r="G5280" s="4">
        <v>14000</v>
      </c>
      <c r="H5280" s="4">
        <v>0</v>
      </c>
      <c r="I5280" s="4">
        <v>-39884648.659999996</v>
      </c>
    </row>
    <row r="5281" spans="1:9" x14ac:dyDescent="0.3">
      <c r="A5281" t="s">
        <v>75</v>
      </c>
      <c r="B5281" s="1">
        <v>45897</v>
      </c>
      <c r="C5281" s="1">
        <v>45897</v>
      </c>
      <c r="D5281">
        <v>144226</v>
      </c>
      <c r="E5281">
        <v>14</v>
      </c>
      <c r="F5281" s="3" t="s">
        <v>4579</v>
      </c>
      <c r="G5281" s="4">
        <v>40500</v>
      </c>
      <c r="H5281" s="4">
        <v>0</v>
      </c>
      <c r="I5281" s="4">
        <v>-39844148.659999996</v>
      </c>
    </row>
    <row r="5282" spans="1:9" x14ac:dyDescent="0.3">
      <c r="A5282" t="s">
        <v>75</v>
      </c>
      <c r="B5282" s="1">
        <v>45897</v>
      </c>
      <c r="C5282" s="1">
        <v>45897</v>
      </c>
      <c r="D5282">
        <v>144227</v>
      </c>
      <c r="E5282">
        <v>14</v>
      </c>
      <c r="F5282" s="3" t="s">
        <v>4580</v>
      </c>
      <c r="G5282" s="4">
        <v>40500</v>
      </c>
      <c r="H5282" s="4">
        <v>0</v>
      </c>
      <c r="I5282" s="4">
        <v>-39803648.659999996</v>
      </c>
    </row>
    <row r="5283" spans="1:9" x14ac:dyDescent="0.3">
      <c r="A5283" t="s">
        <v>75</v>
      </c>
      <c r="B5283" s="1">
        <v>45897</v>
      </c>
      <c r="C5283" s="1">
        <v>45897</v>
      </c>
      <c r="D5283">
        <v>144228</v>
      </c>
      <c r="E5283">
        <v>79</v>
      </c>
      <c r="F5283" s="3" t="s">
        <v>4581</v>
      </c>
      <c r="G5283" s="4">
        <v>1952</v>
      </c>
      <c r="H5283" s="4">
        <v>0</v>
      </c>
      <c r="I5283" s="4">
        <v>-39801696.659999996</v>
      </c>
    </row>
    <row r="5284" spans="1:9" x14ac:dyDescent="0.3">
      <c r="A5284" t="s">
        <v>75</v>
      </c>
      <c r="B5284" s="1">
        <v>45897</v>
      </c>
      <c r="C5284" s="1">
        <v>45897</v>
      </c>
      <c r="D5284">
        <v>144229</v>
      </c>
      <c r="E5284">
        <v>14</v>
      </c>
      <c r="F5284" s="3" t="s">
        <v>4582</v>
      </c>
      <c r="G5284" s="4">
        <v>33700</v>
      </c>
      <c r="H5284" s="4">
        <v>0</v>
      </c>
      <c r="I5284" s="4">
        <v>-39767996.659999996</v>
      </c>
    </row>
    <row r="5285" spans="1:9" x14ac:dyDescent="0.3">
      <c r="A5285" t="s">
        <v>75</v>
      </c>
      <c r="B5285" s="1">
        <v>45897</v>
      </c>
      <c r="C5285" s="1">
        <v>45897</v>
      </c>
      <c r="D5285">
        <v>144230</v>
      </c>
      <c r="E5285">
        <v>16</v>
      </c>
      <c r="F5285" s="3" t="s">
        <v>4583</v>
      </c>
      <c r="G5285" s="4">
        <v>71221</v>
      </c>
      <c r="H5285" s="4">
        <v>0</v>
      </c>
      <c r="I5285" s="4">
        <v>-39696775.659999996</v>
      </c>
    </row>
    <row r="5286" spans="1:9" x14ac:dyDescent="0.3">
      <c r="A5286" t="s">
        <v>75</v>
      </c>
      <c r="B5286" s="1">
        <v>45897</v>
      </c>
      <c r="C5286" s="1">
        <v>45897</v>
      </c>
      <c r="D5286">
        <v>144231</v>
      </c>
      <c r="E5286">
        <v>89</v>
      </c>
      <c r="F5286" s="3" t="s">
        <v>4584</v>
      </c>
      <c r="G5286" s="4">
        <v>16214.5</v>
      </c>
      <c r="H5286" s="4">
        <v>0</v>
      </c>
      <c r="I5286" s="4">
        <v>-39680561.159999996</v>
      </c>
    </row>
    <row r="5287" spans="1:9" x14ac:dyDescent="0.3">
      <c r="A5287" t="s">
        <v>75</v>
      </c>
      <c r="B5287" s="1">
        <v>45895</v>
      </c>
      <c r="C5287" s="1">
        <v>45897</v>
      </c>
      <c r="D5287">
        <v>144233</v>
      </c>
      <c r="E5287">
        <v>41</v>
      </c>
      <c r="F5287" s="3" t="s">
        <v>4585</v>
      </c>
      <c r="G5287" s="4">
        <v>49972</v>
      </c>
      <c r="H5287" s="4">
        <v>0</v>
      </c>
      <c r="I5287" s="4">
        <v>-39630589.159999996</v>
      </c>
    </row>
    <row r="5288" spans="1:9" x14ac:dyDescent="0.3">
      <c r="A5288" t="s">
        <v>75</v>
      </c>
      <c r="B5288" s="1">
        <v>45891</v>
      </c>
      <c r="C5288" s="1">
        <v>45897</v>
      </c>
      <c r="D5288">
        <v>144235</v>
      </c>
      <c r="E5288">
        <v>58</v>
      </c>
      <c r="F5288" s="3" t="s">
        <v>4586</v>
      </c>
      <c r="G5288" s="4">
        <v>136253.5</v>
      </c>
      <c r="H5288" s="4">
        <v>0</v>
      </c>
      <c r="I5288" s="4">
        <v>-39494335.659999996</v>
      </c>
    </row>
    <row r="5289" spans="1:9" x14ac:dyDescent="0.3">
      <c r="A5289" t="s">
        <v>75</v>
      </c>
      <c r="B5289" s="1">
        <v>45896</v>
      </c>
      <c r="C5289" s="1">
        <v>45897</v>
      </c>
      <c r="D5289">
        <v>144236</v>
      </c>
      <c r="E5289">
        <v>11</v>
      </c>
      <c r="F5289" s="3" t="s">
        <v>4587</v>
      </c>
      <c r="G5289" s="4">
        <v>13439.35</v>
      </c>
      <c r="H5289" s="4">
        <v>0</v>
      </c>
      <c r="I5289" s="4">
        <v>-39480896.310000002</v>
      </c>
    </row>
    <row r="5290" spans="1:9" x14ac:dyDescent="0.3">
      <c r="A5290" t="s">
        <v>75</v>
      </c>
      <c r="B5290" s="1">
        <v>45896</v>
      </c>
      <c r="C5290" s="1">
        <v>45897</v>
      </c>
      <c r="D5290">
        <v>144237</v>
      </c>
      <c r="E5290">
        <v>78</v>
      </c>
      <c r="F5290" s="3" t="s">
        <v>4588</v>
      </c>
      <c r="G5290" s="4">
        <v>30000</v>
      </c>
      <c r="H5290" s="4">
        <v>0</v>
      </c>
      <c r="I5290" s="4">
        <v>-39450896.310000002</v>
      </c>
    </row>
    <row r="5291" spans="1:9" x14ac:dyDescent="0.3">
      <c r="A5291" t="s">
        <v>75</v>
      </c>
      <c r="B5291" s="1">
        <v>45897</v>
      </c>
      <c r="C5291" s="1">
        <v>45897</v>
      </c>
      <c r="D5291">
        <v>144238</v>
      </c>
      <c r="E5291">
        <v>23</v>
      </c>
      <c r="F5291" s="3" t="s">
        <v>4589</v>
      </c>
      <c r="G5291" s="4">
        <v>3865.75</v>
      </c>
      <c r="H5291" s="4">
        <v>0</v>
      </c>
      <c r="I5291" s="4">
        <v>-39447030.560000002</v>
      </c>
    </row>
    <row r="5292" spans="1:9" x14ac:dyDescent="0.3">
      <c r="A5292" t="s">
        <v>75</v>
      </c>
      <c r="B5292" s="1">
        <v>45897</v>
      </c>
      <c r="C5292" s="1">
        <v>45897</v>
      </c>
      <c r="D5292">
        <v>144239</v>
      </c>
      <c r="E5292">
        <v>14</v>
      </c>
      <c r="F5292" s="3" t="s">
        <v>4590</v>
      </c>
      <c r="G5292" s="4">
        <v>30000</v>
      </c>
      <c r="H5292" s="4">
        <v>0</v>
      </c>
      <c r="I5292" s="4">
        <v>-39417030.560000002</v>
      </c>
    </row>
    <row r="5293" spans="1:9" x14ac:dyDescent="0.3">
      <c r="A5293" t="s">
        <v>75</v>
      </c>
      <c r="B5293" s="1">
        <v>45896</v>
      </c>
      <c r="C5293" s="1">
        <v>45897</v>
      </c>
      <c r="D5293">
        <v>144240</v>
      </c>
      <c r="E5293">
        <v>23</v>
      </c>
      <c r="F5293" s="3" t="s">
        <v>4591</v>
      </c>
      <c r="G5293" s="4">
        <v>35000</v>
      </c>
      <c r="H5293" s="4">
        <v>0</v>
      </c>
      <c r="I5293" s="4">
        <v>-39382030.560000002</v>
      </c>
    </row>
    <row r="5294" spans="1:9" x14ac:dyDescent="0.3">
      <c r="A5294" t="s">
        <v>75</v>
      </c>
      <c r="B5294" s="1">
        <v>45897</v>
      </c>
      <c r="C5294" s="1">
        <v>45897</v>
      </c>
      <c r="D5294">
        <v>144241</v>
      </c>
      <c r="E5294">
        <v>14</v>
      </c>
      <c r="F5294" s="3" t="s">
        <v>4592</v>
      </c>
      <c r="G5294" s="4">
        <v>14000</v>
      </c>
      <c r="H5294" s="4">
        <v>0</v>
      </c>
      <c r="I5294" s="4">
        <v>-39368030.560000002</v>
      </c>
    </row>
    <row r="5295" spans="1:9" x14ac:dyDescent="0.3">
      <c r="A5295" t="s">
        <v>75</v>
      </c>
      <c r="B5295" s="1">
        <v>45897</v>
      </c>
      <c r="C5295" s="1">
        <v>45897</v>
      </c>
      <c r="D5295">
        <v>144242</v>
      </c>
      <c r="E5295">
        <v>23</v>
      </c>
      <c r="F5295" s="3" t="s">
        <v>4593</v>
      </c>
      <c r="G5295" s="4">
        <v>21758</v>
      </c>
      <c r="H5295" s="4">
        <v>0</v>
      </c>
      <c r="I5295" s="4">
        <v>-39346272.560000002</v>
      </c>
    </row>
    <row r="5296" spans="1:9" x14ac:dyDescent="0.3">
      <c r="A5296" t="s">
        <v>75</v>
      </c>
      <c r="B5296" s="1">
        <v>45897</v>
      </c>
      <c r="C5296" s="1">
        <v>45897</v>
      </c>
      <c r="D5296">
        <v>144244</v>
      </c>
      <c r="E5296">
        <v>223</v>
      </c>
      <c r="F5296" s="3" t="s">
        <v>4594</v>
      </c>
      <c r="G5296" s="4">
        <v>18946</v>
      </c>
      <c r="H5296" s="4">
        <v>0</v>
      </c>
      <c r="I5296" s="4">
        <v>-39327326.560000002</v>
      </c>
    </row>
    <row r="5297" spans="1:9" x14ac:dyDescent="0.3">
      <c r="A5297" t="s">
        <v>75</v>
      </c>
      <c r="B5297" s="1">
        <v>45897</v>
      </c>
      <c r="C5297" s="1">
        <v>45897</v>
      </c>
      <c r="D5297">
        <v>144245</v>
      </c>
      <c r="E5297">
        <v>33</v>
      </c>
      <c r="F5297" s="3" t="s">
        <v>4595</v>
      </c>
      <c r="G5297" s="4">
        <v>625</v>
      </c>
      <c r="H5297" s="4">
        <v>0</v>
      </c>
      <c r="I5297" s="4">
        <v>-39326701.560000002</v>
      </c>
    </row>
    <row r="5298" spans="1:9" x14ac:dyDescent="0.3">
      <c r="A5298" t="s">
        <v>75</v>
      </c>
      <c r="B5298" s="1">
        <v>45897</v>
      </c>
      <c r="C5298" s="1">
        <v>45897</v>
      </c>
      <c r="D5298">
        <v>144246</v>
      </c>
      <c r="E5298">
        <v>223</v>
      </c>
      <c r="F5298" s="3" t="s">
        <v>4596</v>
      </c>
      <c r="G5298" s="4">
        <v>110499</v>
      </c>
      <c r="H5298" s="4">
        <v>0</v>
      </c>
      <c r="I5298" s="4">
        <v>-39216202.560000002</v>
      </c>
    </row>
    <row r="5299" spans="1:9" x14ac:dyDescent="0.3">
      <c r="A5299" t="s">
        <v>71</v>
      </c>
      <c r="B5299" s="1">
        <v>45877</v>
      </c>
      <c r="C5299" s="1">
        <v>45897</v>
      </c>
      <c r="D5299">
        <v>14974</v>
      </c>
      <c r="E5299">
        <v>100</v>
      </c>
      <c r="F5299" s="3" t="s">
        <v>4597</v>
      </c>
      <c r="G5299" s="4">
        <v>0</v>
      </c>
      <c r="H5299" s="4">
        <v>1962512.98</v>
      </c>
      <c r="I5299" s="4">
        <v>-41178715.539999999</v>
      </c>
    </row>
    <row r="5300" spans="1:9" x14ac:dyDescent="0.3">
      <c r="A5300" t="s">
        <v>71</v>
      </c>
      <c r="B5300" s="1">
        <v>45897</v>
      </c>
      <c r="C5300" s="1">
        <v>45897</v>
      </c>
      <c r="D5300">
        <v>14983</v>
      </c>
      <c r="E5300">
        <v>100</v>
      </c>
      <c r="F5300" s="3" t="s">
        <v>4598</v>
      </c>
      <c r="G5300" s="4">
        <v>0</v>
      </c>
      <c r="H5300" s="4">
        <v>2140.23</v>
      </c>
      <c r="I5300" s="4">
        <v>-41180855.770000003</v>
      </c>
    </row>
    <row r="5301" spans="1:9" x14ac:dyDescent="0.3">
      <c r="A5301" t="s">
        <v>71</v>
      </c>
      <c r="B5301" s="1">
        <v>45894</v>
      </c>
      <c r="C5301" s="1">
        <v>45897</v>
      </c>
      <c r="D5301">
        <v>14993</v>
      </c>
      <c r="E5301">
        <v>100</v>
      </c>
      <c r="F5301" s="3" t="s">
        <v>4599</v>
      </c>
      <c r="G5301" s="4">
        <v>11026500</v>
      </c>
      <c r="H5301" s="4">
        <v>0</v>
      </c>
      <c r="I5301" s="4">
        <v>-30154355.77</v>
      </c>
    </row>
    <row r="5302" spans="1:9" x14ac:dyDescent="0.3">
      <c r="A5302" t="s">
        <v>71</v>
      </c>
      <c r="B5302" s="1">
        <v>45895</v>
      </c>
      <c r="C5302" s="1">
        <v>45897</v>
      </c>
      <c r="D5302">
        <v>14993</v>
      </c>
      <c r="E5302">
        <v>100</v>
      </c>
      <c r="F5302" s="3" t="s">
        <v>4600</v>
      </c>
      <c r="G5302" s="4">
        <v>0</v>
      </c>
      <c r="H5302" s="4">
        <v>2677842.13</v>
      </c>
      <c r="I5302" s="4">
        <v>-32832197.899999999</v>
      </c>
    </row>
    <row r="5303" spans="1:9" x14ac:dyDescent="0.3">
      <c r="A5303" t="s">
        <v>71</v>
      </c>
      <c r="B5303" s="1">
        <v>45894</v>
      </c>
      <c r="C5303" s="1">
        <v>45897</v>
      </c>
      <c r="D5303">
        <v>14993</v>
      </c>
      <c r="E5303">
        <v>100</v>
      </c>
      <c r="F5303" s="3" t="s">
        <v>4601</v>
      </c>
      <c r="G5303" s="4">
        <v>0</v>
      </c>
      <c r="H5303" s="4">
        <v>5790749.75</v>
      </c>
      <c r="I5303" s="4">
        <v>-38622947.649999999</v>
      </c>
    </row>
    <row r="5304" spans="1:9" x14ac:dyDescent="0.3">
      <c r="A5304" t="s">
        <v>71</v>
      </c>
      <c r="B5304" s="1">
        <v>45896</v>
      </c>
      <c r="C5304" s="1">
        <v>45897</v>
      </c>
      <c r="D5304">
        <v>14993</v>
      </c>
      <c r="E5304">
        <v>100</v>
      </c>
      <c r="F5304" s="3" t="s">
        <v>4602</v>
      </c>
      <c r="G5304" s="4">
        <v>0</v>
      </c>
      <c r="H5304" s="4">
        <v>1125434.25</v>
      </c>
      <c r="I5304" s="4">
        <v>-39748381.899999999</v>
      </c>
    </row>
    <row r="5305" spans="1:9" x14ac:dyDescent="0.3">
      <c r="A5305" t="s">
        <v>71</v>
      </c>
      <c r="B5305" s="1">
        <v>45896</v>
      </c>
      <c r="C5305" s="1">
        <v>45897</v>
      </c>
      <c r="D5305">
        <v>14993</v>
      </c>
      <c r="E5305">
        <v>100</v>
      </c>
      <c r="F5305" s="3" t="s">
        <v>4603</v>
      </c>
      <c r="G5305" s="4">
        <v>0</v>
      </c>
      <c r="H5305" s="4">
        <v>3932957.42</v>
      </c>
      <c r="I5305" s="4">
        <v>-43681339.32</v>
      </c>
    </row>
    <row r="5306" spans="1:9" x14ac:dyDescent="0.3">
      <c r="A5306" t="s">
        <v>71</v>
      </c>
      <c r="B5306" s="1">
        <v>45897</v>
      </c>
      <c r="C5306" s="1">
        <v>45897</v>
      </c>
      <c r="D5306">
        <v>14997</v>
      </c>
      <c r="E5306">
        <v>100</v>
      </c>
      <c r="F5306" s="3" t="s">
        <v>74</v>
      </c>
      <c r="G5306" s="4">
        <v>0</v>
      </c>
      <c r="H5306" s="4">
        <v>11570895</v>
      </c>
      <c r="I5306" s="4">
        <v>-55252234.32</v>
      </c>
    </row>
    <row r="5307" spans="1:9" x14ac:dyDescent="0.3">
      <c r="A5307" t="s">
        <v>2579</v>
      </c>
      <c r="B5307" s="1">
        <v>45870</v>
      </c>
      <c r="C5307" s="1">
        <v>45897</v>
      </c>
      <c r="D5307">
        <v>1885</v>
      </c>
      <c r="E5307">
        <v>100</v>
      </c>
      <c r="F5307" s="3" t="s">
        <v>4604</v>
      </c>
      <c r="G5307" s="4">
        <v>228825.25</v>
      </c>
      <c r="H5307" s="4">
        <v>0</v>
      </c>
      <c r="I5307" s="4">
        <v>-55023409.07</v>
      </c>
    </row>
    <row r="5308" spans="1:9" x14ac:dyDescent="0.3">
      <c r="A5308" t="s">
        <v>2579</v>
      </c>
      <c r="B5308" s="1">
        <v>45874</v>
      </c>
      <c r="C5308" s="1">
        <v>45897</v>
      </c>
      <c r="D5308">
        <v>1886</v>
      </c>
      <c r="E5308">
        <v>100</v>
      </c>
      <c r="F5308" s="3" t="s">
        <v>4605</v>
      </c>
      <c r="G5308" s="4">
        <v>149783.76</v>
      </c>
      <c r="H5308" s="4">
        <v>0</v>
      </c>
      <c r="I5308" s="4">
        <v>-54873625.310000002</v>
      </c>
    </row>
    <row r="5309" spans="1:9" x14ac:dyDescent="0.3">
      <c r="A5309" t="s">
        <v>124</v>
      </c>
      <c r="B5309" s="1">
        <v>45897</v>
      </c>
      <c r="C5309" s="1">
        <v>45897</v>
      </c>
      <c r="D5309">
        <v>22310</v>
      </c>
      <c r="E5309">
        <v>11</v>
      </c>
      <c r="F5309" s="3" t="s">
        <v>125</v>
      </c>
      <c r="G5309" s="4">
        <v>0</v>
      </c>
      <c r="H5309" s="4">
        <v>48576780.789999999</v>
      </c>
      <c r="I5309" s="4">
        <v>-103450406.09999999</v>
      </c>
    </row>
    <row r="5310" spans="1:9" x14ac:dyDescent="0.3">
      <c r="A5310" t="s">
        <v>124</v>
      </c>
      <c r="B5310" s="1">
        <v>45897</v>
      </c>
      <c r="C5310" s="1">
        <v>45897</v>
      </c>
      <c r="D5310">
        <v>22314</v>
      </c>
      <c r="E5310">
        <v>11</v>
      </c>
      <c r="F5310" s="3" t="s">
        <v>128</v>
      </c>
      <c r="G5310" s="4">
        <v>9000000</v>
      </c>
      <c r="H5310" s="4">
        <v>0</v>
      </c>
      <c r="I5310" s="4">
        <v>-94450406.099999994</v>
      </c>
    </row>
    <row r="5311" spans="1:9" x14ac:dyDescent="0.3">
      <c r="A5311" t="s">
        <v>124</v>
      </c>
      <c r="B5311" s="1">
        <v>45897</v>
      </c>
      <c r="C5311" s="1">
        <v>45897</v>
      </c>
      <c r="D5311">
        <v>22315</v>
      </c>
      <c r="E5311">
        <v>11</v>
      </c>
      <c r="F5311" s="3" t="s">
        <v>3248</v>
      </c>
      <c r="G5311" s="4">
        <v>3400000</v>
      </c>
      <c r="H5311" s="4">
        <v>0</v>
      </c>
      <c r="I5311" s="4">
        <v>-91050406.099999994</v>
      </c>
    </row>
    <row r="5312" spans="1:9" x14ac:dyDescent="0.3">
      <c r="A5312" t="s">
        <v>124</v>
      </c>
      <c r="B5312" s="1">
        <v>45897</v>
      </c>
      <c r="C5312" s="1">
        <v>45897</v>
      </c>
      <c r="D5312">
        <v>22317</v>
      </c>
      <c r="E5312">
        <v>11</v>
      </c>
      <c r="F5312" s="3" t="s">
        <v>127</v>
      </c>
      <c r="G5312" s="4">
        <v>14400000</v>
      </c>
      <c r="H5312" s="4">
        <v>0</v>
      </c>
      <c r="I5312" s="4">
        <v>-76650406.099999994</v>
      </c>
    </row>
    <row r="5313" spans="1:9" x14ac:dyDescent="0.3">
      <c r="A5313" t="s">
        <v>130</v>
      </c>
      <c r="B5313" s="1">
        <v>45897</v>
      </c>
      <c r="C5313" s="1">
        <v>45897</v>
      </c>
      <c r="D5313">
        <v>3851459</v>
      </c>
      <c r="E5313">
        <v>39</v>
      </c>
      <c r="F5313" s="3" t="s">
        <v>855</v>
      </c>
      <c r="G5313" s="4">
        <v>0</v>
      </c>
      <c r="H5313" s="4">
        <v>6000000</v>
      </c>
      <c r="I5313" s="4">
        <v>-82650406.099999994</v>
      </c>
    </row>
    <row r="5314" spans="1:9" x14ac:dyDescent="0.3">
      <c r="A5314" t="s">
        <v>130</v>
      </c>
      <c r="B5314" s="1">
        <v>45897</v>
      </c>
      <c r="C5314" s="1">
        <v>45897</v>
      </c>
      <c r="D5314">
        <v>3851630</v>
      </c>
      <c r="E5314">
        <v>64</v>
      </c>
      <c r="F5314" s="3" t="s">
        <v>4606</v>
      </c>
      <c r="G5314" s="4">
        <v>0</v>
      </c>
      <c r="H5314" s="4">
        <v>1000</v>
      </c>
      <c r="I5314" s="4">
        <v>-82651406.099999994</v>
      </c>
    </row>
    <row r="5315" spans="1:9" x14ac:dyDescent="0.3">
      <c r="A5315" t="s">
        <v>130</v>
      </c>
      <c r="B5315" s="1">
        <v>45897</v>
      </c>
      <c r="C5315" s="1">
        <v>45897</v>
      </c>
      <c r="D5315">
        <v>3851728</v>
      </c>
      <c r="E5315">
        <v>11</v>
      </c>
      <c r="F5315" s="3" t="s">
        <v>4607</v>
      </c>
      <c r="G5315" s="4">
        <v>0</v>
      </c>
      <c r="H5315" s="4">
        <v>4152</v>
      </c>
      <c r="I5315" s="4">
        <v>-82655558.099999994</v>
      </c>
    </row>
    <row r="5316" spans="1:9" x14ac:dyDescent="0.3">
      <c r="A5316" t="s">
        <v>130</v>
      </c>
      <c r="B5316" s="1">
        <v>45897</v>
      </c>
      <c r="C5316" s="1">
        <v>45897</v>
      </c>
      <c r="D5316">
        <v>3851910</v>
      </c>
      <c r="E5316">
        <v>39</v>
      </c>
      <c r="F5316" s="3" t="s">
        <v>4608</v>
      </c>
      <c r="G5316" s="4">
        <v>0</v>
      </c>
      <c r="H5316" s="4">
        <v>13000000</v>
      </c>
      <c r="I5316" s="4">
        <v>-95655558.099999994</v>
      </c>
    </row>
    <row r="5317" spans="1:9" x14ac:dyDescent="0.3">
      <c r="A5317" t="s">
        <v>133</v>
      </c>
      <c r="B5317" s="1">
        <v>45897</v>
      </c>
      <c r="C5317" s="1">
        <v>45897</v>
      </c>
      <c r="D5317">
        <v>925594</v>
      </c>
      <c r="E5317">
        <v>252</v>
      </c>
      <c r="F5317" s="3" t="s">
        <v>4609</v>
      </c>
      <c r="G5317" s="4">
        <v>3200</v>
      </c>
      <c r="H5317" s="4">
        <v>0</v>
      </c>
      <c r="I5317" s="4">
        <v>-95652358.099999994</v>
      </c>
    </row>
    <row r="5318" spans="1:9" x14ac:dyDescent="0.3">
      <c r="A5318" t="s">
        <v>133</v>
      </c>
      <c r="B5318" s="1">
        <v>45897</v>
      </c>
      <c r="C5318" s="1">
        <v>45897</v>
      </c>
      <c r="D5318">
        <v>925602</v>
      </c>
      <c r="E5318">
        <v>75</v>
      </c>
      <c r="F5318" s="3" t="s">
        <v>4610</v>
      </c>
      <c r="G5318" s="4">
        <v>305316.75</v>
      </c>
      <c r="H5318" s="4">
        <v>0</v>
      </c>
      <c r="I5318" s="4">
        <v>-95347041.349999994</v>
      </c>
    </row>
    <row r="5319" spans="1:9" x14ac:dyDescent="0.3">
      <c r="A5319" t="s">
        <v>133</v>
      </c>
      <c r="B5319" s="1">
        <v>45897</v>
      </c>
      <c r="C5319" s="1">
        <v>45897</v>
      </c>
      <c r="D5319">
        <v>925605</v>
      </c>
      <c r="E5319">
        <v>97</v>
      </c>
      <c r="F5319" s="3" t="s">
        <v>4611</v>
      </c>
      <c r="G5319" s="4">
        <v>2709.25</v>
      </c>
      <c r="H5319" s="4">
        <v>0</v>
      </c>
      <c r="I5319" s="4">
        <v>-95344332.099999994</v>
      </c>
    </row>
    <row r="5320" spans="1:9" x14ac:dyDescent="0.3">
      <c r="A5320" t="s">
        <v>133</v>
      </c>
      <c r="B5320" s="1">
        <v>45897</v>
      </c>
      <c r="C5320" s="1">
        <v>45897</v>
      </c>
      <c r="D5320">
        <v>925633</v>
      </c>
      <c r="E5320">
        <v>301</v>
      </c>
      <c r="F5320" s="3" t="s">
        <v>4612</v>
      </c>
      <c r="G5320" s="4">
        <v>220000</v>
      </c>
      <c r="H5320" s="4">
        <v>0</v>
      </c>
      <c r="I5320" s="4">
        <v>-95124332.099999994</v>
      </c>
    </row>
    <row r="5321" spans="1:9" x14ac:dyDescent="0.3">
      <c r="A5321" t="s">
        <v>133</v>
      </c>
      <c r="B5321" s="1">
        <v>45897</v>
      </c>
      <c r="C5321" s="1">
        <v>45897</v>
      </c>
      <c r="D5321">
        <v>925635</v>
      </c>
      <c r="E5321">
        <v>51</v>
      </c>
      <c r="F5321" s="3" t="s">
        <v>4613</v>
      </c>
      <c r="G5321" s="4">
        <v>320000</v>
      </c>
      <c r="H5321" s="4">
        <v>0</v>
      </c>
      <c r="I5321" s="4">
        <v>-94804332.099999994</v>
      </c>
    </row>
    <row r="5322" spans="1:9" x14ac:dyDescent="0.3">
      <c r="A5322" t="s">
        <v>133</v>
      </c>
      <c r="B5322" s="1">
        <v>45897</v>
      </c>
      <c r="C5322" s="1">
        <v>45897</v>
      </c>
      <c r="D5322">
        <v>925636</v>
      </c>
      <c r="E5322">
        <v>220</v>
      </c>
      <c r="F5322" s="3" t="s">
        <v>4614</v>
      </c>
      <c r="G5322" s="4">
        <v>151759.25</v>
      </c>
      <c r="H5322" s="4">
        <v>0</v>
      </c>
      <c r="I5322" s="4">
        <v>-94652572.849999994</v>
      </c>
    </row>
    <row r="5323" spans="1:9" x14ac:dyDescent="0.3">
      <c r="A5323" t="s">
        <v>133</v>
      </c>
      <c r="B5323" s="1">
        <v>45897</v>
      </c>
      <c r="C5323" s="1">
        <v>45897</v>
      </c>
      <c r="D5323">
        <v>925637</v>
      </c>
      <c r="E5323">
        <v>44</v>
      </c>
      <c r="F5323" s="3" t="s">
        <v>4615</v>
      </c>
      <c r="G5323" s="4">
        <v>49448.25</v>
      </c>
      <c r="H5323" s="4">
        <v>0</v>
      </c>
      <c r="I5323" s="4">
        <v>-94603124.599999994</v>
      </c>
    </row>
    <row r="5324" spans="1:9" x14ac:dyDescent="0.3">
      <c r="A5324" t="s">
        <v>133</v>
      </c>
      <c r="B5324" s="1">
        <v>45897</v>
      </c>
      <c r="C5324" s="1">
        <v>45897</v>
      </c>
      <c r="D5324">
        <v>925638</v>
      </c>
      <c r="E5324">
        <v>44</v>
      </c>
      <c r="F5324" s="3" t="s">
        <v>4616</v>
      </c>
      <c r="G5324" s="4">
        <v>147112</v>
      </c>
      <c r="H5324" s="4">
        <v>0</v>
      </c>
      <c r="I5324" s="4">
        <v>-94456012.599999994</v>
      </c>
    </row>
    <row r="5325" spans="1:9" x14ac:dyDescent="0.3">
      <c r="A5325" t="s">
        <v>133</v>
      </c>
      <c r="B5325" s="1">
        <v>45897</v>
      </c>
      <c r="C5325" s="1">
        <v>45897</v>
      </c>
      <c r="D5325">
        <v>925640</v>
      </c>
      <c r="E5325">
        <v>282</v>
      </c>
      <c r="F5325" s="3" t="s">
        <v>4617</v>
      </c>
      <c r="G5325" s="4">
        <v>1208.5</v>
      </c>
      <c r="H5325" s="4">
        <v>0</v>
      </c>
      <c r="I5325" s="4">
        <v>-94454804.099999994</v>
      </c>
    </row>
    <row r="5326" spans="1:9" x14ac:dyDescent="0.3">
      <c r="A5326" t="s">
        <v>133</v>
      </c>
      <c r="B5326" s="1">
        <v>45897</v>
      </c>
      <c r="C5326" s="1">
        <v>45897</v>
      </c>
      <c r="D5326">
        <v>925641</v>
      </c>
      <c r="E5326">
        <v>223</v>
      </c>
      <c r="F5326" s="3" t="s">
        <v>4618</v>
      </c>
      <c r="G5326" s="4">
        <v>2295870.25</v>
      </c>
      <c r="H5326" s="4">
        <v>0</v>
      </c>
      <c r="I5326" s="4">
        <v>-92158933.849999994</v>
      </c>
    </row>
    <row r="5327" spans="1:9" x14ac:dyDescent="0.3">
      <c r="A5327" t="s">
        <v>133</v>
      </c>
      <c r="B5327" s="1">
        <v>45897</v>
      </c>
      <c r="C5327" s="1">
        <v>45897</v>
      </c>
      <c r="D5327">
        <v>925642</v>
      </c>
      <c r="E5327">
        <v>282</v>
      </c>
      <c r="F5327" s="3" t="s">
        <v>4619</v>
      </c>
      <c r="G5327" s="4">
        <v>3700</v>
      </c>
      <c r="H5327" s="4">
        <v>0</v>
      </c>
      <c r="I5327" s="4">
        <v>-92155233.849999994</v>
      </c>
    </row>
    <row r="5328" spans="1:9" x14ac:dyDescent="0.3">
      <c r="A5328" t="s">
        <v>133</v>
      </c>
      <c r="B5328" s="1">
        <v>45897</v>
      </c>
      <c r="C5328" s="1">
        <v>45897</v>
      </c>
      <c r="D5328">
        <v>925651</v>
      </c>
      <c r="E5328">
        <v>310</v>
      </c>
      <c r="F5328" s="3" t="s">
        <v>4620</v>
      </c>
      <c r="G5328" s="4">
        <v>22446</v>
      </c>
      <c r="H5328" s="4">
        <v>0</v>
      </c>
      <c r="I5328" s="4">
        <v>-92132787.849999994</v>
      </c>
    </row>
    <row r="5329" spans="1:9" x14ac:dyDescent="0.3">
      <c r="A5329" t="s">
        <v>133</v>
      </c>
      <c r="B5329" s="1">
        <v>45897</v>
      </c>
      <c r="C5329" s="1">
        <v>45897</v>
      </c>
      <c r="D5329">
        <v>925656</v>
      </c>
      <c r="E5329">
        <v>27</v>
      </c>
      <c r="F5329" s="3" t="s">
        <v>4621</v>
      </c>
      <c r="G5329" s="4">
        <v>91910.5</v>
      </c>
      <c r="H5329" s="4">
        <v>0</v>
      </c>
      <c r="I5329" s="4">
        <v>-92040877.349999994</v>
      </c>
    </row>
    <row r="5330" spans="1:9" x14ac:dyDescent="0.3">
      <c r="A5330" t="s">
        <v>133</v>
      </c>
      <c r="B5330" s="1">
        <v>45897</v>
      </c>
      <c r="C5330" s="1">
        <v>45897</v>
      </c>
      <c r="D5330">
        <v>925657</v>
      </c>
      <c r="E5330">
        <v>27</v>
      </c>
      <c r="F5330" s="3" t="s">
        <v>4622</v>
      </c>
      <c r="G5330" s="4">
        <v>125322.5</v>
      </c>
      <c r="H5330" s="4">
        <v>0</v>
      </c>
      <c r="I5330" s="4">
        <v>-91915554.849999994</v>
      </c>
    </row>
    <row r="5331" spans="1:9" x14ac:dyDescent="0.3">
      <c r="A5331" t="s">
        <v>133</v>
      </c>
      <c r="B5331" s="1">
        <v>45897</v>
      </c>
      <c r="C5331" s="1">
        <v>45897</v>
      </c>
      <c r="D5331">
        <v>925658</v>
      </c>
      <c r="E5331">
        <v>12</v>
      </c>
      <c r="F5331" s="3" t="s">
        <v>4623</v>
      </c>
      <c r="G5331" s="4">
        <v>3000</v>
      </c>
      <c r="H5331" s="4">
        <v>0</v>
      </c>
      <c r="I5331" s="4">
        <v>-91912554.849999994</v>
      </c>
    </row>
    <row r="5332" spans="1:9" x14ac:dyDescent="0.3">
      <c r="A5332" t="s">
        <v>133</v>
      </c>
      <c r="B5332" s="1">
        <v>45897</v>
      </c>
      <c r="C5332" s="1">
        <v>45897</v>
      </c>
      <c r="D5332">
        <v>925659</v>
      </c>
      <c r="E5332">
        <v>56</v>
      </c>
      <c r="F5332" s="3" t="s">
        <v>4624</v>
      </c>
      <c r="G5332" s="4">
        <v>19090.25</v>
      </c>
      <c r="H5332" s="4">
        <v>0</v>
      </c>
      <c r="I5332" s="4">
        <v>-91893464.599999994</v>
      </c>
    </row>
    <row r="5333" spans="1:9" x14ac:dyDescent="0.3">
      <c r="A5333" t="s">
        <v>133</v>
      </c>
      <c r="B5333" s="1">
        <v>45897</v>
      </c>
      <c r="C5333" s="1">
        <v>45897</v>
      </c>
      <c r="D5333">
        <v>925660</v>
      </c>
      <c r="E5333">
        <v>12</v>
      </c>
      <c r="F5333" s="3" t="s">
        <v>4625</v>
      </c>
      <c r="G5333" s="4">
        <v>26</v>
      </c>
      <c r="H5333" s="4">
        <v>0</v>
      </c>
      <c r="I5333" s="4">
        <v>-91893438.599999994</v>
      </c>
    </row>
    <row r="5334" spans="1:9" x14ac:dyDescent="0.3">
      <c r="A5334" t="s">
        <v>133</v>
      </c>
      <c r="B5334" s="1">
        <v>45897</v>
      </c>
      <c r="C5334" s="1">
        <v>45897</v>
      </c>
      <c r="D5334">
        <v>925662</v>
      </c>
      <c r="E5334">
        <v>56</v>
      </c>
      <c r="F5334" s="3" t="s">
        <v>4626</v>
      </c>
      <c r="G5334" s="4">
        <v>50000</v>
      </c>
      <c r="H5334" s="4">
        <v>0</v>
      </c>
      <c r="I5334" s="4">
        <v>-91843438.599999994</v>
      </c>
    </row>
    <row r="5335" spans="1:9" x14ac:dyDescent="0.3">
      <c r="A5335" t="s">
        <v>133</v>
      </c>
      <c r="B5335" s="1">
        <v>45897</v>
      </c>
      <c r="C5335" s="1">
        <v>45897</v>
      </c>
      <c r="D5335">
        <v>925663</v>
      </c>
      <c r="E5335">
        <v>12</v>
      </c>
      <c r="F5335" s="3" t="s">
        <v>4627</v>
      </c>
      <c r="G5335" s="4">
        <v>169386.75</v>
      </c>
      <c r="H5335" s="4">
        <v>0</v>
      </c>
      <c r="I5335" s="4">
        <v>-91674051.849999994</v>
      </c>
    </row>
    <row r="5336" spans="1:9" x14ac:dyDescent="0.3">
      <c r="A5336" t="s">
        <v>133</v>
      </c>
      <c r="B5336" s="1">
        <v>45897</v>
      </c>
      <c r="C5336" s="1">
        <v>45897</v>
      </c>
      <c r="D5336">
        <v>925664</v>
      </c>
      <c r="E5336">
        <v>252</v>
      </c>
      <c r="F5336" s="3" t="s">
        <v>4628</v>
      </c>
      <c r="G5336" s="4">
        <v>40000</v>
      </c>
      <c r="H5336" s="4">
        <v>0</v>
      </c>
      <c r="I5336" s="4">
        <v>-91634051.849999994</v>
      </c>
    </row>
    <row r="5337" spans="1:9" x14ac:dyDescent="0.3">
      <c r="A5337" t="s">
        <v>133</v>
      </c>
      <c r="B5337" s="1">
        <v>45897</v>
      </c>
      <c r="C5337" s="1">
        <v>45897</v>
      </c>
      <c r="D5337">
        <v>925665</v>
      </c>
      <c r="E5337">
        <v>27</v>
      </c>
      <c r="F5337" s="3" t="s">
        <v>4629</v>
      </c>
      <c r="G5337" s="4">
        <v>124822.5</v>
      </c>
      <c r="H5337" s="4">
        <v>0</v>
      </c>
      <c r="I5337" s="4">
        <v>-91509229.349999994</v>
      </c>
    </row>
    <row r="5338" spans="1:9" x14ac:dyDescent="0.3">
      <c r="A5338" t="s">
        <v>133</v>
      </c>
      <c r="B5338" s="1">
        <v>45897</v>
      </c>
      <c r="C5338" s="1">
        <v>45897</v>
      </c>
      <c r="D5338">
        <v>925671</v>
      </c>
      <c r="E5338">
        <v>11</v>
      </c>
      <c r="F5338" s="3" t="s">
        <v>4630</v>
      </c>
      <c r="G5338" s="4">
        <v>16799.5</v>
      </c>
      <c r="H5338" s="4">
        <v>0</v>
      </c>
      <c r="I5338" s="4">
        <v>-91492429.849999994</v>
      </c>
    </row>
    <row r="5339" spans="1:9" x14ac:dyDescent="0.3">
      <c r="A5339" t="s">
        <v>133</v>
      </c>
      <c r="B5339" s="1">
        <v>45897</v>
      </c>
      <c r="C5339" s="1">
        <v>45897</v>
      </c>
      <c r="D5339">
        <v>925674</v>
      </c>
      <c r="E5339">
        <v>89</v>
      </c>
      <c r="F5339" s="3" t="s">
        <v>4631</v>
      </c>
      <c r="G5339" s="4">
        <v>47822</v>
      </c>
      <c r="H5339" s="4">
        <v>0</v>
      </c>
      <c r="I5339" s="4">
        <v>-91444607.849999994</v>
      </c>
    </row>
    <row r="5340" spans="1:9" x14ac:dyDescent="0.3">
      <c r="A5340" t="s">
        <v>133</v>
      </c>
      <c r="B5340" s="1">
        <v>45897</v>
      </c>
      <c r="C5340" s="1">
        <v>45897</v>
      </c>
      <c r="D5340">
        <v>925679</v>
      </c>
      <c r="E5340">
        <v>94</v>
      </c>
      <c r="F5340" s="3" t="s">
        <v>4632</v>
      </c>
      <c r="G5340" s="4">
        <v>99000</v>
      </c>
      <c r="H5340" s="4">
        <v>0</v>
      </c>
      <c r="I5340" s="4">
        <v>-91345607.849999994</v>
      </c>
    </row>
    <row r="5341" spans="1:9" x14ac:dyDescent="0.3">
      <c r="A5341" t="s">
        <v>133</v>
      </c>
      <c r="B5341" s="1">
        <v>45897</v>
      </c>
      <c r="C5341" s="1">
        <v>45897</v>
      </c>
      <c r="D5341">
        <v>925680</v>
      </c>
      <c r="E5341">
        <v>94</v>
      </c>
      <c r="F5341" s="3" t="s">
        <v>4633</v>
      </c>
      <c r="G5341" s="4">
        <v>11376.25</v>
      </c>
      <c r="H5341" s="4">
        <v>0</v>
      </c>
      <c r="I5341" s="4">
        <v>-91334231.599999994</v>
      </c>
    </row>
    <row r="5342" spans="1:9" x14ac:dyDescent="0.3">
      <c r="A5342" t="s">
        <v>133</v>
      </c>
      <c r="B5342" s="1">
        <v>45897</v>
      </c>
      <c r="C5342" s="1">
        <v>45897</v>
      </c>
      <c r="D5342">
        <v>925683</v>
      </c>
      <c r="E5342">
        <v>86</v>
      </c>
      <c r="F5342" s="3" t="s">
        <v>4634</v>
      </c>
      <c r="G5342" s="4">
        <v>23500</v>
      </c>
      <c r="H5342" s="4">
        <v>0</v>
      </c>
      <c r="I5342" s="4">
        <v>-91310731.599999994</v>
      </c>
    </row>
    <row r="5343" spans="1:9" x14ac:dyDescent="0.3">
      <c r="A5343" t="s">
        <v>133</v>
      </c>
      <c r="B5343" s="1">
        <v>45897</v>
      </c>
      <c r="C5343" s="1">
        <v>45897</v>
      </c>
      <c r="D5343">
        <v>925690</v>
      </c>
      <c r="E5343">
        <v>63</v>
      </c>
      <c r="F5343" s="3" t="s">
        <v>4635</v>
      </c>
      <c r="G5343" s="4">
        <v>16967</v>
      </c>
      <c r="H5343" s="4">
        <v>0</v>
      </c>
      <c r="I5343" s="4">
        <v>-91293764.599999994</v>
      </c>
    </row>
    <row r="5344" spans="1:9" x14ac:dyDescent="0.3">
      <c r="A5344" t="s">
        <v>133</v>
      </c>
      <c r="B5344" s="1">
        <v>45897</v>
      </c>
      <c r="C5344" s="1">
        <v>45897</v>
      </c>
      <c r="D5344">
        <v>925702</v>
      </c>
      <c r="E5344">
        <v>45</v>
      </c>
      <c r="F5344" s="3" t="s">
        <v>4636</v>
      </c>
      <c r="G5344" s="4">
        <v>6116.25</v>
      </c>
      <c r="H5344" s="4">
        <v>0</v>
      </c>
      <c r="I5344" s="4">
        <v>-91287648.349999994</v>
      </c>
    </row>
    <row r="5345" spans="1:9" x14ac:dyDescent="0.3">
      <c r="A5345" t="s">
        <v>133</v>
      </c>
      <c r="B5345" s="1">
        <v>45897</v>
      </c>
      <c r="C5345" s="1">
        <v>45897</v>
      </c>
      <c r="D5345">
        <v>925704</v>
      </c>
      <c r="E5345">
        <v>220</v>
      </c>
      <c r="F5345" s="3" t="s">
        <v>4637</v>
      </c>
      <c r="G5345" s="4">
        <v>36800.5</v>
      </c>
      <c r="H5345" s="4">
        <v>0</v>
      </c>
      <c r="I5345" s="4">
        <v>-91250847.849999994</v>
      </c>
    </row>
    <row r="5346" spans="1:9" x14ac:dyDescent="0.3">
      <c r="A5346" t="s">
        <v>133</v>
      </c>
      <c r="B5346" s="1">
        <v>45897</v>
      </c>
      <c r="C5346" s="1">
        <v>45897</v>
      </c>
      <c r="D5346">
        <v>925706</v>
      </c>
      <c r="E5346">
        <v>78</v>
      </c>
      <c r="F5346" s="3" t="s">
        <v>4638</v>
      </c>
      <c r="G5346" s="4">
        <v>2133</v>
      </c>
      <c r="H5346" s="4">
        <v>0</v>
      </c>
      <c r="I5346" s="4">
        <v>-91248714.849999994</v>
      </c>
    </row>
    <row r="5347" spans="1:9" x14ac:dyDescent="0.3">
      <c r="A5347" t="s">
        <v>133</v>
      </c>
      <c r="B5347" s="1">
        <v>45897</v>
      </c>
      <c r="C5347" s="1">
        <v>45897</v>
      </c>
      <c r="D5347">
        <v>925707</v>
      </c>
      <c r="E5347">
        <v>45</v>
      </c>
      <c r="F5347" s="3" t="s">
        <v>4639</v>
      </c>
      <c r="G5347" s="4">
        <v>260000</v>
      </c>
      <c r="H5347" s="4">
        <v>0</v>
      </c>
      <c r="I5347" s="4">
        <v>-90988714.849999994</v>
      </c>
    </row>
    <row r="5348" spans="1:9" x14ac:dyDescent="0.3">
      <c r="A5348" t="s">
        <v>133</v>
      </c>
      <c r="B5348" s="1">
        <v>45897</v>
      </c>
      <c r="C5348" s="1">
        <v>45897</v>
      </c>
      <c r="D5348">
        <v>925710</v>
      </c>
      <c r="E5348">
        <v>58</v>
      </c>
      <c r="F5348" s="3" t="s">
        <v>4640</v>
      </c>
      <c r="G5348" s="4">
        <v>40000</v>
      </c>
      <c r="H5348" s="4">
        <v>0</v>
      </c>
      <c r="I5348" s="4">
        <v>-90948714.849999994</v>
      </c>
    </row>
    <row r="5349" spans="1:9" x14ac:dyDescent="0.3">
      <c r="A5349" t="s">
        <v>133</v>
      </c>
      <c r="B5349" s="1">
        <v>45897</v>
      </c>
      <c r="C5349" s="1">
        <v>45897</v>
      </c>
      <c r="D5349">
        <v>925713</v>
      </c>
      <c r="E5349">
        <v>64</v>
      </c>
      <c r="F5349" s="3" t="s">
        <v>4641</v>
      </c>
      <c r="G5349" s="4">
        <v>1000</v>
      </c>
      <c r="H5349" s="4">
        <v>0</v>
      </c>
      <c r="I5349" s="4">
        <v>-90947714.849999994</v>
      </c>
    </row>
    <row r="5350" spans="1:9" x14ac:dyDescent="0.3">
      <c r="A5350" t="s">
        <v>133</v>
      </c>
      <c r="B5350" s="1">
        <v>45897</v>
      </c>
      <c r="C5350" s="1">
        <v>45897</v>
      </c>
      <c r="D5350">
        <v>925714</v>
      </c>
      <c r="E5350">
        <v>11</v>
      </c>
      <c r="F5350" s="3">
        <v>1106</v>
      </c>
      <c r="G5350" s="4">
        <v>4152</v>
      </c>
      <c r="H5350" s="4">
        <v>0</v>
      </c>
      <c r="I5350" s="4">
        <v>-90943562.849999994</v>
      </c>
    </row>
    <row r="5351" spans="1:9" x14ac:dyDescent="0.3">
      <c r="A5351" t="s">
        <v>133</v>
      </c>
      <c r="B5351" s="1">
        <v>45897</v>
      </c>
      <c r="C5351" s="1">
        <v>45897</v>
      </c>
      <c r="D5351">
        <v>925715</v>
      </c>
      <c r="E5351">
        <v>282</v>
      </c>
      <c r="F5351" s="3" t="s">
        <v>4642</v>
      </c>
      <c r="G5351" s="4">
        <v>642.25</v>
      </c>
      <c r="H5351" s="4">
        <v>0</v>
      </c>
      <c r="I5351" s="4">
        <v>-90942920.599999994</v>
      </c>
    </row>
    <row r="5352" spans="1:9" x14ac:dyDescent="0.3">
      <c r="A5352" t="s">
        <v>133</v>
      </c>
      <c r="B5352" s="1">
        <v>45897</v>
      </c>
      <c r="C5352" s="1">
        <v>45897</v>
      </c>
      <c r="D5352">
        <v>925716</v>
      </c>
      <c r="E5352">
        <v>91</v>
      </c>
      <c r="F5352" s="3">
        <v>6706</v>
      </c>
      <c r="G5352" s="4">
        <v>26514</v>
      </c>
      <c r="H5352" s="4">
        <v>0</v>
      </c>
      <c r="I5352" s="4">
        <v>-90916406.599999994</v>
      </c>
    </row>
    <row r="5353" spans="1:9" x14ac:dyDescent="0.3">
      <c r="A5353" t="s">
        <v>133</v>
      </c>
      <c r="B5353" s="1">
        <v>45897</v>
      </c>
      <c r="C5353" s="1">
        <v>45897</v>
      </c>
      <c r="D5353">
        <v>925718</v>
      </c>
      <c r="E5353">
        <v>72</v>
      </c>
      <c r="F5353" s="3" t="s">
        <v>4643</v>
      </c>
      <c r="G5353" s="4">
        <v>22675</v>
      </c>
      <c r="H5353" s="4">
        <v>0</v>
      </c>
      <c r="I5353" s="4">
        <v>-90893731.599999994</v>
      </c>
    </row>
    <row r="5354" spans="1:9" x14ac:dyDescent="0.3">
      <c r="A5354" t="s">
        <v>133</v>
      </c>
      <c r="B5354" s="1">
        <v>45897</v>
      </c>
      <c r="C5354" s="1">
        <v>45897</v>
      </c>
      <c r="D5354">
        <v>925720</v>
      </c>
      <c r="E5354">
        <v>26</v>
      </c>
      <c r="F5354" s="3" t="s">
        <v>4644</v>
      </c>
      <c r="G5354" s="4">
        <v>350000</v>
      </c>
      <c r="H5354" s="4">
        <v>0</v>
      </c>
      <c r="I5354" s="4">
        <v>-90543731.599999994</v>
      </c>
    </row>
    <row r="5355" spans="1:9" x14ac:dyDescent="0.3">
      <c r="A5355" t="s">
        <v>133</v>
      </c>
      <c r="B5355" s="1">
        <v>45897</v>
      </c>
      <c r="C5355" s="1">
        <v>45897</v>
      </c>
      <c r="D5355">
        <v>925721</v>
      </c>
      <c r="E5355">
        <v>13</v>
      </c>
      <c r="F5355" s="3" t="s">
        <v>4645</v>
      </c>
      <c r="G5355" s="4">
        <v>1283</v>
      </c>
      <c r="H5355" s="4">
        <v>0</v>
      </c>
      <c r="I5355" s="4">
        <v>-90542448.599999994</v>
      </c>
    </row>
    <row r="5356" spans="1:9" x14ac:dyDescent="0.3">
      <c r="A5356" t="s">
        <v>133</v>
      </c>
      <c r="B5356" s="1">
        <v>45897</v>
      </c>
      <c r="C5356" s="1">
        <v>45897</v>
      </c>
      <c r="D5356">
        <v>925722</v>
      </c>
      <c r="E5356">
        <v>72</v>
      </c>
      <c r="F5356" s="3" t="s">
        <v>4646</v>
      </c>
      <c r="G5356" s="4">
        <v>25000</v>
      </c>
      <c r="H5356" s="4">
        <v>0</v>
      </c>
      <c r="I5356" s="4">
        <v>-90517448.599999994</v>
      </c>
    </row>
    <row r="5357" spans="1:9" x14ac:dyDescent="0.3">
      <c r="A5357" t="s">
        <v>133</v>
      </c>
      <c r="B5357" s="1">
        <v>45897</v>
      </c>
      <c r="C5357" s="1">
        <v>45897</v>
      </c>
      <c r="D5357">
        <v>925723</v>
      </c>
      <c r="E5357">
        <v>92</v>
      </c>
      <c r="F5357" s="3" t="s">
        <v>4647</v>
      </c>
      <c r="G5357" s="4">
        <v>216520.5</v>
      </c>
      <c r="H5357" s="4">
        <v>0</v>
      </c>
      <c r="I5357" s="4">
        <v>-90300928.099999994</v>
      </c>
    </row>
    <row r="5358" spans="1:9" x14ac:dyDescent="0.3">
      <c r="A5358" t="s">
        <v>133</v>
      </c>
      <c r="B5358" s="1">
        <v>45897</v>
      </c>
      <c r="C5358" s="1">
        <v>45897</v>
      </c>
      <c r="D5358">
        <v>925725</v>
      </c>
      <c r="E5358">
        <v>72</v>
      </c>
      <c r="F5358" s="3" t="s">
        <v>4648</v>
      </c>
      <c r="G5358" s="4">
        <v>1224.25</v>
      </c>
      <c r="H5358" s="4">
        <v>0</v>
      </c>
      <c r="I5358" s="4">
        <v>-90299703.849999994</v>
      </c>
    </row>
    <row r="5359" spans="1:9" x14ac:dyDescent="0.3">
      <c r="A5359" t="s">
        <v>133</v>
      </c>
      <c r="B5359" s="1">
        <v>45897</v>
      </c>
      <c r="C5359" s="1">
        <v>45897</v>
      </c>
      <c r="D5359">
        <v>925726</v>
      </c>
      <c r="E5359">
        <v>91</v>
      </c>
      <c r="F5359" s="3">
        <v>1704</v>
      </c>
      <c r="G5359" s="4">
        <v>93408</v>
      </c>
      <c r="H5359" s="4">
        <v>0</v>
      </c>
      <c r="I5359" s="4">
        <v>-90206295.849999994</v>
      </c>
    </row>
    <row r="5360" spans="1:9" x14ac:dyDescent="0.3">
      <c r="A5360" t="s">
        <v>133</v>
      </c>
      <c r="B5360" s="1">
        <v>45897</v>
      </c>
      <c r="C5360" s="1">
        <v>45897</v>
      </c>
      <c r="D5360">
        <v>925729</v>
      </c>
      <c r="E5360">
        <v>73</v>
      </c>
      <c r="F5360" s="3" t="s">
        <v>4649</v>
      </c>
      <c r="G5360" s="4">
        <v>350000</v>
      </c>
      <c r="H5360" s="4">
        <v>0</v>
      </c>
      <c r="I5360" s="4">
        <v>-89856295.849999994</v>
      </c>
    </row>
    <row r="5361" spans="1:9" x14ac:dyDescent="0.3">
      <c r="A5361" t="s">
        <v>133</v>
      </c>
      <c r="B5361" s="1">
        <v>45897</v>
      </c>
      <c r="C5361" s="1">
        <v>45897</v>
      </c>
      <c r="D5361">
        <v>925730</v>
      </c>
      <c r="E5361">
        <v>91</v>
      </c>
      <c r="F5361" s="3">
        <v>749429</v>
      </c>
      <c r="G5361" s="4">
        <v>22590.5</v>
      </c>
      <c r="H5361" s="4">
        <v>0</v>
      </c>
      <c r="I5361" s="4">
        <v>-89833705.349999994</v>
      </c>
    </row>
    <row r="5362" spans="1:9" x14ac:dyDescent="0.3">
      <c r="A5362" t="s">
        <v>133</v>
      </c>
      <c r="B5362" s="1">
        <v>45897</v>
      </c>
      <c r="C5362" s="1">
        <v>45897</v>
      </c>
      <c r="D5362">
        <v>925733</v>
      </c>
      <c r="E5362">
        <v>56</v>
      </c>
      <c r="F5362" s="3" t="s">
        <v>4650</v>
      </c>
      <c r="G5362" s="4">
        <v>166554</v>
      </c>
      <c r="H5362" s="4">
        <v>0</v>
      </c>
      <c r="I5362" s="4">
        <v>-89667151.349999994</v>
      </c>
    </row>
    <row r="5363" spans="1:9" x14ac:dyDescent="0.3">
      <c r="A5363" t="s">
        <v>133</v>
      </c>
      <c r="B5363" s="1">
        <v>45897</v>
      </c>
      <c r="C5363" s="1">
        <v>45897</v>
      </c>
      <c r="D5363">
        <v>925735</v>
      </c>
      <c r="E5363">
        <v>72</v>
      </c>
      <c r="F5363" s="3" t="s">
        <v>4651</v>
      </c>
      <c r="G5363" s="4">
        <v>1700</v>
      </c>
      <c r="H5363" s="4">
        <v>0</v>
      </c>
      <c r="I5363" s="4">
        <v>-89665451.349999994</v>
      </c>
    </row>
    <row r="5364" spans="1:9" x14ac:dyDescent="0.3">
      <c r="A5364" t="s">
        <v>133</v>
      </c>
      <c r="B5364" s="1">
        <v>45897</v>
      </c>
      <c r="C5364" s="1">
        <v>45897</v>
      </c>
      <c r="D5364">
        <v>925737</v>
      </c>
      <c r="E5364">
        <v>91</v>
      </c>
      <c r="F5364" s="3" t="s">
        <v>4652</v>
      </c>
      <c r="G5364" s="4">
        <v>124000</v>
      </c>
      <c r="H5364" s="4">
        <v>0</v>
      </c>
      <c r="I5364" s="4">
        <v>-89541451.349999994</v>
      </c>
    </row>
    <row r="5365" spans="1:9" x14ac:dyDescent="0.3">
      <c r="A5365" t="s">
        <v>133</v>
      </c>
      <c r="B5365" s="1">
        <v>45897</v>
      </c>
      <c r="C5365" s="1">
        <v>45897</v>
      </c>
      <c r="D5365">
        <v>925738</v>
      </c>
      <c r="E5365">
        <v>72</v>
      </c>
      <c r="F5365" s="3" t="s">
        <v>4653</v>
      </c>
      <c r="G5365" s="4">
        <v>18400</v>
      </c>
      <c r="H5365" s="4">
        <v>0</v>
      </c>
      <c r="I5365" s="4">
        <v>-89523051.349999994</v>
      </c>
    </row>
    <row r="5366" spans="1:9" x14ac:dyDescent="0.3">
      <c r="A5366" t="s">
        <v>133</v>
      </c>
      <c r="B5366" s="1">
        <v>45897</v>
      </c>
      <c r="C5366" s="1">
        <v>45897</v>
      </c>
      <c r="D5366">
        <v>925739</v>
      </c>
      <c r="E5366">
        <v>91</v>
      </c>
      <c r="F5366" s="3">
        <v>50969610491</v>
      </c>
      <c r="G5366" s="4">
        <v>4247.5</v>
      </c>
      <c r="H5366" s="4">
        <v>0</v>
      </c>
      <c r="I5366" s="4">
        <v>-89518803.849999994</v>
      </c>
    </row>
    <row r="5367" spans="1:9" x14ac:dyDescent="0.3">
      <c r="A5367" t="s">
        <v>133</v>
      </c>
      <c r="B5367" s="1">
        <v>45897</v>
      </c>
      <c r="C5367" s="1">
        <v>45897</v>
      </c>
      <c r="D5367">
        <v>925740</v>
      </c>
      <c r="E5367">
        <v>97</v>
      </c>
      <c r="F5367" s="3" t="s">
        <v>4654</v>
      </c>
      <c r="G5367" s="4">
        <v>44105</v>
      </c>
      <c r="H5367" s="4">
        <v>0</v>
      </c>
      <c r="I5367" s="4">
        <v>-89474698.849999994</v>
      </c>
    </row>
    <row r="5368" spans="1:9" x14ac:dyDescent="0.3">
      <c r="A5368" t="s">
        <v>133</v>
      </c>
      <c r="B5368" s="1">
        <v>45897</v>
      </c>
      <c r="C5368" s="1">
        <v>45897</v>
      </c>
      <c r="D5368">
        <v>925741</v>
      </c>
      <c r="E5368">
        <v>282</v>
      </c>
      <c r="F5368" s="3" t="s">
        <v>4655</v>
      </c>
      <c r="G5368" s="4">
        <v>360000</v>
      </c>
      <c r="H5368" s="4">
        <v>0</v>
      </c>
      <c r="I5368" s="4">
        <v>-89114698.849999994</v>
      </c>
    </row>
    <row r="5369" spans="1:9" x14ac:dyDescent="0.3">
      <c r="A5369" t="s">
        <v>133</v>
      </c>
      <c r="B5369" s="1">
        <v>45897</v>
      </c>
      <c r="C5369" s="1">
        <v>45897</v>
      </c>
      <c r="D5369">
        <v>925748</v>
      </c>
      <c r="E5369">
        <v>28</v>
      </c>
      <c r="F5369" s="3" t="s">
        <v>4656</v>
      </c>
      <c r="G5369" s="4">
        <v>310000</v>
      </c>
      <c r="H5369" s="4">
        <v>0</v>
      </c>
      <c r="I5369" s="4">
        <v>-88804698.849999994</v>
      </c>
    </row>
    <row r="5370" spans="1:9" x14ac:dyDescent="0.3">
      <c r="A5370" t="s">
        <v>133</v>
      </c>
      <c r="B5370" s="1">
        <v>45897</v>
      </c>
      <c r="C5370" s="1">
        <v>45897</v>
      </c>
      <c r="D5370">
        <v>925749</v>
      </c>
      <c r="E5370">
        <v>11</v>
      </c>
      <c r="F5370" s="3" t="s">
        <v>4657</v>
      </c>
      <c r="G5370" s="4">
        <v>183950</v>
      </c>
      <c r="H5370" s="4">
        <v>0</v>
      </c>
      <c r="I5370" s="4">
        <v>-88620748.849999994</v>
      </c>
    </row>
    <row r="5371" spans="1:9" x14ac:dyDescent="0.3">
      <c r="A5371" t="s">
        <v>133</v>
      </c>
      <c r="B5371" s="1">
        <v>45897</v>
      </c>
      <c r="C5371" s="1">
        <v>45897</v>
      </c>
      <c r="D5371">
        <v>925751</v>
      </c>
      <c r="E5371">
        <v>11</v>
      </c>
      <c r="F5371" s="3" t="s">
        <v>4658</v>
      </c>
      <c r="G5371" s="4">
        <v>64605</v>
      </c>
      <c r="H5371" s="4">
        <v>0</v>
      </c>
      <c r="I5371" s="4">
        <v>-88556143.849999994</v>
      </c>
    </row>
    <row r="5372" spans="1:9" x14ac:dyDescent="0.3">
      <c r="A5372" t="s">
        <v>133</v>
      </c>
      <c r="B5372" s="1">
        <v>45897</v>
      </c>
      <c r="C5372" s="1">
        <v>45897</v>
      </c>
      <c r="D5372">
        <v>925753</v>
      </c>
      <c r="E5372">
        <v>84</v>
      </c>
      <c r="F5372" s="3" t="s">
        <v>4659</v>
      </c>
      <c r="G5372" s="4">
        <v>73540.5</v>
      </c>
      <c r="H5372" s="4">
        <v>0</v>
      </c>
      <c r="I5372" s="4">
        <v>-88482603.349999994</v>
      </c>
    </row>
    <row r="5373" spans="1:9" x14ac:dyDescent="0.3">
      <c r="A5373" t="s">
        <v>133</v>
      </c>
      <c r="B5373" s="1">
        <v>45897</v>
      </c>
      <c r="C5373" s="1">
        <v>45897</v>
      </c>
      <c r="D5373">
        <v>925754</v>
      </c>
      <c r="E5373">
        <v>84</v>
      </c>
      <c r="F5373" s="3" t="s">
        <v>4660</v>
      </c>
      <c r="G5373" s="4">
        <v>183735.5</v>
      </c>
      <c r="H5373" s="4">
        <v>0</v>
      </c>
      <c r="I5373" s="4">
        <v>-88298867.849999994</v>
      </c>
    </row>
    <row r="5374" spans="1:9" x14ac:dyDescent="0.3">
      <c r="A5374" t="s">
        <v>133</v>
      </c>
      <c r="B5374" s="1">
        <v>45897</v>
      </c>
      <c r="C5374" s="1">
        <v>45897</v>
      </c>
      <c r="D5374">
        <v>925756</v>
      </c>
      <c r="E5374">
        <v>84</v>
      </c>
      <c r="F5374" s="3" t="s">
        <v>4661</v>
      </c>
      <c r="G5374" s="4">
        <v>43012.5</v>
      </c>
      <c r="H5374" s="4">
        <v>0</v>
      </c>
      <c r="I5374" s="4">
        <v>-88255855.349999994</v>
      </c>
    </row>
    <row r="5375" spans="1:9" x14ac:dyDescent="0.3">
      <c r="A5375" t="s">
        <v>133</v>
      </c>
      <c r="B5375" s="1">
        <v>45897</v>
      </c>
      <c r="C5375" s="1">
        <v>45897</v>
      </c>
      <c r="D5375">
        <v>925757</v>
      </c>
      <c r="E5375">
        <v>14</v>
      </c>
      <c r="F5375" s="3" t="s">
        <v>4662</v>
      </c>
      <c r="G5375" s="4">
        <v>300000</v>
      </c>
      <c r="H5375" s="4">
        <v>0</v>
      </c>
      <c r="I5375" s="4">
        <v>-87955855.349999994</v>
      </c>
    </row>
    <row r="5376" spans="1:9" x14ac:dyDescent="0.3">
      <c r="A5376" t="s">
        <v>133</v>
      </c>
      <c r="B5376" s="1">
        <v>45897</v>
      </c>
      <c r="C5376" s="1">
        <v>45897</v>
      </c>
      <c r="D5376">
        <v>925760</v>
      </c>
      <c r="E5376">
        <v>66</v>
      </c>
      <c r="F5376" s="3" t="s">
        <v>4663</v>
      </c>
      <c r="G5376" s="4">
        <v>220000</v>
      </c>
      <c r="H5376" s="4">
        <v>0</v>
      </c>
      <c r="I5376" s="4">
        <v>-87735855.349999994</v>
      </c>
    </row>
    <row r="5377" spans="1:9" x14ac:dyDescent="0.3">
      <c r="A5377" t="s">
        <v>133</v>
      </c>
      <c r="B5377" s="1">
        <v>45897</v>
      </c>
      <c r="C5377" s="1">
        <v>45897</v>
      </c>
      <c r="D5377">
        <v>925761</v>
      </c>
      <c r="E5377">
        <v>17</v>
      </c>
      <c r="F5377" s="3" t="s">
        <v>181</v>
      </c>
      <c r="G5377" s="4">
        <v>320000</v>
      </c>
      <c r="H5377" s="4">
        <v>0</v>
      </c>
      <c r="I5377" s="4">
        <v>-87415855.349999994</v>
      </c>
    </row>
    <row r="5378" spans="1:9" x14ac:dyDescent="0.3">
      <c r="A5378" t="s">
        <v>133</v>
      </c>
      <c r="B5378" s="1">
        <v>45897</v>
      </c>
      <c r="C5378" s="1">
        <v>45897</v>
      </c>
      <c r="D5378">
        <v>925762</v>
      </c>
      <c r="E5378">
        <v>23</v>
      </c>
      <c r="F5378" s="3" t="s">
        <v>4664</v>
      </c>
      <c r="G5378" s="4">
        <v>32642</v>
      </c>
      <c r="H5378" s="4">
        <v>0</v>
      </c>
      <c r="I5378" s="4">
        <v>-87383213.349999994</v>
      </c>
    </row>
    <row r="5379" spans="1:9" x14ac:dyDescent="0.3">
      <c r="A5379" t="s">
        <v>133</v>
      </c>
      <c r="B5379" s="1">
        <v>45897</v>
      </c>
      <c r="C5379" s="1">
        <v>45897</v>
      </c>
      <c r="D5379">
        <v>925763</v>
      </c>
      <c r="E5379">
        <v>75</v>
      </c>
      <c r="F5379" s="3" t="s">
        <v>4665</v>
      </c>
      <c r="G5379" s="4">
        <v>310000</v>
      </c>
      <c r="H5379" s="4">
        <v>0</v>
      </c>
      <c r="I5379" s="4">
        <v>-87073213.349999994</v>
      </c>
    </row>
    <row r="5380" spans="1:9" x14ac:dyDescent="0.3">
      <c r="A5380" t="s">
        <v>133</v>
      </c>
      <c r="B5380" s="1">
        <v>45897</v>
      </c>
      <c r="C5380" s="1">
        <v>45897</v>
      </c>
      <c r="D5380">
        <v>925764</v>
      </c>
      <c r="E5380">
        <v>23</v>
      </c>
      <c r="F5380" s="3" t="s">
        <v>4666</v>
      </c>
      <c r="G5380" s="4">
        <v>9454</v>
      </c>
      <c r="H5380" s="4">
        <v>0</v>
      </c>
      <c r="I5380" s="4">
        <v>-87063759.349999994</v>
      </c>
    </row>
    <row r="5381" spans="1:9" x14ac:dyDescent="0.3">
      <c r="A5381" t="s">
        <v>133</v>
      </c>
      <c r="B5381" s="1">
        <v>45897</v>
      </c>
      <c r="C5381" s="1">
        <v>45897</v>
      </c>
      <c r="D5381">
        <v>925765</v>
      </c>
      <c r="E5381">
        <v>382</v>
      </c>
      <c r="F5381" s="3" t="s">
        <v>4667</v>
      </c>
      <c r="G5381" s="4">
        <v>6000</v>
      </c>
      <c r="H5381" s="4">
        <v>0</v>
      </c>
      <c r="I5381" s="4">
        <v>-87057759.349999994</v>
      </c>
    </row>
    <row r="5382" spans="1:9" x14ac:dyDescent="0.3">
      <c r="A5382" t="s">
        <v>133</v>
      </c>
      <c r="B5382" s="1">
        <v>45897</v>
      </c>
      <c r="C5382" s="1">
        <v>45897</v>
      </c>
      <c r="D5382">
        <v>925767</v>
      </c>
      <c r="E5382">
        <v>92</v>
      </c>
      <c r="F5382" s="3" t="s">
        <v>4668</v>
      </c>
      <c r="G5382" s="4">
        <v>400000</v>
      </c>
      <c r="H5382" s="4">
        <v>0</v>
      </c>
      <c r="I5382" s="4">
        <v>-86657759.349999994</v>
      </c>
    </row>
    <row r="5383" spans="1:9" x14ac:dyDescent="0.3">
      <c r="A5383" t="s">
        <v>133</v>
      </c>
      <c r="B5383" s="1">
        <v>45897</v>
      </c>
      <c r="C5383" s="1">
        <v>45897</v>
      </c>
      <c r="D5383">
        <v>925782</v>
      </c>
      <c r="E5383">
        <v>43</v>
      </c>
      <c r="F5383" s="3" t="s">
        <v>4669</v>
      </c>
      <c r="G5383" s="4">
        <v>515.75</v>
      </c>
      <c r="H5383" s="4">
        <v>0</v>
      </c>
      <c r="I5383" s="4">
        <v>-86657243.599999994</v>
      </c>
    </row>
    <row r="5384" spans="1:9" x14ac:dyDescent="0.3">
      <c r="A5384" t="s">
        <v>133</v>
      </c>
      <c r="B5384" s="1">
        <v>45897</v>
      </c>
      <c r="C5384" s="1">
        <v>45897</v>
      </c>
      <c r="D5384">
        <v>925783</v>
      </c>
      <c r="E5384">
        <v>55</v>
      </c>
      <c r="F5384" s="3" t="s">
        <v>176</v>
      </c>
      <c r="G5384" s="4">
        <v>330000</v>
      </c>
      <c r="H5384" s="4">
        <v>0</v>
      </c>
      <c r="I5384" s="4">
        <v>-86327243.599999994</v>
      </c>
    </row>
    <row r="5385" spans="1:9" x14ac:dyDescent="0.3">
      <c r="A5385" t="s">
        <v>133</v>
      </c>
      <c r="B5385" s="1">
        <v>45897</v>
      </c>
      <c r="C5385" s="1">
        <v>45897</v>
      </c>
      <c r="D5385">
        <v>925785</v>
      </c>
      <c r="E5385">
        <v>78</v>
      </c>
      <c r="F5385" s="3" t="s">
        <v>4670</v>
      </c>
      <c r="G5385" s="4">
        <v>16726.25</v>
      </c>
      <c r="H5385" s="4">
        <v>0</v>
      </c>
      <c r="I5385" s="4">
        <v>-86310517.349999994</v>
      </c>
    </row>
    <row r="5386" spans="1:9" x14ac:dyDescent="0.3">
      <c r="A5386" t="s">
        <v>133</v>
      </c>
      <c r="B5386" s="1">
        <v>45897</v>
      </c>
      <c r="C5386" s="1">
        <v>45897</v>
      </c>
      <c r="D5386">
        <v>925786</v>
      </c>
      <c r="E5386">
        <v>27</v>
      </c>
      <c r="F5386" s="3" t="s">
        <v>4671</v>
      </c>
      <c r="G5386" s="4">
        <v>11441.75</v>
      </c>
      <c r="H5386" s="4">
        <v>0</v>
      </c>
      <c r="I5386" s="4">
        <v>-86299075.599999994</v>
      </c>
    </row>
    <row r="5387" spans="1:9" x14ac:dyDescent="0.3">
      <c r="A5387" t="s">
        <v>133</v>
      </c>
      <c r="B5387" s="1">
        <v>45897</v>
      </c>
      <c r="C5387" s="1">
        <v>45897</v>
      </c>
      <c r="D5387">
        <v>925788</v>
      </c>
      <c r="E5387">
        <v>351</v>
      </c>
      <c r="F5387" s="3" t="s">
        <v>4672</v>
      </c>
      <c r="G5387" s="4">
        <v>67095</v>
      </c>
      <c r="H5387" s="4">
        <v>0</v>
      </c>
      <c r="I5387" s="4">
        <v>-86231980.599999994</v>
      </c>
    </row>
    <row r="5388" spans="1:9" x14ac:dyDescent="0.3">
      <c r="A5388" t="s">
        <v>133</v>
      </c>
      <c r="B5388" s="1">
        <v>45897</v>
      </c>
      <c r="C5388" s="1">
        <v>45897</v>
      </c>
      <c r="D5388">
        <v>925789</v>
      </c>
      <c r="E5388">
        <v>94</v>
      </c>
      <c r="F5388" s="3" t="s">
        <v>4673</v>
      </c>
      <c r="G5388" s="4">
        <v>284244.5</v>
      </c>
      <c r="H5388" s="4">
        <v>0</v>
      </c>
      <c r="I5388" s="4">
        <v>-85947736.099999994</v>
      </c>
    </row>
    <row r="5389" spans="1:9" x14ac:dyDescent="0.3">
      <c r="A5389" t="s">
        <v>133</v>
      </c>
      <c r="B5389" s="1">
        <v>45897</v>
      </c>
      <c r="C5389" s="1">
        <v>45897</v>
      </c>
      <c r="D5389">
        <v>925791</v>
      </c>
      <c r="E5389">
        <v>15</v>
      </c>
      <c r="F5389" s="3" t="s">
        <v>4674</v>
      </c>
      <c r="G5389" s="4">
        <v>5500</v>
      </c>
      <c r="H5389" s="4">
        <v>0</v>
      </c>
      <c r="I5389" s="4">
        <v>-85942236.099999994</v>
      </c>
    </row>
    <row r="5390" spans="1:9" x14ac:dyDescent="0.3">
      <c r="A5390" t="s">
        <v>133</v>
      </c>
      <c r="B5390" s="1">
        <v>45897</v>
      </c>
      <c r="C5390" s="1">
        <v>45897</v>
      </c>
      <c r="D5390">
        <v>925794</v>
      </c>
      <c r="E5390">
        <v>382</v>
      </c>
      <c r="F5390" s="3" t="s">
        <v>4675</v>
      </c>
      <c r="G5390" s="4">
        <v>29507</v>
      </c>
      <c r="H5390" s="4">
        <v>0</v>
      </c>
      <c r="I5390" s="4">
        <v>-85912729.099999994</v>
      </c>
    </row>
    <row r="5391" spans="1:9" x14ac:dyDescent="0.3">
      <c r="A5391" t="s">
        <v>133</v>
      </c>
      <c r="B5391" s="1">
        <v>45897</v>
      </c>
      <c r="C5391" s="1">
        <v>45897</v>
      </c>
      <c r="D5391">
        <v>925796</v>
      </c>
      <c r="E5391">
        <v>84</v>
      </c>
      <c r="F5391" s="3" t="s">
        <v>4676</v>
      </c>
      <c r="G5391" s="4">
        <v>3625</v>
      </c>
      <c r="H5391" s="4">
        <v>0</v>
      </c>
      <c r="I5391" s="4">
        <v>-85909104.099999994</v>
      </c>
    </row>
    <row r="5392" spans="1:9" x14ac:dyDescent="0.3">
      <c r="A5392" t="s">
        <v>133</v>
      </c>
      <c r="B5392" s="1">
        <v>45897</v>
      </c>
      <c r="C5392" s="1">
        <v>45897</v>
      </c>
      <c r="D5392">
        <v>925797</v>
      </c>
      <c r="E5392">
        <v>11</v>
      </c>
      <c r="F5392" s="3" t="s">
        <v>4677</v>
      </c>
      <c r="G5392" s="4">
        <v>7830</v>
      </c>
      <c r="H5392" s="4">
        <v>0</v>
      </c>
      <c r="I5392" s="4">
        <v>-85901274.099999994</v>
      </c>
    </row>
    <row r="5393" spans="1:9" x14ac:dyDescent="0.3">
      <c r="A5393" t="s">
        <v>133</v>
      </c>
      <c r="B5393" s="1">
        <v>45897</v>
      </c>
      <c r="C5393" s="1">
        <v>45897</v>
      </c>
      <c r="D5393">
        <v>925799</v>
      </c>
      <c r="E5393">
        <v>13</v>
      </c>
      <c r="F5393" s="3" t="s">
        <v>4678</v>
      </c>
      <c r="G5393" s="4">
        <v>920000</v>
      </c>
      <c r="H5393" s="4">
        <v>0</v>
      </c>
      <c r="I5393" s="4">
        <v>-84981274.099999994</v>
      </c>
    </row>
    <row r="5394" spans="1:9" x14ac:dyDescent="0.3">
      <c r="A5394" t="s">
        <v>133</v>
      </c>
      <c r="B5394" s="1">
        <v>45897</v>
      </c>
      <c r="C5394" s="1">
        <v>45897</v>
      </c>
      <c r="D5394">
        <v>925801</v>
      </c>
      <c r="E5394">
        <v>41</v>
      </c>
      <c r="F5394" s="3" t="s">
        <v>4679</v>
      </c>
      <c r="G5394" s="4">
        <v>1700</v>
      </c>
      <c r="H5394" s="4">
        <v>0</v>
      </c>
      <c r="I5394" s="4">
        <v>-84979574.099999994</v>
      </c>
    </row>
    <row r="5395" spans="1:9" x14ac:dyDescent="0.3">
      <c r="A5395" t="s">
        <v>133</v>
      </c>
      <c r="B5395" s="1">
        <v>45897</v>
      </c>
      <c r="C5395" s="1">
        <v>45897</v>
      </c>
      <c r="D5395">
        <v>925802</v>
      </c>
      <c r="E5395">
        <v>78</v>
      </c>
      <c r="F5395" s="3" t="s">
        <v>4680</v>
      </c>
      <c r="G5395" s="4">
        <v>10740.75</v>
      </c>
      <c r="H5395" s="4">
        <v>0</v>
      </c>
      <c r="I5395" s="4">
        <v>-84968833.349999994</v>
      </c>
    </row>
    <row r="5396" spans="1:9" x14ac:dyDescent="0.3">
      <c r="A5396" t="s">
        <v>133</v>
      </c>
      <c r="B5396" s="1">
        <v>45897</v>
      </c>
      <c r="C5396" s="1">
        <v>45897</v>
      </c>
      <c r="D5396">
        <v>925806</v>
      </c>
      <c r="E5396">
        <v>63</v>
      </c>
      <c r="F5396" s="3" t="s">
        <v>4681</v>
      </c>
      <c r="G5396" s="4">
        <v>23974</v>
      </c>
      <c r="H5396" s="4">
        <v>0</v>
      </c>
      <c r="I5396" s="4">
        <v>-84944859.349999994</v>
      </c>
    </row>
    <row r="5397" spans="1:9" x14ac:dyDescent="0.3">
      <c r="A5397" t="s">
        <v>133</v>
      </c>
      <c r="B5397" s="1">
        <v>45897</v>
      </c>
      <c r="C5397" s="1">
        <v>45897</v>
      </c>
      <c r="D5397">
        <v>925808</v>
      </c>
      <c r="E5397">
        <v>39</v>
      </c>
      <c r="F5397" s="3" t="s">
        <v>4682</v>
      </c>
      <c r="G5397" s="4">
        <v>13000000</v>
      </c>
      <c r="H5397" s="4">
        <v>0</v>
      </c>
      <c r="I5397" s="4">
        <v>-71944859.349999994</v>
      </c>
    </row>
    <row r="5398" spans="1:9" x14ac:dyDescent="0.3">
      <c r="A5398" t="s">
        <v>133</v>
      </c>
      <c r="B5398" s="1">
        <v>45897</v>
      </c>
      <c r="C5398" s="1">
        <v>45897</v>
      </c>
      <c r="D5398">
        <v>925809</v>
      </c>
      <c r="E5398">
        <v>39</v>
      </c>
      <c r="F5398" s="3" t="s">
        <v>1120</v>
      </c>
      <c r="G5398" s="4">
        <v>13000000</v>
      </c>
      <c r="H5398" s="4">
        <v>0</v>
      </c>
      <c r="I5398" s="4">
        <v>-58944859.350000001</v>
      </c>
    </row>
    <row r="5399" spans="1:9" x14ac:dyDescent="0.3">
      <c r="A5399" t="s">
        <v>133</v>
      </c>
      <c r="B5399" s="1">
        <v>45897</v>
      </c>
      <c r="C5399" s="1">
        <v>45897</v>
      </c>
      <c r="D5399">
        <v>925813</v>
      </c>
      <c r="E5399">
        <v>12</v>
      </c>
      <c r="F5399" s="3" t="s">
        <v>4683</v>
      </c>
      <c r="G5399" s="4">
        <v>500000</v>
      </c>
      <c r="H5399" s="4">
        <v>0</v>
      </c>
      <c r="I5399" s="4">
        <v>-58444859.350000001</v>
      </c>
    </row>
    <row r="5400" spans="1:9" x14ac:dyDescent="0.3">
      <c r="A5400" t="s">
        <v>133</v>
      </c>
      <c r="B5400" s="1">
        <v>45897</v>
      </c>
      <c r="C5400" s="1">
        <v>45897</v>
      </c>
      <c r="D5400">
        <v>925822</v>
      </c>
      <c r="E5400">
        <v>49</v>
      </c>
      <c r="F5400" s="3">
        <v>51178754069</v>
      </c>
      <c r="G5400" s="4">
        <v>885.75</v>
      </c>
      <c r="H5400" s="4">
        <v>0</v>
      </c>
      <c r="I5400" s="4">
        <v>-58443973.600000001</v>
      </c>
    </row>
    <row r="5401" spans="1:9" x14ac:dyDescent="0.3">
      <c r="A5401" t="s">
        <v>133</v>
      </c>
      <c r="B5401" s="1">
        <v>45897</v>
      </c>
      <c r="C5401" s="1">
        <v>45897</v>
      </c>
      <c r="D5401">
        <v>925827</v>
      </c>
      <c r="E5401">
        <v>11</v>
      </c>
      <c r="F5401" s="3" t="s">
        <v>4684</v>
      </c>
      <c r="G5401" s="4">
        <v>25756.25</v>
      </c>
      <c r="H5401" s="4">
        <v>0</v>
      </c>
      <c r="I5401" s="4">
        <v>-58418217.350000001</v>
      </c>
    </row>
    <row r="5402" spans="1:9" x14ac:dyDescent="0.3">
      <c r="A5402" t="s">
        <v>133</v>
      </c>
      <c r="B5402" s="1">
        <v>45897</v>
      </c>
      <c r="C5402" s="1">
        <v>45897</v>
      </c>
      <c r="D5402">
        <v>925828</v>
      </c>
      <c r="E5402">
        <v>24</v>
      </c>
      <c r="F5402" s="3" t="s">
        <v>4685</v>
      </c>
      <c r="G5402" s="4">
        <v>300000</v>
      </c>
      <c r="H5402" s="4">
        <v>0</v>
      </c>
      <c r="I5402" s="4">
        <v>-58118217.350000001</v>
      </c>
    </row>
    <row r="5403" spans="1:9" x14ac:dyDescent="0.3">
      <c r="A5403" t="s">
        <v>133</v>
      </c>
      <c r="B5403" s="1">
        <v>45897</v>
      </c>
      <c r="C5403" s="1">
        <v>45897</v>
      </c>
      <c r="D5403">
        <v>925829</v>
      </c>
      <c r="E5403">
        <v>78</v>
      </c>
      <c r="F5403" s="3" t="s">
        <v>4686</v>
      </c>
      <c r="G5403" s="4">
        <v>5.25</v>
      </c>
      <c r="H5403" s="4">
        <v>0</v>
      </c>
      <c r="I5403" s="4">
        <v>-58118212.100000001</v>
      </c>
    </row>
    <row r="5404" spans="1:9" x14ac:dyDescent="0.3">
      <c r="A5404" t="s">
        <v>133</v>
      </c>
      <c r="B5404" s="1">
        <v>45897</v>
      </c>
      <c r="C5404" s="1">
        <v>45897</v>
      </c>
      <c r="D5404">
        <v>925830</v>
      </c>
      <c r="E5404">
        <v>15</v>
      </c>
      <c r="F5404" s="3" t="s">
        <v>4687</v>
      </c>
      <c r="G5404" s="4">
        <v>13000</v>
      </c>
      <c r="H5404" s="4">
        <v>0</v>
      </c>
      <c r="I5404" s="4">
        <v>-58105212.100000001</v>
      </c>
    </row>
    <row r="5405" spans="1:9" x14ac:dyDescent="0.3">
      <c r="A5405" t="s">
        <v>133</v>
      </c>
      <c r="B5405" s="1">
        <v>45897</v>
      </c>
      <c r="C5405" s="1">
        <v>45897</v>
      </c>
      <c r="D5405">
        <v>925831</v>
      </c>
      <c r="E5405">
        <v>74</v>
      </c>
      <c r="F5405" s="3" t="s">
        <v>4688</v>
      </c>
      <c r="G5405" s="4">
        <v>330000</v>
      </c>
      <c r="H5405" s="4">
        <v>0</v>
      </c>
      <c r="I5405" s="4">
        <v>-57775212.100000001</v>
      </c>
    </row>
    <row r="5406" spans="1:9" x14ac:dyDescent="0.3">
      <c r="A5406" t="s">
        <v>133</v>
      </c>
      <c r="B5406" s="1">
        <v>45897</v>
      </c>
      <c r="C5406" s="1">
        <v>45897</v>
      </c>
      <c r="D5406">
        <v>925833</v>
      </c>
      <c r="E5406">
        <v>45</v>
      </c>
      <c r="F5406" s="3" t="s">
        <v>4689</v>
      </c>
      <c r="G5406" s="4">
        <v>18430.5</v>
      </c>
      <c r="H5406" s="4">
        <v>0</v>
      </c>
      <c r="I5406" s="4">
        <v>-57756781.600000001</v>
      </c>
    </row>
    <row r="5407" spans="1:9" x14ac:dyDescent="0.3">
      <c r="A5407" t="s">
        <v>133</v>
      </c>
      <c r="B5407" s="1">
        <v>45897</v>
      </c>
      <c r="C5407" s="1">
        <v>45897</v>
      </c>
      <c r="D5407">
        <v>925834</v>
      </c>
      <c r="E5407">
        <v>18</v>
      </c>
      <c r="F5407" s="3" t="s">
        <v>4690</v>
      </c>
      <c r="G5407" s="4">
        <v>310000</v>
      </c>
      <c r="H5407" s="4">
        <v>0</v>
      </c>
      <c r="I5407" s="4">
        <v>-57446781.600000001</v>
      </c>
    </row>
    <row r="5408" spans="1:9" x14ac:dyDescent="0.3">
      <c r="A5408" t="s">
        <v>133</v>
      </c>
      <c r="B5408" s="1">
        <v>45897</v>
      </c>
      <c r="C5408" s="1">
        <v>45897</v>
      </c>
      <c r="D5408">
        <v>925835</v>
      </c>
      <c r="E5408">
        <v>12</v>
      </c>
      <c r="F5408" s="3" t="s">
        <v>4691</v>
      </c>
      <c r="G5408" s="4">
        <v>449963</v>
      </c>
      <c r="H5408" s="4">
        <v>0</v>
      </c>
      <c r="I5408" s="4">
        <v>-56996818.600000001</v>
      </c>
    </row>
    <row r="5409" spans="1:9" x14ac:dyDescent="0.3">
      <c r="A5409" t="s">
        <v>133</v>
      </c>
      <c r="B5409" s="1">
        <v>45897</v>
      </c>
      <c r="C5409" s="1">
        <v>45897</v>
      </c>
      <c r="D5409">
        <v>925836</v>
      </c>
      <c r="E5409">
        <v>14</v>
      </c>
      <c r="F5409" s="3" t="s">
        <v>4692</v>
      </c>
      <c r="G5409" s="4">
        <v>2552</v>
      </c>
      <c r="H5409" s="4">
        <v>0</v>
      </c>
      <c r="I5409" s="4">
        <v>-56994266.600000001</v>
      </c>
    </row>
    <row r="5410" spans="1:9" x14ac:dyDescent="0.3">
      <c r="A5410" t="s">
        <v>133</v>
      </c>
      <c r="B5410" s="1">
        <v>45897</v>
      </c>
      <c r="C5410" s="1">
        <v>45897</v>
      </c>
      <c r="D5410">
        <v>925837</v>
      </c>
      <c r="E5410">
        <v>14</v>
      </c>
      <c r="F5410" s="3" t="s">
        <v>4693</v>
      </c>
      <c r="G5410" s="4">
        <v>25.75</v>
      </c>
      <c r="H5410" s="4">
        <v>0</v>
      </c>
      <c r="I5410" s="4">
        <v>-56994240.850000001</v>
      </c>
    </row>
    <row r="5411" spans="1:9" x14ac:dyDescent="0.3">
      <c r="A5411" t="s">
        <v>133</v>
      </c>
      <c r="B5411" s="1">
        <v>45897</v>
      </c>
      <c r="C5411" s="1">
        <v>45897</v>
      </c>
      <c r="D5411">
        <v>925839</v>
      </c>
      <c r="E5411">
        <v>54</v>
      </c>
      <c r="F5411" s="3" t="s">
        <v>4694</v>
      </c>
      <c r="G5411" s="4">
        <v>470000</v>
      </c>
      <c r="H5411" s="4">
        <v>0</v>
      </c>
      <c r="I5411" s="4">
        <v>-56524240.850000001</v>
      </c>
    </row>
    <row r="5412" spans="1:9" x14ac:dyDescent="0.3">
      <c r="A5412" t="s">
        <v>133</v>
      </c>
      <c r="B5412" s="1">
        <v>45897</v>
      </c>
      <c r="C5412" s="1">
        <v>45897</v>
      </c>
      <c r="D5412">
        <v>925840</v>
      </c>
      <c r="E5412">
        <v>210</v>
      </c>
      <c r="F5412" s="3">
        <v>5612100133739</v>
      </c>
      <c r="G5412" s="4">
        <v>16</v>
      </c>
      <c r="H5412" s="4">
        <v>0</v>
      </c>
      <c r="I5412" s="4">
        <v>-56524224.850000001</v>
      </c>
    </row>
    <row r="5413" spans="1:9" x14ac:dyDescent="0.3">
      <c r="A5413" t="s">
        <v>133</v>
      </c>
      <c r="B5413" s="1">
        <v>45897</v>
      </c>
      <c r="C5413" s="1">
        <v>45897</v>
      </c>
      <c r="D5413">
        <v>925841</v>
      </c>
      <c r="E5413">
        <v>65</v>
      </c>
      <c r="F5413" s="3" t="s">
        <v>4695</v>
      </c>
      <c r="G5413" s="4">
        <v>270000</v>
      </c>
      <c r="H5413" s="4">
        <v>0</v>
      </c>
      <c r="I5413" s="4">
        <v>-56254224.850000001</v>
      </c>
    </row>
    <row r="5414" spans="1:9" x14ac:dyDescent="0.3">
      <c r="A5414" t="s">
        <v>133</v>
      </c>
      <c r="B5414" s="1">
        <v>45897</v>
      </c>
      <c r="C5414" s="1">
        <v>45897</v>
      </c>
      <c r="D5414">
        <v>925842</v>
      </c>
      <c r="E5414">
        <v>422</v>
      </c>
      <c r="F5414" s="3" t="s">
        <v>4696</v>
      </c>
      <c r="G5414" s="4">
        <v>120000</v>
      </c>
      <c r="H5414" s="4">
        <v>0</v>
      </c>
      <c r="I5414" s="4">
        <v>-56134224.850000001</v>
      </c>
    </row>
    <row r="5415" spans="1:9" x14ac:dyDescent="0.3">
      <c r="A5415" t="s">
        <v>133</v>
      </c>
      <c r="B5415" s="1">
        <v>45897</v>
      </c>
      <c r="C5415" s="1">
        <v>45897</v>
      </c>
      <c r="D5415">
        <v>925843</v>
      </c>
      <c r="E5415">
        <v>361</v>
      </c>
      <c r="F5415" s="3" t="s">
        <v>4697</v>
      </c>
      <c r="G5415" s="4">
        <v>305000</v>
      </c>
      <c r="H5415" s="4">
        <v>0</v>
      </c>
      <c r="I5415" s="4">
        <v>-55829224.850000001</v>
      </c>
    </row>
    <row r="5416" spans="1:9" x14ac:dyDescent="0.3">
      <c r="A5416" t="s">
        <v>133</v>
      </c>
      <c r="B5416" s="1">
        <v>45897</v>
      </c>
      <c r="C5416" s="1">
        <v>45897</v>
      </c>
      <c r="D5416">
        <v>925846</v>
      </c>
      <c r="E5416">
        <v>64</v>
      </c>
      <c r="F5416" s="3" t="s">
        <v>232</v>
      </c>
      <c r="G5416" s="4">
        <v>666000</v>
      </c>
      <c r="H5416" s="4">
        <v>0</v>
      </c>
      <c r="I5416" s="4">
        <v>-55163224.850000001</v>
      </c>
    </row>
    <row r="5417" spans="1:9" x14ac:dyDescent="0.3">
      <c r="A5417" t="s">
        <v>133</v>
      </c>
      <c r="B5417" s="1">
        <v>45897</v>
      </c>
      <c r="C5417" s="1">
        <v>45897</v>
      </c>
      <c r="D5417">
        <v>925849</v>
      </c>
      <c r="E5417">
        <v>71</v>
      </c>
      <c r="F5417" s="3" t="s">
        <v>4698</v>
      </c>
      <c r="G5417" s="4">
        <v>300000</v>
      </c>
      <c r="H5417" s="4">
        <v>0</v>
      </c>
      <c r="I5417" s="4">
        <v>-54863224.850000001</v>
      </c>
    </row>
    <row r="5418" spans="1:9" x14ac:dyDescent="0.3">
      <c r="A5418" t="s">
        <v>133</v>
      </c>
      <c r="B5418" s="1">
        <v>45897</v>
      </c>
      <c r="C5418" s="1">
        <v>45897</v>
      </c>
      <c r="D5418">
        <v>925852</v>
      </c>
      <c r="E5418">
        <v>79</v>
      </c>
      <c r="F5418" s="3" t="s">
        <v>4699</v>
      </c>
      <c r="G5418" s="4">
        <v>300000</v>
      </c>
      <c r="H5418" s="4">
        <v>0</v>
      </c>
      <c r="I5418" s="4">
        <v>-54563224.850000001</v>
      </c>
    </row>
    <row r="5419" spans="1:9" x14ac:dyDescent="0.3">
      <c r="A5419" t="s">
        <v>133</v>
      </c>
      <c r="B5419" s="1">
        <v>45897</v>
      </c>
      <c r="C5419" s="1">
        <v>45897</v>
      </c>
      <c r="D5419">
        <v>925856</v>
      </c>
      <c r="E5419">
        <v>382</v>
      </c>
      <c r="F5419" s="3" t="s">
        <v>4700</v>
      </c>
      <c r="G5419" s="4">
        <v>36853</v>
      </c>
      <c r="H5419" s="4">
        <v>0</v>
      </c>
      <c r="I5419" s="4">
        <v>-54526371.850000001</v>
      </c>
    </row>
    <row r="5420" spans="1:9" x14ac:dyDescent="0.3">
      <c r="A5420" t="s">
        <v>133</v>
      </c>
      <c r="B5420" s="1">
        <v>45897</v>
      </c>
      <c r="C5420" s="1">
        <v>45897</v>
      </c>
      <c r="D5420">
        <v>925859</v>
      </c>
      <c r="E5420">
        <v>15</v>
      </c>
      <c r="F5420" s="3" t="s">
        <v>966</v>
      </c>
      <c r="G5420" s="4">
        <v>160000</v>
      </c>
      <c r="H5420" s="4">
        <v>0</v>
      </c>
      <c r="I5420" s="4">
        <v>-54366371.850000001</v>
      </c>
    </row>
    <row r="5421" spans="1:9" x14ac:dyDescent="0.3">
      <c r="A5421" t="s">
        <v>133</v>
      </c>
      <c r="B5421" s="1">
        <v>45897</v>
      </c>
      <c r="C5421" s="1">
        <v>45897</v>
      </c>
      <c r="D5421">
        <v>925860</v>
      </c>
      <c r="E5421">
        <v>36</v>
      </c>
      <c r="F5421" s="3" t="s">
        <v>4701</v>
      </c>
      <c r="G5421" s="4">
        <v>400000</v>
      </c>
      <c r="H5421" s="4">
        <v>0</v>
      </c>
      <c r="I5421" s="4">
        <v>-53966371.850000001</v>
      </c>
    </row>
    <row r="5422" spans="1:9" x14ac:dyDescent="0.3">
      <c r="A5422" t="s">
        <v>133</v>
      </c>
      <c r="B5422" s="1">
        <v>45897</v>
      </c>
      <c r="C5422" s="1">
        <v>45897</v>
      </c>
      <c r="D5422">
        <v>925882</v>
      </c>
      <c r="E5422">
        <v>67</v>
      </c>
      <c r="F5422" s="3" t="s">
        <v>4439</v>
      </c>
      <c r="G5422" s="4">
        <v>330000</v>
      </c>
      <c r="H5422" s="4">
        <v>0</v>
      </c>
      <c r="I5422" s="4">
        <v>-53636371.850000001</v>
      </c>
    </row>
    <row r="5423" spans="1:9" x14ac:dyDescent="0.3">
      <c r="A5423" t="s">
        <v>133</v>
      </c>
      <c r="B5423" s="1">
        <v>45897</v>
      </c>
      <c r="C5423" s="1">
        <v>45897</v>
      </c>
      <c r="D5423">
        <v>925883</v>
      </c>
      <c r="E5423">
        <v>220</v>
      </c>
      <c r="F5423" s="3" t="s">
        <v>424</v>
      </c>
      <c r="G5423" s="4">
        <v>500000</v>
      </c>
      <c r="H5423" s="4">
        <v>0</v>
      </c>
      <c r="I5423" s="4">
        <v>-53136371.850000001</v>
      </c>
    </row>
    <row r="5424" spans="1:9" x14ac:dyDescent="0.3">
      <c r="A5424" t="s">
        <v>133</v>
      </c>
      <c r="B5424" s="1">
        <v>45897</v>
      </c>
      <c r="C5424" s="1">
        <v>45897</v>
      </c>
      <c r="D5424">
        <v>925889</v>
      </c>
      <c r="E5424">
        <v>78</v>
      </c>
      <c r="F5424" s="3" t="s">
        <v>4702</v>
      </c>
      <c r="G5424" s="4">
        <v>158322</v>
      </c>
      <c r="H5424" s="4">
        <v>0</v>
      </c>
      <c r="I5424" s="4">
        <v>-52978049.850000001</v>
      </c>
    </row>
    <row r="5425" spans="1:9" x14ac:dyDescent="0.3">
      <c r="A5425" t="s">
        <v>133</v>
      </c>
      <c r="B5425" s="1">
        <v>45897</v>
      </c>
      <c r="C5425" s="1">
        <v>45897</v>
      </c>
      <c r="D5425">
        <v>925893</v>
      </c>
      <c r="E5425">
        <v>63</v>
      </c>
      <c r="F5425" s="3" t="s">
        <v>4694</v>
      </c>
      <c r="G5425" s="4">
        <v>210000</v>
      </c>
      <c r="H5425" s="4">
        <v>0</v>
      </c>
      <c r="I5425" s="4">
        <v>-52768049.850000001</v>
      </c>
    </row>
    <row r="5426" spans="1:9" x14ac:dyDescent="0.3">
      <c r="A5426" t="s">
        <v>133</v>
      </c>
      <c r="B5426" s="1">
        <v>45897</v>
      </c>
      <c r="C5426" s="1">
        <v>45897</v>
      </c>
      <c r="D5426">
        <v>925898</v>
      </c>
      <c r="E5426">
        <v>32</v>
      </c>
      <c r="F5426" s="3" t="s">
        <v>1161</v>
      </c>
      <c r="G5426" s="4">
        <v>580000</v>
      </c>
      <c r="H5426" s="4">
        <v>0</v>
      </c>
      <c r="I5426" s="4">
        <v>-52188049.850000001</v>
      </c>
    </row>
    <row r="5427" spans="1:9" x14ac:dyDescent="0.3">
      <c r="A5427" t="s">
        <v>133</v>
      </c>
      <c r="B5427" s="1">
        <v>45897</v>
      </c>
      <c r="C5427" s="1">
        <v>45897</v>
      </c>
      <c r="D5427">
        <v>925901</v>
      </c>
      <c r="E5427">
        <v>52</v>
      </c>
      <c r="F5427" s="3" t="s">
        <v>669</v>
      </c>
      <c r="G5427" s="4">
        <v>400000</v>
      </c>
      <c r="H5427" s="4">
        <v>0</v>
      </c>
      <c r="I5427" s="4">
        <v>-51788049.850000001</v>
      </c>
    </row>
    <row r="5428" spans="1:9" x14ac:dyDescent="0.3">
      <c r="A5428" t="s">
        <v>133</v>
      </c>
      <c r="B5428" s="1">
        <v>45897</v>
      </c>
      <c r="C5428" s="1">
        <v>45897</v>
      </c>
      <c r="D5428">
        <v>925905</v>
      </c>
      <c r="E5428">
        <v>16</v>
      </c>
      <c r="F5428" s="3" t="s">
        <v>688</v>
      </c>
      <c r="G5428" s="4">
        <v>220000</v>
      </c>
      <c r="H5428" s="4">
        <v>0</v>
      </c>
      <c r="I5428" s="4">
        <v>-51568049.850000001</v>
      </c>
    </row>
    <row r="5429" spans="1:9" x14ac:dyDescent="0.3">
      <c r="A5429" t="s">
        <v>133</v>
      </c>
      <c r="B5429" s="1">
        <v>45897</v>
      </c>
      <c r="C5429" s="1">
        <v>45897</v>
      </c>
      <c r="D5429">
        <v>925906</v>
      </c>
      <c r="E5429">
        <v>97</v>
      </c>
      <c r="F5429" s="3" t="s">
        <v>4703</v>
      </c>
      <c r="G5429" s="4">
        <v>58182.5</v>
      </c>
      <c r="H5429" s="4">
        <v>0</v>
      </c>
      <c r="I5429" s="4">
        <v>-51509867.350000001</v>
      </c>
    </row>
    <row r="5430" spans="1:9" x14ac:dyDescent="0.3">
      <c r="A5430" t="s">
        <v>133</v>
      </c>
      <c r="B5430" s="1">
        <v>45897</v>
      </c>
      <c r="C5430" s="1">
        <v>45897</v>
      </c>
      <c r="D5430">
        <v>925908</v>
      </c>
      <c r="E5430">
        <v>77</v>
      </c>
      <c r="F5430" s="3" t="s">
        <v>4704</v>
      </c>
      <c r="G5430" s="4">
        <v>490000</v>
      </c>
      <c r="H5430" s="4">
        <v>0</v>
      </c>
      <c r="I5430" s="4">
        <v>-51019867.350000001</v>
      </c>
    </row>
    <row r="5431" spans="1:9" x14ac:dyDescent="0.3">
      <c r="A5431" t="s">
        <v>133</v>
      </c>
      <c r="B5431" s="1">
        <v>45897</v>
      </c>
      <c r="C5431" s="1">
        <v>45897</v>
      </c>
      <c r="D5431">
        <v>925910</v>
      </c>
      <c r="E5431">
        <v>91</v>
      </c>
      <c r="F5431" s="3" t="s">
        <v>4705</v>
      </c>
      <c r="G5431" s="4">
        <v>194290.75</v>
      </c>
      <c r="H5431" s="4">
        <v>0</v>
      </c>
      <c r="I5431" s="4">
        <v>-50825576.600000001</v>
      </c>
    </row>
    <row r="5432" spans="1:9" x14ac:dyDescent="0.3">
      <c r="A5432" t="s">
        <v>133</v>
      </c>
      <c r="B5432" s="1">
        <v>45897</v>
      </c>
      <c r="C5432" s="1">
        <v>45897</v>
      </c>
      <c r="D5432">
        <v>925911</v>
      </c>
      <c r="E5432">
        <v>82</v>
      </c>
      <c r="F5432" s="3" t="s">
        <v>4706</v>
      </c>
      <c r="G5432" s="4">
        <v>280000</v>
      </c>
      <c r="H5432" s="4">
        <v>0</v>
      </c>
      <c r="I5432" s="4">
        <v>-50545576.600000001</v>
      </c>
    </row>
    <row r="5433" spans="1:9" x14ac:dyDescent="0.3">
      <c r="A5433" t="s">
        <v>133</v>
      </c>
      <c r="B5433" s="1">
        <v>45897</v>
      </c>
      <c r="C5433" s="1">
        <v>45897</v>
      </c>
      <c r="D5433">
        <v>925912</v>
      </c>
      <c r="E5433">
        <v>84</v>
      </c>
      <c r="F5433" s="3" t="s">
        <v>4707</v>
      </c>
      <c r="G5433" s="4">
        <v>230000</v>
      </c>
      <c r="H5433" s="4">
        <v>0</v>
      </c>
      <c r="I5433" s="4">
        <v>-50315576.600000001</v>
      </c>
    </row>
    <row r="5434" spans="1:9" x14ac:dyDescent="0.3">
      <c r="A5434" t="s">
        <v>133</v>
      </c>
      <c r="B5434" s="1">
        <v>45897</v>
      </c>
      <c r="C5434" s="1">
        <v>45897</v>
      </c>
      <c r="D5434">
        <v>925913</v>
      </c>
      <c r="E5434">
        <v>78</v>
      </c>
      <c r="F5434" s="3" t="s">
        <v>4708</v>
      </c>
      <c r="G5434" s="4">
        <v>590000</v>
      </c>
      <c r="H5434" s="4">
        <v>0</v>
      </c>
      <c r="I5434" s="4">
        <v>-49725576.600000001</v>
      </c>
    </row>
    <row r="5435" spans="1:9" x14ac:dyDescent="0.3">
      <c r="A5435" t="s">
        <v>133</v>
      </c>
      <c r="B5435" s="1">
        <v>45897</v>
      </c>
      <c r="C5435" s="1">
        <v>45897</v>
      </c>
      <c r="D5435">
        <v>925916</v>
      </c>
      <c r="E5435">
        <v>91</v>
      </c>
      <c r="F5435" s="3" t="s">
        <v>4709</v>
      </c>
      <c r="G5435" s="4">
        <v>8693</v>
      </c>
      <c r="H5435" s="4">
        <v>0</v>
      </c>
      <c r="I5435" s="4">
        <v>-49716883.600000001</v>
      </c>
    </row>
    <row r="5436" spans="1:9" x14ac:dyDescent="0.3">
      <c r="A5436" t="s">
        <v>133</v>
      </c>
      <c r="B5436" s="1">
        <v>45897</v>
      </c>
      <c r="C5436" s="1">
        <v>45897</v>
      </c>
      <c r="D5436">
        <v>925918</v>
      </c>
      <c r="E5436">
        <v>382</v>
      </c>
      <c r="F5436" s="3" t="s">
        <v>4710</v>
      </c>
      <c r="G5436" s="4">
        <v>300000</v>
      </c>
      <c r="H5436" s="4">
        <v>0</v>
      </c>
      <c r="I5436" s="4">
        <v>-49416883.600000001</v>
      </c>
    </row>
    <row r="5437" spans="1:9" x14ac:dyDescent="0.3">
      <c r="A5437" t="s">
        <v>133</v>
      </c>
      <c r="B5437" s="1">
        <v>45897</v>
      </c>
      <c r="C5437" s="1">
        <v>45897</v>
      </c>
      <c r="D5437">
        <v>925924</v>
      </c>
      <c r="E5437">
        <v>91</v>
      </c>
      <c r="F5437" s="3" t="s">
        <v>4711</v>
      </c>
      <c r="G5437" s="4">
        <v>197765.5</v>
      </c>
      <c r="H5437" s="4">
        <v>0</v>
      </c>
      <c r="I5437" s="4">
        <v>-49219118.100000001</v>
      </c>
    </row>
    <row r="5438" spans="1:9" x14ac:dyDescent="0.3">
      <c r="A5438" t="s">
        <v>133</v>
      </c>
      <c r="B5438" s="1">
        <v>45897</v>
      </c>
      <c r="C5438" s="1">
        <v>45897</v>
      </c>
      <c r="D5438">
        <v>925927</v>
      </c>
      <c r="E5438">
        <v>85</v>
      </c>
      <c r="F5438" s="3" t="s">
        <v>4712</v>
      </c>
      <c r="G5438" s="4">
        <v>600000</v>
      </c>
      <c r="H5438" s="4">
        <v>0</v>
      </c>
      <c r="I5438" s="4">
        <v>-48619118.100000001</v>
      </c>
    </row>
    <row r="5439" spans="1:9" x14ac:dyDescent="0.3">
      <c r="A5439" t="s">
        <v>133</v>
      </c>
      <c r="B5439" s="1">
        <v>45897</v>
      </c>
      <c r="C5439" s="1">
        <v>45897</v>
      </c>
      <c r="D5439">
        <v>925933</v>
      </c>
      <c r="E5439">
        <v>77</v>
      </c>
      <c r="F5439" s="3" t="s">
        <v>4713</v>
      </c>
      <c r="G5439" s="4">
        <v>207912.75</v>
      </c>
      <c r="H5439" s="4">
        <v>0</v>
      </c>
      <c r="I5439" s="4">
        <v>-48411205.350000001</v>
      </c>
    </row>
    <row r="5440" spans="1:9" x14ac:dyDescent="0.3">
      <c r="A5440" t="s">
        <v>133</v>
      </c>
      <c r="B5440" s="1">
        <v>45897</v>
      </c>
      <c r="C5440" s="1">
        <v>45897</v>
      </c>
      <c r="D5440">
        <v>925940</v>
      </c>
      <c r="E5440">
        <v>27</v>
      </c>
      <c r="F5440" s="3" t="s">
        <v>4714</v>
      </c>
      <c r="G5440" s="4">
        <v>183737</v>
      </c>
      <c r="H5440" s="4">
        <v>0</v>
      </c>
      <c r="I5440" s="4">
        <v>-48227468.350000001</v>
      </c>
    </row>
    <row r="5441" spans="1:9" x14ac:dyDescent="0.3">
      <c r="A5441" t="s">
        <v>133</v>
      </c>
      <c r="B5441" s="1">
        <v>45897</v>
      </c>
      <c r="C5441" s="1">
        <v>45897</v>
      </c>
      <c r="D5441">
        <v>925943</v>
      </c>
      <c r="E5441">
        <v>37</v>
      </c>
      <c r="F5441" s="3" t="s">
        <v>945</v>
      </c>
      <c r="G5441" s="4">
        <v>1060000</v>
      </c>
      <c r="H5441" s="4">
        <v>0</v>
      </c>
      <c r="I5441" s="4">
        <v>-47167468.350000001</v>
      </c>
    </row>
    <row r="5442" spans="1:9" x14ac:dyDescent="0.3">
      <c r="A5442" t="s">
        <v>133</v>
      </c>
      <c r="B5442" s="1">
        <v>45897</v>
      </c>
      <c r="C5442" s="1">
        <v>45897</v>
      </c>
      <c r="D5442">
        <v>925947</v>
      </c>
      <c r="E5442">
        <v>11</v>
      </c>
      <c r="F5442" s="3" t="s">
        <v>3645</v>
      </c>
      <c r="G5442" s="4">
        <v>730000</v>
      </c>
      <c r="H5442" s="4">
        <v>0</v>
      </c>
      <c r="I5442" s="4">
        <v>-46437468.350000001</v>
      </c>
    </row>
    <row r="5443" spans="1:9" x14ac:dyDescent="0.3">
      <c r="A5443" t="s">
        <v>133</v>
      </c>
      <c r="B5443" s="1">
        <v>45897</v>
      </c>
      <c r="C5443" s="1">
        <v>45897</v>
      </c>
      <c r="D5443">
        <v>925953</v>
      </c>
      <c r="E5443">
        <v>27</v>
      </c>
      <c r="F5443" s="3" t="s">
        <v>4715</v>
      </c>
      <c r="G5443" s="4">
        <v>159804.25</v>
      </c>
      <c r="H5443" s="4">
        <v>0</v>
      </c>
      <c r="I5443" s="4">
        <v>-46277664.100000001</v>
      </c>
    </row>
    <row r="5444" spans="1:9" x14ac:dyDescent="0.3">
      <c r="A5444" t="s">
        <v>133</v>
      </c>
      <c r="B5444" s="1">
        <v>45897</v>
      </c>
      <c r="C5444" s="1">
        <v>45897</v>
      </c>
      <c r="D5444">
        <v>925954</v>
      </c>
      <c r="E5444">
        <v>92</v>
      </c>
      <c r="F5444" s="3" t="s">
        <v>4716</v>
      </c>
      <c r="G5444" s="4">
        <v>1374685.75</v>
      </c>
      <c r="H5444" s="4">
        <v>0</v>
      </c>
      <c r="I5444" s="4">
        <v>-44902978.350000001</v>
      </c>
    </row>
    <row r="5445" spans="1:9" x14ac:dyDescent="0.3">
      <c r="A5445" t="s">
        <v>133</v>
      </c>
      <c r="B5445" s="1">
        <v>45897</v>
      </c>
      <c r="C5445" s="1">
        <v>45897</v>
      </c>
      <c r="D5445">
        <v>925961</v>
      </c>
      <c r="E5445">
        <v>382</v>
      </c>
      <c r="F5445" s="3">
        <v>5771</v>
      </c>
      <c r="G5445" s="4">
        <v>303498</v>
      </c>
      <c r="H5445" s="4">
        <v>0</v>
      </c>
      <c r="I5445" s="4">
        <v>-44599480.350000001</v>
      </c>
    </row>
    <row r="5446" spans="1:9" x14ac:dyDescent="0.3">
      <c r="A5446" t="s">
        <v>133</v>
      </c>
      <c r="B5446" s="1">
        <v>45897</v>
      </c>
      <c r="C5446" s="1">
        <v>45897</v>
      </c>
      <c r="D5446">
        <v>925963</v>
      </c>
      <c r="E5446">
        <v>53</v>
      </c>
      <c r="F5446" s="3" t="s">
        <v>950</v>
      </c>
      <c r="G5446" s="4">
        <v>265000</v>
      </c>
      <c r="H5446" s="4">
        <v>0</v>
      </c>
      <c r="I5446" s="4">
        <v>-44334480.350000001</v>
      </c>
    </row>
    <row r="5447" spans="1:9" x14ac:dyDescent="0.3">
      <c r="A5447" t="s">
        <v>133</v>
      </c>
      <c r="B5447" s="1">
        <v>45897</v>
      </c>
      <c r="C5447" s="1">
        <v>45897</v>
      </c>
      <c r="D5447">
        <v>925964</v>
      </c>
      <c r="E5447">
        <v>351</v>
      </c>
      <c r="F5447" s="3" t="s">
        <v>181</v>
      </c>
      <c r="G5447" s="4">
        <v>310000</v>
      </c>
      <c r="H5447" s="4">
        <v>0</v>
      </c>
      <c r="I5447" s="4">
        <v>-44024480.350000001</v>
      </c>
    </row>
    <row r="5448" spans="1:9" x14ac:dyDescent="0.3">
      <c r="A5448" t="s">
        <v>133</v>
      </c>
      <c r="B5448" s="1">
        <v>45897</v>
      </c>
      <c r="C5448" s="1">
        <v>45897</v>
      </c>
      <c r="D5448">
        <v>925965</v>
      </c>
      <c r="E5448">
        <v>50</v>
      </c>
      <c r="F5448" s="3" t="s">
        <v>4717</v>
      </c>
      <c r="G5448" s="4">
        <v>180000</v>
      </c>
      <c r="H5448" s="4">
        <v>0</v>
      </c>
      <c r="I5448" s="4">
        <v>-43844480.350000001</v>
      </c>
    </row>
    <row r="5449" spans="1:9" x14ac:dyDescent="0.3">
      <c r="A5449" t="s">
        <v>133</v>
      </c>
      <c r="B5449" s="1">
        <v>45897</v>
      </c>
      <c r="C5449" s="1">
        <v>45897</v>
      </c>
      <c r="D5449">
        <v>925971</v>
      </c>
      <c r="E5449">
        <v>58</v>
      </c>
      <c r="F5449" s="3" t="s">
        <v>4718</v>
      </c>
      <c r="G5449" s="4">
        <v>310000</v>
      </c>
      <c r="H5449" s="4">
        <v>0</v>
      </c>
      <c r="I5449" s="4">
        <v>-43534480.350000001</v>
      </c>
    </row>
    <row r="5450" spans="1:9" x14ac:dyDescent="0.3">
      <c r="A5450" t="s">
        <v>133</v>
      </c>
      <c r="B5450" s="1">
        <v>45897</v>
      </c>
      <c r="C5450" s="1">
        <v>45897</v>
      </c>
      <c r="D5450">
        <v>925973</v>
      </c>
      <c r="E5450">
        <v>23</v>
      </c>
      <c r="F5450" s="3" t="s">
        <v>4719</v>
      </c>
      <c r="G5450" s="4">
        <v>500000</v>
      </c>
      <c r="H5450" s="4">
        <v>0</v>
      </c>
      <c r="I5450" s="4">
        <v>-43034480.350000001</v>
      </c>
    </row>
    <row r="5451" spans="1:9" x14ac:dyDescent="0.3">
      <c r="A5451" t="s">
        <v>133</v>
      </c>
      <c r="B5451" s="1">
        <v>45897</v>
      </c>
      <c r="C5451" s="1">
        <v>45897</v>
      </c>
      <c r="D5451">
        <v>925975</v>
      </c>
      <c r="E5451">
        <v>49</v>
      </c>
      <c r="F5451" s="3">
        <v>51219614453</v>
      </c>
      <c r="G5451" s="4">
        <v>65723.75</v>
      </c>
      <c r="H5451" s="4">
        <v>0</v>
      </c>
      <c r="I5451" s="4">
        <v>-42968756.600000001</v>
      </c>
    </row>
    <row r="5452" spans="1:9" x14ac:dyDescent="0.3">
      <c r="A5452" t="s">
        <v>133</v>
      </c>
      <c r="B5452" s="1">
        <v>45897</v>
      </c>
      <c r="C5452" s="1">
        <v>45897</v>
      </c>
      <c r="D5452">
        <v>925978</v>
      </c>
      <c r="E5452">
        <v>72</v>
      </c>
      <c r="F5452" s="3" t="s">
        <v>211</v>
      </c>
      <c r="G5452" s="4">
        <v>450000</v>
      </c>
      <c r="H5452" s="4">
        <v>0</v>
      </c>
      <c r="I5452" s="4">
        <v>-42518756.600000001</v>
      </c>
    </row>
    <row r="5453" spans="1:9" x14ac:dyDescent="0.3">
      <c r="A5453" t="s">
        <v>133</v>
      </c>
      <c r="B5453" s="1">
        <v>45897</v>
      </c>
      <c r="C5453" s="1">
        <v>45897</v>
      </c>
      <c r="D5453">
        <v>925979</v>
      </c>
      <c r="E5453">
        <v>84</v>
      </c>
      <c r="F5453" s="3" t="s">
        <v>4720</v>
      </c>
      <c r="G5453" s="4">
        <v>121194.75</v>
      </c>
      <c r="H5453" s="4">
        <v>0</v>
      </c>
      <c r="I5453" s="4">
        <v>-42397561.850000001</v>
      </c>
    </row>
    <row r="5454" spans="1:9" x14ac:dyDescent="0.3">
      <c r="A5454" t="s">
        <v>133</v>
      </c>
      <c r="B5454" s="1">
        <v>45897</v>
      </c>
      <c r="C5454" s="1">
        <v>45897</v>
      </c>
      <c r="D5454">
        <v>925982</v>
      </c>
      <c r="E5454">
        <v>62</v>
      </c>
      <c r="F5454" s="3" t="s">
        <v>4721</v>
      </c>
      <c r="G5454" s="4">
        <v>550000</v>
      </c>
      <c r="H5454" s="4">
        <v>0</v>
      </c>
      <c r="I5454" s="4">
        <v>-41847561.850000001</v>
      </c>
    </row>
    <row r="5455" spans="1:9" x14ac:dyDescent="0.3">
      <c r="A5455" t="s">
        <v>133</v>
      </c>
      <c r="B5455" s="1">
        <v>45897</v>
      </c>
      <c r="C5455" s="1">
        <v>45897</v>
      </c>
      <c r="D5455">
        <v>925984</v>
      </c>
      <c r="E5455">
        <v>89</v>
      </c>
      <c r="F5455" s="3" t="s">
        <v>4722</v>
      </c>
      <c r="G5455" s="4">
        <v>620000</v>
      </c>
      <c r="H5455" s="4">
        <v>0</v>
      </c>
      <c r="I5455" s="4">
        <v>-41227561.850000001</v>
      </c>
    </row>
    <row r="5456" spans="1:9" x14ac:dyDescent="0.3">
      <c r="A5456" t="s">
        <v>133</v>
      </c>
      <c r="B5456" s="1">
        <v>45897</v>
      </c>
      <c r="C5456" s="1">
        <v>45897</v>
      </c>
      <c r="D5456">
        <v>925985</v>
      </c>
      <c r="E5456">
        <v>84</v>
      </c>
      <c r="F5456" s="3" t="s">
        <v>4723</v>
      </c>
      <c r="G5456" s="4">
        <v>9055.5</v>
      </c>
      <c r="H5456" s="4">
        <v>0</v>
      </c>
      <c r="I5456" s="4">
        <v>-41218506.350000001</v>
      </c>
    </row>
    <row r="5457" spans="1:9" x14ac:dyDescent="0.3">
      <c r="A5457" t="s">
        <v>133</v>
      </c>
      <c r="B5457" s="1">
        <v>45897</v>
      </c>
      <c r="C5457" s="1">
        <v>45897</v>
      </c>
      <c r="D5457">
        <v>925986</v>
      </c>
      <c r="E5457">
        <v>12</v>
      </c>
      <c r="F5457" s="3" t="s">
        <v>4724</v>
      </c>
      <c r="G5457" s="4">
        <v>10241</v>
      </c>
      <c r="H5457" s="4">
        <v>0</v>
      </c>
      <c r="I5457" s="4">
        <v>-41208265.350000001</v>
      </c>
    </row>
    <row r="5458" spans="1:9" x14ac:dyDescent="0.3">
      <c r="A5458" t="s">
        <v>133</v>
      </c>
      <c r="B5458" s="1">
        <v>45897</v>
      </c>
      <c r="C5458" s="1">
        <v>45897</v>
      </c>
      <c r="D5458">
        <v>925987</v>
      </c>
      <c r="E5458">
        <v>210</v>
      </c>
      <c r="F5458" s="3" t="s">
        <v>941</v>
      </c>
      <c r="G5458" s="4">
        <v>628035</v>
      </c>
      <c r="H5458" s="4">
        <v>0</v>
      </c>
      <c r="I5458" s="4">
        <v>-40580230.350000001</v>
      </c>
    </row>
    <row r="5459" spans="1:9" x14ac:dyDescent="0.3">
      <c r="A5459" t="s">
        <v>133</v>
      </c>
      <c r="B5459" s="1">
        <v>45897</v>
      </c>
      <c r="C5459" s="1">
        <v>45897</v>
      </c>
      <c r="D5459">
        <v>925990</v>
      </c>
      <c r="E5459">
        <v>80</v>
      </c>
      <c r="F5459" s="3" t="s">
        <v>3655</v>
      </c>
      <c r="G5459" s="4">
        <v>370000</v>
      </c>
      <c r="H5459" s="4">
        <v>0</v>
      </c>
      <c r="I5459" s="4">
        <v>-40210230.350000001</v>
      </c>
    </row>
    <row r="5460" spans="1:9" x14ac:dyDescent="0.3">
      <c r="A5460" t="s">
        <v>133</v>
      </c>
      <c r="B5460" s="1">
        <v>45897</v>
      </c>
      <c r="C5460" s="1">
        <v>45897</v>
      </c>
      <c r="D5460">
        <v>925992</v>
      </c>
      <c r="E5460">
        <v>70</v>
      </c>
      <c r="F5460" s="3" t="s">
        <v>4725</v>
      </c>
      <c r="G5460" s="4">
        <v>515000</v>
      </c>
      <c r="H5460" s="4">
        <v>0</v>
      </c>
      <c r="I5460" s="4">
        <v>-39695230.350000001</v>
      </c>
    </row>
    <row r="5461" spans="1:9" x14ac:dyDescent="0.3">
      <c r="A5461" t="s">
        <v>133</v>
      </c>
      <c r="B5461" s="1">
        <v>45897</v>
      </c>
      <c r="C5461" s="1">
        <v>45897</v>
      </c>
      <c r="D5461">
        <v>925993</v>
      </c>
      <c r="E5461">
        <v>98</v>
      </c>
      <c r="F5461" s="3" t="s">
        <v>4726</v>
      </c>
      <c r="G5461" s="4">
        <v>175255</v>
      </c>
      <c r="H5461" s="4">
        <v>0</v>
      </c>
      <c r="I5461" s="4">
        <v>-39519975.350000001</v>
      </c>
    </row>
    <row r="5462" spans="1:9" x14ac:dyDescent="0.3">
      <c r="A5462" t="s">
        <v>133</v>
      </c>
      <c r="B5462" s="1">
        <v>45897</v>
      </c>
      <c r="C5462" s="1">
        <v>45897</v>
      </c>
      <c r="D5462">
        <v>925994</v>
      </c>
      <c r="E5462">
        <v>77</v>
      </c>
      <c r="F5462" s="3" t="s">
        <v>4727</v>
      </c>
      <c r="G5462" s="4">
        <v>2403</v>
      </c>
      <c r="H5462" s="4">
        <v>0</v>
      </c>
      <c r="I5462" s="4">
        <v>-39517572.350000001</v>
      </c>
    </row>
    <row r="5463" spans="1:9" x14ac:dyDescent="0.3">
      <c r="A5463" t="s">
        <v>133</v>
      </c>
      <c r="B5463" s="1">
        <v>45897</v>
      </c>
      <c r="C5463" s="1">
        <v>45897</v>
      </c>
      <c r="D5463">
        <v>925995</v>
      </c>
      <c r="E5463">
        <v>61</v>
      </c>
      <c r="F5463" s="3" t="s">
        <v>4728</v>
      </c>
      <c r="G5463" s="4">
        <v>220000</v>
      </c>
      <c r="H5463" s="4">
        <v>0</v>
      </c>
      <c r="I5463" s="4">
        <v>-39297572.350000001</v>
      </c>
    </row>
    <row r="5464" spans="1:9" x14ac:dyDescent="0.3">
      <c r="A5464" t="s">
        <v>133</v>
      </c>
      <c r="B5464" s="1">
        <v>45897</v>
      </c>
      <c r="C5464" s="1">
        <v>45897</v>
      </c>
      <c r="D5464">
        <v>925998</v>
      </c>
      <c r="E5464">
        <v>12</v>
      </c>
      <c r="F5464" s="3" t="s">
        <v>4729</v>
      </c>
      <c r="G5464" s="4">
        <v>328834</v>
      </c>
      <c r="H5464" s="4">
        <v>0</v>
      </c>
      <c r="I5464" s="4">
        <v>-38968738.350000001</v>
      </c>
    </row>
    <row r="5465" spans="1:9" x14ac:dyDescent="0.3">
      <c r="A5465" t="s">
        <v>133</v>
      </c>
      <c r="B5465" s="1">
        <v>45897</v>
      </c>
      <c r="C5465" s="1">
        <v>45897</v>
      </c>
      <c r="D5465">
        <v>926002</v>
      </c>
      <c r="E5465">
        <v>12</v>
      </c>
      <c r="F5465" s="3" t="s">
        <v>4730</v>
      </c>
      <c r="G5465" s="4">
        <v>171797</v>
      </c>
      <c r="H5465" s="4">
        <v>0</v>
      </c>
      <c r="I5465" s="4">
        <v>-38796941.350000001</v>
      </c>
    </row>
    <row r="5466" spans="1:9" x14ac:dyDescent="0.3">
      <c r="A5466" t="s">
        <v>133</v>
      </c>
      <c r="B5466" s="1">
        <v>45897</v>
      </c>
      <c r="C5466" s="1">
        <v>45897</v>
      </c>
      <c r="D5466">
        <v>926003</v>
      </c>
      <c r="E5466">
        <v>76</v>
      </c>
      <c r="F5466" s="3" t="s">
        <v>4731</v>
      </c>
      <c r="G5466" s="4">
        <v>300000</v>
      </c>
      <c r="H5466" s="4">
        <v>0</v>
      </c>
      <c r="I5466" s="4">
        <v>-38496941.350000001</v>
      </c>
    </row>
    <row r="5467" spans="1:9" x14ac:dyDescent="0.3">
      <c r="A5467" t="s">
        <v>133</v>
      </c>
      <c r="B5467" s="1">
        <v>45897</v>
      </c>
      <c r="C5467" s="1">
        <v>45897</v>
      </c>
      <c r="D5467">
        <v>926004</v>
      </c>
      <c r="E5467">
        <v>27</v>
      </c>
      <c r="F5467" s="3" t="s">
        <v>4732</v>
      </c>
      <c r="G5467" s="4">
        <v>400000</v>
      </c>
      <c r="H5467" s="4">
        <v>0</v>
      </c>
      <c r="I5467" s="4">
        <v>-38096941.350000001</v>
      </c>
    </row>
    <row r="5468" spans="1:9" x14ac:dyDescent="0.3">
      <c r="A5468" t="s">
        <v>133</v>
      </c>
      <c r="B5468" s="1">
        <v>45897</v>
      </c>
      <c r="C5468" s="1">
        <v>45897</v>
      </c>
      <c r="D5468">
        <v>926005</v>
      </c>
      <c r="E5468">
        <v>89</v>
      </c>
      <c r="F5468" s="3" t="s">
        <v>4733</v>
      </c>
      <c r="G5468" s="4">
        <v>32139</v>
      </c>
      <c r="H5468" s="4">
        <v>0</v>
      </c>
      <c r="I5468" s="4">
        <v>-38064802.350000001</v>
      </c>
    </row>
    <row r="5469" spans="1:9" x14ac:dyDescent="0.3">
      <c r="A5469" t="s">
        <v>133</v>
      </c>
      <c r="B5469" s="1">
        <v>45897</v>
      </c>
      <c r="C5469" s="1">
        <v>45897</v>
      </c>
      <c r="D5469">
        <v>926006</v>
      </c>
      <c r="E5469">
        <v>84</v>
      </c>
      <c r="F5469" s="3" t="s">
        <v>4734</v>
      </c>
      <c r="G5469" s="4">
        <v>28219</v>
      </c>
      <c r="H5469" s="4">
        <v>0</v>
      </c>
      <c r="I5469" s="4">
        <v>-38036583.350000001</v>
      </c>
    </row>
    <row r="5470" spans="1:9" x14ac:dyDescent="0.3">
      <c r="A5470" t="s">
        <v>133</v>
      </c>
      <c r="B5470" s="1">
        <v>45897</v>
      </c>
      <c r="C5470" s="1">
        <v>45897</v>
      </c>
      <c r="D5470">
        <v>926008</v>
      </c>
      <c r="E5470">
        <v>78</v>
      </c>
      <c r="F5470" s="3" t="s">
        <v>4735</v>
      </c>
      <c r="G5470" s="4">
        <v>6324.75</v>
      </c>
      <c r="H5470" s="4">
        <v>0</v>
      </c>
      <c r="I5470" s="4">
        <v>-38030258.600000001</v>
      </c>
    </row>
    <row r="5471" spans="1:9" x14ac:dyDescent="0.3">
      <c r="A5471" t="s">
        <v>133</v>
      </c>
      <c r="B5471" s="1">
        <v>45897</v>
      </c>
      <c r="C5471" s="1">
        <v>45897</v>
      </c>
      <c r="D5471">
        <v>926010</v>
      </c>
      <c r="E5471">
        <v>86</v>
      </c>
      <c r="F5471" s="3" t="s">
        <v>4736</v>
      </c>
      <c r="G5471" s="4">
        <v>269208.25</v>
      </c>
      <c r="H5471" s="4">
        <v>0</v>
      </c>
      <c r="I5471" s="4">
        <v>-37761050.350000001</v>
      </c>
    </row>
    <row r="5472" spans="1:9" x14ac:dyDescent="0.3">
      <c r="A5472" t="s">
        <v>133</v>
      </c>
      <c r="B5472" s="1">
        <v>45897</v>
      </c>
      <c r="C5472" s="1">
        <v>45897</v>
      </c>
      <c r="D5472">
        <v>926013</v>
      </c>
      <c r="E5472">
        <v>86</v>
      </c>
      <c r="F5472" s="3" t="s">
        <v>4737</v>
      </c>
      <c r="G5472" s="4">
        <v>264900</v>
      </c>
      <c r="H5472" s="4">
        <v>0</v>
      </c>
      <c r="I5472" s="4">
        <v>-37496150.350000001</v>
      </c>
    </row>
    <row r="5473" spans="1:9" x14ac:dyDescent="0.3">
      <c r="A5473" t="s">
        <v>133</v>
      </c>
      <c r="B5473" s="1">
        <v>45897</v>
      </c>
      <c r="C5473" s="1">
        <v>45897</v>
      </c>
      <c r="D5473">
        <v>926015</v>
      </c>
      <c r="E5473">
        <v>98</v>
      </c>
      <c r="F5473" s="3" t="s">
        <v>4738</v>
      </c>
      <c r="G5473" s="4">
        <v>38452.5</v>
      </c>
      <c r="H5473" s="4">
        <v>0</v>
      </c>
      <c r="I5473" s="4">
        <v>-37457697.850000001</v>
      </c>
    </row>
    <row r="5474" spans="1:9" x14ac:dyDescent="0.3">
      <c r="A5474" t="s">
        <v>133</v>
      </c>
      <c r="B5474" s="1">
        <v>45897</v>
      </c>
      <c r="C5474" s="1">
        <v>45897</v>
      </c>
      <c r="D5474">
        <v>926025</v>
      </c>
      <c r="E5474">
        <v>11</v>
      </c>
      <c r="F5474" s="3" t="s">
        <v>4739</v>
      </c>
      <c r="G5474" s="4">
        <v>844</v>
      </c>
      <c r="H5474" s="4">
        <v>0</v>
      </c>
      <c r="I5474" s="4">
        <v>-37456853.850000001</v>
      </c>
    </row>
    <row r="5475" spans="1:9" x14ac:dyDescent="0.3">
      <c r="A5475" t="s">
        <v>133</v>
      </c>
      <c r="B5475" s="1">
        <v>45897</v>
      </c>
      <c r="C5475" s="1">
        <v>45897</v>
      </c>
      <c r="D5475">
        <v>926026</v>
      </c>
      <c r="E5475">
        <v>81</v>
      </c>
      <c r="F5475" s="3" t="s">
        <v>4740</v>
      </c>
      <c r="G5475" s="4">
        <v>270000</v>
      </c>
      <c r="H5475" s="4">
        <v>0</v>
      </c>
      <c r="I5475" s="4">
        <v>-37186853.850000001</v>
      </c>
    </row>
    <row r="5476" spans="1:9" x14ac:dyDescent="0.3">
      <c r="A5476" t="s">
        <v>133</v>
      </c>
      <c r="B5476" s="1">
        <v>45897</v>
      </c>
      <c r="C5476" s="1">
        <v>45897</v>
      </c>
      <c r="D5476">
        <v>926030</v>
      </c>
      <c r="E5476">
        <v>56</v>
      </c>
      <c r="F5476" s="3" t="s">
        <v>1726</v>
      </c>
      <c r="G5476" s="4">
        <v>600000</v>
      </c>
      <c r="H5476" s="4">
        <v>0</v>
      </c>
      <c r="I5476" s="4">
        <v>-36586853.850000001</v>
      </c>
    </row>
    <row r="5477" spans="1:9" x14ac:dyDescent="0.3">
      <c r="A5477" t="s">
        <v>133</v>
      </c>
      <c r="B5477" s="1">
        <v>45897</v>
      </c>
      <c r="C5477" s="1">
        <v>45897</v>
      </c>
      <c r="D5477">
        <v>926034</v>
      </c>
      <c r="E5477">
        <v>310</v>
      </c>
      <c r="F5477" s="3" t="s">
        <v>4741</v>
      </c>
      <c r="G5477" s="4">
        <v>12284.5</v>
      </c>
      <c r="H5477" s="4">
        <v>0</v>
      </c>
      <c r="I5477" s="4">
        <v>-36574569.350000001</v>
      </c>
    </row>
    <row r="5478" spans="1:9" x14ac:dyDescent="0.3">
      <c r="A5478" t="s">
        <v>133</v>
      </c>
      <c r="B5478" s="1">
        <v>45897</v>
      </c>
      <c r="C5478" s="1">
        <v>45897</v>
      </c>
      <c r="D5478">
        <v>926035</v>
      </c>
      <c r="E5478">
        <v>28</v>
      </c>
      <c r="F5478" s="3">
        <v>51304407803</v>
      </c>
      <c r="G5478" s="4">
        <v>155468.25</v>
      </c>
      <c r="H5478" s="4">
        <v>0</v>
      </c>
      <c r="I5478" s="4">
        <v>-36419101.100000001</v>
      </c>
    </row>
    <row r="5479" spans="1:9" x14ac:dyDescent="0.3">
      <c r="A5479" t="s">
        <v>1</v>
      </c>
      <c r="B5479" s="1">
        <v>45894</v>
      </c>
      <c r="C5479" s="1">
        <v>45898</v>
      </c>
      <c r="D5479">
        <v>103305</v>
      </c>
      <c r="E5479">
        <v>100</v>
      </c>
      <c r="F5479" s="3" t="s">
        <v>7</v>
      </c>
      <c r="G5479" s="4">
        <v>2426.25</v>
      </c>
      <c r="I5479" s="4">
        <v>-36416674.850000001</v>
      </c>
    </row>
    <row r="5480" spans="1:9" x14ac:dyDescent="0.3">
      <c r="A5480" t="s">
        <v>1</v>
      </c>
      <c r="B5480" s="1">
        <v>45897</v>
      </c>
      <c r="C5480" s="1">
        <v>45898</v>
      </c>
      <c r="D5480">
        <v>103445</v>
      </c>
      <c r="E5480">
        <v>100</v>
      </c>
      <c r="F5480" s="3" t="s">
        <v>4742</v>
      </c>
      <c r="G5480" s="4">
        <v>563204.80000000005</v>
      </c>
      <c r="I5480" s="4">
        <v>-35853470.049999997</v>
      </c>
    </row>
    <row r="5481" spans="1:9" x14ac:dyDescent="0.3">
      <c r="A5481" t="s">
        <v>1</v>
      </c>
      <c r="B5481" s="1">
        <v>45897</v>
      </c>
      <c r="C5481" s="1">
        <v>45898</v>
      </c>
      <c r="D5481">
        <v>103462</v>
      </c>
      <c r="E5481">
        <v>100</v>
      </c>
      <c r="F5481" s="3" t="s">
        <v>4743</v>
      </c>
      <c r="G5481" s="4">
        <v>22270.2</v>
      </c>
      <c r="I5481" s="4">
        <v>-35831199.850000001</v>
      </c>
    </row>
    <row r="5482" spans="1:9" x14ac:dyDescent="0.3">
      <c r="A5482" t="s">
        <v>1</v>
      </c>
      <c r="B5482" s="1">
        <v>45897</v>
      </c>
      <c r="C5482" s="1">
        <v>45898</v>
      </c>
      <c r="D5482">
        <v>103472</v>
      </c>
      <c r="E5482">
        <v>100</v>
      </c>
      <c r="F5482" s="3" t="s">
        <v>4744</v>
      </c>
      <c r="G5482" s="4">
        <v>99037.75</v>
      </c>
      <c r="I5482" s="4">
        <v>-35732162.100000001</v>
      </c>
    </row>
    <row r="5483" spans="1:9" x14ac:dyDescent="0.3">
      <c r="A5483" t="s">
        <v>1</v>
      </c>
      <c r="B5483" s="1">
        <v>45897</v>
      </c>
      <c r="C5483" s="1">
        <v>45898</v>
      </c>
      <c r="D5483">
        <v>103473</v>
      </c>
      <c r="E5483">
        <v>100</v>
      </c>
      <c r="F5483" s="3" t="s">
        <v>4745</v>
      </c>
      <c r="G5483" s="4">
        <v>66174.25</v>
      </c>
      <c r="I5483" s="4">
        <v>-35665987.850000001</v>
      </c>
    </row>
    <row r="5484" spans="1:9" x14ac:dyDescent="0.3">
      <c r="A5484" t="s">
        <v>1</v>
      </c>
      <c r="B5484" s="1">
        <v>45897</v>
      </c>
      <c r="C5484" s="1">
        <v>45898</v>
      </c>
      <c r="D5484">
        <v>103474</v>
      </c>
      <c r="E5484">
        <v>100</v>
      </c>
      <c r="F5484" s="3" t="s">
        <v>4746</v>
      </c>
      <c r="G5484" s="4">
        <v>207864.75</v>
      </c>
      <c r="I5484" s="4">
        <v>-35458123.100000001</v>
      </c>
    </row>
    <row r="5485" spans="1:9" x14ac:dyDescent="0.3">
      <c r="A5485" t="s">
        <v>1</v>
      </c>
      <c r="B5485" s="1">
        <v>45897</v>
      </c>
      <c r="C5485" s="1">
        <v>45898</v>
      </c>
      <c r="D5485">
        <v>103497</v>
      </c>
      <c r="E5485">
        <v>100</v>
      </c>
      <c r="F5485" s="3" t="s">
        <v>4747</v>
      </c>
      <c r="G5485" s="4">
        <v>43073</v>
      </c>
      <c r="I5485" s="4">
        <v>-35415050.100000001</v>
      </c>
    </row>
    <row r="5486" spans="1:9" x14ac:dyDescent="0.3">
      <c r="A5486" t="s">
        <v>1</v>
      </c>
      <c r="B5486" s="1">
        <v>45897</v>
      </c>
      <c r="C5486" s="1">
        <v>45898</v>
      </c>
      <c r="D5486">
        <v>103503</v>
      </c>
      <c r="E5486">
        <v>100</v>
      </c>
      <c r="F5486" s="3" t="s">
        <v>4748</v>
      </c>
      <c r="G5486" s="4">
        <v>126801</v>
      </c>
      <c r="I5486" s="4">
        <v>-35288249.100000001</v>
      </c>
    </row>
    <row r="5487" spans="1:9" x14ac:dyDescent="0.3">
      <c r="A5487" t="s">
        <v>1</v>
      </c>
      <c r="B5487" s="1">
        <v>45897</v>
      </c>
      <c r="C5487" s="1">
        <v>45898</v>
      </c>
      <c r="D5487">
        <v>103528</v>
      </c>
      <c r="E5487">
        <v>100</v>
      </c>
      <c r="F5487" s="3" t="s">
        <v>4749</v>
      </c>
      <c r="G5487" s="4">
        <v>82394.25</v>
      </c>
      <c r="I5487" s="4">
        <v>-35205854.850000001</v>
      </c>
    </row>
    <row r="5488" spans="1:9" x14ac:dyDescent="0.3">
      <c r="A5488" t="s">
        <v>1</v>
      </c>
      <c r="B5488" s="1">
        <v>45897</v>
      </c>
      <c r="C5488" s="1">
        <v>45898</v>
      </c>
      <c r="D5488">
        <v>103558</v>
      </c>
      <c r="E5488">
        <v>100</v>
      </c>
      <c r="F5488" s="3" t="s">
        <v>4750</v>
      </c>
      <c r="G5488" s="4">
        <v>229183.25</v>
      </c>
      <c r="I5488" s="4">
        <v>-34976671.600000001</v>
      </c>
    </row>
    <row r="5489" spans="1:9" x14ac:dyDescent="0.3">
      <c r="A5489" t="s">
        <v>1</v>
      </c>
      <c r="B5489" s="1">
        <v>45898</v>
      </c>
      <c r="C5489" s="1">
        <v>45898</v>
      </c>
      <c r="D5489">
        <v>103560</v>
      </c>
      <c r="E5489">
        <v>100</v>
      </c>
      <c r="F5489" s="3" t="s">
        <v>4751</v>
      </c>
      <c r="G5489" s="4">
        <v>7026.25</v>
      </c>
      <c r="I5489" s="4">
        <v>-34969645.350000001</v>
      </c>
    </row>
    <row r="5490" spans="1:9" x14ac:dyDescent="0.3">
      <c r="A5490" t="s">
        <v>1</v>
      </c>
      <c r="B5490" s="1">
        <v>45897</v>
      </c>
      <c r="C5490" s="1">
        <v>45898</v>
      </c>
      <c r="D5490">
        <v>103573</v>
      </c>
      <c r="E5490">
        <v>100</v>
      </c>
      <c r="F5490" s="3" t="s">
        <v>4752</v>
      </c>
      <c r="G5490" s="4">
        <v>96000</v>
      </c>
      <c r="I5490" s="4">
        <v>-34873645.350000001</v>
      </c>
    </row>
    <row r="5491" spans="1:9" x14ac:dyDescent="0.3">
      <c r="A5491" t="s">
        <v>1</v>
      </c>
      <c r="B5491" s="1">
        <v>45897</v>
      </c>
      <c r="C5491" s="1">
        <v>45898</v>
      </c>
      <c r="D5491">
        <v>103577</v>
      </c>
      <c r="E5491">
        <v>100</v>
      </c>
      <c r="F5491" s="3" t="s">
        <v>4753</v>
      </c>
      <c r="G5491" s="4">
        <v>2430413.5499999998</v>
      </c>
      <c r="I5491" s="4">
        <v>-32443231.800000001</v>
      </c>
    </row>
    <row r="5492" spans="1:9" x14ac:dyDescent="0.3">
      <c r="A5492" t="s">
        <v>1</v>
      </c>
      <c r="B5492" s="1">
        <v>45897</v>
      </c>
      <c r="C5492" s="1">
        <v>45898</v>
      </c>
      <c r="D5492">
        <v>103579</v>
      </c>
      <c r="E5492">
        <v>100</v>
      </c>
      <c r="F5492" s="3" t="s">
        <v>4754</v>
      </c>
      <c r="G5492" s="4">
        <v>32552.5</v>
      </c>
      <c r="I5492" s="4">
        <v>-32410679.300000001</v>
      </c>
    </row>
    <row r="5493" spans="1:9" x14ac:dyDescent="0.3">
      <c r="A5493" t="s">
        <v>1</v>
      </c>
      <c r="B5493" s="1">
        <v>45897</v>
      </c>
      <c r="C5493" s="1">
        <v>45898</v>
      </c>
      <c r="D5493">
        <v>103583</v>
      </c>
      <c r="E5493">
        <v>100</v>
      </c>
      <c r="F5493" s="3" t="s">
        <v>4755</v>
      </c>
      <c r="G5493" s="4">
        <v>4026.25</v>
      </c>
      <c r="I5493" s="4">
        <v>-32406653.050000001</v>
      </c>
    </row>
    <row r="5494" spans="1:9" x14ac:dyDescent="0.3">
      <c r="A5494" t="s">
        <v>1</v>
      </c>
      <c r="B5494" s="1">
        <v>45897</v>
      </c>
      <c r="C5494" s="1">
        <v>45898</v>
      </c>
      <c r="D5494">
        <v>103585</v>
      </c>
      <c r="E5494">
        <v>100</v>
      </c>
      <c r="F5494" s="3" t="s">
        <v>3387</v>
      </c>
      <c r="G5494" s="4">
        <v>38907</v>
      </c>
      <c r="I5494" s="4">
        <v>-32367746.050000001</v>
      </c>
    </row>
    <row r="5495" spans="1:9" x14ac:dyDescent="0.3">
      <c r="A5495" t="s">
        <v>1</v>
      </c>
      <c r="B5495" s="1">
        <v>45897</v>
      </c>
      <c r="C5495" s="1">
        <v>45898</v>
      </c>
      <c r="D5495">
        <v>103587</v>
      </c>
      <c r="E5495">
        <v>100</v>
      </c>
      <c r="F5495" s="3" t="s">
        <v>4756</v>
      </c>
      <c r="G5495" s="4">
        <v>6620</v>
      </c>
      <c r="I5495" s="4">
        <v>-32361126.050000001</v>
      </c>
    </row>
    <row r="5496" spans="1:9" x14ac:dyDescent="0.3">
      <c r="A5496" t="s">
        <v>1</v>
      </c>
      <c r="B5496" s="1">
        <v>45897</v>
      </c>
      <c r="C5496" s="1">
        <v>45898</v>
      </c>
      <c r="D5496">
        <v>103596</v>
      </c>
      <c r="E5496">
        <v>100</v>
      </c>
      <c r="F5496" s="3" t="s">
        <v>2532</v>
      </c>
      <c r="G5496" s="4">
        <v>451694</v>
      </c>
      <c r="I5496" s="4">
        <v>-31909432.050000001</v>
      </c>
    </row>
    <row r="5497" spans="1:9" x14ac:dyDescent="0.3">
      <c r="A5497" t="s">
        <v>1</v>
      </c>
      <c r="B5497" s="1">
        <v>45897</v>
      </c>
      <c r="C5497" s="1">
        <v>45898</v>
      </c>
      <c r="D5497">
        <v>103603</v>
      </c>
      <c r="E5497">
        <v>100</v>
      </c>
      <c r="F5497" s="3" t="s">
        <v>2369</v>
      </c>
      <c r="G5497" s="4">
        <v>12089.15</v>
      </c>
      <c r="I5497" s="4">
        <v>-31897342.899999999</v>
      </c>
    </row>
    <row r="5498" spans="1:9" x14ac:dyDescent="0.3">
      <c r="A5498" t="s">
        <v>1</v>
      </c>
      <c r="B5498" s="1">
        <v>45897</v>
      </c>
      <c r="C5498" s="1">
        <v>45898</v>
      </c>
      <c r="D5498">
        <v>103604</v>
      </c>
      <c r="E5498">
        <v>100</v>
      </c>
      <c r="F5498" s="3" t="s">
        <v>2527</v>
      </c>
      <c r="G5498" s="4">
        <v>39510.75</v>
      </c>
      <c r="I5498" s="4">
        <v>-31857832.149999999</v>
      </c>
    </row>
    <row r="5499" spans="1:9" x14ac:dyDescent="0.3">
      <c r="A5499" t="s">
        <v>1</v>
      </c>
      <c r="B5499" s="1">
        <v>45897</v>
      </c>
      <c r="C5499" s="1">
        <v>45898</v>
      </c>
      <c r="D5499">
        <v>103610</v>
      </c>
      <c r="E5499">
        <v>100</v>
      </c>
      <c r="F5499" s="3" t="s">
        <v>536</v>
      </c>
      <c r="G5499" s="4">
        <v>386506.19</v>
      </c>
      <c r="I5499" s="4">
        <v>-31471325.960000001</v>
      </c>
    </row>
    <row r="5500" spans="1:9" x14ac:dyDescent="0.3">
      <c r="A5500" t="s">
        <v>1</v>
      </c>
      <c r="B5500" s="1">
        <v>45897</v>
      </c>
      <c r="C5500" s="1">
        <v>45898</v>
      </c>
      <c r="D5500">
        <v>103617</v>
      </c>
      <c r="E5500">
        <v>100</v>
      </c>
      <c r="F5500" s="3" t="s">
        <v>4757</v>
      </c>
      <c r="G5500" s="4">
        <v>1000</v>
      </c>
      <c r="I5500" s="4">
        <v>-31470325.960000001</v>
      </c>
    </row>
    <row r="5501" spans="1:9" x14ac:dyDescent="0.3">
      <c r="A5501" t="s">
        <v>1</v>
      </c>
      <c r="B5501" s="1">
        <v>45897</v>
      </c>
      <c r="C5501" s="1">
        <v>45898</v>
      </c>
      <c r="D5501">
        <v>103624</v>
      </c>
      <c r="E5501">
        <v>100</v>
      </c>
      <c r="F5501" s="3" t="s">
        <v>4757</v>
      </c>
      <c r="G5501" s="4">
        <v>500</v>
      </c>
      <c r="I5501" s="4">
        <v>-31469825.960000001</v>
      </c>
    </row>
    <row r="5502" spans="1:9" x14ac:dyDescent="0.3">
      <c r="A5502" t="s">
        <v>1</v>
      </c>
      <c r="B5502" s="1">
        <v>45897</v>
      </c>
      <c r="C5502" s="1">
        <v>45898</v>
      </c>
      <c r="D5502">
        <v>103628</v>
      </c>
      <c r="E5502">
        <v>100</v>
      </c>
      <c r="F5502" s="3" t="s">
        <v>4758</v>
      </c>
      <c r="G5502" s="4">
        <v>69450</v>
      </c>
      <c r="I5502" s="4">
        <v>-31400375.960000001</v>
      </c>
    </row>
    <row r="5503" spans="1:9" x14ac:dyDescent="0.3">
      <c r="A5503" t="s">
        <v>1</v>
      </c>
      <c r="B5503" s="1">
        <v>45897</v>
      </c>
      <c r="C5503" s="1">
        <v>45898</v>
      </c>
      <c r="D5503">
        <v>103634</v>
      </c>
      <c r="E5503">
        <v>100</v>
      </c>
      <c r="F5503" s="3" t="s">
        <v>4759</v>
      </c>
      <c r="G5503" s="4">
        <v>20026.25</v>
      </c>
      <c r="I5503" s="4">
        <v>-31380349.710000001</v>
      </c>
    </row>
    <row r="5504" spans="1:9" x14ac:dyDescent="0.3">
      <c r="A5504" t="s">
        <v>1</v>
      </c>
      <c r="B5504" s="1">
        <v>45897</v>
      </c>
      <c r="C5504" s="1">
        <v>45898</v>
      </c>
      <c r="D5504">
        <v>103647</v>
      </c>
      <c r="E5504">
        <v>100</v>
      </c>
      <c r="F5504" s="3" t="s">
        <v>4760</v>
      </c>
      <c r="G5504" s="4">
        <v>61000</v>
      </c>
      <c r="I5504" s="4">
        <v>-31319349.710000001</v>
      </c>
    </row>
    <row r="5505" spans="1:9" x14ac:dyDescent="0.3">
      <c r="A5505" t="s">
        <v>1</v>
      </c>
      <c r="B5505" s="1">
        <v>45897</v>
      </c>
      <c r="C5505" s="1">
        <v>45898</v>
      </c>
      <c r="D5505">
        <v>103648</v>
      </c>
      <c r="E5505">
        <v>100</v>
      </c>
      <c r="F5505" s="3" t="s">
        <v>4761</v>
      </c>
      <c r="G5505" s="4">
        <v>3004</v>
      </c>
      <c r="I5505" s="4">
        <v>-31316345.710000001</v>
      </c>
    </row>
    <row r="5506" spans="1:9" x14ac:dyDescent="0.3">
      <c r="A5506" t="s">
        <v>1</v>
      </c>
      <c r="B5506" s="1">
        <v>45894</v>
      </c>
      <c r="C5506" s="1">
        <v>45898</v>
      </c>
      <c r="D5506">
        <v>103654</v>
      </c>
      <c r="E5506">
        <v>100</v>
      </c>
      <c r="F5506" s="3" t="s">
        <v>4762</v>
      </c>
      <c r="G5506" s="4">
        <v>1505.25</v>
      </c>
      <c r="I5506" s="4">
        <v>-31314840.460000001</v>
      </c>
    </row>
    <row r="5507" spans="1:9" x14ac:dyDescent="0.3">
      <c r="A5507" t="s">
        <v>1</v>
      </c>
      <c r="B5507" s="1">
        <v>45897</v>
      </c>
      <c r="C5507" s="1">
        <v>45898</v>
      </c>
      <c r="D5507">
        <v>103655</v>
      </c>
      <c r="E5507">
        <v>100</v>
      </c>
      <c r="F5507" s="3" t="s">
        <v>4763</v>
      </c>
      <c r="G5507" s="4">
        <v>111000</v>
      </c>
      <c r="I5507" s="4">
        <v>-31203840.460000001</v>
      </c>
    </row>
    <row r="5508" spans="1:9" x14ac:dyDescent="0.3">
      <c r="A5508" t="s">
        <v>1</v>
      </c>
      <c r="B5508" s="1">
        <v>45898</v>
      </c>
      <c r="C5508" s="1">
        <v>45898</v>
      </c>
      <c r="D5508">
        <v>103657</v>
      </c>
      <c r="E5508">
        <v>100</v>
      </c>
      <c r="F5508" s="3" t="s">
        <v>4764</v>
      </c>
      <c r="G5508" s="4">
        <v>23000</v>
      </c>
      <c r="I5508" s="4">
        <v>-31180840.460000001</v>
      </c>
    </row>
    <row r="5509" spans="1:9" x14ac:dyDescent="0.3">
      <c r="A5509" t="s">
        <v>1</v>
      </c>
      <c r="B5509" s="1">
        <v>45898</v>
      </c>
      <c r="C5509" s="1">
        <v>45898</v>
      </c>
      <c r="D5509">
        <v>103658</v>
      </c>
      <c r="E5509">
        <v>100</v>
      </c>
      <c r="F5509" s="3" t="s">
        <v>4765</v>
      </c>
      <c r="G5509" s="4">
        <v>1386538.44</v>
      </c>
      <c r="I5509" s="4">
        <v>-29794302.02</v>
      </c>
    </row>
    <row r="5510" spans="1:9" x14ac:dyDescent="0.3">
      <c r="A5510" t="s">
        <v>1</v>
      </c>
      <c r="B5510" s="1">
        <v>45898</v>
      </c>
      <c r="C5510" s="1">
        <v>45898</v>
      </c>
      <c r="D5510">
        <v>103659</v>
      </c>
      <c r="E5510">
        <v>100</v>
      </c>
      <c r="F5510" s="3" t="s">
        <v>4766</v>
      </c>
      <c r="G5510" s="4">
        <v>160.65</v>
      </c>
      <c r="I5510" s="4">
        <v>-29794141.370000001</v>
      </c>
    </row>
    <row r="5511" spans="1:9" x14ac:dyDescent="0.3">
      <c r="A5511" t="s">
        <v>1</v>
      </c>
      <c r="B5511" s="1">
        <v>45897</v>
      </c>
      <c r="C5511" s="1">
        <v>45898</v>
      </c>
      <c r="D5511">
        <v>103662</v>
      </c>
      <c r="E5511">
        <v>100</v>
      </c>
      <c r="F5511" s="3" t="s">
        <v>4767</v>
      </c>
      <c r="G5511" s="4">
        <v>289013.7</v>
      </c>
      <c r="I5511" s="4">
        <v>-29505127.670000002</v>
      </c>
    </row>
    <row r="5512" spans="1:9" x14ac:dyDescent="0.3">
      <c r="A5512" t="s">
        <v>1</v>
      </c>
      <c r="B5512" s="1">
        <v>45898</v>
      </c>
      <c r="C5512" s="1">
        <v>45898</v>
      </c>
      <c r="D5512">
        <v>103665</v>
      </c>
      <c r="E5512">
        <v>100</v>
      </c>
      <c r="F5512" s="3" t="s">
        <v>4768</v>
      </c>
      <c r="G5512" s="4">
        <v>5793137.8300000001</v>
      </c>
      <c r="I5512" s="4">
        <v>-23711989.84</v>
      </c>
    </row>
    <row r="5513" spans="1:9" x14ac:dyDescent="0.3">
      <c r="A5513" t="s">
        <v>1</v>
      </c>
      <c r="B5513" s="1">
        <v>45898</v>
      </c>
      <c r="C5513" s="1">
        <v>45898</v>
      </c>
      <c r="D5513">
        <v>103667</v>
      </c>
      <c r="E5513">
        <v>100</v>
      </c>
      <c r="F5513" s="3" t="s">
        <v>4769</v>
      </c>
      <c r="G5513" s="4">
        <v>479.85</v>
      </c>
      <c r="I5513" s="4">
        <v>-23711509.989999998</v>
      </c>
    </row>
    <row r="5514" spans="1:9" x14ac:dyDescent="0.3">
      <c r="A5514" t="s">
        <v>1</v>
      </c>
      <c r="B5514" s="1">
        <v>45897</v>
      </c>
      <c r="C5514" s="1">
        <v>45898</v>
      </c>
      <c r="D5514">
        <v>103679</v>
      </c>
      <c r="E5514">
        <v>100</v>
      </c>
      <c r="F5514" s="3" t="s">
        <v>4770</v>
      </c>
      <c r="G5514" s="4">
        <v>4526.25</v>
      </c>
      <c r="I5514" s="4">
        <v>-23706983.739999998</v>
      </c>
    </row>
    <row r="5515" spans="1:9" x14ac:dyDescent="0.3">
      <c r="A5515" t="s">
        <v>1</v>
      </c>
      <c r="B5515" s="1">
        <v>45898</v>
      </c>
      <c r="C5515" s="1">
        <v>45898</v>
      </c>
      <c r="D5515">
        <v>103680</v>
      </c>
      <c r="E5515">
        <v>100</v>
      </c>
      <c r="F5515" s="3" t="s">
        <v>4771</v>
      </c>
      <c r="G5515" s="4">
        <v>33385</v>
      </c>
      <c r="I5515" s="4">
        <v>-23673598.739999998</v>
      </c>
    </row>
    <row r="5516" spans="1:9" x14ac:dyDescent="0.3">
      <c r="A5516" t="s">
        <v>1</v>
      </c>
      <c r="B5516" s="1">
        <v>45898</v>
      </c>
      <c r="C5516" s="1">
        <v>45898</v>
      </c>
      <c r="D5516">
        <v>103681</v>
      </c>
      <c r="E5516">
        <v>100</v>
      </c>
      <c r="F5516" s="3" t="s">
        <v>4772</v>
      </c>
      <c r="G5516" s="4">
        <v>8551.25</v>
      </c>
      <c r="I5516" s="4">
        <v>-23665047.489999998</v>
      </c>
    </row>
    <row r="5517" spans="1:9" x14ac:dyDescent="0.3">
      <c r="A5517" t="s">
        <v>1</v>
      </c>
      <c r="B5517" s="1">
        <v>45898</v>
      </c>
      <c r="C5517" s="1">
        <v>45898</v>
      </c>
      <c r="D5517">
        <v>103683</v>
      </c>
      <c r="E5517">
        <v>100</v>
      </c>
      <c r="F5517" s="3" t="s">
        <v>4773</v>
      </c>
      <c r="G5517" s="4">
        <v>399049</v>
      </c>
      <c r="I5517" s="4">
        <v>-23265998.489999998</v>
      </c>
    </row>
    <row r="5518" spans="1:9" x14ac:dyDescent="0.3">
      <c r="A5518" t="s">
        <v>1</v>
      </c>
      <c r="B5518" s="1">
        <v>45897</v>
      </c>
      <c r="C5518" s="1">
        <v>45898</v>
      </c>
      <c r="D5518">
        <v>103687</v>
      </c>
      <c r="E5518">
        <v>100</v>
      </c>
      <c r="F5518" s="3" t="s">
        <v>4774</v>
      </c>
      <c r="G5518" s="4">
        <v>4933</v>
      </c>
      <c r="I5518" s="4">
        <v>-23261065.489999998</v>
      </c>
    </row>
    <row r="5519" spans="1:9" x14ac:dyDescent="0.3">
      <c r="A5519" t="s">
        <v>1</v>
      </c>
      <c r="B5519" s="1">
        <v>45898</v>
      </c>
      <c r="C5519" s="1">
        <v>45898</v>
      </c>
      <c r="D5519">
        <v>103688</v>
      </c>
      <c r="E5519">
        <v>100</v>
      </c>
      <c r="F5519" s="3" t="s">
        <v>4775</v>
      </c>
      <c r="G5519" s="4">
        <v>1283.68</v>
      </c>
      <c r="I5519" s="4">
        <v>-23259781.809999999</v>
      </c>
    </row>
    <row r="5520" spans="1:9" x14ac:dyDescent="0.3">
      <c r="A5520" t="s">
        <v>1</v>
      </c>
      <c r="B5520" s="1">
        <v>45897</v>
      </c>
      <c r="C5520" s="1">
        <v>45898</v>
      </c>
      <c r="D5520">
        <v>103689</v>
      </c>
      <c r="E5520">
        <v>100</v>
      </c>
      <c r="F5520" s="3" t="s">
        <v>4776</v>
      </c>
      <c r="G5520" s="4">
        <v>49315</v>
      </c>
      <c r="I5520" s="4">
        <v>-23210466.809999999</v>
      </c>
    </row>
    <row r="5521" spans="1:9" x14ac:dyDescent="0.3">
      <c r="A5521" t="s">
        <v>1</v>
      </c>
      <c r="B5521" s="1">
        <v>45897</v>
      </c>
      <c r="C5521" s="1">
        <v>45898</v>
      </c>
      <c r="D5521">
        <v>103690</v>
      </c>
      <c r="E5521">
        <v>100</v>
      </c>
      <c r="F5521" s="3" t="s">
        <v>4777</v>
      </c>
      <c r="G5521" s="4">
        <v>1108.25</v>
      </c>
      <c r="I5521" s="4">
        <v>-23209358.559999999</v>
      </c>
    </row>
    <row r="5522" spans="1:9" x14ac:dyDescent="0.3">
      <c r="A5522" t="s">
        <v>1</v>
      </c>
      <c r="B5522" s="1">
        <v>45897</v>
      </c>
      <c r="C5522" s="1">
        <v>45898</v>
      </c>
      <c r="D5522">
        <v>103692</v>
      </c>
      <c r="E5522">
        <v>100</v>
      </c>
      <c r="F5522" s="3" t="s">
        <v>4778</v>
      </c>
      <c r="G5522" s="4">
        <v>39813</v>
      </c>
      <c r="I5522" s="4">
        <v>-23169545.559999999</v>
      </c>
    </row>
    <row r="5523" spans="1:9" x14ac:dyDescent="0.3">
      <c r="A5523" t="s">
        <v>1</v>
      </c>
      <c r="B5523" s="1">
        <v>45897</v>
      </c>
      <c r="C5523" s="1">
        <v>45898</v>
      </c>
      <c r="D5523">
        <v>103693</v>
      </c>
      <c r="E5523">
        <v>100</v>
      </c>
      <c r="F5523" s="3" t="s">
        <v>4779</v>
      </c>
      <c r="G5523" s="4">
        <v>70390</v>
      </c>
      <c r="I5523" s="4">
        <v>-23099155.559999999</v>
      </c>
    </row>
    <row r="5524" spans="1:9" x14ac:dyDescent="0.3">
      <c r="A5524" t="s">
        <v>1</v>
      </c>
      <c r="B5524" s="1">
        <v>45897</v>
      </c>
      <c r="C5524" s="1">
        <v>45898</v>
      </c>
      <c r="D5524">
        <v>103694</v>
      </c>
      <c r="E5524">
        <v>100</v>
      </c>
      <c r="F5524" s="3" t="s">
        <v>4780</v>
      </c>
      <c r="G5524" s="4">
        <v>105711.75</v>
      </c>
      <c r="I5524" s="4">
        <v>-22993443.809999999</v>
      </c>
    </row>
    <row r="5525" spans="1:9" x14ac:dyDescent="0.3">
      <c r="A5525" t="s">
        <v>1</v>
      </c>
      <c r="B5525" s="1">
        <v>45898</v>
      </c>
      <c r="C5525" s="1">
        <v>45898</v>
      </c>
      <c r="D5525">
        <v>103697</v>
      </c>
      <c r="E5525">
        <v>100</v>
      </c>
      <c r="F5525" s="3" t="s">
        <v>17</v>
      </c>
      <c r="G5525" s="4">
        <v>39000</v>
      </c>
      <c r="I5525" s="4">
        <v>-22954443.809999999</v>
      </c>
    </row>
    <row r="5526" spans="1:9" x14ac:dyDescent="0.3">
      <c r="A5526" t="s">
        <v>1</v>
      </c>
      <c r="B5526" s="1">
        <v>45898</v>
      </c>
      <c r="C5526" s="1">
        <v>45898</v>
      </c>
      <c r="D5526">
        <v>103701</v>
      </c>
      <c r="E5526">
        <v>100</v>
      </c>
      <c r="F5526" s="3" t="s">
        <v>4781</v>
      </c>
      <c r="G5526" s="4">
        <v>11600</v>
      </c>
      <c r="I5526" s="4">
        <v>-22942843.809999999</v>
      </c>
    </row>
    <row r="5527" spans="1:9" x14ac:dyDescent="0.3">
      <c r="A5527" t="s">
        <v>1</v>
      </c>
      <c r="B5527" s="1">
        <v>45898</v>
      </c>
      <c r="C5527" s="1">
        <v>45898</v>
      </c>
      <c r="D5527">
        <v>103705</v>
      </c>
      <c r="E5527">
        <v>100</v>
      </c>
      <c r="F5527" s="3" t="s">
        <v>4782</v>
      </c>
      <c r="G5527" s="4">
        <v>16883.68</v>
      </c>
      <c r="I5527" s="4">
        <v>-22925960.129999999</v>
      </c>
    </row>
    <row r="5528" spans="1:9" x14ac:dyDescent="0.3">
      <c r="A5528" t="s">
        <v>1</v>
      </c>
      <c r="B5528" s="1">
        <v>45898</v>
      </c>
      <c r="C5528" s="1">
        <v>45898</v>
      </c>
      <c r="D5528">
        <v>103707</v>
      </c>
      <c r="E5528">
        <v>100</v>
      </c>
      <c r="F5528" s="3" t="s">
        <v>4783</v>
      </c>
      <c r="G5528" s="4">
        <v>9000</v>
      </c>
      <c r="I5528" s="4">
        <v>-22916960.129999999</v>
      </c>
    </row>
    <row r="5529" spans="1:9" x14ac:dyDescent="0.3">
      <c r="A5529" t="s">
        <v>1</v>
      </c>
      <c r="B5529" s="1">
        <v>45897</v>
      </c>
      <c r="C5529" s="1">
        <v>45898</v>
      </c>
      <c r="D5529">
        <v>103709</v>
      </c>
      <c r="E5529">
        <v>100</v>
      </c>
      <c r="F5529" s="3" t="s">
        <v>4784</v>
      </c>
      <c r="G5529" s="4">
        <v>54552.5</v>
      </c>
      <c r="I5529" s="4">
        <v>-22862407.629999999</v>
      </c>
    </row>
    <row r="5530" spans="1:9" x14ac:dyDescent="0.3">
      <c r="A5530" t="s">
        <v>1</v>
      </c>
      <c r="B5530" s="1">
        <v>45898</v>
      </c>
      <c r="C5530" s="1">
        <v>45898</v>
      </c>
      <c r="D5530">
        <v>103712</v>
      </c>
      <c r="E5530">
        <v>100</v>
      </c>
      <c r="F5530" s="3" t="s">
        <v>1206</v>
      </c>
      <c r="G5530" s="4">
        <v>58250.5</v>
      </c>
      <c r="I5530" s="4">
        <v>-22804157.129999999</v>
      </c>
    </row>
    <row r="5531" spans="1:9" x14ac:dyDescent="0.3">
      <c r="A5531" t="s">
        <v>1</v>
      </c>
      <c r="B5531" s="1">
        <v>45897</v>
      </c>
      <c r="C5531" s="1">
        <v>45898</v>
      </c>
      <c r="D5531">
        <v>103717</v>
      </c>
      <c r="E5531">
        <v>100</v>
      </c>
      <c r="F5531" s="3" t="s">
        <v>4785</v>
      </c>
      <c r="G5531" s="4">
        <v>8026.25</v>
      </c>
      <c r="I5531" s="4">
        <v>-22796130.879999999</v>
      </c>
    </row>
    <row r="5532" spans="1:9" x14ac:dyDescent="0.3">
      <c r="A5532" t="s">
        <v>1</v>
      </c>
      <c r="B5532" s="1">
        <v>45898</v>
      </c>
      <c r="C5532" s="1">
        <v>45898</v>
      </c>
      <c r="D5532">
        <v>103723</v>
      </c>
      <c r="E5532">
        <v>100</v>
      </c>
      <c r="F5532" s="3" t="s">
        <v>786</v>
      </c>
      <c r="G5532" s="4">
        <v>5810.5</v>
      </c>
      <c r="I5532" s="4">
        <v>-22790320.379999999</v>
      </c>
    </row>
    <row r="5533" spans="1:9" x14ac:dyDescent="0.3">
      <c r="A5533" t="s">
        <v>1</v>
      </c>
      <c r="B5533" s="1">
        <v>45898</v>
      </c>
      <c r="C5533" s="1">
        <v>45898</v>
      </c>
      <c r="D5533">
        <v>103724</v>
      </c>
      <c r="E5533">
        <v>100</v>
      </c>
      <c r="F5533" s="3" t="s">
        <v>1195</v>
      </c>
      <c r="G5533" s="4">
        <v>100012.6</v>
      </c>
      <c r="I5533" s="4">
        <v>-22690307.780000001</v>
      </c>
    </row>
    <row r="5534" spans="1:9" x14ac:dyDescent="0.3">
      <c r="A5534" t="s">
        <v>1</v>
      </c>
      <c r="B5534" s="1">
        <v>45898</v>
      </c>
      <c r="C5534" s="1">
        <v>45898</v>
      </c>
      <c r="D5534">
        <v>103725</v>
      </c>
      <c r="E5534">
        <v>100</v>
      </c>
      <c r="F5534" s="3" t="s">
        <v>4786</v>
      </c>
      <c r="G5534" s="4">
        <v>11709.76</v>
      </c>
      <c r="I5534" s="4">
        <v>-22678598.02</v>
      </c>
    </row>
    <row r="5535" spans="1:9" x14ac:dyDescent="0.3">
      <c r="A5535" t="s">
        <v>1</v>
      </c>
      <c r="B5535" s="1">
        <v>45898</v>
      </c>
      <c r="C5535" s="1">
        <v>45898</v>
      </c>
      <c r="D5535">
        <v>103727</v>
      </c>
      <c r="E5535">
        <v>100</v>
      </c>
      <c r="F5535" s="3" t="s">
        <v>4787</v>
      </c>
      <c r="G5535" s="4">
        <v>24565.9</v>
      </c>
      <c r="I5535" s="4">
        <v>-22654032.120000001</v>
      </c>
    </row>
    <row r="5536" spans="1:9" x14ac:dyDescent="0.3">
      <c r="A5536" t="s">
        <v>1</v>
      </c>
      <c r="B5536" s="1">
        <v>45898</v>
      </c>
      <c r="C5536" s="1">
        <v>45898</v>
      </c>
      <c r="D5536">
        <v>103732</v>
      </c>
      <c r="E5536">
        <v>100</v>
      </c>
      <c r="F5536" s="3" t="s">
        <v>4788</v>
      </c>
      <c r="G5536" s="4">
        <v>55426.25</v>
      </c>
      <c r="I5536" s="4">
        <v>-22598605.870000001</v>
      </c>
    </row>
    <row r="5537" spans="1:9" x14ac:dyDescent="0.3">
      <c r="A5537" t="s">
        <v>1</v>
      </c>
      <c r="B5537" s="1">
        <v>45898</v>
      </c>
      <c r="C5537" s="1">
        <v>45898</v>
      </c>
      <c r="D5537">
        <v>103741</v>
      </c>
      <c r="E5537">
        <v>100</v>
      </c>
      <c r="F5537" s="3" t="s">
        <v>4789</v>
      </c>
      <c r="G5537" s="4">
        <v>339673.67</v>
      </c>
      <c r="I5537" s="4">
        <v>-22258932.199999999</v>
      </c>
    </row>
    <row r="5538" spans="1:9" x14ac:dyDescent="0.3">
      <c r="A5538" t="s">
        <v>1</v>
      </c>
      <c r="B5538" s="1">
        <v>45898</v>
      </c>
      <c r="C5538" s="1">
        <v>45898</v>
      </c>
      <c r="D5538">
        <v>103742</v>
      </c>
      <c r="E5538">
        <v>100</v>
      </c>
      <c r="F5538" s="3" t="s">
        <v>4789</v>
      </c>
      <c r="G5538" s="4">
        <v>154014.04999999999</v>
      </c>
      <c r="I5538" s="4">
        <v>-22104918.149999999</v>
      </c>
    </row>
    <row r="5539" spans="1:9" x14ac:dyDescent="0.3">
      <c r="A5539" t="s">
        <v>1</v>
      </c>
      <c r="B5539" s="1">
        <v>45898</v>
      </c>
      <c r="C5539" s="1">
        <v>45898</v>
      </c>
      <c r="D5539">
        <v>103743</v>
      </c>
      <c r="E5539">
        <v>100</v>
      </c>
      <c r="F5539" s="3" t="s">
        <v>4790</v>
      </c>
      <c r="G5539" s="4">
        <v>7200</v>
      </c>
      <c r="I5539" s="4">
        <v>-22097718.149999999</v>
      </c>
    </row>
    <row r="5540" spans="1:9" x14ac:dyDescent="0.3">
      <c r="A5540" t="s">
        <v>1</v>
      </c>
      <c r="B5540" s="1">
        <v>45898</v>
      </c>
      <c r="C5540" s="1">
        <v>45898</v>
      </c>
      <c r="D5540">
        <v>103745</v>
      </c>
      <c r="E5540">
        <v>100</v>
      </c>
      <c r="F5540" s="3" t="s">
        <v>4789</v>
      </c>
      <c r="G5540" s="4">
        <v>15732.6</v>
      </c>
      <c r="I5540" s="4">
        <v>-22081985.550000001</v>
      </c>
    </row>
    <row r="5541" spans="1:9" x14ac:dyDescent="0.3">
      <c r="A5541" t="s">
        <v>1</v>
      </c>
      <c r="B5541" s="1">
        <v>45898</v>
      </c>
      <c r="C5541" s="1">
        <v>45898</v>
      </c>
      <c r="D5541">
        <v>103746</v>
      </c>
      <c r="E5541">
        <v>100</v>
      </c>
      <c r="F5541" s="3" t="s">
        <v>4791</v>
      </c>
      <c r="G5541" s="4">
        <v>162213.91</v>
      </c>
      <c r="I5541" s="4">
        <v>-21919771.640000001</v>
      </c>
    </row>
    <row r="5542" spans="1:9" x14ac:dyDescent="0.3">
      <c r="A5542" t="s">
        <v>1</v>
      </c>
      <c r="B5542" s="1">
        <v>45891</v>
      </c>
      <c r="C5542" s="1">
        <v>45898</v>
      </c>
      <c r="D5542">
        <v>103752</v>
      </c>
      <c r="E5542">
        <v>100</v>
      </c>
      <c r="F5542" s="3" t="s">
        <v>4792</v>
      </c>
      <c r="G5542" s="4">
        <v>2003.15</v>
      </c>
      <c r="I5542" s="4">
        <v>-21917768.489999998</v>
      </c>
    </row>
    <row r="5543" spans="1:9" x14ac:dyDescent="0.3">
      <c r="A5543" t="s">
        <v>1</v>
      </c>
      <c r="B5543" s="1">
        <v>45898</v>
      </c>
      <c r="C5543" s="1">
        <v>45898</v>
      </c>
      <c r="D5543">
        <v>103753</v>
      </c>
      <c r="E5543">
        <v>100</v>
      </c>
      <c r="F5543" s="3" t="s">
        <v>4793</v>
      </c>
      <c r="G5543" s="4">
        <v>100000</v>
      </c>
      <c r="I5543" s="4">
        <v>-21817768.489999998</v>
      </c>
    </row>
    <row r="5544" spans="1:9" x14ac:dyDescent="0.3">
      <c r="A5544" t="s">
        <v>1</v>
      </c>
      <c r="B5544" s="1">
        <v>45898</v>
      </c>
      <c r="C5544" s="1">
        <v>45898</v>
      </c>
      <c r="D5544">
        <v>103754</v>
      </c>
      <c r="E5544">
        <v>100</v>
      </c>
      <c r="F5544" s="3" t="s">
        <v>4794</v>
      </c>
      <c r="G5544" s="4">
        <v>14000</v>
      </c>
      <c r="I5544" s="4">
        <v>-21803768.489999998</v>
      </c>
    </row>
    <row r="5545" spans="1:9" x14ac:dyDescent="0.3">
      <c r="A5545" t="s">
        <v>1</v>
      </c>
      <c r="B5545" s="1">
        <v>45898</v>
      </c>
      <c r="C5545" s="1">
        <v>45898</v>
      </c>
      <c r="D5545">
        <v>103755</v>
      </c>
      <c r="E5545">
        <v>100</v>
      </c>
      <c r="F5545" s="3" t="s">
        <v>4795</v>
      </c>
      <c r="G5545" s="4">
        <v>885999.25</v>
      </c>
      <c r="I5545" s="4">
        <v>-20917769.239999998</v>
      </c>
    </row>
    <row r="5546" spans="1:9" x14ac:dyDescent="0.3">
      <c r="A5546" t="s">
        <v>1</v>
      </c>
      <c r="B5546" s="1">
        <v>45897</v>
      </c>
      <c r="C5546" s="1">
        <v>45898</v>
      </c>
      <c r="D5546">
        <v>103757</v>
      </c>
      <c r="E5546">
        <v>100</v>
      </c>
      <c r="F5546" s="3" t="s">
        <v>4796</v>
      </c>
      <c r="G5546" s="4">
        <v>20369.650000000001</v>
      </c>
      <c r="I5546" s="4">
        <v>-20897399.59</v>
      </c>
    </row>
    <row r="5547" spans="1:9" x14ac:dyDescent="0.3">
      <c r="A5547" t="s">
        <v>1</v>
      </c>
      <c r="B5547" s="1">
        <v>45898</v>
      </c>
      <c r="C5547" s="1">
        <v>45898</v>
      </c>
      <c r="D5547">
        <v>103771</v>
      </c>
      <c r="E5547">
        <v>100</v>
      </c>
      <c r="F5547" s="3" t="s">
        <v>4797</v>
      </c>
      <c r="G5547" s="4">
        <v>72526.25</v>
      </c>
      <c r="I5547" s="4">
        <v>-20824873.34</v>
      </c>
    </row>
    <row r="5548" spans="1:9" x14ac:dyDescent="0.3">
      <c r="A5548" t="s">
        <v>1</v>
      </c>
      <c r="B5548" s="1">
        <v>45897</v>
      </c>
      <c r="C5548" s="1">
        <v>45898</v>
      </c>
      <c r="D5548">
        <v>103772</v>
      </c>
      <c r="E5548">
        <v>100</v>
      </c>
      <c r="F5548" s="3" t="s">
        <v>4798</v>
      </c>
      <c r="G5548" s="4">
        <v>21341.7</v>
      </c>
      <c r="I5548" s="4">
        <v>-20803531.640000001</v>
      </c>
    </row>
    <row r="5549" spans="1:9" x14ac:dyDescent="0.3">
      <c r="A5549" t="s">
        <v>1</v>
      </c>
      <c r="B5549" s="1">
        <v>45897</v>
      </c>
      <c r="C5549" s="1">
        <v>45898</v>
      </c>
      <c r="D5549">
        <v>103773</v>
      </c>
      <c r="E5549">
        <v>100</v>
      </c>
      <c r="F5549" s="3" t="s">
        <v>4799</v>
      </c>
      <c r="G5549" s="4">
        <v>15052.5</v>
      </c>
      <c r="I5549" s="4">
        <v>-20788479.140000001</v>
      </c>
    </row>
    <row r="5550" spans="1:9" x14ac:dyDescent="0.3">
      <c r="A5550" t="s">
        <v>75</v>
      </c>
      <c r="B5550" s="1">
        <v>45896</v>
      </c>
      <c r="C5550" s="1">
        <v>45898</v>
      </c>
      <c r="D5550">
        <v>144248</v>
      </c>
      <c r="E5550">
        <v>72</v>
      </c>
      <c r="F5550" s="3" t="s">
        <v>4800</v>
      </c>
      <c r="G5550" s="4">
        <v>11550</v>
      </c>
      <c r="H5550" s="4">
        <v>0</v>
      </c>
      <c r="I5550" s="4">
        <v>-20776929.140000001</v>
      </c>
    </row>
    <row r="5551" spans="1:9" x14ac:dyDescent="0.3">
      <c r="A5551" t="s">
        <v>75</v>
      </c>
      <c r="B5551" s="1">
        <v>45897</v>
      </c>
      <c r="C5551" s="1">
        <v>45898</v>
      </c>
      <c r="D5551">
        <v>144251</v>
      </c>
      <c r="E5551">
        <v>58</v>
      </c>
      <c r="F5551" s="3" t="s">
        <v>4801</v>
      </c>
      <c r="G5551" s="4">
        <v>105</v>
      </c>
      <c r="H5551" s="4">
        <v>0</v>
      </c>
      <c r="I5551" s="4">
        <v>-20776824.140000001</v>
      </c>
    </row>
    <row r="5552" spans="1:9" x14ac:dyDescent="0.3">
      <c r="A5552" t="s">
        <v>75</v>
      </c>
      <c r="B5552" s="1">
        <v>45898</v>
      </c>
      <c r="C5552" s="1">
        <v>45898</v>
      </c>
      <c r="D5552">
        <v>144252</v>
      </c>
      <c r="E5552">
        <v>224</v>
      </c>
      <c r="F5552" s="3" t="s">
        <v>4802</v>
      </c>
      <c r="G5552" s="4">
        <v>2577.5</v>
      </c>
      <c r="H5552" s="4">
        <v>0</v>
      </c>
      <c r="I5552" s="4">
        <v>-20774246.640000001</v>
      </c>
    </row>
    <row r="5553" spans="1:9" x14ac:dyDescent="0.3">
      <c r="A5553" t="s">
        <v>75</v>
      </c>
      <c r="B5553" s="1">
        <v>45898</v>
      </c>
      <c r="C5553" s="1">
        <v>45898</v>
      </c>
      <c r="D5553">
        <v>144253</v>
      </c>
      <c r="E5553">
        <v>67</v>
      </c>
      <c r="F5553" s="3" t="s">
        <v>4803</v>
      </c>
      <c r="G5553" s="4">
        <v>2800</v>
      </c>
      <c r="H5553" s="4">
        <v>0</v>
      </c>
      <c r="I5553" s="4">
        <v>-20771446.640000001</v>
      </c>
    </row>
    <row r="5554" spans="1:9" x14ac:dyDescent="0.3">
      <c r="A5554" t="s">
        <v>75</v>
      </c>
      <c r="B5554" s="1">
        <v>45898</v>
      </c>
      <c r="C5554" s="1">
        <v>45898</v>
      </c>
      <c r="D5554">
        <v>144254</v>
      </c>
      <c r="E5554">
        <v>67</v>
      </c>
      <c r="F5554" s="3" t="s">
        <v>4804</v>
      </c>
      <c r="G5554" s="4">
        <v>4542.5</v>
      </c>
      <c r="H5554" s="4">
        <v>0</v>
      </c>
      <c r="I5554" s="4">
        <v>-20766904.140000001</v>
      </c>
    </row>
    <row r="5555" spans="1:9" x14ac:dyDescent="0.3">
      <c r="A5555" t="s">
        <v>75</v>
      </c>
      <c r="B5555" s="1">
        <v>45898</v>
      </c>
      <c r="C5555" s="1">
        <v>45898</v>
      </c>
      <c r="D5555">
        <v>144255</v>
      </c>
      <c r="E5555">
        <v>61</v>
      </c>
      <c r="F5555" s="3" t="s">
        <v>4805</v>
      </c>
      <c r="G5555" s="4">
        <v>10000</v>
      </c>
      <c r="H5555" s="4">
        <v>0</v>
      </c>
      <c r="I5555" s="4">
        <v>-20756904.140000001</v>
      </c>
    </row>
    <row r="5556" spans="1:9" x14ac:dyDescent="0.3">
      <c r="A5556" t="s">
        <v>75</v>
      </c>
      <c r="B5556" s="1">
        <v>45898</v>
      </c>
      <c r="C5556" s="1">
        <v>45898</v>
      </c>
      <c r="D5556">
        <v>144256</v>
      </c>
      <c r="E5556">
        <v>61</v>
      </c>
      <c r="F5556" s="3" t="s">
        <v>4806</v>
      </c>
      <c r="G5556" s="4">
        <v>11064.75</v>
      </c>
      <c r="H5556" s="4">
        <v>0</v>
      </c>
      <c r="I5556" s="4">
        <v>-20745839.390000001</v>
      </c>
    </row>
    <row r="5557" spans="1:9" x14ac:dyDescent="0.3">
      <c r="A5557" t="s">
        <v>75</v>
      </c>
      <c r="B5557" s="1">
        <v>45898</v>
      </c>
      <c r="C5557" s="1">
        <v>45898</v>
      </c>
      <c r="D5557">
        <v>144257</v>
      </c>
      <c r="E5557">
        <v>61</v>
      </c>
      <c r="F5557" s="3" t="s">
        <v>4807</v>
      </c>
      <c r="G5557" s="4">
        <v>435.25</v>
      </c>
      <c r="H5557" s="4">
        <v>0</v>
      </c>
      <c r="I5557" s="4">
        <v>-20745404.140000001</v>
      </c>
    </row>
    <row r="5558" spans="1:9" x14ac:dyDescent="0.3">
      <c r="A5558" t="s">
        <v>75</v>
      </c>
      <c r="B5558" s="1">
        <v>45898</v>
      </c>
      <c r="C5558" s="1">
        <v>45898</v>
      </c>
      <c r="D5558">
        <v>144258</v>
      </c>
      <c r="E5558">
        <v>14</v>
      </c>
      <c r="F5558" s="3" t="s">
        <v>4808</v>
      </c>
      <c r="G5558" s="4">
        <v>20000</v>
      </c>
      <c r="H5558" s="4">
        <v>0</v>
      </c>
      <c r="I5558" s="4">
        <v>-20725404.140000001</v>
      </c>
    </row>
    <row r="5559" spans="1:9" x14ac:dyDescent="0.3">
      <c r="A5559" t="s">
        <v>75</v>
      </c>
      <c r="B5559" s="1">
        <v>45897</v>
      </c>
      <c r="C5559" s="1">
        <v>45898</v>
      </c>
      <c r="D5559">
        <v>144259</v>
      </c>
      <c r="E5559">
        <v>58</v>
      </c>
      <c r="F5559" s="3" t="s">
        <v>4809</v>
      </c>
      <c r="G5559" s="4">
        <v>25500</v>
      </c>
      <c r="H5559" s="4">
        <v>0</v>
      </c>
      <c r="I5559" s="4">
        <v>-20699904.140000001</v>
      </c>
    </row>
    <row r="5560" spans="1:9" x14ac:dyDescent="0.3">
      <c r="A5560" t="s">
        <v>75</v>
      </c>
      <c r="B5560" s="1">
        <v>45897</v>
      </c>
      <c r="C5560" s="1">
        <v>45898</v>
      </c>
      <c r="D5560">
        <v>144260</v>
      </c>
      <c r="E5560">
        <v>58</v>
      </c>
      <c r="F5560" s="3" t="s">
        <v>4810</v>
      </c>
      <c r="G5560" s="4">
        <v>35000</v>
      </c>
      <c r="H5560" s="4">
        <v>0</v>
      </c>
      <c r="I5560" s="4">
        <v>-20664904.140000001</v>
      </c>
    </row>
    <row r="5561" spans="1:9" x14ac:dyDescent="0.3">
      <c r="A5561" t="s">
        <v>75</v>
      </c>
      <c r="B5561" s="1">
        <v>45894</v>
      </c>
      <c r="C5561" s="1">
        <v>45898</v>
      </c>
      <c r="D5561">
        <v>144261</v>
      </c>
      <c r="E5561">
        <v>77</v>
      </c>
      <c r="F5561" s="3" t="s">
        <v>4811</v>
      </c>
      <c r="G5561" s="4">
        <v>2405</v>
      </c>
      <c r="H5561" s="4">
        <v>0</v>
      </c>
      <c r="I5561" s="4">
        <v>-20662499.140000001</v>
      </c>
    </row>
    <row r="5562" spans="1:9" x14ac:dyDescent="0.3">
      <c r="A5562" t="s">
        <v>75</v>
      </c>
      <c r="B5562" s="1">
        <v>45894</v>
      </c>
      <c r="C5562" s="1">
        <v>45898</v>
      </c>
      <c r="D5562">
        <v>144262</v>
      </c>
      <c r="E5562">
        <v>77</v>
      </c>
      <c r="F5562" s="3" t="s">
        <v>4812</v>
      </c>
      <c r="G5562" s="4">
        <v>193040.5</v>
      </c>
      <c r="H5562" s="4">
        <v>0</v>
      </c>
      <c r="I5562" s="4">
        <v>-20469458.640000001</v>
      </c>
    </row>
    <row r="5563" spans="1:9" x14ac:dyDescent="0.3">
      <c r="A5563" t="s">
        <v>75</v>
      </c>
      <c r="B5563" s="1">
        <v>45896</v>
      </c>
      <c r="C5563" s="1">
        <v>45898</v>
      </c>
      <c r="D5563">
        <v>144263</v>
      </c>
      <c r="E5563">
        <v>77</v>
      </c>
      <c r="F5563" s="3" t="s">
        <v>4813</v>
      </c>
      <c r="G5563" s="4">
        <v>16323.5</v>
      </c>
      <c r="H5563" s="4">
        <v>0</v>
      </c>
      <c r="I5563" s="4">
        <v>-20453135.140000001</v>
      </c>
    </row>
    <row r="5564" spans="1:9" x14ac:dyDescent="0.3">
      <c r="A5564" t="s">
        <v>75</v>
      </c>
      <c r="B5564" s="1">
        <v>45896</v>
      </c>
      <c r="C5564" s="1">
        <v>45898</v>
      </c>
      <c r="D5564">
        <v>144266</v>
      </c>
      <c r="E5564">
        <v>77</v>
      </c>
      <c r="F5564" s="3" t="s">
        <v>4814</v>
      </c>
      <c r="G5564" s="4">
        <v>211933</v>
      </c>
      <c r="H5564" s="4">
        <v>0</v>
      </c>
      <c r="I5564" s="4">
        <v>-20241202.140000001</v>
      </c>
    </row>
    <row r="5565" spans="1:9" x14ac:dyDescent="0.3">
      <c r="A5565" t="s">
        <v>75</v>
      </c>
      <c r="B5565" s="1">
        <v>45897</v>
      </c>
      <c r="C5565" s="1">
        <v>45898</v>
      </c>
      <c r="D5565">
        <v>144267</v>
      </c>
      <c r="E5565">
        <v>77</v>
      </c>
      <c r="F5565" s="3" t="s">
        <v>4815</v>
      </c>
      <c r="G5565" s="4">
        <v>9200</v>
      </c>
      <c r="H5565" s="4">
        <v>0</v>
      </c>
      <c r="I5565" s="4">
        <v>-20232002.140000001</v>
      </c>
    </row>
    <row r="5566" spans="1:9" x14ac:dyDescent="0.3">
      <c r="A5566" t="s">
        <v>75</v>
      </c>
      <c r="B5566" s="1">
        <v>45898</v>
      </c>
      <c r="C5566" s="1">
        <v>45898</v>
      </c>
      <c r="D5566">
        <v>144268</v>
      </c>
      <c r="E5566">
        <v>14</v>
      </c>
      <c r="F5566" s="3" t="s">
        <v>4816</v>
      </c>
      <c r="G5566" s="4">
        <v>2577.5</v>
      </c>
      <c r="H5566" s="4">
        <v>0</v>
      </c>
      <c r="I5566" s="4">
        <v>-20229424.640000001</v>
      </c>
    </row>
    <row r="5567" spans="1:9" x14ac:dyDescent="0.3">
      <c r="A5567" t="s">
        <v>75</v>
      </c>
      <c r="B5567" s="1">
        <v>45897</v>
      </c>
      <c r="C5567" s="1">
        <v>45898</v>
      </c>
      <c r="D5567">
        <v>144270</v>
      </c>
      <c r="E5567">
        <v>77</v>
      </c>
      <c r="F5567" s="3" t="s">
        <v>4817</v>
      </c>
      <c r="G5567" s="4">
        <v>17075.75</v>
      </c>
      <c r="H5567" s="4">
        <v>0</v>
      </c>
      <c r="I5567" s="4">
        <v>-20212348.890000001</v>
      </c>
    </row>
    <row r="5568" spans="1:9" x14ac:dyDescent="0.3">
      <c r="A5568" t="s">
        <v>75</v>
      </c>
      <c r="B5568" s="1">
        <v>45897</v>
      </c>
      <c r="C5568" s="1">
        <v>45898</v>
      </c>
      <c r="D5568">
        <v>144271</v>
      </c>
      <c r="E5568">
        <v>62</v>
      </c>
      <c r="F5568" s="3" t="s">
        <v>4818</v>
      </c>
      <c r="G5568" s="4">
        <v>1915.25</v>
      </c>
      <c r="H5568" s="4">
        <v>0</v>
      </c>
      <c r="I5568" s="4">
        <v>-20210433.640000001</v>
      </c>
    </row>
    <row r="5569" spans="1:9" x14ac:dyDescent="0.3">
      <c r="A5569" t="s">
        <v>75</v>
      </c>
      <c r="B5569" s="1">
        <v>45898</v>
      </c>
      <c r="C5569" s="1">
        <v>45898</v>
      </c>
      <c r="D5569">
        <v>144272</v>
      </c>
      <c r="E5569">
        <v>66</v>
      </c>
      <c r="F5569" s="3" t="s">
        <v>4819</v>
      </c>
      <c r="G5569" s="4">
        <v>10645</v>
      </c>
      <c r="H5569" s="4">
        <v>0</v>
      </c>
      <c r="I5569" s="4">
        <v>-20199788.640000001</v>
      </c>
    </row>
    <row r="5570" spans="1:9" x14ac:dyDescent="0.3">
      <c r="A5570" t="s">
        <v>75</v>
      </c>
      <c r="B5570" s="1">
        <v>45897</v>
      </c>
      <c r="C5570" s="1">
        <v>45898</v>
      </c>
      <c r="D5570">
        <v>144273</v>
      </c>
      <c r="E5570">
        <v>62</v>
      </c>
      <c r="F5570" s="3" t="s">
        <v>4820</v>
      </c>
      <c r="G5570" s="4">
        <v>4255</v>
      </c>
      <c r="H5570" s="4">
        <v>0</v>
      </c>
      <c r="I5570" s="4">
        <v>-20195533.640000001</v>
      </c>
    </row>
    <row r="5571" spans="1:9" x14ac:dyDescent="0.3">
      <c r="A5571" t="s">
        <v>75</v>
      </c>
      <c r="B5571" s="1">
        <v>45897</v>
      </c>
      <c r="C5571" s="1">
        <v>45898</v>
      </c>
      <c r="D5571">
        <v>144274</v>
      </c>
      <c r="E5571">
        <v>62</v>
      </c>
      <c r="F5571" s="3" t="s">
        <v>4821</v>
      </c>
      <c r="G5571" s="4">
        <v>3580</v>
      </c>
      <c r="H5571" s="4">
        <v>0</v>
      </c>
      <c r="I5571" s="4">
        <v>-20191953.640000001</v>
      </c>
    </row>
    <row r="5572" spans="1:9" x14ac:dyDescent="0.3">
      <c r="A5572" t="s">
        <v>75</v>
      </c>
      <c r="B5572" s="1">
        <v>45897</v>
      </c>
      <c r="C5572" s="1">
        <v>45898</v>
      </c>
      <c r="D5572">
        <v>144275</v>
      </c>
      <c r="E5572">
        <v>62</v>
      </c>
      <c r="F5572" s="3" t="s">
        <v>4822</v>
      </c>
      <c r="G5572" s="4">
        <v>6462</v>
      </c>
      <c r="H5572" s="4">
        <v>0</v>
      </c>
      <c r="I5572" s="4">
        <v>-20185491.640000001</v>
      </c>
    </row>
    <row r="5573" spans="1:9" x14ac:dyDescent="0.3">
      <c r="A5573" t="s">
        <v>75</v>
      </c>
      <c r="B5573" s="1">
        <v>45897</v>
      </c>
      <c r="C5573" s="1">
        <v>45898</v>
      </c>
      <c r="D5573">
        <v>144276</v>
      </c>
      <c r="E5573">
        <v>62</v>
      </c>
      <c r="F5573" s="3" t="s">
        <v>4823</v>
      </c>
      <c r="G5573" s="4">
        <v>15040</v>
      </c>
      <c r="H5573" s="4">
        <v>0</v>
      </c>
      <c r="I5573" s="4">
        <v>-20170451.640000001</v>
      </c>
    </row>
    <row r="5574" spans="1:9" x14ac:dyDescent="0.3">
      <c r="A5574" t="s">
        <v>75</v>
      </c>
      <c r="B5574" s="1">
        <v>45898</v>
      </c>
      <c r="C5574" s="1">
        <v>45898</v>
      </c>
      <c r="D5574">
        <v>144278</v>
      </c>
      <c r="E5574">
        <v>11</v>
      </c>
      <c r="F5574" s="3" t="s">
        <v>4824</v>
      </c>
      <c r="G5574" s="4">
        <v>5939</v>
      </c>
      <c r="H5574" s="4">
        <v>0</v>
      </c>
      <c r="I5574" s="4">
        <v>-20164512.640000001</v>
      </c>
    </row>
    <row r="5575" spans="1:9" x14ac:dyDescent="0.3">
      <c r="A5575" t="s">
        <v>75</v>
      </c>
      <c r="B5575" s="1">
        <v>45898</v>
      </c>
      <c r="C5575" s="1">
        <v>45898</v>
      </c>
      <c r="D5575">
        <v>144279</v>
      </c>
      <c r="E5575">
        <v>11</v>
      </c>
      <c r="F5575" s="3" t="s">
        <v>4825</v>
      </c>
      <c r="G5575" s="4">
        <v>1200</v>
      </c>
      <c r="H5575" s="4">
        <v>0</v>
      </c>
      <c r="I5575" s="4">
        <v>-20163312.640000001</v>
      </c>
    </row>
    <row r="5576" spans="1:9" x14ac:dyDescent="0.3">
      <c r="A5576" t="s">
        <v>75</v>
      </c>
      <c r="B5576" s="1">
        <v>45898</v>
      </c>
      <c r="C5576" s="1">
        <v>45898</v>
      </c>
      <c r="D5576">
        <v>144282</v>
      </c>
      <c r="E5576">
        <v>14</v>
      </c>
      <c r="F5576" s="3" t="s">
        <v>4826</v>
      </c>
      <c r="G5576" s="4">
        <v>19125</v>
      </c>
      <c r="H5576" s="4">
        <v>0</v>
      </c>
      <c r="I5576" s="4">
        <v>-20144187.640000001</v>
      </c>
    </row>
    <row r="5577" spans="1:9" x14ac:dyDescent="0.3">
      <c r="A5577" t="s">
        <v>75</v>
      </c>
      <c r="B5577" s="1">
        <v>45895</v>
      </c>
      <c r="C5577" s="1">
        <v>45898</v>
      </c>
      <c r="D5577">
        <v>144285</v>
      </c>
      <c r="E5577">
        <v>23</v>
      </c>
      <c r="F5577" s="3" t="s">
        <v>4827</v>
      </c>
      <c r="G5577" s="4">
        <v>169000</v>
      </c>
      <c r="H5577" s="4">
        <v>0</v>
      </c>
      <c r="I5577" s="4">
        <v>-19975187.640000001</v>
      </c>
    </row>
    <row r="5578" spans="1:9" x14ac:dyDescent="0.3">
      <c r="A5578" t="s">
        <v>75</v>
      </c>
      <c r="B5578" s="1">
        <v>45898</v>
      </c>
      <c r="C5578" s="1">
        <v>45898</v>
      </c>
      <c r="D5578">
        <v>144286</v>
      </c>
      <c r="E5578">
        <v>23</v>
      </c>
      <c r="F5578" s="3" t="s">
        <v>4828</v>
      </c>
      <c r="G5578" s="4">
        <v>48000</v>
      </c>
      <c r="H5578" s="4">
        <v>0</v>
      </c>
      <c r="I5578" s="4">
        <v>-19927187.640000001</v>
      </c>
    </row>
    <row r="5579" spans="1:9" x14ac:dyDescent="0.3">
      <c r="A5579" t="s">
        <v>75</v>
      </c>
      <c r="B5579" s="1">
        <v>45898</v>
      </c>
      <c r="C5579" s="1">
        <v>45898</v>
      </c>
      <c r="D5579">
        <v>144287</v>
      </c>
      <c r="E5579">
        <v>14</v>
      </c>
      <c r="F5579" s="3" t="s">
        <v>4829</v>
      </c>
      <c r="G5579" s="4">
        <v>45000</v>
      </c>
      <c r="H5579" s="4">
        <v>0</v>
      </c>
      <c r="I5579" s="4">
        <v>-19882187.640000001</v>
      </c>
    </row>
    <row r="5580" spans="1:9" x14ac:dyDescent="0.3">
      <c r="A5580" t="s">
        <v>75</v>
      </c>
      <c r="B5580" s="1">
        <v>45897</v>
      </c>
      <c r="C5580" s="1">
        <v>45898</v>
      </c>
      <c r="D5580">
        <v>144289</v>
      </c>
      <c r="E5580">
        <v>14</v>
      </c>
      <c r="F5580" s="3" t="s">
        <v>4830</v>
      </c>
      <c r="G5580" s="4">
        <v>50000</v>
      </c>
      <c r="H5580" s="4">
        <v>0</v>
      </c>
      <c r="I5580" s="4">
        <v>-19832187.640000001</v>
      </c>
    </row>
    <row r="5581" spans="1:9" x14ac:dyDescent="0.3">
      <c r="A5581" t="s">
        <v>75</v>
      </c>
      <c r="B5581" s="1">
        <v>45897</v>
      </c>
      <c r="C5581" s="1">
        <v>45898</v>
      </c>
      <c r="D5581">
        <v>144290</v>
      </c>
      <c r="E5581">
        <v>72</v>
      </c>
      <c r="F5581" s="3" t="s">
        <v>4831</v>
      </c>
      <c r="G5581" s="4">
        <v>1400</v>
      </c>
      <c r="H5581" s="4">
        <v>0</v>
      </c>
      <c r="I5581" s="4">
        <v>-19830787.640000001</v>
      </c>
    </row>
    <row r="5582" spans="1:9" x14ac:dyDescent="0.3">
      <c r="A5582" t="s">
        <v>75</v>
      </c>
      <c r="B5582" s="1">
        <v>45897</v>
      </c>
      <c r="C5582" s="1">
        <v>45898</v>
      </c>
      <c r="D5582">
        <v>144291</v>
      </c>
      <c r="E5582">
        <v>72</v>
      </c>
      <c r="F5582" s="3" t="s">
        <v>4832</v>
      </c>
      <c r="G5582" s="4">
        <v>1500</v>
      </c>
      <c r="H5582" s="4">
        <v>0</v>
      </c>
      <c r="I5582" s="4">
        <v>-19829287.640000001</v>
      </c>
    </row>
    <row r="5583" spans="1:9" x14ac:dyDescent="0.3">
      <c r="A5583" t="s">
        <v>75</v>
      </c>
      <c r="B5583" s="1">
        <v>45898</v>
      </c>
      <c r="C5583" s="1">
        <v>45898</v>
      </c>
      <c r="D5583">
        <v>144294</v>
      </c>
      <c r="E5583">
        <v>14</v>
      </c>
      <c r="F5583" s="3" t="s">
        <v>4833</v>
      </c>
      <c r="G5583" s="4">
        <v>50026.5</v>
      </c>
      <c r="H5583" s="4">
        <v>0</v>
      </c>
      <c r="I5583" s="4">
        <v>-19779261.140000001</v>
      </c>
    </row>
    <row r="5584" spans="1:9" x14ac:dyDescent="0.3">
      <c r="A5584" t="s">
        <v>75</v>
      </c>
      <c r="B5584" s="1">
        <v>45898</v>
      </c>
      <c r="C5584" s="1">
        <v>45898</v>
      </c>
      <c r="D5584">
        <v>144295</v>
      </c>
      <c r="E5584">
        <v>89</v>
      </c>
      <c r="F5584" s="3" t="s">
        <v>4834</v>
      </c>
      <c r="G5584" s="4">
        <v>23941.5</v>
      </c>
      <c r="H5584" s="4">
        <v>0</v>
      </c>
      <c r="I5584" s="4">
        <v>-19755319.640000001</v>
      </c>
    </row>
    <row r="5585" spans="1:9" x14ac:dyDescent="0.3">
      <c r="A5585" t="s">
        <v>75</v>
      </c>
      <c r="B5585" s="1">
        <v>45896</v>
      </c>
      <c r="C5585" s="1">
        <v>45898</v>
      </c>
      <c r="D5585">
        <v>144296</v>
      </c>
      <c r="E5585">
        <v>67</v>
      </c>
      <c r="F5585" s="3" t="s">
        <v>4835</v>
      </c>
      <c r="G5585" s="4">
        <v>4312.75</v>
      </c>
      <c r="H5585" s="4">
        <v>0</v>
      </c>
      <c r="I5585" s="4">
        <v>-19751006.890000001</v>
      </c>
    </row>
    <row r="5586" spans="1:9" x14ac:dyDescent="0.3">
      <c r="A5586" t="s">
        <v>75</v>
      </c>
      <c r="B5586" s="1">
        <v>45896</v>
      </c>
      <c r="C5586" s="1">
        <v>45898</v>
      </c>
      <c r="D5586">
        <v>144297</v>
      </c>
      <c r="E5586">
        <v>67</v>
      </c>
      <c r="F5586" s="3" t="s">
        <v>4836</v>
      </c>
      <c r="G5586" s="4">
        <v>39444</v>
      </c>
      <c r="H5586" s="4">
        <v>0</v>
      </c>
      <c r="I5586" s="4">
        <v>-19711562.890000001</v>
      </c>
    </row>
    <row r="5587" spans="1:9" x14ac:dyDescent="0.3">
      <c r="A5587" t="s">
        <v>75</v>
      </c>
      <c r="B5587" s="1">
        <v>45898</v>
      </c>
      <c r="C5587" s="1">
        <v>45898</v>
      </c>
      <c r="D5587">
        <v>144301</v>
      </c>
      <c r="E5587">
        <v>67</v>
      </c>
      <c r="F5587" s="3" t="s">
        <v>4837</v>
      </c>
      <c r="G5587" s="4">
        <v>99500</v>
      </c>
      <c r="H5587" s="4">
        <v>0</v>
      </c>
      <c r="I5587" s="4">
        <v>-19612062.890000001</v>
      </c>
    </row>
    <row r="5588" spans="1:9" x14ac:dyDescent="0.3">
      <c r="A5588" t="s">
        <v>75</v>
      </c>
      <c r="B5588" s="1">
        <v>45896</v>
      </c>
      <c r="C5588" s="1">
        <v>45898</v>
      </c>
      <c r="D5588">
        <v>144302</v>
      </c>
      <c r="E5588">
        <v>86</v>
      </c>
      <c r="F5588" s="3" t="s">
        <v>4838</v>
      </c>
      <c r="G5588" s="4">
        <v>21017.5</v>
      </c>
      <c r="H5588" s="4">
        <v>0</v>
      </c>
      <c r="I5588" s="4">
        <v>-19591045.390000001</v>
      </c>
    </row>
    <row r="5589" spans="1:9" x14ac:dyDescent="0.3">
      <c r="A5589" t="s">
        <v>75</v>
      </c>
      <c r="B5589" s="1">
        <v>45896</v>
      </c>
      <c r="C5589" s="1">
        <v>45898</v>
      </c>
      <c r="D5589">
        <v>144306</v>
      </c>
      <c r="E5589">
        <v>61</v>
      </c>
      <c r="F5589" s="3" t="s">
        <v>4839</v>
      </c>
      <c r="G5589" s="4">
        <v>31665</v>
      </c>
      <c r="H5589" s="4">
        <v>0</v>
      </c>
      <c r="I5589" s="4">
        <v>-19559380.390000001</v>
      </c>
    </row>
    <row r="5590" spans="1:9" x14ac:dyDescent="0.3">
      <c r="A5590" t="s">
        <v>75</v>
      </c>
      <c r="B5590" s="1">
        <v>45896</v>
      </c>
      <c r="C5590" s="1">
        <v>45898</v>
      </c>
      <c r="D5590">
        <v>144307</v>
      </c>
      <c r="E5590">
        <v>34</v>
      </c>
      <c r="F5590" s="3" t="s">
        <v>4840</v>
      </c>
      <c r="G5590" s="4">
        <v>88224.5</v>
      </c>
      <c r="H5590" s="4">
        <v>0</v>
      </c>
      <c r="I5590" s="4">
        <v>-19471155.890000001</v>
      </c>
    </row>
    <row r="5591" spans="1:9" x14ac:dyDescent="0.3">
      <c r="A5591" t="s">
        <v>75</v>
      </c>
      <c r="B5591" s="1">
        <v>45897</v>
      </c>
      <c r="C5591" s="1">
        <v>45898</v>
      </c>
      <c r="D5591">
        <v>144308</v>
      </c>
      <c r="E5591">
        <v>16</v>
      </c>
      <c r="F5591" s="3" t="s">
        <v>4841</v>
      </c>
      <c r="G5591" s="4">
        <v>20027</v>
      </c>
      <c r="H5591" s="4">
        <v>0</v>
      </c>
      <c r="I5591" s="4">
        <v>-19451128.890000001</v>
      </c>
    </row>
    <row r="5592" spans="1:9" x14ac:dyDescent="0.3">
      <c r="A5592" t="s">
        <v>75</v>
      </c>
      <c r="B5592" s="1">
        <v>45895</v>
      </c>
      <c r="C5592" s="1">
        <v>45898</v>
      </c>
      <c r="D5592">
        <v>144310</v>
      </c>
      <c r="E5592">
        <v>61</v>
      </c>
      <c r="F5592" s="3" t="s">
        <v>4842</v>
      </c>
      <c r="G5592" s="4">
        <v>39138.94</v>
      </c>
      <c r="H5592" s="4">
        <v>0</v>
      </c>
      <c r="I5592" s="4">
        <v>-19411989.949999999</v>
      </c>
    </row>
    <row r="5593" spans="1:9" x14ac:dyDescent="0.3">
      <c r="A5593" t="s">
        <v>75</v>
      </c>
      <c r="B5593" s="1">
        <v>45896</v>
      </c>
      <c r="C5593" s="1">
        <v>45898</v>
      </c>
      <c r="D5593">
        <v>144312</v>
      </c>
      <c r="E5593">
        <v>58</v>
      </c>
      <c r="F5593" s="3" t="s">
        <v>4843</v>
      </c>
      <c r="G5593" s="4">
        <v>720.5</v>
      </c>
      <c r="H5593" s="4">
        <v>0</v>
      </c>
      <c r="I5593" s="4">
        <v>-19411269.449999999</v>
      </c>
    </row>
    <row r="5594" spans="1:9" x14ac:dyDescent="0.3">
      <c r="A5594" t="s">
        <v>75</v>
      </c>
      <c r="B5594" s="1">
        <v>45897</v>
      </c>
      <c r="C5594" s="1">
        <v>45898</v>
      </c>
      <c r="D5594">
        <v>144315</v>
      </c>
      <c r="E5594">
        <v>58</v>
      </c>
      <c r="F5594" s="3" t="s">
        <v>4844</v>
      </c>
      <c r="G5594" s="4">
        <v>47816</v>
      </c>
      <c r="H5594" s="4">
        <v>0</v>
      </c>
      <c r="I5594" s="4">
        <v>-19363453.449999999</v>
      </c>
    </row>
    <row r="5595" spans="1:9" x14ac:dyDescent="0.3">
      <c r="A5595" t="s">
        <v>75</v>
      </c>
      <c r="B5595" s="1">
        <v>45897</v>
      </c>
      <c r="C5595" s="1">
        <v>45898</v>
      </c>
      <c r="D5595">
        <v>144317</v>
      </c>
      <c r="E5595">
        <v>58</v>
      </c>
      <c r="F5595" s="3" t="s">
        <v>4845</v>
      </c>
      <c r="G5595" s="4">
        <v>17000</v>
      </c>
      <c r="H5595" s="4">
        <v>0</v>
      </c>
      <c r="I5595" s="4">
        <v>-19346453.449999999</v>
      </c>
    </row>
    <row r="5596" spans="1:9" x14ac:dyDescent="0.3">
      <c r="A5596" t="s">
        <v>75</v>
      </c>
      <c r="B5596" s="1">
        <v>45895</v>
      </c>
      <c r="C5596" s="1">
        <v>45898</v>
      </c>
      <c r="D5596">
        <v>144318</v>
      </c>
      <c r="E5596">
        <v>12</v>
      </c>
      <c r="F5596" s="3" t="s">
        <v>4846</v>
      </c>
      <c r="G5596" s="4">
        <v>26796</v>
      </c>
      <c r="H5596" s="4">
        <v>0</v>
      </c>
      <c r="I5596" s="4">
        <v>-19319657.449999999</v>
      </c>
    </row>
    <row r="5597" spans="1:9" x14ac:dyDescent="0.3">
      <c r="A5597" t="s">
        <v>75</v>
      </c>
      <c r="B5597" s="1">
        <v>45898</v>
      </c>
      <c r="C5597" s="1">
        <v>45898</v>
      </c>
      <c r="D5597">
        <v>144319</v>
      </c>
      <c r="E5597">
        <v>67</v>
      </c>
      <c r="F5597" s="3" t="s">
        <v>4847</v>
      </c>
      <c r="G5597" s="4">
        <v>155000</v>
      </c>
      <c r="H5597" s="4">
        <v>0</v>
      </c>
      <c r="I5597" s="4">
        <v>-19164657.449999999</v>
      </c>
    </row>
    <row r="5598" spans="1:9" x14ac:dyDescent="0.3">
      <c r="A5598" t="s">
        <v>75</v>
      </c>
      <c r="B5598" s="1">
        <v>45896</v>
      </c>
      <c r="C5598" s="1">
        <v>45898</v>
      </c>
      <c r="D5598">
        <v>144320</v>
      </c>
      <c r="E5598">
        <v>11</v>
      </c>
      <c r="F5598" s="3" t="s">
        <v>4848</v>
      </c>
      <c r="G5598" s="4">
        <v>24210</v>
      </c>
      <c r="H5598" s="4">
        <v>0</v>
      </c>
      <c r="I5598" s="4">
        <v>-19140447.449999999</v>
      </c>
    </row>
    <row r="5599" spans="1:9" x14ac:dyDescent="0.3">
      <c r="A5599" t="s">
        <v>75</v>
      </c>
      <c r="B5599" s="1">
        <v>45892</v>
      </c>
      <c r="C5599" s="1">
        <v>45898</v>
      </c>
      <c r="D5599">
        <v>144321</v>
      </c>
      <c r="E5599">
        <v>97</v>
      </c>
      <c r="F5599" s="3" t="s">
        <v>4849</v>
      </c>
      <c r="G5599" s="4">
        <v>100026.5</v>
      </c>
      <c r="H5599" s="4">
        <v>0</v>
      </c>
      <c r="I5599" s="4">
        <v>-19040420.949999999</v>
      </c>
    </row>
    <row r="5600" spans="1:9" x14ac:dyDescent="0.3">
      <c r="A5600" t="s">
        <v>75</v>
      </c>
      <c r="B5600" s="1">
        <v>45898</v>
      </c>
      <c r="C5600" s="1">
        <v>45898</v>
      </c>
      <c r="D5600">
        <v>144323</v>
      </c>
      <c r="E5600">
        <v>63</v>
      </c>
      <c r="F5600" s="3" t="s">
        <v>4850</v>
      </c>
      <c r="G5600" s="4">
        <v>7597.5</v>
      </c>
      <c r="H5600" s="4">
        <v>0</v>
      </c>
      <c r="I5600" s="4">
        <v>-19032823.449999999</v>
      </c>
    </row>
    <row r="5601" spans="1:9" x14ac:dyDescent="0.3">
      <c r="A5601" t="s">
        <v>75</v>
      </c>
      <c r="B5601" s="1">
        <v>45898</v>
      </c>
      <c r="C5601" s="1">
        <v>45898</v>
      </c>
      <c r="D5601">
        <v>144324</v>
      </c>
      <c r="E5601">
        <v>14</v>
      </c>
      <c r="F5601" s="3" t="s">
        <v>4851</v>
      </c>
      <c r="G5601" s="4">
        <v>200000</v>
      </c>
      <c r="H5601" s="4">
        <v>0</v>
      </c>
      <c r="I5601" s="4">
        <v>-18832823.449999999</v>
      </c>
    </row>
    <row r="5602" spans="1:9" x14ac:dyDescent="0.3">
      <c r="A5602" t="s">
        <v>75</v>
      </c>
      <c r="B5602" s="1">
        <v>45889</v>
      </c>
      <c r="C5602" s="1">
        <v>45898</v>
      </c>
      <c r="D5602">
        <v>144325</v>
      </c>
      <c r="E5602">
        <v>11</v>
      </c>
      <c r="F5602" s="3" t="s">
        <v>4852</v>
      </c>
      <c r="G5602" s="4">
        <v>50000</v>
      </c>
      <c r="H5602" s="4">
        <v>0</v>
      </c>
      <c r="I5602" s="4">
        <v>-18782823.449999999</v>
      </c>
    </row>
    <row r="5603" spans="1:9" x14ac:dyDescent="0.3">
      <c r="A5603" t="s">
        <v>75</v>
      </c>
      <c r="B5603" s="1">
        <v>45896</v>
      </c>
      <c r="C5603" s="1">
        <v>45898</v>
      </c>
      <c r="D5603">
        <v>144326</v>
      </c>
      <c r="E5603">
        <v>11</v>
      </c>
      <c r="F5603" s="3" t="s">
        <v>4853</v>
      </c>
      <c r="G5603" s="4">
        <v>1573340</v>
      </c>
      <c r="H5603" s="4">
        <v>0</v>
      </c>
      <c r="I5603" s="4">
        <v>-17209483.449999999</v>
      </c>
    </row>
    <row r="5604" spans="1:9" x14ac:dyDescent="0.3">
      <c r="A5604" t="s">
        <v>75</v>
      </c>
      <c r="B5604" s="1">
        <v>45896</v>
      </c>
      <c r="C5604" s="1">
        <v>45898</v>
      </c>
      <c r="D5604">
        <v>144327</v>
      </c>
      <c r="E5604">
        <v>11</v>
      </c>
      <c r="F5604" s="3" t="s">
        <v>4854</v>
      </c>
      <c r="G5604" s="4">
        <v>35000</v>
      </c>
      <c r="H5604" s="4">
        <v>0</v>
      </c>
      <c r="I5604" s="4">
        <v>-17174483.449999999</v>
      </c>
    </row>
    <row r="5605" spans="1:9" x14ac:dyDescent="0.3">
      <c r="A5605" t="s">
        <v>75</v>
      </c>
      <c r="B5605" s="1">
        <v>45894</v>
      </c>
      <c r="C5605" s="1">
        <v>45898</v>
      </c>
      <c r="D5605">
        <v>144328</v>
      </c>
      <c r="E5605">
        <v>91</v>
      </c>
      <c r="F5605" s="3" t="s">
        <v>4855</v>
      </c>
      <c r="G5605" s="4">
        <v>5304.5</v>
      </c>
      <c r="H5605" s="4">
        <v>0</v>
      </c>
      <c r="I5605" s="4">
        <v>-17169178.949999999</v>
      </c>
    </row>
    <row r="5606" spans="1:9" x14ac:dyDescent="0.3">
      <c r="A5606" t="s">
        <v>75</v>
      </c>
      <c r="B5606" s="1">
        <v>45897</v>
      </c>
      <c r="C5606" s="1">
        <v>45898</v>
      </c>
      <c r="D5606">
        <v>144330</v>
      </c>
      <c r="E5606">
        <v>13</v>
      </c>
      <c r="F5606" s="3" t="s">
        <v>4856</v>
      </c>
      <c r="G5606" s="4">
        <v>377632</v>
      </c>
      <c r="H5606" s="4">
        <v>0</v>
      </c>
      <c r="I5606" s="4">
        <v>-16791546.949999999</v>
      </c>
    </row>
    <row r="5607" spans="1:9" x14ac:dyDescent="0.3">
      <c r="A5607" t="s">
        <v>75</v>
      </c>
      <c r="B5607" s="1">
        <v>45897</v>
      </c>
      <c r="C5607" s="1">
        <v>45898</v>
      </c>
      <c r="D5607">
        <v>144331</v>
      </c>
      <c r="E5607">
        <v>55</v>
      </c>
      <c r="F5607" s="3" t="s">
        <v>4857</v>
      </c>
      <c r="G5607" s="4">
        <v>1800</v>
      </c>
      <c r="H5607" s="4">
        <v>0</v>
      </c>
      <c r="I5607" s="4">
        <v>-16789746.949999999</v>
      </c>
    </row>
    <row r="5608" spans="1:9" x14ac:dyDescent="0.3">
      <c r="A5608" t="s">
        <v>75</v>
      </c>
      <c r="B5608" s="1">
        <v>45898</v>
      </c>
      <c r="C5608" s="1">
        <v>45898</v>
      </c>
      <c r="D5608">
        <v>144332</v>
      </c>
      <c r="E5608">
        <v>79</v>
      </c>
      <c r="F5608" s="3" t="s">
        <v>4858</v>
      </c>
      <c r="G5608" s="4">
        <v>86229</v>
      </c>
      <c r="H5608" s="4">
        <v>0</v>
      </c>
      <c r="I5608" s="4">
        <v>-16703517.949999999</v>
      </c>
    </row>
    <row r="5609" spans="1:9" x14ac:dyDescent="0.3">
      <c r="A5609" t="s">
        <v>75</v>
      </c>
      <c r="B5609" s="1">
        <v>45898</v>
      </c>
      <c r="C5609" s="1">
        <v>45898</v>
      </c>
      <c r="D5609">
        <v>144333</v>
      </c>
      <c r="E5609">
        <v>14</v>
      </c>
      <c r="F5609" s="3" t="s">
        <v>4859</v>
      </c>
      <c r="G5609" s="4">
        <v>38000</v>
      </c>
      <c r="H5609" s="4">
        <v>0</v>
      </c>
      <c r="I5609" s="4">
        <v>-16665517.949999999</v>
      </c>
    </row>
    <row r="5610" spans="1:9" x14ac:dyDescent="0.3">
      <c r="A5610" t="s">
        <v>75</v>
      </c>
      <c r="B5610" s="1">
        <v>45897</v>
      </c>
      <c r="C5610" s="1">
        <v>45898</v>
      </c>
      <c r="D5610">
        <v>144336</v>
      </c>
      <c r="E5610">
        <v>44</v>
      </c>
      <c r="F5610" s="3" t="s">
        <v>4860</v>
      </c>
      <c r="G5610" s="4">
        <v>105625.75</v>
      </c>
      <c r="H5610" s="4">
        <v>0</v>
      </c>
      <c r="I5610" s="4">
        <v>-16559892.199999999</v>
      </c>
    </row>
    <row r="5611" spans="1:9" x14ac:dyDescent="0.3">
      <c r="A5611" t="s">
        <v>75</v>
      </c>
      <c r="B5611" s="1">
        <v>45897</v>
      </c>
      <c r="C5611" s="1">
        <v>45898</v>
      </c>
      <c r="D5611">
        <v>144337</v>
      </c>
      <c r="E5611">
        <v>44</v>
      </c>
      <c r="F5611" s="3" t="s">
        <v>4861</v>
      </c>
      <c r="G5611" s="4">
        <v>86575</v>
      </c>
      <c r="H5611" s="4">
        <v>0</v>
      </c>
      <c r="I5611" s="4">
        <v>-16473317.199999999</v>
      </c>
    </row>
    <row r="5612" spans="1:9" x14ac:dyDescent="0.3">
      <c r="A5612" t="s">
        <v>75</v>
      </c>
      <c r="B5612" s="1">
        <v>45892</v>
      </c>
      <c r="C5612" s="1">
        <v>45898</v>
      </c>
      <c r="D5612">
        <v>144338</v>
      </c>
      <c r="E5612">
        <v>44</v>
      </c>
      <c r="F5612" s="3" t="s">
        <v>4862</v>
      </c>
      <c r="G5612" s="4">
        <v>40900</v>
      </c>
      <c r="H5612" s="4">
        <v>0</v>
      </c>
      <c r="I5612" s="4">
        <v>-16432417.199999999</v>
      </c>
    </row>
    <row r="5613" spans="1:9" x14ac:dyDescent="0.3">
      <c r="A5613" t="s">
        <v>75</v>
      </c>
      <c r="B5613" s="1">
        <v>45898</v>
      </c>
      <c r="C5613" s="1">
        <v>45898</v>
      </c>
      <c r="D5613">
        <v>144339</v>
      </c>
      <c r="E5613">
        <v>15</v>
      </c>
      <c r="F5613" s="3" t="s">
        <v>4863</v>
      </c>
      <c r="G5613" s="4">
        <v>40864</v>
      </c>
      <c r="H5613" s="4">
        <v>0</v>
      </c>
      <c r="I5613" s="4">
        <v>-16391553.199999999</v>
      </c>
    </row>
    <row r="5614" spans="1:9" x14ac:dyDescent="0.3">
      <c r="A5614" t="s">
        <v>75</v>
      </c>
      <c r="B5614" s="1">
        <v>45896</v>
      </c>
      <c r="C5614" s="1">
        <v>45898</v>
      </c>
      <c r="D5614">
        <v>144340</v>
      </c>
      <c r="E5614">
        <v>44</v>
      </c>
      <c r="F5614" s="3" t="s">
        <v>4864</v>
      </c>
      <c r="G5614" s="4">
        <v>25000</v>
      </c>
      <c r="H5614" s="4">
        <v>0</v>
      </c>
      <c r="I5614" s="4">
        <v>-16366553.199999999</v>
      </c>
    </row>
    <row r="5615" spans="1:9" x14ac:dyDescent="0.3">
      <c r="A5615" t="s">
        <v>75</v>
      </c>
      <c r="B5615" s="1">
        <v>45896</v>
      </c>
      <c r="C5615" s="1">
        <v>45898</v>
      </c>
      <c r="D5615">
        <v>144341</v>
      </c>
      <c r="E5615">
        <v>44</v>
      </c>
      <c r="F5615" s="3" t="s">
        <v>4865</v>
      </c>
      <c r="G5615" s="4">
        <v>165275.75</v>
      </c>
      <c r="H5615" s="4">
        <v>0</v>
      </c>
      <c r="I5615" s="4">
        <v>-16201277.449999999</v>
      </c>
    </row>
    <row r="5616" spans="1:9" x14ac:dyDescent="0.3">
      <c r="A5616" t="s">
        <v>75</v>
      </c>
      <c r="B5616" s="1">
        <v>45896</v>
      </c>
      <c r="C5616" s="1">
        <v>45898</v>
      </c>
      <c r="D5616">
        <v>144342</v>
      </c>
      <c r="E5616">
        <v>44</v>
      </c>
      <c r="F5616" s="3" t="s">
        <v>4866</v>
      </c>
      <c r="G5616" s="4">
        <v>110280.5</v>
      </c>
      <c r="H5616" s="4">
        <v>0</v>
      </c>
      <c r="I5616" s="4">
        <v>-16090996.949999999</v>
      </c>
    </row>
    <row r="5617" spans="1:9" x14ac:dyDescent="0.3">
      <c r="A5617" t="s">
        <v>71</v>
      </c>
      <c r="B5617" s="1">
        <v>45890</v>
      </c>
      <c r="C5617" s="1">
        <v>45898</v>
      </c>
      <c r="D5617">
        <v>15028</v>
      </c>
      <c r="E5617">
        <v>100</v>
      </c>
      <c r="F5617" s="3" t="s">
        <v>4867</v>
      </c>
      <c r="G5617" s="4">
        <v>55000000</v>
      </c>
      <c r="H5617" s="4">
        <v>0</v>
      </c>
      <c r="I5617" s="4">
        <v>38909003.049999997</v>
      </c>
    </row>
    <row r="5618" spans="1:9" x14ac:dyDescent="0.3">
      <c r="A5618" t="s">
        <v>71</v>
      </c>
      <c r="B5618" s="1">
        <v>45897</v>
      </c>
      <c r="C5618" s="1">
        <v>45898</v>
      </c>
      <c r="D5618">
        <v>15029</v>
      </c>
      <c r="E5618">
        <v>100</v>
      </c>
      <c r="F5618" s="3">
        <v>2508281137255170</v>
      </c>
      <c r="G5618" s="4">
        <v>183800</v>
      </c>
      <c r="H5618" s="4">
        <v>0</v>
      </c>
      <c r="I5618" s="4">
        <v>39092803.049999997</v>
      </c>
    </row>
    <row r="5619" spans="1:9" x14ac:dyDescent="0.3">
      <c r="A5619" t="s">
        <v>71</v>
      </c>
      <c r="B5619" s="1">
        <v>45897</v>
      </c>
      <c r="C5619" s="1">
        <v>45898</v>
      </c>
      <c r="D5619">
        <v>15029</v>
      </c>
      <c r="E5619">
        <v>100</v>
      </c>
      <c r="F5619" s="3">
        <v>2508281136197330</v>
      </c>
      <c r="G5619" s="4">
        <v>214350</v>
      </c>
      <c r="H5619" s="4">
        <v>0</v>
      </c>
      <c r="I5619" s="4">
        <v>39307153.049999997</v>
      </c>
    </row>
    <row r="5620" spans="1:9" x14ac:dyDescent="0.3">
      <c r="A5620" t="s">
        <v>71</v>
      </c>
      <c r="B5620" s="1">
        <v>45897</v>
      </c>
      <c r="C5620" s="1">
        <v>45898</v>
      </c>
      <c r="D5620">
        <v>15029</v>
      </c>
      <c r="E5620">
        <v>100</v>
      </c>
      <c r="F5620" s="3" t="s">
        <v>4868</v>
      </c>
      <c r="G5620" s="4">
        <v>735200</v>
      </c>
      <c r="H5620" s="4">
        <v>0</v>
      </c>
      <c r="I5620" s="4">
        <v>40042353.049999997</v>
      </c>
    </row>
    <row r="5621" spans="1:9" x14ac:dyDescent="0.3">
      <c r="A5621" t="s">
        <v>71</v>
      </c>
      <c r="B5621" s="1">
        <v>45897</v>
      </c>
      <c r="C5621" s="1">
        <v>45898</v>
      </c>
      <c r="D5621">
        <v>15029</v>
      </c>
      <c r="E5621">
        <v>100</v>
      </c>
      <c r="F5621" s="3" t="s">
        <v>4869</v>
      </c>
      <c r="G5621" s="4">
        <v>698440</v>
      </c>
      <c r="H5621" s="4">
        <v>0</v>
      </c>
      <c r="I5621" s="4">
        <v>40740793.049999997</v>
      </c>
    </row>
    <row r="5622" spans="1:9" x14ac:dyDescent="0.3">
      <c r="A5622" t="s">
        <v>71</v>
      </c>
      <c r="B5622" s="1">
        <v>45897</v>
      </c>
      <c r="C5622" s="1">
        <v>45898</v>
      </c>
      <c r="D5622">
        <v>15038</v>
      </c>
      <c r="E5622">
        <v>100</v>
      </c>
      <c r="F5622" s="3" t="s">
        <v>4870</v>
      </c>
      <c r="G5622" s="4">
        <v>1000000</v>
      </c>
      <c r="H5622" s="4">
        <v>0</v>
      </c>
      <c r="I5622" s="4">
        <v>41740793.049999997</v>
      </c>
    </row>
    <row r="5623" spans="1:9" x14ac:dyDescent="0.3">
      <c r="A5623" t="s">
        <v>71</v>
      </c>
      <c r="B5623" s="1">
        <v>45898</v>
      </c>
      <c r="C5623" s="1">
        <v>45898</v>
      </c>
      <c r="D5623">
        <v>15045</v>
      </c>
      <c r="E5623">
        <v>100</v>
      </c>
      <c r="F5623" s="3" t="s">
        <v>74</v>
      </c>
      <c r="G5623" s="4">
        <v>0</v>
      </c>
      <c r="H5623" s="4">
        <v>34161690</v>
      </c>
      <c r="I5623" s="4">
        <v>7579103.0499999998</v>
      </c>
    </row>
    <row r="5624" spans="1:9" x14ac:dyDescent="0.3">
      <c r="A5624" t="s">
        <v>71</v>
      </c>
      <c r="B5624" s="1">
        <v>45898</v>
      </c>
      <c r="C5624" s="1">
        <v>45898</v>
      </c>
      <c r="D5624">
        <v>15048</v>
      </c>
      <c r="E5624">
        <v>100</v>
      </c>
      <c r="F5624" s="3" t="s">
        <v>4871</v>
      </c>
      <c r="G5624" s="4">
        <v>0</v>
      </c>
      <c r="H5624" s="4">
        <v>15000000</v>
      </c>
      <c r="I5624" s="4">
        <v>-7420896.9500000002</v>
      </c>
    </row>
    <row r="5625" spans="1:9" x14ac:dyDescent="0.3">
      <c r="A5625" t="s">
        <v>71</v>
      </c>
      <c r="B5625" s="1">
        <v>45874</v>
      </c>
      <c r="C5625" s="1">
        <v>45898</v>
      </c>
      <c r="D5625">
        <v>15054</v>
      </c>
      <c r="E5625">
        <v>42</v>
      </c>
      <c r="F5625" s="3" t="s">
        <v>4872</v>
      </c>
      <c r="G5625" s="4">
        <v>0</v>
      </c>
      <c r="H5625" s="4">
        <v>46750</v>
      </c>
      <c r="I5625" s="4">
        <v>-7467646.9500000002</v>
      </c>
    </row>
    <row r="5626" spans="1:9" x14ac:dyDescent="0.3">
      <c r="A5626" t="s">
        <v>71</v>
      </c>
      <c r="B5626" s="1">
        <v>45889</v>
      </c>
      <c r="C5626" s="1">
        <v>45898</v>
      </c>
      <c r="D5626">
        <v>15056</v>
      </c>
      <c r="E5626">
        <v>41</v>
      </c>
      <c r="F5626" s="3" t="s">
        <v>4873</v>
      </c>
      <c r="G5626" s="4">
        <v>0</v>
      </c>
      <c r="H5626" s="4">
        <v>17500</v>
      </c>
      <c r="I5626" s="4">
        <v>-7485146.9500000002</v>
      </c>
    </row>
    <row r="5627" spans="1:9" x14ac:dyDescent="0.3">
      <c r="A5627" t="s">
        <v>71</v>
      </c>
      <c r="B5627" s="1">
        <v>45870</v>
      </c>
      <c r="C5627" s="1">
        <v>45898</v>
      </c>
      <c r="D5627">
        <v>15058</v>
      </c>
      <c r="E5627">
        <v>62</v>
      </c>
      <c r="F5627" s="3" t="s">
        <v>4874</v>
      </c>
      <c r="G5627" s="4">
        <v>0</v>
      </c>
      <c r="H5627" s="4">
        <v>28700</v>
      </c>
      <c r="I5627" s="4">
        <v>-7513846.9500000002</v>
      </c>
    </row>
    <row r="5628" spans="1:9" x14ac:dyDescent="0.3">
      <c r="A5628" t="s">
        <v>2579</v>
      </c>
      <c r="B5628" s="1">
        <v>45884</v>
      </c>
      <c r="C5628" s="1">
        <v>45898</v>
      </c>
      <c r="D5628">
        <v>1901</v>
      </c>
      <c r="E5628">
        <v>100</v>
      </c>
      <c r="F5628" s="3" t="s">
        <v>4875</v>
      </c>
      <c r="G5628" s="4">
        <v>10655.5</v>
      </c>
      <c r="H5628" s="4">
        <v>0</v>
      </c>
      <c r="I5628" s="4">
        <v>-7503191.4500000002</v>
      </c>
    </row>
    <row r="5629" spans="1:9" x14ac:dyDescent="0.3">
      <c r="A5629" t="s">
        <v>2579</v>
      </c>
      <c r="B5629" s="1">
        <v>45898</v>
      </c>
      <c r="C5629" s="1">
        <v>45898</v>
      </c>
      <c r="D5629">
        <v>1907</v>
      </c>
      <c r="E5629">
        <v>100</v>
      </c>
      <c r="F5629" s="3" t="s">
        <v>4876</v>
      </c>
      <c r="G5629" s="4">
        <v>144548</v>
      </c>
      <c r="H5629" s="4">
        <v>0</v>
      </c>
      <c r="I5629" s="4">
        <v>-7358643.4500000002</v>
      </c>
    </row>
    <row r="5630" spans="1:9" x14ac:dyDescent="0.3">
      <c r="A5630" t="s">
        <v>124</v>
      </c>
      <c r="B5630" s="1">
        <v>45898</v>
      </c>
      <c r="C5630" s="1">
        <v>45898</v>
      </c>
      <c r="D5630">
        <v>22320</v>
      </c>
      <c r="E5630">
        <v>11</v>
      </c>
      <c r="F5630" s="3" t="s">
        <v>125</v>
      </c>
      <c r="G5630" s="4">
        <v>0</v>
      </c>
      <c r="H5630" s="4">
        <v>45060469.850000001</v>
      </c>
      <c r="I5630" s="4">
        <v>-52419113.299999997</v>
      </c>
    </row>
    <row r="5631" spans="1:9" x14ac:dyDescent="0.3">
      <c r="A5631" t="s">
        <v>124</v>
      </c>
      <c r="B5631" s="1">
        <v>45898</v>
      </c>
      <c r="C5631" s="1">
        <v>45898</v>
      </c>
      <c r="D5631">
        <v>22321</v>
      </c>
      <c r="E5631">
        <v>11</v>
      </c>
      <c r="F5631" s="3" t="s">
        <v>127</v>
      </c>
      <c r="G5631" s="4">
        <v>42500000</v>
      </c>
      <c r="H5631" s="4">
        <v>0</v>
      </c>
      <c r="I5631" s="4">
        <v>-9919113.3000000007</v>
      </c>
    </row>
    <row r="5632" spans="1:9" x14ac:dyDescent="0.3">
      <c r="A5632" t="s">
        <v>124</v>
      </c>
      <c r="B5632" s="1">
        <v>45898</v>
      </c>
      <c r="C5632" s="1">
        <v>45898</v>
      </c>
      <c r="D5632">
        <v>22325</v>
      </c>
      <c r="E5632">
        <v>11</v>
      </c>
      <c r="F5632" s="3" t="s">
        <v>128</v>
      </c>
      <c r="G5632" s="4">
        <v>15000000</v>
      </c>
      <c r="H5632" s="4">
        <v>0</v>
      </c>
      <c r="I5632" s="4">
        <v>5080886.7</v>
      </c>
    </row>
    <row r="5633" spans="1:9" x14ac:dyDescent="0.3">
      <c r="A5633" t="s">
        <v>124</v>
      </c>
      <c r="B5633" s="1">
        <v>45898</v>
      </c>
      <c r="C5633" s="1">
        <v>45898</v>
      </c>
      <c r="D5633">
        <v>22326</v>
      </c>
      <c r="E5633">
        <v>11</v>
      </c>
      <c r="F5633" s="3" t="s">
        <v>129</v>
      </c>
      <c r="G5633" s="4">
        <v>0</v>
      </c>
      <c r="H5633" s="4">
        <v>9330000</v>
      </c>
      <c r="I5633" s="4">
        <v>-4249113.3</v>
      </c>
    </row>
    <row r="5634" spans="1:9" x14ac:dyDescent="0.3">
      <c r="A5634" t="s">
        <v>130</v>
      </c>
      <c r="B5634" s="1">
        <v>45898</v>
      </c>
      <c r="C5634" s="1">
        <v>45898</v>
      </c>
      <c r="D5634">
        <v>3853633</v>
      </c>
      <c r="E5634">
        <v>34</v>
      </c>
      <c r="F5634" s="3" t="s">
        <v>4877</v>
      </c>
      <c r="G5634" s="4">
        <v>0</v>
      </c>
      <c r="H5634" s="4">
        <v>1783531</v>
      </c>
      <c r="I5634" s="4">
        <v>-6032644.2999999998</v>
      </c>
    </row>
    <row r="5635" spans="1:9" x14ac:dyDescent="0.3">
      <c r="A5635" t="s">
        <v>133</v>
      </c>
      <c r="B5635" s="1">
        <v>45898</v>
      </c>
      <c r="C5635" s="1">
        <v>45898</v>
      </c>
      <c r="D5635">
        <v>926042</v>
      </c>
      <c r="E5635">
        <v>33</v>
      </c>
      <c r="F5635" s="3" t="s">
        <v>4878</v>
      </c>
      <c r="G5635" s="4">
        <v>369171</v>
      </c>
      <c r="H5635" s="4">
        <v>0</v>
      </c>
      <c r="I5635" s="4">
        <v>-5663473.2999999998</v>
      </c>
    </row>
    <row r="5636" spans="1:9" x14ac:dyDescent="0.3">
      <c r="A5636" t="s">
        <v>133</v>
      </c>
      <c r="B5636" s="1">
        <v>45898</v>
      </c>
      <c r="C5636" s="1">
        <v>45898</v>
      </c>
      <c r="D5636">
        <v>926048</v>
      </c>
      <c r="E5636">
        <v>31</v>
      </c>
      <c r="F5636" s="3" t="s">
        <v>4879</v>
      </c>
      <c r="G5636" s="4">
        <v>101668</v>
      </c>
      <c r="H5636" s="4">
        <v>0</v>
      </c>
      <c r="I5636" s="4">
        <v>-5561805.2999999998</v>
      </c>
    </row>
    <row r="5637" spans="1:9" x14ac:dyDescent="0.3">
      <c r="A5637" t="s">
        <v>133</v>
      </c>
      <c r="B5637" s="1">
        <v>45898</v>
      </c>
      <c r="C5637" s="1">
        <v>45898</v>
      </c>
      <c r="D5637">
        <v>926051</v>
      </c>
      <c r="E5637">
        <v>31</v>
      </c>
      <c r="F5637" s="3" t="s">
        <v>4880</v>
      </c>
      <c r="G5637" s="4">
        <v>79858.5</v>
      </c>
      <c r="H5637" s="4">
        <v>0</v>
      </c>
      <c r="I5637" s="4">
        <v>-5481946.7999999998</v>
      </c>
    </row>
    <row r="5638" spans="1:9" x14ac:dyDescent="0.3">
      <c r="A5638" t="s">
        <v>133</v>
      </c>
      <c r="B5638" s="1">
        <v>45898</v>
      </c>
      <c r="C5638" s="1">
        <v>45898</v>
      </c>
      <c r="D5638">
        <v>926059</v>
      </c>
      <c r="E5638">
        <v>31</v>
      </c>
      <c r="F5638" s="3" t="s">
        <v>4881</v>
      </c>
      <c r="G5638" s="4">
        <v>36801</v>
      </c>
      <c r="H5638" s="4">
        <v>0</v>
      </c>
      <c r="I5638" s="4">
        <v>-5445145.7999999998</v>
      </c>
    </row>
    <row r="5639" spans="1:9" x14ac:dyDescent="0.3">
      <c r="A5639" t="s">
        <v>133</v>
      </c>
      <c r="B5639" s="1">
        <v>45898</v>
      </c>
      <c r="C5639" s="1">
        <v>45898</v>
      </c>
      <c r="D5639">
        <v>926062</v>
      </c>
      <c r="E5639">
        <v>31</v>
      </c>
      <c r="F5639" s="3" t="s">
        <v>4882</v>
      </c>
      <c r="G5639" s="4">
        <v>117448.25</v>
      </c>
      <c r="H5639" s="4">
        <v>0</v>
      </c>
      <c r="I5639" s="4">
        <v>-5327697.55</v>
      </c>
    </row>
    <row r="5640" spans="1:9" x14ac:dyDescent="0.3">
      <c r="A5640" t="s">
        <v>133</v>
      </c>
      <c r="B5640" s="1">
        <v>45898</v>
      </c>
      <c r="C5640" s="1">
        <v>45898</v>
      </c>
      <c r="D5640">
        <v>926064</v>
      </c>
      <c r="E5640">
        <v>38</v>
      </c>
      <c r="F5640" s="3" t="s">
        <v>4883</v>
      </c>
      <c r="G5640" s="4">
        <v>4500</v>
      </c>
      <c r="H5640" s="4">
        <v>0</v>
      </c>
      <c r="I5640" s="4">
        <v>-5323197.55</v>
      </c>
    </row>
    <row r="5641" spans="1:9" x14ac:dyDescent="0.3">
      <c r="A5641" t="s">
        <v>133</v>
      </c>
      <c r="B5641" s="1">
        <v>45898</v>
      </c>
      <c r="C5641" s="1">
        <v>45898</v>
      </c>
      <c r="D5641">
        <v>926066</v>
      </c>
      <c r="E5641">
        <v>72</v>
      </c>
      <c r="F5641" s="3" t="s">
        <v>4884</v>
      </c>
      <c r="G5641" s="4">
        <v>5000</v>
      </c>
      <c r="H5641" s="4">
        <v>0</v>
      </c>
      <c r="I5641" s="4">
        <v>-5318197.55</v>
      </c>
    </row>
    <row r="5642" spans="1:9" x14ac:dyDescent="0.3">
      <c r="A5642" t="s">
        <v>133</v>
      </c>
      <c r="B5642" s="1">
        <v>45898</v>
      </c>
      <c r="C5642" s="1">
        <v>45898</v>
      </c>
      <c r="D5642">
        <v>926073</v>
      </c>
      <c r="E5642">
        <v>78</v>
      </c>
      <c r="F5642" s="3" t="s">
        <v>4885</v>
      </c>
      <c r="G5642" s="4">
        <v>11189</v>
      </c>
      <c r="H5642" s="4">
        <v>0</v>
      </c>
      <c r="I5642" s="4">
        <v>-5307008.55</v>
      </c>
    </row>
    <row r="5643" spans="1:9" x14ac:dyDescent="0.3">
      <c r="A5643" t="s">
        <v>133</v>
      </c>
      <c r="B5643" s="1">
        <v>45898</v>
      </c>
      <c r="C5643" s="1">
        <v>45898</v>
      </c>
      <c r="D5643">
        <v>926077</v>
      </c>
      <c r="E5643">
        <v>59</v>
      </c>
      <c r="F5643" s="3" t="s">
        <v>4886</v>
      </c>
      <c r="G5643" s="4">
        <v>900</v>
      </c>
      <c r="H5643" s="4">
        <v>0</v>
      </c>
      <c r="I5643" s="4">
        <v>-5306108.55</v>
      </c>
    </row>
    <row r="5644" spans="1:9" x14ac:dyDescent="0.3">
      <c r="A5644" t="s">
        <v>133</v>
      </c>
      <c r="B5644" s="1">
        <v>45898</v>
      </c>
      <c r="C5644" s="1">
        <v>45898</v>
      </c>
      <c r="D5644">
        <v>926081</v>
      </c>
      <c r="E5644">
        <v>31</v>
      </c>
      <c r="F5644" s="3" t="s">
        <v>4887</v>
      </c>
      <c r="G5644" s="4">
        <v>187267.5</v>
      </c>
      <c r="H5644" s="4">
        <v>0</v>
      </c>
      <c r="I5644" s="4">
        <v>-5118841.05</v>
      </c>
    </row>
    <row r="5645" spans="1:9" x14ac:dyDescent="0.3">
      <c r="A5645" t="s">
        <v>133</v>
      </c>
      <c r="B5645" s="1">
        <v>45898</v>
      </c>
      <c r="C5645" s="1">
        <v>45898</v>
      </c>
      <c r="D5645">
        <v>926108</v>
      </c>
      <c r="E5645">
        <v>12</v>
      </c>
      <c r="F5645" s="3" t="s">
        <v>4888</v>
      </c>
      <c r="G5645" s="4">
        <v>3918</v>
      </c>
      <c r="H5645" s="4">
        <v>0</v>
      </c>
      <c r="I5645" s="4">
        <v>-5114923.05</v>
      </c>
    </row>
    <row r="5646" spans="1:9" x14ac:dyDescent="0.3">
      <c r="A5646" t="s">
        <v>133</v>
      </c>
      <c r="B5646" s="1">
        <v>45898</v>
      </c>
      <c r="C5646" s="1">
        <v>45898</v>
      </c>
      <c r="D5646">
        <v>926109</v>
      </c>
      <c r="E5646">
        <v>32</v>
      </c>
      <c r="F5646" s="3" t="s">
        <v>4889</v>
      </c>
      <c r="G5646" s="4">
        <v>34000</v>
      </c>
      <c r="H5646" s="4">
        <v>0</v>
      </c>
      <c r="I5646" s="4">
        <v>-5080923.05</v>
      </c>
    </row>
    <row r="5647" spans="1:9" x14ac:dyDescent="0.3">
      <c r="A5647" t="s">
        <v>133</v>
      </c>
      <c r="B5647" s="1">
        <v>45898</v>
      </c>
      <c r="C5647" s="1">
        <v>45898</v>
      </c>
      <c r="D5647">
        <v>926114</v>
      </c>
      <c r="E5647">
        <v>59</v>
      </c>
      <c r="F5647" s="3">
        <v>51128850691</v>
      </c>
      <c r="G5647" s="4">
        <v>50000</v>
      </c>
      <c r="H5647" s="4">
        <v>0</v>
      </c>
      <c r="I5647" s="4">
        <v>-5030923.05</v>
      </c>
    </row>
    <row r="5648" spans="1:9" x14ac:dyDescent="0.3">
      <c r="A5648" t="s">
        <v>133</v>
      </c>
      <c r="B5648" s="1">
        <v>45898</v>
      </c>
      <c r="C5648" s="1">
        <v>45898</v>
      </c>
      <c r="D5648">
        <v>926115</v>
      </c>
      <c r="E5648">
        <v>16</v>
      </c>
      <c r="F5648" s="3" t="s">
        <v>4890</v>
      </c>
      <c r="G5648" s="4">
        <v>18318</v>
      </c>
      <c r="H5648" s="4">
        <v>0</v>
      </c>
      <c r="I5648" s="4">
        <v>-5012605.05</v>
      </c>
    </row>
    <row r="5649" spans="1:9" x14ac:dyDescent="0.3">
      <c r="A5649" t="s">
        <v>133</v>
      </c>
      <c r="B5649" s="1">
        <v>45898</v>
      </c>
      <c r="C5649" s="1">
        <v>45898</v>
      </c>
      <c r="D5649">
        <v>926121</v>
      </c>
      <c r="E5649">
        <v>11</v>
      </c>
      <c r="F5649" s="3" t="s">
        <v>4891</v>
      </c>
      <c r="G5649" s="4">
        <v>49822.75</v>
      </c>
      <c r="H5649" s="4">
        <v>0</v>
      </c>
      <c r="I5649" s="4">
        <v>-4962782.3</v>
      </c>
    </row>
    <row r="5650" spans="1:9" x14ac:dyDescent="0.3">
      <c r="A5650" t="s">
        <v>133</v>
      </c>
      <c r="B5650" s="1">
        <v>45898</v>
      </c>
      <c r="C5650" s="1">
        <v>45898</v>
      </c>
      <c r="D5650">
        <v>926122</v>
      </c>
      <c r="E5650">
        <v>32</v>
      </c>
      <c r="F5650" s="3" t="s">
        <v>4892</v>
      </c>
      <c r="G5650" s="4">
        <v>11075</v>
      </c>
      <c r="H5650" s="4">
        <v>0</v>
      </c>
      <c r="I5650" s="4">
        <v>-4951707.3</v>
      </c>
    </row>
    <row r="5651" spans="1:9" x14ac:dyDescent="0.3">
      <c r="A5651" t="s">
        <v>133</v>
      </c>
      <c r="B5651" s="1">
        <v>45898</v>
      </c>
      <c r="C5651" s="1">
        <v>45898</v>
      </c>
      <c r="D5651">
        <v>926123</v>
      </c>
      <c r="E5651">
        <v>32</v>
      </c>
      <c r="F5651" s="3" t="s">
        <v>4893</v>
      </c>
      <c r="G5651" s="4">
        <v>16126</v>
      </c>
      <c r="H5651" s="4">
        <v>0</v>
      </c>
      <c r="I5651" s="4">
        <v>-4935581.3</v>
      </c>
    </row>
    <row r="5652" spans="1:9" x14ac:dyDescent="0.3">
      <c r="A5652" t="s">
        <v>133</v>
      </c>
      <c r="B5652" s="1">
        <v>45898</v>
      </c>
      <c r="C5652" s="1">
        <v>45898</v>
      </c>
      <c r="D5652">
        <v>926124</v>
      </c>
      <c r="E5652">
        <v>32</v>
      </c>
      <c r="F5652" s="3" t="s">
        <v>4894</v>
      </c>
      <c r="G5652" s="4">
        <v>17808</v>
      </c>
      <c r="H5652" s="4">
        <v>0</v>
      </c>
      <c r="I5652" s="4">
        <v>-4917773.3</v>
      </c>
    </row>
    <row r="5653" spans="1:9" x14ac:dyDescent="0.3">
      <c r="A5653" t="s">
        <v>133</v>
      </c>
      <c r="B5653" s="1">
        <v>45898</v>
      </c>
      <c r="C5653" s="1">
        <v>45898</v>
      </c>
      <c r="D5653">
        <v>926129</v>
      </c>
      <c r="E5653">
        <v>88</v>
      </c>
      <c r="F5653" s="3" t="s">
        <v>4895</v>
      </c>
      <c r="G5653" s="4">
        <v>34593.25</v>
      </c>
      <c r="H5653" s="4">
        <v>0</v>
      </c>
      <c r="I5653" s="4">
        <v>-4883180.05</v>
      </c>
    </row>
    <row r="5654" spans="1:9" x14ac:dyDescent="0.3">
      <c r="A5654" t="s">
        <v>133</v>
      </c>
      <c r="B5654" s="1">
        <v>45898</v>
      </c>
      <c r="C5654" s="1">
        <v>45898</v>
      </c>
      <c r="D5654">
        <v>926151</v>
      </c>
      <c r="E5654">
        <v>12</v>
      </c>
      <c r="F5654" s="3" t="s">
        <v>4896</v>
      </c>
      <c r="G5654" s="4">
        <v>29453</v>
      </c>
      <c r="H5654" s="4">
        <v>0</v>
      </c>
      <c r="I5654" s="4">
        <v>-4853727.05</v>
      </c>
    </row>
    <row r="5655" spans="1:9" x14ac:dyDescent="0.3">
      <c r="A5655" t="s">
        <v>133</v>
      </c>
      <c r="B5655" s="1">
        <v>45898</v>
      </c>
      <c r="C5655" s="1">
        <v>45898</v>
      </c>
      <c r="D5655">
        <v>926153</v>
      </c>
      <c r="E5655">
        <v>12</v>
      </c>
      <c r="F5655" s="3" t="s">
        <v>4897</v>
      </c>
      <c r="G5655" s="4">
        <v>6726.25</v>
      </c>
      <c r="H5655" s="4">
        <v>0</v>
      </c>
      <c r="I5655" s="4">
        <v>-4847000.8</v>
      </c>
    </row>
    <row r="5656" spans="1:9" x14ac:dyDescent="0.3">
      <c r="A5656" t="s">
        <v>133</v>
      </c>
      <c r="B5656" s="1">
        <v>45898</v>
      </c>
      <c r="C5656" s="1">
        <v>45898</v>
      </c>
      <c r="D5656">
        <v>926156</v>
      </c>
      <c r="E5656">
        <v>32</v>
      </c>
      <c r="F5656" s="3" t="s">
        <v>4898</v>
      </c>
      <c r="G5656" s="4">
        <v>90582</v>
      </c>
      <c r="H5656" s="4">
        <v>0</v>
      </c>
      <c r="I5656" s="4">
        <v>-4756418.8</v>
      </c>
    </row>
    <row r="5657" spans="1:9" x14ac:dyDescent="0.3">
      <c r="A5657" t="s">
        <v>133</v>
      </c>
      <c r="B5657" s="1">
        <v>45898</v>
      </c>
      <c r="C5657" s="1">
        <v>45898</v>
      </c>
      <c r="D5657">
        <v>926158</v>
      </c>
      <c r="E5657">
        <v>12</v>
      </c>
      <c r="F5657" s="3" t="s">
        <v>4899</v>
      </c>
      <c r="G5657" s="4">
        <v>152770</v>
      </c>
      <c r="H5657" s="4">
        <v>0</v>
      </c>
      <c r="I5657" s="4">
        <v>-4603648.8</v>
      </c>
    </row>
    <row r="5658" spans="1:9" x14ac:dyDescent="0.3">
      <c r="A5658" t="s">
        <v>133</v>
      </c>
      <c r="B5658" s="1">
        <v>45898</v>
      </c>
      <c r="C5658" s="1">
        <v>45898</v>
      </c>
      <c r="D5658">
        <v>926159</v>
      </c>
      <c r="E5658">
        <v>12</v>
      </c>
      <c r="F5658" s="3" t="s">
        <v>4900</v>
      </c>
      <c r="G5658" s="4">
        <v>400000</v>
      </c>
      <c r="H5658" s="4">
        <v>0</v>
      </c>
      <c r="I5658" s="4">
        <v>-4203648.8</v>
      </c>
    </row>
    <row r="5659" spans="1:9" x14ac:dyDescent="0.3">
      <c r="A5659" t="s">
        <v>133</v>
      </c>
      <c r="B5659" s="1">
        <v>45898</v>
      </c>
      <c r="C5659" s="1">
        <v>45898</v>
      </c>
      <c r="D5659">
        <v>926160</v>
      </c>
      <c r="E5659">
        <v>282</v>
      </c>
      <c r="F5659" s="3" t="s">
        <v>4901</v>
      </c>
      <c r="G5659" s="4">
        <v>200000</v>
      </c>
      <c r="H5659" s="4">
        <v>0</v>
      </c>
      <c r="I5659" s="4">
        <v>-4003648.8</v>
      </c>
    </row>
    <row r="5660" spans="1:9" x14ac:dyDescent="0.3">
      <c r="A5660" t="s">
        <v>133</v>
      </c>
      <c r="B5660" s="1">
        <v>45898</v>
      </c>
      <c r="C5660" s="1">
        <v>45898</v>
      </c>
      <c r="D5660">
        <v>926164</v>
      </c>
      <c r="E5660">
        <v>73</v>
      </c>
      <c r="F5660" s="3" t="s">
        <v>4902</v>
      </c>
      <c r="G5660" s="4">
        <v>260000</v>
      </c>
      <c r="H5660" s="4">
        <v>0</v>
      </c>
      <c r="I5660" s="4">
        <v>-3743648.8</v>
      </c>
    </row>
    <row r="5661" spans="1:9" x14ac:dyDescent="0.3">
      <c r="A5661" t="s">
        <v>133</v>
      </c>
      <c r="B5661" s="1">
        <v>45898</v>
      </c>
      <c r="C5661" s="1">
        <v>45898</v>
      </c>
      <c r="D5661">
        <v>926167</v>
      </c>
      <c r="E5661">
        <v>94</v>
      </c>
      <c r="F5661" s="3" t="s">
        <v>4903</v>
      </c>
      <c r="G5661" s="4">
        <v>260000</v>
      </c>
      <c r="H5661" s="4">
        <v>0</v>
      </c>
      <c r="I5661" s="4">
        <v>-3483648.8</v>
      </c>
    </row>
    <row r="5662" spans="1:9" x14ac:dyDescent="0.3">
      <c r="A5662" t="s">
        <v>133</v>
      </c>
      <c r="B5662" s="1">
        <v>45898</v>
      </c>
      <c r="C5662" s="1">
        <v>45898</v>
      </c>
      <c r="D5662">
        <v>926172</v>
      </c>
      <c r="E5662">
        <v>94</v>
      </c>
      <c r="F5662" s="3" t="s">
        <v>4904</v>
      </c>
      <c r="G5662" s="4">
        <v>105</v>
      </c>
      <c r="H5662" s="4">
        <v>0</v>
      </c>
      <c r="I5662" s="4">
        <v>-3483543.8</v>
      </c>
    </row>
    <row r="5663" spans="1:9" x14ac:dyDescent="0.3">
      <c r="A5663" t="s">
        <v>133</v>
      </c>
      <c r="B5663" s="1">
        <v>45898</v>
      </c>
      <c r="C5663" s="1">
        <v>45898</v>
      </c>
      <c r="D5663">
        <v>926174</v>
      </c>
      <c r="E5663">
        <v>94</v>
      </c>
      <c r="F5663" s="3" t="s">
        <v>4905</v>
      </c>
      <c r="G5663" s="4">
        <v>19165.25</v>
      </c>
      <c r="H5663" s="4">
        <v>0</v>
      </c>
      <c r="I5663" s="4">
        <v>-3464378.55</v>
      </c>
    </row>
    <row r="5664" spans="1:9" x14ac:dyDescent="0.3">
      <c r="A5664" t="s">
        <v>133</v>
      </c>
      <c r="B5664" s="1">
        <v>45898</v>
      </c>
      <c r="C5664" s="1">
        <v>45898</v>
      </c>
      <c r="D5664">
        <v>926177</v>
      </c>
      <c r="E5664">
        <v>89</v>
      </c>
      <c r="F5664" s="3" t="s">
        <v>4906</v>
      </c>
      <c r="G5664" s="4">
        <v>238870.5</v>
      </c>
      <c r="H5664" s="4">
        <v>0</v>
      </c>
      <c r="I5664" s="4">
        <v>-3225508.05</v>
      </c>
    </row>
    <row r="5665" spans="1:9" x14ac:dyDescent="0.3">
      <c r="A5665" t="s">
        <v>133</v>
      </c>
      <c r="B5665" s="1">
        <v>45898</v>
      </c>
      <c r="C5665" s="1">
        <v>45898</v>
      </c>
      <c r="D5665">
        <v>926178</v>
      </c>
      <c r="E5665">
        <v>46</v>
      </c>
      <c r="F5665" s="3" t="s">
        <v>4907</v>
      </c>
      <c r="G5665" s="4">
        <v>3403.75</v>
      </c>
      <c r="H5665" s="4">
        <v>0</v>
      </c>
      <c r="I5665" s="4">
        <v>-3222104.3</v>
      </c>
    </row>
    <row r="5666" spans="1:9" x14ac:dyDescent="0.3">
      <c r="A5666" t="s">
        <v>133</v>
      </c>
      <c r="B5666" s="1">
        <v>45898</v>
      </c>
      <c r="C5666" s="1">
        <v>45898</v>
      </c>
      <c r="D5666">
        <v>926186</v>
      </c>
      <c r="E5666">
        <v>46</v>
      </c>
      <c r="F5666" s="3" t="s">
        <v>4908</v>
      </c>
      <c r="G5666" s="4">
        <v>51331</v>
      </c>
      <c r="H5666" s="4">
        <v>0</v>
      </c>
      <c r="I5666" s="4">
        <v>-3170773.3</v>
      </c>
    </row>
    <row r="5667" spans="1:9" x14ac:dyDescent="0.3">
      <c r="A5667" t="s">
        <v>133</v>
      </c>
      <c r="B5667" s="1">
        <v>45898</v>
      </c>
      <c r="C5667" s="1">
        <v>45898</v>
      </c>
      <c r="D5667">
        <v>926192</v>
      </c>
      <c r="E5667">
        <v>32</v>
      </c>
      <c r="F5667" s="3" t="s">
        <v>4909</v>
      </c>
      <c r="G5667" s="4">
        <v>13069</v>
      </c>
      <c r="H5667" s="4">
        <v>0</v>
      </c>
      <c r="I5667" s="4">
        <v>-3157704.3</v>
      </c>
    </row>
    <row r="5668" spans="1:9" x14ac:dyDescent="0.3">
      <c r="A5668" t="s">
        <v>133</v>
      </c>
      <c r="B5668" s="1">
        <v>45898</v>
      </c>
      <c r="C5668" s="1">
        <v>45898</v>
      </c>
      <c r="D5668">
        <v>926199</v>
      </c>
      <c r="E5668">
        <v>32</v>
      </c>
      <c r="F5668" s="3" t="s">
        <v>4910</v>
      </c>
      <c r="G5668" s="4">
        <v>28269</v>
      </c>
      <c r="H5668" s="4">
        <v>0</v>
      </c>
      <c r="I5668" s="4">
        <v>-3129435.3</v>
      </c>
    </row>
    <row r="5669" spans="1:9" x14ac:dyDescent="0.3">
      <c r="A5669" t="s">
        <v>133</v>
      </c>
      <c r="B5669" s="1">
        <v>45898</v>
      </c>
      <c r="C5669" s="1">
        <v>45898</v>
      </c>
      <c r="D5669">
        <v>926201</v>
      </c>
      <c r="E5669">
        <v>32</v>
      </c>
      <c r="F5669" s="3" t="s">
        <v>4911</v>
      </c>
      <c r="G5669" s="4">
        <v>37797</v>
      </c>
      <c r="H5669" s="4">
        <v>0</v>
      </c>
      <c r="I5669" s="4">
        <v>-3091638.3</v>
      </c>
    </row>
    <row r="5670" spans="1:9" x14ac:dyDescent="0.3">
      <c r="A5670" t="s">
        <v>133</v>
      </c>
      <c r="B5670" s="1">
        <v>45898</v>
      </c>
      <c r="C5670" s="1">
        <v>45898</v>
      </c>
      <c r="D5670">
        <v>926204</v>
      </c>
      <c r="E5670">
        <v>32</v>
      </c>
      <c r="F5670" s="3" t="s">
        <v>4912</v>
      </c>
      <c r="G5670" s="4">
        <v>13807</v>
      </c>
      <c r="H5670" s="4">
        <v>0</v>
      </c>
      <c r="I5670" s="4">
        <v>-3077831.3</v>
      </c>
    </row>
    <row r="5671" spans="1:9" x14ac:dyDescent="0.3">
      <c r="A5671" t="s">
        <v>133</v>
      </c>
      <c r="B5671" s="1">
        <v>45898</v>
      </c>
      <c r="C5671" s="1">
        <v>45898</v>
      </c>
      <c r="D5671">
        <v>926211</v>
      </c>
      <c r="E5671">
        <v>46</v>
      </c>
      <c r="F5671" s="3" t="s">
        <v>4913</v>
      </c>
      <c r="G5671" s="4">
        <v>76885.75</v>
      </c>
      <c r="H5671" s="4">
        <v>0</v>
      </c>
      <c r="I5671" s="4">
        <v>-3000945.55</v>
      </c>
    </row>
    <row r="5672" spans="1:9" x14ac:dyDescent="0.3">
      <c r="A5672" t="s">
        <v>133</v>
      </c>
      <c r="B5672" s="1">
        <v>45898</v>
      </c>
      <c r="C5672" s="1">
        <v>45898</v>
      </c>
      <c r="D5672">
        <v>926212</v>
      </c>
      <c r="E5672">
        <v>46</v>
      </c>
      <c r="F5672" s="3" t="s">
        <v>4914</v>
      </c>
      <c r="G5672" s="4">
        <v>11738.5</v>
      </c>
      <c r="H5672" s="4">
        <v>0</v>
      </c>
      <c r="I5672" s="4">
        <v>-2989207.05</v>
      </c>
    </row>
    <row r="5673" spans="1:9" x14ac:dyDescent="0.3">
      <c r="A5673" t="s">
        <v>133</v>
      </c>
      <c r="B5673" s="1">
        <v>45898</v>
      </c>
      <c r="C5673" s="1">
        <v>45898</v>
      </c>
      <c r="D5673">
        <v>926214</v>
      </c>
      <c r="E5673">
        <v>32</v>
      </c>
      <c r="F5673" s="3" t="s">
        <v>4915</v>
      </c>
      <c r="G5673" s="4">
        <v>85689</v>
      </c>
      <c r="H5673" s="4">
        <v>0</v>
      </c>
      <c r="I5673" s="4">
        <v>-2903518.05</v>
      </c>
    </row>
    <row r="5674" spans="1:9" x14ac:dyDescent="0.3">
      <c r="A5674" t="s">
        <v>133</v>
      </c>
      <c r="B5674" s="1">
        <v>45898</v>
      </c>
      <c r="C5674" s="1">
        <v>45898</v>
      </c>
      <c r="D5674">
        <v>926215</v>
      </c>
      <c r="E5674">
        <v>32</v>
      </c>
      <c r="F5674" s="3" t="s">
        <v>4916</v>
      </c>
      <c r="G5674" s="4">
        <v>58591.5</v>
      </c>
      <c r="H5674" s="4">
        <v>0</v>
      </c>
      <c r="I5674" s="4">
        <v>-2844926.55</v>
      </c>
    </row>
    <row r="5675" spans="1:9" x14ac:dyDescent="0.3">
      <c r="A5675" t="s">
        <v>133</v>
      </c>
      <c r="B5675" s="1">
        <v>45898</v>
      </c>
      <c r="C5675" s="1">
        <v>45898</v>
      </c>
      <c r="D5675">
        <v>926216</v>
      </c>
      <c r="E5675">
        <v>32</v>
      </c>
      <c r="F5675" s="3" t="s">
        <v>4917</v>
      </c>
      <c r="G5675" s="4">
        <v>100000</v>
      </c>
      <c r="H5675" s="4">
        <v>0</v>
      </c>
      <c r="I5675" s="4">
        <v>-2744926.55</v>
      </c>
    </row>
    <row r="5676" spans="1:9" x14ac:dyDescent="0.3">
      <c r="A5676" t="s">
        <v>133</v>
      </c>
      <c r="B5676" s="1">
        <v>45898</v>
      </c>
      <c r="C5676" s="1">
        <v>45898</v>
      </c>
      <c r="D5676">
        <v>926220</v>
      </c>
      <c r="E5676">
        <v>46</v>
      </c>
      <c r="F5676" s="3" t="s">
        <v>4918</v>
      </c>
      <c r="G5676" s="4">
        <v>92263</v>
      </c>
      <c r="H5676" s="4">
        <v>0</v>
      </c>
      <c r="I5676" s="4">
        <v>-2652663.5499999998</v>
      </c>
    </row>
    <row r="5677" spans="1:9" x14ac:dyDescent="0.3">
      <c r="A5677" t="s">
        <v>133</v>
      </c>
      <c r="B5677" s="1">
        <v>45898</v>
      </c>
      <c r="C5677" s="1">
        <v>45898</v>
      </c>
      <c r="D5677">
        <v>926221</v>
      </c>
      <c r="E5677">
        <v>32</v>
      </c>
      <c r="F5677" s="3" t="s">
        <v>4919</v>
      </c>
      <c r="G5677" s="4">
        <v>46643.5</v>
      </c>
      <c r="H5677" s="4">
        <v>0</v>
      </c>
      <c r="I5677" s="4">
        <v>-2606020.0499999998</v>
      </c>
    </row>
    <row r="5678" spans="1:9" x14ac:dyDescent="0.3">
      <c r="A5678" t="s">
        <v>133</v>
      </c>
      <c r="B5678" s="1">
        <v>45898</v>
      </c>
      <c r="C5678" s="1">
        <v>45898</v>
      </c>
      <c r="D5678">
        <v>926226</v>
      </c>
      <c r="E5678">
        <v>46</v>
      </c>
      <c r="F5678" s="3" t="s">
        <v>4920</v>
      </c>
      <c r="G5678" s="4">
        <v>734813</v>
      </c>
      <c r="H5678" s="4">
        <v>0</v>
      </c>
      <c r="I5678" s="4">
        <v>-1871207.05</v>
      </c>
    </row>
    <row r="5679" spans="1:9" x14ac:dyDescent="0.3">
      <c r="A5679" t="s">
        <v>133</v>
      </c>
      <c r="B5679" s="1">
        <v>45898</v>
      </c>
      <c r="C5679" s="1">
        <v>45898</v>
      </c>
      <c r="D5679">
        <v>926228</v>
      </c>
      <c r="E5679">
        <v>32</v>
      </c>
      <c r="F5679" s="3" t="s">
        <v>4921</v>
      </c>
      <c r="G5679" s="4">
        <v>10644</v>
      </c>
      <c r="H5679" s="4">
        <v>0</v>
      </c>
      <c r="I5679" s="4">
        <v>-1860563.05</v>
      </c>
    </row>
    <row r="5680" spans="1:9" x14ac:dyDescent="0.3">
      <c r="A5680" t="s">
        <v>133</v>
      </c>
      <c r="B5680" s="1">
        <v>45898</v>
      </c>
      <c r="C5680" s="1">
        <v>45898</v>
      </c>
      <c r="D5680">
        <v>926229</v>
      </c>
      <c r="E5680">
        <v>51</v>
      </c>
      <c r="F5680" s="3" t="s">
        <v>4922</v>
      </c>
      <c r="G5680" s="4">
        <v>250000</v>
      </c>
      <c r="H5680" s="4">
        <v>0</v>
      </c>
      <c r="I5680" s="4">
        <v>-1610563.05</v>
      </c>
    </row>
    <row r="5681" spans="1:9" x14ac:dyDescent="0.3">
      <c r="A5681" t="s">
        <v>133</v>
      </c>
      <c r="B5681" s="1">
        <v>45898</v>
      </c>
      <c r="C5681" s="1">
        <v>45898</v>
      </c>
      <c r="D5681">
        <v>926232</v>
      </c>
      <c r="E5681">
        <v>46</v>
      </c>
      <c r="F5681" s="3" t="s">
        <v>4923</v>
      </c>
      <c r="G5681" s="4">
        <v>10000</v>
      </c>
      <c r="H5681" s="4">
        <v>0</v>
      </c>
      <c r="I5681" s="4">
        <v>-1600563.05</v>
      </c>
    </row>
    <row r="5682" spans="1:9" x14ac:dyDescent="0.3">
      <c r="A5682" t="s">
        <v>133</v>
      </c>
      <c r="B5682" s="1">
        <v>45898</v>
      </c>
      <c r="C5682" s="1">
        <v>45898</v>
      </c>
      <c r="D5682">
        <v>926234</v>
      </c>
      <c r="E5682">
        <v>46</v>
      </c>
      <c r="F5682" s="3" t="s">
        <v>4924</v>
      </c>
      <c r="G5682" s="4">
        <v>11449.75</v>
      </c>
      <c r="H5682" s="4">
        <v>0</v>
      </c>
      <c r="I5682" s="4">
        <v>-1589113.3</v>
      </c>
    </row>
    <row r="5683" spans="1:9" x14ac:dyDescent="0.3">
      <c r="A5683" t="s">
        <v>133</v>
      </c>
      <c r="B5683" s="1">
        <v>45898</v>
      </c>
      <c r="C5683" s="1">
        <v>45898</v>
      </c>
      <c r="D5683">
        <v>926235</v>
      </c>
      <c r="E5683">
        <v>46</v>
      </c>
      <c r="F5683" s="3" t="s">
        <v>4925</v>
      </c>
      <c r="G5683" s="4">
        <v>15000</v>
      </c>
      <c r="H5683" s="4">
        <v>0</v>
      </c>
      <c r="I5683" s="4">
        <v>-1574113.3</v>
      </c>
    </row>
    <row r="5684" spans="1:9" x14ac:dyDescent="0.3">
      <c r="A5684" t="s">
        <v>133</v>
      </c>
      <c r="B5684" s="1">
        <v>45898</v>
      </c>
      <c r="C5684" s="1">
        <v>45898</v>
      </c>
      <c r="D5684">
        <v>926246</v>
      </c>
      <c r="E5684">
        <v>32</v>
      </c>
      <c r="F5684" s="3" t="s">
        <v>4926</v>
      </c>
      <c r="G5684" s="4">
        <v>34699</v>
      </c>
      <c r="H5684" s="4">
        <v>0</v>
      </c>
      <c r="I5684" s="4">
        <v>-1539414.3</v>
      </c>
    </row>
    <row r="5685" spans="1:9" x14ac:dyDescent="0.3">
      <c r="A5685" t="s">
        <v>133</v>
      </c>
      <c r="B5685" s="1">
        <v>45898</v>
      </c>
      <c r="C5685" s="1">
        <v>45898</v>
      </c>
      <c r="D5685">
        <v>926247</v>
      </c>
      <c r="E5685">
        <v>32</v>
      </c>
      <c r="F5685" s="3" t="s">
        <v>4927</v>
      </c>
      <c r="G5685" s="4">
        <v>91910.5</v>
      </c>
      <c r="H5685" s="4">
        <v>0</v>
      </c>
      <c r="I5685" s="4">
        <v>-1447503.8</v>
      </c>
    </row>
    <row r="5686" spans="1:9" x14ac:dyDescent="0.3">
      <c r="A5686" t="s">
        <v>133</v>
      </c>
      <c r="B5686" s="1">
        <v>45898</v>
      </c>
      <c r="C5686" s="1">
        <v>45898</v>
      </c>
      <c r="D5686">
        <v>926253</v>
      </c>
      <c r="E5686">
        <v>32</v>
      </c>
      <c r="F5686" s="3" t="s">
        <v>4928</v>
      </c>
      <c r="G5686" s="4">
        <v>53326</v>
      </c>
      <c r="H5686" s="4">
        <v>0</v>
      </c>
      <c r="I5686" s="4">
        <v>-1394177.8</v>
      </c>
    </row>
    <row r="5687" spans="1:9" x14ac:dyDescent="0.3">
      <c r="A5687" t="s">
        <v>133</v>
      </c>
      <c r="B5687" s="1">
        <v>45898</v>
      </c>
      <c r="C5687" s="1">
        <v>45898</v>
      </c>
      <c r="D5687">
        <v>926255</v>
      </c>
      <c r="E5687">
        <v>27</v>
      </c>
      <c r="F5687" s="3" t="s">
        <v>4929</v>
      </c>
      <c r="G5687" s="4">
        <v>100000</v>
      </c>
      <c r="H5687" s="4">
        <v>0</v>
      </c>
      <c r="I5687" s="4">
        <v>-1294177.8</v>
      </c>
    </row>
    <row r="5688" spans="1:9" x14ac:dyDescent="0.3">
      <c r="A5688" t="s">
        <v>133</v>
      </c>
      <c r="B5688" s="1">
        <v>45898</v>
      </c>
      <c r="C5688" s="1">
        <v>45898</v>
      </c>
      <c r="D5688">
        <v>926261</v>
      </c>
      <c r="E5688">
        <v>53</v>
      </c>
      <c r="F5688" s="3" t="s">
        <v>4930</v>
      </c>
      <c r="G5688" s="4">
        <v>389</v>
      </c>
      <c r="H5688" s="4">
        <v>0</v>
      </c>
      <c r="I5688" s="4">
        <v>-1293788.8</v>
      </c>
    </row>
    <row r="5689" spans="1:9" x14ac:dyDescent="0.3">
      <c r="A5689" t="s">
        <v>133</v>
      </c>
      <c r="B5689" s="1">
        <v>45898</v>
      </c>
      <c r="C5689" s="1">
        <v>45898</v>
      </c>
      <c r="D5689">
        <v>926265</v>
      </c>
      <c r="E5689">
        <v>382</v>
      </c>
      <c r="F5689" s="3" t="s">
        <v>4931</v>
      </c>
      <c r="G5689" s="4">
        <v>35000</v>
      </c>
      <c r="H5689" s="4">
        <v>0</v>
      </c>
      <c r="I5689" s="4">
        <v>-1258788.8</v>
      </c>
    </row>
    <row r="5690" spans="1:9" x14ac:dyDescent="0.3">
      <c r="A5690" t="s">
        <v>133</v>
      </c>
      <c r="B5690" s="1">
        <v>45898</v>
      </c>
      <c r="C5690" s="1">
        <v>45898</v>
      </c>
      <c r="D5690">
        <v>926266</v>
      </c>
      <c r="E5690">
        <v>86</v>
      </c>
      <c r="F5690" s="3" t="s">
        <v>4932</v>
      </c>
      <c r="G5690" s="4">
        <v>84542</v>
      </c>
      <c r="H5690" s="4">
        <v>0</v>
      </c>
      <c r="I5690" s="4">
        <v>-1174246.8</v>
      </c>
    </row>
    <row r="5691" spans="1:9" x14ac:dyDescent="0.3">
      <c r="A5691" t="s">
        <v>133</v>
      </c>
      <c r="B5691" s="1">
        <v>45898</v>
      </c>
      <c r="C5691" s="1">
        <v>45898</v>
      </c>
      <c r="D5691">
        <v>926267</v>
      </c>
      <c r="E5691">
        <v>86</v>
      </c>
      <c r="F5691" s="3" t="s">
        <v>4933</v>
      </c>
      <c r="G5691" s="4">
        <v>238875</v>
      </c>
      <c r="H5691" s="4">
        <v>0</v>
      </c>
      <c r="I5691" s="4">
        <v>-935371.8</v>
      </c>
    </row>
    <row r="5692" spans="1:9" x14ac:dyDescent="0.3">
      <c r="A5692" t="s">
        <v>133</v>
      </c>
      <c r="B5692" s="1">
        <v>45898</v>
      </c>
      <c r="C5692" s="1">
        <v>45898</v>
      </c>
      <c r="D5692">
        <v>926268</v>
      </c>
      <c r="E5692">
        <v>78</v>
      </c>
      <c r="F5692" s="3" t="s">
        <v>4934</v>
      </c>
      <c r="G5692" s="4">
        <v>6000</v>
      </c>
      <c r="H5692" s="4">
        <v>0</v>
      </c>
      <c r="I5692" s="4">
        <v>-929371.8</v>
      </c>
    </row>
    <row r="5693" spans="1:9" x14ac:dyDescent="0.3">
      <c r="A5693" t="s">
        <v>133</v>
      </c>
      <c r="B5693" s="1">
        <v>45898</v>
      </c>
      <c r="C5693" s="1">
        <v>45898</v>
      </c>
      <c r="D5693">
        <v>926270</v>
      </c>
      <c r="E5693">
        <v>45</v>
      </c>
      <c r="F5693" s="3" t="s">
        <v>4935</v>
      </c>
      <c r="G5693" s="4">
        <v>200000</v>
      </c>
      <c r="H5693" s="4">
        <v>0</v>
      </c>
      <c r="I5693" s="4">
        <v>-729371.8</v>
      </c>
    </row>
    <row r="5694" spans="1:9" x14ac:dyDescent="0.3">
      <c r="A5694" t="s">
        <v>133</v>
      </c>
      <c r="B5694" s="1">
        <v>45898</v>
      </c>
      <c r="C5694" s="1">
        <v>45898</v>
      </c>
      <c r="D5694">
        <v>926272</v>
      </c>
      <c r="E5694">
        <v>59</v>
      </c>
      <c r="F5694" s="3" t="s">
        <v>4936</v>
      </c>
      <c r="G5694" s="4">
        <v>8000</v>
      </c>
      <c r="H5694" s="4">
        <v>0</v>
      </c>
      <c r="I5694" s="4">
        <v>-721371.8</v>
      </c>
    </row>
    <row r="5695" spans="1:9" x14ac:dyDescent="0.3">
      <c r="A5695" t="s">
        <v>133</v>
      </c>
      <c r="B5695" s="1">
        <v>45898</v>
      </c>
      <c r="C5695" s="1">
        <v>45898</v>
      </c>
      <c r="D5695">
        <v>926279</v>
      </c>
      <c r="E5695">
        <v>38</v>
      </c>
      <c r="F5695" s="3" t="s">
        <v>4937</v>
      </c>
      <c r="G5695" s="4">
        <v>397</v>
      </c>
      <c r="H5695" s="4">
        <v>0</v>
      </c>
      <c r="I5695" s="4">
        <v>-720974.8</v>
      </c>
    </row>
    <row r="5696" spans="1:9" x14ac:dyDescent="0.3">
      <c r="A5696" t="s">
        <v>133</v>
      </c>
      <c r="B5696" s="1">
        <v>45898</v>
      </c>
      <c r="C5696" s="1">
        <v>45898</v>
      </c>
      <c r="D5696">
        <v>926282</v>
      </c>
      <c r="E5696">
        <v>88</v>
      </c>
      <c r="F5696" s="3" t="s">
        <v>4938</v>
      </c>
      <c r="G5696" s="4">
        <v>600000</v>
      </c>
      <c r="H5696" s="4">
        <v>0</v>
      </c>
      <c r="I5696" s="4">
        <v>-120974.8</v>
      </c>
    </row>
    <row r="5697" spans="1:9" x14ac:dyDescent="0.3">
      <c r="A5697" t="s">
        <v>133</v>
      </c>
      <c r="B5697" s="1">
        <v>45898</v>
      </c>
      <c r="C5697" s="1">
        <v>45898</v>
      </c>
      <c r="D5697">
        <v>926284</v>
      </c>
      <c r="E5697">
        <v>92</v>
      </c>
      <c r="F5697" s="3" t="s">
        <v>4939</v>
      </c>
      <c r="G5697" s="4">
        <v>40543</v>
      </c>
      <c r="H5697" s="4">
        <v>0</v>
      </c>
      <c r="I5697" s="4">
        <v>-80431.8</v>
      </c>
    </row>
    <row r="5698" spans="1:9" x14ac:dyDescent="0.3">
      <c r="A5698" t="s">
        <v>133</v>
      </c>
      <c r="B5698" s="1">
        <v>45898</v>
      </c>
      <c r="C5698" s="1">
        <v>45898</v>
      </c>
      <c r="D5698">
        <v>926285</v>
      </c>
      <c r="E5698">
        <v>88</v>
      </c>
      <c r="F5698" s="3" t="s">
        <v>4940</v>
      </c>
      <c r="G5698" s="4">
        <v>99400</v>
      </c>
      <c r="H5698" s="4">
        <v>0</v>
      </c>
      <c r="I5698" s="4">
        <v>18968.2</v>
      </c>
    </row>
    <row r="5699" spans="1:9" x14ac:dyDescent="0.3">
      <c r="A5699" t="s">
        <v>133</v>
      </c>
      <c r="B5699" s="1">
        <v>45898</v>
      </c>
      <c r="C5699" s="1">
        <v>45898</v>
      </c>
      <c r="D5699">
        <v>926289</v>
      </c>
      <c r="E5699">
        <v>31</v>
      </c>
      <c r="F5699" s="3" t="s">
        <v>4941</v>
      </c>
      <c r="G5699" s="4">
        <v>29973</v>
      </c>
      <c r="H5699" s="4">
        <v>0</v>
      </c>
      <c r="I5699" s="4">
        <v>48941.2</v>
      </c>
    </row>
    <row r="5700" spans="1:9" x14ac:dyDescent="0.3">
      <c r="A5700" t="s">
        <v>133</v>
      </c>
      <c r="B5700" s="1">
        <v>45898</v>
      </c>
      <c r="C5700" s="1">
        <v>45898</v>
      </c>
      <c r="D5700">
        <v>926291</v>
      </c>
      <c r="E5700">
        <v>32</v>
      </c>
      <c r="F5700" s="3" t="s">
        <v>4942</v>
      </c>
      <c r="G5700" s="4">
        <v>16468.5</v>
      </c>
      <c r="H5700" s="4">
        <v>0</v>
      </c>
      <c r="I5700" s="4">
        <v>65409.7</v>
      </c>
    </row>
    <row r="5701" spans="1:9" x14ac:dyDescent="0.3">
      <c r="A5701" t="s">
        <v>133</v>
      </c>
      <c r="B5701" s="1">
        <v>45898</v>
      </c>
      <c r="C5701" s="1">
        <v>45898</v>
      </c>
      <c r="D5701">
        <v>926292</v>
      </c>
      <c r="E5701">
        <v>31</v>
      </c>
      <c r="F5701" s="3" t="s">
        <v>4943</v>
      </c>
      <c r="G5701" s="4">
        <v>61949</v>
      </c>
      <c r="H5701" s="4">
        <v>0</v>
      </c>
      <c r="I5701" s="4">
        <v>127358.7</v>
      </c>
    </row>
    <row r="5702" spans="1:9" x14ac:dyDescent="0.3">
      <c r="A5702" t="s">
        <v>133</v>
      </c>
      <c r="B5702" s="1">
        <v>45898</v>
      </c>
      <c r="C5702" s="1">
        <v>45898</v>
      </c>
      <c r="D5702">
        <v>926293</v>
      </c>
      <c r="E5702">
        <v>14</v>
      </c>
      <c r="F5702" s="3" t="s">
        <v>3628</v>
      </c>
      <c r="G5702" s="4">
        <v>415000</v>
      </c>
      <c r="H5702" s="4">
        <v>0</v>
      </c>
      <c r="I5702" s="4">
        <v>542358.69999999995</v>
      </c>
    </row>
    <row r="5703" spans="1:9" x14ac:dyDescent="0.3">
      <c r="A5703" t="s">
        <v>133</v>
      </c>
      <c r="B5703" s="1">
        <v>45898</v>
      </c>
      <c r="C5703" s="1">
        <v>45898</v>
      </c>
      <c r="D5703">
        <v>926294</v>
      </c>
      <c r="E5703">
        <v>69</v>
      </c>
      <c r="F5703" s="3" t="s">
        <v>4944</v>
      </c>
      <c r="G5703" s="4">
        <v>450000</v>
      </c>
      <c r="H5703" s="4">
        <v>0</v>
      </c>
      <c r="I5703" s="4">
        <v>992358.7</v>
      </c>
    </row>
    <row r="5704" spans="1:9" x14ac:dyDescent="0.3">
      <c r="A5704" t="s">
        <v>133</v>
      </c>
      <c r="B5704" s="1">
        <v>45898</v>
      </c>
      <c r="C5704" s="1">
        <v>45898</v>
      </c>
      <c r="D5704">
        <v>926302</v>
      </c>
      <c r="E5704">
        <v>27</v>
      </c>
      <c r="F5704" s="3" t="s">
        <v>4945</v>
      </c>
      <c r="G5704" s="4">
        <v>15651.75</v>
      </c>
      <c r="H5704" s="4">
        <v>0</v>
      </c>
      <c r="I5704" s="4">
        <v>1008010.45</v>
      </c>
    </row>
    <row r="5705" spans="1:9" x14ac:dyDescent="0.3">
      <c r="A5705" t="s">
        <v>133</v>
      </c>
      <c r="B5705" s="1">
        <v>45898</v>
      </c>
      <c r="C5705" s="1">
        <v>45898</v>
      </c>
      <c r="D5705">
        <v>926305</v>
      </c>
      <c r="E5705">
        <v>32</v>
      </c>
      <c r="F5705" s="3" t="s">
        <v>4946</v>
      </c>
      <c r="G5705" s="4">
        <v>28770.25</v>
      </c>
      <c r="H5705" s="4">
        <v>0</v>
      </c>
      <c r="I5705" s="4">
        <v>1036780.7</v>
      </c>
    </row>
    <row r="5706" spans="1:9" x14ac:dyDescent="0.3">
      <c r="A5706" t="s">
        <v>133</v>
      </c>
      <c r="B5706" s="1">
        <v>45898</v>
      </c>
      <c r="C5706" s="1">
        <v>45898</v>
      </c>
      <c r="D5706">
        <v>926308</v>
      </c>
      <c r="E5706">
        <v>32</v>
      </c>
      <c r="F5706" s="3" t="s">
        <v>4947</v>
      </c>
      <c r="G5706" s="4">
        <v>302733</v>
      </c>
      <c r="H5706" s="4">
        <v>0</v>
      </c>
      <c r="I5706" s="4">
        <v>1339513.7</v>
      </c>
    </row>
    <row r="5707" spans="1:9" x14ac:dyDescent="0.3">
      <c r="A5707" t="s">
        <v>133</v>
      </c>
      <c r="B5707" s="1">
        <v>45898</v>
      </c>
      <c r="C5707" s="1">
        <v>45898</v>
      </c>
      <c r="D5707">
        <v>926311</v>
      </c>
      <c r="E5707">
        <v>86</v>
      </c>
      <c r="F5707" s="3" t="s">
        <v>4948</v>
      </c>
      <c r="G5707" s="4">
        <v>374560</v>
      </c>
      <c r="H5707" s="4">
        <v>0</v>
      </c>
      <c r="I5707" s="4">
        <v>1714073.7</v>
      </c>
    </row>
    <row r="5708" spans="1:9" x14ac:dyDescent="0.3">
      <c r="A5708" t="s">
        <v>133</v>
      </c>
      <c r="B5708" s="1">
        <v>45898</v>
      </c>
      <c r="C5708" s="1">
        <v>45898</v>
      </c>
      <c r="D5708">
        <v>926314</v>
      </c>
      <c r="E5708">
        <v>32</v>
      </c>
      <c r="F5708" s="3" t="s">
        <v>4949</v>
      </c>
      <c r="G5708" s="4">
        <v>32255</v>
      </c>
      <c r="H5708" s="4">
        <v>0</v>
      </c>
      <c r="I5708" s="4">
        <v>1746328.7</v>
      </c>
    </row>
    <row r="5709" spans="1:9" x14ac:dyDescent="0.3">
      <c r="A5709" t="s">
        <v>133</v>
      </c>
      <c r="B5709" s="1">
        <v>45898</v>
      </c>
      <c r="C5709" s="1">
        <v>45898</v>
      </c>
      <c r="D5709">
        <v>926315</v>
      </c>
      <c r="E5709">
        <v>32</v>
      </c>
      <c r="F5709" s="3" t="s">
        <v>4950</v>
      </c>
      <c r="G5709" s="4">
        <v>16811.5</v>
      </c>
      <c r="H5709" s="4">
        <v>0</v>
      </c>
      <c r="I5709" s="4">
        <v>1763140.2</v>
      </c>
    </row>
    <row r="5710" spans="1:9" x14ac:dyDescent="0.3">
      <c r="A5710" t="s">
        <v>133</v>
      </c>
      <c r="B5710" s="1">
        <v>45898</v>
      </c>
      <c r="C5710" s="1">
        <v>45898</v>
      </c>
      <c r="D5710">
        <v>926318</v>
      </c>
      <c r="E5710">
        <v>69</v>
      </c>
      <c r="F5710" s="3" t="s">
        <v>4951</v>
      </c>
      <c r="G5710" s="4">
        <v>550000</v>
      </c>
      <c r="H5710" s="4">
        <v>0</v>
      </c>
      <c r="I5710" s="4">
        <v>2313140.2000000002</v>
      </c>
    </row>
    <row r="5711" spans="1:9" x14ac:dyDescent="0.3">
      <c r="A5711" t="s">
        <v>133</v>
      </c>
      <c r="B5711" s="1">
        <v>45898</v>
      </c>
      <c r="C5711" s="1">
        <v>45898</v>
      </c>
      <c r="D5711">
        <v>926319</v>
      </c>
      <c r="E5711">
        <v>77</v>
      </c>
      <c r="F5711" s="3" t="s">
        <v>4952</v>
      </c>
      <c r="G5711" s="4">
        <v>2313</v>
      </c>
      <c r="H5711" s="4">
        <v>0</v>
      </c>
      <c r="I5711" s="4">
        <v>2315453.2000000002</v>
      </c>
    </row>
    <row r="5712" spans="1:9" x14ac:dyDescent="0.3">
      <c r="A5712" t="s">
        <v>133</v>
      </c>
      <c r="B5712" s="1">
        <v>45898</v>
      </c>
      <c r="C5712" s="1">
        <v>45898</v>
      </c>
      <c r="D5712">
        <v>926321</v>
      </c>
      <c r="E5712">
        <v>35</v>
      </c>
      <c r="F5712" s="3" t="s">
        <v>4953</v>
      </c>
      <c r="G5712" s="4">
        <v>15000</v>
      </c>
      <c r="H5712" s="4">
        <v>0</v>
      </c>
      <c r="I5712" s="4">
        <v>2330453.2000000002</v>
      </c>
    </row>
    <row r="5713" spans="1:9" x14ac:dyDescent="0.3">
      <c r="A5713" t="s">
        <v>133</v>
      </c>
      <c r="B5713" s="1">
        <v>45898</v>
      </c>
      <c r="C5713" s="1">
        <v>45898</v>
      </c>
      <c r="D5713">
        <v>926323</v>
      </c>
      <c r="E5713">
        <v>55</v>
      </c>
      <c r="F5713" s="3" t="s">
        <v>4954</v>
      </c>
      <c r="G5713" s="4">
        <v>197000</v>
      </c>
      <c r="H5713" s="4">
        <v>0</v>
      </c>
      <c r="I5713" s="4">
        <v>2527453.2000000002</v>
      </c>
    </row>
    <row r="5714" spans="1:9" x14ac:dyDescent="0.3">
      <c r="A5714" t="s">
        <v>133</v>
      </c>
      <c r="B5714" s="1">
        <v>45898</v>
      </c>
      <c r="C5714" s="1">
        <v>45898</v>
      </c>
      <c r="D5714">
        <v>926348</v>
      </c>
      <c r="E5714">
        <v>75</v>
      </c>
      <c r="F5714" s="3" t="s">
        <v>4955</v>
      </c>
      <c r="G5714" s="4">
        <v>230000</v>
      </c>
      <c r="H5714" s="4">
        <v>0</v>
      </c>
      <c r="I5714" s="4">
        <v>2757453.2</v>
      </c>
    </row>
    <row r="5715" spans="1:9" x14ac:dyDescent="0.3">
      <c r="A5715" t="s">
        <v>133</v>
      </c>
      <c r="B5715" s="1">
        <v>45898</v>
      </c>
      <c r="C5715" s="1">
        <v>45898</v>
      </c>
      <c r="D5715">
        <v>926354</v>
      </c>
      <c r="E5715">
        <v>18</v>
      </c>
      <c r="F5715" s="3" t="s">
        <v>4956</v>
      </c>
      <c r="G5715" s="4">
        <v>150000</v>
      </c>
      <c r="H5715" s="4">
        <v>0</v>
      </c>
      <c r="I5715" s="4">
        <v>2907453.2</v>
      </c>
    </row>
    <row r="5716" spans="1:9" x14ac:dyDescent="0.3">
      <c r="A5716" t="s">
        <v>133</v>
      </c>
      <c r="B5716" s="1">
        <v>45898</v>
      </c>
      <c r="C5716" s="1">
        <v>45898</v>
      </c>
      <c r="D5716">
        <v>926356</v>
      </c>
      <c r="E5716">
        <v>542</v>
      </c>
      <c r="F5716" s="3" t="s">
        <v>4957</v>
      </c>
      <c r="G5716" s="4">
        <v>160000</v>
      </c>
      <c r="H5716" s="4">
        <v>0</v>
      </c>
      <c r="I5716" s="4">
        <v>3067453.2</v>
      </c>
    </row>
    <row r="5717" spans="1:9" x14ac:dyDescent="0.3">
      <c r="A5717" t="s">
        <v>133</v>
      </c>
      <c r="B5717" s="1">
        <v>45898</v>
      </c>
      <c r="C5717" s="1">
        <v>45898</v>
      </c>
      <c r="D5717">
        <v>926364</v>
      </c>
      <c r="E5717">
        <v>92</v>
      </c>
      <c r="F5717" s="3" t="s">
        <v>4958</v>
      </c>
      <c r="G5717" s="4">
        <v>350000</v>
      </c>
      <c r="H5717" s="4">
        <v>0</v>
      </c>
      <c r="I5717" s="4">
        <v>3417453.2</v>
      </c>
    </row>
    <row r="5718" spans="1:9" x14ac:dyDescent="0.3">
      <c r="A5718" t="s">
        <v>133</v>
      </c>
      <c r="B5718" s="1">
        <v>45898</v>
      </c>
      <c r="C5718" s="1">
        <v>45898</v>
      </c>
      <c r="D5718">
        <v>926368</v>
      </c>
      <c r="E5718">
        <v>31</v>
      </c>
      <c r="F5718" s="3" t="s">
        <v>433</v>
      </c>
      <c r="G5718" s="4">
        <v>600050</v>
      </c>
      <c r="H5718" s="4">
        <v>0</v>
      </c>
      <c r="I5718" s="4">
        <v>4017503.2</v>
      </c>
    </row>
    <row r="5719" spans="1:9" x14ac:dyDescent="0.3">
      <c r="A5719" t="s">
        <v>133</v>
      </c>
      <c r="B5719" s="1">
        <v>45898</v>
      </c>
      <c r="C5719" s="1">
        <v>45898</v>
      </c>
      <c r="D5719">
        <v>926369</v>
      </c>
      <c r="E5719">
        <v>12</v>
      </c>
      <c r="F5719" s="3" t="s">
        <v>4959</v>
      </c>
      <c r="G5719" s="4">
        <v>400000</v>
      </c>
      <c r="H5719" s="4">
        <v>0</v>
      </c>
      <c r="I5719" s="4">
        <v>4417503.2</v>
      </c>
    </row>
    <row r="5720" spans="1:9" x14ac:dyDescent="0.3">
      <c r="A5720" t="s">
        <v>133</v>
      </c>
      <c r="B5720" s="1">
        <v>45898</v>
      </c>
      <c r="C5720" s="1">
        <v>45898</v>
      </c>
      <c r="D5720">
        <v>926370</v>
      </c>
      <c r="E5720">
        <v>11</v>
      </c>
      <c r="F5720" s="3" t="s">
        <v>4960</v>
      </c>
      <c r="G5720" s="4">
        <v>9388.5</v>
      </c>
      <c r="H5720" s="4">
        <v>0</v>
      </c>
      <c r="I5720" s="4">
        <v>4426891.7</v>
      </c>
    </row>
    <row r="5721" spans="1:9" x14ac:dyDescent="0.3">
      <c r="A5721" t="s">
        <v>133</v>
      </c>
      <c r="B5721" s="1">
        <v>45898</v>
      </c>
      <c r="C5721" s="1">
        <v>45898</v>
      </c>
      <c r="D5721">
        <v>926372</v>
      </c>
      <c r="E5721">
        <v>13</v>
      </c>
      <c r="F5721" s="3" t="s">
        <v>4961</v>
      </c>
      <c r="G5721" s="4">
        <v>490000</v>
      </c>
      <c r="H5721" s="4">
        <v>0</v>
      </c>
      <c r="I5721" s="4">
        <v>4916891.7</v>
      </c>
    </row>
    <row r="5722" spans="1:9" x14ac:dyDescent="0.3">
      <c r="A5722" t="s">
        <v>133</v>
      </c>
      <c r="B5722" s="1">
        <v>45898</v>
      </c>
      <c r="C5722" s="1">
        <v>45898</v>
      </c>
      <c r="D5722">
        <v>926376</v>
      </c>
      <c r="E5722">
        <v>252</v>
      </c>
      <c r="F5722" s="3" t="s">
        <v>4962</v>
      </c>
      <c r="G5722" s="4">
        <v>2807.5</v>
      </c>
      <c r="H5722" s="4">
        <v>0</v>
      </c>
      <c r="I5722" s="4">
        <v>4919699.2</v>
      </c>
    </row>
    <row r="5723" spans="1:9" x14ac:dyDescent="0.3">
      <c r="A5723" t="s">
        <v>133</v>
      </c>
      <c r="B5723" s="1">
        <v>45898</v>
      </c>
      <c r="C5723" s="1">
        <v>45898</v>
      </c>
      <c r="D5723">
        <v>926379</v>
      </c>
      <c r="E5723">
        <v>58</v>
      </c>
      <c r="F5723" s="3" t="s">
        <v>4963</v>
      </c>
      <c r="G5723" s="4">
        <v>2021</v>
      </c>
      <c r="H5723" s="4">
        <v>0</v>
      </c>
      <c r="I5723" s="4">
        <v>4921720.2</v>
      </c>
    </row>
    <row r="5724" spans="1:9" x14ac:dyDescent="0.3">
      <c r="A5724" t="s">
        <v>133</v>
      </c>
      <c r="B5724" s="1">
        <v>45898</v>
      </c>
      <c r="C5724" s="1">
        <v>45898</v>
      </c>
      <c r="D5724">
        <v>926382</v>
      </c>
      <c r="E5724">
        <v>24</v>
      </c>
      <c r="F5724" s="3" t="s">
        <v>4964</v>
      </c>
      <c r="G5724" s="4">
        <v>360000</v>
      </c>
      <c r="H5724" s="4">
        <v>0</v>
      </c>
      <c r="I5724" s="4">
        <v>5281720.2</v>
      </c>
    </row>
    <row r="5725" spans="1:9" x14ac:dyDescent="0.3">
      <c r="A5725" t="s">
        <v>133</v>
      </c>
      <c r="B5725" s="1">
        <v>45898</v>
      </c>
      <c r="C5725" s="1">
        <v>45898</v>
      </c>
      <c r="D5725">
        <v>926386</v>
      </c>
      <c r="E5725">
        <v>11</v>
      </c>
      <c r="F5725" s="3" t="s">
        <v>4965</v>
      </c>
      <c r="G5725" s="4">
        <v>34168</v>
      </c>
      <c r="H5725" s="4">
        <v>0</v>
      </c>
      <c r="I5725" s="4">
        <v>5315888.2</v>
      </c>
    </row>
    <row r="5726" spans="1:9" x14ac:dyDescent="0.3">
      <c r="A5726" t="s">
        <v>133</v>
      </c>
      <c r="B5726" s="1">
        <v>45898</v>
      </c>
      <c r="C5726" s="1">
        <v>45898</v>
      </c>
      <c r="D5726">
        <v>926391</v>
      </c>
      <c r="E5726">
        <v>58</v>
      </c>
      <c r="F5726" s="3" t="s">
        <v>4966</v>
      </c>
      <c r="G5726" s="4">
        <v>310000</v>
      </c>
      <c r="H5726" s="4">
        <v>0</v>
      </c>
      <c r="I5726" s="4">
        <v>5625888.2000000002</v>
      </c>
    </row>
    <row r="5727" spans="1:9" x14ac:dyDescent="0.3">
      <c r="A5727" t="s">
        <v>133</v>
      </c>
      <c r="B5727" s="1">
        <v>45898</v>
      </c>
      <c r="C5727" s="1">
        <v>45898</v>
      </c>
      <c r="D5727">
        <v>926393</v>
      </c>
      <c r="E5727">
        <v>361</v>
      </c>
      <c r="F5727" s="3">
        <v>101021684447</v>
      </c>
      <c r="G5727" s="4">
        <v>370000</v>
      </c>
      <c r="H5727" s="4">
        <v>0</v>
      </c>
      <c r="I5727" s="4">
        <v>5995888.2000000002</v>
      </c>
    </row>
    <row r="5728" spans="1:9" x14ac:dyDescent="0.3">
      <c r="A5728" t="s">
        <v>133</v>
      </c>
      <c r="B5728" s="1">
        <v>45898</v>
      </c>
      <c r="C5728" s="1">
        <v>45898</v>
      </c>
      <c r="D5728">
        <v>926394</v>
      </c>
      <c r="E5728">
        <v>59</v>
      </c>
      <c r="F5728" s="3" t="s">
        <v>4967</v>
      </c>
      <c r="G5728" s="4">
        <v>120099.75</v>
      </c>
      <c r="H5728" s="4">
        <v>0</v>
      </c>
      <c r="I5728" s="4">
        <v>6115987.9500000002</v>
      </c>
    </row>
    <row r="5729" spans="1:9" x14ac:dyDescent="0.3">
      <c r="A5729" t="s">
        <v>133</v>
      </c>
      <c r="B5729" s="1">
        <v>45898</v>
      </c>
      <c r="C5729" s="1">
        <v>45898</v>
      </c>
      <c r="D5729">
        <v>926398</v>
      </c>
      <c r="E5729">
        <v>86</v>
      </c>
      <c r="F5729" s="3">
        <v>51325074559</v>
      </c>
      <c r="G5729" s="4">
        <v>21155</v>
      </c>
      <c r="H5729" s="4">
        <v>0</v>
      </c>
      <c r="I5729" s="4">
        <v>6137142.9500000002</v>
      </c>
    </row>
    <row r="5730" spans="1:9" x14ac:dyDescent="0.3">
      <c r="A5730" t="s">
        <v>133</v>
      </c>
      <c r="B5730" s="1">
        <v>45898</v>
      </c>
      <c r="C5730" s="1">
        <v>45898</v>
      </c>
      <c r="D5730">
        <v>926408</v>
      </c>
      <c r="E5730">
        <v>422</v>
      </c>
      <c r="F5730" s="3" t="s">
        <v>4968</v>
      </c>
      <c r="G5730" s="4">
        <v>160000</v>
      </c>
      <c r="H5730" s="4">
        <v>0</v>
      </c>
      <c r="I5730" s="4">
        <v>6297142.9500000002</v>
      </c>
    </row>
    <row r="5731" spans="1:9" x14ac:dyDescent="0.3">
      <c r="A5731" t="s">
        <v>133</v>
      </c>
      <c r="B5731" s="1">
        <v>45898</v>
      </c>
      <c r="C5731" s="1">
        <v>45898</v>
      </c>
      <c r="D5731">
        <v>926409</v>
      </c>
      <c r="E5731">
        <v>74</v>
      </c>
      <c r="F5731" s="3" t="s">
        <v>4969</v>
      </c>
      <c r="G5731" s="4">
        <v>460000</v>
      </c>
      <c r="H5731" s="4">
        <v>0</v>
      </c>
      <c r="I5731" s="4">
        <v>6757142.9500000002</v>
      </c>
    </row>
    <row r="5732" spans="1:9" x14ac:dyDescent="0.3">
      <c r="A5732" t="s">
        <v>133</v>
      </c>
      <c r="B5732" s="1">
        <v>45898</v>
      </c>
      <c r="C5732" s="1">
        <v>45898</v>
      </c>
      <c r="D5732">
        <v>926413</v>
      </c>
      <c r="E5732">
        <v>85</v>
      </c>
      <c r="F5732" s="3" t="s">
        <v>4970</v>
      </c>
      <c r="G5732" s="4">
        <v>320000</v>
      </c>
      <c r="H5732" s="4">
        <v>0</v>
      </c>
      <c r="I5732" s="4">
        <v>7077142.9500000002</v>
      </c>
    </row>
    <row r="5733" spans="1:9" x14ac:dyDescent="0.3">
      <c r="A5733" t="s">
        <v>133</v>
      </c>
      <c r="B5733" s="1">
        <v>45898</v>
      </c>
      <c r="C5733" s="1">
        <v>45898</v>
      </c>
      <c r="D5733">
        <v>926421</v>
      </c>
      <c r="E5733">
        <v>85</v>
      </c>
      <c r="F5733" s="3" t="s">
        <v>4971</v>
      </c>
      <c r="G5733" s="4">
        <v>25874</v>
      </c>
      <c r="H5733" s="4">
        <v>0</v>
      </c>
      <c r="I5733" s="4">
        <v>7103016.9500000002</v>
      </c>
    </row>
    <row r="5734" spans="1:9" x14ac:dyDescent="0.3">
      <c r="A5734" t="s">
        <v>133</v>
      </c>
      <c r="B5734" s="1">
        <v>45898</v>
      </c>
      <c r="C5734" s="1">
        <v>45898</v>
      </c>
      <c r="D5734">
        <v>926422</v>
      </c>
      <c r="E5734">
        <v>54</v>
      </c>
      <c r="F5734" s="3" t="s">
        <v>4972</v>
      </c>
      <c r="G5734" s="4">
        <v>320000</v>
      </c>
      <c r="H5734" s="4">
        <v>0</v>
      </c>
      <c r="I5734" s="4">
        <v>7423016.9500000002</v>
      </c>
    </row>
    <row r="5735" spans="1:9" x14ac:dyDescent="0.3">
      <c r="A5735" t="s">
        <v>133</v>
      </c>
      <c r="B5735" s="1">
        <v>45898</v>
      </c>
      <c r="C5735" s="1">
        <v>45898</v>
      </c>
      <c r="D5735">
        <v>926428</v>
      </c>
      <c r="E5735">
        <v>78</v>
      </c>
      <c r="F5735" s="3" t="s">
        <v>4973</v>
      </c>
      <c r="G5735" s="4">
        <v>8761</v>
      </c>
      <c r="H5735" s="4">
        <v>0</v>
      </c>
      <c r="I5735" s="4">
        <v>7431777.9500000002</v>
      </c>
    </row>
    <row r="5736" spans="1:9" x14ac:dyDescent="0.3">
      <c r="A5736" t="s">
        <v>133</v>
      </c>
      <c r="B5736" s="1">
        <v>45898</v>
      </c>
      <c r="C5736" s="1">
        <v>45898</v>
      </c>
      <c r="D5736">
        <v>926432</v>
      </c>
      <c r="E5736">
        <v>78</v>
      </c>
      <c r="F5736" s="3" t="s">
        <v>4974</v>
      </c>
      <c r="G5736" s="4">
        <v>67100</v>
      </c>
      <c r="H5736" s="4">
        <v>0</v>
      </c>
      <c r="I5736" s="4">
        <v>7498877.9500000002</v>
      </c>
    </row>
    <row r="5737" spans="1:9" x14ac:dyDescent="0.3">
      <c r="A5737" t="s">
        <v>133</v>
      </c>
      <c r="B5737" s="1">
        <v>45898</v>
      </c>
      <c r="C5737" s="1">
        <v>45898</v>
      </c>
      <c r="D5737">
        <v>926435</v>
      </c>
      <c r="E5737">
        <v>49</v>
      </c>
      <c r="F5737" s="3" t="s">
        <v>4975</v>
      </c>
      <c r="G5737" s="4">
        <v>26435.75</v>
      </c>
      <c r="H5737" s="4">
        <v>0</v>
      </c>
      <c r="I5737" s="4">
        <v>7525313.7000000002</v>
      </c>
    </row>
    <row r="5738" spans="1:9" x14ac:dyDescent="0.3">
      <c r="A5738" t="s">
        <v>133</v>
      </c>
      <c r="B5738" s="1">
        <v>45898</v>
      </c>
      <c r="C5738" s="1">
        <v>45898</v>
      </c>
      <c r="D5738">
        <v>926437</v>
      </c>
      <c r="E5738">
        <v>67</v>
      </c>
      <c r="F5738" s="3" t="s">
        <v>677</v>
      </c>
      <c r="G5738" s="4">
        <v>200000</v>
      </c>
      <c r="H5738" s="4">
        <v>0</v>
      </c>
      <c r="I5738" s="4">
        <v>7725313.7000000002</v>
      </c>
    </row>
    <row r="5739" spans="1:9" x14ac:dyDescent="0.3">
      <c r="A5739" t="s">
        <v>133</v>
      </c>
      <c r="B5739" s="1">
        <v>45898</v>
      </c>
      <c r="C5739" s="1">
        <v>45898</v>
      </c>
      <c r="D5739">
        <v>926438</v>
      </c>
      <c r="E5739">
        <v>412</v>
      </c>
      <c r="F5739" s="3" t="s">
        <v>181</v>
      </c>
      <c r="G5739" s="4">
        <v>365000</v>
      </c>
      <c r="H5739" s="4">
        <v>0</v>
      </c>
      <c r="I5739" s="4">
        <v>8090313.7000000002</v>
      </c>
    </row>
    <row r="5740" spans="1:9" x14ac:dyDescent="0.3">
      <c r="A5740" t="s">
        <v>133</v>
      </c>
      <c r="B5740" s="1">
        <v>45898</v>
      </c>
      <c r="C5740" s="1">
        <v>45898</v>
      </c>
      <c r="D5740">
        <v>926439</v>
      </c>
      <c r="E5740">
        <v>89</v>
      </c>
      <c r="F5740" s="3" t="s">
        <v>4976</v>
      </c>
      <c r="G5740" s="4">
        <v>3660.25</v>
      </c>
      <c r="H5740" s="4">
        <v>0</v>
      </c>
      <c r="I5740" s="4">
        <v>8093973.9500000002</v>
      </c>
    </row>
    <row r="5741" spans="1:9" x14ac:dyDescent="0.3">
      <c r="A5741" t="s">
        <v>133</v>
      </c>
      <c r="B5741" s="1">
        <v>45898</v>
      </c>
      <c r="C5741" s="1">
        <v>45898</v>
      </c>
      <c r="D5741">
        <v>926441</v>
      </c>
      <c r="E5741">
        <v>307</v>
      </c>
      <c r="F5741" s="3" t="s">
        <v>1933</v>
      </c>
      <c r="G5741" s="4">
        <v>600000</v>
      </c>
      <c r="H5741" s="4">
        <v>0</v>
      </c>
      <c r="I5741" s="4">
        <v>8693973.9499999993</v>
      </c>
    </row>
    <row r="5742" spans="1:9" x14ac:dyDescent="0.3">
      <c r="A5742" t="s">
        <v>133</v>
      </c>
      <c r="B5742" s="1">
        <v>45898</v>
      </c>
      <c r="C5742" s="1">
        <v>45898</v>
      </c>
      <c r="D5742">
        <v>926442</v>
      </c>
      <c r="E5742">
        <v>74</v>
      </c>
      <c r="F5742" s="3" t="s">
        <v>4977</v>
      </c>
      <c r="G5742" s="4">
        <v>5000</v>
      </c>
      <c r="H5742" s="4">
        <v>0</v>
      </c>
      <c r="I5742" s="4">
        <v>8698973.9499999993</v>
      </c>
    </row>
    <row r="5743" spans="1:9" x14ac:dyDescent="0.3">
      <c r="A5743" t="s">
        <v>133</v>
      </c>
      <c r="B5743" s="1">
        <v>45898</v>
      </c>
      <c r="C5743" s="1">
        <v>45898</v>
      </c>
      <c r="D5743">
        <v>926446</v>
      </c>
      <c r="E5743">
        <v>78</v>
      </c>
      <c r="F5743" s="3" t="s">
        <v>4978</v>
      </c>
      <c r="G5743" s="4">
        <v>370000</v>
      </c>
      <c r="H5743" s="4">
        <v>0</v>
      </c>
      <c r="I5743" s="4">
        <v>9068973.9499999993</v>
      </c>
    </row>
    <row r="5744" spans="1:9" x14ac:dyDescent="0.3">
      <c r="A5744" t="s">
        <v>133</v>
      </c>
      <c r="B5744" s="1">
        <v>45898</v>
      </c>
      <c r="C5744" s="1">
        <v>45898</v>
      </c>
      <c r="D5744">
        <v>926447</v>
      </c>
      <c r="E5744">
        <v>59</v>
      </c>
      <c r="F5744" s="3" t="s">
        <v>4979</v>
      </c>
      <c r="G5744" s="4">
        <v>6069</v>
      </c>
      <c r="H5744" s="4">
        <v>0</v>
      </c>
      <c r="I5744" s="4">
        <v>9075042.9499999993</v>
      </c>
    </row>
    <row r="5745" spans="1:9" x14ac:dyDescent="0.3">
      <c r="A5745" t="s">
        <v>133</v>
      </c>
      <c r="B5745" s="1">
        <v>45898</v>
      </c>
      <c r="C5745" s="1">
        <v>45898</v>
      </c>
      <c r="D5745">
        <v>926453</v>
      </c>
      <c r="E5745">
        <v>282</v>
      </c>
      <c r="F5745" s="3">
        <v>500107</v>
      </c>
      <c r="G5745" s="4">
        <v>9374</v>
      </c>
      <c r="H5745" s="4">
        <v>0</v>
      </c>
      <c r="I5745" s="4">
        <v>9084416.9499999993</v>
      </c>
    </row>
    <row r="5746" spans="1:9" x14ac:dyDescent="0.3">
      <c r="A5746" t="s">
        <v>133</v>
      </c>
      <c r="B5746" s="1">
        <v>45898</v>
      </c>
      <c r="C5746" s="1">
        <v>45898</v>
      </c>
      <c r="D5746">
        <v>926456</v>
      </c>
      <c r="E5746">
        <v>91</v>
      </c>
      <c r="F5746" s="3" t="s">
        <v>4980</v>
      </c>
      <c r="G5746" s="4">
        <v>300000</v>
      </c>
      <c r="H5746" s="4">
        <v>0</v>
      </c>
      <c r="I5746" s="4">
        <v>9384416.9499999993</v>
      </c>
    </row>
    <row r="5747" spans="1:9" x14ac:dyDescent="0.3">
      <c r="A5747" t="s">
        <v>133</v>
      </c>
      <c r="B5747" s="1">
        <v>45898</v>
      </c>
      <c r="C5747" s="1">
        <v>45898</v>
      </c>
      <c r="D5747">
        <v>926457</v>
      </c>
      <c r="E5747">
        <v>91</v>
      </c>
      <c r="F5747" s="3">
        <v>1711</v>
      </c>
      <c r="G5747" s="4">
        <v>14283</v>
      </c>
      <c r="H5747" s="4">
        <v>0</v>
      </c>
      <c r="I5747" s="4">
        <v>9398699.9499999993</v>
      </c>
    </row>
    <row r="5748" spans="1:9" x14ac:dyDescent="0.3">
      <c r="A5748" t="s">
        <v>133</v>
      </c>
      <c r="B5748" s="1">
        <v>45898</v>
      </c>
      <c r="C5748" s="1">
        <v>45898</v>
      </c>
      <c r="D5748">
        <v>926460</v>
      </c>
      <c r="E5748">
        <v>71</v>
      </c>
      <c r="F5748" s="3" t="s">
        <v>4981</v>
      </c>
      <c r="G5748" s="4">
        <v>210000</v>
      </c>
      <c r="H5748" s="4">
        <v>0</v>
      </c>
      <c r="I5748" s="4">
        <v>9608699.9499999993</v>
      </c>
    </row>
    <row r="5749" spans="1:9" x14ac:dyDescent="0.3">
      <c r="A5749" t="s">
        <v>133</v>
      </c>
      <c r="B5749" s="1">
        <v>45898</v>
      </c>
      <c r="C5749" s="1">
        <v>45898</v>
      </c>
      <c r="D5749">
        <v>926466</v>
      </c>
      <c r="E5749">
        <v>82</v>
      </c>
      <c r="F5749" s="3" t="s">
        <v>4982</v>
      </c>
      <c r="G5749" s="4">
        <v>290000</v>
      </c>
      <c r="H5749" s="4">
        <v>0</v>
      </c>
      <c r="I5749" s="4">
        <v>9898699.9499999993</v>
      </c>
    </row>
    <row r="5750" spans="1:9" x14ac:dyDescent="0.3">
      <c r="A5750" t="s">
        <v>133</v>
      </c>
      <c r="B5750" s="1">
        <v>45898</v>
      </c>
      <c r="C5750" s="1">
        <v>45898</v>
      </c>
      <c r="D5750">
        <v>926468</v>
      </c>
      <c r="E5750">
        <v>27</v>
      </c>
      <c r="F5750" s="3" t="s">
        <v>4983</v>
      </c>
      <c r="G5750" s="4">
        <v>78951.75</v>
      </c>
      <c r="H5750" s="4">
        <v>0</v>
      </c>
      <c r="I5750" s="4">
        <v>9977651.6999999993</v>
      </c>
    </row>
    <row r="5751" spans="1:9" x14ac:dyDescent="0.3">
      <c r="A5751" t="s">
        <v>133</v>
      </c>
      <c r="B5751" s="1">
        <v>45898</v>
      </c>
      <c r="C5751" s="1">
        <v>45898</v>
      </c>
      <c r="D5751">
        <v>926479</v>
      </c>
      <c r="E5751">
        <v>72</v>
      </c>
      <c r="F5751" s="3" t="s">
        <v>4984</v>
      </c>
      <c r="G5751" s="4">
        <v>200000</v>
      </c>
      <c r="H5751" s="4">
        <v>0</v>
      </c>
      <c r="I5751" s="4">
        <v>10177651.699999999</v>
      </c>
    </row>
    <row r="5752" spans="1:9" x14ac:dyDescent="0.3">
      <c r="A5752" t="s">
        <v>133</v>
      </c>
      <c r="B5752" s="1">
        <v>45898</v>
      </c>
      <c r="C5752" s="1">
        <v>45898</v>
      </c>
      <c r="D5752">
        <v>926487</v>
      </c>
      <c r="E5752">
        <v>11</v>
      </c>
      <c r="F5752" s="3" t="s">
        <v>4985</v>
      </c>
      <c r="G5752" s="4">
        <v>1480210</v>
      </c>
      <c r="H5752" s="4">
        <v>0</v>
      </c>
      <c r="I5752" s="4">
        <v>11657861.699999999</v>
      </c>
    </row>
    <row r="5753" spans="1:9" x14ac:dyDescent="0.3">
      <c r="A5753" t="s">
        <v>133</v>
      </c>
      <c r="B5753" s="1">
        <v>45898</v>
      </c>
      <c r="C5753" s="1">
        <v>45898</v>
      </c>
      <c r="D5753">
        <v>926489</v>
      </c>
      <c r="E5753">
        <v>27</v>
      </c>
      <c r="F5753" s="3" t="s">
        <v>4986</v>
      </c>
      <c r="G5753" s="4">
        <v>394549.75</v>
      </c>
      <c r="H5753" s="4">
        <v>0</v>
      </c>
      <c r="I5753" s="4">
        <v>12052411.449999999</v>
      </c>
    </row>
    <row r="5754" spans="1:9" x14ac:dyDescent="0.3">
      <c r="A5754" t="s">
        <v>133</v>
      </c>
      <c r="B5754" s="1">
        <v>45898</v>
      </c>
      <c r="C5754" s="1">
        <v>45898</v>
      </c>
      <c r="D5754">
        <v>926498</v>
      </c>
      <c r="E5754">
        <v>79</v>
      </c>
      <c r="F5754" s="3" t="s">
        <v>4987</v>
      </c>
      <c r="G5754" s="4">
        <v>285000</v>
      </c>
      <c r="H5754" s="4">
        <v>0</v>
      </c>
      <c r="I5754" s="4">
        <v>12337411.449999999</v>
      </c>
    </row>
    <row r="5755" spans="1:9" x14ac:dyDescent="0.3">
      <c r="A5755" t="s">
        <v>133</v>
      </c>
      <c r="B5755" s="1">
        <v>45898</v>
      </c>
      <c r="C5755" s="1">
        <v>45898</v>
      </c>
      <c r="D5755">
        <v>926499</v>
      </c>
      <c r="E5755">
        <v>27</v>
      </c>
      <c r="F5755" s="3" t="s">
        <v>4988</v>
      </c>
      <c r="G5755" s="4">
        <v>147020.5</v>
      </c>
      <c r="H5755" s="4">
        <v>0</v>
      </c>
      <c r="I5755" s="4">
        <v>12484431.949999999</v>
      </c>
    </row>
    <row r="5756" spans="1:9" x14ac:dyDescent="0.3">
      <c r="A5756" t="s">
        <v>133</v>
      </c>
      <c r="B5756" s="1">
        <v>45898</v>
      </c>
      <c r="C5756" s="1">
        <v>45898</v>
      </c>
      <c r="D5756">
        <v>926502</v>
      </c>
      <c r="E5756">
        <v>27</v>
      </c>
      <c r="F5756" s="3" t="s">
        <v>4989</v>
      </c>
      <c r="G5756" s="4">
        <v>99258.5</v>
      </c>
      <c r="H5756" s="4">
        <v>0</v>
      </c>
      <c r="I5756" s="4">
        <v>12583690.449999999</v>
      </c>
    </row>
    <row r="5757" spans="1:9" x14ac:dyDescent="0.3">
      <c r="A5757" t="s">
        <v>133</v>
      </c>
      <c r="B5757" s="1">
        <v>45898</v>
      </c>
      <c r="C5757" s="1">
        <v>45898</v>
      </c>
      <c r="D5757">
        <v>926503</v>
      </c>
      <c r="E5757">
        <v>27</v>
      </c>
      <c r="F5757" s="3" t="s">
        <v>4990</v>
      </c>
      <c r="G5757" s="4">
        <v>249236.25</v>
      </c>
      <c r="H5757" s="4">
        <v>0</v>
      </c>
      <c r="I5757" s="4">
        <v>12832926.699999999</v>
      </c>
    </row>
    <row r="5758" spans="1:9" x14ac:dyDescent="0.3">
      <c r="A5758" t="s">
        <v>133</v>
      </c>
      <c r="B5758" s="1">
        <v>45898</v>
      </c>
      <c r="C5758" s="1">
        <v>45898</v>
      </c>
      <c r="D5758">
        <v>926504</v>
      </c>
      <c r="E5758">
        <v>15</v>
      </c>
      <c r="F5758" s="3" t="s">
        <v>1532</v>
      </c>
      <c r="G5758" s="4">
        <v>150000</v>
      </c>
      <c r="H5758" s="4">
        <v>0</v>
      </c>
      <c r="I5758" s="4">
        <v>12982926.699999999</v>
      </c>
    </row>
    <row r="5759" spans="1:9" x14ac:dyDescent="0.3">
      <c r="A5759" t="s">
        <v>133</v>
      </c>
      <c r="B5759" s="1">
        <v>45898</v>
      </c>
      <c r="C5759" s="1">
        <v>45898</v>
      </c>
      <c r="D5759">
        <v>926505</v>
      </c>
      <c r="E5759">
        <v>310</v>
      </c>
      <c r="F5759" s="3" t="s">
        <v>181</v>
      </c>
      <c r="G5759" s="4">
        <v>300000</v>
      </c>
      <c r="H5759" s="4">
        <v>0</v>
      </c>
      <c r="I5759" s="4">
        <v>13282926.699999999</v>
      </c>
    </row>
    <row r="5760" spans="1:9" x14ac:dyDescent="0.3">
      <c r="A5760" t="s">
        <v>133</v>
      </c>
      <c r="B5760" s="1">
        <v>45898</v>
      </c>
      <c r="C5760" s="1">
        <v>45898</v>
      </c>
      <c r="D5760">
        <v>926506</v>
      </c>
      <c r="E5760">
        <v>27</v>
      </c>
      <c r="F5760" s="3" t="s">
        <v>4991</v>
      </c>
      <c r="G5760" s="4">
        <v>249236.25</v>
      </c>
      <c r="H5760" s="4">
        <v>0</v>
      </c>
      <c r="I5760" s="4">
        <v>13532162.949999999</v>
      </c>
    </row>
    <row r="5761" spans="1:9" x14ac:dyDescent="0.3">
      <c r="A5761" t="s">
        <v>133</v>
      </c>
      <c r="B5761" s="1">
        <v>45898</v>
      </c>
      <c r="C5761" s="1">
        <v>45898</v>
      </c>
      <c r="D5761">
        <v>926507</v>
      </c>
      <c r="E5761">
        <v>16</v>
      </c>
      <c r="F5761" s="3" t="s">
        <v>4992</v>
      </c>
      <c r="G5761" s="4">
        <v>320000</v>
      </c>
      <c r="H5761" s="4">
        <v>0</v>
      </c>
      <c r="I5761" s="4">
        <v>13852162.949999999</v>
      </c>
    </row>
    <row r="5762" spans="1:9" x14ac:dyDescent="0.3">
      <c r="A5762" t="s">
        <v>133</v>
      </c>
      <c r="B5762" s="1">
        <v>45898</v>
      </c>
      <c r="C5762" s="1">
        <v>45898</v>
      </c>
      <c r="D5762">
        <v>926509</v>
      </c>
      <c r="E5762">
        <v>80</v>
      </c>
      <c r="F5762" s="3" t="s">
        <v>4993</v>
      </c>
      <c r="G5762" s="4">
        <v>150000</v>
      </c>
      <c r="H5762" s="4">
        <v>0</v>
      </c>
      <c r="I5762" s="4">
        <v>14002162.949999999</v>
      </c>
    </row>
    <row r="5763" spans="1:9" x14ac:dyDescent="0.3">
      <c r="A5763" t="s">
        <v>133</v>
      </c>
      <c r="B5763" s="1">
        <v>45898</v>
      </c>
      <c r="C5763" s="1">
        <v>45898</v>
      </c>
      <c r="D5763">
        <v>926510</v>
      </c>
      <c r="E5763">
        <v>32</v>
      </c>
      <c r="F5763" s="3" t="s">
        <v>4994</v>
      </c>
      <c r="G5763" s="4">
        <v>750000</v>
      </c>
      <c r="H5763" s="4">
        <v>0</v>
      </c>
      <c r="I5763" s="4">
        <v>14752162.949999999</v>
      </c>
    </row>
    <row r="5764" spans="1:9" x14ac:dyDescent="0.3">
      <c r="A5764" t="s">
        <v>133</v>
      </c>
      <c r="B5764" s="1">
        <v>45898</v>
      </c>
      <c r="C5764" s="1">
        <v>45898</v>
      </c>
      <c r="D5764">
        <v>926511</v>
      </c>
      <c r="E5764">
        <v>43</v>
      </c>
      <c r="F5764" s="3" t="s">
        <v>4995</v>
      </c>
      <c r="G5764" s="4">
        <v>800000</v>
      </c>
      <c r="H5764" s="4">
        <v>0</v>
      </c>
      <c r="I5764" s="4">
        <v>15552162.949999999</v>
      </c>
    </row>
    <row r="5765" spans="1:9" x14ac:dyDescent="0.3">
      <c r="A5765" t="s">
        <v>133</v>
      </c>
      <c r="B5765" s="1">
        <v>45898</v>
      </c>
      <c r="C5765" s="1">
        <v>45898</v>
      </c>
      <c r="D5765">
        <v>926512</v>
      </c>
      <c r="E5765">
        <v>382</v>
      </c>
      <c r="F5765" s="3" t="s">
        <v>678</v>
      </c>
      <c r="G5765" s="4">
        <v>850000</v>
      </c>
      <c r="H5765" s="4">
        <v>0</v>
      </c>
      <c r="I5765" s="4">
        <v>16402162.949999999</v>
      </c>
    </row>
    <row r="5766" spans="1:9" x14ac:dyDescent="0.3">
      <c r="A5766" t="s">
        <v>133</v>
      </c>
      <c r="B5766" s="1">
        <v>45898</v>
      </c>
      <c r="C5766" s="1">
        <v>45898</v>
      </c>
      <c r="D5766">
        <v>926513</v>
      </c>
      <c r="E5766">
        <v>78</v>
      </c>
      <c r="F5766" s="3" t="s">
        <v>4996</v>
      </c>
      <c r="G5766" s="4">
        <v>10026.25</v>
      </c>
      <c r="H5766" s="4">
        <v>0</v>
      </c>
      <c r="I5766" s="4">
        <v>16412189.199999999</v>
      </c>
    </row>
    <row r="5767" spans="1:9" x14ac:dyDescent="0.3">
      <c r="A5767" t="s">
        <v>133</v>
      </c>
      <c r="B5767" s="1">
        <v>45898</v>
      </c>
      <c r="C5767" s="1">
        <v>45898</v>
      </c>
      <c r="D5767">
        <v>926517</v>
      </c>
      <c r="E5767">
        <v>13</v>
      </c>
      <c r="F5767" s="3" t="s">
        <v>4997</v>
      </c>
      <c r="G5767" s="4">
        <v>19644.75</v>
      </c>
      <c r="H5767" s="4">
        <v>0</v>
      </c>
      <c r="I5767" s="4">
        <v>16431833.949999999</v>
      </c>
    </row>
    <row r="5768" spans="1:9" x14ac:dyDescent="0.3">
      <c r="A5768" t="s">
        <v>133</v>
      </c>
      <c r="B5768" s="1">
        <v>45898</v>
      </c>
      <c r="C5768" s="1">
        <v>45898</v>
      </c>
      <c r="D5768">
        <v>926518</v>
      </c>
      <c r="E5768">
        <v>37</v>
      </c>
      <c r="F5768" s="3" t="s">
        <v>697</v>
      </c>
      <c r="G5768" s="4">
        <v>1505000</v>
      </c>
      <c r="H5768" s="4">
        <v>0</v>
      </c>
      <c r="I5768" s="4">
        <v>17936833.949999999</v>
      </c>
    </row>
    <row r="5769" spans="1:9" x14ac:dyDescent="0.3">
      <c r="A5769" t="s">
        <v>133</v>
      </c>
      <c r="B5769" s="1">
        <v>45898</v>
      </c>
      <c r="C5769" s="1">
        <v>45898</v>
      </c>
      <c r="D5769">
        <v>926521</v>
      </c>
      <c r="E5769">
        <v>84</v>
      </c>
      <c r="F5769" s="3" t="s">
        <v>4998</v>
      </c>
      <c r="G5769" s="4">
        <v>320000</v>
      </c>
      <c r="H5769" s="4">
        <v>0</v>
      </c>
      <c r="I5769" s="4">
        <v>18256833.949999999</v>
      </c>
    </row>
    <row r="5770" spans="1:9" x14ac:dyDescent="0.3">
      <c r="A5770" t="s">
        <v>133</v>
      </c>
      <c r="B5770" s="1">
        <v>45898</v>
      </c>
      <c r="C5770" s="1">
        <v>45898</v>
      </c>
      <c r="D5770">
        <v>926522</v>
      </c>
      <c r="E5770">
        <v>13</v>
      </c>
      <c r="F5770" s="3" t="s">
        <v>4999</v>
      </c>
      <c r="G5770" s="4">
        <v>104848.25</v>
      </c>
      <c r="H5770" s="4">
        <v>0</v>
      </c>
      <c r="I5770" s="4">
        <v>18361682.199999999</v>
      </c>
    </row>
    <row r="5771" spans="1:9" x14ac:dyDescent="0.3">
      <c r="A5771" t="s">
        <v>133</v>
      </c>
      <c r="B5771" s="1">
        <v>45898</v>
      </c>
      <c r="C5771" s="1">
        <v>45898</v>
      </c>
      <c r="D5771">
        <v>926523</v>
      </c>
      <c r="E5771">
        <v>41</v>
      </c>
      <c r="F5771" s="3" t="s">
        <v>5000</v>
      </c>
      <c r="G5771" s="4">
        <v>171233</v>
      </c>
      <c r="H5771" s="4">
        <v>0</v>
      </c>
      <c r="I5771" s="4">
        <v>18532915.199999999</v>
      </c>
    </row>
    <row r="5772" spans="1:9" x14ac:dyDescent="0.3">
      <c r="A5772" t="s">
        <v>133</v>
      </c>
      <c r="B5772" s="1">
        <v>45898</v>
      </c>
      <c r="C5772" s="1">
        <v>45898</v>
      </c>
      <c r="D5772">
        <v>926528</v>
      </c>
      <c r="E5772">
        <v>70</v>
      </c>
      <c r="F5772" s="3" t="s">
        <v>5001</v>
      </c>
      <c r="G5772" s="4">
        <v>450000</v>
      </c>
      <c r="H5772" s="4">
        <v>0</v>
      </c>
      <c r="I5772" s="4">
        <v>18982915.199999999</v>
      </c>
    </row>
    <row r="5773" spans="1:9" x14ac:dyDescent="0.3">
      <c r="A5773" t="s">
        <v>133</v>
      </c>
      <c r="B5773" s="1">
        <v>45898</v>
      </c>
      <c r="C5773" s="1">
        <v>45898</v>
      </c>
      <c r="D5773">
        <v>926529</v>
      </c>
      <c r="E5773">
        <v>77</v>
      </c>
      <c r="F5773" s="3" t="s">
        <v>5002</v>
      </c>
      <c r="G5773" s="4">
        <v>700000</v>
      </c>
      <c r="H5773" s="4">
        <v>0</v>
      </c>
      <c r="I5773" s="4">
        <v>19682915.199999999</v>
      </c>
    </row>
    <row r="5774" spans="1:9" x14ac:dyDescent="0.3">
      <c r="A5774" t="s">
        <v>133</v>
      </c>
      <c r="B5774" s="1">
        <v>45898</v>
      </c>
      <c r="C5774" s="1">
        <v>45898</v>
      </c>
      <c r="D5774">
        <v>926530</v>
      </c>
      <c r="E5774">
        <v>27</v>
      </c>
      <c r="F5774" s="3" t="s">
        <v>5003</v>
      </c>
      <c r="G5774" s="4">
        <v>200000</v>
      </c>
      <c r="H5774" s="4">
        <v>0</v>
      </c>
      <c r="I5774" s="4">
        <v>19882915.199999999</v>
      </c>
    </row>
    <row r="5775" spans="1:9" x14ac:dyDescent="0.3">
      <c r="A5775" t="s">
        <v>133</v>
      </c>
      <c r="B5775" s="1">
        <v>45898</v>
      </c>
      <c r="C5775" s="1">
        <v>45898</v>
      </c>
      <c r="D5775">
        <v>926532</v>
      </c>
      <c r="E5775">
        <v>63</v>
      </c>
      <c r="F5775" s="3" t="s">
        <v>5004</v>
      </c>
      <c r="G5775" s="4">
        <v>260000</v>
      </c>
      <c r="H5775" s="4">
        <v>0</v>
      </c>
      <c r="I5775" s="4">
        <v>20142915.199999999</v>
      </c>
    </row>
    <row r="5776" spans="1:9" x14ac:dyDescent="0.3">
      <c r="A5776" t="s">
        <v>133</v>
      </c>
      <c r="B5776" s="1">
        <v>45898</v>
      </c>
      <c r="C5776" s="1">
        <v>45898</v>
      </c>
      <c r="D5776">
        <v>926537</v>
      </c>
      <c r="E5776">
        <v>351</v>
      </c>
      <c r="F5776" s="3" t="s">
        <v>5005</v>
      </c>
      <c r="G5776" s="4">
        <v>310000</v>
      </c>
      <c r="H5776" s="4">
        <v>0</v>
      </c>
      <c r="I5776" s="4">
        <v>20452915.199999999</v>
      </c>
    </row>
    <row r="5777" spans="1:9" x14ac:dyDescent="0.3">
      <c r="A5777" t="s">
        <v>133</v>
      </c>
      <c r="B5777" s="1">
        <v>45898</v>
      </c>
      <c r="C5777" s="1">
        <v>45898</v>
      </c>
      <c r="D5777">
        <v>926538</v>
      </c>
      <c r="E5777">
        <v>48</v>
      </c>
      <c r="F5777" s="3" t="s">
        <v>5006</v>
      </c>
      <c r="G5777" s="4">
        <v>2100060</v>
      </c>
      <c r="H5777" s="4">
        <v>0</v>
      </c>
      <c r="I5777" s="4">
        <v>22552975.199999999</v>
      </c>
    </row>
    <row r="5778" spans="1:9" x14ac:dyDescent="0.3">
      <c r="A5778" t="s">
        <v>133</v>
      </c>
      <c r="B5778" s="1">
        <v>45898</v>
      </c>
      <c r="C5778" s="1">
        <v>45898</v>
      </c>
      <c r="D5778">
        <v>926539</v>
      </c>
      <c r="E5778">
        <v>56</v>
      </c>
      <c r="F5778" s="3" t="s">
        <v>433</v>
      </c>
      <c r="G5778" s="4">
        <v>600000</v>
      </c>
      <c r="H5778" s="4">
        <v>0</v>
      </c>
      <c r="I5778" s="4">
        <v>23152975.199999999</v>
      </c>
    </row>
    <row r="5779" spans="1:9" x14ac:dyDescent="0.3">
      <c r="A5779" t="s">
        <v>133</v>
      </c>
      <c r="B5779" s="1">
        <v>45898</v>
      </c>
      <c r="C5779" s="1">
        <v>45898</v>
      </c>
      <c r="D5779">
        <v>926540</v>
      </c>
      <c r="E5779">
        <v>61</v>
      </c>
      <c r="F5779" s="3" t="s">
        <v>5007</v>
      </c>
      <c r="G5779" s="4">
        <v>350000</v>
      </c>
      <c r="H5779" s="4">
        <v>0</v>
      </c>
      <c r="I5779" s="4">
        <v>23502975.199999999</v>
      </c>
    </row>
    <row r="5780" spans="1:9" x14ac:dyDescent="0.3">
      <c r="A5780" t="s">
        <v>133</v>
      </c>
      <c r="B5780" s="1">
        <v>45898</v>
      </c>
      <c r="C5780" s="1">
        <v>45898</v>
      </c>
      <c r="D5780">
        <v>926541</v>
      </c>
      <c r="E5780">
        <v>88</v>
      </c>
      <c r="F5780" s="3" t="s">
        <v>5008</v>
      </c>
      <c r="G5780" s="4">
        <v>26703</v>
      </c>
      <c r="H5780" s="4">
        <v>0</v>
      </c>
      <c r="I5780" s="4">
        <v>23529678.199999999</v>
      </c>
    </row>
    <row r="5781" spans="1:9" x14ac:dyDescent="0.3">
      <c r="A5781" t="s">
        <v>133</v>
      </c>
      <c r="B5781" s="1">
        <v>45898</v>
      </c>
      <c r="C5781" s="1">
        <v>45898</v>
      </c>
      <c r="D5781">
        <v>926544</v>
      </c>
      <c r="E5781">
        <v>84</v>
      </c>
      <c r="F5781" s="3" t="s">
        <v>5009</v>
      </c>
      <c r="G5781" s="4">
        <v>25168.25</v>
      </c>
      <c r="H5781" s="4">
        <v>0</v>
      </c>
      <c r="I5781" s="4">
        <v>23554846.449999999</v>
      </c>
    </row>
    <row r="5782" spans="1:9" x14ac:dyDescent="0.3">
      <c r="A5782" t="s">
        <v>133</v>
      </c>
      <c r="B5782" s="1">
        <v>45898</v>
      </c>
      <c r="C5782" s="1">
        <v>45898</v>
      </c>
      <c r="D5782">
        <v>926550</v>
      </c>
      <c r="E5782">
        <v>33</v>
      </c>
      <c r="F5782" s="3" t="s">
        <v>5010</v>
      </c>
      <c r="G5782" s="4">
        <v>130000</v>
      </c>
      <c r="H5782" s="4">
        <v>0</v>
      </c>
      <c r="I5782" s="4">
        <v>23684846.449999999</v>
      </c>
    </row>
    <row r="5783" spans="1:9" x14ac:dyDescent="0.3">
      <c r="A5783" t="s">
        <v>133</v>
      </c>
      <c r="B5783" s="1">
        <v>45898</v>
      </c>
      <c r="C5783" s="1">
        <v>45898</v>
      </c>
      <c r="D5783">
        <v>926551</v>
      </c>
      <c r="E5783">
        <v>89</v>
      </c>
      <c r="F5783" s="3" t="s">
        <v>5011</v>
      </c>
      <c r="G5783" s="4">
        <v>500000</v>
      </c>
      <c r="H5783" s="4">
        <v>0</v>
      </c>
      <c r="I5783" s="4">
        <v>24184846.449999999</v>
      </c>
    </row>
    <row r="5784" spans="1:9" x14ac:dyDescent="0.3">
      <c r="A5784" t="s">
        <v>133</v>
      </c>
      <c r="B5784" s="1">
        <v>45898</v>
      </c>
      <c r="C5784" s="1">
        <v>45898</v>
      </c>
      <c r="D5784">
        <v>926553</v>
      </c>
      <c r="E5784">
        <v>23</v>
      </c>
      <c r="F5784" s="3" t="s">
        <v>5012</v>
      </c>
      <c r="G5784" s="4">
        <v>710000</v>
      </c>
      <c r="H5784" s="4">
        <v>0</v>
      </c>
      <c r="I5784" s="4">
        <v>24894846.449999999</v>
      </c>
    </row>
    <row r="5785" spans="1:9" x14ac:dyDescent="0.3">
      <c r="A5785" t="s">
        <v>133</v>
      </c>
      <c r="B5785" s="1">
        <v>45898</v>
      </c>
      <c r="C5785" s="1">
        <v>45898</v>
      </c>
      <c r="D5785">
        <v>926554</v>
      </c>
      <c r="E5785">
        <v>78</v>
      </c>
      <c r="F5785" s="3" t="s">
        <v>5013</v>
      </c>
      <c r="G5785" s="4">
        <v>38126.25</v>
      </c>
      <c r="H5785" s="4">
        <v>0</v>
      </c>
      <c r="I5785" s="4">
        <v>24932972.699999999</v>
      </c>
    </row>
    <row r="5786" spans="1:9" x14ac:dyDescent="0.3">
      <c r="A5786" t="s">
        <v>133</v>
      </c>
      <c r="B5786" s="1">
        <v>45898</v>
      </c>
      <c r="C5786" s="1">
        <v>45898</v>
      </c>
      <c r="D5786">
        <v>926560</v>
      </c>
      <c r="E5786">
        <v>62</v>
      </c>
      <c r="F5786" s="3" t="s">
        <v>5014</v>
      </c>
      <c r="G5786" s="4">
        <v>570000</v>
      </c>
      <c r="H5786" s="4">
        <v>0</v>
      </c>
      <c r="I5786" s="4">
        <v>25502972.699999999</v>
      </c>
    </row>
    <row r="5787" spans="1:9" x14ac:dyDescent="0.3">
      <c r="A5787" t="s">
        <v>133</v>
      </c>
      <c r="B5787" s="1">
        <v>45898</v>
      </c>
      <c r="C5787" s="1">
        <v>45898</v>
      </c>
      <c r="D5787">
        <v>926569</v>
      </c>
      <c r="E5787">
        <v>53</v>
      </c>
      <c r="F5787" s="3" t="s">
        <v>1546</v>
      </c>
      <c r="G5787" s="4">
        <v>320000</v>
      </c>
      <c r="H5787" s="4">
        <v>0</v>
      </c>
      <c r="I5787" s="4">
        <v>25822972.699999999</v>
      </c>
    </row>
    <row r="5788" spans="1:9" x14ac:dyDescent="0.3">
      <c r="A5788" t="s">
        <v>133</v>
      </c>
      <c r="B5788" s="1">
        <v>45898</v>
      </c>
      <c r="C5788" s="1">
        <v>45898</v>
      </c>
      <c r="D5788">
        <v>926570</v>
      </c>
      <c r="E5788">
        <v>351</v>
      </c>
      <c r="F5788" s="3" t="s">
        <v>5015</v>
      </c>
      <c r="G5788" s="4">
        <v>56826.5</v>
      </c>
      <c r="H5788" s="4">
        <v>0</v>
      </c>
      <c r="I5788" s="4">
        <v>25879799.199999999</v>
      </c>
    </row>
    <row r="5789" spans="1:9" x14ac:dyDescent="0.3">
      <c r="A5789" t="s">
        <v>133</v>
      </c>
      <c r="B5789" s="1">
        <v>45898</v>
      </c>
      <c r="C5789" s="1">
        <v>45898</v>
      </c>
      <c r="D5789">
        <v>926571</v>
      </c>
      <c r="E5789">
        <v>34</v>
      </c>
      <c r="F5789" s="3" t="s">
        <v>5016</v>
      </c>
      <c r="G5789" s="4">
        <v>1783531</v>
      </c>
      <c r="H5789" s="4">
        <v>0</v>
      </c>
      <c r="I5789" s="4">
        <v>27663330.199999999</v>
      </c>
    </row>
    <row r="5790" spans="1:9" x14ac:dyDescent="0.3">
      <c r="A5790" t="s">
        <v>133</v>
      </c>
      <c r="B5790" s="1">
        <v>45898</v>
      </c>
      <c r="C5790" s="1">
        <v>45898</v>
      </c>
      <c r="D5790">
        <v>926572</v>
      </c>
      <c r="E5790">
        <v>44</v>
      </c>
      <c r="F5790" s="3" t="s">
        <v>5017</v>
      </c>
      <c r="G5790" s="4">
        <v>370870</v>
      </c>
      <c r="H5790" s="4">
        <v>0</v>
      </c>
      <c r="I5790" s="4">
        <v>28034200.199999999</v>
      </c>
    </row>
    <row r="5791" spans="1:9" x14ac:dyDescent="0.3">
      <c r="A5791" t="s">
        <v>133</v>
      </c>
      <c r="B5791" s="1">
        <v>45898</v>
      </c>
      <c r="C5791" s="1">
        <v>45898</v>
      </c>
      <c r="D5791">
        <v>926577</v>
      </c>
      <c r="E5791">
        <v>98</v>
      </c>
      <c r="F5791" s="3" t="s">
        <v>5018</v>
      </c>
      <c r="G5791" s="4">
        <v>160000</v>
      </c>
      <c r="H5791" s="4">
        <v>0</v>
      </c>
      <c r="I5791" s="4">
        <v>28194200.199999999</v>
      </c>
    </row>
    <row r="5792" spans="1:9" x14ac:dyDescent="0.3">
      <c r="A5792" t="s">
        <v>133</v>
      </c>
      <c r="B5792" s="1">
        <v>45898</v>
      </c>
      <c r="C5792" s="1">
        <v>45898</v>
      </c>
      <c r="D5792">
        <v>926579</v>
      </c>
      <c r="E5792">
        <v>28</v>
      </c>
      <c r="F5792" s="3">
        <v>443</v>
      </c>
      <c r="G5792" s="4">
        <v>219550</v>
      </c>
      <c r="H5792" s="4">
        <v>0</v>
      </c>
      <c r="I5792" s="4">
        <v>28413750.199999999</v>
      </c>
    </row>
    <row r="5793" spans="1:9" x14ac:dyDescent="0.3">
      <c r="A5793" t="s">
        <v>133</v>
      </c>
      <c r="B5793" s="1">
        <v>45898</v>
      </c>
      <c r="C5793" s="1">
        <v>45898</v>
      </c>
      <c r="D5793">
        <v>926581</v>
      </c>
      <c r="E5793">
        <v>34</v>
      </c>
      <c r="F5793" s="3" t="s">
        <v>5019</v>
      </c>
      <c r="G5793" s="4">
        <v>1783531</v>
      </c>
      <c r="H5793" s="4">
        <v>0</v>
      </c>
      <c r="I5793" s="4">
        <v>30197281.199999999</v>
      </c>
    </row>
    <row r="5794" spans="1:9" x14ac:dyDescent="0.3">
      <c r="A5794" t="s">
        <v>133</v>
      </c>
      <c r="B5794" s="1">
        <v>45898</v>
      </c>
      <c r="C5794" s="1">
        <v>45898</v>
      </c>
      <c r="D5794">
        <v>926582</v>
      </c>
      <c r="E5794">
        <v>15</v>
      </c>
      <c r="F5794" s="3" t="s">
        <v>5020</v>
      </c>
      <c r="G5794" s="4">
        <v>41797.75</v>
      </c>
      <c r="H5794" s="4">
        <v>0</v>
      </c>
      <c r="I5794" s="4">
        <v>30239078.949999999</v>
      </c>
    </row>
    <row r="5795" spans="1:9" x14ac:dyDescent="0.3">
      <c r="A5795" t="s">
        <v>133</v>
      </c>
      <c r="B5795" s="1">
        <v>45898</v>
      </c>
      <c r="C5795" s="1">
        <v>45898</v>
      </c>
      <c r="D5795">
        <v>926583</v>
      </c>
      <c r="E5795">
        <v>44</v>
      </c>
      <c r="F5795" s="3" t="s">
        <v>5021</v>
      </c>
      <c r="G5795" s="4">
        <v>71007.75</v>
      </c>
      <c r="H5795" s="4">
        <v>0</v>
      </c>
      <c r="I5795" s="4">
        <v>30310086.699999999</v>
      </c>
    </row>
    <row r="5796" spans="1:9" x14ac:dyDescent="0.3">
      <c r="A5796" t="s">
        <v>133</v>
      </c>
      <c r="B5796" s="1">
        <v>45898</v>
      </c>
      <c r="C5796" s="1">
        <v>45898</v>
      </c>
      <c r="D5796">
        <v>926584</v>
      </c>
      <c r="E5796">
        <v>53</v>
      </c>
      <c r="F5796" s="3" t="s">
        <v>5022</v>
      </c>
      <c r="G5796" s="4">
        <v>34902.75</v>
      </c>
      <c r="H5796" s="4">
        <v>0</v>
      </c>
      <c r="I5796" s="4">
        <v>30344989.449999999</v>
      </c>
    </row>
    <row r="5797" spans="1:9" x14ac:dyDescent="0.3">
      <c r="A5797" t="s">
        <v>133</v>
      </c>
      <c r="B5797" s="1">
        <v>45898</v>
      </c>
      <c r="C5797" s="1">
        <v>45898</v>
      </c>
      <c r="D5797">
        <v>926586</v>
      </c>
      <c r="E5797">
        <v>210</v>
      </c>
      <c r="F5797" s="3" t="s">
        <v>5023</v>
      </c>
      <c r="G5797" s="4">
        <v>25075.5</v>
      </c>
      <c r="H5797" s="4">
        <v>0</v>
      </c>
      <c r="I5797" s="4">
        <v>30370064.949999999</v>
      </c>
    </row>
    <row r="5798" spans="1:9" x14ac:dyDescent="0.3">
      <c r="A5798" t="s">
        <v>133</v>
      </c>
      <c r="B5798" s="1">
        <v>45898</v>
      </c>
      <c r="C5798" s="1">
        <v>45898</v>
      </c>
      <c r="D5798">
        <v>926587</v>
      </c>
      <c r="E5798">
        <v>28</v>
      </c>
      <c r="F5798" s="3">
        <v>51332922787</v>
      </c>
      <c r="G5798" s="4">
        <v>44959.75</v>
      </c>
      <c r="H5798" s="4">
        <v>0</v>
      </c>
      <c r="I5798" s="4">
        <v>30415024.699999999</v>
      </c>
    </row>
    <row r="5799" spans="1:9" x14ac:dyDescent="0.3">
      <c r="A5799" t="s">
        <v>133</v>
      </c>
      <c r="B5799" s="1">
        <v>45898</v>
      </c>
      <c r="C5799" s="1">
        <v>45898</v>
      </c>
      <c r="D5799">
        <v>926589</v>
      </c>
      <c r="E5799">
        <v>97</v>
      </c>
      <c r="F5799" s="3" t="s">
        <v>4253</v>
      </c>
      <c r="G5799" s="4">
        <v>380000</v>
      </c>
      <c r="H5799" s="4">
        <v>0</v>
      </c>
      <c r="I5799" s="4">
        <v>30795024.699999999</v>
      </c>
    </row>
    <row r="5800" spans="1:9" x14ac:dyDescent="0.3">
      <c r="A5800" t="s">
        <v>133</v>
      </c>
      <c r="B5800" s="1">
        <v>45898</v>
      </c>
      <c r="C5800" s="1">
        <v>45898</v>
      </c>
      <c r="D5800">
        <v>926593</v>
      </c>
      <c r="E5800">
        <v>28</v>
      </c>
      <c r="F5800" s="3">
        <v>51332418557</v>
      </c>
      <c r="G5800" s="4">
        <v>6654.75</v>
      </c>
      <c r="H5800" s="4">
        <v>0</v>
      </c>
      <c r="I5800" s="4">
        <v>30801679.449999999</v>
      </c>
    </row>
    <row r="5801" spans="1:9" x14ac:dyDescent="0.3">
      <c r="A5801" t="s">
        <v>133</v>
      </c>
      <c r="B5801" s="1">
        <v>45898</v>
      </c>
      <c r="C5801" s="1">
        <v>45898</v>
      </c>
      <c r="D5801">
        <v>926594</v>
      </c>
      <c r="E5801">
        <v>210</v>
      </c>
      <c r="F5801" s="3" t="s">
        <v>255</v>
      </c>
      <c r="G5801" s="4">
        <v>550000</v>
      </c>
      <c r="H5801" s="4">
        <v>0</v>
      </c>
      <c r="I5801" s="4">
        <v>31351679.449999999</v>
      </c>
    </row>
    <row r="5802" spans="1:9" x14ac:dyDescent="0.3">
      <c r="A5802" t="s">
        <v>133</v>
      </c>
      <c r="B5802" s="1">
        <v>45898</v>
      </c>
      <c r="C5802" s="1">
        <v>45898</v>
      </c>
      <c r="D5802">
        <v>926598</v>
      </c>
      <c r="E5802">
        <v>81</v>
      </c>
      <c r="F5802" s="3" t="s">
        <v>5024</v>
      </c>
      <c r="G5802" s="4">
        <v>350000</v>
      </c>
      <c r="H5802" s="4">
        <v>0</v>
      </c>
      <c r="I5802" s="4">
        <v>31701679.449999999</v>
      </c>
    </row>
    <row r="5803" spans="1:9" x14ac:dyDescent="0.3">
      <c r="A5803" t="s">
        <v>1</v>
      </c>
      <c r="B5803" s="1">
        <v>45898</v>
      </c>
      <c r="C5803" s="1">
        <v>45899</v>
      </c>
      <c r="D5803">
        <v>103598</v>
      </c>
      <c r="E5803">
        <v>100</v>
      </c>
      <c r="F5803" s="3" t="s">
        <v>5025</v>
      </c>
      <c r="G5803" s="4">
        <v>8700</v>
      </c>
      <c r="I5803" s="4">
        <v>31710379.449999999</v>
      </c>
    </row>
    <row r="5804" spans="1:9" x14ac:dyDescent="0.3">
      <c r="A5804" t="s">
        <v>1</v>
      </c>
      <c r="B5804" s="1">
        <v>45898</v>
      </c>
      <c r="C5804" s="1">
        <v>45899</v>
      </c>
      <c r="D5804">
        <v>103613</v>
      </c>
      <c r="E5804">
        <v>100</v>
      </c>
      <c r="F5804" s="3" t="s">
        <v>5026</v>
      </c>
      <c r="G5804" s="4">
        <v>78294.75</v>
      </c>
      <c r="I5804" s="4">
        <v>31788674.199999999</v>
      </c>
    </row>
    <row r="5805" spans="1:9" x14ac:dyDescent="0.3">
      <c r="A5805" t="s">
        <v>1</v>
      </c>
      <c r="B5805" s="1">
        <v>45898</v>
      </c>
      <c r="C5805" s="1">
        <v>45899</v>
      </c>
      <c r="D5805">
        <v>103614</v>
      </c>
      <c r="E5805">
        <v>100</v>
      </c>
      <c r="F5805" s="3" t="s">
        <v>5027</v>
      </c>
      <c r="G5805" s="4">
        <v>33946</v>
      </c>
      <c r="I5805" s="4">
        <v>31822620.199999999</v>
      </c>
    </row>
    <row r="5806" spans="1:9" x14ac:dyDescent="0.3">
      <c r="A5806" t="s">
        <v>1</v>
      </c>
      <c r="B5806" s="1">
        <v>45898</v>
      </c>
      <c r="C5806" s="1">
        <v>45899</v>
      </c>
      <c r="D5806">
        <v>103616</v>
      </c>
      <c r="E5806">
        <v>100</v>
      </c>
      <c r="F5806" s="3" t="s">
        <v>5028</v>
      </c>
      <c r="G5806" s="4">
        <v>47336.75</v>
      </c>
      <c r="I5806" s="4">
        <v>31869956.949999999</v>
      </c>
    </row>
    <row r="5807" spans="1:9" x14ac:dyDescent="0.3">
      <c r="A5807" t="s">
        <v>1</v>
      </c>
      <c r="B5807" s="1">
        <v>45898</v>
      </c>
      <c r="C5807" s="1">
        <v>45899</v>
      </c>
      <c r="D5807">
        <v>103618</v>
      </c>
      <c r="E5807">
        <v>100</v>
      </c>
      <c r="F5807" s="3" t="s">
        <v>5029</v>
      </c>
      <c r="G5807" s="4">
        <v>22847.75</v>
      </c>
      <c r="I5807" s="4">
        <v>31892804.699999999</v>
      </c>
    </row>
    <row r="5808" spans="1:9" x14ac:dyDescent="0.3">
      <c r="A5808" t="s">
        <v>1</v>
      </c>
      <c r="B5808" s="1">
        <v>45898</v>
      </c>
      <c r="C5808" s="1">
        <v>45899</v>
      </c>
      <c r="D5808">
        <v>103619</v>
      </c>
      <c r="E5808">
        <v>100</v>
      </c>
      <c r="F5808" s="3" t="s">
        <v>5030</v>
      </c>
      <c r="G5808" s="4">
        <v>12538.75</v>
      </c>
      <c r="I5808" s="4">
        <v>31905343.449999999</v>
      </c>
    </row>
    <row r="5809" spans="1:9" x14ac:dyDescent="0.3">
      <c r="A5809" t="s">
        <v>1</v>
      </c>
      <c r="B5809" s="1">
        <v>45898</v>
      </c>
      <c r="C5809" s="1">
        <v>45899</v>
      </c>
      <c r="D5809">
        <v>103620</v>
      </c>
      <c r="E5809">
        <v>100</v>
      </c>
      <c r="F5809" s="3" t="s">
        <v>5031</v>
      </c>
      <c r="G5809" s="4">
        <v>7735.25</v>
      </c>
      <c r="I5809" s="4">
        <v>31913078.699999999</v>
      </c>
    </row>
    <row r="5810" spans="1:9" x14ac:dyDescent="0.3">
      <c r="A5810" t="s">
        <v>1</v>
      </c>
      <c r="B5810" s="1">
        <v>45898</v>
      </c>
      <c r="C5810" s="1">
        <v>45899</v>
      </c>
      <c r="D5810">
        <v>103622</v>
      </c>
      <c r="E5810">
        <v>100</v>
      </c>
      <c r="F5810" s="3" t="s">
        <v>5032</v>
      </c>
      <c r="G5810" s="4">
        <v>15416.75</v>
      </c>
      <c r="I5810" s="4">
        <v>31928495.449999999</v>
      </c>
    </row>
    <row r="5811" spans="1:9" x14ac:dyDescent="0.3">
      <c r="A5811" t="s">
        <v>1</v>
      </c>
      <c r="B5811" s="1">
        <v>45898</v>
      </c>
      <c r="C5811" s="1">
        <v>45899</v>
      </c>
      <c r="D5811">
        <v>103625</v>
      </c>
      <c r="E5811">
        <v>100</v>
      </c>
      <c r="F5811" s="3" t="s">
        <v>5033</v>
      </c>
      <c r="G5811" s="4">
        <v>1490.25</v>
      </c>
      <c r="I5811" s="4">
        <v>31929985.699999999</v>
      </c>
    </row>
    <row r="5812" spans="1:9" x14ac:dyDescent="0.3">
      <c r="A5812" t="s">
        <v>1</v>
      </c>
      <c r="B5812" s="1">
        <v>45898</v>
      </c>
      <c r="C5812" s="1">
        <v>45899</v>
      </c>
      <c r="D5812">
        <v>103642</v>
      </c>
      <c r="E5812">
        <v>100</v>
      </c>
      <c r="F5812" s="3" t="s">
        <v>5034</v>
      </c>
      <c r="G5812" s="4">
        <v>14302.5</v>
      </c>
      <c r="I5812" s="4">
        <v>31944288.199999999</v>
      </c>
    </row>
    <row r="5813" spans="1:9" x14ac:dyDescent="0.3">
      <c r="A5813" t="s">
        <v>1</v>
      </c>
      <c r="B5813" s="1">
        <v>45898</v>
      </c>
      <c r="C5813" s="1">
        <v>45899</v>
      </c>
      <c r="D5813">
        <v>103649</v>
      </c>
      <c r="E5813">
        <v>100</v>
      </c>
      <c r="F5813" s="3" t="s">
        <v>5035</v>
      </c>
      <c r="G5813" s="4">
        <v>22250.25</v>
      </c>
      <c r="I5813" s="4">
        <v>31966538.449999999</v>
      </c>
    </row>
    <row r="5814" spans="1:9" x14ac:dyDescent="0.3">
      <c r="A5814" t="s">
        <v>1</v>
      </c>
      <c r="B5814" s="1">
        <v>45898</v>
      </c>
      <c r="C5814" s="1">
        <v>45899</v>
      </c>
      <c r="D5814">
        <v>103669</v>
      </c>
      <c r="E5814">
        <v>100</v>
      </c>
      <c r="F5814" s="3" t="s">
        <v>5036</v>
      </c>
      <c r="G5814" s="4">
        <v>200000</v>
      </c>
      <c r="I5814" s="4">
        <v>32166538.449999999</v>
      </c>
    </row>
    <row r="5815" spans="1:9" x14ac:dyDescent="0.3">
      <c r="A5815" t="s">
        <v>1</v>
      </c>
      <c r="B5815" s="1">
        <v>45898</v>
      </c>
      <c r="C5815" s="1">
        <v>45899</v>
      </c>
      <c r="D5815">
        <v>103671</v>
      </c>
      <c r="E5815">
        <v>100</v>
      </c>
      <c r="F5815" s="3" t="s">
        <v>5037</v>
      </c>
      <c r="G5815" s="4">
        <v>200000</v>
      </c>
      <c r="I5815" s="4">
        <v>32366538.449999999</v>
      </c>
    </row>
    <row r="5816" spans="1:9" x14ac:dyDescent="0.3">
      <c r="A5816" t="s">
        <v>1</v>
      </c>
      <c r="B5816" s="1">
        <v>45898</v>
      </c>
      <c r="C5816" s="1">
        <v>45899</v>
      </c>
      <c r="D5816">
        <v>103672</v>
      </c>
      <c r="E5816">
        <v>100</v>
      </c>
      <c r="F5816" s="3" t="s">
        <v>5038</v>
      </c>
      <c r="G5816" s="4">
        <v>200000</v>
      </c>
      <c r="I5816" s="4">
        <v>32566538.449999999</v>
      </c>
    </row>
    <row r="5817" spans="1:9" x14ac:dyDescent="0.3">
      <c r="A5817" t="s">
        <v>1</v>
      </c>
      <c r="B5817" s="1">
        <v>45898</v>
      </c>
      <c r="C5817" s="1">
        <v>45899</v>
      </c>
      <c r="D5817">
        <v>103673</v>
      </c>
      <c r="E5817">
        <v>100</v>
      </c>
      <c r="F5817" s="3" t="s">
        <v>5039</v>
      </c>
      <c r="G5817" s="4">
        <v>200000</v>
      </c>
      <c r="I5817" s="4">
        <v>32766538.449999999</v>
      </c>
    </row>
    <row r="5818" spans="1:9" x14ac:dyDescent="0.3">
      <c r="A5818" t="s">
        <v>1</v>
      </c>
      <c r="B5818" s="1">
        <v>45898</v>
      </c>
      <c r="C5818" s="1">
        <v>45899</v>
      </c>
      <c r="D5818">
        <v>103674</v>
      </c>
      <c r="E5818">
        <v>100</v>
      </c>
      <c r="F5818" s="3" t="s">
        <v>5040</v>
      </c>
      <c r="G5818" s="4">
        <v>97211.77</v>
      </c>
      <c r="I5818" s="4">
        <v>32863750.219999999</v>
      </c>
    </row>
    <row r="5819" spans="1:9" x14ac:dyDescent="0.3">
      <c r="A5819" t="s">
        <v>1</v>
      </c>
      <c r="B5819" s="1">
        <v>45898</v>
      </c>
      <c r="C5819" s="1">
        <v>45899</v>
      </c>
      <c r="D5819">
        <v>103686</v>
      </c>
      <c r="E5819">
        <v>100</v>
      </c>
      <c r="F5819" s="3" t="s">
        <v>5041</v>
      </c>
      <c r="G5819" s="4">
        <v>31397.599999999999</v>
      </c>
      <c r="I5819" s="4">
        <v>32895147.82</v>
      </c>
    </row>
    <row r="5820" spans="1:9" x14ac:dyDescent="0.3">
      <c r="A5820" t="s">
        <v>1</v>
      </c>
      <c r="B5820" s="1">
        <v>45898</v>
      </c>
      <c r="C5820" s="1">
        <v>45899</v>
      </c>
      <c r="D5820">
        <v>103699</v>
      </c>
      <c r="E5820">
        <v>100</v>
      </c>
      <c r="F5820" s="3" t="s">
        <v>5042</v>
      </c>
      <c r="G5820" s="4">
        <v>142832</v>
      </c>
      <c r="I5820" s="4">
        <v>33037979.82</v>
      </c>
    </row>
    <row r="5821" spans="1:9" x14ac:dyDescent="0.3">
      <c r="A5821" t="s">
        <v>1</v>
      </c>
      <c r="B5821" s="1">
        <v>45899</v>
      </c>
      <c r="C5821" s="1">
        <v>45899</v>
      </c>
      <c r="D5821">
        <v>103760</v>
      </c>
      <c r="E5821">
        <v>100</v>
      </c>
      <c r="F5821" s="3" t="s">
        <v>5043</v>
      </c>
      <c r="G5821" s="4">
        <v>124931.46</v>
      </c>
      <c r="I5821" s="4">
        <v>33162911.280000001</v>
      </c>
    </row>
    <row r="5822" spans="1:9" x14ac:dyDescent="0.3">
      <c r="A5822" t="s">
        <v>1</v>
      </c>
      <c r="B5822" s="1">
        <v>45898</v>
      </c>
      <c r="C5822" s="1">
        <v>45899</v>
      </c>
      <c r="D5822">
        <v>103775</v>
      </c>
      <c r="E5822">
        <v>100</v>
      </c>
      <c r="F5822" s="3" t="s">
        <v>5044</v>
      </c>
      <c r="G5822" s="4">
        <v>22367.11</v>
      </c>
      <c r="I5822" s="4">
        <v>33185278.390000001</v>
      </c>
    </row>
    <row r="5823" spans="1:9" x14ac:dyDescent="0.3">
      <c r="A5823" t="s">
        <v>1</v>
      </c>
      <c r="B5823" s="1">
        <v>45898</v>
      </c>
      <c r="C5823" s="1">
        <v>45899</v>
      </c>
      <c r="D5823">
        <v>103776</v>
      </c>
      <c r="E5823">
        <v>100</v>
      </c>
      <c r="F5823" s="3" t="s">
        <v>994</v>
      </c>
      <c r="G5823" s="4">
        <v>312744.84999999998</v>
      </c>
      <c r="I5823" s="4">
        <v>33498023.239999998</v>
      </c>
    </row>
    <row r="5824" spans="1:9" x14ac:dyDescent="0.3">
      <c r="A5824" t="s">
        <v>1</v>
      </c>
      <c r="B5824" s="1">
        <v>45898</v>
      </c>
      <c r="C5824" s="1">
        <v>45899</v>
      </c>
      <c r="D5824">
        <v>103777</v>
      </c>
      <c r="E5824">
        <v>100</v>
      </c>
      <c r="F5824" s="3" t="s">
        <v>5045</v>
      </c>
      <c r="G5824" s="4">
        <v>68195.259999999995</v>
      </c>
      <c r="I5824" s="4">
        <v>33566218.5</v>
      </c>
    </row>
    <row r="5825" spans="1:9" x14ac:dyDescent="0.3">
      <c r="A5825" t="s">
        <v>1</v>
      </c>
      <c r="B5825" s="1">
        <v>45898</v>
      </c>
      <c r="C5825" s="1">
        <v>45899</v>
      </c>
      <c r="D5825">
        <v>103778</v>
      </c>
      <c r="E5825">
        <v>100</v>
      </c>
      <c r="F5825" s="3" t="s">
        <v>5046</v>
      </c>
      <c r="G5825" s="4">
        <v>21102.5</v>
      </c>
      <c r="I5825" s="4">
        <v>33587321</v>
      </c>
    </row>
    <row r="5826" spans="1:9" x14ac:dyDescent="0.3">
      <c r="A5826" t="s">
        <v>1</v>
      </c>
      <c r="B5826" s="1">
        <v>45898</v>
      </c>
      <c r="C5826" s="1">
        <v>45899</v>
      </c>
      <c r="D5826">
        <v>103781</v>
      </c>
      <c r="E5826">
        <v>100</v>
      </c>
      <c r="F5826" s="3" t="s">
        <v>5047</v>
      </c>
      <c r="G5826" s="4">
        <v>3773.7</v>
      </c>
      <c r="I5826" s="4">
        <v>33591094.700000003</v>
      </c>
    </row>
    <row r="5827" spans="1:9" x14ac:dyDescent="0.3">
      <c r="A5827" t="s">
        <v>1</v>
      </c>
      <c r="B5827" s="1">
        <v>45897</v>
      </c>
      <c r="C5827" s="1">
        <v>45899</v>
      </c>
      <c r="D5827">
        <v>103782</v>
      </c>
      <c r="E5827">
        <v>100</v>
      </c>
      <c r="F5827" s="3" t="s">
        <v>5048</v>
      </c>
      <c r="G5827" s="4">
        <v>344.4</v>
      </c>
      <c r="I5827" s="4">
        <v>33591439.100000001</v>
      </c>
    </row>
    <row r="5828" spans="1:9" x14ac:dyDescent="0.3">
      <c r="A5828" t="s">
        <v>1</v>
      </c>
      <c r="B5828" s="1">
        <v>45898</v>
      </c>
      <c r="C5828" s="1">
        <v>45899</v>
      </c>
      <c r="D5828">
        <v>103783</v>
      </c>
      <c r="E5828">
        <v>100</v>
      </c>
      <c r="F5828" s="3" t="s">
        <v>5049</v>
      </c>
      <c r="G5828" s="4">
        <v>41042</v>
      </c>
      <c r="I5828" s="4">
        <v>33632481.100000001</v>
      </c>
    </row>
    <row r="5829" spans="1:9" x14ac:dyDescent="0.3">
      <c r="A5829" t="s">
        <v>1</v>
      </c>
      <c r="B5829" s="1">
        <v>45896</v>
      </c>
      <c r="C5829" s="1">
        <v>45899</v>
      </c>
      <c r="D5829">
        <v>103787</v>
      </c>
      <c r="E5829">
        <v>100</v>
      </c>
      <c r="F5829" s="3" t="s">
        <v>5050</v>
      </c>
      <c r="G5829" s="4">
        <v>262.5</v>
      </c>
      <c r="I5829" s="4">
        <v>33632743.600000001</v>
      </c>
    </row>
    <row r="5830" spans="1:9" x14ac:dyDescent="0.3">
      <c r="A5830" t="s">
        <v>1</v>
      </c>
      <c r="B5830" s="1">
        <v>45896</v>
      </c>
      <c r="C5830" s="1">
        <v>45899</v>
      </c>
      <c r="D5830">
        <v>103790</v>
      </c>
      <c r="E5830">
        <v>100</v>
      </c>
      <c r="F5830" s="3" t="s">
        <v>5051</v>
      </c>
      <c r="G5830" s="4">
        <v>262.5</v>
      </c>
      <c r="I5830" s="4">
        <v>33633006.100000001</v>
      </c>
    </row>
    <row r="5831" spans="1:9" x14ac:dyDescent="0.3">
      <c r="A5831" t="s">
        <v>1</v>
      </c>
      <c r="B5831" s="1">
        <v>45898</v>
      </c>
      <c r="C5831" s="1">
        <v>45899</v>
      </c>
      <c r="D5831">
        <v>103791</v>
      </c>
      <c r="E5831">
        <v>100</v>
      </c>
      <c r="F5831" s="3" t="s">
        <v>2535</v>
      </c>
      <c r="G5831" s="4">
        <v>46560.38</v>
      </c>
      <c r="I5831" s="4">
        <v>33679566.479999997</v>
      </c>
    </row>
    <row r="5832" spans="1:9" x14ac:dyDescent="0.3">
      <c r="A5832" t="s">
        <v>1</v>
      </c>
      <c r="B5832" s="1">
        <v>45898</v>
      </c>
      <c r="C5832" s="1">
        <v>45899</v>
      </c>
      <c r="D5832">
        <v>103792</v>
      </c>
      <c r="E5832">
        <v>100</v>
      </c>
      <c r="F5832" s="3" t="s">
        <v>5052</v>
      </c>
      <c r="G5832" s="4">
        <v>45212.38</v>
      </c>
      <c r="I5832" s="4">
        <v>33724778.859999999</v>
      </c>
    </row>
    <row r="5833" spans="1:9" x14ac:dyDescent="0.3">
      <c r="A5833" t="s">
        <v>1</v>
      </c>
      <c r="B5833" s="1">
        <v>45898</v>
      </c>
      <c r="C5833" s="1">
        <v>45899</v>
      </c>
      <c r="D5833">
        <v>103793</v>
      </c>
      <c r="E5833">
        <v>100</v>
      </c>
      <c r="F5833" s="3" t="s">
        <v>5053</v>
      </c>
      <c r="G5833" s="4">
        <v>21852.5</v>
      </c>
      <c r="I5833" s="4">
        <v>33746631.359999999</v>
      </c>
    </row>
    <row r="5834" spans="1:9" x14ac:dyDescent="0.3">
      <c r="A5834" t="s">
        <v>1</v>
      </c>
      <c r="B5834" s="1">
        <v>45898</v>
      </c>
      <c r="C5834" s="1">
        <v>45899</v>
      </c>
      <c r="D5834">
        <v>103796</v>
      </c>
      <c r="E5834">
        <v>100</v>
      </c>
      <c r="F5834" s="3" t="s">
        <v>5054</v>
      </c>
      <c r="G5834" s="4">
        <v>8026.25</v>
      </c>
      <c r="I5834" s="4">
        <v>33754657.609999999</v>
      </c>
    </row>
    <row r="5835" spans="1:9" x14ac:dyDescent="0.3">
      <c r="A5835" t="s">
        <v>1</v>
      </c>
      <c r="B5835" s="1">
        <v>45898</v>
      </c>
      <c r="C5835" s="1">
        <v>45899</v>
      </c>
      <c r="D5835">
        <v>103797</v>
      </c>
      <c r="E5835">
        <v>100</v>
      </c>
      <c r="F5835" s="3" t="s">
        <v>5055</v>
      </c>
      <c r="G5835" s="4">
        <v>31500</v>
      </c>
      <c r="I5835" s="4">
        <v>33786157.609999999</v>
      </c>
    </row>
    <row r="5836" spans="1:9" x14ac:dyDescent="0.3">
      <c r="A5836" t="s">
        <v>1</v>
      </c>
      <c r="B5836" s="1">
        <v>45898</v>
      </c>
      <c r="C5836" s="1">
        <v>45899</v>
      </c>
      <c r="D5836">
        <v>103801</v>
      </c>
      <c r="E5836">
        <v>100</v>
      </c>
      <c r="F5836" s="3" t="s">
        <v>5056</v>
      </c>
      <c r="G5836" s="4">
        <v>30476.46</v>
      </c>
      <c r="I5836" s="4">
        <v>33816634.07</v>
      </c>
    </row>
    <row r="5837" spans="1:9" x14ac:dyDescent="0.3">
      <c r="A5837" t="s">
        <v>1</v>
      </c>
      <c r="B5837" s="1">
        <v>45898</v>
      </c>
      <c r="C5837" s="1">
        <v>45899</v>
      </c>
      <c r="D5837">
        <v>103802</v>
      </c>
      <c r="E5837">
        <v>100</v>
      </c>
      <c r="F5837" s="3" t="s">
        <v>2518</v>
      </c>
      <c r="G5837" s="4">
        <v>15231.5</v>
      </c>
      <c r="I5837" s="4">
        <v>33831865.57</v>
      </c>
    </row>
    <row r="5838" spans="1:9" x14ac:dyDescent="0.3">
      <c r="A5838" t="s">
        <v>1</v>
      </c>
      <c r="B5838" s="1">
        <v>45898</v>
      </c>
      <c r="C5838" s="1">
        <v>45899</v>
      </c>
      <c r="D5838">
        <v>103803</v>
      </c>
      <c r="E5838">
        <v>100</v>
      </c>
      <c r="F5838" s="3" t="s">
        <v>2518</v>
      </c>
      <c r="G5838" s="4">
        <v>4026.25</v>
      </c>
      <c r="I5838" s="4">
        <v>33835891.82</v>
      </c>
    </row>
    <row r="5839" spans="1:9" x14ac:dyDescent="0.3">
      <c r="A5839" t="s">
        <v>1</v>
      </c>
      <c r="B5839" s="1">
        <v>45898</v>
      </c>
      <c r="C5839" s="1">
        <v>45899</v>
      </c>
      <c r="D5839">
        <v>103804</v>
      </c>
      <c r="E5839">
        <v>100</v>
      </c>
      <c r="F5839" s="3" t="s">
        <v>325</v>
      </c>
      <c r="G5839" s="4">
        <v>7004.2</v>
      </c>
      <c r="I5839" s="4">
        <v>33842896.020000003</v>
      </c>
    </row>
    <row r="5840" spans="1:9" x14ac:dyDescent="0.3">
      <c r="A5840" t="s">
        <v>1</v>
      </c>
      <c r="B5840" s="1">
        <v>45898</v>
      </c>
      <c r="C5840" s="1">
        <v>45899</v>
      </c>
      <c r="D5840">
        <v>103805</v>
      </c>
      <c r="E5840">
        <v>100</v>
      </c>
      <c r="F5840" s="3" t="s">
        <v>5057</v>
      </c>
      <c r="G5840" s="4">
        <v>27064.75</v>
      </c>
      <c r="I5840" s="4">
        <v>33869960.770000003</v>
      </c>
    </row>
    <row r="5841" spans="1:9" x14ac:dyDescent="0.3">
      <c r="A5841" t="s">
        <v>1</v>
      </c>
      <c r="B5841" s="1">
        <v>45897</v>
      </c>
      <c r="C5841" s="1">
        <v>45899</v>
      </c>
      <c r="D5841">
        <v>103813</v>
      </c>
      <c r="E5841">
        <v>100</v>
      </c>
      <c r="F5841" s="3" t="s">
        <v>5058</v>
      </c>
      <c r="G5841" s="4">
        <v>17776.25</v>
      </c>
      <c r="I5841" s="4">
        <v>33887737.020000003</v>
      </c>
    </row>
    <row r="5842" spans="1:9" x14ac:dyDescent="0.3">
      <c r="A5842" t="s">
        <v>1</v>
      </c>
      <c r="B5842" s="1">
        <v>45898</v>
      </c>
      <c r="C5842" s="1">
        <v>45899</v>
      </c>
      <c r="D5842">
        <v>103822</v>
      </c>
      <c r="E5842">
        <v>100</v>
      </c>
      <c r="F5842" s="3" t="s">
        <v>5059</v>
      </c>
      <c r="G5842" s="4">
        <v>11700</v>
      </c>
      <c r="I5842" s="4">
        <v>33899437.020000003</v>
      </c>
    </row>
    <row r="5843" spans="1:9" x14ac:dyDescent="0.3">
      <c r="A5843" t="s">
        <v>1</v>
      </c>
      <c r="B5843" s="1">
        <v>45898</v>
      </c>
      <c r="C5843" s="1">
        <v>45899</v>
      </c>
      <c r="D5843">
        <v>103823</v>
      </c>
      <c r="E5843">
        <v>100</v>
      </c>
      <c r="F5843" s="3" t="s">
        <v>5060</v>
      </c>
      <c r="G5843" s="4">
        <v>32529.360000000001</v>
      </c>
      <c r="I5843" s="4">
        <v>33931966.380000003</v>
      </c>
    </row>
    <row r="5844" spans="1:9" x14ac:dyDescent="0.3">
      <c r="A5844" t="s">
        <v>1</v>
      </c>
      <c r="B5844" s="1">
        <v>45898</v>
      </c>
      <c r="C5844" s="1">
        <v>45899</v>
      </c>
      <c r="D5844">
        <v>103824</v>
      </c>
      <c r="E5844">
        <v>100</v>
      </c>
      <c r="F5844" s="3" t="s">
        <v>772</v>
      </c>
      <c r="G5844" s="4">
        <v>9279.85</v>
      </c>
      <c r="I5844" s="4">
        <v>33941246.229999997</v>
      </c>
    </row>
    <row r="5845" spans="1:9" x14ac:dyDescent="0.3">
      <c r="A5845" t="s">
        <v>1</v>
      </c>
      <c r="B5845" s="1">
        <v>45899</v>
      </c>
      <c r="C5845" s="1">
        <v>45899</v>
      </c>
      <c r="D5845">
        <v>103825</v>
      </c>
      <c r="E5845">
        <v>100</v>
      </c>
      <c r="F5845" s="3" t="s">
        <v>58</v>
      </c>
      <c r="G5845" s="4">
        <v>29427.08</v>
      </c>
      <c r="I5845" s="4">
        <v>33970673.310000002</v>
      </c>
    </row>
    <row r="5846" spans="1:9" x14ac:dyDescent="0.3">
      <c r="A5846" t="s">
        <v>1</v>
      </c>
      <c r="B5846" s="1">
        <v>45899</v>
      </c>
      <c r="C5846" s="1">
        <v>45899</v>
      </c>
      <c r="D5846">
        <v>103827</v>
      </c>
      <c r="E5846">
        <v>100</v>
      </c>
      <c r="F5846" s="3" t="s">
        <v>5061</v>
      </c>
      <c r="G5846" s="4">
        <v>17395.349999999999</v>
      </c>
      <c r="I5846" s="4">
        <v>33988068.659999996</v>
      </c>
    </row>
    <row r="5847" spans="1:9" x14ac:dyDescent="0.3">
      <c r="A5847" t="s">
        <v>1</v>
      </c>
      <c r="B5847" s="1">
        <v>45899</v>
      </c>
      <c r="C5847" s="1">
        <v>45899</v>
      </c>
      <c r="D5847">
        <v>103828</v>
      </c>
      <c r="E5847">
        <v>100</v>
      </c>
      <c r="F5847" s="3" t="s">
        <v>5062</v>
      </c>
      <c r="G5847" s="4">
        <v>50003.67</v>
      </c>
      <c r="I5847" s="4">
        <v>34038072.329999998</v>
      </c>
    </row>
    <row r="5848" spans="1:9" x14ac:dyDescent="0.3">
      <c r="A5848" t="s">
        <v>1</v>
      </c>
      <c r="B5848" s="1">
        <v>45898</v>
      </c>
      <c r="C5848" s="1">
        <v>45899</v>
      </c>
      <c r="D5848">
        <v>103844</v>
      </c>
      <c r="E5848">
        <v>100</v>
      </c>
      <c r="F5848" s="3" t="s">
        <v>5063</v>
      </c>
      <c r="G5848" s="4">
        <v>20000</v>
      </c>
      <c r="I5848" s="4">
        <v>34058072.329999998</v>
      </c>
    </row>
    <row r="5849" spans="1:9" x14ac:dyDescent="0.3">
      <c r="A5849" t="s">
        <v>1</v>
      </c>
      <c r="B5849" s="1">
        <v>45898</v>
      </c>
      <c r="C5849" s="1">
        <v>45899</v>
      </c>
      <c r="D5849">
        <v>103846</v>
      </c>
      <c r="E5849">
        <v>100</v>
      </c>
      <c r="F5849" s="3" t="s">
        <v>5064</v>
      </c>
      <c r="G5849" s="4">
        <v>7221</v>
      </c>
      <c r="I5849" s="4">
        <v>34065293.329999998</v>
      </c>
    </row>
    <row r="5850" spans="1:9" x14ac:dyDescent="0.3">
      <c r="A5850" t="s">
        <v>1</v>
      </c>
      <c r="B5850" s="1">
        <v>45898</v>
      </c>
      <c r="C5850" s="1">
        <v>45899</v>
      </c>
      <c r="D5850">
        <v>103847</v>
      </c>
      <c r="E5850">
        <v>100</v>
      </c>
      <c r="F5850" s="3" t="s">
        <v>5065</v>
      </c>
      <c r="G5850" s="4">
        <v>2205.25</v>
      </c>
      <c r="I5850" s="4">
        <v>34067498.579999998</v>
      </c>
    </row>
    <row r="5851" spans="1:9" x14ac:dyDescent="0.3">
      <c r="A5851" t="s">
        <v>1</v>
      </c>
      <c r="B5851" s="1">
        <v>45899</v>
      </c>
      <c r="C5851" s="1">
        <v>45899</v>
      </c>
      <c r="D5851">
        <v>103849</v>
      </c>
      <c r="E5851">
        <v>100</v>
      </c>
      <c r="F5851" s="3" t="s">
        <v>2521</v>
      </c>
      <c r="G5851" s="4">
        <v>4004.2</v>
      </c>
      <c r="I5851" s="4">
        <v>34071502.780000001</v>
      </c>
    </row>
    <row r="5852" spans="1:9" x14ac:dyDescent="0.3">
      <c r="A5852" t="s">
        <v>1</v>
      </c>
      <c r="B5852" s="1">
        <v>45898</v>
      </c>
      <c r="C5852" s="1">
        <v>45899</v>
      </c>
      <c r="D5852">
        <v>103854</v>
      </c>
      <c r="E5852">
        <v>100</v>
      </c>
      <c r="F5852" s="3" t="s">
        <v>5066</v>
      </c>
      <c r="G5852" s="4">
        <v>29888</v>
      </c>
      <c r="I5852" s="4">
        <v>34101390.780000001</v>
      </c>
    </row>
    <row r="5853" spans="1:9" x14ac:dyDescent="0.3">
      <c r="A5853" t="s">
        <v>1</v>
      </c>
      <c r="B5853" s="1">
        <v>45898</v>
      </c>
      <c r="C5853" s="1">
        <v>45899</v>
      </c>
      <c r="D5853">
        <v>103856</v>
      </c>
      <c r="E5853">
        <v>100</v>
      </c>
      <c r="F5853" s="3" t="s">
        <v>5067</v>
      </c>
      <c r="G5853" s="4">
        <v>197135.18</v>
      </c>
      <c r="I5853" s="4">
        <v>34298525.960000001</v>
      </c>
    </row>
    <row r="5854" spans="1:9" x14ac:dyDescent="0.3">
      <c r="A5854" t="s">
        <v>1</v>
      </c>
      <c r="B5854" s="1">
        <v>45899</v>
      </c>
      <c r="C5854" s="1">
        <v>45899</v>
      </c>
      <c r="D5854">
        <v>103857</v>
      </c>
      <c r="E5854">
        <v>100</v>
      </c>
      <c r="F5854" s="3" t="s">
        <v>5068</v>
      </c>
      <c r="G5854" s="4">
        <v>17725.2</v>
      </c>
      <c r="I5854" s="4">
        <v>34316251.159999996</v>
      </c>
    </row>
    <row r="5855" spans="1:9" x14ac:dyDescent="0.3">
      <c r="A5855" t="s">
        <v>1</v>
      </c>
      <c r="B5855" s="1">
        <v>45899</v>
      </c>
      <c r="C5855" s="1">
        <v>45899</v>
      </c>
      <c r="D5855">
        <v>103861</v>
      </c>
      <c r="E5855">
        <v>100</v>
      </c>
      <c r="F5855" s="3" t="s">
        <v>2530</v>
      </c>
      <c r="G5855" s="4">
        <v>1536</v>
      </c>
      <c r="I5855" s="4">
        <v>34317787.159999996</v>
      </c>
    </row>
    <row r="5856" spans="1:9" x14ac:dyDescent="0.3">
      <c r="A5856" t="s">
        <v>1</v>
      </c>
      <c r="B5856" s="1">
        <v>45899</v>
      </c>
      <c r="C5856" s="1">
        <v>45899</v>
      </c>
      <c r="D5856">
        <v>103863</v>
      </c>
      <c r="E5856">
        <v>100</v>
      </c>
      <c r="F5856" s="3" t="s">
        <v>5069</v>
      </c>
      <c r="G5856" s="4">
        <v>30751.88</v>
      </c>
      <c r="I5856" s="4">
        <v>34348539.039999999</v>
      </c>
    </row>
    <row r="5857" spans="1:9" x14ac:dyDescent="0.3">
      <c r="A5857" t="s">
        <v>1</v>
      </c>
      <c r="B5857" s="1">
        <v>45898</v>
      </c>
      <c r="C5857" s="1">
        <v>45899</v>
      </c>
      <c r="D5857">
        <v>103868</v>
      </c>
      <c r="E5857">
        <v>100</v>
      </c>
      <c r="F5857" s="3" t="s">
        <v>5070</v>
      </c>
      <c r="G5857" s="4">
        <v>5826.25</v>
      </c>
      <c r="I5857" s="4">
        <v>34354365.289999999</v>
      </c>
    </row>
    <row r="5858" spans="1:9" x14ac:dyDescent="0.3">
      <c r="A5858" t="s">
        <v>1</v>
      </c>
      <c r="B5858" s="1">
        <v>45898</v>
      </c>
      <c r="C5858" s="1">
        <v>45899</v>
      </c>
      <c r="D5858">
        <v>103872</v>
      </c>
      <c r="E5858">
        <v>100</v>
      </c>
      <c r="F5858" s="3" t="s">
        <v>5071</v>
      </c>
      <c r="G5858" s="4">
        <v>252414</v>
      </c>
      <c r="I5858" s="4">
        <v>34606779.289999999</v>
      </c>
    </row>
    <row r="5859" spans="1:9" x14ac:dyDescent="0.3">
      <c r="A5859" t="s">
        <v>1</v>
      </c>
      <c r="B5859" s="1">
        <v>45899</v>
      </c>
      <c r="C5859" s="1">
        <v>45899</v>
      </c>
      <c r="D5859">
        <v>103875</v>
      </c>
      <c r="E5859">
        <v>100</v>
      </c>
      <c r="F5859" s="3" t="s">
        <v>5072</v>
      </c>
      <c r="G5859" s="4">
        <v>25878</v>
      </c>
      <c r="I5859" s="4">
        <v>34632657.289999999</v>
      </c>
    </row>
    <row r="5860" spans="1:9" x14ac:dyDescent="0.3">
      <c r="A5860" t="s">
        <v>1</v>
      </c>
      <c r="B5860" s="1">
        <v>45898</v>
      </c>
      <c r="C5860" s="1">
        <v>45899</v>
      </c>
      <c r="D5860">
        <v>103876</v>
      </c>
      <c r="E5860">
        <v>100</v>
      </c>
      <c r="F5860" s="3" t="s">
        <v>5073</v>
      </c>
      <c r="G5860" s="4">
        <v>8715.75</v>
      </c>
      <c r="I5860" s="4">
        <v>34641373.039999999</v>
      </c>
    </row>
    <row r="5861" spans="1:9" x14ac:dyDescent="0.3">
      <c r="A5861" t="s">
        <v>1</v>
      </c>
      <c r="B5861" s="1">
        <v>45899</v>
      </c>
      <c r="C5861" s="1">
        <v>45899</v>
      </c>
      <c r="D5861">
        <v>103885</v>
      </c>
      <c r="E5861">
        <v>100</v>
      </c>
      <c r="F5861" s="3" t="s">
        <v>4753</v>
      </c>
      <c r="G5861" s="4">
        <v>17055.650000000001</v>
      </c>
      <c r="I5861" s="4">
        <v>34658428.689999998</v>
      </c>
    </row>
    <row r="5862" spans="1:9" x14ac:dyDescent="0.3">
      <c r="A5862" t="s">
        <v>1</v>
      </c>
      <c r="B5862" s="1">
        <v>45898</v>
      </c>
      <c r="C5862" s="1">
        <v>45899</v>
      </c>
      <c r="D5862">
        <v>103888</v>
      </c>
      <c r="E5862">
        <v>100</v>
      </c>
      <c r="F5862" s="3" t="s">
        <v>5074</v>
      </c>
      <c r="G5862" s="4">
        <v>50469.17</v>
      </c>
      <c r="I5862" s="4">
        <v>34708897.859999999</v>
      </c>
    </row>
    <row r="5863" spans="1:9" x14ac:dyDescent="0.3">
      <c r="A5863" t="s">
        <v>1</v>
      </c>
      <c r="B5863" s="1">
        <v>45898</v>
      </c>
      <c r="C5863" s="1">
        <v>45899</v>
      </c>
      <c r="D5863">
        <v>103889</v>
      </c>
      <c r="E5863">
        <v>100</v>
      </c>
      <c r="F5863" s="3" t="s">
        <v>5075</v>
      </c>
      <c r="G5863" s="4">
        <v>29820</v>
      </c>
      <c r="I5863" s="4">
        <v>34738717.859999999</v>
      </c>
    </row>
    <row r="5864" spans="1:9" x14ac:dyDescent="0.3">
      <c r="A5864" t="s">
        <v>1</v>
      </c>
      <c r="B5864" s="1">
        <v>45899</v>
      </c>
      <c r="C5864" s="1">
        <v>45899</v>
      </c>
      <c r="D5864">
        <v>103890</v>
      </c>
      <c r="E5864">
        <v>100</v>
      </c>
      <c r="F5864" s="3" t="s">
        <v>5076</v>
      </c>
      <c r="G5864" s="4">
        <v>4003.15</v>
      </c>
      <c r="I5864" s="4">
        <v>34742721.009999998</v>
      </c>
    </row>
    <row r="5865" spans="1:9" x14ac:dyDescent="0.3">
      <c r="A5865" t="s">
        <v>1</v>
      </c>
      <c r="B5865" s="1">
        <v>45899</v>
      </c>
      <c r="C5865" s="1">
        <v>45899</v>
      </c>
      <c r="D5865">
        <v>103892</v>
      </c>
      <c r="E5865">
        <v>100</v>
      </c>
      <c r="F5865" s="3" t="s">
        <v>5077</v>
      </c>
      <c r="G5865" s="4">
        <v>28242</v>
      </c>
      <c r="I5865" s="4">
        <v>34770963.009999998</v>
      </c>
    </row>
    <row r="5866" spans="1:9" x14ac:dyDescent="0.3">
      <c r="A5866" t="s">
        <v>1</v>
      </c>
      <c r="B5866" s="1">
        <v>45899</v>
      </c>
      <c r="C5866" s="1">
        <v>45899</v>
      </c>
      <c r="D5866">
        <v>103901</v>
      </c>
      <c r="E5866">
        <v>100</v>
      </c>
      <c r="F5866" s="3" t="s">
        <v>5078</v>
      </c>
      <c r="G5866" s="4">
        <v>3376.25</v>
      </c>
      <c r="I5866" s="4">
        <v>34774339.259999998</v>
      </c>
    </row>
    <row r="5867" spans="1:9" x14ac:dyDescent="0.3">
      <c r="A5867" t="s">
        <v>1</v>
      </c>
      <c r="B5867" s="1">
        <v>45899</v>
      </c>
      <c r="C5867" s="1">
        <v>45899</v>
      </c>
      <c r="D5867">
        <v>103902</v>
      </c>
      <c r="E5867">
        <v>100</v>
      </c>
      <c r="F5867" s="3" t="s">
        <v>1418</v>
      </c>
      <c r="G5867" s="4">
        <v>5226.25</v>
      </c>
      <c r="I5867" s="4">
        <v>34779565.509999998</v>
      </c>
    </row>
    <row r="5868" spans="1:9" x14ac:dyDescent="0.3">
      <c r="A5868" t="s">
        <v>1</v>
      </c>
      <c r="B5868" s="1">
        <v>45899</v>
      </c>
      <c r="C5868" s="1">
        <v>45899</v>
      </c>
      <c r="D5868">
        <v>103905</v>
      </c>
      <c r="E5868">
        <v>100</v>
      </c>
      <c r="F5868" s="3" t="s">
        <v>5079</v>
      </c>
      <c r="G5868" s="4">
        <v>20109.86</v>
      </c>
      <c r="I5868" s="4">
        <v>34799675.369999997</v>
      </c>
    </row>
    <row r="5869" spans="1:9" x14ac:dyDescent="0.3">
      <c r="A5869" t="s">
        <v>1</v>
      </c>
      <c r="B5869" s="1">
        <v>45898</v>
      </c>
      <c r="C5869" s="1">
        <v>45899</v>
      </c>
      <c r="D5869">
        <v>103906</v>
      </c>
      <c r="E5869">
        <v>100</v>
      </c>
      <c r="F5869" s="3" t="s">
        <v>5080</v>
      </c>
      <c r="G5869" s="4">
        <v>24000</v>
      </c>
      <c r="I5869" s="4">
        <v>34823675.369999997</v>
      </c>
    </row>
    <row r="5870" spans="1:9" x14ac:dyDescent="0.3">
      <c r="A5870" t="s">
        <v>1</v>
      </c>
      <c r="B5870" s="1">
        <v>45899</v>
      </c>
      <c r="C5870" s="1">
        <v>45899</v>
      </c>
      <c r="D5870">
        <v>103915</v>
      </c>
      <c r="E5870">
        <v>100</v>
      </c>
      <c r="F5870" s="3" t="s">
        <v>5081</v>
      </c>
      <c r="G5870" s="4">
        <v>27000</v>
      </c>
      <c r="I5870" s="4">
        <v>34850675.369999997</v>
      </c>
    </row>
    <row r="5871" spans="1:9" x14ac:dyDescent="0.3">
      <c r="A5871" t="s">
        <v>1</v>
      </c>
      <c r="B5871" s="1">
        <v>45899</v>
      </c>
      <c r="C5871" s="1">
        <v>45899</v>
      </c>
      <c r="D5871">
        <v>103916</v>
      </c>
      <c r="E5871">
        <v>100</v>
      </c>
      <c r="F5871" s="3" t="s">
        <v>5082</v>
      </c>
      <c r="G5871" s="4">
        <v>32509</v>
      </c>
      <c r="I5871" s="4">
        <v>34883184.369999997</v>
      </c>
    </row>
    <row r="5872" spans="1:9" x14ac:dyDescent="0.3">
      <c r="A5872" t="s">
        <v>1</v>
      </c>
      <c r="B5872" s="1">
        <v>45898</v>
      </c>
      <c r="C5872" s="1">
        <v>45899</v>
      </c>
      <c r="D5872">
        <v>103917</v>
      </c>
      <c r="E5872">
        <v>100</v>
      </c>
      <c r="F5872" s="3" t="s">
        <v>5083</v>
      </c>
      <c r="G5872" s="4">
        <v>19761.64</v>
      </c>
      <c r="I5872" s="4">
        <v>34902946.009999998</v>
      </c>
    </row>
    <row r="5873" spans="1:9" x14ac:dyDescent="0.3">
      <c r="A5873" t="s">
        <v>1</v>
      </c>
      <c r="B5873" s="1">
        <v>45899</v>
      </c>
      <c r="C5873" s="1">
        <v>45899</v>
      </c>
      <c r="D5873">
        <v>103918</v>
      </c>
      <c r="E5873">
        <v>100</v>
      </c>
      <c r="F5873" s="3" t="s">
        <v>5084</v>
      </c>
      <c r="G5873" s="4">
        <v>16452.5</v>
      </c>
      <c r="I5873" s="4">
        <v>34919398.509999998</v>
      </c>
    </row>
    <row r="5874" spans="1:9" x14ac:dyDescent="0.3">
      <c r="A5874" t="s">
        <v>75</v>
      </c>
      <c r="B5874" s="1">
        <v>45896</v>
      </c>
      <c r="C5874" s="1">
        <v>45899</v>
      </c>
      <c r="D5874">
        <v>144343</v>
      </c>
      <c r="E5874">
        <v>78</v>
      </c>
      <c r="F5874" s="3" t="s">
        <v>5085</v>
      </c>
      <c r="G5874" s="4">
        <v>80000</v>
      </c>
      <c r="H5874" s="4">
        <v>0</v>
      </c>
      <c r="I5874" s="4">
        <v>34999398.509999998</v>
      </c>
    </row>
    <row r="5875" spans="1:9" x14ac:dyDescent="0.3">
      <c r="A5875" t="s">
        <v>75</v>
      </c>
      <c r="B5875" s="1">
        <v>45893</v>
      </c>
      <c r="C5875" s="1">
        <v>45899</v>
      </c>
      <c r="D5875">
        <v>144344</v>
      </c>
      <c r="E5875">
        <v>33</v>
      </c>
      <c r="F5875" s="3" t="s">
        <v>5086</v>
      </c>
      <c r="G5875" s="4">
        <v>30000</v>
      </c>
      <c r="H5875" s="4">
        <v>0</v>
      </c>
      <c r="I5875" s="4">
        <v>35029398.509999998</v>
      </c>
    </row>
    <row r="5876" spans="1:9" x14ac:dyDescent="0.3">
      <c r="A5876" t="s">
        <v>75</v>
      </c>
      <c r="B5876" s="1">
        <v>45893</v>
      </c>
      <c r="C5876" s="1">
        <v>45899</v>
      </c>
      <c r="D5876">
        <v>144345</v>
      </c>
      <c r="E5876">
        <v>33</v>
      </c>
      <c r="F5876" s="3" t="s">
        <v>5087</v>
      </c>
      <c r="G5876" s="4">
        <v>10000</v>
      </c>
      <c r="H5876" s="4">
        <v>0</v>
      </c>
      <c r="I5876" s="4">
        <v>35039398.509999998</v>
      </c>
    </row>
    <row r="5877" spans="1:9" x14ac:dyDescent="0.3">
      <c r="A5877" t="s">
        <v>75</v>
      </c>
      <c r="B5877" s="1">
        <v>45893</v>
      </c>
      <c r="C5877" s="1">
        <v>45899</v>
      </c>
      <c r="D5877">
        <v>144346</v>
      </c>
      <c r="E5877">
        <v>97</v>
      </c>
      <c r="F5877" s="3" t="s">
        <v>5088</v>
      </c>
      <c r="G5877" s="4">
        <v>49000</v>
      </c>
      <c r="H5877" s="4">
        <v>0</v>
      </c>
      <c r="I5877" s="4">
        <v>35088398.509999998</v>
      </c>
    </row>
    <row r="5878" spans="1:9" x14ac:dyDescent="0.3">
      <c r="A5878" t="s">
        <v>75</v>
      </c>
      <c r="B5878" s="1">
        <v>45899</v>
      </c>
      <c r="C5878" s="1">
        <v>45899</v>
      </c>
      <c r="D5878">
        <v>144350</v>
      </c>
      <c r="E5878">
        <v>61</v>
      </c>
      <c r="F5878" s="3" t="s">
        <v>5089</v>
      </c>
      <c r="G5878" s="4">
        <v>20000</v>
      </c>
      <c r="H5878" s="4">
        <v>0</v>
      </c>
      <c r="I5878" s="4">
        <v>35108398.509999998</v>
      </c>
    </row>
    <row r="5879" spans="1:9" x14ac:dyDescent="0.3">
      <c r="A5879" t="s">
        <v>75</v>
      </c>
      <c r="B5879" s="1">
        <v>45898</v>
      </c>
      <c r="C5879" s="1">
        <v>45899</v>
      </c>
      <c r="D5879">
        <v>144351</v>
      </c>
      <c r="E5879">
        <v>11</v>
      </c>
      <c r="F5879" s="3" t="s">
        <v>5090</v>
      </c>
      <c r="G5879" s="4">
        <v>4000</v>
      </c>
      <c r="H5879" s="4">
        <v>0</v>
      </c>
      <c r="I5879" s="4">
        <v>35112398.509999998</v>
      </c>
    </row>
    <row r="5880" spans="1:9" x14ac:dyDescent="0.3">
      <c r="A5880" t="s">
        <v>75</v>
      </c>
      <c r="B5880" s="1">
        <v>45899</v>
      </c>
      <c r="C5880" s="1">
        <v>45899</v>
      </c>
      <c r="D5880">
        <v>144353</v>
      </c>
      <c r="E5880">
        <v>14</v>
      </c>
      <c r="F5880" s="3" t="s">
        <v>5091</v>
      </c>
      <c r="G5880" s="4">
        <v>2577.5</v>
      </c>
      <c r="H5880" s="4">
        <v>0</v>
      </c>
      <c r="I5880" s="4">
        <v>35114976.009999998</v>
      </c>
    </row>
    <row r="5881" spans="1:9" x14ac:dyDescent="0.3">
      <c r="A5881" t="s">
        <v>75</v>
      </c>
      <c r="B5881" s="1">
        <v>45897</v>
      </c>
      <c r="C5881" s="1">
        <v>45899</v>
      </c>
      <c r="D5881">
        <v>144354</v>
      </c>
      <c r="E5881">
        <v>11</v>
      </c>
      <c r="F5881" s="3" t="s">
        <v>5092</v>
      </c>
      <c r="G5881" s="4">
        <v>33600</v>
      </c>
      <c r="H5881" s="4">
        <v>0</v>
      </c>
      <c r="I5881" s="4">
        <v>35148576.009999998</v>
      </c>
    </row>
    <row r="5882" spans="1:9" x14ac:dyDescent="0.3">
      <c r="A5882" t="s">
        <v>75</v>
      </c>
      <c r="B5882" s="1">
        <v>45897</v>
      </c>
      <c r="C5882" s="1">
        <v>45899</v>
      </c>
      <c r="D5882">
        <v>144356</v>
      </c>
      <c r="E5882">
        <v>11</v>
      </c>
      <c r="F5882" s="3" t="s">
        <v>5093</v>
      </c>
      <c r="G5882" s="4">
        <v>36810.5</v>
      </c>
      <c r="H5882" s="4">
        <v>0</v>
      </c>
      <c r="I5882" s="4">
        <v>35185386.509999998</v>
      </c>
    </row>
    <row r="5883" spans="1:9" x14ac:dyDescent="0.3">
      <c r="A5883" t="s">
        <v>75</v>
      </c>
      <c r="B5883" s="1">
        <v>45898</v>
      </c>
      <c r="C5883" s="1">
        <v>45899</v>
      </c>
      <c r="D5883">
        <v>144358</v>
      </c>
      <c r="E5883">
        <v>84</v>
      </c>
      <c r="F5883" s="3" t="s">
        <v>5094</v>
      </c>
      <c r="G5883" s="4">
        <v>15000</v>
      </c>
      <c r="H5883" s="4">
        <v>0</v>
      </c>
      <c r="I5883" s="4">
        <v>35200386.509999998</v>
      </c>
    </row>
    <row r="5884" spans="1:9" x14ac:dyDescent="0.3">
      <c r="A5884" t="s">
        <v>75</v>
      </c>
      <c r="B5884" s="1">
        <v>45898</v>
      </c>
      <c r="C5884" s="1">
        <v>45899</v>
      </c>
      <c r="D5884">
        <v>144360</v>
      </c>
      <c r="E5884">
        <v>11</v>
      </c>
      <c r="F5884" s="3" t="s">
        <v>5095</v>
      </c>
      <c r="G5884" s="4">
        <v>336285</v>
      </c>
      <c r="H5884" s="4">
        <v>0</v>
      </c>
      <c r="I5884" s="4">
        <v>35536671.509999998</v>
      </c>
    </row>
    <row r="5885" spans="1:9" x14ac:dyDescent="0.3">
      <c r="A5885" t="s">
        <v>75</v>
      </c>
      <c r="B5885" s="1">
        <v>45898</v>
      </c>
      <c r="C5885" s="1">
        <v>45899</v>
      </c>
      <c r="D5885">
        <v>144360</v>
      </c>
      <c r="E5885">
        <v>11</v>
      </c>
      <c r="F5885" s="3" t="s">
        <v>5096</v>
      </c>
      <c r="G5885" s="4">
        <v>28000</v>
      </c>
      <c r="H5885" s="4">
        <v>0</v>
      </c>
      <c r="I5885" s="4">
        <v>35564671.509999998</v>
      </c>
    </row>
    <row r="5886" spans="1:9" x14ac:dyDescent="0.3">
      <c r="A5886" t="s">
        <v>75</v>
      </c>
      <c r="B5886" s="1">
        <v>45897</v>
      </c>
      <c r="C5886" s="1">
        <v>45899</v>
      </c>
      <c r="D5886">
        <v>144360</v>
      </c>
      <c r="E5886">
        <v>11</v>
      </c>
      <c r="F5886" s="3" t="s">
        <v>5097</v>
      </c>
      <c r="G5886" s="4">
        <v>106168</v>
      </c>
      <c r="H5886" s="4">
        <v>0</v>
      </c>
      <c r="I5886" s="4">
        <v>35670839.509999998</v>
      </c>
    </row>
    <row r="5887" spans="1:9" x14ac:dyDescent="0.3">
      <c r="A5887" t="s">
        <v>75</v>
      </c>
      <c r="B5887" s="1">
        <v>45898</v>
      </c>
      <c r="C5887" s="1">
        <v>45899</v>
      </c>
      <c r="D5887">
        <v>144363</v>
      </c>
      <c r="E5887">
        <v>86</v>
      </c>
      <c r="F5887" s="3" t="s">
        <v>5098</v>
      </c>
      <c r="G5887" s="4">
        <v>22023.1</v>
      </c>
      <c r="H5887" s="4">
        <v>0</v>
      </c>
      <c r="I5887" s="4">
        <v>35692862.609999999</v>
      </c>
    </row>
    <row r="5888" spans="1:9" x14ac:dyDescent="0.3">
      <c r="A5888" t="s">
        <v>75</v>
      </c>
      <c r="B5888" s="1">
        <v>45898</v>
      </c>
      <c r="C5888" s="1">
        <v>45899</v>
      </c>
      <c r="D5888">
        <v>144364</v>
      </c>
      <c r="E5888">
        <v>86</v>
      </c>
      <c r="F5888" s="3" t="s">
        <v>5099</v>
      </c>
      <c r="G5888" s="4">
        <v>300000</v>
      </c>
      <c r="H5888" s="4">
        <v>0</v>
      </c>
      <c r="I5888" s="4">
        <v>35992862.609999999</v>
      </c>
    </row>
    <row r="5889" spans="1:9" x14ac:dyDescent="0.3">
      <c r="A5889" t="s">
        <v>75</v>
      </c>
      <c r="B5889" s="1">
        <v>45896</v>
      </c>
      <c r="C5889" s="1">
        <v>45899</v>
      </c>
      <c r="D5889">
        <v>144365</v>
      </c>
      <c r="E5889">
        <v>86</v>
      </c>
      <c r="F5889" s="3" t="s">
        <v>4838</v>
      </c>
      <c r="G5889" s="4">
        <v>21017.5</v>
      </c>
      <c r="H5889" s="4">
        <v>0</v>
      </c>
      <c r="I5889" s="4">
        <v>36013880.109999999</v>
      </c>
    </row>
    <row r="5890" spans="1:9" x14ac:dyDescent="0.3">
      <c r="A5890" t="s">
        <v>75</v>
      </c>
      <c r="B5890" s="1">
        <v>45899</v>
      </c>
      <c r="C5890" s="1">
        <v>45899</v>
      </c>
      <c r="D5890">
        <v>144366</v>
      </c>
      <c r="E5890">
        <v>14</v>
      </c>
      <c r="F5890" s="3" t="s">
        <v>5100</v>
      </c>
      <c r="G5890" s="4">
        <v>65027</v>
      </c>
      <c r="H5890" s="4">
        <v>0</v>
      </c>
      <c r="I5890" s="4">
        <v>36078907.109999999</v>
      </c>
    </row>
    <row r="5891" spans="1:9" x14ac:dyDescent="0.3">
      <c r="A5891" t="s">
        <v>75</v>
      </c>
      <c r="B5891" s="1">
        <v>45899</v>
      </c>
      <c r="C5891" s="1">
        <v>45899</v>
      </c>
      <c r="D5891">
        <v>144367</v>
      </c>
      <c r="E5891">
        <v>67</v>
      </c>
      <c r="F5891" s="3" t="s">
        <v>5101</v>
      </c>
      <c r="G5891" s="4">
        <v>11187.5</v>
      </c>
      <c r="H5891" s="4">
        <v>0</v>
      </c>
      <c r="I5891" s="4">
        <v>36090094.609999999</v>
      </c>
    </row>
    <row r="5892" spans="1:9" x14ac:dyDescent="0.3">
      <c r="A5892" t="s">
        <v>75</v>
      </c>
      <c r="B5892" s="1">
        <v>45899</v>
      </c>
      <c r="C5892" s="1">
        <v>45899</v>
      </c>
      <c r="D5892">
        <v>144368</v>
      </c>
      <c r="E5892">
        <v>63</v>
      </c>
      <c r="F5892" s="3" t="s">
        <v>5102</v>
      </c>
      <c r="G5892" s="4">
        <v>1000</v>
      </c>
      <c r="H5892" s="4">
        <v>0</v>
      </c>
      <c r="I5892" s="4">
        <v>36091094.609999999</v>
      </c>
    </row>
    <row r="5893" spans="1:9" x14ac:dyDescent="0.3">
      <c r="A5893" t="s">
        <v>75</v>
      </c>
      <c r="B5893" s="1">
        <v>45899</v>
      </c>
      <c r="C5893" s="1">
        <v>45899</v>
      </c>
      <c r="D5893">
        <v>144369</v>
      </c>
      <c r="E5893">
        <v>67</v>
      </c>
      <c r="F5893" s="3" t="s">
        <v>5103</v>
      </c>
      <c r="G5893" s="4">
        <v>92039.25</v>
      </c>
      <c r="H5893" s="4">
        <v>0</v>
      </c>
      <c r="I5893" s="4">
        <v>36183133.859999999</v>
      </c>
    </row>
    <row r="5894" spans="1:9" x14ac:dyDescent="0.3">
      <c r="A5894" t="s">
        <v>75</v>
      </c>
      <c r="B5894" s="1">
        <v>45898</v>
      </c>
      <c r="C5894" s="1">
        <v>45899</v>
      </c>
      <c r="D5894">
        <v>144370</v>
      </c>
      <c r="E5894">
        <v>67</v>
      </c>
      <c r="F5894" s="3" t="s">
        <v>5104</v>
      </c>
      <c r="G5894" s="4">
        <v>126000</v>
      </c>
      <c r="H5894" s="4">
        <v>0</v>
      </c>
      <c r="I5894" s="4">
        <v>36309133.859999999</v>
      </c>
    </row>
    <row r="5895" spans="1:9" x14ac:dyDescent="0.3">
      <c r="A5895" t="s">
        <v>75</v>
      </c>
      <c r="B5895" s="1">
        <v>45897</v>
      </c>
      <c r="C5895" s="1">
        <v>45899</v>
      </c>
      <c r="D5895">
        <v>144371</v>
      </c>
      <c r="E5895">
        <v>67</v>
      </c>
      <c r="F5895" s="3" t="s">
        <v>5105</v>
      </c>
      <c r="G5895" s="4">
        <v>1959.75</v>
      </c>
      <c r="H5895" s="4">
        <v>0</v>
      </c>
      <c r="I5895" s="4">
        <v>36311093.609999999</v>
      </c>
    </row>
    <row r="5896" spans="1:9" x14ac:dyDescent="0.3">
      <c r="A5896" t="s">
        <v>75</v>
      </c>
      <c r="B5896" s="1">
        <v>45871</v>
      </c>
      <c r="C5896" s="1">
        <v>45899</v>
      </c>
      <c r="D5896">
        <v>144376</v>
      </c>
      <c r="E5896">
        <v>74</v>
      </c>
      <c r="F5896" s="3" t="s">
        <v>5106</v>
      </c>
      <c r="G5896" s="4">
        <v>4493.5</v>
      </c>
      <c r="H5896" s="4">
        <v>0</v>
      </c>
      <c r="I5896" s="4">
        <v>36315587.109999999</v>
      </c>
    </row>
    <row r="5897" spans="1:9" x14ac:dyDescent="0.3">
      <c r="A5897" t="s">
        <v>75</v>
      </c>
      <c r="B5897" s="1">
        <v>45898</v>
      </c>
      <c r="C5897" s="1">
        <v>45899</v>
      </c>
      <c r="D5897">
        <v>144377</v>
      </c>
      <c r="E5897">
        <v>34</v>
      </c>
      <c r="F5897" s="3" t="s">
        <v>5107</v>
      </c>
      <c r="G5897" s="4">
        <v>103136.25</v>
      </c>
      <c r="H5897" s="4">
        <v>0</v>
      </c>
      <c r="I5897" s="4">
        <v>36418723.359999999</v>
      </c>
    </row>
    <row r="5898" spans="1:9" x14ac:dyDescent="0.3">
      <c r="A5898" t="s">
        <v>75</v>
      </c>
      <c r="B5898" s="1">
        <v>45898</v>
      </c>
      <c r="C5898" s="1">
        <v>45899</v>
      </c>
      <c r="D5898">
        <v>144378</v>
      </c>
      <c r="E5898">
        <v>34</v>
      </c>
      <c r="F5898" s="3" t="s">
        <v>5108</v>
      </c>
      <c r="G5898" s="4">
        <v>33799.75</v>
      </c>
      <c r="H5898" s="4">
        <v>0</v>
      </c>
      <c r="I5898" s="4">
        <v>36452523.109999999</v>
      </c>
    </row>
    <row r="5899" spans="1:9" x14ac:dyDescent="0.3">
      <c r="A5899" t="s">
        <v>75</v>
      </c>
      <c r="B5899" s="1">
        <v>45897</v>
      </c>
      <c r="C5899" s="1">
        <v>45899</v>
      </c>
      <c r="D5899">
        <v>144379</v>
      </c>
      <c r="E5899">
        <v>77</v>
      </c>
      <c r="F5899" s="3" t="s">
        <v>5109</v>
      </c>
      <c r="G5899" s="4">
        <v>59300</v>
      </c>
      <c r="H5899" s="4">
        <v>0</v>
      </c>
      <c r="I5899" s="4">
        <v>36511823.109999999</v>
      </c>
    </row>
    <row r="5900" spans="1:9" x14ac:dyDescent="0.3">
      <c r="A5900" t="s">
        <v>75</v>
      </c>
      <c r="B5900" s="1">
        <v>45896</v>
      </c>
      <c r="C5900" s="1">
        <v>45899</v>
      </c>
      <c r="D5900">
        <v>144380</v>
      </c>
      <c r="E5900">
        <v>77</v>
      </c>
      <c r="F5900" s="3" t="s">
        <v>5110</v>
      </c>
      <c r="G5900" s="4">
        <v>47577.5</v>
      </c>
      <c r="H5900" s="4">
        <v>0</v>
      </c>
      <c r="I5900" s="4">
        <v>36559400.609999999</v>
      </c>
    </row>
    <row r="5901" spans="1:9" x14ac:dyDescent="0.3">
      <c r="A5901" t="s">
        <v>75</v>
      </c>
      <c r="B5901" s="1">
        <v>45898</v>
      </c>
      <c r="C5901" s="1">
        <v>45899</v>
      </c>
      <c r="D5901">
        <v>144381</v>
      </c>
      <c r="E5901">
        <v>77</v>
      </c>
      <c r="F5901" s="3" t="s">
        <v>5111</v>
      </c>
      <c r="G5901" s="4">
        <v>22000</v>
      </c>
      <c r="H5901" s="4">
        <v>0</v>
      </c>
      <c r="I5901" s="4">
        <v>36581400.609999999</v>
      </c>
    </row>
    <row r="5902" spans="1:9" x14ac:dyDescent="0.3">
      <c r="A5902" t="s">
        <v>75</v>
      </c>
      <c r="B5902" s="1">
        <v>45898</v>
      </c>
      <c r="C5902" s="1">
        <v>45899</v>
      </c>
      <c r="D5902">
        <v>144382</v>
      </c>
      <c r="E5902">
        <v>77</v>
      </c>
      <c r="F5902" s="3" t="s">
        <v>5112</v>
      </c>
      <c r="G5902" s="4">
        <v>40000</v>
      </c>
      <c r="H5902" s="4">
        <v>0</v>
      </c>
      <c r="I5902" s="4">
        <v>36621400.609999999</v>
      </c>
    </row>
    <row r="5903" spans="1:9" x14ac:dyDescent="0.3">
      <c r="A5903" t="s">
        <v>75</v>
      </c>
      <c r="B5903" s="1">
        <v>45899</v>
      </c>
      <c r="C5903" s="1">
        <v>45899</v>
      </c>
      <c r="D5903">
        <v>144385</v>
      </c>
      <c r="E5903">
        <v>63</v>
      </c>
      <c r="F5903" s="3" t="s">
        <v>5113</v>
      </c>
      <c r="G5903" s="4">
        <v>50000</v>
      </c>
      <c r="H5903" s="4">
        <v>0</v>
      </c>
      <c r="I5903" s="4">
        <v>36671400.609999999</v>
      </c>
    </row>
    <row r="5904" spans="1:9" x14ac:dyDescent="0.3">
      <c r="A5904" t="s">
        <v>75</v>
      </c>
      <c r="B5904" s="1">
        <v>45898</v>
      </c>
      <c r="C5904" s="1">
        <v>45899</v>
      </c>
      <c r="D5904">
        <v>144386</v>
      </c>
      <c r="E5904">
        <v>14</v>
      </c>
      <c r="F5904" s="3" t="s">
        <v>5114</v>
      </c>
      <c r="G5904" s="4">
        <v>50000</v>
      </c>
      <c r="H5904" s="4">
        <v>0</v>
      </c>
      <c r="I5904" s="4">
        <v>36721400.609999999</v>
      </c>
    </row>
    <row r="5905" spans="1:9" x14ac:dyDescent="0.3">
      <c r="A5905" t="s">
        <v>75</v>
      </c>
      <c r="B5905" s="1">
        <v>45898</v>
      </c>
      <c r="C5905" s="1">
        <v>45899</v>
      </c>
      <c r="D5905">
        <v>144387</v>
      </c>
      <c r="E5905">
        <v>15</v>
      </c>
      <c r="F5905" s="3" t="s">
        <v>5115</v>
      </c>
      <c r="G5905" s="4">
        <v>6030</v>
      </c>
      <c r="H5905" s="4">
        <v>0</v>
      </c>
      <c r="I5905" s="4">
        <v>36727430.609999999</v>
      </c>
    </row>
    <row r="5906" spans="1:9" x14ac:dyDescent="0.3">
      <c r="A5906" t="s">
        <v>75</v>
      </c>
      <c r="B5906" s="1">
        <v>45898</v>
      </c>
      <c r="C5906" s="1">
        <v>45899</v>
      </c>
      <c r="D5906">
        <v>144388</v>
      </c>
      <c r="E5906">
        <v>14</v>
      </c>
      <c r="F5906" s="3" t="s">
        <v>5116</v>
      </c>
      <c r="G5906" s="4">
        <v>211000</v>
      </c>
      <c r="H5906" s="4">
        <v>0</v>
      </c>
      <c r="I5906" s="4">
        <v>36938430.609999999</v>
      </c>
    </row>
    <row r="5907" spans="1:9" x14ac:dyDescent="0.3">
      <c r="A5907" t="s">
        <v>75</v>
      </c>
      <c r="B5907" s="1">
        <v>45896</v>
      </c>
      <c r="C5907" s="1">
        <v>45899</v>
      </c>
      <c r="D5907">
        <v>144389</v>
      </c>
      <c r="E5907">
        <v>34</v>
      </c>
      <c r="F5907" s="3" t="s">
        <v>5117</v>
      </c>
      <c r="G5907" s="4">
        <v>42023.25</v>
      </c>
      <c r="H5907" s="4">
        <v>0</v>
      </c>
      <c r="I5907" s="4">
        <v>36980453.859999999</v>
      </c>
    </row>
    <row r="5908" spans="1:9" x14ac:dyDescent="0.3">
      <c r="A5908" t="s">
        <v>75</v>
      </c>
      <c r="B5908" s="1">
        <v>45892</v>
      </c>
      <c r="C5908" s="1">
        <v>45899</v>
      </c>
      <c r="D5908">
        <v>144390</v>
      </c>
      <c r="E5908">
        <v>34</v>
      </c>
      <c r="F5908" s="3" t="s">
        <v>5118</v>
      </c>
      <c r="G5908" s="4">
        <v>101672.5</v>
      </c>
      <c r="H5908" s="4">
        <v>0</v>
      </c>
      <c r="I5908" s="4">
        <v>37082126.359999999</v>
      </c>
    </row>
    <row r="5909" spans="1:9" x14ac:dyDescent="0.3">
      <c r="A5909" t="s">
        <v>75</v>
      </c>
      <c r="B5909" s="1">
        <v>45894</v>
      </c>
      <c r="C5909" s="1">
        <v>45899</v>
      </c>
      <c r="D5909">
        <v>144391</v>
      </c>
      <c r="E5909">
        <v>34</v>
      </c>
      <c r="F5909" s="3" t="s">
        <v>5119</v>
      </c>
      <c r="G5909" s="4">
        <v>184936.25</v>
      </c>
      <c r="H5909" s="4">
        <v>0</v>
      </c>
      <c r="I5909" s="4">
        <v>37267062.609999999</v>
      </c>
    </row>
    <row r="5910" spans="1:9" x14ac:dyDescent="0.3">
      <c r="A5910" t="s">
        <v>75</v>
      </c>
      <c r="B5910" s="1">
        <v>45896</v>
      </c>
      <c r="C5910" s="1">
        <v>45899</v>
      </c>
      <c r="D5910">
        <v>144392</v>
      </c>
      <c r="E5910">
        <v>91</v>
      </c>
      <c r="F5910" s="3" t="s">
        <v>5120</v>
      </c>
      <c r="G5910" s="4">
        <v>21469</v>
      </c>
      <c r="H5910" s="4">
        <v>0</v>
      </c>
      <c r="I5910" s="4">
        <v>37288531.609999999</v>
      </c>
    </row>
    <row r="5911" spans="1:9" x14ac:dyDescent="0.3">
      <c r="A5911" t="s">
        <v>75</v>
      </c>
      <c r="B5911" s="1">
        <v>45896</v>
      </c>
      <c r="C5911" s="1">
        <v>45899</v>
      </c>
      <c r="D5911">
        <v>144393</v>
      </c>
      <c r="E5911">
        <v>34</v>
      </c>
      <c r="F5911" s="3" t="s">
        <v>5121</v>
      </c>
      <c r="G5911" s="4">
        <v>18674.5</v>
      </c>
      <c r="H5911" s="4">
        <v>0</v>
      </c>
      <c r="I5911" s="4">
        <v>37307206.109999999</v>
      </c>
    </row>
    <row r="5912" spans="1:9" x14ac:dyDescent="0.3">
      <c r="A5912" t="s">
        <v>75</v>
      </c>
      <c r="B5912" s="1">
        <v>45895</v>
      </c>
      <c r="C5912" s="1">
        <v>45899</v>
      </c>
      <c r="D5912">
        <v>144394</v>
      </c>
      <c r="E5912">
        <v>34</v>
      </c>
      <c r="F5912" s="3" t="s">
        <v>5122</v>
      </c>
      <c r="G5912" s="4">
        <v>108631.01</v>
      </c>
      <c r="H5912" s="4">
        <v>0</v>
      </c>
      <c r="I5912" s="4">
        <v>37415837.119999997</v>
      </c>
    </row>
    <row r="5913" spans="1:9" x14ac:dyDescent="0.3">
      <c r="A5913" t="s">
        <v>75</v>
      </c>
      <c r="B5913" s="1">
        <v>45898</v>
      </c>
      <c r="C5913" s="1">
        <v>45899</v>
      </c>
      <c r="D5913">
        <v>144396</v>
      </c>
      <c r="E5913">
        <v>33</v>
      </c>
      <c r="F5913" s="3" t="s">
        <v>5123</v>
      </c>
      <c r="G5913" s="4">
        <v>30000</v>
      </c>
      <c r="H5913" s="4">
        <v>0</v>
      </c>
      <c r="I5913" s="4">
        <v>37445837.119999997</v>
      </c>
    </row>
    <row r="5914" spans="1:9" x14ac:dyDescent="0.3">
      <c r="A5914" t="s">
        <v>75</v>
      </c>
      <c r="B5914" s="1">
        <v>45899</v>
      </c>
      <c r="C5914" s="1">
        <v>45899</v>
      </c>
      <c r="D5914">
        <v>144401</v>
      </c>
      <c r="E5914">
        <v>11</v>
      </c>
      <c r="F5914" s="3" t="s">
        <v>5124</v>
      </c>
      <c r="G5914" s="4">
        <v>925375.75</v>
      </c>
      <c r="H5914" s="4">
        <v>0</v>
      </c>
      <c r="I5914" s="4">
        <v>38371212.869999997</v>
      </c>
    </row>
    <row r="5915" spans="1:9" x14ac:dyDescent="0.3">
      <c r="A5915" t="s">
        <v>75</v>
      </c>
      <c r="B5915" s="1">
        <v>45899</v>
      </c>
      <c r="C5915" s="1">
        <v>45899</v>
      </c>
      <c r="D5915">
        <v>144401</v>
      </c>
      <c r="E5915">
        <v>11</v>
      </c>
      <c r="F5915" s="3" t="s">
        <v>5125</v>
      </c>
      <c r="G5915" s="4">
        <v>25090</v>
      </c>
      <c r="H5915" s="4">
        <v>0</v>
      </c>
      <c r="I5915" s="4">
        <v>38396302.869999997</v>
      </c>
    </row>
    <row r="5916" spans="1:9" x14ac:dyDescent="0.3">
      <c r="A5916" t="s">
        <v>75</v>
      </c>
      <c r="B5916" s="1">
        <v>45898</v>
      </c>
      <c r="C5916" s="1">
        <v>45899</v>
      </c>
      <c r="D5916">
        <v>144402</v>
      </c>
      <c r="E5916">
        <v>84</v>
      </c>
      <c r="F5916" s="3" t="s">
        <v>5126</v>
      </c>
      <c r="G5916" s="4">
        <v>41797.75</v>
      </c>
      <c r="H5916" s="4">
        <v>0</v>
      </c>
      <c r="I5916" s="4">
        <v>38438100.619999997</v>
      </c>
    </row>
    <row r="5917" spans="1:9" x14ac:dyDescent="0.3">
      <c r="A5917" t="s">
        <v>75</v>
      </c>
      <c r="B5917" s="1">
        <v>45897</v>
      </c>
      <c r="C5917" s="1">
        <v>45899</v>
      </c>
      <c r="D5917">
        <v>144403</v>
      </c>
      <c r="E5917">
        <v>84</v>
      </c>
      <c r="F5917" s="3" t="s">
        <v>5127</v>
      </c>
      <c r="G5917" s="4">
        <v>30093</v>
      </c>
      <c r="H5917" s="4">
        <v>0</v>
      </c>
      <c r="I5917" s="4">
        <v>38468193.619999997</v>
      </c>
    </row>
    <row r="5918" spans="1:9" x14ac:dyDescent="0.3">
      <c r="A5918" t="s">
        <v>75</v>
      </c>
      <c r="B5918" s="1">
        <v>45896</v>
      </c>
      <c r="C5918" s="1">
        <v>45899</v>
      </c>
      <c r="D5918">
        <v>144405</v>
      </c>
      <c r="E5918">
        <v>382</v>
      </c>
      <c r="F5918" s="3" t="s">
        <v>5128</v>
      </c>
      <c r="G5918" s="4">
        <v>59100</v>
      </c>
      <c r="H5918" s="4">
        <v>0</v>
      </c>
      <c r="I5918" s="4">
        <v>38527293.619999997</v>
      </c>
    </row>
    <row r="5919" spans="1:9" x14ac:dyDescent="0.3">
      <c r="A5919" t="s">
        <v>75</v>
      </c>
      <c r="B5919" s="1">
        <v>45899</v>
      </c>
      <c r="C5919" s="1">
        <v>45899</v>
      </c>
      <c r="D5919">
        <v>144406</v>
      </c>
      <c r="E5919">
        <v>17</v>
      </c>
      <c r="F5919" s="3" t="s">
        <v>5129</v>
      </c>
      <c r="G5919" s="4">
        <v>5879.5</v>
      </c>
      <c r="H5919" s="4">
        <v>0</v>
      </c>
      <c r="I5919" s="4">
        <v>38533173.119999997</v>
      </c>
    </row>
    <row r="5920" spans="1:9" x14ac:dyDescent="0.3">
      <c r="A5920" t="s">
        <v>75</v>
      </c>
      <c r="B5920" s="1">
        <v>45899</v>
      </c>
      <c r="C5920" s="1">
        <v>45899</v>
      </c>
      <c r="D5920">
        <v>144408</v>
      </c>
      <c r="E5920">
        <v>23</v>
      </c>
      <c r="F5920" s="3" t="s">
        <v>5130</v>
      </c>
      <c r="G5920" s="4">
        <v>62274.5</v>
      </c>
      <c r="H5920" s="4">
        <v>0</v>
      </c>
      <c r="I5920" s="4">
        <v>38595447.619999997</v>
      </c>
    </row>
    <row r="5921" spans="1:9" x14ac:dyDescent="0.3">
      <c r="A5921" t="s">
        <v>75</v>
      </c>
      <c r="B5921" s="1">
        <v>45899</v>
      </c>
      <c r="C5921" s="1">
        <v>45899</v>
      </c>
      <c r="D5921">
        <v>144409</v>
      </c>
      <c r="E5921">
        <v>72</v>
      </c>
      <c r="F5921" s="3" t="s">
        <v>5131</v>
      </c>
      <c r="G5921" s="4">
        <v>25000</v>
      </c>
      <c r="H5921" s="4">
        <v>0</v>
      </c>
      <c r="I5921" s="4">
        <v>38620447.619999997</v>
      </c>
    </row>
    <row r="5922" spans="1:9" x14ac:dyDescent="0.3">
      <c r="A5922" t="s">
        <v>75</v>
      </c>
      <c r="B5922" s="1">
        <v>45881</v>
      </c>
      <c r="C5922" s="1">
        <v>45899</v>
      </c>
      <c r="D5922">
        <v>144410</v>
      </c>
      <c r="E5922">
        <v>77</v>
      </c>
      <c r="F5922" s="3" t="s">
        <v>5132</v>
      </c>
      <c r="G5922" s="4">
        <v>29997</v>
      </c>
      <c r="H5922" s="4">
        <v>0</v>
      </c>
      <c r="I5922" s="4">
        <v>38650444.619999997</v>
      </c>
    </row>
    <row r="5923" spans="1:9" x14ac:dyDescent="0.3">
      <c r="A5923" t="s">
        <v>75</v>
      </c>
      <c r="B5923" s="1">
        <v>45885</v>
      </c>
      <c r="C5923" s="1">
        <v>45899</v>
      </c>
      <c r="D5923">
        <v>144412</v>
      </c>
      <c r="E5923">
        <v>77</v>
      </c>
      <c r="F5923" s="3" t="s">
        <v>5133</v>
      </c>
      <c r="G5923" s="4">
        <v>100000</v>
      </c>
      <c r="H5923" s="4">
        <v>0</v>
      </c>
      <c r="I5923" s="4">
        <v>38750444.619999997</v>
      </c>
    </row>
    <row r="5924" spans="1:9" x14ac:dyDescent="0.3">
      <c r="A5924" t="s">
        <v>75</v>
      </c>
      <c r="B5924" s="1">
        <v>45887</v>
      </c>
      <c r="C5924" s="1">
        <v>45899</v>
      </c>
      <c r="D5924">
        <v>144413</v>
      </c>
      <c r="E5924">
        <v>77</v>
      </c>
      <c r="F5924" s="3" t="s">
        <v>5134</v>
      </c>
      <c r="G5924" s="4">
        <v>13472.5</v>
      </c>
      <c r="H5924" s="4">
        <v>0</v>
      </c>
      <c r="I5924" s="4">
        <v>38763917.119999997</v>
      </c>
    </row>
    <row r="5925" spans="1:9" x14ac:dyDescent="0.3">
      <c r="A5925" t="s">
        <v>75</v>
      </c>
      <c r="B5925" s="1">
        <v>45841</v>
      </c>
      <c r="C5925" s="1">
        <v>45899</v>
      </c>
      <c r="D5925">
        <v>144414</v>
      </c>
      <c r="E5925">
        <v>422</v>
      </c>
      <c r="F5925" s="3" t="s">
        <v>5135</v>
      </c>
      <c r="G5925" s="4">
        <v>21275.25</v>
      </c>
      <c r="H5925" s="4">
        <v>0</v>
      </c>
      <c r="I5925" s="4">
        <v>38785192.369999997</v>
      </c>
    </row>
    <row r="5926" spans="1:9" x14ac:dyDescent="0.3">
      <c r="A5926" t="s">
        <v>75</v>
      </c>
      <c r="B5926" s="1">
        <v>45876</v>
      </c>
      <c r="C5926" s="1">
        <v>45899</v>
      </c>
      <c r="D5926">
        <v>144416</v>
      </c>
      <c r="E5926">
        <v>17</v>
      </c>
      <c r="F5926" s="3" t="s">
        <v>5136</v>
      </c>
      <c r="G5926" s="4">
        <v>75688.75</v>
      </c>
      <c r="H5926" s="4">
        <v>0</v>
      </c>
      <c r="I5926" s="4">
        <v>38860881.119999997</v>
      </c>
    </row>
    <row r="5927" spans="1:9" x14ac:dyDescent="0.3">
      <c r="A5927" t="s">
        <v>75</v>
      </c>
      <c r="B5927" s="1">
        <v>45885</v>
      </c>
      <c r="C5927" s="1">
        <v>45899</v>
      </c>
      <c r="D5927">
        <v>144417</v>
      </c>
      <c r="E5927">
        <v>23</v>
      </c>
      <c r="F5927" s="3" t="s">
        <v>5137</v>
      </c>
      <c r="G5927" s="4">
        <v>62284.25</v>
      </c>
      <c r="H5927" s="4">
        <v>0</v>
      </c>
      <c r="I5927" s="4">
        <v>38923165.369999997</v>
      </c>
    </row>
    <row r="5928" spans="1:9" x14ac:dyDescent="0.3">
      <c r="A5928" t="s">
        <v>75</v>
      </c>
      <c r="B5928" s="1">
        <v>45898</v>
      </c>
      <c r="C5928" s="1">
        <v>45899</v>
      </c>
      <c r="D5928">
        <v>144418</v>
      </c>
      <c r="E5928">
        <v>67</v>
      </c>
      <c r="F5928" s="3" t="s">
        <v>5138</v>
      </c>
      <c r="G5928" s="4">
        <v>50000</v>
      </c>
      <c r="H5928" s="4">
        <v>0</v>
      </c>
      <c r="I5928" s="4">
        <v>38973165.369999997</v>
      </c>
    </row>
    <row r="5929" spans="1:9" x14ac:dyDescent="0.3">
      <c r="A5929" t="s">
        <v>75</v>
      </c>
      <c r="B5929" s="1">
        <v>45898</v>
      </c>
      <c r="C5929" s="1">
        <v>45899</v>
      </c>
      <c r="D5929">
        <v>144419</v>
      </c>
      <c r="E5929">
        <v>67</v>
      </c>
      <c r="F5929" s="3" t="s">
        <v>5139</v>
      </c>
      <c r="G5929" s="4">
        <v>113999</v>
      </c>
      <c r="H5929" s="4">
        <v>0</v>
      </c>
      <c r="I5929" s="4">
        <v>39087164.369999997</v>
      </c>
    </row>
    <row r="5930" spans="1:9" x14ac:dyDescent="0.3">
      <c r="A5930" t="s">
        <v>75</v>
      </c>
      <c r="B5930" s="1">
        <v>45899</v>
      </c>
      <c r="C5930" s="1">
        <v>45899</v>
      </c>
      <c r="D5930">
        <v>144420</v>
      </c>
      <c r="E5930">
        <v>84</v>
      </c>
      <c r="F5930" s="3" t="s">
        <v>5140</v>
      </c>
      <c r="G5930" s="4">
        <v>104410.75</v>
      </c>
      <c r="H5930" s="4">
        <v>0</v>
      </c>
      <c r="I5930" s="4">
        <v>39191575.119999997</v>
      </c>
    </row>
    <row r="5931" spans="1:9" x14ac:dyDescent="0.3">
      <c r="A5931" t="s">
        <v>75</v>
      </c>
      <c r="B5931" s="1">
        <v>45898</v>
      </c>
      <c r="C5931" s="1">
        <v>45899</v>
      </c>
      <c r="D5931">
        <v>144421</v>
      </c>
      <c r="E5931">
        <v>44</v>
      </c>
      <c r="F5931" s="3" t="s">
        <v>5141</v>
      </c>
      <c r="G5931" s="4">
        <v>92078.75</v>
      </c>
      <c r="H5931" s="4">
        <v>0</v>
      </c>
      <c r="I5931" s="4">
        <v>39283653.869999997</v>
      </c>
    </row>
    <row r="5932" spans="1:9" x14ac:dyDescent="0.3">
      <c r="A5932" t="s">
        <v>75</v>
      </c>
      <c r="B5932" s="1">
        <v>45898</v>
      </c>
      <c r="C5932" s="1">
        <v>45899</v>
      </c>
      <c r="D5932">
        <v>144422</v>
      </c>
      <c r="E5932">
        <v>11</v>
      </c>
      <c r="F5932" s="3" t="s">
        <v>5142</v>
      </c>
      <c r="G5932" s="4">
        <v>70000</v>
      </c>
      <c r="H5932" s="4">
        <v>0</v>
      </c>
      <c r="I5932" s="4">
        <v>39353653.869999997</v>
      </c>
    </row>
    <row r="5933" spans="1:9" x14ac:dyDescent="0.3">
      <c r="A5933" t="s">
        <v>75</v>
      </c>
      <c r="B5933" s="1">
        <v>45898</v>
      </c>
      <c r="C5933" s="1">
        <v>45899</v>
      </c>
      <c r="D5933">
        <v>144422</v>
      </c>
      <c r="E5933">
        <v>11</v>
      </c>
      <c r="F5933" s="3" t="s">
        <v>5143</v>
      </c>
      <c r="G5933" s="4">
        <v>75000</v>
      </c>
      <c r="H5933" s="4">
        <v>0</v>
      </c>
      <c r="I5933" s="4">
        <v>39428653.869999997</v>
      </c>
    </row>
    <row r="5934" spans="1:9" x14ac:dyDescent="0.3">
      <c r="A5934" t="s">
        <v>75</v>
      </c>
      <c r="B5934" s="1">
        <v>45899</v>
      </c>
      <c r="C5934" s="1">
        <v>45899</v>
      </c>
      <c r="D5934">
        <v>144424</v>
      </c>
      <c r="E5934">
        <v>61</v>
      </c>
      <c r="F5934" s="3" t="s">
        <v>5144</v>
      </c>
      <c r="G5934" s="4">
        <v>16742</v>
      </c>
      <c r="H5934" s="4">
        <v>0</v>
      </c>
      <c r="I5934" s="4">
        <v>39445395.869999997</v>
      </c>
    </row>
    <row r="5935" spans="1:9" x14ac:dyDescent="0.3">
      <c r="A5935" t="s">
        <v>75</v>
      </c>
      <c r="B5935" s="1">
        <v>45897</v>
      </c>
      <c r="C5935" s="1">
        <v>45899</v>
      </c>
      <c r="D5935">
        <v>144425</v>
      </c>
      <c r="E5935">
        <v>41</v>
      </c>
      <c r="F5935" s="3" t="s">
        <v>5145</v>
      </c>
      <c r="G5935" s="4">
        <v>19500</v>
      </c>
      <c r="H5935" s="4">
        <v>0</v>
      </c>
      <c r="I5935" s="4">
        <v>39464895.869999997</v>
      </c>
    </row>
    <row r="5936" spans="1:9" x14ac:dyDescent="0.3">
      <c r="A5936" t="s">
        <v>75</v>
      </c>
      <c r="B5936" s="1">
        <v>45899</v>
      </c>
      <c r="C5936" s="1">
        <v>45899</v>
      </c>
      <c r="D5936">
        <v>144426</v>
      </c>
      <c r="E5936">
        <v>79</v>
      </c>
      <c r="F5936" s="3" t="s">
        <v>5146</v>
      </c>
      <c r="G5936" s="4">
        <v>2500</v>
      </c>
      <c r="H5936" s="4">
        <v>0</v>
      </c>
      <c r="I5936" s="4">
        <v>39467395.869999997</v>
      </c>
    </row>
    <row r="5937" spans="1:9" x14ac:dyDescent="0.3">
      <c r="A5937" t="s">
        <v>75</v>
      </c>
      <c r="B5937" s="1">
        <v>45896</v>
      </c>
      <c r="C5937" s="1">
        <v>45899</v>
      </c>
      <c r="D5937">
        <v>144427</v>
      </c>
      <c r="E5937">
        <v>11</v>
      </c>
      <c r="F5937" s="3" t="s">
        <v>5147</v>
      </c>
      <c r="G5937" s="4">
        <v>128330</v>
      </c>
      <c r="H5937" s="4">
        <v>0</v>
      </c>
      <c r="I5937" s="4">
        <v>39595725.869999997</v>
      </c>
    </row>
    <row r="5938" spans="1:9" x14ac:dyDescent="0.3">
      <c r="A5938" t="s">
        <v>75</v>
      </c>
      <c r="B5938" s="1">
        <v>45899</v>
      </c>
      <c r="C5938" s="1">
        <v>45899</v>
      </c>
      <c r="D5938">
        <v>144428</v>
      </c>
      <c r="E5938">
        <v>24</v>
      </c>
      <c r="F5938" s="3" t="s">
        <v>5148</v>
      </c>
      <c r="G5938" s="4">
        <v>104410.75</v>
      </c>
      <c r="H5938" s="4">
        <v>0</v>
      </c>
      <c r="I5938" s="4">
        <v>39700136.619999997</v>
      </c>
    </row>
    <row r="5939" spans="1:9" x14ac:dyDescent="0.3">
      <c r="A5939" t="s">
        <v>75</v>
      </c>
      <c r="B5939" s="1">
        <v>45899</v>
      </c>
      <c r="C5939" s="1">
        <v>45899</v>
      </c>
      <c r="D5939">
        <v>144429</v>
      </c>
      <c r="E5939">
        <v>24</v>
      </c>
      <c r="F5939" s="3" t="s">
        <v>5149</v>
      </c>
      <c r="G5939" s="4">
        <v>104410.75</v>
      </c>
      <c r="H5939" s="4">
        <v>0</v>
      </c>
      <c r="I5939" s="4">
        <v>39804547.369999997</v>
      </c>
    </row>
    <row r="5940" spans="1:9" x14ac:dyDescent="0.3">
      <c r="A5940" t="s">
        <v>71</v>
      </c>
      <c r="B5940" s="1">
        <v>45897</v>
      </c>
      <c r="C5940" s="1">
        <v>45899</v>
      </c>
      <c r="D5940">
        <v>15086</v>
      </c>
      <c r="E5940">
        <v>100</v>
      </c>
      <c r="F5940" s="3" t="s">
        <v>5150</v>
      </c>
      <c r="G5940" s="4">
        <v>0</v>
      </c>
      <c r="H5940" s="4">
        <v>3843989.77</v>
      </c>
      <c r="I5940" s="4">
        <v>35960557.600000001</v>
      </c>
    </row>
    <row r="5941" spans="1:9" x14ac:dyDescent="0.3">
      <c r="A5941" t="s">
        <v>71</v>
      </c>
      <c r="B5941" s="1">
        <v>45899</v>
      </c>
      <c r="C5941" s="1">
        <v>45899</v>
      </c>
      <c r="D5941">
        <v>15089</v>
      </c>
      <c r="E5941">
        <v>100</v>
      </c>
      <c r="F5941" s="3" t="s">
        <v>5151</v>
      </c>
      <c r="G5941" s="4">
        <v>0</v>
      </c>
      <c r="H5941" s="4">
        <v>2100</v>
      </c>
      <c r="I5941" s="4">
        <v>35958457.600000001</v>
      </c>
    </row>
    <row r="5942" spans="1:9" x14ac:dyDescent="0.3">
      <c r="A5942" t="s">
        <v>71</v>
      </c>
      <c r="B5942" s="1">
        <v>45899</v>
      </c>
      <c r="C5942" s="1">
        <v>45899</v>
      </c>
      <c r="D5942">
        <v>15090</v>
      </c>
      <c r="E5942">
        <v>100</v>
      </c>
      <c r="F5942" s="3" t="s">
        <v>5152</v>
      </c>
      <c r="G5942" s="4">
        <v>0</v>
      </c>
      <c r="H5942" s="4">
        <v>717.09</v>
      </c>
      <c r="I5942" s="4">
        <v>35957740.509999998</v>
      </c>
    </row>
    <row r="5943" spans="1:9" x14ac:dyDescent="0.3">
      <c r="A5943" t="s">
        <v>71</v>
      </c>
      <c r="B5943" s="1">
        <v>45899</v>
      </c>
      <c r="C5943" s="1">
        <v>45899</v>
      </c>
      <c r="D5943">
        <v>15103</v>
      </c>
      <c r="E5943">
        <v>100</v>
      </c>
      <c r="F5943" s="3" t="s">
        <v>5153</v>
      </c>
      <c r="G5943" s="4">
        <v>0</v>
      </c>
      <c r="H5943" s="4">
        <v>19320</v>
      </c>
      <c r="I5943" s="4">
        <v>35938420.509999998</v>
      </c>
    </row>
    <row r="5944" spans="1:9" x14ac:dyDescent="0.3">
      <c r="A5944" t="s">
        <v>71</v>
      </c>
      <c r="B5944" s="1">
        <v>45898</v>
      </c>
      <c r="C5944" s="1">
        <v>45899</v>
      </c>
      <c r="D5944">
        <v>15124</v>
      </c>
      <c r="E5944">
        <v>100</v>
      </c>
      <c r="F5944" s="3" t="s">
        <v>5154</v>
      </c>
      <c r="G5944" s="4">
        <v>0</v>
      </c>
      <c r="H5944" s="4">
        <v>10641363.6</v>
      </c>
      <c r="I5944" s="4">
        <v>25297056.91</v>
      </c>
    </row>
    <row r="5945" spans="1:9" x14ac:dyDescent="0.3">
      <c r="A5945" t="s">
        <v>71</v>
      </c>
      <c r="B5945" s="1">
        <v>45892</v>
      </c>
      <c r="C5945" s="1">
        <v>45899</v>
      </c>
      <c r="D5945">
        <v>15320</v>
      </c>
      <c r="E5945">
        <v>100</v>
      </c>
      <c r="F5945" s="3" t="s">
        <v>5155</v>
      </c>
      <c r="G5945" s="4">
        <v>0</v>
      </c>
      <c r="H5945" s="4">
        <v>6</v>
      </c>
      <c r="I5945" s="4">
        <v>25297050.91</v>
      </c>
    </row>
    <row r="5946" spans="1:9" x14ac:dyDescent="0.3">
      <c r="A5946" t="s">
        <v>71</v>
      </c>
      <c r="B5946" s="1">
        <v>45896</v>
      </c>
      <c r="C5946" s="1">
        <v>45899</v>
      </c>
      <c r="D5946">
        <v>15320</v>
      </c>
      <c r="E5946">
        <v>100</v>
      </c>
      <c r="F5946" s="3" t="s">
        <v>5156</v>
      </c>
      <c r="G5946" s="4">
        <v>0</v>
      </c>
      <c r="H5946" s="4">
        <v>126</v>
      </c>
      <c r="I5946" s="4">
        <v>25296924.91</v>
      </c>
    </row>
    <row r="5947" spans="1:9" x14ac:dyDescent="0.3">
      <c r="A5947" t="s">
        <v>2579</v>
      </c>
      <c r="B5947" s="1">
        <v>45898</v>
      </c>
      <c r="C5947" s="1">
        <v>45899</v>
      </c>
      <c r="D5947">
        <v>1908</v>
      </c>
      <c r="E5947">
        <v>100</v>
      </c>
      <c r="F5947" s="3" t="s">
        <v>5157</v>
      </c>
      <c r="G5947" s="4">
        <v>89605.1</v>
      </c>
      <c r="H5947" s="4">
        <v>0</v>
      </c>
      <c r="I5947" s="4">
        <v>25386530.010000002</v>
      </c>
    </row>
    <row r="5948" spans="1:9" x14ac:dyDescent="0.3">
      <c r="A5948" t="s">
        <v>2579</v>
      </c>
      <c r="B5948" s="1">
        <v>45883</v>
      </c>
      <c r="C5948" s="1">
        <v>45899</v>
      </c>
      <c r="D5948">
        <v>1909</v>
      </c>
      <c r="E5948">
        <v>100</v>
      </c>
      <c r="F5948" s="3" t="s">
        <v>5158</v>
      </c>
      <c r="G5948" s="4">
        <v>147310.29999999999</v>
      </c>
      <c r="H5948" s="4">
        <v>0</v>
      </c>
      <c r="I5948" s="4">
        <v>25533840.309999999</v>
      </c>
    </row>
    <row r="5949" spans="1:9" x14ac:dyDescent="0.3">
      <c r="A5949" t="s">
        <v>2579</v>
      </c>
      <c r="B5949" s="1">
        <v>45883</v>
      </c>
      <c r="C5949" s="1">
        <v>45899</v>
      </c>
      <c r="D5949">
        <v>1911</v>
      </c>
      <c r="E5949">
        <v>100</v>
      </c>
      <c r="F5949" s="3" t="s">
        <v>5159</v>
      </c>
      <c r="G5949" s="4">
        <v>28004.2</v>
      </c>
      <c r="H5949" s="4">
        <v>0</v>
      </c>
      <c r="I5949" s="4">
        <v>25561844.510000002</v>
      </c>
    </row>
    <row r="5950" spans="1:9" x14ac:dyDescent="0.3">
      <c r="A5950" t="s">
        <v>2579</v>
      </c>
      <c r="B5950" s="1">
        <v>45867</v>
      </c>
      <c r="C5950" s="1">
        <v>45899</v>
      </c>
      <c r="D5950">
        <v>1913</v>
      </c>
      <c r="E5950">
        <v>100</v>
      </c>
      <c r="F5950" s="3" t="s">
        <v>5160</v>
      </c>
      <c r="G5950" s="4">
        <v>193817.3</v>
      </c>
      <c r="H5950" s="4">
        <v>0</v>
      </c>
      <c r="I5950" s="4">
        <v>25755661.809999999</v>
      </c>
    </row>
    <row r="5951" spans="1:9" x14ac:dyDescent="0.3">
      <c r="A5951" t="s">
        <v>2579</v>
      </c>
      <c r="B5951" s="1">
        <v>45899</v>
      </c>
      <c r="C5951" s="1">
        <v>45899</v>
      </c>
      <c r="D5951">
        <v>1914</v>
      </c>
      <c r="E5951">
        <v>100</v>
      </c>
      <c r="F5951" s="3" t="s">
        <v>5161</v>
      </c>
      <c r="G5951" s="4">
        <v>159853.25</v>
      </c>
      <c r="H5951" s="4">
        <v>0</v>
      </c>
      <c r="I5951" s="4">
        <v>25915515.059999999</v>
      </c>
    </row>
    <row r="5952" spans="1:9" x14ac:dyDescent="0.3">
      <c r="A5952" t="s">
        <v>2579</v>
      </c>
      <c r="B5952" s="1">
        <v>45899</v>
      </c>
      <c r="C5952" s="1">
        <v>45899</v>
      </c>
      <c r="D5952">
        <v>1916</v>
      </c>
      <c r="E5952">
        <v>100</v>
      </c>
      <c r="F5952" s="3" t="s">
        <v>5162</v>
      </c>
      <c r="G5952" s="4">
        <v>7560.02</v>
      </c>
      <c r="H5952" s="4">
        <v>0</v>
      </c>
      <c r="I5952" s="4">
        <v>25923075.079999998</v>
      </c>
    </row>
    <row r="5953" spans="1:9" x14ac:dyDescent="0.3">
      <c r="A5953" t="s">
        <v>124</v>
      </c>
      <c r="B5953" s="1">
        <v>45899</v>
      </c>
      <c r="C5953" s="1">
        <v>45899</v>
      </c>
      <c r="D5953">
        <v>22327</v>
      </c>
      <c r="E5953">
        <v>11</v>
      </c>
      <c r="F5953" s="3" t="s">
        <v>125</v>
      </c>
      <c r="G5953" s="4">
        <v>0</v>
      </c>
      <c r="H5953" s="4">
        <v>43448142.530000001</v>
      </c>
      <c r="I5953" s="4">
        <v>-17525067.449999999</v>
      </c>
    </row>
    <row r="5954" spans="1:9" x14ac:dyDescent="0.3">
      <c r="A5954" t="s">
        <v>124</v>
      </c>
      <c r="B5954" s="1">
        <v>45899</v>
      </c>
      <c r="C5954" s="1">
        <v>45899</v>
      </c>
      <c r="D5954">
        <v>22328</v>
      </c>
      <c r="E5954">
        <v>11</v>
      </c>
      <c r="F5954" s="3" t="s">
        <v>125</v>
      </c>
      <c r="G5954" s="4">
        <v>0</v>
      </c>
      <c r="H5954" s="4">
        <v>10000000</v>
      </c>
      <c r="I5954" s="4">
        <v>-27525067.449999999</v>
      </c>
    </row>
    <row r="5955" spans="1:9" x14ac:dyDescent="0.3">
      <c r="A5955" t="s">
        <v>124</v>
      </c>
      <c r="B5955" s="1">
        <v>45899</v>
      </c>
      <c r="C5955" s="1">
        <v>45899</v>
      </c>
      <c r="D5955">
        <v>22329</v>
      </c>
      <c r="E5955">
        <v>11</v>
      </c>
      <c r="F5955" s="3" t="s">
        <v>127</v>
      </c>
      <c r="G5955" s="4">
        <v>12000000</v>
      </c>
      <c r="H5955" s="4">
        <v>0</v>
      </c>
      <c r="I5955" s="4">
        <v>-15525067.449999999</v>
      </c>
    </row>
    <row r="5956" spans="1:9" x14ac:dyDescent="0.3">
      <c r="A5956" t="s">
        <v>124</v>
      </c>
      <c r="B5956" s="1">
        <v>45899</v>
      </c>
      <c r="C5956" s="1">
        <v>45899</v>
      </c>
      <c r="D5956">
        <v>22331</v>
      </c>
      <c r="E5956">
        <v>11</v>
      </c>
      <c r="F5956" s="3" t="s">
        <v>127</v>
      </c>
      <c r="G5956" s="4">
        <v>1500000</v>
      </c>
      <c r="H5956" s="4">
        <v>0</v>
      </c>
      <c r="I5956" s="4">
        <v>-14025067.449999999</v>
      </c>
    </row>
    <row r="5957" spans="1:9" x14ac:dyDescent="0.3">
      <c r="A5957" t="s">
        <v>124</v>
      </c>
      <c r="B5957" s="1">
        <v>45899</v>
      </c>
      <c r="C5957" s="1">
        <v>45899</v>
      </c>
      <c r="D5957">
        <v>22332</v>
      </c>
      <c r="E5957">
        <v>11</v>
      </c>
      <c r="F5957" s="3" t="s">
        <v>128</v>
      </c>
      <c r="G5957" s="4">
        <v>22000000</v>
      </c>
      <c r="H5957" s="4">
        <v>0</v>
      </c>
      <c r="I5957" s="4">
        <v>7974932.5499999998</v>
      </c>
    </row>
    <row r="5958" spans="1:9" x14ac:dyDescent="0.3">
      <c r="A5958" t="s">
        <v>130</v>
      </c>
      <c r="B5958" s="1">
        <v>45899</v>
      </c>
      <c r="C5958" s="1">
        <v>45899</v>
      </c>
      <c r="D5958">
        <v>3854294</v>
      </c>
      <c r="E5958">
        <v>282</v>
      </c>
      <c r="F5958" s="3" t="s">
        <v>5163</v>
      </c>
      <c r="G5958" s="4">
        <v>0</v>
      </c>
      <c r="H5958" s="4">
        <v>93259.25</v>
      </c>
      <c r="I5958" s="4">
        <v>7881673.2999999998</v>
      </c>
    </row>
    <row r="5959" spans="1:9" x14ac:dyDescent="0.3">
      <c r="A5959" t="s">
        <v>130</v>
      </c>
      <c r="B5959" s="1">
        <v>45899</v>
      </c>
      <c r="C5959" s="1">
        <v>45899</v>
      </c>
      <c r="D5959">
        <v>3854443</v>
      </c>
      <c r="E5959">
        <v>11</v>
      </c>
      <c r="F5959" s="3" t="s">
        <v>5164</v>
      </c>
      <c r="G5959" s="4">
        <v>0</v>
      </c>
      <c r="H5959" s="4">
        <v>159094.75</v>
      </c>
      <c r="I5959" s="4">
        <v>7722578.5499999998</v>
      </c>
    </row>
    <row r="5960" spans="1:9" x14ac:dyDescent="0.3">
      <c r="A5960" t="s">
        <v>130</v>
      </c>
      <c r="B5960" s="1">
        <v>45899</v>
      </c>
      <c r="C5960" s="1">
        <v>45899</v>
      </c>
      <c r="D5960">
        <v>3854554</v>
      </c>
      <c r="E5960">
        <v>43</v>
      </c>
      <c r="F5960" s="3" t="s">
        <v>5165</v>
      </c>
      <c r="G5960" s="4">
        <v>0</v>
      </c>
      <c r="H5960" s="4">
        <v>11.75</v>
      </c>
      <c r="I5960" s="4">
        <v>7722566.7999999998</v>
      </c>
    </row>
    <row r="5961" spans="1:9" x14ac:dyDescent="0.3">
      <c r="A5961" t="s">
        <v>133</v>
      </c>
      <c r="B5961" s="1">
        <v>45899</v>
      </c>
      <c r="C5961" s="1">
        <v>45899</v>
      </c>
      <c r="D5961">
        <v>926606</v>
      </c>
      <c r="E5961">
        <v>23</v>
      </c>
      <c r="F5961" s="3" t="s">
        <v>5166</v>
      </c>
      <c r="G5961" s="4">
        <v>83990</v>
      </c>
      <c r="H5961" s="4">
        <v>0</v>
      </c>
      <c r="I5961" s="4">
        <v>7806556.7999999998</v>
      </c>
    </row>
    <row r="5962" spans="1:9" x14ac:dyDescent="0.3">
      <c r="A5962" t="s">
        <v>133</v>
      </c>
      <c r="B5962" s="1">
        <v>45899</v>
      </c>
      <c r="C5962" s="1">
        <v>45899</v>
      </c>
      <c r="D5962">
        <v>926607</v>
      </c>
      <c r="E5962">
        <v>27</v>
      </c>
      <c r="F5962" s="3" t="s">
        <v>5167</v>
      </c>
      <c r="G5962" s="4">
        <v>50272.5</v>
      </c>
      <c r="H5962" s="4">
        <v>0</v>
      </c>
      <c r="I5962" s="4">
        <v>7856829.2999999998</v>
      </c>
    </row>
    <row r="5963" spans="1:9" x14ac:dyDescent="0.3">
      <c r="A5963" t="s">
        <v>133</v>
      </c>
      <c r="B5963" s="1">
        <v>45899</v>
      </c>
      <c r="C5963" s="1">
        <v>45899</v>
      </c>
      <c r="D5963">
        <v>926608</v>
      </c>
      <c r="E5963">
        <v>23</v>
      </c>
      <c r="F5963" s="3" t="s">
        <v>5168</v>
      </c>
      <c r="G5963" s="4">
        <v>100000</v>
      </c>
      <c r="H5963" s="4">
        <v>0</v>
      </c>
      <c r="I5963" s="4">
        <v>7956829.2999999998</v>
      </c>
    </row>
    <row r="5964" spans="1:9" x14ac:dyDescent="0.3">
      <c r="A5964" t="s">
        <v>133</v>
      </c>
      <c r="B5964" s="1">
        <v>45899</v>
      </c>
      <c r="C5964" s="1">
        <v>45899</v>
      </c>
      <c r="D5964">
        <v>926611</v>
      </c>
      <c r="E5964">
        <v>27</v>
      </c>
      <c r="F5964" s="3" t="s">
        <v>5169</v>
      </c>
      <c r="G5964" s="4">
        <v>364582</v>
      </c>
      <c r="H5964" s="4">
        <v>0</v>
      </c>
      <c r="I5964" s="4">
        <v>8321411.2999999998</v>
      </c>
    </row>
    <row r="5965" spans="1:9" x14ac:dyDescent="0.3">
      <c r="A5965" t="s">
        <v>133</v>
      </c>
      <c r="B5965" s="1">
        <v>45899</v>
      </c>
      <c r="C5965" s="1">
        <v>45899</v>
      </c>
      <c r="D5965">
        <v>926614</v>
      </c>
      <c r="E5965">
        <v>15</v>
      </c>
      <c r="F5965" s="3" t="s">
        <v>5170</v>
      </c>
      <c r="G5965" s="4">
        <v>150000</v>
      </c>
      <c r="H5965" s="4">
        <v>0</v>
      </c>
      <c r="I5965" s="4">
        <v>8471411.3000000007</v>
      </c>
    </row>
    <row r="5966" spans="1:9" x14ac:dyDescent="0.3">
      <c r="A5966" t="s">
        <v>133</v>
      </c>
      <c r="B5966" s="1">
        <v>45899</v>
      </c>
      <c r="C5966" s="1">
        <v>45899</v>
      </c>
      <c r="D5966">
        <v>926617</v>
      </c>
      <c r="E5966">
        <v>542</v>
      </c>
      <c r="F5966" s="3" t="s">
        <v>5171</v>
      </c>
      <c r="G5966" s="4">
        <v>2581</v>
      </c>
      <c r="H5966" s="4">
        <v>0</v>
      </c>
      <c r="I5966" s="4">
        <v>8473992.3000000007</v>
      </c>
    </row>
    <row r="5967" spans="1:9" x14ac:dyDescent="0.3">
      <c r="A5967" t="s">
        <v>133</v>
      </c>
      <c r="B5967" s="1">
        <v>45899</v>
      </c>
      <c r="C5967" s="1">
        <v>45899</v>
      </c>
      <c r="D5967">
        <v>926627</v>
      </c>
      <c r="E5967">
        <v>282</v>
      </c>
      <c r="F5967" s="3">
        <v>51336934425</v>
      </c>
      <c r="G5967" s="4">
        <v>75716.25</v>
      </c>
      <c r="H5967" s="4">
        <v>0</v>
      </c>
      <c r="I5967" s="4">
        <v>8549708.5500000007</v>
      </c>
    </row>
    <row r="5968" spans="1:9" x14ac:dyDescent="0.3">
      <c r="A5968" t="s">
        <v>133</v>
      </c>
      <c r="B5968" s="1">
        <v>45899</v>
      </c>
      <c r="C5968" s="1">
        <v>45899</v>
      </c>
      <c r="D5968">
        <v>926640</v>
      </c>
      <c r="E5968">
        <v>351</v>
      </c>
      <c r="F5968" s="3" t="s">
        <v>5172</v>
      </c>
      <c r="G5968" s="4">
        <v>304523</v>
      </c>
      <c r="H5968" s="4">
        <v>0</v>
      </c>
      <c r="I5968" s="4">
        <v>8854231.5500000007</v>
      </c>
    </row>
    <row r="5969" spans="1:9" x14ac:dyDescent="0.3">
      <c r="A5969" t="s">
        <v>133</v>
      </c>
      <c r="B5969" s="1">
        <v>45899</v>
      </c>
      <c r="C5969" s="1">
        <v>45899</v>
      </c>
      <c r="D5969">
        <v>926642</v>
      </c>
      <c r="E5969">
        <v>351</v>
      </c>
      <c r="F5969" s="3" t="s">
        <v>5173</v>
      </c>
      <c r="G5969" s="4">
        <v>110280.5</v>
      </c>
      <c r="H5969" s="4">
        <v>0</v>
      </c>
      <c r="I5969" s="4">
        <v>8964512.0500000007</v>
      </c>
    </row>
    <row r="5970" spans="1:9" x14ac:dyDescent="0.3">
      <c r="A5970" t="s">
        <v>133</v>
      </c>
      <c r="B5970" s="1">
        <v>45899</v>
      </c>
      <c r="C5970" s="1">
        <v>45899</v>
      </c>
      <c r="D5970">
        <v>926644</v>
      </c>
      <c r="E5970">
        <v>351</v>
      </c>
      <c r="F5970" s="3" t="s">
        <v>5174</v>
      </c>
      <c r="G5970" s="4">
        <v>40555</v>
      </c>
      <c r="H5970" s="4">
        <v>0</v>
      </c>
      <c r="I5970" s="4">
        <v>9005067.0500000007</v>
      </c>
    </row>
    <row r="5971" spans="1:9" x14ac:dyDescent="0.3">
      <c r="A5971" t="s">
        <v>133</v>
      </c>
      <c r="B5971" s="1">
        <v>45899</v>
      </c>
      <c r="C5971" s="1">
        <v>45899</v>
      </c>
      <c r="D5971">
        <v>926650</v>
      </c>
      <c r="E5971">
        <v>60</v>
      </c>
      <c r="F5971" s="3" t="s">
        <v>5175</v>
      </c>
      <c r="G5971" s="4">
        <v>50000</v>
      </c>
      <c r="H5971" s="4">
        <v>0</v>
      </c>
      <c r="I5971" s="4">
        <v>9055067.0500000007</v>
      </c>
    </row>
    <row r="5972" spans="1:9" x14ac:dyDescent="0.3">
      <c r="A5972" t="s">
        <v>133</v>
      </c>
      <c r="B5972" s="1">
        <v>45899</v>
      </c>
      <c r="C5972" s="1">
        <v>45899</v>
      </c>
      <c r="D5972">
        <v>926659</v>
      </c>
      <c r="E5972">
        <v>81</v>
      </c>
      <c r="F5972" s="3" t="s">
        <v>5176</v>
      </c>
      <c r="G5972" s="4">
        <v>18500</v>
      </c>
      <c r="H5972" s="4">
        <v>0</v>
      </c>
      <c r="I5972" s="4">
        <v>9073567.0500000007</v>
      </c>
    </row>
    <row r="5973" spans="1:9" x14ac:dyDescent="0.3">
      <c r="A5973" t="s">
        <v>133</v>
      </c>
      <c r="B5973" s="1">
        <v>45899</v>
      </c>
      <c r="C5973" s="1">
        <v>45899</v>
      </c>
      <c r="D5973">
        <v>926660</v>
      </c>
      <c r="E5973">
        <v>351</v>
      </c>
      <c r="F5973" s="3" t="s">
        <v>5177</v>
      </c>
      <c r="G5973" s="4">
        <v>183785.5</v>
      </c>
      <c r="H5973" s="4">
        <v>0</v>
      </c>
      <c r="I5973" s="4">
        <v>9257352.5500000007</v>
      </c>
    </row>
    <row r="5974" spans="1:9" x14ac:dyDescent="0.3">
      <c r="A5974" t="s">
        <v>133</v>
      </c>
      <c r="B5974" s="1">
        <v>45899</v>
      </c>
      <c r="C5974" s="1">
        <v>45899</v>
      </c>
      <c r="D5974">
        <v>926670</v>
      </c>
      <c r="E5974">
        <v>85</v>
      </c>
      <c r="F5974" s="3" t="s">
        <v>5178</v>
      </c>
      <c r="G5974" s="4">
        <v>4262</v>
      </c>
      <c r="H5974" s="4">
        <v>0</v>
      </c>
      <c r="I5974" s="4">
        <v>9261614.5500000007</v>
      </c>
    </row>
    <row r="5975" spans="1:9" x14ac:dyDescent="0.3">
      <c r="A5975" t="s">
        <v>133</v>
      </c>
      <c r="B5975" s="1">
        <v>45899</v>
      </c>
      <c r="C5975" s="1">
        <v>45899</v>
      </c>
      <c r="D5975">
        <v>926672</v>
      </c>
      <c r="E5975">
        <v>41</v>
      </c>
      <c r="F5975" s="3" t="s">
        <v>5179</v>
      </c>
      <c r="G5975" s="4">
        <v>40000</v>
      </c>
      <c r="H5975" s="4">
        <v>0</v>
      </c>
      <c r="I5975" s="4">
        <v>9301614.5500000007</v>
      </c>
    </row>
    <row r="5976" spans="1:9" x14ac:dyDescent="0.3">
      <c r="A5976" t="s">
        <v>133</v>
      </c>
      <c r="B5976" s="1">
        <v>45899</v>
      </c>
      <c r="C5976" s="1">
        <v>45899</v>
      </c>
      <c r="D5976">
        <v>926675</v>
      </c>
      <c r="E5976">
        <v>12</v>
      </c>
      <c r="F5976" s="3">
        <v>51326251287</v>
      </c>
      <c r="G5976" s="4">
        <v>3000</v>
      </c>
      <c r="H5976" s="4">
        <v>0</v>
      </c>
      <c r="I5976" s="4">
        <v>9304614.5500000007</v>
      </c>
    </row>
    <row r="5977" spans="1:9" x14ac:dyDescent="0.3">
      <c r="A5977" t="s">
        <v>133</v>
      </c>
      <c r="B5977" s="1">
        <v>45899</v>
      </c>
      <c r="C5977" s="1">
        <v>45899</v>
      </c>
      <c r="D5977">
        <v>926721</v>
      </c>
      <c r="E5977">
        <v>31</v>
      </c>
      <c r="F5977" s="3" t="s">
        <v>5180</v>
      </c>
      <c r="G5977" s="4">
        <v>39487</v>
      </c>
      <c r="H5977" s="4">
        <v>0</v>
      </c>
      <c r="I5977" s="4">
        <v>9344101.5500000007</v>
      </c>
    </row>
    <row r="5978" spans="1:9" x14ac:dyDescent="0.3">
      <c r="A5978" t="s">
        <v>133</v>
      </c>
      <c r="B5978" s="1">
        <v>45899</v>
      </c>
      <c r="C5978" s="1">
        <v>45899</v>
      </c>
      <c r="D5978">
        <v>926723</v>
      </c>
      <c r="E5978">
        <v>98</v>
      </c>
      <c r="F5978" s="3" t="s">
        <v>5181</v>
      </c>
      <c r="G5978" s="4">
        <v>98980.5</v>
      </c>
      <c r="H5978" s="4">
        <v>0</v>
      </c>
      <c r="I5978" s="4">
        <v>9443082.0500000007</v>
      </c>
    </row>
    <row r="5979" spans="1:9" x14ac:dyDescent="0.3">
      <c r="A5979" t="s">
        <v>133</v>
      </c>
      <c r="B5979" s="1">
        <v>45899</v>
      </c>
      <c r="C5979" s="1">
        <v>45899</v>
      </c>
      <c r="D5979">
        <v>926724</v>
      </c>
      <c r="E5979">
        <v>27</v>
      </c>
      <c r="F5979" s="3" t="s">
        <v>5182</v>
      </c>
      <c r="G5979" s="4">
        <v>50000</v>
      </c>
      <c r="H5979" s="4">
        <v>0</v>
      </c>
      <c r="I5979" s="4">
        <v>9493082.0500000007</v>
      </c>
    </row>
    <row r="5980" spans="1:9" x14ac:dyDescent="0.3">
      <c r="A5980" t="s">
        <v>133</v>
      </c>
      <c r="B5980" s="1">
        <v>45899</v>
      </c>
      <c r="C5980" s="1">
        <v>45899</v>
      </c>
      <c r="D5980">
        <v>926725</v>
      </c>
      <c r="E5980">
        <v>27</v>
      </c>
      <c r="F5980" s="3" t="s">
        <v>5183</v>
      </c>
      <c r="G5980" s="4">
        <v>227719.75</v>
      </c>
      <c r="H5980" s="4">
        <v>0</v>
      </c>
      <c r="I5980" s="4">
        <v>9720801.8000000007</v>
      </c>
    </row>
    <row r="5981" spans="1:9" x14ac:dyDescent="0.3">
      <c r="A5981" t="s">
        <v>133</v>
      </c>
      <c r="B5981" s="1">
        <v>45899</v>
      </c>
      <c r="C5981" s="1">
        <v>45899</v>
      </c>
      <c r="D5981">
        <v>926726</v>
      </c>
      <c r="E5981">
        <v>27</v>
      </c>
      <c r="F5981" s="3" t="s">
        <v>5184</v>
      </c>
      <c r="G5981" s="4">
        <v>450000</v>
      </c>
      <c r="H5981" s="4">
        <v>0</v>
      </c>
      <c r="I5981" s="4">
        <v>10170801.800000001</v>
      </c>
    </row>
    <row r="5982" spans="1:9" x14ac:dyDescent="0.3">
      <c r="A5982" t="s">
        <v>133</v>
      </c>
      <c r="B5982" s="1">
        <v>45899</v>
      </c>
      <c r="C5982" s="1">
        <v>45899</v>
      </c>
      <c r="D5982">
        <v>926731</v>
      </c>
      <c r="E5982">
        <v>77</v>
      </c>
      <c r="F5982" s="3" t="s">
        <v>5185</v>
      </c>
      <c r="G5982" s="4">
        <v>25000</v>
      </c>
      <c r="H5982" s="4">
        <v>0</v>
      </c>
      <c r="I5982" s="4">
        <v>10195801.800000001</v>
      </c>
    </row>
    <row r="5983" spans="1:9" x14ac:dyDescent="0.3">
      <c r="A5983" t="s">
        <v>133</v>
      </c>
      <c r="B5983" s="1">
        <v>45899</v>
      </c>
      <c r="C5983" s="1">
        <v>45899</v>
      </c>
      <c r="D5983">
        <v>926737</v>
      </c>
      <c r="E5983">
        <v>77</v>
      </c>
      <c r="F5983" s="3" t="s">
        <v>5186</v>
      </c>
      <c r="G5983" s="4">
        <v>100000</v>
      </c>
      <c r="H5983" s="4">
        <v>0</v>
      </c>
      <c r="I5983" s="4">
        <v>10295801.800000001</v>
      </c>
    </row>
    <row r="5984" spans="1:9" x14ac:dyDescent="0.3">
      <c r="A5984" t="s">
        <v>133</v>
      </c>
      <c r="B5984" s="1">
        <v>45899</v>
      </c>
      <c r="C5984" s="1">
        <v>45899</v>
      </c>
      <c r="D5984">
        <v>926744</v>
      </c>
      <c r="E5984">
        <v>31</v>
      </c>
      <c r="F5984" s="3" t="s">
        <v>5187</v>
      </c>
      <c r="G5984" s="4">
        <v>586735</v>
      </c>
      <c r="H5984" s="4">
        <v>0</v>
      </c>
      <c r="I5984" s="4">
        <v>10882536.800000001</v>
      </c>
    </row>
    <row r="5985" spans="1:9" x14ac:dyDescent="0.3">
      <c r="A5985" t="s">
        <v>133</v>
      </c>
      <c r="B5985" s="1">
        <v>45899</v>
      </c>
      <c r="C5985" s="1">
        <v>45899</v>
      </c>
      <c r="D5985">
        <v>926748</v>
      </c>
      <c r="E5985">
        <v>51</v>
      </c>
      <c r="F5985" s="3" t="s">
        <v>5188</v>
      </c>
      <c r="G5985" s="4">
        <v>330000</v>
      </c>
      <c r="H5985" s="4">
        <v>0</v>
      </c>
      <c r="I5985" s="4">
        <v>11212536.800000001</v>
      </c>
    </row>
    <row r="5986" spans="1:9" x14ac:dyDescent="0.3">
      <c r="A5986" t="s">
        <v>133</v>
      </c>
      <c r="B5986" s="1">
        <v>45899</v>
      </c>
      <c r="C5986" s="1">
        <v>45899</v>
      </c>
      <c r="D5986">
        <v>926750</v>
      </c>
      <c r="E5986">
        <v>82</v>
      </c>
      <c r="F5986" s="3" t="s">
        <v>5189</v>
      </c>
      <c r="G5986" s="4">
        <v>50026.5</v>
      </c>
      <c r="H5986" s="4">
        <v>0</v>
      </c>
      <c r="I5986" s="4">
        <v>11262563.300000001</v>
      </c>
    </row>
    <row r="5987" spans="1:9" x14ac:dyDescent="0.3">
      <c r="A5987" t="s">
        <v>133</v>
      </c>
      <c r="B5987" s="1">
        <v>45899</v>
      </c>
      <c r="C5987" s="1">
        <v>45899</v>
      </c>
      <c r="D5987">
        <v>926751</v>
      </c>
      <c r="E5987">
        <v>32</v>
      </c>
      <c r="F5987" s="3" t="s">
        <v>5190</v>
      </c>
      <c r="G5987" s="4">
        <v>34531.5</v>
      </c>
      <c r="H5987" s="4">
        <v>0</v>
      </c>
      <c r="I5987" s="4">
        <v>11297094.800000001</v>
      </c>
    </row>
    <row r="5988" spans="1:9" x14ac:dyDescent="0.3">
      <c r="A5988" t="s">
        <v>133</v>
      </c>
      <c r="B5988" s="1">
        <v>45899</v>
      </c>
      <c r="C5988" s="1">
        <v>45899</v>
      </c>
      <c r="D5988">
        <v>926757</v>
      </c>
      <c r="E5988">
        <v>72</v>
      </c>
      <c r="F5988" s="3" t="s">
        <v>5191</v>
      </c>
      <c r="G5988" s="4">
        <v>17169</v>
      </c>
      <c r="H5988" s="4">
        <v>0</v>
      </c>
      <c r="I5988" s="4">
        <v>11314263.800000001</v>
      </c>
    </row>
    <row r="5989" spans="1:9" x14ac:dyDescent="0.3">
      <c r="A5989" t="s">
        <v>133</v>
      </c>
      <c r="B5989" s="1">
        <v>45899</v>
      </c>
      <c r="C5989" s="1">
        <v>45899</v>
      </c>
      <c r="D5989">
        <v>926758</v>
      </c>
      <c r="E5989">
        <v>72</v>
      </c>
      <c r="F5989" s="3" t="s">
        <v>5192</v>
      </c>
      <c r="G5989" s="4">
        <v>66000</v>
      </c>
      <c r="H5989" s="4">
        <v>0</v>
      </c>
      <c r="I5989" s="4">
        <v>11380263.800000001</v>
      </c>
    </row>
    <row r="5990" spans="1:9" x14ac:dyDescent="0.3">
      <c r="A5990" t="s">
        <v>133</v>
      </c>
      <c r="B5990" s="1">
        <v>45899</v>
      </c>
      <c r="C5990" s="1">
        <v>45899</v>
      </c>
      <c r="D5990">
        <v>926760</v>
      </c>
      <c r="E5990">
        <v>82</v>
      </c>
      <c r="F5990" s="3" t="s">
        <v>5193</v>
      </c>
      <c r="G5990" s="4">
        <v>31006</v>
      </c>
      <c r="H5990" s="4">
        <v>0</v>
      </c>
      <c r="I5990" s="4">
        <v>11411269.800000001</v>
      </c>
    </row>
    <row r="5991" spans="1:9" x14ac:dyDescent="0.3">
      <c r="A5991" t="s">
        <v>133</v>
      </c>
      <c r="B5991" s="1">
        <v>45899</v>
      </c>
      <c r="C5991" s="1">
        <v>45899</v>
      </c>
      <c r="D5991">
        <v>926772</v>
      </c>
      <c r="E5991">
        <v>89</v>
      </c>
      <c r="F5991" s="3" t="s">
        <v>5194</v>
      </c>
      <c r="G5991" s="4">
        <v>40000</v>
      </c>
      <c r="H5991" s="4">
        <v>0</v>
      </c>
      <c r="I5991" s="4">
        <v>11451269.800000001</v>
      </c>
    </row>
    <row r="5992" spans="1:9" x14ac:dyDescent="0.3">
      <c r="A5992" t="s">
        <v>133</v>
      </c>
      <c r="B5992" s="1">
        <v>45899</v>
      </c>
      <c r="C5992" s="1">
        <v>45899</v>
      </c>
      <c r="D5992">
        <v>926774</v>
      </c>
      <c r="E5992">
        <v>46</v>
      </c>
      <c r="F5992" s="3" t="s">
        <v>5195</v>
      </c>
      <c r="G5992" s="4">
        <v>19674.25</v>
      </c>
      <c r="H5992" s="4">
        <v>0</v>
      </c>
      <c r="I5992" s="4">
        <v>11470944.050000001</v>
      </c>
    </row>
    <row r="5993" spans="1:9" x14ac:dyDescent="0.3">
      <c r="A5993" t="s">
        <v>133</v>
      </c>
      <c r="B5993" s="1">
        <v>45899</v>
      </c>
      <c r="C5993" s="1">
        <v>45899</v>
      </c>
      <c r="D5993">
        <v>926776</v>
      </c>
      <c r="E5993">
        <v>14</v>
      </c>
      <c r="F5993" s="3" t="s">
        <v>5196</v>
      </c>
      <c r="G5993" s="4">
        <v>1300</v>
      </c>
      <c r="H5993" s="4">
        <v>0</v>
      </c>
      <c r="I5993" s="4">
        <v>11472244.050000001</v>
      </c>
    </row>
    <row r="5994" spans="1:9" x14ac:dyDescent="0.3">
      <c r="A5994" t="s">
        <v>133</v>
      </c>
      <c r="B5994" s="1">
        <v>45899</v>
      </c>
      <c r="C5994" s="1">
        <v>45899</v>
      </c>
      <c r="D5994">
        <v>926777</v>
      </c>
      <c r="E5994">
        <v>351</v>
      </c>
      <c r="F5994" s="3" t="s">
        <v>5197</v>
      </c>
      <c r="G5994" s="4">
        <v>41052.5</v>
      </c>
      <c r="H5994" s="4">
        <v>0</v>
      </c>
      <c r="I5994" s="4">
        <v>11513296.550000001</v>
      </c>
    </row>
    <row r="5995" spans="1:9" x14ac:dyDescent="0.3">
      <c r="A5995" t="s">
        <v>133</v>
      </c>
      <c r="B5995" s="1">
        <v>45899</v>
      </c>
      <c r="C5995" s="1">
        <v>45899</v>
      </c>
      <c r="D5995">
        <v>926779</v>
      </c>
      <c r="E5995">
        <v>36</v>
      </c>
      <c r="F5995" s="3" t="s">
        <v>5198</v>
      </c>
      <c r="G5995" s="4">
        <v>770000</v>
      </c>
      <c r="H5995" s="4">
        <v>0</v>
      </c>
      <c r="I5995" s="4">
        <v>12283296.550000001</v>
      </c>
    </row>
    <row r="5996" spans="1:9" x14ac:dyDescent="0.3">
      <c r="A5996" t="s">
        <v>133</v>
      </c>
      <c r="B5996" s="1">
        <v>45899</v>
      </c>
      <c r="C5996" s="1">
        <v>45899</v>
      </c>
      <c r="D5996">
        <v>926782</v>
      </c>
      <c r="E5996">
        <v>45</v>
      </c>
      <c r="F5996" s="3" t="s">
        <v>5199</v>
      </c>
      <c r="G5996" s="4">
        <v>175000</v>
      </c>
      <c r="H5996" s="4">
        <v>0</v>
      </c>
      <c r="I5996" s="4">
        <v>12458296.550000001</v>
      </c>
    </row>
    <row r="5997" spans="1:9" x14ac:dyDescent="0.3">
      <c r="A5997" t="s">
        <v>133</v>
      </c>
      <c r="B5997" s="1">
        <v>45899</v>
      </c>
      <c r="C5997" s="1">
        <v>45899</v>
      </c>
      <c r="D5997">
        <v>926784</v>
      </c>
      <c r="E5997">
        <v>81</v>
      </c>
      <c r="F5997" s="3" t="s">
        <v>5200</v>
      </c>
      <c r="G5997" s="4">
        <v>36561</v>
      </c>
      <c r="H5997" s="4">
        <v>0</v>
      </c>
      <c r="I5997" s="4">
        <v>12494857.550000001</v>
      </c>
    </row>
    <row r="5998" spans="1:9" x14ac:dyDescent="0.3">
      <c r="A5998" t="s">
        <v>133</v>
      </c>
      <c r="B5998" s="1">
        <v>45899</v>
      </c>
      <c r="C5998" s="1">
        <v>45899</v>
      </c>
      <c r="D5998">
        <v>926786</v>
      </c>
      <c r="E5998">
        <v>81</v>
      </c>
      <c r="F5998" s="3" t="s">
        <v>5201</v>
      </c>
      <c r="G5998" s="4">
        <v>1500.25</v>
      </c>
      <c r="H5998" s="4">
        <v>0</v>
      </c>
      <c r="I5998" s="4">
        <v>12496357.800000001</v>
      </c>
    </row>
    <row r="5999" spans="1:9" x14ac:dyDescent="0.3">
      <c r="A5999" t="s">
        <v>133</v>
      </c>
      <c r="B5999" s="1">
        <v>45899</v>
      </c>
      <c r="C5999" s="1">
        <v>45899</v>
      </c>
      <c r="D5999">
        <v>926789</v>
      </c>
      <c r="E5999">
        <v>97</v>
      </c>
      <c r="F5999" s="3" t="s">
        <v>5202</v>
      </c>
      <c r="G5999" s="4">
        <v>36755</v>
      </c>
      <c r="H5999" s="4">
        <v>0</v>
      </c>
      <c r="I5999" s="4">
        <v>12533112.800000001</v>
      </c>
    </row>
    <row r="6000" spans="1:9" x14ac:dyDescent="0.3">
      <c r="A6000" t="s">
        <v>133</v>
      </c>
      <c r="B6000" s="1">
        <v>45899</v>
      </c>
      <c r="C6000" s="1">
        <v>45899</v>
      </c>
      <c r="D6000">
        <v>926795</v>
      </c>
      <c r="E6000">
        <v>75</v>
      </c>
      <c r="F6000" s="3" t="s">
        <v>5203</v>
      </c>
      <c r="G6000" s="4">
        <v>280000</v>
      </c>
      <c r="H6000" s="4">
        <v>0</v>
      </c>
      <c r="I6000" s="4">
        <v>12813112.800000001</v>
      </c>
    </row>
    <row r="6001" spans="1:9" x14ac:dyDescent="0.3">
      <c r="A6001" t="s">
        <v>133</v>
      </c>
      <c r="B6001" s="1">
        <v>45899</v>
      </c>
      <c r="C6001" s="1">
        <v>45899</v>
      </c>
      <c r="D6001">
        <v>926796</v>
      </c>
      <c r="E6001">
        <v>86</v>
      </c>
      <c r="F6001" s="3">
        <v>12735</v>
      </c>
      <c r="G6001" s="4">
        <v>9500</v>
      </c>
      <c r="H6001" s="4">
        <v>0</v>
      </c>
      <c r="I6001" s="4">
        <v>12822612.800000001</v>
      </c>
    </row>
    <row r="6002" spans="1:9" x14ac:dyDescent="0.3">
      <c r="A6002" t="s">
        <v>133</v>
      </c>
      <c r="B6002" s="1">
        <v>45899</v>
      </c>
      <c r="C6002" s="1">
        <v>45899</v>
      </c>
      <c r="D6002">
        <v>926804</v>
      </c>
      <c r="E6002">
        <v>301</v>
      </c>
      <c r="F6002" s="3" t="s">
        <v>5204</v>
      </c>
      <c r="G6002" s="4">
        <v>6754.25</v>
      </c>
      <c r="H6002" s="4">
        <v>0</v>
      </c>
      <c r="I6002" s="4">
        <v>12829367.050000001</v>
      </c>
    </row>
    <row r="6003" spans="1:9" x14ac:dyDescent="0.3">
      <c r="A6003" t="s">
        <v>133</v>
      </c>
      <c r="B6003" s="1">
        <v>45899</v>
      </c>
      <c r="C6003" s="1">
        <v>45899</v>
      </c>
      <c r="D6003">
        <v>926809</v>
      </c>
      <c r="E6003">
        <v>28</v>
      </c>
      <c r="F6003" s="3" t="s">
        <v>5205</v>
      </c>
      <c r="G6003" s="4">
        <v>380000</v>
      </c>
      <c r="H6003" s="4">
        <v>0</v>
      </c>
      <c r="I6003" s="4">
        <v>13209367.050000001</v>
      </c>
    </row>
    <row r="6004" spans="1:9" x14ac:dyDescent="0.3">
      <c r="A6004" t="s">
        <v>133</v>
      </c>
      <c r="B6004" s="1">
        <v>45899</v>
      </c>
      <c r="C6004" s="1">
        <v>45899</v>
      </c>
      <c r="D6004">
        <v>926812</v>
      </c>
      <c r="E6004">
        <v>55</v>
      </c>
      <c r="F6004" s="3" t="s">
        <v>176</v>
      </c>
      <c r="G6004" s="4">
        <v>240000</v>
      </c>
      <c r="H6004" s="4">
        <v>0</v>
      </c>
      <c r="I6004" s="4">
        <v>13449367.050000001</v>
      </c>
    </row>
    <row r="6005" spans="1:9" x14ac:dyDescent="0.3">
      <c r="A6005" t="s">
        <v>133</v>
      </c>
      <c r="B6005" s="1">
        <v>45899</v>
      </c>
      <c r="C6005" s="1">
        <v>45899</v>
      </c>
      <c r="D6005">
        <v>926826</v>
      </c>
      <c r="E6005">
        <v>18</v>
      </c>
      <c r="F6005" s="3" t="s">
        <v>5206</v>
      </c>
      <c r="G6005" s="4">
        <v>290000</v>
      </c>
      <c r="H6005" s="4">
        <v>0</v>
      </c>
      <c r="I6005" s="4">
        <v>13739367.050000001</v>
      </c>
    </row>
    <row r="6006" spans="1:9" x14ac:dyDescent="0.3">
      <c r="A6006" t="s">
        <v>133</v>
      </c>
      <c r="B6006" s="1">
        <v>45899</v>
      </c>
      <c r="C6006" s="1">
        <v>45899</v>
      </c>
      <c r="D6006">
        <v>926827</v>
      </c>
      <c r="E6006">
        <v>31</v>
      </c>
      <c r="F6006" s="3" t="s">
        <v>2753</v>
      </c>
      <c r="G6006" s="4">
        <v>300000</v>
      </c>
      <c r="H6006" s="4">
        <v>0</v>
      </c>
      <c r="I6006" s="4">
        <v>14039367.050000001</v>
      </c>
    </row>
    <row r="6007" spans="1:9" x14ac:dyDescent="0.3">
      <c r="A6007" t="s">
        <v>133</v>
      </c>
      <c r="B6007" s="1">
        <v>45899</v>
      </c>
      <c r="C6007" s="1">
        <v>45899</v>
      </c>
      <c r="D6007">
        <v>926831</v>
      </c>
      <c r="E6007">
        <v>14</v>
      </c>
      <c r="F6007" s="3" t="s">
        <v>5207</v>
      </c>
      <c r="G6007" s="4">
        <v>380000</v>
      </c>
      <c r="H6007" s="4">
        <v>0</v>
      </c>
      <c r="I6007" s="4">
        <v>14419367.050000001</v>
      </c>
    </row>
    <row r="6008" spans="1:9" x14ac:dyDescent="0.3">
      <c r="A6008" t="s">
        <v>133</v>
      </c>
      <c r="B6008" s="1">
        <v>45899</v>
      </c>
      <c r="C6008" s="1">
        <v>45899</v>
      </c>
      <c r="D6008">
        <v>926833</v>
      </c>
      <c r="E6008">
        <v>73</v>
      </c>
      <c r="F6008" s="3" t="s">
        <v>5208</v>
      </c>
      <c r="G6008" s="4">
        <v>420000</v>
      </c>
      <c r="H6008" s="4">
        <v>0</v>
      </c>
      <c r="I6008" s="4">
        <v>14839367.050000001</v>
      </c>
    </row>
    <row r="6009" spans="1:9" x14ac:dyDescent="0.3">
      <c r="A6009" t="s">
        <v>133</v>
      </c>
      <c r="B6009" s="1">
        <v>45899</v>
      </c>
      <c r="C6009" s="1">
        <v>45899</v>
      </c>
      <c r="D6009">
        <v>926834</v>
      </c>
      <c r="E6009">
        <v>11</v>
      </c>
      <c r="F6009" s="3" t="s">
        <v>5209</v>
      </c>
      <c r="G6009" s="4">
        <v>1293107.75</v>
      </c>
      <c r="H6009" s="4">
        <v>0</v>
      </c>
      <c r="I6009" s="4">
        <v>16132474.800000001</v>
      </c>
    </row>
    <row r="6010" spans="1:9" x14ac:dyDescent="0.3">
      <c r="A6010" t="s">
        <v>133</v>
      </c>
      <c r="B6010" s="1">
        <v>45899</v>
      </c>
      <c r="C6010" s="1">
        <v>45899</v>
      </c>
      <c r="D6010">
        <v>926838</v>
      </c>
      <c r="E6010">
        <v>45</v>
      </c>
      <c r="F6010" s="3" t="s">
        <v>5210</v>
      </c>
      <c r="G6010" s="4">
        <v>25463.5</v>
      </c>
      <c r="H6010" s="4">
        <v>0</v>
      </c>
      <c r="I6010" s="4">
        <v>16157938.300000001</v>
      </c>
    </row>
    <row r="6011" spans="1:9" x14ac:dyDescent="0.3">
      <c r="A6011" t="s">
        <v>133</v>
      </c>
      <c r="B6011" s="1">
        <v>45899</v>
      </c>
      <c r="C6011" s="1">
        <v>45899</v>
      </c>
      <c r="D6011">
        <v>926839</v>
      </c>
      <c r="E6011">
        <v>15</v>
      </c>
      <c r="F6011" s="3" t="s">
        <v>5211</v>
      </c>
      <c r="G6011" s="4">
        <v>38600.75</v>
      </c>
      <c r="H6011" s="4">
        <v>0</v>
      </c>
      <c r="I6011" s="4">
        <v>16196539.050000001</v>
      </c>
    </row>
    <row r="6012" spans="1:9" x14ac:dyDescent="0.3">
      <c r="A6012" t="s">
        <v>133</v>
      </c>
      <c r="B6012" s="1">
        <v>45899</v>
      </c>
      <c r="C6012" s="1">
        <v>45899</v>
      </c>
      <c r="D6012">
        <v>926841</v>
      </c>
      <c r="E6012">
        <v>223</v>
      </c>
      <c r="F6012" s="3" t="s">
        <v>5212</v>
      </c>
      <c r="G6012" s="4">
        <v>250000</v>
      </c>
      <c r="H6012" s="4">
        <v>0</v>
      </c>
      <c r="I6012" s="4">
        <v>16446539.050000001</v>
      </c>
    </row>
    <row r="6013" spans="1:9" x14ac:dyDescent="0.3">
      <c r="A6013" t="s">
        <v>133</v>
      </c>
      <c r="B6013" s="1">
        <v>45899</v>
      </c>
      <c r="C6013" s="1">
        <v>45899</v>
      </c>
      <c r="D6013">
        <v>926845</v>
      </c>
      <c r="E6013">
        <v>282</v>
      </c>
      <c r="F6013" s="3" t="s">
        <v>5213</v>
      </c>
      <c r="G6013" s="4">
        <v>310000</v>
      </c>
      <c r="H6013" s="4">
        <v>0</v>
      </c>
      <c r="I6013" s="4">
        <v>16756539.050000001</v>
      </c>
    </row>
    <row r="6014" spans="1:9" x14ac:dyDescent="0.3">
      <c r="A6014" t="s">
        <v>133</v>
      </c>
      <c r="B6014" s="1">
        <v>45899</v>
      </c>
      <c r="C6014" s="1">
        <v>45899</v>
      </c>
      <c r="D6014">
        <v>926848</v>
      </c>
      <c r="E6014">
        <v>56</v>
      </c>
      <c r="F6014" s="3">
        <v>402320117</v>
      </c>
      <c r="G6014" s="4">
        <v>22610</v>
      </c>
      <c r="H6014" s="4">
        <v>0</v>
      </c>
      <c r="I6014" s="4">
        <v>16779149.050000001</v>
      </c>
    </row>
    <row r="6015" spans="1:9" x14ac:dyDescent="0.3">
      <c r="A6015" t="s">
        <v>133</v>
      </c>
      <c r="B6015" s="1">
        <v>45899</v>
      </c>
      <c r="C6015" s="1">
        <v>45899</v>
      </c>
      <c r="D6015">
        <v>926852</v>
      </c>
      <c r="E6015">
        <v>74</v>
      </c>
      <c r="F6015" s="3" t="s">
        <v>5214</v>
      </c>
      <c r="G6015" s="4">
        <v>350000</v>
      </c>
      <c r="H6015" s="4">
        <v>0</v>
      </c>
      <c r="I6015" s="4">
        <v>17129149.050000001</v>
      </c>
    </row>
    <row r="6016" spans="1:9" x14ac:dyDescent="0.3">
      <c r="A6016" t="s">
        <v>133</v>
      </c>
      <c r="B6016" s="1">
        <v>45899</v>
      </c>
      <c r="C6016" s="1">
        <v>45899</v>
      </c>
      <c r="D6016">
        <v>926853</v>
      </c>
      <c r="E6016">
        <v>58</v>
      </c>
      <c r="F6016" s="3" t="s">
        <v>5215</v>
      </c>
      <c r="G6016" s="4">
        <v>160000</v>
      </c>
      <c r="H6016" s="4">
        <v>0</v>
      </c>
      <c r="I6016" s="4">
        <v>17289149.050000001</v>
      </c>
    </row>
    <row r="6017" spans="1:9" x14ac:dyDescent="0.3">
      <c r="A6017" t="s">
        <v>133</v>
      </c>
      <c r="B6017" s="1">
        <v>45899</v>
      </c>
      <c r="C6017" s="1">
        <v>45899</v>
      </c>
      <c r="D6017">
        <v>926861</v>
      </c>
      <c r="E6017">
        <v>210</v>
      </c>
      <c r="F6017" s="3">
        <v>5612100134014</v>
      </c>
      <c r="G6017" s="4">
        <v>16</v>
      </c>
      <c r="H6017" s="4">
        <v>0</v>
      </c>
      <c r="I6017" s="4">
        <v>17289165.050000001</v>
      </c>
    </row>
    <row r="6018" spans="1:9" x14ac:dyDescent="0.3">
      <c r="A6018" t="s">
        <v>133</v>
      </c>
      <c r="B6018" s="1">
        <v>45899</v>
      </c>
      <c r="C6018" s="1">
        <v>45899</v>
      </c>
      <c r="D6018">
        <v>926866</v>
      </c>
      <c r="E6018">
        <v>24</v>
      </c>
      <c r="F6018" s="3" t="s">
        <v>5216</v>
      </c>
      <c r="G6018" s="4">
        <v>300000</v>
      </c>
      <c r="H6018" s="4">
        <v>0</v>
      </c>
      <c r="I6018" s="4">
        <v>17589165.050000001</v>
      </c>
    </row>
    <row r="6019" spans="1:9" x14ac:dyDescent="0.3">
      <c r="A6019" t="s">
        <v>133</v>
      </c>
      <c r="B6019" s="1">
        <v>45899</v>
      </c>
      <c r="C6019" s="1">
        <v>45899</v>
      </c>
      <c r="D6019">
        <v>926868</v>
      </c>
      <c r="E6019">
        <v>54</v>
      </c>
      <c r="F6019" s="3" t="s">
        <v>5217</v>
      </c>
      <c r="G6019" s="4">
        <v>260000</v>
      </c>
      <c r="H6019" s="4">
        <v>0</v>
      </c>
      <c r="I6019" s="4">
        <v>17849165.050000001</v>
      </c>
    </row>
    <row r="6020" spans="1:9" x14ac:dyDescent="0.3">
      <c r="A6020" t="s">
        <v>133</v>
      </c>
      <c r="B6020" s="1">
        <v>45899</v>
      </c>
      <c r="C6020" s="1">
        <v>45899</v>
      </c>
      <c r="D6020">
        <v>926870</v>
      </c>
      <c r="E6020">
        <v>78</v>
      </c>
      <c r="F6020" s="3" t="s">
        <v>5218</v>
      </c>
      <c r="G6020" s="4">
        <v>35000</v>
      </c>
      <c r="H6020" s="4">
        <v>0</v>
      </c>
      <c r="I6020" s="4">
        <v>17884165.050000001</v>
      </c>
    </row>
    <row r="6021" spans="1:9" x14ac:dyDescent="0.3">
      <c r="A6021" t="s">
        <v>133</v>
      </c>
      <c r="B6021" s="1">
        <v>45899</v>
      </c>
      <c r="C6021" s="1">
        <v>45899</v>
      </c>
      <c r="D6021">
        <v>926871</v>
      </c>
      <c r="E6021">
        <v>32</v>
      </c>
      <c r="F6021" s="3" t="s">
        <v>682</v>
      </c>
      <c r="G6021" s="4">
        <v>600000</v>
      </c>
      <c r="H6021" s="4">
        <v>0</v>
      </c>
      <c r="I6021" s="4">
        <v>18484165.050000001</v>
      </c>
    </row>
    <row r="6022" spans="1:9" x14ac:dyDescent="0.3">
      <c r="A6022" t="s">
        <v>133</v>
      </c>
      <c r="B6022" s="1">
        <v>45899</v>
      </c>
      <c r="C6022" s="1">
        <v>45899</v>
      </c>
      <c r="D6022">
        <v>926873</v>
      </c>
      <c r="E6022">
        <v>65</v>
      </c>
      <c r="F6022" s="3" t="s">
        <v>5219</v>
      </c>
      <c r="G6022" s="4">
        <v>710000</v>
      </c>
      <c r="H6022" s="4">
        <v>0</v>
      </c>
      <c r="I6022" s="4">
        <v>19194165.050000001</v>
      </c>
    </row>
    <row r="6023" spans="1:9" x14ac:dyDescent="0.3">
      <c r="A6023" t="s">
        <v>133</v>
      </c>
      <c r="B6023" s="1">
        <v>45899</v>
      </c>
      <c r="C6023" s="1">
        <v>45899</v>
      </c>
      <c r="D6023">
        <v>926876</v>
      </c>
      <c r="E6023">
        <v>72</v>
      </c>
      <c r="F6023" s="3">
        <v>51354141879</v>
      </c>
      <c r="G6023" s="4">
        <v>2100</v>
      </c>
      <c r="H6023" s="4">
        <v>0</v>
      </c>
      <c r="I6023" s="4">
        <v>19196265.050000001</v>
      </c>
    </row>
    <row r="6024" spans="1:9" x14ac:dyDescent="0.3">
      <c r="A6024" t="s">
        <v>133</v>
      </c>
      <c r="B6024" s="1">
        <v>45899</v>
      </c>
      <c r="C6024" s="1">
        <v>45899</v>
      </c>
      <c r="D6024">
        <v>926879</v>
      </c>
      <c r="E6024">
        <v>32</v>
      </c>
      <c r="F6024" s="3" t="s">
        <v>5220</v>
      </c>
      <c r="G6024" s="4">
        <v>13950</v>
      </c>
      <c r="H6024" s="4">
        <v>0</v>
      </c>
      <c r="I6024" s="4">
        <v>19210215.050000001</v>
      </c>
    </row>
    <row r="6025" spans="1:9" x14ac:dyDescent="0.3">
      <c r="A6025" t="s">
        <v>133</v>
      </c>
      <c r="B6025" s="1">
        <v>45899</v>
      </c>
      <c r="C6025" s="1">
        <v>45899</v>
      </c>
      <c r="D6025">
        <v>926880</v>
      </c>
      <c r="E6025">
        <v>63</v>
      </c>
      <c r="F6025" s="3">
        <v>51355177431</v>
      </c>
      <c r="G6025" s="4">
        <v>6297.25</v>
      </c>
      <c r="H6025" s="4">
        <v>0</v>
      </c>
      <c r="I6025" s="4">
        <v>19216512.300000001</v>
      </c>
    </row>
    <row r="6026" spans="1:9" x14ac:dyDescent="0.3">
      <c r="A6026" t="s">
        <v>133</v>
      </c>
      <c r="B6026" s="1">
        <v>45899</v>
      </c>
      <c r="C6026" s="1">
        <v>45899</v>
      </c>
      <c r="D6026">
        <v>926881</v>
      </c>
      <c r="E6026">
        <v>63</v>
      </c>
      <c r="F6026" s="3">
        <v>51355177431</v>
      </c>
      <c r="G6026" s="4">
        <v>2116.75</v>
      </c>
      <c r="H6026" s="4">
        <v>0</v>
      </c>
      <c r="I6026" s="4">
        <v>19218629.050000001</v>
      </c>
    </row>
    <row r="6027" spans="1:9" x14ac:dyDescent="0.3">
      <c r="A6027" t="s">
        <v>133</v>
      </c>
      <c r="B6027" s="1">
        <v>45899</v>
      </c>
      <c r="C6027" s="1">
        <v>45899</v>
      </c>
      <c r="D6027">
        <v>926882</v>
      </c>
      <c r="E6027">
        <v>17</v>
      </c>
      <c r="F6027" s="3" t="s">
        <v>181</v>
      </c>
      <c r="G6027" s="4">
        <v>310000</v>
      </c>
      <c r="H6027" s="4">
        <v>0</v>
      </c>
      <c r="I6027" s="4">
        <v>19528629.050000001</v>
      </c>
    </row>
    <row r="6028" spans="1:9" x14ac:dyDescent="0.3">
      <c r="A6028" t="s">
        <v>133</v>
      </c>
      <c r="B6028" s="1">
        <v>45899</v>
      </c>
      <c r="C6028" s="1">
        <v>45899</v>
      </c>
      <c r="D6028">
        <v>926889</v>
      </c>
      <c r="E6028">
        <v>14</v>
      </c>
      <c r="F6028" s="3">
        <v>51355133980</v>
      </c>
      <c r="G6028" s="4">
        <v>10244.75</v>
      </c>
      <c r="H6028" s="4">
        <v>0</v>
      </c>
      <c r="I6028" s="4">
        <v>19538873.800000001</v>
      </c>
    </row>
    <row r="6029" spans="1:9" x14ac:dyDescent="0.3">
      <c r="A6029" t="s">
        <v>133</v>
      </c>
      <c r="B6029" s="1">
        <v>45899</v>
      </c>
      <c r="C6029" s="1">
        <v>45899</v>
      </c>
      <c r="D6029">
        <v>926891</v>
      </c>
      <c r="E6029">
        <v>282</v>
      </c>
      <c r="F6029" s="3" t="s">
        <v>5221</v>
      </c>
      <c r="G6029" s="4">
        <v>10531</v>
      </c>
      <c r="H6029" s="4">
        <v>0</v>
      </c>
      <c r="I6029" s="4">
        <v>19549404.800000001</v>
      </c>
    </row>
    <row r="6030" spans="1:9" x14ac:dyDescent="0.3">
      <c r="A6030" t="s">
        <v>133</v>
      </c>
      <c r="B6030" s="1">
        <v>45899</v>
      </c>
      <c r="C6030" s="1">
        <v>45899</v>
      </c>
      <c r="D6030">
        <v>926894</v>
      </c>
      <c r="E6030">
        <v>15</v>
      </c>
      <c r="F6030" s="3" t="s">
        <v>5222</v>
      </c>
      <c r="G6030" s="4">
        <v>480000</v>
      </c>
      <c r="H6030" s="4">
        <v>0</v>
      </c>
      <c r="I6030" s="4">
        <v>20029404.800000001</v>
      </c>
    </row>
    <row r="6031" spans="1:9" x14ac:dyDescent="0.3">
      <c r="A6031" t="s">
        <v>133</v>
      </c>
      <c r="B6031" s="1">
        <v>45899</v>
      </c>
      <c r="C6031" s="1">
        <v>45899</v>
      </c>
      <c r="D6031">
        <v>926897</v>
      </c>
      <c r="E6031">
        <v>17</v>
      </c>
      <c r="F6031" s="3">
        <v>3868</v>
      </c>
      <c r="G6031" s="4">
        <v>996072.5</v>
      </c>
      <c r="H6031" s="4">
        <v>0</v>
      </c>
      <c r="I6031" s="4">
        <v>21025477.300000001</v>
      </c>
    </row>
    <row r="6032" spans="1:9" x14ac:dyDescent="0.3">
      <c r="A6032" t="s">
        <v>133</v>
      </c>
      <c r="B6032" s="1">
        <v>45899</v>
      </c>
      <c r="C6032" s="1">
        <v>45899</v>
      </c>
      <c r="D6032">
        <v>926899</v>
      </c>
      <c r="E6032">
        <v>78</v>
      </c>
      <c r="F6032" s="3" t="s">
        <v>5223</v>
      </c>
      <c r="G6032" s="4">
        <v>300000</v>
      </c>
      <c r="H6032" s="4">
        <v>0</v>
      </c>
      <c r="I6032" s="4">
        <v>21325477.300000001</v>
      </c>
    </row>
    <row r="6033" spans="1:9" x14ac:dyDescent="0.3">
      <c r="A6033" t="s">
        <v>133</v>
      </c>
      <c r="B6033" s="1">
        <v>45899</v>
      </c>
      <c r="C6033" s="1">
        <v>45899</v>
      </c>
      <c r="D6033">
        <v>926901</v>
      </c>
      <c r="E6033">
        <v>85</v>
      </c>
      <c r="F6033" s="3" t="s">
        <v>5224</v>
      </c>
      <c r="G6033" s="4">
        <v>870000</v>
      </c>
      <c r="H6033" s="4">
        <v>0</v>
      </c>
      <c r="I6033" s="4">
        <v>22195477.300000001</v>
      </c>
    </row>
    <row r="6034" spans="1:9" x14ac:dyDescent="0.3">
      <c r="A6034" t="s">
        <v>133</v>
      </c>
      <c r="B6034" s="1">
        <v>45899</v>
      </c>
      <c r="C6034" s="1">
        <v>45899</v>
      </c>
      <c r="D6034">
        <v>926902</v>
      </c>
      <c r="E6034">
        <v>79</v>
      </c>
      <c r="F6034" s="3" t="s">
        <v>5225</v>
      </c>
      <c r="G6034" s="4">
        <v>450000</v>
      </c>
      <c r="H6034" s="4">
        <v>0</v>
      </c>
      <c r="I6034" s="4">
        <v>22645477.300000001</v>
      </c>
    </row>
    <row r="6035" spans="1:9" x14ac:dyDescent="0.3">
      <c r="A6035" t="s">
        <v>133</v>
      </c>
      <c r="B6035" s="1">
        <v>45899</v>
      </c>
      <c r="C6035" s="1">
        <v>45899</v>
      </c>
      <c r="D6035">
        <v>926903</v>
      </c>
      <c r="E6035">
        <v>77</v>
      </c>
      <c r="F6035" s="3" t="s">
        <v>5226</v>
      </c>
      <c r="G6035" s="4">
        <v>9243</v>
      </c>
      <c r="H6035" s="4">
        <v>0</v>
      </c>
      <c r="I6035" s="4">
        <v>22654720.300000001</v>
      </c>
    </row>
    <row r="6036" spans="1:9" x14ac:dyDescent="0.3">
      <c r="A6036" t="s">
        <v>133</v>
      </c>
      <c r="B6036" s="1">
        <v>45899</v>
      </c>
      <c r="C6036" s="1">
        <v>45899</v>
      </c>
      <c r="D6036">
        <v>926905</v>
      </c>
      <c r="E6036">
        <v>67</v>
      </c>
      <c r="F6036" s="3" t="s">
        <v>181</v>
      </c>
      <c r="G6036" s="4">
        <v>180000</v>
      </c>
      <c r="H6036" s="4">
        <v>0</v>
      </c>
      <c r="I6036" s="4">
        <v>22834720.300000001</v>
      </c>
    </row>
    <row r="6037" spans="1:9" x14ac:dyDescent="0.3">
      <c r="A6037" t="s">
        <v>133</v>
      </c>
      <c r="B6037" s="1">
        <v>45899</v>
      </c>
      <c r="C6037" s="1">
        <v>45899</v>
      </c>
      <c r="D6037">
        <v>926910</v>
      </c>
      <c r="E6037">
        <v>11</v>
      </c>
      <c r="F6037" s="3" t="s">
        <v>5227</v>
      </c>
      <c r="G6037" s="4">
        <v>1260000</v>
      </c>
      <c r="H6037" s="4">
        <v>0</v>
      </c>
      <c r="I6037" s="4">
        <v>24094720.300000001</v>
      </c>
    </row>
    <row r="6038" spans="1:9" x14ac:dyDescent="0.3">
      <c r="A6038" t="s">
        <v>133</v>
      </c>
      <c r="B6038" s="1">
        <v>45899</v>
      </c>
      <c r="C6038" s="1">
        <v>45899</v>
      </c>
      <c r="D6038">
        <v>926922</v>
      </c>
      <c r="E6038">
        <v>11</v>
      </c>
      <c r="F6038" s="3" t="s">
        <v>5228</v>
      </c>
      <c r="G6038" s="4">
        <v>13741</v>
      </c>
      <c r="H6038" s="4">
        <v>0</v>
      </c>
      <c r="I6038" s="4">
        <v>24108461.300000001</v>
      </c>
    </row>
    <row r="6039" spans="1:9" x14ac:dyDescent="0.3">
      <c r="A6039" t="s">
        <v>133</v>
      </c>
      <c r="B6039" s="1">
        <v>45899</v>
      </c>
      <c r="C6039" s="1">
        <v>45899</v>
      </c>
      <c r="D6039">
        <v>926923</v>
      </c>
      <c r="E6039">
        <v>63</v>
      </c>
      <c r="F6039" s="3" t="s">
        <v>1132</v>
      </c>
      <c r="G6039" s="4">
        <v>300000</v>
      </c>
      <c r="H6039" s="4">
        <v>0</v>
      </c>
      <c r="I6039" s="4">
        <v>24408461.300000001</v>
      </c>
    </row>
    <row r="6040" spans="1:9" x14ac:dyDescent="0.3">
      <c r="A6040" t="s">
        <v>133</v>
      </c>
      <c r="B6040" s="1">
        <v>45899</v>
      </c>
      <c r="C6040" s="1">
        <v>45899</v>
      </c>
      <c r="D6040">
        <v>926929</v>
      </c>
      <c r="E6040">
        <v>84</v>
      </c>
      <c r="F6040" s="3" t="s">
        <v>5229</v>
      </c>
      <c r="G6040" s="4">
        <v>300000</v>
      </c>
      <c r="H6040" s="4">
        <v>0</v>
      </c>
      <c r="I6040" s="4">
        <v>24708461.300000001</v>
      </c>
    </row>
    <row r="6041" spans="1:9" x14ac:dyDescent="0.3">
      <c r="A6041" t="s">
        <v>133</v>
      </c>
      <c r="B6041" s="1">
        <v>45899</v>
      </c>
      <c r="C6041" s="1">
        <v>45899</v>
      </c>
      <c r="D6041">
        <v>926930</v>
      </c>
      <c r="E6041">
        <v>12</v>
      </c>
      <c r="F6041" s="3" t="s">
        <v>5230</v>
      </c>
      <c r="G6041" s="4">
        <v>440</v>
      </c>
      <c r="H6041" s="4">
        <v>0</v>
      </c>
      <c r="I6041" s="4">
        <v>24708901.300000001</v>
      </c>
    </row>
    <row r="6042" spans="1:9" x14ac:dyDescent="0.3">
      <c r="A6042" t="s">
        <v>133</v>
      </c>
      <c r="B6042" s="1">
        <v>45899</v>
      </c>
      <c r="C6042" s="1">
        <v>45899</v>
      </c>
      <c r="D6042">
        <v>926931</v>
      </c>
      <c r="E6042">
        <v>12</v>
      </c>
      <c r="F6042" s="3" t="s">
        <v>5231</v>
      </c>
      <c r="G6042" s="4">
        <v>57775</v>
      </c>
      <c r="H6042" s="4">
        <v>0</v>
      </c>
      <c r="I6042" s="4">
        <v>24766676.300000001</v>
      </c>
    </row>
    <row r="6043" spans="1:9" x14ac:dyDescent="0.3">
      <c r="A6043" t="s">
        <v>133</v>
      </c>
      <c r="B6043" s="1">
        <v>45899</v>
      </c>
      <c r="C6043" s="1">
        <v>45899</v>
      </c>
      <c r="D6043">
        <v>926935</v>
      </c>
      <c r="E6043">
        <v>72</v>
      </c>
      <c r="F6043" s="3">
        <v>51357740817</v>
      </c>
      <c r="G6043" s="4">
        <v>10000</v>
      </c>
      <c r="H6043" s="4">
        <v>0</v>
      </c>
      <c r="I6043" s="4">
        <v>24776676.300000001</v>
      </c>
    </row>
    <row r="6044" spans="1:9" x14ac:dyDescent="0.3">
      <c r="A6044" t="s">
        <v>133</v>
      </c>
      <c r="B6044" s="1">
        <v>45899</v>
      </c>
      <c r="C6044" s="1">
        <v>45899</v>
      </c>
      <c r="D6044">
        <v>926936</v>
      </c>
      <c r="E6044">
        <v>210</v>
      </c>
      <c r="F6044" s="3" t="s">
        <v>941</v>
      </c>
      <c r="G6044" s="4">
        <v>438405</v>
      </c>
      <c r="H6044" s="4">
        <v>0</v>
      </c>
      <c r="I6044" s="4">
        <v>25215081.300000001</v>
      </c>
    </row>
    <row r="6045" spans="1:9" x14ac:dyDescent="0.3">
      <c r="A6045" t="s">
        <v>133</v>
      </c>
      <c r="B6045" s="1">
        <v>45899</v>
      </c>
      <c r="C6045" s="1">
        <v>45899</v>
      </c>
      <c r="D6045">
        <v>926940</v>
      </c>
      <c r="E6045">
        <v>82</v>
      </c>
      <c r="F6045" s="3" t="s">
        <v>176</v>
      </c>
      <c r="G6045" s="4">
        <v>335365</v>
      </c>
      <c r="H6045" s="4">
        <v>0</v>
      </c>
      <c r="I6045" s="4">
        <v>25550446.300000001</v>
      </c>
    </row>
    <row r="6046" spans="1:9" x14ac:dyDescent="0.3">
      <c r="A6046" t="s">
        <v>133</v>
      </c>
      <c r="B6046" s="1">
        <v>45899</v>
      </c>
      <c r="C6046" s="1">
        <v>45899</v>
      </c>
      <c r="D6046">
        <v>926944</v>
      </c>
      <c r="E6046">
        <v>71</v>
      </c>
      <c r="F6046" s="3" t="s">
        <v>5232</v>
      </c>
      <c r="G6046" s="4">
        <v>375000</v>
      </c>
      <c r="H6046" s="4">
        <v>0</v>
      </c>
      <c r="I6046" s="4">
        <v>25925446.300000001</v>
      </c>
    </row>
    <row r="6047" spans="1:9" x14ac:dyDescent="0.3">
      <c r="A6047" t="s">
        <v>133</v>
      </c>
      <c r="B6047" s="1">
        <v>45899</v>
      </c>
      <c r="C6047" s="1">
        <v>45899</v>
      </c>
      <c r="D6047">
        <v>926946</v>
      </c>
      <c r="E6047">
        <v>77</v>
      </c>
      <c r="F6047" s="3" t="s">
        <v>4024</v>
      </c>
      <c r="G6047" s="4">
        <v>270000</v>
      </c>
      <c r="H6047" s="4">
        <v>0</v>
      </c>
      <c r="I6047" s="4">
        <v>26195446.300000001</v>
      </c>
    </row>
    <row r="6048" spans="1:9" x14ac:dyDescent="0.3">
      <c r="A6048" t="s">
        <v>133</v>
      </c>
      <c r="B6048" s="1">
        <v>45899</v>
      </c>
      <c r="C6048" s="1">
        <v>45899</v>
      </c>
      <c r="D6048">
        <v>926950</v>
      </c>
      <c r="E6048">
        <v>81</v>
      </c>
      <c r="F6048" s="3" t="s">
        <v>5233</v>
      </c>
      <c r="G6048" s="4">
        <v>1700000</v>
      </c>
      <c r="H6048" s="4">
        <v>0</v>
      </c>
      <c r="I6048" s="4">
        <v>27895446.300000001</v>
      </c>
    </row>
    <row r="6049" spans="1:9" x14ac:dyDescent="0.3">
      <c r="A6049" t="s">
        <v>133</v>
      </c>
      <c r="B6049" s="1">
        <v>45899</v>
      </c>
      <c r="C6049" s="1">
        <v>45899</v>
      </c>
      <c r="D6049">
        <v>926953</v>
      </c>
      <c r="E6049">
        <v>80</v>
      </c>
      <c r="F6049" s="3" t="s">
        <v>5234</v>
      </c>
      <c r="G6049" s="4">
        <v>210000</v>
      </c>
      <c r="H6049" s="4">
        <v>0</v>
      </c>
      <c r="I6049" s="4">
        <v>28105446.300000001</v>
      </c>
    </row>
    <row r="6050" spans="1:9" x14ac:dyDescent="0.3">
      <c r="A6050" t="s">
        <v>133</v>
      </c>
      <c r="B6050" s="1">
        <v>45899</v>
      </c>
      <c r="C6050" s="1">
        <v>45899</v>
      </c>
      <c r="D6050">
        <v>926956</v>
      </c>
      <c r="E6050">
        <v>13</v>
      </c>
      <c r="F6050" s="3" t="s">
        <v>5235</v>
      </c>
      <c r="G6050" s="4">
        <v>480000</v>
      </c>
      <c r="H6050" s="4">
        <v>0</v>
      </c>
      <c r="I6050" s="4">
        <v>28585446.300000001</v>
      </c>
    </row>
    <row r="6051" spans="1:9" x14ac:dyDescent="0.3">
      <c r="A6051" t="s">
        <v>133</v>
      </c>
      <c r="B6051" s="1">
        <v>45899</v>
      </c>
      <c r="C6051" s="1">
        <v>45899</v>
      </c>
      <c r="D6051">
        <v>926957</v>
      </c>
      <c r="E6051">
        <v>88</v>
      </c>
      <c r="F6051" s="3" t="s">
        <v>5236</v>
      </c>
      <c r="G6051" s="4">
        <v>1392</v>
      </c>
      <c r="H6051" s="4">
        <v>0</v>
      </c>
      <c r="I6051" s="4">
        <v>28586838.300000001</v>
      </c>
    </row>
    <row r="6052" spans="1:9" x14ac:dyDescent="0.3">
      <c r="A6052" t="s">
        <v>133</v>
      </c>
      <c r="B6052" s="1">
        <v>45899</v>
      </c>
      <c r="C6052" s="1">
        <v>45899</v>
      </c>
      <c r="D6052">
        <v>926959</v>
      </c>
      <c r="E6052">
        <v>89</v>
      </c>
      <c r="F6052" s="3" t="s">
        <v>5237</v>
      </c>
      <c r="G6052" s="4">
        <v>510000</v>
      </c>
      <c r="H6052" s="4">
        <v>0</v>
      </c>
      <c r="I6052" s="4">
        <v>29096838.300000001</v>
      </c>
    </row>
    <row r="6053" spans="1:9" x14ac:dyDescent="0.3">
      <c r="A6053" t="s">
        <v>133</v>
      </c>
      <c r="B6053" s="1">
        <v>45899</v>
      </c>
      <c r="C6053" s="1">
        <v>45899</v>
      </c>
      <c r="D6053">
        <v>926960</v>
      </c>
      <c r="E6053">
        <v>52</v>
      </c>
      <c r="F6053" s="3" t="s">
        <v>5238</v>
      </c>
      <c r="G6053" s="4">
        <v>610000</v>
      </c>
      <c r="H6053" s="4">
        <v>0</v>
      </c>
      <c r="I6053" s="4">
        <v>29706838.300000001</v>
      </c>
    </row>
    <row r="6054" spans="1:9" x14ac:dyDescent="0.3">
      <c r="A6054" t="s">
        <v>133</v>
      </c>
      <c r="B6054" s="1">
        <v>45899</v>
      </c>
      <c r="C6054" s="1">
        <v>45899</v>
      </c>
      <c r="D6054">
        <v>926962</v>
      </c>
      <c r="E6054">
        <v>37</v>
      </c>
      <c r="F6054" s="3" t="s">
        <v>945</v>
      </c>
      <c r="G6054" s="4">
        <v>1420000</v>
      </c>
      <c r="H6054" s="4">
        <v>0</v>
      </c>
      <c r="I6054" s="4">
        <v>31126838.300000001</v>
      </c>
    </row>
    <row r="6055" spans="1:9" x14ac:dyDescent="0.3">
      <c r="A6055" t="s">
        <v>133</v>
      </c>
      <c r="B6055" s="1">
        <v>45899</v>
      </c>
      <c r="C6055" s="1">
        <v>45899</v>
      </c>
      <c r="D6055">
        <v>926963</v>
      </c>
      <c r="E6055">
        <v>70</v>
      </c>
      <c r="F6055" s="3" t="s">
        <v>5239</v>
      </c>
      <c r="G6055" s="4">
        <v>210000</v>
      </c>
      <c r="H6055" s="4">
        <v>0</v>
      </c>
      <c r="I6055" s="4">
        <v>31336838.300000001</v>
      </c>
    </row>
    <row r="6056" spans="1:9" x14ac:dyDescent="0.3">
      <c r="A6056" t="s">
        <v>133</v>
      </c>
      <c r="B6056" s="1">
        <v>45899</v>
      </c>
      <c r="C6056" s="1">
        <v>45899</v>
      </c>
      <c r="D6056">
        <v>926966</v>
      </c>
      <c r="E6056">
        <v>382</v>
      </c>
      <c r="F6056" s="3" t="s">
        <v>5240</v>
      </c>
      <c r="G6056" s="4">
        <v>700000</v>
      </c>
      <c r="H6056" s="4">
        <v>0</v>
      </c>
      <c r="I6056" s="4">
        <v>32036838.300000001</v>
      </c>
    </row>
    <row r="6057" spans="1:9" x14ac:dyDescent="0.3">
      <c r="A6057" t="s">
        <v>133</v>
      </c>
      <c r="B6057" s="1">
        <v>45899</v>
      </c>
      <c r="C6057" s="1">
        <v>45899</v>
      </c>
      <c r="D6057">
        <v>926967</v>
      </c>
      <c r="E6057">
        <v>27</v>
      </c>
      <c r="F6057" s="3" t="s">
        <v>5241</v>
      </c>
      <c r="G6057" s="4">
        <v>220000</v>
      </c>
      <c r="H6057" s="4">
        <v>0</v>
      </c>
      <c r="I6057" s="4">
        <v>32256838.300000001</v>
      </c>
    </row>
    <row r="6058" spans="1:9" x14ac:dyDescent="0.3">
      <c r="A6058" t="s">
        <v>133</v>
      </c>
      <c r="B6058" s="1">
        <v>45899</v>
      </c>
      <c r="C6058" s="1">
        <v>45899</v>
      </c>
      <c r="D6058">
        <v>926972</v>
      </c>
      <c r="E6058">
        <v>53</v>
      </c>
      <c r="F6058" s="3" t="s">
        <v>5242</v>
      </c>
      <c r="G6058" s="4">
        <v>380000</v>
      </c>
      <c r="H6058" s="4">
        <v>0</v>
      </c>
      <c r="I6058" s="4">
        <v>32636838.300000001</v>
      </c>
    </row>
    <row r="6059" spans="1:9" x14ac:dyDescent="0.3">
      <c r="A6059" t="s">
        <v>133</v>
      </c>
      <c r="B6059" s="1">
        <v>45899</v>
      </c>
      <c r="C6059" s="1">
        <v>45899</v>
      </c>
      <c r="D6059">
        <v>926974</v>
      </c>
      <c r="E6059">
        <v>27</v>
      </c>
      <c r="F6059" s="3" t="s">
        <v>5243</v>
      </c>
      <c r="G6059" s="4">
        <v>51578</v>
      </c>
      <c r="H6059" s="4">
        <v>0</v>
      </c>
      <c r="I6059" s="4">
        <v>32688416.300000001</v>
      </c>
    </row>
    <row r="6060" spans="1:9" x14ac:dyDescent="0.3">
      <c r="A6060" t="s">
        <v>133</v>
      </c>
      <c r="B6060" s="1">
        <v>45899</v>
      </c>
      <c r="C6060" s="1">
        <v>45899</v>
      </c>
      <c r="D6060">
        <v>926975</v>
      </c>
      <c r="E6060">
        <v>27</v>
      </c>
      <c r="F6060" s="3" t="s">
        <v>5244</v>
      </c>
      <c r="G6060" s="4">
        <v>99672.5</v>
      </c>
      <c r="H6060" s="4">
        <v>0</v>
      </c>
      <c r="I6060" s="4">
        <v>32788088.800000001</v>
      </c>
    </row>
    <row r="6061" spans="1:9" x14ac:dyDescent="0.3">
      <c r="A6061" t="s">
        <v>133</v>
      </c>
      <c r="B6061" s="1">
        <v>45899</v>
      </c>
      <c r="C6061" s="1">
        <v>45899</v>
      </c>
      <c r="D6061">
        <v>926976</v>
      </c>
      <c r="E6061">
        <v>72</v>
      </c>
      <c r="F6061" s="3" t="s">
        <v>5245</v>
      </c>
      <c r="G6061" s="4">
        <v>340000</v>
      </c>
      <c r="H6061" s="4">
        <v>0</v>
      </c>
      <c r="I6061" s="4">
        <v>33128088.800000001</v>
      </c>
    </row>
    <row r="6062" spans="1:9" x14ac:dyDescent="0.3">
      <c r="A6062" t="s">
        <v>133</v>
      </c>
      <c r="B6062" s="1">
        <v>45899</v>
      </c>
      <c r="C6062" s="1">
        <v>45899</v>
      </c>
      <c r="D6062">
        <v>926977</v>
      </c>
      <c r="E6062">
        <v>62</v>
      </c>
      <c r="F6062" s="3" t="s">
        <v>5246</v>
      </c>
      <c r="G6062" s="4">
        <v>350000</v>
      </c>
      <c r="H6062" s="4">
        <v>0</v>
      </c>
      <c r="I6062" s="4">
        <v>33478088.800000001</v>
      </c>
    </row>
    <row r="6063" spans="1:9" x14ac:dyDescent="0.3">
      <c r="A6063" t="s">
        <v>133</v>
      </c>
      <c r="B6063" s="1">
        <v>45899</v>
      </c>
      <c r="C6063" s="1">
        <v>45899</v>
      </c>
      <c r="D6063">
        <v>926982</v>
      </c>
      <c r="E6063">
        <v>98</v>
      </c>
      <c r="F6063" s="3" t="s">
        <v>5247</v>
      </c>
      <c r="G6063" s="4">
        <v>330000</v>
      </c>
      <c r="H6063" s="4">
        <v>0</v>
      </c>
      <c r="I6063" s="4">
        <v>33808088.799999997</v>
      </c>
    </row>
    <row r="6064" spans="1:9" x14ac:dyDescent="0.3">
      <c r="A6064" t="s">
        <v>133</v>
      </c>
      <c r="B6064" s="1">
        <v>45899</v>
      </c>
      <c r="C6064" s="1">
        <v>45899</v>
      </c>
      <c r="D6064">
        <v>926987</v>
      </c>
      <c r="E6064">
        <v>351</v>
      </c>
      <c r="F6064" s="3" t="s">
        <v>5248</v>
      </c>
      <c r="G6064" s="4">
        <v>400000</v>
      </c>
      <c r="H6064" s="4">
        <v>0</v>
      </c>
      <c r="I6064" s="4">
        <v>34208088.799999997</v>
      </c>
    </row>
    <row r="6065" spans="1:9" x14ac:dyDescent="0.3">
      <c r="A6065" t="s">
        <v>133</v>
      </c>
      <c r="B6065" s="1">
        <v>45899</v>
      </c>
      <c r="C6065" s="1">
        <v>45899</v>
      </c>
      <c r="D6065">
        <v>926995</v>
      </c>
      <c r="E6065">
        <v>28</v>
      </c>
      <c r="F6065" s="3" t="s">
        <v>5249</v>
      </c>
      <c r="G6065" s="4">
        <v>100000</v>
      </c>
      <c r="H6065" s="4">
        <v>0</v>
      </c>
      <c r="I6065" s="4">
        <v>34308088.799999997</v>
      </c>
    </row>
    <row r="6066" spans="1:9" x14ac:dyDescent="0.3">
      <c r="A6066" t="s">
        <v>133</v>
      </c>
      <c r="B6066" s="1">
        <v>45899</v>
      </c>
      <c r="C6066" s="1">
        <v>45899</v>
      </c>
      <c r="D6066">
        <v>927001</v>
      </c>
      <c r="E6066">
        <v>33</v>
      </c>
      <c r="F6066" s="3" t="s">
        <v>5250</v>
      </c>
      <c r="G6066" s="4">
        <v>460000</v>
      </c>
      <c r="H6066" s="4">
        <v>0</v>
      </c>
      <c r="I6066" s="4">
        <v>34768088.799999997</v>
      </c>
    </row>
    <row r="6067" spans="1:9" x14ac:dyDescent="0.3">
      <c r="A6067" t="s">
        <v>133</v>
      </c>
      <c r="B6067" s="1">
        <v>45899</v>
      </c>
      <c r="C6067" s="1">
        <v>45899</v>
      </c>
      <c r="D6067">
        <v>927006</v>
      </c>
      <c r="E6067">
        <v>86</v>
      </c>
      <c r="F6067" s="3" t="s">
        <v>5251</v>
      </c>
      <c r="G6067" s="4">
        <v>65219</v>
      </c>
      <c r="H6067" s="4">
        <v>0</v>
      </c>
      <c r="I6067" s="4">
        <v>34833307.799999997</v>
      </c>
    </row>
    <row r="6068" spans="1:9" x14ac:dyDescent="0.3">
      <c r="A6068" t="s">
        <v>133</v>
      </c>
      <c r="B6068" s="1">
        <v>45899</v>
      </c>
      <c r="C6068" s="1">
        <v>45899</v>
      </c>
      <c r="D6068">
        <v>927009</v>
      </c>
      <c r="E6068">
        <v>12</v>
      </c>
      <c r="F6068" s="3" t="s">
        <v>5252</v>
      </c>
      <c r="G6068" s="4">
        <v>95585</v>
      </c>
      <c r="H6068" s="4">
        <v>0</v>
      </c>
      <c r="I6068" s="4">
        <v>34928892.799999997</v>
      </c>
    </row>
    <row r="6069" spans="1:9" x14ac:dyDescent="0.3">
      <c r="A6069" t="s">
        <v>133</v>
      </c>
      <c r="B6069" s="1">
        <v>45899</v>
      </c>
      <c r="C6069" s="1">
        <v>45899</v>
      </c>
      <c r="D6069">
        <v>927020</v>
      </c>
      <c r="E6069">
        <v>97</v>
      </c>
      <c r="F6069" s="3">
        <v>101021773634</v>
      </c>
      <c r="G6069" s="4">
        <v>260000</v>
      </c>
      <c r="H6069" s="4">
        <v>0</v>
      </c>
      <c r="I6069" s="4">
        <v>35188892.799999997</v>
      </c>
    </row>
    <row r="6070" spans="1:9" x14ac:dyDescent="0.3">
      <c r="A6070" t="s">
        <v>133</v>
      </c>
      <c r="B6070" s="1">
        <v>45899</v>
      </c>
      <c r="C6070" s="1">
        <v>45899</v>
      </c>
      <c r="D6070">
        <v>927023</v>
      </c>
      <c r="E6070">
        <v>56</v>
      </c>
      <c r="F6070" s="3" t="s">
        <v>5253</v>
      </c>
      <c r="G6070" s="4">
        <v>650000</v>
      </c>
      <c r="H6070" s="4">
        <v>0</v>
      </c>
      <c r="I6070" s="4">
        <v>35838892.799999997</v>
      </c>
    </row>
    <row r="6071" spans="1:9" x14ac:dyDescent="0.3">
      <c r="A6071" t="s">
        <v>133</v>
      </c>
      <c r="B6071" s="1">
        <v>45899</v>
      </c>
      <c r="C6071" s="1">
        <v>45899</v>
      </c>
      <c r="D6071">
        <v>927030</v>
      </c>
      <c r="E6071">
        <v>61</v>
      </c>
      <c r="F6071" s="3" t="s">
        <v>5254</v>
      </c>
      <c r="G6071" s="4">
        <v>220055</v>
      </c>
      <c r="H6071" s="4">
        <v>0</v>
      </c>
      <c r="I6071" s="4">
        <v>36058947.799999997</v>
      </c>
    </row>
    <row r="6072" spans="1:9" x14ac:dyDescent="0.3">
      <c r="A6072" t="s">
        <v>133</v>
      </c>
      <c r="B6072" s="1">
        <v>45899</v>
      </c>
      <c r="C6072" s="1">
        <v>45899</v>
      </c>
      <c r="D6072">
        <v>927032</v>
      </c>
      <c r="E6072">
        <v>16</v>
      </c>
      <c r="F6072" s="3" t="s">
        <v>5255</v>
      </c>
      <c r="G6072" s="4">
        <v>251661.75</v>
      </c>
      <c r="H6072" s="4">
        <v>0</v>
      </c>
      <c r="I6072" s="4">
        <v>36310609.549999997</v>
      </c>
    </row>
    <row r="6073" spans="1:9" x14ac:dyDescent="0.3">
      <c r="A6073" t="s">
        <v>133</v>
      </c>
      <c r="B6073" s="1">
        <v>45899</v>
      </c>
      <c r="C6073" s="1">
        <v>45899</v>
      </c>
      <c r="D6073">
        <v>927033</v>
      </c>
      <c r="E6073">
        <v>48</v>
      </c>
      <c r="F6073" s="3" t="s">
        <v>5256</v>
      </c>
      <c r="G6073" s="4">
        <v>300000</v>
      </c>
      <c r="H6073" s="4">
        <v>0</v>
      </c>
      <c r="I6073" s="4">
        <v>36610609.549999997</v>
      </c>
    </row>
    <row r="6074" spans="1:9" x14ac:dyDescent="0.3">
      <c r="A6074" t="s">
        <v>133</v>
      </c>
      <c r="B6074" s="1">
        <v>45899</v>
      </c>
      <c r="C6074" s="1">
        <v>45899</v>
      </c>
      <c r="D6074">
        <v>927034</v>
      </c>
      <c r="E6074">
        <v>12</v>
      </c>
      <c r="F6074" s="3" t="s">
        <v>5257</v>
      </c>
      <c r="G6074" s="4">
        <v>174422</v>
      </c>
      <c r="H6074" s="4">
        <v>0</v>
      </c>
      <c r="I6074" s="4">
        <v>36785031.549999997</v>
      </c>
    </row>
    <row r="6075" spans="1:9" x14ac:dyDescent="0.3">
      <c r="A6075" t="s">
        <v>133</v>
      </c>
      <c r="B6075" s="1">
        <v>45899</v>
      </c>
      <c r="C6075" s="1">
        <v>45899</v>
      </c>
      <c r="D6075">
        <v>927036</v>
      </c>
      <c r="E6075">
        <v>282</v>
      </c>
      <c r="F6075" s="3" t="s">
        <v>5258</v>
      </c>
      <c r="G6075" s="4">
        <v>39177</v>
      </c>
      <c r="H6075" s="4">
        <v>0</v>
      </c>
      <c r="I6075" s="4">
        <v>36824208.549999997</v>
      </c>
    </row>
    <row r="6076" spans="1:9" x14ac:dyDescent="0.3">
      <c r="A6076" t="s">
        <v>133</v>
      </c>
      <c r="B6076" s="1">
        <v>45899</v>
      </c>
      <c r="C6076" s="1">
        <v>45899</v>
      </c>
      <c r="D6076">
        <v>927043</v>
      </c>
      <c r="E6076">
        <v>67</v>
      </c>
      <c r="F6076" s="3">
        <v>26482668097</v>
      </c>
      <c r="G6076" s="4">
        <v>4207</v>
      </c>
      <c r="H6076" s="4">
        <v>0</v>
      </c>
      <c r="I6076" s="4">
        <v>36828415.549999997</v>
      </c>
    </row>
    <row r="6077" spans="1:9" x14ac:dyDescent="0.3">
      <c r="A6077" t="s">
        <v>133</v>
      </c>
      <c r="B6077" s="1">
        <v>45899</v>
      </c>
      <c r="C6077" s="1">
        <v>45899</v>
      </c>
      <c r="D6077">
        <v>927044</v>
      </c>
      <c r="E6077">
        <v>23</v>
      </c>
      <c r="F6077" s="3" t="s">
        <v>5259</v>
      </c>
      <c r="G6077" s="4">
        <v>510000</v>
      </c>
      <c r="H6077" s="4">
        <v>0</v>
      </c>
      <c r="I6077" s="4">
        <v>37338415.549999997</v>
      </c>
    </row>
    <row r="6078" spans="1:9" x14ac:dyDescent="0.3">
      <c r="A6078" t="s">
        <v>133</v>
      </c>
      <c r="B6078" s="1">
        <v>45899</v>
      </c>
      <c r="C6078" s="1">
        <v>45899</v>
      </c>
      <c r="D6078">
        <v>927046</v>
      </c>
      <c r="E6078">
        <v>382</v>
      </c>
      <c r="F6078" s="3" t="s">
        <v>5260</v>
      </c>
      <c r="G6078" s="4">
        <v>458933.5</v>
      </c>
      <c r="H6078" s="4">
        <v>0</v>
      </c>
      <c r="I6078" s="4">
        <v>37797349.049999997</v>
      </c>
    </row>
    <row r="6079" spans="1:9" x14ac:dyDescent="0.3">
      <c r="A6079" t="s">
        <v>133</v>
      </c>
      <c r="B6079" s="1">
        <v>45899</v>
      </c>
      <c r="C6079" s="1">
        <v>45899</v>
      </c>
      <c r="D6079">
        <v>927047</v>
      </c>
      <c r="E6079">
        <v>78</v>
      </c>
      <c r="F6079" s="3" t="s">
        <v>5261</v>
      </c>
      <c r="G6079" s="4">
        <v>60000</v>
      </c>
      <c r="H6079" s="4">
        <v>0</v>
      </c>
      <c r="I6079" s="4">
        <v>37857349.049999997</v>
      </c>
    </row>
    <row r="6080" spans="1:9" x14ac:dyDescent="0.3">
      <c r="A6080" t="s">
        <v>133</v>
      </c>
      <c r="B6080" s="1">
        <v>45899</v>
      </c>
      <c r="C6080" s="1">
        <v>45899</v>
      </c>
      <c r="D6080">
        <v>927052</v>
      </c>
      <c r="E6080">
        <v>82</v>
      </c>
      <c r="F6080" s="3">
        <v>5620820003751</v>
      </c>
      <c r="G6080" s="4">
        <v>6048.25</v>
      </c>
      <c r="H6080" s="4">
        <v>0</v>
      </c>
      <c r="I6080" s="4">
        <v>37863397.299999997</v>
      </c>
    </row>
    <row r="6081" spans="1:9" x14ac:dyDescent="0.3">
      <c r="A6081" t="s">
        <v>75</v>
      </c>
      <c r="B6081" s="1">
        <v>45900</v>
      </c>
      <c r="C6081" s="1">
        <v>45900</v>
      </c>
      <c r="D6081">
        <v>144430</v>
      </c>
      <c r="E6081">
        <v>14</v>
      </c>
      <c r="F6081" s="3" t="s">
        <v>5262</v>
      </c>
      <c r="G6081" s="4">
        <v>2577.5</v>
      </c>
      <c r="H6081" s="4">
        <v>0</v>
      </c>
      <c r="I6081" s="4">
        <v>37865974.799999997</v>
      </c>
    </row>
    <row r="6082" spans="1:9" x14ac:dyDescent="0.3">
      <c r="A6082" t="s">
        <v>75</v>
      </c>
      <c r="B6082" s="1">
        <v>45899</v>
      </c>
      <c r="C6082" s="1">
        <v>45900</v>
      </c>
      <c r="D6082">
        <v>144431</v>
      </c>
      <c r="E6082">
        <v>412</v>
      </c>
      <c r="F6082" s="3" t="s">
        <v>5263</v>
      </c>
      <c r="G6082" s="4">
        <v>53900</v>
      </c>
      <c r="H6082" s="4">
        <v>0</v>
      </c>
      <c r="I6082" s="4">
        <v>37919874.799999997</v>
      </c>
    </row>
    <row r="6083" spans="1:9" x14ac:dyDescent="0.3">
      <c r="A6083" t="s">
        <v>75</v>
      </c>
      <c r="B6083" s="1">
        <v>45887</v>
      </c>
      <c r="C6083" s="1">
        <v>45900</v>
      </c>
      <c r="D6083">
        <v>144432</v>
      </c>
      <c r="E6083">
        <v>82</v>
      </c>
      <c r="F6083" s="3" t="s">
        <v>5264</v>
      </c>
      <c r="G6083" s="4">
        <v>11073</v>
      </c>
      <c r="H6083" s="4">
        <v>0</v>
      </c>
      <c r="I6083" s="4">
        <v>37930947.799999997</v>
      </c>
    </row>
    <row r="6084" spans="1:9" x14ac:dyDescent="0.3">
      <c r="A6084" t="s">
        <v>75</v>
      </c>
      <c r="B6084" s="1">
        <v>45900</v>
      </c>
      <c r="C6084" s="1">
        <v>45900</v>
      </c>
      <c r="D6084">
        <v>144435</v>
      </c>
      <c r="E6084">
        <v>14</v>
      </c>
      <c r="F6084" s="3" t="s">
        <v>5265</v>
      </c>
      <c r="G6084" s="4">
        <v>3550</v>
      </c>
      <c r="H6084" s="4">
        <v>0</v>
      </c>
      <c r="I6084" s="4">
        <v>37934497.799999997</v>
      </c>
    </row>
    <row r="6085" spans="1:9" x14ac:dyDescent="0.3">
      <c r="A6085" t="s">
        <v>75</v>
      </c>
      <c r="B6085" s="1">
        <v>45897</v>
      </c>
      <c r="C6085" s="1">
        <v>45900</v>
      </c>
      <c r="D6085">
        <v>144436</v>
      </c>
      <c r="E6085">
        <v>34</v>
      </c>
      <c r="F6085" s="3" t="s">
        <v>5266</v>
      </c>
      <c r="G6085" s="4">
        <v>91910.5</v>
      </c>
      <c r="H6085" s="4">
        <v>0</v>
      </c>
      <c r="I6085" s="4">
        <v>38026408.299999997</v>
      </c>
    </row>
    <row r="6086" spans="1:9" x14ac:dyDescent="0.3">
      <c r="A6086" t="s">
        <v>75</v>
      </c>
      <c r="B6086" s="1">
        <v>45898</v>
      </c>
      <c r="C6086" s="1">
        <v>45900</v>
      </c>
      <c r="D6086">
        <v>144437</v>
      </c>
      <c r="E6086">
        <v>15</v>
      </c>
      <c r="F6086" s="3" t="s">
        <v>5267</v>
      </c>
      <c r="G6086" s="4">
        <v>250000</v>
      </c>
      <c r="H6086" s="4">
        <v>0</v>
      </c>
      <c r="I6086" s="4">
        <v>38276408.299999997</v>
      </c>
    </row>
    <row r="6087" spans="1:9" x14ac:dyDescent="0.3">
      <c r="A6087" t="s">
        <v>75</v>
      </c>
      <c r="B6087" s="1">
        <v>45900</v>
      </c>
      <c r="C6087" s="1">
        <v>45900</v>
      </c>
      <c r="D6087">
        <v>144439</v>
      </c>
      <c r="E6087">
        <v>14</v>
      </c>
      <c r="F6087" s="3" t="s">
        <v>5268</v>
      </c>
      <c r="G6087" s="4">
        <v>33420</v>
      </c>
      <c r="H6087" s="4">
        <v>0</v>
      </c>
      <c r="I6087" s="4">
        <v>38309828.299999997</v>
      </c>
    </row>
    <row r="6088" spans="1:9" x14ac:dyDescent="0.3">
      <c r="A6088" t="s">
        <v>75</v>
      </c>
      <c r="B6088" s="1">
        <v>45900</v>
      </c>
      <c r="C6088" s="1">
        <v>45900</v>
      </c>
      <c r="D6088">
        <v>144440</v>
      </c>
      <c r="E6088">
        <v>14</v>
      </c>
      <c r="F6088" s="3" t="s">
        <v>5269</v>
      </c>
      <c r="G6088" s="4">
        <v>42000</v>
      </c>
      <c r="H6088" s="4">
        <v>0</v>
      </c>
      <c r="I6088" s="4">
        <v>38351828.299999997</v>
      </c>
    </row>
    <row r="6089" spans="1:9" x14ac:dyDescent="0.3">
      <c r="A6089" t="s">
        <v>75</v>
      </c>
      <c r="B6089" s="1">
        <v>45900</v>
      </c>
      <c r="C6089" s="1">
        <v>45900</v>
      </c>
      <c r="D6089">
        <v>144440</v>
      </c>
      <c r="E6089">
        <v>14</v>
      </c>
      <c r="F6089" s="3" t="s">
        <v>5270</v>
      </c>
      <c r="G6089" s="4">
        <v>38000</v>
      </c>
      <c r="H6089" s="4">
        <v>0</v>
      </c>
      <c r="I6089" s="4">
        <v>38389828.299999997</v>
      </c>
    </row>
    <row r="6090" spans="1:9" x14ac:dyDescent="0.3">
      <c r="A6090" t="s">
        <v>75</v>
      </c>
      <c r="B6090" s="1">
        <v>45900</v>
      </c>
      <c r="C6090" s="1">
        <v>45900</v>
      </c>
      <c r="D6090">
        <v>144444</v>
      </c>
      <c r="E6090">
        <v>67</v>
      </c>
      <c r="F6090" s="3" t="s">
        <v>5271</v>
      </c>
      <c r="G6090" s="4">
        <v>1155</v>
      </c>
      <c r="H6090" s="4">
        <v>0</v>
      </c>
      <c r="I6090" s="4">
        <v>38390983.299999997</v>
      </c>
    </row>
    <row r="6091" spans="1:9" x14ac:dyDescent="0.3">
      <c r="A6091" t="s">
        <v>75</v>
      </c>
      <c r="B6091" s="1">
        <v>45898</v>
      </c>
      <c r="C6091" s="1">
        <v>45900</v>
      </c>
      <c r="D6091">
        <v>144445</v>
      </c>
      <c r="E6091">
        <v>11</v>
      </c>
      <c r="F6091" s="3" t="s">
        <v>5272</v>
      </c>
      <c r="G6091" s="4">
        <v>25232</v>
      </c>
      <c r="H6091" s="4">
        <v>0</v>
      </c>
      <c r="I6091" s="4">
        <v>38416215.299999997</v>
      </c>
    </row>
    <row r="6092" spans="1:9" x14ac:dyDescent="0.3">
      <c r="A6092" t="s">
        <v>75</v>
      </c>
      <c r="B6092" s="1">
        <v>45900</v>
      </c>
      <c r="C6092" s="1">
        <v>45900</v>
      </c>
      <c r="D6092">
        <v>144446</v>
      </c>
      <c r="E6092">
        <v>14</v>
      </c>
      <c r="F6092" s="3" t="s">
        <v>5273</v>
      </c>
      <c r="G6092" s="4">
        <v>60000</v>
      </c>
      <c r="H6092" s="4">
        <v>0</v>
      </c>
      <c r="I6092" s="4">
        <v>38476215.299999997</v>
      </c>
    </row>
    <row r="6093" spans="1:9" x14ac:dyDescent="0.3">
      <c r="A6093" t="s">
        <v>75</v>
      </c>
      <c r="B6093" s="1">
        <v>45898</v>
      </c>
      <c r="C6093" s="1">
        <v>45900</v>
      </c>
      <c r="D6093">
        <v>144447</v>
      </c>
      <c r="E6093">
        <v>62</v>
      </c>
      <c r="F6093" s="3" t="s">
        <v>5274</v>
      </c>
      <c r="G6093" s="4">
        <v>30000</v>
      </c>
      <c r="H6093" s="4">
        <v>0</v>
      </c>
      <c r="I6093" s="4">
        <v>38506215.299999997</v>
      </c>
    </row>
    <row r="6094" spans="1:9" x14ac:dyDescent="0.3">
      <c r="A6094" t="s">
        <v>75</v>
      </c>
      <c r="B6094" s="1">
        <v>45900</v>
      </c>
      <c r="C6094" s="1">
        <v>45900</v>
      </c>
      <c r="D6094">
        <v>144448</v>
      </c>
      <c r="E6094">
        <v>72</v>
      </c>
      <c r="F6094" s="3" t="s">
        <v>5275</v>
      </c>
      <c r="G6094" s="4">
        <v>900</v>
      </c>
      <c r="H6094" s="4">
        <v>0</v>
      </c>
      <c r="I6094" s="4">
        <v>38507115.299999997</v>
      </c>
    </row>
    <row r="6095" spans="1:9" x14ac:dyDescent="0.3">
      <c r="A6095" t="s">
        <v>75</v>
      </c>
      <c r="B6095" s="1">
        <v>45899</v>
      </c>
      <c r="C6095" s="1">
        <v>45900</v>
      </c>
      <c r="D6095">
        <v>144449</v>
      </c>
      <c r="E6095">
        <v>14</v>
      </c>
      <c r="F6095" s="3" t="s">
        <v>5276</v>
      </c>
      <c r="G6095" s="4">
        <v>50000</v>
      </c>
      <c r="H6095" s="4">
        <v>0</v>
      </c>
      <c r="I6095" s="4">
        <v>38557115.299999997</v>
      </c>
    </row>
    <row r="6096" spans="1:9" x14ac:dyDescent="0.3">
      <c r="A6096" t="s">
        <v>75</v>
      </c>
      <c r="B6096" s="1">
        <v>45898</v>
      </c>
      <c r="C6096" s="1">
        <v>45900</v>
      </c>
      <c r="D6096">
        <v>144450</v>
      </c>
      <c r="E6096">
        <v>16</v>
      </c>
      <c r="F6096" s="3" t="s">
        <v>5277</v>
      </c>
      <c r="G6096" s="4">
        <v>5700</v>
      </c>
      <c r="H6096" s="4">
        <v>0</v>
      </c>
      <c r="I6096" s="4">
        <v>38562815.299999997</v>
      </c>
    </row>
    <row r="6097" spans="1:9" x14ac:dyDescent="0.3">
      <c r="A6097" t="s">
        <v>75</v>
      </c>
      <c r="B6097" s="1">
        <v>45900</v>
      </c>
      <c r="C6097" s="1">
        <v>45900</v>
      </c>
      <c r="D6097">
        <v>144452</v>
      </c>
      <c r="E6097">
        <v>14</v>
      </c>
      <c r="F6097" s="3" t="s">
        <v>5278</v>
      </c>
      <c r="G6097" s="4">
        <v>42000</v>
      </c>
      <c r="H6097" s="4">
        <v>0</v>
      </c>
      <c r="I6097" s="4">
        <v>38604815.299999997</v>
      </c>
    </row>
    <row r="6098" spans="1:9" x14ac:dyDescent="0.3">
      <c r="A6098" t="s">
        <v>75</v>
      </c>
      <c r="B6098" s="1">
        <v>45900</v>
      </c>
      <c r="C6098" s="1">
        <v>45900</v>
      </c>
      <c r="D6098">
        <v>144453</v>
      </c>
      <c r="E6098">
        <v>58</v>
      </c>
      <c r="F6098" s="3" t="s">
        <v>5279</v>
      </c>
      <c r="G6098" s="4">
        <v>4000</v>
      </c>
      <c r="H6098" s="4">
        <v>0</v>
      </c>
      <c r="I6098" s="4">
        <v>38608815.299999997</v>
      </c>
    </row>
    <row r="6099" spans="1:9" x14ac:dyDescent="0.3">
      <c r="A6099" t="s">
        <v>75</v>
      </c>
      <c r="B6099" s="1">
        <v>45900</v>
      </c>
      <c r="C6099" s="1">
        <v>45900</v>
      </c>
      <c r="D6099">
        <v>144454</v>
      </c>
      <c r="E6099">
        <v>14</v>
      </c>
      <c r="F6099" s="3" t="s">
        <v>5280</v>
      </c>
      <c r="G6099" s="4">
        <v>12569</v>
      </c>
      <c r="H6099" s="4">
        <v>0</v>
      </c>
      <c r="I6099" s="4">
        <v>38621384.299999997</v>
      </c>
    </row>
    <row r="6100" spans="1:9" x14ac:dyDescent="0.3">
      <c r="A6100" t="s">
        <v>75</v>
      </c>
      <c r="B6100" s="1">
        <v>45900</v>
      </c>
      <c r="C6100" s="1">
        <v>45900</v>
      </c>
      <c r="D6100">
        <v>144455</v>
      </c>
      <c r="E6100">
        <v>14</v>
      </c>
      <c r="F6100" s="3" t="s">
        <v>5281</v>
      </c>
      <c r="G6100" s="4">
        <v>60000</v>
      </c>
      <c r="H6100" s="4">
        <v>0</v>
      </c>
      <c r="I6100" s="4">
        <v>38681384.299999997</v>
      </c>
    </row>
    <row r="6101" spans="1:9" x14ac:dyDescent="0.3">
      <c r="A6101" t="s">
        <v>75</v>
      </c>
      <c r="B6101" s="1">
        <v>45899</v>
      </c>
      <c r="C6101" s="1">
        <v>45900</v>
      </c>
      <c r="D6101">
        <v>144456</v>
      </c>
      <c r="E6101">
        <v>15</v>
      </c>
      <c r="F6101" s="3" t="s">
        <v>5282</v>
      </c>
      <c r="G6101" s="4">
        <v>23824.75</v>
      </c>
      <c r="H6101" s="4">
        <v>0</v>
      </c>
      <c r="I6101" s="4">
        <v>38705209.049999997</v>
      </c>
    </row>
    <row r="6102" spans="1:9" x14ac:dyDescent="0.3">
      <c r="A6102" t="s">
        <v>75</v>
      </c>
      <c r="B6102" s="1">
        <v>45900</v>
      </c>
      <c r="C6102" s="1">
        <v>45900</v>
      </c>
      <c r="D6102">
        <v>144457</v>
      </c>
      <c r="E6102">
        <v>58</v>
      </c>
      <c r="F6102" s="3" t="s">
        <v>5283</v>
      </c>
      <c r="G6102" s="4">
        <v>30000</v>
      </c>
      <c r="H6102" s="4">
        <v>0</v>
      </c>
      <c r="I6102" s="4">
        <v>38735209.049999997</v>
      </c>
    </row>
    <row r="6103" spans="1:9" x14ac:dyDescent="0.3">
      <c r="A6103" t="s">
        <v>75</v>
      </c>
      <c r="B6103" s="1">
        <v>45900</v>
      </c>
      <c r="C6103" s="1">
        <v>45900</v>
      </c>
      <c r="D6103">
        <v>144458</v>
      </c>
      <c r="E6103">
        <v>92</v>
      </c>
      <c r="F6103" s="3" t="s">
        <v>5284</v>
      </c>
      <c r="G6103" s="4">
        <v>36796.75</v>
      </c>
      <c r="H6103" s="4">
        <v>0</v>
      </c>
      <c r="I6103" s="4">
        <v>38772005.799999997</v>
      </c>
    </row>
    <row r="6104" spans="1:9" x14ac:dyDescent="0.3">
      <c r="A6104" t="s">
        <v>75</v>
      </c>
      <c r="B6104" s="1">
        <v>45900</v>
      </c>
      <c r="C6104" s="1">
        <v>45900</v>
      </c>
      <c r="D6104">
        <v>144459</v>
      </c>
      <c r="E6104">
        <v>34</v>
      </c>
      <c r="F6104" s="3" t="s">
        <v>5285</v>
      </c>
      <c r="G6104" s="4">
        <v>1000</v>
      </c>
      <c r="H6104" s="4">
        <v>0</v>
      </c>
      <c r="I6104" s="4">
        <v>38773005.799999997</v>
      </c>
    </row>
    <row r="6105" spans="1:9" x14ac:dyDescent="0.3">
      <c r="A6105" t="s">
        <v>75</v>
      </c>
      <c r="B6105" s="1">
        <v>45900</v>
      </c>
      <c r="C6105" s="1">
        <v>45900</v>
      </c>
      <c r="D6105">
        <v>144460</v>
      </c>
      <c r="E6105">
        <v>77</v>
      </c>
      <c r="F6105" s="3" t="s">
        <v>5286</v>
      </c>
      <c r="G6105" s="4">
        <v>8387.75</v>
      </c>
      <c r="H6105" s="4">
        <v>0</v>
      </c>
      <c r="I6105" s="4">
        <v>38781393.549999997</v>
      </c>
    </row>
    <row r="6106" spans="1:9" x14ac:dyDescent="0.3">
      <c r="A6106" t="s">
        <v>75</v>
      </c>
      <c r="B6106" s="1">
        <v>45900</v>
      </c>
      <c r="C6106" s="1">
        <v>45900</v>
      </c>
      <c r="D6106">
        <v>144462</v>
      </c>
      <c r="E6106">
        <v>78</v>
      </c>
      <c r="F6106" s="3" t="s">
        <v>5287</v>
      </c>
      <c r="G6106" s="4">
        <v>5026.5</v>
      </c>
      <c r="H6106" s="4">
        <v>0</v>
      </c>
      <c r="I6106" s="4">
        <v>38786420.049999997</v>
      </c>
    </row>
    <row r="6107" spans="1:9" x14ac:dyDescent="0.3">
      <c r="A6107" t="s">
        <v>75</v>
      </c>
      <c r="B6107" s="1">
        <v>45900</v>
      </c>
      <c r="C6107" s="1">
        <v>45900</v>
      </c>
      <c r="D6107">
        <v>144463</v>
      </c>
      <c r="E6107">
        <v>412</v>
      </c>
      <c r="F6107" s="3" t="s">
        <v>5288</v>
      </c>
      <c r="G6107" s="4">
        <v>45000</v>
      </c>
      <c r="H6107" s="4">
        <v>0</v>
      </c>
      <c r="I6107" s="4">
        <v>38831420.049999997</v>
      </c>
    </row>
    <row r="6108" spans="1:9" x14ac:dyDescent="0.3">
      <c r="A6108" t="s">
        <v>75</v>
      </c>
      <c r="B6108" s="1">
        <v>45900</v>
      </c>
      <c r="C6108" s="1">
        <v>45900</v>
      </c>
      <c r="D6108">
        <v>144466</v>
      </c>
      <c r="E6108">
        <v>67</v>
      </c>
      <c r="F6108" s="3" t="s">
        <v>5289</v>
      </c>
      <c r="G6108" s="4">
        <v>18600.75</v>
      </c>
      <c r="H6108" s="4">
        <v>0</v>
      </c>
      <c r="I6108" s="4">
        <v>38850020.799999997</v>
      </c>
    </row>
    <row r="6109" spans="1:9" x14ac:dyDescent="0.3">
      <c r="A6109" t="s">
        <v>75</v>
      </c>
      <c r="B6109" s="1">
        <v>45900</v>
      </c>
      <c r="C6109" s="1">
        <v>45900</v>
      </c>
      <c r="D6109">
        <v>144467</v>
      </c>
      <c r="E6109">
        <v>58</v>
      </c>
      <c r="F6109" s="3" t="s">
        <v>5290</v>
      </c>
      <c r="G6109" s="4">
        <v>4500</v>
      </c>
      <c r="H6109" s="4">
        <v>0</v>
      </c>
      <c r="I6109" s="4">
        <v>38854520.799999997</v>
      </c>
    </row>
    <row r="6110" spans="1:9" x14ac:dyDescent="0.3">
      <c r="A6110" t="s">
        <v>71</v>
      </c>
      <c r="B6110" s="1">
        <v>45898</v>
      </c>
      <c r="C6110" s="1">
        <v>45900</v>
      </c>
      <c r="D6110">
        <v>15164</v>
      </c>
      <c r="E6110">
        <v>100</v>
      </c>
      <c r="F6110" s="3" t="s">
        <v>5291</v>
      </c>
      <c r="G6110" s="4">
        <v>134925</v>
      </c>
      <c r="H6110" s="4">
        <v>0</v>
      </c>
      <c r="I6110" s="4">
        <v>38989445.799999997</v>
      </c>
    </row>
    <row r="6111" spans="1:9" x14ac:dyDescent="0.3">
      <c r="A6111" t="s">
        <v>71</v>
      </c>
      <c r="B6111" s="1">
        <v>45899</v>
      </c>
      <c r="C6111" s="1">
        <v>45900</v>
      </c>
      <c r="D6111">
        <v>15187</v>
      </c>
      <c r="E6111">
        <v>100</v>
      </c>
      <c r="F6111" s="3" t="s">
        <v>5292</v>
      </c>
      <c r="G6111" s="4">
        <v>673000</v>
      </c>
      <c r="H6111" s="4">
        <v>0</v>
      </c>
      <c r="I6111" s="4">
        <v>39662445.799999997</v>
      </c>
    </row>
    <row r="6112" spans="1:9" x14ac:dyDescent="0.3">
      <c r="A6112" t="s">
        <v>71</v>
      </c>
      <c r="B6112" s="1">
        <v>45897</v>
      </c>
      <c r="C6112" s="1">
        <v>45900</v>
      </c>
      <c r="D6112">
        <v>15213</v>
      </c>
      <c r="E6112">
        <v>100</v>
      </c>
      <c r="F6112" s="3" t="s">
        <v>5293</v>
      </c>
      <c r="G6112" s="4">
        <v>0</v>
      </c>
      <c r="H6112" s="4">
        <v>86438.82</v>
      </c>
      <c r="I6112" s="4">
        <v>39576006.979999997</v>
      </c>
    </row>
    <row r="6113" spans="1:9" x14ac:dyDescent="0.3">
      <c r="A6113" t="s">
        <v>71</v>
      </c>
      <c r="B6113" s="1">
        <v>45900</v>
      </c>
      <c r="C6113" s="1">
        <v>45900</v>
      </c>
      <c r="D6113">
        <v>15224</v>
      </c>
      <c r="E6113">
        <v>110</v>
      </c>
      <c r="F6113" s="3" t="s">
        <v>5294</v>
      </c>
      <c r="G6113" s="4">
        <v>0</v>
      </c>
      <c r="H6113" s="4">
        <v>10738.83</v>
      </c>
      <c r="I6113" s="4">
        <v>39565268.149999999</v>
      </c>
    </row>
    <row r="6114" spans="1:9" x14ac:dyDescent="0.3">
      <c r="A6114" t="s">
        <v>71</v>
      </c>
      <c r="B6114" s="1">
        <v>45900</v>
      </c>
      <c r="C6114" s="1">
        <v>45900</v>
      </c>
      <c r="D6114">
        <v>15225</v>
      </c>
      <c r="E6114">
        <v>117</v>
      </c>
      <c r="F6114" s="3" t="s">
        <v>5295</v>
      </c>
      <c r="G6114" s="4">
        <v>0</v>
      </c>
      <c r="H6114" s="4">
        <v>11182.5</v>
      </c>
      <c r="I6114" s="4">
        <v>39554085.649999999</v>
      </c>
    </row>
    <row r="6115" spans="1:9" x14ac:dyDescent="0.3">
      <c r="A6115" t="s">
        <v>71</v>
      </c>
      <c r="B6115" s="1">
        <v>45898</v>
      </c>
      <c r="C6115" s="1">
        <v>45900</v>
      </c>
      <c r="D6115">
        <v>15262</v>
      </c>
      <c r="E6115">
        <v>100</v>
      </c>
      <c r="F6115" s="3" t="s">
        <v>5296</v>
      </c>
      <c r="G6115" s="4">
        <v>2023636</v>
      </c>
      <c r="H6115" s="4">
        <v>0</v>
      </c>
      <c r="I6115" s="4">
        <v>41577721.649999999</v>
      </c>
    </row>
    <row r="6116" spans="1:9" x14ac:dyDescent="0.3">
      <c r="A6116" t="s">
        <v>71</v>
      </c>
      <c r="B6116" s="1">
        <v>45894</v>
      </c>
      <c r="C6116" s="1">
        <v>45900</v>
      </c>
      <c r="D6116">
        <v>15268</v>
      </c>
      <c r="E6116">
        <v>100</v>
      </c>
      <c r="F6116" s="3" t="s">
        <v>5297</v>
      </c>
      <c r="G6116" s="4">
        <v>2500000</v>
      </c>
      <c r="H6116" s="4">
        <v>0</v>
      </c>
      <c r="I6116" s="4">
        <v>44077721.649999999</v>
      </c>
    </row>
    <row r="6117" spans="1:9" x14ac:dyDescent="0.3">
      <c r="A6117" t="s">
        <v>71</v>
      </c>
      <c r="B6117" s="1">
        <v>45881</v>
      </c>
      <c r="C6117" s="1">
        <v>45900</v>
      </c>
      <c r="D6117">
        <v>15268</v>
      </c>
      <c r="E6117">
        <v>100</v>
      </c>
      <c r="F6117" s="3" t="s">
        <v>5298</v>
      </c>
      <c r="G6117" s="4">
        <v>3502955.71</v>
      </c>
      <c r="H6117" s="4">
        <v>0</v>
      </c>
      <c r="I6117" s="4">
        <v>47580677.359999999</v>
      </c>
    </row>
    <row r="6118" spans="1:9" x14ac:dyDescent="0.3">
      <c r="A6118" t="s">
        <v>71</v>
      </c>
      <c r="B6118" s="1">
        <v>45896</v>
      </c>
      <c r="C6118" s="1">
        <v>45900</v>
      </c>
      <c r="D6118">
        <v>15276</v>
      </c>
      <c r="E6118">
        <v>27</v>
      </c>
      <c r="F6118" s="3" t="s">
        <v>4421</v>
      </c>
      <c r="G6118" s="4">
        <v>0</v>
      </c>
      <c r="H6118" s="4">
        <v>154106</v>
      </c>
      <c r="I6118" s="4">
        <v>47426571.359999999</v>
      </c>
    </row>
    <row r="6119" spans="1:9" x14ac:dyDescent="0.3">
      <c r="A6119" t="s">
        <v>71</v>
      </c>
      <c r="B6119" s="1">
        <v>45898</v>
      </c>
      <c r="C6119" s="1">
        <v>45900</v>
      </c>
      <c r="D6119">
        <v>15276</v>
      </c>
      <c r="E6119">
        <v>78</v>
      </c>
      <c r="F6119" s="3" t="s">
        <v>5299</v>
      </c>
      <c r="G6119" s="4">
        <v>0</v>
      </c>
      <c r="H6119" s="4">
        <v>11189</v>
      </c>
      <c r="I6119" s="4">
        <v>47415382.359999999</v>
      </c>
    </row>
    <row r="6120" spans="1:9" x14ac:dyDescent="0.3">
      <c r="A6120" t="s">
        <v>71</v>
      </c>
      <c r="B6120" s="1">
        <v>45895</v>
      </c>
      <c r="C6120" s="1">
        <v>45900</v>
      </c>
      <c r="D6120">
        <v>15276</v>
      </c>
      <c r="E6120">
        <v>27</v>
      </c>
      <c r="F6120" s="3" t="s">
        <v>4172</v>
      </c>
      <c r="G6120" s="4">
        <v>0</v>
      </c>
      <c r="H6120" s="4">
        <v>965220.26</v>
      </c>
      <c r="I6120" s="4">
        <v>46450162.100000001</v>
      </c>
    </row>
    <row r="6121" spans="1:9" x14ac:dyDescent="0.3">
      <c r="A6121" t="s">
        <v>71</v>
      </c>
      <c r="B6121" s="1">
        <v>45898</v>
      </c>
      <c r="C6121" s="1">
        <v>45900</v>
      </c>
      <c r="D6121">
        <v>15302</v>
      </c>
      <c r="E6121">
        <v>100</v>
      </c>
      <c r="F6121" s="3" t="s">
        <v>5300</v>
      </c>
      <c r="G6121" s="4">
        <v>158062.48000000001</v>
      </c>
      <c r="H6121" s="4">
        <v>0</v>
      </c>
      <c r="I6121" s="4">
        <v>46608224.579999998</v>
      </c>
    </row>
    <row r="6122" spans="1:9" x14ac:dyDescent="0.3">
      <c r="A6122" t="s">
        <v>71</v>
      </c>
      <c r="B6122" s="1">
        <v>45898</v>
      </c>
      <c r="C6122" s="1">
        <v>45900</v>
      </c>
      <c r="D6122">
        <v>15302</v>
      </c>
      <c r="E6122">
        <v>100</v>
      </c>
      <c r="F6122" s="3" t="s">
        <v>5301</v>
      </c>
      <c r="G6122" s="4">
        <v>163722.12</v>
      </c>
      <c r="H6122" s="4">
        <v>0</v>
      </c>
      <c r="I6122" s="4">
        <v>46771946.700000003</v>
      </c>
    </row>
    <row r="6123" spans="1:9" x14ac:dyDescent="0.3">
      <c r="A6123" t="s">
        <v>71</v>
      </c>
      <c r="B6123" s="1">
        <v>45883</v>
      </c>
      <c r="C6123" s="1">
        <v>45900</v>
      </c>
      <c r="D6123">
        <v>15329</v>
      </c>
      <c r="E6123">
        <v>119</v>
      </c>
      <c r="F6123" s="3" t="s">
        <v>5302</v>
      </c>
      <c r="G6123" s="4">
        <v>0</v>
      </c>
      <c r="H6123" s="4">
        <v>3529</v>
      </c>
      <c r="I6123" s="4">
        <v>46768417.700000003</v>
      </c>
    </row>
    <row r="6124" spans="1:9" x14ac:dyDescent="0.3">
      <c r="A6124" t="s">
        <v>71</v>
      </c>
      <c r="B6124" s="1">
        <v>45876</v>
      </c>
      <c r="C6124" s="1">
        <v>45900</v>
      </c>
      <c r="D6124">
        <v>15330</v>
      </c>
      <c r="E6124">
        <v>37</v>
      </c>
      <c r="F6124" s="3" t="s">
        <v>5303</v>
      </c>
      <c r="G6124" s="4">
        <v>0</v>
      </c>
      <c r="H6124" s="4">
        <v>7600</v>
      </c>
      <c r="I6124" s="4">
        <v>46760817.700000003</v>
      </c>
    </row>
    <row r="6125" spans="1:9" x14ac:dyDescent="0.3">
      <c r="A6125" t="s">
        <v>71</v>
      </c>
      <c r="B6125" s="1">
        <v>45875</v>
      </c>
      <c r="C6125" s="1">
        <v>45900</v>
      </c>
      <c r="D6125">
        <v>15333</v>
      </c>
      <c r="E6125">
        <v>112</v>
      </c>
      <c r="F6125" s="3" t="s">
        <v>5304</v>
      </c>
      <c r="G6125" s="4">
        <v>0</v>
      </c>
      <c r="H6125" s="4">
        <v>394275</v>
      </c>
      <c r="I6125" s="4">
        <v>46366542.700000003</v>
      </c>
    </row>
    <row r="6126" spans="1:9" x14ac:dyDescent="0.3">
      <c r="A6126" t="s">
        <v>71</v>
      </c>
      <c r="B6126" s="1">
        <v>45889</v>
      </c>
      <c r="C6126" s="1">
        <v>45900</v>
      </c>
      <c r="D6126">
        <v>15334</v>
      </c>
      <c r="E6126">
        <v>46</v>
      </c>
      <c r="F6126" s="3" t="s">
        <v>5305</v>
      </c>
      <c r="G6126" s="4">
        <v>0</v>
      </c>
      <c r="H6126" s="4">
        <v>5333</v>
      </c>
      <c r="I6126" s="4">
        <v>46361209.700000003</v>
      </c>
    </row>
    <row r="6127" spans="1:9" x14ac:dyDescent="0.3">
      <c r="A6127" t="s">
        <v>71</v>
      </c>
      <c r="B6127" s="1">
        <v>45889</v>
      </c>
      <c r="C6127" s="1">
        <v>45900</v>
      </c>
      <c r="D6127">
        <v>15335</v>
      </c>
      <c r="E6127">
        <v>118</v>
      </c>
      <c r="F6127" s="3" t="s">
        <v>5306</v>
      </c>
      <c r="G6127" s="4">
        <v>0</v>
      </c>
      <c r="H6127" s="4">
        <v>7637</v>
      </c>
      <c r="I6127" s="4">
        <v>46353572.700000003</v>
      </c>
    </row>
    <row r="6128" spans="1:9" x14ac:dyDescent="0.3">
      <c r="A6128" t="s">
        <v>71</v>
      </c>
      <c r="B6128" s="1">
        <v>45889</v>
      </c>
      <c r="C6128" s="1">
        <v>45900</v>
      </c>
      <c r="D6128">
        <v>15336</v>
      </c>
      <c r="E6128">
        <v>42</v>
      </c>
      <c r="F6128" s="3" t="s">
        <v>5307</v>
      </c>
      <c r="G6128" s="4">
        <v>0</v>
      </c>
      <c r="H6128" s="4">
        <v>8444</v>
      </c>
      <c r="I6128" s="4">
        <v>46345128.700000003</v>
      </c>
    </row>
    <row r="6129" spans="1:9" x14ac:dyDescent="0.3">
      <c r="A6129" t="s">
        <v>71</v>
      </c>
      <c r="B6129" s="1">
        <v>45891</v>
      </c>
      <c r="C6129" s="1">
        <v>45900</v>
      </c>
      <c r="D6129">
        <v>15337</v>
      </c>
      <c r="E6129">
        <v>63</v>
      </c>
      <c r="F6129" s="3" t="s">
        <v>5308</v>
      </c>
      <c r="G6129" s="4">
        <v>0</v>
      </c>
      <c r="H6129" s="4">
        <v>18425</v>
      </c>
      <c r="I6129" s="4">
        <v>46326703.700000003</v>
      </c>
    </row>
    <row r="6130" spans="1:9" x14ac:dyDescent="0.3">
      <c r="A6130" t="s">
        <v>71</v>
      </c>
      <c r="B6130" s="1">
        <v>45891</v>
      </c>
      <c r="C6130" s="1">
        <v>45900</v>
      </c>
      <c r="D6130">
        <v>15338</v>
      </c>
      <c r="E6130">
        <v>120</v>
      </c>
      <c r="F6130" s="3" t="s">
        <v>5309</v>
      </c>
      <c r="G6130" s="4">
        <v>0</v>
      </c>
      <c r="H6130" s="4">
        <v>21348</v>
      </c>
      <c r="I6130" s="4">
        <v>46305355.700000003</v>
      </c>
    </row>
    <row r="6131" spans="1:9" x14ac:dyDescent="0.3">
      <c r="A6131" t="s">
        <v>71</v>
      </c>
      <c r="B6131" s="1">
        <v>45891</v>
      </c>
      <c r="C6131" s="1">
        <v>45900</v>
      </c>
      <c r="D6131">
        <v>15339</v>
      </c>
      <c r="E6131">
        <v>111</v>
      </c>
      <c r="F6131" s="3" t="s">
        <v>5310</v>
      </c>
      <c r="G6131" s="4">
        <v>0</v>
      </c>
      <c r="H6131" s="4">
        <v>8560</v>
      </c>
      <c r="I6131" s="4">
        <v>46296795.700000003</v>
      </c>
    </row>
    <row r="6132" spans="1:9" x14ac:dyDescent="0.3">
      <c r="A6132" t="s">
        <v>71</v>
      </c>
      <c r="B6132" s="1">
        <v>45898</v>
      </c>
      <c r="C6132" s="1">
        <v>45900</v>
      </c>
      <c r="D6132">
        <v>15340</v>
      </c>
      <c r="E6132">
        <v>382</v>
      </c>
      <c r="F6132" s="3" t="s">
        <v>5311</v>
      </c>
      <c r="G6132" s="4">
        <v>0</v>
      </c>
      <c r="H6132" s="4">
        <v>6786</v>
      </c>
      <c r="I6132" s="4">
        <v>46290009.700000003</v>
      </c>
    </row>
    <row r="6133" spans="1:9" x14ac:dyDescent="0.3">
      <c r="A6133" t="s">
        <v>71</v>
      </c>
      <c r="B6133" s="1">
        <v>45896</v>
      </c>
      <c r="C6133" s="1">
        <v>45900</v>
      </c>
      <c r="D6133">
        <v>15341</v>
      </c>
      <c r="E6133">
        <v>100</v>
      </c>
      <c r="F6133" s="3" t="s">
        <v>5312</v>
      </c>
      <c r="G6133" s="4">
        <v>0</v>
      </c>
      <c r="H6133" s="4">
        <v>2804</v>
      </c>
      <c r="I6133" s="4">
        <v>46287205.700000003</v>
      </c>
    </row>
    <row r="6134" spans="1:9" x14ac:dyDescent="0.3">
      <c r="A6134" t="s">
        <v>71</v>
      </c>
      <c r="B6134" s="1">
        <v>45896</v>
      </c>
      <c r="C6134" s="1">
        <v>45900</v>
      </c>
      <c r="D6134">
        <v>15343</v>
      </c>
      <c r="E6134">
        <v>76</v>
      </c>
      <c r="F6134" s="3" t="s">
        <v>5313</v>
      </c>
      <c r="G6134" s="4">
        <v>0</v>
      </c>
      <c r="H6134" s="4">
        <v>7991</v>
      </c>
      <c r="I6134" s="4">
        <v>46279214.700000003</v>
      </c>
    </row>
    <row r="6135" spans="1:9" x14ac:dyDescent="0.3">
      <c r="A6135" t="s">
        <v>71</v>
      </c>
      <c r="B6135" s="1">
        <v>45896</v>
      </c>
      <c r="C6135" s="1">
        <v>45900</v>
      </c>
      <c r="D6135">
        <v>15344</v>
      </c>
      <c r="E6135">
        <v>116</v>
      </c>
      <c r="F6135" s="3" t="s">
        <v>5314</v>
      </c>
      <c r="G6135" s="4">
        <v>0</v>
      </c>
      <c r="H6135" s="4">
        <v>14097</v>
      </c>
      <c r="I6135" s="4">
        <v>46265117.700000003</v>
      </c>
    </row>
    <row r="6136" spans="1:9" x14ac:dyDescent="0.3">
      <c r="A6136" t="s">
        <v>71</v>
      </c>
      <c r="B6136" s="1">
        <v>45889</v>
      </c>
      <c r="C6136" s="1">
        <v>45900</v>
      </c>
      <c r="D6136">
        <v>15345</v>
      </c>
      <c r="E6136">
        <v>118</v>
      </c>
      <c r="F6136" s="3" t="s">
        <v>5306</v>
      </c>
      <c r="G6136" s="4">
        <v>0</v>
      </c>
      <c r="H6136" s="4">
        <v>7636</v>
      </c>
      <c r="I6136" s="4">
        <v>46257481.700000003</v>
      </c>
    </row>
    <row r="6137" spans="1:9" x14ac:dyDescent="0.3">
      <c r="A6137" t="s">
        <v>71</v>
      </c>
      <c r="B6137" s="1">
        <v>45889</v>
      </c>
      <c r="C6137" s="1">
        <v>45900</v>
      </c>
      <c r="D6137">
        <v>15345</v>
      </c>
      <c r="E6137">
        <v>118</v>
      </c>
      <c r="F6137" s="3" t="s">
        <v>5306</v>
      </c>
      <c r="G6137" s="4">
        <v>7637</v>
      </c>
      <c r="H6137" s="4">
        <v>0</v>
      </c>
      <c r="I6137" s="4">
        <v>46265118.700000003</v>
      </c>
    </row>
    <row r="6138" spans="1:9" x14ac:dyDescent="0.3">
      <c r="A6138" t="s">
        <v>71</v>
      </c>
      <c r="B6138" s="1">
        <v>45898</v>
      </c>
      <c r="C6138" s="1">
        <v>45900</v>
      </c>
      <c r="D6138">
        <v>15346</v>
      </c>
      <c r="E6138">
        <v>382</v>
      </c>
      <c r="F6138" s="3" t="s">
        <v>5315</v>
      </c>
      <c r="G6138" s="4">
        <v>6786</v>
      </c>
      <c r="H6138" s="4">
        <v>0</v>
      </c>
      <c r="I6138" s="4">
        <v>46271904.700000003</v>
      </c>
    </row>
    <row r="6139" spans="1:9" x14ac:dyDescent="0.3">
      <c r="A6139" t="s">
        <v>71</v>
      </c>
      <c r="B6139" s="1">
        <v>45898</v>
      </c>
      <c r="C6139" s="1">
        <v>45900</v>
      </c>
      <c r="D6139">
        <v>15346</v>
      </c>
      <c r="E6139">
        <v>382</v>
      </c>
      <c r="F6139" s="3" t="s">
        <v>5315</v>
      </c>
      <c r="G6139" s="4">
        <v>0</v>
      </c>
      <c r="H6139" s="4">
        <v>6785</v>
      </c>
      <c r="I6139" s="4">
        <v>46265119.700000003</v>
      </c>
    </row>
    <row r="6140" spans="1:9" x14ac:dyDescent="0.3">
      <c r="A6140" t="s">
        <v>71</v>
      </c>
      <c r="B6140" s="1">
        <v>45891</v>
      </c>
      <c r="C6140" s="1">
        <v>45900</v>
      </c>
      <c r="D6140">
        <v>15347</v>
      </c>
      <c r="E6140">
        <v>35</v>
      </c>
      <c r="F6140" s="3" t="s">
        <v>5316</v>
      </c>
      <c r="G6140" s="4">
        <v>0</v>
      </c>
      <c r="H6140" s="4">
        <v>4158</v>
      </c>
      <c r="I6140" s="4">
        <v>46260961.700000003</v>
      </c>
    </row>
    <row r="6141" spans="1:9" x14ac:dyDescent="0.3">
      <c r="A6141" t="s">
        <v>71</v>
      </c>
      <c r="B6141" s="1">
        <v>45891</v>
      </c>
      <c r="C6141" s="1">
        <v>45900</v>
      </c>
      <c r="D6141">
        <v>15347</v>
      </c>
      <c r="E6141">
        <v>35</v>
      </c>
      <c r="F6141" s="3" t="s">
        <v>5316</v>
      </c>
      <c r="G6141" s="4">
        <v>0</v>
      </c>
      <c r="H6141" s="4">
        <v>4881</v>
      </c>
      <c r="I6141" s="4">
        <v>46256080.700000003</v>
      </c>
    </row>
    <row r="6142" spans="1:9" x14ac:dyDescent="0.3">
      <c r="A6142" t="s">
        <v>71</v>
      </c>
      <c r="B6142" s="1">
        <v>45900</v>
      </c>
      <c r="C6142" s="1">
        <v>45900</v>
      </c>
      <c r="D6142">
        <v>15418</v>
      </c>
      <c r="E6142">
        <v>100</v>
      </c>
      <c r="F6142" s="3" t="s">
        <v>5317</v>
      </c>
      <c r="G6142" s="4">
        <v>81.96</v>
      </c>
      <c r="H6142" s="4">
        <v>0</v>
      </c>
      <c r="I6142" s="4">
        <v>46256162.659999996</v>
      </c>
    </row>
    <row r="6143" spans="1:9" x14ac:dyDescent="0.3">
      <c r="A6143" t="s">
        <v>71</v>
      </c>
      <c r="B6143" s="1">
        <v>45869</v>
      </c>
      <c r="C6143" s="1">
        <v>45900</v>
      </c>
      <c r="D6143">
        <v>15418</v>
      </c>
      <c r="E6143">
        <v>100</v>
      </c>
      <c r="F6143" s="3" t="s">
        <v>5318</v>
      </c>
      <c r="G6143" s="4">
        <v>90.37</v>
      </c>
      <c r="H6143" s="4">
        <v>0</v>
      </c>
      <c r="I6143" s="4">
        <v>46256253.030000001</v>
      </c>
    </row>
    <row r="6144" spans="1:9" x14ac:dyDescent="0.3">
      <c r="A6144" t="s">
        <v>71</v>
      </c>
      <c r="B6144" s="1">
        <v>45900</v>
      </c>
      <c r="C6144" s="1">
        <v>45900</v>
      </c>
      <c r="D6144">
        <v>15495</v>
      </c>
      <c r="E6144">
        <v>15</v>
      </c>
      <c r="F6144" s="3" t="s">
        <v>5319</v>
      </c>
      <c r="G6144" s="4">
        <v>43867.839999999997</v>
      </c>
      <c r="H6144" s="4">
        <v>0</v>
      </c>
      <c r="I6144" s="4">
        <v>46300120.869999997</v>
      </c>
    </row>
    <row r="6145" spans="1:9" x14ac:dyDescent="0.3">
      <c r="A6145" t="s">
        <v>71</v>
      </c>
      <c r="B6145" s="1">
        <v>45897</v>
      </c>
      <c r="C6145" s="1">
        <v>45900</v>
      </c>
      <c r="D6145">
        <v>15505</v>
      </c>
      <c r="E6145">
        <v>100</v>
      </c>
      <c r="F6145" s="3" t="s">
        <v>5320</v>
      </c>
      <c r="G6145" s="4">
        <v>15000000</v>
      </c>
      <c r="H6145" s="4">
        <v>0</v>
      </c>
      <c r="I6145" s="4">
        <v>61300120.869999997</v>
      </c>
    </row>
    <row r="6146" spans="1:9" x14ac:dyDescent="0.3">
      <c r="A6146" t="s">
        <v>71</v>
      </c>
      <c r="B6146" s="1">
        <v>45899</v>
      </c>
      <c r="C6146" s="1">
        <v>45900</v>
      </c>
      <c r="D6146">
        <v>15506</v>
      </c>
      <c r="E6146">
        <v>100</v>
      </c>
      <c r="F6146" s="3" t="s">
        <v>5321</v>
      </c>
      <c r="G6146" s="4">
        <v>0</v>
      </c>
      <c r="H6146" s="4">
        <v>47641169.670000002</v>
      </c>
      <c r="I6146" s="4">
        <v>13658951.199999999</v>
      </c>
    </row>
    <row r="6147" spans="1:9" x14ac:dyDescent="0.3">
      <c r="A6147" t="s">
        <v>71</v>
      </c>
      <c r="B6147" s="1">
        <v>45899</v>
      </c>
      <c r="C6147" s="1">
        <v>45900</v>
      </c>
      <c r="D6147">
        <v>15506</v>
      </c>
      <c r="E6147">
        <v>100</v>
      </c>
      <c r="F6147" s="3" t="s">
        <v>5321</v>
      </c>
      <c r="G6147" s="4">
        <v>0</v>
      </c>
      <c r="H6147" s="4">
        <v>7458644.6100000003</v>
      </c>
      <c r="I6147" s="4">
        <v>6200306.5899999999</v>
      </c>
    </row>
    <row r="6148" spans="1:9" x14ac:dyDescent="0.3">
      <c r="A6148" t="s">
        <v>71</v>
      </c>
      <c r="B6148" s="1">
        <v>45870</v>
      </c>
      <c r="C6148" s="1">
        <v>45900</v>
      </c>
      <c r="D6148">
        <v>15510</v>
      </c>
      <c r="E6148">
        <v>53</v>
      </c>
      <c r="F6148" s="3" t="s">
        <v>5322</v>
      </c>
      <c r="G6148" s="4">
        <v>0</v>
      </c>
      <c r="H6148" s="4">
        <v>8750</v>
      </c>
      <c r="I6148" s="4">
        <v>6191556.5899999999</v>
      </c>
    </row>
    <row r="6149" spans="1:9" x14ac:dyDescent="0.3">
      <c r="A6149" t="s">
        <v>71</v>
      </c>
      <c r="B6149" s="1">
        <v>45870</v>
      </c>
      <c r="C6149" s="1">
        <v>45900</v>
      </c>
      <c r="D6149">
        <v>15510</v>
      </c>
      <c r="E6149">
        <v>53</v>
      </c>
      <c r="F6149" s="3" t="s">
        <v>5323</v>
      </c>
      <c r="G6149" s="4">
        <v>0</v>
      </c>
      <c r="H6149" s="4">
        <v>1750</v>
      </c>
      <c r="I6149" s="4">
        <v>6189806.5899999999</v>
      </c>
    </row>
    <row r="6150" spans="1:9" x14ac:dyDescent="0.3">
      <c r="A6150" t="s">
        <v>71</v>
      </c>
      <c r="B6150" s="1">
        <v>45894</v>
      </c>
      <c r="C6150" s="1">
        <v>45900</v>
      </c>
      <c r="D6150">
        <v>15542</v>
      </c>
      <c r="E6150">
        <v>100</v>
      </c>
      <c r="F6150" s="3">
        <v>5610280640336</v>
      </c>
      <c r="G6150" s="4">
        <v>0</v>
      </c>
      <c r="H6150" s="4">
        <v>54667.62</v>
      </c>
      <c r="I6150" s="4">
        <v>6135138.9699999997</v>
      </c>
    </row>
    <row r="6151" spans="1:9" x14ac:dyDescent="0.3">
      <c r="A6151" t="s">
        <v>71</v>
      </c>
      <c r="B6151" s="1">
        <v>45897</v>
      </c>
      <c r="C6151" s="1">
        <v>45900</v>
      </c>
      <c r="D6151">
        <v>15543</v>
      </c>
      <c r="E6151">
        <v>100</v>
      </c>
      <c r="F6151" s="3">
        <v>5701010217423</v>
      </c>
      <c r="G6151" s="4">
        <v>0</v>
      </c>
      <c r="H6151" s="4">
        <v>900.17</v>
      </c>
      <c r="I6151" s="4">
        <v>6134238.7999999998</v>
      </c>
    </row>
    <row r="6152" spans="1:9" x14ac:dyDescent="0.3">
      <c r="A6152" t="s">
        <v>71</v>
      </c>
      <c r="B6152" s="1">
        <v>45895</v>
      </c>
      <c r="C6152" s="1">
        <v>45900</v>
      </c>
      <c r="D6152">
        <v>15543</v>
      </c>
      <c r="E6152">
        <v>100</v>
      </c>
      <c r="F6152" s="3">
        <v>5620110189249</v>
      </c>
      <c r="G6152" s="4">
        <v>0</v>
      </c>
      <c r="H6152" s="4">
        <v>848.91</v>
      </c>
      <c r="I6152" s="4">
        <v>6133389.8899999997</v>
      </c>
    </row>
    <row r="6153" spans="1:9" x14ac:dyDescent="0.3">
      <c r="A6153" t="s">
        <v>71</v>
      </c>
      <c r="B6153" s="1">
        <v>45898</v>
      </c>
      <c r="C6153" s="1">
        <v>45900</v>
      </c>
      <c r="D6153">
        <v>15545</v>
      </c>
      <c r="E6153">
        <v>100</v>
      </c>
      <c r="F6153" s="3" t="s">
        <v>5324</v>
      </c>
      <c r="G6153" s="4">
        <v>57500</v>
      </c>
      <c r="H6153" s="4">
        <v>0</v>
      </c>
      <c r="I6153" s="4">
        <v>6190889.8899999997</v>
      </c>
    </row>
    <row r="6154" spans="1:9" x14ac:dyDescent="0.3">
      <c r="A6154" t="s">
        <v>71</v>
      </c>
      <c r="B6154" s="1">
        <v>45885</v>
      </c>
      <c r="C6154" s="1">
        <v>45900</v>
      </c>
      <c r="D6154">
        <v>15609</v>
      </c>
      <c r="E6154">
        <v>94</v>
      </c>
      <c r="F6154" s="3" t="s">
        <v>5325</v>
      </c>
      <c r="G6154" s="4">
        <v>0</v>
      </c>
      <c r="H6154" s="4">
        <v>58437.5</v>
      </c>
      <c r="I6154" s="4">
        <v>6132452.3899999997</v>
      </c>
    </row>
    <row r="6155" spans="1:9" x14ac:dyDescent="0.3">
      <c r="A6155" t="s">
        <v>71</v>
      </c>
      <c r="B6155" s="1">
        <v>45880</v>
      </c>
      <c r="C6155" s="1">
        <v>45900</v>
      </c>
      <c r="D6155">
        <v>15662</v>
      </c>
      <c r="E6155">
        <v>100</v>
      </c>
      <c r="F6155" s="3" t="s">
        <v>5326</v>
      </c>
      <c r="G6155" s="4">
        <v>0</v>
      </c>
      <c r="H6155" s="4">
        <v>60956.56</v>
      </c>
      <c r="I6155" s="4">
        <v>6071495.8300000001</v>
      </c>
    </row>
    <row r="6156" spans="1:9" x14ac:dyDescent="0.3">
      <c r="A6156" t="s">
        <v>71</v>
      </c>
      <c r="B6156" s="1">
        <v>45889</v>
      </c>
      <c r="C6156" s="1">
        <v>45900</v>
      </c>
      <c r="D6156">
        <v>15663</v>
      </c>
      <c r="E6156">
        <v>100</v>
      </c>
      <c r="F6156" s="3" t="s">
        <v>5327</v>
      </c>
      <c r="G6156" s="4">
        <v>0</v>
      </c>
      <c r="H6156" s="4">
        <v>56801.46</v>
      </c>
      <c r="I6156" s="4">
        <v>6014694.3700000001</v>
      </c>
    </row>
    <row r="6157" spans="1:9" x14ac:dyDescent="0.3">
      <c r="A6157" t="s">
        <v>71</v>
      </c>
      <c r="B6157" s="1">
        <v>45900</v>
      </c>
      <c r="C6157" s="1">
        <v>45900</v>
      </c>
      <c r="D6157">
        <v>15732</v>
      </c>
      <c r="E6157">
        <v>100</v>
      </c>
      <c r="F6157" s="3" t="s">
        <v>5328</v>
      </c>
      <c r="G6157" s="4">
        <v>0</v>
      </c>
      <c r="H6157" s="4">
        <v>3047.86</v>
      </c>
      <c r="I6157" s="4">
        <v>6011646.5099999998</v>
      </c>
    </row>
    <row r="6158" spans="1:9" x14ac:dyDescent="0.3">
      <c r="A6158" t="s">
        <v>71</v>
      </c>
      <c r="B6158" s="1">
        <v>45900</v>
      </c>
      <c r="C6158" s="1">
        <v>45900</v>
      </c>
      <c r="D6158">
        <v>15732</v>
      </c>
      <c r="E6158">
        <v>100</v>
      </c>
      <c r="F6158" s="3" t="s">
        <v>5329</v>
      </c>
      <c r="G6158" s="4">
        <v>0</v>
      </c>
      <c r="H6158" s="4">
        <v>630</v>
      </c>
      <c r="I6158" s="4">
        <v>6011016.5099999998</v>
      </c>
    </row>
    <row r="6159" spans="1:9" x14ac:dyDescent="0.3">
      <c r="A6159" t="s">
        <v>71</v>
      </c>
      <c r="B6159" s="1">
        <v>45900</v>
      </c>
      <c r="C6159" s="1">
        <v>45900</v>
      </c>
      <c r="D6159">
        <v>15732</v>
      </c>
      <c r="E6159">
        <v>100</v>
      </c>
      <c r="F6159" s="3" t="s">
        <v>5330</v>
      </c>
      <c r="G6159" s="4">
        <v>0</v>
      </c>
      <c r="H6159" s="4">
        <v>2840.07</v>
      </c>
      <c r="I6159" s="4">
        <v>6008176.4400000004</v>
      </c>
    </row>
    <row r="6160" spans="1:9" x14ac:dyDescent="0.3">
      <c r="A6160" t="s">
        <v>71</v>
      </c>
      <c r="B6160" s="1">
        <v>45900</v>
      </c>
      <c r="C6160" s="1">
        <v>45900</v>
      </c>
      <c r="D6160">
        <v>15732</v>
      </c>
      <c r="E6160">
        <v>100</v>
      </c>
      <c r="F6160" s="3" t="s">
        <v>5329</v>
      </c>
      <c r="G6160" s="4">
        <v>0</v>
      </c>
      <c r="H6160" s="4">
        <v>810.6</v>
      </c>
      <c r="I6160" s="4">
        <v>6007365.8399999999</v>
      </c>
    </row>
    <row r="6161" spans="1:9" x14ac:dyDescent="0.3">
      <c r="A6161" t="s">
        <v>71</v>
      </c>
      <c r="B6161" s="1">
        <v>45852</v>
      </c>
      <c r="C6161" s="1">
        <v>45900</v>
      </c>
      <c r="D6161">
        <v>15734</v>
      </c>
      <c r="E6161">
        <v>100</v>
      </c>
      <c r="F6161" s="3" t="s">
        <v>5331</v>
      </c>
      <c r="G6161" s="4">
        <v>0</v>
      </c>
      <c r="H6161" s="4">
        <v>41179</v>
      </c>
      <c r="I6161" s="4">
        <v>5966186.8399999999</v>
      </c>
    </row>
    <row r="6162" spans="1:9" x14ac:dyDescent="0.3">
      <c r="A6162" t="s">
        <v>71</v>
      </c>
      <c r="B6162" s="1">
        <v>45900</v>
      </c>
      <c r="C6162" s="1">
        <v>45900</v>
      </c>
      <c r="D6162">
        <v>15735</v>
      </c>
      <c r="E6162">
        <v>100</v>
      </c>
      <c r="F6162" s="3" t="s">
        <v>5332</v>
      </c>
      <c r="G6162" s="4">
        <v>0</v>
      </c>
      <c r="H6162" s="4">
        <v>12654.62</v>
      </c>
      <c r="I6162" s="4">
        <v>5953532.2199999997</v>
      </c>
    </row>
    <row r="6163" spans="1:9" x14ac:dyDescent="0.3">
      <c r="A6163" t="s">
        <v>71</v>
      </c>
      <c r="B6163" s="1">
        <v>45852</v>
      </c>
      <c r="C6163" s="1">
        <v>45900</v>
      </c>
      <c r="D6163">
        <v>15738</v>
      </c>
      <c r="E6163">
        <v>117</v>
      </c>
      <c r="F6163" s="3" t="s">
        <v>5331</v>
      </c>
      <c r="G6163" s="4">
        <v>41179</v>
      </c>
      <c r="H6163" s="4">
        <v>0</v>
      </c>
      <c r="I6163" s="4">
        <v>5994711.2199999997</v>
      </c>
    </row>
    <row r="6164" spans="1:9" x14ac:dyDescent="0.3">
      <c r="A6164" t="s">
        <v>71</v>
      </c>
      <c r="B6164" s="1">
        <v>45900</v>
      </c>
      <c r="C6164" s="1">
        <v>45900</v>
      </c>
      <c r="D6164">
        <v>15782</v>
      </c>
      <c r="E6164">
        <v>100</v>
      </c>
      <c r="F6164" s="3" t="s">
        <v>5333</v>
      </c>
      <c r="G6164" s="4">
        <v>0</v>
      </c>
      <c r="H6164" s="4">
        <v>945.09</v>
      </c>
      <c r="I6164" s="4">
        <v>5993766.1299999999</v>
      </c>
    </row>
    <row r="6165" spans="1:9" x14ac:dyDescent="0.3">
      <c r="A6165" t="s">
        <v>71</v>
      </c>
      <c r="B6165" s="1">
        <v>45900</v>
      </c>
      <c r="C6165" s="1">
        <v>45900</v>
      </c>
      <c r="D6165">
        <v>15784</v>
      </c>
      <c r="E6165">
        <v>117</v>
      </c>
      <c r="F6165" s="3" t="s">
        <v>5334</v>
      </c>
      <c r="G6165" s="4">
        <v>0</v>
      </c>
      <c r="H6165" s="4">
        <v>5000</v>
      </c>
      <c r="I6165" s="4">
        <v>5988766.1299999999</v>
      </c>
    </row>
    <row r="6166" spans="1:9" x14ac:dyDescent="0.3">
      <c r="A6166" t="s">
        <v>71</v>
      </c>
      <c r="B6166" s="1">
        <v>45861</v>
      </c>
      <c r="C6166" s="1">
        <v>45900</v>
      </c>
      <c r="D6166">
        <v>15799</v>
      </c>
      <c r="E6166">
        <v>100</v>
      </c>
      <c r="F6166" s="3" t="s">
        <v>5335</v>
      </c>
      <c r="G6166" s="4">
        <v>0</v>
      </c>
      <c r="H6166" s="4">
        <v>7500</v>
      </c>
      <c r="I6166" s="4">
        <v>5981266.1299999999</v>
      </c>
    </row>
    <row r="6167" spans="1:9" x14ac:dyDescent="0.3">
      <c r="A6167" t="s">
        <v>71</v>
      </c>
      <c r="B6167" s="1">
        <v>45900</v>
      </c>
      <c r="C6167" s="1">
        <v>45900</v>
      </c>
      <c r="D6167">
        <v>16069</v>
      </c>
      <c r="E6167">
        <v>76</v>
      </c>
      <c r="F6167" s="3" t="s">
        <v>5336</v>
      </c>
      <c r="G6167" s="4">
        <v>0</v>
      </c>
      <c r="H6167" s="4">
        <v>11528.5</v>
      </c>
      <c r="I6167" s="4">
        <v>5969737.6299999999</v>
      </c>
    </row>
    <row r="6168" spans="1:9" x14ac:dyDescent="0.3">
      <c r="A6168" t="s">
        <v>2579</v>
      </c>
      <c r="B6168" s="1">
        <v>45899</v>
      </c>
      <c r="C6168" s="1">
        <v>45900</v>
      </c>
      <c r="D6168">
        <v>1920</v>
      </c>
      <c r="E6168">
        <v>100</v>
      </c>
      <c r="F6168" s="3" t="s">
        <v>5337</v>
      </c>
      <c r="G6168" s="4">
        <v>53770.13</v>
      </c>
      <c r="H6168" s="4">
        <v>0</v>
      </c>
      <c r="I6168" s="4">
        <v>6023507.7599999998</v>
      </c>
    </row>
    <row r="6169" spans="1:9" x14ac:dyDescent="0.3">
      <c r="A6169" t="s">
        <v>2579</v>
      </c>
      <c r="B6169" s="1">
        <v>45897</v>
      </c>
      <c r="C6169" s="1">
        <v>45900</v>
      </c>
      <c r="D6169">
        <v>1921</v>
      </c>
      <c r="E6169">
        <v>100</v>
      </c>
      <c r="F6169" s="3" t="s">
        <v>5338</v>
      </c>
      <c r="G6169" s="4">
        <v>17457.43</v>
      </c>
      <c r="H6169" s="4">
        <v>0</v>
      </c>
      <c r="I6169" s="4">
        <v>6040965.1900000004</v>
      </c>
    </row>
    <row r="6170" spans="1:9" x14ac:dyDescent="0.3">
      <c r="A6170" t="s">
        <v>2579</v>
      </c>
      <c r="B6170" s="1">
        <v>45897</v>
      </c>
      <c r="C6170" s="1">
        <v>45900</v>
      </c>
      <c r="D6170">
        <v>1922</v>
      </c>
      <c r="E6170">
        <v>100</v>
      </c>
      <c r="F6170" s="3" t="s">
        <v>5339</v>
      </c>
      <c r="G6170" s="4">
        <v>888153.01</v>
      </c>
      <c r="H6170" s="4">
        <v>0</v>
      </c>
      <c r="I6170" s="4">
        <v>6929118.2000000002</v>
      </c>
    </row>
    <row r="6171" spans="1:9" x14ac:dyDescent="0.3">
      <c r="A6171" t="s">
        <v>2579</v>
      </c>
      <c r="B6171" s="1">
        <v>45897</v>
      </c>
      <c r="C6171" s="1">
        <v>45900</v>
      </c>
      <c r="D6171">
        <v>1922</v>
      </c>
      <c r="E6171">
        <v>100</v>
      </c>
      <c r="F6171" s="3" t="s">
        <v>5340</v>
      </c>
      <c r="G6171" s="4">
        <v>1984.5</v>
      </c>
      <c r="H6171" s="4">
        <v>0</v>
      </c>
      <c r="I6171" s="4">
        <v>6931102.7000000002</v>
      </c>
    </row>
    <row r="6172" spans="1:9" x14ac:dyDescent="0.3">
      <c r="A6172" t="s">
        <v>2579</v>
      </c>
      <c r="B6172" s="1">
        <v>45899</v>
      </c>
      <c r="C6172" s="1">
        <v>45900</v>
      </c>
      <c r="D6172">
        <v>1940</v>
      </c>
      <c r="E6172">
        <v>86</v>
      </c>
      <c r="F6172" s="3" t="s">
        <v>5341</v>
      </c>
      <c r="G6172" s="4">
        <v>0</v>
      </c>
      <c r="H6172" s="4">
        <v>21017.5</v>
      </c>
      <c r="I6172" s="4">
        <v>6910085.2000000002</v>
      </c>
    </row>
    <row r="6173" spans="1:9" x14ac:dyDescent="0.3">
      <c r="A6173" t="s">
        <v>2579</v>
      </c>
      <c r="B6173" s="1">
        <v>45883</v>
      </c>
      <c r="C6173" s="1">
        <v>45900</v>
      </c>
      <c r="D6173">
        <v>1943</v>
      </c>
      <c r="E6173">
        <v>100</v>
      </c>
      <c r="F6173" s="3" t="s">
        <v>5342</v>
      </c>
      <c r="G6173" s="4">
        <v>154775.98000000001</v>
      </c>
      <c r="H6173" s="4">
        <v>0</v>
      </c>
      <c r="I6173" s="4">
        <v>7064861.1799999997</v>
      </c>
    </row>
    <row r="6174" spans="1:9" x14ac:dyDescent="0.3">
      <c r="A6174" t="s">
        <v>2579</v>
      </c>
      <c r="B6174" s="1">
        <v>45881</v>
      </c>
      <c r="C6174" s="1">
        <v>45900</v>
      </c>
      <c r="D6174">
        <v>1944</v>
      </c>
      <c r="E6174">
        <v>100</v>
      </c>
      <c r="F6174" s="3" t="s">
        <v>5343</v>
      </c>
      <c r="G6174" s="4">
        <v>24736.73</v>
      </c>
      <c r="H6174" s="4">
        <v>0</v>
      </c>
      <c r="I6174" s="4">
        <v>7089597.9100000001</v>
      </c>
    </row>
    <row r="6175" spans="1:9" x14ac:dyDescent="0.3">
      <c r="A6175" t="s">
        <v>2579</v>
      </c>
      <c r="B6175" s="1">
        <v>45888</v>
      </c>
      <c r="C6175" s="1">
        <v>45900</v>
      </c>
      <c r="D6175">
        <v>1946</v>
      </c>
      <c r="E6175">
        <v>100</v>
      </c>
      <c r="F6175" s="3" t="s">
        <v>5344</v>
      </c>
      <c r="G6175" s="4">
        <v>30684.080000000002</v>
      </c>
      <c r="H6175" s="4">
        <v>0</v>
      </c>
      <c r="I6175" s="4">
        <v>7120281.9900000002</v>
      </c>
    </row>
    <row r="6176" spans="1:9" x14ac:dyDescent="0.3">
      <c r="A6176" t="s">
        <v>2579</v>
      </c>
      <c r="B6176" s="1">
        <v>45888</v>
      </c>
      <c r="C6176" s="1">
        <v>45900</v>
      </c>
      <c r="D6176">
        <v>1949</v>
      </c>
      <c r="E6176">
        <v>100</v>
      </c>
      <c r="F6176" s="3" t="s">
        <v>5345</v>
      </c>
      <c r="G6176" s="4">
        <v>1538.79</v>
      </c>
      <c r="H6176" s="4">
        <v>0</v>
      </c>
      <c r="I6176" s="4">
        <v>7121820.7800000003</v>
      </c>
    </row>
    <row r="6177" spans="1:9" x14ac:dyDescent="0.3">
      <c r="A6177" t="s">
        <v>2579</v>
      </c>
      <c r="B6177" s="1">
        <v>45888</v>
      </c>
      <c r="C6177" s="1">
        <v>45900</v>
      </c>
      <c r="D6177">
        <v>1949</v>
      </c>
      <c r="E6177">
        <v>100</v>
      </c>
      <c r="F6177" s="3" t="s">
        <v>5346</v>
      </c>
      <c r="G6177" s="4">
        <v>9359.2000000000007</v>
      </c>
      <c r="H6177" s="4">
        <v>0</v>
      </c>
      <c r="I6177" s="4">
        <v>7131179.9800000004</v>
      </c>
    </row>
    <row r="6178" spans="1:9" x14ac:dyDescent="0.3">
      <c r="A6178" t="s">
        <v>2579</v>
      </c>
      <c r="B6178" s="1">
        <v>45888</v>
      </c>
      <c r="C6178" s="1">
        <v>45900</v>
      </c>
      <c r="D6178">
        <v>1949</v>
      </c>
      <c r="E6178">
        <v>100</v>
      </c>
      <c r="F6178" s="3" t="s">
        <v>5347</v>
      </c>
      <c r="G6178" s="4">
        <v>8605.44</v>
      </c>
      <c r="H6178" s="4">
        <v>0</v>
      </c>
      <c r="I6178" s="4">
        <v>7139785.4199999999</v>
      </c>
    </row>
    <row r="6179" spans="1:9" x14ac:dyDescent="0.3">
      <c r="A6179" t="s">
        <v>2579</v>
      </c>
      <c r="B6179" s="1">
        <v>45888</v>
      </c>
      <c r="C6179" s="1">
        <v>45900</v>
      </c>
      <c r="D6179">
        <v>1949</v>
      </c>
      <c r="E6179">
        <v>100</v>
      </c>
      <c r="F6179" s="3" t="s">
        <v>5348</v>
      </c>
      <c r="G6179" s="4">
        <v>7350.95</v>
      </c>
      <c r="H6179" s="4">
        <v>0</v>
      </c>
      <c r="I6179" s="4">
        <v>7147136.3700000001</v>
      </c>
    </row>
    <row r="6180" spans="1:9" x14ac:dyDescent="0.3">
      <c r="A6180" t="s">
        <v>2579</v>
      </c>
      <c r="B6180" s="1">
        <v>45888</v>
      </c>
      <c r="C6180" s="1">
        <v>45900</v>
      </c>
      <c r="D6180">
        <v>1949</v>
      </c>
      <c r="E6180">
        <v>100</v>
      </c>
      <c r="F6180" s="3" t="s">
        <v>5349</v>
      </c>
      <c r="G6180" s="4">
        <v>5816.41</v>
      </c>
      <c r="H6180" s="4">
        <v>0</v>
      </c>
      <c r="I6180" s="4">
        <v>7152952.7800000003</v>
      </c>
    </row>
    <row r="6181" spans="1:9" x14ac:dyDescent="0.3">
      <c r="A6181" t="s">
        <v>2579</v>
      </c>
      <c r="B6181" s="1">
        <v>45884</v>
      </c>
      <c r="C6181" s="1">
        <v>45900</v>
      </c>
      <c r="D6181">
        <v>1949</v>
      </c>
      <c r="E6181">
        <v>100</v>
      </c>
      <c r="F6181" s="3" t="s">
        <v>5350</v>
      </c>
      <c r="G6181" s="4">
        <v>129000</v>
      </c>
      <c r="H6181" s="4">
        <v>0</v>
      </c>
      <c r="I6181" s="4">
        <v>7281952.7800000003</v>
      </c>
    </row>
    <row r="6182" spans="1:9" x14ac:dyDescent="0.3">
      <c r="A6182" t="s">
        <v>2579</v>
      </c>
      <c r="B6182" s="1">
        <v>45888</v>
      </c>
      <c r="C6182" s="1">
        <v>45900</v>
      </c>
      <c r="D6182">
        <v>1949</v>
      </c>
      <c r="E6182">
        <v>100</v>
      </c>
      <c r="F6182" s="3" t="s">
        <v>5351</v>
      </c>
      <c r="G6182" s="4">
        <v>8438.99</v>
      </c>
      <c r="H6182" s="4">
        <v>0</v>
      </c>
      <c r="I6182" s="4">
        <v>7290391.7699999996</v>
      </c>
    </row>
    <row r="6183" spans="1:9" x14ac:dyDescent="0.3">
      <c r="A6183" t="s">
        <v>2579</v>
      </c>
      <c r="B6183" s="1">
        <v>45888</v>
      </c>
      <c r="C6183" s="1">
        <v>45900</v>
      </c>
      <c r="D6183">
        <v>1949</v>
      </c>
      <c r="E6183">
        <v>100</v>
      </c>
      <c r="F6183" s="3" t="s">
        <v>5352</v>
      </c>
      <c r="G6183" s="4">
        <v>1937.69</v>
      </c>
      <c r="H6183" s="4">
        <v>0</v>
      </c>
      <c r="I6183" s="4">
        <v>7292329.46</v>
      </c>
    </row>
    <row r="6184" spans="1:9" x14ac:dyDescent="0.3">
      <c r="A6184" t="s">
        <v>2579</v>
      </c>
      <c r="B6184" s="1">
        <v>45896</v>
      </c>
      <c r="C6184" s="1">
        <v>45900</v>
      </c>
      <c r="D6184">
        <v>1950</v>
      </c>
      <c r="E6184">
        <v>100</v>
      </c>
      <c r="F6184" s="3" t="s">
        <v>5353</v>
      </c>
      <c r="G6184" s="4">
        <v>122753.3</v>
      </c>
      <c r="H6184" s="4">
        <v>0</v>
      </c>
      <c r="I6184" s="4">
        <v>7415082.7599999998</v>
      </c>
    </row>
    <row r="6185" spans="1:9" x14ac:dyDescent="0.3">
      <c r="A6185" t="s">
        <v>2579</v>
      </c>
      <c r="B6185" s="1">
        <v>45895</v>
      </c>
      <c r="C6185" s="1">
        <v>45900</v>
      </c>
      <c r="D6185">
        <v>1968</v>
      </c>
      <c r="E6185">
        <v>100</v>
      </c>
      <c r="F6185" s="3" t="s">
        <v>5354</v>
      </c>
      <c r="G6185" s="4">
        <v>31027</v>
      </c>
      <c r="H6185" s="4">
        <v>0</v>
      </c>
      <c r="I6185" s="4">
        <v>7446109.7599999998</v>
      </c>
    </row>
    <row r="6186" spans="1:9" x14ac:dyDescent="0.3">
      <c r="A6186" t="s">
        <v>2579</v>
      </c>
      <c r="B6186" s="1">
        <v>45894</v>
      </c>
      <c r="C6186" s="1">
        <v>45900</v>
      </c>
      <c r="D6186">
        <v>1973</v>
      </c>
      <c r="E6186">
        <v>100</v>
      </c>
      <c r="F6186" s="3" t="s">
        <v>5355</v>
      </c>
      <c r="G6186" s="4">
        <v>19680.34</v>
      </c>
      <c r="H6186" s="4">
        <v>0</v>
      </c>
      <c r="I6186" s="4">
        <v>7465790.0999999996</v>
      </c>
    </row>
    <row r="6187" spans="1:9" x14ac:dyDescent="0.3">
      <c r="A6187" t="s">
        <v>2579</v>
      </c>
      <c r="B6187" s="1">
        <v>45890</v>
      </c>
      <c r="C6187" s="1">
        <v>45900</v>
      </c>
      <c r="D6187">
        <v>1978</v>
      </c>
      <c r="E6187">
        <v>100</v>
      </c>
      <c r="F6187" s="3" t="s">
        <v>5338</v>
      </c>
      <c r="G6187" s="4">
        <v>22104.2</v>
      </c>
      <c r="H6187" s="4">
        <v>0</v>
      </c>
      <c r="I6187" s="4">
        <v>7487894.2999999998</v>
      </c>
    </row>
    <row r="6188" spans="1:9" x14ac:dyDescent="0.3">
      <c r="A6188" t="s">
        <v>2579</v>
      </c>
      <c r="B6188" s="1">
        <v>45890</v>
      </c>
      <c r="C6188" s="1">
        <v>45900</v>
      </c>
      <c r="D6188">
        <v>1980</v>
      </c>
      <c r="E6188">
        <v>100</v>
      </c>
      <c r="F6188" s="3" t="s">
        <v>5356</v>
      </c>
      <c r="G6188" s="4">
        <v>131905</v>
      </c>
      <c r="H6188" s="4">
        <v>0</v>
      </c>
      <c r="I6188" s="4">
        <v>7619799.2999999998</v>
      </c>
    </row>
    <row r="6189" spans="1:9" x14ac:dyDescent="0.3">
      <c r="A6189" t="s">
        <v>2579</v>
      </c>
      <c r="B6189" s="1">
        <v>45881</v>
      </c>
      <c r="C6189" s="1">
        <v>45900</v>
      </c>
      <c r="D6189">
        <v>1982</v>
      </c>
      <c r="E6189">
        <v>100</v>
      </c>
      <c r="F6189" s="3" t="s">
        <v>5357</v>
      </c>
      <c r="G6189" s="4">
        <v>21686.86</v>
      </c>
      <c r="H6189" s="4">
        <v>0</v>
      </c>
      <c r="I6189" s="4">
        <v>7641486.1600000001</v>
      </c>
    </row>
    <row r="6190" spans="1:9" x14ac:dyDescent="0.3">
      <c r="A6190" t="s">
        <v>2579</v>
      </c>
      <c r="B6190" s="1">
        <v>45884</v>
      </c>
      <c r="C6190" s="1">
        <v>45900</v>
      </c>
      <c r="D6190">
        <v>1984</v>
      </c>
      <c r="E6190">
        <v>100</v>
      </c>
      <c r="F6190" s="3" t="s">
        <v>5358</v>
      </c>
      <c r="G6190" s="4">
        <v>49737.25</v>
      </c>
      <c r="H6190" s="4">
        <v>0</v>
      </c>
      <c r="I6190" s="4">
        <v>7691223.4100000001</v>
      </c>
    </row>
    <row r="6191" spans="1:9" x14ac:dyDescent="0.3">
      <c r="A6191" t="s">
        <v>2579</v>
      </c>
      <c r="B6191" s="1">
        <v>45880</v>
      </c>
      <c r="C6191" s="1">
        <v>45900</v>
      </c>
      <c r="D6191">
        <v>1986</v>
      </c>
      <c r="E6191">
        <v>100</v>
      </c>
      <c r="F6191" s="3" t="s">
        <v>5359</v>
      </c>
      <c r="G6191" s="4">
        <v>148522.79999999999</v>
      </c>
      <c r="H6191" s="4">
        <v>0</v>
      </c>
      <c r="I6191" s="4">
        <v>7839746.21</v>
      </c>
    </row>
    <row r="6192" spans="1:9" x14ac:dyDescent="0.3">
      <c r="A6192" t="s">
        <v>2579</v>
      </c>
      <c r="B6192" s="1">
        <v>45876</v>
      </c>
      <c r="C6192" s="1">
        <v>45900</v>
      </c>
      <c r="D6192">
        <v>1988</v>
      </c>
      <c r="E6192">
        <v>100</v>
      </c>
      <c r="F6192" s="3" t="s">
        <v>5360</v>
      </c>
      <c r="G6192" s="4">
        <v>3483</v>
      </c>
      <c r="H6192" s="4">
        <v>0</v>
      </c>
      <c r="I6192" s="4">
        <v>7843229.21</v>
      </c>
    </row>
    <row r="6193" spans="1:9" x14ac:dyDescent="0.3">
      <c r="A6193" t="s">
        <v>2579</v>
      </c>
      <c r="B6193" s="1">
        <v>45876</v>
      </c>
      <c r="C6193" s="1">
        <v>45900</v>
      </c>
      <c r="D6193">
        <v>1989</v>
      </c>
      <c r="E6193">
        <v>100</v>
      </c>
      <c r="F6193" s="3" t="s">
        <v>5361</v>
      </c>
      <c r="G6193" s="4">
        <v>2533</v>
      </c>
      <c r="H6193" s="4">
        <v>0</v>
      </c>
      <c r="I6193" s="4">
        <v>7845762.21</v>
      </c>
    </row>
    <row r="6194" spans="1:9" x14ac:dyDescent="0.3">
      <c r="A6194" t="s">
        <v>2579</v>
      </c>
      <c r="B6194" s="1">
        <v>45876</v>
      </c>
      <c r="C6194" s="1">
        <v>45900</v>
      </c>
      <c r="D6194">
        <v>1993</v>
      </c>
      <c r="E6194">
        <v>100</v>
      </c>
      <c r="F6194" s="3" t="s">
        <v>5362</v>
      </c>
      <c r="G6194" s="4">
        <v>76480.2</v>
      </c>
      <c r="H6194" s="4">
        <v>0</v>
      </c>
      <c r="I6194" s="4">
        <v>7922242.4100000001</v>
      </c>
    </row>
    <row r="6195" spans="1:9" x14ac:dyDescent="0.3">
      <c r="A6195" t="s">
        <v>2579</v>
      </c>
      <c r="B6195" s="1">
        <v>45875</v>
      </c>
      <c r="C6195" s="1">
        <v>45900</v>
      </c>
      <c r="D6195">
        <v>1996</v>
      </c>
      <c r="E6195">
        <v>100</v>
      </c>
      <c r="F6195" s="3" t="s">
        <v>5363</v>
      </c>
      <c r="G6195" s="4">
        <v>7166</v>
      </c>
      <c r="H6195" s="4">
        <v>0</v>
      </c>
      <c r="I6195" s="4">
        <v>7929408.4100000001</v>
      </c>
    </row>
    <row r="6196" spans="1:9" x14ac:dyDescent="0.3">
      <c r="A6196" t="s">
        <v>2579</v>
      </c>
      <c r="B6196" s="1">
        <v>45875</v>
      </c>
      <c r="C6196" s="1">
        <v>45900</v>
      </c>
      <c r="D6196">
        <v>1996</v>
      </c>
      <c r="E6196">
        <v>100</v>
      </c>
      <c r="F6196" s="3" t="s">
        <v>5364</v>
      </c>
      <c r="G6196" s="4">
        <v>1579.65</v>
      </c>
      <c r="H6196" s="4">
        <v>0</v>
      </c>
      <c r="I6196" s="4">
        <v>7930988.0599999996</v>
      </c>
    </row>
    <row r="6197" spans="1:9" x14ac:dyDescent="0.3">
      <c r="A6197" t="s">
        <v>2579</v>
      </c>
      <c r="B6197" s="1">
        <v>45875</v>
      </c>
      <c r="C6197" s="1">
        <v>45900</v>
      </c>
      <c r="D6197">
        <v>1996</v>
      </c>
      <c r="E6197">
        <v>100</v>
      </c>
      <c r="F6197" s="3" t="s">
        <v>5365</v>
      </c>
      <c r="G6197" s="4">
        <v>323.02</v>
      </c>
      <c r="H6197" s="4">
        <v>0</v>
      </c>
      <c r="I6197" s="4">
        <v>7931311.0800000001</v>
      </c>
    </row>
    <row r="6198" spans="1:9" x14ac:dyDescent="0.3">
      <c r="A6198" t="s">
        <v>2579</v>
      </c>
      <c r="B6198" s="1">
        <v>45874</v>
      </c>
      <c r="C6198" s="1">
        <v>45900</v>
      </c>
      <c r="D6198">
        <v>1997</v>
      </c>
      <c r="E6198">
        <v>100</v>
      </c>
      <c r="F6198" s="3" t="s">
        <v>5366</v>
      </c>
      <c r="G6198" s="4">
        <v>12471.39</v>
      </c>
      <c r="H6198" s="4">
        <v>0</v>
      </c>
      <c r="I6198" s="4">
        <v>7943782.4699999997</v>
      </c>
    </row>
    <row r="6199" spans="1:9" x14ac:dyDescent="0.3">
      <c r="A6199" t="s">
        <v>2579</v>
      </c>
      <c r="B6199" s="1">
        <v>45873</v>
      </c>
      <c r="C6199" s="1">
        <v>45900</v>
      </c>
      <c r="D6199">
        <v>1998</v>
      </c>
      <c r="E6199">
        <v>100</v>
      </c>
      <c r="F6199" s="3" t="s">
        <v>5367</v>
      </c>
      <c r="G6199" s="4">
        <v>5210.5</v>
      </c>
      <c r="H6199" s="4">
        <v>0</v>
      </c>
      <c r="I6199" s="4">
        <v>7948992.9699999997</v>
      </c>
    </row>
    <row r="6200" spans="1:9" x14ac:dyDescent="0.3">
      <c r="A6200" t="s">
        <v>2579</v>
      </c>
      <c r="B6200" s="1">
        <v>45873</v>
      </c>
      <c r="C6200" s="1">
        <v>45900</v>
      </c>
      <c r="D6200">
        <v>2000</v>
      </c>
      <c r="E6200">
        <v>100</v>
      </c>
      <c r="F6200" s="3" t="s">
        <v>5367</v>
      </c>
      <c r="G6200" s="4">
        <v>0</v>
      </c>
      <c r="H6200" s="4">
        <v>5210.5</v>
      </c>
      <c r="I6200" s="4">
        <v>7943782.4699999997</v>
      </c>
    </row>
    <row r="6201" spans="1:9" x14ac:dyDescent="0.3">
      <c r="A6201" t="s">
        <v>2579</v>
      </c>
      <c r="B6201" s="1">
        <v>45875</v>
      </c>
      <c r="C6201" s="1">
        <v>45900</v>
      </c>
      <c r="D6201">
        <v>2003</v>
      </c>
      <c r="E6201">
        <v>100</v>
      </c>
      <c r="F6201" s="3" t="s">
        <v>5368</v>
      </c>
      <c r="G6201" s="4">
        <v>2638.31</v>
      </c>
      <c r="H6201" s="4">
        <v>0</v>
      </c>
      <c r="I6201" s="4">
        <v>7946420.7800000003</v>
      </c>
    </row>
    <row r="6202" spans="1:9" x14ac:dyDescent="0.3">
      <c r="A6202" t="s">
        <v>2579</v>
      </c>
      <c r="B6202" s="1">
        <v>45875</v>
      </c>
      <c r="C6202" s="1">
        <v>45900</v>
      </c>
      <c r="D6202">
        <v>2003</v>
      </c>
      <c r="E6202">
        <v>100</v>
      </c>
      <c r="F6202" s="3" t="s">
        <v>5369</v>
      </c>
      <c r="G6202" s="4">
        <v>6194.15</v>
      </c>
      <c r="H6202" s="4">
        <v>0</v>
      </c>
      <c r="I6202" s="4">
        <v>7952614.9299999997</v>
      </c>
    </row>
    <row r="6203" spans="1:9" x14ac:dyDescent="0.3">
      <c r="A6203" t="s">
        <v>2579</v>
      </c>
      <c r="B6203" s="1">
        <v>45870</v>
      </c>
      <c r="C6203" s="1">
        <v>45900</v>
      </c>
      <c r="D6203">
        <v>2004</v>
      </c>
      <c r="E6203">
        <v>100</v>
      </c>
      <c r="F6203" s="3" t="s">
        <v>5370</v>
      </c>
      <c r="G6203" s="4">
        <v>1548.39</v>
      </c>
      <c r="H6203" s="4">
        <v>0</v>
      </c>
      <c r="I6203" s="4">
        <v>7954163.3200000003</v>
      </c>
    </row>
    <row r="6204" spans="1:9" x14ac:dyDescent="0.3">
      <c r="A6204" t="s">
        <v>2579</v>
      </c>
      <c r="B6204" s="1">
        <v>45870</v>
      </c>
      <c r="C6204" s="1">
        <v>45900</v>
      </c>
      <c r="D6204">
        <v>2004</v>
      </c>
      <c r="E6204">
        <v>100</v>
      </c>
      <c r="F6204" s="3" t="s">
        <v>5370</v>
      </c>
      <c r="G6204" s="4">
        <v>148133.35</v>
      </c>
      <c r="H6204" s="4">
        <v>0</v>
      </c>
      <c r="I6204" s="4">
        <v>8102296.6699999999</v>
      </c>
    </row>
    <row r="6205" spans="1:9" x14ac:dyDescent="0.3">
      <c r="A6205" t="s">
        <v>2579</v>
      </c>
      <c r="B6205" s="1">
        <v>45872</v>
      </c>
      <c r="C6205" s="1">
        <v>45900</v>
      </c>
      <c r="D6205">
        <v>2013</v>
      </c>
      <c r="E6205">
        <v>100</v>
      </c>
      <c r="F6205" s="3" t="s">
        <v>5371</v>
      </c>
      <c r="G6205" s="4">
        <v>5027.25</v>
      </c>
      <c r="H6205" s="4">
        <v>0</v>
      </c>
      <c r="I6205" s="4">
        <v>8107323.9199999999</v>
      </c>
    </row>
    <row r="6206" spans="1:9" x14ac:dyDescent="0.3">
      <c r="A6206" t="s">
        <v>2579</v>
      </c>
      <c r="B6206" s="1">
        <v>45872</v>
      </c>
      <c r="C6206" s="1">
        <v>45900</v>
      </c>
      <c r="D6206">
        <v>2014</v>
      </c>
      <c r="E6206">
        <v>100</v>
      </c>
      <c r="F6206" s="3" t="s">
        <v>5371</v>
      </c>
      <c r="G6206" s="4">
        <v>0</v>
      </c>
      <c r="H6206" s="4">
        <v>5027.25</v>
      </c>
      <c r="I6206" s="4">
        <v>8102296.6699999999</v>
      </c>
    </row>
    <row r="6207" spans="1:9" x14ac:dyDescent="0.3">
      <c r="A6207" t="s">
        <v>2579</v>
      </c>
      <c r="B6207" s="1">
        <v>45874</v>
      </c>
      <c r="C6207" s="1">
        <v>45900</v>
      </c>
      <c r="D6207">
        <v>2024</v>
      </c>
      <c r="E6207">
        <v>100</v>
      </c>
      <c r="F6207" s="3" t="s">
        <v>5372</v>
      </c>
      <c r="G6207" s="4">
        <v>14635.09</v>
      </c>
      <c r="H6207" s="4">
        <v>0</v>
      </c>
      <c r="I6207" s="4">
        <v>8116931.7599999998</v>
      </c>
    </row>
    <row r="6208" spans="1:9" x14ac:dyDescent="0.3">
      <c r="A6208" t="s">
        <v>2579</v>
      </c>
      <c r="B6208" s="1">
        <v>45831</v>
      </c>
      <c r="C6208" s="1">
        <v>45900</v>
      </c>
      <c r="D6208">
        <v>2030</v>
      </c>
      <c r="E6208">
        <v>100</v>
      </c>
      <c r="F6208" s="3" t="s">
        <v>5373</v>
      </c>
      <c r="G6208" s="4">
        <v>5000</v>
      </c>
      <c r="H6208" s="4">
        <v>0</v>
      </c>
      <c r="I6208" s="4">
        <v>8121931.7599999998</v>
      </c>
    </row>
    <row r="6209" spans="1:9" x14ac:dyDescent="0.3">
      <c r="A6209" t="s">
        <v>2579</v>
      </c>
      <c r="B6209" s="1">
        <v>45832</v>
      </c>
      <c r="C6209" s="1">
        <v>45900</v>
      </c>
      <c r="D6209">
        <v>2030</v>
      </c>
      <c r="E6209">
        <v>100</v>
      </c>
      <c r="F6209" s="3" t="s">
        <v>5373</v>
      </c>
      <c r="G6209" s="4">
        <v>6000</v>
      </c>
      <c r="H6209" s="4">
        <v>0</v>
      </c>
      <c r="I6209" s="4">
        <v>8127931.7599999998</v>
      </c>
    </row>
    <row r="6210" spans="1:9" x14ac:dyDescent="0.3">
      <c r="A6210" t="s">
        <v>2579</v>
      </c>
      <c r="B6210" s="1">
        <v>45872</v>
      </c>
      <c r="C6210" s="1">
        <v>45900</v>
      </c>
      <c r="D6210">
        <v>2035</v>
      </c>
      <c r="E6210">
        <v>100</v>
      </c>
      <c r="F6210" s="3" t="s">
        <v>5374</v>
      </c>
      <c r="G6210" s="4">
        <v>12954.5</v>
      </c>
      <c r="H6210" s="4">
        <v>0</v>
      </c>
      <c r="I6210" s="4">
        <v>8140886.2599999998</v>
      </c>
    </row>
    <row r="6211" spans="1:9" x14ac:dyDescent="0.3">
      <c r="A6211" t="s">
        <v>2579</v>
      </c>
      <c r="B6211" s="1">
        <v>45872</v>
      </c>
      <c r="C6211" s="1">
        <v>45900</v>
      </c>
      <c r="D6211">
        <v>2035</v>
      </c>
      <c r="E6211">
        <v>100</v>
      </c>
      <c r="F6211" s="3" t="s">
        <v>5375</v>
      </c>
      <c r="G6211" s="4">
        <v>47.25</v>
      </c>
      <c r="H6211" s="4">
        <v>0</v>
      </c>
      <c r="I6211" s="4">
        <v>8140933.5099999998</v>
      </c>
    </row>
    <row r="6212" spans="1:9" x14ac:dyDescent="0.3">
      <c r="A6212" t="s">
        <v>2579</v>
      </c>
      <c r="B6212" s="1">
        <v>45889</v>
      </c>
      <c r="C6212" s="1">
        <v>45900</v>
      </c>
      <c r="D6212">
        <v>2037</v>
      </c>
      <c r="E6212">
        <v>100</v>
      </c>
      <c r="F6212" s="3" t="s">
        <v>5376</v>
      </c>
      <c r="G6212" s="4">
        <v>36819.15</v>
      </c>
      <c r="H6212" s="4">
        <v>0</v>
      </c>
      <c r="I6212" s="4">
        <v>8177752.6600000001</v>
      </c>
    </row>
    <row r="6213" spans="1:9" x14ac:dyDescent="0.3">
      <c r="A6213" t="s">
        <v>2579</v>
      </c>
      <c r="B6213" s="1">
        <v>45890</v>
      </c>
      <c r="C6213" s="1">
        <v>45900</v>
      </c>
      <c r="D6213">
        <v>2038</v>
      </c>
      <c r="E6213">
        <v>100</v>
      </c>
      <c r="F6213" s="3" t="s">
        <v>5377</v>
      </c>
      <c r="G6213" s="4">
        <v>950929</v>
      </c>
      <c r="H6213" s="4">
        <v>0</v>
      </c>
      <c r="I6213" s="4">
        <v>9128681.6600000001</v>
      </c>
    </row>
    <row r="6214" spans="1:9" x14ac:dyDescent="0.3">
      <c r="A6214" t="s">
        <v>2579</v>
      </c>
      <c r="B6214" s="1">
        <v>45832</v>
      </c>
      <c r="C6214" s="1">
        <v>45900</v>
      </c>
      <c r="D6214">
        <v>2181</v>
      </c>
      <c r="E6214">
        <v>100</v>
      </c>
      <c r="F6214" s="3" t="s">
        <v>5373</v>
      </c>
      <c r="G6214" s="4">
        <v>6000</v>
      </c>
      <c r="H6214" s="4">
        <v>0</v>
      </c>
      <c r="I6214" s="4">
        <v>9134681.6600000001</v>
      </c>
    </row>
    <row r="6215" spans="1:9" x14ac:dyDescent="0.3">
      <c r="A6215" t="s">
        <v>2579</v>
      </c>
      <c r="B6215" s="1">
        <v>45831</v>
      </c>
      <c r="C6215" s="1">
        <v>45900</v>
      </c>
      <c r="D6215">
        <v>2181</v>
      </c>
      <c r="E6215">
        <v>100</v>
      </c>
      <c r="F6215" s="3" t="s">
        <v>5373</v>
      </c>
      <c r="G6215" s="4">
        <v>5000</v>
      </c>
      <c r="H6215" s="4">
        <v>0</v>
      </c>
      <c r="I6215" s="4">
        <v>9139681.6600000001</v>
      </c>
    </row>
    <row r="6216" spans="1:9" x14ac:dyDescent="0.3">
      <c r="A6216" t="s">
        <v>2579</v>
      </c>
      <c r="B6216" s="1">
        <v>45832</v>
      </c>
      <c r="C6216" s="1">
        <v>45900</v>
      </c>
      <c r="D6216">
        <v>2202</v>
      </c>
      <c r="E6216">
        <v>100</v>
      </c>
      <c r="F6216" s="3" t="s">
        <v>5378</v>
      </c>
      <c r="G6216" s="4">
        <v>0</v>
      </c>
      <c r="H6216" s="4">
        <v>6000</v>
      </c>
      <c r="I6216" s="4">
        <v>9133681.6600000001</v>
      </c>
    </row>
    <row r="6217" spans="1:9" x14ac:dyDescent="0.3">
      <c r="A6217" t="s">
        <v>2579</v>
      </c>
      <c r="B6217" s="1">
        <v>45831</v>
      </c>
      <c r="C6217" s="1">
        <v>45900</v>
      </c>
      <c r="D6217">
        <v>2202</v>
      </c>
      <c r="E6217">
        <v>100</v>
      </c>
      <c r="F6217" s="3" t="s">
        <v>5378</v>
      </c>
      <c r="G6217" s="4">
        <v>0</v>
      </c>
      <c r="H6217" s="4">
        <v>5000</v>
      </c>
      <c r="I6217" s="4">
        <v>9128681.6600000001</v>
      </c>
    </row>
    <row r="6218" spans="1:9" x14ac:dyDescent="0.3">
      <c r="A6218" t="s">
        <v>5379</v>
      </c>
      <c r="B6218" s="1">
        <v>45900</v>
      </c>
      <c r="C6218" s="1">
        <v>45900</v>
      </c>
      <c r="D6218">
        <v>36366605</v>
      </c>
      <c r="E6218">
        <v>11</v>
      </c>
      <c r="F6218" s="3" t="s">
        <v>5380</v>
      </c>
      <c r="G6218" s="4">
        <v>246769401.12</v>
      </c>
      <c r="I6218" s="4">
        <v>255898082.78</v>
      </c>
    </row>
    <row r="6219" spans="1:9" x14ac:dyDescent="0.3">
      <c r="A6219" t="s">
        <v>5379</v>
      </c>
      <c r="B6219" s="1">
        <v>45900</v>
      </c>
      <c r="C6219" s="1">
        <v>45900</v>
      </c>
      <c r="D6219">
        <v>36366606</v>
      </c>
      <c r="E6219">
        <v>100</v>
      </c>
      <c r="F6219" s="3" t="s">
        <v>5380</v>
      </c>
      <c r="H6219" s="4">
        <v>246769401.12</v>
      </c>
      <c r="I6219" s="4">
        <v>9128681.6600000001</v>
      </c>
    </row>
    <row r="6220" spans="1:9" x14ac:dyDescent="0.3">
      <c r="A6220" t="s">
        <v>5379</v>
      </c>
      <c r="B6220" s="1">
        <v>45900</v>
      </c>
      <c r="C6220" s="1">
        <v>45900</v>
      </c>
      <c r="D6220">
        <v>36367073</v>
      </c>
      <c r="E6220">
        <v>110</v>
      </c>
      <c r="F6220" s="3" t="s">
        <v>5381</v>
      </c>
      <c r="G6220" s="4">
        <v>10738.83</v>
      </c>
      <c r="I6220" s="4">
        <v>9139420.4900000002</v>
      </c>
    </row>
    <row r="6221" spans="1:9" x14ac:dyDescent="0.3">
      <c r="A6221" t="s">
        <v>5379</v>
      </c>
      <c r="B6221" s="1">
        <v>45900</v>
      </c>
      <c r="C6221" s="1">
        <v>45900</v>
      </c>
      <c r="D6221">
        <v>36367074</v>
      </c>
      <c r="E6221">
        <v>100</v>
      </c>
      <c r="F6221" s="3" t="s">
        <v>5381</v>
      </c>
      <c r="H6221" s="4">
        <v>10738.83</v>
      </c>
      <c r="I6221" s="4">
        <v>9128681.6600000001</v>
      </c>
    </row>
    <row r="6222" spans="1:9" x14ac:dyDescent="0.3">
      <c r="A6222" t="s">
        <v>5379</v>
      </c>
      <c r="B6222" s="1">
        <v>45900</v>
      </c>
      <c r="C6222" s="1">
        <v>45900</v>
      </c>
      <c r="D6222">
        <v>36367081</v>
      </c>
      <c r="E6222">
        <v>111</v>
      </c>
      <c r="F6222" s="3" t="s">
        <v>5382</v>
      </c>
      <c r="G6222" s="4">
        <v>19900</v>
      </c>
      <c r="I6222" s="4">
        <v>9148581.6600000001</v>
      </c>
    </row>
    <row r="6223" spans="1:9" x14ac:dyDescent="0.3">
      <c r="A6223" t="s">
        <v>5379</v>
      </c>
      <c r="B6223" s="1">
        <v>45900</v>
      </c>
      <c r="C6223" s="1">
        <v>45900</v>
      </c>
      <c r="D6223">
        <v>36367082</v>
      </c>
      <c r="E6223">
        <v>100</v>
      </c>
      <c r="F6223" s="3" t="s">
        <v>5382</v>
      </c>
      <c r="H6223" s="4">
        <v>19900</v>
      </c>
      <c r="I6223" s="4">
        <v>9128681.6600000001</v>
      </c>
    </row>
    <row r="6224" spans="1:9" x14ac:dyDescent="0.3">
      <c r="A6224" t="s">
        <v>5379</v>
      </c>
      <c r="B6224" s="1">
        <v>45900</v>
      </c>
      <c r="C6224" s="1">
        <v>45900</v>
      </c>
      <c r="D6224">
        <v>36367095</v>
      </c>
      <c r="E6224">
        <v>112</v>
      </c>
      <c r="F6224" s="3" t="s">
        <v>5383</v>
      </c>
      <c r="G6224" s="4">
        <v>395326</v>
      </c>
      <c r="I6224" s="4">
        <v>9524007.6600000001</v>
      </c>
    </row>
    <row r="6225" spans="1:9" x14ac:dyDescent="0.3">
      <c r="A6225" t="s">
        <v>5379</v>
      </c>
      <c r="B6225" s="1">
        <v>45900</v>
      </c>
      <c r="C6225" s="1">
        <v>45900</v>
      </c>
      <c r="D6225">
        <v>36367096</v>
      </c>
      <c r="E6225">
        <v>100</v>
      </c>
      <c r="F6225" s="3" t="s">
        <v>5383</v>
      </c>
      <c r="H6225" s="4">
        <v>395326</v>
      </c>
      <c r="I6225" s="4">
        <v>9128681.6600000001</v>
      </c>
    </row>
    <row r="6226" spans="1:9" x14ac:dyDescent="0.3">
      <c r="A6226" t="s">
        <v>5379</v>
      </c>
      <c r="B6226" s="1">
        <v>45900</v>
      </c>
      <c r="C6226" s="1">
        <v>45900</v>
      </c>
      <c r="D6226">
        <v>36367117</v>
      </c>
      <c r="E6226">
        <v>116</v>
      </c>
      <c r="F6226" s="3" t="s">
        <v>5384</v>
      </c>
      <c r="G6226" s="4">
        <v>14097</v>
      </c>
      <c r="I6226" s="4">
        <v>9142778.6600000001</v>
      </c>
    </row>
    <row r="6227" spans="1:9" x14ac:dyDescent="0.3">
      <c r="A6227" t="s">
        <v>5379</v>
      </c>
      <c r="B6227" s="1">
        <v>45900</v>
      </c>
      <c r="C6227" s="1">
        <v>45900</v>
      </c>
      <c r="D6227">
        <v>36367118</v>
      </c>
      <c r="E6227">
        <v>100</v>
      </c>
      <c r="F6227" s="3" t="s">
        <v>5384</v>
      </c>
      <c r="H6227" s="4">
        <v>14097</v>
      </c>
      <c r="I6227" s="4">
        <v>9128681.6600000001</v>
      </c>
    </row>
    <row r="6228" spans="1:9" x14ac:dyDescent="0.3">
      <c r="A6228" t="s">
        <v>5379</v>
      </c>
      <c r="B6228" s="1">
        <v>45900</v>
      </c>
      <c r="C6228" s="1">
        <v>45900</v>
      </c>
      <c r="D6228">
        <v>36367131</v>
      </c>
      <c r="E6228">
        <v>117</v>
      </c>
      <c r="F6228" s="3" t="s">
        <v>5385</v>
      </c>
      <c r="H6228" s="4">
        <v>24996.5</v>
      </c>
      <c r="I6228" s="4">
        <v>9103685.1600000001</v>
      </c>
    </row>
    <row r="6229" spans="1:9" x14ac:dyDescent="0.3">
      <c r="A6229" t="s">
        <v>5379</v>
      </c>
      <c r="B6229" s="1">
        <v>45900</v>
      </c>
      <c r="C6229" s="1">
        <v>45900</v>
      </c>
      <c r="D6229">
        <v>36367132</v>
      </c>
      <c r="E6229">
        <v>100</v>
      </c>
      <c r="F6229" s="3" t="s">
        <v>5385</v>
      </c>
      <c r="G6229" s="4">
        <v>24996.5</v>
      </c>
      <c r="I6229" s="4">
        <v>9128681.6600000001</v>
      </c>
    </row>
    <row r="6230" spans="1:9" x14ac:dyDescent="0.3">
      <c r="A6230" t="s">
        <v>5379</v>
      </c>
      <c r="B6230" s="1">
        <v>45900</v>
      </c>
      <c r="C6230" s="1">
        <v>45900</v>
      </c>
      <c r="D6230">
        <v>36367145</v>
      </c>
      <c r="E6230">
        <v>118</v>
      </c>
      <c r="F6230" s="3" t="s">
        <v>5386</v>
      </c>
      <c r="G6230" s="4">
        <v>7636</v>
      </c>
      <c r="I6230" s="4">
        <v>9136317.6600000001</v>
      </c>
    </row>
    <row r="6231" spans="1:9" x14ac:dyDescent="0.3">
      <c r="A6231" t="s">
        <v>5379</v>
      </c>
      <c r="B6231" s="1">
        <v>45900</v>
      </c>
      <c r="C6231" s="1">
        <v>45900</v>
      </c>
      <c r="D6231">
        <v>36367146</v>
      </c>
      <c r="E6231">
        <v>100</v>
      </c>
      <c r="F6231" s="3" t="s">
        <v>5386</v>
      </c>
      <c r="H6231" s="4">
        <v>7636</v>
      </c>
      <c r="I6231" s="4">
        <v>9128681.6600000001</v>
      </c>
    </row>
    <row r="6232" spans="1:9" x14ac:dyDescent="0.3">
      <c r="A6232" t="s">
        <v>5379</v>
      </c>
      <c r="B6232" s="1">
        <v>45900</v>
      </c>
      <c r="C6232" s="1">
        <v>45900</v>
      </c>
      <c r="D6232">
        <v>36367161</v>
      </c>
      <c r="E6232">
        <v>119</v>
      </c>
      <c r="F6232" s="3" t="s">
        <v>5387</v>
      </c>
      <c r="G6232" s="4">
        <v>3529</v>
      </c>
      <c r="I6232" s="4">
        <v>9132210.6600000001</v>
      </c>
    </row>
    <row r="6233" spans="1:9" x14ac:dyDescent="0.3">
      <c r="A6233" t="s">
        <v>5379</v>
      </c>
      <c r="B6233" s="1">
        <v>45900</v>
      </c>
      <c r="C6233" s="1">
        <v>45900</v>
      </c>
      <c r="D6233">
        <v>36367162</v>
      </c>
      <c r="E6233">
        <v>100</v>
      </c>
      <c r="F6233" s="3" t="s">
        <v>5387</v>
      </c>
      <c r="H6233" s="4">
        <v>3529</v>
      </c>
      <c r="I6233" s="4">
        <v>9128681.6600000001</v>
      </c>
    </row>
    <row r="6234" spans="1:9" x14ac:dyDescent="0.3">
      <c r="A6234" t="s">
        <v>5379</v>
      </c>
      <c r="B6234" s="1">
        <v>45900</v>
      </c>
      <c r="C6234" s="1">
        <v>45900</v>
      </c>
      <c r="D6234">
        <v>36367171</v>
      </c>
      <c r="E6234">
        <v>12</v>
      </c>
      <c r="F6234" s="3" t="s">
        <v>5388</v>
      </c>
      <c r="H6234" s="4">
        <v>27401435</v>
      </c>
      <c r="I6234" s="4">
        <v>-18272753.34</v>
      </c>
    </row>
    <row r="6235" spans="1:9" x14ac:dyDescent="0.3">
      <c r="A6235" t="s">
        <v>5379</v>
      </c>
      <c r="B6235" s="1">
        <v>45900</v>
      </c>
      <c r="C6235" s="1">
        <v>45900</v>
      </c>
      <c r="D6235">
        <v>36367172</v>
      </c>
      <c r="E6235">
        <v>100</v>
      </c>
      <c r="F6235" s="3" t="s">
        <v>5388</v>
      </c>
      <c r="G6235" s="4">
        <v>27401435</v>
      </c>
      <c r="I6235" s="4">
        <v>9128681.6600000001</v>
      </c>
    </row>
    <row r="6236" spans="1:9" x14ac:dyDescent="0.3">
      <c r="A6236" t="s">
        <v>5379</v>
      </c>
      <c r="B6236" s="1">
        <v>45900</v>
      </c>
      <c r="C6236" s="1">
        <v>45900</v>
      </c>
      <c r="D6236">
        <v>36367905</v>
      </c>
      <c r="E6236">
        <v>120</v>
      </c>
      <c r="F6236" s="3" t="s">
        <v>5389</v>
      </c>
      <c r="G6236" s="4">
        <v>21348</v>
      </c>
      <c r="I6236" s="4">
        <v>9150029.6600000001</v>
      </c>
    </row>
    <row r="6237" spans="1:9" x14ac:dyDescent="0.3">
      <c r="A6237" t="s">
        <v>5379</v>
      </c>
      <c r="B6237" s="1">
        <v>45900</v>
      </c>
      <c r="C6237" s="1">
        <v>45900</v>
      </c>
      <c r="D6237">
        <v>36367906</v>
      </c>
      <c r="E6237">
        <v>100</v>
      </c>
      <c r="F6237" s="3" t="s">
        <v>5389</v>
      </c>
      <c r="H6237" s="4">
        <v>21348</v>
      </c>
      <c r="I6237" s="4">
        <v>9128681.6600000001</v>
      </c>
    </row>
    <row r="6238" spans="1:9" x14ac:dyDescent="0.3">
      <c r="A6238" t="s">
        <v>5379</v>
      </c>
      <c r="B6238" s="1">
        <v>45900</v>
      </c>
      <c r="C6238" s="1">
        <v>45900</v>
      </c>
      <c r="D6238">
        <v>36367935</v>
      </c>
      <c r="E6238">
        <v>128</v>
      </c>
      <c r="F6238" s="3" t="s">
        <v>5390</v>
      </c>
      <c r="G6238" s="4">
        <v>31331.02</v>
      </c>
      <c r="I6238" s="4">
        <v>9160012.6799999997</v>
      </c>
    </row>
    <row r="6239" spans="1:9" x14ac:dyDescent="0.3">
      <c r="A6239" t="s">
        <v>5379</v>
      </c>
      <c r="B6239" s="1">
        <v>45900</v>
      </c>
      <c r="C6239" s="1">
        <v>45900</v>
      </c>
      <c r="D6239">
        <v>36367936</v>
      </c>
      <c r="E6239">
        <v>100</v>
      </c>
      <c r="F6239" s="3" t="s">
        <v>5390</v>
      </c>
      <c r="H6239" s="4">
        <v>31331.02</v>
      </c>
      <c r="I6239" s="4">
        <v>9128681.6600000001</v>
      </c>
    </row>
    <row r="6240" spans="1:9" x14ac:dyDescent="0.3">
      <c r="A6240" t="s">
        <v>5379</v>
      </c>
      <c r="B6240" s="1">
        <v>45900</v>
      </c>
      <c r="C6240" s="1">
        <v>45900</v>
      </c>
      <c r="D6240">
        <v>36367939</v>
      </c>
      <c r="E6240">
        <v>13</v>
      </c>
      <c r="F6240" s="3" t="s">
        <v>5391</v>
      </c>
      <c r="H6240" s="4">
        <v>11756780</v>
      </c>
      <c r="I6240" s="4">
        <v>-2628098.34</v>
      </c>
    </row>
    <row r="6241" spans="1:9" x14ac:dyDescent="0.3">
      <c r="A6241" t="s">
        <v>5379</v>
      </c>
      <c r="B6241" s="1">
        <v>45900</v>
      </c>
      <c r="C6241" s="1">
        <v>45900</v>
      </c>
      <c r="D6241">
        <v>36367940</v>
      </c>
      <c r="E6241">
        <v>100</v>
      </c>
      <c r="F6241" s="3" t="s">
        <v>5391</v>
      </c>
      <c r="G6241" s="4">
        <v>11756780</v>
      </c>
      <c r="I6241" s="4">
        <v>9128681.6600000001</v>
      </c>
    </row>
    <row r="6242" spans="1:9" x14ac:dyDescent="0.3">
      <c r="A6242" t="s">
        <v>5379</v>
      </c>
      <c r="B6242" s="1">
        <v>45900</v>
      </c>
      <c r="C6242" s="1">
        <v>45900</v>
      </c>
      <c r="D6242">
        <v>36368215</v>
      </c>
      <c r="E6242">
        <v>14</v>
      </c>
      <c r="F6242" s="3" t="s">
        <v>5392</v>
      </c>
      <c r="H6242" s="4">
        <v>16915799.5</v>
      </c>
      <c r="I6242" s="4">
        <v>-7787117.8399999999</v>
      </c>
    </row>
    <row r="6243" spans="1:9" x14ac:dyDescent="0.3">
      <c r="A6243" t="s">
        <v>5379</v>
      </c>
      <c r="B6243" s="1">
        <v>45900</v>
      </c>
      <c r="C6243" s="1">
        <v>45900</v>
      </c>
      <c r="D6243">
        <v>36368216</v>
      </c>
      <c r="E6243">
        <v>100</v>
      </c>
      <c r="F6243" s="3" t="s">
        <v>5392</v>
      </c>
      <c r="G6243" s="4">
        <v>16915799.5</v>
      </c>
      <c r="I6243" s="4">
        <v>9128681.6600000001</v>
      </c>
    </row>
    <row r="6244" spans="1:9" x14ac:dyDescent="0.3">
      <c r="A6244" t="s">
        <v>5379</v>
      </c>
      <c r="B6244" s="1">
        <v>45900</v>
      </c>
      <c r="C6244" s="1">
        <v>45900</v>
      </c>
      <c r="D6244">
        <v>36368359</v>
      </c>
      <c r="E6244">
        <v>15</v>
      </c>
      <c r="F6244" s="3" t="s">
        <v>5393</v>
      </c>
      <c r="H6244" s="4">
        <v>12651593.09</v>
      </c>
      <c r="I6244" s="4">
        <v>-3522911.43</v>
      </c>
    </row>
    <row r="6245" spans="1:9" x14ac:dyDescent="0.3">
      <c r="A6245" t="s">
        <v>5379</v>
      </c>
      <c r="B6245" s="1">
        <v>45900</v>
      </c>
      <c r="C6245" s="1">
        <v>45900</v>
      </c>
      <c r="D6245">
        <v>36368360</v>
      </c>
      <c r="E6245">
        <v>100</v>
      </c>
      <c r="F6245" s="3" t="s">
        <v>5393</v>
      </c>
      <c r="G6245" s="4">
        <v>12651593.09</v>
      </c>
      <c r="I6245" s="4">
        <v>9128681.6600000001</v>
      </c>
    </row>
    <row r="6246" spans="1:9" x14ac:dyDescent="0.3">
      <c r="A6246" t="s">
        <v>5379</v>
      </c>
      <c r="B6246" s="1">
        <v>45900</v>
      </c>
      <c r="C6246" s="1">
        <v>45900</v>
      </c>
      <c r="D6246">
        <v>36368649</v>
      </c>
      <c r="E6246">
        <v>16</v>
      </c>
      <c r="F6246" s="3" t="s">
        <v>5394</v>
      </c>
      <c r="H6246" s="4">
        <v>12255040</v>
      </c>
      <c r="I6246" s="4">
        <v>-3126358.34</v>
      </c>
    </row>
    <row r="6247" spans="1:9" x14ac:dyDescent="0.3">
      <c r="A6247" t="s">
        <v>5379</v>
      </c>
      <c r="B6247" s="1">
        <v>45900</v>
      </c>
      <c r="C6247" s="1">
        <v>45900</v>
      </c>
      <c r="D6247">
        <v>36368650</v>
      </c>
      <c r="E6247">
        <v>100</v>
      </c>
      <c r="F6247" s="3" t="s">
        <v>5394</v>
      </c>
      <c r="G6247" s="4">
        <v>12255040</v>
      </c>
      <c r="I6247" s="4">
        <v>9128681.6600000001</v>
      </c>
    </row>
    <row r="6248" spans="1:9" x14ac:dyDescent="0.3">
      <c r="A6248" t="s">
        <v>5379</v>
      </c>
      <c r="B6248" s="1">
        <v>45900</v>
      </c>
      <c r="C6248" s="1">
        <v>45900</v>
      </c>
      <c r="D6248">
        <v>36369067</v>
      </c>
      <c r="E6248">
        <v>17</v>
      </c>
      <c r="F6248" s="3" t="s">
        <v>5395</v>
      </c>
      <c r="H6248" s="4">
        <v>8182046</v>
      </c>
      <c r="I6248" s="4">
        <v>946635.66</v>
      </c>
    </row>
    <row r="6249" spans="1:9" x14ac:dyDescent="0.3">
      <c r="A6249" t="s">
        <v>5379</v>
      </c>
      <c r="B6249" s="1">
        <v>45900</v>
      </c>
      <c r="C6249" s="1">
        <v>45900</v>
      </c>
      <c r="D6249">
        <v>36369068</v>
      </c>
      <c r="E6249">
        <v>100</v>
      </c>
      <c r="F6249" s="3" t="s">
        <v>5395</v>
      </c>
      <c r="G6249" s="4">
        <v>8182046</v>
      </c>
      <c r="I6249" s="4">
        <v>9128681.6600000001</v>
      </c>
    </row>
    <row r="6250" spans="1:9" x14ac:dyDescent="0.3">
      <c r="A6250" t="s">
        <v>5379</v>
      </c>
      <c r="B6250" s="1">
        <v>45900</v>
      </c>
      <c r="C6250" s="1">
        <v>45900</v>
      </c>
      <c r="D6250">
        <v>36369245</v>
      </c>
      <c r="E6250">
        <v>18</v>
      </c>
      <c r="F6250" s="3" t="s">
        <v>5396</v>
      </c>
      <c r="H6250" s="4">
        <v>7407610</v>
      </c>
      <c r="I6250" s="4">
        <v>1721071.66</v>
      </c>
    </row>
    <row r="6251" spans="1:9" x14ac:dyDescent="0.3">
      <c r="A6251" t="s">
        <v>5379</v>
      </c>
      <c r="B6251" s="1">
        <v>45900</v>
      </c>
      <c r="C6251" s="1">
        <v>45900</v>
      </c>
      <c r="D6251">
        <v>36369246</v>
      </c>
      <c r="E6251">
        <v>100</v>
      </c>
      <c r="F6251" s="3" t="s">
        <v>5396</v>
      </c>
      <c r="G6251" s="4">
        <v>7407610</v>
      </c>
      <c r="I6251" s="4">
        <v>9128681.6600000001</v>
      </c>
    </row>
    <row r="6252" spans="1:9" x14ac:dyDescent="0.3">
      <c r="A6252" t="s">
        <v>5379</v>
      </c>
      <c r="B6252" s="1">
        <v>45900</v>
      </c>
      <c r="C6252" s="1">
        <v>45900</v>
      </c>
      <c r="D6252">
        <v>36369705</v>
      </c>
      <c r="E6252">
        <v>19</v>
      </c>
      <c r="F6252" s="3" t="s">
        <v>5397</v>
      </c>
      <c r="H6252" s="4">
        <v>736354.75</v>
      </c>
      <c r="I6252" s="4">
        <v>8392326.9100000001</v>
      </c>
    </row>
    <row r="6253" spans="1:9" x14ac:dyDescent="0.3">
      <c r="A6253" t="s">
        <v>5379</v>
      </c>
      <c r="B6253" s="1">
        <v>45900</v>
      </c>
      <c r="C6253" s="1">
        <v>45900</v>
      </c>
      <c r="D6253">
        <v>36369706</v>
      </c>
      <c r="E6253">
        <v>100</v>
      </c>
      <c r="F6253" s="3" t="s">
        <v>5397</v>
      </c>
      <c r="G6253" s="4">
        <v>736354.75</v>
      </c>
      <c r="I6253" s="4">
        <v>9128681.6600000001</v>
      </c>
    </row>
    <row r="6254" spans="1:9" x14ac:dyDescent="0.3">
      <c r="A6254" t="s">
        <v>5379</v>
      </c>
      <c r="B6254" s="1">
        <v>45900</v>
      </c>
      <c r="C6254" s="1">
        <v>45900</v>
      </c>
      <c r="D6254">
        <v>36369779</v>
      </c>
      <c r="E6254">
        <v>210</v>
      </c>
      <c r="F6254" s="3" t="s">
        <v>5398</v>
      </c>
      <c r="H6254" s="4">
        <v>7877387.75</v>
      </c>
      <c r="I6254" s="4">
        <v>1251293.9099999999</v>
      </c>
    </row>
    <row r="6255" spans="1:9" x14ac:dyDescent="0.3">
      <c r="A6255" t="s">
        <v>5379</v>
      </c>
      <c r="B6255" s="1">
        <v>45900</v>
      </c>
      <c r="C6255" s="1">
        <v>45900</v>
      </c>
      <c r="D6255">
        <v>36369780</v>
      </c>
      <c r="E6255">
        <v>100</v>
      </c>
      <c r="F6255" s="3" t="s">
        <v>5398</v>
      </c>
      <c r="G6255" s="4">
        <v>7877387.75</v>
      </c>
      <c r="I6255" s="4">
        <v>9128681.6600000001</v>
      </c>
    </row>
    <row r="6256" spans="1:9" x14ac:dyDescent="0.3">
      <c r="A6256" t="s">
        <v>5379</v>
      </c>
      <c r="B6256" s="1">
        <v>45900</v>
      </c>
      <c r="C6256" s="1">
        <v>45900</v>
      </c>
      <c r="D6256">
        <v>36369969</v>
      </c>
      <c r="E6256">
        <v>220</v>
      </c>
      <c r="F6256" s="3" t="s">
        <v>5399</v>
      </c>
      <c r="H6256" s="4">
        <v>5256275.75</v>
      </c>
      <c r="I6256" s="4">
        <v>3872405.91</v>
      </c>
    </row>
    <row r="6257" spans="1:9" x14ac:dyDescent="0.3">
      <c r="A6257" t="s">
        <v>5379</v>
      </c>
      <c r="B6257" s="1">
        <v>45900</v>
      </c>
      <c r="C6257" s="1">
        <v>45900</v>
      </c>
      <c r="D6257">
        <v>36369970</v>
      </c>
      <c r="E6257">
        <v>100</v>
      </c>
      <c r="F6257" s="3" t="s">
        <v>5399</v>
      </c>
      <c r="G6257" s="4">
        <v>5256275.75</v>
      </c>
      <c r="I6257" s="4">
        <v>9128681.6600000001</v>
      </c>
    </row>
    <row r="6258" spans="1:9" x14ac:dyDescent="0.3">
      <c r="A6258" t="s">
        <v>5379</v>
      </c>
      <c r="B6258" s="1">
        <v>45900</v>
      </c>
      <c r="C6258" s="1">
        <v>45900</v>
      </c>
      <c r="D6258">
        <v>36370265</v>
      </c>
      <c r="E6258">
        <v>223</v>
      </c>
      <c r="F6258" s="3" t="s">
        <v>5400</v>
      </c>
      <c r="H6258" s="4">
        <v>5534319.5</v>
      </c>
      <c r="I6258" s="4">
        <v>3594362.16</v>
      </c>
    </row>
    <row r="6259" spans="1:9" x14ac:dyDescent="0.3">
      <c r="A6259" t="s">
        <v>5379</v>
      </c>
      <c r="B6259" s="1">
        <v>45900</v>
      </c>
      <c r="C6259" s="1">
        <v>45900</v>
      </c>
      <c r="D6259">
        <v>36370266</v>
      </c>
      <c r="E6259">
        <v>100</v>
      </c>
      <c r="F6259" s="3" t="s">
        <v>5400</v>
      </c>
      <c r="G6259" s="4">
        <v>5534319.5</v>
      </c>
      <c r="I6259" s="4">
        <v>9128681.6600000001</v>
      </c>
    </row>
    <row r="6260" spans="1:9" x14ac:dyDescent="0.3">
      <c r="A6260" t="s">
        <v>5379</v>
      </c>
      <c r="B6260" s="1">
        <v>45900</v>
      </c>
      <c r="C6260" s="1">
        <v>45900</v>
      </c>
      <c r="D6260">
        <v>36370573</v>
      </c>
      <c r="E6260">
        <v>224</v>
      </c>
      <c r="F6260" s="3" t="s">
        <v>5401</v>
      </c>
      <c r="H6260" s="4">
        <v>1240550</v>
      </c>
      <c r="I6260" s="4">
        <v>7888131.6600000001</v>
      </c>
    </row>
    <row r="6261" spans="1:9" x14ac:dyDescent="0.3">
      <c r="A6261" t="s">
        <v>5379</v>
      </c>
      <c r="B6261" s="1">
        <v>45900</v>
      </c>
      <c r="C6261" s="1">
        <v>45900</v>
      </c>
      <c r="D6261">
        <v>36370574</v>
      </c>
      <c r="E6261">
        <v>100</v>
      </c>
      <c r="F6261" s="3" t="s">
        <v>5401</v>
      </c>
      <c r="G6261" s="4">
        <v>1240550</v>
      </c>
      <c r="I6261" s="4">
        <v>9128681.6600000001</v>
      </c>
    </row>
    <row r="6262" spans="1:9" x14ac:dyDescent="0.3">
      <c r="A6262" t="s">
        <v>5379</v>
      </c>
      <c r="B6262" s="1">
        <v>45900</v>
      </c>
      <c r="C6262" s="1">
        <v>45900</v>
      </c>
      <c r="D6262">
        <v>36370663</v>
      </c>
      <c r="E6262">
        <v>23</v>
      </c>
      <c r="F6262" s="3" t="s">
        <v>5402</v>
      </c>
      <c r="H6262" s="4">
        <v>17357976</v>
      </c>
      <c r="I6262" s="4">
        <v>-8229294.3399999999</v>
      </c>
    </row>
    <row r="6263" spans="1:9" x14ac:dyDescent="0.3">
      <c r="A6263" t="s">
        <v>5379</v>
      </c>
      <c r="B6263" s="1">
        <v>45900</v>
      </c>
      <c r="C6263" s="1">
        <v>45900</v>
      </c>
      <c r="D6263">
        <v>36370664</v>
      </c>
      <c r="E6263">
        <v>100</v>
      </c>
      <c r="F6263" s="3" t="s">
        <v>5402</v>
      </c>
      <c r="G6263" s="4">
        <v>17357976</v>
      </c>
      <c r="I6263" s="4">
        <v>9128681.6600000001</v>
      </c>
    </row>
    <row r="6264" spans="1:9" x14ac:dyDescent="0.3">
      <c r="A6264" t="s">
        <v>5379</v>
      </c>
      <c r="B6264" s="1">
        <v>45900</v>
      </c>
      <c r="C6264" s="1">
        <v>45900</v>
      </c>
      <c r="D6264">
        <v>36370903</v>
      </c>
      <c r="E6264">
        <v>24</v>
      </c>
      <c r="F6264" s="3" t="s">
        <v>5403</v>
      </c>
      <c r="H6264" s="4">
        <v>8105669</v>
      </c>
      <c r="I6264" s="4">
        <v>1023012.66</v>
      </c>
    </row>
    <row r="6265" spans="1:9" x14ac:dyDescent="0.3">
      <c r="A6265" t="s">
        <v>5379</v>
      </c>
      <c r="B6265" s="1">
        <v>45900</v>
      </c>
      <c r="C6265" s="1">
        <v>45900</v>
      </c>
      <c r="D6265">
        <v>36370904</v>
      </c>
      <c r="E6265">
        <v>100</v>
      </c>
      <c r="F6265" s="3" t="s">
        <v>5403</v>
      </c>
      <c r="G6265" s="4">
        <v>8105669</v>
      </c>
      <c r="I6265" s="4">
        <v>9128681.6600000001</v>
      </c>
    </row>
    <row r="6266" spans="1:9" x14ac:dyDescent="0.3">
      <c r="A6266" t="s">
        <v>5379</v>
      </c>
      <c r="B6266" s="1">
        <v>45900</v>
      </c>
      <c r="C6266" s="1">
        <v>45900</v>
      </c>
      <c r="D6266">
        <v>36371345</v>
      </c>
      <c r="E6266">
        <v>252</v>
      </c>
      <c r="F6266" s="3" t="s">
        <v>5404</v>
      </c>
      <c r="H6266" s="4">
        <v>488207.75</v>
      </c>
      <c r="I6266" s="4">
        <v>8640473.9100000001</v>
      </c>
    </row>
    <row r="6267" spans="1:9" x14ac:dyDescent="0.3">
      <c r="A6267" t="s">
        <v>5379</v>
      </c>
      <c r="B6267" s="1">
        <v>45900</v>
      </c>
      <c r="C6267" s="1">
        <v>45900</v>
      </c>
      <c r="D6267">
        <v>36371346</v>
      </c>
      <c r="E6267">
        <v>100</v>
      </c>
      <c r="F6267" s="3" t="s">
        <v>5404</v>
      </c>
      <c r="G6267" s="4">
        <v>488207.75</v>
      </c>
      <c r="I6267" s="4">
        <v>9128681.6600000001</v>
      </c>
    </row>
    <row r="6268" spans="1:9" x14ac:dyDescent="0.3">
      <c r="A6268" t="s">
        <v>5379</v>
      </c>
      <c r="B6268" s="1">
        <v>45900</v>
      </c>
      <c r="C6268" s="1">
        <v>45900</v>
      </c>
      <c r="D6268">
        <v>36371745</v>
      </c>
      <c r="E6268">
        <v>26</v>
      </c>
      <c r="F6268" s="3" t="s">
        <v>5405</v>
      </c>
      <c r="H6268" s="4">
        <v>2660555</v>
      </c>
      <c r="I6268" s="4">
        <v>6468126.6600000001</v>
      </c>
    </row>
    <row r="6269" spans="1:9" x14ac:dyDescent="0.3">
      <c r="A6269" t="s">
        <v>5379</v>
      </c>
      <c r="B6269" s="1">
        <v>45900</v>
      </c>
      <c r="C6269" s="1">
        <v>45900</v>
      </c>
      <c r="D6269">
        <v>36371746</v>
      </c>
      <c r="E6269">
        <v>100</v>
      </c>
      <c r="F6269" s="3" t="s">
        <v>5405</v>
      </c>
      <c r="G6269" s="4">
        <v>2660555</v>
      </c>
      <c r="I6269" s="4">
        <v>9128681.6600000001</v>
      </c>
    </row>
    <row r="6270" spans="1:9" x14ac:dyDescent="0.3">
      <c r="A6270" t="s">
        <v>5379</v>
      </c>
      <c r="B6270" s="1">
        <v>45900</v>
      </c>
      <c r="C6270" s="1">
        <v>45900</v>
      </c>
      <c r="D6270">
        <v>36371863</v>
      </c>
      <c r="E6270">
        <v>27</v>
      </c>
      <c r="F6270" s="3" t="s">
        <v>5406</v>
      </c>
      <c r="H6270" s="4">
        <v>40804198.630000003</v>
      </c>
      <c r="I6270" s="4">
        <v>-31675516.969999999</v>
      </c>
    </row>
    <row r="6271" spans="1:9" x14ac:dyDescent="0.3">
      <c r="A6271" t="s">
        <v>5379</v>
      </c>
      <c r="B6271" s="1">
        <v>45900</v>
      </c>
      <c r="C6271" s="1">
        <v>45900</v>
      </c>
      <c r="D6271">
        <v>36371864</v>
      </c>
      <c r="E6271">
        <v>100</v>
      </c>
      <c r="F6271" s="3" t="s">
        <v>5406</v>
      </c>
      <c r="G6271" s="4">
        <v>40804198.630000003</v>
      </c>
      <c r="I6271" s="4">
        <v>9128681.6600000001</v>
      </c>
    </row>
    <row r="6272" spans="1:9" x14ac:dyDescent="0.3">
      <c r="A6272" t="s">
        <v>5379</v>
      </c>
      <c r="B6272" s="1">
        <v>45900</v>
      </c>
      <c r="C6272" s="1">
        <v>45900</v>
      </c>
      <c r="D6272">
        <v>36372223</v>
      </c>
      <c r="E6272">
        <v>28</v>
      </c>
      <c r="F6272" s="3" t="s">
        <v>5407</v>
      </c>
      <c r="H6272" s="4">
        <v>8876178</v>
      </c>
      <c r="I6272" s="4">
        <v>252503.66</v>
      </c>
    </row>
    <row r="6273" spans="1:9" x14ac:dyDescent="0.3">
      <c r="A6273" t="s">
        <v>5379</v>
      </c>
      <c r="B6273" s="1">
        <v>45900</v>
      </c>
      <c r="C6273" s="1">
        <v>45900</v>
      </c>
      <c r="D6273">
        <v>36372224</v>
      </c>
      <c r="E6273">
        <v>100</v>
      </c>
      <c r="F6273" s="3" t="s">
        <v>5407</v>
      </c>
      <c r="G6273" s="4">
        <v>8876178</v>
      </c>
      <c r="I6273" s="4">
        <v>9128681.6600000001</v>
      </c>
    </row>
    <row r="6274" spans="1:9" x14ac:dyDescent="0.3">
      <c r="A6274" t="s">
        <v>5379</v>
      </c>
      <c r="B6274" s="1">
        <v>45900</v>
      </c>
      <c r="C6274" s="1">
        <v>45900</v>
      </c>
      <c r="D6274">
        <v>36372595</v>
      </c>
      <c r="E6274">
        <v>282</v>
      </c>
      <c r="F6274" s="3" t="s">
        <v>5408</v>
      </c>
      <c r="H6274" s="4">
        <v>4645513</v>
      </c>
      <c r="I6274" s="4">
        <v>4483168.66</v>
      </c>
    </row>
    <row r="6275" spans="1:9" x14ac:dyDescent="0.3">
      <c r="A6275" t="s">
        <v>5379</v>
      </c>
      <c r="B6275" s="1">
        <v>45900</v>
      </c>
      <c r="C6275" s="1">
        <v>45900</v>
      </c>
      <c r="D6275">
        <v>36372596</v>
      </c>
      <c r="E6275">
        <v>100</v>
      </c>
      <c r="F6275" s="3" t="s">
        <v>5408</v>
      </c>
      <c r="G6275" s="4">
        <v>4645513</v>
      </c>
      <c r="I6275" s="4">
        <v>9128681.6600000001</v>
      </c>
    </row>
    <row r="6276" spans="1:9" x14ac:dyDescent="0.3">
      <c r="A6276" t="s">
        <v>5379</v>
      </c>
      <c r="B6276" s="1">
        <v>45900</v>
      </c>
      <c r="C6276" s="1">
        <v>45900</v>
      </c>
      <c r="D6276">
        <v>36372817</v>
      </c>
      <c r="E6276">
        <v>301</v>
      </c>
      <c r="F6276" s="3" t="s">
        <v>5409</v>
      </c>
      <c r="H6276" s="4">
        <v>4212862.5</v>
      </c>
      <c r="I6276" s="4">
        <v>4915819.16</v>
      </c>
    </row>
    <row r="6277" spans="1:9" x14ac:dyDescent="0.3">
      <c r="A6277" t="s">
        <v>5379</v>
      </c>
      <c r="B6277" s="1">
        <v>45900</v>
      </c>
      <c r="C6277" s="1">
        <v>45900</v>
      </c>
      <c r="D6277">
        <v>36372818</v>
      </c>
      <c r="E6277">
        <v>100</v>
      </c>
      <c r="F6277" s="3" t="s">
        <v>5409</v>
      </c>
      <c r="G6277" s="4">
        <v>4212862.5</v>
      </c>
      <c r="I6277" s="4">
        <v>9128681.6600000001</v>
      </c>
    </row>
    <row r="6278" spans="1:9" x14ac:dyDescent="0.3">
      <c r="A6278" t="s">
        <v>5379</v>
      </c>
      <c r="B6278" s="1">
        <v>45900</v>
      </c>
      <c r="C6278" s="1">
        <v>45900</v>
      </c>
      <c r="D6278">
        <v>36372967</v>
      </c>
      <c r="E6278">
        <v>307</v>
      </c>
      <c r="F6278" s="3" t="s">
        <v>5410</v>
      </c>
      <c r="H6278" s="4">
        <v>3844585</v>
      </c>
      <c r="I6278" s="4">
        <v>5284096.66</v>
      </c>
    </row>
    <row r="6279" spans="1:9" x14ac:dyDescent="0.3">
      <c r="A6279" t="s">
        <v>5379</v>
      </c>
      <c r="B6279" s="1">
        <v>45900</v>
      </c>
      <c r="C6279" s="1">
        <v>45900</v>
      </c>
      <c r="D6279">
        <v>36372968</v>
      </c>
      <c r="E6279">
        <v>100</v>
      </c>
      <c r="F6279" s="3" t="s">
        <v>5410</v>
      </c>
      <c r="G6279" s="4">
        <v>3844585</v>
      </c>
      <c r="I6279" s="4">
        <v>9128681.6600000001</v>
      </c>
    </row>
    <row r="6280" spans="1:9" x14ac:dyDescent="0.3">
      <c r="A6280" t="s">
        <v>5379</v>
      </c>
      <c r="B6280" s="1">
        <v>45900</v>
      </c>
      <c r="C6280" s="1">
        <v>45900</v>
      </c>
      <c r="D6280">
        <v>36373125</v>
      </c>
      <c r="E6280">
        <v>31</v>
      </c>
      <c r="F6280" s="3" t="s">
        <v>5411</v>
      </c>
      <c r="H6280" s="4">
        <v>34949509.5</v>
      </c>
      <c r="I6280" s="4">
        <v>-25820827.84</v>
      </c>
    </row>
    <row r="6281" spans="1:9" x14ac:dyDescent="0.3">
      <c r="A6281" t="s">
        <v>5379</v>
      </c>
      <c r="B6281" s="1">
        <v>45900</v>
      </c>
      <c r="C6281" s="1">
        <v>45900</v>
      </c>
      <c r="D6281">
        <v>36373126</v>
      </c>
      <c r="E6281">
        <v>100</v>
      </c>
      <c r="F6281" s="3" t="s">
        <v>5411</v>
      </c>
      <c r="G6281" s="4">
        <v>34949509.5</v>
      </c>
      <c r="I6281" s="4">
        <v>9128681.6600000001</v>
      </c>
    </row>
    <row r="6282" spans="1:9" x14ac:dyDescent="0.3">
      <c r="A6282" t="s">
        <v>5379</v>
      </c>
      <c r="B6282" s="1">
        <v>45900</v>
      </c>
      <c r="C6282" s="1">
        <v>45900</v>
      </c>
      <c r="D6282">
        <v>36373735</v>
      </c>
      <c r="E6282">
        <v>310</v>
      </c>
      <c r="F6282" s="3" t="s">
        <v>5412</v>
      </c>
      <c r="H6282" s="4">
        <v>8814522.5899999999</v>
      </c>
      <c r="I6282" s="4">
        <v>314159.07</v>
      </c>
    </row>
    <row r="6283" spans="1:9" x14ac:dyDescent="0.3">
      <c r="A6283" t="s">
        <v>5379</v>
      </c>
      <c r="B6283" s="1">
        <v>45900</v>
      </c>
      <c r="C6283" s="1">
        <v>45900</v>
      </c>
      <c r="D6283">
        <v>36373736</v>
      </c>
      <c r="E6283">
        <v>100</v>
      </c>
      <c r="F6283" s="3" t="s">
        <v>5412</v>
      </c>
      <c r="G6283" s="4">
        <v>8814522.5899999999</v>
      </c>
      <c r="I6283" s="4">
        <v>9128681.6600000001</v>
      </c>
    </row>
    <row r="6284" spans="1:9" x14ac:dyDescent="0.3">
      <c r="A6284" t="s">
        <v>5379</v>
      </c>
      <c r="B6284" s="1">
        <v>45900</v>
      </c>
      <c r="C6284" s="1">
        <v>45900</v>
      </c>
      <c r="D6284">
        <v>36373981</v>
      </c>
      <c r="E6284">
        <v>32</v>
      </c>
      <c r="F6284" s="3" t="s">
        <v>5413</v>
      </c>
      <c r="H6284" s="4">
        <v>14419581.5</v>
      </c>
      <c r="I6284" s="4">
        <v>-5290899.84</v>
      </c>
    </row>
    <row r="6285" spans="1:9" x14ac:dyDescent="0.3">
      <c r="A6285" t="s">
        <v>5379</v>
      </c>
      <c r="B6285" s="1">
        <v>45900</v>
      </c>
      <c r="C6285" s="1">
        <v>45900</v>
      </c>
      <c r="D6285">
        <v>36373982</v>
      </c>
      <c r="E6285">
        <v>100</v>
      </c>
      <c r="F6285" s="3" t="s">
        <v>5413</v>
      </c>
      <c r="G6285" s="4">
        <v>14419581.5</v>
      </c>
      <c r="I6285" s="4">
        <v>9128681.6600000001</v>
      </c>
    </row>
    <row r="6286" spans="1:9" x14ac:dyDescent="0.3">
      <c r="A6286" t="s">
        <v>5379</v>
      </c>
      <c r="B6286" s="1">
        <v>45900</v>
      </c>
      <c r="C6286" s="1">
        <v>45900</v>
      </c>
      <c r="D6286">
        <v>36374389</v>
      </c>
      <c r="E6286">
        <v>33</v>
      </c>
      <c r="F6286" s="3" t="s">
        <v>5414</v>
      </c>
      <c r="H6286" s="4">
        <v>14916400</v>
      </c>
      <c r="I6286" s="4">
        <v>-5787718.3399999999</v>
      </c>
    </row>
    <row r="6287" spans="1:9" x14ac:dyDescent="0.3">
      <c r="A6287" t="s">
        <v>5379</v>
      </c>
      <c r="B6287" s="1">
        <v>45900</v>
      </c>
      <c r="C6287" s="1">
        <v>45900</v>
      </c>
      <c r="D6287">
        <v>36374390</v>
      </c>
      <c r="E6287">
        <v>100</v>
      </c>
      <c r="F6287" s="3" t="s">
        <v>5414</v>
      </c>
      <c r="G6287" s="4">
        <v>14916400</v>
      </c>
      <c r="I6287" s="4">
        <v>9128681.6600000001</v>
      </c>
    </row>
    <row r="6288" spans="1:9" x14ac:dyDescent="0.3">
      <c r="A6288" t="s">
        <v>5379</v>
      </c>
      <c r="B6288" s="1">
        <v>45900</v>
      </c>
      <c r="C6288" s="1">
        <v>45900</v>
      </c>
      <c r="D6288">
        <v>36374979</v>
      </c>
      <c r="E6288">
        <v>34</v>
      </c>
      <c r="F6288" s="3" t="s">
        <v>5415</v>
      </c>
      <c r="H6288" s="4">
        <v>9717809.5099999998</v>
      </c>
      <c r="I6288" s="4">
        <v>-589127.85</v>
      </c>
    </row>
    <row r="6289" spans="1:9" x14ac:dyDescent="0.3">
      <c r="A6289" t="s">
        <v>5379</v>
      </c>
      <c r="B6289" s="1">
        <v>45900</v>
      </c>
      <c r="C6289" s="1">
        <v>45900</v>
      </c>
      <c r="D6289">
        <v>36374980</v>
      </c>
      <c r="E6289">
        <v>100</v>
      </c>
      <c r="F6289" s="3" t="s">
        <v>5415</v>
      </c>
      <c r="G6289" s="4">
        <v>9717809.5099999998</v>
      </c>
      <c r="I6289" s="4">
        <v>9128681.6600000001</v>
      </c>
    </row>
    <row r="6290" spans="1:9" x14ac:dyDescent="0.3">
      <c r="A6290" t="s">
        <v>5379</v>
      </c>
      <c r="B6290" s="1">
        <v>45900</v>
      </c>
      <c r="C6290" s="1">
        <v>45900</v>
      </c>
      <c r="D6290">
        <v>36375431</v>
      </c>
      <c r="E6290">
        <v>35</v>
      </c>
      <c r="F6290" s="3" t="s">
        <v>5416</v>
      </c>
      <c r="H6290" s="4">
        <v>1752171.25</v>
      </c>
      <c r="I6290" s="4">
        <v>7376510.4100000001</v>
      </c>
    </row>
    <row r="6291" spans="1:9" x14ac:dyDescent="0.3">
      <c r="A6291" t="s">
        <v>5379</v>
      </c>
      <c r="B6291" s="1">
        <v>45900</v>
      </c>
      <c r="C6291" s="1">
        <v>45900</v>
      </c>
      <c r="D6291">
        <v>36375432</v>
      </c>
      <c r="E6291">
        <v>100</v>
      </c>
      <c r="F6291" s="3" t="s">
        <v>5416</v>
      </c>
      <c r="G6291" s="4">
        <v>1752171.25</v>
      </c>
      <c r="I6291" s="4">
        <v>9128681.6600000001</v>
      </c>
    </row>
    <row r="6292" spans="1:9" x14ac:dyDescent="0.3">
      <c r="A6292" t="s">
        <v>5379</v>
      </c>
      <c r="B6292" s="1">
        <v>45900</v>
      </c>
      <c r="C6292" s="1">
        <v>45900</v>
      </c>
      <c r="D6292">
        <v>36375765</v>
      </c>
      <c r="E6292">
        <v>351</v>
      </c>
      <c r="F6292" s="3" t="s">
        <v>5417</v>
      </c>
      <c r="H6292" s="4">
        <v>17570966.18</v>
      </c>
      <c r="I6292" s="4">
        <v>-8442284.5199999996</v>
      </c>
    </row>
    <row r="6293" spans="1:9" x14ac:dyDescent="0.3">
      <c r="A6293" t="s">
        <v>5379</v>
      </c>
      <c r="B6293" s="1">
        <v>45900</v>
      </c>
      <c r="C6293" s="1">
        <v>45900</v>
      </c>
      <c r="D6293">
        <v>36375766</v>
      </c>
      <c r="E6293">
        <v>100</v>
      </c>
      <c r="F6293" s="3" t="s">
        <v>5417</v>
      </c>
      <c r="G6293" s="4">
        <v>17570966.18</v>
      </c>
      <c r="I6293" s="4">
        <v>9128681.6600000001</v>
      </c>
    </row>
    <row r="6294" spans="1:9" x14ac:dyDescent="0.3">
      <c r="A6294" t="s">
        <v>5379</v>
      </c>
      <c r="B6294" s="1">
        <v>45900</v>
      </c>
      <c r="C6294" s="1">
        <v>45900</v>
      </c>
      <c r="D6294">
        <v>36376229</v>
      </c>
      <c r="E6294">
        <v>36</v>
      </c>
      <c r="F6294" s="3" t="s">
        <v>5418</v>
      </c>
      <c r="H6294" s="4">
        <v>4200309.25</v>
      </c>
      <c r="I6294" s="4">
        <v>4928372.41</v>
      </c>
    </row>
    <row r="6295" spans="1:9" x14ac:dyDescent="0.3">
      <c r="A6295" t="s">
        <v>5379</v>
      </c>
      <c r="B6295" s="1">
        <v>45900</v>
      </c>
      <c r="C6295" s="1">
        <v>45900</v>
      </c>
      <c r="D6295">
        <v>36376230</v>
      </c>
      <c r="E6295">
        <v>100</v>
      </c>
      <c r="F6295" s="3" t="s">
        <v>5418</v>
      </c>
      <c r="G6295" s="4">
        <v>4200309.25</v>
      </c>
      <c r="I6295" s="4">
        <v>9128681.6600000001</v>
      </c>
    </row>
    <row r="6296" spans="1:9" x14ac:dyDescent="0.3">
      <c r="A6296" t="s">
        <v>5379</v>
      </c>
      <c r="B6296" s="1">
        <v>45900</v>
      </c>
      <c r="C6296" s="1">
        <v>45900</v>
      </c>
      <c r="D6296">
        <v>36376479</v>
      </c>
      <c r="E6296">
        <v>361</v>
      </c>
      <c r="F6296" s="3" t="s">
        <v>5419</v>
      </c>
      <c r="H6296" s="4">
        <v>7563688.75</v>
      </c>
      <c r="I6296" s="4">
        <v>1564992.91</v>
      </c>
    </row>
    <row r="6297" spans="1:9" x14ac:dyDescent="0.3">
      <c r="A6297" t="s">
        <v>5379</v>
      </c>
      <c r="B6297" s="1">
        <v>45900</v>
      </c>
      <c r="C6297" s="1">
        <v>45900</v>
      </c>
      <c r="D6297">
        <v>36376480</v>
      </c>
      <c r="E6297">
        <v>100</v>
      </c>
      <c r="F6297" s="3" t="s">
        <v>5419</v>
      </c>
      <c r="G6297" s="4">
        <v>7563688.75</v>
      </c>
      <c r="I6297" s="4">
        <v>9128681.6600000001</v>
      </c>
    </row>
    <row r="6298" spans="1:9" x14ac:dyDescent="0.3">
      <c r="A6298" t="s">
        <v>5379</v>
      </c>
      <c r="B6298" s="1">
        <v>45900</v>
      </c>
      <c r="C6298" s="1">
        <v>45900</v>
      </c>
      <c r="D6298">
        <v>36376759</v>
      </c>
      <c r="E6298">
        <v>37</v>
      </c>
      <c r="F6298" s="3" t="s">
        <v>5420</v>
      </c>
      <c r="H6298" s="4">
        <v>10590181.5</v>
      </c>
      <c r="I6298" s="4">
        <v>-1461499.84</v>
      </c>
    </row>
    <row r="6299" spans="1:9" x14ac:dyDescent="0.3">
      <c r="A6299" t="s">
        <v>5379</v>
      </c>
      <c r="B6299" s="1">
        <v>45900</v>
      </c>
      <c r="C6299" s="1">
        <v>45900</v>
      </c>
      <c r="D6299">
        <v>36376760</v>
      </c>
      <c r="E6299">
        <v>100</v>
      </c>
      <c r="F6299" s="3" t="s">
        <v>5420</v>
      </c>
      <c r="G6299" s="4">
        <v>10590181.5</v>
      </c>
      <c r="I6299" s="4">
        <v>9128681.6600000001</v>
      </c>
    </row>
    <row r="6300" spans="1:9" x14ac:dyDescent="0.3">
      <c r="A6300" t="s">
        <v>5379</v>
      </c>
      <c r="B6300" s="1">
        <v>45900</v>
      </c>
      <c r="C6300" s="1">
        <v>45900</v>
      </c>
      <c r="D6300">
        <v>36377519</v>
      </c>
      <c r="E6300">
        <v>372</v>
      </c>
      <c r="F6300" s="3" t="s">
        <v>5421</v>
      </c>
      <c r="H6300" s="4">
        <v>480055</v>
      </c>
      <c r="I6300" s="4">
        <v>8648626.6600000001</v>
      </c>
    </row>
    <row r="6301" spans="1:9" x14ac:dyDescent="0.3">
      <c r="A6301" t="s">
        <v>5379</v>
      </c>
      <c r="B6301" s="1">
        <v>45900</v>
      </c>
      <c r="C6301" s="1">
        <v>45900</v>
      </c>
      <c r="D6301">
        <v>36377520</v>
      </c>
      <c r="E6301">
        <v>100</v>
      </c>
      <c r="F6301" s="3" t="s">
        <v>5421</v>
      </c>
      <c r="G6301" s="4">
        <v>480055</v>
      </c>
      <c r="I6301" s="4">
        <v>9128681.6600000001</v>
      </c>
    </row>
    <row r="6302" spans="1:9" x14ac:dyDescent="0.3">
      <c r="A6302" t="s">
        <v>5379</v>
      </c>
      <c r="B6302" s="1">
        <v>45900</v>
      </c>
      <c r="C6302" s="1">
        <v>45900</v>
      </c>
      <c r="D6302">
        <v>36377649</v>
      </c>
      <c r="E6302">
        <v>38</v>
      </c>
      <c r="F6302" s="3" t="s">
        <v>5422</v>
      </c>
      <c r="H6302" s="4">
        <v>14005030.5</v>
      </c>
      <c r="I6302" s="4">
        <v>-4876348.84</v>
      </c>
    </row>
    <row r="6303" spans="1:9" x14ac:dyDescent="0.3">
      <c r="A6303" t="s">
        <v>5379</v>
      </c>
      <c r="B6303" s="1">
        <v>45900</v>
      </c>
      <c r="C6303" s="1">
        <v>45900</v>
      </c>
      <c r="D6303">
        <v>36377650</v>
      </c>
      <c r="E6303">
        <v>100</v>
      </c>
      <c r="F6303" s="3" t="s">
        <v>5422</v>
      </c>
      <c r="G6303" s="4">
        <v>14005030.5</v>
      </c>
      <c r="I6303" s="4">
        <v>9128681.6600000001</v>
      </c>
    </row>
    <row r="6304" spans="1:9" x14ac:dyDescent="0.3">
      <c r="A6304" t="s">
        <v>5379</v>
      </c>
      <c r="B6304" s="1">
        <v>45900</v>
      </c>
      <c r="C6304" s="1">
        <v>45900</v>
      </c>
      <c r="D6304">
        <v>36378049</v>
      </c>
      <c r="E6304">
        <v>382</v>
      </c>
      <c r="F6304" s="3" t="s">
        <v>5423</v>
      </c>
      <c r="H6304" s="4">
        <v>21230779</v>
      </c>
      <c r="I6304" s="4">
        <v>-12102097.34</v>
      </c>
    </row>
    <row r="6305" spans="1:9" x14ac:dyDescent="0.3">
      <c r="A6305" t="s">
        <v>5379</v>
      </c>
      <c r="B6305" s="1">
        <v>45900</v>
      </c>
      <c r="C6305" s="1">
        <v>45900</v>
      </c>
      <c r="D6305">
        <v>36378050</v>
      </c>
      <c r="E6305">
        <v>100</v>
      </c>
      <c r="F6305" s="3" t="s">
        <v>5423</v>
      </c>
      <c r="G6305" s="4">
        <v>21230779</v>
      </c>
      <c r="I6305" s="4">
        <v>9128681.6600000001</v>
      </c>
    </row>
    <row r="6306" spans="1:9" x14ac:dyDescent="0.3">
      <c r="A6306" t="s">
        <v>5379</v>
      </c>
      <c r="B6306" s="1">
        <v>45900</v>
      </c>
      <c r="C6306" s="1">
        <v>45900</v>
      </c>
      <c r="D6306">
        <v>36378501</v>
      </c>
      <c r="E6306">
        <v>39</v>
      </c>
      <c r="F6306" s="3" t="s">
        <v>5424</v>
      </c>
      <c r="G6306" s="4">
        <v>73119650</v>
      </c>
      <c r="I6306" s="4">
        <v>82248331.659999996</v>
      </c>
    </row>
    <row r="6307" spans="1:9" x14ac:dyDescent="0.3">
      <c r="A6307" t="s">
        <v>5379</v>
      </c>
      <c r="B6307" s="1">
        <v>45900</v>
      </c>
      <c r="C6307" s="1">
        <v>45900</v>
      </c>
      <c r="D6307">
        <v>36378502</v>
      </c>
      <c r="E6307">
        <v>100</v>
      </c>
      <c r="F6307" s="3" t="s">
        <v>5424</v>
      </c>
      <c r="H6307" s="4">
        <v>73119650</v>
      </c>
      <c r="I6307" s="4">
        <v>9128681.6600000001</v>
      </c>
    </row>
    <row r="6308" spans="1:9" x14ac:dyDescent="0.3">
      <c r="A6308" t="s">
        <v>5379</v>
      </c>
      <c r="B6308" s="1">
        <v>45900</v>
      </c>
      <c r="C6308" s="1">
        <v>45900</v>
      </c>
      <c r="D6308">
        <v>36378661</v>
      </c>
      <c r="E6308">
        <v>41</v>
      </c>
      <c r="F6308" s="3" t="s">
        <v>5425</v>
      </c>
      <c r="H6308" s="4">
        <v>1188510.3500000001</v>
      </c>
      <c r="I6308" s="4">
        <v>7940171.3099999996</v>
      </c>
    </row>
    <row r="6309" spans="1:9" x14ac:dyDescent="0.3">
      <c r="A6309" t="s">
        <v>5379</v>
      </c>
      <c r="B6309" s="1">
        <v>45900</v>
      </c>
      <c r="C6309" s="1">
        <v>45900</v>
      </c>
      <c r="D6309">
        <v>36378662</v>
      </c>
      <c r="E6309">
        <v>100</v>
      </c>
      <c r="F6309" s="3" t="s">
        <v>5425</v>
      </c>
      <c r="G6309" s="4">
        <v>1188510.3500000001</v>
      </c>
      <c r="I6309" s="4">
        <v>9128681.6600000001</v>
      </c>
    </row>
    <row r="6310" spans="1:9" x14ac:dyDescent="0.3">
      <c r="A6310" t="s">
        <v>5379</v>
      </c>
      <c r="B6310" s="1">
        <v>45900</v>
      </c>
      <c r="C6310" s="1">
        <v>45900</v>
      </c>
      <c r="D6310">
        <v>36379531</v>
      </c>
      <c r="E6310">
        <v>412</v>
      </c>
      <c r="F6310" s="3" t="s">
        <v>5426</v>
      </c>
      <c r="H6310" s="4">
        <v>4207209.25</v>
      </c>
      <c r="I6310" s="4">
        <v>4921472.41</v>
      </c>
    </row>
    <row r="6311" spans="1:9" x14ac:dyDescent="0.3">
      <c r="A6311" t="s">
        <v>5379</v>
      </c>
      <c r="B6311" s="1">
        <v>45900</v>
      </c>
      <c r="C6311" s="1">
        <v>45900</v>
      </c>
      <c r="D6311">
        <v>36379532</v>
      </c>
      <c r="E6311">
        <v>100</v>
      </c>
      <c r="F6311" s="3" t="s">
        <v>5426</v>
      </c>
      <c r="G6311" s="4">
        <v>4207209.25</v>
      </c>
      <c r="I6311" s="4">
        <v>9128681.6600000001</v>
      </c>
    </row>
    <row r="6312" spans="1:9" x14ac:dyDescent="0.3">
      <c r="A6312" t="s">
        <v>5379</v>
      </c>
      <c r="B6312" s="1">
        <v>45900</v>
      </c>
      <c r="C6312" s="1">
        <v>45900</v>
      </c>
      <c r="D6312">
        <v>36379717</v>
      </c>
      <c r="E6312">
        <v>42</v>
      </c>
      <c r="F6312" s="3" t="s">
        <v>5427</v>
      </c>
      <c r="H6312" s="4">
        <v>1356942.5</v>
      </c>
      <c r="I6312" s="4">
        <v>7771739.1600000001</v>
      </c>
    </row>
    <row r="6313" spans="1:9" x14ac:dyDescent="0.3">
      <c r="A6313" t="s">
        <v>5379</v>
      </c>
      <c r="B6313" s="1">
        <v>45900</v>
      </c>
      <c r="C6313" s="1">
        <v>45900</v>
      </c>
      <c r="D6313">
        <v>36379718</v>
      </c>
      <c r="E6313">
        <v>100</v>
      </c>
      <c r="F6313" s="3" t="s">
        <v>5427</v>
      </c>
      <c r="G6313" s="4">
        <v>1356942.5</v>
      </c>
      <c r="I6313" s="4">
        <v>9128681.6600000001</v>
      </c>
    </row>
    <row r="6314" spans="1:9" x14ac:dyDescent="0.3">
      <c r="A6314" t="s">
        <v>5379</v>
      </c>
      <c r="B6314" s="1">
        <v>45900</v>
      </c>
      <c r="C6314" s="1">
        <v>45900</v>
      </c>
      <c r="D6314">
        <v>36380063</v>
      </c>
      <c r="E6314">
        <v>422</v>
      </c>
      <c r="F6314" s="3" t="s">
        <v>5428</v>
      </c>
      <c r="H6314" s="4">
        <v>2546908.25</v>
      </c>
      <c r="I6314" s="4">
        <v>6581773.4100000001</v>
      </c>
    </row>
    <row r="6315" spans="1:9" x14ac:dyDescent="0.3">
      <c r="A6315" t="s">
        <v>5379</v>
      </c>
      <c r="B6315" s="1">
        <v>45900</v>
      </c>
      <c r="C6315" s="1">
        <v>45900</v>
      </c>
      <c r="D6315">
        <v>36380064</v>
      </c>
      <c r="E6315">
        <v>100</v>
      </c>
      <c r="F6315" s="3" t="s">
        <v>5428</v>
      </c>
      <c r="G6315" s="4">
        <v>2546908.25</v>
      </c>
      <c r="I6315" s="4">
        <v>9128681.6600000001</v>
      </c>
    </row>
    <row r="6316" spans="1:9" x14ac:dyDescent="0.3">
      <c r="A6316" t="s">
        <v>5379</v>
      </c>
      <c r="B6316" s="1">
        <v>45900</v>
      </c>
      <c r="C6316" s="1">
        <v>45900</v>
      </c>
      <c r="D6316">
        <v>36380259</v>
      </c>
      <c r="E6316">
        <v>43</v>
      </c>
      <c r="F6316" s="3" t="s">
        <v>5429</v>
      </c>
      <c r="H6316" s="4">
        <v>4006661.25</v>
      </c>
      <c r="I6316" s="4">
        <v>5122020.41</v>
      </c>
    </row>
    <row r="6317" spans="1:9" x14ac:dyDescent="0.3">
      <c r="A6317" t="s">
        <v>5379</v>
      </c>
      <c r="B6317" s="1">
        <v>45900</v>
      </c>
      <c r="C6317" s="1">
        <v>45900</v>
      </c>
      <c r="D6317">
        <v>36380260</v>
      </c>
      <c r="E6317">
        <v>100</v>
      </c>
      <c r="F6317" s="3" t="s">
        <v>5429</v>
      </c>
      <c r="G6317" s="4">
        <v>4006661.25</v>
      </c>
      <c r="I6317" s="4">
        <v>9128681.6600000001</v>
      </c>
    </row>
    <row r="6318" spans="1:9" x14ac:dyDescent="0.3">
      <c r="A6318" t="s">
        <v>5379</v>
      </c>
      <c r="B6318" s="1">
        <v>45900</v>
      </c>
      <c r="C6318" s="1">
        <v>45900</v>
      </c>
      <c r="D6318">
        <v>36380443</v>
      </c>
      <c r="E6318">
        <v>44</v>
      </c>
      <c r="F6318" s="3" t="s">
        <v>5430</v>
      </c>
      <c r="H6318" s="4">
        <v>2456619.92</v>
      </c>
      <c r="I6318" s="4">
        <v>6672061.7400000002</v>
      </c>
    </row>
    <row r="6319" spans="1:9" x14ac:dyDescent="0.3">
      <c r="A6319" t="s">
        <v>5379</v>
      </c>
      <c r="B6319" s="1">
        <v>45900</v>
      </c>
      <c r="C6319" s="1">
        <v>45900</v>
      </c>
      <c r="D6319">
        <v>36380444</v>
      </c>
      <c r="E6319">
        <v>100</v>
      </c>
      <c r="F6319" s="3" t="s">
        <v>5430</v>
      </c>
      <c r="G6319" s="4">
        <v>2456619.92</v>
      </c>
      <c r="I6319" s="4">
        <v>9128681.6600000001</v>
      </c>
    </row>
    <row r="6320" spans="1:9" x14ac:dyDescent="0.3">
      <c r="A6320" t="s">
        <v>5379</v>
      </c>
      <c r="B6320" s="1">
        <v>45900</v>
      </c>
      <c r="C6320" s="1">
        <v>45900</v>
      </c>
      <c r="D6320">
        <v>36380695</v>
      </c>
      <c r="E6320">
        <v>45</v>
      </c>
      <c r="F6320" s="3" t="s">
        <v>5431</v>
      </c>
      <c r="H6320" s="4">
        <v>7648176</v>
      </c>
      <c r="I6320" s="4">
        <v>1480505.66</v>
      </c>
    </row>
    <row r="6321" spans="1:9" x14ac:dyDescent="0.3">
      <c r="A6321" t="s">
        <v>5379</v>
      </c>
      <c r="B6321" s="1">
        <v>45900</v>
      </c>
      <c r="C6321" s="1">
        <v>45900</v>
      </c>
      <c r="D6321">
        <v>36380696</v>
      </c>
      <c r="E6321">
        <v>100</v>
      </c>
      <c r="F6321" s="3" t="s">
        <v>5431</v>
      </c>
      <c r="G6321" s="4">
        <v>7648176</v>
      </c>
      <c r="I6321" s="4">
        <v>9128681.6600000001</v>
      </c>
    </row>
    <row r="6322" spans="1:9" x14ac:dyDescent="0.3">
      <c r="A6322" t="s">
        <v>5379</v>
      </c>
      <c r="B6322" s="1">
        <v>45900</v>
      </c>
      <c r="C6322" s="1">
        <v>45900</v>
      </c>
      <c r="D6322">
        <v>36380995</v>
      </c>
      <c r="E6322">
        <v>46</v>
      </c>
      <c r="F6322" s="3" t="s">
        <v>5432</v>
      </c>
      <c r="H6322" s="4">
        <v>7711015</v>
      </c>
      <c r="I6322" s="4">
        <v>1417666.66</v>
      </c>
    </row>
    <row r="6323" spans="1:9" x14ac:dyDescent="0.3">
      <c r="A6323" t="s">
        <v>5379</v>
      </c>
      <c r="B6323" s="1">
        <v>45900</v>
      </c>
      <c r="C6323" s="1">
        <v>45900</v>
      </c>
      <c r="D6323">
        <v>36380996</v>
      </c>
      <c r="E6323">
        <v>100</v>
      </c>
      <c r="F6323" s="3" t="s">
        <v>5432</v>
      </c>
      <c r="G6323" s="4">
        <v>7711015</v>
      </c>
      <c r="I6323" s="4">
        <v>9128681.6600000001</v>
      </c>
    </row>
    <row r="6324" spans="1:9" x14ac:dyDescent="0.3">
      <c r="A6324" t="s">
        <v>5379</v>
      </c>
      <c r="B6324" s="1">
        <v>45900</v>
      </c>
      <c r="C6324" s="1">
        <v>45900</v>
      </c>
      <c r="D6324">
        <v>36381739</v>
      </c>
      <c r="E6324">
        <v>48</v>
      </c>
      <c r="F6324" s="3" t="s">
        <v>5433</v>
      </c>
      <c r="H6324" s="4">
        <v>9352101.5</v>
      </c>
      <c r="I6324" s="4">
        <v>-223419.84</v>
      </c>
    </row>
    <row r="6325" spans="1:9" x14ac:dyDescent="0.3">
      <c r="A6325" t="s">
        <v>5379</v>
      </c>
      <c r="B6325" s="1">
        <v>45900</v>
      </c>
      <c r="C6325" s="1">
        <v>45900</v>
      </c>
      <c r="D6325">
        <v>36381740</v>
      </c>
      <c r="E6325">
        <v>100</v>
      </c>
      <c r="F6325" s="3" t="s">
        <v>5433</v>
      </c>
      <c r="G6325" s="4">
        <v>9352101.5</v>
      </c>
      <c r="I6325" s="4">
        <v>9128681.6600000001</v>
      </c>
    </row>
    <row r="6326" spans="1:9" x14ac:dyDescent="0.3">
      <c r="A6326" t="s">
        <v>5379</v>
      </c>
      <c r="B6326" s="1">
        <v>45900</v>
      </c>
      <c r="C6326" s="1">
        <v>45900</v>
      </c>
      <c r="D6326">
        <v>36382179</v>
      </c>
      <c r="E6326">
        <v>49</v>
      </c>
      <c r="F6326" s="3" t="s">
        <v>5434</v>
      </c>
      <c r="H6326" s="4">
        <v>991640</v>
      </c>
      <c r="I6326" s="4">
        <v>8137041.6600000001</v>
      </c>
    </row>
    <row r="6327" spans="1:9" x14ac:dyDescent="0.3">
      <c r="A6327" t="s">
        <v>5379</v>
      </c>
      <c r="B6327" s="1">
        <v>45900</v>
      </c>
      <c r="C6327" s="1">
        <v>45900</v>
      </c>
      <c r="D6327">
        <v>36382180</v>
      </c>
      <c r="E6327">
        <v>100</v>
      </c>
      <c r="F6327" s="3" t="s">
        <v>5434</v>
      </c>
      <c r="G6327" s="4">
        <v>991640</v>
      </c>
      <c r="I6327" s="4">
        <v>9128681.6600000001</v>
      </c>
    </row>
    <row r="6328" spans="1:9" x14ac:dyDescent="0.3">
      <c r="A6328" t="s">
        <v>5379</v>
      </c>
      <c r="B6328" s="1">
        <v>45900</v>
      </c>
      <c r="C6328" s="1">
        <v>45900</v>
      </c>
      <c r="D6328">
        <v>36382577</v>
      </c>
      <c r="E6328">
        <v>50</v>
      </c>
      <c r="F6328" s="3" t="s">
        <v>5435</v>
      </c>
      <c r="H6328" s="4">
        <v>861342.25</v>
      </c>
      <c r="I6328" s="4">
        <v>8267339.4100000001</v>
      </c>
    </row>
    <row r="6329" spans="1:9" x14ac:dyDescent="0.3">
      <c r="A6329" t="s">
        <v>5379</v>
      </c>
      <c r="B6329" s="1">
        <v>45900</v>
      </c>
      <c r="C6329" s="1">
        <v>45900</v>
      </c>
      <c r="D6329">
        <v>36382578</v>
      </c>
      <c r="E6329">
        <v>100</v>
      </c>
      <c r="F6329" s="3" t="s">
        <v>5435</v>
      </c>
      <c r="G6329" s="4">
        <v>861342.25</v>
      </c>
      <c r="I6329" s="4">
        <v>9128681.6600000001</v>
      </c>
    </row>
    <row r="6330" spans="1:9" x14ac:dyDescent="0.3">
      <c r="A6330" t="s">
        <v>5379</v>
      </c>
      <c r="B6330" s="1">
        <v>45900</v>
      </c>
      <c r="C6330" s="1">
        <v>45900</v>
      </c>
      <c r="D6330">
        <v>36382713</v>
      </c>
      <c r="E6330">
        <v>51</v>
      </c>
      <c r="F6330" s="3" t="s">
        <v>5436</v>
      </c>
      <c r="H6330" s="4">
        <v>7842310</v>
      </c>
      <c r="I6330" s="4">
        <v>1286371.6599999999</v>
      </c>
    </row>
    <row r="6331" spans="1:9" x14ac:dyDescent="0.3">
      <c r="A6331" t="s">
        <v>5379</v>
      </c>
      <c r="B6331" s="1">
        <v>45900</v>
      </c>
      <c r="C6331" s="1">
        <v>45900</v>
      </c>
      <c r="D6331">
        <v>36382714</v>
      </c>
      <c r="E6331">
        <v>100</v>
      </c>
      <c r="F6331" s="3" t="s">
        <v>5436</v>
      </c>
      <c r="G6331" s="4">
        <v>7842310</v>
      </c>
      <c r="I6331" s="4">
        <v>9128681.6600000001</v>
      </c>
    </row>
    <row r="6332" spans="1:9" x14ac:dyDescent="0.3">
      <c r="A6332" t="s">
        <v>5379</v>
      </c>
      <c r="B6332" s="1">
        <v>45900</v>
      </c>
      <c r="C6332" s="1">
        <v>45900</v>
      </c>
      <c r="D6332">
        <v>36383019</v>
      </c>
      <c r="E6332">
        <v>52</v>
      </c>
      <c r="F6332" s="3" t="s">
        <v>5437</v>
      </c>
      <c r="H6332" s="4">
        <v>4471721.75</v>
      </c>
      <c r="I6332" s="4">
        <v>4656959.91</v>
      </c>
    </row>
    <row r="6333" spans="1:9" x14ac:dyDescent="0.3">
      <c r="A6333" t="s">
        <v>5379</v>
      </c>
      <c r="B6333" s="1">
        <v>45900</v>
      </c>
      <c r="C6333" s="1">
        <v>45900</v>
      </c>
      <c r="D6333">
        <v>36383020</v>
      </c>
      <c r="E6333">
        <v>100</v>
      </c>
      <c r="F6333" s="3" t="s">
        <v>5437</v>
      </c>
      <c r="G6333" s="4">
        <v>4471721.75</v>
      </c>
      <c r="I6333" s="4">
        <v>9128681.6600000001</v>
      </c>
    </row>
    <row r="6334" spans="1:9" x14ac:dyDescent="0.3">
      <c r="A6334" t="s">
        <v>5379</v>
      </c>
      <c r="B6334" s="1">
        <v>45900</v>
      </c>
      <c r="C6334" s="1">
        <v>45900</v>
      </c>
      <c r="D6334">
        <v>36383397</v>
      </c>
      <c r="E6334">
        <v>53</v>
      </c>
      <c r="F6334" s="3" t="s">
        <v>5438</v>
      </c>
      <c r="H6334" s="4">
        <v>8264092</v>
      </c>
      <c r="I6334" s="4">
        <v>864589.66</v>
      </c>
    </row>
    <row r="6335" spans="1:9" x14ac:dyDescent="0.3">
      <c r="A6335" t="s">
        <v>5379</v>
      </c>
      <c r="B6335" s="1">
        <v>45900</v>
      </c>
      <c r="C6335" s="1">
        <v>45900</v>
      </c>
      <c r="D6335">
        <v>36383398</v>
      </c>
      <c r="E6335">
        <v>100</v>
      </c>
      <c r="F6335" s="3" t="s">
        <v>5438</v>
      </c>
      <c r="G6335" s="4">
        <v>8264092</v>
      </c>
      <c r="I6335" s="4">
        <v>9128681.6600000001</v>
      </c>
    </row>
    <row r="6336" spans="1:9" x14ac:dyDescent="0.3">
      <c r="A6336" t="s">
        <v>5379</v>
      </c>
      <c r="B6336" s="1">
        <v>45900</v>
      </c>
      <c r="C6336" s="1">
        <v>45900</v>
      </c>
      <c r="D6336">
        <v>36383703</v>
      </c>
      <c r="E6336">
        <v>532</v>
      </c>
      <c r="F6336" s="3" t="s">
        <v>5439</v>
      </c>
      <c r="H6336" s="4">
        <v>2500180</v>
      </c>
      <c r="I6336" s="4">
        <v>6628501.6600000001</v>
      </c>
    </row>
    <row r="6337" spans="1:9" x14ac:dyDescent="0.3">
      <c r="A6337" t="s">
        <v>5379</v>
      </c>
      <c r="B6337" s="1">
        <v>45900</v>
      </c>
      <c r="C6337" s="1">
        <v>45900</v>
      </c>
      <c r="D6337">
        <v>36383704</v>
      </c>
      <c r="E6337">
        <v>100</v>
      </c>
      <c r="F6337" s="3" t="s">
        <v>5439</v>
      </c>
      <c r="G6337" s="4">
        <v>2500180</v>
      </c>
      <c r="I6337" s="4">
        <v>9128681.6600000001</v>
      </c>
    </row>
    <row r="6338" spans="1:9" x14ac:dyDescent="0.3">
      <c r="A6338" t="s">
        <v>5379</v>
      </c>
      <c r="B6338" s="1">
        <v>45900</v>
      </c>
      <c r="C6338" s="1">
        <v>45900</v>
      </c>
      <c r="D6338">
        <v>36383763</v>
      </c>
      <c r="E6338">
        <v>54</v>
      </c>
      <c r="F6338" s="3" t="s">
        <v>5440</v>
      </c>
      <c r="H6338" s="4">
        <v>9117644</v>
      </c>
      <c r="I6338" s="4">
        <v>11037.66</v>
      </c>
    </row>
    <row r="6339" spans="1:9" x14ac:dyDescent="0.3">
      <c r="A6339" t="s">
        <v>5379</v>
      </c>
      <c r="B6339" s="1">
        <v>45900</v>
      </c>
      <c r="C6339" s="1">
        <v>45900</v>
      </c>
      <c r="D6339">
        <v>36383764</v>
      </c>
      <c r="E6339">
        <v>100</v>
      </c>
      <c r="F6339" s="3" t="s">
        <v>5440</v>
      </c>
      <c r="G6339" s="4">
        <v>9117644</v>
      </c>
      <c r="I6339" s="4">
        <v>9128681.6600000001</v>
      </c>
    </row>
    <row r="6340" spans="1:9" x14ac:dyDescent="0.3">
      <c r="A6340" t="s">
        <v>5379</v>
      </c>
      <c r="B6340" s="1">
        <v>45900</v>
      </c>
      <c r="C6340" s="1">
        <v>45900</v>
      </c>
      <c r="D6340">
        <v>36384011</v>
      </c>
      <c r="E6340">
        <v>542</v>
      </c>
      <c r="F6340" s="3" t="s">
        <v>5441</v>
      </c>
      <c r="H6340" s="4">
        <v>1678859.25</v>
      </c>
      <c r="I6340" s="4">
        <v>7449822.4100000001</v>
      </c>
    </row>
    <row r="6341" spans="1:9" x14ac:dyDescent="0.3">
      <c r="A6341" t="s">
        <v>5379</v>
      </c>
      <c r="B6341" s="1">
        <v>45900</v>
      </c>
      <c r="C6341" s="1">
        <v>45900</v>
      </c>
      <c r="D6341">
        <v>36384012</v>
      </c>
      <c r="E6341">
        <v>100</v>
      </c>
      <c r="F6341" s="3" t="s">
        <v>5441</v>
      </c>
      <c r="G6341" s="4">
        <v>1678859.25</v>
      </c>
      <c r="I6341" s="4">
        <v>9128681.6600000001</v>
      </c>
    </row>
    <row r="6342" spans="1:9" x14ac:dyDescent="0.3">
      <c r="A6342" t="s">
        <v>5379</v>
      </c>
      <c r="B6342" s="1">
        <v>45900</v>
      </c>
      <c r="C6342" s="1">
        <v>45900</v>
      </c>
      <c r="D6342">
        <v>36384149</v>
      </c>
      <c r="E6342">
        <v>55</v>
      </c>
      <c r="F6342" s="3" t="s">
        <v>5442</v>
      </c>
      <c r="H6342" s="4">
        <v>6995895</v>
      </c>
      <c r="I6342" s="4">
        <v>2132786.66</v>
      </c>
    </row>
    <row r="6343" spans="1:9" x14ac:dyDescent="0.3">
      <c r="A6343" t="s">
        <v>5379</v>
      </c>
      <c r="B6343" s="1">
        <v>45900</v>
      </c>
      <c r="C6343" s="1">
        <v>45900</v>
      </c>
      <c r="D6343">
        <v>36384150</v>
      </c>
      <c r="E6343">
        <v>100</v>
      </c>
      <c r="F6343" s="3" t="s">
        <v>5442</v>
      </c>
      <c r="G6343" s="4">
        <v>6995895</v>
      </c>
      <c r="I6343" s="4">
        <v>9128681.6600000001</v>
      </c>
    </row>
    <row r="6344" spans="1:9" x14ac:dyDescent="0.3">
      <c r="A6344" t="s">
        <v>5379</v>
      </c>
      <c r="B6344" s="1">
        <v>45900</v>
      </c>
      <c r="C6344" s="1">
        <v>45900</v>
      </c>
      <c r="D6344">
        <v>36384437</v>
      </c>
      <c r="E6344">
        <v>56</v>
      </c>
      <c r="F6344" s="3" t="s">
        <v>5443</v>
      </c>
      <c r="H6344" s="4">
        <v>14670899.07</v>
      </c>
      <c r="I6344" s="4">
        <v>-5542217.4100000001</v>
      </c>
    </row>
    <row r="6345" spans="1:9" x14ac:dyDescent="0.3">
      <c r="A6345" t="s">
        <v>5379</v>
      </c>
      <c r="B6345" s="1">
        <v>45900</v>
      </c>
      <c r="C6345" s="1">
        <v>45900</v>
      </c>
      <c r="D6345">
        <v>36384438</v>
      </c>
      <c r="E6345">
        <v>100</v>
      </c>
      <c r="F6345" s="3" t="s">
        <v>5443</v>
      </c>
      <c r="G6345" s="4">
        <v>14670899.07</v>
      </c>
      <c r="I6345" s="4">
        <v>9128681.6600000001</v>
      </c>
    </row>
    <row r="6346" spans="1:9" x14ac:dyDescent="0.3">
      <c r="A6346" t="s">
        <v>5379</v>
      </c>
      <c r="B6346" s="1">
        <v>45900</v>
      </c>
      <c r="C6346" s="1">
        <v>45900</v>
      </c>
      <c r="D6346">
        <v>36385055</v>
      </c>
      <c r="E6346">
        <v>58</v>
      </c>
      <c r="F6346" s="3" t="s">
        <v>5444</v>
      </c>
      <c r="H6346" s="4">
        <v>9897144.7899999991</v>
      </c>
      <c r="I6346" s="4">
        <v>-768463.13</v>
      </c>
    </row>
    <row r="6347" spans="1:9" x14ac:dyDescent="0.3">
      <c r="A6347" t="s">
        <v>5379</v>
      </c>
      <c r="B6347" s="1">
        <v>45900</v>
      </c>
      <c r="C6347" s="1">
        <v>45900</v>
      </c>
      <c r="D6347">
        <v>36385056</v>
      </c>
      <c r="E6347">
        <v>100</v>
      </c>
      <c r="F6347" s="3" t="s">
        <v>5444</v>
      </c>
      <c r="G6347" s="4">
        <v>9897144.7899999991</v>
      </c>
      <c r="I6347" s="4">
        <v>9128681.6600000001</v>
      </c>
    </row>
    <row r="6348" spans="1:9" x14ac:dyDescent="0.3">
      <c r="A6348" t="s">
        <v>5379</v>
      </c>
      <c r="B6348" s="1">
        <v>45900</v>
      </c>
      <c r="C6348" s="1">
        <v>45900</v>
      </c>
      <c r="D6348">
        <v>36385169</v>
      </c>
      <c r="E6348">
        <v>59</v>
      </c>
      <c r="F6348" s="3" t="s">
        <v>5445</v>
      </c>
      <c r="H6348" s="4">
        <v>1895993.25</v>
      </c>
      <c r="I6348" s="4">
        <v>7232688.4100000001</v>
      </c>
    </row>
    <row r="6349" spans="1:9" x14ac:dyDescent="0.3">
      <c r="A6349" t="s">
        <v>5379</v>
      </c>
      <c r="B6349" s="1">
        <v>45900</v>
      </c>
      <c r="C6349" s="1">
        <v>45900</v>
      </c>
      <c r="D6349">
        <v>36385170</v>
      </c>
      <c r="E6349">
        <v>100</v>
      </c>
      <c r="F6349" s="3" t="s">
        <v>5445</v>
      </c>
      <c r="G6349" s="4">
        <v>1895993.25</v>
      </c>
      <c r="I6349" s="4">
        <v>9128681.6600000001</v>
      </c>
    </row>
    <row r="6350" spans="1:9" x14ac:dyDescent="0.3">
      <c r="A6350" t="s">
        <v>5379</v>
      </c>
      <c r="B6350" s="1">
        <v>45900</v>
      </c>
      <c r="C6350" s="1">
        <v>45900</v>
      </c>
      <c r="D6350">
        <v>36385433</v>
      </c>
      <c r="E6350">
        <v>60</v>
      </c>
      <c r="F6350" s="3" t="s">
        <v>5446</v>
      </c>
      <c r="H6350" s="4">
        <v>545000</v>
      </c>
      <c r="I6350" s="4">
        <v>8583681.6600000001</v>
      </c>
    </row>
    <row r="6351" spans="1:9" x14ac:dyDescent="0.3">
      <c r="A6351" t="s">
        <v>5379</v>
      </c>
      <c r="B6351" s="1">
        <v>45900</v>
      </c>
      <c r="C6351" s="1">
        <v>45900</v>
      </c>
      <c r="D6351">
        <v>36385434</v>
      </c>
      <c r="E6351">
        <v>100</v>
      </c>
      <c r="F6351" s="3" t="s">
        <v>5446</v>
      </c>
      <c r="G6351" s="4">
        <v>545000</v>
      </c>
      <c r="I6351" s="4">
        <v>9128681.6600000001</v>
      </c>
    </row>
    <row r="6352" spans="1:9" x14ac:dyDescent="0.3">
      <c r="A6352" t="s">
        <v>5379</v>
      </c>
      <c r="B6352" s="1">
        <v>45900</v>
      </c>
      <c r="C6352" s="1">
        <v>45900</v>
      </c>
      <c r="D6352">
        <v>36385567</v>
      </c>
      <c r="E6352">
        <v>61</v>
      </c>
      <c r="F6352" s="3" t="s">
        <v>5447</v>
      </c>
      <c r="H6352" s="4">
        <v>8880705.1899999995</v>
      </c>
      <c r="I6352" s="4">
        <v>247976.47</v>
      </c>
    </row>
    <row r="6353" spans="1:9" x14ac:dyDescent="0.3">
      <c r="A6353" t="s">
        <v>5379</v>
      </c>
      <c r="B6353" s="1">
        <v>45900</v>
      </c>
      <c r="C6353" s="1">
        <v>45900</v>
      </c>
      <c r="D6353">
        <v>36385568</v>
      </c>
      <c r="E6353">
        <v>100</v>
      </c>
      <c r="F6353" s="3" t="s">
        <v>5447</v>
      </c>
      <c r="G6353" s="4">
        <v>8880705.1899999995</v>
      </c>
      <c r="I6353" s="4">
        <v>9128681.6600000001</v>
      </c>
    </row>
    <row r="6354" spans="1:9" x14ac:dyDescent="0.3">
      <c r="A6354" t="s">
        <v>5379</v>
      </c>
      <c r="B6354" s="1">
        <v>45900</v>
      </c>
      <c r="C6354" s="1">
        <v>45900</v>
      </c>
      <c r="D6354">
        <v>36385751</v>
      </c>
      <c r="E6354">
        <v>62</v>
      </c>
      <c r="F6354" s="3" t="s">
        <v>5448</v>
      </c>
      <c r="H6354" s="4">
        <v>13147784.25</v>
      </c>
      <c r="I6354" s="4">
        <v>-4019102.59</v>
      </c>
    </row>
    <row r="6355" spans="1:9" x14ac:dyDescent="0.3">
      <c r="A6355" t="s">
        <v>5379</v>
      </c>
      <c r="B6355" s="1">
        <v>45900</v>
      </c>
      <c r="C6355" s="1">
        <v>45900</v>
      </c>
      <c r="D6355">
        <v>36385752</v>
      </c>
      <c r="E6355">
        <v>100</v>
      </c>
      <c r="F6355" s="3" t="s">
        <v>5448</v>
      </c>
      <c r="G6355" s="4">
        <v>13147784.25</v>
      </c>
      <c r="I6355" s="4">
        <v>9128681.6600000001</v>
      </c>
    </row>
    <row r="6356" spans="1:9" x14ac:dyDescent="0.3">
      <c r="A6356" t="s">
        <v>5379</v>
      </c>
      <c r="B6356" s="1">
        <v>45900</v>
      </c>
      <c r="C6356" s="1">
        <v>45900</v>
      </c>
      <c r="D6356">
        <v>36386049</v>
      </c>
      <c r="E6356">
        <v>63</v>
      </c>
      <c r="F6356" s="3" t="s">
        <v>5449</v>
      </c>
      <c r="H6356" s="4">
        <v>7121096.5</v>
      </c>
      <c r="I6356" s="4">
        <v>2007585.16</v>
      </c>
    </row>
    <row r="6357" spans="1:9" x14ac:dyDescent="0.3">
      <c r="A6357" t="s">
        <v>5379</v>
      </c>
      <c r="B6357" s="1">
        <v>45900</v>
      </c>
      <c r="C6357" s="1">
        <v>45900</v>
      </c>
      <c r="D6357">
        <v>36386050</v>
      </c>
      <c r="E6357">
        <v>100</v>
      </c>
      <c r="F6357" s="3" t="s">
        <v>5449</v>
      </c>
      <c r="G6357" s="4">
        <v>7121096.5</v>
      </c>
      <c r="I6357" s="4">
        <v>9128681.6600000001</v>
      </c>
    </row>
    <row r="6358" spans="1:9" x14ac:dyDescent="0.3">
      <c r="A6358" t="s">
        <v>5379</v>
      </c>
      <c r="B6358" s="1">
        <v>45900</v>
      </c>
      <c r="C6358" s="1">
        <v>45900</v>
      </c>
      <c r="D6358">
        <v>36386301</v>
      </c>
      <c r="E6358">
        <v>64</v>
      </c>
      <c r="F6358" s="3" t="s">
        <v>5450</v>
      </c>
      <c r="H6358" s="4">
        <v>11605750.25</v>
      </c>
      <c r="I6358" s="4">
        <v>-2477068.59</v>
      </c>
    </row>
    <row r="6359" spans="1:9" x14ac:dyDescent="0.3">
      <c r="A6359" t="s">
        <v>5379</v>
      </c>
      <c r="B6359" s="1">
        <v>45900</v>
      </c>
      <c r="C6359" s="1">
        <v>45900</v>
      </c>
      <c r="D6359">
        <v>36386302</v>
      </c>
      <c r="E6359">
        <v>100</v>
      </c>
      <c r="F6359" s="3" t="s">
        <v>5450</v>
      </c>
      <c r="G6359" s="4">
        <v>11605750.25</v>
      </c>
      <c r="I6359" s="4">
        <v>9128681.6600000001</v>
      </c>
    </row>
    <row r="6360" spans="1:9" x14ac:dyDescent="0.3">
      <c r="A6360" t="s">
        <v>5379</v>
      </c>
      <c r="B6360" s="1">
        <v>45900</v>
      </c>
      <c r="C6360" s="1">
        <v>45900</v>
      </c>
      <c r="D6360">
        <v>36386903</v>
      </c>
      <c r="E6360">
        <v>65</v>
      </c>
      <c r="F6360" s="3" t="s">
        <v>5451</v>
      </c>
      <c r="H6360" s="4">
        <v>6895914</v>
      </c>
      <c r="I6360" s="4">
        <v>2232767.66</v>
      </c>
    </row>
    <row r="6361" spans="1:9" x14ac:dyDescent="0.3">
      <c r="A6361" t="s">
        <v>5379</v>
      </c>
      <c r="B6361" s="1">
        <v>45900</v>
      </c>
      <c r="C6361" s="1">
        <v>45900</v>
      </c>
      <c r="D6361">
        <v>36386904</v>
      </c>
      <c r="E6361">
        <v>100</v>
      </c>
      <c r="F6361" s="3" t="s">
        <v>5451</v>
      </c>
      <c r="G6361" s="4">
        <v>6895914</v>
      </c>
      <c r="I6361" s="4">
        <v>9128681.6600000001</v>
      </c>
    </row>
    <row r="6362" spans="1:9" x14ac:dyDescent="0.3">
      <c r="A6362" t="s">
        <v>5379</v>
      </c>
      <c r="B6362" s="1">
        <v>45900</v>
      </c>
      <c r="C6362" s="1">
        <v>45900</v>
      </c>
      <c r="D6362">
        <v>36387301</v>
      </c>
      <c r="E6362">
        <v>66</v>
      </c>
      <c r="F6362" s="3" t="s">
        <v>5452</v>
      </c>
      <c r="H6362" s="4">
        <v>4355945</v>
      </c>
      <c r="I6362" s="4">
        <v>4772736.66</v>
      </c>
    </row>
    <row r="6363" spans="1:9" x14ac:dyDescent="0.3">
      <c r="A6363" t="s">
        <v>5379</v>
      </c>
      <c r="B6363" s="1">
        <v>45900</v>
      </c>
      <c r="C6363" s="1">
        <v>45900</v>
      </c>
      <c r="D6363">
        <v>36387302</v>
      </c>
      <c r="E6363">
        <v>100</v>
      </c>
      <c r="F6363" s="3" t="s">
        <v>5452</v>
      </c>
      <c r="G6363" s="4">
        <v>4355945</v>
      </c>
      <c r="I6363" s="4">
        <v>9128681.6600000001</v>
      </c>
    </row>
    <row r="6364" spans="1:9" x14ac:dyDescent="0.3">
      <c r="A6364" t="s">
        <v>5379</v>
      </c>
      <c r="B6364" s="1">
        <v>45900</v>
      </c>
      <c r="C6364" s="1">
        <v>45900</v>
      </c>
      <c r="D6364">
        <v>36387549</v>
      </c>
      <c r="E6364">
        <v>67</v>
      </c>
      <c r="F6364" s="3" t="s">
        <v>5453</v>
      </c>
      <c r="H6364" s="4">
        <v>9472035.2799999993</v>
      </c>
      <c r="I6364" s="4">
        <v>-343353.62</v>
      </c>
    </row>
    <row r="6365" spans="1:9" x14ac:dyDescent="0.3">
      <c r="A6365" t="s">
        <v>5379</v>
      </c>
      <c r="B6365" s="1">
        <v>45900</v>
      </c>
      <c r="C6365" s="1">
        <v>45900</v>
      </c>
      <c r="D6365">
        <v>36387550</v>
      </c>
      <c r="E6365">
        <v>100</v>
      </c>
      <c r="F6365" s="3" t="s">
        <v>5453</v>
      </c>
      <c r="G6365" s="4">
        <v>9472035.2799999993</v>
      </c>
      <c r="I6365" s="4">
        <v>9128681.6600000001</v>
      </c>
    </row>
    <row r="6366" spans="1:9" x14ac:dyDescent="0.3">
      <c r="A6366" t="s">
        <v>5379</v>
      </c>
      <c r="B6366" s="1">
        <v>45900</v>
      </c>
      <c r="C6366" s="1">
        <v>45900</v>
      </c>
      <c r="D6366">
        <v>36387961</v>
      </c>
      <c r="E6366">
        <v>69</v>
      </c>
      <c r="F6366" s="3" t="s">
        <v>5454</v>
      </c>
      <c r="H6366" s="4">
        <v>2782960.37</v>
      </c>
      <c r="I6366" s="4">
        <v>6345721.29</v>
      </c>
    </row>
    <row r="6367" spans="1:9" x14ac:dyDescent="0.3">
      <c r="A6367" t="s">
        <v>5379</v>
      </c>
      <c r="B6367" s="1">
        <v>45900</v>
      </c>
      <c r="C6367" s="1">
        <v>45900</v>
      </c>
      <c r="D6367">
        <v>36387962</v>
      </c>
      <c r="E6367">
        <v>100</v>
      </c>
      <c r="F6367" s="3" t="s">
        <v>5454</v>
      </c>
      <c r="G6367" s="4">
        <v>2782960.37</v>
      </c>
      <c r="I6367" s="4">
        <v>9128681.6600000001</v>
      </c>
    </row>
    <row r="6368" spans="1:9" x14ac:dyDescent="0.3">
      <c r="A6368" t="s">
        <v>5379</v>
      </c>
      <c r="B6368" s="1">
        <v>45900</v>
      </c>
      <c r="C6368" s="1">
        <v>45900</v>
      </c>
      <c r="D6368">
        <v>36388789</v>
      </c>
      <c r="E6368">
        <v>70</v>
      </c>
      <c r="F6368" s="3" t="s">
        <v>5455</v>
      </c>
      <c r="H6368" s="4">
        <v>11532224.1</v>
      </c>
      <c r="I6368" s="4">
        <v>-2403542.44</v>
      </c>
    </row>
    <row r="6369" spans="1:9" x14ac:dyDescent="0.3">
      <c r="A6369" t="s">
        <v>5379</v>
      </c>
      <c r="B6369" s="1">
        <v>45900</v>
      </c>
      <c r="C6369" s="1">
        <v>45900</v>
      </c>
      <c r="D6369">
        <v>36388790</v>
      </c>
      <c r="E6369">
        <v>100</v>
      </c>
      <c r="F6369" s="3" t="s">
        <v>5455</v>
      </c>
      <c r="G6369" s="4">
        <v>11532224.1</v>
      </c>
      <c r="I6369" s="4">
        <v>9128681.6600000001</v>
      </c>
    </row>
    <row r="6370" spans="1:9" x14ac:dyDescent="0.3">
      <c r="A6370" t="s">
        <v>5379</v>
      </c>
      <c r="B6370" s="1">
        <v>45900</v>
      </c>
      <c r="C6370" s="1">
        <v>45900</v>
      </c>
      <c r="D6370">
        <v>36388889</v>
      </c>
      <c r="E6370">
        <v>71</v>
      </c>
      <c r="F6370" s="3" t="s">
        <v>5456</v>
      </c>
      <c r="H6370" s="4">
        <v>5212061</v>
      </c>
      <c r="I6370" s="4">
        <v>3916620.66</v>
      </c>
    </row>
    <row r="6371" spans="1:9" x14ac:dyDescent="0.3">
      <c r="A6371" t="s">
        <v>5379</v>
      </c>
      <c r="B6371" s="1">
        <v>45900</v>
      </c>
      <c r="C6371" s="1">
        <v>45900</v>
      </c>
      <c r="D6371">
        <v>36388890</v>
      </c>
      <c r="E6371">
        <v>100</v>
      </c>
      <c r="F6371" s="3" t="s">
        <v>5456</v>
      </c>
      <c r="G6371" s="4">
        <v>5212061</v>
      </c>
      <c r="I6371" s="4">
        <v>9128681.6600000001</v>
      </c>
    </row>
    <row r="6372" spans="1:9" x14ac:dyDescent="0.3">
      <c r="A6372" t="s">
        <v>5379</v>
      </c>
      <c r="B6372" s="1">
        <v>45900</v>
      </c>
      <c r="C6372" s="1">
        <v>45900</v>
      </c>
      <c r="D6372">
        <v>36389185</v>
      </c>
      <c r="E6372">
        <v>72</v>
      </c>
      <c r="F6372" s="3" t="s">
        <v>5457</v>
      </c>
      <c r="H6372" s="4">
        <v>8713042.25</v>
      </c>
      <c r="I6372" s="4">
        <v>415639.41</v>
      </c>
    </row>
    <row r="6373" spans="1:9" x14ac:dyDescent="0.3">
      <c r="A6373" t="s">
        <v>5379</v>
      </c>
      <c r="B6373" s="1">
        <v>45900</v>
      </c>
      <c r="C6373" s="1">
        <v>45900</v>
      </c>
      <c r="D6373">
        <v>36389186</v>
      </c>
      <c r="E6373">
        <v>100</v>
      </c>
      <c r="F6373" s="3" t="s">
        <v>5457</v>
      </c>
      <c r="G6373" s="4">
        <v>8713042.25</v>
      </c>
      <c r="I6373" s="4">
        <v>9128681.6600000001</v>
      </c>
    </row>
    <row r="6374" spans="1:9" x14ac:dyDescent="0.3">
      <c r="A6374" t="s">
        <v>5379</v>
      </c>
      <c r="B6374" s="1">
        <v>45900</v>
      </c>
      <c r="C6374" s="1">
        <v>45900</v>
      </c>
      <c r="D6374">
        <v>36389503</v>
      </c>
      <c r="E6374">
        <v>73</v>
      </c>
      <c r="F6374" s="3" t="s">
        <v>5458</v>
      </c>
      <c r="H6374" s="4">
        <v>6061000</v>
      </c>
      <c r="I6374" s="4">
        <v>3067681.66</v>
      </c>
    </row>
    <row r="6375" spans="1:9" x14ac:dyDescent="0.3">
      <c r="A6375" t="s">
        <v>5379</v>
      </c>
      <c r="B6375" s="1">
        <v>45900</v>
      </c>
      <c r="C6375" s="1">
        <v>45900</v>
      </c>
      <c r="D6375">
        <v>36389504</v>
      </c>
      <c r="E6375">
        <v>100</v>
      </c>
      <c r="F6375" s="3" t="s">
        <v>5458</v>
      </c>
      <c r="G6375" s="4">
        <v>6061000</v>
      </c>
      <c r="I6375" s="4">
        <v>9128681.6600000001</v>
      </c>
    </row>
    <row r="6376" spans="1:9" x14ac:dyDescent="0.3">
      <c r="A6376" t="s">
        <v>5379</v>
      </c>
      <c r="B6376" s="1">
        <v>45900</v>
      </c>
      <c r="C6376" s="1">
        <v>45900</v>
      </c>
      <c r="D6376">
        <v>36389843</v>
      </c>
      <c r="E6376">
        <v>74</v>
      </c>
      <c r="F6376" s="3" t="s">
        <v>5459</v>
      </c>
      <c r="H6376" s="4">
        <v>9107537.5</v>
      </c>
      <c r="I6376" s="4">
        <v>21144.16</v>
      </c>
    </row>
    <row r="6377" spans="1:9" x14ac:dyDescent="0.3">
      <c r="A6377" t="s">
        <v>5379</v>
      </c>
      <c r="B6377" s="1">
        <v>45900</v>
      </c>
      <c r="C6377" s="1">
        <v>45900</v>
      </c>
      <c r="D6377">
        <v>36389844</v>
      </c>
      <c r="E6377">
        <v>100</v>
      </c>
      <c r="F6377" s="3" t="s">
        <v>5459</v>
      </c>
      <c r="G6377" s="4">
        <v>9107537.5</v>
      </c>
      <c r="I6377" s="4">
        <v>9128681.6600000001</v>
      </c>
    </row>
    <row r="6378" spans="1:9" x14ac:dyDescent="0.3">
      <c r="A6378" t="s">
        <v>5379</v>
      </c>
      <c r="B6378" s="1">
        <v>45900</v>
      </c>
      <c r="C6378" s="1">
        <v>45900</v>
      </c>
      <c r="D6378">
        <v>36390019</v>
      </c>
      <c r="E6378">
        <v>75</v>
      </c>
      <c r="F6378" s="3" t="s">
        <v>5460</v>
      </c>
      <c r="H6378" s="4">
        <v>7361944</v>
      </c>
      <c r="I6378" s="4">
        <v>1766737.66</v>
      </c>
    </row>
    <row r="6379" spans="1:9" x14ac:dyDescent="0.3">
      <c r="A6379" t="s">
        <v>5379</v>
      </c>
      <c r="B6379" s="1">
        <v>45900</v>
      </c>
      <c r="C6379" s="1">
        <v>45900</v>
      </c>
      <c r="D6379">
        <v>36390020</v>
      </c>
      <c r="E6379">
        <v>100</v>
      </c>
      <c r="F6379" s="3" t="s">
        <v>5460</v>
      </c>
      <c r="G6379" s="4">
        <v>7361944</v>
      </c>
      <c r="I6379" s="4">
        <v>9128681.6600000001</v>
      </c>
    </row>
    <row r="6380" spans="1:9" x14ac:dyDescent="0.3">
      <c r="A6380" t="s">
        <v>5379</v>
      </c>
      <c r="B6380" s="1">
        <v>45900</v>
      </c>
      <c r="C6380" s="1">
        <v>45900</v>
      </c>
      <c r="D6380">
        <v>36390267</v>
      </c>
      <c r="E6380">
        <v>76</v>
      </c>
      <c r="F6380" s="3" t="s">
        <v>5461</v>
      </c>
      <c r="H6380" s="4">
        <v>4451833.5</v>
      </c>
      <c r="I6380" s="4">
        <v>4676848.16</v>
      </c>
    </row>
    <row r="6381" spans="1:9" x14ac:dyDescent="0.3">
      <c r="A6381" t="s">
        <v>5379</v>
      </c>
      <c r="B6381" s="1">
        <v>45900</v>
      </c>
      <c r="C6381" s="1">
        <v>45900</v>
      </c>
      <c r="D6381">
        <v>36390268</v>
      </c>
      <c r="E6381">
        <v>100</v>
      </c>
      <c r="F6381" s="3" t="s">
        <v>5461</v>
      </c>
      <c r="G6381" s="4">
        <v>4451833.5</v>
      </c>
      <c r="I6381" s="4">
        <v>9128681.6600000001</v>
      </c>
    </row>
    <row r="6382" spans="1:9" x14ac:dyDescent="0.3">
      <c r="A6382" t="s">
        <v>5379</v>
      </c>
      <c r="B6382" s="1">
        <v>45900</v>
      </c>
      <c r="C6382" s="1">
        <v>45900</v>
      </c>
      <c r="D6382">
        <v>36390509</v>
      </c>
      <c r="E6382">
        <v>77</v>
      </c>
      <c r="F6382" s="3" t="s">
        <v>5462</v>
      </c>
      <c r="H6382" s="4">
        <v>19107248.260000002</v>
      </c>
      <c r="I6382" s="4">
        <v>-9978566.5999999996</v>
      </c>
    </row>
    <row r="6383" spans="1:9" x14ac:dyDescent="0.3">
      <c r="A6383" t="s">
        <v>5379</v>
      </c>
      <c r="B6383" s="1">
        <v>45900</v>
      </c>
      <c r="C6383" s="1">
        <v>45900</v>
      </c>
      <c r="D6383">
        <v>36390510</v>
      </c>
      <c r="E6383">
        <v>100</v>
      </c>
      <c r="F6383" s="3" t="s">
        <v>5462</v>
      </c>
      <c r="G6383" s="4">
        <v>19107248.260000002</v>
      </c>
      <c r="I6383" s="4">
        <v>9128681.6600000001</v>
      </c>
    </row>
    <row r="6384" spans="1:9" x14ac:dyDescent="0.3">
      <c r="A6384" t="s">
        <v>5379</v>
      </c>
      <c r="B6384" s="1">
        <v>45900</v>
      </c>
      <c r="C6384" s="1">
        <v>45900</v>
      </c>
      <c r="D6384">
        <v>36390999</v>
      </c>
      <c r="E6384">
        <v>78</v>
      </c>
      <c r="F6384" s="3" t="s">
        <v>5463</v>
      </c>
      <c r="H6384" s="4">
        <v>19630960.82</v>
      </c>
      <c r="I6384" s="4">
        <v>-10502279.16</v>
      </c>
    </row>
    <row r="6385" spans="1:9" x14ac:dyDescent="0.3">
      <c r="A6385" t="s">
        <v>5379</v>
      </c>
      <c r="B6385" s="1">
        <v>45900</v>
      </c>
      <c r="C6385" s="1">
        <v>45900</v>
      </c>
      <c r="D6385">
        <v>36391000</v>
      </c>
      <c r="E6385">
        <v>100</v>
      </c>
      <c r="F6385" s="3" t="s">
        <v>5463</v>
      </c>
      <c r="G6385" s="4">
        <v>19630960.82</v>
      </c>
      <c r="I6385" s="4">
        <v>9128681.6600000001</v>
      </c>
    </row>
    <row r="6386" spans="1:9" x14ac:dyDescent="0.3">
      <c r="A6386" t="s">
        <v>5379</v>
      </c>
      <c r="B6386" s="1">
        <v>45900</v>
      </c>
      <c r="C6386" s="1">
        <v>45900</v>
      </c>
      <c r="D6386">
        <v>36391337</v>
      </c>
      <c r="E6386">
        <v>79</v>
      </c>
      <c r="F6386" s="3" t="s">
        <v>5464</v>
      </c>
      <c r="H6386" s="4">
        <v>11239542.75</v>
      </c>
      <c r="I6386" s="4">
        <v>-2110861.09</v>
      </c>
    </row>
    <row r="6387" spans="1:9" x14ac:dyDescent="0.3">
      <c r="A6387" t="s">
        <v>5379</v>
      </c>
      <c r="B6387" s="1">
        <v>45900</v>
      </c>
      <c r="C6387" s="1">
        <v>45900</v>
      </c>
      <c r="D6387">
        <v>36391338</v>
      </c>
      <c r="E6387">
        <v>100</v>
      </c>
      <c r="F6387" s="3" t="s">
        <v>5464</v>
      </c>
      <c r="G6387" s="4">
        <v>11239542.75</v>
      </c>
      <c r="I6387" s="4">
        <v>9128681.6600000001</v>
      </c>
    </row>
    <row r="6388" spans="1:9" x14ac:dyDescent="0.3">
      <c r="A6388" t="s">
        <v>5379</v>
      </c>
      <c r="B6388" s="1">
        <v>45900</v>
      </c>
      <c r="C6388" s="1">
        <v>45900</v>
      </c>
      <c r="D6388">
        <v>36391551</v>
      </c>
      <c r="E6388">
        <v>80</v>
      </c>
      <c r="F6388" s="3" t="s">
        <v>5465</v>
      </c>
      <c r="H6388" s="4">
        <v>5800000</v>
      </c>
      <c r="I6388" s="4">
        <v>3328681.66</v>
      </c>
    </row>
    <row r="6389" spans="1:9" x14ac:dyDescent="0.3">
      <c r="A6389" t="s">
        <v>5379</v>
      </c>
      <c r="B6389" s="1">
        <v>45900</v>
      </c>
      <c r="C6389" s="1">
        <v>45900</v>
      </c>
      <c r="D6389">
        <v>36391552</v>
      </c>
      <c r="E6389">
        <v>100</v>
      </c>
      <c r="F6389" s="3" t="s">
        <v>5465</v>
      </c>
      <c r="G6389" s="4">
        <v>5800000</v>
      </c>
      <c r="I6389" s="4">
        <v>9128681.6600000001</v>
      </c>
    </row>
    <row r="6390" spans="1:9" x14ac:dyDescent="0.3">
      <c r="A6390" t="s">
        <v>5379</v>
      </c>
      <c r="B6390" s="1">
        <v>45900</v>
      </c>
      <c r="C6390" s="1">
        <v>45900</v>
      </c>
      <c r="D6390">
        <v>36391903</v>
      </c>
      <c r="E6390">
        <v>81</v>
      </c>
      <c r="F6390" s="3" t="s">
        <v>5466</v>
      </c>
      <c r="H6390" s="4">
        <v>6980413.75</v>
      </c>
      <c r="I6390" s="4">
        <v>2148267.91</v>
      </c>
    </row>
    <row r="6391" spans="1:9" x14ac:dyDescent="0.3">
      <c r="A6391" t="s">
        <v>5379</v>
      </c>
      <c r="B6391" s="1">
        <v>45900</v>
      </c>
      <c r="C6391" s="1">
        <v>45900</v>
      </c>
      <c r="D6391">
        <v>36391904</v>
      </c>
      <c r="E6391">
        <v>100</v>
      </c>
      <c r="F6391" s="3" t="s">
        <v>5466</v>
      </c>
      <c r="G6391" s="4">
        <v>6980413.75</v>
      </c>
      <c r="I6391" s="4">
        <v>9128681.6600000001</v>
      </c>
    </row>
    <row r="6392" spans="1:9" x14ac:dyDescent="0.3">
      <c r="A6392" t="s">
        <v>5379</v>
      </c>
      <c r="B6392" s="1">
        <v>45900</v>
      </c>
      <c r="C6392" s="1">
        <v>45900</v>
      </c>
      <c r="D6392">
        <v>36392187</v>
      </c>
      <c r="E6392">
        <v>82</v>
      </c>
      <c r="F6392" s="3" t="s">
        <v>5467</v>
      </c>
      <c r="H6392" s="4">
        <v>9457045</v>
      </c>
      <c r="I6392" s="4">
        <v>-328363.34000000003</v>
      </c>
    </row>
    <row r="6393" spans="1:9" x14ac:dyDescent="0.3">
      <c r="A6393" t="s">
        <v>5379</v>
      </c>
      <c r="B6393" s="1">
        <v>45900</v>
      </c>
      <c r="C6393" s="1">
        <v>45900</v>
      </c>
      <c r="D6393">
        <v>36392188</v>
      </c>
      <c r="E6393">
        <v>100</v>
      </c>
      <c r="F6393" s="3" t="s">
        <v>5467</v>
      </c>
      <c r="G6393" s="4">
        <v>9457045</v>
      </c>
      <c r="I6393" s="4">
        <v>9128681.6600000001</v>
      </c>
    </row>
    <row r="6394" spans="1:9" x14ac:dyDescent="0.3">
      <c r="A6394" t="s">
        <v>5379</v>
      </c>
      <c r="B6394" s="1">
        <v>45900</v>
      </c>
      <c r="C6394" s="1">
        <v>45900</v>
      </c>
      <c r="D6394">
        <v>36392699</v>
      </c>
      <c r="E6394">
        <v>84</v>
      </c>
      <c r="F6394" s="3" t="s">
        <v>5468</v>
      </c>
      <c r="H6394" s="4">
        <v>15012618.25</v>
      </c>
      <c r="I6394" s="4">
        <v>-5883936.5899999999</v>
      </c>
    </row>
    <row r="6395" spans="1:9" x14ac:dyDescent="0.3">
      <c r="A6395" t="s">
        <v>5379</v>
      </c>
      <c r="B6395" s="1">
        <v>45900</v>
      </c>
      <c r="C6395" s="1">
        <v>45900</v>
      </c>
      <c r="D6395">
        <v>36392700</v>
      </c>
      <c r="E6395">
        <v>100</v>
      </c>
      <c r="F6395" s="3" t="s">
        <v>5468</v>
      </c>
      <c r="G6395" s="4">
        <v>15012618.25</v>
      </c>
      <c r="I6395" s="4">
        <v>9128681.6600000001</v>
      </c>
    </row>
    <row r="6396" spans="1:9" x14ac:dyDescent="0.3">
      <c r="A6396" t="s">
        <v>5379</v>
      </c>
      <c r="B6396" s="1">
        <v>45900</v>
      </c>
      <c r="C6396" s="1">
        <v>45900</v>
      </c>
      <c r="D6396">
        <v>36393297</v>
      </c>
      <c r="E6396">
        <v>85</v>
      </c>
      <c r="F6396" s="3" t="s">
        <v>5469</v>
      </c>
      <c r="H6396" s="4">
        <v>13562409.25</v>
      </c>
      <c r="I6396" s="4">
        <v>-4433727.59</v>
      </c>
    </row>
    <row r="6397" spans="1:9" x14ac:dyDescent="0.3">
      <c r="A6397" t="s">
        <v>5379</v>
      </c>
      <c r="B6397" s="1">
        <v>45900</v>
      </c>
      <c r="C6397" s="1">
        <v>45900</v>
      </c>
      <c r="D6397">
        <v>36393298</v>
      </c>
      <c r="E6397">
        <v>100</v>
      </c>
      <c r="F6397" s="3" t="s">
        <v>5469</v>
      </c>
      <c r="G6397" s="4">
        <v>13562409.25</v>
      </c>
      <c r="I6397" s="4">
        <v>9128681.6600000001</v>
      </c>
    </row>
    <row r="6398" spans="1:9" x14ac:dyDescent="0.3">
      <c r="A6398" t="s">
        <v>5379</v>
      </c>
      <c r="B6398" s="1">
        <v>45900</v>
      </c>
      <c r="C6398" s="1">
        <v>45900</v>
      </c>
      <c r="D6398">
        <v>36393967</v>
      </c>
      <c r="E6398">
        <v>86</v>
      </c>
      <c r="F6398" s="3" t="s">
        <v>5470</v>
      </c>
      <c r="H6398" s="4">
        <v>11525882.85</v>
      </c>
      <c r="I6398" s="4">
        <v>-2397201.19</v>
      </c>
    </row>
    <row r="6399" spans="1:9" x14ac:dyDescent="0.3">
      <c r="A6399" t="s">
        <v>5379</v>
      </c>
      <c r="B6399" s="1">
        <v>45900</v>
      </c>
      <c r="C6399" s="1">
        <v>45900</v>
      </c>
      <c r="D6399">
        <v>36393968</v>
      </c>
      <c r="E6399">
        <v>100</v>
      </c>
      <c r="F6399" s="3" t="s">
        <v>5470</v>
      </c>
      <c r="G6399" s="4">
        <v>11525882.85</v>
      </c>
      <c r="I6399" s="4">
        <v>9128681.6600000001</v>
      </c>
    </row>
    <row r="6400" spans="1:9" x14ac:dyDescent="0.3">
      <c r="A6400" t="s">
        <v>5379</v>
      </c>
      <c r="B6400" s="1">
        <v>45900</v>
      </c>
      <c r="C6400" s="1">
        <v>45900</v>
      </c>
      <c r="D6400">
        <v>36394209</v>
      </c>
      <c r="E6400">
        <v>88</v>
      </c>
      <c r="F6400" s="3" t="s">
        <v>5471</v>
      </c>
      <c r="H6400" s="4">
        <v>1521812.5</v>
      </c>
      <c r="I6400" s="4">
        <v>7606869.1600000001</v>
      </c>
    </row>
    <row r="6401" spans="1:9" x14ac:dyDescent="0.3">
      <c r="A6401" t="s">
        <v>5379</v>
      </c>
      <c r="B6401" s="1">
        <v>45900</v>
      </c>
      <c r="C6401" s="1">
        <v>45900</v>
      </c>
      <c r="D6401">
        <v>36394210</v>
      </c>
      <c r="E6401">
        <v>100</v>
      </c>
      <c r="F6401" s="3" t="s">
        <v>5471</v>
      </c>
      <c r="G6401" s="4">
        <v>1521812.5</v>
      </c>
      <c r="I6401" s="4">
        <v>9128681.6600000001</v>
      </c>
    </row>
    <row r="6402" spans="1:9" x14ac:dyDescent="0.3">
      <c r="A6402" t="s">
        <v>5379</v>
      </c>
      <c r="B6402" s="1">
        <v>45900</v>
      </c>
      <c r="C6402" s="1">
        <v>45900</v>
      </c>
      <c r="D6402">
        <v>36394483</v>
      </c>
      <c r="E6402">
        <v>89</v>
      </c>
      <c r="F6402" s="3" t="s">
        <v>5472</v>
      </c>
      <c r="H6402" s="4">
        <v>13173741</v>
      </c>
      <c r="I6402" s="4">
        <v>-4045059.34</v>
      </c>
    </row>
    <row r="6403" spans="1:9" x14ac:dyDescent="0.3">
      <c r="A6403" t="s">
        <v>5379</v>
      </c>
      <c r="B6403" s="1">
        <v>45900</v>
      </c>
      <c r="C6403" s="1">
        <v>45900</v>
      </c>
      <c r="D6403">
        <v>36394484</v>
      </c>
      <c r="E6403">
        <v>100</v>
      </c>
      <c r="F6403" s="3" t="s">
        <v>5472</v>
      </c>
      <c r="G6403" s="4">
        <v>13173741</v>
      </c>
      <c r="I6403" s="4">
        <v>9128681.6600000001</v>
      </c>
    </row>
    <row r="6404" spans="1:9" x14ac:dyDescent="0.3">
      <c r="A6404" t="s">
        <v>5379</v>
      </c>
      <c r="B6404" s="1">
        <v>45900</v>
      </c>
      <c r="C6404" s="1">
        <v>45900</v>
      </c>
      <c r="D6404">
        <v>36394871</v>
      </c>
      <c r="E6404">
        <v>91</v>
      </c>
      <c r="F6404" s="3" t="s">
        <v>5473</v>
      </c>
      <c r="H6404" s="4">
        <v>8952006.25</v>
      </c>
      <c r="I6404" s="4">
        <v>176675.41</v>
      </c>
    </row>
    <row r="6405" spans="1:9" x14ac:dyDescent="0.3">
      <c r="A6405" t="s">
        <v>5379</v>
      </c>
      <c r="B6405" s="1">
        <v>45900</v>
      </c>
      <c r="C6405" s="1">
        <v>45900</v>
      </c>
      <c r="D6405">
        <v>36394872</v>
      </c>
      <c r="E6405">
        <v>100</v>
      </c>
      <c r="F6405" s="3" t="s">
        <v>5473</v>
      </c>
      <c r="G6405" s="4">
        <v>8952006.25</v>
      </c>
      <c r="I6405" s="4">
        <v>9128681.6600000001</v>
      </c>
    </row>
    <row r="6406" spans="1:9" x14ac:dyDescent="0.3">
      <c r="A6406" t="s">
        <v>5379</v>
      </c>
      <c r="B6406" s="1">
        <v>45900</v>
      </c>
      <c r="C6406" s="1">
        <v>45900</v>
      </c>
      <c r="D6406">
        <v>36395335</v>
      </c>
      <c r="E6406">
        <v>92</v>
      </c>
      <c r="F6406" s="3" t="s">
        <v>5474</v>
      </c>
      <c r="H6406" s="4">
        <v>10012916.5</v>
      </c>
      <c r="I6406" s="4">
        <v>-884234.84</v>
      </c>
    </row>
    <row r="6407" spans="1:9" x14ac:dyDescent="0.3">
      <c r="A6407" t="s">
        <v>5379</v>
      </c>
      <c r="B6407" s="1">
        <v>45900</v>
      </c>
      <c r="C6407" s="1">
        <v>45900</v>
      </c>
      <c r="D6407">
        <v>36395336</v>
      </c>
      <c r="E6407">
        <v>100</v>
      </c>
      <c r="F6407" s="3" t="s">
        <v>5474</v>
      </c>
      <c r="G6407" s="4">
        <v>10012916.5</v>
      </c>
      <c r="I6407" s="4">
        <v>9128681.6600000001</v>
      </c>
    </row>
    <row r="6408" spans="1:9" x14ac:dyDescent="0.3">
      <c r="A6408" t="s">
        <v>5379</v>
      </c>
      <c r="B6408" s="1">
        <v>45900</v>
      </c>
      <c r="C6408" s="1">
        <v>45900</v>
      </c>
      <c r="D6408">
        <v>36395449</v>
      </c>
      <c r="E6408">
        <v>94</v>
      </c>
      <c r="F6408" s="3" t="s">
        <v>5475</v>
      </c>
      <c r="H6408" s="4">
        <v>3090412.25</v>
      </c>
      <c r="I6408" s="4">
        <v>6038269.4100000001</v>
      </c>
    </row>
    <row r="6409" spans="1:9" x14ac:dyDescent="0.3">
      <c r="A6409" t="s">
        <v>5379</v>
      </c>
      <c r="B6409" s="1">
        <v>45900</v>
      </c>
      <c r="C6409" s="1">
        <v>45900</v>
      </c>
      <c r="D6409">
        <v>36395450</v>
      </c>
      <c r="E6409">
        <v>100</v>
      </c>
      <c r="F6409" s="3" t="s">
        <v>5475</v>
      </c>
      <c r="G6409" s="4">
        <v>3090412.25</v>
      </c>
      <c r="I6409" s="4">
        <v>9128681.6600000001</v>
      </c>
    </row>
    <row r="6410" spans="1:9" x14ac:dyDescent="0.3">
      <c r="A6410" t="s">
        <v>5379</v>
      </c>
      <c r="B6410" s="1">
        <v>45900</v>
      </c>
      <c r="C6410" s="1">
        <v>45900</v>
      </c>
      <c r="D6410">
        <v>36396083</v>
      </c>
      <c r="E6410">
        <v>97</v>
      </c>
      <c r="F6410" s="3" t="s">
        <v>5476</v>
      </c>
      <c r="H6410" s="4">
        <v>7225717</v>
      </c>
      <c r="I6410" s="4">
        <v>1902964.66</v>
      </c>
    </row>
    <row r="6411" spans="1:9" x14ac:dyDescent="0.3">
      <c r="A6411" t="s">
        <v>5379</v>
      </c>
      <c r="B6411" s="1">
        <v>45900</v>
      </c>
      <c r="C6411" s="1">
        <v>45900</v>
      </c>
      <c r="D6411">
        <v>36396084</v>
      </c>
      <c r="E6411">
        <v>100</v>
      </c>
      <c r="F6411" s="3" t="s">
        <v>5476</v>
      </c>
      <c r="G6411" s="4">
        <v>7225717</v>
      </c>
      <c r="I6411" s="4">
        <v>9128681.6600000001</v>
      </c>
    </row>
    <row r="6412" spans="1:9" x14ac:dyDescent="0.3">
      <c r="A6412" t="s">
        <v>5379</v>
      </c>
      <c r="B6412" s="1">
        <v>45900</v>
      </c>
      <c r="C6412" s="1">
        <v>45900</v>
      </c>
      <c r="D6412">
        <v>36396463</v>
      </c>
      <c r="E6412">
        <v>98</v>
      </c>
      <c r="F6412" s="3" t="s">
        <v>5477</v>
      </c>
      <c r="H6412" s="4">
        <v>7765799</v>
      </c>
      <c r="I6412" s="4">
        <v>1362882.66</v>
      </c>
    </row>
    <row r="6413" spans="1:9" x14ac:dyDescent="0.3">
      <c r="A6413" t="s">
        <v>5379</v>
      </c>
      <c r="B6413" s="1">
        <v>45900</v>
      </c>
      <c r="C6413" s="1">
        <v>45900</v>
      </c>
      <c r="D6413">
        <v>36396464</v>
      </c>
      <c r="E6413">
        <v>100</v>
      </c>
      <c r="F6413" s="3" t="s">
        <v>5477</v>
      </c>
      <c r="G6413" s="4">
        <v>7765799</v>
      </c>
      <c r="I6413" s="4">
        <v>9128681.6600000001</v>
      </c>
    </row>
    <row r="6414" spans="1:9" x14ac:dyDescent="0.3">
      <c r="A6414" t="s">
        <v>130</v>
      </c>
      <c r="B6414" s="1">
        <v>45900</v>
      </c>
      <c r="C6414" s="1">
        <v>45900</v>
      </c>
      <c r="D6414">
        <v>3855464</v>
      </c>
      <c r="E6414">
        <v>210</v>
      </c>
      <c r="F6414" s="3" t="s">
        <v>5478</v>
      </c>
      <c r="G6414" s="4">
        <v>0</v>
      </c>
      <c r="H6414" s="4">
        <v>16</v>
      </c>
      <c r="I6414" s="4">
        <v>9128665.6600000001</v>
      </c>
    </row>
    <row r="6415" spans="1:9" x14ac:dyDescent="0.3">
      <c r="A6415" t="s">
        <v>130</v>
      </c>
      <c r="B6415" s="1">
        <v>45900</v>
      </c>
      <c r="C6415" s="1">
        <v>45900</v>
      </c>
      <c r="D6415">
        <v>3855466</v>
      </c>
      <c r="E6415">
        <v>210</v>
      </c>
      <c r="F6415" s="3" t="s">
        <v>5479</v>
      </c>
      <c r="G6415" s="4">
        <v>0</v>
      </c>
      <c r="H6415" s="4">
        <v>16</v>
      </c>
      <c r="I6415" s="4">
        <v>9128649.6600000001</v>
      </c>
    </row>
    <row r="6416" spans="1:9" x14ac:dyDescent="0.3">
      <c r="A6416" t="s">
        <v>133</v>
      </c>
      <c r="B6416" s="1">
        <v>45900</v>
      </c>
      <c r="C6416" s="1">
        <v>45900</v>
      </c>
      <c r="D6416">
        <v>927068</v>
      </c>
      <c r="E6416">
        <v>12</v>
      </c>
      <c r="F6416" s="3" t="s">
        <v>5480</v>
      </c>
      <c r="G6416" s="4">
        <v>8700</v>
      </c>
      <c r="H6416" s="4">
        <v>0</v>
      </c>
      <c r="I6416" s="4">
        <v>9137349.6600000001</v>
      </c>
    </row>
    <row r="6417" spans="1:9" x14ac:dyDescent="0.3">
      <c r="A6417" t="s">
        <v>133</v>
      </c>
      <c r="B6417" s="1">
        <v>45900</v>
      </c>
      <c r="C6417" s="1">
        <v>45900</v>
      </c>
      <c r="D6417">
        <v>927071</v>
      </c>
      <c r="E6417">
        <v>351</v>
      </c>
      <c r="F6417" s="3" t="s">
        <v>5481</v>
      </c>
      <c r="G6417" s="4">
        <v>496.5</v>
      </c>
      <c r="H6417" s="4">
        <v>0</v>
      </c>
      <c r="I6417" s="4">
        <v>9137846.1600000001</v>
      </c>
    </row>
    <row r="6418" spans="1:9" x14ac:dyDescent="0.3">
      <c r="A6418" t="s">
        <v>133</v>
      </c>
      <c r="B6418" s="1">
        <v>45900</v>
      </c>
      <c r="C6418" s="1">
        <v>45900</v>
      </c>
      <c r="D6418">
        <v>927074</v>
      </c>
      <c r="E6418">
        <v>13</v>
      </c>
      <c r="F6418" s="3" t="s">
        <v>5482</v>
      </c>
      <c r="G6418" s="4">
        <v>20903.25</v>
      </c>
      <c r="H6418" s="4">
        <v>0</v>
      </c>
      <c r="I6418" s="4">
        <v>9158749.4100000001</v>
      </c>
    </row>
    <row r="6419" spans="1:9" x14ac:dyDescent="0.3">
      <c r="A6419" t="s">
        <v>133</v>
      </c>
      <c r="B6419" s="1">
        <v>45900</v>
      </c>
      <c r="C6419" s="1">
        <v>45900</v>
      </c>
      <c r="D6419">
        <v>927086</v>
      </c>
      <c r="E6419">
        <v>351</v>
      </c>
      <c r="F6419" s="3" t="s">
        <v>5483</v>
      </c>
      <c r="G6419" s="4">
        <v>24789.5</v>
      </c>
      <c r="H6419" s="4">
        <v>0</v>
      </c>
      <c r="I6419" s="4">
        <v>9183538.9100000001</v>
      </c>
    </row>
    <row r="6420" spans="1:9" x14ac:dyDescent="0.3">
      <c r="A6420" t="s">
        <v>133</v>
      </c>
      <c r="B6420" s="1">
        <v>45900</v>
      </c>
      <c r="C6420" s="1">
        <v>45900</v>
      </c>
      <c r="D6420">
        <v>927094</v>
      </c>
      <c r="E6420">
        <v>64</v>
      </c>
      <c r="F6420" s="3" t="s">
        <v>5484</v>
      </c>
      <c r="G6420" s="4">
        <v>13095.25</v>
      </c>
      <c r="H6420" s="4">
        <v>0</v>
      </c>
      <c r="I6420" s="4">
        <v>9196634.1600000001</v>
      </c>
    </row>
    <row r="6421" spans="1:9" x14ac:dyDescent="0.3">
      <c r="A6421" t="s">
        <v>133</v>
      </c>
      <c r="B6421" s="1">
        <v>45900</v>
      </c>
      <c r="C6421" s="1">
        <v>45900</v>
      </c>
      <c r="D6421">
        <v>927100</v>
      </c>
      <c r="E6421">
        <v>64</v>
      </c>
      <c r="F6421" s="3" t="s">
        <v>5485</v>
      </c>
      <c r="G6421" s="4">
        <v>4000</v>
      </c>
      <c r="H6421" s="4">
        <v>0</v>
      </c>
      <c r="I6421" s="4">
        <v>9200634.1600000001</v>
      </c>
    </row>
    <row r="6422" spans="1:9" x14ac:dyDescent="0.3">
      <c r="A6422" t="s">
        <v>133</v>
      </c>
      <c r="B6422" s="1">
        <v>45900</v>
      </c>
      <c r="C6422" s="1">
        <v>45900</v>
      </c>
      <c r="D6422">
        <v>927102</v>
      </c>
      <c r="E6422">
        <v>64</v>
      </c>
      <c r="F6422" s="3" t="s">
        <v>5486</v>
      </c>
      <c r="G6422" s="4">
        <v>279163.75</v>
      </c>
      <c r="H6422" s="4">
        <v>0</v>
      </c>
      <c r="I6422" s="4">
        <v>9479797.9100000001</v>
      </c>
    </row>
    <row r="6423" spans="1:9" x14ac:dyDescent="0.3">
      <c r="A6423" t="s">
        <v>133</v>
      </c>
      <c r="B6423" s="1">
        <v>45900</v>
      </c>
      <c r="C6423" s="1">
        <v>45900</v>
      </c>
      <c r="D6423">
        <v>927114</v>
      </c>
      <c r="E6423">
        <v>351</v>
      </c>
      <c r="F6423" s="3" t="s">
        <v>5487</v>
      </c>
      <c r="G6423" s="4">
        <v>2479</v>
      </c>
      <c r="H6423" s="4">
        <v>0</v>
      </c>
      <c r="I6423" s="4">
        <v>9482276.9100000001</v>
      </c>
    </row>
    <row r="6424" spans="1:9" x14ac:dyDescent="0.3">
      <c r="A6424" t="s">
        <v>133</v>
      </c>
      <c r="B6424" s="1">
        <v>45900</v>
      </c>
      <c r="C6424" s="1">
        <v>45900</v>
      </c>
      <c r="D6424">
        <v>927117</v>
      </c>
      <c r="E6424">
        <v>351</v>
      </c>
      <c r="F6424" s="3" t="s">
        <v>5488</v>
      </c>
      <c r="G6424" s="4">
        <v>16753</v>
      </c>
      <c r="H6424" s="4">
        <v>0</v>
      </c>
      <c r="I6424" s="4">
        <v>9499029.9100000001</v>
      </c>
    </row>
    <row r="6425" spans="1:9" x14ac:dyDescent="0.3">
      <c r="A6425" t="s">
        <v>133</v>
      </c>
      <c r="B6425" s="1">
        <v>45900</v>
      </c>
      <c r="C6425" s="1">
        <v>45900</v>
      </c>
      <c r="D6425">
        <v>927119</v>
      </c>
      <c r="E6425">
        <v>351</v>
      </c>
      <c r="F6425" s="3" t="s">
        <v>5489</v>
      </c>
      <c r="G6425" s="4">
        <v>803</v>
      </c>
      <c r="H6425" s="4">
        <v>0</v>
      </c>
      <c r="I6425" s="4">
        <v>9499832.9100000001</v>
      </c>
    </row>
    <row r="6426" spans="1:9" x14ac:dyDescent="0.3">
      <c r="A6426" t="s">
        <v>133</v>
      </c>
      <c r="B6426" s="1">
        <v>45900</v>
      </c>
      <c r="C6426" s="1">
        <v>45900</v>
      </c>
      <c r="D6426">
        <v>927120</v>
      </c>
      <c r="E6426">
        <v>351</v>
      </c>
      <c r="F6426" s="3" t="s">
        <v>5490</v>
      </c>
      <c r="G6426" s="4">
        <v>188627</v>
      </c>
      <c r="H6426" s="4">
        <v>0</v>
      </c>
      <c r="I6426" s="4">
        <v>9688459.9100000001</v>
      </c>
    </row>
    <row r="6427" spans="1:9" x14ac:dyDescent="0.3">
      <c r="A6427" t="s">
        <v>133</v>
      </c>
      <c r="B6427" s="1">
        <v>45900</v>
      </c>
      <c r="C6427" s="1">
        <v>45900</v>
      </c>
      <c r="D6427">
        <v>927150</v>
      </c>
      <c r="E6427">
        <v>46</v>
      </c>
      <c r="F6427" s="3" t="s">
        <v>5491</v>
      </c>
      <c r="G6427" s="4">
        <v>5196.5</v>
      </c>
      <c r="H6427" s="4">
        <v>0</v>
      </c>
      <c r="I6427" s="4">
        <v>9693656.4100000001</v>
      </c>
    </row>
    <row r="6428" spans="1:9" x14ac:dyDescent="0.3">
      <c r="A6428" t="s">
        <v>133</v>
      </c>
      <c r="B6428" s="1">
        <v>45900</v>
      </c>
      <c r="C6428" s="1">
        <v>45900</v>
      </c>
      <c r="D6428">
        <v>927154</v>
      </c>
      <c r="E6428">
        <v>46</v>
      </c>
      <c r="F6428" s="3" t="s">
        <v>5492</v>
      </c>
      <c r="G6428" s="4">
        <v>2007.5</v>
      </c>
      <c r="H6428" s="4">
        <v>0</v>
      </c>
      <c r="I6428" s="4">
        <v>9695663.9100000001</v>
      </c>
    </row>
    <row r="6429" spans="1:9" x14ac:dyDescent="0.3">
      <c r="A6429" t="s">
        <v>133</v>
      </c>
      <c r="B6429" s="1">
        <v>45900</v>
      </c>
      <c r="C6429" s="1">
        <v>45900</v>
      </c>
      <c r="D6429">
        <v>927156</v>
      </c>
      <c r="E6429">
        <v>46</v>
      </c>
      <c r="F6429" s="3" t="s">
        <v>5493</v>
      </c>
      <c r="G6429" s="4">
        <v>6642.75</v>
      </c>
      <c r="H6429" s="4">
        <v>0</v>
      </c>
      <c r="I6429" s="4">
        <v>9702306.6600000001</v>
      </c>
    </row>
    <row r="6430" spans="1:9" x14ac:dyDescent="0.3">
      <c r="A6430" t="s">
        <v>133</v>
      </c>
      <c r="B6430" s="1">
        <v>45900</v>
      </c>
      <c r="C6430" s="1">
        <v>45900</v>
      </c>
      <c r="D6430">
        <v>927162</v>
      </c>
      <c r="E6430">
        <v>46</v>
      </c>
      <c r="F6430" s="3" t="s">
        <v>5494</v>
      </c>
      <c r="G6430" s="4">
        <v>30371</v>
      </c>
      <c r="H6430" s="4">
        <v>0</v>
      </c>
      <c r="I6430" s="4">
        <v>9732677.6600000001</v>
      </c>
    </row>
    <row r="6431" spans="1:9" x14ac:dyDescent="0.3">
      <c r="A6431" t="s">
        <v>133</v>
      </c>
      <c r="B6431" s="1">
        <v>45900</v>
      </c>
      <c r="C6431" s="1">
        <v>45900</v>
      </c>
      <c r="D6431">
        <v>927176</v>
      </c>
      <c r="E6431">
        <v>32</v>
      </c>
      <c r="F6431" s="3" t="s">
        <v>5495</v>
      </c>
      <c r="G6431" s="4">
        <v>16742</v>
      </c>
      <c r="H6431" s="4">
        <v>0</v>
      </c>
      <c r="I6431" s="4">
        <v>9749419.6600000001</v>
      </c>
    </row>
    <row r="6432" spans="1:9" x14ac:dyDescent="0.3">
      <c r="A6432" t="s">
        <v>133</v>
      </c>
      <c r="B6432" s="1">
        <v>45900</v>
      </c>
      <c r="C6432" s="1">
        <v>45900</v>
      </c>
      <c r="D6432">
        <v>927181</v>
      </c>
      <c r="E6432">
        <v>28</v>
      </c>
      <c r="F6432" s="3">
        <v>51361266502</v>
      </c>
      <c r="G6432" s="4">
        <v>6445.75</v>
      </c>
      <c r="H6432" s="4">
        <v>0</v>
      </c>
      <c r="I6432" s="4">
        <v>9755865.4100000001</v>
      </c>
    </row>
    <row r="6433" spans="1:9" x14ac:dyDescent="0.3">
      <c r="A6433" t="s">
        <v>133</v>
      </c>
      <c r="B6433" s="1">
        <v>45900</v>
      </c>
      <c r="C6433" s="1">
        <v>45900</v>
      </c>
      <c r="D6433">
        <v>927183</v>
      </c>
      <c r="E6433">
        <v>94</v>
      </c>
      <c r="F6433" s="3" t="s">
        <v>5496</v>
      </c>
      <c r="G6433" s="4">
        <v>7384.75</v>
      </c>
      <c r="H6433" s="4">
        <v>0</v>
      </c>
      <c r="I6433" s="4">
        <v>9763250.1600000001</v>
      </c>
    </row>
    <row r="6434" spans="1:9" x14ac:dyDescent="0.3">
      <c r="A6434" t="s">
        <v>133</v>
      </c>
      <c r="B6434" s="1">
        <v>45900</v>
      </c>
      <c r="C6434" s="1">
        <v>45900</v>
      </c>
      <c r="D6434">
        <v>927189</v>
      </c>
      <c r="E6434">
        <v>12</v>
      </c>
      <c r="F6434" s="3">
        <v>51368742306</v>
      </c>
      <c r="G6434" s="4">
        <v>30000</v>
      </c>
      <c r="H6434" s="4">
        <v>0</v>
      </c>
      <c r="I6434" s="4">
        <v>9793250.1600000001</v>
      </c>
    </row>
    <row r="6435" spans="1:9" x14ac:dyDescent="0.3">
      <c r="A6435" t="s">
        <v>133</v>
      </c>
      <c r="B6435" s="1">
        <v>45900</v>
      </c>
      <c r="C6435" s="1">
        <v>45900</v>
      </c>
      <c r="D6435">
        <v>927191</v>
      </c>
      <c r="E6435">
        <v>48</v>
      </c>
      <c r="F6435" s="3" t="s">
        <v>5497</v>
      </c>
      <c r="G6435" s="4">
        <v>17668</v>
      </c>
      <c r="H6435" s="4">
        <v>0</v>
      </c>
      <c r="I6435" s="4">
        <v>9810918.1600000001</v>
      </c>
    </row>
    <row r="6436" spans="1:9" x14ac:dyDescent="0.3">
      <c r="A6436" t="s">
        <v>133</v>
      </c>
      <c r="B6436" s="1">
        <v>45900</v>
      </c>
      <c r="C6436" s="1">
        <v>45900</v>
      </c>
      <c r="D6436">
        <v>927218</v>
      </c>
      <c r="E6436">
        <v>59</v>
      </c>
      <c r="F6436" s="3" t="s">
        <v>5498</v>
      </c>
      <c r="G6436" s="4">
        <v>3024</v>
      </c>
      <c r="H6436" s="4">
        <v>0</v>
      </c>
      <c r="I6436" s="4">
        <v>9813942.1600000001</v>
      </c>
    </row>
    <row r="6437" spans="1:9" x14ac:dyDescent="0.3">
      <c r="A6437" t="s">
        <v>133</v>
      </c>
      <c r="B6437" s="1">
        <v>45900</v>
      </c>
      <c r="C6437" s="1">
        <v>45900</v>
      </c>
      <c r="D6437">
        <v>927286</v>
      </c>
      <c r="E6437">
        <v>15</v>
      </c>
      <c r="F6437" s="3" t="s">
        <v>5499</v>
      </c>
      <c r="G6437" s="4">
        <v>79374</v>
      </c>
      <c r="H6437" s="4">
        <v>0</v>
      </c>
      <c r="I6437" s="4">
        <v>9893316.1600000001</v>
      </c>
    </row>
    <row r="6438" spans="1:9" x14ac:dyDescent="0.3">
      <c r="A6438" t="s">
        <v>133</v>
      </c>
      <c r="B6438" s="1">
        <v>45900</v>
      </c>
      <c r="C6438" s="1">
        <v>45900</v>
      </c>
      <c r="D6438">
        <v>927287</v>
      </c>
      <c r="E6438">
        <v>15</v>
      </c>
      <c r="F6438" s="3" t="s">
        <v>5500</v>
      </c>
      <c r="G6438" s="4">
        <v>34388</v>
      </c>
      <c r="H6438" s="4">
        <v>0</v>
      </c>
      <c r="I6438" s="4">
        <v>9927704.1600000001</v>
      </c>
    </row>
    <row r="6439" spans="1:9" x14ac:dyDescent="0.3">
      <c r="A6439" t="s">
        <v>133</v>
      </c>
      <c r="B6439" s="1">
        <v>45900</v>
      </c>
      <c r="C6439" s="1">
        <v>45900</v>
      </c>
      <c r="D6439">
        <v>927310</v>
      </c>
      <c r="E6439">
        <v>72</v>
      </c>
      <c r="F6439" s="3" t="s">
        <v>5501</v>
      </c>
      <c r="G6439" s="4">
        <v>45000</v>
      </c>
      <c r="H6439" s="4">
        <v>0</v>
      </c>
      <c r="I6439" s="4">
        <v>9972704.1600000001</v>
      </c>
    </row>
    <row r="6440" spans="1:9" x14ac:dyDescent="0.3">
      <c r="A6440" t="s">
        <v>133</v>
      </c>
      <c r="B6440" s="1">
        <v>45900</v>
      </c>
      <c r="C6440" s="1">
        <v>45900</v>
      </c>
      <c r="D6440">
        <v>927311</v>
      </c>
      <c r="E6440">
        <v>72</v>
      </c>
      <c r="F6440" s="3" t="s">
        <v>5502</v>
      </c>
      <c r="G6440" s="4">
        <v>35000</v>
      </c>
      <c r="H6440" s="4">
        <v>0</v>
      </c>
      <c r="I6440" s="4">
        <v>10007704.16</v>
      </c>
    </row>
    <row r="6441" spans="1:9" x14ac:dyDescent="0.3">
      <c r="A6441" t="s">
        <v>133</v>
      </c>
      <c r="B6441" s="1">
        <v>45900</v>
      </c>
      <c r="C6441" s="1">
        <v>45900</v>
      </c>
      <c r="D6441">
        <v>927330</v>
      </c>
      <c r="E6441">
        <v>46</v>
      </c>
      <c r="F6441" s="3" t="s">
        <v>5503</v>
      </c>
      <c r="G6441" s="4">
        <v>41667</v>
      </c>
      <c r="H6441" s="4">
        <v>0</v>
      </c>
      <c r="I6441" s="4">
        <v>10049371.16</v>
      </c>
    </row>
    <row r="6442" spans="1:9" x14ac:dyDescent="0.3">
      <c r="A6442" t="s">
        <v>133</v>
      </c>
      <c r="B6442" s="1">
        <v>45900</v>
      </c>
      <c r="C6442" s="1">
        <v>45900</v>
      </c>
      <c r="D6442">
        <v>927331</v>
      </c>
      <c r="E6442">
        <v>69</v>
      </c>
      <c r="F6442" s="3" t="s">
        <v>5504</v>
      </c>
      <c r="G6442" s="4">
        <v>187761.25</v>
      </c>
      <c r="H6442" s="4">
        <v>0</v>
      </c>
      <c r="I6442" s="4">
        <v>10237132.41</v>
      </c>
    </row>
    <row r="6443" spans="1:9" x14ac:dyDescent="0.3">
      <c r="A6443" t="s">
        <v>133</v>
      </c>
      <c r="B6443" s="1">
        <v>45900</v>
      </c>
      <c r="C6443" s="1">
        <v>45900</v>
      </c>
      <c r="D6443">
        <v>927332</v>
      </c>
      <c r="E6443">
        <v>69</v>
      </c>
      <c r="F6443" s="3" t="s">
        <v>5505</v>
      </c>
      <c r="G6443" s="4">
        <v>25000</v>
      </c>
      <c r="H6443" s="4">
        <v>0</v>
      </c>
      <c r="I6443" s="4">
        <v>10262132.41</v>
      </c>
    </row>
    <row r="6444" spans="1:9" x14ac:dyDescent="0.3">
      <c r="A6444" t="s">
        <v>133</v>
      </c>
      <c r="B6444" s="1">
        <v>45900</v>
      </c>
      <c r="C6444" s="1">
        <v>45900</v>
      </c>
      <c r="D6444">
        <v>927337</v>
      </c>
      <c r="E6444">
        <v>12</v>
      </c>
      <c r="F6444" s="3" t="s">
        <v>5506</v>
      </c>
      <c r="G6444" s="4">
        <v>7300</v>
      </c>
      <c r="H6444" s="4">
        <v>0</v>
      </c>
      <c r="I6444" s="4">
        <v>10269432.41</v>
      </c>
    </row>
    <row r="6445" spans="1:9" x14ac:dyDescent="0.3">
      <c r="A6445" t="s">
        <v>133</v>
      </c>
      <c r="B6445" s="1">
        <v>45900</v>
      </c>
      <c r="C6445" s="1">
        <v>45900</v>
      </c>
      <c r="D6445">
        <v>927338</v>
      </c>
      <c r="E6445">
        <v>49</v>
      </c>
      <c r="F6445" s="3">
        <v>51347837152</v>
      </c>
      <c r="G6445" s="4">
        <v>12482.5</v>
      </c>
      <c r="H6445" s="4">
        <v>0</v>
      </c>
      <c r="I6445" s="4">
        <v>10281914.91</v>
      </c>
    </row>
    <row r="6446" spans="1:9" x14ac:dyDescent="0.3">
      <c r="A6446" t="s">
        <v>133</v>
      </c>
      <c r="B6446" s="1">
        <v>45900</v>
      </c>
      <c r="C6446" s="1">
        <v>45900</v>
      </c>
      <c r="D6446">
        <v>927344</v>
      </c>
      <c r="E6446">
        <v>72</v>
      </c>
      <c r="F6446" s="3" t="s">
        <v>5507</v>
      </c>
      <c r="G6446" s="4">
        <v>41781</v>
      </c>
      <c r="H6446" s="4">
        <v>0</v>
      </c>
      <c r="I6446" s="4">
        <v>10323695.91</v>
      </c>
    </row>
    <row r="6447" spans="1:9" x14ac:dyDescent="0.3">
      <c r="A6447" t="s">
        <v>133</v>
      </c>
      <c r="B6447" s="1">
        <v>45900</v>
      </c>
      <c r="C6447" s="1">
        <v>45900</v>
      </c>
      <c r="D6447">
        <v>927350</v>
      </c>
      <c r="E6447">
        <v>28</v>
      </c>
      <c r="F6447" s="3" t="s">
        <v>5508</v>
      </c>
      <c r="G6447" s="4">
        <v>25000</v>
      </c>
      <c r="H6447" s="4">
        <v>0</v>
      </c>
      <c r="I6447" s="4">
        <v>10348695.91</v>
      </c>
    </row>
    <row r="6448" spans="1:9" x14ac:dyDescent="0.3">
      <c r="A6448" t="s">
        <v>133</v>
      </c>
      <c r="B6448" s="1">
        <v>45900</v>
      </c>
      <c r="C6448" s="1">
        <v>45900</v>
      </c>
      <c r="D6448">
        <v>927362</v>
      </c>
      <c r="E6448">
        <v>28</v>
      </c>
      <c r="F6448" s="3">
        <v>51378018128</v>
      </c>
      <c r="G6448" s="4">
        <v>71204</v>
      </c>
      <c r="H6448" s="4">
        <v>0</v>
      </c>
      <c r="I6448" s="4">
        <v>10419899.91</v>
      </c>
    </row>
    <row r="6449" spans="1:9" x14ac:dyDescent="0.3">
      <c r="A6449" t="s">
        <v>133</v>
      </c>
      <c r="B6449" s="1">
        <v>45900</v>
      </c>
      <c r="C6449" s="1">
        <v>45900</v>
      </c>
      <c r="D6449">
        <v>927363</v>
      </c>
      <c r="E6449">
        <v>28</v>
      </c>
      <c r="F6449" s="3">
        <v>51378066216</v>
      </c>
      <c r="G6449" s="4">
        <v>100000</v>
      </c>
      <c r="H6449" s="4">
        <v>0</v>
      </c>
      <c r="I6449" s="4">
        <v>10519899.91</v>
      </c>
    </row>
    <row r="6450" spans="1:9" x14ac:dyDescent="0.3">
      <c r="A6450" t="s">
        <v>133</v>
      </c>
      <c r="B6450" s="1">
        <v>45900</v>
      </c>
      <c r="C6450" s="1">
        <v>45900</v>
      </c>
      <c r="D6450">
        <v>927364</v>
      </c>
      <c r="E6450">
        <v>97</v>
      </c>
      <c r="F6450" s="3" t="s">
        <v>5509</v>
      </c>
      <c r="G6450" s="4">
        <v>3750</v>
      </c>
      <c r="H6450" s="4">
        <v>0</v>
      </c>
      <c r="I6450" s="4">
        <v>10523649.91</v>
      </c>
    </row>
    <row r="6451" spans="1:9" x14ac:dyDescent="0.3">
      <c r="A6451" t="s">
        <v>133</v>
      </c>
      <c r="B6451" s="1">
        <v>45900</v>
      </c>
      <c r="C6451" s="1">
        <v>45900</v>
      </c>
      <c r="D6451">
        <v>927374</v>
      </c>
      <c r="E6451">
        <v>351</v>
      </c>
      <c r="F6451" s="3" t="s">
        <v>5510</v>
      </c>
      <c r="G6451" s="4">
        <v>12568.25</v>
      </c>
      <c r="H6451" s="4">
        <v>0</v>
      </c>
      <c r="I6451" s="4">
        <v>10536218.16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11F9-FD0C-4F5F-9B47-70E8F83401F5}">
  <dimension ref="A1:Q472"/>
  <sheetViews>
    <sheetView topLeftCell="A455" workbookViewId="0">
      <selection activeCell="A471" sqref="A471:XFD478"/>
    </sheetView>
  </sheetViews>
  <sheetFormatPr defaultRowHeight="14.4" x14ac:dyDescent="0.3"/>
  <cols>
    <col min="1" max="1" width="7.77734375" customWidth="1"/>
    <col min="2" max="2" width="18.33203125" customWidth="1"/>
    <col min="3" max="3" width="10.6640625" style="1" bestFit="1" customWidth="1"/>
    <col min="4" max="4" width="10.5546875" style="1" customWidth="1"/>
    <col min="6" max="6" width="13" customWidth="1"/>
    <col min="7" max="7" width="64.109375" customWidth="1"/>
    <col min="8" max="8" width="16.6640625" style="94" bestFit="1" customWidth="1"/>
    <col min="9" max="9" width="16.6640625" style="94" customWidth="1"/>
    <col min="10" max="10" width="16" style="10" bestFit="1" customWidth="1"/>
    <col min="11" max="11" width="15.109375" bestFit="1" customWidth="1"/>
    <col min="12" max="13" width="15.109375" customWidth="1"/>
    <col min="14" max="14" width="14.109375" bestFit="1" customWidth="1"/>
    <col min="15" max="15" width="10.33203125" bestFit="1" customWidth="1"/>
  </cols>
  <sheetData>
    <row r="1" spans="1:9" ht="13.2" customHeight="1" x14ac:dyDescent="0.3">
      <c r="A1" s="6" t="s">
        <v>5511</v>
      </c>
      <c r="B1" s="6"/>
      <c r="C1" s="7"/>
      <c r="D1" s="7"/>
      <c r="E1" s="6"/>
      <c r="F1" s="8"/>
      <c r="G1" s="8"/>
      <c r="H1" s="9">
        <v>0</v>
      </c>
      <c r="I1" s="9"/>
    </row>
    <row r="2" spans="1:9" ht="13.2" customHeight="1" x14ac:dyDescent="0.3">
      <c r="A2" s="6" t="s">
        <v>5512</v>
      </c>
      <c r="B2" s="6"/>
      <c r="C2" s="7"/>
      <c r="D2" s="7"/>
      <c r="E2" s="6"/>
      <c r="F2" s="8"/>
      <c r="G2" s="8"/>
      <c r="H2" s="9">
        <v>0</v>
      </c>
      <c r="I2" s="9"/>
    </row>
    <row r="3" spans="1:9" ht="13.2" customHeight="1" x14ac:dyDescent="0.3">
      <c r="A3" s="6" t="s">
        <v>5513</v>
      </c>
      <c r="B3" s="6"/>
      <c r="C3" s="7"/>
      <c r="D3" s="7"/>
      <c r="E3" s="6"/>
      <c r="F3" s="8"/>
      <c r="G3" s="8"/>
      <c r="H3" s="9">
        <v>0</v>
      </c>
      <c r="I3" s="9"/>
    </row>
    <row r="4" spans="1:9" ht="13.2" customHeight="1" x14ac:dyDescent="0.3">
      <c r="A4" s="11"/>
      <c r="B4" s="11"/>
      <c r="C4" s="12"/>
      <c r="D4" s="12"/>
      <c r="E4" s="11"/>
      <c r="F4" s="13"/>
      <c r="G4" s="13"/>
      <c r="H4" s="9">
        <v>0</v>
      </c>
      <c r="I4" s="9"/>
    </row>
    <row r="5" spans="1:9" ht="13.2" customHeight="1" x14ac:dyDescent="0.3">
      <c r="A5" s="14" t="s">
        <v>5514</v>
      </c>
      <c r="B5" s="13" t="s">
        <v>5515</v>
      </c>
      <c r="C5" s="12" t="s">
        <v>5516</v>
      </c>
      <c r="D5" s="12" t="s">
        <v>5517</v>
      </c>
      <c r="E5" s="15" t="s">
        <v>5518</v>
      </c>
      <c r="F5" s="15" t="s">
        <v>5519</v>
      </c>
      <c r="G5" s="16" t="s">
        <v>5520</v>
      </c>
      <c r="H5" s="9" t="s">
        <v>5521</v>
      </c>
      <c r="I5" s="9" t="s">
        <v>5522</v>
      </c>
    </row>
    <row r="6" spans="1:9" ht="13.2" customHeight="1" x14ac:dyDescent="0.3">
      <c r="A6" s="17"/>
      <c r="B6" s="18"/>
      <c r="C6" s="19"/>
      <c r="D6" s="19"/>
      <c r="E6" s="20"/>
      <c r="F6" s="21"/>
      <c r="G6" s="22"/>
      <c r="H6" s="23">
        <v>0</v>
      </c>
      <c r="I6" s="23"/>
    </row>
    <row r="7" spans="1:9" ht="13.2" customHeight="1" x14ac:dyDescent="0.3">
      <c r="A7" s="24" t="s">
        <v>5523</v>
      </c>
      <c r="B7" s="25"/>
      <c r="C7" s="26">
        <v>43565</v>
      </c>
      <c r="D7" s="26">
        <v>43565</v>
      </c>
      <c r="E7" s="27"/>
      <c r="F7" s="27"/>
      <c r="G7" s="28" t="s">
        <v>5524</v>
      </c>
      <c r="H7" s="29">
        <v>0</v>
      </c>
      <c r="I7" s="29">
        <v>3066.7</v>
      </c>
    </row>
    <row r="8" spans="1:9" ht="13.2" customHeight="1" x14ac:dyDescent="0.3">
      <c r="A8" s="24" t="s">
        <v>5523</v>
      </c>
      <c r="B8" s="25"/>
      <c r="C8" s="26">
        <v>44126</v>
      </c>
      <c r="D8" s="26">
        <v>44126</v>
      </c>
      <c r="E8" s="27"/>
      <c r="F8" s="27"/>
      <c r="G8" s="28" t="s">
        <v>5525</v>
      </c>
      <c r="H8" s="29">
        <v>0</v>
      </c>
      <c r="I8" s="29">
        <v>30</v>
      </c>
    </row>
    <row r="9" spans="1:9" ht="13.2" customHeight="1" x14ac:dyDescent="0.3">
      <c r="A9" s="24" t="s">
        <v>5523</v>
      </c>
      <c r="B9" s="25"/>
      <c r="C9" s="26">
        <v>44132</v>
      </c>
      <c r="D9" s="26">
        <v>44132</v>
      </c>
      <c r="E9" s="27"/>
      <c r="F9" s="27"/>
      <c r="G9" s="28" t="s">
        <v>5525</v>
      </c>
      <c r="H9" s="29">
        <v>0</v>
      </c>
      <c r="I9" s="29">
        <v>50</v>
      </c>
    </row>
    <row r="10" spans="1:9" ht="13.2" customHeight="1" x14ac:dyDescent="0.3">
      <c r="A10" s="24" t="s">
        <v>5523</v>
      </c>
      <c r="B10" s="25"/>
      <c r="C10" s="26">
        <v>44221</v>
      </c>
      <c r="D10" s="26">
        <v>44221</v>
      </c>
      <c r="E10" s="27"/>
      <c r="F10" s="27"/>
      <c r="G10" s="28" t="s">
        <v>5525</v>
      </c>
      <c r="H10" s="29">
        <v>0</v>
      </c>
      <c r="I10" s="29">
        <v>50</v>
      </c>
    </row>
    <row r="11" spans="1:9" ht="13.2" customHeight="1" x14ac:dyDescent="0.3">
      <c r="A11" s="24" t="s">
        <v>5523</v>
      </c>
      <c r="B11" s="25"/>
      <c r="C11" s="26">
        <v>44282</v>
      </c>
      <c r="D11" s="26">
        <v>44282</v>
      </c>
      <c r="E11" s="27"/>
      <c r="F11" s="27"/>
      <c r="G11" s="28" t="s">
        <v>5525</v>
      </c>
      <c r="H11" s="29">
        <v>0</v>
      </c>
      <c r="I11" s="29">
        <v>50</v>
      </c>
    </row>
    <row r="12" spans="1:9" ht="13.2" customHeight="1" x14ac:dyDescent="0.3">
      <c r="A12" s="24" t="s">
        <v>5523</v>
      </c>
      <c r="B12" s="25"/>
      <c r="C12" s="26">
        <v>44293</v>
      </c>
      <c r="D12" s="26">
        <v>44293</v>
      </c>
      <c r="E12" s="27"/>
      <c r="F12" s="27"/>
      <c r="G12" s="28" t="s">
        <v>5526</v>
      </c>
      <c r="H12" s="29">
        <v>0</v>
      </c>
      <c r="I12" s="29">
        <v>100</v>
      </c>
    </row>
    <row r="13" spans="1:9" ht="13.2" customHeight="1" x14ac:dyDescent="0.3">
      <c r="A13" s="24" t="s">
        <v>5523</v>
      </c>
      <c r="B13" s="25"/>
      <c r="C13" s="26">
        <v>44308</v>
      </c>
      <c r="D13" s="26">
        <v>44308</v>
      </c>
      <c r="E13" s="27"/>
      <c r="F13" s="27"/>
      <c r="G13" s="28" t="s">
        <v>5527</v>
      </c>
      <c r="H13" s="29">
        <v>0</v>
      </c>
      <c r="I13" s="29">
        <v>22</v>
      </c>
    </row>
    <row r="14" spans="1:9" ht="13.2" customHeight="1" x14ac:dyDescent="0.3">
      <c r="A14" s="24" t="s">
        <v>5523</v>
      </c>
      <c r="B14" s="25"/>
      <c r="C14" s="26">
        <v>44324</v>
      </c>
      <c r="D14" s="26">
        <v>44324</v>
      </c>
      <c r="E14" s="27"/>
      <c r="F14" s="27"/>
      <c r="G14" s="28" t="s">
        <v>5528</v>
      </c>
      <c r="H14" s="29">
        <v>0</v>
      </c>
      <c r="I14" s="29">
        <v>500</v>
      </c>
    </row>
    <row r="15" spans="1:9" ht="13.2" customHeight="1" x14ac:dyDescent="0.3">
      <c r="A15" s="24" t="s">
        <v>5523</v>
      </c>
      <c r="B15" s="25"/>
      <c r="C15" s="26">
        <v>44439</v>
      </c>
      <c r="D15" s="26">
        <v>44439</v>
      </c>
      <c r="E15" s="27"/>
      <c r="F15" s="27"/>
      <c r="G15" s="28" t="s">
        <v>2258</v>
      </c>
      <c r="H15" s="29">
        <v>0</v>
      </c>
      <c r="I15" s="29">
        <v>26.5</v>
      </c>
    </row>
    <row r="16" spans="1:9" ht="13.2" customHeight="1" x14ac:dyDescent="0.3">
      <c r="A16" s="24" t="s">
        <v>5523</v>
      </c>
      <c r="B16" s="25"/>
      <c r="C16" s="26">
        <v>44497</v>
      </c>
      <c r="D16" s="26">
        <v>44497</v>
      </c>
      <c r="E16" s="27"/>
      <c r="F16" s="27"/>
      <c r="G16" s="28" t="s">
        <v>5529</v>
      </c>
      <c r="H16" s="29">
        <v>0</v>
      </c>
      <c r="I16" s="29">
        <v>40</v>
      </c>
    </row>
    <row r="17" spans="1:9" ht="13.2" customHeight="1" x14ac:dyDescent="0.3">
      <c r="A17" s="24" t="s">
        <v>5523</v>
      </c>
      <c r="B17" s="25"/>
      <c r="C17" s="26">
        <v>44551</v>
      </c>
      <c r="D17" s="26">
        <v>44551</v>
      </c>
      <c r="E17" s="27"/>
      <c r="F17" s="27"/>
      <c r="G17" s="28" t="s">
        <v>5530</v>
      </c>
      <c r="H17" s="29">
        <v>0</v>
      </c>
      <c r="I17" s="29">
        <v>63.5</v>
      </c>
    </row>
    <row r="18" spans="1:9" ht="13.2" customHeight="1" x14ac:dyDescent="0.3">
      <c r="A18" s="24" t="s">
        <v>5523</v>
      </c>
      <c r="B18" s="25"/>
      <c r="C18" s="26">
        <v>44552</v>
      </c>
      <c r="D18" s="26">
        <v>44552</v>
      </c>
      <c r="E18" s="27"/>
      <c r="F18" s="27"/>
      <c r="G18" s="28" t="s">
        <v>5531</v>
      </c>
      <c r="H18" s="29">
        <v>0</v>
      </c>
      <c r="I18" s="29">
        <v>32.549999999999997</v>
      </c>
    </row>
    <row r="19" spans="1:9" ht="13.2" customHeight="1" x14ac:dyDescent="0.3">
      <c r="A19" s="24" t="s">
        <v>5523</v>
      </c>
      <c r="B19" s="25"/>
      <c r="C19" s="26">
        <v>44560</v>
      </c>
      <c r="D19" s="26">
        <v>44560</v>
      </c>
      <c r="E19" s="27"/>
      <c r="F19" s="27"/>
      <c r="G19" s="28" t="s">
        <v>5532</v>
      </c>
      <c r="H19" s="29">
        <v>0</v>
      </c>
      <c r="I19" s="29">
        <v>4</v>
      </c>
    </row>
    <row r="20" spans="1:9" ht="13.2" customHeight="1" x14ac:dyDescent="0.3">
      <c r="A20" s="24" t="s">
        <v>5523</v>
      </c>
      <c r="B20" s="25"/>
      <c r="C20" s="26">
        <v>44568</v>
      </c>
      <c r="D20" s="26">
        <v>44568</v>
      </c>
      <c r="E20" s="27"/>
      <c r="F20" s="27"/>
      <c r="G20" s="28" t="s">
        <v>5533</v>
      </c>
      <c r="H20" s="29">
        <v>0</v>
      </c>
      <c r="I20" s="29">
        <v>2.75</v>
      </c>
    </row>
    <row r="21" spans="1:9" ht="13.2" customHeight="1" x14ac:dyDescent="0.3">
      <c r="A21" s="24" t="s">
        <v>5523</v>
      </c>
      <c r="B21" s="25"/>
      <c r="C21" s="26">
        <v>44569</v>
      </c>
      <c r="D21" s="26">
        <v>44569</v>
      </c>
      <c r="E21" s="27"/>
      <c r="F21" s="27"/>
      <c r="G21" s="28" t="s">
        <v>5524</v>
      </c>
      <c r="H21" s="29">
        <v>0</v>
      </c>
      <c r="I21" s="29">
        <v>23</v>
      </c>
    </row>
    <row r="22" spans="1:9" ht="13.2" customHeight="1" x14ac:dyDescent="0.3">
      <c r="A22" s="24" t="s">
        <v>5523</v>
      </c>
      <c r="B22" s="25"/>
      <c r="C22" s="26">
        <v>44616</v>
      </c>
      <c r="D22" s="26">
        <v>44616</v>
      </c>
      <c r="E22" s="27"/>
      <c r="F22" s="27"/>
      <c r="G22" s="28" t="s">
        <v>5534</v>
      </c>
      <c r="H22" s="29">
        <v>0</v>
      </c>
      <c r="I22" s="29">
        <v>1000</v>
      </c>
    </row>
    <row r="23" spans="1:9" ht="13.2" customHeight="1" x14ac:dyDescent="0.3">
      <c r="A23" s="24" t="s">
        <v>5523</v>
      </c>
      <c r="B23" s="25"/>
      <c r="C23" s="26">
        <v>44645</v>
      </c>
      <c r="D23" s="26">
        <v>44645</v>
      </c>
      <c r="E23" s="27"/>
      <c r="F23" s="27"/>
      <c r="G23" s="28" t="s">
        <v>2258</v>
      </c>
      <c r="H23" s="29">
        <v>0</v>
      </c>
      <c r="I23" s="29">
        <v>143.85</v>
      </c>
    </row>
    <row r="24" spans="1:9" ht="13.2" customHeight="1" x14ac:dyDescent="0.3">
      <c r="A24" s="24" t="s">
        <v>5523</v>
      </c>
      <c r="B24" s="25"/>
      <c r="C24" s="26">
        <v>44653</v>
      </c>
      <c r="D24" s="26">
        <v>44653</v>
      </c>
      <c r="E24" s="27"/>
      <c r="F24" s="27"/>
      <c r="G24" s="28" t="s">
        <v>5535</v>
      </c>
      <c r="H24" s="29">
        <v>0</v>
      </c>
      <c r="I24" s="29">
        <v>91.5</v>
      </c>
    </row>
    <row r="25" spans="1:9" ht="13.2" customHeight="1" x14ac:dyDescent="0.3">
      <c r="A25" s="24" t="s">
        <v>5523</v>
      </c>
      <c r="B25" s="25"/>
      <c r="C25" s="26">
        <v>44664</v>
      </c>
      <c r="D25" s="26">
        <v>44664</v>
      </c>
      <c r="E25" s="27"/>
      <c r="F25" s="27"/>
      <c r="G25" s="28" t="s">
        <v>5536</v>
      </c>
      <c r="H25" s="29">
        <v>0</v>
      </c>
      <c r="I25" s="29">
        <v>100</v>
      </c>
    </row>
    <row r="26" spans="1:9" ht="13.2" customHeight="1" x14ac:dyDescent="0.3">
      <c r="A26" s="24" t="s">
        <v>5523</v>
      </c>
      <c r="B26" s="25"/>
      <c r="C26" s="26">
        <v>44666</v>
      </c>
      <c r="D26" s="26">
        <v>44666</v>
      </c>
      <c r="E26" s="27"/>
      <c r="F26" s="27"/>
      <c r="G26" s="28" t="s">
        <v>5537</v>
      </c>
      <c r="H26" s="29">
        <v>0</v>
      </c>
      <c r="I26" s="29">
        <v>1</v>
      </c>
    </row>
    <row r="27" spans="1:9" ht="13.2" customHeight="1" x14ac:dyDescent="0.3">
      <c r="A27" s="24" t="s">
        <v>5523</v>
      </c>
      <c r="B27" s="25"/>
      <c r="C27" s="26">
        <v>44677</v>
      </c>
      <c r="D27" s="26">
        <v>44677</v>
      </c>
      <c r="E27" s="27"/>
      <c r="F27" s="27"/>
      <c r="G27" s="28" t="s">
        <v>5538</v>
      </c>
      <c r="H27" s="29">
        <v>0</v>
      </c>
      <c r="I27" s="29">
        <v>1</v>
      </c>
    </row>
    <row r="28" spans="1:9" ht="13.2" customHeight="1" x14ac:dyDescent="0.3">
      <c r="A28" s="24" t="s">
        <v>5523</v>
      </c>
      <c r="B28" s="25"/>
      <c r="C28" s="26">
        <v>44679</v>
      </c>
      <c r="D28" s="26">
        <v>44679</v>
      </c>
      <c r="E28" s="27"/>
      <c r="F28" s="27"/>
      <c r="G28" s="28" t="s">
        <v>5539</v>
      </c>
      <c r="H28" s="29">
        <v>0</v>
      </c>
      <c r="I28" s="29">
        <v>2</v>
      </c>
    </row>
    <row r="29" spans="1:9" ht="13.2" customHeight="1" x14ac:dyDescent="0.3">
      <c r="A29" s="24" t="s">
        <v>5523</v>
      </c>
      <c r="B29" s="25"/>
      <c r="C29" s="26">
        <v>44695</v>
      </c>
      <c r="D29" s="26">
        <v>44695</v>
      </c>
      <c r="E29" s="27"/>
      <c r="F29" s="27"/>
      <c r="G29" s="28" t="s">
        <v>5540</v>
      </c>
      <c r="H29" s="29">
        <v>0</v>
      </c>
      <c r="I29" s="29">
        <v>1</v>
      </c>
    </row>
    <row r="30" spans="1:9" ht="13.2" customHeight="1" x14ac:dyDescent="0.3">
      <c r="A30" s="24" t="s">
        <v>5523</v>
      </c>
      <c r="B30" s="25"/>
      <c r="C30" s="26">
        <v>44698</v>
      </c>
      <c r="D30" s="26">
        <v>44698</v>
      </c>
      <c r="E30" s="27"/>
      <c r="F30" s="27"/>
      <c r="G30" s="28" t="s">
        <v>5541</v>
      </c>
      <c r="H30" s="29">
        <v>0</v>
      </c>
      <c r="I30" s="29">
        <v>18</v>
      </c>
    </row>
    <row r="31" spans="1:9" ht="13.2" customHeight="1" x14ac:dyDescent="0.3">
      <c r="A31" s="24" t="s">
        <v>5523</v>
      </c>
      <c r="B31" s="25"/>
      <c r="C31" s="26">
        <v>44707</v>
      </c>
      <c r="D31" s="26">
        <v>44707</v>
      </c>
      <c r="E31" s="27"/>
      <c r="F31" s="27"/>
      <c r="G31" s="28" t="s">
        <v>2258</v>
      </c>
      <c r="H31" s="29">
        <v>0</v>
      </c>
      <c r="I31" s="29">
        <v>87.15</v>
      </c>
    </row>
    <row r="32" spans="1:9" ht="13.2" customHeight="1" x14ac:dyDescent="0.3">
      <c r="A32" s="24" t="s">
        <v>5523</v>
      </c>
      <c r="B32" s="25"/>
      <c r="C32" s="26">
        <v>44712</v>
      </c>
      <c r="D32" s="26">
        <v>44712</v>
      </c>
      <c r="E32" s="27"/>
      <c r="F32" s="27"/>
      <c r="G32" s="28" t="s">
        <v>5542</v>
      </c>
      <c r="H32" s="29">
        <v>0</v>
      </c>
      <c r="I32" s="29">
        <v>5.5</v>
      </c>
    </row>
    <row r="33" spans="1:9" ht="13.2" customHeight="1" x14ac:dyDescent="0.3">
      <c r="A33" s="24" t="s">
        <v>5523</v>
      </c>
      <c r="B33" s="25"/>
      <c r="C33" s="26">
        <v>44718</v>
      </c>
      <c r="D33" s="26">
        <v>44718</v>
      </c>
      <c r="E33" s="27"/>
      <c r="F33" s="27"/>
      <c r="G33" s="28" t="s">
        <v>5543</v>
      </c>
      <c r="H33" s="29">
        <v>0</v>
      </c>
      <c r="I33" s="29">
        <v>27</v>
      </c>
    </row>
    <row r="34" spans="1:9" ht="13.2" customHeight="1" x14ac:dyDescent="0.3">
      <c r="A34" s="24" t="s">
        <v>5523</v>
      </c>
      <c r="B34" s="25"/>
      <c r="C34" s="26">
        <v>44722</v>
      </c>
      <c r="D34" s="26">
        <v>44722</v>
      </c>
      <c r="E34" s="27"/>
      <c r="F34" s="27"/>
      <c r="G34" s="28" t="s">
        <v>5544</v>
      </c>
      <c r="H34" s="29">
        <v>0</v>
      </c>
      <c r="I34" s="29">
        <v>1</v>
      </c>
    </row>
    <row r="35" spans="1:9" ht="13.2" customHeight="1" x14ac:dyDescent="0.3">
      <c r="A35" s="24" t="s">
        <v>5523</v>
      </c>
      <c r="B35" s="25"/>
      <c r="C35" s="26">
        <v>44722</v>
      </c>
      <c r="D35" s="26">
        <v>44722</v>
      </c>
      <c r="E35" s="27"/>
      <c r="F35" s="27"/>
      <c r="G35" s="28" t="s">
        <v>2258</v>
      </c>
      <c r="H35" s="29">
        <v>0</v>
      </c>
      <c r="I35" s="29">
        <v>26.25</v>
      </c>
    </row>
    <row r="36" spans="1:9" ht="13.2" customHeight="1" x14ac:dyDescent="0.3">
      <c r="A36" s="24" t="s">
        <v>5523</v>
      </c>
      <c r="B36" s="25"/>
      <c r="C36" s="26">
        <v>44735</v>
      </c>
      <c r="D36" s="26">
        <v>44735</v>
      </c>
      <c r="E36" s="27"/>
      <c r="F36" s="27"/>
      <c r="G36" s="28" t="s">
        <v>2258</v>
      </c>
      <c r="H36" s="29">
        <v>0</v>
      </c>
      <c r="I36" s="29">
        <v>87.15</v>
      </c>
    </row>
    <row r="37" spans="1:9" ht="13.2" customHeight="1" x14ac:dyDescent="0.3">
      <c r="A37" s="24" t="s">
        <v>5523</v>
      </c>
      <c r="B37" s="25"/>
      <c r="C37" s="26">
        <v>44735</v>
      </c>
      <c r="D37" s="26">
        <v>44735</v>
      </c>
      <c r="E37" s="27"/>
      <c r="F37" s="27"/>
      <c r="G37" s="28" t="s">
        <v>2258</v>
      </c>
      <c r="H37" s="29">
        <v>0</v>
      </c>
      <c r="I37" s="29">
        <v>150.15</v>
      </c>
    </row>
    <row r="38" spans="1:9" ht="13.2" customHeight="1" x14ac:dyDescent="0.3">
      <c r="A38" s="24" t="s">
        <v>5523</v>
      </c>
      <c r="B38" s="25"/>
      <c r="C38" s="26">
        <v>44739</v>
      </c>
      <c r="D38" s="26">
        <v>44739</v>
      </c>
      <c r="E38" s="27"/>
      <c r="F38" s="27">
        <v>13018126843</v>
      </c>
      <c r="G38" s="28" t="s">
        <v>5545</v>
      </c>
      <c r="H38" s="29">
        <v>0</v>
      </c>
      <c r="I38" s="29">
        <v>262.5</v>
      </c>
    </row>
    <row r="39" spans="1:9" ht="13.2" customHeight="1" x14ac:dyDescent="0.3">
      <c r="A39" s="24" t="s">
        <v>5523</v>
      </c>
      <c r="B39" s="25"/>
      <c r="C39" s="26">
        <v>44740</v>
      </c>
      <c r="D39" s="26">
        <v>44740</v>
      </c>
      <c r="E39" s="27"/>
      <c r="F39" s="27" t="s">
        <v>5546</v>
      </c>
      <c r="G39" s="28" t="s">
        <v>5547</v>
      </c>
      <c r="H39" s="29">
        <v>0</v>
      </c>
      <c r="I39" s="29">
        <v>55</v>
      </c>
    </row>
    <row r="40" spans="1:9" ht="13.2" customHeight="1" x14ac:dyDescent="0.3">
      <c r="A40" s="24" t="s">
        <v>5523</v>
      </c>
      <c r="B40" s="25"/>
      <c r="C40" s="26">
        <v>44742</v>
      </c>
      <c r="D40" s="26">
        <v>44742</v>
      </c>
      <c r="E40" s="27">
        <v>11</v>
      </c>
      <c r="F40" s="27">
        <v>44742</v>
      </c>
      <c r="G40" s="28" t="s">
        <v>5548</v>
      </c>
      <c r="H40" s="29">
        <v>0</v>
      </c>
      <c r="I40" s="29">
        <v>10</v>
      </c>
    </row>
    <row r="41" spans="1:9" ht="13.2" customHeight="1" x14ac:dyDescent="0.3">
      <c r="A41" s="24" t="s">
        <v>5523</v>
      </c>
      <c r="B41" s="25"/>
      <c r="C41" s="26">
        <v>44742</v>
      </c>
      <c r="D41" s="26">
        <v>44742</v>
      </c>
      <c r="E41" s="27"/>
      <c r="F41" s="27"/>
      <c r="G41" s="28" t="s">
        <v>5549</v>
      </c>
      <c r="H41" s="29">
        <v>0</v>
      </c>
      <c r="I41" s="29">
        <v>23</v>
      </c>
    </row>
    <row r="42" spans="1:9" ht="13.2" customHeight="1" x14ac:dyDescent="0.3">
      <c r="A42" s="24" t="s">
        <v>5523</v>
      </c>
      <c r="B42" s="25">
        <v>54870812222450</v>
      </c>
      <c r="C42" s="26">
        <v>44785</v>
      </c>
      <c r="D42" s="26">
        <v>44785</v>
      </c>
      <c r="E42" s="27">
        <v>100</v>
      </c>
      <c r="F42" s="27" t="s">
        <v>5550</v>
      </c>
      <c r="G42" s="28" t="s">
        <v>5550</v>
      </c>
      <c r="H42" s="29">
        <v>0</v>
      </c>
      <c r="I42" s="29">
        <v>30</v>
      </c>
    </row>
    <row r="43" spans="1:9" ht="13.2" customHeight="1" x14ac:dyDescent="0.3">
      <c r="A43" s="24" t="s">
        <v>5523</v>
      </c>
      <c r="B43" s="25"/>
      <c r="C43" s="26">
        <v>44796</v>
      </c>
      <c r="D43" s="26">
        <v>44796</v>
      </c>
      <c r="E43" s="27"/>
      <c r="F43" s="27" t="s">
        <v>5551</v>
      </c>
      <c r="G43" s="28" t="s">
        <v>5552</v>
      </c>
      <c r="H43" s="29">
        <v>0</v>
      </c>
      <c r="I43" s="29">
        <v>1</v>
      </c>
    </row>
    <row r="44" spans="1:9" ht="13.2" customHeight="1" x14ac:dyDescent="0.3">
      <c r="A44" s="24" t="s">
        <v>5523</v>
      </c>
      <c r="B44" s="25"/>
      <c r="C44" s="26">
        <v>44797</v>
      </c>
      <c r="D44" s="26">
        <v>44797</v>
      </c>
      <c r="E44" s="27"/>
      <c r="F44" s="27">
        <v>685075</v>
      </c>
      <c r="G44" s="28" t="s">
        <v>5553</v>
      </c>
      <c r="H44" s="29">
        <v>0</v>
      </c>
      <c r="I44" s="29">
        <v>9</v>
      </c>
    </row>
    <row r="45" spans="1:9" ht="13.2" customHeight="1" x14ac:dyDescent="0.3">
      <c r="A45" s="24" t="s">
        <v>5523</v>
      </c>
      <c r="B45" s="25"/>
      <c r="C45" s="26">
        <v>44797</v>
      </c>
      <c r="D45" s="26">
        <v>44797</v>
      </c>
      <c r="E45" s="27"/>
      <c r="F45" s="27" t="s">
        <v>5554</v>
      </c>
      <c r="G45" s="28" t="s">
        <v>5555</v>
      </c>
      <c r="H45" s="29">
        <v>0</v>
      </c>
      <c r="I45" s="29">
        <v>1050</v>
      </c>
    </row>
    <row r="46" spans="1:9" ht="13.2" customHeight="1" x14ac:dyDescent="0.3">
      <c r="A46" s="24" t="s">
        <v>5523</v>
      </c>
      <c r="B46" s="25">
        <v>38016</v>
      </c>
      <c r="C46" s="26">
        <v>44803</v>
      </c>
      <c r="D46" s="26">
        <v>44803</v>
      </c>
      <c r="E46" s="27"/>
      <c r="F46" s="27">
        <v>38016</v>
      </c>
      <c r="G46" s="28" t="s">
        <v>5556</v>
      </c>
      <c r="H46" s="29">
        <v>0</v>
      </c>
      <c r="I46" s="29">
        <v>15000</v>
      </c>
    </row>
    <row r="47" spans="1:9" ht="13.2" customHeight="1" x14ac:dyDescent="0.3">
      <c r="A47" s="24" t="s">
        <v>5523</v>
      </c>
      <c r="B47" s="30" t="s">
        <v>5557</v>
      </c>
      <c r="C47" s="26">
        <v>44809</v>
      </c>
      <c r="D47" s="26">
        <v>44809</v>
      </c>
      <c r="E47" s="31" t="s">
        <v>5558</v>
      </c>
      <c r="F47" s="27"/>
      <c r="G47" s="32" t="s">
        <v>5559</v>
      </c>
      <c r="H47" s="29">
        <v>0</v>
      </c>
      <c r="I47" s="29">
        <v>2</v>
      </c>
    </row>
    <row r="48" spans="1:9" ht="13.2" customHeight="1" x14ac:dyDescent="0.3">
      <c r="A48" s="24" t="s">
        <v>5523</v>
      </c>
      <c r="B48" s="25" t="s">
        <v>5560</v>
      </c>
      <c r="C48" s="26">
        <v>44827</v>
      </c>
      <c r="D48" s="26">
        <v>44827</v>
      </c>
      <c r="E48" s="27" t="s">
        <v>5558</v>
      </c>
      <c r="F48" s="27"/>
      <c r="G48" s="28" t="s">
        <v>5561</v>
      </c>
      <c r="H48" s="29">
        <v>0</v>
      </c>
      <c r="I48" s="29">
        <v>1</v>
      </c>
    </row>
    <row r="49" spans="1:9" ht="13.2" customHeight="1" x14ac:dyDescent="0.3">
      <c r="A49" s="24" t="s">
        <v>5523</v>
      </c>
      <c r="B49" s="25">
        <v>13819074401</v>
      </c>
      <c r="C49" s="26">
        <v>44828</v>
      </c>
      <c r="D49" s="26">
        <v>44828</v>
      </c>
      <c r="E49" s="27" t="s">
        <v>5558</v>
      </c>
      <c r="F49" s="27"/>
      <c r="G49" s="28" t="s">
        <v>5562</v>
      </c>
      <c r="H49" s="29">
        <v>0</v>
      </c>
      <c r="I49" s="29">
        <v>25</v>
      </c>
    </row>
    <row r="50" spans="1:9" ht="13.2" customHeight="1" x14ac:dyDescent="0.3">
      <c r="A50" s="24" t="s">
        <v>5523</v>
      </c>
      <c r="B50" s="25">
        <v>106638</v>
      </c>
      <c r="C50" s="26">
        <v>44837</v>
      </c>
      <c r="D50" s="26">
        <v>44837</v>
      </c>
      <c r="E50" s="27">
        <v>106638</v>
      </c>
      <c r="F50" s="27"/>
      <c r="G50" s="33" t="s">
        <v>5563</v>
      </c>
      <c r="H50" s="29">
        <v>0</v>
      </c>
      <c r="I50" s="29">
        <v>3679.2</v>
      </c>
    </row>
    <row r="51" spans="1:9" ht="13.2" customHeight="1" x14ac:dyDescent="0.3">
      <c r="A51" s="24" t="s">
        <v>5523</v>
      </c>
      <c r="B51" s="25" t="s">
        <v>5564</v>
      </c>
      <c r="C51" s="26">
        <v>44838</v>
      </c>
      <c r="D51" s="26">
        <v>44838</v>
      </c>
      <c r="E51" s="27" t="s">
        <v>5558</v>
      </c>
      <c r="F51" s="27"/>
      <c r="G51" s="28" t="s">
        <v>5565</v>
      </c>
      <c r="H51" s="29">
        <v>0</v>
      </c>
      <c r="I51" s="29">
        <v>1</v>
      </c>
    </row>
    <row r="52" spans="1:9" ht="13.2" customHeight="1" x14ac:dyDescent="0.3">
      <c r="A52" s="24" t="s">
        <v>5523</v>
      </c>
      <c r="B52" s="25">
        <v>54841013225334</v>
      </c>
      <c r="C52" s="26">
        <v>44847</v>
      </c>
      <c r="D52" s="26">
        <v>44847</v>
      </c>
      <c r="E52" s="27" t="s">
        <v>5558</v>
      </c>
      <c r="F52" s="27"/>
      <c r="G52" s="33" t="s">
        <v>5566</v>
      </c>
      <c r="H52" s="29">
        <v>0</v>
      </c>
      <c r="I52" s="29">
        <v>1000</v>
      </c>
    </row>
    <row r="53" spans="1:9" ht="13.2" customHeight="1" x14ac:dyDescent="0.3">
      <c r="A53" s="34" t="s">
        <v>5523</v>
      </c>
      <c r="B53" s="35" t="s">
        <v>5567</v>
      </c>
      <c r="C53" s="26">
        <v>44871</v>
      </c>
      <c r="D53" s="26">
        <v>44871</v>
      </c>
      <c r="E53" s="21" t="s">
        <v>5558</v>
      </c>
      <c r="F53" s="21"/>
      <c r="G53" s="34" t="s">
        <v>5568</v>
      </c>
      <c r="H53" s="29">
        <v>0</v>
      </c>
      <c r="I53" s="29">
        <v>1</v>
      </c>
    </row>
    <row r="54" spans="1:9" ht="13.2" customHeight="1" x14ac:dyDescent="0.3">
      <c r="A54" s="17" t="s">
        <v>5523</v>
      </c>
      <c r="B54" s="35" t="s">
        <v>5569</v>
      </c>
      <c r="C54" s="26">
        <v>44890</v>
      </c>
      <c r="D54" s="26">
        <v>44890</v>
      </c>
      <c r="E54" s="21" t="s">
        <v>5558</v>
      </c>
      <c r="F54" s="21"/>
      <c r="G54" s="34" t="s">
        <v>2258</v>
      </c>
      <c r="H54" s="29">
        <v>0</v>
      </c>
      <c r="I54" s="29">
        <v>103.95</v>
      </c>
    </row>
    <row r="55" spans="1:9" ht="13.2" customHeight="1" x14ac:dyDescent="0.3">
      <c r="A55" s="17" t="s">
        <v>5523</v>
      </c>
      <c r="B55" s="35" t="s">
        <v>5570</v>
      </c>
      <c r="C55" s="26">
        <v>44903</v>
      </c>
      <c r="D55" s="26">
        <v>44903</v>
      </c>
      <c r="E55" s="21" t="s">
        <v>5558</v>
      </c>
      <c r="F55" s="21"/>
      <c r="G55" s="34" t="s">
        <v>5571</v>
      </c>
      <c r="H55" s="29">
        <v>0</v>
      </c>
      <c r="I55" s="29">
        <v>10</v>
      </c>
    </row>
    <row r="56" spans="1:9" ht="13.2" customHeight="1" x14ac:dyDescent="0.3">
      <c r="A56" s="17" t="s">
        <v>5523</v>
      </c>
      <c r="B56" s="35" t="s">
        <v>5572</v>
      </c>
      <c r="C56" s="26">
        <v>44921</v>
      </c>
      <c r="D56" s="26">
        <v>44921</v>
      </c>
      <c r="E56" s="21" t="s">
        <v>5558</v>
      </c>
      <c r="F56" s="21"/>
      <c r="G56" s="34" t="s">
        <v>5573</v>
      </c>
      <c r="H56" s="29">
        <v>0</v>
      </c>
      <c r="I56" s="29">
        <v>433.75</v>
      </c>
    </row>
    <row r="57" spans="1:9" ht="13.2" customHeight="1" x14ac:dyDescent="0.3">
      <c r="A57" s="17" t="s">
        <v>5523</v>
      </c>
      <c r="B57" s="36" t="s">
        <v>5574</v>
      </c>
      <c r="C57" s="26">
        <v>44958</v>
      </c>
      <c r="D57" s="26">
        <v>44928</v>
      </c>
      <c r="E57" s="37" t="s">
        <v>5558</v>
      </c>
      <c r="F57" s="21"/>
      <c r="G57" s="38" t="s">
        <v>5575</v>
      </c>
      <c r="H57" s="23">
        <v>0</v>
      </c>
      <c r="I57" s="23">
        <v>23.25</v>
      </c>
    </row>
    <row r="58" spans="1:9" ht="13.2" customHeight="1" x14ac:dyDescent="0.3">
      <c r="A58" s="17" t="s">
        <v>5523</v>
      </c>
      <c r="B58" s="36" t="s">
        <v>5576</v>
      </c>
      <c r="C58" s="26">
        <v>44934</v>
      </c>
      <c r="D58" s="26">
        <v>44934</v>
      </c>
      <c r="E58" s="37" t="s">
        <v>5558</v>
      </c>
      <c r="F58" s="21"/>
      <c r="G58" s="38" t="s">
        <v>5577</v>
      </c>
      <c r="H58" s="23">
        <v>0</v>
      </c>
      <c r="I58" s="23">
        <v>1</v>
      </c>
    </row>
    <row r="59" spans="1:9" ht="13.2" customHeight="1" x14ac:dyDescent="0.3">
      <c r="A59" s="17" t="s">
        <v>5578</v>
      </c>
      <c r="B59" s="36" t="s">
        <v>5579</v>
      </c>
      <c r="C59" s="26">
        <v>44943</v>
      </c>
      <c r="D59" s="26">
        <v>44943</v>
      </c>
      <c r="E59" s="37" t="s">
        <v>5579</v>
      </c>
      <c r="F59" s="21"/>
      <c r="G59" s="38" t="s">
        <v>5580</v>
      </c>
      <c r="H59" s="23">
        <v>0</v>
      </c>
      <c r="I59" s="23">
        <f>114510-114506.25</f>
        <v>3.75</v>
      </c>
    </row>
    <row r="60" spans="1:9" ht="13.2" customHeight="1" x14ac:dyDescent="0.3">
      <c r="A60" s="17" t="s">
        <v>5523</v>
      </c>
      <c r="B60" s="36" t="s">
        <v>5581</v>
      </c>
      <c r="C60" s="26">
        <v>44951</v>
      </c>
      <c r="D60" s="26">
        <v>44951</v>
      </c>
      <c r="E60" s="37" t="s">
        <v>5558</v>
      </c>
      <c r="F60" s="21"/>
      <c r="G60" s="38" t="s">
        <v>5582</v>
      </c>
      <c r="H60" s="23">
        <v>0</v>
      </c>
      <c r="I60" s="23">
        <v>9.9899999999997817</v>
      </c>
    </row>
    <row r="61" spans="1:9" ht="13.2" customHeight="1" x14ac:dyDescent="0.3">
      <c r="A61" s="17" t="s">
        <v>5523</v>
      </c>
      <c r="B61" s="36" t="s">
        <v>5583</v>
      </c>
      <c r="C61" s="26">
        <v>44965</v>
      </c>
      <c r="D61" s="26">
        <v>44965</v>
      </c>
      <c r="E61" s="37" t="s">
        <v>5558</v>
      </c>
      <c r="F61" s="21"/>
      <c r="G61" s="38" t="s">
        <v>5584</v>
      </c>
      <c r="H61" s="23">
        <v>0</v>
      </c>
      <c r="I61" s="23">
        <v>12</v>
      </c>
    </row>
    <row r="62" spans="1:9" ht="13.2" customHeight="1" x14ac:dyDescent="0.3">
      <c r="A62" s="17" t="s">
        <v>5523</v>
      </c>
      <c r="B62" s="36" t="s">
        <v>5585</v>
      </c>
      <c r="C62" s="26">
        <v>44980</v>
      </c>
      <c r="D62" s="26">
        <v>44980</v>
      </c>
      <c r="E62" s="37" t="s">
        <v>5558</v>
      </c>
      <c r="F62" s="21"/>
      <c r="G62" s="38" t="s">
        <v>5586</v>
      </c>
      <c r="H62" s="23">
        <v>0</v>
      </c>
      <c r="I62" s="23">
        <v>10</v>
      </c>
    </row>
    <row r="63" spans="1:9" ht="13.2" customHeight="1" x14ac:dyDescent="0.3">
      <c r="A63" s="17" t="s">
        <v>5523</v>
      </c>
      <c r="B63" s="36" t="s">
        <v>5587</v>
      </c>
      <c r="C63" s="26">
        <v>45012</v>
      </c>
      <c r="D63" s="26">
        <v>45012</v>
      </c>
      <c r="E63" s="37" t="s">
        <v>5558</v>
      </c>
      <c r="F63" s="21"/>
      <c r="G63" s="38" t="s">
        <v>5588</v>
      </c>
      <c r="H63" s="23">
        <v>0</v>
      </c>
      <c r="I63" s="23">
        <v>1</v>
      </c>
    </row>
    <row r="64" spans="1:9" ht="13.2" customHeight="1" x14ac:dyDescent="0.3">
      <c r="A64" s="17" t="s">
        <v>5523</v>
      </c>
      <c r="B64" s="36" t="s">
        <v>5589</v>
      </c>
      <c r="C64" s="26">
        <v>45016</v>
      </c>
      <c r="D64" s="26">
        <v>45016</v>
      </c>
      <c r="E64" s="37" t="s">
        <v>5558</v>
      </c>
      <c r="F64" s="21"/>
      <c r="G64" s="38" t="s">
        <v>5590</v>
      </c>
      <c r="H64" s="23">
        <v>0</v>
      </c>
      <c r="I64" s="23">
        <v>10</v>
      </c>
    </row>
    <row r="65" spans="1:14" ht="13.2" customHeight="1" x14ac:dyDescent="0.3">
      <c r="A65" s="17" t="s">
        <v>5523</v>
      </c>
      <c r="B65" s="36" t="s">
        <v>5591</v>
      </c>
      <c r="C65" s="26">
        <v>45031</v>
      </c>
      <c r="D65" s="26">
        <v>45031</v>
      </c>
      <c r="E65" s="37" t="s">
        <v>5558</v>
      </c>
      <c r="F65" s="21"/>
      <c r="G65" s="38" t="s">
        <v>5592</v>
      </c>
      <c r="H65" s="23">
        <v>0</v>
      </c>
      <c r="I65" s="23">
        <v>1</v>
      </c>
    </row>
    <row r="66" spans="1:14" ht="13.2" customHeight="1" x14ac:dyDescent="0.3">
      <c r="A66" s="17" t="s">
        <v>5523</v>
      </c>
      <c r="B66" s="36" t="s">
        <v>5593</v>
      </c>
      <c r="C66" s="26">
        <v>45036</v>
      </c>
      <c r="D66" s="26">
        <v>45036</v>
      </c>
      <c r="E66" s="37" t="s">
        <v>5558</v>
      </c>
      <c r="F66" s="21"/>
      <c r="G66" s="38" t="s">
        <v>5594</v>
      </c>
      <c r="H66" s="23">
        <v>0</v>
      </c>
      <c r="I66" s="23">
        <v>1</v>
      </c>
    </row>
    <row r="67" spans="1:14" ht="13.2" customHeight="1" x14ac:dyDescent="0.3">
      <c r="A67" s="17" t="s">
        <v>5523</v>
      </c>
      <c r="B67" s="36" t="s">
        <v>5595</v>
      </c>
      <c r="C67" s="26">
        <v>45054</v>
      </c>
      <c r="D67" s="26">
        <v>45054</v>
      </c>
      <c r="E67" s="37" t="s">
        <v>5596</v>
      </c>
      <c r="F67" s="21"/>
      <c r="G67" s="38" t="s">
        <v>5597</v>
      </c>
      <c r="H67" s="23">
        <v>0</v>
      </c>
      <c r="I67" s="23">
        <f>232680-232676.5</f>
        <v>3.5</v>
      </c>
    </row>
    <row r="68" spans="1:14" ht="13.2" customHeight="1" x14ac:dyDescent="0.3">
      <c r="A68" s="17" t="s">
        <v>5523</v>
      </c>
      <c r="B68" s="36" t="s">
        <v>5598</v>
      </c>
      <c r="C68" s="26">
        <v>45057</v>
      </c>
      <c r="D68" s="26">
        <v>45057</v>
      </c>
      <c r="E68" s="37" t="s">
        <v>5558</v>
      </c>
      <c r="F68" s="21"/>
      <c r="G68" s="38" t="s">
        <v>5599</v>
      </c>
      <c r="H68" s="23">
        <v>0</v>
      </c>
      <c r="I68" s="23">
        <v>1</v>
      </c>
    </row>
    <row r="69" spans="1:14" ht="13.2" customHeight="1" x14ac:dyDescent="0.3">
      <c r="A69" s="17" t="s">
        <v>5523</v>
      </c>
      <c r="B69" s="36" t="s">
        <v>5600</v>
      </c>
      <c r="C69" s="26">
        <v>45061</v>
      </c>
      <c r="D69" s="26">
        <v>45061</v>
      </c>
      <c r="E69" s="37" t="s">
        <v>5558</v>
      </c>
      <c r="F69" s="21"/>
      <c r="G69" s="38" t="s">
        <v>5601</v>
      </c>
      <c r="H69" s="23">
        <v>0</v>
      </c>
      <c r="I69" s="23">
        <v>10</v>
      </c>
    </row>
    <row r="70" spans="1:14" ht="13.2" customHeight="1" x14ac:dyDescent="0.3">
      <c r="A70" s="17" t="s">
        <v>5523</v>
      </c>
      <c r="B70" s="36" t="s">
        <v>5602</v>
      </c>
      <c r="C70" s="26">
        <v>45092</v>
      </c>
      <c r="D70" s="26">
        <v>45092</v>
      </c>
      <c r="E70" s="37" t="s">
        <v>5558</v>
      </c>
      <c r="F70" s="21"/>
      <c r="G70" s="38" t="s">
        <v>5603</v>
      </c>
      <c r="H70" s="23">
        <v>0</v>
      </c>
      <c r="I70" s="23">
        <v>10</v>
      </c>
    </row>
    <row r="71" spans="1:14" ht="13.2" customHeight="1" x14ac:dyDescent="0.3">
      <c r="A71" s="17" t="s">
        <v>5523</v>
      </c>
      <c r="B71" s="36" t="s">
        <v>5604</v>
      </c>
      <c r="C71" s="26">
        <v>45098</v>
      </c>
      <c r="D71" s="26">
        <v>45098</v>
      </c>
      <c r="E71" s="37" t="s">
        <v>5558</v>
      </c>
      <c r="F71" s="21"/>
      <c r="G71" s="38" t="s">
        <v>5605</v>
      </c>
      <c r="H71" s="23">
        <v>0</v>
      </c>
      <c r="I71" s="23">
        <v>15</v>
      </c>
    </row>
    <row r="72" spans="1:14" ht="13.2" customHeight="1" x14ac:dyDescent="0.3">
      <c r="A72" s="17" t="s">
        <v>5578</v>
      </c>
      <c r="B72" s="35"/>
      <c r="C72" s="26">
        <v>45110</v>
      </c>
      <c r="D72" s="26">
        <v>45110</v>
      </c>
      <c r="E72" s="21">
        <v>98088</v>
      </c>
      <c r="F72" s="21">
        <v>61</v>
      </c>
      <c r="G72" s="34" t="s">
        <v>5606</v>
      </c>
      <c r="H72" s="29">
        <v>0</v>
      </c>
      <c r="I72" s="29">
        <v>3.18</v>
      </c>
    </row>
    <row r="73" spans="1:14" ht="13.2" customHeight="1" x14ac:dyDescent="0.3">
      <c r="A73" s="17" t="s">
        <v>5523</v>
      </c>
      <c r="B73" s="36" t="s">
        <v>5607</v>
      </c>
      <c r="C73" s="26">
        <v>45110</v>
      </c>
      <c r="D73" s="26">
        <v>45110</v>
      </c>
      <c r="E73" s="37" t="s">
        <v>5558</v>
      </c>
      <c r="F73" s="21"/>
      <c r="G73" s="38" t="s">
        <v>5608</v>
      </c>
      <c r="H73" s="23">
        <v>0</v>
      </c>
      <c r="I73" s="23">
        <v>99.75</v>
      </c>
    </row>
    <row r="74" spans="1:14" ht="13.2" customHeight="1" x14ac:dyDescent="0.3">
      <c r="A74" s="17" t="s">
        <v>5523</v>
      </c>
      <c r="B74" s="36" t="s">
        <v>5569</v>
      </c>
      <c r="C74" s="26">
        <v>45112</v>
      </c>
      <c r="D74" s="26">
        <v>45112</v>
      </c>
      <c r="E74" s="37" t="s">
        <v>5558</v>
      </c>
      <c r="F74" s="21"/>
      <c r="G74" s="38" t="s">
        <v>2258</v>
      </c>
      <c r="H74" s="23">
        <v>0</v>
      </c>
      <c r="I74" s="23">
        <v>1</v>
      </c>
    </row>
    <row r="75" spans="1:14" ht="13.2" customHeight="1" x14ac:dyDescent="0.3">
      <c r="A75" s="17" t="s">
        <v>5523</v>
      </c>
      <c r="B75" s="36" t="s">
        <v>5609</v>
      </c>
      <c r="C75" s="26">
        <v>45124</v>
      </c>
      <c r="D75" s="26">
        <v>45124</v>
      </c>
      <c r="E75" s="37" t="s">
        <v>5558</v>
      </c>
      <c r="F75" s="21"/>
      <c r="G75" s="38" t="s">
        <v>5610</v>
      </c>
      <c r="H75" s="23">
        <v>0</v>
      </c>
      <c r="I75" s="23">
        <v>52.5</v>
      </c>
    </row>
    <row r="76" spans="1:14" ht="13.2" customHeight="1" x14ac:dyDescent="0.3">
      <c r="A76" s="17" t="s">
        <v>5578</v>
      </c>
      <c r="B76" s="36"/>
      <c r="C76" s="26">
        <v>45126</v>
      </c>
      <c r="D76" s="26">
        <v>45127</v>
      </c>
      <c r="E76" s="21">
        <v>99129</v>
      </c>
      <c r="F76" s="21">
        <v>23</v>
      </c>
      <c r="G76" s="38" t="s">
        <v>5611</v>
      </c>
      <c r="H76" s="23">
        <v>0</v>
      </c>
      <c r="I76" s="23">
        <v>30.5</v>
      </c>
    </row>
    <row r="77" spans="1:14" ht="13.2" customHeight="1" x14ac:dyDescent="0.3">
      <c r="A77" s="17" t="s">
        <v>5523</v>
      </c>
      <c r="B77" s="36" t="s">
        <v>5612</v>
      </c>
      <c r="C77" s="26">
        <v>45135</v>
      </c>
      <c r="D77" s="26">
        <v>45135</v>
      </c>
      <c r="E77" s="37" t="s">
        <v>5558</v>
      </c>
      <c r="F77" s="21"/>
      <c r="G77" s="38" t="s">
        <v>5613</v>
      </c>
      <c r="H77" s="23">
        <v>0</v>
      </c>
      <c r="I77" s="23">
        <v>525</v>
      </c>
    </row>
    <row r="78" spans="1:14" ht="13.2" customHeight="1" x14ac:dyDescent="0.3">
      <c r="A78" s="17" t="s">
        <v>5578</v>
      </c>
      <c r="B78" s="36"/>
      <c r="C78" s="26">
        <v>45145</v>
      </c>
      <c r="D78" s="26">
        <v>45145</v>
      </c>
      <c r="E78" s="21">
        <v>618707</v>
      </c>
      <c r="F78" s="21">
        <v>44</v>
      </c>
      <c r="G78" s="34" t="s">
        <v>5614</v>
      </c>
      <c r="H78" s="23">
        <v>0</v>
      </c>
      <c r="I78" s="23">
        <v>5</v>
      </c>
    </row>
    <row r="79" spans="1:14" ht="13.2" customHeight="1" x14ac:dyDescent="0.3">
      <c r="A79" s="17" t="s">
        <v>5578</v>
      </c>
      <c r="B79" s="36" t="s">
        <v>5615</v>
      </c>
      <c r="C79" s="26">
        <v>45145</v>
      </c>
      <c r="D79" s="26">
        <v>45145</v>
      </c>
      <c r="E79" s="37" t="s">
        <v>5558</v>
      </c>
      <c r="F79" s="21"/>
      <c r="G79" s="38" t="s">
        <v>5616</v>
      </c>
      <c r="H79" s="23">
        <v>0</v>
      </c>
      <c r="I79" s="23">
        <v>1178</v>
      </c>
    </row>
    <row r="80" spans="1:14" ht="13.2" customHeight="1" x14ac:dyDescent="0.3">
      <c r="A80" s="17" t="s">
        <v>5523</v>
      </c>
      <c r="B80" s="36" t="s">
        <v>5617</v>
      </c>
      <c r="C80" s="26">
        <v>45145</v>
      </c>
      <c r="D80" s="26">
        <v>45145</v>
      </c>
      <c r="E80" s="37" t="s">
        <v>5558</v>
      </c>
      <c r="F80" s="21"/>
      <c r="G80" s="38" t="s">
        <v>5618</v>
      </c>
      <c r="H80" s="23">
        <v>0</v>
      </c>
      <c r="I80" s="23">
        <v>2351.9699999999998</v>
      </c>
      <c r="N80" s="36" t="s">
        <v>5617</v>
      </c>
    </row>
    <row r="81" spans="1:15" ht="13.2" customHeight="1" x14ac:dyDescent="0.3">
      <c r="A81" s="17" t="s">
        <v>5578</v>
      </c>
      <c r="B81" s="36" t="s">
        <v>5619</v>
      </c>
      <c r="C81" s="26">
        <v>45147</v>
      </c>
      <c r="D81" s="26">
        <v>45147</v>
      </c>
      <c r="E81" s="37" t="s">
        <v>5620</v>
      </c>
      <c r="F81" s="21"/>
      <c r="G81" s="38" t="s">
        <v>5621</v>
      </c>
      <c r="H81" s="23">
        <v>0</v>
      </c>
      <c r="I81" s="23">
        <v>0.45</v>
      </c>
      <c r="N81" s="39" t="s">
        <v>5622</v>
      </c>
      <c r="O81" s="40">
        <f>LEN(N81)</f>
        <v>11</v>
      </c>
    </row>
    <row r="82" spans="1:15" ht="13.2" customHeight="1" x14ac:dyDescent="0.3">
      <c r="A82" s="17" t="s">
        <v>5523</v>
      </c>
      <c r="B82" s="36" t="s">
        <v>5623</v>
      </c>
      <c r="C82" s="26">
        <v>45155</v>
      </c>
      <c r="D82" s="26">
        <v>45155</v>
      </c>
      <c r="E82" s="37" t="s">
        <v>5558</v>
      </c>
      <c r="F82" s="21"/>
      <c r="G82" s="38" t="s">
        <v>5624</v>
      </c>
      <c r="H82" s="23">
        <v>0</v>
      </c>
      <c r="I82" s="23">
        <v>100</v>
      </c>
    </row>
    <row r="83" spans="1:15" ht="13.2" customHeight="1" x14ac:dyDescent="0.3">
      <c r="A83" s="17" t="s">
        <v>5523</v>
      </c>
      <c r="B83" s="36" t="s">
        <v>5625</v>
      </c>
      <c r="C83" s="26">
        <v>45156</v>
      </c>
      <c r="D83" s="26">
        <v>45156</v>
      </c>
      <c r="E83" s="37" t="s">
        <v>5558</v>
      </c>
      <c r="F83" s="21"/>
      <c r="G83" s="38" t="s">
        <v>5626</v>
      </c>
      <c r="H83" s="23">
        <v>0</v>
      </c>
      <c r="I83" s="23">
        <v>1709.4</v>
      </c>
    </row>
    <row r="84" spans="1:15" ht="13.2" customHeight="1" x14ac:dyDescent="0.3">
      <c r="A84" s="17" t="s">
        <v>5578</v>
      </c>
      <c r="B84" s="36" t="s">
        <v>5627</v>
      </c>
      <c r="C84" s="26">
        <v>45157</v>
      </c>
      <c r="D84" s="26">
        <v>45157</v>
      </c>
      <c r="E84" s="37" t="s">
        <v>5627</v>
      </c>
      <c r="F84" s="21"/>
      <c r="G84" s="38" t="s">
        <v>5628</v>
      </c>
      <c r="H84" s="23">
        <v>0</v>
      </c>
      <c r="I84" s="23">
        <v>4.5</v>
      </c>
    </row>
    <row r="85" spans="1:15" ht="13.2" customHeight="1" x14ac:dyDescent="0.3">
      <c r="A85" s="17" t="s">
        <v>5523</v>
      </c>
      <c r="B85" s="36" t="s">
        <v>5569</v>
      </c>
      <c r="C85" s="26">
        <v>45175</v>
      </c>
      <c r="D85" s="26">
        <v>45175</v>
      </c>
      <c r="E85" s="37" t="s">
        <v>5558</v>
      </c>
      <c r="F85" s="21"/>
      <c r="G85" s="38" t="s">
        <v>2258</v>
      </c>
      <c r="H85" s="23">
        <v>0</v>
      </c>
      <c r="I85" s="23">
        <v>31</v>
      </c>
    </row>
    <row r="86" spans="1:15" ht="13.2" customHeight="1" x14ac:dyDescent="0.3">
      <c r="A86" s="17" t="s">
        <v>5523</v>
      </c>
      <c r="B86" s="36" t="s">
        <v>5629</v>
      </c>
      <c r="C86" s="26">
        <v>45177</v>
      </c>
      <c r="D86" s="26">
        <v>45177</v>
      </c>
      <c r="E86" s="37" t="s">
        <v>5558</v>
      </c>
      <c r="F86" s="21"/>
      <c r="G86" s="38" t="s">
        <v>5630</v>
      </c>
      <c r="H86" s="23">
        <v>0</v>
      </c>
      <c r="I86" s="23">
        <v>699.75</v>
      </c>
    </row>
    <row r="87" spans="1:15" ht="13.2" customHeight="1" x14ac:dyDescent="0.3">
      <c r="A87" s="17" t="s">
        <v>5523</v>
      </c>
      <c r="B87" s="36" t="s">
        <v>5631</v>
      </c>
      <c r="C87" s="26">
        <v>45180</v>
      </c>
      <c r="D87" s="26">
        <v>45180</v>
      </c>
      <c r="E87" s="37" t="s">
        <v>5558</v>
      </c>
      <c r="F87" s="21"/>
      <c r="G87" s="38" t="s">
        <v>5632</v>
      </c>
      <c r="H87" s="23">
        <v>0</v>
      </c>
      <c r="I87" s="23">
        <v>53321.75</v>
      </c>
    </row>
    <row r="88" spans="1:15" ht="13.2" customHeight="1" x14ac:dyDescent="0.3">
      <c r="A88" s="17" t="s">
        <v>5523</v>
      </c>
      <c r="B88" s="36" t="s">
        <v>5633</v>
      </c>
      <c r="C88" s="26">
        <v>45184</v>
      </c>
      <c r="D88" s="26">
        <v>45184</v>
      </c>
      <c r="E88" s="37" t="s">
        <v>5558</v>
      </c>
      <c r="F88" s="21"/>
      <c r="G88" s="38" t="s">
        <v>5634</v>
      </c>
      <c r="H88" s="23">
        <v>0</v>
      </c>
      <c r="I88" s="23">
        <v>112.57</v>
      </c>
    </row>
    <row r="89" spans="1:15" ht="13.2" customHeight="1" x14ac:dyDescent="0.3">
      <c r="A89" s="17" t="s">
        <v>5523</v>
      </c>
      <c r="B89" s="36" t="s">
        <v>5635</v>
      </c>
      <c r="C89" s="26">
        <v>45184</v>
      </c>
      <c r="D89" s="26">
        <v>45184</v>
      </c>
      <c r="E89" s="37" t="s">
        <v>5558</v>
      </c>
      <c r="F89" s="21"/>
      <c r="G89" s="38" t="s">
        <v>5636</v>
      </c>
      <c r="H89" s="23">
        <v>0</v>
      </c>
      <c r="I89" s="23">
        <v>450</v>
      </c>
    </row>
    <row r="90" spans="1:15" ht="13.2" customHeight="1" x14ac:dyDescent="0.3">
      <c r="A90" s="17" t="s">
        <v>5523</v>
      </c>
      <c r="B90" s="36" t="s">
        <v>5637</v>
      </c>
      <c r="C90" s="26">
        <v>45184</v>
      </c>
      <c r="D90" s="26">
        <v>45184</v>
      </c>
      <c r="E90" s="37" t="s">
        <v>5558</v>
      </c>
      <c r="F90" s="21"/>
      <c r="G90" s="38" t="s">
        <v>5638</v>
      </c>
      <c r="H90" s="23">
        <v>0</v>
      </c>
      <c r="I90" s="23">
        <v>865</v>
      </c>
    </row>
    <row r="91" spans="1:15" ht="13.2" customHeight="1" x14ac:dyDescent="0.3">
      <c r="A91" s="17" t="s">
        <v>5523</v>
      </c>
      <c r="B91" s="35" t="s">
        <v>5639</v>
      </c>
      <c r="C91" s="26">
        <v>45272</v>
      </c>
      <c r="D91" s="26">
        <v>45272</v>
      </c>
      <c r="E91" s="21"/>
      <c r="F91" s="21" t="s">
        <v>5558</v>
      </c>
      <c r="G91" s="34" t="s">
        <v>5640</v>
      </c>
      <c r="H91" s="29">
        <v>0</v>
      </c>
      <c r="I91" s="29">
        <v>25.5</v>
      </c>
    </row>
    <row r="92" spans="1:15" ht="13.2" customHeight="1" x14ac:dyDescent="0.3">
      <c r="A92" s="17" t="s">
        <v>5523</v>
      </c>
      <c r="B92" s="35" t="s">
        <v>5641</v>
      </c>
      <c r="C92" s="26">
        <v>45282</v>
      </c>
      <c r="D92" s="26">
        <v>45282</v>
      </c>
      <c r="E92" s="21"/>
      <c r="F92" s="21" t="s">
        <v>5558</v>
      </c>
      <c r="G92" s="34" t="s">
        <v>5642</v>
      </c>
      <c r="H92" s="29">
        <v>0</v>
      </c>
      <c r="I92" s="29">
        <v>16.25</v>
      </c>
    </row>
    <row r="93" spans="1:15" ht="13.2" customHeight="1" x14ac:dyDescent="0.3">
      <c r="A93" s="17" t="s">
        <v>5523</v>
      </c>
      <c r="B93" s="36" t="s">
        <v>5643</v>
      </c>
      <c r="C93" s="26" t="s">
        <v>5644</v>
      </c>
      <c r="D93" s="26" t="s">
        <v>5644</v>
      </c>
      <c r="E93" s="37" t="s">
        <v>5558</v>
      </c>
      <c r="F93" s="21"/>
      <c r="G93" s="38" t="s">
        <v>5645</v>
      </c>
      <c r="H93" s="23">
        <v>0</v>
      </c>
      <c r="I93" s="23">
        <v>0.01</v>
      </c>
    </row>
    <row r="94" spans="1:15" ht="13.2" customHeight="1" x14ac:dyDescent="0.3">
      <c r="A94" s="17" t="s">
        <v>5523</v>
      </c>
      <c r="B94" s="36" t="s">
        <v>5646</v>
      </c>
      <c r="C94" s="26" t="s">
        <v>5647</v>
      </c>
      <c r="D94" s="26" t="s">
        <v>5647</v>
      </c>
      <c r="E94" s="37" t="s">
        <v>5558</v>
      </c>
      <c r="F94" s="21"/>
      <c r="G94" s="38" t="s">
        <v>5648</v>
      </c>
      <c r="H94" s="23">
        <v>0</v>
      </c>
      <c r="I94" s="23">
        <v>1</v>
      </c>
    </row>
    <row r="95" spans="1:15" ht="13.2" customHeight="1" x14ac:dyDescent="0.3">
      <c r="A95" s="17" t="s">
        <v>5523</v>
      </c>
      <c r="B95" s="36" t="s">
        <v>5649</v>
      </c>
      <c r="C95" s="26" t="s">
        <v>5650</v>
      </c>
      <c r="D95" s="26" t="s">
        <v>5650</v>
      </c>
      <c r="E95" s="37" t="s">
        <v>5558</v>
      </c>
      <c r="F95" s="21"/>
      <c r="G95" s="38" t="s">
        <v>5651</v>
      </c>
      <c r="H95" s="23">
        <v>0</v>
      </c>
      <c r="I95" s="23">
        <v>1</v>
      </c>
    </row>
    <row r="96" spans="1:15" ht="13.2" customHeight="1" x14ac:dyDescent="0.3">
      <c r="A96" s="17" t="s">
        <v>5523</v>
      </c>
      <c r="B96" s="36" t="s">
        <v>5652</v>
      </c>
      <c r="C96" s="26" t="s">
        <v>5653</v>
      </c>
      <c r="D96" s="26" t="s">
        <v>5653</v>
      </c>
      <c r="E96" s="37" t="s">
        <v>5558</v>
      </c>
      <c r="F96" s="21"/>
      <c r="G96" s="38" t="s">
        <v>5654</v>
      </c>
      <c r="H96" s="23">
        <v>0</v>
      </c>
      <c r="I96" s="23">
        <v>1</v>
      </c>
    </row>
    <row r="97" spans="1:9" ht="13.2" customHeight="1" x14ac:dyDescent="0.3">
      <c r="A97" s="17" t="s">
        <v>5523</v>
      </c>
      <c r="B97" s="36" t="s">
        <v>5655</v>
      </c>
      <c r="C97" s="26" t="s">
        <v>5656</v>
      </c>
      <c r="D97" s="26" t="s">
        <v>5656</v>
      </c>
      <c r="E97" s="37" t="s">
        <v>5558</v>
      </c>
      <c r="F97" s="21"/>
      <c r="G97" s="38" t="s">
        <v>5657</v>
      </c>
      <c r="H97" s="23">
        <v>0</v>
      </c>
      <c r="I97" s="23">
        <v>1</v>
      </c>
    </row>
    <row r="98" spans="1:9" ht="13.2" customHeight="1" x14ac:dyDescent="0.3">
      <c r="A98" s="17" t="s">
        <v>5523</v>
      </c>
      <c r="B98" s="36" t="s">
        <v>5658</v>
      </c>
      <c r="C98" s="26" t="s">
        <v>5659</v>
      </c>
      <c r="D98" s="26" t="s">
        <v>5659</v>
      </c>
      <c r="E98" s="37" t="s">
        <v>5558</v>
      </c>
      <c r="F98" s="21"/>
      <c r="G98" s="38" t="s">
        <v>5660</v>
      </c>
      <c r="H98" s="23">
        <v>0</v>
      </c>
      <c r="I98" s="23">
        <v>3.68</v>
      </c>
    </row>
    <row r="99" spans="1:9" ht="13.2" customHeight="1" x14ac:dyDescent="0.3">
      <c r="A99" s="41" t="s">
        <v>5523</v>
      </c>
      <c r="B99" s="42" t="s">
        <v>5661</v>
      </c>
      <c r="C99" s="43">
        <v>45187</v>
      </c>
      <c r="D99" s="43">
        <v>45187</v>
      </c>
      <c r="E99" s="44" t="s">
        <v>5558</v>
      </c>
      <c r="F99" s="44"/>
      <c r="G99" s="45" t="s">
        <v>5662</v>
      </c>
      <c r="H99" s="29">
        <v>0</v>
      </c>
      <c r="I99" s="29">
        <v>489.27</v>
      </c>
    </row>
    <row r="100" spans="1:9" ht="13.2" customHeight="1" x14ac:dyDescent="0.3">
      <c r="A100" s="41" t="s">
        <v>5523</v>
      </c>
      <c r="B100" s="42" t="s">
        <v>5569</v>
      </c>
      <c r="C100" s="43">
        <v>45194</v>
      </c>
      <c r="D100" s="43">
        <v>45194</v>
      </c>
      <c r="E100" s="44" t="s">
        <v>5558</v>
      </c>
      <c r="F100" s="44"/>
      <c r="G100" s="45" t="s">
        <v>2258</v>
      </c>
      <c r="H100" s="29">
        <v>0</v>
      </c>
      <c r="I100" s="29">
        <v>179.55</v>
      </c>
    </row>
    <row r="101" spans="1:9" ht="13.2" customHeight="1" x14ac:dyDescent="0.3">
      <c r="A101" s="41" t="s">
        <v>5523</v>
      </c>
      <c r="B101" s="42" t="s">
        <v>5663</v>
      </c>
      <c r="C101" s="43">
        <v>45212</v>
      </c>
      <c r="D101" s="43">
        <v>45212</v>
      </c>
      <c r="E101" s="44" t="s">
        <v>5558</v>
      </c>
      <c r="F101" s="44"/>
      <c r="G101" s="45" t="s">
        <v>5664</v>
      </c>
      <c r="H101" s="29">
        <v>0</v>
      </c>
      <c r="I101" s="29">
        <v>699.95</v>
      </c>
    </row>
    <row r="102" spans="1:9" ht="13.2" customHeight="1" x14ac:dyDescent="0.3">
      <c r="A102" s="41" t="s">
        <v>5523</v>
      </c>
      <c r="B102" s="42" t="s">
        <v>5665</v>
      </c>
      <c r="C102" s="43">
        <v>45027</v>
      </c>
      <c r="D102" s="43">
        <v>45234</v>
      </c>
      <c r="E102" s="44" t="s">
        <v>5558</v>
      </c>
      <c r="F102" s="44"/>
      <c r="G102" s="45" t="s">
        <v>5666</v>
      </c>
      <c r="H102" s="29">
        <v>0</v>
      </c>
      <c r="I102" s="29">
        <v>2877.96</v>
      </c>
    </row>
    <row r="103" spans="1:9" ht="13.2" customHeight="1" x14ac:dyDescent="0.3">
      <c r="A103" s="41" t="s">
        <v>5523</v>
      </c>
      <c r="B103" s="42" t="s">
        <v>5667</v>
      </c>
      <c r="C103" s="43">
        <v>45246</v>
      </c>
      <c r="D103" s="43">
        <v>45246</v>
      </c>
      <c r="E103" s="44" t="s">
        <v>5558</v>
      </c>
      <c r="F103" s="44"/>
      <c r="G103" s="45" t="s">
        <v>5668</v>
      </c>
      <c r="H103" s="29">
        <v>0</v>
      </c>
      <c r="I103" s="29">
        <v>1000</v>
      </c>
    </row>
    <row r="104" spans="1:9" ht="13.2" customHeight="1" x14ac:dyDescent="0.3">
      <c r="A104" s="46" t="s">
        <v>5523</v>
      </c>
      <c r="B104" s="47" t="s">
        <v>5669</v>
      </c>
      <c r="C104" s="48">
        <v>45250</v>
      </c>
      <c r="D104" s="48" t="s">
        <v>5670</v>
      </c>
      <c r="E104" s="49" t="s">
        <v>5558</v>
      </c>
      <c r="F104" s="49" t="s">
        <v>5558</v>
      </c>
      <c r="G104" s="47" t="s">
        <v>5671</v>
      </c>
      <c r="H104" s="29">
        <v>0</v>
      </c>
      <c r="I104" s="23">
        <v>1</v>
      </c>
    </row>
    <row r="105" spans="1:9" ht="13.2" customHeight="1" x14ac:dyDescent="0.3">
      <c r="A105" s="41" t="s">
        <v>5523</v>
      </c>
      <c r="B105" s="42" t="s">
        <v>5672</v>
      </c>
      <c r="C105" s="43">
        <v>45258</v>
      </c>
      <c r="D105" s="43">
        <v>45258</v>
      </c>
      <c r="E105" s="44"/>
      <c r="F105" s="44" t="s">
        <v>5558</v>
      </c>
      <c r="G105" s="45" t="s">
        <v>5673</v>
      </c>
      <c r="H105" s="29">
        <v>0</v>
      </c>
      <c r="I105" s="29">
        <v>10</v>
      </c>
    </row>
    <row r="106" spans="1:9" ht="13.2" customHeight="1" x14ac:dyDescent="0.3">
      <c r="A106" s="41" t="s">
        <v>5523</v>
      </c>
      <c r="B106" s="42" t="s">
        <v>5674</v>
      </c>
      <c r="C106" s="43">
        <v>45279</v>
      </c>
      <c r="D106" s="43">
        <v>45279</v>
      </c>
      <c r="E106" s="44"/>
      <c r="F106" s="44" t="s">
        <v>5558</v>
      </c>
      <c r="G106" s="45" t="s">
        <v>5675</v>
      </c>
      <c r="H106" s="29">
        <v>0</v>
      </c>
      <c r="I106" s="29">
        <v>50000</v>
      </c>
    </row>
    <row r="107" spans="1:9" ht="13.2" customHeight="1" x14ac:dyDescent="0.3">
      <c r="A107" s="41" t="s">
        <v>5523</v>
      </c>
      <c r="B107" s="42" t="s">
        <v>5676</v>
      </c>
      <c r="C107" s="43">
        <v>45280</v>
      </c>
      <c r="D107" s="43">
        <v>45280</v>
      </c>
      <c r="E107" s="44" t="s">
        <v>5676</v>
      </c>
      <c r="F107" s="44" t="s">
        <v>5558</v>
      </c>
      <c r="G107" s="45" t="s">
        <v>5677</v>
      </c>
      <c r="H107" s="29">
        <v>0</v>
      </c>
      <c r="I107" s="29">
        <v>1</v>
      </c>
    </row>
    <row r="108" spans="1:9" ht="13.2" customHeight="1" x14ac:dyDescent="0.3">
      <c r="A108" s="41" t="s">
        <v>5523</v>
      </c>
      <c r="B108" s="42" t="s">
        <v>5678</v>
      </c>
      <c r="C108" s="43">
        <v>45283</v>
      </c>
      <c r="D108" s="43">
        <v>45283</v>
      </c>
      <c r="E108" s="44"/>
      <c r="F108" s="44" t="s">
        <v>5558</v>
      </c>
      <c r="G108" s="45" t="s">
        <v>5679</v>
      </c>
      <c r="H108" s="29">
        <v>0</v>
      </c>
      <c r="I108" s="29">
        <v>100</v>
      </c>
    </row>
    <row r="109" spans="1:9" ht="13.2" customHeight="1" x14ac:dyDescent="0.3">
      <c r="A109" s="41" t="s">
        <v>5523</v>
      </c>
      <c r="B109" s="42" t="s">
        <v>5569</v>
      </c>
      <c r="C109" s="43">
        <v>45289</v>
      </c>
      <c r="D109" s="43">
        <v>45289</v>
      </c>
      <c r="E109" s="44"/>
      <c r="F109" s="44" t="s">
        <v>5558</v>
      </c>
      <c r="G109" s="45" t="s">
        <v>2258</v>
      </c>
      <c r="H109" s="29">
        <v>0</v>
      </c>
      <c r="I109" s="29">
        <v>160.65</v>
      </c>
    </row>
    <row r="110" spans="1:9" ht="13.2" customHeight="1" x14ac:dyDescent="0.3">
      <c r="A110" s="41" t="s">
        <v>5523</v>
      </c>
      <c r="B110" s="42" t="s">
        <v>5680</v>
      </c>
      <c r="C110" s="43">
        <v>45294</v>
      </c>
      <c r="D110" s="43">
        <v>45294</v>
      </c>
      <c r="E110" s="50"/>
      <c r="F110" s="44" t="s">
        <v>5558</v>
      </c>
      <c r="G110" s="45" t="s">
        <v>5681</v>
      </c>
      <c r="H110" s="29">
        <v>0</v>
      </c>
      <c r="I110" s="29">
        <v>1</v>
      </c>
    </row>
    <row r="111" spans="1:9" ht="13.2" customHeight="1" x14ac:dyDescent="0.3">
      <c r="A111" s="41" t="s">
        <v>5523</v>
      </c>
      <c r="B111" s="42" t="s">
        <v>5569</v>
      </c>
      <c r="C111" s="43">
        <v>45306</v>
      </c>
      <c r="D111" s="43">
        <v>45306</v>
      </c>
      <c r="E111" s="50"/>
      <c r="F111" s="44" t="s">
        <v>5558</v>
      </c>
      <c r="G111" s="45" t="s">
        <v>2258</v>
      </c>
      <c r="H111" s="29">
        <v>0</v>
      </c>
      <c r="I111" s="29">
        <v>3000</v>
      </c>
    </row>
    <row r="112" spans="1:9" ht="13.2" customHeight="1" x14ac:dyDescent="0.3">
      <c r="A112" s="41" t="s">
        <v>5523</v>
      </c>
      <c r="B112" s="42" t="s">
        <v>5569</v>
      </c>
      <c r="C112" s="43">
        <v>45306</v>
      </c>
      <c r="D112" s="43">
        <v>45306</v>
      </c>
      <c r="E112" s="50"/>
      <c r="F112" s="44" t="s">
        <v>5558</v>
      </c>
      <c r="G112" s="45" t="s">
        <v>2258</v>
      </c>
      <c r="H112" s="29">
        <v>0</v>
      </c>
      <c r="I112" s="29">
        <v>3000</v>
      </c>
    </row>
    <row r="113" spans="1:9" ht="13.2" customHeight="1" x14ac:dyDescent="0.3">
      <c r="A113" s="41" t="s">
        <v>5523</v>
      </c>
      <c r="B113" s="42" t="s">
        <v>5682</v>
      </c>
      <c r="C113" s="43">
        <v>45309</v>
      </c>
      <c r="D113" s="43">
        <v>45309</v>
      </c>
      <c r="E113" s="50"/>
      <c r="F113" s="44" t="s">
        <v>5558</v>
      </c>
      <c r="G113" s="45" t="s">
        <v>5683</v>
      </c>
      <c r="H113" s="29">
        <v>0</v>
      </c>
      <c r="I113" s="29">
        <v>97.88</v>
      </c>
    </row>
    <row r="114" spans="1:9" ht="13.2" customHeight="1" x14ac:dyDescent="0.3">
      <c r="A114" s="41" t="s">
        <v>5523</v>
      </c>
      <c r="B114" s="42" t="s">
        <v>5684</v>
      </c>
      <c r="C114" s="43">
        <v>45312</v>
      </c>
      <c r="D114" s="43">
        <v>45312</v>
      </c>
      <c r="E114" s="50"/>
      <c r="F114" s="44" t="s">
        <v>5558</v>
      </c>
      <c r="G114" s="51" t="s">
        <v>5685</v>
      </c>
      <c r="H114" s="29">
        <v>0</v>
      </c>
      <c r="I114" s="29">
        <v>4026.25</v>
      </c>
    </row>
    <row r="115" spans="1:9" ht="13.2" customHeight="1" x14ac:dyDescent="0.3">
      <c r="A115" s="41" t="s">
        <v>5523</v>
      </c>
      <c r="B115" s="42" t="s">
        <v>5686</v>
      </c>
      <c r="C115" s="43">
        <v>45325</v>
      </c>
      <c r="D115" s="43">
        <v>45325</v>
      </c>
      <c r="E115" s="50"/>
      <c r="F115" s="44" t="s">
        <v>5558</v>
      </c>
      <c r="G115" s="45" t="s">
        <v>5687</v>
      </c>
      <c r="H115" s="29">
        <v>0</v>
      </c>
      <c r="I115" s="29">
        <v>32</v>
      </c>
    </row>
    <row r="116" spans="1:9" ht="13.2" customHeight="1" x14ac:dyDescent="0.3">
      <c r="A116" s="41" t="s">
        <v>5523</v>
      </c>
      <c r="B116" s="42" t="s">
        <v>5688</v>
      </c>
      <c r="C116" s="43">
        <v>45342</v>
      </c>
      <c r="D116" s="43">
        <v>45342</v>
      </c>
      <c r="E116" s="50"/>
      <c r="F116" s="44" t="s">
        <v>5558</v>
      </c>
      <c r="G116" s="45" t="s">
        <v>5689</v>
      </c>
      <c r="H116" s="29">
        <v>0</v>
      </c>
      <c r="I116" s="29">
        <v>270</v>
      </c>
    </row>
    <row r="117" spans="1:9" ht="13.2" customHeight="1" x14ac:dyDescent="0.3">
      <c r="A117" s="41" t="s">
        <v>5523</v>
      </c>
      <c r="B117" s="42" t="s">
        <v>5690</v>
      </c>
      <c r="C117" s="43">
        <v>45342</v>
      </c>
      <c r="D117" s="43">
        <v>45342</v>
      </c>
      <c r="E117" s="50"/>
      <c r="F117" s="44" t="s">
        <v>5558</v>
      </c>
      <c r="G117" s="45" t="s">
        <v>5691</v>
      </c>
      <c r="H117" s="29">
        <v>0</v>
      </c>
      <c r="I117" s="29">
        <v>330</v>
      </c>
    </row>
    <row r="118" spans="1:9" ht="13.2" customHeight="1" x14ac:dyDescent="0.3">
      <c r="A118" s="41" t="s">
        <v>5523</v>
      </c>
      <c r="B118" s="42" t="s">
        <v>5692</v>
      </c>
      <c r="C118" s="43">
        <v>45342</v>
      </c>
      <c r="D118" s="43">
        <v>45342</v>
      </c>
      <c r="E118" s="50"/>
      <c r="F118" s="44" t="s">
        <v>5558</v>
      </c>
      <c r="G118" s="45" t="s">
        <v>5693</v>
      </c>
      <c r="H118" s="29">
        <v>0</v>
      </c>
      <c r="I118" s="29">
        <v>557.9</v>
      </c>
    </row>
    <row r="119" spans="1:9" ht="13.2" customHeight="1" x14ac:dyDescent="0.3">
      <c r="A119" s="41" t="s">
        <v>5523</v>
      </c>
      <c r="B119" s="42" t="s">
        <v>5694</v>
      </c>
      <c r="C119" s="43">
        <v>45342</v>
      </c>
      <c r="D119" s="43">
        <v>45342</v>
      </c>
      <c r="E119" s="50"/>
      <c r="F119" s="44" t="s">
        <v>5558</v>
      </c>
      <c r="G119" s="45" t="s">
        <v>5695</v>
      </c>
      <c r="H119" s="29">
        <v>0</v>
      </c>
      <c r="I119" s="29">
        <v>2625</v>
      </c>
    </row>
    <row r="120" spans="1:9" ht="13.2" customHeight="1" x14ac:dyDescent="0.3">
      <c r="A120" s="41" t="s">
        <v>5523</v>
      </c>
      <c r="B120" s="42" t="s">
        <v>5696</v>
      </c>
      <c r="C120" s="43">
        <v>45349</v>
      </c>
      <c r="D120" s="43">
        <v>45349</v>
      </c>
      <c r="E120" s="50"/>
      <c r="F120" s="44" t="s">
        <v>5558</v>
      </c>
      <c r="G120" s="45" t="s">
        <v>5697</v>
      </c>
      <c r="H120" s="29">
        <v>0</v>
      </c>
      <c r="I120" s="29">
        <v>1</v>
      </c>
    </row>
    <row r="121" spans="1:9" ht="13.2" customHeight="1" x14ac:dyDescent="0.3">
      <c r="A121" s="41" t="s">
        <v>5523</v>
      </c>
      <c r="B121" s="42" t="s">
        <v>5698</v>
      </c>
      <c r="C121" s="43">
        <v>45349</v>
      </c>
      <c r="D121" s="43">
        <v>45349</v>
      </c>
      <c r="E121" s="50"/>
      <c r="F121" s="44" t="s">
        <v>5558</v>
      </c>
      <c r="G121" s="45" t="s">
        <v>5699</v>
      </c>
      <c r="H121" s="29">
        <v>0</v>
      </c>
      <c r="I121" s="29">
        <v>10</v>
      </c>
    </row>
    <row r="122" spans="1:9" ht="13.2" customHeight="1" x14ac:dyDescent="0.3">
      <c r="A122" s="41" t="s">
        <v>5523</v>
      </c>
      <c r="B122" s="42">
        <v>1</v>
      </c>
      <c r="C122" s="43">
        <v>45349</v>
      </c>
      <c r="D122" s="43">
        <v>45349</v>
      </c>
      <c r="E122" s="50"/>
      <c r="F122" s="44" t="s">
        <v>5558</v>
      </c>
      <c r="G122" s="45" t="s">
        <v>2258</v>
      </c>
      <c r="H122" s="29">
        <v>0</v>
      </c>
      <c r="I122" s="29">
        <v>330.75</v>
      </c>
    </row>
    <row r="123" spans="1:9" ht="13.2" customHeight="1" x14ac:dyDescent="0.3">
      <c r="A123" s="41" t="s">
        <v>5523</v>
      </c>
      <c r="B123" s="42">
        <v>16647</v>
      </c>
      <c r="C123" s="43">
        <v>45351</v>
      </c>
      <c r="D123" s="43">
        <v>45351</v>
      </c>
      <c r="E123" s="41"/>
      <c r="F123" s="45">
        <v>16647</v>
      </c>
      <c r="G123" s="45" t="s">
        <v>5700</v>
      </c>
      <c r="H123" s="29">
        <v>0</v>
      </c>
      <c r="I123" s="29">
        <v>6448.79</v>
      </c>
    </row>
    <row r="124" spans="1:9" ht="13.2" customHeight="1" x14ac:dyDescent="0.3">
      <c r="A124" s="41" t="s">
        <v>5523</v>
      </c>
      <c r="B124" s="42" t="s">
        <v>5701</v>
      </c>
      <c r="C124" s="43">
        <v>45352</v>
      </c>
      <c r="D124" s="43">
        <v>45352</v>
      </c>
      <c r="E124" s="41"/>
      <c r="F124" s="45" t="s">
        <v>5558</v>
      </c>
      <c r="G124" s="45" t="s">
        <v>5702</v>
      </c>
      <c r="H124" s="29">
        <v>0</v>
      </c>
      <c r="I124" s="29">
        <v>116.6</v>
      </c>
    </row>
    <row r="125" spans="1:9" ht="13.2" customHeight="1" x14ac:dyDescent="0.3">
      <c r="A125" s="41" t="s">
        <v>5523</v>
      </c>
      <c r="B125" s="42" t="s">
        <v>5703</v>
      </c>
      <c r="C125" s="43">
        <v>45352</v>
      </c>
      <c r="D125" s="43">
        <v>45352</v>
      </c>
      <c r="E125" s="41"/>
      <c r="F125" s="45" t="s">
        <v>5558</v>
      </c>
      <c r="G125" s="45" t="s">
        <v>5704</v>
      </c>
      <c r="H125" s="29">
        <v>0</v>
      </c>
      <c r="I125" s="29">
        <v>181.25</v>
      </c>
    </row>
    <row r="126" spans="1:9" ht="13.2" customHeight="1" x14ac:dyDescent="0.3">
      <c r="A126" s="41" t="s">
        <v>5523</v>
      </c>
      <c r="B126" s="42" t="s">
        <v>5705</v>
      </c>
      <c r="C126" s="43">
        <v>45352</v>
      </c>
      <c r="D126" s="43">
        <v>45352</v>
      </c>
      <c r="E126" s="41"/>
      <c r="F126" s="45" t="s">
        <v>5558</v>
      </c>
      <c r="G126" s="45" t="s">
        <v>5706</v>
      </c>
      <c r="H126" s="29">
        <v>0</v>
      </c>
      <c r="I126" s="29">
        <v>450</v>
      </c>
    </row>
    <row r="127" spans="1:9" ht="13.2" customHeight="1" x14ac:dyDescent="0.3">
      <c r="A127" s="41" t="s">
        <v>5523</v>
      </c>
      <c r="B127" s="42" t="s">
        <v>5707</v>
      </c>
      <c r="C127" s="43">
        <v>45352</v>
      </c>
      <c r="D127" s="43">
        <v>45352</v>
      </c>
      <c r="E127" s="41"/>
      <c r="F127" s="45" t="s">
        <v>5558</v>
      </c>
      <c r="G127" s="45" t="s">
        <v>5708</v>
      </c>
      <c r="H127" s="29">
        <v>0</v>
      </c>
      <c r="I127" s="29">
        <v>853</v>
      </c>
    </row>
    <row r="128" spans="1:9" ht="13.2" customHeight="1" x14ac:dyDescent="0.3">
      <c r="A128" s="41" t="s">
        <v>5523</v>
      </c>
      <c r="B128" s="42" t="s">
        <v>5709</v>
      </c>
      <c r="C128" s="43">
        <v>45352</v>
      </c>
      <c r="D128" s="43">
        <v>45352</v>
      </c>
      <c r="E128" s="41"/>
      <c r="F128" s="45" t="s">
        <v>5558</v>
      </c>
      <c r="G128" s="45" t="s">
        <v>5710</v>
      </c>
      <c r="H128" s="29">
        <v>0</v>
      </c>
      <c r="I128" s="29">
        <v>1407.5</v>
      </c>
    </row>
    <row r="129" spans="1:9" ht="13.2" customHeight="1" x14ac:dyDescent="0.3">
      <c r="A129" s="41" t="s">
        <v>5523</v>
      </c>
      <c r="B129" s="42" t="s">
        <v>5711</v>
      </c>
      <c r="C129" s="43">
        <v>45352</v>
      </c>
      <c r="D129" s="43">
        <v>45352</v>
      </c>
      <c r="E129" s="41"/>
      <c r="F129" s="45" t="s">
        <v>5558</v>
      </c>
      <c r="G129" s="45" t="s">
        <v>5712</v>
      </c>
      <c r="H129" s="29">
        <v>0</v>
      </c>
      <c r="I129" s="29">
        <v>2055</v>
      </c>
    </row>
    <row r="130" spans="1:9" ht="13.2" customHeight="1" x14ac:dyDescent="0.3">
      <c r="A130" s="41" t="s">
        <v>5523</v>
      </c>
      <c r="B130" s="42" t="s">
        <v>5713</v>
      </c>
      <c r="C130" s="43">
        <v>45352</v>
      </c>
      <c r="D130" s="43">
        <v>45352</v>
      </c>
      <c r="E130" s="41"/>
      <c r="F130" s="45" t="s">
        <v>5558</v>
      </c>
      <c r="G130" s="45" t="s">
        <v>5714</v>
      </c>
      <c r="H130" s="29">
        <v>0</v>
      </c>
      <c r="I130" s="29">
        <v>5725.75</v>
      </c>
    </row>
    <row r="131" spans="1:9" ht="13.2" customHeight="1" x14ac:dyDescent="0.3">
      <c r="A131" s="41" t="s">
        <v>5523</v>
      </c>
      <c r="B131" s="42" t="s">
        <v>5715</v>
      </c>
      <c r="C131" s="43">
        <v>45357</v>
      </c>
      <c r="D131" s="43">
        <v>45357</v>
      </c>
      <c r="E131" s="41"/>
      <c r="F131" s="45" t="s">
        <v>5558</v>
      </c>
      <c r="G131" s="45" t="s">
        <v>5716</v>
      </c>
      <c r="H131" s="29">
        <v>0</v>
      </c>
      <c r="I131" s="29">
        <v>32</v>
      </c>
    </row>
    <row r="132" spans="1:9" ht="13.2" customHeight="1" x14ac:dyDescent="0.3">
      <c r="A132" s="41" t="s">
        <v>5523</v>
      </c>
      <c r="B132" s="42">
        <v>1</v>
      </c>
      <c r="C132" s="43">
        <v>45358</v>
      </c>
      <c r="D132" s="43">
        <v>45358</v>
      </c>
      <c r="E132" s="41"/>
      <c r="F132" s="45" t="s">
        <v>5558</v>
      </c>
      <c r="G132" s="45" t="s">
        <v>2258</v>
      </c>
      <c r="H132" s="29">
        <v>0</v>
      </c>
      <c r="I132" s="29">
        <v>6000</v>
      </c>
    </row>
    <row r="133" spans="1:9" ht="13.2" customHeight="1" x14ac:dyDescent="0.3">
      <c r="A133" s="41" t="s">
        <v>5523</v>
      </c>
      <c r="B133" s="42">
        <v>1</v>
      </c>
      <c r="C133" s="43">
        <v>45359</v>
      </c>
      <c r="D133" s="43">
        <v>45359</v>
      </c>
      <c r="E133" s="41"/>
      <c r="F133" s="45" t="s">
        <v>5558</v>
      </c>
      <c r="G133" s="45" t="s">
        <v>2258</v>
      </c>
      <c r="H133" s="29">
        <v>0</v>
      </c>
      <c r="I133" s="29">
        <v>0.3</v>
      </c>
    </row>
    <row r="134" spans="1:9" ht="13.2" customHeight="1" x14ac:dyDescent="0.3">
      <c r="A134" s="41" t="s">
        <v>5523</v>
      </c>
      <c r="B134" s="42" t="s">
        <v>5717</v>
      </c>
      <c r="C134" s="43">
        <v>45359</v>
      </c>
      <c r="D134" s="43">
        <v>45359</v>
      </c>
      <c r="E134" s="41"/>
      <c r="F134" s="45" t="s">
        <v>5558</v>
      </c>
      <c r="G134" s="45" t="s">
        <v>5718</v>
      </c>
      <c r="H134" s="29">
        <v>0</v>
      </c>
      <c r="I134" s="29">
        <v>725</v>
      </c>
    </row>
    <row r="135" spans="1:9" ht="13.2" customHeight="1" x14ac:dyDescent="0.3">
      <c r="A135" s="41" t="s">
        <v>5523</v>
      </c>
      <c r="B135" s="42">
        <v>500336</v>
      </c>
      <c r="C135" s="43">
        <v>45364</v>
      </c>
      <c r="D135" s="43">
        <v>45364</v>
      </c>
      <c r="E135" s="41"/>
      <c r="F135" s="45">
        <v>500336</v>
      </c>
      <c r="G135" s="45" t="s">
        <v>5719</v>
      </c>
      <c r="H135" s="29">
        <v>0</v>
      </c>
      <c r="I135" s="29">
        <v>52.5</v>
      </c>
    </row>
    <row r="136" spans="1:9" ht="13.2" customHeight="1" x14ac:dyDescent="0.3">
      <c r="A136" s="41" t="s">
        <v>5523</v>
      </c>
      <c r="B136" s="42" t="s">
        <v>5720</v>
      </c>
      <c r="C136" s="43">
        <v>45368</v>
      </c>
      <c r="D136" s="43">
        <v>45368</v>
      </c>
      <c r="E136" s="41"/>
      <c r="F136" s="45" t="s">
        <v>5558</v>
      </c>
      <c r="G136" s="45" t="s">
        <v>5721</v>
      </c>
      <c r="H136" s="29">
        <v>0</v>
      </c>
      <c r="I136" s="29">
        <v>1</v>
      </c>
    </row>
    <row r="137" spans="1:9" ht="13.2" customHeight="1" x14ac:dyDescent="0.3">
      <c r="A137" s="41" t="s">
        <v>5523</v>
      </c>
      <c r="B137" s="42" t="s">
        <v>5722</v>
      </c>
      <c r="C137" s="43">
        <v>45380</v>
      </c>
      <c r="D137" s="43">
        <v>45380</v>
      </c>
      <c r="E137" s="41"/>
      <c r="F137" s="45" t="s">
        <v>5558</v>
      </c>
      <c r="G137" s="45" t="s">
        <v>5723</v>
      </c>
      <c r="H137" s="29">
        <v>0</v>
      </c>
      <c r="I137" s="29">
        <v>262.5</v>
      </c>
    </row>
    <row r="138" spans="1:9" ht="13.2" customHeight="1" x14ac:dyDescent="0.3">
      <c r="A138" s="41" t="s">
        <v>5523</v>
      </c>
      <c r="B138" s="42" t="s">
        <v>5724</v>
      </c>
      <c r="C138" s="43">
        <v>45380</v>
      </c>
      <c r="D138" s="43">
        <v>45380</v>
      </c>
      <c r="E138" s="41"/>
      <c r="F138" s="45" t="s">
        <v>5558</v>
      </c>
      <c r="G138" s="45" t="s">
        <v>5725</v>
      </c>
      <c r="H138" s="29">
        <v>0</v>
      </c>
      <c r="I138" s="29">
        <v>190</v>
      </c>
    </row>
    <row r="139" spans="1:9" ht="13.2" customHeight="1" x14ac:dyDescent="0.3">
      <c r="A139" s="41" t="s">
        <v>5523</v>
      </c>
      <c r="B139" s="42">
        <v>1</v>
      </c>
      <c r="C139" s="43">
        <v>45388</v>
      </c>
      <c r="D139" s="43">
        <v>45388</v>
      </c>
      <c r="E139" s="41"/>
      <c r="F139" s="45" t="s">
        <v>5558</v>
      </c>
      <c r="G139" s="45" t="s">
        <v>5726</v>
      </c>
      <c r="H139" s="29">
        <v>0</v>
      </c>
      <c r="I139" s="29">
        <v>4026.25</v>
      </c>
    </row>
    <row r="140" spans="1:9" ht="13.2" customHeight="1" x14ac:dyDescent="0.3">
      <c r="A140" s="41" t="s">
        <v>5523</v>
      </c>
      <c r="B140" s="42">
        <v>1</v>
      </c>
      <c r="C140" s="43">
        <v>45395</v>
      </c>
      <c r="D140" s="43">
        <v>45395</v>
      </c>
      <c r="E140" s="21"/>
      <c r="F140" s="45" t="s">
        <v>5558</v>
      </c>
      <c r="G140" s="45" t="s">
        <v>2258</v>
      </c>
      <c r="H140" s="29">
        <v>0</v>
      </c>
      <c r="I140" s="29">
        <v>6000</v>
      </c>
    </row>
    <row r="141" spans="1:9" ht="13.2" customHeight="1" x14ac:dyDescent="0.3">
      <c r="A141" s="41" t="s">
        <v>5523</v>
      </c>
      <c r="B141" s="52" t="s">
        <v>5727</v>
      </c>
      <c r="C141" s="43">
        <v>45441</v>
      </c>
      <c r="D141" s="43">
        <v>45441</v>
      </c>
      <c r="E141" s="41"/>
      <c r="F141" s="45" t="s">
        <v>5558</v>
      </c>
      <c r="G141" s="45" t="s">
        <v>5728</v>
      </c>
      <c r="H141" s="29">
        <v>0</v>
      </c>
      <c r="I141" s="29">
        <v>1838.05</v>
      </c>
    </row>
    <row r="142" spans="1:9" ht="13.2" customHeight="1" x14ac:dyDescent="0.3">
      <c r="A142" s="41" t="s">
        <v>5523</v>
      </c>
      <c r="B142" s="52" t="s">
        <v>5729</v>
      </c>
      <c r="C142" s="43">
        <v>45442</v>
      </c>
      <c r="D142" s="43">
        <v>45442</v>
      </c>
      <c r="E142" s="21"/>
      <c r="F142" s="45" t="s">
        <v>5730</v>
      </c>
      <c r="G142" s="45" t="s">
        <v>5731</v>
      </c>
      <c r="H142" s="29">
        <v>0</v>
      </c>
      <c r="I142" s="29">
        <v>52.5</v>
      </c>
    </row>
    <row r="143" spans="1:9" ht="13.2" customHeight="1" x14ac:dyDescent="0.3">
      <c r="A143" s="41" t="s">
        <v>5523</v>
      </c>
      <c r="B143" s="52" t="s">
        <v>5732</v>
      </c>
      <c r="C143" s="43">
        <v>45446</v>
      </c>
      <c r="D143" s="43">
        <v>45446</v>
      </c>
      <c r="E143" s="52"/>
      <c r="F143" s="45" t="s">
        <v>5558</v>
      </c>
      <c r="G143" s="42" t="s">
        <v>5733</v>
      </c>
      <c r="H143" s="29">
        <v>0</v>
      </c>
      <c r="I143" s="29">
        <v>100</v>
      </c>
    </row>
    <row r="144" spans="1:9" ht="13.2" customHeight="1" x14ac:dyDescent="0.3">
      <c r="A144" s="41" t="s">
        <v>5523</v>
      </c>
      <c r="B144" s="52" t="s">
        <v>5734</v>
      </c>
      <c r="C144" s="43">
        <v>45449</v>
      </c>
      <c r="D144" s="43">
        <v>45449</v>
      </c>
      <c r="E144" s="52"/>
      <c r="F144" s="45" t="s">
        <v>5558</v>
      </c>
      <c r="G144" s="42" t="s">
        <v>5735</v>
      </c>
      <c r="H144" s="29">
        <v>0</v>
      </c>
      <c r="I144" s="29">
        <v>0.1</v>
      </c>
    </row>
    <row r="145" spans="1:9" ht="13.2" customHeight="1" x14ac:dyDescent="0.3">
      <c r="A145" s="41" t="s">
        <v>5523</v>
      </c>
      <c r="B145" s="52" t="s">
        <v>5736</v>
      </c>
      <c r="C145" s="43">
        <v>45450</v>
      </c>
      <c r="D145" s="43">
        <v>45450</v>
      </c>
      <c r="E145" s="52"/>
      <c r="F145" s="45" t="s">
        <v>5558</v>
      </c>
      <c r="G145" s="42" t="s">
        <v>5737</v>
      </c>
      <c r="H145" s="29">
        <v>0</v>
      </c>
      <c r="I145" s="29">
        <v>525</v>
      </c>
    </row>
    <row r="146" spans="1:9" ht="13.2" customHeight="1" x14ac:dyDescent="0.3">
      <c r="A146" s="41" t="s">
        <v>5523</v>
      </c>
      <c r="B146" s="52" t="s">
        <v>5738</v>
      </c>
      <c r="C146" s="43">
        <v>45450</v>
      </c>
      <c r="D146" s="43">
        <v>45450</v>
      </c>
      <c r="E146" s="52"/>
      <c r="F146" s="45" t="s">
        <v>5558</v>
      </c>
      <c r="G146" s="42" t="s">
        <v>5739</v>
      </c>
      <c r="H146" s="29">
        <v>0</v>
      </c>
      <c r="I146" s="29">
        <v>2848.39</v>
      </c>
    </row>
    <row r="147" spans="1:9" ht="13.2" customHeight="1" x14ac:dyDescent="0.3">
      <c r="A147" s="41" t="s">
        <v>5523</v>
      </c>
      <c r="B147" s="42" t="s">
        <v>5740</v>
      </c>
      <c r="C147" s="43">
        <v>45454</v>
      </c>
      <c r="D147" s="43">
        <v>45453</v>
      </c>
      <c r="E147" s="52"/>
      <c r="F147" s="45" t="s">
        <v>5558</v>
      </c>
      <c r="G147" s="42" t="s">
        <v>5741</v>
      </c>
      <c r="H147" s="29">
        <v>0</v>
      </c>
      <c r="I147" s="29">
        <v>14</v>
      </c>
    </row>
    <row r="148" spans="1:9" ht="13.2" customHeight="1" x14ac:dyDescent="0.3">
      <c r="A148" s="41" t="s">
        <v>5523</v>
      </c>
      <c r="B148" s="42" t="s">
        <v>5742</v>
      </c>
      <c r="C148" s="43">
        <v>45455</v>
      </c>
      <c r="D148" s="43">
        <v>45455</v>
      </c>
      <c r="E148" s="52"/>
      <c r="F148" s="45" t="s">
        <v>5558</v>
      </c>
      <c r="G148" s="42" t="s">
        <v>5743</v>
      </c>
      <c r="H148" s="29">
        <v>0</v>
      </c>
      <c r="I148" s="29">
        <v>1</v>
      </c>
    </row>
    <row r="149" spans="1:9" ht="13.2" customHeight="1" x14ac:dyDescent="0.3">
      <c r="A149" s="41" t="s">
        <v>5523</v>
      </c>
      <c r="B149" s="42">
        <v>1</v>
      </c>
      <c r="C149" s="43">
        <v>45469</v>
      </c>
      <c r="D149" s="43">
        <v>45469</v>
      </c>
      <c r="E149" s="52"/>
      <c r="F149" s="45" t="s">
        <v>5558</v>
      </c>
      <c r="G149" s="42" t="s">
        <v>2258</v>
      </c>
      <c r="H149" s="29">
        <v>0</v>
      </c>
      <c r="I149" s="29">
        <v>3000</v>
      </c>
    </row>
    <row r="150" spans="1:9" ht="13.2" customHeight="1" x14ac:dyDescent="0.3">
      <c r="A150" s="41" t="s">
        <v>5523</v>
      </c>
      <c r="B150" s="42">
        <v>1</v>
      </c>
      <c r="C150" s="43">
        <v>45469</v>
      </c>
      <c r="D150" s="43">
        <v>45469</v>
      </c>
      <c r="E150" s="52"/>
      <c r="F150" s="45" t="s">
        <v>5558</v>
      </c>
      <c r="G150" s="42" t="s">
        <v>2258</v>
      </c>
      <c r="H150" s="29">
        <v>0</v>
      </c>
      <c r="I150" s="29">
        <v>3000</v>
      </c>
    </row>
    <row r="151" spans="1:9" ht="13.2" customHeight="1" x14ac:dyDescent="0.3">
      <c r="A151" s="41" t="s">
        <v>5578</v>
      </c>
      <c r="B151" s="52" t="s">
        <v>5744</v>
      </c>
      <c r="C151" s="43">
        <v>45434</v>
      </c>
      <c r="D151" s="43" t="s">
        <v>5745</v>
      </c>
      <c r="E151" s="52">
        <v>475887</v>
      </c>
      <c r="F151" s="45">
        <v>100</v>
      </c>
      <c r="G151" s="42" t="s">
        <v>5370</v>
      </c>
      <c r="H151" s="29">
        <v>3982</v>
      </c>
      <c r="I151" s="29"/>
    </row>
    <row r="152" spans="1:9" ht="13.2" customHeight="1" x14ac:dyDescent="0.3">
      <c r="A152" s="41" t="s">
        <v>5523</v>
      </c>
      <c r="B152" s="53" t="s">
        <v>5746</v>
      </c>
      <c r="C152" s="48" t="s">
        <v>5747</v>
      </c>
      <c r="D152" s="48" t="s">
        <v>5747</v>
      </c>
      <c r="E152" s="53" t="s">
        <v>5558</v>
      </c>
      <c r="F152" s="45"/>
      <c r="G152" s="47" t="s">
        <v>5748</v>
      </c>
      <c r="H152" s="23">
        <v>0</v>
      </c>
      <c r="I152" s="23">
        <v>500</v>
      </c>
    </row>
    <row r="153" spans="1:9" ht="13.2" customHeight="1" x14ac:dyDescent="0.3">
      <c r="A153" s="41" t="s">
        <v>5523</v>
      </c>
      <c r="B153" s="42" t="s">
        <v>5749</v>
      </c>
      <c r="C153" s="43">
        <v>45472</v>
      </c>
      <c r="D153" s="43">
        <v>45472</v>
      </c>
      <c r="E153" s="52"/>
      <c r="F153" s="45" t="s">
        <v>5558</v>
      </c>
      <c r="G153" s="42" t="s">
        <v>5750</v>
      </c>
      <c r="H153" s="29">
        <v>0</v>
      </c>
      <c r="I153" s="29">
        <v>500</v>
      </c>
    </row>
    <row r="154" spans="1:9" ht="13.2" customHeight="1" x14ac:dyDescent="0.3">
      <c r="A154" s="41" t="s">
        <v>5523</v>
      </c>
      <c r="B154" s="42" t="s">
        <v>5751</v>
      </c>
      <c r="C154" s="43">
        <v>45474</v>
      </c>
      <c r="D154" s="43">
        <v>45474</v>
      </c>
      <c r="E154" s="52"/>
      <c r="F154" s="45" t="s">
        <v>5558</v>
      </c>
      <c r="G154" s="42" t="s">
        <v>5752</v>
      </c>
      <c r="H154" s="29">
        <v>0</v>
      </c>
      <c r="I154" s="29">
        <v>1</v>
      </c>
    </row>
    <row r="155" spans="1:9" ht="13.2" customHeight="1" x14ac:dyDescent="0.3">
      <c r="A155" s="41" t="s">
        <v>5523</v>
      </c>
      <c r="B155" s="42" t="s">
        <v>5753</v>
      </c>
      <c r="C155" s="43">
        <v>45475</v>
      </c>
      <c r="D155" s="43">
        <v>45475</v>
      </c>
      <c r="E155" s="52"/>
      <c r="F155" s="45" t="s">
        <v>5754</v>
      </c>
      <c r="G155" s="42" t="s">
        <v>5755</v>
      </c>
      <c r="H155" s="29">
        <v>0</v>
      </c>
      <c r="I155" s="29">
        <v>10000.02</v>
      </c>
    </row>
    <row r="156" spans="1:9" ht="13.2" customHeight="1" x14ac:dyDescent="0.3">
      <c r="A156" s="41" t="s">
        <v>5523</v>
      </c>
      <c r="B156" s="42" t="s">
        <v>5756</v>
      </c>
      <c r="C156" s="43">
        <v>45478</v>
      </c>
      <c r="D156" s="43">
        <v>45478</v>
      </c>
      <c r="E156" s="52"/>
      <c r="F156" s="45" t="s">
        <v>5558</v>
      </c>
      <c r="G156" s="42" t="s">
        <v>5757</v>
      </c>
      <c r="H156" s="29">
        <v>0</v>
      </c>
      <c r="I156" s="29">
        <v>3005.25</v>
      </c>
    </row>
    <row r="157" spans="1:9" ht="13.2" customHeight="1" x14ac:dyDescent="0.3">
      <c r="A157" s="41" t="s">
        <v>5523</v>
      </c>
      <c r="B157" s="42" t="s">
        <v>5758</v>
      </c>
      <c r="C157" s="43">
        <v>45479</v>
      </c>
      <c r="D157" s="43">
        <v>45479</v>
      </c>
      <c r="E157" s="52"/>
      <c r="F157" s="45" t="s">
        <v>5558</v>
      </c>
      <c r="G157" s="42" t="s">
        <v>5759</v>
      </c>
      <c r="H157" s="29">
        <v>0</v>
      </c>
      <c r="I157" s="29">
        <v>63</v>
      </c>
    </row>
    <row r="158" spans="1:9" ht="13.2" customHeight="1" x14ac:dyDescent="0.3">
      <c r="A158" s="41" t="s">
        <v>5523</v>
      </c>
      <c r="B158" s="42" t="s">
        <v>5760</v>
      </c>
      <c r="C158" s="43">
        <v>45482</v>
      </c>
      <c r="D158" s="43">
        <v>45482</v>
      </c>
      <c r="E158" s="52"/>
      <c r="F158" s="45" t="s">
        <v>5558</v>
      </c>
      <c r="G158" s="42" t="s">
        <v>5761</v>
      </c>
      <c r="H158" s="29">
        <v>0</v>
      </c>
      <c r="I158" s="29">
        <v>1</v>
      </c>
    </row>
    <row r="159" spans="1:9" ht="13.2" customHeight="1" x14ac:dyDescent="0.3">
      <c r="A159" s="41" t="s">
        <v>5523</v>
      </c>
      <c r="B159" s="42" t="s">
        <v>5762</v>
      </c>
      <c r="C159" s="43">
        <v>45482</v>
      </c>
      <c r="D159" s="43">
        <v>45482</v>
      </c>
      <c r="E159" s="52"/>
      <c r="F159" s="45" t="s">
        <v>5763</v>
      </c>
      <c r="G159" s="42" t="s">
        <v>5764</v>
      </c>
      <c r="H159" s="29">
        <v>0</v>
      </c>
      <c r="I159" s="29">
        <v>5.25</v>
      </c>
    </row>
    <row r="160" spans="1:9" ht="13.2" customHeight="1" x14ac:dyDescent="0.3">
      <c r="A160" s="41" t="s">
        <v>5523</v>
      </c>
      <c r="B160" s="42">
        <v>354</v>
      </c>
      <c r="C160" s="43">
        <v>45486</v>
      </c>
      <c r="D160" s="43">
        <v>45486</v>
      </c>
      <c r="E160" s="52"/>
      <c r="F160" s="45">
        <v>354</v>
      </c>
      <c r="G160" s="42" t="s">
        <v>5765</v>
      </c>
      <c r="H160" s="29">
        <v>0</v>
      </c>
      <c r="I160" s="29">
        <v>27505.3</v>
      </c>
    </row>
    <row r="161" spans="1:17" ht="13.2" customHeight="1" x14ac:dyDescent="0.3">
      <c r="A161" s="41" t="s">
        <v>5523</v>
      </c>
      <c r="B161" s="52" t="s">
        <v>5766</v>
      </c>
      <c r="C161" s="48">
        <v>45490</v>
      </c>
      <c r="D161" s="48">
        <v>45490</v>
      </c>
      <c r="E161" s="53" t="s">
        <v>5558</v>
      </c>
      <c r="F161" s="45"/>
      <c r="G161" s="47" t="s">
        <v>5767</v>
      </c>
      <c r="H161" s="23">
        <v>0</v>
      </c>
      <c r="I161" s="23">
        <v>64455.25</v>
      </c>
    </row>
    <row r="162" spans="1:17" ht="13.2" customHeight="1" x14ac:dyDescent="0.3">
      <c r="A162" s="41"/>
      <c r="B162" s="52"/>
      <c r="C162" s="48"/>
      <c r="D162" s="48"/>
      <c r="E162" s="53"/>
      <c r="F162" s="45"/>
      <c r="G162" s="47"/>
      <c r="H162" s="23">
        <v>0</v>
      </c>
      <c r="I162" s="23"/>
    </row>
    <row r="163" spans="1:17" x14ac:dyDescent="0.3">
      <c r="A163" s="54"/>
      <c r="B163" s="39"/>
      <c r="C163" s="55"/>
      <c r="D163" s="55"/>
      <c r="E163" s="39"/>
      <c r="F163" s="39"/>
      <c r="G163" s="39"/>
      <c r="H163" s="56"/>
      <c r="I163" s="56"/>
    </row>
    <row r="164" spans="1:17" x14ac:dyDescent="0.3">
      <c r="A164" s="57"/>
      <c r="B164" s="58"/>
      <c r="C164" s="59"/>
      <c r="D164" s="59"/>
      <c r="E164" s="59"/>
      <c r="F164" s="60"/>
      <c r="G164" s="60"/>
      <c r="H164" s="61">
        <v>0</v>
      </c>
      <c r="I164" s="62"/>
      <c r="J164" s="63"/>
      <c r="K164" s="64"/>
      <c r="L164" s="64"/>
      <c r="M164" s="64"/>
    </row>
    <row r="165" spans="1:17" x14ac:dyDescent="0.3">
      <c r="A165" s="54" t="s">
        <v>5523</v>
      </c>
      <c r="B165" s="39" t="s">
        <v>5768</v>
      </c>
      <c r="C165" s="55">
        <v>45854</v>
      </c>
      <c r="D165" s="55">
        <v>45854</v>
      </c>
      <c r="E165" s="39"/>
      <c r="F165" s="39" t="s">
        <v>5558</v>
      </c>
      <c r="G165" s="39" t="s">
        <v>5769</v>
      </c>
      <c r="H165" s="56">
        <v>0</v>
      </c>
      <c r="I165" s="56">
        <v>1</v>
      </c>
      <c r="J165" s="10">
        <f t="shared" ref="J165:J228" si="0">H165+I165</f>
        <v>1</v>
      </c>
    </row>
    <row r="166" spans="1:17" x14ac:dyDescent="0.3">
      <c r="A166" s="39" t="s">
        <v>5523</v>
      </c>
      <c r="B166" s="39" t="s">
        <v>5770</v>
      </c>
      <c r="C166" s="55">
        <v>45863</v>
      </c>
      <c r="D166" s="55">
        <v>45863</v>
      </c>
      <c r="E166" s="39"/>
      <c r="F166" s="39" t="s">
        <v>5558</v>
      </c>
      <c r="G166" s="39" t="s">
        <v>5771</v>
      </c>
      <c r="H166" s="56">
        <v>0</v>
      </c>
      <c r="I166" s="56">
        <v>1</v>
      </c>
      <c r="J166" s="10">
        <f t="shared" si="0"/>
        <v>1</v>
      </c>
    </row>
    <row r="167" spans="1:17" x14ac:dyDescent="0.3">
      <c r="A167" s="54" t="s">
        <v>5523</v>
      </c>
      <c r="B167" s="39" t="s">
        <v>5772</v>
      </c>
      <c r="C167" s="55">
        <v>45777</v>
      </c>
      <c r="D167" s="55">
        <v>45777</v>
      </c>
      <c r="E167" s="39"/>
      <c r="F167" s="39" t="s">
        <v>5558</v>
      </c>
      <c r="G167" s="39" t="s">
        <v>2258</v>
      </c>
      <c r="H167" s="56">
        <v>0</v>
      </c>
      <c r="I167" s="56">
        <v>4.2</v>
      </c>
      <c r="J167" s="10">
        <f t="shared" si="0"/>
        <v>4.2</v>
      </c>
      <c r="P167" s="1"/>
      <c r="Q167" s="1"/>
    </row>
    <row r="168" spans="1:17" x14ac:dyDescent="0.3">
      <c r="A168" s="54" t="s">
        <v>5523</v>
      </c>
      <c r="B168" s="39" t="s">
        <v>5772</v>
      </c>
      <c r="C168" s="55">
        <v>45833</v>
      </c>
      <c r="D168" s="55">
        <v>45833</v>
      </c>
      <c r="E168" s="39"/>
      <c r="F168" s="39" t="s">
        <v>5558</v>
      </c>
      <c r="G168" s="39" t="s">
        <v>2258</v>
      </c>
      <c r="H168" s="56">
        <v>0</v>
      </c>
      <c r="I168" s="56">
        <v>4.2</v>
      </c>
      <c r="J168" s="10">
        <f t="shared" si="0"/>
        <v>4.2</v>
      </c>
      <c r="M168" s="1"/>
      <c r="N168" s="1"/>
    </row>
    <row r="169" spans="1:17" x14ac:dyDescent="0.3">
      <c r="A169" s="41" t="s">
        <v>5578</v>
      </c>
      <c r="B169" s="65" t="s">
        <v>130</v>
      </c>
      <c r="C169" s="66">
        <v>45626</v>
      </c>
      <c r="D169" s="66">
        <v>45626</v>
      </c>
      <c r="E169" s="65">
        <v>3542934</v>
      </c>
      <c r="F169" s="65">
        <v>69</v>
      </c>
      <c r="G169" s="67" t="s">
        <v>5773</v>
      </c>
      <c r="H169" s="68">
        <v>0</v>
      </c>
      <c r="I169" s="68">
        <v>5</v>
      </c>
      <c r="J169" s="10">
        <f t="shared" si="0"/>
        <v>5</v>
      </c>
    </row>
    <row r="170" spans="1:17" x14ac:dyDescent="0.3">
      <c r="A170" s="39" t="s">
        <v>5578</v>
      </c>
      <c r="B170" s="39" t="s">
        <v>130</v>
      </c>
      <c r="C170" s="55">
        <v>45694</v>
      </c>
      <c r="D170" s="55">
        <v>45694</v>
      </c>
      <c r="E170" s="39">
        <v>3619480</v>
      </c>
      <c r="F170" s="39">
        <v>98</v>
      </c>
      <c r="G170" s="69" t="s">
        <v>5774</v>
      </c>
      <c r="H170" s="70">
        <v>0</v>
      </c>
      <c r="I170" s="70">
        <v>5</v>
      </c>
      <c r="J170" s="10">
        <f t="shared" si="0"/>
        <v>5</v>
      </c>
    </row>
    <row r="171" spans="1:17" x14ac:dyDescent="0.3">
      <c r="A171" s="39" t="s">
        <v>5523</v>
      </c>
      <c r="B171" s="39" t="s">
        <v>5775</v>
      </c>
      <c r="C171" s="71">
        <v>45827</v>
      </c>
      <c r="D171" s="71">
        <v>45827</v>
      </c>
      <c r="E171" s="39"/>
      <c r="F171" s="39" t="s">
        <v>5776</v>
      </c>
      <c r="G171" s="39" t="s">
        <v>5777</v>
      </c>
      <c r="H171" s="56">
        <v>0</v>
      </c>
      <c r="I171" s="56">
        <v>5.25</v>
      </c>
      <c r="J171" s="10">
        <f t="shared" si="0"/>
        <v>5.25</v>
      </c>
    </row>
    <row r="172" spans="1:17" x14ac:dyDescent="0.3">
      <c r="A172" s="54" t="s">
        <v>5523</v>
      </c>
      <c r="B172" s="39" t="s">
        <v>5778</v>
      </c>
      <c r="C172" s="55">
        <v>45818</v>
      </c>
      <c r="D172" s="55">
        <v>45818</v>
      </c>
      <c r="E172" s="39"/>
      <c r="F172" s="39" t="s">
        <v>5779</v>
      </c>
      <c r="G172" s="39" t="s">
        <v>5780</v>
      </c>
      <c r="H172" s="56">
        <v>0</v>
      </c>
      <c r="I172" s="56">
        <v>7</v>
      </c>
      <c r="J172" s="10">
        <f t="shared" si="0"/>
        <v>7</v>
      </c>
      <c r="P172" s="1"/>
      <c r="Q172" s="1"/>
    </row>
    <row r="173" spans="1:17" x14ac:dyDescent="0.3">
      <c r="A173" s="54" t="s">
        <v>5523</v>
      </c>
      <c r="B173" s="39" t="s">
        <v>5781</v>
      </c>
      <c r="C173" s="55">
        <v>45631</v>
      </c>
      <c r="D173" s="55">
        <v>45631</v>
      </c>
      <c r="E173" s="55"/>
      <c r="F173" s="39" t="s">
        <v>5782</v>
      </c>
      <c r="G173" s="39" t="s">
        <v>5783</v>
      </c>
      <c r="H173" s="56">
        <v>0</v>
      </c>
      <c r="I173" s="56">
        <v>8</v>
      </c>
      <c r="J173" s="10">
        <f t="shared" si="0"/>
        <v>8</v>
      </c>
      <c r="K173" s="10"/>
      <c r="L173" s="10"/>
      <c r="M173" s="10"/>
    </row>
    <row r="174" spans="1:17" x14ac:dyDescent="0.3">
      <c r="A174" s="54" t="s">
        <v>5523</v>
      </c>
      <c r="B174" s="39" t="s">
        <v>5784</v>
      </c>
      <c r="C174" s="55">
        <v>45726</v>
      </c>
      <c r="D174" s="55">
        <v>45726</v>
      </c>
      <c r="E174" s="55"/>
      <c r="F174" s="39" t="s">
        <v>5558</v>
      </c>
      <c r="G174" s="39" t="s">
        <v>5785</v>
      </c>
      <c r="H174" s="56">
        <v>0</v>
      </c>
      <c r="I174" s="56">
        <v>10</v>
      </c>
      <c r="J174" s="10">
        <f t="shared" si="0"/>
        <v>10</v>
      </c>
    </row>
    <row r="175" spans="1:17" x14ac:dyDescent="0.3">
      <c r="A175" s="39" t="s">
        <v>5523</v>
      </c>
      <c r="B175" s="39" t="s">
        <v>5786</v>
      </c>
      <c r="C175" s="55">
        <v>45733</v>
      </c>
      <c r="D175" s="55">
        <v>45733</v>
      </c>
      <c r="E175" s="39"/>
      <c r="F175" s="39" t="s">
        <v>5558</v>
      </c>
      <c r="G175" s="39" t="s">
        <v>5787</v>
      </c>
      <c r="H175" s="56">
        <v>0</v>
      </c>
      <c r="I175" s="72">
        <v>15</v>
      </c>
      <c r="J175" s="10">
        <f t="shared" si="0"/>
        <v>15</v>
      </c>
      <c r="K175" s="2"/>
      <c r="N175" s="1"/>
      <c r="O175" s="1"/>
    </row>
    <row r="176" spans="1:17" x14ac:dyDescent="0.3">
      <c r="A176" s="54" t="s">
        <v>5523</v>
      </c>
      <c r="B176" s="39" t="s">
        <v>5772</v>
      </c>
      <c r="C176" s="55">
        <v>45869</v>
      </c>
      <c r="D176" s="55">
        <v>45869</v>
      </c>
      <c r="E176" s="39"/>
      <c r="F176" s="39" t="s">
        <v>5558</v>
      </c>
      <c r="G176" s="39" t="s">
        <v>2258</v>
      </c>
      <c r="H176" s="56">
        <v>0</v>
      </c>
      <c r="I176" s="56">
        <v>16.8</v>
      </c>
      <c r="J176" s="10">
        <f t="shared" si="0"/>
        <v>16.8</v>
      </c>
    </row>
    <row r="177" spans="1:17" x14ac:dyDescent="0.3">
      <c r="A177" s="54" t="s">
        <v>5578</v>
      </c>
      <c r="B177" s="39" t="s">
        <v>130</v>
      </c>
      <c r="C177" s="55">
        <v>45843</v>
      </c>
      <c r="D177" s="55">
        <v>45843</v>
      </c>
      <c r="E177" s="39">
        <v>3789848</v>
      </c>
      <c r="F177" s="39">
        <v>46</v>
      </c>
      <c r="G177" s="69" t="s">
        <v>5788</v>
      </c>
      <c r="H177" s="56">
        <v>0</v>
      </c>
      <c r="I177" s="56">
        <v>20</v>
      </c>
      <c r="J177" s="10">
        <f t="shared" si="0"/>
        <v>20</v>
      </c>
    </row>
    <row r="178" spans="1:17" x14ac:dyDescent="0.3">
      <c r="A178" s="54" t="s">
        <v>5523</v>
      </c>
      <c r="B178" s="73">
        <v>49094450777</v>
      </c>
      <c r="C178" s="55">
        <v>45801</v>
      </c>
      <c r="D178" s="55">
        <v>45801</v>
      </c>
      <c r="E178" s="39"/>
      <c r="F178" s="39" t="s">
        <v>5558</v>
      </c>
      <c r="G178" s="39" t="s">
        <v>5789</v>
      </c>
      <c r="H178" s="56">
        <v>0</v>
      </c>
      <c r="I178" s="56">
        <v>25</v>
      </c>
      <c r="J178" s="10">
        <f t="shared" si="0"/>
        <v>25</v>
      </c>
      <c r="P178" s="1"/>
      <c r="Q178" s="1"/>
    </row>
    <row r="179" spans="1:17" x14ac:dyDescent="0.3">
      <c r="A179" s="54" t="s">
        <v>5523</v>
      </c>
      <c r="B179" s="39" t="s">
        <v>5790</v>
      </c>
      <c r="C179" s="55">
        <v>45803</v>
      </c>
      <c r="D179" s="55">
        <v>45803</v>
      </c>
      <c r="E179" s="39"/>
      <c r="F179" s="39" t="s">
        <v>5558</v>
      </c>
      <c r="G179" s="39" t="s">
        <v>5791</v>
      </c>
      <c r="H179" s="56">
        <v>0</v>
      </c>
      <c r="I179" s="56">
        <v>25</v>
      </c>
      <c r="J179" s="10">
        <f t="shared" si="0"/>
        <v>25</v>
      </c>
    </row>
    <row r="180" spans="1:17" x14ac:dyDescent="0.3">
      <c r="A180" s="54" t="s">
        <v>5523</v>
      </c>
      <c r="B180" s="39" t="s">
        <v>5792</v>
      </c>
      <c r="C180" s="55">
        <v>45838</v>
      </c>
      <c r="D180" s="55">
        <v>45838</v>
      </c>
      <c r="E180" s="39"/>
      <c r="F180" s="39" t="s">
        <v>5793</v>
      </c>
      <c r="G180" s="39" t="s">
        <v>5794</v>
      </c>
      <c r="H180" s="56">
        <v>0</v>
      </c>
      <c r="I180" s="56">
        <v>25</v>
      </c>
      <c r="J180" s="10">
        <f t="shared" si="0"/>
        <v>25</v>
      </c>
      <c r="N180" s="1"/>
      <c r="O180" s="1"/>
    </row>
    <row r="181" spans="1:17" x14ac:dyDescent="0.3">
      <c r="A181" s="54" t="s">
        <v>5523</v>
      </c>
      <c r="B181" s="39" t="s">
        <v>5795</v>
      </c>
      <c r="C181" s="55">
        <v>45867</v>
      </c>
      <c r="D181" s="55">
        <v>45867</v>
      </c>
      <c r="E181" s="39"/>
      <c r="F181" s="39" t="s">
        <v>5796</v>
      </c>
      <c r="G181" s="39" t="s">
        <v>5794</v>
      </c>
      <c r="H181" s="56">
        <v>0</v>
      </c>
      <c r="I181" s="56">
        <v>25</v>
      </c>
      <c r="J181" s="10">
        <f t="shared" si="0"/>
        <v>25</v>
      </c>
    </row>
    <row r="182" spans="1:17" x14ac:dyDescent="0.3">
      <c r="A182" s="41" t="s">
        <v>5523</v>
      </c>
      <c r="B182" s="74" t="s">
        <v>5797</v>
      </c>
      <c r="C182" s="75">
        <v>45625</v>
      </c>
      <c r="D182" s="75">
        <v>45625</v>
      </c>
      <c r="E182" s="74" t="s">
        <v>5558</v>
      </c>
      <c r="F182" s="45"/>
      <c r="G182" s="74" t="s">
        <v>5798</v>
      </c>
      <c r="H182" s="76">
        <v>0</v>
      </c>
      <c r="I182" s="76">
        <v>25.47</v>
      </c>
      <c r="J182" s="10">
        <f t="shared" si="0"/>
        <v>25.47</v>
      </c>
    </row>
    <row r="183" spans="1:17" x14ac:dyDescent="0.3">
      <c r="A183" s="54" t="s">
        <v>5523</v>
      </c>
      <c r="B183" s="39" t="s">
        <v>5799</v>
      </c>
      <c r="C183" s="55">
        <v>45853</v>
      </c>
      <c r="D183" s="55">
        <v>45853</v>
      </c>
      <c r="E183" s="39"/>
      <c r="F183" s="39" t="s">
        <v>5558</v>
      </c>
      <c r="G183" s="39" t="s">
        <v>5800</v>
      </c>
      <c r="H183" s="56">
        <v>0</v>
      </c>
      <c r="I183" s="56">
        <v>26</v>
      </c>
      <c r="J183" s="10">
        <f t="shared" si="0"/>
        <v>26</v>
      </c>
    </row>
    <row r="184" spans="1:17" x14ac:dyDescent="0.3">
      <c r="A184" s="54" t="s">
        <v>5523</v>
      </c>
      <c r="B184" s="39" t="s">
        <v>5801</v>
      </c>
      <c r="C184" s="55">
        <v>45820</v>
      </c>
      <c r="D184" s="55">
        <v>45820</v>
      </c>
      <c r="E184" s="39"/>
      <c r="F184" s="39" t="s">
        <v>5802</v>
      </c>
      <c r="G184" s="39" t="s">
        <v>5803</v>
      </c>
      <c r="H184" s="56">
        <v>0</v>
      </c>
      <c r="I184" s="56">
        <v>26.5</v>
      </c>
      <c r="J184" s="10">
        <f t="shared" si="0"/>
        <v>26.5</v>
      </c>
      <c r="O184" s="1"/>
      <c r="P184" s="1"/>
    </row>
    <row r="185" spans="1:17" x14ac:dyDescent="0.3">
      <c r="A185" s="54" t="s">
        <v>5523</v>
      </c>
      <c r="B185" s="39" t="s">
        <v>5804</v>
      </c>
      <c r="C185" s="55">
        <v>45869</v>
      </c>
      <c r="D185" s="55">
        <v>45869</v>
      </c>
      <c r="E185" s="39"/>
      <c r="F185" s="39" t="s">
        <v>5558</v>
      </c>
      <c r="G185" s="39" t="s">
        <v>5805</v>
      </c>
      <c r="H185" s="56">
        <v>0</v>
      </c>
      <c r="I185" s="56">
        <v>27</v>
      </c>
      <c r="J185" s="10">
        <f t="shared" si="0"/>
        <v>27</v>
      </c>
    </row>
    <row r="186" spans="1:17" x14ac:dyDescent="0.3">
      <c r="A186" s="39" t="s">
        <v>5578</v>
      </c>
      <c r="B186" s="39" t="s">
        <v>5744</v>
      </c>
      <c r="C186" s="55">
        <v>45633</v>
      </c>
      <c r="D186" s="55">
        <v>45657</v>
      </c>
      <c r="E186" s="73">
        <v>504844</v>
      </c>
      <c r="F186" s="73">
        <v>100</v>
      </c>
      <c r="G186" s="69">
        <v>129594</v>
      </c>
      <c r="H186" s="70">
        <v>0</v>
      </c>
      <c r="I186" s="70">
        <v>30</v>
      </c>
      <c r="J186" s="10">
        <f t="shared" si="0"/>
        <v>30</v>
      </c>
      <c r="K186" s="5"/>
      <c r="L186" s="5"/>
      <c r="M186" s="5"/>
      <c r="N186" s="10"/>
    </row>
    <row r="187" spans="1:17" x14ac:dyDescent="0.3">
      <c r="A187" s="39" t="s">
        <v>5578</v>
      </c>
      <c r="B187" s="39" t="s">
        <v>71</v>
      </c>
      <c r="C187" s="55">
        <v>45665</v>
      </c>
      <c r="D187" s="55">
        <v>45666</v>
      </c>
      <c r="E187" s="39">
        <v>251</v>
      </c>
      <c r="F187" s="39">
        <v>100</v>
      </c>
      <c r="G187" s="69">
        <v>131456</v>
      </c>
      <c r="H187" s="70">
        <v>0</v>
      </c>
      <c r="I187" s="70">
        <v>30</v>
      </c>
      <c r="J187" s="10">
        <f t="shared" si="0"/>
        <v>30</v>
      </c>
    </row>
    <row r="188" spans="1:17" x14ac:dyDescent="0.3">
      <c r="A188" s="41" t="s">
        <v>5523</v>
      </c>
      <c r="B188" s="53" t="s">
        <v>5806</v>
      </c>
      <c r="C188" s="48">
        <v>45533</v>
      </c>
      <c r="D188" s="48">
        <v>45533</v>
      </c>
      <c r="E188" s="53" t="s">
        <v>5558</v>
      </c>
      <c r="F188" s="45"/>
      <c r="G188" s="47" t="s">
        <v>5807</v>
      </c>
      <c r="H188" s="77">
        <v>0</v>
      </c>
      <c r="I188" s="77">
        <v>30.03</v>
      </c>
      <c r="J188" s="10">
        <f t="shared" si="0"/>
        <v>30.03</v>
      </c>
    </row>
    <row r="189" spans="1:17" x14ac:dyDescent="0.3">
      <c r="A189" s="54" t="s">
        <v>5523</v>
      </c>
      <c r="B189" s="39" t="s">
        <v>5808</v>
      </c>
      <c r="C189" s="55">
        <v>45856</v>
      </c>
      <c r="D189" s="55">
        <v>45856</v>
      </c>
      <c r="E189" s="39"/>
      <c r="F189" s="39" t="s">
        <v>5809</v>
      </c>
      <c r="G189" s="39" t="s">
        <v>5810</v>
      </c>
      <c r="H189" s="56">
        <v>0</v>
      </c>
      <c r="I189" s="56">
        <v>32</v>
      </c>
      <c r="J189" s="10">
        <f t="shared" si="0"/>
        <v>32</v>
      </c>
    </row>
    <row r="190" spans="1:17" x14ac:dyDescent="0.3">
      <c r="A190" s="54" t="s">
        <v>5523</v>
      </c>
      <c r="B190" s="53" t="s">
        <v>5811</v>
      </c>
      <c r="C190" s="48">
        <v>45596</v>
      </c>
      <c r="D190" s="48">
        <v>45596</v>
      </c>
      <c r="E190" s="53" t="s">
        <v>5558</v>
      </c>
      <c r="F190" s="45"/>
      <c r="G190" s="53" t="s">
        <v>5812</v>
      </c>
      <c r="H190" s="78">
        <v>0</v>
      </c>
      <c r="I190" s="78">
        <v>40</v>
      </c>
      <c r="J190" s="10">
        <f t="shared" si="0"/>
        <v>40</v>
      </c>
    </row>
    <row r="191" spans="1:17" x14ac:dyDescent="0.3">
      <c r="A191" s="54" t="s">
        <v>5523</v>
      </c>
      <c r="B191" s="39" t="s">
        <v>5813</v>
      </c>
      <c r="C191" s="55">
        <v>45821</v>
      </c>
      <c r="D191" s="55">
        <v>45820</v>
      </c>
      <c r="E191" s="39"/>
      <c r="F191" s="39" t="s">
        <v>5809</v>
      </c>
      <c r="G191" s="39" t="s">
        <v>5810</v>
      </c>
      <c r="H191" s="56">
        <v>0</v>
      </c>
      <c r="I191" s="56">
        <v>40</v>
      </c>
      <c r="J191" s="10">
        <f t="shared" si="0"/>
        <v>40</v>
      </c>
      <c r="P191" s="1"/>
      <c r="Q191" s="1"/>
    </row>
    <row r="192" spans="1:17" x14ac:dyDescent="0.3">
      <c r="A192" s="39" t="s">
        <v>5523</v>
      </c>
      <c r="B192" s="39" t="s">
        <v>5814</v>
      </c>
      <c r="C192" s="55">
        <v>45712</v>
      </c>
      <c r="D192" s="55">
        <v>45712</v>
      </c>
      <c r="E192" s="39"/>
      <c r="F192" s="39" t="s">
        <v>5558</v>
      </c>
      <c r="G192" s="39" t="s">
        <v>5815</v>
      </c>
      <c r="H192" s="56">
        <v>0</v>
      </c>
      <c r="I192" s="56">
        <v>52</v>
      </c>
      <c r="J192" s="10">
        <f t="shared" si="0"/>
        <v>52</v>
      </c>
      <c r="N192" s="1"/>
      <c r="O192" s="1"/>
    </row>
    <row r="193" spans="1:17" x14ac:dyDescent="0.3">
      <c r="A193" s="41" t="s">
        <v>5523</v>
      </c>
      <c r="B193" s="79" t="s">
        <v>5816</v>
      </c>
      <c r="C193" s="80">
        <v>45548</v>
      </c>
      <c r="D193" s="80">
        <v>45548</v>
      </c>
      <c r="E193" s="81">
        <v>100920242</v>
      </c>
      <c r="F193" s="45"/>
      <c r="G193" s="79" t="s">
        <v>5817</v>
      </c>
      <c r="H193" s="82">
        <v>0</v>
      </c>
      <c r="I193" s="82">
        <v>52.67</v>
      </c>
      <c r="J193" s="10">
        <f t="shared" si="0"/>
        <v>52.67</v>
      </c>
      <c r="K193" s="64"/>
      <c r="L193" s="64"/>
      <c r="M193" s="64"/>
    </row>
    <row r="194" spans="1:17" x14ac:dyDescent="0.3">
      <c r="A194" s="39" t="s">
        <v>5523</v>
      </c>
      <c r="B194" s="39" t="s">
        <v>5818</v>
      </c>
      <c r="C194" s="55">
        <v>45863</v>
      </c>
      <c r="D194" s="55">
        <v>45863</v>
      </c>
      <c r="E194" s="39"/>
      <c r="F194" s="39" t="s">
        <v>5819</v>
      </c>
      <c r="G194" s="39" t="s">
        <v>5764</v>
      </c>
      <c r="H194" s="56">
        <v>0</v>
      </c>
      <c r="I194" s="56">
        <v>84</v>
      </c>
      <c r="J194" s="10">
        <f t="shared" si="0"/>
        <v>84</v>
      </c>
    </row>
    <row r="195" spans="1:17" x14ac:dyDescent="0.3">
      <c r="A195" s="54" t="s">
        <v>5523</v>
      </c>
      <c r="B195" s="39" t="s">
        <v>5820</v>
      </c>
      <c r="C195" s="55">
        <v>45868</v>
      </c>
      <c r="D195" s="55">
        <v>45868</v>
      </c>
      <c r="E195" s="39"/>
      <c r="F195" s="39" t="s">
        <v>5558</v>
      </c>
      <c r="G195" s="39" t="s">
        <v>5821</v>
      </c>
      <c r="H195" s="56">
        <v>0</v>
      </c>
      <c r="I195" s="56">
        <v>90</v>
      </c>
      <c r="J195" s="10">
        <f t="shared" si="0"/>
        <v>90</v>
      </c>
    </row>
    <row r="196" spans="1:17" x14ac:dyDescent="0.3">
      <c r="A196" s="54" t="s">
        <v>5523</v>
      </c>
      <c r="B196" s="39" t="s">
        <v>5822</v>
      </c>
      <c r="C196" s="55">
        <v>45869</v>
      </c>
      <c r="D196" s="55">
        <v>45869</v>
      </c>
      <c r="E196" s="39"/>
      <c r="F196" s="39" t="s">
        <v>5823</v>
      </c>
      <c r="G196" s="39" t="s">
        <v>5824</v>
      </c>
      <c r="H196" s="56">
        <v>0</v>
      </c>
      <c r="I196" s="56">
        <v>94.5</v>
      </c>
      <c r="J196" s="10">
        <f t="shared" si="0"/>
        <v>94.5</v>
      </c>
    </row>
    <row r="197" spans="1:17" x14ac:dyDescent="0.3">
      <c r="A197" s="41" t="s">
        <v>5523</v>
      </c>
      <c r="B197" s="53" t="s">
        <v>5825</v>
      </c>
      <c r="C197" s="48">
        <v>45559</v>
      </c>
      <c r="D197" s="48">
        <v>45559</v>
      </c>
      <c r="E197" s="53" t="s">
        <v>5558</v>
      </c>
      <c r="F197" s="45"/>
      <c r="G197" s="53" t="s">
        <v>5826</v>
      </c>
      <c r="H197" s="78">
        <v>0</v>
      </c>
      <c r="I197" s="56">
        <v>100</v>
      </c>
      <c r="J197" s="10">
        <f t="shared" si="0"/>
        <v>100</v>
      </c>
      <c r="K197" s="2"/>
    </row>
    <row r="198" spans="1:17" x14ac:dyDescent="0.3">
      <c r="A198" s="41" t="s">
        <v>5523</v>
      </c>
      <c r="B198" s="53" t="s">
        <v>5569</v>
      </c>
      <c r="C198" s="48">
        <v>45608</v>
      </c>
      <c r="D198" s="48">
        <v>45608</v>
      </c>
      <c r="E198" s="53" t="s">
        <v>5558</v>
      </c>
      <c r="F198" s="42"/>
      <c r="G198" s="53" t="s">
        <v>5726</v>
      </c>
      <c r="H198" s="83">
        <v>0</v>
      </c>
      <c r="I198" s="83">
        <v>105</v>
      </c>
      <c r="J198" s="10">
        <f t="shared" si="0"/>
        <v>105</v>
      </c>
      <c r="K198" s="5"/>
      <c r="L198" s="5"/>
      <c r="M198" s="5"/>
    </row>
    <row r="199" spans="1:17" x14ac:dyDescent="0.3">
      <c r="A199" s="54" t="s">
        <v>5523</v>
      </c>
      <c r="B199" s="39" t="s">
        <v>5827</v>
      </c>
      <c r="C199" s="55">
        <v>45755</v>
      </c>
      <c r="D199" s="55">
        <v>45755</v>
      </c>
      <c r="E199" s="39"/>
      <c r="F199" s="39" t="s">
        <v>5558</v>
      </c>
      <c r="G199" s="39" t="s">
        <v>5828</v>
      </c>
      <c r="H199" s="56">
        <v>0</v>
      </c>
      <c r="I199" s="56">
        <v>105</v>
      </c>
      <c r="J199" s="10">
        <f t="shared" si="0"/>
        <v>105</v>
      </c>
      <c r="N199" s="1"/>
      <c r="O199" s="1"/>
    </row>
    <row r="200" spans="1:17" x14ac:dyDescent="0.3">
      <c r="A200" s="54" t="s">
        <v>5523</v>
      </c>
      <c r="B200" s="39" t="s">
        <v>5569</v>
      </c>
      <c r="C200" s="55">
        <v>45786</v>
      </c>
      <c r="D200" s="55">
        <v>45786</v>
      </c>
      <c r="E200" s="39"/>
      <c r="F200" s="39" t="s">
        <v>5558</v>
      </c>
      <c r="G200" s="39" t="s">
        <v>2258</v>
      </c>
      <c r="H200" s="56">
        <v>0</v>
      </c>
      <c r="I200" s="56">
        <v>105</v>
      </c>
      <c r="J200" s="10">
        <f t="shared" si="0"/>
        <v>105</v>
      </c>
      <c r="O200" s="1"/>
      <c r="P200" s="1"/>
    </row>
    <row r="201" spans="1:17" x14ac:dyDescent="0.3">
      <c r="A201" s="54" t="s">
        <v>5523</v>
      </c>
      <c r="B201" s="39" t="s">
        <v>5829</v>
      </c>
      <c r="C201" s="55">
        <v>45637</v>
      </c>
      <c r="D201" s="55">
        <v>45637</v>
      </c>
      <c r="E201" s="55"/>
      <c r="F201" s="39" t="s">
        <v>5558</v>
      </c>
      <c r="G201" s="39" t="s">
        <v>5830</v>
      </c>
      <c r="H201" s="56">
        <v>0</v>
      </c>
      <c r="I201" s="56">
        <v>126</v>
      </c>
      <c r="J201" s="10">
        <f t="shared" si="0"/>
        <v>126</v>
      </c>
      <c r="K201" s="2"/>
    </row>
    <row r="202" spans="1:17" x14ac:dyDescent="0.3">
      <c r="A202" s="54" t="s">
        <v>5523</v>
      </c>
      <c r="B202" s="39" t="s">
        <v>5569</v>
      </c>
      <c r="C202" s="55">
        <v>45817</v>
      </c>
      <c r="D202" s="55">
        <v>45817</v>
      </c>
      <c r="E202" s="39"/>
      <c r="F202" s="39" t="s">
        <v>5558</v>
      </c>
      <c r="G202" s="39" t="s">
        <v>2258</v>
      </c>
      <c r="H202" s="56">
        <v>0</v>
      </c>
      <c r="I202" s="56">
        <v>150</v>
      </c>
      <c r="J202" s="10">
        <f t="shared" si="0"/>
        <v>150</v>
      </c>
      <c r="P202" s="1"/>
      <c r="Q202" s="1"/>
    </row>
    <row r="203" spans="1:17" x14ac:dyDescent="0.3">
      <c r="A203" s="54" t="s">
        <v>5523</v>
      </c>
      <c r="B203" s="39" t="s">
        <v>5831</v>
      </c>
      <c r="C203" s="55">
        <v>45862</v>
      </c>
      <c r="D203" s="55">
        <v>45862</v>
      </c>
      <c r="E203" s="39"/>
      <c r="F203" s="39" t="s">
        <v>5558</v>
      </c>
      <c r="G203" s="39" t="s">
        <v>5832</v>
      </c>
      <c r="H203" s="56">
        <v>0</v>
      </c>
      <c r="I203" s="56">
        <v>150</v>
      </c>
      <c r="J203" s="10">
        <f t="shared" si="0"/>
        <v>150</v>
      </c>
    </row>
    <row r="204" spans="1:17" x14ac:dyDescent="0.3">
      <c r="A204" s="39" t="s">
        <v>5523</v>
      </c>
      <c r="B204" s="39" t="s">
        <v>5833</v>
      </c>
      <c r="C204" s="55">
        <v>45723</v>
      </c>
      <c r="D204" s="55">
        <v>45723</v>
      </c>
      <c r="E204" s="39"/>
      <c r="F204" s="39" t="s">
        <v>5558</v>
      </c>
      <c r="G204" s="39" t="s">
        <v>5834</v>
      </c>
      <c r="H204" s="56">
        <v>0</v>
      </c>
      <c r="I204" s="56">
        <v>200</v>
      </c>
      <c r="J204" s="10">
        <f t="shared" si="0"/>
        <v>200</v>
      </c>
    </row>
    <row r="205" spans="1:17" x14ac:dyDescent="0.3">
      <c r="A205" s="39" t="s">
        <v>5523</v>
      </c>
      <c r="B205" s="39" t="s">
        <v>5835</v>
      </c>
      <c r="C205" s="55">
        <v>45618</v>
      </c>
      <c r="D205" s="55">
        <v>45618</v>
      </c>
      <c r="E205" s="39" t="s">
        <v>5558</v>
      </c>
      <c r="F205" s="39"/>
      <c r="G205" s="39" t="s">
        <v>5836</v>
      </c>
      <c r="H205" s="56">
        <v>0</v>
      </c>
      <c r="I205" s="56">
        <v>250</v>
      </c>
      <c r="J205" s="10">
        <f t="shared" si="0"/>
        <v>250</v>
      </c>
    </row>
    <row r="206" spans="1:17" x14ac:dyDescent="0.3">
      <c r="A206" s="54" t="s">
        <v>5578</v>
      </c>
      <c r="B206" s="39" t="s">
        <v>130</v>
      </c>
      <c r="C206" s="55">
        <v>45847</v>
      </c>
      <c r="D206" s="55">
        <v>45847</v>
      </c>
      <c r="E206" s="39">
        <v>3794909</v>
      </c>
      <c r="F206" s="39">
        <v>53</v>
      </c>
      <c r="G206" s="69" t="s">
        <v>5837</v>
      </c>
      <c r="H206" s="56">
        <v>0</v>
      </c>
      <c r="I206" s="56">
        <v>250</v>
      </c>
      <c r="J206" s="10">
        <f t="shared" si="0"/>
        <v>250</v>
      </c>
    </row>
    <row r="207" spans="1:17" x14ac:dyDescent="0.3">
      <c r="A207" s="41" t="s">
        <v>5523</v>
      </c>
      <c r="B207" s="53" t="s">
        <v>5838</v>
      </c>
      <c r="C207" s="48">
        <v>45610</v>
      </c>
      <c r="D207" s="48">
        <v>45610</v>
      </c>
      <c r="E207" s="53" t="s">
        <v>5558</v>
      </c>
      <c r="F207" s="45"/>
      <c r="G207" s="53" t="s">
        <v>5839</v>
      </c>
      <c r="H207" s="78">
        <v>0</v>
      </c>
      <c r="I207" s="78">
        <v>262.5</v>
      </c>
      <c r="J207" s="10">
        <f t="shared" si="0"/>
        <v>262.5</v>
      </c>
    </row>
    <row r="208" spans="1:17" x14ac:dyDescent="0.3">
      <c r="A208" s="54" t="s">
        <v>5523</v>
      </c>
      <c r="B208" s="39" t="s">
        <v>5840</v>
      </c>
      <c r="C208" s="55">
        <v>45687</v>
      </c>
      <c r="D208" s="55">
        <v>45687</v>
      </c>
      <c r="E208" s="39"/>
      <c r="F208" s="39" t="s">
        <v>5841</v>
      </c>
      <c r="G208" s="39" t="s">
        <v>5842</v>
      </c>
      <c r="H208" s="56">
        <v>0</v>
      </c>
      <c r="I208" s="56">
        <v>262.5</v>
      </c>
      <c r="J208" s="10">
        <f t="shared" si="0"/>
        <v>262.5</v>
      </c>
      <c r="N208" s="1"/>
      <c r="O208" s="1"/>
    </row>
    <row r="209" spans="1:17" x14ac:dyDescent="0.3">
      <c r="A209" s="54" t="s">
        <v>5523</v>
      </c>
      <c r="B209" s="39" t="s">
        <v>5843</v>
      </c>
      <c r="C209" s="55">
        <v>45806</v>
      </c>
      <c r="D209" s="55">
        <v>45806</v>
      </c>
      <c r="E209" s="39"/>
      <c r="F209" s="39" t="s">
        <v>5558</v>
      </c>
      <c r="G209" s="39" t="s">
        <v>5844</v>
      </c>
      <c r="H209" s="56">
        <v>0</v>
      </c>
      <c r="I209" s="56">
        <v>262.5</v>
      </c>
      <c r="J209" s="10">
        <f t="shared" si="0"/>
        <v>262.5</v>
      </c>
      <c r="P209" s="1"/>
      <c r="Q209" s="1"/>
    </row>
    <row r="210" spans="1:17" x14ac:dyDescent="0.3">
      <c r="A210" s="54" t="s">
        <v>5523</v>
      </c>
      <c r="B210" s="39" t="s">
        <v>5845</v>
      </c>
      <c r="C210" s="55">
        <v>45810</v>
      </c>
      <c r="D210" s="55">
        <v>45810</v>
      </c>
      <c r="E210" s="39"/>
      <c r="F210" s="39" t="s">
        <v>5846</v>
      </c>
      <c r="G210" s="39" t="s">
        <v>5847</v>
      </c>
      <c r="H210" s="56">
        <v>0</v>
      </c>
      <c r="I210" s="56">
        <v>262.5</v>
      </c>
      <c r="J210" s="10">
        <f t="shared" si="0"/>
        <v>262.5</v>
      </c>
      <c r="O210" s="1"/>
      <c r="P210" s="1"/>
    </row>
    <row r="211" spans="1:17" x14ac:dyDescent="0.3">
      <c r="A211" s="54" t="s">
        <v>5523</v>
      </c>
      <c r="B211" s="39" t="s">
        <v>5848</v>
      </c>
      <c r="C211" s="55">
        <v>45810</v>
      </c>
      <c r="D211" s="55">
        <v>45810</v>
      </c>
      <c r="E211" s="39"/>
      <c r="F211" s="39" t="s">
        <v>5849</v>
      </c>
      <c r="G211" s="39" t="s">
        <v>5850</v>
      </c>
      <c r="H211" s="56">
        <v>0</v>
      </c>
      <c r="I211" s="56">
        <v>262.5</v>
      </c>
      <c r="J211" s="10">
        <f t="shared" si="0"/>
        <v>262.5</v>
      </c>
      <c r="O211" s="1"/>
      <c r="P211" s="1"/>
    </row>
    <row r="212" spans="1:17" x14ac:dyDescent="0.3">
      <c r="A212" s="54" t="s">
        <v>5523</v>
      </c>
      <c r="B212" s="39" t="s">
        <v>5851</v>
      </c>
      <c r="C212" s="55">
        <v>45818</v>
      </c>
      <c r="D212" s="55">
        <v>45818</v>
      </c>
      <c r="E212" s="39"/>
      <c r="F212" s="39" t="s">
        <v>5558</v>
      </c>
      <c r="G212" s="39" t="s">
        <v>5852</v>
      </c>
      <c r="H212" s="56">
        <v>0</v>
      </c>
      <c r="I212" s="56">
        <v>262.5</v>
      </c>
      <c r="J212" s="10">
        <f t="shared" si="0"/>
        <v>262.5</v>
      </c>
      <c r="P212" s="1"/>
      <c r="Q212" s="1"/>
    </row>
    <row r="213" spans="1:17" x14ac:dyDescent="0.3">
      <c r="A213" s="54" t="s">
        <v>5523</v>
      </c>
      <c r="B213" s="39" t="s">
        <v>5853</v>
      </c>
      <c r="C213" s="55">
        <v>45834</v>
      </c>
      <c r="D213" s="55">
        <v>45834</v>
      </c>
      <c r="E213" s="39"/>
      <c r="F213" s="39" t="s">
        <v>5854</v>
      </c>
      <c r="G213" s="39" t="s">
        <v>5855</v>
      </c>
      <c r="H213" s="56">
        <v>0</v>
      </c>
      <c r="I213" s="56">
        <v>262.5</v>
      </c>
      <c r="J213" s="10">
        <f t="shared" si="0"/>
        <v>262.5</v>
      </c>
      <c r="M213" s="1"/>
      <c r="N213" s="1"/>
    </row>
    <row r="214" spans="1:17" x14ac:dyDescent="0.3">
      <c r="A214" s="54" t="s">
        <v>5523</v>
      </c>
      <c r="B214" s="39" t="s">
        <v>5856</v>
      </c>
      <c r="C214" s="55">
        <v>45846</v>
      </c>
      <c r="D214" s="55">
        <v>45846</v>
      </c>
      <c r="E214" s="39"/>
      <c r="F214" s="39" t="s">
        <v>5857</v>
      </c>
      <c r="G214" s="39" t="s">
        <v>5858</v>
      </c>
      <c r="H214" s="56">
        <v>0</v>
      </c>
      <c r="I214" s="56">
        <v>262.5</v>
      </c>
      <c r="J214" s="10">
        <f t="shared" si="0"/>
        <v>262.5</v>
      </c>
    </row>
    <row r="215" spans="1:17" x14ac:dyDescent="0.3">
      <c r="A215" s="54" t="s">
        <v>5523</v>
      </c>
      <c r="B215" s="39" t="s">
        <v>5859</v>
      </c>
      <c r="C215" s="55">
        <v>45849</v>
      </c>
      <c r="D215" s="55">
        <v>45849</v>
      </c>
      <c r="E215" s="39"/>
      <c r="F215" s="39" t="s">
        <v>5558</v>
      </c>
      <c r="G215" s="39" t="s">
        <v>5860</v>
      </c>
      <c r="H215" s="56">
        <v>0</v>
      </c>
      <c r="I215" s="56">
        <v>262.5</v>
      </c>
      <c r="J215" s="10">
        <f t="shared" si="0"/>
        <v>262.5</v>
      </c>
    </row>
    <row r="216" spans="1:17" x14ac:dyDescent="0.3">
      <c r="A216" s="54" t="s">
        <v>5523</v>
      </c>
      <c r="B216" s="39" t="s">
        <v>5861</v>
      </c>
      <c r="C216" s="55">
        <v>45853</v>
      </c>
      <c r="D216" s="55">
        <v>45853</v>
      </c>
      <c r="E216" s="39"/>
      <c r="F216" s="39" t="s">
        <v>5558</v>
      </c>
      <c r="G216" s="39" t="s">
        <v>5862</v>
      </c>
      <c r="H216" s="56">
        <v>0</v>
      </c>
      <c r="I216" s="56">
        <v>262.5</v>
      </c>
      <c r="J216" s="10">
        <f t="shared" si="0"/>
        <v>262.5</v>
      </c>
    </row>
    <row r="217" spans="1:17" x14ac:dyDescent="0.3">
      <c r="A217" s="54" t="s">
        <v>5523</v>
      </c>
      <c r="B217" s="39" t="s">
        <v>5863</v>
      </c>
      <c r="C217" s="55">
        <v>45862</v>
      </c>
      <c r="D217" s="55">
        <v>45862</v>
      </c>
      <c r="E217" s="39"/>
      <c r="F217" s="39" t="s">
        <v>5558</v>
      </c>
      <c r="G217" s="39" t="s">
        <v>5864</v>
      </c>
      <c r="H217" s="56">
        <v>0</v>
      </c>
      <c r="I217" s="56">
        <v>262.5</v>
      </c>
      <c r="J217" s="10">
        <f t="shared" si="0"/>
        <v>262.5</v>
      </c>
    </row>
    <row r="218" spans="1:17" x14ac:dyDescent="0.3">
      <c r="A218" s="54" t="s">
        <v>5523</v>
      </c>
      <c r="B218" s="39" t="s">
        <v>5865</v>
      </c>
      <c r="C218" s="55">
        <v>45664</v>
      </c>
      <c r="D218" s="55">
        <v>45664</v>
      </c>
      <c r="E218" s="39"/>
      <c r="F218" s="39" t="s">
        <v>5558</v>
      </c>
      <c r="G218" s="39" t="s">
        <v>5866</v>
      </c>
      <c r="H218" s="56">
        <v>0</v>
      </c>
      <c r="I218" s="56">
        <v>263</v>
      </c>
      <c r="J218" s="10">
        <f t="shared" si="0"/>
        <v>263</v>
      </c>
      <c r="K218" s="84"/>
      <c r="L218" s="84"/>
      <c r="M218" s="84"/>
      <c r="N218" s="1"/>
    </row>
    <row r="219" spans="1:17" x14ac:dyDescent="0.3">
      <c r="A219" s="41" t="s">
        <v>5523</v>
      </c>
      <c r="B219" s="53" t="s">
        <v>5867</v>
      </c>
      <c r="C219" s="48">
        <v>45590</v>
      </c>
      <c r="D219" s="48">
        <v>45590</v>
      </c>
      <c r="E219" s="53" t="s">
        <v>5558</v>
      </c>
      <c r="F219" s="45"/>
      <c r="G219" s="53" t="s">
        <v>5868</v>
      </c>
      <c r="H219" s="78">
        <v>0</v>
      </c>
      <c r="I219" s="78">
        <v>263</v>
      </c>
      <c r="J219" s="10">
        <f t="shared" si="0"/>
        <v>263</v>
      </c>
    </row>
    <row r="220" spans="1:17" x14ac:dyDescent="0.3">
      <c r="A220" s="54" t="s">
        <v>5523</v>
      </c>
      <c r="B220" s="39" t="s">
        <v>5869</v>
      </c>
      <c r="C220" s="55">
        <v>45638</v>
      </c>
      <c r="D220" s="55">
        <v>45638</v>
      </c>
      <c r="E220" s="55"/>
      <c r="F220" s="39" t="s">
        <v>5558</v>
      </c>
      <c r="G220" s="39" t="s">
        <v>5870</v>
      </c>
      <c r="H220" s="56">
        <v>0</v>
      </c>
      <c r="I220" s="56">
        <v>297.22000000000003</v>
      </c>
      <c r="J220" s="10">
        <f t="shared" si="0"/>
        <v>297.22000000000003</v>
      </c>
    </row>
    <row r="221" spans="1:17" x14ac:dyDescent="0.3">
      <c r="A221" s="54" t="s">
        <v>5523</v>
      </c>
      <c r="B221" s="39" t="s">
        <v>5871</v>
      </c>
      <c r="C221" s="55">
        <v>45824</v>
      </c>
      <c r="D221" s="55">
        <v>45824</v>
      </c>
      <c r="E221" s="39"/>
      <c r="F221" s="39" t="s">
        <v>5558</v>
      </c>
      <c r="G221" s="39" t="s">
        <v>5872</v>
      </c>
      <c r="H221" s="56">
        <v>0</v>
      </c>
      <c r="I221" s="56">
        <v>315</v>
      </c>
      <c r="J221" s="10">
        <f t="shared" si="0"/>
        <v>315</v>
      </c>
      <c r="O221" s="1"/>
      <c r="P221" s="1"/>
    </row>
    <row r="222" spans="1:17" x14ac:dyDescent="0.3">
      <c r="A222" s="54" t="s">
        <v>5523</v>
      </c>
      <c r="B222" s="39" t="s">
        <v>5873</v>
      </c>
      <c r="C222" s="55">
        <v>45803</v>
      </c>
      <c r="D222" s="55">
        <v>45803</v>
      </c>
      <c r="E222" s="39"/>
      <c r="F222" s="39" t="s">
        <v>5873</v>
      </c>
      <c r="G222" s="39" t="s">
        <v>5874</v>
      </c>
      <c r="H222" s="56">
        <v>0</v>
      </c>
      <c r="I222" s="56">
        <v>475.66</v>
      </c>
      <c r="J222" s="10">
        <f t="shared" si="0"/>
        <v>475.66</v>
      </c>
    </row>
    <row r="223" spans="1:17" x14ac:dyDescent="0.3">
      <c r="A223" s="54" t="s">
        <v>5523</v>
      </c>
      <c r="B223" s="39" t="s">
        <v>5875</v>
      </c>
      <c r="C223" s="55">
        <v>45741</v>
      </c>
      <c r="D223" s="55">
        <v>45741</v>
      </c>
      <c r="E223" s="39"/>
      <c r="F223" s="39" t="s">
        <v>5558</v>
      </c>
      <c r="G223" s="39" t="s">
        <v>5876</v>
      </c>
      <c r="H223" s="56">
        <v>0</v>
      </c>
      <c r="I223" s="56">
        <v>480.5</v>
      </c>
      <c r="J223" s="10">
        <f t="shared" si="0"/>
        <v>480.5</v>
      </c>
      <c r="N223" s="1"/>
      <c r="O223" s="1"/>
    </row>
    <row r="224" spans="1:17" x14ac:dyDescent="0.3">
      <c r="A224" s="54" t="s">
        <v>5523</v>
      </c>
      <c r="B224" s="39" t="s">
        <v>5877</v>
      </c>
      <c r="C224" s="55">
        <v>45838</v>
      </c>
      <c r="D224" s="55">
        <v>45838</v>
      </c>
      <c r="E224" s="39"/>
      <c r="F224" s="39" t="s">
        <v>5558</v>
      </c>
      <c r="G224" s="39" t="s">
        <v>5878</v>
      </c>
      <c r="H224" s="56">
        <v>0</v>
      </c>
      <c r="I224" s="56">
        <v>500</v>
      </c>
      <c r="J224" s="10">
        <f t="shared" si="0"/>
        <v>500</v>
      </c>
      <c r="N224" s="1"/>
      <c r="O224" s="1"/>
    </row>
    <row r="225" spans="1:17" x14ac:dyDescent="0.3">
      <c r="A225" s="54" t="s">
        <v>5523</v>
      </c>
      <c r="B225" s="39" t="s">
        <v>5879</v>
      </c>
      <c r="C225" s="55">
        <v>45811</v>
      </c>
      <c r="D225" s="55">
        <v>45811</v>
      </c>
      <c r="E225" s="39"/>
      <c r="F225" s="39" t="s">
        <v>5880</v>
      </c>
      <c r="G225" s="39" t="s">
        <v>5881</v>
      </c>
      <c r="H225" s="56">
        <v>0</v>
      </c>
      <c r="I225" s="56">
        <v>514.5</v>
      </c>
      <c r="J225" s="10">
        <f t="shared" si="0"/>
        <v>514.5</v>
      </c>
      <c r="K225" s="5">
        <f>I988</f>
        <v>0</v>
      </c>
      <c r="L225" s="5"/>
      <c r="M225" s="5"/>
      <c r="O225" s="1"/>
      <c r="P225" s="1"/>
    </row>
    <row r="226" spans="1:17" x14ac:dyDescent="0.3">
      <c r="A226" s="54" t="s">
        <v>5523</v>
      </c>
      <c r="B226" s="39" t="s">
        <v>5882</v>
      </c>
      <c r="C226" s="55">
        <v>45808</v>
      </c>
      <c r="D226" s="55">
        <v>45808</v>
      </c>
      <c r="E226" s="39"/>
      <c r="F226" s="39" t="s">
        <v>5883</v>
      </c>
      <c r="G226" s="39" t="s">
        <v>5884</v>
      </c>
      <c r="H226" s="56">
        <v>0</v>
      </c>
      <c r="I226" s="56">
        <v>525</v>
      </c>
      <c r="J226" s="10">
        <f t="shared" si="0"/>
        <v>525</v>
      </c>
      <c r="P226" s="1"/>
      <c r="Q226" s="1"/>
    </row>
    <row r="227" spans="1:17" x14ac:dyDescent="0.3">
      <c r="A227" s="54" t="s">
        <v>5523</v>
      </c>
      <c r="B227" s="39" t="s">
        <v>5885</v>
      </c>
      <c r="C227" s="55">
        <v>45808</v>
      </c>
      <c r="D227" s="55">
        <v>45808</v>
      </c>
      <c r="E227" s="39"/>
      <c r="F227" s="39" t="s">
        <v>5558</v>
      </c>
      <c r="G227" s="39" t="s">
        <v>5886</v>
      </c>
      <c r="H227" s="56">
        <v>0</v>
      </c>
      <c r="I227" s="56">
        <v>525</v>
      </c>
      <c r="J227" s="10">
        <f t="shared" si="0"/>
        <v>525</v>
      </c>
      <c r="P227" s="1"/>
      <c r="Q227" s="1"/>
    </row>
    <row r="228" spans="1:17" x14ac:dyDescent="0.3">
      <c r="A228" s="54" t="s">
        <v>5523</v>
      </c>
      <c r="B228" s="39" t="s">
        <v>5887</v>
      </c>
      <c r="C228" s="55">
        <v>45838</v>
      </c>
      <c r="D228" s="55">
        <v>45838</v>
      </c>
      <c r="E228" s="39"/>
      <c r="F228" s="39" t="s">
        <v>5558</v>
      </c>
      <c r="G228" s="39" t="s">
        <v>5888</v>
      </c>
      <c r="H228" s="56">
        <v>0</v>
      </c>
      <c r="I228" s="56">
        <v>525</v>
      </c>
      <c r="J228" s="10">
        <f t="shared" si="0"/>
        <v>525</v>
      </c>
      <c r="N228" s="1"/>
      <c r="O228" s="1"/>
    </row>
    <row r="229" spans="1:17" x14ac:dyDescent="0.3">
      <c r="A229" s="54" t="s">
        <v>5523</v>
      </c>
      <c r="B229" s="39" t="s">
        <v>5889</v>
      </c>
      <c r="C229" s="55">
        <v>45842</v>
      </c>
      <c r="D229" s="55">
        <v>45842</v>
      </c>
      <c r="E229" s="39"/>
      <c r="F229" s="39" t="s">
        <v>5558</v>
      </c>
      <c r="G229" s="39" t="s">
        <v>5890</v>
      </c>
      <c r="H229" s="56">
        <v>0</v>
      </c>
      <c r="I229" s="56">
        <v>525</v>
      </c>
      <c r="J229" s="10">
        <f t="shared" ref="J229:J294" si="1">H229+I229</f>
        <v>525</v>
      </c>
    </row>
    <row r="230" spans="1:17" x14ac:dyDescent="0.3">
      <c r="A230" s="54" t="s">
        <v>5523</v>
      </c>
      <c r="B230" s="39" t="s">
        <v>5891</v>
      </c>
      <c r="C230" s="55">
        <v>45843</v>
      </c>
      <c r="D230" s="55">
        <v>45843</v>
      </c>
      <c r="E230" s="39"/>
      <c r="F230" s="39" t="s">
        <v>5891</v>
      </c>
      <c r="G230" s="39" t="s">
        <v>5892</v>
      </c>
      <c r="H230" s="56">
        <v>0</v>
      </c>
      <c r="I230" s="56">
        <v>525</v>
      </c>
      <c r="J230" s="10">
        <f t="shared" si="1"/>
        <v>525</v>
      </c>
    </row>
    <row r="231" spans="1:17" x14ac:dyDescent="0.3">
      <c r="A231" s="54" t="s">
        <v>5523</v>
      </c>
      <c r="B231" s="39" t="s">
        <v>5893</v>
      </c>
      <c r="C231" s="55">
        <v>45851</v>
      </c>
      <c r="D231" s="55">
        <v>45851</v>
      </c>
      <c r="E231" s="39"/>
      <c r="F231" s="39" t="s">
        <v>5894</v>
      </c>
      <c r="G231" s="39" t="s">
        <v>5780</v>
      </c>
      <c r="H231" s="56">
        <v>0</v>
      </c>
      <c r="I231" s="56">
        <v>525</v>
      </c>
      <c r="J231" s="10">
        <f t="shared" si="1"/>
        <v>525</v>
      </c>
    </row>
    <row r="232" spans="1:17" x14ac:dyDescent="0.3">
      <c r="A232" s="54" t="s">
        <v>5523</v>
      </c>
      <c r="B232" s="39" t="s">
        <v>5895</v>
      </c>
      <c r="C232" s="55">
        <v>45783</v>
      </c>
      <c r="D232" s="55">
        <v>45783</v>
      </c>
      <c r="E232" s="39"/>
      <c r="F232" s="39" t="s">
        <v>5896</v>
      </c>
      <c r="G232" s="39" t="s">
        <v>5897</v>
      </c>
      <c r="H232" s="56">
        <v>0</v>
      </c>
      <c r="I232" s="56">
        <v>526.25</v>
      </c>
      <c r="J232" s="10">
        <f t="shared" si="1"/>
        <v>526.25</v>
      </c>
      <c r="N232" s="1"/>
      <c r="O232" s="1"/>
    </row>
    <row r="233" spans="1:17" x14ac:dyDescent="0.3">
      <c r="A233" s="54" t="s">
        <v>5523</v>
      </c>
      <c r="B233" s="39" t="s">
        <v>5898</v>
      </c>
      <c r="C233" s="55">
        <v>45867</v>
      </c>
      <c r="D233" s="55">
        <v>45867</v>
      </c>
      <c r="E233" s="39"/>
      <c r="F233" s="39" t="s">
        <v>5558</v>
      </c>
      <c r="G233" s="39" t="s">
        <v>5899</v>
      </c>
      <c r="H233" s="56">
        <v>0</v>
      </c>
      <c r="I233" s="56">
        <v>550</v>
      </c>
      <c r="J233" s="10">
        <f t="shared" si="1"/>
        <v>550</v>
      </c>
    </row>
    <row r="234" spans="1:17" x14ac:dyDescent="0.3">
      <c r="A234" s="39" t="s">
        <v>5523</v>
      </c>
      <c r="B234" s="39" t="s">
        <v>5900</v>
      </c>
      <c r="C234" s="55">
        <v>45681</v>
      </c>
      <c r="D234" s="55">
        <v>45681</v>
      </c>
      <c r="E234" s="39"/>
      <c r="F234" s="39" t="s">
        <v>5558</v>
      </c>
      <c r="G234" s="39" t="s">
        <v>5901</v>
      </c>
      <c r="H234" s="56">
        <v>0</v>
      </c>
      <c r="I234" s="56">
        <v>733.75</v>
      </c>
      <c r="J234" s="10">
        <f t="shared" si="1"/>
        <v>733.75</v>
      </c>
    </row>
    <row r="235" spans="1:17" x14ac:dyDescent="0.3">
      <c r="A235" s="39" t="s">
        <v>5578</v>
      </c>
      <c r="B235" s="39" t="s">
        <v>71</v>
      </c>
      <c r="C235" s="55">
        <v>45855</v>
      </c>
      <c r="D235" s="55">
        <v>45855</v>
      </c>
      <c r="E235" s="39">
        <v>12615</v>
      </c>
      <c r="F235" s="39">
        <v>361</v>
      </c>
      <c r="G235" s="69" t="s">
        <v>5902</v>
      </c>
      <c r="H235" s="56">
        <v>0</v>
      </c>
      <c r="I235" s="56">
        <v>787.5</v>
      </c>
      <c r="J235" s="10">
        <f t="shared" si="1"/>
        <v>787.5</v>
      </c>
    </row>
    <row r="236" spans="1:17" x14ac:dyDescent="0.3">
      <c r="A236" s="54" t="s">
        <v>5523</v>
      </c>
      <c r="B236" s="39" t="s">
        <v>5903</v>
      </c>
      <c r="C236" s="55">
        <v>45869</v>
      </c>
      <c r="D236" s="55">
        <v>45869</v>
      </c>
      <c r="E236" s="39"/>
      <c r="F236" s="39" t="s">
        <v>5558</v>
      </c>
      <c r="G236" s="39" t="s">
        <v>5904</v>
      </c>
      <c r="H236" s="56">
        <v>0</v>
      </c>
      <c r="I236" s="56">
        <v>805.25</v>
      </c>
      <c r="J236" s="10">
        <f t="shared" si="1"/>
        <v>805.25</v>
      </c>
    </row>
    <row r="237" spans="1:17" x14ac:dyDescent="0.3">
      <c r="A237" s="39" t="s">
        <v>5523</v>
      </c>
      <c r="B237" s="85">
        <v>1</v>
      </c>
      <c r="C237" s="55">
        <v>45723</v>
      </c>
      <c r="D237" s="55">
        <v>45723</v>
      </c>
      <c r="E237" s="39"/>
      <c r="F237" s="39" t="s">
        <v>5558</v>
      </c>
      <c r="G237" s="39" t="s">
        <v>2258</v>
      </c>
      <c r="H237" s="56">
        <v>0</v>
      </c>
      <c r="I237" s="56">
        <v>1000</v>
      </c>
      <c r="J237" s="10">
        <f t="shared" si="1"/>
        <v>1000</v>
      </c>
      <c r="K237" s="64"/>
      <c r="L237" s="5"/>
      <c r="M237" s="5"/>
      <c r="N237" s="5"/>
    </row>
    <row r="238" spans="1:17" x14ac:dyDescent="0.3">
      <c r="A238" s="54" t="s">
        <v>5523</v>
      </c>
      <c r="B238" s="39" t="s">
        <v>5569</v>
      </c>
      <c r="C238" s="55">
        <v>45847</v>
      </c>
      <c r="D238" s="55">
        <v>45847</v>
      </c>
      <c r="E238" s="39"/>
      <c r="F238" s="39" t="s">
        <v>5558</v>
      </c>
      <c r="G238" s="39" t="s">
        <v>2258</v>
      </c>
      <c r="H238" s="56"/>
      <c r="I238" s="56">
        <v>1005.25</v>
      </c>
      <c r="J238" s="10">
        <f t="shared" si="1"/>
        <v>1005.25</v>
      </c>
    </row>
    <row r="239" spans="1:17" x14ac:dyDescent="0.3">
      <c r="A239" s="54" t="s">
        <v>5523</v>
      </c>
      <c r="B239" s="39" t="s">
        <v>5905</v>
      </c>
      <c r="C239" s="55">
        <v>45701</v>
      </c>
      <c r="D239" s="55">
        <v>45701</v>
      </c>
      <c r="E239" s="39"/>
      <c r="F239" s="39" t="s">
        <v>5906</v>
      </c>
      <c r="G239" s="39" t="s">
        <v>5907</v>
      </c>
      <c r="H239" s="56">
        <v>0</v>
      </c>
      <c r="I239" s="56">
        <v>1050</v>
      </c>
      <c r="J239" s="10">
        <f t="shared" si="1"/>
        <v>1050</v>
      </c>
      <c r="K239" s="64"/>
      <c r="L239" s="1"/>
      <c r="M239" s="1"/>
    </row>
    <row r="240" spans="1:17" x14ac:dyDescent="0.3">
      <c r="A240" s="54" t="s">
        <v>5523</v>
      </c>
      <c r="B240" s="39" t="s">
        <v>5569</v>
      </c>
      <c r="C240" s="55">
        <v>45811</v>
      </c>
      <c r="D240" s="55">
        <v>45811</v>
      </c>
      <c r="E240" s="39"/>
      <c r="F240" s="39" t="s">
        <v>5558</v>
      </c>
      <c r="G240" s="39" t="s">
        <v>2258</v>
      </c>
      <c r="H240" s="56">
        <v>0</v>
      </c>
      <c r="I240" s="56">
        <v>1050</v>
      </c>
      <c r="J240" s="10">
        <f t="shared" si="1"/>
        <v>1050</v>
      </c>
      <c r="O240" s="1"/>
      <c r="P240" s="1"/>
    </row>
    <row r="241" spans="1:16" x14ac:dyDescent="0.3">
      <c r="A241" s="54" t="s">
        <v>5523</v>
      </c>
      <c r="B241" s="39" t="s">
        <v>5908</v>
      </c>
      <c r="C241" s="55">
        <v>45866</v>
      </c>
      <c r="D241" s="55">
        <v>45866</v>
      </c>
      <c r="E241" s="39"/>
      <c r="F241" s="39" t="s">
        <v>5558</v>
      </c>
      <c r="G241" s="39" t="s">
        <v>5909</v>
      </c>
      <c r="H241" s="56">
        <v>0</v>
      </c>
      <c r="I241" s="56">
        <v>1500</v>
      </c>
      <c r="J241" s="10">
        <f>H241+I241</f>
        <v>1500</v>
      </c>
      <c r="K241" s="2"/>
    </row>
    <row r="242" spans="1:16" x14ac:dyDescent="0.3">
      <c r="A242" s="54" t="s">
        <v>5578</v>
      </c>
      <c r="B242" s="39" t="s">
        <v>75</v>
      </c>
      <c r="C242" s="55">
        <v>45869</v>
      </c>
      <c r="D242" s="55">
        <v>45869</v>
      </c>
      <c r="E242" s="39">
        <v>142772</v>
      </c>
      <c r="F242" s="39">
        <v>92</v>
      </c>
      <c r="G242" s="69" t="s">
        <v>5910</v>
      </c>
      <c r="H242" s="86">
        <v>1500</v>
      </c>
      <c r="I242" s="86">
        <v>0</v>
      </c>
      <c r="J242" s="10">
        <f>H242+I242</f>
        <v>1500</v>
      </c>
      <c r="K242" s="2"/>
    </row>
    <row r="243" spans="1:16" x14ac:dyDescent="0.3">
      <c r="A243" s="54" t="s">
        <v>5523</v>
      </c>
      <c r="B243" s="39" t="s">
        <v>5911</v>
      </c>
      <c r="C243" s="55">
        <v>45811</v>
      </c>
      <c r="D243" s="55">
        <v>45811</v>
      </c>
      <c r="E243" s="39"/>
      <c r="F243" s="39" t="s">
        <v>5854</v>
      </c>
      <c r="G243" s="39" t="s">
        <v>5912</v>
      </c>
      <c r="H243" s="56">
        <v>0</v>
      </c>
      <c r="I243" s="56">
        <v>1575</v>
      </c>
      <c r="J243" s="10">
        <f t="shared" si="1"/>
        <v>1575</v>
      </c>
      <c r="K243" s="2"/>
      <c r="O243" s="1"/>
      <c r="P243" s="1"/>
    </row>
    <row r="244" spans="1:16" x14ac:dyDescent="0.3">
      <c r="A244" s="54" t="s">
        <v>5523</v>
      </c>
      <c r="B244" s="39" t="s">
        <v>5913</v>
      </c>
      <c r="C244" s="55">
        <v>45868</v>
      </c>
      <c r="D244" s="55">
        <v>45868</v>
      </c>
      <c r="E244" s="39"/>
      <c r="F244" s="39" t="s">
        <v>5914</v>
      </c>
      <c r="G244" s="39" t="s">
        <v>5915</v>
      </c>
      <c r="H244" s="56">
        <v>0</v>
      </c>
      <c r="I244" s="56">
        <v>1800</v>
      </c>
      <c r="J244" s="10">
        <f t="shared" si="1"/>
        <v>1800</v>
      </c>
    </row>
    <row r="245" spans="1:16" x14ac:dyDescent="0.3">
      <c r="A245" s="54" t="s">
        <v>5523</v>
      </c>
      <c r="B245" s="39" t="s">
        <v>5916</v>
      </c>
      <c r="C245" s="55">
        <v>45781</v>
      </c>
      <c r="D245" s="55">
        <v>45781</v>
      </c>
      <c r="E245" s="39"/>
      <c r="F245" s="39" t="s">
        <v>5558</v>
      </c>
      <c r="G245" s="39" t="s">
        <v>5917</v>
      </c>
      <c r="H245" s="56">
        <v>0</v>
      </c>
      <c r="I245" s="56">
        <v>1935.3</v>
      </c>
      <c r="J245" s="10">
        <f t="shared" si="1"/>
        <v>1935.3</v>
      </c>
      <c r="N245" s="1"/>
      <c r="O245" s="1"/>
    </row>
    <row r="246" spans="1:16" x14ac:dyDescent="0.3">
      <c r="A246" s="39" t="s">
        <v>5523</v>
      </c>
      <c r="B246" s="39" t="s">
        <v>5918</v>
      </c>
      <c r="C246" s="55">
        <v>45856</v>
      </c>
      <c r="D246" s="55">
        <v>45856</v>
      </c>
      <c r="E246" s="39"/>
      <c r="F246" s="39" t="s">
        <v>5919</v>
      </c>
      <c r="G246" s="39" t="s">
        <v>5920</v>
      </c>
      <c r="H246" s="56">
        <v>0</v>
      </c>
      <c r="I246" s="56">
        <v>2081.25</v>
      </c>
      <c r="J246" s="10">
        <f t="shared" si="1"/>
        <v>2081.25</v>
      </c>
      <c r="K246" s="64"/>
      <c r="L246" s="64"/>
    </row>
    <row r="247" spans="1:16" x14ac:dyDescent="0.3">
      <c r="A247" s="54" t="s">
        <v>5523</v>
      </c>
      <c r="B247" s="39" t="s">
        <v>141</v>
      </c>
      <c r="C247" s="55">
        <v>45869</v>
      </c>
      <c r="D247" s="55">
        <v>45869</v>
      </c>
      <c r="E247" s="39"/>
      <c r="F247" s="39" t="s">
        <v>5558</v>
      </c>
      <c r="G247" s="39" t="s">
        <v>5921</v>
      </c>
      <c r="H247" s="56">
        <v>0</v>
      </c>
      <c r="I247" s="56">
        <v>2150</v>
      </c>
      <c r="J247" s="10">
        <f t="shared" si="1"/>
        <v>2150</v>
      </c>
    </row>
    <row r="248" spans="1:16" x14ac:dyDescent="0.3">
      <c r="A248" s="54" t="s">
        <v>5523</v>
      </c>
      <c r="B248" s="39" t="s">
        <v>5922</v>
      </c>
      <c r="C248" s="55">
        <v>45869</v>
      </c>
      <c r="D248" s="55">
        <v>45869</v>
      </c>
      <c r="E248" s="39"/>
      <c r="F248" s="39" t="s">
        <v>5558</v>
      </c>
      <c r="G248" s="39" t="s">
        <v>5923</v>
      </c>
      <c r="H248" s="56">
        <v>0</v>
      </c>
      <c r="I248" s="56">
        <v>2290</v>
      </c>
      <c r="J248" s="10">
        <f t="shared" si="1"/>
        <v>2290</v>
      </c>
    </row>
    <row r="249" spans="1:16" x14ac:dyDescent="0.3">
      <c r="A249" s="39" t="s">
        <v>5523</v>
      </c>
      <c r="B249" s="39" t="s">
        <v>5924</v>
      </c>
      <c r="C249" s="55">
        <v>45829</v>
      </c>
      <c r="D249" s="55">
        <v>45829</v>
      </c>
      <c r="E249" s="39"/>
      <c r="F249" s="39" t="s">
        <v>5558</v>
      </c>
      <c r="G249" s="39" t="s">
        <v>5925</v>
      </c>
      <c r="H249" s="56">
        <v>0</v>
      </c>
      <c r="I249" s="56">
        <v>2400</v>
      </c>
      <c r="J249" s="10">
        <f t="shared" si="1"/>
        <v>2400</v>
      </c>
      <c r="M249" s="1"/>
      <c r="N249" s="1"/>
    </row>
    <row r="250" spans="1:16" x14ac:dyDescent="0.3">
      <c r="A250" s="54" t="s">
        <v>5523</v>
      </c>
      <c r="B250" s="39" t="s">
        <v>5569</v>
      </c>
      <c r="C250" s="55">
        <v>45868</v>
      </c>
      <c r="D250" s="55">
        <v>45868</v>
      </c>
      <c r="E250" s="39"/>
      <c r="F250" s="39" t="s">
        <v>5558</v>
      </c>
      <c r="G250" s="39" t="s">
        <v>2258</v>
      </c>
      <c r="H250" s="56">
        <v>0</v>
      </c>
      <c r="I250" s="56">
        <v>2426.25</v>
      </c>
      <c r="J250" s="10">
        <f t="shared" si="1"/>
        <v>2426.25</v>
      </c>
    </row>
    <row r="251" spans="1:16" x14ac:dyDescent="0.3">
      <c r="A251" s="54" t="s">
        <v>5523</v>
      </c>
      <c r="B251" s="39" t="s">
        <v>5926</v>
      </c>
      <c r="C251" s="55">
        <v>45849</v>
      </c>
      <c r="D251" s="55">
        <v>45849</v>
      </c>
      <c r="E251" s="39"/>
      <c r="F251" s="39" t="s">
        <v>5558</v>
      </c>
      <c r="G251" s="39" t="s">
        <v>5927</v>
      </c>
      <c r="H251" s="56">
        <v>0</v>
      </c>
      <c r="I251" s="56">
        <v>2457.46</v>
      </c>
      <c r="J251" s="10">
        <f t="shared" si="1"/>
        <v>2457.46</v>
      </c>
    </row>
    <row r="252" spans="1:16" x14ac:dyDescent="0.3">
      <c r="A252" s="54" t="s">
        <v>5523</v>
      </c>
      <c r="B252" s="39" t="s">
        <v>5928</v>
      </c>
      <c r="C252" s="55">
        <v>45869</v>
      </c>
      <c r="D252" s="55">
        <v>45869</v>
      </c>
      <c r="E252" s="39"/>
      <c r="F252" s="39" t="s">
        <v>5929</v>
      </c>
      <c r="G252" s="39" t="s">
        <v>5930</v>
      </c>
      <c r="H252" s="56">
        <v>0</v>
      </c>
      <c r="I252" s="56">
        <v>2500</v>
      </c>
      <c r="J252" s="10">
        <f t="shared" si="1"/>
        <v>2500</v>
      </c>
    </row>
    <row r="253" spans="1:16" x14ac:dyDescent="0.3">
      <c r="A253" s="39" t="s">
        <v>5523</v>
      </c>
      <c r="B253" s="39" t="s">
        <v>5931</v>
      </c>
      <c r="C253" s="55">
        <v>45708</v>
      </c>
      <c r="D253" s="55">
        <v>45708</v>
      </c>
      <c r="E253" s="39"/>
      <c r="F253" s="39" t="s">
        <v>5932</v>
      </c>
      <c r="G253" s="39" t="s">
        <v>5933</v>
      </c>
      <c r="H253" s="56">
        <v>0</v>
      </c>
      <c r="I253" s="56">
        <v>2812.75</v>
      </c>
      <c r="J253" s="10">
        <f t="shared" si="1"/>
        <v>2812.75</v>
      </c>
      <c r="N253" s="1"/>
      <c r="O253" s="1"/>
    </row>
    <row r="254" spans="1:16" x14ac:dyDescent="0.3">
      <c r="A254" s="39" t="s">
        <v>5523</v>
      </c>
      <c r="B254" s="39" t="s">
        <v>5934</v>
      </c>
      <c r="C254" s="55">
        <v>45723</v>
      </c>
      <c r="D254" s="55">
        <v>45723</v>
      </c>
      <c r="E254" s="39"/>
      <c r="F254" s="39" t="s">
        <v>5558</v>
      </c>
      <c r="G254" s="39" t="s">
        <v>5935</v>
      </c>
      <c r="H254" s="56">
        <v>0</v>
      </c>
      <c r="I254" s="56">
        <v>2945.75</v>
      </c>
      <c r="J254" s="10">
        <f t="shared" si="1"/>
        <v>2945.75</v>
      </c>
    </row>
    <row r="255" spans="1:16" x14ac:dyDescent="0.3">
      <c r="A255" s="54" t="s">
        <v>5523</v>
      </c>
      <c r="B255" s="39" t="s">
        <v>5936</v>
      </c>
      <c r="C255" s="55">
        <v>45869</v>
      </c>
      <c r="D255" s="55">
        <v>45869</v>
      </c>
      <c r="E255" s="39"/>
      <c r="F255" s="39" t="s">
        <v>5558</v>
      </c>
      <c r="G255" s="39" t="s">
        <v>5937</v>
      </c>
      <c r="H255" s="56">
        <v>0</v>
      </c>
      <c r="I255" s="56">
        <v>3025.25</v>
      </c>
      <c r="J255" s="10">
        <f t="shared" si="1"/>
        <v>3025.25</v>
      </c>
    </row>
    <row r="256" spans="1:16" x14ac:dyDescent="0.3">
      <c r="A256" s="54" t="s">
        <v>5523</v>
      </c>
      <c r="B256" s="39" t="s">
        <v>5569</v>
      </c>
      <c r="C256" s="55">
        <v>45869</v>
      </c>
      <c r="D256" s="55">
        <v>45869</v>
      </c>
      <c r="E256" s="39"/>
      <c r="F256" s="39" t="s">
        <v>5558</v>
      </c>
      <c r="G256" s="39" t="s">
        <v>2258</v>
      </c>
      <c r="H256" s="56">
        <v>0</v>
      </c>
      <c r="I256" s="56">
        <v>3379.2</v>
      </c>
      <c r="J256" s="10">
        <f t="shared" si="1"/>
        <v>3379.2</v>
      </c>
    </row>
    <row r="257" spans="1:14" x14ac:dyDescent="0.3">
      <c r="A257" s="54" t="s">
        <v>5523</v>
      </c>
      <c r="B257" s="39" t="s">
        <v>5569</v>
      </c>
      <c r="C257" s="55">
        <v>45869</v>
      </c>
      <c r="D257" s="55">
        <v>45869</v>
      </c>
      <c r="E257" s="39"/>
      <c r="F257" s="39" t="s">
        <v>5558</v>
      </c>
      <c r="G257" s="39" t="s">
        <v>2258</v>
      </c>
      <c r="H257" s="56">
        <v>0</v>
      </c>
      <c r="I257" s="56">
        <v>3503.7</v>
      </c>
      <c r="J257" s="10">
        <f t="shared" si="1"/>
        <v>3503.7</v>
      </c>
    </row>
    <row r="258" spans="1:14" x14ac:dyDescent="0.3">
      <c r="A258" s="41" t="s">
        <v>5523</v>
      </c>
      <c r="B258" s="53" t="s">
        <v>5938</v>
      </c>
      <c r="C258" s="48">
        <v>45589</v>
      </c>
      <c r="D258" s="48">
        <v>45589</v>
      </c>
      <c r="E258" s="53" t="s">
        <v>5558</v>
      </c>
      <c r="F258" s="45"/>
      <c r="G258" s="53" t="s">
        <v>5939</v>
      </c>
      <c r="H258" s="78">
        <v>0</v>
      </c>
      <c r="I258" s="56">
        <v>3570</v>
      </c>
      <c r="J258" s="10">
        <f t="shared" si="1"/>
        <v>3570</v>
      </c>
    </row>
    <row r="259" spans="1:14" x14ac:dyDescent="0.3">
      <c r="A259" s="54" t="s">
        <v>5523</v>
      </c>
      <c r="B259" s="39" t="s">
        <v>5940</v>
      </c>
      <c r="C259" s="55">
        <v>45868</v>
      </c>
      <c r="D259" s="55">
        <v>45868</v>
      </c>
      <c r="E259" s="39"/>
      <c r="F259" s="39" t="s">
        <v>5558</v>
      </c>
      <c r="G259" s="39" t="s">
        <v>5941</v>
      </c>
      <c r="H259" s="56">
        <v>0</v>
      </c>
      <c r="I259" s="56">
        <v>3579</v>
      </c>
      <c r="J259" s="10">
        <f t="shared" si="1"/>
        <v>3579</v>
      </c>
    </row>
    <row r="260" spans="1:14" x14ac:dyDescent="0.3">
      <c r="A260" s="54" t="s">
        <v>5523</v>
      </c>
      <c r="B260" s="39" t="s">
        <v>5942</v>
      </c>
      <c r="C260" s="55">
        <v>45864</v>
      </c>
      <c r="D260" s="55">
        <v>45864</v>
      </c>
      <c r="E260" s="39"/>
      <c r="F260" s="39" t="s">
        <v>5558</v>
      </c>
      <c r="G260" s="39" t="s">
        <v>5943</v>
      </c>
      <c r="H260" s="56">
        <v>0</v>
      </c>
      <c r="I260" s="56">
        <v>3600</v>
      </c>
      <c r="J260" s="10">
        <f t="shared" si="1"/>
        <v>3600</v>
      </c>
    </row>
    <row r="261" spans="1:14" x14ac:dyDescent="0.3">
      <c r="A261" s="54" t="s">
        <v>5523</v>
      </c>
      <c r="B261" s="39" t="s">
        <v>5944</v>
      </c>
      <c r="C261" s="55">
        <v>45868</v>
      </c>
      <c r="D261" s="55">
        <v>45868</v>
      </c>
      <c r="E261" s="39"/>
      <c r="F261" s="39" t="s">
        <v>5558</v>
      </c>
      <c r="G261" s="39" t="s">
        <v>5945</v>
      </c>
      <c r="H261" s="56">
        <v>0</v>
      </c>
      <c r="I261" s="56">
        <v>4000</v>
      </c>
      <c r="J261" s="10">
        <f t="shared" si="1"/>
        <v>4000</v>
      </c>
    </row>
    <row r="262" spans="1:14" x14ac:dyDescent="0.3">
      <c r="A262" s="54" t="s">
        <v>5523</v>
      </c>
      <c r="B262" s="39" t="s">
        <v>5569</v>
      </c>
      <c r="C262" s="55">
        <v>45868</v>
      </c>
      <c r="D262" s="55">
        <v>45868</v>
      </c>
      <c r="E262" s="39"/>
      <c r="F262" s="39" t="s">
        <v>5558</v>
      </c>
      <c r="G262" s="39" t="s">
        <v>2258</v>
      </c>
      <c r="H262" s="56">
        <v>0</v>
      </c>
      <c r="I262" s="56">
        <v>4608.5</v>
      </c>
      <c r="J262" s="10">
        <f t="shared" si="1"/>
        <v>4608.5</v>
      </c>
    </row>
    <row r="263" spans="1:14" x14ac:dyDescent="0.3">
      <c r="A263" s="54" t="s">
        <v>5523</v>
      </c>
      <c r="B263" s="39" t="s">
        <v>5569</v>
      </c>
      <c r="C263" s="55">
        <v>45869</v>
      </c>
      <c r="D263" s="55">
        <v>45869</v>
      </c>
      <c r="E263" s="39"/>
      <c r="F263" s="39" t="s">
        <v>5558</v>
      </c>
      <c r="G263" s="39" t="s">
        <v>5726</v>
      </c>
      <c r="H263" s="56">
        <v>0</v>
      </c>
      <c r="I263" s="56">
        <v>4995</v>
      </c>
      <c r="J263" s="10">
        <f t="shared" si="1"/>
        <v>4995</v>
      </c>
    </row>
    <row r="264" spans="1:14" x14ac:dyDescent="0.3">
      <c r="A264" s="54" t="s">
        <v>5523</v>
      </c>
      <c r="B264" s="39" t="s">
        <v>5946</v>
      </c>
      <c r="C264" s="55">
        <v>45869</v>
      </c>
      <c r="D264" s="55">
        <v>45869</v>
      </c>
      <c r="E264" s="39"/>
      <c r="F264" s="39" t="s">
        <v>5558</v>
      </c>
      <c r="G264" s="39" t="s">
        <v>5947</v>
      </c>
      <c r="H264" s="56">
        <v>0</v>
      </c>
      <c r="I264" s="56">
        <v>5026.5</v>
      </c>
      <c r="J264" s="10">
        <f t="shared" si="1"/>
        <v>5026.5</v>
      </c>
    </row>
    <row r="265" spans="1:14" x14ac:dyDescent="0.3">
      <c r="A265" s="54" t="s">
        <v>5523</v>
      </c>
      <c r="B265" s="39" t="s">
        <v>5948</v>
      </c>
      <c r="C265" s="55">
        <v>45869</v>
      </c>
      <c r="D265" s="55">
        <v>45869</v>
      </c>
      <c r="E265" s="39"/>
      <c r="F265" s="39" t="s">
        <v>5558</v>
      </c>
      <c r="G265" s="39" t="s">
        <v>5949</v>
      </c>
      <c r="H265" s="56">
        <v>0</v>
      </c>
      <c r="I265" s="56">
        <v>5126.25</v>
      </c>
      <c r="J265" s="10">
        <f t="shared" si="1"/>
        <v>5126.25</v>
      </c>
    </row>
    <row r="266" spans="1:14" x14ac:dyDescent="0.3">
      <c r="A266" s="54" t="s">
        <v>5523</v>
      </c>
      <c r="B266" s="39" t="s">
        <v>5950</v>
      </c>
      <c r="C266" s="55">
        <v>45866</v>
      </c>
      <c r="D266" s="55">
        <v>45866</v>
      </c>
      <c r="E266" s="39"/>
      <c r="F266" s="39" t="s">
        <v>5558</v>
      </c>
      <c r="G266" s="39" t="s">
        <v>5951</v>
      </c>
      <c r="H266" s="56">
        <v>0</v>
      </c>
      <c r="I266" s="56">
        <v>5525.23</v>
      </c>
      <c r="J266" s="10">
        <f t="shared" si="1"/>
        <v>5525.23</v>
      </c>
    </row>
    <row r="267" spans="1:14" x14ac:dyDescent="0.3">
      <c r="A267" s="39" t="s">
        <v>5523</v>
      </c>
      <c r="B267" s="39" t="s">
        <v>5952</v>
      </c>
      <c r="C267" s="55">
        <v>45860</v>
      </c>
      <c r="D267" s="55">
        <v>45860</v>
      </c>
      <c r="E267" s="39"/>
      <c r="F267" s="39" t="s">
        <v>5953</v>
      </c>
      <c r="G267" s="39" t="s">
        <v>5954</v>
      </c>
      <c r="H267" s="56">
        <v>0</v>
      </c>
      <c r="I267" s="56">
        <v>5633.96</v>
      </c>
      <c r="J267" s="10">
        <f t="shared" si="1"/>
        <v>5633.96</v>
      </c>
    </row>
    <row r="268" spans="1:14" x14ac:dyDescent="0.3">
      <c r="A268" s="54" t="s">
        <v>5523</v>
      </c>
      <c r="B268" s="39" t="s">
        <v>5955</v>
      </c>
      <c r="C268" s="55">
        <v>45832</v>
      </c>
      <c r="D268" s="55">
        <v>45832</v>
      </c>
      <c r="E268" s="39"/>
      <c r="F268" s="39" t="s">
        <v>5558</v>
      </c>
      <c r="G268" s="39" t="s">
        <v>5956</v>
      </c>
      <c r="H268" s="56">
        <v>0</v>
      </c>
      <c r="I268" s="56">
        <v>6000</v>
      </c>
      <c r="J268" s="10">
        <f t="shared" si="1"/>
        <v>6000</v>
      </c>
      <c r="M268" s="1"/>
      <c r="N268" s="1"/>
    </row>
    <row r="269" spans="1:14" x14ac:dyDescent="0.3">
      <c r="A269" s="54" t="s">
        <v>5523</v>
      </c>
      <c r="B269" s="39" t="s">
        <v>5569</v>
      </c>
      <c r="C269" s="55">
        <v>45869</v>
      </c>
      <c r="D269" s="55">
        <v>45869</v>
      </c>
      <c r="E269" s="39"/>
      <c r="F269" s="39" t="s">
        <v>5558</v>
      </c>
      <c r="G269" s="39" t="s">
        <v>2258</v>
      </c>
      <c r="H269" s="56">
        <v>0</v>
      </c>
      <c r="I269" s="56">
        <v>6000</v>
      </c>
      <c r="J269" s="10">
        <f t="shared" si="1"/>
        <v>6000</v>
      </c>
    </row>
    <row r="270" spans="1:14" x14ac:dyDescent="0.3">
      <c r="A270" s="54" t="s">
        <v>5523</v>
      </c>
      <c r="B270" s="39" t="s">
        <v>5957</v>
      </c>
      <c r="C270" s="55">
        <v>45869</v>
      </c>
      <c r="D270" s="55">
        <v>45869</v>
      </c>
      <c r="E270" s="39"/>
      <c r="F270" s="39" t="s">
        <v>5558</v>
      </c>
      <c r="G270" s="39" t="s">
        <v>5958</v>
      </c>
      <c r="H270" s="56">
        <v>0</v>
      </c>
      <c r="I270" s="56">
        <v>6003.15</v>
      </c>
      <c r="J270" s="10">
        <f t="shared" si="1"/>
        <v>6003.15</v>
      </c>
    </row>
    <row r="271" spans="1:14" x14ac:dyDescent="0.3">
      <c r="A271" s="54" t="s">
        <v>5523</v>
      </c>
      <c r="B271" s="39" t="s">
        <v>5959</v>
      </c>
      <c r="C271" s="55">
        <v>45869</v>
      </c>
      <c r="D271" s="55">
        <v>45869</v>
      </c>
      <c r="E271" s="39"/>
      <c r="F271" s="39" t="s">
        <v>5558</v>
      </c>
      <c r="G271" s="39" t="s">
        <v>5960</v>
      </c>
      <c r="H271" s="56">
        <v>0</v>
      </c>
      <c r="I271" s="56">
        <v>6342.5</v>
      </c>
      <c r="J271" s="10">
        <f t="shared" si="1"/>
        <v>6342.5</v>
      </c>
    </row>
    <row r="272" spans="1:14" x14ac:dyDescent="0.3">
      <c r="A272" s="54" t="s">
        <v>5578</v>
      </c>
      <c r="B272" s="39" t="s">
        <v>71</v>
      </c>
      <c r="C272" s="55">
        <v>45848</v>
      </c>
      <c r="D272" s="55">
        <v>45867</v>
      </c>
      <c r="E272" s="39">
        <v>13217</v>
      </c>
      <c r="F272" s="39">
        <v>46</v>
      </c>
      <c r="G272" s="69" t="s">
        <v>5961</v>
      </c>
      <c r="H272" s="56">
        <v>0</v>
      </c>
      <c r="I272" s="56">
        <v>6957.5</v>
      </c>
      <c r="J272" s="10">
        <f t="shared" si="1"/>
        <v>6957.5</v>
      </c>
    </row>
    <row r="273" spans="1:11" x14ac:dyDescent="0.3">
      <c r="A273" s="54" t="s">
        <v>5523</v>
      </c>
      <c r="B273" s="39" t="s">
        <v>5962</v>
      </c>
      <c r="C273" s="55">
        <v>45867</v>
      </c>
      <c r="D273" s="55">
        <v>45867</v>
      </c>
      <c r="E273" s="39"/>
      <c r="F273" s="39" t="s">
        <v>5558</v>
      </c>
      <c r="G273" s="39" t="s">
        <v>5963</v>
      </c>
      <c r="H273" s="56">
        <v>0</v>
      </c>
      <c r="I273" s="56">
        <v>7005.25</v>
      </c>
      <c r="J273" s="10">
        <f t="shared" si="1"/>
        <v>7005.25</v>
      </c>
    </row>
    <row r="274" spans="1:11" x14ac:dyDescent="0.3">
      <c r="A274" s="54" t="s">
        <v>5523</v>
      </c>
      <c r="B274" s="39" t="s">
        <v>5964</v>
      </c>
      <c r="C274" s="55">
        <v>45869</v>
      </c>
      <c r="D274" s="55">
        <v>45869</v>
      </c>
      <c r="E274" s="39"/>
      <c r="F274" s="39" t="s">
        <v>5965</v>
      </c>
      <c r="G274" s="39" t="s">
        <v>5803</v>
      </c>
      <c r="H274" s="56">
        <v>0</v>
      </c>
      <c r="I274" s="56">
        <v>7010.5</v>
      </c>
      <c r="J274" s="10">
        <f t="shared" si="1"/>
        <v>7010.5</v>
      </c>
    </row>
    <row r="275" spans="1:11" x14ac:dyDescent="0.3">
      <c r="A275" s="54" t="s">
        <v>5523</v>
      </c>
      <c r="B275" s="39" t="s">
        <v>5966</v>
      </c>
      <c r="C275" s="55">
        <v>45869</v>
      </c>
      <c r="D275" s="55">
        <v>45869</v>
      </c>
      <c r="E275" s="39"/>
      <c r="F275" s="39" t="s">
        <v>5558</v>
      </c>
      <c r="G275" s="39" t="s">
        <v>5967</v>
      </c>
      <c r="H275" s="56">
        <v>0</v>
      </c>
      <c r="I275" s="56">
        <v>7214</v>
      </c>
      <c r="J275" s="10">
        <f t="shared" si="1"/>
        <v>7214</v>
      </c>
    </row>
    <row r="276" spans="1:11" x14ac:dyDescent="0.3">
      <c r="A276" s="54" t="s">
        <v>5523</v>
      </c>
      <c r="B276" s="39" t="s">
        <v>5968</v>
      </c>
      <c r="C276" s="55">
        <v>45861</v>
      </c>
      <c r="D276" s="55">
        <v>45861</v>
      </c>
      <c r="E276" s="39"/>
      <c r="F276" s="39" t="s">
        <v>5558</v>
      </c>
      <c r="G276" s="39" t="s">
        <v>5969</v>
      </c>
      <c r="H276" s="87">
        <v>7500</v>
      </c>
      <c r="I276" s="56">
        <v>0</v>
      </c>
      <c r="J276" s="10">
        <f t="shared" si="1"/>
        <v>7500</v>
      </c>
      <c r="K276" s="2"/>
    </row>
    <row r="277" spans="1:11" x14ac:dyDescent="0.3">
      <c r="A277" s="54" t="s">
        <v>5523</v>
      </c>
      <c r="B277" s="39" t="s">
        <v>5970</v>
      </c>
      <c r="C277" s="55">
        <v>45869</v>
      </c>
      <c r="D277" s="55">
        <v>45869</v>
      </c>
      <c r="E277" s="39"/>
      <c r="F277" s="39" t="s">
        <v>5970</v>
      </c>
      <c r="G277" s="39" t="s">
        <v>5971</v>
      </c>
      <c r="H277" s="56">
        <v>0</v>
      </c>
      <c r="I277" s="56">
        <v>7939</v>
      </c>
      <c r="J277" s="10">
        <f t="shared" si="1"/>
        <v>7939</v>
      </c>
    </row>
    <row r="278" spans="1:11" x14ac:dyDescent="0.3">
      <c r="A278" s="54" t="s">
        <v>5523</v>
      </c>
      <c r="B278" s="39" t="s">
        <v>5972</v>
      </c>
      <c r="C278" s="55">
        <v>45869</v>
      </c>
      <c r="D278" s="55">
        <v>45869</v>
      </c>
      <c r="E278" s="39"/>
      <c r="F278" s="39" t="s">
        <v>5972</v>
      </c>
      <c r="G278" s="39" t="s">
        <v>5973</v>
      </c>
      <c r="H278" s="56">
        <v>0</v>
      </c>
      <c r="I278" s="56">
        <v>8106</v>
      </c>
      <c r="J278" s="10">
        <f t="shared" si="1"/>
        <v>8106</v>
      </c>
    </row>
    <row r="279" spans="1:11" x14ac:dyDescent="0.3">
      <c r="A279" s="54" t="s">
        <v>5523</v>
      </c>
      <c r="B279" s="39" t="s">
        <v>5974</v>
      </c>
      <c r="C279" s="55">
        <v>45867</v>
      </c>
      <c r="D279" s="55">
        <v>45867</v>
      </c>
      <c r="E279" s="39"/>
      <c r="F279" s="39" t="s">
        <v>5974</v>
      </c>
      <c r="G279" s="39" t="s">
        <v>5975</v>
      </c>
      <c r="H279" s="56">
        <v>0</v>
      </c>
      <c r="I279" s="56">
        <v>8227.25</v>
      </c>
      <c r="J279" s="10">
        <f t="shared" si="1"/>
        <v>8227.25</v>
      </c>
    </row>
    <row r="280" spans="1:11" x14ac:dyDescent="0.3">
      <c r="A280" s="54" t="s">
        <v>5523</v>
      </c>
      <c r="B280" s="39" t="s">
        <v>5976</v>
      </c>
      <c r="C280" s="55">
        <v>45869</v>
      </c>
      <c r="D280" s="55">
        <v>45869</v>
      </c>
      <c r="E280" s="39"/>
      <c r="F280" s="39" t="s">
        <v>5558</v>
      </c>
      <c r="G280" s="39" t="s">
        <v>5977</v>
      </c>
      <c r="H280" s="56">
        <v>0</v>
      </c>
      <c r="I280" s="56">
        <v>8288.75</v>
      </c>
      <c r="J280" s="10">
        <f t="shared" si="1"/>
        <v>8288.75</v>
      </c>
    </row>
    <row r="281" spans="1:11" x14ac:dyDescent="0.3">
      <c r="A281" s="54" t="s">
        <v>5523</v>
      </c>
      <c r="B281" s="39" t="s">
        <v>5978</v>
      </c>
      <c r="C281" s="55">
        <v>45869</v>
      </c>
      <c r="D281" s="55">
        <v>45869</v>
      </c>
      <c r="E281" s="39"/>
      <c r="F281" s="39" t="s">
        <v>5558</v>
      </c>
      <c r="G281" s="39" t="s">
        <v>5979</v>
      </c>
      <c r="H281" s="56">
        <v>0</v>
      </c>
      <c r="I281" s="56">
        <v>8678.75</v>
      </c>
      <c r="J281" s="10">
        <f t="shared" si="1"/>
        <v>8678.75</v>
      </c>
    </row>
    <row r="282" spans="1:11" x14ac:dyDescent="0.3">
      <c r="A282" s="54" t="s">
        <v>5523</v>
      </c>
      <c r="B282" s="39" t="s">
        <v>5980</v>
      </c>
      <c r="C282" s="55">
        <v>45868</v>
      </c>
      <c r="D282" s="55">
        <v>45868</v>
      </c>
      <c r="E282" s="39"/>
      <c r="F282" s="39" t="s">
        <v>5980</v>
      </c>
      <c r="G282" s="39" t="s">
        <v>5981</v>
      </c>
      <c r="H282" s="56">
        <v>0</v>
      </c>
      <c r="I282" s="56">
        <v>9000</v>
      </c>
      <c r="J282" s="10">
        <f t="shared" si="1"/>
        <v>9000</v>
      </c>
    </row>
    <row r="283" spans="1:11" x14ac:dyDescent="0.3">
      <c r="A283" s="54" t="s">
        <v>5523</v>
      </c>
      <c r="B283" s="39" t="s">
        <v>5569</v>
      </c>
      <c r="C283" s="55">
        <v>45731</v>
      </c>
      <c r="D283" s="55">
        <v>45731</v>
      </c>
      <c r="E283" s="55"/>
      <c r="F283" s="39" t="s">
        <v>5558</v>
      </c>
      <c r="G283" s="39" t="s">
        <v>2258</v>
      </c>
      <c r="H283" s="56">
        <v>0</v>
      </c>
      <c r="I283" s="56">
        <v>9400</v>
      </c>
      <c r="J283" s="10">
        <f t="shared" si="1"/>
        <v>9400</v>
      </c>
    </row>
    <row r="284" spans="1:11" x14ac:dyDescent="0.3">
      <c r="A284" s="54" t="s">
        <v>5578</v>
      </c>
      <c r="B284" s="39" t="s">
        <v>75</v>
      </c>
      <c r="C284" s="55">
        <v>45868</v>
      </c>
      <c r="D284" s="55">
        <v>45869</v>
      </c>
      <c r="E284" s="39">
        <v>142711</v>
      </c>
      <c r="F284" s="39">
        <v>11</v>
      </c>
      <c r="G284" s="69" t="s">
        <v>5982</v>
      </c>
      <c r="H284" s="56">
        <v>9846.6299999999992</v>
      </c>
      <c r="I284" s="56">
        <v>0</v>
      </c>
      <c r="J284" s="10">
        <f t="shared" si="1"/>
        <v>9846.6299999999992</v>
      </c>
    </row>
    <row r="285" spans="1:11" x14ac:dyDescent="0.3">
      <c r="A285" s="54" t="s">
        <v>5523</v>
      </c>
      <c r="B285" s="39" t="s">
        <v>5983</v>
      </c>
      <c r="C285" s="55">
        <v>45869</v>
      </c>
      <c r="D285" s="55">
        <v>45869</v>
      </c>
      <c r="E285" s="39"/>
      <c r="F285" s="39" t="s">
        <v>5984</v>
      </c>
      <c r="G285" s="39" t="s">
        <v>5985</v>
      </c>
      <c r="H285" s="56">
        <v>0</v>
      </c>
      <c r="I285" s="56">
        <v>10000</v>
      </c>
      <c r="J285" s="10">
        <f t="shared" si="1"/>
        <v>10000</v>
      </c>
    </row>
    <row r="286" spans="1:11" x14ac:dyDescent="0.3">
      <c r="A286" s="54" t="s">
        <v>5523</v>
      </c>
      <c r="B286" s="39" t="s">
        <v>5986</v>
      </c>
      <c r="C286" s="55">
        <v>45869</v>
      </c>
      <c r="D286" s="55">
        <v>45869</v>
      </c>
      <c r="E286" s="39"/>
      <c r="F286" s="39" t="s">
        <v>5987</v>
      </c>
      <c r="G286" s="39" t="s">
        <v>5988</v>
      </c>
      <c r="H286" s="56">
        <v>0</v>
      </c>
      <c r="I286" s="56">
        <v>10752.5</v>
      </c>
      <c r="J286" s="10">
        <f t="shared" si="1"/>
        <v>10752.5</v>
      </c>
    </row>
    <row r="287" spans="1:11" x14ac:dyDescent="0.3">
      <c r="A287" s="54" t="s">
        <v>5523</v>
      </c>
      <c r="B287" s="39" t="s">
        <v>5989</v>
      </c>
      <c r="C287" s="55">
        <v>45866</v>
      </c>
      <c r="D287" s="55">
        <v>45866</v>
      </c>
      <c r="E287" s="39"/>
      <c r="F287" s="39" t="s">
        <v>5989</v>
      </c>
      <c r="G287" s="39" t="s">
        <v>5990</v>
      </c>
      <c r="H287" s="56">
        <v>0</v>
      </c>
      <c r="I287" s="56">
        <v>10992.37</v>
      </c>
      <c r="J287" s="10">
        <f t="shared" si="1"/>
        <v>10992.37</v>
      </c>
    </row>
    <row r="288" spans="1:11" x14ac:dyDescent="0.3">
      <c r="A288" s="54" t="s">
        <v>5523</v>
      </c>
      <c r="B288" s="39" t="s">
        <v>5991</v>
      </c>
      <c r="C288" s="55">
        <v>45869</v>
      </c>
      <c r="D288" s="55">
        <v>45869</v>
      </c>
      <c r="E288" s="39"/>
      <c r="F288" s="39" t="s">
        <v>5992</v>
      </c>
      <c r="G288" s="39" t="s">
        <v>5993</v>
      </c>
      <c r="H288" s="56">
        <v>0</v>
      </c>
      <c r="I288" s="56">
        <v>11135</v>
      </c>
      <c r="J288" s="10">
        <f t="shared" si="1"/>
        <v>11135</v>
      </c>
    </row>
    <row r="289" spans="1:10" x14ac:dyDescent="0.3">
      <c r="A289" s="54" t="s">
        <v>5523</v>
      </c>
      <c r="B289" s="39" t="s">
        <v>5994</v>
      </c>
      <c r="C289" s="55">
        <v>45869</v>
      </c>
      <c r="D289" s="55">
        <v>45869</v>
      </c>
      <c r="E289" s="39"/>
      <c r="F289" s="39" t="s">
        <v>5558</v>
      </c>
      <c r="G289" s="39" t="s">
        <v>5995</v>
      </c>
      <c r="H289" s="56">
        <v>0</v>
      </c>
      <c r="I289" s="56">
        <v>11190.5</v>
      </c>
      <c r="J289" s="10">
        <f t="shared" si="1"/>
        <v>11190.5</v>
      </c>
    </row>
    <row r="290" spans="1:10" x14ac:dyDescent="0.3">
      <c r="A290" s="54" t="s">
        <v>5578</v>
      </c>
      <c r="B290" s="39" t="s">
        <v>75</v>
      </c>
      <c r="C290" s="55">
        <v>45866</v>
      </c>
      <c r="D290" s="55">
        <v>45868</v>
      </c>
      <c r="E290" s="39">
        <v>142658</v>
      </c>
      <c r="F290" s="39">
        <v>58</v>
      </c>
      <c r="G290" s="69" t="s">
        <v>5996</v>
      </c>
      <c r="H290" s="56">
        <v>11528.5</v>
      </c>
      <c r="I290" s="56">
        <v>0</v>
      </c>
      <c r="J290" s="10">
        <f t="shared" si="1"/>
        <v>11528.5</v>
      </c>
    </row>
    <row r="291" spans="1:10" x14ac:dyDescent="0.3">
      <c r="A291" s="54" t="s">
        <v>5523</v>
      </c>
      <c r="B291" s="39" t="s">
        <v>5569</v>
      </c>
      <c r="C291" s="55">
        <v>45869</v>
      </c>
      <c r="D291" s="55">
        <v>45869</v>
      </c>
      <c r="E291" s="39"/>
      <c r="F291" s="39" t="s">
        <v>5558</v>
      </c>
      <c r="G291" s="39" t="s">
        <v>2258</v>
      </c>
      <c r="H291" s="56">
        <v>0</v>
      </c>
      <c r="I291" s="56">
        <v>12026.25</v>
      </c>
      <c r="J291" s="10">
        <f t="shared" si="1"/>
        <v>12026.25</v>
      </c>
    </row>
    <row r="292" spans="1:10" x14ac:dyDescent="0.3">
      <c r="A292" s="54" t="s">
        <v>5523</v>
      </c>
      <c r="B292" s="39" t="s">
        <v>5997</v>
      </c>
      <c r="C292" s="55">
        <v>45868</v>
      </c>
      <c r="D292" s="55">
        <v>45868</v>
      </c>
      <c r="E292" s="39"/>
      <c r="F292" s="39" t="s">
        <v>5558</v>
      </c>
      <c r="G292" s="39" t="s">
        <v>5998</v>
      </c>
      <c r="H292" s="56">
        <v>0</v>
      </c>
      <c r="I292" s="56">
        <v>12210</v>
      </c>
      <c r="J292" s="10">
        <f t="shared" si="1"/>
        <v>12210</v>
      </c>
    </row>
    <row r="293" spans="1:10" x14ac:dyDescent="0.3">
      <c r="A293" s="54" t="s">
        <v>5523</v>
      </c>
      <c r="B293" s="39" t="s">
        <v>5999</v>
      </c>
      <c r="C293" s="55">
        <v>45868</v>
      </c>
      <c r="D293" s="55">
        <v>45868</v>
      </c>
      <c r="E293" s="39"/>
      <c r="F293" s="39" t="s">
        <v>6000</v>
      </c>
      <c r="G293" s="39" t="s">
        <v>6001</v>
      </c>
      <c r="H293" s="56">
        <v>0</v>
      </c>
      <c r="I293" s="56">
        <v>12754.75</v>
      </c>
      <c r="J293" s="10">
        <f t="shared" si="1"/>
        <v>12754.75</v>
      </c>
    </row>
    <row r="294" spans="1:10" x14ac:dyDescent="0.3">
      <c r="A294" s="54" t="s">
        <v>5523</v>
      </c>
      <c r="B294" s="39" t="s">
        <v>5569</v>
      </c>
      <c r="C294" s="55">
        <v>45869</v>
      </c>
      <c r="D294" s="55">
        <v>45869</v>
      </c>
      <c r="E294" s="39"/>
      <c r="F294" s="39" t="s">
        <v>5558</v>
      </c>
      <c r="G294" s="39" t="s">
        <v>2258</v>
      </c>
      <c r="H294" s="56">
        <v>0</v>
      </c>
      <c r="I294" s="56">
        <v>12980</v>
      </c>
      <c r="J294" s="10">
        <f t="shared" si="1"/>
        <v>12980</v>
      </c>
    </row>
    <row r="295" spans="1:10" x14ac:dyDescent="0.3">
      <c r="A295" s="54" t="s">
        <v>5523</v>
      </c>
      <c r="B295" s="39" t="s">
        <v>6002</v>
      </c>
      <c r="C295" s="55">
        <v>45869</v>
      </c>
      <c r="D295" s="55">
        <v>45869</v>
      </c>
      <c r="E295" s="39"/>
      <c r="F295" s="39" t="s">
        <v>6002</v>
      </c>
      <c r="G295" s="39" t="s">
        <v>6003</v>
      </c>
      <c r="H295" s="56">
        <v>0</v>
      </c>
      <c r="I295" s="56">
        <v>13659.75</v>
      </c>
      <c r="J295" s="10">
        <f t="shared" ref="J295:J358" si="2">H295+I295</f>
        <v>13659.75</v>
      </c>
    </row>
    <row r="296" spans="1:10" x14ac:dyDescent="0.3">
      <c r="A296" s="54" t="s">
        <v>5523</v>
      </c>
      <c r="B296" s="39" t="s">
        <v>6004</v>
      </c>
      <c r="C296" s="55">
        <v>45869</v>
      </c>
      <c r="D296" s="55">
        <v>45869</v>
      </c>
      <c r="E296" s="39"/>
      <c r="F296" s="39" t="s">
        <v>6004</v>
      </c>
      <c r="G296" s="39" t="s">
        <v>6005</v>
      </c>
      <c r="H296" s="56">
        <v>0</v>
      </c>
      <c r="I296" s="56">
        <v>14113.55</v>
      </c>
      <c r="J296" s="10">
        <f t="shared" si="2"/>
        <v>14113.55</v>
      </c>
    </row>
    <row r="297" spans="1:10" x14ac:dyDescent="0.3">
      <c r="A297" s="54" t="s">
        <v>5523</v>
      </c>
      <c r="B297" s="39" t="s">
        <v>6006</v>
      </c>
      <c r="C297" s="55">
        <v>45869</v>
      </c>
      <c r="D297" s="55">
        <v>45869</v>
      </c>
      <c r="E297" s="39"/>
      <c r="F297" s="39" t="s">
        <v>6007</v>
      </c>
      <c r="G297" s="39" t="s">
        <v>6008</v>
      </c>
      <c r="H297" s="56">
        <v>0</v>
      </c>
      <c r="I297" s="56">
        <v>14625.3</v>
      </c>
      <c r="J297" s="10">
        <f t="shared" si="2"/>
        <v>14625.3</v>
      </c>
    </row>
    <row r="298" spans="1:10" x14ac:dyDescent="0.3">
      <c r="A298" s="54" t="s">
        <v>5523</v>
      </c>
      <c r="B298" s="39" t="s">
        <v>6009</v>
      </c>
      <c r="C298" s="55">
        <v>45869</v>
      </c>
      <c r="D298" s="55">
        <v>45869</v>
      </c>
      <c r="E298" s="39"/>
      <c r="F298" s="39" t="s">
        <v>6010</v>
      </c>
      <c r="G298" s="39" t="s">
        <v>6011</v>
      </c>
      <c r="H298" s="56">
        <v>0</v>
      </c>
      <c r="I298" s="56">
        <v>14763.25</v>
      </c>
      <c r="J298" s="10">
        <f t="shared" si="2"/>
        <v>14763.25</v>
      </c>
    </row>
    <row r="299" spans="1:10" x14ac:dyDescent="0.3">
      <c r="A299" s="54" t="s">
        <v>5523</v>
      </c>
      <c r="B299" s="39" t="s">
        <v>6012</v>
      </c>
      <c r="C299" s="55">
        <v>45849</v>
      </c>
      <c r="D299" s="55">
        <v>45849</v>
      </c>
      <c r="E299" s="39"/>
      <c r="F299" s="39" t="s">
        <v>6012</v>
      </c>
      <c r="G299" s="39" t="s">
        <v>6013</v>
      </c>
      <c r="H299" s="56">
        <v>0</v>
      </c>
      <c r="I299" s="56">
        <v>14888</v>
      </c>
      <c r="J299" s="10">
        <f t="shared" si="2"/>
        <v>14888</v>
      </c>
    </row>
    <row r="300" spans="1:10" x14ac:dyDescent="0.3">
      <c r="A300" s="54" t="s">
        <v>5523</v>
      </c>
      <c r="B300" s="39" t="s">
        <v>6014</v>
      </c>
      <c r="C300" s="55">
        <v>45869</v>
      </c>
      <c r="D300" s="55">
        <v>45869</v>
      </c>
      <c r="E300" s="39"/>
      <c r="F300" s="39" t="s">
        <v>5558</v>
      </c>
      <c r="G300" s="39" t="s">
        <v>6015</v>
      </c>
      <c r="H300" s="56">
        <v>0</v>
      </c>
      <c r="I300" s="56">
        <v>14945</v>
      </c>
      <c r="J300" s="10">
        <f t="shared" si="2"/>
        <v>14945</v>
      </c>
    </row>
    <row r="301" spans="1:10" x14ac:dyDescent="0.3">
      <c r="A301" s="54" t="s">
        <v>5523</v>
      </c>
      <c r="B301" s="39" t="s">
        <v>1364</v>
      </c>
      <c r="C301" s="55">
        <v>45869</v>
      </c>
      <c r="D301" s="55">
        <v>45869</v>
      </c>
      <c r="E301" s="39"/>
      <c r="F301" s="39" t="s">
        <v>5558</v>
      </c>
      <c r="G301" s="39" t="s">
        <v>6016</v>
      </c>
      <c r="H301" s="56">
        <v>0</v>
      </c>
      <c r="I301" s="56">
        <v>15100</v>
      </c>
      <c r="J301" s="10">
        <f t="shared" si="2"/>
        <v>15100</v>
      </c>
    </row>
    <row r="302" spans="1:10" x14ac:dyDescent="0.3">
      <c r="A302" s="54" t="s">
        <v>5523</v>
      </c>
      <c r="B302" s="39" t="s">
        <v>6017</v>
      </c>
      <c r="C302" s="55">
        <v>45869</v>
      </c>
      <c r="D302" s="55">
        <v>45869</v>
      </c>
      <c r="E302" s="39"/>
      <c r="F302" s="39" t="s">
        <v>6017</v>
      </c>
      <c r="G302" s="39" t="s">
        <v>6018</v>
      </c>
      <c r="H302" s="56">
        <v>0</v>
      </c>
      <c r="I302" s="56">
        <v>15526.25</v>
      </c>
      <c r="J302" s="10">
        <f t="shared" si="2"/>
        <v>15526.25</v>
      </c>
    </row>
    <row r="303" spans="1:10" x14ac:dyDescent="0.3">
      <c r="A303" s="54" t="s">
        <v>5523</v>
      </c>
      <c r="B303" s="39" t="s">
        <v>6019</v>
      </c>
      <c r="C303" s="55">
        <v>45869</v>
      </c>
      <c r="D303" s="55">
        <v>45869</v>
      </c>
      <c r="E303" s="39"/>
      <c r="F303" s="39" t="s">
        <v>6019</v>
      </c>
      <c r="G303" s="39" t="s">
        <v>6020</v>
      </c>
      <c r="H303" s="56">
        <v>0</v>
      </c>
      <c r="I303" s="56">
        <v>16683</v>
      </c>
      <c r="J303" s="10">
        <f t="shared" si="2"/>
        <v>16683</v>
      </c>
    </row>
    <row r="304" spans="1:10" x14ac:dyDescent="0.3">
      <c r="A304" s="54" t="s">
        <v>5523</v>
      </c>
      <c r="B304" s="39" t="s">
        <v>6021</v>
      </c>
      <c r="C304" s="55">
        <v>45849</v>
      </c>
      <c r="D304" s="55">
        <v>45849</v>
      </c>
      <c r="E304" s="39"/>
      <c r="F304" s="39" t="s">
        <v>5558</v>
      </c>
      <c r="G304" s="39" t="s">
        <v>6022</v>
      </c>
      <c r="H304" s="56">
        <v>0</v>
      </c>
      <c r="I304" s="56">
        <v>16881.03</v>
      </c>
      <c r="J304" s="10">
        <f t="shared" si="2"/>
        <v>16881.03</v>
      </c>
    </row>
    <row r="305" spans="1:11" x14ac:dyDescent="0.3">
      <c r="A305" s="54" t="s">
        <v>5523</v>
      </c>
      <c r="B305" s="39" t="s">
        <v>6023</v>
      </c>
      <c r="C305" s="55">
        <v>45869</v>
      </c>
      <c r="D305" s="55">
        <v>45869</v>
      </c>
      <c r="E305" s="39"/>
      <c r="F305" s="39" t="s">
        <v>6023</v>
      </c>
      <c r="G305" s="39" t="s">
        <v>6024</v>
      </c>
      <c r="H305" s="56">
        <v>0</v>
      </c>
      <c r="I305" s="56">
        <v>17233.84</v>
      </c>
      <c r="J305" s="10">
        <f t="shared" si="2"/>
        <v>17233.84</v>
      </c>
    </row>
    <row r="306" spans="1:11" x14ac:dyDescent="0.3">
      <c r="A306" s="54" t="s">
        <v>5523</v>
      </c>
      <c r="B306" s="39" t="s">
        <v>6025</v>
      </c>
      <c r="C306" s="55">
        <v>45869</v>
      </c>
      <c r="D306" s="55">
        <v>45869</v>
      </c>
      <c r="E306" s="39"/>
      <c r="F306" s="39" t="s">
        <v>5558</v>
      </c>
      <c r="G306" s="39" t="s">
        <v>6026</v>
      </c>
      <c r="H306" s="56">
        <v>0</v>
      </c>
      <c r="I306" s="56">
        <v>17300</v>
      </c>
      <c r="J306" s="10">
        <f t="shared" si="2"/>
        <v>17300</v>
      </c>
    </row>
    <row r="307" spans="1:11" x14ac:dyDescent="0.3">
      <c r="A307" s="54" t="s">
        <v>5523</v>
      </c>
      <c r="B307" s="39" t="s">
        <v>6027</v>
      </c>
      <c r="C307" s="55">
        <v>45868</v>
      </c>
      <c r="D307" s="55">
        <v>45868</v>
      </c>
      <c r="E307" s="39"/>
      <c r="F307" s="39" t="s">
        <v>6027</v>
      </c>
      <c r="G307" s="39" t="s">
        <v>6028</v>
      </c>
      <c r="H307" s="56">
        <v>0</v>
      </c>
      <c r="I307" s="56">
        <v>17500</v>
      </c>
      <c r="J307" s="10">
        <f t="shared" si="2"/>
        <v>17500</v>
      </c>
    </row>
    <row r="308" spans="1:11" x14ac:dyDescent="0.3">
      <c r="A308" s="54" t="s">
        <v>5523</v>
      </c>
      <c r="B308" s="39" t="s">
        <v>6029</v>
      </c>
      <c r="C308" s="55">
        <v>45869</v>
      </c>
      <c r="D308" s="55">
        <v>45869</v>
      </c>
      <c r="E308" s="39"/>
      <c r="F308" s="39" t="s">
        <v>6029</v>
      </c>
      <c r="G308" s="39" t="s">
        <v>6030</v>
      </c>
      <c r="H308" s="56">
        <v>0</v>
      </c>
      <c r="I308" s="56">
        <v>17526.25</v>
      </c>
      <c r="J308" s="10">
        <f t="shared" si="2"/>
        <v>17526.25</v>
      </c>
    </row>
    <row r="309" spans="1:11" x14ac:dyDescent="0.3">
      <c r="A309" s="54" t="s">
        <v>5523</v>
      </c>
      <c r="B309" s="39" t="s">
        <v>6031</v>
      </c>
      <c r="C309" s="55">
        <v>45869</v>
      </c>
      <c r="D309" s="55">
        <v>45869</v>
      </c>
      <c r="E309" s="39"/>
      <c r="F309" s="39" t="s">
        <v>6032</v>
      </c>
      <c r="G309" s="39" t="s">
        <v>6033</v>
      </c>
      <c r="H309" s="56">
        <v>0</v>
      </c>
      <c r="I309" s="56">
        <v>17697.38</v>
      </c>
      <c r="J309" s="10">
        <f t="shared" si="2"/>
        <v>17697.38</v>
      </c>
    </row>
    <row r="310" spans="1:11" x14ac:dyDescent="0.3">
      <c r="A310" s="54" t="s">
        <v>5523</v>
      </c>
      <c r="B310" s="39" t="s">
        <v>5569</v>
      </c>
      <c r="C310" s="55">
        <v>45868</v>
      </c>
      <c r="D310" s="55">
        <v>45868</v>
      </c>
      <c r="E310" s="39"/>
      <c r="F310" s="39" t="s">
        <v>5558</v>
      </c>
      <c r="G310" s="39" t="s">
        <v>2258</v>
      </c>
      <c r="H310" s="56">
        <v>0</v>
      </c>
      <c r="I310" s="56">
        <v>17776.25</v>
      </c>
      <c r="J310" s="10">
        <f t="shared" si="2"/>
        <v>17776.25</v>
      </c>
    </row>
    <row r="311" spans="1:11" x14ac:dyDescent="0.3">
      <c r="A311" s="54" t="s">
        <v>5523</v>
      </c>
      <c r="B311" s="39" t="s">
        <v>6034</v>
      </c>
      <c r="C311" s="55">
        <v>45867</v>
      </c>
      <c r="D311" s="55">
        <v>45867</v>
      </c>
      <c r="E311" s="39"/>
      <c r="F311" s="39" t="s">
        <v>6035</v>
      </c>
      <c r="G311" s="39" t="s">
        <v>6036</v>
      </c>
      <c r="H311" s="56">
        <v>0</v>
      </c>
      <c r="I311" s="56">
        <v>18452.5</v>
      </c>
      <c r="J311" s="10">
        <f t="shared" si="2"/>
        <v>18452.5</v>
      </c>
    </row>
    <row r="312" spans="1:11" x14ac:dyDescent="0.3">
      <c r="A312" s="54" t="s">
        <v>5523</v>
      </c>
      <c r="B312" s="39" t="s">
        <v>6037</v>
      </c>
      <c r="C312" s="55">
        <v>45869</v>
      </c>
      <c r="D312" s="55">
        <v>45869</v>
      </c>
      <c r="E312" s="39"/>
      <c r="F312" s="39" t="s">
        <v>6037</v>
      </c>
      <c r="G312" s="39" t="s">
        <v>6038</v>
      </c>
      <c r="H312" s="56">
        <v>0</v>
      </c>
      <c r="I312" s="56">
        <v>20026.25</v>
      </c>
      <c r="J312" s="10">
        <f t="shared" si="2"/>
        <v>20026.25</v>
      </c>
    </row>
    <row r="313" spans="1:11" x14ac:dyDescent="0.3">
      <c r="A313" s="54" t="s">
        <v>5523</v>
      </c>
      <c r="B313" s="39" t="s">
        <v>6039</v>
      </c>
      <c r="C313" s="55">
        <v>45869</v>
      </c>
      <c r="D313" s="55">
        <v>45869</v>
      </c>
      <c r="E313" s="39"/>
      <c r="F313" s="39" t="s">
        <v>6039</v>
      </c>
      <c r="G313" s="39" t="s">
        <v>6040</v>
      </c>
      <c r="H313" s="56">
        <v>0</v>
      </c>
      <c r="I313" s="56">
        <v>20059.919999999998</v>
      </c>
      <c r="J313" s="10">
        <f t="shared" si="2"/>
        <v>20059.919999999998</v>
      </c>
    </row>
    <row r="314" spans="1:11" x14ac:dyDescent="0.3">
      <c r="A314" s="54" t="s">
        <v>5523</v>
      </c>
      <c r="B314" s="39" t="s">
        <v>6041</v>
      </c>
      <c r="C314" s="55">
        <v>45869</v>
      </c>
      <c r="D314" s="55">
        <v>45869</v>
      </c>
      <c r="E314" s="39"/>
      <c r="F314" s="39" t="s">
        <v>6041</v>
      </c>
      <c r="G314" s="39" t="s">
        <v>6042</v>
      </c>
      <c r="H314" s="56">
        <v>0</v>
      </c>
      <c r="I314" s="56">
        <v>20216</v>
      </c>
      <c r="J314" s="10">
        <f t="shared" si="2"/>
        <v>20216</v>
      </c>
    </row>
    <row r="315" spans="1:11" x14ac:dyDescent="0.3">
      <c r="A315" s="54" t="s">
        <v>5523</v>
      </c>
      <c r="B315" s="39" t="s">
        <v>6043</v>
      </c>
      <c r="C315" s="55">
        <v>45869</v>
      </c>
      <c r="D315" s="55">
        <v>45869</v>
      </c>
      <c r="E315" s="39"/>
      <c r="F315" s="39" t="s">
        <v>5558</v>
      </c>
      <c r="G315" s="39" t="s">
        <v>6044</v>
      </c>
      <c r="H315" s="56">
        <v>0</v>
      </c>
      <c r="I315" s="56">
        <v>20778.2</v>
      </c>
      <c r="J315" s="10">
        <f t="shared" si="2"/>
        <v>20778.2</v>
      </c>
      <c r="K315" s="2"/>
    </row>
    <row r="316" spans="1:11" x14ac:dyDescent="0.3">
      <c r="A316" s="54" t="s">
        <v>5578</v>
      </c>
      <c r="B316" s="39" t="s">
        <v>75</v>
      </c>
      <c r="C316" s="55">
        <v>45869</v>
      </c>
      <c r="D316" s="55">
        <v>45869</v>
      </c>
      <c r="E316" s="39">
        <v>142677</v>
      </c>
      <c r="F316" s="39">
        <v>86</v>
      </c>
      <c r="G316" s="69" t="s">
        <v>6045</v>
      </c>
      <c r="H316" s="56">
        <v>21079.25</v>
      </c>
      <c r="I316" s="56">
        <v>0</v>
      </c>
      <c r="J316" s="10">
        <f t="shared" si="2"/>
        <v>21079.25</v>
      </c>
      <c r="K316" s="2"/>
    </row>
    <row r="317" spans="1:11" x14ac:dyDescent="0.3">
      <c r="A317" s="54" t="s">
        <v>5523</v>
      </c>
      <c r="B317" s="39" t="s">
        <v>6046</v>
      </c>
      <c r="C317" s="55">
        <v>45869</v>
      </c>
      <c r="D317" s="55">
        <v>45869</v>
      </c>
      <c r="E317" s="39"/>
      <c r="F317" s="39" t="s">
        <v>5558</v>
      </c>
      <c r="G317" s="39" t="s">
        <v>6047</v>
      </c>
      <c r="H317" s="56">
        <v>0</v>
      </c>
      <c r="I317" s="56">
        <v>21192.25</v>
      </c>
      <c r="J317" s="10">
        <f t="shared" si="2"/>
        <v>21192.25</v>
      </c>
    </row>
    <row r="318" spans="1:11" x14ac:dyDescent="0.3">
      <c r="A318" s="54" t="s">
        <v>5523</v>
      </c>
      <c r="B318" s="39" t="s">
        <v>6048</v>
      </c>
      <c r="C318" s="55">
        <v>45842</v>
      </c>
      <c r="D318" s="55">
        <v>45842</v>
      </c>
      <c r="E318" s="39"/>
      <c r="F318" s="39" t="s">
        <v>6048</v>
      </c>
      <c r="G318" s="39" t="s">
        <v>6049</v>
      </c>
      <c r="H318" s="56">
        <v>0</v>
      </c>
      <c r="I318" s="56">
        <v>21275.25</v>
      </c>
      <c r="J318" s="10">
        <f t="shared" si="2"/>
        <v>21275.25</v>
      </c>
    </row>
    <row r="319" spans="1:11" x14ac:dyDescent="0.3">
      <c r="A319" s="54" t="s">
        <v>5523</v>
      </c>
      <c r="B319" s="39" t="s">
        <v>5569</v>
      </c>
      <c r="C319" s="55">
        <v>45867</v>
      </c>
      <c r="D319" s="55">
        <v>45867</v>
      </c>
      <c r="E319" s="39"/>
      <c r="F319" s="39" t="s">
        <v>5558</v>
      </c>
      <c r="G319" s="39" t="s">
        <v>2258</v>
      </c>
      <c r="H319" s="56">
        <v>0</v>
      </c>
      <c r="I319" s="56">
        <v>22000</v>
      </c>
      <c r="J319" s="10">
        <f t="shared" si="2"/>
        <v>22000</v>
      </c>
    </row>
    <row r="320" spans="1:11" x14ac:dyDescent="0.3">
      <c r="A320" s="54" t="s">
        <v>5523</v>
      </c>
      <c r="B320" s="39" t="s">
        <v>6050</v>
      </c>
      <c r="C320" s="55">
        <v>45869</v>
      </c>
      <c r="D320" s="55">
        <v>45869</v>
      </c>
      <c r="E320" s="39"/>
      <c r="F320" s="39" t="s">
        <v>6050</v>
      </c>
      <c r="G320" s="39" t="s">
        <v>6051</v>
      </c>
      <c r="H320" s="56">
        <v>0</v>
      </c>
      <c r="I320" s="56">
        <v>23626.25</v>
      </c>
      <c r="J320" s="10">
        <f t="shared" si="2"/>
        <v>23626.25</v>
      </c>
    </row>
    <row r="321" spans="1:10" x14ac:dyDescent="0.3">
      <c r="A321" s="54" t="s">
        <v>5523</v>
      </c>
      <c r="B321" s="39" t="s">
        <v>5569</v>
      </c>
      <c r="C321" s="55">
        <v>45869</v>
      </c>
      <c r="D321" s="55">
        <v>45869</v>
      </c>
      <c r="E321" s="39"/>
      <c r="F321" s="39" t="s">
        <v>5558</v>
      </c>
      <c r="G321" s="39" t="s">
        <v>2258</v>
      </c>
      <c r="H321" s="56">
        <v>0</v>
      </c>
      <c r="I321" s="56">
        <v>23826.25</v>
      </c>
      <c r="J321" s="10">
        <f t="shared" si="2"/>
        <v>23826.25</v>
      </c>
    </row>
    <row r="322" spans="1:10" x14ac:dyDescent="0.3">
      <c r="A322" s="54" t="s">
        <v>5523</v>
      </c>
      <c r="B322" s="39" t="s">
        <v>6052</v>
      </c>
      <c r="C322" s="55">
        <v>45864</v>
      </c>
      <c r="D322" s="55">
        <v>45864</v>
      </c>
      <c r="E322" s="39"/>
      <c r="F322" s="39" t="s">
        <v>5558</v>
      </c>
      <c r="G322" s="39" t="s">
        <v>6053</v>
      </c>
      <c r="H322" s="56">
        <v>0</v>
      </c>
      <c r="I322" s="56">
        <v>25000</v>
      </c>
      <c r="J322" s="10">
        <f t="shared" si="2"/>
        <v>25000</v>
      </c>
    </row>
    <row r="323" spans="1:10" x14ac:dyDescent="0.3">
      <c r="A323" s="54" t="s">
        <v>5523</v>
      </c>
      <c r="B323" s="39" t="s">
        <v>6054</v>
      </c>
      <c r="C323" s="55">
        <v>45869</v>
      </c>
      <c r="D323" s="55">
        <v>45869</v>
      </c>
      <c r="E323" s="39"/>
      <c r="F323" s="39" t="s">
        <v>5558</v>
      </c>
      <c r="G323" s="39" t="s">
        <v>6055</v>
      </c>
      <c r="H323" s="56">
        <v>0</v>
      </c>
      <c r="I323" s="56">
        <v>25258</v>
      </c>
      <c r="J323" s="10">
        <f t="shared" si="2"/>
        <v>25258</v>
      </c>
    </row>
    <row r="324" spans="1:10" x14ac:dyDescent="0.3">
      <c r="A324" s="54" t="s">
        <v>5523</v>
      </c>
      <c r="B324" s="39" t="s">
        <v>5569</v>
      </c>
      <c r="C324" s="55">
        <v>45869</v>
      </c>
      <c r="D324" s="55">
        <v>45869</v>
      </c>
      <c r="E324" s="39"/>
      <c r="F324" s="39" t="s">
        <v>5558</v>
      </c>
      <c r="G324" s="39" t="s">
        <v>2258</v>
      </c>
      <c r="H324" s="56">
        <v>0</v>
      </c>
      <c r="I324" s="56">
        <v>27000</v>
      </c>
      <c r="J324" s="10">
        <f t="shared" si="2"/>
        <v>27000</v>
      </c>
    </row>
    <row r="325" spans="1:10" x14ac:dyDescent="0.3">
      <c r="A325" s="54" t="s">
        <v>5523</v>
      </c>
      <c r="B325" s="39" t="s">
        <v>254</v>
      </c>
      <c r="C325" s="55">
        <v>45869</v>
      </c>
      <c r="D325" s="55">
        <v>45869</v>
      </c>
      <c r="E325" s="39"/>
      <c r="F325" s="39" t="s">
        <v>6056</v>
      </c>
      <c r="G325" s="39" t="s">
        <v>6057</v>
      </c>
      <c r="H325" s="56">
        <v>0</v>
      </c>
      <c r="I325" s="56">
        <v>27428</v>
      </c>
      <c r="J325" s="10">
        <f t="shared" si="2"/>
        <v>27428</v>
      </c>
    </row>
    <row r="326" spans="1:10" x14ac:dyDescent="0.3">
      <c r="A326" s="54" t="s">
        <v>5523</v>
      </c>
      <c r="B326" s="39" t="s">
        <v>5569</v>
      </c>
      <c r="C326" s="55">
        <v>45869</v>
      </c>
      <c r="D326" s="55">
        <v>45869</v>
      </c>
      <c r="E326" s="39"/>
      <c r="F326" s="39" t="s">
        <v>5558</v>
      </c>
      <c r="G326" s="39" t="s">
        <v>2258</v>
      </c>
      <c r="H326" s="56">
        <v>0</v>
      </c>
      <c r="I326" s="56">
        <v>28500</v>
      </c>
      <c r="J326" s="10">
        <f t="shared" si="2"/>
        <v>28500</v>
      </c>
    </row>
    <row r="327" spans="1:10" x14ac:dyDescent="0.3">
      <c r="A327" s="54" t="s">
        <v>5523</v>
      </c>
      <c r="B327" s="39" t="s">
        <v>6058</v>
      </c>
      <c r="C327" s="55">
        <v>45869</v>
      </c>
      <c r="D327" s="55">
        <v>45869</v>
      </c>
      <c r="E327" s="39"/>
      <c r="F327" s="39" t="s">
        <v>6058</v>
      </c>
      <c r="G327" s="39" t="s">
        <v>6059</v>
      </c>
      <c r="H327" s="56">
        <v>0</v>
      </c>
      <c r="I327" s="56">
        <v>29026.25</v>
      </c>
      <c r="J327" s="10">
        <f t="shared" si="2"/>
        <v>29026.25</v>
      </c>
    </row>
    <row r="328" spans="1:10" x14ac:dyDescent="0.3">
      <c r="A328" s="54" t="s">
        <v>5523</v>
      </c>
      <c r="B328" s="39" t="s">
        <v>5569</v>
      </c>
      <c r="C328" s="55">
        <v>45869</v>
      </c>
      <c r="D328" s="55">
        <v>45869</v>
      </c>
      <c r="E328" s="39"/>
      <c r="F328" s="39" t="s">
        <v>5558</v>
      </c>
      <c r="G328" s="39" t="s">
        <v>2258</v>
      </c>
      <c r="H328" s="56">
        <v>0</v>
      </c>
      <c r="I328" s="56">
        <v>29888</v>
      </c>
      <c r="J328" s="10">
        <f t="shared" si="2"/>
        <v>29888</v>
      </c>
    </row>
    <row r="329" spans="1:10" x14ac:dyDescent="0.3">
      <c r="A329" s="54" t="s">
        <v>5578</v>
      </c>
      <c r="B329" s="39" t="s">
        <v>75</v>
      </c>
      <c r="C329" s="55">
        <v>45868</v>
      </c>
      <c r="D329" s="55">
        <v>45868</v>
      </c>
      <c r="E329" s="39">
        <v>142662</v>
      </c>
      <c r="F329" s="39">
        <v>14</v>
      </c>
      <c r="G329" s="69" t="s">
        <v>6060</v>
      </c>
      <c r="H329" s="87">
        <v>30000</v>
      </c>
      <c r="I329" s="56">
        <v>0</v>
      </c>
      <c r="J329" s="10">
        <f t="shared" si="2"/>
        <v>30000</v>
      </c>
    </row>
    <row r="330" spans="1:10" x14ac:dyDescent="0.3">
      <c r="A330" s="54" t="s">
        <v>5523</v>
      </c>
      <c r="B330" s="39" t="s">
        <v>191</v>
      </c>
      <c r="C330" s="55">
        <v>45868</v>
      </c>
      <c r="D330" s="55">
        <v>45868</v>
      </c>
      <c r="E330" s="39"/>
      <c r="F330" s="39" t="s">
        <v>5558</v>
      </c>
      <c r="G330" s="39" t="s">
        <v>6061</v>
      </c>
      <c r="H330" s="56">
        <v>0</v>
      </c>
      <c r="I330" s="56">
        <v>30050</v>
      </c>
      <c r="J330" s="10">
        <f t="shared" si="2"/>
        <v>30050</v>
      </c>
    </row>
    <row r="331" spans="1:10" x14ac:dyDescent="0.3">
      <c r="A331" s="54" t="s">
        <v>5523</v>
      </c>
      <c r="B331" s="39" t="s">
        <v>6062</v>
      </c>
      <c r="C331" s="55">
        <v>45867</v>
      </c>
      <c r="D331" s="55">
        <v>45867</v>
      </c>
      <c r="E331" s="39"/>
      <c r="F331" s="39" t="s">
        <v>6063</v>
      </c>
      <c r="G331" s="39" t="s">
        <v>6064</v>
      </c>
      <c r="H331" s="56">
        <v>0</v>
      </c>
      <c r="I331" s="56">
        <v>31500</v>
      </c>
      <c r="J331" s="10">
        <f t="shared" si="2"/>
        <v>31500</v>
      </c>
    </row>
    <row r="332" spans="1:10" x14ac:dyDescent="0.3">
      <c r="A332" s="54" t="s">
        <v>5523</v>
      </c>
      <c r="B332" s="39" t="s">
        <v>6065</v>
      </c>
      <c r="C332" s="55">
        <v>45869</v>
      </c>
      <c r="D332" s="55">
        <v>45869</v>
      </c>
      <c r="E332" s="39"/>
      <c r="F332" s="39" t="s">
        <v>5558</v>
      </c>
      <c r="G332" s="39" t="s">
        <v>6066</v>
      </c>
      <c r="H332" s="56">
        <v>0</v>
      </c>
      <c r="I332" s="56">
        <v>32529.360000000001</v>
      </c>
      <c r="J332" s="10">
        <f t="shared" si="2"/>
        <v>32529.360000000001</v>
      </c>
    </row>
    <row r="333" spans="1:10" x14ac:dyDescent="0.3">
      <c r="A333" s="54" t="s">
        <v>5523</v>
      </c>
      <c r="B333" s="39" t="s">
        <v>6067</v>
      </c>
      <c r="C333" s="55">
        <v>45867</v>
      </c>
      <c r="D333" s="55">
        <v>45867</v>
      </c>
      <c r="E333" s="39"/>
      <c r="F333" s="39" t="s">
        <v>5558</v>
      </c>
      <c r="G333" s="39" t="s">
        <v>6068</v>
      </c>
      <c r="H333" s="56">
        <v>0</v>
      </c>
      <c r="I333" s="56">
        <v>33915.75</v>
      </c>
      <c r="J333" s="10">
        <f t="shared" si="2"/>
        <v>33915.75</v>
      </c>
    </row>
    <row r="334" spans="1:10" x14ac:dyDescent="0.3">
      <c r="A334" s="54" t="s">
        <v>5523</v>
      </c>
      <c r="B334" s="39" t="s">
        <v>6069</v>
      </c>
      <c r="C334" s="55">
        <v>45868</v>
      </c>
      <c r="D334" s="55">
        <v>45868</v>
      </c>
      <c r="E334" s="39"/>
      <c r="F334" s="39" t="s">
        <v>6070</v>
      </c>
      <c r="G334" s="39" t="s">
        <v>6071</v>
      </c>
      <c r="H334" s="56">
        <v>0</v>
      </c>
      <c r="I334" s="56">
        <v>34578.75</v>
      </c>
      <c r="J334" s="10">
        <f t="shared" si="2"/>
        <v>34578.75</v>
      </c>
    </row>
    <row r="335" spans="1:10" x14ac:dyDescent="0.3">
      <c r="A335" s="54" t="s">
        <v>5523</v>
      </c>
      <c r="B335" s="39" t="s">
        <v>6072</v>
      </c>
      <c r="C335" s="55">
        <v>45869</v>
      </c>
      <c r="D335" s="55">
        <v>45869</v>
      </c>
      <c r="E335" s="39"/>
      <c r="F335" s="39" t="s">
        <v>5558</v>
      </c>
      <c r="G335" s="39" t="s">
        <v>6073</v>
      </c>
      <c r="H335" s="56">
        <v>0</v>
      </c>
      <c r="I335" s="56">
        <v>34729.019999999997</v>
      </c>
      <c r="J335" s="10">
        <f t="shared" si="2"/>
        <v>34729.019999999997</v>
      </c>
    </row>
    <row r="336" spans="1:10" x14ac:dyDescent="0.3">
      <c r="A336" s="54" t="s">
        <v>5523</v>
      </c>
      <c r="B336" s="39" t="s">
        <v>5569</v>
      </c>
      <c r="C336" s="55">
        <v>45869</v>
      </c>
      <c r="D336" s="55">
        <v>45869</v>
      </c>
      <c r="E336" s="39"/>
      <c r="F336" s="39" t="s">
        <v>5558</v>
      </c>
      <c r="G336" s="39" t="s">
        <v>2258</v>
      </c>
      <c r="H336" s="56">
        <v>0</v>
      </c>
      <c r="I336" s="56">
        <v>35000</v>
      </c>
      <c r="J336" s="10">
        <f t="shared" si="2"/>
        <v>35000</v>
      </c>
    </row>
    <row r="337" spans="1:10" x14ac:dyDescent="0.3">
      <c r="A337" s="54" t="s">
        <v>5523</v>
      </c>
      <c r="B337" s="39" t="s">
        <v>6074</v>
      </c>
      <c r="C337" s="55">
        <v>45869</v>
      </c>
      <c r="D337" s="55">
        <v>45869</v>
      </c>
      <c r="E337" s="39"/>
      <c r="F337" s="39" t="s">
        <v>5558</v>
      </c>
      <c r="G337" s="39" t="s">
        <v>6075</v>
      </c>
      <c r="H337" s="56">
        <v>0</v>
      </c>
      <c r="I337" s="56">
        <v>35770</v>
      </c>
      <c r="J337" s="10">
        <f t="shared" si="2"/>
        <v>35770</v>
      </c>
    </row>
    <row r="338" spans="1:10" x14ac:dyDescent="0.3">
      <c r="A338" s="54" t="s">
        <v>5523</v>
      </c>
      <c r="B338" s="39" t="s">
        <v>6076</v>
      </c>
      <c r="C338" s="55">
        <v>45869</v>
      </c>
      <c r="D338" s="55">
        <v>45869</v>
      </c>
      <c r="E338" s="39"/>
      <c r="F338" s="39" t="s">
        <v>6077</v>
      </c>
      <c r="G338" s="39" t="s">
        <v>6078</v>
      </c>
      <c r="H338" s="56">
        <v>0</v>
      </c>
      <c r="I338" s="56">
        <v>36848</v>
      </c>
      <c r="J338" s="10">
        <f t="shared" si="2"/>
        <v>36848</v>
      </c>
    </row>
    <row r="339" spans="1:10" x14ac:dyDescent="0.3">
      <c r="A339" s="54" t="s">
        <v>5523</v>
      </c>
      <c r="B339" s="39" t="s">
        <v>6079</v>
      </c>
      <c r="C339" s="55">
        <v>45869</v>
      </c>
      <c r="D339" s="55">
        <v>45869</v>
      </c>
      <c r="E339" s="39"/>
      <c r="F339" s="39" t="s">
        <v>6079</v>
      </c>
      <c r="G339" s="39" t="s">
        <v>6080</v>
      </c>
      <c r="H339" s="56">
        <v>0</v>
      </c>
      <c r="I339" s="56">
        <v>38270</v>
      </c>
      <c r="J339" s="10">
        <f t="shared" si="2"/>
        <v>38270</v>
      </c>
    </row>
    <row r="340" spans="1:10" x14ac:dyDescent="0.3">
      <c r="A340" s="54" t="s">
        <v>5523</v>
      </c>
      <c r="B340" s="39" t="s">
        <v>5569</v>
      </c>
      <c r="C340" s="55">
        <v>45869</v>
      </c>
      <c r="D340" s="55">
        <v>45869</v>
      </c>
      <c r="E340" s="39"/>
      <c r="F340" s="39" t="s">
        <v>5558</v>
      </c>
      <c r="G340" s="39" t="s">
        <v>2258</v>
      </c>
      <c r="H340" s="56">
        <v>0</v>
      </c>
      <c r="I340" s="56">
        <v>39000</v>
      </c>
      <c r="J340" s="10">
        <f t="shared" si="2"/>
        <v>39000</v>
      </c>
    </row>
    <row r="341" spans="1:10" x14ac:dyDescent="0.3">
      <c r="A341" s="54" t="s">
        <v>5523</v>
      </c>
      <c r="B341" s="39" t="s">
        <v>5569</v>
      </c>
      <c r="C341" s="55">
        <v>45868</v>
      </c>
      <c r="D341" s="55">
        <v>45868</v>
      </c>
      <c r="E341" s="39"/>
      <c r="F341" s="39" t="s">
        <v>5558</v>
      </c>
      <c r="G341" s="39" t="s">
        <v>2258</v>
      </c>
      <c r="H341" s="56">
        <v>0</v>
      </c>
      <c r="I341" s="56">
        <v>39078.75</v>
      </c>
      <c r="J341" s="10">
        <f t="shared" si="2"/>
        <v>39078.75</v>
      </c>
    </row>
    <row r="342" spans="1:10" x14ac:dyDescent="0.3">
      <c r="A342" s="54" t="s">
        <v>5523</v>
      </c>
      <c r="B342" s="39" t="s">
        <v>5569</v>
      </c>
      <c r="C342" s="55">
        <v>45869</v>
      </c>
      <c r="D342" s="55">
        <v>45869</v>
      </c>
      <c r="E342" s="39"/>
      <c r="F342" s="39" t="s">
        <v>5558</v>
      </c>
      <c r="G342" s="39" t="s">
        <v>2258</v>
      </c>
      <c r="H342" s="56">
        <v>0</v>
      </c>
      <c r="I342" s="56">
        <v>40000</v>
      </c>
      <c r="J342" s="10">
        <f t="shared" si="2"/>
        <v>40000</v>
      </c>
    </row>
    <row r="343" spans="1:10" x14ac:dyDescent="0.3">
      <c r="A343" s="54" t="s">
        <v>5523</v>
      </c>
      <c r="B343" s="39" t="s">
        <v>5569</v>
      </c>
      <c r="C343" s="55">
        <v>45866</v>
      </c>
      <c r="D343" s="55">
        <v>45866</v>
      </c>
      <c r="E343" s="39"/>
      <c r="F343" s="39" t="s">
        <v>5558</v>
      </c>
      <c r="G343" s="39" t="s">
        <v>2258</v>
      </c>
      <c r="H343" s="56">
        <v>0</v>
      </c>
      <c r="I343" s="56">
        <v>40726.5</v>
      </c>
      <c r="J343" s="10">
        <f t="shared" si="2"/>
        <v>40726.5</v>
      </c>
    </row>
    <row r="344" spans="1:10" x14ac:dyDescent="0.3">
      <c r="A344" s="54" t="s">
        <v>5578</v>
      </c>
      <c r="B344" s="39" t="s">
        <v>75</v>
      </c>
      <c r="C344" s="55">
        <v>45867</v>
      </c>
      <c r="D344" s="55">
        <v>45868</v>
      </c>
      <c r="E344" s="39">
        <v>142638</v>
      </c>
      <c r="F344" s="39">
        <v>54</v>
      </c>
      <c r="G344" s="69" t="s">
        <v>6081</v>
      </c>
      <c r="H344" s="56">
        <v>42000</v>
      </c>
      <c r="I344" s="56">
        <v>0</v>
      </c>
      <c r="J344" s="10">
        <f t="shared" si="2"/>
        <v>42000</v>
      </c>
    </row>
    <row r="345" spans="1:10" x14ac:dyDescent="0.3">
      <c r="A345" s="54" t="s">
        <v>5523</v>
      </c>
      <c r="B345" s="39" t="s">
        <v>6082</v>
      </c>
      <c r="C345" s="55">
        <v>45868</v>
      </c>
      <c r="D345" s="55">
        <v>45868</v>
      </c>
      <c r="E345" s="39"/>
      <c r="F345" s="39" t="s">
        <v>5558</v>
      </c>
      <c r="G345" s="39" t="s">
        <v>6083</v>
      </c>
      <c r="H345" s="56">
        <v>0</v>
      </c>
      <c r="I345" s="56">
        <v>42149.5</v>
      </c>
      <c r="J345" s="10">
        <f t="shared" si="2"/>
        <v>42149.5</v>
      </c>
    </row>
    <row r="346" spans="1:10" x14ac:dyDescent="0.3">
      <c r="A346" s="54" t="s">
        <v>5523</v>
      </c>
      <c r="B346" s="39" t="s">
        <v>6084</v>
      </c>
      <c r="C346" s="55">
        <v>45868</v>
      </c>
      <c r="D346" s="55">
        <v>45868</v>
      </c>
      <c r="E346" s="39"/>
      <c r="F346" s="39" t="s">
        <v>5558</v>
      </c>
      <c r="G346" s="39" t="s">
        <v>6085</v>
      </c>
      <c r="H346" s="56">
        <v>0</v>
      </c>
      <c r="I346" s="56">
        <v>42221</v>
      </c>
      <c r="J346" s="10">
        <f t="shared" si="2"/>
        <v>42221</v>
      </c>
    </row>
    <row r="347" spans="1:10" x14ac:dyDescent="0.3">
      <c r="A347" s="54" t="s">
        <v>5523</v>
      </c>
      <c r="B347" s="39" t="s">
        <v>6086</v>
      </c>
      <c r="C347" s="55">
        <v>45869</v>
      </c>
      <c r="D347" s="55">
        <v>45869</v>
      </c>
      <c r="E347" s="39"/>
      <c r="F347" s="39" t="s">
        <v>5558</v>
      </c>
      <c r="G347" s="39" t="s">
        <v>6087</v>
      </c>
      <c r="H347" s="56">
        <v>0</v>
      </c>
      <c r="I347" s="56">
        <v>43000</v>
      </c>
      <c r="J347" s="10">
        <f t="shared" si="2"/>
        <v>43000</v>
      </c>
    </row>
    <row r="348" spans="1:10" x14ac:dyDescent="0.3">
      <c r="A348" s="54" t="s">
        <v>5523</v>
      </c>
      <c r="B348" s="39" t="s">
        <v>6088</v>
      </c>
      <c r="C348" s="55">
        <v>45869</v>
      </c>
      <c r="D348" s="55">
        <v>45869</v>
      </c>
      <c r="E348" s="39"/>
      <c r="F348" s="39" t="s">
        <v>6089</v>
      </c>
      <c r="G348" s="39" t="s">
        <v>6090</v>
      </c>
      <c r="H348" s="56">
        <v>0</v>
      </c>
      <c r="I348" s="56">
        <v>43200.62</v>
      </c>
      <c r="J348" s="10">
        <f t="shared" si="2"/>
        <v>43200.62</v>
      </c>
    </row>
    <row r="349" spans="1:10" x14ac:dyDescent="0.3">
      <c r="A349" s="54" t="s">
        <v>5523</v>
      </c>
      <c r="B349" s="39" t="s">
        <v>5569</v>
      </c>
      <c r="C349" s="55">
        <v>45869</v>
      </c>
      <c r="D349" s="55">
        <v>45869</v>
      </c>
      <c r="E349" s="39"/>
      <c r="F349" s="39" t="s">
        <v>5558</v>
      </c>
      <c r="G349" s="39" t="s">
        <v>2258</v>
      </c>
      <c r="H349" s="56">
        <v>0</v>
      </c>
      <c r="I349" s="56">
        <v>45026.5</v>
      </c>
      <c r="J349" s="10">
        <f t="shared" si="2"/>
        <v>45026.5</v>
      </c>
    </row>
    <row r="350" spans="1:10" x14ac:dyDescent="0.3">
      <c r="A350" s="54" t="s">
        <v>5523</v>
      </c>
      <c r="B350" s="39" t="s">
        <v>5569</v>
      </c>
      <c r="C350" s="55">
        <v>45868</v>
      </c>
      <c r="D350" s="55">
        <v>45868</v>
      </c>
      <c r="E350" s="39"/>
      <c r="F350" s="39" t="s">
        <v>5558</v>
      </c>
      <c r="G350" s="39" t="s">
        <v>2258</v>
      </c>
      <c r="H350" s="56">
        <v>0</v>
      </c>
      <c r="I350" s="56">
        <v>46207</v>
      </c>
      <c r="J350" s="10">
        <f t="shared" si="2"/>
        <v>46207</v>
      </c>
    </row>
    <row r="351" spans="1:10" x14ac:dyDescent="0.3">
      <c r="A351" s="54" t="s">
        <v>5523</v>
      </c>
      <c r="B351" s="39" t="s">
        <v>6091</v>
      </c>
      <c r="C351" s="55">
        <v>45869</v>
      </c>
      <c r="D351" s="55">
        <v>45869</v>
      </c>
      <c r="E351" s="39"/>
      <c r="F351" s="39" t="s">
        <v>6092</v>
      </c>
      <c r="G351" s="39" t="s">
        <v>6093</v>
      </c>
      <c r="H351" s="56">
        <v>0</v>
      </c>
      <c r="I351" s="56">
        <v>46370</v>
      </c>
      <c r="J351" s="10">
        <f t="shared" si="2"/>
        <v>46370</v>
      </c>
    </row>
    <row r="352" spans="1:10" x14ac:dyDescent="0.3">
      <c r="A352" s="54" t="s">
        <v>5578</v>
      </c>
      <c r="B352" s="39" t="s">
        <v>71</v>
      </c>
      <c r="C352" s="55">
        <v>45848</v>
      </c>
      <c r="D352" s="55">
        <v>45867</v>
      </c>
      <c r="E352" s="39">
        <v>13217</v>
      </c>
      <c r="F352" s="39">
        <v>46</v>
      </c>
      <c r="G352" s="69" t="s">
        <v>6094</v>
      </c>
      <c r="H352" s="56">
        <v>0</v>
      </c>
      <c r="I352" s="56">
        <v>46383.33</v>
      </c>
      <c r="J352" s="10">
        <f t="shared" si="2"/>
        <v>46383.33</v>
      </c>
    </row>
    <row r="353" spans="1:11" x14ac:dyDescent="0.3">
      <c r="A353" s="54" t="s">
        <v>5523</v>
      </c>
      <c r="B353" s="39" t="s">
        <v>6095</v>
      </c>
      <c r="C353" s="55">
        <v>45869</v>
      </c>
      <c r="D353" s="55">
        <v>45869</v>
      </c>
      <c r="E353" s="39"/>
      <c r="F353" s="39" t="s">
        <v>6095</v>
      </c>
      <c r="G353" s="39" t="s">
        <v>6096</v>
      </c>
      <c r="H353" s="56">
        <v>0</v>
      </c>
      <c r="I353" s="56">
        <v>47009.71</v>
      </c>
      <c r="J353" s="10">
        <f t="shared" si="2"/>
        <v>47009.71</v>
      </c>
    </row>
    <row r="354" spans="1:11" x14ac:dyDescent="0.3">
      <c r="A354" s="54" t="s">
        <v>5578</v>
      </c>
      <c r="B354" s="39" t="s">
        <v>75</v>
      </c>
      <c r="C354" s="55">
        <v>45869</v>
      </c>
      <c r="D354" s="55">
        <v>45869</v>
      </c>
      <c r="E354" s="39">
        <v>142723</v>
      </c>
      <c r="F354" s="39">
        <v>14</v>
      </c>
      <c r="G354" s="69" t="s">
        <v>6097</v>
      </c>
      <c r="H354" s="56">
        <v>50000</v>
      </c>
      <c r="I354" s="56">
        <v>0</v>
      </c>
      <c r="J354" s="10">
        <f t="shared" si="2"/>
        <v>50000</v>
      </c>
      <c r="K354" s="2"/>
    </row>
    <row r="355" spans="1:11" x14ac:dyDescent="0.3">
      <c r="A355" s="54" t="s">
        <v>5523</v>
      </c>
      <c r="B355" s="39" t="s">
        <v>6098</v>
      </c>
      <c r="C355" s="55">
        <v>45869</v>
      </c>
      <c r="D355" s="55">
        <v>45869</v>
      </c>
      <c r="E355" s="39"/>
      <c r="F355" s="39" t="s">
        <v>6098</v>
      </c>
      <c r="G355" s="39" t="s">
        <v>6099</v>
      </c>
      <c r="H355" s="56">
        <v>0</v>
      </c>
      <c r="I355" s="56">
        <v>50302</v>
      </c>
      <c r="J355" s="10">
        <f t="shared" si="2"/>
        <v>50302</v>
      </c>
    </row>
    <row r="356" spans="1:11" x14ac:dyDescent="0.3">
      <c r="A356" s="54" t="s">
        <v>5578</v>
      </c>
      <c r="B356" s="39" t="s">
        <v>71</v>
      </c>
      <c r="C356" s="55">
        <v>45839</v>
      </c>
      <c r="D356" s="55">
        <v>45867</v>
      </c>
      <c r="E356" s="39">
        <v>13218</v>
      </c>
      <c r="F356" s="39">
        <v>12</v>
      </c>
      <c r="G356" s="69" t="s">
        <v>6100</v>
      </c>
      <c r="H356" s="56">
        <v>0</v>
      </c>
      <c r="I356" s="56">
        <v>52500</v>
      </c>
      <c r="J356" s="10">
        <f t="shared" si="2"/>
        <v>52500</v>
      </c>
    </row>
    <row r="357" spans="1:11" x14ac:dyDescent="0.3">
      <c r="A357" s="54" t="s">
        <v>5523</v>
      </c>
      <c r="B357" s="39" t="s">
        <v>6101</v>
      </c>
      <c r="C357" s="55">
        <v>45868</v>
      </c>
      <c r="D357" s="55">
        <v>45868</v>
      </c>
      <c r="E357" s="39"/>
      <c r="F357" s="39" t="s">
        <v>5558</v>
      </c>
      <c r="G357" s="39" t="s">
        <v>6102</v>
      </c>
      <c r="H357" s="56">
        <v>0</v>
      </c>
      <c r="I357" s="56">
        <v>53560</v>
      </c>
      <c r="J357" s="10">
        <f t="shared" si="2"/>
        <v>53560</v>
      </c>
    </row>
    <row r="358" spans="1:11" x14ac:dyDescent="0.3">
      <c r="A358" s="54" t="s">
        <v>5523</v>
      </c>
      <c r="B358" s="39" t="s">
        <v>5772</v>
      </c>
      <c r="C358" s="55">
        <v>45868</v>
      </c>
      <c r="D358" s="55">
        <v>45868</v>
      </c>
      <c r="E358" s="39"/>
      <c r="F358" s="39" t="s">
        <v>5558</v>
      </c>
      <c r="G358" s="39" t="s">
        <v>2258</v>
      </c>
      <c r="H358" s="56">
        <v>0</v>
      </c>
      <c r="I358" s="56">
        <v>54650</v>
      </c>
      <c r="J358" s="10">
        <f t="shared" si="2"/>
        <v>54650</v>
      </c>
    </row>
    <row r="359" spans="1:11" x14ac:dyDescent="0.3">
      <c r="A359" s="54" t="s">
        <v>5578</v>
      </c>
      <c r="B359" s="39" t="s">
        <v>75</v>
      </c>
      <c r="C359" s="55">
        <v>45868</v>
      </c>
      <c r="D359" s="55">
        <v>45869</v>
      </c>
      <c r="E359" s="39">
        <v>142728</v>
      </c>
      <c r="F359" s="39">
        <v>34</v>
      </c>
      <c r="G359" s="69" t="s">
        <v>6103</v>
      </c>
      <c r="H359" s="56">
        <v>55170.5</v>
      </c>
      <c r="I359" s="56">
        <v>0</v>
      </c>
      <c r="J359" s="10">
        <f t="shared" ref="J359:J424" si="3">H359+I359</f>
        <v>55170.5</v>
      </c>
    </row>
    <row r="360" spans="1:11" x14ac:dyDescent="0.3">
      <c r="A360" s="54" t="s">
        <v>5523</v>
      </c>
      <c r="B360" s="39" t="s">
        <v>5569</v>
      </c>
      <c r="C360" s="55">
        <v>45869</v>
      </c>
      <c r="D360" s="55">
        <v>45869</v>
      </c>
      <c r="E360" s="39"/>
      <c r="F360" s="39" t="s">
        <v>5558</v>
      </c>
      <c r="G360" s="39" t="s">
        <v>2258</v>
      </c>
      <c r="H360" s="56">
        <v>0</v>
      </c>
      <c r="I360" s="56">
        <v>55310</v>
      </c>
      <c r="J360" s="10">
        <f t="shared" si="3"/>
        <v>55310</v>
      </c>
    </row>
    <row r="361" spans="1:11" x14ac:dyDescent="0.3">
      <c r="A361" s="54" t="s">
        <v>5523</v>
      </c>
      <c r="B361" s="39" t="s">
        <v>6104</v>
      </c>
      <c r="C361" s="55">
        <v>45869</v>
      </c>
      <c r="D361" s="55">
        <v>45869</v>
      </c>
      <c r="E361" s="39"/>
      <c r="F361" s="39" t="s">
        <v>6104</v>
      </c>
      <c r="G361" s="39" t="s">
        <v>6105</v>
      </c>
      <c r="H361" s="56">
        <v>0</v>
      </c>
      <c r="I361" s="56">
        <v>57501.85</v>
      </c>
      <c r="J361" s="10">
        <f t="shared" si="3"/>
        <v>57501.85</v>
      </c>
    </row>
    <row r="362" spans="1:11" x14ac:dyDescent="0.3">
      <c r="A362" s="54" t="s">
        <v>5523</v>
      </c>
      <c r="B362" s="39" t="s">
        <v>6106</v>
      </c>
      <c r="C362" s="55">
        <v>45869</v>
      </c>
      <c r="D362" s="55">
        <v>45869</v>
      </c>
      <c r="E362" s="39"/>
      <c r="F362" s="39" t="s">
        <v>5558</v>
      </c>
      <c r="G362" s="39" t="s">
        <v>6107</v>
      </c>
      <c r="H362" s="56">
        <v>0</v>
      </c>
      <c r="I362" s="56">
        <v>57900.1</v>
      </c>
      <c r="J362" s="10">
        <f t="shared" si="3"/>
        <v>57900.1</v>
      </c>
    </row>
    <row r="363" spans="1:11" x14ac:dyDescent="0.3">
      <c r="A363" s="54" t="s">
        <v>5523</v>
      </c>
      <c r="B363" s="39" t="s">
        <v>6108</v>
      </c>
      <c r="C363" s="55">
        <v>45868</v>
      </c>
      <c r="D363" s="55">
        <v>45868</v>
      </c>
      <c r="E363" s="39"/>
      <c r="F363" s="39" t="s">
        <v>5558</v>
      </c>
      <c r="G363" s="39" t="s">
        <v>6109</v>
      </c>
      <c r="H363" s="56">
        <v>0</v>
      </c>
      <c r="I363" s="56">
        <v>61129</v>
      </c>
      <c r="J363" s="10">
        <f t="shared" si="3"/>
        <v>61129</v>
      </c>
    </row>
    <row r="364" spans="1:11" x14ac:dyDescent="0.3">
      <c r="A364" s="54" t="s">
        <v>5523</v>
      </c>
      <c r="B364" s="39" t="s">
        <v>6110</v>
      </c>
      <c r="C364" s="55">
        <v>45869</v>
      </c>
      <c r="D364" s="55">
        <v>45869</v>
      </c>
      <c r="E364" s="39"/>
      <c r="F364" s="39" t="s">
        <v>6111</v>
      </c>
      <c r="G364" s="39" t="s">
        <v>5985</v>
      </c>
      <c r="H364" s="56">
        <v>0</v>
      </c>
      <c r="I364" s="56">
        <v>61463</v>
      </c>
      <c r="J364" s="10">
        <f t="shared" si="3"/>
        <v>61463</v>
      </c>
    </row>
    <row r="365" spans="1:11" x14ac:dyDescent="0.3">
      <c r="A365" s="54" t="s">
        <v>5523</v>
      </c>
      <c r="B365" s="39" t="s">
        <v>6112</v>
      </c>
      <c r="C365" s="55">
        <v>45869</v>
      </c>
      <c r="D365" s="55">
        <v>45869</v>
      </c>
      <c r="E365" s="39"/>
      <c r="F365" s="39" t="s">
        <v>6113</v>
      </c>
      <c r="G365" s="39" t="s">
        <v>6114</v>
      </c>
      <c r="H365" s="56">
        <v>0</v>
      </c>
      <c r="I365" s="56">
        <v>64153</v>
      </c>
      <c r="J365" s="10">
        <f t="shared" si="3"/>
        <v>64153</v>
      </c>
    </row>
    <row r="366" spans="1:11" x14ac:dyDescent="0.3">
      <c r="A366" s="54" t="s">
        <v>5523</v>
      </c>
      <c r="B366" s="39" t="s">
        <v>6115</v>
      </c>
      <c r="C366" s="55">
        <v>45869</v>
      </c>
      <c r="D366" s="55">
        <v>45869</v>
      </c>
      <c r="E366" s="39"/>
      <c r="F366" s="39" t="s">
        <v>6115</v>
      </c>
      <c r="G366" s="39" t="s">
        <v>6116</v>
      </c>
      <c r="H366" s="56">
        <v>0</v>
      </c>
      <c r="I366" s="56">
        <v>64336</v>
      </c>
      <c r="J366" s="10">
        <f t="shared" si="3"/>
        <v>64336</v>
      </c>
    </row>
    <row r="367" spans="1:11" x14ac:dyDescent="0.3">
      <c r="A367" s="54" t="s">
        <v>5523</v>
      </c>
      <c r="B367" s="39" t="s">
        <v>6117</v>
      </c>
      <c r="C367" s="55">
        <v>45869</v>
      </c>
      <c r="D367" s="55">
        <v>45869</v>
      </c>
      <c r="E367" s="39"/>
      <c r="F367" s="39" t="s">
        <v>5558</v>
      </c>
      <c r="G367" s="39" t="s">
        <v>6118</v>
      </c>
      <c r="H367" s="56">
        <v>0</v>
      </c>
      <c r="I367" s="56">
        <v>66100</v>
      </c>
      <c r="J367" s="10">
        <f t="shared" si="3"/>
        <v>66100</v>
      </c>
    </row>
    <row r="368" spans="1:11" x14ac:dyDescent="0.3">
      <c r="A368" s="54" t="s">
        <v>5523</v>
      </c>
      <c r="B368" s="39" t="s">
        <v>5569</v>
      </c>
      <c r="C368" s="55">
        <v>45869</v>
      </c>
      <c r="D368" s="55">
        <v>45869</v>
      </c>
      <c r="E368" s="39"/>
      <c r="F368" s="39" t="s">
        <v>5558</v>
      </c>
      <c r="G368" s="39" t="s">
        <v>2258</v>
      </c>
      <c r="H368" s="56">
        <v>0</v>
      </c>
      <c r="I368" s="56">
        <v>75348.22</v>
      </c>
      <c r="J368" s="10">
        <f t="shared" si="3"/>
        <v>75348.22</v>
      </c>
    </row>
    <row r="369" spans="1:10" x14ac:dyDescent="0.3">
      <c r="A369" s="54" t="s">
        <v>5523</v>
      </c>
      <c r="B369" s="39" t="s">
        <v>5569</v>
      </c>
      <c r="C369" s="55">
        <v>45869</v>
      </c>
      <c r="D369" s="55">
        <v>45869</v>
      </c>
      <c r="E369" s="39"/>
      <c r="F369" s="39" t="s">
        <v>5558</v>
      </c>
      <c r="G369" s="39" t="s">
        <v>2258</v>
      </c>
      <c r="H369" s="56">
        <v>0</v>
      </c>
      <c r="I369" s="56">
        <v>76000</v>
      </c>
      <c r="J369" s="10">
        <f t="shared" si="3"/>
        <v>76000</v>
      </c>
    </row>
    <row r="370" spans="1:10" x14ac:dyDescent="0.3">
      <c r="A370" s="54" t="s">
        <v>5523</v>
      </c>
      <c r="B370" s="39" t="s">
        <v>6119</v>
      </c>
      <c r="C370" s="55">
        <v>45869</v>
      </c>
      <c r="D370" s="55">
        <v>45869</v>
      </c>
      <c r="E370" s="39"/>
      <c r="F370" s="39" t="s">
        <v>6120</v>
      </c>
      <c r="G370" s="39" t="s">
        <v>6121</v>
      </c>
      <c r="H370" s="56">
        <v>0</v>
      </c>
      <c r="I370" s="56">
        <v>79500</v>
      </c>
      <c r="J370" s="10">
        <f t="shared" si="3"/>
        <v>79500</v>
      </c>
    </row>
    <row r="371" spans="1:10" x14ac:dyDescent="0.3">
      <c r="A371" s="54" t="s">
        <v>5523</v>
      </c>
      <c r="B371" s="39" t="s">
        <v>6122</v>
      </c>
      <c r="C371" s="55">
        <v>45868</v>
      </c>
      <c r="D371" s="55">
        <v>45868</v>
      </c>
      <c r="E371" s="39"/>
      <c r="F371" s="39" t="s">
        <v>5558</v>
      </c>
      <c r="G371" s="39" t="s">
        <v>6123</v>
      </c>
      <c r="H371" s="56">
        <v>0</v>
      </c>
      <c r="I371" s="56">
        <v>82848.75</v>
      </c>
      <c r="J371" s="10">
        <f t="shared" si="3"/>
        <v>82848.75</v>
      </c>
    </row>
    <row r="372" spans="1:10" x14ac:dyDescent="0.3">
      <c r="A372" s="54" t="s">
        <v>5523</v>
      </c>
      <c r="B372" s="39" t="s">
        <v>6124</v>
      </c>
      <c r="C372" s="55">
        <v>45868</v>
      </c>
      <c r="D372" s="55">
        <v>45868</v>
      </c>
      <c r="E372" s="39"/>
      <c r="F372" s="39" t="s">
        <v>5558</v>
      </c>
      <c r="G372" s="39" t="s">
        <v>6125</v>
      </c>
      <c r="H372" s="56">
        <v>0</v>
      </c>
      <c r="I372" s="56">
        <v>83760.5</v>
      </c>
      <c r="J372" s="10">
        <f t="shared" si="3"/>
        <v>83760.5</v>
      </c>
    </row>
    <row r="373" spans="1:10" x14ac:dyDescent="0.3">
      <c r="A373" s="54" t="s">
        <v>5523</v>
      </c>
      <c r="B373" s="39" t="s">
        <v>6126</v>
      </c>
      <c r="C373" s="55">
        <v>45867</v>
      </c>
      <c r="D373" s="55">
        <v>45867</v>
      </c>
      <c r="E373" s="39"/>
      <c r="F373" s="39" t="s">
        <v>6127</v>
      </c>
      <c r="G373" s="39" t="s">
        <v>6128</v>
      </c>
      <c r="H373" s="56">
        <v>0</v>
      </c>
      <c r="I373" s="56">
        <v>84788.9</v>
      </c>
      <c r="J373" s="10">
        <f t="shared" si="3"/>
        <v>84788.9</v>
      </c>
    </row>
    <row r="374" spans="1:10" x14ac:dyDescent="0.3">
      <c r="A374" s="54" t="s">
        <v>5523</v>
      </c>
      <c r="B374" s="39" t="s">
        <v>6129</v>
      </c>
      <c r="C374" s="55">
        <v>45869</v>
      </c>
      <c r="D374" s="55">
        <v>45869</v>
      </c>
      <c r="E374" s="39"/>
      <c r="F374" s="39" t="s">
        <v>5558</v>
      </c>
      <c r="G374" s="39" t="s">
        <v>6130</v>
      </c>
      <c r="H374" s="56">
        <v>0</v>
      </c>
      <c r="I374" s="56">
        <v>84953.5</v>
      </c>
      <c r="J374" s="10">
        <f t="shared" si="3"/>
        <v>84953.5</v>
      </c>
    </row>
    <row r="375" spans="1:10" x14ac:dyDescent="0.3">
      <c r="A375" s="54" t="s">
        <v>5523</v>
      </c>
      <c r="B375" s="39" t="s">
        <v>6131</v>
      </c>
      <c r="C375" s="55">
        <v>45869</v>
      </c>
      <c r="D375" s="55">
        <v>45869</v>
      </c>
      <c r="E375" s="39"/>
      <c r="F375" s="39" t="s">
        <v>6132</v>
      </c>
      <c r="G375" s="39" t="s">
        <v>6133</v>
      </c>
      <c r="H375" s="56">
        <v>0</v>
      </c>
      <c r="I375" s="56">
        <v>93535.72</v>
      </c>
      <c r="J375" s="10">
        <f t="shared" si="3"/>
        <v>93535.72</v>
      </c>
    </row>
    <row r="376" spans="1:10" x14ac:dyDescent="0.3">
      <c r="A376" s="54" t="s">
        <v>5523</v>
      </c>
      <c r="B376" s="39" t="s">
        <v>6134</v>
      </c>
      <c r="C376" s="55">
        <v>45869</v>
      </c>
      <c r="D376" s="55">
        <v>45869</v>
      </c>
      <c r="E376" s="39"/>
      <c r="F376" s="39" t="s">
        <v>5558</v>
      </c>
      <c r="G376" s="39" t="s">
        <v>6135</v>
      </c>
      <c r="H376" s="56">
        <v>0</v>
      </c>
      <c r="I376" s="56">
        <v>98829.5</v>
      </c>
      <c r="J376" s="10">
        <f t="shared" si="3"/>
        <v>98829.5</v>
      </c>
    </row>
    <row r="377" spans="1:10" x14ac:dyDescent="0.3">
      <c r="A377" s="54" t="s">
        <v>5523</v>
      </c>
      <c r="B377" s="39" t="s">
        <v>5569</v>
      </c>
      <c r="C377" s="55">
        <v>45869</v>
      </c>
      <c r="D377" s="55">
        <v>45869</v>
      </c>
      <c r="E377" s="39"/>
      <c r="F377" s="39" t="s">
        <v>5558</v>
      </c>
      <c r="G377" s="39" t="s">
        <v>2258</v>
      </c>
      <c r="H377" s="56">
        <v>0</v>
      </c>
      <c r="I377" s="56">
        <v>99961.5</v>
      </c>
      <c r="J377" s="10">
        <f t="shared" si="3"/>
        <v>99961.5</v>
      </c>
    </row>
    <row r="378" spans="1:10" x14ac:dyDescent="0.3">
      <c r="A378" s="54" t="s">
        <v>5523</v>
      </c>
      <c r="B378" s="39" t="s">
        <v>6136</v>
      </c>
      <c r="C378" s="55">
        <v>45869</v>
      </c>
      <c r="D378" s="55">
        <v>45869</v>
      </c>
      <c r="E378" s="39"/>
      <c r="F378" s="39" t="s">
        <v>6136</v>
      </c>
      <c r="G378" s="39" t="s">
        <v>6137</v>
      </c>
      <c r="H378" s="56">
        <v>0</v>
      </c>
      <c r="I378" s="56">
        <v>100000</v>
      </c>
      <c r="J378" s="10">
        <f t="shared" si="3"/>
        <v>100000</v>
      </c>
    </row>
    <row r="379" spans="1:10" x14ac:dyDescent="0.3">
      <c r="A379" s="54" t="s">
        <v>5523</v>
      </c>
      <c r="B379" s="39" t="s">
        <v>6138</v>
      </c>
      <c r="C379" s="55">
        <v>45869</v>
      </c>
      <c r="D379" s="55">
        <v>45869</v>
      </c>
      <c r="E379" s="39"/>
      <c r="F379" s="39" t="s">
        <v>6139</v>
      </c>
      <c r="G379" s="39" t="s">
        <v>6140</v>
      </c>
      <c r="H379" s="56">
        <v>0</v>
      </c>
      <c r="I379" s="56">
        <v>100000</v>
      </c>
      <c r="J379" s="10">
        <f t="shared" si="3"/>
        <v>100000</v>
      </c>
    </row>
    <row r="380" spans="1:10" x14ac:dyDescent="0.3">
      <c r="A380" s="54" t="s">
        <v>5523</v>
      </c>
      <c r="B380" s="39" t="s">
        <v>6141</v>
      </c>
      <c r="C380" s="55">
        <v>45869</v>
      </c>
      <c r="D380" s="55">
        <v>45869</v>
      </c>
      <c r="E380" s="39"/>
      <c r="F380" s="39" t="s">
        <v>5558</v>
      </c>
      <c r="G380" s="39" t="s">
        <v>6142</v>
      </c>
      <c r="H380" s="56">
        <v>0</v>
      </c>
      <c r="I380" s="56">
        <v>100000</v>
      </c>
      <c r="J380" s="10">
        <f t="shared" si="3"/>
        <v>100000</v>
      </c>
    </row>
    <row r="381" spans="1:10" x14ac:dyDescent="0.3">
      <c r="A381" s="54" t="s">
        <v>5578</v>
      </c>
      <c r="B381" s="39" t="s">
        <v>75</v>
      </c>
      <c r="C381" s="55">
        <v>45869</v>
      </c>
      <c r="D381" s="55">
        <v>45869</v>
      </c>
      <c r="E381" s="39">
        <v>142760</v>
      </c>
      <c r="F381" s="39">
        <v>14</v>
      </c>
      <c r="G381" s="69" t="s">
        <v>6143</v>
      </c>
      <c r="H381" s="56">
        <v>100000</v>
      </c>
      <c r="I381" s="56">
        <v>0</v>
      </c>
      <c r="J381" s="10">
        <f t="shared" si="3"/>
        <v>100000</v>
      </c>
    </row>
    <row r="382" spans="1:10" x14ac:dyDescent="0.3">
      <c r="A382" s="54" t="s">
        <v>5523</v>
      </c>
      <c r="B382" s="39" t="s">
        <v>6144</v>
      </c>
      <c r="C382" s="55">
        <v>45869</v>
      </c>
      <c r="D382" s="55">
        <v>45869</v>
      </c>
      <c r="E382" s="39"/>
      <c r="F382" s="39" t="s">
        <v>6144</v>
      </c>
      <c r="G382" s="39" t="s">
        <v>6145</v>
      </c>
      <c r="H382" s="56">
        <v>0</v>
      </c>
      <c r="I382" s="56">
        <v>105670</v>
      </c>
      <c r="J382" s="10">
        <f t="shared" si="3"/>
        <v>105670</v>
      </c>
    </row>
    <row r="383" spans="1:10" x14ac:dyDescent="0.3">
      <c r="A383" s="39" t="s">
        <v>5523</v>
      </c>
      <c r="B383" s="39" t="s">
        <v>6146</v>
      </c>
      <c r="C383" s="55">
        <v>45860</v>
      </c>
      <c r="D383" s="55">
        <v>45860</v>
      </c>
      <c r="E383" s="39"/>
      <c r="F383" s="39" t="s">
        <v>5558</v>
      </c>
      <c r="G383" s="39" t="s">
        <v>6147</v>
      </c>
      <c r="H383" s="56">
        <v>0</v>
      </c>
      <c r="I383" s="56">
        <v>106682</v>
      </c>
      <c r="J383" s="10">
        <f t="shared" si="3"/>
        <v>106682</v>
      </c>
    </row>
    <row r="384" spans="1:10" x14ac:dyDescent="0.3">
      <c r="A384" s="54" t="s">
        <v>5523</v>
      </c>
      <c r="B384" s="39" t="s">
        <v>6148</v>
      </c>
      <c r="C384" s="55">
        <v>45869</v>
      </c>
      <c r="D384" s="55">
        <v>45869</v>
      </c>
      <c r="E384" s="39"/>
      <c r="F384" s="39" t="s">
        <v>6148</v>
      </c>
      <c r="G384" s="39" t="s">
        <v>6149</v>
      </c>
      <c r="H384" s="56">
        <v>0</v>
      </c>
      <c r="I384" s="56">
        <v>109986.5</v>
      </c>
      <c r="J384" s="10">
        <f t="shared" si="3"/>
        <v>109986.5</v>
      </c>
    </row>
    <row r="385" spans="1:11" x14ac:dyDescent="0.3">
      <c r="A385" s="54" t="s">
        <v>5578</v>
      </c>
      <c r="B385" s="39" t="s">
        <v>133</v>
      </c>
      <c r="C385" s="55">
        <v>45869</v>
      </c>
      <c r="D385" s="55">
        <v>45869</v>
      </c>
      <c r="E385" s="39">
        <v>909955</v>
      </c>
      <c r="F385" s="39">
        <v>422</v>
      </c>
      <c r="G385" s="69" t="s">
        <v>6150</v>
      </c>
      <c r="H385" s="56">
        <v>130000</v>
      </c>
      <c r="I385" s="56">
        <v>0</v>
      </c>
      <c r="J385" s="10">
        <f t="shared" si="3"/>
        <v>130000</v>
      </c>
    </row>
    <row r="386" spans="1:11" x14ac:dyDescent="0.3">
      <c r="A386" s="54" t="s">
        <v>5578</v>
      </c>
      <c r="B386" s="39" t="s">
        <v>133</v>
      </c>
      <c r="C386" s="55">
        <v>45869</v>
      </c>
      <c r="D386" s="55">
        <v>45869</v>
      </c>
      <c r="E386" s="39">
        <v>910076</v>
      </c>
      <c r="F386" s="39">
        <v>67</v>
      </c>
      <c r="G386" s="69" t="s">
        <v>6151</v>
      </c>
      <c r="H386" s="88">
        <v>140000</v>
      </c>
      <c r="I386" s="86">
        <v>0</v>
      </c>
      <c r="J386" s="10">
        <f>H386+I386</f>
        <v>140000</v>
      </c>
      <c r="K386" s="2"/>
    </row>
    <row r="387" spans="1:11" x14ac:dyDescent="0.3">
      <c r="A387" s="54" t="s">
        <v>5523</v>
      </c>
      <c r="B387" s="39" t="s">
        <v>6152</v>
      </c>
      <c r="C387" s="55">
        <v>45853</v>
      </c>
      <c r="D387" s="55">
        <v>45853</v>
      </c>
      <c r="E387" s="39"/>
      <c r="F387" s="39" t="s">
        <v>5558</v>
      </c>
      <c r="G387" s="39" t="s">
        <v>6153</v>
      </c>
      <c r="H387" s="56">
        <v>0</v>
      </c>
      <c r="I387" s="56">
        <v>140000</v>
      </c>
      <c r="J387" s="10">
        <f>H387+I387</f>
        <v>140000</v>
      </c>
      <c r="K387" s="2"/>
    </row>
    <row r="388" spans="1:11" x14ac:dyDescent="0.3">
      <c r="A388" s="54" t="s">
        <v>5523</v>
      </c>
      <c r="B388" s="39" t="s">
        <v>6154</v>
      </c>
      <c r="C388" s="55">
        <v>45869</v>
      </c>
      <c r="D388" s="55">
        <v>45869</v>
      </c>
      <c r="E388" s="39"/>
      <c r="F388" s="39" t="s">
        <v>6154</v>
      </c>
      <c r="G388" s="39" t="s">
        <v>6155</v>
      </c>
      <c r="H388" s="56">
        <v>0</v>
      </c>
      <c r="I388" s="56">
        <v>159094.75</v>
      </c>
      <c r="J388" s="10">
        <f t="shared" si="3"/>
        <v>159094.75</v>
      </c>
    </row>
    <row r="389" spans="1:11" x14ac:dyDescent="0.3">
      <c r="A389" s="54" t="s">
        <v>5523</v>
      </c>
      <c r="B389" s="39" t="s">
        <v>6156</v>
      </c>
      <c r="C389" s="55">
        <v>45869</v>
      </c>
      <c r="D389" s="55">
        <v>45869</v>
      </c>
      <c r="E389" s="39"/>
      <c r="F389" s="39" t="s">
        <v>6156</v>
      </c>
      <c r="G389" s="39" t="s">
        <v>6157</v>
      </c>
      <c r="H389" s="56">
        <v>0</v>
      </c>
      <c r="I389" s="56">
        <v>179635.87</v>
      </c>
      <c r="J389" s="10">
        <f t="shared" si="3"/>
        <v>179635.87</v>
      </c>
    </row>
    <row r="390" spans="1:11" x14ac:dyDescent="0.3">
      <c r="A390" s="54" t="s">
        <v>5578</v>
      </c>
      <c r="B390" s="39" t="s">
        <v>133</v>
      </c>
      <c r="C390" s="55">
        <v>45869</v>
      </c>
      <c r="D390" s="55">
        <v>45869</v>
      </c>
      <c r="E390" s="39">
        <v>909676</v>
      </c>
      <c r="F390" s="39">
        <v>282</v>
      </c>
      <c r="G390" s="69" t="s">
        <v>6158</v>
      </c>
      <c r="H390" s="56">
        <v>190000</v>
      </c>
      <c r="I390" s="56">
        <v>0</v>
      </c>
      <c r="J390" s="10">
        <f t="shared" si="3"/>
        <v>190000</v>
      </c>
    </row>
    <row r="391" spans="1:11" x14ac:dyDescent="0.3">
      <c r="A391" s="54" t="s">
        <v>5578</v>
      </c>
      <c r="B391" s="39" t="s">
        <v>75</v>
      </c>
      <c r="C391" s="55">
        <v>45868</v>
      </c>
      <c r="D391" s="55">
        <v>45869</v>
      </c>
      <c r="E391" s="39">
        <v>142762</v>
      </c>
      <c r="F391" s="39">
        <v>91</v>
      </c>
      <c r="G391" s="69" t="s">
        <v>6159</v>
      </c>
      <c r="H391" s="56">
        <v>199670</v>
      </c>
      <c r="I391" s="56">
        <v>0</v>
      </c>
      <c r="J391" s="10">
        <f t="shared" si="3"/>
        <v>199670</v>
      </c>
    </row>
    <row r="392" spans="1:11" x14ac:dyDescent="0.3">
      <c r="A392" s="54" t="s">
        <v>5578</v>
      </c>
      <c r="B392" s="39" t="s">
        <v>133</v>
      </c>
      <c r="C392" s="55">
        <v>45869</v>
      </c>
      <c r="D392" s="55">
        <v>45869</v>
      </c>
      <c r="E392" s="39">
        <v>910073</v>
      </c>
      <c r="F392" s="39">
        <v>78</v>
      </c>
      <c r="G392" s="69" t="s">
        <v>6160</v>
      </c>
      <c r="H392" s="56">
        <v>210000</v>
      </c>
      <c r="I392" s="56">
        <v>0</v>
      </c>
      <c r="J392" s="10">
        <f t="shared" si="3"/>
        <v>210000</v>
      </c>
    </row>
    <row r="393" spans="1:11" x14ac:dyDescent="0.3">
      <c r="A393" s="54" t="s">
        <v>5578</v>
      </c>
      <c r="B393" s="39" t="s">
        <v>133</v>
      </c>
      <c r="C393" s="55">
        <v>45869</v>
      </c>
      <c r="D393" s="55">
        <v>45869</v>
      </c>
      <c r="E393" s="39">
        <v>910085</v>
      </c>
      <c r="F393" s="39">
        <v>63</v>
      </c>
      <c r="G393" s="69" t="s">
        <v>6161</v>
      </c>
      <c r="H393" s="56">
        <v>210000</v>
      </c>
      <c r="I393" s="56">
        <v>0</v>
      </c>
      <c r="J393" s="10">
        <f t="shared" si="3"/>
        <v>210000</v>
      </c>
    </row>
    <row r="394" spans="1:11" x14ac:dyDescent="0.3">
      <c r="A394" s="54" t="s">
        <v>5578</v>
      </c>
      <c r="B394" s="39" t="s">
        <v>133</v>
      </c>
      <c r="C394" s="55">
        <v>45869</v>
      </c>
      <c r="D394" s="55">
        <v>45869</v>
      </c>
      <c r="E394" s="39">
        <v>910147</v>
      </c>
      <c r="F394" s="39">
        <v>65</v>
      </c>
      <c r="G394" s="69" t="s">
        <v>176</v>
      </c>
      <c r="H394" s="56">
        <v>210000</v>
      </c>
      <c r="I394" s="56">
        <v>0</v>
      </c>
      <c r="J394" s="10">
        <f t="shared" si="3"/>
        <v>210000</v>
      </c>
    </row>
    <row r="395" spans="1:11" x14ac:dyDescent="0.3">
      <c r="A395" s="54" t="s">
        <v>5523</v>
      </c>
      <c r="B395" s="39" t="s">
        <v>1295</v>
      </c>
      <c r="C395" s="55">
        <v>45867</v>
      </c>
      <c r="D395" s="55">
        <v>45867</v>
      </c>
      <c r="E395" s="39"/>
      <c r="F395" s="39" t="s">
        <v>5558</v>
      </c>
      <c r="G395" s="39" t="s">
        <v>6162</v>
      </c>
      <c r="H395" s="56">
        <v>0</v>
      </c>
      <c r="I395" s="56">
        <v>214492.31</v>
      </c>
      <c r="J395" s="10">
        <f t="shared" si="3"/>
        <v>214492.31</v>
      </c>
    </row>
    <row r="396" spans="1:11" x14ac:dyDescent="0.3">
      <c r="A396" s="54" t="s">
        <v>5523</v>
      </c>
      <c r="B396" s="39" t="s">
        <v>6163</v>
      </c>
      <c r="C396" s="55">
        <v>45869</v>
      </c>
      <c r="D396" s="55">
        <v>45869</v>
      </c>
      <c r="E396" s="39"/>
      <c r="F396" s="39" t="s">
        <v>5558</v>
      </c>
      <c r="G396" s="39" t="s">
        <v>6164</v>
      </c>
      <c r="H396" s="56">
        <v>0</v>
      </c>
      <c r="I396" s="56">
        <v>216281</v>
      </c>
      <c r="J396" s="10">
        <f t="shared" si="3"/>
        <v>216281</v>
      </c>
    </row>
    <row r="397" spans="1:11" x14ac:dyDescent="0.3">
      <c r="A397" s="54" t="s">
        <v>5578</v>
      </c>
      <c r="B397" s="39" t="s">
        <v>133</v>
      </c>
      <c r="C397" s="55">
        <v>45869</v>
      </c>
      <c r="D397" s="55">
        <v>45869</v>
      </c>
      <c r="E397" s="39">
        <v>909992</v>
      </c>
      <c r="F397" s="39">
        <v>361</v>
      </c>
      <c r="G397" s="69">
        <v>101021684423</v>
      </c>
      <c r="H397" s="56">
        <v>220000</v>
      </c>
      <c r="I397" s="56">
        <v>0</v>
      </c>
      <c r="J397" s="10">
        <f t="shared" si="3"/>
        <v>220000</v>
      </c>
    </row>
    <row r="398" spans="1:11" x14ac:dyDescent="0.3">
      <c r="A398" s="54" t="s">
        <v>5578</v>
      </c>
      <c r="B398" s="39" t="s">
        <v>133</v>
      </c>
      <c r="C398" s="55">
        <v>45869</v>
      </c>
      <c r="D398" s="55">
        <v>45869</v>
      </c>
      <c r="E398" s="39">
        <v>910053</v>
      </c>
      <c r="F398" s="39">
        <v>542</v>
      </c>
      <c r="G398" s="69" t="s">
        <v>208</v>
      </c>
      <c r="H398" s="56">
        <v>220000</v>
      </c>
      <c r="I398" s="56">
        <v>0</v>
      </c>
      <c r="J398" s="10">
        <f t="shared" si="3"/>
        <v>220000</v>
      </c>
    </row>
    <row r="399" spans="1:11" x14ac:dyDescent="0.3">
      <c r="A399" s="54" t="s">
        <v>5523</v>
      </c>
      <c r="B399" s="39" t="s">
        <v>6165</v>
      </c>
      <c r="C399" s="55">
        <v>45868</v>
      </c>
      <c r="D399" s="55">
        <v>45868</v>
      </c>
      <c r="E399" s="39"/>
      <c r="F399" s="39" t="s">
        <v>6165</v>
      </c>
      <c r="G399" s="39" t="s">
        <v>6166</v>
      </c>
      <c r="H399" s="56">
        <v>0</v>
      </c>
      <c r="I399" s="56">
        <v>249969.65</v>
      </c>
      <c r="J399" s="10">
        <f t="shared" si="3"/>
        <v>249969.65</v>
      </c>
    </row>
    <row r="400" spans="1:11" x14ac:dyDescent="0.3">
      <c r="A400" s="54" t="s">
        <v>5578</v>
      </c>
      <c r="B400" s="39" t="s">
        <v>133</v>
      </c>
      <c r="C400" s="55">
        <v>45869</v>
      </c>
      <c r="D400" s="55">
        <v>45869</v>
      </c>
      <c r="E400" s="39">
        <v>909867</v>
      </c>
      <c r="F400" s="39">
        <v>28</v>
      </c>
      <c r="G400" s="69" t="s">
        <v>6167</v>
      </c>
      <c r="H400" s="56">
        <v>270000</v>
      </c>
      <c r="I400" s="56">
        <v>0</v>
      </c>
      <c r="J400" s="10">
        <f t="shared" si="3"/>
        <v>270000</v>
      </c>
    </row>
    <row r="401" spans="1:10" x14ac:dyDescent="0.3">
      <c r="A401" s="54" t="s">
        <v>5578</v>
      </c>
      <c r="B401" s="39" t="s">
        <v>133</v>
      </c>
      <c r="C401" s="55">
        <v>45869</v>
      </c>
      <c r="D401" s="55">
        <v>45869</v>
      </c>
      <c r="E401" s="39">
        <v>909947</v>
      </c>
      <c r="F401" s="39">
        <v>64</v>
      </c>
      <c r="G401" s="69" t="s">
        <v>6168</v>
      </c>
      <c r="H401" s="56">
        <v>270000</v>
      </c>
      <c r="I401" s="56">
        <v>0</v>
      </c>
      <c r="J401" s="10">
        <f t="shared" si="3"/>
        <v>270000</v>
      </c>
    </row>
    <row r="402" spans="1:10" x14ac:dyDescent="0.3">
      <c r="A402" s="54" t="s">
        <v>5578</v>
      </c>
      <c r="B402" s="39" t="s">
        <v>133</v>
      </c>
      <c r="C402" s="55">
        <v>45869</v>
      </c>
      <c r="D402" s="55">
        <v>45869</v>
      </c>
      <c r="E402" s="39">
        <v>909864</v>
      </c>
      <c r="F402" s="39">
        <v>223</v>
      </c>
      <c r="G402" s="69" t="s">
        <v>6169</v>
      </c>
      <c r="H402" s="56">
        <v>280000</v>
      </c>
      <c r="I402" s="56">
        <v>0</v>
      </c>
      <c r="J402" s="10">
        <f t="shared" si="3"/>
        <v>280000</v>
      </c>
    </row>
    <row r="403" spans="1:10" x14ac:dyDescent="0.3">
      <c r="A403" s="54" t="s">
        <v>5578</v>
      </c>
      <c r="B403" s="39" t="s">
        <v>133</v>
      </c>
      <c r="C403" s="55">
        <v>45869</v>
      </c>
      <c r="D403" s="55">
        <v>45869</v>
      </c>
      <c r="E403" s="39">
        <v>910128</v>
      </c>
      <c r="F403" s="39">
        <v>48</v>
      </c>
      <c r="G403" s="69" t="s">
        <v>6170</v>
      </c>
      <c r="H403" s="56">
        <v>300000</v>
      </c>
      <c r="I403" s="56">
        <v>0</v>
      </c>
      <c r="J403" s="10">
        <f t="shared" si="3"/>
        <v>300000</v>
      </c>
    </row>
    <row r="404" spans="1:10" x14ac:dyDescent="0.3">
      <c r="A404" s="54" t="s">
        <v>5578</v>
      </c>
      <c r="B404" s="39" t="s">
        <v>133</v>
      </c>
      <c r="C404" s="55">
        <v>45869</v>
      </c>
      <c r="D404" s="55">
        <v>45869</v>
      </c>
      <c r="E404" s="39">
        <v>910166</v>
      </c>
      <c r="F404" s="39">
        <v>307</v>
      </c>
      <c r="G404" s="69" t="s">
        <v>6171</v>
      </c>
      <c r="H404" s="56">
        <v>300000</v>
      </c>
      <c r="I404" s="56">
        <v>0</v>
      </c>
      <c r="J404" s="10">
        <f t="shared" si="3"/>
        <v>300000</v>
      </c>
    </row>
    <row r="405" spans="1:10" x14ac:dyDescent="0.3">
      <c r="A405" s="54" t="s">
        <v>5578</v>
      </c>
      <c r="B405" s="39" t="s">
        <v>133</v>
      </c>
      <c r="C405" s="55">
        <v>45869</v>
      </c>
      <c r="D405" s="55">
        <v>45869</v>
      </c>
      <c r="E405" s="39">
        <v>910126</v>
      </c>
      <c r="F405" s="39">
        <v>80</v>
      </c>
      <c r="G405" s="69" t="s">
        <v>6172</v>
      </c>
      <c r="H405" s="56">
        <v>305000</v>
      </c>
      <c r="I405" s="56">
        <v>0</v>
      </c>
      <c r="J405" s="10">
        <f t="shared" si="3"/>
        <v>305000</v>
      </c>
    </row>
    <row r="406" spans="1:10" x14ac:dyDescent="0.3">
      <c r="A406" s="54" t="s">
        <v>5523</v>
      </c>
      <c r="B406" s="39" t="s">
        <v>6173</v>
      </c>
      <c r="C406" s="55">
        <v>45869</v>
      </c>
      <c r="D406" s="55">
        <v>45869</v>
      </c>
      <c r="E406" s="39"/>
      <c r="F406" s="39" t="s">
        <v>6174</v>
      </c>
      <c r="G406" s="39" t="s">
        <v>6175</v>
      </c>
      <c r="H406" s="56">
        <v>0</v>
      </c>
      <c r="I406" s="56">
        <v>310905</v>
      </c>
      <c r="J406" s="10">
        <f t="shared" si="3"/>
        <v>310905</v>
      </c>
    </row>
    <row r="407" spans="1:10" x14ac:dyDescent="0.3">
      <c r="A407" s="54" t="s">
        <v>5523</v>
      </c>
      <c r="B407" s="39" t="s">
        <v>505</v>
      </c>
      <c r="C407" s="55">
        <v>45867</v>
      </c>
      <c r="D407" s="55">
        <v>45867</v>
      </c>
      <c r="E407" s="39"/>
      <c r="F407" s="39" t="s">
        <v>5932</v>
      </c>
      <c r="G407" s="39" t="s">
        <v>6176</v>
      </c>
      <c r="H407" s="56">
        <v>0</v>
      </c>
      <c r="I407" s="56">
        <v>319405</v>
      </c>
      <c r="J407" s="10">
        <f t="shared" si="3"/>
        <v>319405</v>
      </c>
    </row>
    <row r="408" spans="1:10" x14ac:dyDescent="0.3">
      <c r="A408" s="54" t="s">
        <v>5578</v>
      </c>
      <c r="B408" s="39" t="s">
        <v>133</v>
      </c>
      <c r="C408" s="55">
        <v>45869</v>
      </c>
      <c r="D408" s="55">
        <v>45869</v>
      </c>
      <c r="E408" s="39">
        <v>909876</v>
      </c>
      <c r="F408" s="39">
        <v>55</v>
      </c>
      <c r="G408" s="69" t="s">
        <v>6177</v>
      </c>
      <c r="H408" s="56">
        <v>320000</v>
      </c>
      <c r="I408" s="56">
        <v>0</v>
      </c>
      <c r="J408" s="10">
        <f t="shared" si="3"/>
        <v>320000</v>
      </c>
    </row>
    <row r="409" spans="1:10" x14ac:dyDescent="0.3">
      <c r="A409" s="54" t="s">
        <v>5578</v>
      </c>
      <c r="B409" s="39" t="s">
        <v>133</v>
      </c>
      <c r="C409" s="55">
        <v>45869</v>
      </c>
      <c r="D409" s="55">
        <v>45869</v>
      </c>
      <c r="E409" s="39">
        <v>909877</v>
      </c>
      <c r="F409" s="39">
        <v>92</v>
      </c>
      <c r="G409" s="69" t="s">
        <v>6178</v>
      </c>
      <c r="H409" s="56">
        <v>320000</v>
      </c>
      <c r="I409" s="56">
        <v>0</v>
      </c>
      <c r="J409" s="10">
        <f t="shared" si="3"/>
        <v>320000</v>
      </c>
    </row>
    <row r="410" spans="1:10" x14ac:dyDescent="0.3">
      <c r="A410" s="54" t="s">
        <v>5578</v>
      </c>
      <c r="B410" s="39" t="s">
        <v>133</v>
      </c>
      <c r="C410" s="55">
        <v>45869</v>
      </c>
      <c r="D410" s="55">
        <v>45869</v>
      </c>
      <c r="E410" s="39">
        <v>910120</v>
      </c>
      <c r="F410" s="39">
        <v>52</v>
      </c>
      <c r="G410" s="69" t="s">
        <v>669</v>
      </c>
      <c r="H410" s="56">
        <v>320000</v>
      </c>
      <c r="I410" s="56">
        <v>0</v>
      </c>
      <c r="J410" s="10">
        <f t="shared" si="3"/>
        <v>320000</v>
      </c>
    </row>
    <row r="411" spans="1:10" x14ac:dyDescent="0.3">
      <c r="A411" s="54" t="s">
        <v>5578</v>
      </c>
      <c r="B411" s="39" t="s">
        <v>133</v>
      </c>
      <c r="C411" s="55">
        <v>45869</v>
      </c>
      <c r="D411" s="55">
        <v>45869</v>
      </c>
      <c r="E411" s="39">
        <v>910164</v>
      </c>
      <c r="F411" s="39">
        <v>70</v>
      </c>
      <c r="G411" s="69" t="s">
        <v>6179</v>
      </c>
      <c r="H411" s="56">
        <v>320000</v>
      </c>
      <c r="I411" s="56">
        <v>0</v>
      </c>
      <c r="J411" s="10">
        <f t="shared" si="3"/>
        <v>320000</v>
      </c>
    </row>
    <row r="412" spans="1:10" x14ac:dyDescent="0.3">
      <c r="A412" s="54" t="s">
        <v>5578</v>
      </c>
      <c r="B412" s="39" t="s">
        <v>133</v>
      </c>
      <c r="C412" s="55">
        <v>45869</v>
      </c>
      <c r="D412" s="55">
        <v>45869</v>
      </c>
      <c r="E412" s="39">
        <v>909808</v>
      </c>
      <c r="F412" s="39">
        <v>45</v>
      </c>
      <c r="G412" s="69" t="s">
        <v>6180</v>
      </c>
      <c r="H412" s="56">
        <v>330000</v>
      </c>
      <c r="I412" s="56">
        <v>0</v>
      </c>
      <c r="J412" s="10">
        <f t="shared" si="3"/>
        <v>330000</v>
      </c>
    </row>
    <row r="413" spans="1:10" x14ac:dyDescent="0.3">
      <c r="A413" s="54" t="s">
        <v>5578</v>
      </c>
      <c r="B413" s="39" t="s">
        <v>133</v>
      </c>
      <c r="C413" s="55">
        <v>45869</v>
      </c>
      <c r="D413" s="55">
        <v>45869</v>
      </c>
      <c r="E413" s="39">
        <v>910146</v>
      </c>
      <c r="F413" s="39">
        <v>210</v>
      </c>
      <c r="G413" s="69" t="s">
        <v>941</v>
      </c>
      <c r="H413" s="56">
        <v>350205</v>
      </c>
      <c r="I413" s="56">
        <v>0</v>
      </c>
      <c r="J413" s="10">
        <f t="shared" si="3"/>
        <v>350205</v>
      </c>
    </row>
    <row r="414" spans="1:10" x14ac:dyDescent="0.3">
      <c r="A414" s="57" t="s">
        <v>5578</v>
      </c>
      <c r="B414" s="60" t="s">
        <v>133</v>
      </c>
      <c r="C414" s="59">
        <v>45864</v>
      </c>
      <c r="D414" s="59">
        <v>45864</v>
      </c>
      <c r="E414" s="60">
        <v>907594</v>
      </c>
      <c r="F414" s="60">
        <v>64</v>
      </c>
      <c r="G414" s="89" t="s">
        <v>6181</v>
      </c>
      <c r="H414" s="72">
        <v>360000</v>
      </c>
      <c r="I414" s="72">
        <v>0</v>
      </c>
      <c r="J414" s="10">
        <f t="shared" si="3"/>
        <v>360000</v>
      </c>
    </row>
    <row r="415" spans="1:10" x14ac:dyDescent="0.3">
      <c r="A415" s="54" t="s">
        <v>5578</v>
      </c>
      <c r="B415" s="39" t="s">
        <v>133</v>
      </c>
      <c r="C415" s="55">
        <v>45869</v>
      </c>
      <c r="D415" s="55">
        <v>45869</v>
      </c>
      <c r="E415" s="39">
        <v>909980</v>
      </c>
      <c r="F415" s="39">
        <v>71</v>
      </c>
      <c r="G415" s="69" t="s">
        <v>6182</v>
      </c>
      <c r="H415" s="56">
        <v>360000</v>
      </c>
      <c r="I415" s="56">
        <v>0</v>
      </c>
      <c r="J415" s="10">
        <f t="shared" si="3"/>
        <v>360000</v>
      </c>
    </row>
    <row r="416" spans="1:10" x14ac:dyDescent="0.3">
      <c r="A416" s="57" t="s">
        <v>5523</v>
      </c>
      <c r="B416" s="60" t="s">
        <v>6183</v>
      </c>
      <c r="C416" s="59">
        <v>45866</v>
      </c>
      <c r="D416" s="59">
        <v>45866</v>
      </c>
      <c r="E416" s="60"/>
      <c r="F416" s="60" t="s">
        <v>5558</v>
      </c>
      <c r="G416" s="60" t="s">
        <v>6184</v>
      </c>
      <c r="H416" s="72">
        <v>0</v>
      </c>
      <c r="I416" s="72">
        <v>360050</v>
      </c>
      <c r="J416" s="10">
        <f t="shared" si="3"/>
        <v>360050</v>
      </c>
    </row>
    <row r="417" spans="1:10" x14ac:dyDescent="0.3">
      <c r="A417" s="54" t="s">
        <v>5578</v>
      </c>
      <c r="B417" s="39" t="s">
        <v>133</v>
      </c>
      <c r="C417" s="55">
        <v>45869</v>
      </c>
      <c r="D417" s="55">
        <v>45869</v>
      </c>
      <c r="E417" s="39">
        <v>909862</v>
      </c>
      <c r="F417" s="39">
        <v>75</v>
      </c>
      <c r="G417" s="69" t="s">
        <v>6185</v>
      </c>
      <c r="H417" s="56">
        <v>370000</v>
      </c>
      <c r="I417" s="56">
        <v>0</v>
      </c>
      <c r="J417" s="10">
        <f t="shared" si="3"/>
        <v>370000</v>
      </c>
    </row>
    <row r="418" spans="1:10" x14ac:dyDescent="0.3">
      <c r="A418" s="54" t="s">
        <v>5578</v>
      </c>
      <c r="B418" s="39" t="s">
        <v>133</v>
      </c>
      <c r="C418" s="55">
        <v>45869</v>
      </c>
      <c r="D418" s="55">
        <v>45869</v>
      </c>
      <c r="E418" s="39">
        <v>910127</v>
      </c>
      <c r="F418" s="39">
        <v>97</v>
      </c>
      <c r="G418" s="69" t="s">
        <v>966</v>
      </c>
      <c r="H418" s="56">
        <v>380000</v>
      </c>
      <c r="I418" s="56">
        <v>0</v>
      </c>
      <c r="J418" s="10">
        <f t="shared" si="3"/>
        <v>380000</v>
      </c>
    </row>
    <row r="419" spans="1:10" x14ac:dyDescent="0.3">
      <c r="A419" s="54" t="s">
        <v>5523</v>
      </c>
      <c r="B419" s="39" t="s">
        <v>1294</v>
      </c>
      <c r="C419" s="55">
        <v>45867</v>
      </c>
      <c r="D419" s="55">
        <v>45867</v>
      </c>
      <c r="E419" s="39"/>
      <c r="F419" s="39" t="s">
        <v>5558</v>
      </c>
      <c r="G419" s="39" t="s">
        <v>6186</v>
      </c>
      <c r="H419" s="56">
        <v>0</v>
      </c>
      <c r="I419" s="56">
        <v>385547.01</v>
      </c>
      <c r="J419" s="10">
        <f t="shared" si="3"/>
        <v>385547.01</v>
      </c>
    </row>
    <row r="420" spans="1:10" x14ac:dyDescent="0.3">
      <c r="A420" s="54" t="s">
        <v>5578</v>
      </c>
      <c r="B420" s="39" t="s">
        <v>133</v>
      </c>
      <c r="C420" s="55">
        <v>45869</v>
      </c>
      <c r="D420" s="55">
        <v>45869</v>
      </c>
      <c r="E420" s="39">
        <v>909946</v>
      </c>
      <c r="F420" s="39">
        <v>74</v>
      </c>
      <c r="G420" s="69" t="s">
        <v>6187</v>
      </c>
      <c r="H420" s="56">
        <v>390000</v>
      </c>
      <c r="I420" s="56">
        <v>0</v>
      </c>
      <c r="J420" s="10">
        <f t="shared" si="3"/>
        <v>390000</v>
      </c>
    </row>
    <row r="421" spans="1:10" x14ac:dyDescent="0.3">
      <c r="A421" s="54" t="s">
        <v>5578</v>
      </c>
      <c r="B421" s="39" t="s">
        <v>133</v>
      </c>
      <c r="C421" s="55">
        <v>45869</v>
      </c>
      <c r="D421" s="55">
        <v>45869</v>
      </c>
      <c r="E421" s="39">
        <v>910111</v>
      </c>
      <c r="F421" s="39">
        <v>84</v>
      </c>
      <c r="G421" s="69" t="s">
        <v>6188</v>
      </c>
      <c r="H421" s="56">
        <v>400000</v>
      </c>
      <c r="I421" s="56">
        <v>0</v>
      </c>
      <c r="J421" s="10">
        <f t="shared" si="3"/>
        <v>400000</v>
      </c>
    </row>
    <row r="422" spans="1:10" x14ac:dyDescent="0.3">
      <c r="A422" s="54" t="s">
        <v>5578</v>
      </c>
      <c r="B422" s="39" t="s">
        <v>133</v>
      </c>
      <c r="C422" s="55">
        <v>45869</v>
      </c>
      <c r="D422" s="55">
        <v>45869</v>
      </c>
      <c r="E422" s="39">
        <v>910167</v>
      </c>
      <c r="F422" s="39">
        <v>98</v>
      </c>
      <c r="G422" s="69" t="s">
        <v>6189</v>
      </c>
      <c r="H422" s="56">
        <v>400000</v>
      </c>
      <c r="I422" s="56">
        <v>0</v>
      </c>
      <c r="J422" s="10">
        <f t="shared" si="3"/>
        <v>400000</v>
      </c>
    </row>
    <row r="423" spans="1:10" x14ac:dyDescent="0.3">
      <c r="A423" s="54" t="s">
        <v>5523</v>
      </c>
      <c r="B423" s="39" t="s">
        <v>6190</v>
      </c>
      <c r="C423" s="55">
        <v>45869</v>
      </c>
      <c r="D423" s="55">
        <v>45869</v>
      </c>
      <c r="E423" s="39"/>
      <c r="F423" s="39" t="s">
        <v>6191</v>
      </c>
      <c r="G423" s="39" t="s">
        <v>6192</v>
      </c>
      <c r="H423" s="56">
        <v>0</v>
      </c>
      <c r="I423" s="56">
        <v>401322.5</v>
      </c>
      <c r="J423" s="10">
        <f t="shared" si="3"/>
        <v>401322.5</v>
      </c>
    </row>
    <row r="424" spans="1:10" x14ac:dyDescent="0.3">
      <c r="A424" s="54" t="s">
        <v>5578</v>
      </c>
      <c r="B424" s="39" t="s">
        <v>133</v>
      </c>
      <c r="C424" s="55">
        <v>45869</v>
      </c>
      <c r="D424" s="55">
        <v>45869</v>
      </c>
      <c r="E424" s="39">
        <v>909746</v>
      </c>
      <c r="F424" s="39">
        <v>51</v>
      </c>
      <c r="G424" s="69" t="s">
        <v>6193</v>
      </c>
      <c r="H424" s="56">
        <v>430000</v>
      </c>
      <c r="I424" s="56">
        <v>0</v>
      </c>
      <c r="J424" s="10">
        <f t="shared" si="3"/>
        <v>430000</v>
      </c>
    </row>
    <row r="425" spans="1:10" x14ac:dyDescent="0.3">
      <c r="A425" s="54" t="s">
        <v>5578</v>
      </c>
      <c r="B425" s="39" t="s">
        <v>133</v>
      </c>
      <c r="C425" s="55">
        <v>45869</v>
      </c>
      <c r="D425" s="55">
        <v>45869</v>
      </c>
      <c r="E425" s="39">
        <v>910048</v>
      </c>
      <c r="F425" s="39">
        <v>54</v>
      </c>
      <c r="G425" s="69" t="s">
        <v>6161</v>
      </c>
      <c r="H425" s="56">
        <v>430000</v>
      </c>
      <c r="I425" s="56">
        <v>0</v>
      </c>
      <c r="J425" s="10">
        <f t="shared" ref="J425:J458" si="4">H425+I425</f>
        <v>430000</v>
      </c>
    </row>
    <row r="426" spans="1:10" x14ac:dyDescent="0.3">
      <c r="A426" s="54" t="s">
        <v>5578</v>
      </c>
      <c r="B426" s="39" t="s">
        <v>75</v>
      </c>
      <c r="C426" s="55">
        <v>45868</v>
      </c>
      <c r="D426" s="55">
        <v>45869</v>
      </c>
      <c r="E426" s="39">
        <v>142709</v>
      </c>
      <c r="F426" s="39">
        <v>56</v>
      </c>
      <c r="G426" s="69" t="s">
        <v>6194</v>
      </c>
      <c r="H426" s="56">
        <v>459397.5</v>
      </c>
      <c r="I426" s="56">
        <v>0</v>
      </c>
      <c r="J426" s="10">
        <f t="shared" si="4"/>
        <v>459397.5</v>
      </c>
    </row>
    <row r="427" spans="1:10" x14ac:dyDescent="0.3">
      <c r="A427" s="54" t="s">
        <v>5578</v>
      </c>
      <c r="B427" s="39" t="s">
        <v>133</v>
      </c>
      <c r="C427" s="55">
        <v>45869</v>
      </c>
      <c r="D427" s="55">
        <v>45869</v>
      </c>
      <c r="E427" s="39">
        <v>910131</v>
      </c>
      <c r="F427" s="39">
        <v>53</v>
      </c>
      <c r="G427" s="69" t="s">
        <v>6195</v>
      </c>
      <c r="H427" s="56">
        <v>462000</v>
      </c>
      <c r="I427" s="56">
        <v>0</v>
      </c>
      <c r="J427" s="10">
        <f t="shared" si="4"/>
        <v>462000</v>
      </c>
    </row>
    <row r="428" spans="1:10" x14ac:dyDescent="0.3">
      <c r="A428" s="54" t="s">
        <v>5578</v>
      </c>
      <c r="B428" s="39" t="s">
        <v>133</v>
      </c>
      <c r="C428" s="55">
        <v>45869</v>
      </c>
      <c r="D428" s="55">
        <v>45869</v>
      </c>
      <c r="E428" s="39">
        <v>910105</v>
      </c>
      <c r="F428" s="39">
        <v>82</v>
      </c>
      <c r="G428" s="69" t="s">
        <v>6196</v>
      </c>
      <c r="H428" s="56">
        <v>470000</v>
      </c>
      <c r="I428" s="56">
        <v>0</v>
      </c>
      <c r="J428" s="10">
        <f t="shared" si="4"/>
        <v>470000</v>
      </c>
    </row>
    <row r="429" spans="1:10" x14ac:dyDescent="0.3">
      <c r="A429" s="54" t="s">
        <v>5578</v>
      </c>
      <c r="B429" s="39" t="s">
        <v>133</v>
      </c>
      <c r="C429" s="55">
        <v>45869</v>
      </c>
      <c r="D429" s="55">
        <v>45869</v>
      </c>
      <c r="E429" s="39">
        <v>910163</v>
      </c>
      <c r="F429" s="39">
        <v>79</v>
      </c>
      <c r="G429" s="69" t="s">
        <v>6197</v>
      </c>
      <c r="H429" s="56">
        <v>470000</v>
      </c>
      <c r="I429" s="56">
        <v>0</v>
      </c>
      <c r="J429" s="10">
        <f t="shared" si="4"/>
        <v>470000</v>
      </c>
    </row>
    <row r="430" spans="1:10" x14ac:dyDescent="0.3">
      <c r="A430" s="54" t="s">
        <v>5578</v>
      </c>
      <c r="B430" s="39" t="s">
        <v>133</v>
      </c>
      <c r="C430" s="55">
        <v>45869</v>
      </c>
      <c r="D430" s="55">
        <v>45869</v>
      </c>
      <c r="E430" s="39">
        <v>910143</v>
      </c>
      <c r="F430" s="39">
        <v>61</v>
      </c>
      <c r="G430" s="69" t="s">
        <v>6198</v>
      </c>
      <c r="H430" s="56">
        <v>480000</v>
      </c>
      <c r="I430" s="56">
        <v>0</v>
      </c>
      <c r="J430" s="10">
        <f t="shared" si="4"/>
        <v>480000</v>
      </c>
    </row>
    <row r="431" spans="1:10" x14ac:dyDescent="0.3">
      <c r="A431" s="54" t="s">
        <v>5578</v>
      </c>
      <c r="B431" s="39" t="s">
        <v>133</v>
      </c>
      <c r="C431" s="55">
        <v>45869</v>
      </c>
      <c r="D431" s="55">
        <v>45869</v>
      </c>
      <c r="E431" s="39">
        <v>909922</v>
      </c>
      <c r="F431" s="39">
        <v>17</v>
      </c>
      <c r="G431" s="69" t="s">
        <v>6199</v>
      </c>
      <c r="H431" s="56">
        <v>490000</v>
      </c>
      <c r="I431" s="56">
        <v>0</v>
      </c>
      <c r="J431" s="10">
        <f t="shared" si="4"/>
        <v>490000</v>
      </c>
    </row>
    <row r="432" spans="1:10" x14ac:dyDescent="0.3">
      <c r="A432" s="54" t="s">
        <v>5578</v>
      </c>
      <c r="B432" s="39" t="s">
        <v>133</v>
      </c>
      <c r="C432" s="55">
        <v>45869</v>
      </c>
      <c r="D432" s="55">
        <v>45869</v>
      </c>
      <c r="E432" s="39">
        <v>909979</v>
      </c>
      <c r="F432" s="39">
        <v>58</v>
      </c>
      <c r="G432" s="69" t="s">
        <v>6200</v>
      </c>
      <c r="H432" s="56">
        <v>490000</v>
      </c>
      <c r="I432" s="56">
        <v>0</v>
      </c>
      <c r="J432" s="10">
        <f t="shared" si="4"/>
        <v>490000</v>
      </c>
    </row>
    <row r="433" spans="1:10" x14ac:dyDescent="0.3">
      <c r="A433" s="54" t="s">
        <v>5578</v>
      </c>
      <c r="B433" s="39" t="s">
        <v>133</v>
      </c>
      <c r="C433" s="55">
        <v>45869</v>
      </c>
      <c r="D433" s="55">
        <v>45869</v>
      </c>
      <c r="E433" s="39">
        <v>909968</v>
      </c>
      <c r="F433" s="39">
        <v>24</v>
      </c>
      <c r="G433" s="69" t="s">
        <v>5216</v>
      </c>
      <c r="H433" s="56">
        <v>500000</v>
      </c>
      <c r="I433" s="56">
        <v>0</v>
      </c>
      <c r="J433" s="10">
        <f t="shared" si="4"/>
        <v>500000</v>
      </c>
    </row>
    <row r="434" spans="1:10" x14ac:dyDescent="0.3">
      <c r="A434" s="54" t="s">
        <v>5578</v>
      </c>
      <c r="B434" s="39" t="s">
        <v>133</v>
      </c>
      <c r="C434" s="55">
        <v>45869</v>
      </c>
      <c r="D434" s="55">
        <v>45869</v>
      </c>
      <c r="E434" s="39">
        <v>910031</v>
      </c>
      <c r="F434" s="39">
        <v>36</v>
      </c>
      <c r="G434" s="69" t="s">
        <v>6201</v>
      </c>
      <c r="H434" s="56">
        <v>500000</v>
      </c>
      <c r="I434" s="56">
        <v>0</v>
      </c>
      <c r="J434" s="10">
        <f t="shared" si="4"/>
        <v>500000</v>
      </c>
    </row>
    <row r="435" spans="1:10" x14ac:dyDescent="0.3">
      <c r="A435" s="54" t="s">
        <v>5578</v>
      </c>
      <c r="B435" s="39" t="s">
        <v>133</v>
      </c>
      <c r="C435" s="55">
        <v>45869</v>
      </c>
      <c r="D435" s="55">
        <v>45869</v>
      </c>
      <c r="E435" s="39">
        <v>910102</v>
      </c>
      <c r="F435" s="39">
        <v>310</v>
      </c>
      <c r="G435" s="69" t="s">
        <v>6202</v>
      </c>
      <c r="H435" s="56">
        <v>500000</v>
      </c>
      <c r="I435" s="56">
        <v>0</v>
      </c>
      <c r="J435" s="10">
        <f t="shared" si="4"/>
        <v>500000</v>
      </c>
    </row>
    <row r="436" spans="1:10" x14ac:dyDescent="0.3">
      <c r="A436" s="54" t="s">
        <v>5578</v>
      </c>
      <c r="B436" s="39" t="s">
        <v>133</v>
      </c>
      <c r="C436" s="55">
        <v>45869</v>
      </c>
      <c r="D436" s="55">
        <v>45869</v>
      </c>
      <c r="E436" s="39">
        <v>910136</v>
      </c>
      <c r="F436" s="39">
        <v>43</v>
      </c>
      <c r="G436" s="69" t="s">
        <v>6203</v>
      </c>
      <c r="H436" s="56">
        <v>500000</v>
      </c>
      <c r="I436" s="56">
        <v>0</v>
      </c>
      <c r="J436" s="10">
        <f t="shared" si="4"/>
        <v>500000</v>
      </c>
    </row>
    <row r="437" spans="1:10" x14ac:dyDescent="0.3">
      <c r="A437" s="54" t="s">
        <v>5578</v>
      </c>
      <c r="B437" s="39" t="s">
        <v>133</v>
      </c>
      <c r="C437" s="55">
        <v>45869</v>
      </c>
      <c r="D437" s="55">
        <v>45869</v>
      </c>
      <c r="E437" s="39">
        <v>910149</v>
      </c>
      <c r="F437" s="39">
        <v>382</v>
      </c>
      <c r="G437" s="69" t="s">
        <v>6204</v>
      </c>
      <c r="H437" s="56">
        <v>500000</v>
      </c>
      <c r="I437" s="56">
        <v>0</v>
      </c>
      <c r="J437" s="10">
        <f t="shared" si="4"/>
        <v>500000</v>
      </c>
    </row>
    <row r="438" spans="1:10" x14ac:dyDescent="0.3">
      <c r="A438" s="54" t="s">
        <v>5578</v>
      </c>
      <c r="B438" s="39" t="s">
        <v>133</v>
      </c>
      <c r="C438" s="55">
        <v>45869</v>
      </c>
      <c r="D438" s="55">
        <v>45869</v>
      </c>
      <c r="E438" s="39">
        <v>910159</v>
      </c>
      <c r="F438" s="39">
        <v>62</v>
      </c>
      <c r="G438" s="69" t="s">
        <v>6205</v>
      </c>
      <c r="H438" s="56">
        <v>500000</v>
      </c>
      <c r="I438" s="56">
        <v>0</v>
      </c>
      <c r="J438" s="10">
        <f t="shared" si="4"/>
        <v>500000</v>
      </c>
    </row>
    <row r="439" spans="1:10" x14ac:dyDescent="0.3">
      <c r="A439" s="54" t="s">
        <v>5578</v>
      </c>
      <c r="B439" s="39" t="s">
        <v>133</v>
      </c>
      <c r="C439" s="55">
        <v>45869</v>
      </c>
      <c r="D439" s="55">
        <v>45869</v>
      </c>
      <c r="E439" s="39">
        <v>909735</v>
      </c>
      <c r="F439" s="39">
        <v>73</v>
      </c>
      <c r="G439" s="69" t="s">
        <v>6206</v>
      </c>
      <c r="H439" s="56">
        <v>510000</v>
      </c>
      <c r="I439" s="56">
        <v>0</v>
      </c>
      <c r="J439" s="10">
        <f t="shared" si="4"/>
        <v>510000</v>
      </c>
    </row>
    <row r="440" spans="1:10" x14ac:dyDescent="0.3">
      <c r="A440" s="54" t="s">
        <v>5578</v>
      </c>
      <c r="B440" s="39" t="s">
        <v>133</v>
      </c>
      <c r="C440" s="55">
        <v>45869</v>
      </c>
      <c r="D440" s="55">
        <v>45869</v>
      </c>
      <c r="E440" s="39">
        <v>910067</v>
      </c>
      <c r="F440" s="39">
        <v>15</v>
      </c>
      <c r="G440" s="69" t="s">
        <v>966</v>
      </c>
      <c r="H440" s="56">
        <v>520000</v>
      </c>
      <c r="I440" s="56">
        <v>0</v>
      </c>
      <c r="J440" s="10">
        <f t="shared" si="4"/>
        <v>520000</v>
      </c>
    </row>
    <row r="441" spans="1:10" x14ac:dyDescent="0.3">
      <c r="A441" s="54" t="s">
        <v>5578</v>
      </c>
      <c r="B441" s="39" t="s">
        <v>133</v>
      </c>
      <c r="C441" s="55">
        <v>45869</v>
      </c>
      <c r="D441" s="55">
        <v>45869</v>
      </c>
      <c r="E441" s="39">
        <v>910157</v>
      </c>
      <c r="F441" s="39">
        <v>16</v>
      </c>
      <c r="G441" s="69" t="s">
        <v>6207</v>
      </c>
      <c r="H441" s="56">
        <v>520000</v>
      </c>
      <c r="I441" s="56">
        <v>0</v>
      </c>
      <c r="J441" s="10">
        <f t="shared" si="4"/>
        <v>520000</v>
      </c>
    </row>
    <row r="442" spans="1:10" x14ac:dyDescent="0.3">
      <c r="A442" s="54" t="s">
        <v>5578</v>
      </c>
      <c r="B442" s="39" t="s">
        <v>133</v>
      </c>
      <c r="C442" s="55">
        <v>45869</v>
      </c>
      <c r="D442" s="55">
        <v>45869</v>
      </c>
      <c r="E442" s="39">
        <v>910124</v>
      </c>
      <c r="F442" s="39">
        <v>72</v>
      </c>
      <c r="G442" s="69" t="s">
        <v>6208</v>
      </c>
      <c r="H442" s="56">
        <v>550000</v>
      </c>
      <c r="I442" s="56">
        <v>0</v>
      </c>
      <c r="J442" s="10">
        <f t="shared" si="4"/>
        <v>550000</v>
      </c>
    </row>
    <row r="443" spans="1:10" x14ac:dyDescent="0.3">
      <c r="A443" s="54" t="s">
        <v>5523</v>
      </c>
      <c r="B443" s="39" t="s">
        <v>6209</v>
      </c>
      <c r="C443" s="55">
        <v>45869</v>
      </c>
      <c r="D443" s="55">
        <v>45869</v>
      </c>
      <c r="E443" s="39"/>
      <c r="F443" s="39" t="s">
        <v>5558</v>
      </c>
      <c r="G443" s="39" t="s">
        <v>6210</v>
      </c>
      <c r="H443" s="56">
        <v>0</v>
      </c>
      <c r="I443" s="56">
        <v>564526.84</v>
      </c>
      <c r="J443" s="10">
        <f t="shared" si="4"/>
        <v>564526.84</v>
      </c>
    </row>
    <row r="444" spans="1:10" x14ac:dyDescent="0.3">
      <c r="A444" s="54" t="s">
        <v>5578</v>
      </c>
      <c r="B444" s="39" t="s">
        <v>133</v>
      </c>
      <c r="C444" s="55">
        <v>45869</v>
      </c>
      <c r="D444" s="55">
        <v>45869</v>
      </c>
      <c r="E444" s="39">
        <v>910000</v>
      </c>
      <c r="F444" s="39">
        <v>31</v>
      </c>
      <c r="G444" s="69" t="s">
        <v>6211</v>
      </c>
      <c r="H444" s="56">
        <v>600000</v>
      </c>
      <c r="I444" s="56">
        <v>0</v>
      </c>
      <c r="J444" s="10">
        <f t="shared" si="4"/>
        <v>600000</v>
      </c>
    </row>
    <row r="445" spans="1:10" x14ac:dyDescent="0.3">
      <c r="A445" s="54" t="s">
        <v>5578</v>
      </c>
      <c r="B445" s="39" t="s">
        <v>133</v>
      </c>
      <c r="C445" s="55">
        <v>45869</v>
      </c>
      <c r="D445" s="55">
        <v>45869</v>
      </c>
      <c r="E445" s="39">
        <v>910119</v>
      </c>
      <c r="F445" s="39">
        <v>351</v>
      </c>
      <c r="G445" s="69" t="s">
        <v>6212</v>
      </c>
      <c r="H445" s="56">
        <v>600000</v>
      </c>
      <c r="I445" s="56">
        <v>0</v>
      </c>
      <c r="J445" s="10">
        <f t="shared" si="4"/>
        <v>600000</v>
      </c>
    </row>
    <row r="446" spans="1:10" x14ac:dyDescent="0.3">
      <c r="A446" s="54" t="s">
        <v>5578</v>
      </c>
      <c r="B446" s="39" t="s">
        <v>133</v>
      </c>
      <c r="C446" s="55">
        <v>45869</v>
      </c>
      <c r="D446" s="55">
        <v>45869</v>
      </c>
      <c r="E446" s="39">
        <v>909884</v>
      </c>
      <c r="F446" s="39">
        <v>18</v>
      </c>
      <c r="G446" s="69" t="s">
        <v>6213</v>
      </c>
      <c r="H446" s="56">
        <v>620000</v>
      </c>
      <c r="I446" s="56">
        <v>0</v>
      </c>
      <c r="J446" s="10">
        <f t="shared" si="4"/>
        <v>620000</v>
      </c>
    </row>
    <row r="447" spans="1:10" x14ac:dyDescent="0.3">
      <c r="A447" s="54" t="s">
        <v>5578</v>
      </c>
      <c r="B447" s="39" t="s">
        <v>133</v>
      </c>
      <c r="C447" s="55">
        <v>45869</v>
      </c>
      <c r="D447" s="55">
        <v>45869</v>
      </c>
      <c r="E447" s="39">
        <v>910078</v>
      </c>
      <c r="F447" s="39">
        <v>33</v>
      </c>
      <c r="G447" s="69" t="s">
        <v>6214</v>
      </c>
      <c r="H447" s="56">
        <v>660000</v>
      </c>
      <c r="I447" s="56">
        <v>0</v>
      </c>
      <c r="J447" s="10">
        <f t="shared" si="4"/>
        <v>660000</v>
      </c>
    </row>
    <row r="448" spans="1:10" x14ac:dyDescent="0.3">
      <c r="A448" s="54" t="s">
        <v>5578</v>
      </c>
      <c r="B448" s="39" t="s">
        <v>133</v>
      </c>
      <c r="C448" s="55">
        <v>45869</v>
      </c>
      <c r="D448" s="55">
        <v>45869</v>
      </c>
      <c r="E448" s="39">
        <v>910186</v>
      </c>
      <c r="F448" s="39">
        <v>77</v>
      </c>
      <c r="G448" s="69" t="s">
        <v>6215</v>
      </c>
      <c r="H448" s="56">
        <v>740000</v>
      </c>
      <c r="I448" s="56">
        <v>0</v>
      </c>
      <c r="J448" s="10">
        <f t="shared" si="4"/>
        <v>740000</v>
      </c>
    </row>
    <row r="449" spans="1:13" x14ac:dyDescent="0.3">
      <c r="A449" s="54" t="s">
        <v>5578</v>
      </c>
      <c r="B449" s="39" t="s">
        <v>133</v>
      </c>
      <c r="C449" s="55">
        <v>45869</v>
      </c>
      <c r="D449" s="55">
        <v>45869</v>
      </c>
      <c r="E449" s="39">
        <v>909921</v>
      </c>
      <c r="F449" s="39">
        <v>13</v>
      </c>
      <c r="G449" s="69" t="s">
        <v>6216</v>
      </c>
      <c r="H449" s="56">
        <v>750000</v>
      </c>
      <c r="I449" s="56">
        <v>0</v>
      </c>
      <c r="J449" s="10">
        <f t="shared" si="4"/>
        <v>750000</v>
      </c>
    </row>
    <row r="450" spans="1:13" x14ac:dyDescent="0.3">
      <c r="A450" s="54" t="s">
        <v>5578</v>
      </c>
      <c r="B450" s="39" t="s">
        <v>133</v>
      </c>
      <c r="C450" s="55">
        <v>45869</v>
      </c>
      <c r="D450" s="55">
        <v>45869</v>
      </c>
      <c r="E450" s="39">
        <v>910082</v>
      </c>
      <c r="F450" s="39">
        <v>56</v>
      </c>
      <c r="G450" s="69" t="s">
        <v>6217</v>
      </c>
      <c r="H450" s="56">
        <v>750000</v>
      </c>
      <c r="I450" s="56">
        <v>0</v>
      </c>
      <c r="J450" s="10">
        <f t="shared" si="4"/>
        <v>750000</v>
      </c>
    </row>
    <row r="451" spans="1:13" x14ac:dyDescent="0.3">
      <c r="A451" s="54" t="s">
        <v>5578</v>
      </c>
      <c r="B451" s="39" t="s">
        <v>133</v>
      </c>
      <c r="C451" s="55">
        <v>45869</v>
      </c>
      <c r="D451" s="55">
        <v>45869</v>
      </c>
      <c r="E451" s="39">
        <v>910154</v>
      </c>
      <c r="F451" s="39">
        <v>23</v>
      </c>
      <c r="G451" s="69" t="s">
        <v>6218</v>
      </c>
      <c r="H451" s="56">
        <v>760000</v>
      </c>
      <c r="I451" s="56">
        <v>0</v>
      </c>
      <c r="J451" s="10">
        <f t="shared" si="4"/>
        <v>760000</v>
      </c>
    </row>
    <row r="452" spans="1:13" x14ac:dyDescent="0.3">
      <c r="A452" s="54" t="s">
        <v>5578</v>
      </c>
      <c r="B452" s="39" t="s">
        <v>133</v>
      </c>
      <c r="C452" s="55">
        <v>45869</v>
      </c>
      <c r="D452" s="55">
        <v>45869</v>
      </c>
      <c r="E452" s="39">
        <v>910132</v>
      </c>
      <c r="F452" s="39">
        <v>89</v>
      </c>
      <c r="G452" s="69" t="s">
        <v>6219</v>
      </c>
      <c r="H452" s="56">
        <v>810000</v>
      </c>
      <c r="I452" s="56">
        <v>0</v>
      </c>
      <c r="J452" s="10">
        <f t="shared" si="4"/>
        <v>810000</v>
      </c>
    </row>
    <row r="453" spans="1:13" x14ac:dyDescent="0.3">
      <c r="A453" s="54" t="s">
        <v>5578</v>
      </c>
      <c r="B453" s="39" t="s">
        <v>133</v>
      </c>
      <c r="C453" s="55">
        <v>45869</v>
      </c>
      <c r="D453" s="55">
        <v>45869</v>
      </c>
      <c r="E453" s="39">
        <v>909712</v>
      </c>
      <c r="F453" s="39">
        <v>85</v>
      </c>
      <c r="G453" s="69" t="s">
        <v>6220</v>
      </c>
      <c r="H453" s="56">
        <v>860000</v>
      </c>
      <c r="I453" s="56">
        <v>0</v>
      </c>
      <c r="J453" s="10">
        <f t="shared" si="4"/>
        <v>860000</v>
      </c>
    </row>
    <row r="454" spans="1:13" x14ac:dyDescent="0.3">
      <c r="A454" s="54" t="s">
        <v>5578</v>
      </c>
      <c r="B454" s="39" t="s">
        <v>133</v>
      </c>
      <c r="C454" s="55">
        <v>45869</v>
      </c>
      <c r="D454" s="55">
        <v>45869</v>
      </c>
      <c r="E454" s="39">
        <v>910088</v>
      </c>
      <c r="F454" s="39">
        <v>32</v>
      </c>
      <c r="G454" s="69" t="s">
        <v>1161</v>
      </c>
      <c r="H454" s="56">
        <v>997000</v>
      </c>
      <c r="I454" s="56">
        <v>0</v>
      </c>
      <c r="J454" s="10">
        <f t="shared" si="4"/>
        <v>997000</v>
      </c>
    </row>
    <row r="455" spans="1:13" x14ac:dyDescent="0.3">
      <c r="A455" s="54" t="s">
        <v>5578</v>
      </c>
      <c r="B455" s="39" t="s">
        <v>133</v>
      </c>
      <c r="C455" s="55">
        <v>45869</v>
      </c>
      <c r="D455" s="55">
        <v>45869</v>
      </c>
      <c r="E455" s="39">
        <v>909985</v>
      </c>
      <c r="F455" s="39">
        <v>12</v>
      </c>
      <c r="G455" s="69" t="s">
        <v>6221</v>
      </c>
      <c r="H455" s="56">
        <v>1030000</v>
      </c>
      <c r="I455" s="56">
        <v>0</v>
      </c>
      <c r="J455" s="10">
        <f t="shared" si="4"/>
        <v>1030000</v>
      </c>
    </row>
    <row r="456" spans="1:13" x14ac:dyDescent="0.3">
      <c r="A456" s="54" t="s">
        <v>5578</v>
      </c>
      <c r="B456" s="39" t="s">
        <v>133</v>
      </c>
      <c r="C456" s="55">
        <v>45869</v>
      </c>
      <c r="D456" s="55">
        <v>45869</v>
      </c>
      <c r="E456" s="39">
        <v>910107</v>
      </c>
      <c r="F456" s="39">
        <v>81</v>
      </c>
      <c r="G456" s="69" t="s">
        <v>6222</v>
      </c>
      <c r="H456" s="56">
        <v>1260000</v>
      </c>
      <c r="I456" s="56">
        <v>0</v>
      </c>
      <c r="J456" s="10">
        <f t="shared" si="4"/>
        <v>1260000</v>
      </c>
    </row>
    <row r="457" spans="1:13" x14ac:dyDescent="0.3">
      <c r="A457" s="54" t="s">
        <v>5578</v>
      </c>
      <c r="B457" s="39" t="s">
        <v>133</v>
      </c>
      <c r="C457" s="55">
        <v>45869</v>
      </c>
      <c r="D457" s="55">
        <v>45869</v>
      </c>
      <c r="E457" s="39">
        <v>910113</v>
      </c>
      <c r="F457" s="39">
        <v>37</v>
      </c>
      <c r="G457" s="69" t="s">
        <v>6223</v>
      </c>
      <c r="H457" s="56">
        <v>2315000</v>
      </c>
      <c r="I457" s="56">
        <v>0</v>
      </c>
      <c r="J457" s="10">
        <f t="shared" si="4"/>
        <v>2315000</v>
      </c>
    </row>
    <row r="458" spans="1:13" x14ac:dyDescent="0.3">
      <c r="A458" s="54" t="s">
        <v>5578</v>
      </c>
      <c r="B458" s="39" t="s">
        <v>133</v>
      </c>
      <c r="C458" s="55">
        <v>45869</v>
      </c>
      <c r="D458" s="55">
        <v>45869</v>
      </c>
      <c r="E458" s="39">
        <v>910110</v>
      </c>
      <c r="F458" s="39">
        <v>11</v>
      </c>
      <c r="G458" s="69" t="s">
        <v>6224</v>
      </c>
      <c r="H458" s="56">
        <v>2740000</v>
      </c>
      <c r="I458" s="56">
        <v>0</v>
      </c>
      <c r="J458" s="10">
        <f t="shared" si="4"/>
        <v>2740000</v>
      </c>
    </row>
    <row r="459" spans="1:13" x14ac:dyDescent="0.3">
      <c r="A459" s="90"/>
      <c r="B459" s="90"/>
      <c r="C459" s="91"/>
      <c r="D459" s="91"/>
      <c r="E459" s="90"/>
      <c r="F459" s="90"/>
      <c r="G459" s="92"/>
      <c r="H459" s="93">
        <v>0</v>
      </c>
      <c r="I459" s="93"/>
    </row>
    <row r="460" spans="1:13" x14ac:dyDescent="0.3">
      <c r="H460" s="94">
        <v>0</v>
      </c>
      <c r="K460" s="64"/>
      <c r="L460" s="64"/>
      <c r="M460" s="64"/>
    </row>
    <row r="461" spans="1:13" x14ac:dyDescent="0.3">
      <c r="A461" s="95"/>
      <c r="B461" s="96"/>
      <c r="C461" s="97"/>
      <c r="D461" s="97"/>
      <c r="E461" s="95"/>
      <c r="F461" s="98"/>
      <c r="G461" s="98"/>
      <c r="H461" s="99">
        <v>0</v>
      </c>
      <c r="I461" s="99"/>
      <c r="K461" s="10"/>
      <c r="L461" s="10"/>
      <c r="M461" s="10"/>
    </row>
    <row r="462" spans="1:13" x14ac:dyDescent="0.3">
      <c r="A462" s="100"/>
      <c r="B462" s="101"/>
      <c r="C462" s="102"/>
      <c r="D462" s="102"/>
      <c r="E462" s="103"/>
      <c r="F462" s="103"/>
      <c r="G462" s="34" t="s">
        <v>6225</v>
      </c>
      <c r="H462" s="9">
        <f>SUM(H7:H461)</f>
        <v>33180879.379999999</v>
      </c>
      <c r="I462" s="9">
        <f>SUM(I7:I461)</f>
        <v>7876022.0099999998</v>
      </c>
    </row>
    <row r="463" spans="1:13" x14ac:dyDescent="0.3">
      <c r="A463" s="100"/>
      <c r="B463" s="101"/>
      <c r="C463" s="102"/>
      <c r="D463" s="102"/>
      <c r="E463" s="103"/>
      <c r="F463" s="103"/>
      <c r="G463" s="34"/>
      <c r="H463" s="29">
        <v>0</v>
      </c>
      <c r="I463" s="29"/>
    </row>
    <row r="464" spans="1:13" x14ac:dyDescent="0.3">
      <c r="A464" s="100"/>
      <c r="B464" s="101"/>
      <c r="C464" s="102"/>
      <c r="D464" s="102"/>
      <c r="E464" s="103"/>
      <c r="F464" s="103"/>
      <c r="G464" s="34" t="s">
        <v>6226</v>
      </c>
      <c r="H464" s="70">
        <v>0</v>
      </c>
      <c r="I464" s="70">
        <v>26221735.579999998</v>
      </c>
      <c r="K464" s="10"/>
      <c r="L464" s="10"/>
      <c r="M464" s="10"/>
    </row>
    <row r="465" spans="1:14" x14ac:dyDescent="0.3">
      <c r="A465" s="100"/>
      <c r="B465" s="101"/>
      <c r="C465" s="102"/>
      <c r="D465" s="102"/>
      <c r="E465" s="103"/>
      <c r="F465" s="103"/>
      <c r="G465" s="34" t="s">
        <v>6227</v>
      </c>
      <c r="H465" s="70">
        <v>916968.58</v>
      </c>
      <c r="I465" s="70">
        <v>0</v>
      </c>
      <c r="K465" s="10"/>
      <c r="L465" s="10"/>
      <c r="M465" s="10"/>
    </row>
    <row r="466" spans="1:14" x14ac:dyDescent="0.3">
      <c r="A466" s="100"/>
      <c r="B466" s="101"/>
      <c r="C466" s="102"/>
      <c r="D466" s="102"/>
      <c r="E466" s="103"/>
      <c r="F466" s="103"/>
      <c r="G466" s="33" t="s">
        <v>6228</v>
      </c>
      <c r="H466" s="29">
        <v>0</v>
      </c>
      <c r="I466" s="29">
        <v>0</v>
      </c>
      <c r="K466" s="10"/>
    </row>
    <row r="467" spans="1:14" x14ac:dyDescent="0.3">
      <c r="A467" s="100"/>
      <c r="B467" s="101"/>
      <c r="C467" s="102"/>
      <c r="D467" s="102"/>
      <c r="E467" s="103"/>
      <c r="F467" s="103"/>
      <c r="G467" s="34"/>
      <c r="H467" s="29">
        <f>SUM(H462:H465)</f>
        <v>34097847.960000001</v>
      </c>
      <c r="I467" s="29">
        <f>SUM(I462:I466)</f>
        <v>34097757.589999996</v>
      </c>
      <c r="K467" s="10"/>
    </row>
    <row r="468" spans="1:14" x14ac:dyDescent="0.3">
      <c r="A468" s="100"/>
      <c r="B468" s="101"/>
      <c r="C468" s="102"/>
      <c r="D468" s="102"/>
      <c r="E468" s="103"/>
      <c r="F468" s="103"/>
      <c r="G468" s="34" t="s">
        <v>6229</v>
      </c>
      <c r="H468" s="29">
        <v>0</v>
      </c>
      <c r="I468" s="9">
        <f>H467-I467</f>
        <v>90.370000004768372</v>
      </c>
      <c r="K468" s="64"/>
      <c r="L468" s="64"/>
      <c r="M468" s="64"/>
      <c r="N468" s="64"/>
    </row>
    <row r="469" spans="1:14" x14ac:dyDescent="0.3">
      <c r="H469" s="94">
        <v>0</v>
      </c>
      <c r="K469" s="10"/>
    </row>
    <row r="470" spans="1:14" x14ac:dyDescent="0.3">
      <c r="H470" s="94">
        <v>0</v>
      </c>
      <c r="K470" s="10"/>
    </row>
    <row r="472" spans="1:14" x14ac:dyDescent="0.3">
      <c r="J472" s="104"/>
    </row>
  </sheetData>
  <conditionalFormatting sqref="F85">
    <cfRule type="duplicateValues" dxfId="11" priority="11" stopIfTrue="1"/>
  </conditionalFormatting>
  <conditionalFormatting sqref="F87 F89">
    <cfRule type="duplicateValues" dxfId="10" priority="10" stopIfTrue="1"/>
  </conditionalFormatting>
  <conditionalFormatting sqref="F125">
    <cfRule type="duplicateValues" dxfId="9" priority="9" stopIfTrue="1"/>
  </conditionalFormatting>
  <conditionalFormatting sqref="H465:I465">
    <cfRule type="duplicateValues" dxfId="8" priority="7"/>
    <cfRule type="duplicateValues" dxfId="7" priority="8"/>
  </conditionalFormatting>
  <conditionalFormatting sqref="J165:J175 J163 J177:J240 J388:J459 J243:J385">
    <cfRule type="duplicateValues" dxfId="6" priority="12"/>
  </conditionalFormatting>
  <conditionalFormatting sqref="J176">
    <cfRule type="duplicateValues" dxfId="5" priority="5"/>
  </conditionalFormatting>
  <conditionalFormatting sqref="J241:J242">
    <cfRule type="duplicateValues" dxfId="4" priority="1"/>
    <cfRule type="duplicateValues" dxfId="3" priority="2"/>
  </conditionalFormatting>
  <conditionalFormatting sqref="J386">
    <cfRule type="duplicateValues" dxfId="2" priority="4"/>
  </conditionalFormatting>
  <conditionalFormatting sqref="J387">
    <cfRule type="duplicateValues" dxfId="1" priority="3"/>
  </conditionalFormatting>
  <conditionalFormatting sqref="J388:J1048576 J1:J175 J177:J240 J243:J385">
    <cfRule type="duplicateValues" dxfId="0" priority="1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ADCB SOA AUG 2025</vt:lpstr>
      <vt:lpstr>ADCB GL AUG 2025 </vt:lpstr>
      <vt:lpstr>ADCB RECO SUMMARY 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Panikkarakayil</dc:creator>
  <cp:lastModifiedBy>Hashim Panikkarakayil</cp:lastModifiedBy>
  <dcterms:created xsi:type="dcterms:W3CDTF">2025-10-07T13:08:30Z</dcterms:created>
  <dcterms:modified xsi:type="dcterms:W3CDTF">2025-10-07T13:11:27Z</dcterms:modified>
</cp:coreProperties>
</file>